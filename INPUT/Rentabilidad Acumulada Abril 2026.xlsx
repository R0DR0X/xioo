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8D150D82-8F9E-46A7-88EA-C5F4F3A21AB2}" xr6:coauthVersionLast="47" xr6:coauthVersionMax="47" xr10:uidLastSave="{00000000-0000-0000-0000-000000000000}"/>
  <bookViews>
    <workbookView xWindow="-108" yWindow="-108" windowWidth="23256" windowHeight="13896" activeTab="3" xr2:uid="{D0C09B95-B007-4212-AB74-70908523E143}"/>
  </bookViews>
  <sheets>
    <sheet name="Gráficos ppt" sheetId="8" r:id="rId1"/>
    <sheet name="Tablas ppt" sheetId="9" r:id="rId2"/>
    <sheet name="TD" sheetId="3" r:id="rId3"/>
    <sheet name="Resumen" sheetId="1" r:id="rId4"/>
    <sheet name="Costos Producción Febrero" sheetId="5" state="hidden" r:id="rId5"/>
    <sheet name="Costos Producción Marzo" sheetId="4" state="hidden" r:id="rId6"/>
    <sheet name="Detalle Costos" sheetId="2" state="hidden" r:id="rId7"/>
  </sheets>
  <externalReferences>
    <externalReference r:id="rId8"/>
  </externalReferences>
  <definedNames>
    <definedName name="_xlnm._FilterDatabase" localSheetId="6" hidden="1">'Detalle Costos'!$A$4:$U$206</definedName>
    <definedName name="_xlnm._FilterDatabase" localSheetId="3" hidden="1">Resumen!$C$3:$BQ$110</definedName>
  </definedNames>
  <calcPr calcId="191028" concurrentCalc="0"/>
  <pivotCaches>
    <pivotCache cacheId="8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9" l="1"/>
  <c r="J80" i="9"/>
  <c r="J79" i="9"/>
  <c r="F79" i="9"/>
  <c r="E79" i="9"/>
  <c r="E80" i="9"/>
  <c r="D79" i="9"/>
  <c r="D80" i="9"/>
  <c r="D86" i="9"/>
  <c r="C79" i="9"/>
  <c r="F86" i="9"/>
  <c r="D98" i="9"/>
  <c r="E98" i="9"/>
  <c r="F98" i="9"/>
  <c r="C98" i="9"/>
  <c r="G93" i="9"/>
  <c r="C93" i="9"/>
  <c r="D93" i="9"/>
  <c r="E93" i="9"/>
  <c r="F93" i="9"/>
  <c r="G89" i="9"/>
  <c r="C89" i="9"/>
  <c r="D89" i="9"/>
  <c r="E89" i="9"/>
  <c r="F89" i="9"/>
  <c r="G85" i="9"/>
  <c r="G83" i="9"/>
  <c r="G84" i="9"/>
  <c r="C83" i="9"/>
  <c r="D83" i="9"/>
  <c r="E83" i="9"/>
  <c r="F83" i="9"/>
  <c r="C84" i="9"/>
  <c r="D84" i="9"/>
  <c r="E84" i="9"/>
  <c r="F84" i="9"/>
  <c r="C85" i="9"/>
  <c r="D85" i="9"/>
  <c r="E85" i="9"/>
  <c r="F85" i="9"/>
  <c r="C80" i="9"/>
  <c r="C81" i="9"/>
  <c r="F80" i="9"/>
  <c r="F81" i="9"/>
  <c r="G78" i="9"/>
  <c r="C78" i="9"/>
  <c r="D78" i="9"/>
  <c r="E78" i="9"/>
  <c r="F78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C62" i="9"/>
  <c r="D61" i="9"/>
  <c r="D62" i="9"/>
  <c r="E61" i="9"/>
  <c r="F61" i="9"/>
  <c r="F62" i="9"/>
  <c r="G61" i="9"/>
  <c r="G62" i="9"/>
  <c r="C64" i="9"/>
  <c r="D64" i="9"/>
  <c r="E64" i="9"/>
  <c r="F64" i="9"/>
  <c r="G64" i="9"/>
  <c r="C65" i="9"/>
  <c r="C66" i="9"/>
  <c r="D65" i="9"/>
  <c r="E65" i="9"/>
  <c r="F65" i="9"/>
  <c r="G65" i="9"/>
  <c r="C68" i="9"/>
  <c r="D68" i="9"/>
  <c r="E68" i="9"/>
  <c r="F68" i="9"/>
  <c r="G68" i="9"/>
  <c r="C69" i="9"/>
  <c r="C70" i="9"/>
  <c r="D69" i="9"/>
  <c r="D70" i="9"/>
  <c r="E69" i="9"/>
  <c r="E70" i="9"/>
  <c r="F69" i="9"/>
  <c r="F70" i="9"/>
  <c r="G69" i="9"/>
  <c r="G70" i="9"/>
  <c r="E81" i="9"/>
  <c r="E86" i="9"/>
  <c r="G79" i="9"/>
  <c r="C86" i="9"/>
  <c r="D87" i="9"/>
  <c r="D90" i="9"/>
  <c r="D94" i="9"/>
  <c r="D95" i="9"/>
  <c r="D81" i="9"/>
  <c r="G80" i="9"/>
  <c r="G81" i="9"/>
  <c r="F66" i="9"/>
  <c r="G56" i="9"/>
  <c r="F56" i="9"/>
  <c r="G66" i="9"/>
  <c r="E62" i="9"/>
  <c r="D66" i="9"/>
  <c r="E56" i="9"/>
  <c r="D56" i="9"/>
  <c r="C56" i="9"/>
  <c r="E66" i="9"/>
  <c r="F90" i="9"/>
  <c r="F94" i="9"/>
  <c r="F95" i="9"/>
  <c r="F87" i="9"/>
  <c r="E90" i="9"/>
  <c r="E87" i="9"/>
  <c r="E94" i="9"/>
  <c r="E95" i="9"/>
  <c r="D91" i="9"/>
  <c r="D99" i="9"/>
  <c r="C87" i="9"/>
  <c r="C90" i="9"/>
  <c r="C99" i="9"/>
  <c r="C94" i="9"/>
  <c r="G86" i="9"/>
  <c r="G87" i="9"/>
  <c r="F91" i="9"/>
  <c r="F99" i="9"/>
  <c r="E99" i="9"/>
  <c r="E91" i="9"/>
  <c r="C95" i="9"/>
  <c r="G94" i="9"/>
  <c r="G95" i="9"/>
  <c r="C91" i="9"/>
  <c r="G90" i="9"/>
  <c r="G91" i="9"/>
  <c r="C7" i="9"/>
  <c r="C35" i="9"/>
  <c r="D7" i="9"/>
  <c r="D35" i="9"/>
  <c r="E7" i="9"/>
  <c r="E35" i="9"/>
  <c r="F7" i="9"/>
  <c r="F35" i="9"/>
  <c r="C8" i="9"/>
  <c r="C36" i="9"/>
  <c r="D8" i="9"/>
  <c r="D36" i="9"/>
  <c r="E8" i="9"/>
  <c r="E36" i="9"/>
  <c r="F8" i="9"/>
  <c r="F36" i="9"/>
  <c r="G8" i="9"/>
  <c r="H8" i="9"/>
  <c r="H36" i="9"/>
  <c r="C9" i="9"/>
  <c r="D9" i="9"/>
  <c r="E9" i="9"/>
  <c r="F9" i="9"/>
  <c r="G9" i="9"/>
  <c r="H9" i="9"/>
  <c r="I9" i="9"/>
  <c r="C10" i="9"/>
  <c r="D10" i="9"/>
  <c r="E10" i="9"/>
  <c r="E11" i="9"/>
  <c r="F10" i="9"/>
  <c r="F11" i="9"/>
  <c r="G10" i="9"/>
  <c r="I15" i="9"/>
  <c r="I16" i="9"/>
  <c r="G17" i="9"/>
  <c r="C18" i="9"/>
  <c r="E18" i="9"/>
  <c r="G23" i="9"/>
  <c r="H23" i="9"/>
  <c r="I23" i="9"/>
  <c r="G24" i="9"/>
  <c r="C29" i="9"/>
  <c r="D29" i="9"/>
  <c r="D30" i="9"/>
  <c r="E29" i="9"/>
  <c r="E37" i="9"/>
  <c r="F29" i="9"/>
  <c r="H29" i="9"/>
  <c r="H35" i="9"/>
  <c r="P36" i="9"/>
  <c r="S36" i="9"/>
  <c r="P37" i="9"/>
  <c r="R37" i="9"/>
  <c r="O38" i="9"/>
  <c r="O42" i="9"/>
  <c r="P38" i="9"/>
  <c r="Q38" i="9"/>
  <c r="Q42" i="9"/>
  <c r="Q44" i="9"/>
  <c r="H24" i="9"/>
  <c r="R38" i="9"/>
  <c r="R42" i="9"/>
  <c r="R44" i="9"/>
  <c r="H30" i="9"/>
  <c r="L39" i="9"/>
  <c r="P39" i="9"/>
  <c r="S39" i="9"/>
  <c r="S40" i="9"/>
  <c r="P41" i="9"/>
  <c r="S41" i="9"/>
  <c r="C42" i="9"/>
  <c r="G42" i="9"/>
  <c r="D42" i="9"/>
  <c r="E42" i="9"/>
  <c r="F42" i="9"/>
  <c r="C43" i="9"/>
  <c r="D43" i="9"/>
  <c r="E43" i="9"/>
  <c r="S43" i="9"/>
  <c r="L45" i="9"/>
  <c r="D11" i="9"/>
  <c r="C44" i="9"/>
  <c r="G7" i="9"/>
  <c r="I7" i="9"/>
  <c r="F37" i="9"/>
  <c r="H31" i="9"/>
  <c r="I31" i="9"/>
  <c r="P42" i="9"/>
  <c r="P44" i="9"/>
  <c r="H18" i="9"/>
  <c r="E44" i="9"/>
  <c r="I8" i="9"/>
  <c r="G18" i="9"/>
  <c r="I18" i="9"/>
  <c r="G11" i="9"/>
  <c r="D44" i="9"/>
  <c r="F30" i="9"/>
  <c r="F38" i="9"/>
  <c r="F39" i="9"/>
  <c r="C11" i="9"/>
  <c r="H17" i="9"/>
  <c r="H19" i="9"/>
  <c r="I19" i="9"/>
  <c r="G43" i="9"/>
  <c r="G44" i="9"/>
  <c r="S37" i="9"/>
  <c r="D38" i="9"/>
  <c r="G29" i="9"/>
  <c r="I29" i="9"/>
  <c r="S42" i="9"/>
  <c r="O46" i="9"/>
  <c r="O44" i="9"/>
  <c r="H25" i="9"/>
  <c r="I25" i="9"/>
  <c r="I24" i="9"/>
  <c r="G36" i="9"/>
  <c r="I36" i="9"/>
  <c r="G35" i="9"/>
  <c r="I35" i="9"/>
  <c r="D37" i="9"/>
  <c r="C37" i="9"/>
  <c r="S38" i="9"/>
  <c r="E30" i="9"/>
  <c r="E38" i="9"/>
  <c r="E39" i="9"/>
  <c r="C30" i="9"/>
  <c r="D39" i="9"/>
  <c r="H37" i="9"/>
  <c r="I17" i="9"/>
  <c r="G30" i="9"/>
  <c r="I30" i="9"/>
  <c r="G37" i="9"/>
  <c r="C38" i="9"/>
  <c r="H10" i="9"/>
  <c r="S44" i="9"/>
  <c r="S3" i="8"/>
  <c r="I37" i="9"/>
  <c r="I10" i="9"/>
  <c r="H11" i="9"/>
  <c r="I11" i="9"/>
  <c r="H38" i="9"/>
  <c r="H39" i="9"/>
  <c r="C39" i="9"/>
  <c r="G38" i="9"/>
  <c r="I38" i="9"/>
  <c r="G39" i="9"/>
  <c r="I39" i="9"/>
  <c r="AE36" i="3"/>
  <c r="AD36" i="3"/>
  <c r="AE19" i="3"/>
  <c r="AD19" i="3"/>
  <c r="AH6" i="3"/>
  <c r="AI6" i="3"/>
  <c r="AI5" i="3"/>
  <c r="AH5" i="3"/>
  <c r="I114" i="3"/>
  <c r="I113" i="3"/>
  <c r="I111" i="3"/>
  <c r="I110" i="3"/>
  <c r="I109" i="3"/>
  <c r="F114" i="3"/>
  <c r="F113" i="3"/>
  <c r="F111" i="3"/>
  <c r="F110" i="3"/>
  <c r="F109" i="3"/>
  <c r="O24" i="3"/>
  <c r="N24" i="3"/>
  <c r="K13" i="4"/>
  <c r="K12" i="4"/>
  <c r="AD6" i="3"/>
  <c r="AE6" i="3"/>
  <c r="AF6" i="3"/>
  <c r="AG6" i="3"/>
  <c r="AD5" i="3"/>
  <c r="AE5" i="3"/>
  <c r="AF5" i="3"/>
  <c r="AG5" i="3"/>
  <c r="B19" i="3"/>
  <c r="C19" i="3"/>
  <c r="D19" i="3"/>
  <c r="E19" i="3"/>
  <c r="F19" i="3"/>
  <c r="H19" i="3"/>
  <c r="G19" i="3"/>
  <c r="H8" i="3"/>
  <c r="H9" i="3"/>
  <c r="H10" i="3"/>
  <c r="H11" i="3"/>
  <c r="H12" i="3"/>
  <c r="H13" i="3"/>
  <c r="H15" i="3"/>
  <c r="H17" i="3"/>
  <c r="H7" i="3"/>
  <c r="N8" i="3"/>
  <c r="N4" i="3"/>
  <c r="P2" i="3"/>
  <c r="N2" i="3"/>
  <c r="X8" i="3"/>
  <c r="X9" i="3"/>
  <c r="X10" i="3"/>
  <c r="X11" i="3"/>
  <c r="X12" i="3"/>
  <c r="X13" i="3"/>
  <c r="X14" i="3"/>
  <c r="X15" i="3"/>
  <c r="X17" i="3"/>
  <c r="O9" i="3"/>
  <c r="O3" i="3"/>
  <c r="O10" i="3"/>
  <c r="O11" i="3"/>
  <c r="O12" i="3"/>
  <c r="O13" i="3"/>
  <c r="O14" i="3"/>
  <c r="O15" i="3"/>
  <c r="O16" i="3"/>
  <c r="O17" i="3"/>
  <c r="O8" i="3"/>
  <c r="O4" i="3"/>
  <c r="G16" i="3"/>
  <c r="X16" i="3"/>
  <c r="G10" i="3"/>
  <c r="G14" i="3"/>
  <c r="H14" i="3"/>
  <c r="G128" i="1"/>
  <c r="G123" i="1"/>
  <c r="AC72" i="1"/>
  <c r="AF42" i="1"/>
  <c r="AF72" i="1"/>
  <c r="AF90" i="1"/>
  <c r="AF97" i="1"/>
  <c r="AF98" i="1"/>
  <c r="AE42" i="1"/>
  <c r="AE72" i="1"/>
  <c r="AE90" i="1"/>
  <c r="AE97" i="1"/>
  <c r="AE98" i="1"/>
  <c r="AD42" i="1"/>
  <c r="AD72" i="1"/>
  <c r="AD90" i="1"/>
  <c r="AD97" i="1"/>
  <c r="AD98" i="1"/>
  <c r="AC42" i="1"/>
  <c r="AC90" i="1"/>
  <c r="AC97" i="1"/>
  <c r="AC98" i="1"/>
  <c r="AI36" i="1"/>
  <c r="AE36" i="1"/>
  <c r="AI38" i="1"/>
  <c r="AE38" i="1"/>
  <c r="AW72" i="1"/>
  <c r="AT72" i="1"/>
  <c r="AP72" i="1"/>
  <c r="AN72" i="1"/>
  <c r="AM72" i="1"/>
  <c r="S72" i="1"/>
  <c r="P62" i="1"/>
  <c r="P46" i="1"/>
  <c r="P121" i="1"/>
  <c r="P50" i="1"/>
  <c r="P39" i="1"/>
  <c r="P38" i="1"/>
  <c r="P54" i="1"/>
  <c r="P4" i="3"/>
  <c r="G18" i="3"/>
  <c r="H16" i="3"/>
  <c r="AG42" i="1"/>
  <c r="AB42" i="1"/>
  <c r="AG98" i="1"/>
  <c r="AB98" i="1"/>
  <c r="AG90" i="1"/>
  <c r="AB90" i="1"/>
  <c r="AG97" i="1"/>
  <c r="AB97" i="1"/>
  <c r="AG72" i="1"/>
  <c r="AD38" i="1"/>
  <c r="AC38" i="1"/>
  <c r="AF38" i="1"/>
  <c r="AD36" i="1"/>
  <c r="AC36" i="1"/>
  <c r="AF36" i="1"/>
  <c r="AO72" i="1"/>
  <c r="O18" i="3"/>
  <c r="X18" i="3"/>
  <c r="H18" i="3"/>
  <c r="AG36" i="1"/>
  <c r="AB36" i="1"/>
  <c r="AG38" i="1"/>
  <c r="AB38" i="1"/>
  <c r="AB72" i="1"/>
  <c r="AK72" i="1"/>
  <c r="AL72" i="1"/>
  <c r="AR72" i="1"/>
  <c r="AX72" i="1"/>
  <c r="AY72" i="1"/>
  <c r="AS72" i="1"/>
  <c r="AU72" i="1"/>
  <c r="AV72" i="1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52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30" i="3"/>
  <c r="O42" i="3"/>
  <c r="O43" i="3"/>
  <c r="O31" i="3"/>
  <c r="O32" i="3"/>
  <c r="O33" i="3"/>
  <c r="O34" i="3"/>
  <c r="O35" i="3"/>
  <c r="O36" i="3"/>
  <c r="O37" i="3"/>
  <c r="O38" i="3"/>
  <c r="O39" i="3"/>
  <c r="O40" i="3"/>
  <c r="O41" i="3"/>
  <c r="O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30" i="3"/>
  <c r="W8" i="3"/>
  <c r="W9" i="3"/>
  <c r="W10" i="3"/>
  <c r="W11" i="3"/>
  <c r="W12" i="3"/>
  <c r="W13" i="3"/>
  <c r="W14" i="3"/>
  <c r="W15" i="3"/>
  <c r="W16" i="3"/>
  <c r="W17" i="3"/>
  <c r="W18" i="3"/>
  <c r="V8" i="3"/>
  <c r="V9" i="3"/>
  <c r="V10" i="3"/>
  <c r="V11" i="3"/>
  <c r="V12" i="3"/>
  <c r="V13" i="3"/>
  <c r="V14" i="3"/>
  <c r="V15" i="3"/>
  <c r="V16" i="3"/>
  <c r="V17" i="3"/>
  <c r="V18" i="3"/>
  <c r="N9" i="3"/>
  <c r="N3" i="3"/>
  <c r="P3" i="3"/>
  <c r="P5" i="3"/>
  <c r="N10" i="3"/>
  <c r="N11" i="3"/>
  <c r="N12" i="3"/>
  <c r="N13" i="3"/>
  <c r="N14" i="3"/>
  <c r="N15" i="3"/>
  <c r="N16" i="3"/>
  <c r="N17" i="3"/>
  <c r="N18" i="3"/>
  <c r="M8" i="3"/>
  <c r="M9" i="3"/>
  <c r="M10" i="3"/>
  <c r="M11" i="3"/>
  <c r="M12" i="3"/>
  <c r="M13" i="3"/>
  <c r="M14" i="3"/>
  <c r="M15" i="3"/>
  <c r="M16" i="3"/>
  <c r="M17" i="3"/>
  <c r="M18" i="3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B90" i="1"/>
  <c r="BC90" i="1"/>
  <c r="BD90" i="1"/>
  <c r="BE90" i="1"/>
  <c r="BA91" i="1"/>
  <c r="BA92" i="1"/>
  <c r="BA93" i="1"/>
  <c r="BA94" i="1"/>
  <c r="BA95" i="1"/>
  <c r="BA96" i="1"/>
  <c r="BA97" i="1"/>
  <c r="BB97" i="1"/>
  <c r="BC97" i="1"/>
  <c r="BD97" i="1"/>
  <c r="BE97" i="1"/>
  <c r="BA98" i="1"/>
  <c r="BB98" i="1"/>
  <c r="BC98" i="1"/>
  <c r="BD98" i="1"/>
  <c r="BE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AW74" i="1"/>
  <c r="BP74" i="1"/>
  <c r="AW75" i="1"/>
  <c r="BP75" i="1"/>
  <c r="AW76" i="1"/>
  <c r="BP76" i="1"/>
  <c r="AW77" i="1"/>
  <c r="BP77" i="1"/>
  <c r="AW78" i="1"/>
  <c r="BP78" i="1"/>
  <c r="AW79" i="1"/>
  <c r="BP79" i="1"/>
  <c r="AW80" i="1"/>
  <c r="BP80" i="1"/>
  <c r="AW81" i="1"/>
  <c r="BP81" i="1"/>
  <c r="AW82" i="1"/>
  <c r="BP82" i="1"/>
  <c r="AW83" i="1"/>
  <c r="BP83" i="1"/>
  <c r="AW84" i="1"/>
  <c r="BP84" i="1"/>
  <c r="AW85" i="1"/>
  <c r="BP85" i="1"/>
  <c r="AW86" i="1"/>
  <c r="BP86" i="1"/>
  <c r="AW87" i="1"/>
  <c r="BP87" i="1"/>
  <c r="AW88" i="1"/>
  <c r="BP88" i="1"/>
  <c r="AW89" i="1"/>
  <c r="BP89" i="1"/>
  <c r="AW90" i="1"/>
  <c r="BP90" i="1"/>
  <c r="AW91" i="1"/>
  <c r="BP91" i="1"/>
  <c r="AW92" i="1"/>
  <c r="BP92" i="1"/>
  <c r="AW93" i="1"/>
  <c r="BP93" i="1"/>
  <c r="AW94" i="1"/>
  <c r="BP94" i="1"/>
  <c r="AW95" i="1"/>
  <c r="BP95" i="1"/>
  <c r="AW96" i="1"/>
  <c r="BP96" i="1"/>
  <c r="AW97" i="1"/>
  <c r="BP97" i="1"/>
  <c r="AW98" i="1"/>
  <c r="BP98" i="1"/>
  <c r="AW99" i="1"/>
  <c r="BP99" i="1"/>
  <c r="AW100" i="1"/>
  <c r="BP100" i="1"/>
  <c r="AW101" i="1"/>
  <c r="BP101" i="1"/>
  <c r="AW102" i="1"/>
  <c r="BP102" i="1"/>
  <c r="AW103" i="1"/>
  <c r="BP103" i="1"/>
  <c r="AW104" i="1"/>
  <c r="BP104" i="1"/>
  <c r="AW105" i="1"/>
  <c r="BP105" i="1"/>
  <c r="AW106" i="1"/>
  <c r="BP106" i="1"/>
  <c r="AW107" i="1"/>
  <c r="BP107" i="1"/>
  <c r="AW108" i="1"/>
  <c r="BP108" i="1"/>
  <c r="AW109" i="1"/>
  <c r="BP109" i="1"/>
  <c r="AW110" i="1"/>
  <c r="BP110" i="1"/>
  <c r="AT74" i="1"/>
  <c r="BN74" i="1"/>
  <c r="AT75" i="1"/>
  <c r="BN75" i="1"/>
  <c r="AT76" i="1"/>
  <c r="BN76" i="1"/>
  <c r="AT77" i="1"/>
  <c r="BN77" i="1"/>
  <c r="AT78" i="1"/>
  <c r="BN78" i="1"/>
  <c r="AT79" i="1"/>
  <c r="BN79" i="1"/>
  <c r="AT80" i="1"/>
  <c r="BN80" i="1"/>
  <c r="AT81" i="1"/>
  <c r="BN81" i="1"/>
  <c r="AT82" i="1"/>
  <c r="BN82" i="1"/>
  <c r="AT83" i="1"/>
  <c r="BN83" i="1"/>
  <c r="AT84" i="1"/>
  <c r="BN84" i="1"/>
  <c r="AT85" i="1"/>
  <c r="BN85" i="1"/>
  <c r="AT86" i="1"/>
  <c r="BN86" i="1"/>
  <c r="AT87" i="1"/>
  <c r="BN87" i="1"/>
  <c r="AT88" i="1"/>
  <c r="BN88" i="1"/>
  <c r="AT89" i="1"/>
  <c r="BN89" i="1"/>
  <c r="AT90" i="1"/>
  <c r="BN90" i="1"/>
  <c r="AT91" i="1"/>
  <c r="BN91" i="1"/>
  <c r="AT92" i="1"/>
  <c r="BN92" i="1"/>
  <c r="AT93" i="1"/>
  <c r="BN93" i="1"/>
  <c r="AT94" i="1"/>
  <c r="BN94" i="1"/>
  <c r="AT95" i="1"/>
  <c r="BN95" i="1"/>
  <c r="AT96" i="1"/>
  <c r="BN96" i="1"/>
  <c r="AT97" i="1"/>
  <c r="BN97" i="1"/>
  <c r="AT98" i="1"/>
  <c r="BN98" i="1"/>
  <c r="AT99" i="1"/>
  <c r="BN99" i="1"/>
  <c r="AT100" i="1"/>
  <c r="BN100" i="1"/>
  <c r="AT101" i="1"/>
  <c r="BN101" i="1"/>
  <c r="AT102" i="1"/>
  <c r="BN102" i="1"/>
  <c r="AT103" i="1"/>
  <c r="BN103" i="1"/>
  <c r="AT104" i="1"/>
  <c r="BN104" i="1"/>
  <c r="AT105" i="1"/>
  <c r="BN105" i="1"/>
  <c r="AT106" i="1"/>
  <c r="BN106" i="1"/>
  <c r="AT107" i="1"/>
  <c r="BN107" i="1"/>
  <c r="AT108" i="1"/>
  <c r="BN108" i="1"/>
  <c r="AT109" i="1"/>
  <c r="BN109" i="1"/>
  <c r="AT110" i="1"/>
  <c r="BN110" i="1"/>
  <c r="AW73" i="1"/>
  <c r="BP73" i="1"/>
  <c r="AT73" i="1"/>
  <c r="BN73" i="1"/>
  <c r="AQ73" i="1"/>
  <c r="BL73" i="1"/>
  <c r="AQ74" i="1"/>
  <c r="BL74" i="1"/>
  <c r="AQ75" i="1"/>
  <c r="BL75" i="1"/>
  <c r="AQ76" i="1"/>
  <c r="BL76" i="1"/>
  <c r="AQ77" i="1"/>
  <c r="BL77" i="1"/>
  <c r="AQ78" i="1"/>
  <c r="BL78" i="1"/>
  <c r="AQ79" i="1"/>
  <c r="BL79" i="1"/>
  <c r="AQ80" i="1"/>
  <c r="BL80" i="1"/>
  <c r="AQ81" i="1"/>
  <c r="BL81" i="1"/>
  <c r="AQ82" i="1"/>
  <c r="BL82" i="1"/>
  <c r="AQ83" i="1"/>
  <c r="BL83" i="1"/>
  <c r="AQ84" i="1"/>
  <c r="BL84" i="1"/>
  <c r="AQ85" i="1"/>
  <c r="BL85" i="1"/>
  <c r="AQ86" i="1"/>
  <c r="BL86" i="1"/>
  <c r="AQ87" i="1"/>
  <c r="BL87" i="1"/>
  <c r="AQ88" i="1"/>
  <c r="BL88" i="1"/>
  <c r="AQ89" i="1"/>
  <c r="BL89" i="1"/>
  <c r="AQ90" i="1"/>
  <c r="BL90" i="1"/>
  <c r="AQ91" i="1"/>
  <c r="BL91" i="1"/>
  <c r="AQ92" i="1"/>
  <c r="BL92" i="1"/>
  <c r="AQ93" i="1"/>
  <c r="BL93" i="1"/>
  <c r="AQ94" i="1"/>
  <c r="BL94" i="1"/>
  <c r="AQ95" i="1"/>
  <c r="BL95" i="1"/>
  <c r="AQ96" i="1"/>
  <c r="BL96" i="1"/>
  <c r="AQ97" i="1"/>
  <c r="BL97" i="1"/>
  <c r="AQ98" i="1"/>
  <c r="BL98" i="1"/>
  <c r="AQ99" i="1"/>
  <c r="BL99" i="1"/>
  <c r="AQ100" i="1"/>
  <c r="BL100" i="1"/>
  <c r="AQ101" i="1"/>
  <c r="BL101" i="1"/>
  <c r="AQ102" i="1"/>
  <c r="BL102" i="1"/>
  <c r="AQ103" i="1"/>
  <c r="BL103" i="1"/>
  <c r="AQ104" i="1"/>
  <c r="BL104" i="1"/>
  <c r="AQ105" i="1"/>
  <c r="BL105" i="1"/>
  <c r="AQ106" i="1"/>
  <c r="BL106" i="1"/>
  <c r="AQ107" i="1"/>
  <c r="BL107" i="1"/>
  <c r="AQ108" i="1"/>
  <c r="BL108" i="1"/>
  <c r="AQ109" i="1"/>
  <c r="BL109" i="1"/>
  <c r="AQ110" i="1"/>
  <c r="BL110" i="1"/>
  <c r="AP73" i="1"/>
  <c r="BK73" i="1"/>
  <c r="AP74" i="1"/>
  <c r="BK74" i="1"/>
  <c r="AP75" i="1"/>
  <c r="BK75" i="1"/>
  <c r="AP76" i="1"/>
  <c r="BK76" i="1"/>
  <c r="AP77" i="1"/>
  <c r="BK77" i="1"/>
  <c r="AP78" i="1"/>
  <c r="BK78" i="1"/>
  <c r="AP79" i="1"/>
  <c r="BK79" i="1"/>
  <c r="AP80" i="1"/>
  <c r="BK80" i="1"/>
  <c r="AP81" i="1"/>
  <c r="BK81" i="1"/>
  <c r="AP82" i="1"/>
  <c r="BK82" i="1"/>
  <c r="AP83" i="1"/>
  <c r="BK83" i="1"/>
  <c r="AP84" i="1"/>
  <c r="BK84" i="1"/>
  <c r="AP85" i="1"/>
  <c r="BK85" i="1"/>
  <c r="AP86" i="1"/>
  <c r="BK86" i="1"/>
  <c r="AP87" i="1"/>
  <c r="BK87" i="1"/>
  <c r="AP88" i="1"/>
  <c r="BK88" i="1"/>
  <c r="AP89" i="1"/>
  <c r="BK89" i="1"/>
  <c r="AP90" i="1"/>
  <c r="BK90" i="1"/>
  <c r="AP91" i="1"/>
  <c r="BK91" i="1"/>
  <c r="AP92" i="1"/>
  <c r="BK92" i="1"/>
  <c r="AP93" i="1"/>
  <c r="BK93" i="1"/>
  <c r="AP94" i="1"/>
  <c r="BK94" i="1"/>
  <c r="AP95" i="1"/>
  <c r="BK95" i="1"/>
  <c r="AP96" i="1"/>
  <c r="BK96" i="1"/>
  <c r="AP97" i="1"/>
  <c r="BK97" i="1"/>
  <c r="AP98" i="1"/>
  <c r="BK98" i="1"/>
  <c r="AP99" i="1"/>
  <c r="BK99" i="1"/>
  <c r="AP100" i="1"/>
  <c r="BK100" i="1"/>
  <c r="AP101" i="1"/>
  <c r="BK101" i="1"/>
  <c r="AP102" i="1"/>
  <c r="BK102" i="1"/>
  <c r="AP103" i="1"/>
  <c r="BK103" i="1"/>
  <c r="AP104" i="1"/>
  <c r="BK104" i="1"/>
  <c r="AP105" i="1"/>
  <c r="BK105" i="1"/>
  <c r="AP106" i="1"/>
  <c r="BK106" i="1"/>
  <c r="AP107" i="1"/>
  <c r="BK107" i="1"/>
  <c r="AP108" i="1"/>
  <c r="BK108" i="1"/>
  <c r="AP109" i="1"/>
  <c r="BK109" i="1"/>
  <c r="AP110" i="1"/>
  <c r="BK110" i="1"/>
  <c r="AN73" i="1"/>
  <c r="BI73" i="1"/>
  <c r="AN74" i="1"/>
  <c r="BI74" i="1"/>
  <c r="AN75" i="1"/>
  <c r="BI75" i="1"/>
  <c r="AN76" i="1"/>
  <c r="BI76" i="1"/>
  <c r="AN77" i="1"/>
  <c r="BI77" i="1"/>
  <c r="AN78" i="1"/>
  <c r="BI78" i="1"/>
  <c r="AN79" i="1"/>
  <c r="BI79" i="1"/>
  <c r="AN80" i="1"/>
  <c r="BI80" i="1"/>
  <c r="AN81" i="1"/>
  <c r="AN82" i="1"/>
  <c r="BI82" i="1"/>
  <c r="AN83" i="1"/>
  <c r="BI83" i="1"/>
  <c r="AN84" i="1"/>
  <c r="BI84" i="1"/>
  <c r="AN85" i="1"/>
  <c r="BI85" i="1"/>
  <c r="AN86" i="1"/>
  <c r="BI86" i="1"/>
  <c r="AN87" i="1"/>
  <c r="BI87" i="1"/>
  <c r="AN88" i="1"/>
  <c r="BI88" i="1"/>
  <c r="AN89" i="1"/>
  <c r="BI89" i="1"/>
  <c r="AN90" i="1"/>
  <c r="BI90" i="1"/>
  <c r="AN91" i="1"/>
  <c r="BI91" i="1"/>
  <c r="AN92" i="1"/>
  <c r="BI92" i="1"/>
  <c r="AN93" i="1"/>
  <c r="AN94" i="1"/>
  <c r="BI94" i="1"/>
  <c r="AN95" i="1"/>
  <c r="BI95" i="1"/>
  <c r="AN96" i="1"/>
  <c r="BI96" i="1"/>
  <c r="AN97" i="1"/>
  <c r="BI97" i="1"/>
  <c r="AN98" i="1"/>
  <c r="BI98" i="1"/>
  <c r="AN99" i="1"/>
  <c r="BI99" i="1"/>
  <c r="AN100" i="1"/>
  <c r="BI100" i="1"/>
  <c r="AN101" i="1"/>
  <c r="BI101" i="1"/>
  <c r="AN102" i="1"/>
  <c r="BI102" i="1"/>
  <c r="AN103" i="1"/>
  <c r="BI103" i="1"/>
  <c r="AN104" i="1"/>
  <c r="BI104" i="1"/>
  <c r="AN105" i="1"/>
  <c r="BI105" i="1"/>
  <c r="AN106" i="1"/>
  <c r="BI106" i="1"/>
  <c r="AN107" i="1"/>
  <c r="BI107" i="1"/>
  <c r="AN108" i="1"/>
  <c r="BI108" i="1"/>
  <c r="AN109" i="1"/>
  <c r="BI109" i="1"/>
  <c r="AN110" i="1"/>
  <c r="BI110" i="1"/>
  <c r="AM73" i="1"/>
  <c r="BH73" i="1"/>
  <c r="AM74" i="1"/>
  <c r="AM75" i="1"/>
  <c r="BH75" i="1"/>
  <c r="AM76" i="1"/>
  <c r="AM77" i="1"/>
  <c r="BH77" i="1"/>
  <c r="AM78" i="1"/>
  <c r="AM79" i="1"/>
  <c r="BH79" i="1"/>
  <c r="AM80" i="1"/>
  <c r="BH80" i="1"/>
  <c r="AM81" i="1"/>
  <c r="BH81" i="1"/>
  <c r="AM82" i="1"/>
  <c r="BH82" i="1"/>
  <c r="AM83" i="1"/>
  <c r="BH83" i="1"/>
  <c r="AM84" i="1"/>
  <c r="BH84" i="1"/>
  <c r="AM85" i="1"/>
  <c r="BH85" i="1"/>
  <c r="AM86" i="1"/>
  <c r="AM87" i="1"/>
  <c r="BH87" i="1"/>
  <c r="AM88" i="1"/>
  <c r="AM89" i="1"/>
  <c r="BH89" i="1"/>
  <c r="AM90" i="1"/>
  <c r="AM91" i="1"/>
  <c r="BH91" i="1"/>
  <c r="AM92" i="1"/>
  <c r="BH92" i="1"/>
  <c r="AM93" i="1"/>
  <c r="BH93" i="1"/>
  <c r="AM94" i="1"/>
  <c r="BH94" i="1"/>
  <c r="AM95" i="1"/>
  <c r="BH95" i="1"/>
  <c r="AM96" i="1"/>
  <c r="BH96" i="1"/>
  <c r="AM97" i="1"/>
  <c r="BH97" i="1"/>
  <c r="AM98" i="1"/>
  <c r="AM99" i="1"/>
  <c r="BH99" i="1"/>
  <c r="AM100" i="1"/>
  <c r="AM101" i="1"/>
  <c r="BH101" i="1"/>
  <c r="AM102" i="1"/>
  <c r="AM103" i="1"/>
  <c r="BH103" i="1"/>
  <c r="AM104" i="1"/>
  <c r="BH104" i="1"/>
  <c r="AM105" i="1"/>
  <c r="BH105" i="1"/>
  <c r="AM106" i="1"/>
  <c r="BH106" i="1"/>
  <c r="AM107" i="1"/>
  <c r="BH107" i="1"/>
  <c r="AM108" i="1"/>
  <c r="BH108" i="1"/>
  <c r="AM109" i="1"/>
  <c r="BH109" i="1"/>
  <c r="AM110" i="1"/>
  <c r="AO110" i="1"/>
  <c r="BJ110" i="1"/>
  <c r="AO98" i="1"/>
  <c r="BJ98" i="1"/>
  <c r="AO74" i="1"/>
  <c r="BJ74" i="1"/>
  <c r="AO86" i="1"/>
  <c r="BJ86" i="1"/>
  <c r="AO102" i="1"/>
  <c r="BJ102" i="1"/>
  <c r="AO90" i="1"/>
  <c r="BJ90" i="1"/>
  <c r="AO78" i="1"/>
  <c r="BJ78" i="1"/>
  <c r="AO87" i="1"/>
  <c r="BJ87" i="1"/>
  <c r="AO100" i="1"/>
  <c r="BJ100" i="1"/>
  <c r="AO88" i="1"/>
  <c r="BJ88" i="1"/>
  <c r="AO76" i="1"/>
  <c r="BJ76" i="1"/>
  <c r="BH86" i="1"/>
  <c r="BH90" i="1"/>
  <c r="AO73" i="1"/>
  <c r="BJ73" i="1"/>
  <c r="AO81" i="1"/>
  <c r="BJ81" i="1"/>
  <c r="BH102" i="1"/>
  <c r="BH88" i="1"/>
  <c r="BH110" i="1"/>
  <c r="BH74" i="1"/>
  <c r="AO93" i="1"/>
  <c r="BJ93" i="1"/>
  <c r="BI93" i="1"/>
  <c r="BH78" i="1"/>
  <c r="BH100" i="1"/>
  <c r="BI81" i="1"/>
  <c r="AO105" i="1"/>
  <c r="BJ105" i="1"/>
  <c r="BH76" i="1"/>
  <c r="AO95" i="1"/>
  <c r="BJ95" i="1"/>
  <c r="BH98" i="1"/>
  <c r="AO101" i="1"/>
  <c r="BJ101" i="1"/>
  <c r="AO89" i="1"/>
  <c r="BJ89" i="1"/>
  <c r="AO77" i="1"/>
  <c r="BJ77" i="1"/>
  <c r="AO104" i="1"/>
  <c r="BJ104" i="1"/>
  <c r="AO92" i="1"/>
  <c r="BJ92" i="1"/>
  <c r="AO80" i="1"/>
  <c r="BJ80" i="1"/>
  <c r="AO99" i="1"/>
  <c r="BJ99" i="1"/>
  <c r="AO75" i="1"/>
  <c r="BJ75" i="1"/>
  <c r="AO109" i="1"/>
  <c r="BJ109" i="1"/>
  <c r="AO97" i="1"/>
  <c r="BJ97" i="1"/>
  <c r="AO85" i="1"/>
  <c r="BJ85" i="1"/>
  <c r="AO108" i="1"/>
  <c r="BJ108" i="1"/>
  <c r="AO96" i="1"/>
  <c r="BJ96" i="1"/>
  <c r="AO84" i="1"/>
  <c r="BJ84" i="1"/>
  <c r="AO107" i="1"/>
  <c r="BJ107" i="1"/>
  <c r="AO83" i="1"/>
  <c r="BJ83" i="1"/>
  <c r="AO103" i="1"/>
  <c r="BJ103" i="1"/>
  <c r="AO91" i="1"/>
  <c r="BJ91" i="1"/>
  <c r="AO79" i="1"/>
  <c r="BJ79" i="1"/>
  <c r="AO106" i="1"/>
  <c r="BJ106" i="1"/>
  <c r="AO94" i="1"/>
  <c r="BJ94" i="1"/>
  <c r="AO82" i="1"/>
  <c r="BJ82" i="1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1" i="1"/>
  <c r="AI92" i="1"/>
  <c r="AI93" i="1"/>
  <c r="AI94" i="1"/>
  <c r="AI95" i="1"/>
  <c r="AI96" i="1"/>
  <c r="AI99" i="1"/>
  <c r="AC99" i="1"/>
  <c r="AI100" i="1"/>
  <c r="AC100" i="1"/>
  <c r="AI101" i="1"/>
  <c r="AC101" i="1"/>
  <c r="AI102" i="1"/>
  <c r="AC102" i="1"/>
  <c r="AI103" i="1"/>
  <c r="AC103" i="1"/>
  <c r="AI104" i="1"/>
  <c r="AC104" i="1"/>
  <c r="AI105" i="1"/>
  <c r="AC105" i="1"/>
  <c r="AI106" i="1"/>
  <c r="AC106" i="1"/>
  <c r="AI107" i="1"/>
  <c r="AC107" i="1"/>
  <c r="AI108" i="1"/>
  <c r="AC108" i="1"/>
  <c r="AI109" i="1"/>
  <c r="AC109" i="1"/>
  <c r="AI110" i="1"/>
  <c r="AC110" i="1"/>
  <c r="AI71" i="1"/>
  <c r="AC71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12" i="1"/>
  <c r="AP13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4" i="1"/>
  <c r="AP5" i="1"/>
  <c r="AP6" i="1"/>
  <c r="AP7" i="1"/>
  <c r="AP8" i="1"/>
  <c r="AP9" i="1"/>
  <c r="AP10" i="1"/>
  <c r="AP11" i="1"/>
  <c r="AP14" i="1"/>
  <c r="AP15" i="1"/>
  <c r="AN51" i="1"/>
  <c r="AN48" i="1"/>
  <c r="AN49" i="1"/>
  <c r="AN50" i="1"/>
  <c r="AN46" i="1"/>
  <c r="AN47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27" i="1"/>
  <c r="AN28" i="1"/>
  <c r="AN29" i="1"/>
  <c r="AN30" i="1"/>
  <c r="AN31" i="1"/>
  <c r="AN32" i="1"/>
  <c r="AN33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E77" i="1"/>
  <c r="AF77" i="1"/>
  <c r="AD77" i="1"/>
  <c r="AC77" i="1"/>
  <c r="AD85" i="1"/>
  <c r="BC85" i="1"/>
  <c r="AE85" i="1"/>
  <c r="BD85" i="1"/>
  <c r="AF85" i="1"/>
  <c r="BE85" i="1"/>
  <c r="AC85" i="1"/>
  <c r="AG85" i="1"/>
  <c r="AB85" i="1"/>
  <c r="AD84" i="1"/>
  <c r="BC84" i="1"/>
  <c r="AC84" i="1"/>
  <c r="BB84" i="1"/>
  <c r="AE84" i="1"/>
  <c r="BD84" i="1"/>
  <c r="AF84" i="1"/>
  <c r="BE84" i="1"/>
  <c r="AD96" i="1"/>
  <c r="AC96" i="1"/>
  <c r="BB96" i="1"/>
  <c r="AE96" i="1"/>
  <c r="BD96" i="1"/>
  <c r="AF96" i="1"/>
  <c r="BE96" i="1"/>
  <c r="AC95" i="1"/>
  <c r="AD95" i="1"/>
  <c r="BC95" i="1"/>
  <c r="AF95" i="1"/>
  <c r="BE95" i="1"/>
  <c r="AE95" i="1"/>
  <c r="BD95" i="1"/>
  <c r="AC94" i="1"/>
  <c r="BB94" i="1"/>
  <c r="AF94" i="1"/>
  <c r="BE94" i="1"/>
  <c r="AD94" i="1"/>
  <c r="BC94" i="1"/>
  <c r="AE94" i="1"/>
  <c r="BD94" i="1"/>
  <c r="AE107" i="1"/>
  <c r="BD107" i="1"/>
  <c r="AF107" i="1"/>
  <c r="BE107" i="1"/>
  <c r="AD107" i="1"/>
  <c r="BC107" i="1"/>
  <c r="AF78" i="1"/>
  <c r="BE78" i="1"/>
  <c r="AE78" i="1"/>
  <c r="BD78" i="1"/>
  <c r="AD78" i="1"/>
  <c r="BC78" i="1"/>
  <c r="AC78" i="1"/>
  <c r="BB78" i="1"/>
  <c r="AE89" i="1"/>
  <c r="BD89" i="1"/>
  <c r="AF89" i="1"/>
  <c r="BE89" i="1"/>
  <c r="AC89" i="1"/>
  <c r="AD89" i="1"/>
  <c r="BC89" i="1"/>
  <c r="AF103" i="1"/>
  <c r="BE103" i="1"/>
  <c r="AE103" i="1"/>
  <c r="BD103" i="1"/>
  <c r="AD103" i="1"/>
  <c r="BC103" i="1"/>
  <c r="AE88" i="1"/>
  <c r="BD88" i="1"/>
  <c r="AC88" i="1"/>
  <c r="BB88" i="1"/>
  <c r="AD88" i="1"/>
  <c r="BC88" i="1"/>
  <c r="AF88" i="1"/>
  <c r="BE88" i="1"/>
  <c r="AE76" i="1"/>
  <c r="BD76" i="1"/>
  <c r="AF76" i="1"/>
  <c r="BE76" i="1"/>
  <c r="AD76" i="1"/>
  <c r="BC76" i="1"/>
  <c r="AC76" i="1"/>
  <c r="AE71" i="1"/>
  <c r="AF71" i="1"/>
  <c r="AD71" i="1"/>
  <c r="AC83" i="1"/>
  <c r="AF83" i="1"/>
  <c r="BE83" i="1"/>
  <c r="AD83" i="1"/>
  <c r="BC83" i="1"/>
  <c r="AE83" i="1"/>
  <c r="BD83" i="1"/>
  <c r="AF82" i="1"/>
  <c r="BE82" i="1"/>
  <c r="AC82" i="1"/>
  <c r="AD82" i="1"/>
  <c r="BC82" i="1"/>
  <c r="AE82" i="1"/>
  <c r="BD82" i="1"/>
  <c r="AD108" i="1"/>
  <c r="BC108" i="1"/>
  <c r="AF108" i="1"/>
  <c r="BE108" i="1"/>
  <c r="AE108" i="1"/>
  <c r="BD108" i="1"/>
  <c r="AF80" i="1"/>
  <c r="BE80" i="1"/>
  <c r="AD80" i="1"/>
  <c r="BC80" i="1"/>
  <c r="AE80" i="1"/>
  <c r="BD80" i="1"/>
  <c r="AC80" i="1"/>
  <c r="AF92" i="1"/>
  <c r="BE92" i="1"/>
  <c r="AC92" i="1"/>
  <c r="AE92" i="1"/>
  <c r="BD92" i="1"/>
  <c r="AD92" i="1"/>
  <c r="BC92" i="1"/>
  <c r="BB105" i="1"/>
  <c r="AF105" i="1"/>
  <c r="BE105" i="1"/>
  <c r="AE105" i="1"/>
  <c r="BD105" i="1"/>
  <c r="AD105" i="1"/>
  <c r="BC105" i="1"/>
  <c r="AF102" i="1"/>
  <c r="BE102" i="1"/>
  <c r="AE102" i="1"/>
  <c r="BD102" i="1"/>
  <c r="AD102" i="1"/>
  <c r="BC102" i="1"/>
  <c r="AE87" i="1"/>
  <c r="BD87" i="1"/>
  <c r="AD87" i="1"/>
  <c r="BC87" i="1"/>
  <c r="AC87" i="1"/>
  <c r="BB87" i="1"/>
  <c r="AF87" i="1"/>
  <c r="BE87" i="1"/>
  <c r="AE75" i="1"/>
  <c r="BD75" i="1"/>
  <c r="AD75" i="1"/>
  <c r="BC75" i="1"/>
  <c r="AC75" i="1"/>
  <c r="BB75" i="1"/>
  <c r="AF75" i="1"/>
  <c r="BE75" i="1"/>
  <c r="AE100" i="1"/>
  <c r="BD100" i="1"/>
  <c r="AF100" i="1"/>
  <c r="BE100" i="1"/>
  <c r="AD100" i="1"/>
  <c r="BC100" i="1"/>
  <c r="BB100" i="1"/>
  <c r="AD73" i="1"/>
  <c r="BC73" i="1"/>
  <c r="AC73" i="1"/>
  <c r="BB73" i="1"/>
  <c r="AF73" i="1"/>
  <c r="BE73" i="1"/>
  <c r="AE73" i="1"/>
  <c r="BD73" i="1"/>
  <c r="AE99" i="1"/>
  <c r="BD99" i="1"/>
  <c r="AD99" i="1"/>
  <c r="BC99" i="1"/>
  <c r="AF99" i="1"/>
  <c r="BE99" i="1"/>
  <c r="AD110" i="1"/>
  <c r="BC110" i="1"/>
  <c r="AF110" i="1"/>
  <c r="BE110" i="1"/>
  <c r="AE110" i="1"/>
  <c r="BD110" i="1"/>
  <c r="AD109" i="1"/>
  <c r="BC109" i="1"/>
  <c r="BB109" i="1"/>
  <c r="AF109" i="1"/>
  <c r="BE109" i="1"/>
  <c r="AE109" i="1"/>
  <c r="BD109" i="1"/>
  <c r="AC81" i="1"/>
  <c r="AF81" i="1"/>
  <c r="BE81" i="1"/>
  <c r="AD81" i="1"/>
  <c r="BC81" i="1"/>
  <c r="AE81" i="1"/>
  <c r="BD81" i="1"/>
  <c r="AC93" i="1"/>
  <c r="BB93" i="1"/>
  <c r="AF93" i="1"/>
  <c r="BE93" i="1"/>
  <c r="AE93" i="1"/>
  <c r="BD93" i="1"/>
  <c r="AD93" i="1"/>
  <c r="BC93" i="1"/>
  <c r="BB106" i="1"/>
  <c r="AE106" i="1"/>
  <c r="BD106" i="1"/>
  <c r="AF106" i="1"/>
  <c r="BE106" i="1"/>
  <c r="AD106" i="1"/>
  <c r="BC106" i="1"/>
  <c r="AF79" i="1"/>
  <c r="BE79" i="1"/>
  <c r="AD79" i="1"/>
  <c r="BC79" i="1"/>
  <c r="AE79" i="1"/>
  <c r="BD79" i="1"/>
  <c r="AC79" i="1"/>
  <c r="BB79" i="1"/>
  <c r="AF91" i="1"/>
  <c r="BE91" i="1"/>
  <c r="AC91" i="1"/>
  <c r="BB91" i="1"/>
  <c r="AE91" i="1"/>
  <c r="BD91" i="1"/>
  <c r="AD91" i="1"/>
  <c r="BC91" i="1"/>
  <c r="AF104" i="1"/>
  <c r="BE104" i="1"/>
  <c r="AE104" i="1"/>
  <c r="BD104" i="1"/>
  <c r="AD104" i="1"/>
  <c r="BC104" i="1"/>
  <c r="AE101" i="1"/>
  <c r="BD101" i="1"/>
  <c r="AF101" i="1"/>
  <c r="BE101" i="1"/>
  <c r="AD101" i="1"/>
  <c r="BC101" i="1"/>
  <c r="BB101" i="1"/>
  <c r="AD86" i="1"/>
  <c r="BC86" i="1"/>
  <c r="AE86" i="1"/>
  <c r="BD86" i="1"/>
  <c r="AC86" i="1"/>
  <c r="AF86" i="1"/>
  <c r="BE86" i="1"/>
  <c r="AD74" i="1"/>
  <c r="BC74" i="1"/>
  <c r="AC74" i="1"/>
  <c r="BB74" i="1"/>
  <c r="AF74" i="1"/>
  <c r="BE74" i="1"/>
  <c r="AE74" i="1"/>
  <c r="BD74" i="1"/>
  <c r="AK98" i="1"/>
  <c r="BG98" i="1"/>
  <c r="BF98" i="1"/>
  <c r="AK97" i="1"/>
  <c r="BG97" i="1"/>
  <c r="BF97" i="1"/>
  <c r="AK90" i="1"/>
  <c r="BG90" i="1"/>
  <c r="BF90" i="1"/>
  <c r="BC77" i="1"/>
  <c r="BB103" i="1"/>
  <c r="BB107" i="1"/>
  <c r="BB110" i="1"/>
  <c r="BB83" i="1"/>
  <c r="BC96" i="1"/>
  <c r="BB108" i="1"/>
  <c r="BD77" i="1"/>
  <c r="BE77" i="1"/>
  <c r="AI37" i="1"/>
  <c r="AI39" i="1"/>
  <c r="AI40" i="1"/>
  <c r="AI41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C55" i="1"/>
  <c r="AI56" i="1"/>
  <c r="AC56" i="1"/>
  <c r="AI57" i="1"/>
  <c r="AC57" i="1"/>
  <c r="AI58" i="1"/>
  <c r="AC58" i="1"/>
  <c r="AI59" i="1"/>
  <c r="AC59" i="1"/>
  <c r="AI60" i="1"/>
  <c r="AC60" i="1"/>
  <c r="AI61" i="1"/>
  <c r="AC61" i="1"/>
  <c r="AI62" i="1"/>
  <c r="AC62" i="1"/>
  <c r="AI63" i="1"/>
  <c r="AC63" i="1"/>
  <c r="AI64" i="1"/>
  <c r="AC64" i="1"/>
  <c r="AI65" i="1"/>
  <c r="AC65" i="1"/>
  <c r="AI66" i="1"/>
  <c r="AC66" i="1"/>
  <c r="AI67" i="1"/>
  <c r="AC67" i="1"/>
  <c r="AI68" i="1"/>
  <c r="AC68" i="1"/>
  <c r="AI69" i="1"/>
  <c r="AC69" i="1"/>
  <c r="AI70" i="1"/>
  <c r="AC70" i="1"/>
  <c r="A27" i="5"/>
  <c r="B14" i="5"/>
  <c r="B43" i="5"/>
  <c r="A11" i="5"/>
  <c r="A10" i="5"/>
  <c r="A8" i="5"/>
  <c r="B7" i="5"/>
  <c r="B6" i="5"/>
  <c r="B35" i="5"/>
  <c r="B8" i="5"/>
  <c r="B9" i="5"/>
  <c r="B38" i="5"/>
  <c r="B10" i="5"/>
  <c r="B39" i="5"/>
  <c r="B11" i="5"/>
  <c r="B40" i="5"/>
  <c r="B12" i="5"/>
  <c r="B41" i="5"/>
  <c r="B13" i="5"/>
  <c r="B42" i="5"/>
  <c r="B15" i="5"/>
  <c r="B44" i="5"/>
  <c r="B16" i="5"/>
  <c r="B45" i="5"/>
  <c r="B17" i="5"/>
  <c r="B46" i="5"/>
  <c r="B18" i="5"/>
  <c r="B47" i="5"/>
  <c r="B19" i="5"/>
  <c r="B48" i="5"/>
  <c r="B20" i="5"/>
  <c r="B49" i="5"/>
  <c r="B21" i="5"/>
  <c r="B50" i="5"/>
  <c r="B22" i="5"/>
  <c r="B51" i="5"/>
  <c r="B23" i="5"/>
  <c r="B52" i="5"/>
  <c r="B24" i="5"/>
  <c r="B53" i="5"/>
  <c r="B25" i="5"/>
  <c r="B54" i="5"/>
  <c r="B26" i="5"/>
  <c r="B55" i="5"/>
  <c r="B27" i="5"/>
  <c r="B56" i="5"/>
  <c r="B28" i="5"/>
  <c r="B57" i="5"/>
  <c r="B5" i="5"/>
  <c r="B34" i="5"/>
  <c r="G43" i="5"/>
  <c r="H43" i="5"/>
  <c r="I43" i="5"/>
  <c r="G55" i="5"/>
  <c r="H55" i="5"/>
  <c r="I55" i="5"/>
  <c r="K12" i="5"/>
  <c r="H41" i="5"/>
  <c r="K14" i="5"/>
  <c r="K43" i="5"/>
  <c r="K24" i="5"/>
  <c r="H53" i="5"/>
  <c r="K26" i="5"/>
  <c r="K55" i="5"/>
  <c r="J6" i="5"/>
  <c r="K6" i="5"/>
  <c r="J7" i="5"/>
  <c r="J8" i="5"/>
  <c r="J9" i="5"/>
  <c r="K9" i="5"/>
  <c r="J10" i="5"/>
  <c r="K10" i="5"/>
  <c r="J11" i="5"/>
  <c r="J12" i="5"/>
  <c r="J41" i="5"/>
  <c r="J13" i="5"/>
  <c r="K13" i="5"/>
  <c r="J14" i="5"/>
  <c r="J43" i="5"/>
  <c r="J15" i="5"/>
  <c r="K15" i="5"/>
  <c r="J16" i="5"/>
  <c r="K16" i="5"/>
  <c r="J17" i="5"/>
  <c r="K17" i="5"/>
  <c r="J18" i="5"/>
  <c r="K18" i="5"/>
  <c r="J19" i="5"/>
  <c r="J20" i="5"/>
  <c r="J21" i="5"/>
  <c r="K21" i="5"/>
  <c r="J22" i="5"/>
  <c r="J23" i="5"/>
  <c r="K23" i="5"/>
  <c r="J24" i="5"/>
  <c r="J53" i="5"/>
  <c r="J25" i="5"/>
  <c r="K25" i="5"/>
  <c r="J26" i="5"/>
  <c r="J55" i="5"/>
  <c r="J27" i="5"/>
  <c r="K27" i="5"/>
  <c r="J28" i="5"/>
  <c r="K28" i="5"/>
  <c r="J29" i="5"/>
  <c r="J5" i="5"/>
  <c r="F43" i="4"/>
  <c r="G43" i="4"/>
  <c r="H43" i="4"/>
  <c r="I43" i="4"/>
  <c r="J43" i="4"/>
  <c r="F44" i="4"/>
  <c r="G44" i="4"/>
  <c r="H44" i="4"/>
  <c r="I44" i="4"/>
  <c r="J44" i="4"/>
  <c r="F45" i="4"/>
  <c r="G45" i="4"/>
  <c r="H45" i="4"/>
  <c r="I45" i="4"/>
  <c r="J45" i="4"/>
  <c r="F46" i="4"/>
  <c r="G46" i="4"/>
  <c r="H46" i="4"/>
  <c r="I46" i="4"/>
  <c r="J46" i="4"/>
  <c r="F47" i="4"/>
  <c r="G47" i="4"/>
  <c r="H47" i="4"/>
  <c r="I47" i="4"/>
  <c r="J47" i="4"/>
  <c r="F48" i="4"/>
  <c r="G48" i="4"/>
  <c r="H48" i="4"/>
  <c r="I48" i="4"/>
  <c r="J48" i="4"/>
  <c r="F49" i="4"/>
  <c r="G49" i="4"/>
  <c r="H49" i="4"/>
  <c r="I49" i="4"/>
  <c r="J49" i="4"/>
  <c r="F50" i="4"/>
  <c r="G50" i="4"/>
  <c r="H50" i="4"/>
  <c r="I50" i="4"/>
  <c r="J50" i="4"/>
  <c r="F51" i="4"/>
  <c r="G51" i="4"/>
  <c r="H51" i="4"/>
  <c r="I51" i="4"/>
  <c r="J51" i="4"/>
  <c r="F52" i="4"/>
  <c r="G52" i="4"/>
  <c r="H52" i="4"/>
  <c r="I52" i="4"/>
  <c r="J52" i="4"/>
  <c r="F53" i="4"/>
  <c r="G53" i="4"/>
  <c r="H53" i="4"/>
  <c r="I53" i="4"/>
  <c r="J53" i="4"/>
  <c r="F54" i="4"/>
  <c r="G54" i="4"/>
  <c r="H54" i="4"/>
  <c r="I54" i="4"/>
  <c r="J54" i="4"/>
  <c r="F55" i="4"/>
  <c r="G55" i="4"/>
  <c r="H55" i="4"/>
  <c r="I55" i="4"/>
  <c r="J55" i="4"/>
  <c r="F56" i="4"/>
  <c r="G56" i="4"/>
  <c r="H56" i="4"/>
  <c r="I56" i="4"/>
  <c r="J56" i="4"/>
  <c r="F57" i="4"/>
  <c r="G57" i="4"/>
  <c r="H57" i="4"/>
  <c r="I57" i="4"/>
  <c r="J57" i="4"/>
  <c r="F58" i="4"/>
  <c r="G58" i="4"/>
  <c r="H58" i="4"/>
  <c r="I58" i="4"/>
  <c r="J58" i="4"/>
  <c r="F59" i="4"/>
  <c r="G59" i="4"/>
  <c r="H59" i="4"/>
  <c r="I59" i="4"/>
  <c r="J59" i="4"/>
  <c r="F60" i="4"/>
  <c r="G60" i="4"/>
  <c r="H60" i="4"/>
  <c r="I60" i="4"/>
  <c r="J60" i="4"/>
  <c r="F61" i="4"/>
  <c r="G61" i="4"/>
  <c r="H61" i="4"/>
  <c r="I61" i="4"/>
  <c r="J61" i="4"/>
  <c r="F62" i="4"/>
  <c r="G62" i="4"/>
  <c r="H62" i="4"/>
  <c r="I62" i="4"/>
  <c r="J62" i="4"/>
  <c r="F63" i="4"/>
  <c r="G63" i="4"/>
  <c r="H63" i="4"/>
  <c r="I63" i="4"/>
  <c r="J63" i="4"/>
  <c r="F64" i="4"/>
  <c r="G64" i="4"/>
  <c r="H64" i="4"/>
  <c r="I64" i="4"/>
  <c r="J64" i="4"/>
  <c r="F65" i="4"/>
  <c r="G65" i="4"/>
  <c r="H65" i="4"/>
  <c r="I65" i="4"/>
  <c r="J65" i="4"/>
  <c r="F66" i="4"/>
  <c r="G66" i="4"/>
  <c r="H66" i="4"/>
  <c r="I66" i="4"/>
  <c r="J66" i="4"/>
  <c r="F67" i="4"/>
  <c r="G67" i="4"/>
  <c r="H67" i="4"/>
  <c r="I67" i="4"/>
  <c r="J67" i="4"/>
  <c r="F68" i="4"/>
  <c r="G68" i="4"/>
  <c r="H68" i="4"/>
  <c r="I68" i="4"/>
  <c r="J68" i="4"/>
  <c r="F69" i="4"/>
  <c r="G69" i="4"/>
  <c r="H69" i="4"/>
  <c r="I69" i="4"/>
  <c r="J69" i="4"/>
  <c r="F70" i="4"/>
  <c r="G70" i="4"/>
  <c r="H70" i="4"/>
  <c r="I70" i="4"/>
  <c r="J70" i="4"/>
  <c r="F71" i="4"/>
  <c r="G71" i="4"/>
  <c r="H71" i="4"/>
  <c r="I71" i="4"/>
  <c r="J71" i="4"/>
  <c r="F72" i="4"/>
  <c r="G72" i="4"/>
  <c r="H72" i="4"/>
  <c r="I72" i="4"/>
  <c r="J72" i="4"/>
  <c r="F73" i="4"/>
  <c r="G73" i="4"/>
  <c r="H73" i="4"/>
  <c r="I73" i="4"/>
  <c r="J73" i="4"/>
  <c r="F74" i="4"/>
  <c r="G74" i="4"/>
  <c r="H74" i="4"/>
  <c r="I74" i="4"/>
  <c r="J74" i="4"/>
  <c r="F75" i="4"/>
  <c r="G75" i="4"/>
  <c r="H75" i="4"/>
  <c r="I75" i="4"/>
  <c r="J75" i="4"/>
  <c r="F76" i="4"/>
  <c r="G76" i="4"/>
  <c r="H76" i="4"/>
  <c r="I76" i="4"/>
  <c r="J76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5" i="4"/>
  <c r="AG76" i="1"/>
  <c r="AB76" i="1"/>
  <c r="AG102" i="1"/>
  <c r="AB102" i="1"/>
  <c r="AG80" i="1"/>
  <c r="AB80" i="1"/>
  <c r="BB80" i="1"/>
  <c r="AG77" i="1"/>
  <c r="AB77" i="1"/>
  <c r="BB77" i="1"/>
  <c r="AG101" i="1"/>
  <c r="AG99" i="1"/>
  <c r="AB99" i="1"/>
  <c r="AG92" i="1"/>
  <c r="AB92" i="1"/>
  <c r="AD48" i="1"/>
  <c r="AC48" i="1"/>
  <c r="AE48" i="1"/>
  <c r="AF48" i="1"/>
  <c r="AC47" i="1"/>
  <c r="AD47" i="1"/>
  <c r="AF47" i="1"/>
  <c r="AE47" i="1"/>
  <c r="AG104" i="1"/>
  <c r="AG71" i="1"/>
  <c r="AB71" i="1"/>
  <c r="AE70" i="1"/>
  <c r="AF70" i="1"/>
  <c r="AD70" i="1"/>
  <c r="AG82" i="1"/>
  <c r="AC45" i="1"/>
  <c r="AF45" i="1"/>
  <c r="AD45" i="1"/>
  <c r="AE45" i="1"/>
  <c r="AF56" i="1"/>
  <c r="AE56" i="1"/>
  <c r="AD56" i="1"/>
  <c r="BB85" i="1"/>
  <c r="AF43" i="1"/>
  <c r="AC43" i="1"/>
  <c r="AE43" i="1"/>
  <c r="AD43" i="1"/>
  <c r="AG89" i="1"/>
  <c r="AF66" i="1"/>
  <c r="AE66" i="1"/>
  <c r="AD66" i="1"/>
  <c r="BF85" i="1"/>
  <c r="AE40" i="1"/>
  <c r="AC40" i="1"/>
  <c r="AD40" i="1"/>
  <c r="AF40" i="1"/>
  <c r="BF76" i="1"/>
  <c r="AE39" i="1"/>
  <c r="AD39" i="1"/>
  <c r="AC39" i="1"/>
  <c r="AF39" i="1"/>
  <c r="BB99" i="1"/>
  <c r="BB92" i="1"/>
  <c r="AG73" i="1"/>
  <c r="AG83" i="1"/>
  <c r="AG88" i="1"/>
  <c r="AE63" i="1"/>
  <c r="AD63" i="1"/>
  <c r="AF63" i="1"/>
  <c r="AE51" i="1"/>
  <c r="AD51" i="1"/>
  <c r="AF51" i="1"/>
  <c r="AC51" i="1"/>
  <c r="AD37" i="1"/>
  <c r="AF37" i="1"/>
  <c r="AE37" i="1"/>
  <c r="AC37" i="1"/>
  <c r="BB82" i="1"/>
  <c r="AK76" i="1"/>
  <c r="BG76" i="1"/>
  <c r="BB104" i="1"/>
  <c r="AG87" i="1"/>
  <c r="AG78" i="1"/>
  <c r="AG94" i="1"/>
  <c r="AD60" i="1"/>
  <c r="AF60" i="1"/>
  <c r="AE60" i="1"/>
  <c r="AF58" i="1"/>
  <c r="AE58" i="1"/>
  <c r="AD58" i="1"/>
  <c r="AG95" i="1"/>
  <c r="AF57" i="1"/>
  <c r="AE57" i="1"/>
  <c r="AD57" i="1"/>
  <c r="AF68" i="1"/>
  <c r="AE68" i="1"/>
  <c r="AD68" i="1"/>
  <c r="BB95" i="1"/>
  <c r="AF67" i="1"/>
  <c r="AD67" i="1"/>
  <c r="AE67" i="1"/>
  <c r="AE41" i="1"/>
  <c r="AC41" i="1"/>
  <c r="AD41" i="1"/>
  <c r="AF41" i="1"/>
  <c r="BB89" i="1"/>
  <c r="AG96" i="1"/>
  <c r="AE53" i="1"/>
  <c r="AF53" i="1"/>
  <c r="AD53" i="1"/>
  <c r="AC53" i="1"/>
  <c r="AG91" i="1"/>
  <c r="AG109" i="1"/>
  <c r="BF80" i="1"/>
  <c r="AE64" i="1"/>
  <c r="AD64" i="1"/>
  <c r="AF64" i="1"/>
  <c r="AG105" i="1"/>
  <c r="AD62" i="1"/>
  <c r="AF62" i="1"/>
  <c r="AE62" i="1"/>
  <c r="AD50" i="1"/>
  <c r="AE50" i="1"/>
  <c r="AF50" i="1"/>
  <c r="AC50" i="1"/>
  <c r="BB76" i="1"/>
  <c r="AK80" i="1"/>
  <c r="BG80" i="1"/>
  <c r="AG79" i="1"/>
  <c r="AG93" i="1"/>
  <c r="AG108" i="1"/>
  <c r="AF59" i="1"/>
  <c r="AE59" i="1"/>
  <c r="AD59" i="1"/>
  <c r="AC46" i="1"/>
  <c r="AF46" i="1"/>
  <c r="AD46" i="1"/>
  <c r="AE46" i="1"/>
  <c r="AF69" i="1"/>
  <c r="AE69" i="1"/>
  <c r="AD69" i="1"/>
  <c r="AG86" i="1"/>
  <c r="AG81" i="1"/>
  <c r="AF44" i="1"/>
  <c r="AD44" i="1"/>
  <c r="AC44" i="1"/>
  <c r="AE44" i="1"/>
  <c r="AG75" i="1"/>
  <c r="AF55" i="1"/>
  <c r="AE55" i="1"/>
  <c r="AD55" i="1"/>
  <c r="AK85" i="1"/>
  <c r="BG85" i="1"/>
  <c r="BF102" i="1"/>
  <c r="AG106" i="1"/>
  <c r="AG107" i="1"/>
  <c r="AF54" i="1"/>
  <c r="AE54" i="1"/>
  <c r="AC54" i="1"/>
  <c r="AD54" i="1"/>
  <c r="AK102" i="1"/>
  <c r="BG102" i="1"/>
  <c r="AE65" i="1"/>
  <c r="AD65" i="1"/>
  <c r="AF65" i="1"/>
  <c r="AE52" i="1"/>
  <c r="AF52" i="1"/>
  <c r="AD52" i="1"/>
  <c r="AC52" i="1"/>
  <c r="BB102" i="1"/>
  <c r="AD61" i="1"/>
  <c r="AF61" i="1"/>
  <c r="AE61" i="1"/>
  <c r="AD49" i="1"/>
  <c r="AE49" i="1"/>
  <c r="AF49" i="1"/>
  <c r="AC49" i="1"/>
  <c r="BB86" i="1"/>
  <c r="BB81" i="1"/>
  <c r="AG74" i="1"/>
  <c r="BF101" i="1"/>
  <c r="AG110" i="1"/>
  <c r="AG100" i="1"/>
  <c r="AG103" i="1"/>
  <c r="AG84" i="1"/>
  <c r="AR98" i="1"/>
  <c r="BM98" i="1"/>
  <c r="AL98" i="1"/>
  <c r="AL97" i="1"/>
  <c r="AL90" i="1"/>
  <c r="AR90" i="1"/>
  <c r="BM90" i="1"/>
  <c r="AR97" i="1"/>
  <c r="BM97" i="1"/>
  <c r="A5" i="5"/>
  <c r="A15" i="5"/>
  <c r="A25" i="5"/>
  <c r="B36" i="5"/>
  <c r="A18" i="5"/>
  <c r="K35" i="5"/>
  <c r="H35" i="5"/>
  <c r="I35" i="5"/>
  <c r="G35" i="5"/>
  <c r="J35" i="5"/>
  <c r="I57" i="5"/>
  <c r="G57" i="5"/>
  <c r="J57" i="5"/>
  <c r="H57" i="5"/>
  <c r="K57" i="5"/>
  <c r="J49" i="5"/>
  <c r="G46" i="5"/>
  <c r="H46" i="5"/>
  <c r="I46" i="5"/>
  <c r="K46" i="5"/>
  <c r="G56" i="5"/>
  <c r="H56" i="5"/>
  <c r="I56" i="5"/>
  <c r="J56" i="5"/>
  <c r="K56" i="5"/>
  <c r="I42" i="5"/>
  <c r="J42" i="5"/>
  <c r="G42" i="5"/>
  <c r="H42" i="5"/>
  <c r="K42" i="5"/>
  <c r="J48" i="5"/>
  <c r="G47" i="5"/>
  <c r="K47" i="5"/>
  <c r="H47" i="5"/>
  <c r="I47" i="5"/>
  <c r="J47" i="5"/>
  <c r="J58" i="5"/>
  <c r="I45" i="5"/>
  <c r="G45" i="5"/>
  <c r="J45" i="5"/>
  <c r="K45" i="5"/>
  <c r="H45" i="5"/>
  <c r="K44" i="5"/>
  <c r="G44" i="5"/>
  <c r="H44" i="5"/>
  <c r="I44" i="5"/>
  <c r="J44" i="5"/>
  <c r="I54" i="5"/>
  <c r="G54" i="5"/>
  <c r="H54" i="5"/>
  <c r="J54" i="5"/>
  <c r="K54" i="5"/>
  <c r="G52" i="5"/>
  <c r="H52" i="5"/>
  <c r="K52" i="5"/>
  <c r="I52" i="5"/>
  <c r="G39" i="5"/>
  <c r="H39" i="5"/>
  <c r="I39" i="5"/>
  <c r="K39" i="5"/>
  <c r="K50" i="5"/>
  <c r="H50" i="5"/>
  <c r="J50" i="5"/>
  <c r="G50" i="5"/>
  <c r="I50" i="5"/>
  <c r="K38" i="5"/>
  <c r="H38" i="5"/>
  <c r="I38" i="5"/>
  <c r="J38" i="5"/>
  <c r="G38" i="5"/>
  <c r="K11" i="5"/>
  <c r="K22" i="5"/>
  <c r="J52" i="5"/>
  <c r="K8" i="5"/>
  <c r="K5" i="5"/>
  <c r="K29" i="5"/>
  <c r="J39" i="5"/>
  <c r="K53" i="5"/>
  <c r="J46" i="5"/>
  <c r="K41" i="5"/>
  <c r="G53" i="5"/>
  <c r="G41" i="5"/>
  <c r="K20" i="5"/>
  <c r="K7" i="5"/>
  <c r="B37" i="5"/>
  <c r="I41" i="5"/>
  <c r="K19" i="5"/>
  <c r="I53" i="5"/>
  <c r="AG63" i="1"/>
  <c r="AB63" i="1"/>
  <c r="AR85" i="1"/>
  <c r="BM85" i="1"/>
  <c r="AK77" i="1"/>
  <c r="AG52" i="1"/>
  <c r="AB52" i="1"/>
  <c r="BF77" i="1"/>
  <c r="AG68" i="1"/>
  <c r="AB68" i="1"/>
  <c r="AG62" i="1"/>
  <c r="AB62" i="1"/>
  <c r="AK99" i="1"/>
  <c r="AR99" i="1"/>
  <c r="AG50" i="1"/>
  <c r="AB50" i="1"/>
  <c r="AG53" i="1"/>
  <c r="AB53" i="1"/>
  <c r="AL102" i="1"/>
  <c r="AG61" i="1"/>
  <c r="AB61" i="1"/>
  <c r="AX98" i="1"/>
  <c r="AY98" i="1"/>
  <c r="AG69" i="1"/>
  <c r="AB69" i="1"/>
  <c r="AG66" i="1"/>
  <c r="AB66" i="1"/>
  <c r="BF99" i="1"/>
  <c r="AU98" i="1"/>
  <c r="AV98" i="1"/>
  <c r="AG49" i="1"/>
  <c r="AB49" i="1"/>
  <c r="AR76" i="1"/>
  <c r="BM76" i="1"/>
  <c r="AB101" i="1"/>
  <c r="AK101" i="1"/>
  <c r="AG55" i="1"/>
  <c r="AB55" i="1"/>
  <c r="AK92" i="1"/>
  <c r="BG92" i="1"/>
  <c r="AG51" i="1"/>
  <c r="AB51" i="1"/>
  <c r="AL76" i="1"/>
  <c r="AL85" i="1"/>
  <c r="BF92" i="1"/>
  <c r="AB84" i="1"/>
  <c r="BF84" i="1"/>
  <c r="AK84" i="1"/>
  <c r="AB73" i="1"/>
  <c r="BF73" i="1"/>
  <c r="AK73" i="1"/>
  <c r="AB103" i="1"/>
  <c r="BF103" i="1"/>
  <c r="AK103" i="1"/>
  <c r="AG64" i="1"/>
  <c r="AB64" i="1"/>
  <c r="AB75" i="1"/>
  <c r="AK75" i="1"/>
  <c r="BF75" i="1"/>
  <c r="AG56" i="1"/>
  <c r="AB56" i="1"/>
  <c r="AG54" i="1"/>
  <c r="AB54" i="1"/>
  <c r="AG39" i="1"/>
  <c r="AB39" i="1"/>
  <c r="AG46" i="1"/>
  <c r="AB46" i="1"/>
  <c r="AB109" i="1"/>
  <c r="BF109" i="1"/>
  <c r="AK109" i="1"/>
  <c r="AR92" i="1"/>
  <c r="BM92" i="1"/>
  <c r="AG57" i="1"/>
  <c r="AB57" i="1"/>
  <c r="AB81" i="1"/>
  <c r="BF81" i="1"/>
  <c r="AK81" i="1"/>
  <c r="AG67" i="1"/>
  <c r="AB67" i="1"/>
  <c r="AB95" i="1"/>
  <c r="BF95" i="1"/>
  <c r="AK95" i="1"/>
  <c r="AG47" i="1"/>
  <c r="AB47" i="1"/>
  <c r="AG43" i="1"/>
  <c r="AB43" i="1"/>
  <c r="AG45" i="1"/>
  <c r="AB45" i="1"/>
  <c r="AB82" i="1"/>
  <c r="AK82" i="1"/>
  <c r="BF82" i="1"/>
  <c r="AG65" i="1"/>
  <c r="AB65" i="1"/>
  <c r="AB108" i="1"/>
  <c r="AK108" i="1"/>
  <c r="BF108" i="1"/>
  <c r="AG58" i="1"/>
  <c r="AB58" i="1"/>
  <c r="AG37" i="1"/>
  <c r="AB37" i="1"/>
  <c r="AB88" i="1"/>
  <c r="AK88" i="1"/>
  <c r="BF88" i="1"/>
  <c r="AG40" i="1"/>
  <c r="AB40" i="1"/>
  <c r="AG48" i="1"/>
  <c r="AB48" i="1"/>
  <c r="AB79" i="1"/>
  <c r="BF79" i="1"/>
  <c r="AK79" i="1"/>
  <c r="AG70" i="1"/>
  <c r="AB70" i="1"/>
  <c r="AB100" i="1"/>
  <c r="AK100" i="1"/>
  <c r="BF100" i="1"/>
  <c r="AG60" i="1"/>
  <c r="AB60" i="1"/>
  <c r="AB110" i="1"/>
  <c r="BF110" i="1"/>
  <c r="AK110" i="1"/>
  <c r="AB104" i="1"/>
  <c r="AK104" i="1"/>
  <c r="BF104" i="1"/>
  <c r="AG44" i="1"/>
  <c r="AB44" i="1"/>
  <c r="AG41" i="1"/>
  <c r="AB41" i="1"/>
  <c r="AB94" i="1"/>
  <c r="BF94" i="1"/>
  <c r="AK94" i="1"/>
  <c r="AR102" i="1"/>
  <c r="BM102" i="1"/>
  <c r="AB74" i="1"/>
  <c r="AK74" i="1"/>
  <c r="BF74" i="1"/>
  <c r="AB78" i="1"/>
  <c r="BF78" i="1"/>
  <c r="AK78" i="1"/>
  <c r="AB89" i="1"/>
  <c r="AK89" i="1"/>
  <c r="BF89" i="1"/>
  <c r="AB107" i="1"/>
  <c r="BF107" i="1"/>
  <c r="AK107" i="1"/>
  <c r="AB91" i="1"/>
  <c r="AK91" i="1"/>
  <c r="BF91" i="1"/>
  <c r="AB87" i="1"/>
  <c r="AK87" i="1"/>
  <c r="BF87" i="1"/>
  <c r="AB106" i="1"/>
  <c r="BF106" i="1"/>
  <c r="AK106" i="1"/>
  <c r="AB86" i="1"/>
  <c r="BF86" i="1"/>
  <c r="AK86" i="1"/>
  <c r="AR80" i="1"/>
  <c r="BM80" i="1"/>
  <c r="AG59" i="1"/>
  <c r="AB59" i="1"/>
  <c r="AL80" i="1"/>
  <c r="AS98" i="1"/>
  <c r="AB93" i="1"/>
  <c r="BF93" i="1"/>
  <c r="AK93" i="1"/>
  <c r="AB105" i="1"/>
  <c r="AK105" i="1"/>
  <c r="BF105" i="1"/>
  <c r="AB96" i="1"/>
  <c r="BF96" i="1"/>
  <c r="AK96" i="1"/>
  <c r="AB83" i="1"/>
  <c r="AK83" i="1"/>
  <c r="BF83" i="1"/>
  <c r="AX97" i="1"/>
  <c r="AY97" i="1"/>
  <c r="AX90" i="1"/>
  <c r="AY90" i="1"/>
  <c r="AS97" i="1"/>
  <c r="AU97" i="1"/>
  <c r="AV97" i="1"/>
  <c r="AU90" i="1"/>
  <c r="AS90" i="1"/>
  <c r="AX85" i="1"/>
  <c r="AU85" i="1"/>
  <c r="AS85" i="1"/>
  <c r="G51" i="5"/>
  <c r="H51" i="5"/>
  <c r="I51" i="5"/>
  <c r="K51" i="5"/>
  <c r="G49" i="5"/>
  <c r="H49" i="5"/>
  <c r="I49" i="5"/>
  <c r="K49" i="5"/>
  <c r="G34" i="5"/>
  <c r="H34" i="5"/>
  <c r="I34" i="5"/>
  <c r="K34" i="5"/>
  <c r="K37" i="5"/>
  <c r="G37" i="5"/>
  <c r="H37" i="5"/>
  <c r="I37" i="5"/>
  <c r="J34" i="5"/>
  <c r="I36" i="5"/>
  <c r="K36" i="5"/>
  <c r="G36" i="5"/>
  <c r="H36" i="5"/>
  <c r="G40" i="5"/>
  <c r="K40" i="5"/>
  <c r="H40" i="5"/>
  <c r="I40" i="5"/>
  <c r="J40" i="5"/>
  <c r="J51" i="5"/>
  <c r="G58" i="5"/>
  <c r="H58" i="5"/>
  <c r="I58" i="5"/>
  <c r="K58" i="5"/>
  <c r="I48" i="5"/>
  <c r="H48" i="5"/>
  <c r="K48" i="5"/>
  <c r="G48" i="5"/>
  <c r="J36" i="5"/>
  <c r="J37" i="5"/>
  <c r="BG99" i="1"/>
  <c r="AL99" i="1"/>
  <c r="BG77" i="1"/>
  <c r="AR77" i="1"/>
  <c r="AL77" i="1"/>
  <c r="BQ98" i="1"/>
  <c r="AU76" i="1"/>
  <c r="AV76" i="1"/>
  <c r="AX76" i="1"/>
  <c r="AY76" i="1"/>
  <c r="AS76" i="1"/>
  <c r="BO98" i="1"/>
  <c r="BG101" i="1"/>
  <c r="AL101" i="1"/>
  <c r="AR101" i="1"/>
  <c r="AS102" i="1"/>
  <c r="AL92" i="1"/>
  <c r="BG75" i="1"/>
  <c r="AR75" i="1"/>
  <c r="AL75" i="1"/>
  <c r="BG74" i="1"/>
  <c r="AL74" i="1"/>
  <c r="AR74" i="1"/>
  <c r="BG109" i="1"/>
  <c r="AR109" i="1"/>
  <c r="AL109" i="1"/>
  <c r="AX102" i="1"/>
  <c r="AY102" i="1"/>
  <c r="AX80" i="1"/>
  <c r="AY80" i="1"/>
  <c r="BG84" i="1"/>
  <c r="AL84" i="1"/>
  <c r="AR84" i="1"/>
  <c r="BG110" i="1"/>
  <c r="AR110" i="1"/>
  <c r="AL110" i="1"/>
  <c r="BM99" i="1"/>
  <c r="AX99" i="1"/>
  <c r="AS99" i="1"/>
  <c r="AU99" i="1"/>
  <c r="BG107" i="1"/>
  <c r="AR107" i="1"/>
  <c r="AL107" i="1"/>
  <c r="AX92" i="1"/>
  <c r="BG105" i="1"/>
  <c r="AL105" i="1"/>
  <c r="AR105" i="1"/>
  <c r="BG100" i="1"/>
  <c r="AL100" i="1"/>
  <c r="AR100" i="1"/>
  <c r="AS92" i="1"/>
  <c r="AS80" i="1"/>
  <c r="BG93" i="1"/>
  <c r="AL93" i="1"/>
  <c r="AR93" i="1"/>
  <c r="BG89" i="1"/>
  <c r="AL89" i="1"/>
  <c r="AR89" i="1"/>
  <c r="BG95" i="1"/>
  <c r="AR95" i="1"/>
  <c r="AL95" i="1"/>
  <c r="BG79" i="1"/>
  <c r="AL79" i="1"/>
  <c r="AR79" i="1"/>
  <c r="BG78" i="1"/>
  <c r="AL78" i="1"/>
  <c r="AR78" i="1"/>
  <c r="BG87" i="1"/>
  <c r="AL87" i="1"/>
  <c r="AR87" i="1"/>
  <c r="BG104" i="1"/>
  <c r="AR104" i="1"/>
  <c r="AL104" i="1"/>
  <c r="BG108" i="1"/>
  <c r="AR108" i="1"/>
  <c r="AL108" i="1"/>
  <c r="BG96" i="1"/>
  <c r="AR96" i="1"/>
  <c r="AL96" i="1"/>
  <c r="BG91" i="1"/>
  <c r="AR91" i="1"/>
  <c r="AL91" i="1"/>
  <c r="BG86" i="1"/>
  <c r="AR86" i="1"/>
  <c r="AL86" i="1"/>
  <c r="BG82" i="1"/>
  <c r="AR82" i="1"/>
  <c r="AL82" i="1"/>
  <c r="BG103" i="1"/>
  <c r="AL103" i="1"/>
  <c r="AR103" i="1"/>
  <c r="BG94" i="1"/>
  <c r="AL94" i="1"/>
  <c r="AR94" i="1"/>
  <c r="AU80" i="1"/>
  <c r="AV80" i="1"/>
  <c r="BG106" i="1"/>
  <c r="AR106" i="1"/>
  <c r="AL106" i="1"/>
  <c r="BG88" i="1"/>
  <c r="AL88" i="1"/>
  <c r="AR88" i="1"/>
  <c r="AU92" i="1"/>
  <c r="BO92" i="1"/>
  <c r="BG73" i="1"/>
  <c r="AR73" i="1"/>
  <c r="AL73" i="1"/>
  <c r="AU102" i="1"/>
  <c r="BO102" i="1"/>
  <c r="BG83" i="1"/>
  <c r="AR83" i="1"/>
  <c r="AL83" i="1"/>
  <c r="BG81" i="1"/>
  <c r="AL81" i="1"/>
  <c r="AR81" i="1"/>
  <c r="BQ97" i="1"/>
  <c r="BO97" i="1"/>
  <c r="BQ90" i="1"/>
  <c r="AY92" i="1"/>
  <c r="BQ92" i="1"/>
  <c r="AV85" i="1"/>
  <c r="BO85" i="1"/>
  <c r="BO80" i="1"/>
  <c r="AY85" i="1"/>
  <c r="BQ85" i="1"/>
  <c r="AV90" i="1"/>
  <c r="BO90" i="1"/>
  <c r="BO76" i="1"/>
  <c r="BM77" i="1"/>
  <c r="AS77" i="1"/>
  <c r="AX77" i="1"/>
  <c r="AU77" i="1"/>
  <c r="BQ76" i="1"/>
  <c r="BM101" i="1"/>
  <c r="AU101" i="1"/>
  <c r="AX101" i="1"/>
  <c r="AS101" i="1"/>
  <c r="AV102" i="1"/>
  <c r="BM78" i="1"/>
  <c r="AX78" i="1"/>
  <c r="AS78" i="1"/>
  <c r="AU78" i="1"/>
  <c r="BM107" i="1"/>
  <c r="AU107" i="1"/>
  <c r="AX107" i="1"/>
  <c r="AS107" i="1"/>
  <c r="BM88" i="1"/>
  <c r="AS88" i="1"/>
  <c r="AX88" i="1"/>
  <c r="AU88" i="1"/>
  <c r="BM81" i="1"/>
  <c r="AU81" i="1"/>
  <c r="AS81" i="1"/>
  <c r="AX81" i="1"/>
  <c r="BM79" i="1"/>
  <c r="AU79" i="1"/>
  <c r="AS79" i="1"/>
  <c r="AX79" i="1"/>
  <c r="BM108" i="1"/>
  <c r="AS108" i="1"/>
  <c r="AX108" i="1"/>
  <c r="AU108" i="1"/>
  <c r="BM100" i="1"/>
  <c r="AS100" i="1"/>
  <c r="AU100" i="1"/>
  <c r="AX100" i="1"/>
  <c r="AV92" i="1"/>
  <c r="BM106" i="1"/>
  <c r="AU106" i="1"/>
  <c r="AX106" i="1"/>
  <c r="AS106" i="1"/>
  <c r="BM86" i="1"/>
  <c r="AX86" i="1"/>
  <c r="AU86" i="1"/>
  <c r="AS86" i="1"/>
  <c r="BM94" i="1"/>
  <c r="AX94" i="1"/>
  <c r="AU94" i="1"/>
  <c r="AS94" i="1"/>
  <c r="BM87" i="1"/>
  <c r="AS87" i="1"/>
  <c r="AU87" i="1"/>
  <c r="AX87" i="1"/>
  <c r="BM89" i="1"/>
  <c r="AX89" i="1"/>
  <c r="AU89" i="1"/>
  <c r="AS89" i="1"/>
  <c r="BM103" i="1"/>
  <c r="AU103" i="1"/>
  <c r="AX103" i="1"/>
  <c r="AS103" i="1"/>
  <c r="BM96" i="1"/>
  <c r="AX96" i="1"/>
  <c r="AU96" i="1"/>
  <c r="AS96" i="1"/>
  <c r="BO99" i="1"/>
  <c r="AV99" i="1"/>
  <c r="BM82" i="1"/>
  <c r="AX82" i="1"/>
  <c r="AS82" i="1"/>
  <c r="AU82" i="1"/>
  <c r="BQ99" i="1"/>
  <c r="AY99" i="1"/>
  <c r="BM83" i="1"/>
  <c r="AU83" i="1"/>
  <c r="AS83" i="1"/>
  <c r="AX83" i="1"/>
  <c r="BM104" i="1"/>
  <c r="AU104" i="1"/>
  <c r="AS104" i="1"/>
  <c r="AX104" i="1"/>
  <c r="BM110" i="1"/>
  <c r="AX110" i="1"/>
  <c r="AU110" i="1"/>
  <c r="AS110" i="1"/>
  <c r="BQ102" i="1"/>
  <c r="BM91" i="1"/>
  <c r="AU91" i="1"/>
  <c r="AX91" i="1"/>
  <c r="AS91" i="1"/>
  <c r="BM84" i="1"/>
  <c r="AU84" i="1"/>
  <c r="AX84" i="1"/>
  <c r="AS84" i="1"/>
  <c r="BM75" i="1"/>
  <c r="AX75" i="1"/>
  <c r="AU75" i="1"/>
  <c r="AS75" i="1"/>
  <c r="BM93" i="1"/>
  <c r="AS93" i="1"/>
  <c r="AX93" i="1"/>
  <c r="AU93" i="1"/>
  <c r="BQ80" i="1"/>
  <c r="BM109" i="1"/>
  <c r="AU109" i="1"/>
  <c r="AS109" i="1"/>
  <c r="AX109" i="1"/>
  <c r="BM74" i="1"/>
  <c r="AU74" i="1"/>
  <c r="AX74" i="1"/>
  <c r="AS74" i="1"/>
  <c r="BM95" i="1"/>
  <c r="AU95" i="1"/>
  <c r="AX95" i="1"/>
  <c r="AS95" i="1"/>
  <c r="BM105" i="1"/>
  <c r="AX105" i="1"/>
  <c r="AU105" i="1"/>
  <c r="AS105" i="1"/>
  <c r="BM73" i="1"/>
  <c r="AS73" i="1"/>
  <c r="AX73" i="1"/>
  <c r="AU73" i="1"/>
  <c r="AV77" i="1"/>
  <c r="BO77" i="1"/>
  <c r="AY77" i="1"/>
  <c r="BQ77" i="1"/>
  <c r="BQ101" i="1"/>
  <c r="AY101" i="1"/>
  <c r="AV101" i="1"/>
  <c r="BO101" i="1"/>
  <c r="AV88" i="1"/>
  <c r="BO88" i="1"/>
  <c r="AY108" i="1"/>
  <c r="BQ108" i="1"/>
  <c r="AY95" i="1"/>
  <c r="BQ95" i="1"/>
  <c r="AY91" i="1"/>
  <c r="BQ91" i="1"/>
  <c r="BQ96" i="1"/>
  <c r="AY96" i="1"/>
  <c r="AV106" i="1"/>
  <c r="BO106" i="1"/>
  <c r="BQ74" i="1"/>
  <c r="AY74" i="1"/>
  <c r="AV74" i="1"/>
  <c r="BO74" i="1"/>
  <c r="AY94" i="1"/>
  <c r="BQ94" i="1"/>
  <c r="AV84" i="1"/>
  <c r="BO84" i="1"/>
  <c r="BO89" i="1"/>
  <c r="AV89" i="1"/>
  <c r="BO108" i="1"/>
  <c r="AV108" i="1"/>
  <c r="AY88" i="1"/>
  <c r="BQ88" i="1"/>
  <c r="BO95" i="1"/>
  <c r="AV95" i="1"/>
  <c r="AY83" i="1"/>
  <c r="BQ83" i="1"/>
  <c r="AY87" i="1"/>
  <c r="BQ87" i="1"/>
  <c r="BO91" i="1"/>
  <c r="AV91" i="1"/>
  <c r="BO87" i="1"/>
  <c r="AV87" i="1"/>
  <c r="AY106" i="1"/>
  <c r="BQ106" i="1"/>
  <c r="AV73" i="1"/>
  <c r="BO73" i="1"/>
  <c r="BO107" i="1"/>
  <c r="AV107" i="1"/>
  <c r="BO75" i="1"/>
  <c r="AV75" i="1"/>
  <c r="AV110" i="1"/>
  <c r="BO110" i="1"/>
  <c r="BQ103" i="1"/>
  <c r="AY103" i="1"/>
  <c r="AY100" i="1"/>
  <c r="BQ100" i="1"/>
  <c r="BO78" i="1"/>
  <c r="AV78" i="1"/>
  <c r="BQ110" i="1"/>
  <c r="AY110" i="1"/>
  <c r="BO82" i="1"/>
  <c r="AV82" i="1"/>
  <c r="BO103" i="1"/>
  <c r="AV103" i="1"/>
  <c r="AV100" i="1"/>
  <c r="BO100" i="1"/>
  <c r="BO105" i="1"/>
  <c r="AV105" i="1"/>
  <c r="AV81" i="1"/>
  <c r="BO81" i="1"/>
  <c r="AY78" i="1"/>
  <c r="BQ78" i="1"/>
  <c r="BO86" i="1"/>
  <c r="AV86" i="1"/>
  <c r="BO104" i="1"/>
  <c r="AV104" i="1"/>
  <c r="AY89" i="1"/>
  <c r="BQ89" i="1"/>
  <c r="AY86" i="1"/>
  <c r="BQ86" i="1"/>
  <c r="AV93" i="1"/>
  <c r="BO93" i="1"/>
  <c r="AY93" i="1"/>
  <c r="BQ93" i="1"/>
  <c r="AV96" i="1"/>
  <c r="BO96" i="1"/>
  <c r="BQ79" i="1"/>
  <c r="AY79" i="1"/>
  <c r="AV83" i="1"/>
  <c r="BO83" i="1"/>
  <c r="AY107" i="1"/>
  <c r="BQ107" i="1"/>
  <c r="AY73" i="1"/>
  <c r="BQ73" i="1"/>
  <c r="AV79" i="1"/>
  <c r="BO79" i="1"/>
  <c r="BQ75" i="1"/>
  <c r="AY75" i="1"/>
  <c r="BO94" i="1"/>
  <c r="AV94" i="1"/>
  <c r="AY81" i="1"/>
  <c r="BQ81" i="1"/>
  <c r="BQ109" i="1"/>
  <c r="AY109" i="1"/>
  <c r="AY105" i="1"/>
  <c r="BQ105" i="1"/>
  <c r="BO109" i="1"/>
  <c r="AV109" i="1"/>
  <c r="AY84" i="1"/>
  <c r="BQ84" i="1"/>
  <c r="BQ104" i="1"/>
  <c r="AY104" i="1"/>
  <c r="AY82" i="1"/>
  <c r="BQ82" i="1"/>
  <c r="L200" i="2"/>
  <c r="L193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10" i="2"/>
  <c r="R71" i="1"/>
  <c r="AM71" i="1"/>
  <c r="S8" i="1"/>
  <c r="S11" i="1"/>
  <c r="S15" i="1"/>
  <c r="S16" i="1"/>
  <c r="S18" i="1"/>
  <c r="S22" i="1"/>
  <c r="S23" i="1"/>
  <c r="S24" i="1"/>
  <c r="S25" i="1"/>
  <c r="S26" i="1"/>
  <c r="S27" i="1"/>
  <c r="S28" i="1"/>
  <c r="S29" i="1"/>
  <c r="S30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AA71" i="1"/>
  <c r="G71" i="1"/>
  <c r="AW71" i="1"/>
  <c r="BP71" i="1"/>
  <c r="AW70" i="1"/>
  <c r="BP70" i="1"/>
  <c r="BN70" i="1"/>
  <c r="BK70" i="1"/>
  <c r="BI70" i="1"/>
  <c r="AA70" i="1"/>
  <c r="R70" i="1"/>
  <c r="AM70" i="1"/>
  <c r="P70" i="1"/>
  <c r="P13" i="1"/>
  <c r="P71" i="1"/>
  <c r="G112" i="1"/>
  <c r="AP71" i="1"/>
  <c r="AP112" i="1"/>
  <c r="AN71" i="1"/>
  <c r="AN112" i="1"/>
  <c r="AT71" i="1"/>
  <c r="BN71" i="1"/>
  <c r="BI71" i="1"/>
  <c r="BK71" i="1"/>
  <c r="S70" i="1"/>
  <c r="AQ70" i="1"/>
  <c r="BL70" i="1"/>
  <c r="S71" i="1"/>
  <c r="Q71" i="1"/>
  <c r="BA71" i="1"/>
  <c r="BH71" i="1"/>
  <c r="AO70" i="1"/>
  <c r="BJ70" i="1"/>
  <c r="BA70" i="1"/>
  <c r="BH70" i="1"/>
  <c r="AO71" i="1"/>
  <c r="AQ71" i="1"/>
  <c r="BL71" i="1"/>
  <c r="Q70" i="1"/>
  <c r="AA19" i="1"/>
  <c r="AI21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12" i="1"/>
  <c r="AT13" i="1"/>
  <c r="C35" i="1"/>
  <c r="AM35" i="1"/>
  <c r="AT35" i="1"/>
  <c r="AW35" i="1"/>
  <c r="AG35" i="1"/>
  <c r="AK35" i="1"/>
  <c r="C15" i="1"/>
  <c r="AG15" i="1"/>
  <c r="AM15" i="1"/>
  <c r="AT15" i="1"/>
  <c r="AW15" i="1"/>
  <c r="P20" i="1"/>
  <c r="P19" i="1"/>
  <c r="P21" i="1"/>
  <c r="P17" i="1"/>
  <c r="P14" i="1"/>
  <c r="P10" i="1"/>
  <c r="P9" i="1"/>
  <c r="P4" i="1"/>
  <c r="O7" i="1"/>
  <c r="AJ13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I29" i="1"/>
  <c r="AI28" i="1"/>
  <c r="AI27" i="1"/>
  <c r="AI26" i="1"/>
  <c r="AI25" i="1"/>
  <c r="P112" i="1"/>
  <c r="BJ71" i="1"/>
  <c r="S4" i="1"/>
  <c r="S14" i="1"/>
  <c r="Q14" i="1"/>
  <c r="S17" i="1"/>
  <c r="Q17" i="1"/>
  <c r="S21" i="1"/>
  <c r="Q21" i="1"/>
  <c r="S20" i="1"/>
  <c r="Q20" i="1"/>
  <c r="S9" i="1"/>
  <c r="Q9" i="1"/>
  <c r="S10" i="1"/>
  <c r="Q10" i="1"/>
  <c r="S19" i="1"/>
  <c r="Q19" i="1"/>
  <c r="O9" i="1"/>
  <c r="AO15" i="1"/>
  <c r="AO35" i="1"/>
  <c r="AR35" i="1"/>
  <c r="AL35" i="1"/>
  <c r="O10" i="1"/>
  <c r="AK15" i="1"/>
  <c r="O14" i="1"/>
  <c r="O17" i="1"/>
  <c r="O21" i="1"/>
  <c r="O4" i="1"/>
  <c r="O19" i="1"/>
  <c r="O20" i="1"/>
  <c r="AJ4" i="1"/>
  <c r="AH4" i="1"/>
  <c r="Q4" i="1"/>
  <c r="Q112" i="1"/>
  <c r="AS35" i="1"/>
  <c r="AU35" i="1"/>
  <c r="AV35" i="1"/>
  <c r="AX35" i="1"/>
  <c r="AY35" i="1"/>
  <c r="AR15" i="1"/>
  <c r="AL15" i="1"/>
  <c r="AI4" i="1"/>
  <c r="AI17" i="1"/>
  <c r="AS15" i="1"/>
  <c r="AU15" i="1"/>
  <c r="AV15" i="1"/>
  <c r="AX15" i="1"/>
  <c r="AY15" i="1"/>
  <c r="AI20" i="1"/>
  <c r="AI19" i="1"/>
  <c r="AB19" i="1"/>
  <c r="AI33" i="1"/>
  <c r="AI31" i="1"/>
  <c r="AI23" i="1"/>
  <c r="AI22" i="1"/>
  <c r="AH33" i="1"/>
  <c r="AH32" i="1"/>
  <c r="AI32" i="1"/>
  <c r="AH31" i="1"/>
  <c r="AH23" i="1"/>
  <c r="AH22" i="1"/>
  <c r="AH16" i="1"/>
  <c r="AI16" i="1"/>
  <c r="AH34" i="1"/>
  <c r="AH21" i="1"/>
  <c r="AJ21" i="1"/>
  <c r="AH18" i="1"/>
  <c r="AJ18" i="1"/>
  <c r="AJ23" i="1"/>
  <c r="AJ31" i="1"/>
  <c r="AJ22" i="1"/>
  <c r="AJ33" i="1"/>
  <c r="AJ34" i="1"/>
  <c r="AI30" i="1"/>
  <c r="AJ30" i="1"/>
  <c r="AH12" i="1"/>
  <c r="AJ24" i="1"/>
  <c r="AH29" i="1"/>
  <c r="AJ29" i="1"/>
  <c r="AH28" i="1"/>
  <c r="AJ28" i="1"/>
  <c r="AH27" i="1"/>
  <c r="AJ27" i="1"/>
  <c r="AH26" i="1"/>
  <c r="AJ26" i="1"/>
  <c r="AH25" i="1"/>
  <c r="AJ25" i="1"/>
  <c r="AI14" i="1"/>
  <c r="AI11" i="1"/>
  <c r="AI10" i="1"/>
  <c r="AI9" i="1"/>
  <c r="AI8" i="1"/>
  <c r="AI7" i="1"/>
  <c r="AI5" i="1"/>
  <c r="AI6" i="1"/>
  <c r="AJ12" i="1"/>
  <c r="AW4" i="1"/>
  <c r="AW5" i="1"/>
  <c r="AW6" i="1"/>
  <c r="AW7" i="1"/>
  <c r="AW8" i="1"/>
  <c r="AW9" i="1"/>
  <c r="AW10" i="1"/>
  <c r="AW11" i="1"/>
  <c r="AW14" i="1"/>
  <c r="AT4" i="1"/>
  <c r="AT5" i="1"/>
  <c r="AT6" i="1"/>
  <c r="AT7" i="1"/>
  <c r="AT8" i="1"/>
  <c r="AT9" i="1"/>
  <c r="AT10" i="1"/>
  <c r="AT11" i="1"/>
  <c r="AT14" i="1"/>
  <c r="AT112" i="1"/>
  <c r="BA5" i="1"/>
  <c r="BA6" i="1"/>
  <c r="BA7" i="1"/>
  <c r="BA8" i="1"/>
  <c r="BA9" i="1"/>
  <c r="BA10" i="1"/>
  <c r="BA11" i="1"/>
  <c r="BA12" i="1"/>
  <c r="BA13" i="1"/>
  <c r="BA14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4" i="1"/>
  <c r="S8" i="3"/>
  <c r="T8" i="3"/>
  <c r="U8" i="3"/>
  <c r="S9" i="3"/>
  <c r="T9" i="3"/>
  <c r="U9" i="3"/>
  <c r="S10" i="3"/>
  <c r="T10" i="3"/>
  <c r="U10" i="3"/>
  <c r="S11" i="3"/>
  <c r="T11" i="3"/>
  <c r="U11" i="3"/>
  <c r="S12" i="3"/>
  <c r="T12" i="3"/>
  <c r="U12" i="3"/>
  <c r="S13" i="3"/>
  <c r="T13" i="3"/>
  <c r="U13" i="3"/>
  <c r="S14" i="3"/>
  <c r="T14" i="3"/>
  <c r="U14" i="3"/>
  <c r="S15" i="3"/>
  <c r="T15" i="3"/>
  <c r="U15" i="3"/>
  <c r="S16" i="3"/>
  <c r="T16" i="3"/>
  <c r="U16" i="3"/>
  <c r="S17" i="3"/>
  <c r="T17" i="3"/>
  <c r="U17" i="3"/>
  <c r="S18" i="3"/>
  <c r="T18" i="3"/>
  <c r="U18" i="3"/>
  <c r="J8" i="3"/>
  <c r="K8" i="3"/>
  <c r="L8" i="3"/>
  <c r="J9" i="3"/>
  <c r="K9" i="3"/>
  <c r="L9" i="3"/>
  <c r="J10" i="3"/>
  <c r="K10" i="3"/>
  <c r="L10" i="3"/>
  <c r="J11" i="3"/>
  <c r="K11" i="3"/>
  <c r="L11" i="3"/>
  <c r="J12" i="3"/>
  <c r="K12" i="3"/>
  <c r="L12" i="3"/>
  <c r="J13" i="3"/>
  <c r="K13" i="3"/>
  <c r="L13" i="3"/>
  <c r="J14" i="3"/>
  <c r="K14" i="3"/>
  <c r="L14" i="3"/>
  <c r="J15" i="3"/>
  <c r="K15" i="3"/>
  <c r="L15" i="3"/>
  <c r="J16" i="3"/>
  <c r="K16" i="3"/>
  <c r="L16" i="3"/>
  <c r="J17" i="3"/>
  <c r="K17" i="3"/>
  <c r="L17" i="3"/>
  <c r="J18" i="3"/>
  <c r="K18" i="3"/>
  <c r="L18" i="3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AW12" i="1"/>
  <c r="BP12" i="1"/>
  <c r="AW13" i="1"/>
  <c r="BP13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N12" i="1"/>
  <c r="BN13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P4" i="1"/>
  <c r="BP5" i="1"/>
  <c r="BP6" i="1"/>
  <c r="BP7" i="1"/>
  <c r="BP8" i="1"/>
  <c r="BP9" i="1"/>
  <c r="BP10" i="1"/>
  <c r="BP11" i="1"/>
  <c r="BP14" i="1"/>
  <c r="BN4" i="1"/>
  <c r="BN5" i="1"/>
  <c r="BN6" i="1"/>
  <c r="BN7" i="1"/>
  <c r="BN8" i="1"/>
  <c r="BN9" i="1"/>
  <c r="BN10" i="1"/>
  <c r="BN11" i="1"/>
  <c r="BN14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12" i="1"/>
  <c r="BK13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4" i="1"/>
  <c r="BK5" i="1"/>
  <c r="BK6" i="1"/>
  <c r="BK7" i="1"/>
  <c r="BK8" i="1"/>
  <c r="BK9" i="1"/>
  <c r="BK10" i="1"/>
  <c r="BK11" i="1"/>
  <c r="BK14" i="1"/>
  <c r="AQ8" i="1"/>
  <c r="BL8" i="1"/>
  <c r="AQ9" i="1"/>
  <c r="BL9" i="1"/>
  <c r="AQ10" i="1"/>
  <c r="BL10" i="1"/>
  <c r="AQ11" i="1"/>
  <c r="BL11" i="1"/>
  <c r="AQ14" i="1"/>
  <c r="BL14" i="1"/>
  <c r="AQ16" i="1"/>
  <c r="BL16" i="1"/>
  <c r="AQ17" i="1"/>
  <c r="BL17" i="1"/>
  <c r="AQ18" i="1"/>
  <c r="BL18" i="1"/>
  <c r="AQ19" i="1"/>
  <c r="BL19" i="1"/>
  <c r="AQ20" i="1"/>
  <c r="BL20" i="1"/>
  <c r="AQ21" i="1"/>
  <c r="BL21" i="1"/>
  <c r="AQ22" i="1"/>
  <c r="BL22" i="1"/>
  <c r="AQ23" i="1"/>
  <c r="BL23" i="1"/>
  <c r="AQ24" i="1"/>
  <c r="BL24" i="1"/>
  <c r="AQ25" i="1"/>
  <c r="BL25" i="1"/>
  <c r="AQ26" i="1"/>
  <c r="BL26" i="1"/>
  <c r="AQ27" i="1"/>
  <c r="BL27" i="1"/>
  <c r="AQ28" i="1"/>
  <c r="BL28" i="1"/>
  <c r="AQ29" i="1"/>
  <c r="BL29" i="1"/>
  <c r="AQ30" i="1"/>
  <c r="BL30" i="1"/>
  <c r="AQ34" i="1"/>
  <c r="BL34" i="1"/>
  <c r="AQ36" i="1"/>
  <c r="BL36" i="1"/>
  <c r="AQ37" i="1"/>
  <c r="BL37" i="1"/>
  <c r="AQ38" i="1"/>
  <c r="BL38" i="1"/>
  <c r="AQ39" i="1"/>
  <c r="BL39" i="1"/>
  <c r="AQ40" i="1"/>
  <c r="BL40" i="1"/>
  <c r="AQ41" i="1"/>
  <c r="BL41" i="1"/>
  <c r="AQ42" i="1"/>
  <c r="BL42" i="1"/>
  <c r="AQ43" i="1"/>
  <c r="BL43" i="1"/>
  <c r="AQ44" i="1"/>
  <c r="BL44" i="1"/>
  <c r="AQ45" i="1"/>
  <c r="BL45" i="1"/>
  <c r="AQ46" i="1"/>
  <c r="BL46" i="1"/>
  <c r="AQ47" i="1"/>
  <c r="BL47" i="1"/>
  <c r="AQ48" i="1"/>
  <c r="BL48" i="1"/>
  <c r="AQ49" i="1"/>
  <c r="AQ50" i="1"/>
  <c r="BL50" i="1"/>
  <c r="AQ51" i="1"/>
  <c r="BL51" i="1"/>
  <c r="AQ52" i="1"/>
  <c r="BL52" i="1"/>
  <c r="AQ53" i="1"/>
  <c r="BL53" i="1"/>
  <c r="AQ54" i="1"/>
  <c r="BL54" i="1"/>
  <c r="AQ55" i="1"/>
  <c r="BL55" i="1"/>
  <c r="AQ56" i="1"/>
  <c r="BL56" i="1"/>
  <c r="AQ57" i="1"/>
  <c r="BL57" i="1"/>
  <c r="AQ58" i="1"/>
  <c r="BL58" i="1"/>
  <c r="AQ59" i="1"/>
  <c r="BL59" i="1"/>
  <c r="AQ60" i="1"/>
  <c r="BL60" i="1"/>
  <c r="AQ61" i="1"/>
  <c r="BL61" i="1"/>
  <c r="AQ62" i="1"/>
  <c r="BL62" i="1"/>
  <c r="AQ63" i="1"/>
  <c r="BL63" i="1"/>
  <c r="AQ64" i="1"/>
  <c r="BL64" i="1"/>
  <c r="AQ65" i="1"/>
  <c r="BL65" i="1"/>
  <c r="AQ66" i="1"/>
  <c r="BL66" i="1"/>
  <c r="AQ67" i="1"/>
  <c r="AQ68" i="1"/>
  <c r="BL68" i="1"/>
  <c r="AQ69" i="1"/>
  <c r="BL69" i="1"/>
  <c r="AQ4" i="1"/>
  <c r="BI4" i="1"/>
  <c r="BI5" i="1"/>
  <c r="BI6" i="1"/>
  <c r="BI7" i="1"/>
  <c r="BI8" i="1"/>
  <c r="BI9" i="1"/>
  <c r="BI10" i="1"/>
  <c r="BI11" i="1"/>
  <c r="BI12" i="1"/>
  <c r="BI13" i="1"/>
  <c r="BI14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8" i="1"/>
  <c r="BI69" i="1"/>
  <c r="AM8" i="1"/>
  <c r="BH8" i="1"/>
  <c r="AM9" i="1"/>
  <c r="BH9" i="1"/>
  <c r="AM10" i="1"/>
  <c r="BH10" i="1"/>
  <c r="AM11" i="1"/>
  <c r="BH11" i="1"/>
  <c r="AM14" i="1"/>
  <c r="BH14" i="1"/>
  <c r="AM16" i="1"/>
  <c r="BH16" i="1"/>
  <c r="AM17" i="1"/>
  <c r="BH17" i="1"/>
  <c r="AM18" i="1"/>
  <c r="BH18" i="1"/>
  <c r="AM19" i="1"/>
  <c r="BH19" i="1"/>
  <c r="AM20" i="1"/>
  <c r="BH20" i="1"/>
  <c r="AM21" i="1"/>
  <c r="BH21" i="1"/>
  <c r="AM22" i="1"/>
  <c r="BH22" i="1"/>
  <c r="AM23" i="1"/>
  <c r="BH23" i="1"/>
  <c r="AM24" i="1"/>
  <c r="BH24" i="1"/>
  <c r="AM25" i="1"/>
  <c r="BH25" i="1"/>
  <c r="AM26" i="1"/>
  <c r="BH26" i="1"/>
  <c r="AM27" i="1"/>
  <c r="BH27" i="1"/>
  <c r="AM28" i="1"/>
  <c r="BH28" i="1"/>
  <c r="AM29" i="1"/>
  <c r="BH29" i="1"/>
  <c r="AM30" i="1"/>
  <c r="BH30" i="1"/>
  <c r="AM34" i="1"/>
  <c r="BH34" i="1"/>
  <c r="AM36" i="1"/>
  <c r="BH36" i="1"/>
  <c r="AM37" i="1"/>
  <c r="BH37" i="1"/>
  <c r="AM38" i="1"/>
  <c r="BH38" i="1"/>
  <c r="AM39" i="1"/>
  <c r="BH39" i="1"/>
  <c r="AM40" i="1"/>
  <c r="BH40" i="1"/>
  <c r="AM41" i="1"/>
  <c r="BH41" i="1"/>
  <c r="AM42" i="1"/>
  <c r="BH42" i="1"/>
  <c r="AM43" i="1"/>
  <c r="BH43" i="1"/>
  <c r="AM44" i="1"/>
  <c r="BH44" i="1"/>
  <c r="AM45" i="1"/>
  <c r="BH45" i="1"/>
  <c r="AM46" i="1"/>
  <c r="BH46" i="1"/>
  <c r="AM47" i="1"/>
  <c r="BH47" i="1"/>
  <c r="AM48" i="1"/>
  <c r="BH48" i="1"/>
  <c r="AM49" i="1"/>
  <c r="AM50" i="1"/>
  <c r="BH50" i="1"/>
  <c r="AM51" i="1"/>
  <c r="BH51" i="1"/>
  <c r="AM52" i="1"/>
  <c r="BH52" i="1"/>
  <c r="AM53" i="1"/>
  <c r="BH53" i="1"/>
  <c r="AM54" i="1"/>
  <c r="BH54" i="1"/>
  <c r="AM55" i="1"/>
  <c r="BH55" i="1"/>
  <c r="AM56" i="1"/>
  <c r="BH56" i="1"/>
  <c r="AM57" i="1"/>
  <c r="BH57" i="1"/>
  <c r="AM58" i="1"/>
  <c r="BH58" i="1"/>
  <c r="AM59" i="1"/>
  <c r="BH59" i="1"/>
  <c r="AM60" i="1"/>
  <c r="BH60" i="1"/>
  <c r="AM61" i="1"/>
  <c r="BH61" i="1"/>
  <c r="AM62" i="1"/>
  <c r="BH62" i="1"/>
  <c r="AM63" i="1"/>
  <c r="BH63" i="1"/>
  <c r="AM64" i="1"/>
  <c r="BH64" i="1"/>
  <c r="AM65" i="1"/>
  <c r="BH65" i="1"/>
  <c r="AM66" i="1"/>
  <c r="BH66" i="1"/>
  <c r="AM67" i="1"/>
  <c r="AM68" i="1"/>
  <c r="BH68" i="1"/>
  <c r="AM69" i="1"/>
  <c r="BH69" i="1"/>
  <c r="AM4" i="1"/>
  <c r="AA4" i="1"/>
  <c r="AA5" i="1"/>
  <c r="AA6" i="1"/>
  <c r="AA7" i="1"/>
  <c r="AA8" i="1"/>
  <c r="AA9" i="1"/>
  <c r="AA10" i="1"/>
  <c r="AA11" i="1"/>
  <c r="AA14" i="1"/>
  <c r="W131" i="2"/>
  <c r="X131" i="2"/>
  <c r="AG19" i="1"/>
  <c r="AA49" i="1"/>
  <c r="AA30" i="1"/>
  <c r="AA66" i="1"/>
  <c r="AA67" i="1"/>
  <c r="AA43" i="1"/>
  <c r="AA55" i="1"/>
  <c r="AA54" i="1"/>
  <c r="AA53" i="1"/>
  <c r="AA45" i="1"/>
  <c r="AA44" i="1"/>
  <c r="AA41" i="1"/>
  <c r="AA69" i="1"/>
  <c r="AA68" i="1"/>
  <c r="AA64" i="1"/>
  <c r="AA63" i="1"/>
  <c r="AA62" i="1"/>
  <c r="AA61" i="1"/>
  <c r="AA60" i="1"/>
  <c r="AA59" i="1"/>
  <c r="AA58" i="1"/>
  <c r="AA57" i="1"/>
  <c r="AA56" i="1"/>
  <c r="AA40" i="1"/>
  <c r="AA39" i="1"/>
  <c r="AA52" i="1"/>
  <c r="AA51" i="1"/>
  <c r="AA47" i="1"/>
  <c r="AA38" i="1"/>
  <c r="AA65" i="1"/>
  <c r="AA48" i="1"/>
  <c r="AA46" i="1"/>
  <c r="AA50" i="1"/>
  <c r="AA36" i="1"/>
  <c r="AA37" i="1"/>
  <c r="P5" i="2"/>
  <c r="W5" i="2"/>
  <c r="P6" i="2"/>
  <c r="P7" i="2"/>
  <c r="P8" i="2"/>
  <c r="W8" i="2"/>
  <c r="P9" i="2"/>
  <c r="W9" i="2"/>
  <c r="P10" i="2"/>
  <c r="W10" i="2"/>
  <c r="P11" i="2"/>
  <c r="W11" i="2"/>
  <c r="P12" i="2"/>
  <c r="P13" i="2"/>
  <c r="W13" i="2"/>
  <c r="Z13" i="2"/>
  <c r="P14" i="2"/>
  <c r="W14" i="2"/>
  <c r="P15" i="2"/>
  <c r="W15" i="2"/>
  <c r="P16" i="2"/>
  <c r="P17" i="2"/>
  <c r="W17" i="2"/>
  <c r="P18" i="2"/>
  <c r="P19" i="2"/>
  <c r="W19" i="2"/>
  <c r="P20" i="2"/>
  <c r="W20" i="2"/>
  <c r="P21" i="2"/>
  <c r="W21" i="2"/>
  <c r="Z21" i="2"/>
  <c r="P22" i="2"/>
  <c r="W22" i="2"/>
  <c r="P23" i="2"/>
  <c r="P24" i="2"/>
  <c r="W24" i="2"/>
  <c r="P25" i="2"/>
  <c r="W25" i="2"/>
  <c r="P26" i="2"/>
  <c r="W26" i="2"/>
  <c r="X26" i="2"/>
  <c r="P27" i="2"/>
  <c r="W27" i="2"/>
  <c r="P28" i="2"/>
  <c r="P29" i="2"/>
  <c r="W29" i="2"/>
  <c r="P30" i="2"/>
  <c r="P31" i="2"/>
  <c r="W31" i="2"/>
  <c r="Z31" i="2"/>
  <c r="P32" i="2"/>
  <c r="W32" i="2"/>
  <c r="X32" i="2"/>
  <c r="P33" i="2"/>
  <c r="W33" i="2"/>
  <c r="P34" i="2"/>
  <c r="W34" i="2"/>
  <c r="P35" i="2"/>
  <c r="P36" i="2"/>
  <c r="W36" i="2"/>
  <c r="P37" i="2"/>
  <c r="W37" i="2"/>
  <c r="Z37" i="2"/>
  <c r="P38" i="2"/>
  <c r="P39" i="2"/>
  <c r="W39" i="2"/>
  <c r="P40" i="2"/>
  <c r="P41" i="2"/>
  <c r="W41" i="2"/>
  <c r="P42" i="2"/>
  <c r="P43" i="2"/>
  <c r="P44" i="2"/>
  <c r="W44" i="2"/>
  <c r="Z44" i="2"/>
  <c r="P45" i="2"/>
  <c r="P46" i="2"/>
  <c r="P47" i="2"/>
  <c r="W47" i="2"/>
  <c r="P48" i="2"/>
  <c r="W48" i="2"/>
  <c r="P49" i="2"/>
  <c r="W49" i="2"/>
  <c r="P50" i="2"/>
  <c r="W50" i="2"/>
  <c r="P51" i="2"/>
  <c r="W51" i="2"/>
  <c r="P52" i="2"/>
  <c r="P53" i="2"/>
  <c r="W53" i="2"/>
  <c r="AA53" i="2"/>
  <c r="P54" i="2"/>
  <c r="P55" i="2"/>
  <c r="P56" i="2"/>
  <c r="W56" i="2"/>
  <c r="P57" i="2"/>
  <c r="W57" i="2"/>
  <c r="P58" i="2"/>
  <c r="W58" i="2"/>
  <c r="Z58" i="2"/>
  <c r="P59" i="2"/>
  <c r="W59" i="2"/>
  <c r="AA59" i="2"/>
  <c r="P60" i="2"/>
  <c r="P61" i="2"/>
  <c r="P62" i="2"/>
  <c r="P63" i="2"/>
  <c r="W63" i="2"/>
  <c r="Y63" i="2"/>
  <c r="P64" i="2"/>
  <c r="W64" i="2"/>
  <c r="Z64" i="2"/>
  <c r="P65" i="2"/>
  <c r="W65" i="2"/>
  <c r="P66" i="2"/>
  <c r="W66" i="2"/>
  <c r="P67" i="2"/>
  <c r="P68" i="2"/>
  <c r="W68" i="2"/>
  <c r="P69" i="2"/>
  <c r="W69" i="2"/>
  <c r="P70" i="2"/>
  <c r="W70" i="2"/>
  <c r="P71" i="2"/>
  <c r="W71" i="2"/>
  <c r="P72" i="2"/>
  <c r="W72" i="2"/>
  <c r="P73" i="2"/>
  <c r="W73" i="2"/>
  <c r="P74" i="2"/>
  <c r="P75" i="2"/>
  <c r="P76" i="2"/>
  <c r="W76" i="2"/>
  <c r="P77" i="2"/>
  <c r="W77" i="2"/>
  <c r="Y77" i="2"/>
  <c r="P78" i="2"/>
  <c r="W78" i="2"/>
  <c r="P79" i="2"/>
  <c r="P80" i="2"/>
  <c r="W80" i="2"/>
  <c r="Y80" i="2"/>
  <c r="P81" i="2"/>
  <c r="W81" i="2"/>
  <c r="P82" i="2"/>
  <c r="W82" i="2"/>
  <c r="P83" i="2"/>
  <c r="P84" i="2"/>
  <c r="W84" i="2"/>
  <c r="X84" i="2"/>
  <c r="P85" i="2"/>
  <c r="W85" i="2"/>
  <c r="P86" i="2"/>
  <c r="P87" i="2"/>
  <c r="W87" i="2"/>
  <c r="P88" i="2"/>
  <c r="W88" i="2"/>
  <c r="P89" i="2"/>
  <c r="W89" i="2"/>
  <c r="X89" i="2"/>
  <c r="P90" i="2"/>
  <c r="W90" i="2"/>
  <c r="P91" i="2"/>
  <c r="P92" i="2"/>
  <c r="W92" i="2"/>
  <c r="X92" i="2"/>
  <c r="P93" i="2"/>
  <c r="P94" i="2"/>
  <c r="W94" i="2"/>
  <c r="P95" i="2"/>
  <c r="P96" i="2"/>
  <c r="W96" i="2"/>
  <c r="Z96" i="2"/>
  <c r="P97" i="2"/>
  <c r="W97" i="2"/>
  <c r="P98" i="2"/>
  <c r="P99" i="2"/>
  <c r="W99" i="2"/>
  <c r="P100" i="2"/>
  <c r="W100" i="2"/>
  <c r="Z100" i="2"/>
  <c r="P101" i="2"/>
  <c r="W101" i="2"/>
  <c r="P102" i="2"/>
  <c r="W102" i="2"/>
  <c r="P103" i="2"/>
  <c r="P104" i="2"/>
  <c r="W104" i="2"/>
  <c r="P105" i="2"/>
  <c r="W105" i="2"/>
  <c r="P106" i="2"/>
  <c r="W106" i="2"/>
  <c r="P107" i="2"/>
  <c r="W107" i="2"/>
  <c r="X107" i="2"/>
  <c r="P108" i="2"/>
  <c r="W108" i="2"/>
  <c r="Z108" i="2"/>
  <c r="P109" i="2"/>
  <c r="P110" i="2"/>
  <c r="P111" i="2"/>
  <c r="W111" i="2"/>
  <c r="P112" i="2"/>
  <c r="W112" i="2"/>
  <c r="P113" i="2"/>
  <c r="W113" i="2"/>
  <c r="X113" i="2"/>
  <c r="P114" i="2"/>
  <c r="W114" i="2"/>
  <c r="X114" i="2"/>
  <c r="P115" i="2"/>
  <c r="P116" i="2"/>
  <c r="P117" i="2"/>
  <c r="W117" i="2"/>
  <c r="P118" i="2"/>
  <c r="W118" i="2"/>
  <c r="P119" i="2"/>
  <c r="W119" i="2"/>
  <c r="P120" i="2"/>
  <c r="W120" i="2"/>
  <c r="P121" i="2"/>
  <c r="W121" i="2"/>
  <c r="P122" i="2"/>
  <c r="W122" i="2"/>
  <c r="Z122" i="2"/>
  <c r="P123" i="2"/>
  <c r="W123" i="2"/>
  <c r="Z123" i="2"/>
  <c r="P124" i="2"/>
  <c r="P125" i="2"/>
  <c r="W125" i="2"/>
  <c r="Y125" i="2"/>
  <c r="P126" i="2"/>
  <c r="W126" i="2"/>
  <c r="P127" i="2"/>
  <c r="W127" i="2"/>
  <c r="P128" i="2"/>
  <c r="W128" i="2"/>
  <c r="P129" i="2"/>
  <c r="W129" i="2"/>
  <c r="P130" i="2"/>
  <c r="W130" i="2"/>
  <c r="Z130" i="2"/>
  <c r="P131" i="2"/>
  <c r="P132" i="2"/>
  <c r="P133" i="2"/>
  <c r="P134" i="2"/>
  <c r="W134" i="2"/>
  <c r="X134" i="2"/>
  <c r="P135" i="2"/>
  <c r="W135" i="2"/>
  <c r="P136" i="2"/>
  <c r="P137" i="2"/>
  <c r="W137" i="2"/>
  <c r="P138" i="2"/>
  <c r="W138" i="2"/>
  <c r="P139" i="2"/>
  <c r="W139" i="2"/>
  <c r="P140" i="2"/>
  <c r="W140" i="2"/>
  <c r="Z140" i="2"/>
  <c r="P141" i="2"/>
  <c r="P142" i="2"/>
  <c r="W142" i="2"/>
  <c r="P143" i="2"/>
  <c r="W143" i="2"/>
  <c r="P144" i="2"/>
  <c r="W144" i="2"/>
  <c r="Z144" i="2"/>
  <c r="P145" i="2"/>
  <c r="W145" i="2"/>
  <c r="P146" i="2"/>
  <c r="P147" i="2"/>
  <c r="W147" i="2"/>
  <c r="P148" i="2"/>
  <c r="W148" i="2"/>
  <c r="P149" i="2"/>
  <c r="W149" i="2"/>
  <c r="X149" i="2"/>
  <c r="P150" i="2"/>
  <c r="W150" i="2"/>
  <c r="Z150" i="2"/>
  <c r="P151" i="2"/>
  <c r="P152" i="2"/>
  <c r="P153" i="2"/>
  <c r="W153" i="2"/>
  <c r="P154" i="2"/>
  <c r="P155" i="2"/>
  <c r="W155" i="2"/>
  <c r="X155" i="2"/>
  <c r="P156" i="2"/>
  <c r="W156" i="2"/>
  <c r="Z156" i="2"/>
  <c r="P157" i="2"/>
  <c r="P158" i="2"/>
  <c r="R7" i="1"/>
  <c r="S7" i="1"/>
  <c r="R6" i="1"/>
  <c r="R5" i="1"/>
  <c r="R13" i="1"/>
  <c r="R12" i="1"/>
  <c r="R33" i="1"/>
  <c r="R32" i="1"/>
  <c r="R31" i="1"/>
  <c r="BL4" i="1"/>
  <c r="AW112" i="1"/>
  <c r="BH4" i="1"/>
  <c r="S5" i="1"/>
  <c r="R112" i="1"/>
  <c r="AM13" i="1"/>
  <c r="BH13" i="1"/>
  <c r="S13" i="1"/>
  <c r="AQ13" i="1"/>
  <c r="BL13" i="1"/>
  <c r="AM6" i="1"/>
  <c r="BH6" i="1"/>
  <c r="S6" i="1"/>
  <c r="AQ6" i="1"/>
  <c r="BL6" i="1"/>
  <c r="AM31" i="1"/>
  <c r="BH31" i="1"/>
  <c r="S31" i="1"/>
  <c r="AQ31" i="1"/>
  <c r="BL31" i="1"/>
  <c r="AM32" i="1"/>
  <c r="BH32" i="1"/>
  <c r="S32" i="1"/>
  <c r="AQ32" i="1"/>
  <c r="BL32" i="1"/>
  <c r="AM33" i="1"/>
  <c r="BH33" i="1"/>
  <c r="S33" i="1"/>
  <c r="AQ33" i="1"/>
  <c r="BL33" i="1"/>
  <c r="AM12" i="1"/>
  <c r="BH12" i="1"/>
  <c r="S12" i="1"/>
  <c r="AQ12" i="1"/>
  <c r="BL12" i="1"/>
  <c r="AM5" i="1"/>
  <c r="BH5" i="1"/>
  <c r="BH49" i="1"/>
  <c r="BL49" i="1"/>
  <c r="BI49" i="1"/>
  <c r="BI112" i="1"/>
  <c r="BL67" i="1"/>
  <c r="BI67" i="1"/>
  <c r="BH67" i="1"/>
  <c r="AA131" i="2"/>
  <c r="AA122" i="2"/>
  <c r="AA155" i="2"/>
  <c r="W154" i="2"/>
  <c r="Z154" i="2"/>
  <c r="Z155" i="2"/>
  <c r="Y155" i="2"/>
  <c r="AA123" i="2"/>
  <c r="W132" i="2"/>
  <c r="Y132" i="2"/>
  <c r="Z131" i="2"/>
  <c r="X29" i="2"/>
  <c r="AA29" i="2"/>
  <c r="Z107" i="2"/>
  <c r="AA112" i="2"/>
  <c r="W46" i="2"/>
  <c r="Z46" i="2"/>
  <c r="AA107" i="2"/>
  <c r="Y107" i="2"/>
  <c r="X59" i="2"/>
  <c r="Z59" i="2"/>
  <c r="Y59" i="2"/>
  <c r="W23" i="2"/>
  <c r="X23" i="2"/>
  <c r="AA37" i="2"/>
  <c r="BP16" i="1"/>
  <c r="AM7" i="1"/>
  <c r="BH7" i="1"/>
  <c r="X128" i="2"/>
  <c r="Z128" i="2"/>
  <c r="Y128" i="2"/>
  <c r="Z142" i="2"/>
  <c r="AA142" i="2"/>
  <c r="Z72" i="2"/>
  <c r="X72" i="2"/>
  <c r="Y72" i="2"/>
  <c r="Z36" i="2"/>
  <c r="X36" i="2"/>
  <c r="Y36" i="2"/>
  <c r="Z119" i="2"/>
  <c r="X119" i="2"/>
  <c r="Y119" i="2"/>
  <c r="X71" i="2"/>
  <c r="Y71" i="2"/>
  <c r="Z71" i="2"/>
  <c r="AA71" i="2"/>
  <c r="Z118" i="2"/>
  <c r="AA118" i="2"/>
  <c r="Z94" i="2"/>
  <c r="AA94" i="2"/>
  <c r="Z57" i="2"/>
  <c r="X57" i="2"/>
  <c r="Y57" i="2"/>
  <c r="AA17" i="2"/>
  <c r="X17" i="2"/>
  <c r="Y17" i="2"/>
  <c r="Z17" i="2"/>
  <c r="Z147" i="2"/>
  <c r="X147" i="2"/>
  <c r="Y147" i="2"/>
  <c r="Z135" i="2"/>
  <c r="X135" i="2"/>
  <c r="Z111" i="2"/>
  <c r="X111" i="2"/>
  <c r="Y111" i="2"/>
  <c r="X39" i="2"/>
  <c r="Y39" i="2"/>
  <c r="X27" i="2"/>
  <c r="Y27" i="2"/>
  <c r="W75" i="2"/>
  <c r="AA75" i="2"/>
  <c r="X77" i="2"/>
  <c r="AA147" i="2"/>
  <c r="Y44" i="2"/>
  <c r="W95" i="2"/>
  <c r="AA95" i="2"/>
  <c r="Y131" i="2"/>
  <c r="AA58" i="2"/>
  <c r="X44" i="2"/>
  <c r="AA111" i="2"/>
  <c r="X156" i="2"/>
  <c r="AA92" i="2"/>
  <c r="AA128" i="2"/>
  <c r="Z53" i="2"/>
  <c r="X123" i="2"/>
  <c r="AA44" i="2"/>
  <c r="Y140" i="2"/>
  <c r="X140" i="2"/>
  <c r="Y53" i="2"/>
  <c r="AA49" i="2"/>
  <c r="W152" i="2"/>
  <c r="W83" i="2"/>
  <c r="AA83" i="2"/>
  <c r="X125" i="2"/>
  <c r="X96" i="2"/>
  <c r="X53" i="2"/>
  <c r="W116" i="2"/>
  <c r="AA116" i="2"/>
  <c r="Y92" i="2"/>
  <c r="W35" i="2"/>
  <c r="AA35" i="2"/>
  <c r="AA13" i="2"/>
  <c r="Z92" i="2"/>
  <c r="Y123" i="2"/>
  <c r="X50" i="2"/>
  <c r="AA50" i="2"/>
  <c r="Y50" i="2"/>
  <c r="Z50" i="2"/>
  <c r="Z120" i="2"/>
  <c r="X120" i="2"/>
  <c r="Y120" i="2"/>
  <c r="AA120" i="2"/>
  <c r="W124" i="2"/>
  <c r="AA124" i="2"/>
  <c r="AA150" i="2"/>
  <c r="X47" i="2"/>
  <c r="Z47" i="2"/>
  <c r="Y47" i="2"/>
  <c r="AA47" i="2"/>
  <c r="AA88" i="2"/>
  <c r="AA76" i="2"/>
  <c r="W151" i="2"/>
  <c r="AA151" i="2"/>
  <c r="X127" i="2"/>
  <c r="Y127" i="2"/>
  <c r="Z127" i="2"/>
  <c r="W103" i="2"/>
  <c r="W79" i="2"/>
  <c r="AA79" i="2"/>
  <c r="W55" i="2"/>
  <c r="AA55" i="2"/>
  <c r="W43" i="2"/>
  <c r="AA43" i="2"/>
  <c r="X19" i="2"/>
  <c r="Y19" i="2"/>
  <c r="X104" i="2"/>
  <c r="Z104" i="2"/>
  <c r="Y104" i="2"/>
  <c r="Z19" i="2"/>
  <c r="Z138" i="2"/>
  <c r="X138" i="2"/>
  <c r="Z114" i="2"/>
  <c r="Y114" i="2"/>
  <c r="AA114" i="2"/>
  <c r="Z90" i="2"/>
  <c r="X90" i="2"/>
  <c r="Z66" i="2"/>
  <c r="AA66" i="2"/>
  <c r="Y101" i="2"/>
  <c r="Z101" i="2"/>
  <c r="AA101" i="2"/>
  <c r="AA139" i="2"/>
  <c r="X143" i="2"/>
  <c r="Y143" i="2"/>
  <c r="X101" i="2"/>
  <c r="X148" i="2"/>
  <c r="Y148" i="2"/>
  <c r="Z148" i="2"/>
  <c r="X112" i="2"/>
  <c r="Y112" i="2"/>
  <c r="X88" i="2"/>
  <c r="Y88" i="2"/>
  <c r="X76" i="2"/>
  <c r="Y76" i="2"/>
  <c r="X64" i="2"/>
  <c r="Y64" i="2"/>
  <c r="W40" i="2"/>
  <c r="AA40" i="2"/>
  <c r="W28" i="2"/>
  <c r="AA28" i="2"/>
  <c r="W16" i="2"/>
  <c r="AA16" i="2"/>
  <c r="Z33" i="2"/>
  <c r="X33" i="2"/>
  <c r="Y33" i="2"/>
  <c r="X14" i="2"/>
  <c r="Y14" i="2"/>
  <c r="Z14" i="2"/>
  <c r="AA138" i="2"/>
  <c r="Z112" i="2"/>
  <c r="AA100" i="2"/>
  <c r="Y137" i="2"/>
  <c r="AA137" i="2"/>
  <c r="Z137" i="2"/>
  <c r="X137" i="2"/>
  <c r="X10" i="2"/>
  <c r="Y10" i="2"/>
  <c r="Z10" i="2"/>
  <c r="AA144" i="2"/>
  <c r="Y138" i="2"/>
  <c r="W158" i="2"/>
  <c r="W38" i="2"/>
  <c r="Z5" i="2"/>
  <c r="X5" i="2"/>
  <c r="Y144" i="2"/>
  <c r="X73" i="2"/>
  <c r="Y73" i="2"/>
  <c r="Z73" i="2"/>
  <c r="X37" i="2"/>
  <c r="Y37" i="2"/>
  <c r="X49" i="2"/>
  <c r="Y49" i="2"/>
  <c r="Z49" i="2"/>
  <c r="AA134" i="2"/>
  <c r="AA90" i="2"/>
  <c r="Z26" i="2"/>
  <c r="Z87" i="2"/>
  <c r="X87" i="2"/>
  <c r="Y87" i="2"/>
  <c r="AA87" i="2"/>
  <c r="X25" i="2"/>
  <c r="Y25" i="2"/>
  <c r="Z25" i="2"/>
  <c r="AA143" i="2"/>
  <c r="Y90" i="2"/>
  <c r="Y26" i="2"/>
  <c r="Z69" i="2"/>
  <c r="X69" i="2"/>
  <c r="Y69" i="2"/>
  <c r="Z24" i="2"/>
  <c r="X24" i="2"/>
  <c r="Y24" i="2"/>
  <c r="Y150" i="2"/>
  <c r="Y134" i="2"/>
  <c r="W110" i="2"/>
  <c r="Z68" i="2"/>
  <c r="X68" i="2"/>
  <c r="Y68" i="2"/>
  <c r="AA68" i="2"/>
  <c r="X150" i="2"/>
  <c r="Y66" i="2"/>
  <c r="Y41" i="2"/>
  <c r="X41" i="2"/>
  <c r="Z41" i="2"/>
  <c r="AA41" i="2"/>
  <c r="Z88" i="2"/>
  <c r="Z76" i="2"/>
  <c r="X66" i="2"/>
  <c r="Y32" i="2"/>
  <c r="X139" i="2"/>
  <c r="Y139" i="2"/>
  <c r="W115" i="2"/>
  <c r="AA115" i="2"/>
  <c r="W91" i="2"/>
  <c r="AA91" i="2"/>
  <c r="W67" i="2"/>
  <c r="AA67" i="2"/>
  <c r="X31" i="2"/>
  <c r="Y31" i="2"/>
  <c r="W7" i="2"/>
  <c r="AA7" i="2"/>
  <c r="X145" i="2"/>
  <c r="Y145" i="2"/>
  <c r="Z145" i="2"/>
  <c r="X82" i="2"/>
  <c r="Y82" i="2"/>
  <c r="Z82" i="2"/>
  <c r="AA82" i="2"/>
  <c r="AA104" i="2"/>
  <c r="AA31" i="2"/>
  <c r="Z126" i="2"/>
  <c r="X126" i="2"/>
  <c r="Y126" i="2"/>
  <c r="AA126" i="2"/>
  <c r="Z102" i="2"/>
  <c r="X102" i="2"/>
  <c r="AA102" i="2"/>
  <c r="Z78" i="2"/>
  <c r="X78" i="2"/>
  <c r="X121" i="2"/>
  <c r="Y121" i="2"/>
  <c r="Z121" i="2"/>
  <c r="Y102" i="2"/>
  <c r="Z99" i="2"/>
  <c r="X99" i="2"/>
  <c r="Z139" i="2"/>
  <c r="W136" i="2"/>
  <c r="AA136" i="2"/>
  <c r="X100" i="2"/>
  <c r="Y100" i="2"/>
  <c r="W52" i="2"/>
  <c r="AA52" i="2"/>
  <c r="X122" i="2"/>
  <c r="Y122" i="2"/>
  <c r="W98" i="2"/>
  <c r="W74" i="2"/>
  <c r="AA74" i="2"/>
  <c r="W62" i="2"/>
  <c r="AA14" i="2"/>
  <c r="Z9" i="2"/>
  <c r="X9" i="2"/>
  <c r="Y9" i="2"/>
  <c r="AA99" i="2"/>
  <c r="AA26" i="2"/>
  <c r="X97" i="2"/>
  <c r="Y97" i="2"/>
  <c r="Z97" i="2"/>
  <c r="X8" i="2"/>
  <c r="AA8" i="2"/>
  <c r="Y8" i="2"/>
  <c r="Z8" i="2"/>
  <c r="X144" i="2"/>
  <c r="Y99" i="2"/>
  <c r="AA78" i="2"/>
  <c r="X70" i="2"/>
  <c r="Y70" i="2"/>
  <c r="Z70" i="2"/>
  <c r="AA70" i="2"/>
  <c r="Z48" i="2"/>
  <c r="X48" i="2"/>
  <c r="Y48" i="2"/>
  <c r="AA5" i="2"/>
  <c r="Z134" i="2"/>
  <c r="Y78" i="2"/>
  <c r="W86" i="2"/>
  <c r="Y5" i="2"/>
  <c r="Z143" i="2"/>
  <c r="AA127" i="2"/>
  <c r="Z129" i="2"/>
  <c r="X129" i="2"/>
  <c r="Y129" i="2"/>
  <c r="X85" i="2"/>
  <c r="Y85" i="2"/>
  <c r="Z85" i="2"/>
  <c r="Z32" i="2"/>
  <c r="X106" i="2"/>
  <c r="Y106" i="2"/>
  <c r="Z106" i="2"/>
  <c r="Z84" i="2"/>
  <c r="AA84" i="2"/>
  <c r="X65" i="2"/>
  <c r="Z65" i="2"/>
  <c r="Y65" i="2"/>
  <c r="AA65" i="2"/>
  <c r="AA32" i="2"/>
  <c r="W146" i="2"/>
  <c r="Z105" i="2"/>
  <c r="X105" i="2"/>
  <c r="Y105" i="2"/>
  <c r="Z63" i="2"/>
  <c r="AA63" i="2"/>
  <c r="X63" i="2"/>
  <c r="AA148" i="2"/>
  <c r="AA106" i="2"/>
  <c r="Y84" i="2"/>
  <c r="AA64" i="2"/>
  <c r="AA19" i="2"/>
  <c r="AA10" i="2"/>
  <c r="AA145" i="2"/>
  <c r="AA121" i="2"/>
  <c r="W109" i="2"/>
  <c r="AA109" i="2"/>
  <c r="AA85" i="2"/>
  <c r="W61" i="2"/>
  <c r="AA61" i="2"/>
  <c r="AA25" i="2"/>
  <c r="X58" i="2"/>
  <c r="Y58" i="2"/>
  <c r="X22" i="2"/>
  <c r="Y22" i="2"/>
  <c r="AA80" i="2"/>
  <c r="X11" i="2"/>
  <c r="Z11" i="2"/>
  <c r="AA11" i="2"/>
  <c r="Y11" i="2"/>
  <c r="Z153" i="2"/>
  <c r="X153" i="2"/>
  <c r="Y153" i="2"/>
  <c r="Z117" i="2"/>
  <c r="X117" i="2"/>
  <c r="Y117" i="2"/>
  <c r="Z22" i="2"/>
  <c r="AA153" i="2"/>
  <c r="W141" i="2"/>
  <c r="AA105" i="2"/>
  <c r="AA81" i="2"/>
  <c r="AA57" i="2"/>
  <c r="W45" i="2"/>
  <c r="AA21" i="2"/>
  <c r="AA9" i="2"/>
  <c r="Y149" i="2"/>
  <c r="AA149" i="2"/>
  <c r="Z149" i="2"/>
  <c r="Y113" i="2"/>
  <c r="AA113" i="2"/>
  <c r="Z113" i="2"/>
  <c r="AA156" i="2"/>
  <c r="AA140" i="2"/>
  <c r="AA135" i="2"/>
  <c r="AA119" i="2"/>
  <c r="Y108" i="2"/>
  <c r="AA96" i="2"/>
  <c r="X80" i="2"/>
  <c r="Y21" i="2"/>
  <c r="W157" i="2"/>
  <c r="AA157" i="2"/>
  <c r="AA97" i="2"/>
  <c r="AA73" i="2"/>
  <c r="X13" i="2"/>
  <c r="Y13" i="2"/>
  <c r="Z81" i="2"/>
  <c r="X81" i="2"/>
  <c r="Y81" i="2"/>
  <c r="Z39" i="2"/>
  <c r="AA39" i="2"/>
  <c r="Y154" i="2"/>
  <c r="X118" i="2"/>
  <c r="Y118" i="2"/>
  <c r="W133" i="2"/>
  <c r="Z80" i="2"/>
  <c r="AA22" i="2"/>
  <c r="X56" i="2"/>
  <c r="Z56" i="2"/>
  <c r="Y56" i="2"/>
  <c r="X20" i="2"/>
  <c r="Y20" i="2"/>
  <c r="Z20" i="2"/>
  <c r="AA108" i="2"/>
  <c r="AA129" i="2"/>
  <c r="AA117" i="2"/>
  <c r="W93" i="2"/>
  <c r="AA93" i="2"/>
  <c r="AA69" i="2"/>
  <c r="AA33" i="2"/>
  <c r="AA56" i="2"/>
  <c r="AA20" i="2"/>
  <c r="X130" i="2"/>
  <c r="Y130" i="2"/>
  <c r="Y89" i="2"/>
  <c r="AA89" i="2"/>
  <c r="Z89" i="2"/>
  <c r="Z51" i="2"/>
  <c r="AA51" i="2"/>
  <c r="X51" i="2"/>
  <c r="Y51" i="2"/>
  <c r="X34" i="2"/>
  <c r="Y34" i="2"/>
  <c r="AA34" i="2"/>
  <c r="Z34" i="2"/>
  <c r="Z15" i="2"/>
  <c r="AA15" i="2"/>
  <c r="X15" i="2"/>
  <c r="Y15" i="2"/>
  <c r="Y156" i="2"/>
  <c r="Y135" i="2"/>
  <c r="AA130" i="2"/>
  <c r="X108" i="2"/>
  <c r="Y96" i="2"/>
  <c r="AA72" i="2"/>
  <c r="X21" i="2"/>
  <c r="AA36" i="2"/>
  <c r="X142" i="2"/>
  <c r="Y142" i="2"/>
  <c r="W12" i="2"/>
  <c r="Z125" i="2"/>
  <c r="Z77" i="2"/>
  <c r="Y29" i="2"/>
  <c r="AA48" i="2"/>
  <c r="AA24" i="2"/>
  <c r="X94" i="2"/>
  <c r="Y94" i="2"/>
  <c r="AA125" i="2"/>
  <c r="AA77" i="2"/>
  <c r="Z29" i="2"/>
  <c r="W60" i="2"/>
  <c r="AA60" i="2"/>
  <c r="Z27" i="2"/>
  <c r="AA27" i="2"/>
  <c r="W54" i="2"/>
  <c r="W42" i="2"/>
  <c r="W30" i="2"/>
  <c r="W18" i="2"/>
  <c r="W6" i="2"/>
  <c r="AA6" i="2"/>
  <c r="BA112" i="1"/>
  <c r="AK19" i="1"/>
  <c r="BF19" i="1"/>
  <c r="AK42" i="1"/>
  <c r="BF42" i="1"/>
  <c r="AO59" i="1"/>
  <c r="BJ59" i="1"/>
  <c r="BK112" i="1"/>
  <c r="BN112" i="1"/>
  <c r="AO26" i="1"/>
  <c r="BJ26" i="1"/>
  <c r="AO20" i="1"/>
  <c r="BJ20" i="1"/>
  <c r="AO65" i="1"/>
  <c r="BJ65" i="1"/>
  <c r="AO41" i="1"/>
  <c r="BJ41" i="1"/>
  <c r="AO21" i="1"/>
  <c r="BJ21" i="1"/>
  <c r="AO39" i="1"/>
  <c r="BJ39" i="1"/>
  <c r="AO62" i="1"/>
  <c r="BJ62" i="1"/>
  <c r="AO63" i="1"/>
  <c r="BJ63" i="1"/>
  <c r="AO38" i="1"/>
  <c r="BJ38" i="1"/>
  <c r="AO51" i="1"/>
  <c r="BJ51" i="1"/>
  <c r="AO50" i="1"/>
  <c r="BJ50" i="1"/>
  <c r="AO36" i="1"/>
  <c r="BJ36" i="1"/>
  <c r="AO48" i="1"/>
  <c r="BJ48" i="1"/>
  <c r="AO47" i="1"/>
  <c r="BJ47" i="1"/>
  <c r="AO58" i="1"/>
  <c r="BJ58" i="1"/>
  <c r="AO46" i="1"/>
  <c r="BJ46" i="1"/>
  <c r="AO60" i="1"/>
  <c r="BJ60" i="1"/>
  <c r="AO66" i="1"/>
  <c r="BJ66" i="1"/>
  <c r="AO54" i="1"/>
  <c r="BJ54" i="1"/>
  <c r="AO42" i="1"/>
  <c r="AO55" i="1"/>
  <c r="BJ55" i="1"/>
  <c r="AO67" i="1"/>
  <c r="AO34" i="1"/>
  <c r="BJ34" i="1"/>
  <c r="AO43" i="1"/>
  <c r="BJ43" i="1"/>
  <c r="AO29" i="1"/>
  <c r="BJ29" i="1"/>
  <c r="AO17" i="1"/>
  <c r="BJ17" i="1"/>
  <c r="AO53" i="1"/>
  <c r="BJ53" i="1"/>
  <c r="AO11" i="1"/>
  <c r="BJ11" i="1"/>
  <c r="AO37" i="1"/>
  <c r="BJ37" i="1"/>
  <c r="AO24" i="1"/>
  <c r="BJ24" i="1"/>
  <c r="AO19" i="1"/>
  <c r="AO8" i="1"/>
  <c r="BJ8" i="1"/>
  <c r="AO64" i="1"/>
  <c r="BJ64" i="1"/>
  <c r="AO52" i="1"/>
  <c r="BJ52" i="1"/>
  <c r="AO40" i="1"/>
  <c r="BJ40" i="1"/>
  <c r="AO30" i="1"/>
  <c r="BJ30" i="1"/>
  <c r="AO18" i="1"/>
  <c r="BJ18" i="1"/>
  <c r="AO28" i="1"/>
  <c r="BJ28" i="1"/>
  <c r="AO16" i="1"/>
  <c r="BJ16" i="1"/>
  <c r="AO61" i="1"/>
  <c r="BJ61" i="1"/>
  <c r="AO49" i="1"/>
  <c r="AO27" i="1"/>
  <c r="BJ27" i="1"/>
  <c r="AO14" i="1"/>
  <c r="BJ14" i="1"/>
  <c r="AO25" i="1"/>
  <c r="BJ25" i="1"/>
  <c r="AO10" i="1"/>
  <c r="BJ10" i="1"/>
  <c r="AO4" i="1"/>
  <c r="AO9" i="1"/>
  <c r="BJ9" i="1"/>
  <c r="AO23" i="1"/>
  <c r="BJ23" i="1"/>
  <c r="AO68" i="1"/>
  <c r="BJ68" i="1"/>
  <c r="AO56" i="1"/>
  <c r="BJ56" i="1"/>
  <c r="AO44" i="1"/>
  <c r="BJ44" i="1"/>
  <c r="AO22" i="1"/>
  <c r="BJ22" i="1"/>
  <c r="AO69" i="1"/>
  <c r="BJ69" i="1"/>
  <c r="AO57" i="1"/>
  <c r="BJ57" i="1"/>
  <c r="AO45" i="1"/>
  <c r="BJ45" i="1"/>
  <c r="AQ5" i="1"/>
  <c r="S112" i="1"/>
  <c r="BJ4" i="1"/>
  <c r="AM112" i="1"/>
  <c r="BH112" i="1"/>
  <c r="AO6" i="1"/>
  <c r="BJ6" i="1"/>
  <c r="AO5" i="1"/>
  <c r="BJ5" i="1"/>
  <c r="AO13" i="1"/>
  <c r="BJ13" i="1"/>
  <c r="AO12" i="1"/>
  <c r="BJ12" i="1"/>
  <c r="AO32" i="1"/>
  <c r="BJ32" i="1"/>
  <c r="AO33" i="1"/>
  <c r="BJ33" i="1"/>
  <c r="AO31" i="1"/>
  <c r="BJ31" i="1"/>
  <c r="BJ49" i="1"/>
  <c r="BJ67" i="1"/>
  <c r="X154" i="2"/>
  <c r="Z132" i="2"/>
  <c r="X132" i="2"/>
  <c r="Y46" i="2"/>
  <c r="X46" i="2"/>
  <c r="AA132" i="2"/>
  <c r="AA154" i="2"/>
  <c r="AA23" i="2"/>
  <c r="Y23" i="2"/>
  <c r="Z23" i="2"/>
  <c r="AA46" i="2"/>
  <c r="BP112" i="1"/>
  <c r="AO7" i="1"/>
  <c r="BJ7" i="1"/>
  <c r="AQ7" i="1"/>
  <c r="Y83" i="2"/>
  <c r="Z83" i="2"/>
  <c r="X83" i="2"/>
  <c r="Y152" i="2"/>
  <c r="Z152" i="2"/>
  <c r="X152" i="2"/>
  <c r="Z95" i="2"/>
  <c r="Y95" i="2"/>
  <c r="X95" i="2"/>
  <c r="X116" i="2"/>
  <c r="Y116" i="2"/>
  <c r="Z116" i="2"/>
  <c r="Z75" i="2"/>
  <c r="X75" i="2"/>
  <c r="Y75" i="2"/>
  <c r="X35" i="2"/>
  <c r="Z35" i="2"/>
  <c r="Y35" i="2"/>
  <c r="AA152" i="2"/>
  <c r="Z18" i="2"/>
  <c r="X18" i="2"/>
  <c r="Y18" i="2"/>
  <c r="Z141" i="2"/>
  <c r="X141" i="2"/>
  <c r="Y141" i="2"/>
  <c r="X86" i="2"/>
  <c r="Y86" i="2"/>
  <c r="Z86" i="2"/>
  <c r="X103" i="2"/>
  <c r="Y103" i="2"/>
  <c r="Z103" i="2"/>
  <c r="Z30" i="2"/>
  <c r="X30" i="2"/>
  <c r="Y30" i="2"/>
  <c r="X38" i="2"/>
  <c r="Z38" i="2"/>
  <c r="Y38" i="2"/>
  <c r="AA18" i="2"/>
  <c r="Z42" i="2"/>
  <c r="X42" i="2"/>
  <c r="Y42" i="2"/>
  <c r="AA38" i="2"/>
  <c r="X16" i="2"/>
  <c r="Y16" i="2"/>
  <c r="Z16" i="2"/>
  <c r="X124" i="2"/>
  <c r="Y124" i="2"/>
  <c r="Z124" i="2"/>
  <c r="Z54" i="2"/>
  <c r="X54" i="2"/>
  <c r="Y54" i="2"/>
  <c r="X146" i="2"/>
  <c r="Z146" i="2"/>
  <c r="Y146" i="2"/>
  <c r="Z62" i="2"/>
  <c r="X62" i="2"/>
  <c r="Y62" i="2"/>
  <c r="X52" i="2"/>
  <c r="Y52" i="2"/>
  <c r="Z52" i="2"/>
  <c r="X7" i="2"/>
  <c r="Y7" i="2"/>
  <c r="Z7" i="2"/>
  <c r="AA86" i="2"/>
  <c r="AA62" i="2"/>
  <c r="X110" i="2"/>
  <c r="Y110" i="2"/>
  <c r="Z110" i="2"/>
  <c r="AA110" i="2"/>
  <c r="X28" i="2"/>
  <c r="Y28" i="2"/>
  <c r="Z28" i="2"/>
  <c r="X158" i="2"/>
  <c r="Z158" i="2"/>
  <c r="Y158" i="2"/>
  <c r="X151" i="2"/>
  <c r="Y151" i="2"/>
  <c r="Z151" i="2"/>
  <c r="Z12" i="2"/>
  <c r="X12" i="2"/>
  <c r="Y12" i="2"/>
  <c r="Z45" i="2"/>
  <c r="X45" i="2"/>
  <c r="Y45" i="2"/>
  <c r="X74" i="2"/>
  <c r="Y74" i="2"/>
  <c r="Z74" i="2"/>
  <c r="AA30" i="2"/>
  <c r="X40" i="2"/>
  <c r="Y40" i="2"/>
  <c r="Z40" i="2"/>
  <c r="Z60" i="2"/>
  <c r="X60" i="2"/>
  <c r="Y60" i="2"/>
  <c r="Z93" i="2"/>
  <c r="X93" i="2"/>
  <c r="Y93" i="2"/>
  <c r="X133" i="2"/>
  <c r="Y133" i="2"/>
  <c r="Z133" i="2"/>
  <c r="AA45" i="2"/>
  <c r="X98" i="2"/>
  <c r="Y98" i="2"/>
  <c r="Z98" i="2"/>
  <c r="AA54" i="2"/>
  <c r="X67" i="2"/>
  <c r="Y67" i="2"/>
  <c r="Z67" i="2"/>
  <c r="AA42" i="2"/>
  <c r="AA133" i="2"/>
  <c r="X61" i="2"/>
  <c r="Y61" i="2"/>
  <c r="Z61" i="2"/>
  <c r="X91" i="2"/>
  <c r="Y91" i="2"/>
  <c r="Z91" i="2"/>
  <c r="AA158" i="2"/>
  <c r="X43" i="2"/>
  <c r="Y43" i="2"/>
  <c r="Z43" i="2"/>
  <c r="X136" i="2"/>
  <c r="Y136" i="2"/>
  <c r="Z136" i="2"/>
  <c r="AA98" i="2"/>
  <c r="X55" i="2"/>
  <c r="Y55" i="2"/>
  <c r="Z55" i="2"/>
  <c r="X79" i="2"/>
  <c r="Y79" i="2"/>
  <c r="Z79" i="2"/>
  <c r="Z6" i="2"/>
  <c r="X6" i="2"/>
  <c r="Y6" i="2"/>
  <c r="AA12" i="2"/>
  <c r="X157" i="2"/>
  <c r="Y157" i="2"/>
  <c r="Z157" i="2"/>
  <c r="AA141" i="2"/>
  <c r="X109" i="2"/>
  <c r="Y109" i="2"/>
  <c r="Z109" i="2"/>
  <c r="AA146" i="2"/>
  <c r="X115" i="2"/>
  <c r="Y115" i="2"/>
  <c r="Z115" i="2"/>
  <c r="AA103" i="2"/>
  <c r="AR19" i="1"/>
  <c r="AU19" i="1"/>
  <c r="BJ19" i="1"/>
  <c r="AL42" i="1"/>
  <c r="BG42" i="1"/>
  <c r="AR42" i="1"/>
  <c r="AS42" i="1"/>
  <c r="BJ42" i="1"/>
  <c r="AL19" i="1"/>
  <c r="BG19" i="1"/>
  <c r="AO112" i="1"/>
  <c r="BL5" i="1"/>
  <c r="AQ112" i="1"/>
  <c r="BL112" i="1"/>
  <c r="BL7" i="1"/>
  <c r="AS19" i="1"/>
  <c r="AV19" i="1"/>
  <c r="BO19" i="1"/>
  <c r="AX42" i="1"/>
  <c r="BM42" i="1"/>
  <c r="AU42" i="1"/>
  <c r="AX19" i="1"/>
  <c r="BM19" i="1"/>
  <c r="BJ112" i="1"/>
  <c r="AO115" i="1"/>
  <c r="AY19" i="1"/>
  <c r="BQ19" i="1"/>
  <c r="AV42" i="1"/>
  <c r="BO42" i="1"/>
  <c r="AY42" i="1"/>
  <c r="BQ42" i="1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AA17" i="1"/>
  <c r="AA21" i="1"/>
  <c r="AA34" i="1"/>
  <c r="AA18" i="1"/>
  <c r="AA13" i="1"/>
  <c r="AA22" i="1"/>
  <c r="AA23" i="1"/>
  <c r="AA31" i="1"/>
  <c r="AA32" i="1"/>
  <c r="AA33" i="1"/>
  <c r="AA16" i="1"/>
  <c r="AA24" i="1"/>
  <c r="AA12" i="1"/>
  <c r="AA20" i="1"/>
  <c r="AA25" i="1"/>
  <c r="AA26" i="1"/>
  <c r="AA27" i="1"/>
  <c r="AA28" i="1"/>
  <c r="AA29" i="1"/>
  <c r="C5" i="2"/>
  <c r="C6" i="2"/>
  <c r="C7" i="2"/>
  <c r="C8" i="2"/>
  <c r="C9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AK71" i="1"/>
  <c r="AL71" i="1"/>
  <c r="AB34" i="1"/>
  <c r="AG34" i="1"/>
  <c r="AB22" i="1"/>
  <c r="AG22" i="1"/>
  <c r="AB25" i="1"/>
  <c r="AG25" i="1"/>
  <c r="AB30" i="1"/>
  <c r="AG30" i="1"/>
  <c r="AB33" i="1"/>
  <c r="AG33" i="1"/>
  <c r="AB12" i="1"/>
  <c r="AG12" i="1"/>
  <c r="AB16" i="1"/>
  <c r="AG16" i="1"/>
  <c r="AB20" i="1"/>
  <c r="AG20" i="1"/>
  <c r="AB23" i="1"/>
  <c r="AG23" i="1"/>
  <c r="AB27" i="1"/>
  <c r="AG27" i="1"/>
  <c r="AB29" i="1"/>
  <c r="AG29" i="1"/>
  <c r="AB32" i="1"/>
  <c r="AG32" i="1"/>
  <c r="AB13" i="1"/>
  <c r="AG13" i="1"/>
  <c r="AB18" i="1"/>
  <c r="AG18" i="1"/>
  <c r="AB21" i="1"/>
  <c r="AG21" i="1"/>
  <c r="AB24" i="1"/>
  <c r="AG24" i="1"/>
  <c r="AB26" i="1"/>
  <c r="AG26" i="1"/>
  <c r="AB28" i="1"/>
  <c r="AG28" i="1"/>
  <c r="AB31" i="1"/>
  <c r="AG31" i="1"/>
  <c r="AC19" i="1"/>
  <c r="BB19" i="1"/>
  <c r="AD35" i="1"/>
  <c r="AE15" i="1"/>
  <c r="AE35" i="1"/>
  <c r="AC35" i="1"/>
  <c r="AF35" i="1"/>
  <c r="AC15" i="1"/>
  <c r="AD15" i="1"/>
  <c r="AF15" i="1"/>
  <c r="AB17" i="1"/>
  <c r="AG17" i="1"/>
  <c r="BC42" i="1"/>
  <c r="AB5" i="1"/>
  <c r="AG5" i="1"/>
  <c r="BE42" i="1"/>
  <c r="BD42" i="1"/>
  <c r="AB10" i="1"/>
  <c r="AG10" i="1"/>
  <c r="AF10" i="1"/>
  <c r="BE10" i="1"/>
  <c r="AF19" i="1"/>
  <c r="BE19" i="1"/>
  <c r="AB4" i="1"/>
  <c r="AD19" i="1"/>
  <c r="BC19" i="1"/>
  <c r="AE19" i="1"/>
  <c r="BD19" i="1"/>
  <c r="AB6" i="1"/>
  <c r="AG6" i="1"/>
  <c r="BF6" i="1"/>
  <c r="AB9" i="1"/>
  <c r="AG9" i="1"/>
  <c r="AK9" i="1"/>
  <c r="BG9" i="1"/>
  <c r="AB14" i="1"/>
  <c r="AG14" i="1"/>
  <c r="AE14" i="1"/>
  <c r="BD14" i="1"/>
  <c r="AB11" i="1"/>
  <c r="AG11" i="1"/>
  <c r="BF11" i="1"/>
  <c r="AB8" i="1"/>
  <c r="AG8" i="1"/>
  <c r="BF8" i="1"/>
  <c r="AB7" i="1"/>
  <c r="AG7" i="1"/>
  <c r="BB42" i="1"/>
  <c r="BE71" i="1"/>
  <c r="BB63" i="1"/>
  <c r="BC63" i="1"/>
  <c r="BD63" i="1"/>
  <c r="BC66" i="1"/>
  <c r="BD66" i="1"/>
  <c r="BB66" i="1"/>
  <c r="BE66" i="1"/>
  <c r="BC37" i="1"/>
  <c r="BB37" i="1"/>
  <c r="BD37" i="1"/>
  <c r="BE37" i="1"/>
  <c r="BD40" i="1"/>
  <c r="BB40" i="1"/>
  <c r="BE40" i="1"/>
  <c r="BC40" i="1"/>
  <c r="BC57" i="1"/>
  <c r="BE57" i="1"/>
  <c r="BB57" i="1"/>
  <c r="BD57" i="1"/>
  <c r="BB52" i="1"/>
  <c r="BC52" i="1"/>
  <c r="BD52" i="1"/>
  <c r="BE52" i="1"/>
  <c r="BC62" i="1"/>
  <c r="BD62" i="1"/>
  <c r="BE62" i="1"/>
  <c r="BB62" i="1"/>
  <c r="BB59" i="1"/>
  <c r="BC59" i="1"/>
  <c r="BD59" i="1"/>
  <c r="BE59" i="1"/>
  <c r="BB47" i="1"/>
  <c r="BC47" i="1"/>
  <c r="BE47" i="1"/>
  <c r="BD47" i="1"/>
  <c r="BD46" i="1"/>
  <c r="BB46" i="1"/>
  <c r="BC46" i="1"/>
  <c r="BE46" i="1"/>
  <c r="BB43" i="1"/>
  <c r="BC43" i="1"/>
  <c r="BE43" i="1"/>
  <c r="BD43" i="1"/>
  <c r="BC50" i="1"/>
  <c r="BD50" i="1"/>
  <c r="BE50" i="1"/>
  <c r="BB50" i="1"/>
  <c r="BB55" i="1"/>
  <c r="BC55" i="1"/>
  <c r="BD55" i="1"/>
  <c r="BE69" i="1"/>
  <c r="BD69" i="1"/>
  <c r="BC69" i="1"/>
  <c r="BB69" i="1"/>
  <c r="BB64" i="1"/>
  <c r="BC64" i="1"/>
  <c r="BD64" i="1"/>
  <c r="BB44" i="1"/>
  <c r="BD44" i="1"/>
  <c r="BE44" i="1"/>
  <c r="BC44" i="1"/>
  <c r="BD54" i="1"/>
  <c r="BB54" i="1"/>
  <c r="BC54" i="1"/>
  <c r="BE54" i="1"/>
  <c r="BB38" i="1"/>
  <c r="BC38" i="1"/>
  <c r="BD38" i="1"/>
  <c r="BE38" i="1"/>
  <c r="BD53" i="1"/>
  <c r="BE53" i="1"/>
  <c r="BB53" i="1"/>
  <c r="BC53" i="1"/>
  <c r="BB51" i="1"/>
  <c r="BC51" i="1"/>
  <c r="BD51" i="1"/>
  <c r="BE51" i="1"/>
  <c r="BB39" i="1"/>
  <c r="BC39" i="1"/>
  <c r="BE39" i="1"/>
  <c r="BD39" i="1"/>
  <c r="BD61" i="1"/>
  <c r="BE61" i="1"/>
  <c r="BC61" i="1"/>
  <c r="BB61" i="1"/>
  <c r="BC71" i="1"/>
  <c r="BD71" i="1"/>
  <c r="BB71" i="1"/>
  <c r="BB58" i="1"/>
  <c r="BC58" i="1"/>
  <c r="BE58" i="1"/>
  <c r="BD58" i="1"/>
  <c r="BE60" i="1"/>
  <c r="BB60" i="1"/>
  <c r="BC60" i="1"/>
  <c r="BD60" i="1"/>
  <c r="BD65" i="1"/>
  <c r="BC65" i="1"/>
  <c r="BE65" i="1"/>
  <c r="BC45" i="1"/>
  <c r="BD45" i="1"/>
  <c r="BE45" i="1"/>
  <c r="BB45" i="1"/>
  <c r="BB56" i="1"/>
  <c r="BE56" i="1"/>
  <c r="BC56" i="1"/>
  <c r="BD56" i="1"/>
  <c r="BD41" i="1"/>
  <c r="BC41" i="1"/>
  <c r="BB41" i="1"/>
  <c r="BE41" i="1"/>
  <c r="BE48" i="1"/>
  <c r="BC48" i="1"/>
  <c r="BD48" i="1"/>
  <c r="BB48" i="1"/>
  <c r="BD68" i="1"/>
  <c r="BE68" i="1"/>
  <c r="BB68" i="1"/>
  <c r="BC68" i="1"/>
  <c r="BB70" i="1"/>
  <c r="BE70" i="1"/>
  <c r="BC70" i="1"/>
  <c r="BD70" i="1"/>
  <c r="BF71" i="1"/>
  <c r="AK70" i="1"/>
  <c r="BF70" i="1"/>
  <c r="AG4" i="1"/>
  <c r="AF14" i="1"/>
  <c r="BE14" i="1"/>
  <c r="AC11" i="1"/>
  <c r="BB11" i="1"/>
  <c r="AD14" i="1"/>
  <c r="BC14" i="1"/>
  <c r="AC8" i="1"/>
  <c r="BB8" i="1"/>
  <c r="AK11" i="1"/>
  <c r="BG11" i="1"/>
  <c r="BF10" i="1"/>
  <c r="AK10" i="1"/>
  <c r="BG10" i="1"/>
  <c r="AD8" i="1"/>
  <c r="BC8" i="1"/>
  <c r="AE8" i="1"/>
  <c r="BD8" i="1"/>
  <c r="AC14" i="1"/>
  <c r="BB14" i="1"/>
  <c r="AF8" i="1"/>
  <c r="BE8" i="1"/>
  <c r="AE11" i="1"/>
  <c r="BD11" i="1"/>
  <c r="AE10" i="1"/>
  <c r="BD10" i="1"/>
  <c r="AD10" i="1"/>
  <c r="BC10" i="1"/>
  <c r="AF11" i="1"/>
  <c r="BE11" i="1"/>
  <c r="AD11" i="1"/>
  <c r="BC11" i="1"/>
  <c r="AC10" i="1"/>
  <c r="BB10" i="1"/>
  <c r="AC6" i="1"/>
  <c r="BB6" i="1"/>
  <c r="AF6" i="1"/>
  <c r="BE6" i="1"/>
  <c r="AK8" i="1"/>
  <c r="AR8" i="1"/>
  <c r="BM8" i="1"/>
  <c r="AE6" i="1"/>
  <c r="BD6" i="1"/>
  <c r="AK6" i="1"/>
  <c r="AC9" i="1"/>
  <c r="BB9" i="1"/>
  <c r="AE9" i="1"/>
  <c r="BD9" i="1"/>
  <c r="AD9" i="1"/>
  <c r="BC9" i="1"/>
  <c r="AD6" i="1"/>
  <c r="BC6" i="1"/>
  <c r="BF9" i="1"/>
  <c r="AF9" i="1"/>
  <c r="BE9" i="1"/>
  <c r="BF14" i="1"/>
  <c r="AK14" i="1"/>
  <c r="AK17" i="1"/>
  <c r="BG17" i="1"/>
  <c r="BF17" i="1"/>
  <c r="AK18" i="1"/>
  <c r="BG18" i="1"/>
  <c r="BF18" i="1"/>
  <c r="AK34" i="1"/>
  <c r="BG34" i="1"/>
  <c r="BF34" i="1"/>
  <c r="AK66" i="1"/>
  <c r="BG66" i="1"/>
  <c r="BF66" i="1"/>
  <c r="AK43" i="1"/>
  <c r="BG43" i="1"/>
  <c r="BF43" i="1"/>
  <c r="AK50" i="1"/>
  <c r="BG50" i="1"/>
  <c r="BF50" i="1"/>
  <c r="AK63" i="1"/>
  <c r="BG63" i="1"/>
  <c r="BF63" i="1"/>
  <c r="AK26" i="1"/>
  <c r="BG26" i="1"/>
  <c r="BF26" i="1"/>
  <c r="AK29" i="1"/>
  <c r="BG29" i="1"/>
  <c r="BF29" i="1"/>
  <c r="AK36" i="1"/>
  <c r="BG36" i="1"/>
  <c r="BF36" i="1"/>
  <c r="AK33" i="1"/>
  <c r="BG33" i="1"/>
  <c r="BF33" i="1"/>
  <c r="AK25" i="1"/>
  <c r="BG25" i="1"/>
  <c r="BF25" i="1"/>
  <c r="AK16" i="1"/>
  <c r="BG16" i="1"/>
  <c r="BF16" i="1"/>
  <c r="AK55" i="1"/>
  <c r="BG55" i="1"/>
  <c r="BF55" i="1"/>
  <c r="AK45" i="1"/>
  <c r="BG45" i="1"/>
  <c r="BF45" i="1"/>
  <c r="AK56" i="1"/>
  <c r="BG56" i="1"/>
  <c r="BF56" i="1"/>
  <c r="AK65" i="1"/>
  <c r="BG65" i="1"/>
  <c r="BF65" i="1"/>
  <c r="AK60" i="1"/>
  <c r="BG60" i="1"/>
  <c r="BF60" i="1"/>
  <c r="AK27" i="1"/>
  <c r="BG27" i="1"/>
  <c r="BF27" i="1"/>
  <c r="AK64" i="1"/>
  <c r="BG64" i="1"/>
  <c r="BF64" i="1"/>
  <c r="AK62" i="1"/>
  <c r="BG62" i="1"/>
  <c r="BF62" i="1"/>
  <c r="AK59" i="1"/>
  <c r="BG59" i="1"/>
  <c r="BF59" i="1"/>
  <c r="AK40" i="1"/>
  <c r="BG40" i="1"/>
  <c r="BF40" i="1"/>
  <c r="AK58" i="1"/>
  <c r="BG58" i="1"/>
  <c r="BF58" i="1"/>
  <c r="AK47" i="1"/>
  <c r="BG47" i="1"/>
  <c r="BF47" i="1"/>
  <c r="AK69" i="1"/>
  <c r="BG69" i="1"/>
  <c r="BF69" i="1"/>
  <c r="AK67" i="1"/>
  <c r="BF67" i="1"/>
  <c r="AK12" i="1"/>
  <c r="BG12" i="1"/>
  <c r="BF12" i="1"/>
  <c r="AK7" i="1"/>
  <c r="BG7" i="1"/>
  <c r="BF7" i="1"/>
  <c r="AK24" i="1"/>
  <c r="BG24" i="1"/>
  <c r="BF24" i="1"/>
  <c r="AK54" i="1"/>
  <c r="BG54" i="1"/>
  <c r="BF54" i="1"/>
  <c r="AK44" i="1"/>
  <c r="BG44" i="1"/>
  <c r="BF44" i="1"/>
  <c r="AK49" i="1"/>
  <c r="BF49" i="1"/>
  <c r="AK5" i="1"/>
  <c r="BG5" i="1"/>
  <c r="BF5" i="1"/>
  <c r="AK57" i="1"/>
  <c r="BG57" i="1"/>
  <c r="BF57" i="1"/>
  <c r="AK52" i="1"/>
  <c r="BG52" i="1"/>
  <c r="BF52" i="1"/>
  <c r="AK30" i="1"/>
  <c r="BG30" i="1"/>
  <c r="BF30" i="1"/>
  <c r="AK23" i="1"/>
  <c r="BG23" i="1"/>
  <c r="BF23" i="1"/>
  <c r="AK20" i="1"/>
  <c r="BG20" i="1"/>
  <c r="BF20" i="1"/>
  <c r="AK51" i="1"/>
  <c r="BG51" i="1"/>
  <c r="BF51" i="1"/>
  <c r="AK38" i="1"/>
  <c r="BG38" i="1"/>
  <c r="BF38" i="1"/>
  <c r="AK53" i="1"/>
  <c r="BG53" i="1"/>
  <c r="BF53" i="1"/>
  <c r="AK37" i="1"/>
  <c r="BG37" i="1"/>
  <c r="BF37" i="1"/>
  <c r="AK13" i="1"/>
  <c r="BG13" i="1"/>
  <c r="BF13" i="1"/>
  <c r="AK22" i="1"/>
  <c r="BG22" i="1"/>
  <c r="BF22" i="1"/>
  <c r="AK21" i="1"/>
  <c r="BG21" i="1"/>
  <c r="BF21" i="1"/>
  <c r="AK41" i="1"/>
  <c r="BG41" i="1"/>
  <c r="BF41" i="1"/>
  <c r="AK39" i="1"/>
  <c r="BG39" i="1"/>
  <c r="BF39" i="1"/>
  <c r="AK61" i="1"/>
  <c r="BG61" i="1"/>
  <c r="BF61" i="1"/>
  <c r="AR9" i="1"/>
  <c r="AU9" i="1"/>
  <c r="AK28" i="1"/>
  <c r="BG28" i="1"/>
  <c r="BF28" i="1"/>
  <c r="AK31" i="1"/>
  <c r="BG31" i="1"/>
  <c r="BF31" i="1"/>
  <c r="AK32" i="1"/>
  <c r="BG32" i="1"/>
  <c r="BF32" i="1"/>
  <c r="AK46" i="1"/>
  <c r="BG46" i="1"/>
  <c r="BF46" i="1"/>
  <c r="AK48" i="1"/>
  <c r="BG48" i="1"/>
  <c r="BF48" i="1"/>
  <c r="AK68" i="1"/>
  <c r="BG68" i="1"/>
  <c r="BF68" i="1"/>
  <c r="AL9" i="1"/>
  <c r="AD32" i="1"/>
  <c r="BC32" i="1"/>
  <c r="AC28" i="1"/>
  <c r="BB28" i="1"/>
  <c r="AF34" i="1"/>
  <c r="BE34" i="1"/>
  <c r="AF32" i="1"/>
  <c r="BE32" i="1"/>
  <c r="AC32" i="1"/>
  <c r="BB32" i="1"/>
  <c r="AC7" i="1"/>
  <c r="BB7" i="1"/>
  <c r="AD7" i="1"/>
  <c r="BC7" i="1"/>
  <c r="AE7" i="1"/>
  <c r="BD7" i="1"/>
  <c r="AF7" i="1"/>
  <c r="BE7" i="1"/>
  <c r="AC5" i="1"/>
  <c r="BB5" i="1"/>
  <c r="AD5" i="1"/>
  <c r="BC5" i="1"/>
  <c r="AE5" i="1"/>
  <c r="BD5" i="1"/>
  <c r="AF5" i="1"/>
  <c r="BE5" i="1"/>
  <c r="AE18" i="1"/>
  <c r="BD18" i="1"/>
  <c r="AF17" i="1"/>
  <c r="BE17" i="1"/>
  <c r="AE17" i="1"/>
  <c r="BD17" i="1"/>
  <c r="AD17" i="1"/>
  <c r="BC17" i="1"/>
  <c r="AC17" i="1"/>
  <c r="BB17" i="1"/>
  <c r="AF28" i="1"/>
  <c r="BE28" i="1"/>
  <c r="AD26" i="1"/>
  <c r="BC26" i="1"/>
  <c r="AC26" i="1"/>
  <c r="BB26" i="1"/>
  <c r="AE26" i="1"/>
  <c r="BD26" i="1"/>
  <c r="AC16" i="1"/>
  <c r="BB16" i="1"/>
  <c r="AF24" i="1"/>
  <c r="BE24" i="1"/>
  <c r="AE24" i="1"/>
  <c r="BD24" i="1"/>
  <c r="AF23" i="1"/>
  <c r="BE23" i="1"/>
  <c r="AD28" i="1"/>
  <c r="BC28" i="1"/>
  <c r="AD12" i="1"/>
  <c r="BC12" i="1"/>
  <c r="AF26" i="1"/>
  <c r="BE26" i="1"/>
  <c r="AE16" i="1"/>
  <c r="BD16" i="1"/>
  <c r="AE23" i="1"/>
  <c r="BD23" i="1"/>
  <c r="AD31" i="1"/>
  <c r="BC31" i="1"/>
  <c r="AF22" i="1"/>
  <c r="BE22" i="1"/>
  <c r="AD27" i="1"/>
  <c r="BC27" i="1"/>
  <c r="AF16" i="1"/>
  <c r="BE16" i="1"/>
  <c r="AC13" i="1"/>
  <c r="BB13" i="1"/>
  <c r="AC23" i="1"/>
  <c r="BB23" i="1"/>
  <c r="AF31" i="1"/>
  <c r="BE31" i="1"/>
  <c r="AE22" i="1"/>
  <c r="BD22" i="1"/>
  <c r="AC27" i="1"/>
  <c r="BB27" i="1"/>
  <c r="AE28" i="1"/>
  <c r="BD28" i="1"/>
  <c r="AD23" i="1"/>
  <c r="BC23" i="1"/>
  <c r="AE31" i="1"/>
  <c r="BD31" i="1"/>
  <c r="AD22" i="1"/>
  <c r="BC22" i="1"/>
  <c r="AF27" i="1"/>
  <c r="BE27" i="1"/>
  <c r="AE32" i="1"/>
  <c r="BD32" i="1"/>
  <c r="AC31" i="1"/>
  <c r="BB31" i="1"/>
  <c r="AC22" i="1"/>
  <c r="BB22" i="1"/>
  <c r="AE27" i="1"/>
  <c r="BD27" i="1"/>
  <c r="BE63" i="1"/>
  <c r="BE64" i="1"/>
  <c r="AF33" i="1"/>
  <c r="BE33" i="1"/>
  <c r="AF30" i="1"/>
  <c r="BE30" i="1"/>
  <c r="AD30" i="1"/>
  <c r="BC30" i="1"/>
  <c r="AC30" i="1"/>
  <c r="BB30" i="1"/>
  <c r="AE30" i="1"/>
  <c r="BD30" i="1"/>
  <c r="AC33" i="1"/>
  <c r="BB33" i="1"/>
  <c r="AE21" i="1"/>
  <c r="BD21" i="1"/>
  <c r="AD20" i="1"/>
  <c r="BC20" i="1"/>
  <c r="AE34" i="1"/>
  <c r="BD34" i="1"/>
  <c r="AD18" i="1"/>
  <c r="BC18" i="1"/>
  <c r="AC12" i="1"/>
  <c r="BB12" i="1"/>
  <c r="AD25" i="1"/>
  <c r="BC25" i="1"/>
  <c r="AC21" i="1"/>
  <c r="BB21" i="1"/>
  <c r="AE29" i="1"/>
  <c r="BD29" i="1"/>
  <c r="BC36" i="1"/>
  <c r="BB36" i="1"/>
  <c r="BD36" i="1"/>
  <c r="BE36" i="1"/>
  <c r="AD16" i="1"/>
  <c r="BC16" i="1"/>
  <c r="AE33" i="1"/>
  <c r="BD33" i="1"/>
  <c r="AD24" i="1"/>
  <c r="BC24" i="1"/>
  <c r="AC24" i="1"/>
  <c r="BB24" i="1"/>
  <c r="AE13" i="1"/>
  <c r="BD13" i="1"/>
  <c r="AE25" i="1"/>
  <c r="BD25" i="1"/>
  <c r="AF20" i="1"/>
  <c r="BE20" i="1"/>
  <c r="AD34" i="1"/>
  <c r="BC34" i="1"/>
  <c r="AF18" i="1"/>
  <c r="BE18" i="1"/>
  <c r="AE12" i="1"/>
  <c r="BD12" i="1"/>
  <c r="AF25" i="1"/>
  <c r="BE25" i="1"/>
  <c r="AF21" i="1"/>
  <c r="BE21" i="1"/>
  <c r="AD29" i="1"/>
  <c r="BC29" i="1"/>
  <c r="BB65" i="1"/>
  <c r="BE55" i="1"/>
  <c r="AD13" i="1"/>
  <c r="BC13" i="1"/>
  <c r="AF13" i="1"/>
  <c r="BE13" i="1"/>
  <c r="AD33" i="1"/>
  <c r="BC33" i="1"/>
  <c r="AE20" i="1"/>
  <c r="BD20" i="1"/>
  <c r="AF29" i="1"/>
  <c r="BE29" i="1"/>
  <c r="AC20" i="1"/>
  <c r="BB20" i="1"/>
  <c r="AC34" i="1"/>
  <c r="BB34" i="1"/>
  <c r="AC18" i="1"/>
  <c r="BB18" i="1"/>
  <c r="AF12" i="1"/>
  <c r="BE12" i="1"/>
  <c r="AC25" i="1"/>
  <c r="BB25" i="1"/>
  <c r="AD21" i="1"/>
  <c r="BC21" i="1"/>
  <c r="AC29" i="1"/>
  <c r="BB29" i="1"/>
  <c r="AK4" i="1"/>
  <c r="AK112" i="1"/>
  <c r="AL112" i="1"/>
  <c r="AG112" i="1"/>
  <c r="AC4" i="1"/>
  <c r="AR70" i="1"/>
  <c r="BG70" i="1"/>
  <c r="AL70" i="1"/>
  <c r="AR71" i="1"/>
  <c r="BG71" i="1"/>
  <c r="AD4" i="1"/>
  <c r="BE49" i="1"/>
  <c r="BB49" i="1"/>
  <c r="BC49" i="1"/>
  <c r="BD49" i="1"/>
  <c r="BG49" i="1"/>
  <c r="BE67" i="1"/>
  <c r="BC67" i="1"/>
  <c r="BD67" i="1"/>
  <c r="BB67" i="1"/>
  <c r="BG67" i="1"/>
  <c r="AF4" i="1"/>
  <c r="AE4" i="1"/>
  <c r="BF4" i="1"/>
  <c r="AR4" i="1"/>
  <c r="AL4" i="1"/>
  <c r="AR11" i="1"/>
  <c r="AU11" i="1"/>
  <c r="BO11" i="1"/>
  <c r="AL11" i="1"/>
  <c r="AL10" i="1"/>
  <c r="AR10" i="1"/>
  <c r="BM10" i="1"/>
  <c r="AR44" i="1"/>
  <c r="AX44" i="1"/>
  <c r="AL56" i="1"/>
  <c r="AR36" i="1"/>
  <c r="AU36" i="1"/>
  <c r="AR34" i="1"/>
  <c r="BM34" i="1"/>
  <c r="AL65" i="1"/>
  <c r="AL49" i="1"/>
  <c r="AR40" i="1"/>
  <c r="AX40" i="1"/>
  <c r="AR26" i="1"/>
  <c r="AS26" i="1"/>
  <c r="AL26" i="1"/>
  <c r="AR31" i="1"/>
  <c r="AS31" i="1"/>
  <c r="AL31" i="1"/>
  <c r="AR41" i="1"/>
  <c r="AX41" i="1"/>
  <c r="AL41" i="1"/>
  <c r="AU8" i="1"/>
  <c r="BO8" i="1"/>
  <c r="AR30" i="1"/>
  <c r="AS30" i="1"/>
  <c r="AR21" i="1"/>
  <c r="BM21" i="1"/>
  <c r="AR65" i="1"/>
  <c r="AS65" i="1"/>
  <c r="AL33" i="1"/>
  <c r="AL50" i="1"/>
  <c r="AR59" i="1"/>
  <c r="AU59" i="1"/>
  <c r="AR54" i="1"/>
  <c r="AS54" i="1"/>
  <c r="AL59" i="1"/>
  <c r="AL54" i="1"/>
  <c r="BG8" i="1"/>
  <c r="AL8" i="1"/>
  <c r="AR24" i="1"/>
  <c r="AS24" i="1"/>
  <c r="AR33" i="1"/>
  <c r="AS33" i="1"/>
  <c r="AS8" i="1"/>
  <c r="AR60" i="1"/>
  <c r="AU60" i="1"/>
  <c r="AL24" i="1"/>
  <c r="AL60" i="1"/>
  <c r="AL62" i="1"/>
  <c r="AL32" i="1"/>
  <c r="AR52" i="1"/>
  <c r="BM52" i="1"/>
  <c r="AL40" i="1"/>
  <c r="AR12" i="1"/>
  <c r="AU12" i="1"/>
  <c r="AR55" i="1"/>
  <c r="AX55" i="1"/>
  <c r="AL63" i="1"/>
  <c r="AL21" i="1"/>
  <c r="AL55" i="1"/>
  <c r="BG14" i="1"/>
  <c r="AL14" i="1"/>
  <c r="AR14" i="1"/>
  <c r="AL34" i="1"/>
  <c r="AR17" i="1"/>
  <c r="AS17" i="1"/>
  <c r="AR29" i="1"/>
  <c r="AX29" i="1"/>
  <c r="AR57" i="1"/>
  <c r="AX57" i="1"/>
  <c r="BG6" i="1"/>
  <c r="AL6" i="1"/>
  <c r="AR6" i="1"/>
  <c r="AL57" i="1"/>
  <c r="AR49" i="1"/>
  <c r="AL47" i="1"/>
  <c r="AR38" i="1"/>
  <c r="AX38" i="1"/>
  <c r="AL29" i="1"/>
  <c r="AL52" i="1"/>
  <c r="AL38" i="1"/>
  <c r="AR45" i="1"/>
  <c r="BM45" i="1"/>
  <c r="AR20" i="1"/>
  <c r="BM20" i="1"/>
  <c r="AR58" i="1"/>
  <c r="AU58" i="1"/>
  <c r="AR43" i="1"/>
  <c r="BM43" i="1"/>
  <c r="AL45" i="1"/>
  <c r="AR61" i="1"/>
  <c r="AU61" i="1"/>
  <c r="AL20" i="1"/>
  <c r="AR67" i="1"/>
  <c r="AL17" i="1"/>
  <c r="AL43" i="1"/>
  <c r="AR25" i="1"/>
  <c r="AS25" i="1"/>
  <c r="AR68" i="1"/>
  <c r="AU68" i="1"/>
  <c r="AL61" i="1"/>
  <c r="AL67" i="1"/>
  <c r="AL30" i="1"/>
  <c r="AR47" i="1"/>
  <c r="AU47" i="1"/>
  <c r="AL7" i="1"/>
  <c r="AR64" i="1"/>
  <c r="AS64" i="1"/>
  <c r="AL64" i="1"/>
  <c r="AR51" i="1"/>
  <c r="BM51" i="1"/>
  <c r="AR18" i="1"/>
  <c r="AX18" i="1"/>
  <c r="AR66" i="1"/>
  <c r="AS66" i="1"/>
  <c r="AL25" i="1"/>
  <c r="AR48" i="1"/>
  <c r="BM48" i="1"/>
  <c r="AR16" i="1"/>
  <c r="AX16" i="1"/>
  <c r="AR39" i="1"/>
  <c r="BM39" i="1"/>
  <c r="AR69" i="1"/>
  <c r="AX69" i="1"/>
  <c r="AS9" i="1"/>
  <c r="AX8" i="1"/>
  <c r="BQ8" i="1"/>
  <c r="AR7" i="1"/>
  <c r="AS7" i="1"/>
  <c r="AL18" i="1"/>
  <c r="AL66" i="1"/>
  <c r="AR63" i="1"/>
  <c r="AX63" i="1"/>
  <c r="AR32" i="1"/>
  <c r="AS32" i="1"/>
  <c r="AL16" i="1"/>
  <c r="AL39" i="1"/>
  <c r="AL69" i="1"/>
  <c r="AV9" i="1"/>
  <c r="BO9" i="1"/>
  <c r="AR50" i="1"/>
  <c r="AS50" i="1"/>
  <c r="AR56" i="1"/>
  <c r="AS56" i="1"/>
  <c r="AR62" i="1"/>
  <c r="AS62" i="1"/>
  <c r="AR28" i="1"/>
  <c r="AS28" i="1"/>
  <c r="AR53" i="1"/>
  <c r="AR23" i="1"/>
  <c r="AU23" i="1"/>
  <c r="AL37" i="1"/>
  <c r="AL36" i="1"/>
  <c r="AX9" i="1"/>
  <c r="BM9" i="1"/>
  <c r="AL28" i="1"/>
  <c r="AL53" i="1"/>
  <c r="AL23" i="1"/>
  <c r="AL68" i="1"/>
  <c r="AR22" i="1"/>
  <c r="AS22" i="1"/>
  <c r="AR37" i="1"/>
  <c r="AS37" i="1"/>
  <c r="AL12" i="1"/>
  <c r="AL48" i="1"/>
  <c r="AL22" i="1"/>
  <c r="AL51" i="1"/>
  <c r="AL44" i="1"/>
  <c r="AL58" i="1"/>
  <c r="AR5" i="1"/>
  <c r="AU5" i="1"/>
  <c r="AR46" i="1"/>
  <c r="AS46" i="1"/>
  <c r="AR27" i="1"/>
  <c r="AS27" i="1"/>
  <c r="AR13" i="1"/>
  <c r="AU13" i="1"/>
  <c r="AL5" i="1"/>
  <c r="AL46" i="1"/>
  <c r="AL27" i="1"/>
  <c r="AL13" i="1"/>
  <c r="BC4" i="1"/>
  <c r="AD112" i="1"/>
  <c r="BC112" i="1"/>
  <c r="BB4" i="1"/>
  <c r="AC112" i="1"/>
  <c r="BB112" i="1"/>
  <c r="BD4" i="1"/>
  <c r="AE112" i="1"/>
  <c r="BD112" i="1"/>
  <c r="BG4" i="1"/>
  <c r="BE4" i="1"/>
  <c r="AF112" i="1"/>
  <c r="BE112" i="1"/>
  <c r="AR112" i="1"/>
  <c r="BF112" i="1"/>
  <c r="AB112" i="1"/>
  <c r="AX71" i="1"/>
  <c r="AS71" i="1"/>
  <c r="AU71" i="1"/>
  <c r="BM71" i="1"/>
  <c r="BM70" i="1"/>
  <c r="AX70" i="1"/>
  <c r="AS70" i="1"/>
  <c r="AU70" i="1"/>
  <c r="BM49" i="1"/>
  <c r="AS67" i="1"/>
  <c r="AS36" i="1"/>
  <c r="AU44" i="1"/>
  <c r="AV44" i="1"/>
  <c r="AV11" i="1"/>
  <c r="AS11" i="1"/>
  <c r="AU10" i="1"/>
  <c r="AV10" i="1"/>
  <c r="AX10" i="1"/>
  <c r="AY10" i="1"/>
  <c r="AX11" i="1"/>
  <c r="BQ11" i="1"/>
  <c r="BM11" i="1"/>
  <c r="BM36" i="1"/>
  <c r="AX36" i="1"/>
  <c r="AY36" i="1"/>
  <c r="AS10" i="1"/>
  <c r="AS44" i="1"/>
  <c r="BM44" i="1"/>
  <c r="AX34" i="1"/>
  <c r="AY34" i="1"/>
  <c r="BM26" i="1"/>
  <c r="AX26" i="1"/>
  <c r="AY26" i="1"/>
  <c r="AU26" i="1"/>
  <c r="AV26" i="1"/>
  <c r="AU40" i="1"/>
  <c r="AV40" i="1"/>
  <c r="AS40" i="1"/>
  <c r="AX21" i="1"/>
  <c r="AY21" i="1"/>
  <c r="AU34" i="1"/>
  <c r="AV34" i="1"/>
  <c r="AS34" i="1"/>
  <c r="BM40" i="1"/>
  <c r="BM60" i="1"/>
  <c r="AU33" i="1"/>
  <c r="AV33" i="1"/>
  <c r="BM12" i="1"/>
  <c r="AU41" i="1"/>
  <c r="AV41" i="1"/>
  <c r="AU21" i="1"/>
  <c r="AV21" i="1"/>
  <c r="AX24" i="1"/>
  <c r="AY24" i="1"/>
  <c r="AX12" i="1"/>
  <c r="BQ12" i="1"/>
  <c r="AX60" i="1"/>
  <c r="AY60" i="1"/>
  <c r="BM64" i="1"/>
  <c r="BM31" i="1"/>
  <c r="AS41" i="1"/>
  <c r="BM65" i="1"/>
  <c r="AX31" i="1"/>
  <c r="AY31" i="1"/>
  <c r="AU64" i="1"/>
  <c r="AV64" i="1"/>
  <c r="AY8" i="1"/>
  <c r="AX7" i="1"/>
  <c r="BQ7" i="1"/>
  <c r="AU46" i="1"/>
  <c r="AV46" i="1"/>
  <c r="AS61" i="1"/>
  <c r="AX65" i="1"/>
  <c r="BQ65" i="1"/>
  <c r="BM24" i="1"/>
  <c r="BM67" i="1"/>
  <c r="AU31" i="1"/>
  <c r="AV31" i="1"/>
  <c r="AX39" i="1"/>
  <c r="AY39" i="1"/>
  <c r="AU54" i="1"/>
  <c r="AV54" i="1"/>
  <c r="BM54" i="1"/>
  <c r="BM41" i="1"/>
  <c r="AS60" i="1"/>
  <c r="AU57" i="1"/>
  <c r="AV57" i="1"/>
  <c r="AX54" i="1"/>
  <c r="AY54" i="1"/>
  <c r="AS69" i="1"/>
  <c r="AS47" i="1"/>
  <c r="BM30" i="1"/>
  <c r="AU39" i="1"/>
  <c r="BO39" i="1"/>
  <c r="AU55" i="1"/>
  <c r="AV55" i="1"/>
  <c r="AS12" i="1"/>
  <c r="AU65" i="1"/>
  <c r="AV65" i="1"/>
  <c r="AV8" i="1"/>
  <c r="AX30" i="1"/>
  <c r="BQ30" i="1"/>
  <c r="AX47" i="1"/>
  <c r="AY47" i="1"/>
  <c r="AS57" i="1"/>
  <c r="BM61" i="1"/>
  <c r="BM55" i="1"/>
  <c r="BM33" i="1"/>
  <c r="BM47" i="1"/>
  <c r="AU30" i="1"/>
  <c r="BO30" i="1"/>
  <c r="AS39" i="1"/>
  <c r="AS55" i="1"/>
  <c r="AU29" i="1"/>
  <c r="AV29" i="1"/>
  <c r="AU69" i="1"/>
  <c r="BO69" i="1"/>
  <c r="AX61" i="1"/>
  <c r="AY61" i="1"/>
  <c r="AX59" i="1"/>
  <c r="AY59" i="1"/>
  <c r="AX52" i="1"/>
  <c r="AY52" i="1"/>
  <c r="AU24" i="1"/>
  <c r="BO24" i="1"/>
  <c r="AX33" i="1"/>
  <c r="AY33" i="1"/>
  <c r="AU52" i="1"/>
  <c r="AV52" i="1"/>
  <c r="AS29" i="1"/>
  <c r="AS59" i="1"/>
  <c r="BM29" i="1"/>
  <c r="BM59" i="1"/>
  <c r="AS21" i="1"/>
  <c r="AU38" i="1"/>
  <c r="AV38" i="1"/>
  <c r="BM17" i="1"/>
  <c r="AU48" i="1"/>
  <c r="AV48" i="1"/>
  <c r="AX49" i="1"/>
  <c r="AU17" i="1"/>
  <c r="AV17" i="1"/>
  <c r="AX64" i="1"/>
  <c r="BQ64" i="1"/>
  <c r="AX4" i="1"/>
  <c r="BM4" i="1"/>
  <c r="AS4" i="1"/>
  <c r="AU4" i="1"/>
  <c r="AS52" i="1"/>
  <c r="AS13" i="1"/>
  <c r="AU49" i="1"/>
  <c r="AU62" i="1"/>
  <c r="AV62" i="1"/>
  <c r="AS49" i="1"/>
  <c r="AX17" i="1"/>
  <c r="AY17" i="1"/>
  <c r="BM32" i="1"/>
  <c r="AS48" i="1"/>
  <c r="AS38" i="1"/>
  <c r="AX20" i="1"/>
  <c r="AY20" i="1"/>
  <c r="AS58" i="1"/>
  <c r="AX14" i="1"/>
  <c r="AS14" i="1"/>
  <c r="BM14" i="1"/>
  <c r="AU14" i="1"/>
  <c r="BM6" i="1"/>
  <c r="AS6" i="1"/>
  <c r="AX6" i="1"/>
  <c r="AU6" i="1"/>
  <c r="AU22" i="1"/>
  <c r="BO22" i="1"/>
  <c r="BM63" i="1"/>
  <c r="AX67" i="1"/>
  <c r="BM58" i="1"/>
  <c r="AU51" i="1"/>
  <c r="AV51" i="1"/>
  <c r="AU27" i="1"/>
  <c r="AV27" i="1"/>
  <c r="AS23" i="1"/>
  <c r="AU7" i="1"/>
  <c r="BO7" i="1"/>
  <c r="AX58" i="1"/>
  <c r="AY58" i="1"/>
  <c r="AU20" i="1"/>
  <c r="AV20" i="1"/>
  <c r="AU63" i="1"/>
  <c r="AV63" i="1"/>
  <c r="AU37" i="1"/>
  <c r="AV37" i="1"/>
  <c r="BM57" i="1"/>
  <c r="BM69" i="1"/>
  <c r="BM38" i="1"/>
  <c r="AX32" i="1"/>
  <c r="AY32" i="1"/>
  <c r="AS20" i="1"/>
  <c r="BM7" i="1"/>
  <c r="AX48" i="1"/>
  <c r="AY48" i="1"/>
  <c r="AU16" i="1"/>
  <c r="BO16" i="1"/>
  <c r="AU18" i="1"/>
  <c r="AV18" i="1"/>
  <c r="AU32" i="1"/>
  <c r="AV32" i="1"/>
  <c r="AU28" i="1"/>
  <c r="AV28" i="1"/>
  <c r="AS18" i="1"/>
  <c r="BM68" i="1"/>
  <c r="AU43" i="1"/>
  <c r="AV43" i="1"/>
  <c r="BM18" i="1"/>
  <c r="AX45" i="1"/>
  <c r="BQ45" i="1"/>
  <c r="AS68" i="1"/>
  <c r="AX43" i="1"/>
  <c r="AY43" i="1"/>
  <c r="AX25" i="1"/>
  <c r="AY25" i="1"/>
  <c r="BM66" i="1"/>
  <c r="AS16" i="1"/>
  <c r="AU45" i="1"/>
  <c r="AV45" i="1"/>
  <c r="AS45" i="1"/>
  <c r="AX51" i="1"/>
  <c r="AY51" i="1"/>
  <c r="AU67" i="1"/>
  <c r="AU25" i="1"/>
  <c r="BO25" i="1"/>
  <c r="AU56" i="1"/>
  <c r="AV56" i="1"/>
  <c r="AU50" i="1"/>
  <c r="AV50" i="1"/>
  <c r="AU66" i="1"/>
  <c r="AV66" i="1"/>
  <c r="AX66" i="1"/>
  <c r="AY66" i="1"/>
  <c r="BM16" i="1"/>
  <c r="AS63" i="1"/>
  <c r="AS51" i="1"/>
  <c r="AX68" i="1"/>
  <c r="AY68" i="1"/>
  <c r="AS43" i="1"/>
  <c r="BM25" i="1"/>
  <c r="AV5" i="1"/>
  <c r="BO5" i="1"/>
  <c r="AV13" i="1"/>
  <c r="BO13" i="1"/>
  <c r="AV61" i="1"/>
  <c r="BO61" i="1"/>
  <c r="AX13" i="1"/>
  <c r="BM13" i="1"/>
  <c r="AY38" i="1"/>
  <c r="BQ38" i="1"/>
  <c r="AY9" i="1"/>
  <c r="BQ9" i="1"/>
  <c r="AY16" i="1"/>
  <c r="BQ16" i="1"/>
  <c r="AX62" i="1"/>
  <c r="BM62" i="1"/>
  <c r="AX27" i="1"/>
  <c r="BM27" i="1"/>
  <c r="AY69" i="1"/>
  <c r="BQ69" i="1"/>
  <c r="AX28" i="1"/>
  <c r="BM28" i="1"/>
  <c r="AX53" i="1"/>
  <c r="BM53" i="1"/>
  <c r="AY63" i="1"/>
  <c r="BQ63" i="1"/>
  <c r="AY41" i="1"/>
  <c r="BQ41" i="1"/>
  <c r="AY44" i="1"/>
  <c r="BQ44" i="1"/>
  <c r="AX56" i="1"/>
  <c r="BM56" i="1"/>
  <c r="AX50" i="1"/>
  <c r="BM50" i="1"/>
  <c r="AV47" i="1"/>
  <c r="BO47" i="1"/>
  <c r="AX5" i="1"/>
  <c r="BM5" i="1"/>
  <c r="AV68" i="1"/>
  <c r="BO68" i="1"/>
  <c r="AX46" i="1"/>
  <c r="BM46" i="1"/>
  <c r="AY29" i="1"/>
  <c r="BQ29" i="1"/>
  <c r="AY55" i="1"/>
  <c r="BQ55" i="1"/>
  <c r="AY18" i="1"/>
  <c r="BQ18" i="1"/>
  <c r="AY57" i="1"/>
  <c r="BQ57" i="1"/>
  <c r="AY40" i="1"/>
  <c r="BQ40" i="1"/>
  <c r="AV36" i="1"/>
  <c r="BO36" i="1"/>
  <c r="AV23" i="1"/>
  <c r="BO23" i="1"/>
  <c r="AS5" i="1"/>
  <c r="AV60" i="1"/>
  <c r="BO60" i="1"/>
  <c r="AV58" i="1"/>
  <c r="BO58" i="1"/>
  <c r="AV12" i="1"/>
  <c r="BO12" i="1"/>
  <c r="AU53" i="1"/>
  <c r="AV59" i="1"/>
  <c r="BO59" i="1"/>
  <c r="AX22" i="1"/>
  <c r="BM22" i="1"/>
  <c r="AX23" i="1"/>
  <c r="BM23" i="1"/>
  <c r="BG112" i="1"/>
  <c r="AS53" i="1"/>
  <c r="AX37" i="1"/>
  <c r="BM37" i="1"/>
  <c r="AU112" i="1"/>
  <c r="AX112" i="1"/>
  <c r="BO70" i="1"/>
  <c r="AV70" i="1"/>
  <c r="BQ70" i="1"/>
  <c r="AY70" i="1"/>
  <c r="BO71" i="1"/>
  <c r="AV71" i="1"/>
  <c r="BQ71" i="1"/>
  <c r="AY71" i="1"/>
  <c r="AV49" i="1"/>
  <c r="AV112" i="1"/>
  <c r="AY49" i="1"/>
  <c r="AY67" i="1"/>
  <c r="AV67" i="1"/>
  <c r="BO44" i="1"/>
  <c r="BO26" i="1"/>
  <c r="BQ54" i="1"/>
  <c r="BQ36" i="1"/>
  <c r="BQ10" i="1"/>
  <c r="AY11" i="1"/>
  <c r="BO10" i="1"/>
  <c r="BO33" i="1"/>
  <c r="BQ34" i="1"/>
  <c r="BQ26" i="1"/>
  <c r="BO40" i="1"/>
  <c r="AY12" i="1"/>
  <c r="BQ21" i="1"/>
  <c r="BQ24" i="1"/>
  <c r="BO34" i="1"/>
  <c r="BO38" i="1"/>
  <c r="BO41" i="1"/>
  <c r="BO21" i="1"/>
  <c r="BQ59" i="1"/>
  <c r="BQ60" i="1"/>
  <c r="BQ61" i="1"/>
  <c r="BO46" i="1"/>
  <c r="BO62" i="1"/>
  <c r="BO31" i="1"/>
  <c r="AY65" i="1"/>
  <c r="BO49" i="1"/>
  <c r="AV24" i="1"/>
  <c r="AY7" i="1"/>
  <c r="BO64" i="1"/>
  <c r="BQ52" i="1"/>
  <c r="BO37" i="1"/>
  <c r="BQ31" i="1"/>
  <c r="AV39" i="1"/>
  <c r="AV22" i="1"/>
  <c r="BO28" i="1"/>
  <c r="BQ39" i="1"/>
  <c r="BO27" i="1"/>
  <c r="BQ17" i="1"/>
  <c r="AY64" i="1"/>
  <c r="BO57" i="1"/>
  <c r="BO65" i="1"/>
  <c r="BO48" i="1"/>
  <c r="BQ20" i="1"/>
  <c r="BO54" i="1"/>
  <c r="AV30" i="1"/>
  <c r="BO29" i="1"/>
  <c r="BQ47" i="1"/>
  <c r="AY30" i="1"/>
  <c r="BQ49" i="1"/>
  <c r="AV69" i="1"/>
  <c r="BO17" i="1"/>
  <c r="BO52" i="1"/>
  <c r="BQ33" i="1"/>
  <c r="BO55" i="1"/>
  <c r="BO51" i="1"/>
  <c r="BO20" i="1"/>
  <c r="BQ48" i="1"/>
  <c r="BO66" i="1"/>
  <c r="AV7" i="1"/>
  <c r="BO4" i="1"/>
  <c r="AV4" i="1"/>
  <c r="BQ4" i="1"/>
  <c r="AY4" i="1"/>
  <c r="BQ32" i="1"/>
  <c r="BQ67" i="1"/>
  <c r="BO50" i="1"/>
  <c r="BO43" i="1"/>
  <c r="AV14" i="1"/>
  <c r="BO14" i="1"/>
  <c r="BQ25" i="1"/>
  <c r="AV25" i="1"/>
  <c r="AY45" i="1"/>
  <c r="AV16" i="1"/>
  <c r="AY6" i="1"/>
  <c r="BQ6" i="1"/>
  <c r="BQ43" i="1"/>
  <c r="BO56" i="1"/>
  <c r="BQ58" i="1"/>
  <c r="BO32" i="1"/>
  <c r="BO63" i="1"/>
  <c r="AV6" i="1"/>
  <c r="BO6" i="1"/>
  <c r="AY14" i="1"/>
  <c r="BQ14" i="1"/>
  <c r="BQ51" i="1"/>
  <c r="BQ68" i="1"/>
  <c r="BO67" i="1"/>
  <c r="BO45" i="1"/>
  <c r="BO18" i="1"/>
  <c r="BQ66" i="1"/>
  <c r="AY62" i="1"/>
  <c r="BQ62" i="1"/>
  <c r="AY50" i="1"/>
  <c r="BQ50" i="1"/>
  <c r="AY56" i="1"/>
  <c r="BQ56" i="1"/>
  <c r="AS112" i="1"/>
  <c r="BM112" i="1"/>
  <c r="AY5" i="1"/>
  <c r="BQ5" i="1"/>
  <c r="AY53" i="1"/>
  <c r="BQ53" i="1"/>
  <c r="AY28" i="1"/>
  <c r="BQ28" i="1"/>
  <c r="AY37" i="1"/>
  <c r="BQ37" i="1"/>
  <c r="AY13" i="1"/>
  <c r="BQ13" i="1"/>
  <c r="AV53" i="1"/>
  <c r="BO53" i="1"/>
  <c r="AY46" i="1"/>
  <c r="BQ46" i="1"/>
  <c r="AY27" i="1"/>
  <c r="BQ27" i="1"/>
  <c r="AY23" i="1"/>
  <c r="BQ23" i="1"/>
  <c r="AY22" i="1"/>
  <c r="BQ22" i="1"/>
  <c r="BO112" i="1"/>
  <c r="AY112" i="1"/>
  <c r="BQ1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tc={743F763D-BF14-4725-ABDD-766DB822D542}</author>
    <author>tc={820516E0-4AB1-49A7-845D-22E96737FF7A}</author>
    <author>tc={E72F7E13-0828-4E09-98D0-25D30BC24A04}</author>
    <author>Rodrigo Sebastian Martinez Montalvo (PFRO)</author>
    <author>tc={1E248A2B-787B-4DCE-94CB-52323DAFCCE3}</author>
    <author>tc={6B8ABF03-AD92-41AD-AA56-4CCF25614F6E}</author>
    <author>tc={ADC37C9E-FF1D-488C-95F1-FBB76ECE040E}</author>
  </authors>
  <commentList>
    <comment ref="P38" authorId="0" shapeId="0" xr:uid="{743F763D-BF14-4725-ABDD-766DB822D5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APLICADO SIMILAR A EEFF</t>
      </text>
    </comment>
    <comment ref="P39" authorId="1" shapeId="0" xr:uid="{820516E0-4AB1-49A7-845D-22E96737FF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  <comment ref="P46" authorId="2" shapeId="0" xr:uid="{E72F7E13-0828-4E09-98D0-25D30BC24A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  <comment ref="P50" authorId="3" shapeId="0" xr:uid="{5C8E066D-5766-4BDF-81F1-5145727BBF1B}">
      <text>
        <r>
          <rPr>
            <b/>
            <sz val="9"/>
            <color indexed="81"/>
            <rFont val="Tahoma"/>
            <family val="2"/>
          </rPr>
          <t>DESCUENTO SIMILAR A EEFF</t>
        </r>
      </text>
    </comment>
    <comment ref="P54" authorId="4" shapeId="0" xr:uid="{1E248A2B-787B-4DCE-94CB-52323DAFCC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APLICA DESCUENTO DE 4K SIMILAR A EEFF</t>
      </text>
    </comment>
    <comment ref="AC61" authorId="5" shapeId="0" xr:uid="{6B8ABF03-AD92-41AD-AA56-4CCF25614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incrementó 25% costo materia prima a las 520 tm despachadas al final de mes</t>
      </text>
    </comment>
    <comment ref="P62" authorId="6" shapeId="0" xr:uid="{ADC37C9E-FF1D-488C-95F1-FBB76ECE04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</commentList>
</comments>
</file>

<file path=xl/sharedStrings.xml><?xml version="1.0" encoding="utf-8"?>
<sst xmlns="http://schemas.openxmlformats.org/spreadsheetml/2006/main" count="3182" uniqueCount="716">
  <si>
    <t>ANÁLISIS DE RENTABILIDAD</t>
  </si>
  <si>
    <t>EEFF PERU FROST (USD)</t>
  </si>
  <si>
    <t>Etiquetas de columna</t>
  </si>
  <si>
    <t>ANÁLISIS UNITARIO</t>
  </si>
  <si>
    <t>ANÁLISIS VÉRTICAL</t>
  </si>
  <si>
    <t>Valores</t>
  </si>
  <si>
    <t>ENERO</t>
  </si>
  <si>
    <t>FEBRERO</t>
  </si>
  <si>
    <t>MARZO</t>
  </si>
  <si>
    <t>Total general</t>
  </si>
  <si>
    <t>NOMBRE</t>
  </si>
  <si>
    <t>TOTAL</t>
  </si>
  <si>
    <t xml:space="preserve">Suma de  Cantidad </t>
  </si>
  <si>
    <t>Suma de VALOR 
CFR</t>
  </si>
  <si>
    <t>Suma de COSTO 
VENTAS</t>
  </si>
  <si>
    <t>Suma de UTILIDAD 
BRUTA</t>
  </si>
  <si>
    <t>Suma de GASTO
VENTAS</t>
  </si>
  <si>
    <t>Suma de GASTO 
ADM</t>
  </si>
  <si>
    <t>Suma de DRAWBACK</t>
  </si>
  <si>
    <t>Suma de UTILIDAD 
OPERATIVA</t>
  </si>
  <si>
    <t>Suma de GASTO 
FINANCIERO</t>
  </si>
  <si>
    <t>Suma de UTILIDAD 
NETA</t>
  </si>
  <si>
    <t>Suma de DEPRECIACIÓN</t>
  </si>
  <si>
    <t>Suma de EBITDA</t>
  </si>
  <si>
    <t>ANÁLISIS POR PRODUCTO</t>
  </si>
  <si>
    <t>RANKING DE VENTAS (USD)</t>
  </si>
  <si>
    <t>UTILIDAD NETA (USD)</t>
  </si>
  <si>
    <t>EBITDA (USD)</t>
  </si>
  <si>
    <t>Etiquetas de fila</t>
  </si>
  <si>
    <t>%</t>
  </si>
  <si>
    <t>MG</t>
  </si>
  <si>
    <t>POTA REJOS CONGELADOS</t>
  </si>
  <si>
    <t>POTA ALAS CONGELADAS</t>
  </si>
  <si>
    <t>POTA FILETE CONGELADO</t>
  </si>
  <si>
    <t>POTA NUCAS</t>
  </si>
  <si>
    <t>POTA ALAS COCIDAS</t>
  </si>
  <si>
    <t>POTA REPRODUCTORES</t>
  </si>
  <si>
    <t>POTA CONOS</t>
  </si>
  <si>
    <t>POTA MEMBRANA PRECOCIDA</t>
  </si>
  <si>
    <t>POTA  TELILLA PRECOCIDA</t>
  </si>
  <si>
    <t>ANÁLISIS POR CLIENTE</t>
  </si>
  <si>
    <t>NETO</t>
  </si>
  <si>
    <t>EBITDA</t>
  </si>
  <si>
    <t>TSUJINO</t>
  </si>
  <si>
    <t>KULALIA</t>
  </si>
  <si>
    <t>AVANCE GROUP</t>
  </si>
  <si>
    <t>Pesciro Asia International LTD.</t>
  </si>
  <si>
    <t>LONGKOU JIABAO AQUATIC</t>
  </si>
  <si>
    <t>OVERSEA</t>
  </si>
  <si>
    <t>LONGKOU BOHAI</t>
  </si>
  <si>
    <t>DAIRECK S.A.</t>
  </si>
  <si>
    <t>Longkou Yunfeng Aquatic</t>
  </si>
  <si>
    <t>FOOD &amp; BEVERAGES TRADERS</t>
  </si>
  <si>
    <t>GLOBAL OCEAN</t>
  </si>
  <si>
    <t>SACRAMENTO CO., LTD</t>
  </si>
  <si>
    <t xml:space="preserve">Hunan Jinyueyang </t>
  </si>
  <si>
    <t>OCEANUS FISH</t>
  </si>
  <si>
    <t>Pesciro SL</t>
  </si>
  <si>
    <t>SHANDONG SHEENIER</t>
  </si>
  <si>
    <t>MES LINK</t>
  </si>
  <si>
    <t>MES 
EJERCICIO</t>
  </si>
  <si>
    <t>FP</t>
  </si>
  <si>
    <t>Emision</t>
  </si>
  <si>
    <t>Fecha Embarque</t>
  </si>
  <si>
    <t xml:space="preserve"> Cantidad </t>
  </si>
  <si>
    <t>Producto</t>
  </si>
  <si>
    <t>Corte</t>
  </si>
  <si>
    <t>Espec.</t>
  </si>
  <si>
    <t>País</t>
  </si>
  <si>
    <t xml:space="preserve">Puerto </t>
  </si>
  <si>
    <t>Cliente (Razón Social)</t>
  </si>
  <si>
    <t xml:space="preserve">Contacto </t>
  </si>
  <si>
    <t>Precio TM</t>
  </si>
  <si>
    <t>VALOR 
CFR</t>
  </si>
  <si>
    <t xml:space="preserve"> FOB / TM </t>
  </si>
  <si>
    <t>Costo Flete</t>
  </si>
  <si>
    <t>VALOR 
FOB</t>
  </si>
  <si>
    <t>Cantidad de FCL (Contenedores)</t>
  </si>
  <si>
    <t>M/V Nave</t>
  </si>
  <si>
    <t>Booking</t>
  </si>
  <si>
    <t xml:space="preserve"> Naviera </t>
  </si>
  <si>
    <t>Puerto</t>
  </si>
  <si>
    <t>CÓDIGO</t>
  </si>
  <si>
    <t>Categoría</t>
  </si>
  <si>
    <t>MATCH</t>
  </si>
  <si>
    <t>COSTO 
UNITARIO</t>
  </si>
  <si>
    <t>Materia Prima</t>
  </si>
  <si>
    <t>MOD</t>
  </si>
  <si>
    <t>Envases</t>
  </si>
  <si>
    <t>CIF</t>
  </si>
  <si>
    <t>COSTO 
VENTAS</t>
  </si>
  <si>
    <t>UTILIDAD 
BRUTA</t>
  </si>
  <si>
    <t>MARGEN 
BRUTO</t>
  </si>
  <si>
    <t>Flete</t>
  </si>
  <si>
    <t>SS Logístico</t>
  </si>
  <si>
    <t>GASTO
VENTAS</t>
  </si>
  <si>
    <t>GASTO 
ADM</t>
  </si>
  <si>
    <t>DRAWBACK</t>
  </si>
  <si>
    <t>UTILIDAD 
OPERATIVA</t>
  </si>
  <si>
    <t>MARGEN 
OPERATIVO</t>
  </si>
  <si>
    <t>GASTO 
FINANCIERO</t>
  </si>
  <si>
    <t>UTILIDAD 
NETA</t>
  </si>
  <si>
    <t>MARGEN 
NETO</t>
  </si>
  <si>
    <t>DEPRECIACIÓN</t>
  </si>
  <si>
    <t>MARGEN 
EBITDA</t>
  </si>
  <si>
    <t>PRECIO 
CFR</t>
  </si>
  <si>
    <t>127-2025</t>
  </si>
  <si>
    <t>Rejos</t>
  </si>
  <si>
    <t>España</t>
  </si>
  <si>
    <t>Valencia</t>
  </si>
  <si>
    <t>Ignacio / Ives</t>
  </si>
  <si>
    <t>MERSIN EXPRESS 603N</t>
  </si>
  <si>
    <t>HAPAG</t>
  </si>
  <si>
    <t>PAITA</t>
  </si>
  <si>
    <t>Compensación</t>
  </si>
  <si>
    <t>128-2025B</t>
  </si>
  <si>
    <t>Nucas</t>
  </si>
  <si>
    <t>1000-up</t>
  </si>
  <si>
    <t xml:space="preserve">Tailandia </t>
  </si>
  <si>
    <t>Lat Krabang</t>
  </si>
  <si>
    <t>Julieta</t>
  </si>
  <si>
    <t>ECO SIROCCO 26005S</t>
  </si>
  <si>
    <t>COSCO</t>
  </si>
  <si>
    <t>500 - 1 kg.</t>
  </si>
  <si>
    <t>1 - 2 kgs.</t>
  </si>
  <si>
    <t>129-2025</t>
  </si>
  <si>
    <t>Conos</t>
  </si>
  <si>
    <t>Tailandia</t>
  </si>
  <si>
    <t>Bangkok</t>
  </si>
  <si>
    <t>Jose</t>
  </si>
  <si>
    <t>ECO MARIN 26002S</t>
  </si>
  <si>
    <t>137-2025</t>
  </si>
  <si>
    <t>Filete</t>
  </si>
  <si>
    <t>2 - 4 kg</t>
  </si>
  <si>
    <t>Taiwan</t>
  </si>
  <si>
    <t>KAOHSIUNG</t>
  </si>
  <si>
    <t>ECO MARIN 25052N</t>
  </si>
  <si>
    <t>LIMF26385300</t>
  </si>
  <si>
    <t>ONE</t>
  </si>
  <si>
    <t>140-2025</t>
  </si>
  <si>
    <t>2-4kg</t>
  </si>
  <si>
    <t xml:space="preserve">Japón </t>
  </si>
  <si>
    <t>Sendai</t>
  </si>
  <si>
    <t>ECO SIROCCO 26003S</t>
  </si>
  <si>
    <t>LIMG00358300</t>
  </si>
  <si>
    <t>145-2025</t>
  </si>
  <si>
    <t>500-1 / 1-2</t>
  </si>
  <si>
    <t>Vigo</t>
  </si>
  <si>
    <t>Jorge</t>
  </si>
  <si>
    <t>IZMIT EXPRESS 604N</t>
  </si>
  <si>
    <t>146-2026</t>
  </si>
  <si>
    <t xml:space="preserve">10 cm - up </t>
  </si>
  <si>
    <t>ECO MARIN 26006S</t>
  </si>
  <si>
    <t>500-up</t>
  </si>
  <si>
    <t>147-2026</t>
  </si>
  <si>
    <t>Alas</t>
  </si>
  <si>
    <t>1 - 2 KGS.</t>
  </si>
  <si>
    <t>ECO MARIN 26004N</t>
  </si>
  <si>
    <t>LIMG01524600</t>
  </si>
  <si>
    <t>148-2026</t>
  </si>
  <si>
    <t>2-4 (B)</t>
  </si>
  <si>
    <t xml:space="preserve">España </t>
  </si>
  <si>
    <t>ODYSSEUS 606N</t>
  </si>
  <si>
    <t>149-2026</t>
  </si>
  <si>
    <t>Entradas</t>
  </si>
  <si>
    <t>150-2026A</t>
  </si>
  <si>
    <t>1-2 KG</t>
  </si>
  <si>
    <t>Avelino</t>
  </si>
  <si>
    <t xml:space="preserve">CAPE SPENCER 608N </t>
  </si>
  <si>
    <t>151-2025</t>
  </si>
  <si>
    <t>Membrana</t>
  </si>
  <si>
    <t xml:space="preserve">China </t>
  </si>
  <si>
    <t>Qingdao</t>
  </si>
  <si>
    <t>ECO SIROCCO 26009S</t>
  </si>
  <si>
    <t>Telilla</t>
  </si>
  <si>
    <t>152-2026</t>
  </si>
  <si>
    <t>2-UP KG</t>
  </si>
  <si>
    <t xml:space="preserve">GEMLIK EXPRESS 607N </t>
  </si>
  <si>
    <t>156-2026A</t>
  </si>
  <si>
    <t>2-4 kg 100%  blanco, No polyphosphate,no medicine</t>
  </si>
  <si>
    <t>CMA CGM IMAGINATION / 0DVITN1MA</t>
  </si>
  <si>
    <t>LMM0571149</t>
  </si>
  <si>
    <t>CMA CGM</t>
  </si>
  <si>
    <t>156-2026B</t>
  </si>
  <si>
    <t>CMA CGM EXCELLENCE 0DVNNN1MA</t>
  </si>
  <si>
    <t>LMM0571699</t>
  </si>
  <si>
    <t>157-2026</t>
  </si>
  <si>
    <t>ECO SIROCCO 26007S</t>
  </si>
  <si>
    <t>160-2026</t>
  </si>
  <si>
    <t>162-2026A</t>
  </si>
  <si>
    <t>1-2 kg</t>
  </si>
  <si>
    <t>James</t>
  </si>
  <si>
    <t>ECO SIROCCO 26007N</t>
  </si>
  <si>
    <t>LIMG02628500</t>
  </si>
  <si>
    <t>162-2026B</t>
  </si>
  <si>
    <t>Dalian</t>
  </si>
  <si>
    <t>LIMG02851300</t>
  </si>
  <si>
    <t>162-2026C</t>
  </si>
  <si>
    <t xml:space="preserve">Xiamen </t>
  </si>
  <si>
    <t>LIMG02630500</t>
  </si>
  <si>
    <t>164-2026</t>
  </si>
  <si>
    <t>Daruma</t>
  </si>
  <si>
    <t>Yantai</t>
  </si>
  <si>
    <t>julia</t>
  </si>
  <si>
    <t>168-2026A</t>
  </si>
  <si>
    <t xml:space="preserve">Filete </t>
  </si>
  <si>
    <t>2-4 AA</t>
  </si>
  <si>
    <t>ECO MARIN 26008N</t>
  </si>
  <si>
    <t>168-2026B</t>
  </si>
  <si>
    <t>shidao</t>
  </si>
  <si>
    <t>ECO MARIN 26008S</t>
  </si>
  <si>
    <t>168-2026C</t>
  </si>
  <si>
    <t>170-2026A</t>
  </si>
  <si>
    <t>9 FCL 1-2 / 1 FCL 2-UP</t>
  </si>
  <si>
    <t>Ramon</t>
  </si>
  <si>
    <t>CAPE SABLE 609N</t>
  </si>
  <si>
    <t>150-2026B</t>
  </si>
  <si>
    <t>LEONIDAS Z 610N</t>
  </si>
  <si>
    <t>Inventario final</t>
  </si>
  <si>
    <t>150-2026C</t>
  </si>
  <si>
    <t>159-2026A</t>
  </si>
  <si>
    <t>B</t>
  </si>
  <si>
    <t>ECO SIROCCO 26009N</t>
  </si>
  <si>
    <t>LIMG03265300</t>
  </si>
  <si>
    <t>161-2026A</t>
  </si>
  <si>
    <t>LIMG03094300</t>
  </si>
  <si>
    <t>ONE LINE</t>
  </si>
  <si>
    <t>163-2026</t>
  </si>
  <si>
    <t>1-up</t>
  </si>
  <si>
    <t>korea</t>
  </si>
  <si>
    <t>Busan</t>
  </si>
  <si>
    <t>ECO MARIN 26010S</t>
  </si>
  <si>
    <t>167-2026</t>
  </si>
  <si>
    <t>ECO SIROCCO 26011S</t>
  </si>
  <si>
    <t>169-2026A</t>
  </si>
  <si>
    <t>1-UP</t>
  </si>
  <si>
    <t>LIMG02789600</t>
  </si>
  <si>
    <t>169-2026B</t>
  </si>
  <si>
    <t>ECO MARIN 26010N</t>
  </si>
  <si>
    <t>LIMG03633900</t>
  </si>
  <si>
    <t>170-2026B</t>
  </si>
  <si>
    <t>CMA CGM BOLDNESS / 0DVODN1MA</t>
  </si>
  <si>
    <t>LMM0575562</t>
  </si>
  <si>
    <t>171-2026</t>
  </si>
  <si>
    <t>Shidao</t>
  </si>
  <si>
    <t>LIMG03093900</t>
  </si>
  <si>
    <t>172-2026A</t>
  </si>
  <si>
    <t xml:space="preserve">1-2 KG </t>
  </si>
  <si>
    <t>LMM0575536</t>
  </si>
  <si>
    <t>172-2026B</t>
  </si>
  <si>
    <t xml:space="preserve">0.3 - UP </t>
  </si>
  <si>
    <t>174-2026</t>
  </si>
  <si>
    <t>LIMG03595900</t>
  </si>
  <si>
    <t>175-2026</t>
  </si>
  <si>
    <t>Klaipeda</t>
  </si>
  <si>
    <t>Lituania</t>
  </si>
  <si>
    <t>CMA CGM VOLTAIRE / 0DVOFN1MA</t>
  </si>
  <si>
    <t>LMM0575667</t>
  </si>
  <si>
    <t>176-2026A</t>
  </si>
  <si>
    <t>161-2026B</t>
  </si>
  <si>
    <t>ECO SIROCCO 26013S</t>
  </si>
  <si>
    <t>165-2026</t>
  </si>
  <si>
    <t>CMA CGM BETTER WAYS 0DVOHN1MA</t>
  </si>
  <si>
    <t>LMM0577574</t>
  </si>
  <si>
    <t>ECO MARIN 26012S</t>
  </si>
  <si>
    <t xml:space="preserve"> 1-2 </t>
  </si>
  <si>
    <t>176-2026B</t>
  </si>
  <si>
    <t>LIMG04326900</t>
  </si>
  <si>
    <t>177-2026A</t>
  </si>
  <si>
    <t>Korea</t>
  </si>
  <si>
    <t>LIMG04588500</t>
  </si>
  <si>
    <t>179-2026A</t>
  </si>
  <si>
    <t>Laem chabang</t>
  </si>
  <si>
    <t>ACER FOOD</t>
  </si>
  <si>
    <t>ECO MARIN 26012N</t>
  </si>
  <si>
    <t>LIMG03918800</t>
  </si>
  <si>
    <t>179-2026B1</t>
  </si>
  <si>
    <t>LIMG03924500</t>
  </si>
  <si>
    <t>179-2026B2</t>
  </si>
  <si>
    <t>LIMG03933500</t>
  </si>
  <si>
    <t>179-2026B3</t>
  </si>
  <si>
    <t>LIMG03937900</t>
  </si>
  <si>
    <t>179-2026B4</t>
  </si>
  <si>
    <t>LIMG03938300</t>
  </si>
  <si>
    <t>179-2026B5</t>
  </si>
  <si>
    <t>LIMG03940300</t>
  </si>
  <si>
    <t>179-2026C1</t>
  </si>
  <si>
    <t>KHUNRUNG</t>
  </si>
  <si>
    <t>179-2026C2</t>
  </si>
  <si>
    <t>181-2026</t>
  </si>
  <si>
    <t>500-1000</t>
  </si>
  <si>
    <t>LIMG04324700</t>
  </si>
  <si>
    <t>183-2026</t>
  </si>
  <si>
    <t xml:space="preserve">2- UP LIMPIOS </t>
  </si>
  <si>
    <t>184-2026</t>
  </si>
  <si>
    <t>China</t>
  </si>
  <si>
    <t>185-2026</t>
  </si>
  <si>
    <t xml:space="preserve">Daruma </t>
  </si>
  <si>
    <t>189-2026</t>
  </si>
  <si>
    <t>300-500</t>
  </si>
  <si>
    <t>MES</t>
  </si>
  <si>
    <t>PRODUCTO</t>
  </si>
  <si>
    <t>Cant.oper.</t>
  </si>
  <si>
    <t>Un.</t>
  </si>
  <si>
    <t>Val.prov.</t>
  </si>
  <si>
    <t>Dif.prec.</t>
  </si>
  <si>
    <t>DifTpoCam</t>
  </si>
  <si>
    <t>Valor real</t>
  </si>
  <si>
    <t>Precio</t>
  </si>
  <si>
    <t>Mater.Prim</t>
  </si>
  <si>
    <t>Envases y</t>
  </si>
  <si>
    <t>Servicio de Terceros</t>
  </si>
  <si>
    <t>CIF-Otros</t>
  </si>
  <si>
    <t>CIF-Gastos</t>
  </si>
  <si>
    <t>CIF-Manten</t>
  </si>
  <si>
    <t>CIF-Serv.</t>
  </si>
  <si>
    <t>CIF-Deprec</t>
  </si>
  <si>
    <t>CIF- Otros 2</t>
  </si>
  <si>
    <t>POTA ALAS FR C/P C/C (B) S/COD BL10 S20</t>
  </si>
  <si>
    <t>Inventario inicial</t>
  </si>
  <si>
    <t>KG</t>
  </si>
  <si>
    <t>Revalorización</t>
  </si>
  <si>
    <t>Inventario acumulado</t>
  </si>
  <si>
    <t>4,137.55-</t>
  </si>
  <si>
    <t>3,502.80-</t>
  </si>
  <si>
    <t>2,200.35-</t>
  </si>
  <si>
    <t>0.12-</t>
  </si>
  <si>
    <t>2,835.10-</t>
  </si>
  <si>
    <t>0.02-</t>
  </si>
  <si>
    <t>POTA ALAS FR C/P C/C 1-2 BL10 S20</t>
  </si>
  <si>
    <t>Inv. acumulado</t>
  </si>
  <si>
    <t>16,077.05-</t>
  </si>
  <si>
    <t>5,733.20-</t>
  </si>
  <si>
    <t>89,328.33-</t>
  </si>
  <si>
    <t>0.15-</t>
  </si>
  <si>
    <t>99,672.18-</t>
  </si>
  <si>
    <t>55,222.48-</t>
  </si>
  <si>
    <t>0.01-</t>
  </si>
  <si>
    <t>44,449.70-</t>
  </si>
  <si>
    <t>POTA ALAS FR C/P C/C 2-UP BL10 S20</t>
  </si>
  <si>
    <t>0.37-</t>
  </si>
  <si>
    <t>0.06-</t>
  </si>
  <si>
    <t>16,616.79-</t>
  </si>
  <si>
    <t>5,734.40-</t>
  </si>
  <si>
    <t>37,221.26-</t>
  </si>
  <si>
    <t>48,103.65-</t>
  </si>
  <si>
    <t>16,991.63-</t>
  </si>
  <si>
    <t>31,112.02-</t>
  </si>
  <si>
    <t>POTA FILETE C/M C/T FR 2-4 (B) BL10 S20</t>
  </si>
  <si>
    <t>140,352.17-</t>
  </si>
  <si>
    <t>163,134.40-</t>
  </si>
  <si>
    <t>83,798.54-</t>
  </si>
  <si>
    <t>61,016.31-</t>
  </si>
  <si>
    <t>41,351.43-</t>
  </si>
  <si>
    <t>19,664.88-</t>
  </si>
  <si>
    <t>POTA NUCAS FR ABIERTAS 0.5-1 BL10 S20</t>
  </si>
  <si>
    <t>31,211.16-</t>
  </si>
  <si>
    <t>23,140.00-</t>
  </si>
  <si>
    <t>30,434.64-</t>
  </si>
  <si>
    <t>0.16-</t>
  </si>
  <si>
    <t>38,505.80-</t>
  </si>
  <si>
    <t>0.17-</t>
  </si>
  <si>
    <t>9,918.74-</t>
  </si>
  <si>
    <t>0.04-</t>
  </si>
  <si>
    <t>28,587.06-</t>
  </si>
  <si>
    <t>0.13-</t>
  </si>
  <si>
    <t>POTA NUCAS FR ABIERTAS 1-2 BL10 S20</t>
  </si>
  <si>
    <t>2,656.74-</t>
  </si>
  <si>
    <t>0.03-</t>
  </si>
  <si>
    <t>1,723.20-</t>
  </si>
  <si>
    <t>14,186.06-</t>
  </si>
  <si>
    <t>18,566.00-</t>
  </si>
  <si>
    <t>0.05-</t>
  </si>
  <si>
    <t>POTA REJOS OR FR LIMPIOS S/COD BL10 S20</t>
  </si>
  <si>
    <t>1,678.37-</t>
  </si>
  <si>
    <t>558.00-</t>
  </si>
  <si>
    <t>19,787.46-</t>
  </si>
  <si>
    <t>22,023.83-</t>
  </si>
  <si>
    <t>POTA REJOS FR C/B S/U S/V S/OR 1-2 BL10</t>
  </si>
  <si>
    <t>50,436.61-</t>
  </si>
  <si>
    <t>38,615.60-</t>
  </si>
  <si>
    <t>58,618.42-</t>
  </si>
  <si>
    <t>70,439.43-</t>
  </si>
  <si>
    <t>28,019.51-</t>
  </si>
  <si>
    <t>42,419.92-</t>
  </si>
  <si>
    <t>POTA REJOS FR 2 UP</t>
  </si>
  <si>
    <t>5,017.38-</t>
  </si>
  <si>
    <t>1,419.00-</t>
  </si>
  <si>
    <t>19,306.03-</t>
  </si>
  <si>
    <t>25,742.41-</t>
  </si>
  <si>
    <t>9,355.17-</t>
  </si>
  <si>
    <t>16,387.24-</t>
  </si>
  <si>
    <t>POTA FILETE PRE COCIDO S/M S/T C/P S/COD</t>
  </si>
  <si>
    <t>600,280.66-</t>
  </si>
  <si>
    <t>313,588.80-</t>
  </si>
  <si>
    <t>647,203.81-</t>
  </si>
  <si>
    <t>933,895.67-</t>
  </si>
  <si>
    <t>0.11-</t>
  </si>
  <si>
    <t>78,172.07-</t>
  </si>
  <si>
    <t>855,723.60-</t>
  </si>
  <si>
    <t>0.10-</t>
  </si>
  <si>
    <t>PPTA RECORTES PRECOCIDA B10 S20</t>
  </si>
  <si>
    <t>13,761.55-</t>
  </si>
  <si>
    <t>2,700.20-</t>
  </si>
  <si>
    <t>15,739.71-</t>
  </si>
  <si>
    <t>26,801.06-</t>
  </si>
  <si>
    <t>POTA ALAS PRE COC 0.3 - UP BL9 S18</t>
  </si>
  <si>
    <t>37,945.18-</t>
  </si>
  <si>
    <t>99,139.19-</t>
  </si>
  <si>
    <t>137,084.37-</t>
  </si>
  <si>
    <t>POTA RECORTES LAM PRE COC (T) BL7.5 S15</t>
  </si>
  <si>
    <t>26,343.41-</t>
  </si>
  <si>
    <t>7,303.50-</t>
  </si>
  <si>
    <t>46,968.50-</t>
  </si>
  <si>
    <t>66,008.41-</t>
  </si>
  <si>
    <t>42,069.99-</t>
  </si>
  <si>
    <t>23,938.42-</t>
  </si>
  <si>
    <t>Cant</t>
  </si>
  <si>
    <t>C.U</t>
  </si>
  <si>
    <t>Cotos Vta</t>
  </si>
  <si>
    <t>RESIDUOS DE POTA</t>
  </si>
  <si>
    <t>Residuos</t>
  </si>
  <si>
    <t>PROVEEDORA DE PRODUCTOS MARINOS</t>
  </si>
  <si>
    <t>X</t>
  </si>
  <si>
    <t>2 - UP</t>
  </si>
  <si>
    <t>153-2026</t>
  </si>
  <si>
    <t>CAPE SKAGEN 614N</t>
  </si>
  <si>
    <t>POTA FILETE C/M C/T FR 0.5-1 BL10 S20</t>
  </si>
  <si>
    <t>POTA FILETE C/M C/T FR 1-2 BL10 S20</t>
  </si>
  <si>
    <t>POTA FILETE C/M C/T FR 2-4 BL10 S20</t>
  </si>
  <si>
    <t>POTA FILETE C/M C/T FR 2.0 - 4.0 AA BL10</t>
  </si>
  <si>
    <t>POTA NUCAS FR ABIERTAS 0.3-0.5 BL10 S20</t>
  </si>
  <si>
    <t>POTA ALAS FR C/P C/C &lt; 0.5 BL10 S20</t>
  </si>
  <si>
    <t>POTA ALAS FR C/P C/C 0.5-1 BL10 S20</t>
  </si>
  <si>
    <t>POTA RECORTES PRE COC BL10 S20</t>
  </si>
  <si>
    <t>POTA RECORTES FR BL10 S20</t>
  </si>
  <si>
    <t>POTA RECORTES LAM FR (T) BL10 S20</t>
  </si>
  <si>
    <t>POTA RECORTES LAM FR (M) BL10 S20</t>
  </si>
  <si>
    <t>POTA REJOS FR C/B S/U S/V S/OR 0.5-1 BL1</t>
  </si>
  <si>
    <t>POTA CONO FR S/COD BL10 S20</t>
  </si>
  <si>
    <t>POTA TUBO/ALETA EVISC. 0.5 - 1.0 BL10 S2</t>
  </si>
  <si>
    <t>POTA TUBO/ALETA EVISC. 1.0 - 2.0 BL10 S2</t>
  </si>
  <si>
    <t>POTA ALAS FR C/P C/C AA S/COD BL10 S20</t>
  </si>
  <si>
    <t>POTA NUCAS FR ABIERTAS 0.1 - 0.3 BL10 S2</t>
  </si>
  <si>
    <t>POTA REJOS FR S-S/POR C/UV 0.1 - 0.3 BL1</t>
  </si>
  <si>
    <t>POTA REJOS FR C/B S/U S/V S/OR 0.3 - 0.5</t>
  </si>
  <si>
    <t>POTA LABIOS FR S/COD BL10 S20</t>
  </si>
  <si>
    <t>BONITO ENT FR S/COD BL10 S20</t>
  </si>
  <si>
    <t>POTA ALAS PRE COC S/COD BL10 S20</t>
  </si>
  <si>
    <t>POTA FILETE PRE COCIDO S/M S/T 0.6 - 1.0</t>
  </si>
  <si>
    <t>POTA ALAS FR C/P C/C 0.3 - 0.5 BL10 S20</t>
  </si>
  <si>
    <t>POTA NUCAS CERRADAS 0.1 - 0.3 BL10 S20</t>
  </si>
  <si>
    <t>POTA FILETE S/M S/T FR 1.0-2.0 CM/ESP</t>
  </si>
  <si>
    <t>POTA ALAS PRE COC 0.3 - UP BL10 S20</t>
  </si>
  <si>
    <t>POTA ALAS PRE COC AA BL10 S20</t>
  </si>
  <si>
    <t>POTA ALAS PRE COC AA BL9 S18</t>
  </si>
  <si>
    <t>POTA VENTOSAS C/U FR BL10 S20</t>
  </si>
  <si>
    <t>POTA RECORTES LAM PRE COC (M) BL7.5 S15</t>
  </si>
  <si>
    <t>POTA REJOS FR C/B S/U S/V S/OR 2.0 - UP</t>
  </si>
  <si>
    <t>POTA FILETE S/M S/T FR 1.5-UP CM/ESP BL1</t>
  </si>
  <si>
    <t>LANGOSTINO COLA P&amp;D S/COD</t>
  </si>
  <si>
    <t>CONCHA ABANICO T/SOLO S/COD</t>
  </si>
  <si>
    <t>CABALLA ENTERA FR S/COD</t>
  </si>
  <si>
    <t>POTA FILETE PARA REPROCESO</t>
  </si>
  <si>
    <t>POTA REJOS FR C/B C/U C/V S/OR 1.0 - UP</t>
  </si>
  <si>
    <t>POTA REJOS FR S-S/POR C/UV 0.3 - 0.5 BL1</t>
  </si>
  <si>
    <t>ABRIL</t>
  </si>
  <si>
    <t>145-2025B</t>
  </si>
  <si>
    <t>POTA RECORTES  COCIDOS</t>
  </si>
  <si>
    <t xml:space="preserve">Recortes cocidos </t>
  </si>
  <si>
    <t>150-2026D</t>
  </si>
  <si>
    <t>s/t</t>
  </si>
  <si>
    <t>172-2026C</t>
  </si>
  <si>
    <t>2-4 kg  AA</t>
  </si>
  <si>
    <t>173-2026</t>
  </si>
  <si>
    <t>177-2026B</t>
  </si>
  <si>
    <t>178-2026A</t>
  </si>
  <si>
    <t>2-4 kg</t>
  </si>
  <si>
    <t>178-2026B</t>
  </si>
  <si>
    <t>178-2026C</t>
  </si>
  <si>
    <t>182-2026</t>
  </si>
  <si>
    <t>186-2026</t>
  </si>
  <si>
    <t>187-2026</t>
  </si>
  <si>
    <t>188-2026</t>
  </si>
  <si>
    <t xml:space="preserve">2-4 A </t>
  </si>
  <si>
    <t>Hakata</t>
  </si>
  <si>
    <t>190-2026</t>
  </si>
  <si>
    <t xml:space="preserve">Tokyo </t>
  </si>
  <si>
    <t>191-2026</t>
  </si>
  <si>
    <t>Alas Precocidas</t>
  </si>
  <si>
    <t xml:space="preserve">300-up skin-on </t>
  </si>
  <si>
    <t>YANTAI TAIXI FOODSTUFF</t>
  </si>
  <si>
    <t>Sasha</t>
  </si>
  <si>
    <t>192-2026</t>
  </si>
  <si>
    <t xml:space="preserve">1-up </t>
  </si>
  <si>
    <t>193-2026</t>
  </si>
  <si>
    <t>2-4 A  external skin removed, inner membranes on</t>
  </si>
  <si>
    <t>194-2026</t>
  </si>
  <si>
    <t>POTA FILETE DARUMA</t>
  </si>
  <si>
    <t>195-2026</t>
  </si>
  <si>
    <t>POTA SUCKERS CONGELADO</t>
  </si>
  <si>
    <t>Ventosas</t>
  </si>
  <si>
    <t>MAWEI FUZHOU</t>
  </si>
  <si>
    <t>196-2026</t>
  </si>
  <si>
    <t>Longkou Yunfeng Aquatic Food</t>
  </si>
  <si>
    <t xml:space="preserve">Nana </t>
  </si>
  <si>
    <t>197-2026A</t>
  </si>
  <si>
    <t xml:space="preserve">2-4 AA LIGERAMENTE ROSADO </t>
  </si>
  <si>
    <t>198-2026A</t>
  </si>
  <si>
    <t>198-2026B</t>
  </si>
  <si>
    <t>200-2026</t>
  </si>
  <si>
    <t>Qingdao Haiyujia</t>
  </si>
  <si>
    <t>Mark</t>
  </si>
  <si>
    <t>201-2026</t>
  </si>
  <si>
    <t>jack</t>
  </si>
  <si>
    <t>202-2026A</t>
  </si>
  <si>
    <t>202-2026B</t>
  </si>
  <si>
    <t>203-2026</t>
  </si>
  <si>
    <t>&lt;1000 DIRTY SUCKERS ON ,SEXUAL OFF</t>
  </si>
  <si>
    <t>SHIDAO</t>
  </si>
  <si>
    <t>204-2026</t>
  </si>
  <si>
    <t xml:space="preserve">1-2 A - AA  manto </t>
  </si>
  <si>
    <t>KOBE</t>
  </si>
  <si>
    <t>205-2026</t>
  </si>
  <si>
    <t>&gt;60 CM , SUCKERS OFF</t>
  </si>
  <si>
    <t>Manzanillo</t>
  </si>
  <si>
    <t xml:space="preserve">Mexico </t>
  </si>
  <si>
    <t>GOLDEN SEAFOOD</t>
  </si>
  <si>
    <t>alexander</t>
  </si>
  <si>
    <t>207-2026</t>
  </si>
  <si>
    <t>300-500 / 500-1000</t>
  </si>
  <si>
    <t>208-2026</t>
  </si>
  <si>
    <t xml:space="preserve">&lt;1000 </t>
  </si>
  <si>
    <t>Shenzhen Yueshi</t>
  </si>
  <si>
    <t>susan</t>
  </si>
  <si>
    <t>209-2026</t>
  </si>
  <si>
    <t>210-2026A</t>
  </si>
  <si>
    <t xml:space="preserve">&lt;1000 ENTERAS </t>
  </si>
  <si>
    <t>213-2026</t>
  </si>
  <si>
    <t>1-2 A - AA  manto</t>
  </si>
  <si>
    <t>214-2026</t>
  </si>
  <si>
    <t>2-4 A - AA</t>
  </si>
  <si>
    <t>SENDAI</t>
  </si>
  <si>
    <t>218-2026A</t>
  </si>
  <si>
    <t xml:space="preserve">1-2 LIMPIO </t>
  </si>
  <si>
    <t>218-2026B</t>
  </si>
  <si>
    <t>MSC CAROLE NX614R</t>
  </si>
  <si>
    <t>EBKG16377153</t>
  </si>
  <si>
    <t>MSC</t>
  </si>
  <si>
    <t>EBKG16377125</t>
  </si>
  <si>
    <t>ECO MARIN 26014N</t>
  </si>
  <si>
    <t>LIMG05144800</t>
  </si>
  <si>
    <t>LIMG05163900</t>
  </si>
  <si>
    <t>ECO MARIN 26016N</t>
  </si>
  <si>
    <t>LIMG05567300</t>
  </si>
  <si>
    <t>CAPE SABLE 617N</t>
  </si>
  <si>
    <t>LEONIDAS Z  618N</t>
  </si>
  <si>
    <t>LIMG05569500</t>
  </si>
  <si>
    <t>LIMG05575900</t>
  </si>
  <si>
    <t>LIMG05162800</t>
  </si>
  <si>
    <t>LIMG05576300</t>
  </si>
  <si>
    <t>ECO MARIN 26016S</t>
  </si>
  <si>
    <t>ECO SIROCCO 26015S</t>
  </si>
  <si>
    <t>CMA CGM EXCELLENCE 0DVOPN1MA</t>
  </si>
  <si>
    <t>LMM0581298</t>
  </si>
  <si>
    <t>LIMG05822400</t>
  </si>
  <si>
    <t>ECO SIROCCO 26017N</t>
  </si>
  <si>
    <t>ECO MARIN 26016N(</t>
  </si>
  <si>
    <t>LIMG05097800</t>
  </si>
  <si>
    <t>ECO SIROCCO 26017S</t>
  </si>
  <si>
    <t>LIMG06389600</t>
  </si>
  <si>
    <t>LEONIDAS Z 618N</t>
  </si>
  <si>
    <t>LIMG06456800</t>
  </si>
  <si>
    <t>LIMG06698900</t>
  </si>
  <si>
    <t>LIMG06699300</t>
  </si>
  <si>
    <t>3</t>
  </si>
  <si>
    <t>Total 3</t>
  </si>
  <si>
    <t>TM</t>
  </si>
  <si>
    <t>COSTO X TM</t>
  </si>
  <si>
    <t>MATERIA PRIMA</t>
  </si>
  <si>
    <t>MANO OBRA</t>
  </si>
  <si>
    <t>ENVASES</t>
  </si>
  <si>
    <t>DESPERDICIOS</t>
  </si>
  <si>
    <t>OTROS</t>
  </si>
  <si>
    <t>CIF DEPRECIACIÓN</t>
  </si>
  <si>
    <t>COSTOS DE PRODUCCIÓN DE MARZO 2025 EN USD</t>
  </si>
  <si>
    <t>ASIGNACIÓN DE COSTOS POR PORCENTAJE</t>
  </si>
  <si>
    <t>2</t>
  </si>
  <si>
    <t>Total 2</t>
  </si>
  <si>
    <t>COSTOS DE PRODUCCIÓN DE FEBRERO 2025 EN USD</t>
  </si>
  <si>
    <t>venta marzo</t>
  </si>
  <si>
    <t>% aplicado nuevo costo materia prima</t>
  </si>
  <si>
    <t>tm vendidas en marzo con nuevo costo materia prima</t>
  </si>
  <si>
    <t>incremento costo</t>
  </si>
  <si>
    <t>venta abril</t>
  </si>
  <si>
    <t>tm vendidas en abril con nuevo costo materia prima</t>
  </si>
  <si>
    <t>Budget</t>
  </si>
  <si>
    <t>Ratio Precio / Costo</t>
  </si>
  <si>
    <t>Ratio Costo / Compra</t>
  </si>
  <si>
    <t>Real</t>
  </si>
  <si>
    <t>Precio Compra MP por TM</t>
  </si>
  <si>
    <t>Var</t>
  </si>
  <si>
    <t>EBITDA NETO</t>
  </si>
  <si>
    <t>Concepto</t>
  </si>
  <si>
    <t>Enero</t>
  </si>
  <si>
    <t>Febrero</t>
  </si>
  <si>
    <t>Marzo</t>
  </si>
  <si>
    <t>Abril</t>
  </si>
  <si>
    <t>Venta CFR</t>
  </si>
  <si>
    <t>Utilidad Neta</t>
  </si>
  <si>
    <t>Acum Abril venta y rentabilidad por producto</t>
  </si>
  <si>
    <t>Acum Abril venta y rentabilidad por cliente</t>
  </si>
  <si>
    <t>cif x tm</t>
  </si>
  <si>
    <t>tm PT</t>
  </si>
  <si>
    <t>tm MP</t>
  </si>
  <si>
    <t>CIF total</t>
  </si>
  <si>
    <t>Budget Aprob</t>
  </si>
  <si>
    <t>Budget Meta</t>
  </si>
  <si>
    <t>Suma de CIF</t>
  </si>
  <si>
    <t>CIF X TM</t>
  </si>
  <si>
    <t>CIF SIN DEPRECIACIÓN X TM</t>
  </si>
  <si>
    <t>GASTO ADM</t>
  </si>
  <si>
    <t>GASTO VENTAS</t>
  </si>
  <si>
    <t>GASTO FINANCIERO</t>
  </si>
  <si>
    <t>*PAYER, ELECTRICIDAD, MANTENIMIENTO, CALIDAD,</t>
  </si>
  <si>
    <t>PERSONAL ADM</t>
  </si>
  <si>
    <t>PRODUCCIÓN TERMINADO ABRIL</t>
  </si>
  <si>
    <t>FILETE CONGELADO</t>
  </si>
  <si>
    <t>REJOS CONGELADOS</t>
  </si>
  <si>
    <t>ALAS CONGELADAS</t>
  </si>
  <si>
    <t>FILETE DARUMA</t>
  </si>
  <si>
    <t>REPRODUCTORES</t>
  </si>
  <si>
    <t>NUCAS</t>
  </si>
  <si>
    <t>ALAS COCIDAS</t>
  </si>
  <si>
    <t>Acum 2026</t>
  </si>
  <si>
    <t>TM Materia Prima</t>
  </si>
  <si>
    <t>TM Vendidas PT</t>
  </si>
  <si>
    <t>Venta</t>
  </si>
  <si>
    <t>Margen Neto %</t>
  </si>
  <si>
    <t>1. RESULTADOS INTERNOS</t>
  </si>
  <si>
    <t>PERU FROST</t>
  </si>
  <si>
    <t>NUCA</t>
  </si>
  <si>
    <t>REPRODUCTOR</t>
  </si>
  <si>
    <t>TENTACULO</t>
  </si>
  <si>
    <t>% FOB</t>
  </si>
  <si>
    <t>Top 15 Exportadores — Productos Congelados (Alas, Filete, Nuca, Tentáculo, Reproductor)</t>
  </si>
  <si>
    <t>KSL S.A.C.</t>
  </si>
  <si>
    <t>Resumen de Precios por TM Peru Frost vs Mercado</t>
  </si>
  <si>
    <t>INDUSTRIA PERUANA</t>
  </si>
  <si>
    <t>Nro</t>
  </si>
  <si>
    <t>Exportador</t>
  </si>
  <si>
    <t>Valor FOB (US$)</t>
  </si>
  <si>
    <t>Precio por TM</t>
  </si>
  <si>
    <t>Industrial Pesquera Santa Monica S.A.</t>
  </si>
  <si>
    <t>Pesquera Hermanos Cordova S.A.C.</t>
  </si>
  <si>
    <t>Oceano Seafood S.A.</t>
  </si>
  <si>
    <t>Productora Andina De Congelados S.R.L.</t>
  </si>
  <si>
    <t>Costa Mira Sociedad Anonima Cerrada</t>
  </si>
  <si>
    <t>Novaperu S.A.C.</t>
  </si>
  <si>
    <t>Peru Frost Sociedad Anonima Cerrada</t>
  </si>
  <si>
    <t>Esmeralda Corp S.A.C.</t>
  </si>
  <si>
    <t>Proveedora De Productos Marinos Sociedad</t>
  </si>
  <si>
    <t>Peruvian Sea Food S.A.</t>
  </si>
  <si>
    <t>Pesquera Supercetus S.A.C.</t>
  </si>
  <si>
    <t>Global Top Food Peru S.A.C.</t>
  </si>
  <si>
    <t>Seafrost S.A.C.</t>
  </si>
  <si>
    <t>Pacific Freezing Company S.A.C.</t>
  </si>
  <si>
    <t>Dexim Srl</t>
  </si>
  <si>
    <t>Inversiones Holding Peru Sociedad Anonim</t>
  </si>
  <si>
    <t>Mik Carpe S.A.C.</t>
  </si>
  <si>
    <t>Pesquera Exalmar S.A.A.</t>
  </si>
  <si>
    <t>Transmarina Del Peru S.A.C.</t>
  </si>
  <si>
    <t>Frigosa S.A.C.</t>
  </si>
  <si>
    <t>Frigosa Sociedad S.A.C.</t>
  </si>
  <si>
    <t>Corporacion Pesquera Del Mar Sociedad An</t>
  </si>
  <si>
    <t>Refrigerados Fisholg &amp; Hijos Sociedad An</t>
  </si>
  <si>
    <t>Top 15 Exportadores — Productos Cocidos (Alas Cocidas, Filete Daruma)</t>
  </si>
  <si>
    <t>2. BENCHMARK INDUSTRIA PERUANA DE CONGELADOS (VERITRADE)</t>
  </si>
  <si>
    <t>Costos</t>
  </si>
  <si>
    <t>Utilidad</t>
  </si>
  <si>
    <t>cambiar a nombre a presupuesto</t>
  </si>
  <si>
    <t>el presupuesto incluye todo de muelle y demas, añadirlos</t>
  </si>
  <si>
    <t>separar cuanto es congelados y muelle</t>
  </si>
  <si>
    <t>añadir fecha de corte</t>
  </si>
  <si>
    <t>colocar en power point</t>
  </si>
  <si>
    <t>Costo</t>
  </si>
  <si>
    <t>Presupuesto</t>
  </si>
  <si>
    <t>Merluza</t>
  </si>
  <si>
    <t>Muelle</t>
  </si>
  <si>
    <t>Congelados Pota</t>
  </si>
  <si>
    <t>gasto ventas</t>
  </si>
  <si>
    <t>SS</t>
  </si>
  <si>
    <t>Total</t>
  </si>
  <si>
    <t>PERU FROST - MUELLE 2026 (MILES US$)</t>
  </si>
  <si>
    <t>Variación</t>
  </si>
  <si>
    <t>PERU FROST - CONSOLIDADO 2026 (MILES US$)</t>
  </si>
  <si>
    <t>PERU FROST - CONGELADOS 2026 (MILES US$)</t>
  </si>
  <si>
    <t>PERU FROST - MERLUZA Y PERICO 2026 (MILES US$)</t>
  </si>
  <si>
    <t>PERU FROST -  SERVIOS DE CONGELAMIENTO 2026 (MILES US$)</t>
  </si>
  <si>
    <t>Acum Abril</t>
  </si>
  <si>
    <t>TM Vendidas</t>
  </si>
  <si>
    <t>Costo de Ventas</t>
  </si>
  <si>
    <t>Utilidad Bruta</t>
  </si>
  <si>
    <t>Gasto de Ventas</t>
  </si>
  <si>
    <t>Gasto Adm</t>
  </si>
  <si>
    <t>Otros Ingresos</t>
  </si>
  <si>
    <t>Utilidad Operativa</t>
  </si>
  <si>
    <t>Gasto Financiero</t>
  </si>
  <si>
    <t>UAIR</t>
  </si>
  <si>
    <t>Depreciación</t>
  </si>
  <si>
    <t>Mg EBITDA</t>
  </si>
  <si>
    <t>Mg UAIR</t>
  </si>
  <si>
    <t>Margen Operativo</t>
  </si>
  <si>
    <t>Margen Bruto</t>
  </si>
  <si>
    <t>PERÚ FROST - RESULTADOS CONGELADOS 2026 (EN MILES DE US$)</t>
  </si>
  <si>
    <t>PERÚ FROST - RESULTADOS CONSOLIDADOS 2026 (EN MILES DE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</si>
</sst>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;[Red]#,##0.00"/>
    <numFmt numFmtId="165" formatCode="_-* #,##0_-;\-* #,##0_-;_-* &quot;-&quot;??_-;_-@_-"/>
    <numFmt numFmtId="166" formatCode="_-* #,##0.000_-;\-* #,##0.000_-;_-* &quot;-&quot;??_-;_-@_-"/>
    <numFmt numFmtId="167" formatCode="_-* #,##0.0_-;\-* #,##0.0_-;_-* &quot;-&quot;??_-;_-@_-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Inter"/>
    </font>
    <font>
      <sz val="11"/>
      <color rgb="FF242424"/>
      <name val="Aptos Narrow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sz val="12"/>
      <color rgb="FF242424"/>
      <name val="Segoe UI"/>
      <family val="2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i/>
      <sz val="11"/>
      <color rgb="FFFF0000"/>
      <name val="Aptos Narrow"/>
      <family val="2"/>
      <scheme val="minor"/>
    </font>
    <font>
      <sz val="10"/>
      <color rgb="FFFF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sz val="10"/>
      <color theme="2" tint="-0.499984740745262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249977111117893"/>
        <bgColor theme="9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2">
    <xf numFmtId="0" fontId="0" fillId="0" borderId="0" xfId="0"/>
    <xf numFmtId="0" fontId="0" fillId="0" borderId="0" xfId="0" applyAlignment="1">
      <alignment horizontal="left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/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15" fillId="0" borderId="1" xfId="1" applyNumberFormat="1" applyFont="1" applyBorder="1" applyAlignment="1">
      <alignment vertical="center" wrapText="1"/>
    </xf>
    <xf numFmtId="165" fontId="16" fillId="0" borderId="1" xfId="1" applyNumberFormat="1" applyFont="1" applyBorder="1" applyAlignment="1">
      <alignment horizontal="left" vertical="center" wrapText="1" indent="1" readingOrder="1"/>
    </xf>
    <xf numFmtId="165" fontId="0" fillId="0" borderId="1" xfId="1" applyNumberFormat="1" applyFont="1" applyBorder="1"/>
    <xf numFmtId="165" fontId="15" fillId="0" borderId="1" xfId="1" applyNumberFormat="1" applyFont="1" applyBorder="1" applyAlignment="1">
      <alignment horizontal="right" vertical="center" wrapText="1"/>
    </xf>
    <xf numFmtId="165" fontId="16" fillId="0" borderId="1" xfId="1" applyNumberFormat="1" applyFont="1" applyBorder="1" applyAlignment="1">
      <alignment horizontal="right" vertical="center" wrapText="1" indent="1" readingOrder="1"/>
    </xf>
    <xf numFmtId="165" fontId="1" fillId="0" borderId="1" xfId="1" applyNumberFormat="1" applyFont="1" applyBorder="1" applyAlignment="1">
      <alignment horizontal="right"/>
    </xf>
    <xf numFmtId="165" fontId="16" fillId="0" borderId="1" xfId="1" applyNumberFormat="1" applyFont="1" applyBorder="1" applyAlignment="1">
      <alignment horizontal="right" vertical="center" wrapText="1" readingOrder="1"/>
    </xf>
    <xf numFmtId="165" fontId="0" fillId="0" borderId="1" xfId="1" applyNumberFormat="1" applyFont="1" applyBorder="1" applyAlignment="1">
      <alignment horizontal="right"/>
    </xf>
    <xf numFmtId="166" fontId="15" fillId="0" borderId="1" xfId="1" applyNumberFormat="1" applyFont="1" applyBorder="1" applyAlignment="1">
      <alignment horizontal="right" vertical="center" wrapText="1"/>
    </xf>
    <xf numFmtId="166" fontId="16" fillId="0" borderId="1" xfId="1" applyNumberFormat="1" applyFont="1" applyBorder="1" applyAlignment="1">
      <alignment horizontal="right" vertical="center" wrapText="1" indent="1" readingOrder="1"/>
    </xf>
    <xf numFmtId="0" fontId="0" fillId="0" borderId="2" xfId="0" applyBorder="1"/>
    <xf numFmtId="16" fontId="0" fillId="0" borderId="1" xfId="0" applyNumberFormat="1" applyBorder="1"/>
    <xf numFmtId="43" fontId="1" fillId="0" borderId="1" xfId="1" applyFont="1" applyFill="1" applyBorder="1"/>
    <xf numFmtId="0" fontId="0" fillId="0" borderId="1" xfId="0" applyBorder="1" applyAlignment="1">
      <alignment horizontal="center" vertical="center"/>
    </xf>
    <xf numFmtId="1" fontId="1" fillId="0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43" fontId="0" fillId="0" borderId="1" xfId="1" applyFont="1" applyFill="1" applyBorder="1"/>
    <xf numFmtId="0" fontId="0" fillId="0" borderId="1" xfId="0" applyBorder="1" applyAlignment="1">
      <alignment horizontal="center"/>
    </xf>
    <xf numFmtId="0" fontId="1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1" applyFont="1" applyFill="1" applyBorder="1"/>
    <xf numFmtId="1" fontId="6" fillId="0" borderId="1" xfId="1" applyNumberFormat="1" applyFont="1" applyFill="1" applyBorder="1" applyAlignment="1">
      <alignment horizontal="right"/>
    </xf>
    <xf numFmtId="43" fontId="4" fillId="0" borderId="1" xfId="1" applyFont="1" applyFill="1" applyBorder="1"/>
    <xf numFmtId="43" fontId="2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65" fontId="0" fillId="0" borderId="1" xfId="1" applyNumberFormat="1" applyFont="1" applyFill="1" applyBorder="1"/>
    <xf numFmtId="165" fontId="4" fillId="0" borderId="1" xfId="1" applyNumberFormat="1" applyFont="1" applyFill="1" applyBorder="1"/>
    <xf numFmtId="165" fontId="1" fillId="0" borderId="1" xfId="1" applyNumberFormat="1" applyFont="1" applyFill="1" applyBorder="1"/>
    <xf numFmtId="43" fontId="2" fillId="2" borderId="1" xfId="1" applyFont="1" applyFill="1" applyBorder="1" applyAlignment="1">
      <alignment horizontal="center" vertical="center" wrapText="1"/>
    </xf>
    <xf numFmtId="4" fontId="4" fillId="0" borderId="1" xfId="1" applyNumberFormat="1" applyFont="1" applyFill="1" applyBorder="1"/>
    <xf numFmtId="0" fontId="0" fillId="0" borderId="3" xfId="0" applyBorder="1"/>
    <xf numFmtId="165" fontId="4" fillId="5" borderId="4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5" fontId="4" fillId="0" borderId="1" xfId="0" applyNumberFormat="1" applyFont="1" applyBorder="1"/>
    <xf numFmtId="0" fontId="4" fillId="0" borderId="0" xfId="0" applyFont="1"/>
    <xf numFmtId="0" fontId="15" fillId="0" borderId="6" xfId="0" applyFont="1" applyBorder="1" applyAlignment="1">
      <alignment vertical="center" wrapText="1"/>
    </xf>
    <xf numFmtId="165" fontId="15" fillId="0" borderId="0" xfId="1" applyNumberFormat="1" applyFont="1" applyBorder="1" applyAlignment="1">
      <alignment horizontal="right" vertical="center" wrapText="1"/>
    </xf>
    <xf numFmtId="165" fontId="0" fillId="0" borderId="0" xfId="1" applyNumberFormat="1" applyFont="1"/>
    <xf numFmtId="165" fontId="16" fillId="0" borderId="0" xfId="1" applyNumberFormat="1" applyFont="1" applyBorder="1" applyAlignment="1">
      <alignment horizontal="right" vertical="center" wrapText="1" readingOrder="1"/>
    </xf>
    <xf numFmtId="165" fontId="0" fillId="0" borderId="0" xfId="0" applyNumberFormat="1"/>
    <xf numFmtId="0" fontId="8" fillId="0" borderId="1" xfId="0" applyFont="1" applyBorder="1"/>
    <xf numFmtId="1" fontId="0" fillId="0" borderId="1" xfId="0" applyNumberFormat="1" applyBorder="1"/>
    <xf numFmtId="164" fontId="4" fillId="0" borderId="1" xfId="0" applyNumberFormat="1" applyFont="1" applyBorder="1"/>
    <xf numFmtId="0" fontId="6" fillId="0" borderId="1" xfId="0" applyFont="1" applyBorder="1" applyAlignment="1">
      <alignment horizontal="left"/>
    </xf>
    <xf numFmtId="43" fontId="1" fillId="0" borderId="2" xfId="1" applyFont="1" applyFill="1" applyBorder="1"/>
    <xf numFmtId="165" fontId="1" fillId="0" borderId="2" xfId="1" applyNumberFormat="1" applyFont="1" applyFill="1" applyBorder="1"/>
    <xf numFmtId="1" fontId="6" fillId="0" borderId="1" xfId="0" applyNumberFormat="1" applyFont="1" applyBorder="1"/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" fontId="6" fillId="0" borderId="1" xfId="1" applyNumberFormat="1" applyFont="1" applyFill="1" applyBorder="1"/>
    <xf numFmtId="4" fontId="4" fillId="0" borderId="1" xfId="0" applyNumberFormat="1" applyFont="1" applyBorder="1"/>
    <xf numFmtId="0" fontId="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9" fontId="0" fillId="0" borderId="0" xfId="2" applyFont="1"/>
    <xf numFmtId="9" fontId="0" fillId="0" borderId="0" xfId="2" applyFont="1" applyAlignment="1">
      <alignment horizontal="center"/>
    </xf>
    <xf numFmtId="43" fontId="2" fillId="6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/>
    </xf>
    <xf numFmtId="0" fontId="0" fillId="0" borderId="0" xfId="0" pivotButton="1"/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23" fillId="0" borderId="0" xfId="0" applyFont="1" applyAlignment="1">
      <alignment horizontal="left"/>
    </xf>
    <xf numFmtId="165" fontId="23" fillId="0" borderId="0" xfId="0" applyNumberFormat="1" applyFont="1"/>
    <xf numFmtId="0" fontId="4" fillId="7" borderId="8" xfId="0" applyFont="1" applyFill="1" applyBorder="1" applyAlignment="1">
      <alignment horizontal="center"/>
    </xf>
    <xf numFmtId="165" fontId="4" fillId="0" borderId="0" xfId="1" applyNumberFormat="1" applyFont="1"/>
    <xf numFmtId="9" fontId="4" fillId="0" borderId="0" xfId="2" applyFont="1"/>
    <xf numFmtId="9" fontId="4" fillId="0" borderId="0" xfId="2" applyFont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24" fillId="0" borderId="0" xfId="0" applyFont="1"/>
    <xf numFmtId="43" fontId="25" fillId="3" borderId="1" xfId="1" applyFont="1" applyFill="1" applyBorder="1" applyAlignment="1">
      <alignment horizontal="center" vertical="center" wrapText="1"/>
    </xf>
    <xf numFmtId="165" fontId="4" fillId="0" borderId="1" xfId="1" applyNumberFormat="1" applyFont="1" applyBorder="1"/>
    <xf numFmtId="9" fontId="23" fillId="0" borderId="3" xfId="2" applyFont="1" applyBorder="1" applyAlignment="1">
      <alignment horizontal="center"/>
    </xf>
    <xf numFmtId="9" fontId="23" fillId="0" borderId="1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1" xfId="2" applyFont="1" applyFill="1" applyBorder="1" applyAlignment="1">
      <alignment horizontal="center"/>
    </xf>
    <xf numFmtId="165" fontId="4" fillId="0" borderId="2" xfId="1" applyNumberFormat="1" applyFont="1" applyFill="1" applyBorder="1"/>
    <xf numFmtId="0" fontId="0" fillId="5" borderId="4" xfId="0" applyFill="1" applyBorder="1"/>
    <xf numFmtId="0" fontId="8" fillId="0" borderId="1" xfId="0" applyFont="1" applyBorder="1" applyAlignment="1">
      <alignment vertical="center"/>
    </xf>
    <xf numFmtId="9" fontId="23" fillId="0" borderId="7" xfId="2" applyFont="1" applyFill="1" applyBorder="1" applyAlignment="1">
      <alignment horizontal="center"/>
    </xf>
    <xf numFmtId="0" fontId="22" fillId="0" borderId="1" xfId="0" applyFont="1" applyBorder="1"/>
    <xf numFmtId="16" fontId="0" fillId="0" borderId="1" xfId="0" applyNumberFormat="1" applyBorder="1" applyAlignment="1">
      <alignment horizontal="center"/>
    </xf>
    <xf numFmtId="43" fontId="1" fillId="0" borderId="1" xfId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9" fontId="4" fillId="5" borderId="4" xfId="2" applyFont="1" applyFill="1" applyBorder="1" applyAlignment="1">
      <alignment horizontal="center"/>
    </xf>
    <xf numFmtId="43" fontId="2" fillId="9" borderId="1" xfId="1" applyFont="1" applyFill="1" applyBorder="1" applyAlignment="1">
      <alignment horizontal="center" vertical="center" wrapText="1"/>
    </xf>
    <xf numFmtId="43" fontId="0" fillId="0" borderId="0" xfId="0" applyNumberFormat="1"/>
    <xf numFmtId="165" fontId="0" fillId="8" borderId="1" xfId="1" applyNumberFormat="1" applyFont="1" applyFill="1" applyBorder="1"/>
    <xf numFmtId="43" fontId="0" fillId="0" borderId="0" xfId="1" applyFont="1"/>
    <xf numFmtId="165" fontId="0" fillId="0" borderId="9" xfId="1" applyNumberFormat="1" applyFont="1" applyFill="1" applyBorder="1" applyAlignment="1">
      <alignment vertical="top"/>
    </xf>
    <xf numFmtId="4" fontId="0" fillId="0" borderId="0" xfId="0" applyNumberFormat="1"/>
    <xf numFmtId="43" fontId="0" fillId="0" borderId="1" xfId="1" applyFont="1" applyBorder="1"/>
    <xf numFmtId="9" fontId="23" fillId="0" borderId="7" xfId="2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9" fontId="1" fillId="0" borderId="0" xfId="2" applyFont="1"/>
    <xf numFmtId="165" fontId="4" fillId="12" borderId="0" xfId="0" applyNumberFormat="1" applyFont="1" applyFill="1"/>
    <xf numFmtId="0" fontId="26" fillId="0" borderId="0" xfId="0" applyFont="1"/>
    <xf numFmtId="167" fontId="4" fillId="5" borderId="4" xfId="1" applyNumberFormat="1" applyFont="1" applyFill="1" applyBorder="1" applyAlignment="1">
      <alignment horizontal="center"/>
    </xf>
    <xf numFmtId="0" fontId="0" fillId="0" borderId="5" xfId="0" applyBorder="1"/>
    <xf numFmtId="43" fontId="0" fillId="0" borderId="5" xfId="0" applyNumberFormat="1" applyBorder="1"/>
    <xf numFmtId="0" fontId="26" fillId="0" borderId="0" xfId="0" applyFont="1" applyAlignment="1">
      <alignment horizontal="left" indent="2"/>
    </xf>
    <xf numFmtId="43" fontId="0" fillId="0" borderId="5" xfId="1" applyFont="1" applyBorder="1"/>
    <xf numFmtId="0" fontId="27" fillId="0" borderId="0" xfId="0" applyFont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16" fontId="3" fillId="11" borderId="1" xfId="0" applyNumberFormat="1" applyFont="1" applyFill="1" applyBorder="1" applyAlignment="1">
      <alignment horizontal="center"/>
    </xf>
    <xf numFmtId="43" fontId="3" fillId="11" borderId="1" xfId="1" applyFont="1" applyFill="1" applyBorder="1" applyAlignment="1">
      <alignment horizontal="center"/>
    </xf>
    <xf numFmtId="2" fontId="28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43" fontId="3" fillId="11" borderId="1" xfId="1" applyFont="1" applyFill="1" applyBorder="1"/>
    <xf numFmtId="164" fontId="27" fillId="11" borderId="1" xfId="0" applyNumberFormat="1" applyFont="1" applyFill="1" applyBorder="1"/>
    <xf numFmtId="43" fontId="27" fillId="11" borderId="1" xfId="1" applyFont="1" applyFill="1" applyBorder="1"/>
    <xf numFmtId="165" fontId="3" fillId="11" borderId="1" xfId="1" applyNumberFormat="1" applyFont="1" applyFill="1" applyBorder="1"/>
    <xf numFmtId="165" fontId="27" fillId="11" borderId="1" xfId="1" applyNumberFormat="1" applyFont="1" applyFill="1" applyBorder="1"/>
    <xf numFmtId="9" fontId="29" fillId="11" borderId="1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165" fontId="0" fillId="0" borderId="4" xfId="1" applyNumberFormat="1" applyFont="1" applyBorder="1"/>
    <xf numFmtId="1" fontId="3" fillId="11" borderId="1" xfId="0" applyNumberFormat="1" applyFont="1" applyFill="1" applyBorder="1"/>
    <xf numFmtId="0" fontId="30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left"/>
    </xf>
    <xf numFmtId="0" fontId="3" fillId="11" borderId="2" xfId="0" applyFont="1" applyFill="1" applyBorder="1"/>
    <xf numFmtId="0" fontId="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/>
    <xf numFmtId="43" fontId="0" fillId="0" borderId="1" xfId="1" applyFont="1" applyFill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/>
    <xf numFmtId="164" fontId="0" fillId="0" borderId="1" xfId="0" applyNumberFormat="1" applyBorder="1"/>
    <xf numFmtId="43" fontId="3" fillId="11" borderId="2" xfId="1" applyFont="1" applyFill="1" applyBorder="1"/>
    <xf numFmtId="165" fontId="3" fillId="11" borderId="2" xfId="1" applyNumberFormat="1" applyFont="1" applyFill="1" applyBorder="1"/>
    <xf numFmtId="165" fontId="27" fillId="11" borderId="2" xfId="1" applyNumberFormat="1" applyFont="1" applyFill="1" applyBorder="1"/>
    <xf numFmtId="0" fontId="4" fillId="0" borderId="0" xfId="0" applyFont="1" applyAlignment="1">
      <alignment horizontal="center"/>
    </xf>
    <xf numFmtId="0" fontId="4" fillId="7" borderId="0" xfId="0" applyFont="1" applyFill="1"/>
    <xf numFmtId="0" fontId="0" fillId="0" borderId="0" xfId="0" applyAlignment="1">
      <alignment vertical="top"/>
    </xf>
    <xf numFmtId="0" fontId="0" fillId="0" borderId="7" xfId="0" applyBorder="1"/>
    <xf numFmtId="0" fontId="32" fillId="5" borderId="1" xfId="0" applyFont="1" applyFill="1" applyBorder="1" applyAlignment="1">
      <alignment horizontal="center" vertical="center" wrapText="1"/>
    </xf>
    <xf numFmtId="43" fontId="15" fillId="0" borderId="1" xfId="1" applyFont="1" applyBorder="1" applyAlignment="1">
      <alignment horizontal="right" vertical="center" wrapText="1"/>
    </xf>
    <xf numFmtId="43" fontId="16" fillId="0" borderId="1" xfId="1" applyFont="1" applyBorder="1" applyAlignment="1">
      <alignment horizontal="right" vertical="center" wrapText="1" indent="1" readingOrder="1"/>
    </xf>
    <xf numFmtId="165" fontId="3" fillId="0" borderId="0" xfId="1" applyNumberFormat="1" applyFont="1"/>
    <xf numFmtId="16" fontId="0" fillId="0" borderId="5" xfId="0" applyNumberFormat="1" applyBorder="1" applyAlignment="1">
      <alignment horizontal="center"/>
    </xf>
    <xf numFmtId="43" fontId="1" fillId="0" borderId="5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43" fontId="1" fillId="0" borderId="5" xfId="1" applyFont="1" applyFill="1" applyBorder="1"/>
    <xf numFmtId="164" fontId="4" fillId="0" borderId="5" xfId="0" applyNumberFormat="1" applyFont="1" applyBorder="1"/>
    <xf numFmtId="43" fontId="6" fillId="0" borderId="5" xfId="1" applyFont="1" applyFill="1" applyBorder="1"/>
    <xf numFmtId="43" fontId="4" fillId="0" borderId="5" xfId="1" applyFont="1" applyFill="1" applyBorder="1"/>
    <xf numFmtId="1" fontId="6" fillId="0" borderId="5" xfId="0" applyNumberFormat="1" applyFont="1" applyBorder="1"/>
    <xf numFmtId="0" fontId="8" fillId="0" borderId="5" xfId="0" applyFont="1" applyBorder="1"/>
    <xf numFmtId="0" fontId="9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/>
    <xf numFmtId="43" fontId="1" fillId="0" borderId="0" xfId="1" applyFont="1" applyFill="1" applyBorder="1"/>
    <xf numFmtId="165" fontId="1" fillId="0" borderId="0" xfId="1" applyNumberFormat="1" applyFont="1" applyFill="1" applyBorder="1"/>
    <xf numFmtId="165" fontId="4" fillId="0" borderId="0" xfId="1" applyNumberFormat="1" applyFont="1" applyFill="1" applyBorder="1"/>
    <xf numFmtId="9" fontId="23" fillId="0" borderId="5" xfId="2" applyFont="1" applyFill="1" applyBorder="1" applyAlignment="1">
      <alignment horizontal="center"/>
    </xf>
    <xf numFmtId="165" fontId="0" fillId="0" borderId="5" xfId="1" applyNumberFormat="1" applyFont="1" applyFill="1" applyBorder="1"/>
    <xf numFmtId="165" fontId="4" fillId="0" borderId="5" xfId="1" applyNumberFormat="1" applyFont="1" applyFill="1" applyBorder="1"/>
    <xf numFmtId="0" fontId="12" fillId="11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vertical="top"/>
    </xf>
    <xf numFmtId="165" fontId="0" fillId="10" borderId="0" xfId="1" applyNumberFormat="1" applyFont="1" applyFill="1" applyBorder="1" applyAlignment="1">
      <alignment vertical="top"/>
    </xf>
    <xf numFmtId="165" fontId="0" fillId="0" borderId="0" xfId="1" applyNumberFormat="1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165" fontId="4" fillId="0" borderId="1" xfId="1" applyNumberFormat="1" applyFont="1" applyBorder="1" applyAlignment="1">
      <alignment vertical="top"/>
    </xf>
    <xf numFmtId="0" fontId="33" fillId="7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0" fontId="4" fillId="0" borderId="0" xfId="0" applyFont="1" applyAlignment="1">
      <alignment horizontal="left" vertical="top"/>
    </xf>
    <xf numFmtId="9" fontId="0" fillId="0" borderId="1" xfId="2" applyFont="1" applyBorder="1" applyAlignment="1">
      <alignment horizontal="center" vertical="top"/>
    </xf>
    <xf numFmtId="9" fontId="0" fillId="0" borderId="1" xfId="2" applyFont="1" applyBorder="1" applyAlignment="1">
      <alignment horizontal="center"/>
    </xf>
    <xf numFmtId="9" fontId="4" fillId="0" borderId="1" xfId="2" applyFont="1" applyBorder="1" applyAlignment="1">
      <alignment horizontal="center" vertical="top"/>
    </xf>
    <xf numFmtId="9" fontId="4" fillId="0" borderId="1" xfId="2" applyFont="1" applyBorder="1" applyAlignment="1">
      <alignment horizontal="center"/>
    </xf>
    <xf numFmtId="0" fontId="0" fillId="17" borderId="1" xfId="0" applyFill="1" applyBorder="1" applyAlignment="1">
      <alignment horizontal="center" vertical="top"/>
    </xf>
    <xf numFmtId="0" fontId="0" fillId="14" borderId="1" xfId="0" applyFill="1" applyBorder="1" applyAlignment="1">
      <alignment horizontal="center" vertical="top"/>
    </xf>
    <xf numFmtId="0" fontId="0" fillId="15" borderId="1" xfId="0" applyFill="1" applyBorder="1" applyAlignment="1">
      <alignment horizontal="center" vertical="top"/>
    </xf>
    <xf numFmtId="0" fontId="0" fillId="16" borderId="1" xfId="0" applyFill="1" applyBorder="1" applyAlignment="1">
      <alignment horizontal="center" vertical="top"/>
    </xf>
    <xf numFmtId="0" fontId="0" fillId="12" borderId="1" xfId="0" applyFill="1" applyBorder="1" applyAlignment="1">
      <alignment horizontal="center" vertical="top"/>
    </xf>
    <xf numFmtId="0" fontId="0" fillId="18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4" fillId="0" borderId="1" xfId="0" applyFont="1" applyBorder="1"/>
    <xf numFmtId="0" fontId="0" fillId="11" borderId="1" xfId="0" applyFill="1" applyBorder="1" applyAlignment="1">
      <alignment horizontal="center" vertical="center"/>
    </xf>
    <xf numFmtId="164" fontId="27" fillId="5" borderId="1" xfId="0" applyNumberFormat="1" applyFont="1" applyFill="1" applyBorder="1"/>
    <xf numFmtId="43" fontId="4" fillId="7" borderId="10" xfId="0" applyNumberFormat="1" applyFont="1" applyFill="1" applyBorder="1"/>
    <xf numFmtId="4" fontId="27" fillId="5" borderId="1" xfId="0" applyNumberFormat="1" applyFont="1" applyFill="1" applyBorder="1"/>
    <xf numFmtId="165" fontId="27" fillId="5" borderId="1" xfId="1" applyNumberFormat="1" applyFont="1" applyFill="1" applyBorder="1"/>
    <xf numFmtId="165" fontId="27" fillId="5" borderId="2" xfId="1" applyNumberFormat="1" applyFont="1" applyFill="1" applyBorder="1"/>
    <xf numFmtId="9" fontId="0" fillId="0" borderId="0" xfId="0" applyNumberFormat="1"/>
    <xf numFmtId="0" fontId="0" fillId="0" borderId="0" xfId="0" applyAlignment="1">
      <alignment horizontal="right"/>
    </xf>
    <xf numFmtId="165" fontId="2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1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9" fontId="35" fillId="0" borderId="0" xfId="2" applyFont="1" applyAlignment="1">
      <alignment horizontal="center"/>
    </xf>
    <xf numFmtId="9" fontId="3" fillId="0" borderId="0" xfId="0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/>
    <xf numFmtId="0" fontId="24" fillId="0" borderId="0" xfId="0" applyFont="1" applyAlignment="1">
      <alignment horizontal="left"/>
    </xf>
    <xf numFmtId="10" fontId="0" fillId="0" borderId="0" xfId="0" applyNumberFormat="1"/>
    <xf numFmtId="0" fontId="2" fillId="19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4" fillId="0" borderId="0" xfId="1" applyNumberFormat="1" applyFont="1" applyBorder="1"/>
    <xf numFmtId="165" fontId="4" fillId="0" borderId="9" xfId="1" applyNumberFormat="1" applyFont="1" applyBorder="1"/>
    <xf numFmtId="3" fontId="4" fillId="0" borderId="0" xfId="1" applyNumberFormat="1" applyFont="1" applyBorder="1"/>
    <xf numFmtId="3" fontId="4" fillId="0" borderId="9" xfId="1" applyNumberFormat="1" applyFont="1" applyBorder="1"/>
    <xf numFmtId="0" fontId="4" fillId="0" borderId="12" xfId="0" applyFont="1" applyBorder="1" applyAlignment="1">
      <alignment horizontal="center"/>
    </xf>
    <xf numFmtId="9" fontId="4" fillId="0" borderId="13" xfId="2" applyFont="1" applyBorder="1" applyAlignment="1">
      <alignment horizontal="right"/>
    </xf>
    <xf numFmtId="9" fontId="4" fillId="0" borderId="14" xfId="2" applyFont="1" applyBorder="1" applyAlignment="1">
      <alignment horizontal="right"/>
    </xf>
    <xf numFmtId="0" fontId="4" fillId="20" borderId="1" xfId="0" applyFont="1" applyFill="1" applyBorder="1" applyAlignment="1">
      <alignment horizontal="center"/>
    </xf>
    <xf numFmtId="0" fontId="4" fillId="20" borderId="1" xfId="0" applyFont="1" applyFill="1" applyBorder="1"/>
    <xf numFmtId="165" fontId="4" fillId="20" borderId="1" xfId="1" applyNumberFormat="1" applyFont="1" applyFill="1" applyBorder="1"/>
    <xf numFmtId="3" fontId="0" fillId="0" borderId="0" xfId="0" applyNumberFormat="1"/>
    <xf numFmtId="9" fontId="4" fillId="0" borderId="0" xfId="2" applyFont="1" applyBorder="1" applyAlignment="1">
      <alignment horizontal="right"/>
    </xf>
    <xf numFmtId="165" fontId="4" fillId="0" borderId="19" xfId="1" applyNumberFormat="1" applyFont="1" applyBorder="1"/>
    <xf numFmtId="3" fontId="4" fillId="0" borderId="19" xfId="1" applyNumberFormat="1" applyFont="1" applyBorder="1"/>
    <xf numFmtId="9" fontId="4" fillId="0" borderId="20" xfId="2" applyFont="1" applyBorder="1" applyAlignment="1">
      <alignment horizontal="right"/>
    </xf>
    <xf numFmtId="0" fontId="2" fillId="19" borderId="17" xfId="0" applyFont="1" applyFill="1" applyBorder="1" applyAlignment="1">
      <alignment horizontal="center"/>
    </xf>
    <xf numFmtId="0" fontId="2" fillId="19" borderId="15" xfId="0" applyFont="1" applyFill="1" applyBorder="1" applyAlignment="1">
      <alignment horizontal="center"/>
    </xf>
    <xf numFmtId="17" fontId="2" fillId="19" borderId="16" xfId="0" applyNumberFormat="1" applyFont="1" applyFill="1" applyBorder="1" applyAlignment="1">
      <alignment horizontal="center"/>
    </xf>
    <xf numFmtId="0" fontId="2" fillId="19" borderId="18" xfId="0" applyFont="1" applyFill="1" applyBorder="1" applyAlignment="1">
      <alignment horizontal="center"/>
    </xf>
    <xf numFmtId="0" fontId="2" fillId="19" borderId="0" xfId="0" applyFont="1" applyFill="1" applyAlignment="1">
      <alignment horizontal="center"/>
    </xf>
    <xf numFmtId="17" fontId="2" fillId="19" borderId="0" xfId="0" applyNumberFormat="1" applyFont="1" applyFill="1" applyAlignment="1">
      <alignment horizontal="center"/>
    </xf>
    <xf numFmtId="165" fontId="0" fillId="0" borderId="0" xfId="1" applyNumberFormat="1" applyFont="1" applyBorder="1"/>
    <xf numFmtId="0" fontId="37" fillId="0" borderId="0" xfId="0" applyFont="1" applyAlignment="1">
      <alignment horizontal="center"/>
    </xf>
    <xf numFmtId="9" fontId="37" fillId="0" borderId="0" xfId="2" applyFont="1" applyBorder="1" applyAlignment="1">
      <alignment horizontal="right"/>
    </xf>
    <xf numFmtId="165" fontId="0" fillId="0" borderId="5" xfId="1" applyNumberFormat="1" applyFont="1" applyBorder="1"/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27">
    <dxf>
      <numFmt numFmtId="165" formatCode="_-* #,##0_-;\-* #,##0_-;_-* &quot;-&quot;??_-;_-@_-"/>
    </dxf>
    <dxf>
      <numFmt numFmtId="165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</font>
    </dxf>
    <dxf>
      <font>
        <b/>
      </font>
    </dxf>
    <dxf>
      <font>
        <i/>
      </font>
    </dxf>
    <dxf>
      <font>
        <i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Ventas y Utilidad Neta</a:t>
            </a:r>
            <a:r>
              <a:rPr lang="es-PE" sz="1200" b="1" baseline="0"/>
              <a:t> </a:t>
            </a:r>
            <a:r>
              <a:rPr lang="es-PE" sz="1200" b="1"/>
              <a:t>Mensual 2026 </a:t>
            </a:r>
          </a:p>
          <a:p>
            <a:pPr>
              <a:defRPr sz="1200" b="1"/>
            </a:pPr>
            <a:r>
              <a:rPr lang="es-PE" sz="1200" b="1"/>
              <a:t>(Miles 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TD!$AC$5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TD!$AD$4:$AG$4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TD!$AD$5:$AG$5</c:f>
              <c:numCache>
                <c:formatCode>_-* #,##0_-;\-* #,##0_-;_-* "-"??_-;_-@_-</c:formatCode>
                <c:ptCount val="4"/>
                <c:pt idx="0">
                  <c:v>564.61527999999998</c:v>
                </c:pt>
                <c:pt idx="1">
                  <c:v>2769.8245000000002</c:v>
                </c:pt>
                <c:pt idx="2">
                  <c:v>3896.41831</c:v>
                </c:pt>
                <c:pt idx="3">
                  <c:v>4888.92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9-4F83-9151-46139AC6AEBF}"/>
            </c:ext>
          </c:extLst>
        </c:ser>
        <c:ser>
          <c:idx val="1"/>
          <c:order val="1"/>
          <c:tx>
            <c:strRef>
              <c:f>TD!$AC$6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1984707588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C9-4F83-9151-46139AC6AEBF}"/>
                </c:ext>
              </c:extLst>
            </c:dLbl>
            <c:dLbl>
              <c:idx val="1"/>
              <c:layout>
                <c:manualLayout>
                  <c:x val="-9.0608520225989325E-17"/>
                  <c:y val="-2.2900749593827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C9-4F83-9151-46139AC6AEBF}"/>
                </c:ext>
              </c:extLst>
            </c:dLbl>
            <c:dLbl>
              <c:idx val="2"/>
              <c:layout>
                <c:manualLayout>
                  <c:x val="0"/>
                  <c:y val="-2.6717541192798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C9-4F83-9151-46139AC6AE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TD!$AD$4:$AG$4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TD!$AD$6:$AG$6</c:f>
              <c:numCache>
                <c:formatCode>_-* #,##0_-;\-* #,##0_-;_-* "-"??_-;_-@_-</c:formatCode>
                <c:ptCount val="4"/>
                <c:pt idx="0">
                  <c:v>-99.03798461538463</c:v>
                </c:pt>
                <c:pt idx="1">
                  <c:v>-488.40745738826922</c:v>
                </c:pt>
                <c:pt idx="2">
                  <c:v>-201.20763531705279</c:v>
                </c:pt>
                <c:pt idx="3">
                  <c:v>89.74709976306444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9-4F83-9151-46139AC6A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267135"/>
        <c:axId val="531263775"/>
      </c:barChart>
      <c:catAx>
        <c:axId val="5312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3775"/>
        <c:crosses val="autoZero"/>
        <c:auto val="1"/>
        <c:lblAlgn val="ctr"/>
        <c:lblOffset val="100"/>
        <c:noMultiLvlLbl val="0"/>
      </c:catAx>
      <c:valAx>
        <c:axId val="53126377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 y Utilidad Acumulada Abril por Producto</a:t>
            </a:r>
            <a:r>
              <a:rPr lang="es-PE" sz="1200" b="1" baseline="0"/>
              <a:t> (Miles US$)</a:t>
            </a:r>
            <a:endParaRPr lang="es-PE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TD!$AD$11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TD!$AC$12:$AC$19</c:f>
              <c:strCache>
                <c:ptCount val="8"/>
                <c:pt idx="0">
                  <c:v>FILETE CONGELADO</c:v>
                </c:pt>
                <c:pt idx="1">
                  <c:v>REJOS CONGELADOS</c:v>
                </c:pt>
                <c:pt idx="2">
                  <c:v>ALAS CONGELADAS</c:v>
                </c:pt>
                <c:pt idx="3">
                  <c:v>FILETE DARUMA</c:v>
                </c:pt>
                <c:pt idx="4">
                  <c:v>REPRODUCTORES</c:v>
                </c:pt>
                <c:pt idx="5">
                  <c:v>NUCAS</c:v>
                </c:pt>
                <c:pt idx="6">
                  <c:v>ALAS COCIDAS</c:v>
                </c:pt>
                <c:pt idx="7">
                  <c:v>OTROS</c:v>
                </c:pt>
              </c:strCache>
            </c:strRef>
          </c:cat>
          <c:val>
            <c:numRef>
              <c:f>TD!$AD$12:$AD$19</c:f>
              <c:numCache>
                <c:formatCode>_-* #,##0_-;\-* #,##0_-;_-* "-"??_-;_-@_-</c:formatCode>
                <c:ptCount val="8"/>
                <c:pt idx="0">
                  <c:v>3148.23</c:v>
                </c:pt>
                <c:pt idx="1">
                  <c:v>2631.8490000000002</c:v>
                </c:pt>
                <c:pt idx="2">
                  <c:v>2273.4270000000001</c:v>
                </c:pt>
                <c:pt idx="3">
                  <c:v>1927.8</c:v>
                </c:pt>
                <c:pt idx="4">
                  <c:v>599.40499999999997</c:v>
                </c:pt>
                <c:pt idx="5">
                  <c:v>514.83000000000004</c:v>
                </c:pt>
                <c:pt idx="6">
                  <c:v>384.2577</c:v>
                </c:pt>
                <c:pt idx="7">
                  <c:v>639.97938999999997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2-4BBA-A0AE-E5E9AAB07A48}"/>
            </c:ext>
          </c:extLst>
        </c:ser>
        <c:ser>
          <c:idx val="1"/>
          <c:order val="1"/>
          <c:tx>
            <c:strRef>
              <c:f>TD!$AE$11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TD!$AC$12:$AC$19</c:f>
              <c:strCache>
                <c:ptCount val="8"/>
                <c:pt idx="0">
                  <c:v>FILETE CONGELADO</c:v>
                </c:pt>
                <c:pt idx="1">
                  <c:v>REJOS CONGELADOS</c:v>
                </c:pt>
                <c:pt idx="2">
                  <c:v>ALAS CONGELADAS</c:v>
                </c:pt>
                <c:pt idx="3">
                  <c:v>FILETE DARUMA</c:v>
                </c:pt>
                <c:pt idx="4">
                  <c:v>REPRODUCTORES</c:v>
                </c:pt>
                <c:pt idx="5">
                  <c:v>NUCAS</c:v>
                </c:pt>
                <c:pt idx="6">
                  <c:v>ALAS COCIDAS</c:v>
                </c:pt>
                <c:pt idx="7">
                  <c:v>OTROS</c:v>
                </c:pt>
              </c:strCache>
            </c:strRef>
          </c:cat>
          <c:val>
            <c:numRef>
              <c:f>TD!$AE$12:$AE$19</c:f>
              <c:numCache>
                <c:formatCode>_-* #,##0_-;\-* #,##0_-;_-* "-"??_-;_-@_-</c:formatCode>
                <c:ptCount val="8"/>
                <c:pt idx="0">
                  <c:v>-1138.4306055680258</c:v>
                </c:pt>
                <c:pt idx="1">
                  <c:v>311.25594609437849</c:v>
                </c:pt>
                <c:pt idx="2">
                  <c:v>-451.32788288255074</c:v>
                </c:pt>
                <c:pt idx="3">
                  <c:v>513.07692735927731</c:v>
                </c:pt>
                <c:pt idx="4">
                  <c:v>126.98724667837696</c:v>
                </c:pt>
                <c:pt idx="5">
                  <c:v>-431.34411270209853</c:v>
                </c:pt>
                <c:pt idx="6">
                  <c:v>138.02446829659678</c:v>
                </c:pt>
                <c:pt idx="7">
                  <c:v>232.85203516640283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2-4BBA-A0AE-E5E9AAB0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552367"/>
        <c:axId val="2056556207"/>
      </c:barChart>
      <c:catAx>
        <c:axId val="205655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6207"/>
        <c:crosses val="autoZero"/>
        <c:auto val="1"/>
        <c:lblAlgn val="ctr"/>
        <c:lblOffset val="100"/>
        <c:noMultiLvlLbl val="0"/>
      </c:catAx>
      <c:valAx>
        <c:axId val="205655620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Ventas y Utilidad </a:t>
            </a:r>
            <a:r>
              <a:rPr lang="es-PE" sz="1200" b="1" baseline="0"/>
              <a:t>N</a:t>
            </a:r>
            <a:r>
              <a:rPr lang="es-PE" sz="1200" b="1"/>
              <a:t>eta</a:t>
            </a:r>
            <a:r>
              <a:rPr lang="es-PE" sz="1200" b="1" baseline="0"/>
              <a:t> </a:t>
            </a:r>
            <a:r>
              <a:rPr lang="es-PE" sz="1200" b="1"/>
              <a:t>Acum</a:t>
            </a:r>
            <a:r>
              <a:rPr lang="es-PE" sz="1200" b="1" baseline="0"/>
              <a:t>ulada Abril 2026</a:t>
            </a:r>
            <a:r>
              <a:rPr lang="es-PE" sz="1200" b="1"/>
              <a:t> </a:t>
            </a:r>
          </a:p>
          <a:p>
            <a:pPr>
              <a:defRPr sz="1200" b="1"/>
            </a:pPr>
            <a:r>
              <a:rPr lang="es-PE" sz="1200" b="1"/>
              <a:t>(Miles 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TD!$AC$5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TD!$AH$4:$AI$4</c:f>
              <c:strCache>
                <c:ptCount val="2"/>
                <c:pt idx="0">
                  <c:v>Real</c:v>
                </c:pt>
                <c:pt idx="1">
                  <c:v>Presupuesto</c:v>
                </c:pt>
              </c:strCache>
            </c:strRef>
          </c:cat>
          <c:val>
            <c:numRef>
              <c:f>TD!$AH$5:$AI$5</c:f>
              <c:numCache>
                <c:formatCode>_-* #,##0_-;\-* #,##0_-;_-* "-"??_-;_-@_-</c:formatCode>
                <c:ptCount val="2"/>
                <c:pt idx="0">
                  <c:v>12119.77809</c:v>
                </c:pt>
                <c:pt idx="1">
                  <c:v>15333.647000000001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C-4CEC-8A6C-FD1BAAD2451D}"/>
            </c:ext>
          </c:extLst>
        </c:ser>
        <c:ser>
          <c:idx val="1"/>
          <c:order val="1"/>
          <c:tx>
            <c:strRef>
              <c:f>TD!$AC$6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TD!$AH$4:$AI$4</c:f>
              <c:strCache>
                <c:ptCount val="2"/>
                <c:pt idx="0">
                  <c:v>Real</c:v>
                </c:pt>
                <c:pt idx="1">
                  <c:v>Presupuesto</c:v>
                </c:pt>
              </c:strCache>
            </c:strRef>
          </c:cat>
          <c:val>
            <c:numRef>
              <c:f>TD!$AH$6:$AI$6</c:f>
              <c:numCache>
                <c:formatCode>_-* #,##0_-;\-* #,##0_-;_-* "-"??_-;_-@_-</c:formatCode>
                <c:ptCount val="2"/>
                <c:pt idx="0">
                  <c:v>-698.90597755764225</c:v>
                </c:pt>
                <c:pt idx="1">
                  <c:v>520.03599999999994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C-4CEC-8A6C-FD1BAAD2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267135"/>
        <c:axId val="531263775"/>
      </c:barChart>
      <c:catAx>
        <c:axId val="5312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3775"/>
        <c:crosses val="autoZero"/>
        <c:auto val="1"/>
        <c:lblAlgn val="ctr"/>
        <c:lblOffset val="100"/>
        <c:noMultiLvlLbl val="0"/>
      </c:catAx>
      <c:valAx>
        <c:axId val="53126377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Precios US$</a:t>
            </a:r>
            <a:r>
              <a:rPr lang="es-PE" sz="1200" b="1" baseline="0"/>
              <a:t> </a:t>
            </a:r>
            <a:r>
              <a:rPr lang="es-PE" sz="1200" b="1"/>
              <a:t>por TM Peru Frost vs Industria Peruana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TD!$AL$11</c:f>
              <c:strCache>
                <c:ptCount val="1"/>
                <c:pt idx="0">
                  <c:v>PERU FROST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TD!$AK$12:$AK$18</c:f>
              <c:strCache>
                <c:ptCount val="7"/>
                <c:pt idx="0">
                  <c:v>FILETE CONGELADO</c:v>
                </c:pt>
                <c:pt idx="1">
                  <c:v>FILETE DARUMA</c:v>
                </c:pt>
                <c:pt idx="2">
                  <c:v>REPRODUCTOR</c:v>
                </c:pt>
                <c:pt idx="3">
                  <c:v>NUCA</c:v>
                </c:pt>
                <c:pt idx="4">
                  <c:v>ALAS COCIDAS</c:v>
                </c:pt>
                <c:pt idx="5">
                  <c:v>ALAS CONGELADAS</c:v>
                </c:pt>
                <c:pt idx="6">
                  <c:v>TENTACULO</c:v>
                </c:pt>
              </c:strCache>
            </c:strRef>
          </c:cat>
          <c:val>
            <c:numRef>
              <c:f>TD!$AL$12:$AL$18</c:f>
              <c:numCache>
                <c:formatCode>General</c:formatCode>
                <c:ptCount val="7"/>
                <c:pt idx="0">
                  <c:v>1323</c:v>
                </c:pt>
                <c:pt idx="1">
                  <c:v>3292</c:v>
                </c:pt>
                <c:pt idx="2">
                  <c:v>2724</c:v>
                </c:pt>
                <c:pt idx="3">
                  <c:v>1123</c:v>
                </c:pt>
                <c:pt idx="4">
                  <c:v>3240</c:v>
                </c:pt>
                <c:pt idx="5">
                  <c:v>1509</c:v>
                </c:pt>
                <c:pt idx="6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9-486B-B8E3-2429AF1044D9}"/>
            </c:ext>
          </c:extLst>
        </c:ser>
        <c:ser>
          <c:idx val="1"/>
          <c:order val="1"/>
          <c:tx>
            <c:strRef>
              <c:f>TD!$AM$11</c:f>
              <c:strCache>
                <c:ptCount val="1"/>
                <c:pt idx="0">
                  <c:v>INDUSTRIA PERUANA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39-486B-B8E3-2429AF1044D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39-486B-B8E3-2429AF1044D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39-486B-B8E3-2429AF1044D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39-486B-B8E3-2429AF1044D9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39-486B-B8E3-2429AF1044D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39-486B-B8E3-2429AF1044D9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39-486B-B8E3-2429AF104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TD!$AK$12:$AK$18</c:f>
              <c:strCache>
                <c:ptCount val="7"/>
                <c:pt idx="0">
                  <c:v>FILETE CONGELADO</c:v>
                </c:pt>
                <c:pt idx="1">
                  <c:v>FILETE DARUMA</c:v>
                </c:pt>
                <c:pt idx="2">
                  <c:v>REPRODUCTOR</c:v>
                </c:pt>
                <c:pt idx="3">
                  <c:v>NUCA</c:v>
                </c:pt>
                <c:pt idx="4">
                  <c:v>ALAS COCIDAS</c:v>
                </c:pt>
                <c:pt idx="5">
                  <c:v>ALAS CONGELADAS</c:v>
                </c:pt>
                <c:pt idx="6">
                  <c:v>TENTACULO</c:v>
                </c:pt>
              </c:strCache>
            </c:strRef>
          </c:cat>
          <c:val>
            <c:numRef>
              <c:f>TD!$AM$12:$AM$18</c:f>
              <c:numCache>
                <c:formatCode>General</c:formatCode>
                <c:ptCount val="7"/>
                <c:pt idx="0">
                  <c:v>1525</c:v>
                </c:pt>
                <c:pt idx="1">
                  <c:v>3417</c:v>
                </c:pt>
                <c:pt idx="2">
                  <c:v>2704</c:v>
                </c:pt>
                <c:pt idx="3">
                  <c:v>1171</c:v>
                </c:pt>
                <c:pt idx="4">
                  <c:v>3318</c:v>
                </c:pt>
                <c:pt idx="5">
                  <c:v>1579</c:v>
                </c:pt>
                <c:pt idx="6">
                  <c:v>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9-486B-B8E3-2429AF104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179327"/>
        <c:axId val="1982180767"/>
      </c:barChart>
      <c:catAx>
        <c:axId val="198217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2180767"/>
        <c:crosses val="autoZero"/>
        <c:auto val="1"/>
        <c:lblAlgn val="ctr"/>
        <c:lblOffset val="100"/>
        <c:noMultiLvlLbl val="0"/>
      </c:catAx>
      <c:valAx>
        <c:axId val="1982180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217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 y Utilidad Acumulada Abril por Cliente </a:t>
            </a:r>
            <a:r>
              <a:rPr lang="es-PE" sz="1200" b="1" baseline="0"/>
              <a:t>(Miles US$)</a:t>
            </a:r>
            <a:endParaRPr lang="es-PE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TD!$AD$11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TD!$AC$29:$AC$36</c:f>
              <c:strCache>
                <c:ptCount val="8"/>
                <c:pt idx="0">
                  <c:v>TSUJINO</c:v>
                </c:pt>
                <c:pt idx="1">
                  <c:v>LONGKOU JIABAO AQUATIC</c:v>
                </c:pt>
                <c:pt idx="2">
                  <c:v>KULALIA</c:v>
                </c:pt>
                <c:pt idx="3">
                  <c:v>AVANCE GROUP</c:v>
                </c:pt>
                <c:pt idx="4">
                  <c:v>FOOD &amp; BEVERAGES TRADERS</c:v>
                </c:pt>
                <c:pt idx="5">
                  <c:v>Qingdao Haiyujia</c:v>
                </c:pt>
                <c:pt idx="6">
                  <c:v>Longkou Yunfeng Aquatic Food</c:v>
                </c:pt>
                <c:pt idx="7">
                  <c:v>OTROS</c:v>
                </c:pt>
              </c:strCache>
            </c:strRef>
          </c:cat>
          <c:val>
            <c:numRef>
              <c:f>TD!$AD$29:$AD$36</c:f>
              <c:numCache>
                <c:formatCode>_-* #,##0_-;\-* #,##0_-;_-* "-"??_-;_-@_-</c:formatCode>
                <c:ptCount val="8"/>
                <c:pt idx="0">
                  <c:v>2790.2730000000001</c:v>
                </c:pt>
                <c:pt idx="1">
                  <c:v>1406.7</c:v>
                </c:pt>
                <c:pt idx="2">
                  <c:v>1378.9216999999999</c:v>
                </c:pt>
                <c:pt idx="3">
                  <c:v>1097.2</c:v>
                </c:pt>
                <c:pt idx="4">
                  <c:v>935.40599999999995</c:v>
                </c:pt>
                <c:pt idx="5">
                  <c:v>595.78200000000004</c:v>
                </c:pt>
                <c:pt idx="6">
                  <c:v>575.1</c:v>
                </c:pt>
                <c:pt idx="7">
                  <c:v>3340.3953900000001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D-46AA-968B-4A9D4DE41C9C}"/>
            </c:ext>
          </c:extLst>
        </c:ser>
        <c:ser>
          <c:idx val="1"/>
          <c:order val="1"/>
          <c:tx>
            <c:strRef>
              <c:f>TD!$AE$11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3.3847987328256182E-2"/>
                  <c:y val="-4.4362060819986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BD-46AA-968B-4A9D4DE41C9C}"/>
                </c:ext>
              </c:extLst>
            </c:dLbl>
            <c:dLbl>
              <c:idx val="6"/>
              <c:layout>
                <c:manualLayout>
                  <c:x val="4.0973879397362745E-2"/>
                  <c:y val="-3.6044133481556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BD-46AA-968B-4A9D4DE41C9C}"/>
                </c:ext>
              </c:extLst>
            </c:dLbl>
            <c:dLbl>
              <c:idx val="7"/>
              <c:layout>
                <c:manualLayout>
                  <c:x val="3.384798732825605E-2"/>
                  <c:y val="-1.1090569784572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BD-46AA-968B-4A9D4DE41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TD!$AC$29:$AC$36</c:f>
              <c:strCache>
                <c:ptCount val="8"/>
                <c:pt idx="0">
                  <c:v>TSUJINO</c:v>
                </c:pt>
                <c:pt idx="1">
                  <c:v>LONGKOU JIABAO AQUATIC</c:v>
                </c:pt>
                <c:pt idx="2">
                  <c:v>KULALIA</c:v>
                </c:pt>
                <c:pt idx="3">
                  <c:v>AVANCE GROUP</c:v>
                </c:pt>
                <c:pt idx="4">
                  <c:v>FOOD &amp; BEVERAGES TRADERS</c:v>
                </c:pt>
                <c:pt idx="5">
                  <c:v>Qingdao Haiyujia</c:v>
                </c:pt>
                <c:pt idx="6">
                  <c:v>Longkou Yunfeng Aquatic Food</c:v>
                </c:pt>
                <c:pt idx="7">
                  <c:v>OTROS</c:v>
                </c:pt>
              </c:strCache>
            </c:strRef>
          </c:cat>
          <c:val>
            <c:numRef>
              <c:f>TD!$AE$29:$AE$36</c:f>
              <c:numCache>
                <c:formatCode>_-* #,##0_-;\-* #,##0_-;_-* "-"??_-;_-@_-</c:formatCode>
                <c:ptCount val="8"/>
                <c:pt idx="0">
                  <c:v>-709.04030084151225</c:v>
                </c:pt>
                <c:pt idx="1">
                  <c:v>394.79634341714831</c:v>
                </c:pt>
                <c:pt idx="2">
                  <c:v>101.00030128966993</c:v>
                </c:pt>
                <c:pt idx="3">
                  <c:v>-468.13754206169125</c:v>
                </c:pt>
                <c:pt idx="4">
                  <c:v>-74.238540516649905</c:v>
                </c:pt>
                <c:pt idx="5">
                  <c:v>101.96620977498908</c:v>
                </c:pt>
                <c:pt idx="6">
                  <c:v>-44.789183040265556</c:v>
                </c:pt>
                <c:pt idx="7">
                  <c:v>-0.46326557933067214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BD-46AA-968B-4A9D4DE41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552367"/>
        <c:axId val="2056556207"/>
      </c:barChart>
      <c:catAx>
        <c:axId val="205655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6207"/>
        <c:crosses val="autoZero"/>
        <c:auto val="1"/>
        <c:lblAlgn val="ctr"/>
        <c:lblOffset val="100"/>
        <c:noMultiLvlLbl val="0"/>
      </c:catAx>
      <c:valAx>
        <c:axId val="205655620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765173</xdr:colOff>
      <xdr:row>5</xdr:row>
      <xdr:rowOff>171450</xdr:rowOff>
    </xdr:from>
    <xdr:to>
      <xdr:col>6</xdr:col>
      <xdr:colOff>16933</xdr:colOff>
      <xdr:row>24</xdr:row>
      <xdr:rowOff>60327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AF6275-5BA0-42AA-B67C-3064B9ECB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28</xdr:row>
      <xdr:rowOff>8466</xdr:rowOff>
    </xdr:from>
    <xdr:to>
      <xdr:col>8</xdr:col>
      <xdr:colOff>948267</xdr:colOff>
      <xdr:row>43</xdr:row>
      <xdr:rowOff>110066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6A12C3-563A-40C3-AB58-35E64E906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312208</xdr:colOff>
      <xdr:row>5</xdr:row>
      <xdr:rowOff>151342</xdr:rowOff>
    </xdr:from>
    <xdr:to>
      <xdr:col>11</xdr:col>
      <xdr:colOff>778933</xdr:colOff>
      <xdr:row>24</xdr:row>
      <xdr:rowOff>40219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A2D9502-3B31-43BD-A5D6-8D51A43A6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790574</xdr:colOff>
      <xdr:row>65</xdr:row>
      <xdr:rowOff>0</xdr:rowOff>
    </xdr:from>
    <xdr:to>
      <xdr:col>10</xdr:col>
      <xdr:colOff>209549</xdr:colOff>
      <xdr:row>83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710661-A024-4E44-AEB6-AE9F08E9D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770467</xdr:colOff>
      <xdr:row>43</xdr:row>
      <xdr:rowOff>179603</xdr:rowOff>
    </xdr:from>
    <xdr:to>
      <xdr:col>8</xdr:col>
      <xdr:colOff>949213</xdr:colOff>
      <xdr:row>59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3812C5-271F-4FAB-A10E-05F133BF6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MATERIA%20PRIMA%202026%20ACTUALIZADO%20AL%204-5-2026.xlsx" TargetMode="External"/><Relationship Id="rId1" Type="http://schemas.openxmlformats.org/officeDocument/2006/relationships/externalLinkPath" Target="MATERIA%20PRIMA%202026%20ACTUALIZADO%20AL%204-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 (2)"/>
      <sheetName val="Hoja2"/>
      <sheetName val="Hoja1"/>
      <sheetName val="Hoja8"/>
      <sheetName val="Ingreso M.P"/>
      <sheetName val="Datos e.p"/>
      <sheetName val="Datos Proveedor"/>
      <sheetName val="Hoja7"/>
      <sheetName val="Hoja6"/>
      <sheetName val="Hoja3"/>
      <sheetName val="Hoja4"/>
      <sheetName val="Hoja5"/>
      <sheetName val="REPORTE "/>
      <sheetName val="REPORTE POR DIA"/>
      <sheetName val="Resumen"/>
      <sheetName val="REPORTE DIARI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D4">
            <v>1877.2149999999999</v>
          </cell>
        </row>
        <row r="5">
          <cell r="D5">
            <v>3149.7860000000001</v>
          </cell>
        </row>
        <row r="6">
          <cell r="D6">
            <v>2255.518</v>
          </cell>
        </row>
        <row r="7">
          <cell r="D7">
            <v>2853.1889999999999</v>
          </cell>
        </row>
      </sheetData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8CB64CF2-02A6-40B8-83A5-8B37A2DB3E5D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46.995588425925" createdVersion="8" refreshedVersion="8" minRefreshableVersion="3" recordCount="107" xr:uid="{8C8AB5E0-E5F5-408C-A8B0-953135C3B948}">
  <cacheSource type="worksheet">
    <worksheetSource ref="B3:AX110" sheet="Resumen"/>
  </cacheSource>
  <cacheFields count="49">
    <cacheField name="MES LINK" numFmtId="0">
      <sharedItems/>
    </cacheField>
    <cacheField name="MES _x000a_EJERCICIO" numFmtId="0">
      <sharedItems count="4">
        <s v="ENERO"/>
        <s v="FEBRERO"/>
        <s v="MARZO"/>
        <s v="ABRIL"/>
      </sharedItems>
    </cacheField>
    <cacheField name="FP" numFmtId="0">
      <sharedItems containsBlank="1"/>
    </cacheField>
    <cacheField name="Emision" numFmtId="16">
      <sharedItems containsSemiMixedTypes="0" containsNonDate="0" containsDate="1" containsString="0" minDate="1900-01-14T00:00:00" maxDate="2026-03-31T00:00:00"/>
    </cacheField>
    <cacheField name="Fecha Embarque" numFmtId="16">
      <sharedItems containsSemiMixedTypes="0" containsNonDate="0" containsDate="1" containsString="0" minDate="2026-01-09T00:00:00" maxDate="2026-04-29T00:00:00"/>
    </cacheField>
    <cacheField name=" Cantidad " numFmtId="43">
      <sharedItems containsSemiMixedTypes="0" containsString="0" containsNumber="1" minValue="0" maxValue="351"/>
    </cacheField>
    <cacheField name="Producto" numFmtId="0">
      <sharedItems count="14">
        <s v="POTA REPRODUCTORES"/>
        <s v="POTA NUCAS"/>
        <s v="POTA REJOS CONGELADOS"/>
        <s v="POTA CONOS"/>
        <s v="POTA FILETE CONGELADO"/>
        <s v="POTA ALAS CONGELADAS"/>
        <s v="RESIDUOS DE POTA"/>
        <s v="POTA MEMBRANA PRECOCIDA"/>
        <s v="POTA  TELILLA PRECOCIDA"/>
        <s v="POTA FILETE DARUMA"/>
        <s v="POTA ALAS COCIDAS"/>
        <s v="POTA RECORTES  COCIDOS"/>
        <s v="POTA SUCKERS CONGELADO"/>
        <s v="POTA FILETE PRECOCIDO" u="1"/>
      </sharedItems>
    </cacheField>
    <cacheField name="Corte" numFmtId="0">
      <sharedItems/>
    </cacheField>
    <cacheField name="Espec." numFmtId="0">
      <sharedItems containsBlank="1"/>
    </cacheField>
    <cacheField name="País" numFmtId="0">
      <sharedItems/>
    </cacheField>
    <cacheField name="Puerto " numFmtId="0">
      <sharedItems/>
    </cacheField>
    <cacheField name="Cliente (Razón Social)" numFmtId="0">
      <sharedItems count="23">
        <s v="OCEANUS FISH"/>
        <s v="DAIRECK S.A."/>
        <s v="TSUJINO"/>
        <s v="GLOBAL OCEAN"/>
        <s v="PROVEEDORA DE PRODUCTOS MARINOS"/>
        <s v="FOOD &amp; BEVERAGES TRADERS"/>
        <s v="OVERSEA"/>
        <s v="Hunan Jinyueyang "/>
        <s v="Longkou Yunfeng Aquatic"/>
        <s v="AVANCE GROUP"/>
        <s v="SACRAMENTO CO., LTD"/>
        <s v="KULALIA"/>
        <s v="Pesciro Asia International LTD."/>
        <s v="Pesciro SL"/>
        <s v="SHANDONG SHEENIER"/>
        <s v="LONGKOU JIABAO AQUATIC"/>
        <s v="LONGKOU BOHAI"/>
        <s v="YANTAI TAIXI FOODSTUFF"/>
        <s v="Longkou Yunfeng Aquatic Food"/>
        <s v="Qingdao Haiyujia"/>
        <s v="GOLDEN SEAFOOD"/>
        <s v="Shenzhen Yueshi"/>
        <s v="TSUJINO " u="1"/>
      </sharedItems>
    </cacheField>
    <cacheField name="Contacto " numFmtId="0">
      <sharedItems containsBlank="1"/>
    </cacheField>
    <cacheField name="Precio TM" numFmtId="0">
      <sharedItems containsSemiMixedTypes="0" containsString="0" containsNumber="1" minValue="0" maxValue="4200"/>
    </cacheField>
    <cacheField name="VALOR _x000a_CFR" numFmtId="0">
      <sharedItems containsSemiMixedTypes="0" containsString="0" containsNumber="1" minValue="4350" maxValue="669600"/>
    </cacheField>
    <cacheField name=" FOB / TM " numFmtId="0">
      <sharedItems containsSemiMixedTypes="0" containsString="0" containsNumber="1" minValue="0" maxValue="4074.3386243386244"/>
    </cacheField>
    <cacheField name="Costo Flete" numFmtId="0">
      <sharedItems containsSemiMixedTypes="0" containsString="0" containsNumber="1" minValue="0" maxValue="40339"/>
    </cacheField>
    <cacheField name="VALOR _x000a_FOB" numFmtId="0">
      <sharedItems containsSemiMixedTypes="0" containsString="0" containsNumber="1" minValue="3937.5" maxValue="646400"/>
    </cacheField>
    <cacheField name="Cantidad de FCL (Contenedores)" numFmtId="0">
      <sharedItems containsString="0" containsBlank="1" containsNumber="1" containsInteger="1" minValue="0" maxValue="13"/>
    </cacheField>
    <cacheField name="M/V Nave" numFmtId="0">
      <sharedItems containsBlank="1"/>
    </cacheField>
    <cacheField name="Booking" numFmtId="0">
      <sharedItems containsBlank="1" containsMixedTypes="1" containsNumber="1" containsInteger="1" minValue="10367430" maxValue="6451450280"/>
    </cacheField>
    <cacheField name=" Naviera " numFmtId="0">
      <sharedItems containsBlank="1" containsMixedTypes="1" containsNumber="1" containsInteger="1" minValue="1" maxValue="1"/>
    </cacheField>
    <cacheField name="Puerto" numFmtId="0">
      <sharedItems containsBlank="1"/>
    </cacheField>
    <cacheField name="CÓDIGO" numFmtId="0">
      <sharedItems containsString="0" containsBlank="1" containsNumber="1" containsInteger="1" minValue="10005721" maxValue="10009332"/>
    </cacheField>
    <cacheField name="Categoría" numFmtId="0">
      <sharedItems containsBlank="1"/>
    </cacheField>
    <cacheField name="MATCH" numFmtId="0">
      <sharedItems containsBlank="1"/>
    </cacheField>
    <cacheField name="COSTO _x000a_UNITARIO" numFmtId="43">
      <sharedItems containsSemiMixedTypes="0" containsString="0" containsNumber="1" minValue="0" maxValue="2445.4442541856924"/>
    </cacheField>
    <cacheField name="Materia Prima" numFmtId="165">
      <sharedItems containsSemiMixedTypes="0" containsString="0" containsNumber="1" minValue="0" maxValue="370785.71870256303"/>
    </cacheField>
    <cacheField name="MOD" numFmtId="165">
      <sharedItems containsSemiMixedTypes="0" containsString="0" containsNumber="1" minValue="0" maxValue="143151.38931297712"/>
    </cacheField>
    <cacheField name="Envases" numFmtId="165">
      <sharedItems containsSemiMixedTypes="0" containsString="0" containsNumber="1" minValue="0" maxValue="6516.3554632679306"/>
    </cacheField>
    <cacheField name="CIF" numFmtId="165">
      <sharedItems containsSemiMixedTypes="0" containsString="0" containsNumber="1" minValue="-1752.6719636776393" maxValue="111218.93164828864"/>
    </cacheField>
    <cacheField name="COSTO _x000a_VENTAS" numFmtId="165">
      <sharedItems containsSemiMixedTypes="0" containsString="0" containsNumber="1" minValue="0" maxValue="611014.73302305548"/>
    </cacheField>
    <cacheField name="Cant" numFmtId="0">
      <sharedItems containsString="0" containsBlank="1" containsNumber="1" minValue="3" maxValue="351"/>
    </cacheField>
    <cacheField name="C.U" numFmtId="0">
      <sharedItems containsString="0" containsBlank="1" containsNumber="1" minValue="0" maxValue="2445.4442541856924"/>
    </cacheField>
    <cacheField name="Cotos Vta" numFmtId="165">
      <sharedItems containsString="0" containsBlank="1" containsNumber="1" minValue="5803.9692134831503" maxValue="611014.73302305548"/>
    </cacheField>
    <cacheField name="UTILIDAD _x000a_BRUTA" numFmtId="165">
      <sharedItems containsSemiMixedTypes="0" containsString="0" containsNumber="1" minValue="-154714.73302305548" maxValue="260939.89427312766"/>
    </cacheField>
    <cacheField name="MARGEN _x000a_BRUTO" numFmtId="9">
      <sharedItems containsSemiMixedTypes="0" containsString="0" containsNumber="1" minValue="-1.4800917396341804" maxValue="1"/>
    </cacheField>
    <cacheField name="Flete" numFmtId="165">
      <sharedItems containsSemiMixedTypes="0" containsString="0" containsNumber="1" minValue="0" maxValue="40339"/>
    </cacheField>
    <cacheField name="SS Logístico" numFmtId="165">
      <sharedItems containsSemiMixedTypes="0" containsString="0" containsNumber="1" minValue="0" maxValue="25407"/>
    </cacheField>
    <cacheField name="GASTO_x000a_VENTAS" numFmtId="165">
      <sharedItems containsSemiMixedTypes="0" containsString="0" containsNumber="1" minValue="0" maxValue="65746"/>
    </cacheField>
    <cacheField name="GASTO _x000a_ADM" numFmtId="165">
      <sharedItems containsSemiMixedTypes="0" containsString="0" containsNumber="1" minValue="0" maxValue="14707.451612903227"/>
    </cacheField>
    <cacheField name="DRAWBACK" numFmtId="165">
      <sharedItems containsSemiMixedTypes="0" containsString="0" containsNumber="1" minValue="0" maxValue="19392"/>
    </cacheField>
    <cacheField name="UTILIDAD _x000a_OPERATIVA" numFmtId="165">
      <sharedItems containsSemiMixedTypes="0" containsString="0" containsNumber="1" minValue="-220138.79221108707" maxValue="244206.59069507869"/>
    </cacheField>
    <cacheField name="MARGEN _x000a_OPERATIVO" numFmtId="9">
      <sharedItems containsSemiMixedTypes="0" containsString="0" containsNumber="1" minValue="-1.7715685394350773" maxValue="1"/>
    </cacheField>
    <cacheField name="GASTO _x000a_FINANCIERO" numFmtId="165">
      <sharedItems containsSemiMixedTypes="0" containsString="0" containsNumber="1" minValue="0" maxValue="38105.129032258068"/>
    </cacheField>
    <cacheField name="UTILIDAD _x000a_NETA" numFmtId="165">
      <sharedItems containsSemiMixedTypes="0" containsString="0" containsNumber="1" minValue="-252031.83388030325" maxValue="232347.19663505338"/>
    </cacheField>
    <cacheField name="MARGEN _x000a_NETO" numFmtId="9">
      <sharedItems containsSemiMixedTypes="0" containsString="0" containsNumber="1" minValue="-1.866536684195516" maxValue="1"/>
    </cacheField>
    <cacheField name="DEPRECIACIÓN" numFmtId="165">
      <sharedItems containsSemiMixedTypes="0" containsString="0" containsNumber="1" minValue="0" maxValue="35863.548387096773"/>
    </cacheField>
    <cacheField name="EBITDA" numFmtId="165">
      <sharedItems containsSemiMixedTypes="0" containsString="0" containsNumber="1" minValue="-193472.33877536535" maxValue="253686.885419050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ENERO"/>
    <x v="0"/>
    <s v="127-2025"/>
    <d v="1900-11-20T00:00:00"/>
    <d v="2026-01-11T00:00:00"/>
    <n v="26"/>
    <x v="0"/>
    <s v="Rejos"/>
    <m/>
    <s v="España"/>
    <s v="Valencia"/>
    <x v="0"/>
    <s v="Ignacio / Ives"/>
    <n v="2848.6153846153848"/>
    <n v="74064"/>
    <n v="2670.3846153846152"/>
    <n v="4634"/>
    <n v="69430"/>
    <n v="1"/>
    <s v="MERSIN EXPRESS 603N"/>
    <n v="26106924"/>
    <s v="HAPAG"/>
    <s v="PAITA"/>
    <n v="10007567"/>
    <s v="Compensación"/>
    <s v="ENERO10007567Compensación"/>
    <n v="1830"/>
    <n v="31604.018542872498"/>
    <n v="7767.6489739716217"/>
    <n v="466.19181744573058"/>
    <n v="7742.1406657101552"/>
    <n v="47580"/>
    <n v="22.658000000000001"/>
    <n v="1829.8234619119073"/>
    <n v="41460.14"/>
    <n v="26484"/>
    <n v="0.35758263123784834"/>
    <n v="4634"/>
    <n v="1882"/>
    <n v="6516"/>
    <n v="5311.0241935483873"/>
    <n v="2082.9"/>
    <n v="16739.875806451615"/>
    <n v="0.22601906197952601"/>
    <n v="13760.185483870968"/>
    <n v="2979.6903225806473"/>
    <n v="4.0231290810388953E-2"/>
    <n v="12950.725806451614"/>
    <n v="29690.601612903229"/>
  </r>
  <r>
    <s v="ENERO"/>
    <x v="0"/>
    <s v="128-2025B"/>
    <d v="1900-11-20T00:00:00"/>
    <d v="2026-01-31T00:00:00"/>
    <n v="17.04"/>
    <x v="1"/>
    <s v="Nucas"/>
    <s v="1000-up"/>
    <s v="Tailandia "/>
    <s v="Lat Krabang"/>
    <x v="1"/>
    <s v="Julieta"/>
    <n v="1850"/>
    <n v="31524"/>
    <n v="1656.3380281690143"/>
    <n v="2343"/>
    <n v="29181"/>
    <n v="1"/>
    <s v="ECO SIROCCO 26005S"/>
    <n v="6443191850"/>
    <s v="COSCO"/>
    <s v="PAITA"/>
    <n v="10005779"/>
    <s v="Compensación"/>
    <s v="ENERO10005779Compensación"/>
    <n v="1930"/>
    <n v="20697.484505029512"/>
    <n v="6988.7487369194496"/>
    <n v="251.1516477056781"/>
    <n v="4949.8151103453556"/>
    <n v="32887.199999999997"/>
    <n v="17.04"/>
    <n v="1977.4951253481865"/>
    <n v="33696.516935933098"/>
    <n v="-1363.1999999999971"/>
    <n v="-4.3243243243243148E-2"/>
    <n v="2343"/>
    <n v="1233.4338461538462"/>
    <n v="3576.4338461538464"/>
    <n v="3480.7635483870968"/>
    <n v="875.43"/>
    <n v="-7544.9673945409395"/>
    <n v="-0.23934041982429069"/>
    <n v="9018.213870967742"/>
    <n v="-16563.181265508683"/>
    <n v="-0.52541496210851046"/>
    <n v="8487.706451612903"/>
    <n v="942.73905707196354"/>
  </r>
  <r>
    <s v="ENERO"/>
    <x v="0"/>
    <s v="128-2025B"/>
    <d v="1900-11-20T00:00:00"/>
    <d v="2026-01-31T00:00:00"/>
    <n v="3"/>
    <x v="1"/>
    <s v="Nucas"/>
    <s v="500 - 1 kg."/>
    <s v="Tailandia "/>
    <s v="Lat Krabang"/>
    <x v="1"/>
    <s v="Julieta"/>
    <n v="1450"/>
    <n v="4350"/>
    <n v="1450"/>
    <n v="412.5"/>
    <n v="3937.5"/>
    <n v="0"/>
    <m/>
    <n v="6443191850"/>
    <s v="COSCO"/>
    <s v="PAITA"/>
    <n v="10005781"/>
    <s v="Compensación"/>
    <s v="ENERO10005781Compensación"/>
    <n v="1980"/>
    <n v="3757.0131752477705"/>
    <n v="1227.8049305981747"/>
    <n v="49.950511210059688"/>
    <n v="905.2313829439945"/>
    <n v="5940"/>
    <n v="3"/>
    <n v="1934.6564044943834"/>
    <n v="5803.9692134831503"/>
    <n v="-1590"/>
    <n v="-0.36551724137931035"/>
    <n v="412.5"/>
    <n v="217.15384615384616"/>
    <n v="629.65384615384619"/>
    <n v="612.8104838709678"/>
    <n v="118.125"/>
    <n v="-2714.339330024814"/>
    <n v="-0.62398605287926756"/>
    <n v="1587.7137096774195"/>
    <n v="-4302.0530397022339"/>
    <n v="-0.9889777102763756"/>
    <n v="1494.3145161290322"/>
    <n v="-1220.0248138957818"/>
  </r>
  <r>
    <s v="ENERO"/>
    <x v="0"/>
    <s v="128-2025B"/>
    <d v="1900-11-20T00:00:00"/>
    <d v="2026-01-31T00:00:00"/>
    <n v="3.96"/>
    <x v="2"/>
    <s v="Rejos"/>
    <s v="1 - 2 kgs."/>
    <s v="Tailandia "/>
    <s v="Lat Krabang"/>
    <x v="1"/>
    <s v="Julieta"/>
    <n v="2234.3434343434342"/>
    <n v="8848"/>
    <n v="2800"/>
    <n v="544.5"/>
    <n v="8303.5"/>
    <n v="0"/>
    <m/>
    <n v="6443191850"/>
    <s v="COSCO"/>
    <s v="PAITA"/>
    <n v="10007162"/>
    <s v="Compensación"/>
    <s v="ENERO10007162Compensación"/>
    <n v="1790"/>
    <n v="4604.3695814081602"/>
    <n v="1214.8181219670928"/>
    <n v="61.899522527468079"/>
    <n v="1207.3127740972786"/>
    <n v="7088.4"/>
    <n v="3.16"/>
    <n v="1842.6970447733067"/>
    <n v="5822.9226614836498"/>
    <n v="1759.6000000000004"/>
    <n v="0.198869801084991"/>
    <n v="544.5"/>
    <n v="286.64307692307693"/>
    <n v="831.14307692307693"/>
    <n v="808.9098387096775"/>
    <n v="249.10499999999999"/>
    <n v="368.65208436724595"/>
    <n v="4.1665018576768305E-2"/>
    <n v="2095.7820967741936"/>
    <n v="-1727.1300124069476"/>
    <n v="-0.19520004661018847"/>
    <n v="1972.4951612903226"/>
    <n v="2341.1472456575684"/>
  </r>
  <r>
    <s v="ENERO"/>
    <x v="0"/>
    <s v="129-2025"/>
    <d v="2025-11-21T00:00:00"/>
    <d v="2026-01-09T00:00:00"/>
    <n v="24"/>
    <x v="3"/>
    <s v="Conos"/>
    <m/>
    <s v="Tailandia"/>
    <s v="Bangkok"/>
    <x v="2"/>
    <s v="Jose"/>
    <n v="2100"/>
    <n v="50400"/>
    <n v="1962.5"/>
    <n v="3300"/>
    <n v="47100"/>
    <n v="1"/>
    <s v="ECO MARIN 26002S"/>
    <n v="6440924270"/>
    <s v="COSCO"/>
    <s v="PAITA"/>
    <n v="10007969"/>
    <s v="Compensación"/>
    <s v="ENERO10007969Compensación"/>
    <n v="1640"/>
    <n v="30431.61897971667"/>
    <n v="5331.8120500864879"/>
    <n v="403.53076527325976"/>
    <n v="3193.03820492358"/>
    <n v="39360"/>
    <n v="24"/>
    <n v="1644.316650390625"/>
    <n v="39463.599609375"/>
    <n v="11040"/>
    <n v="0.21904761904761905"/>
    <n v="3300"/>
    <n v="1737.2307692307693"/>
    <n v="5037.2307692307695"/>
    <n v="4902.4838709677424"/>
    <n v="1413"/>
    <n v="2513.2853598014881"/>
    <n v="4.986677301193429E-2"/>
    <n v="12701.709677419356"/>
    <n v="-10188.424317617868"/>
    <n v="-0.20215127614321166"/>
    <n v="11954.516129032258"/>
    <n v="14467.801488833746"/>
  </r>
  <r>
    <s v="ENERO"/>
    <x v="0"/>
    <s v="137-2025"/>
    <d v="2025-12-09T00:00:00"/>
    <d v="2026-01-21T00:00:00"/>
    <n v="24"/>
    <x v="4"/>
    <s v="Filete"/>
    <s v="2 - 4 kg"/>
    <s v="Taiwan"/>
    <s v="KAOHSIUNG"/>
    <x v="2"/>
    <s v="Jose"/>
    <n v="1966.6666666666667"/>
    <n v="47200"/>
    <n v="1841.5416666666667"/>
    <n v="3003"/>
    <n v="44197"/>
    <n v="1"/>
    <s v="ECO MARIN 25052N"/>
    <s v="LIMF26385300"/>
    <s v="ONE"/>
    <s v="PAITA"/>
    <n v="10005721"/>
    <s v="Compensación"/>
    <s v="ENERO10005721Compensación"/>
    <n v="1860"/>
    <n v="27074.763257694456"/>
    <n v="9821.5947948746671"/>
    <n v="427.38654616783856"/>
    <n v="7316.2554012630353"/>
    <n v="44640"/>
    <n v="23.7"/>
    <n v="1889.3858510966963"/>
    <n v="44778.444670991703"/>
    <n v="2560"/>
    <n v="5.4237288135593219E-2"/>
    <n v="3003"/>
    <n v="1737.2307692307693"/>
    <n v="4740.2307692307695"/>
    <n v="4902.4838709677424"/>
    <n v="1325.9099999999999"/>
    <n v="-5756.8046401985121"/>
    <n v="-0.12196620000420576"/>
    <n v="12701.709677419356"/>
    <n v="-18458.514317617868"/>
    <n v="-0.39107021859359892"/>
    <n v="11954.516129032258"/>
    <n v="6197.7114888337455"/>
  </r>
  <r>
    <s v="ENERO"/>
    <x v="0"/>
    <s v="140-2025"/>
    <d v="1900-12-12T00:00:00"/>
    <d v="2026-01-16T00:00:00"/>
    <n v="24"/>
    <x v="4"/>
    <s v="Filete"/>
    <s v="2-4kg"/>
    <s v="Japón "/>
    <s v="Sendai"/>
    <x v="2"/>
    <s v="Jose"/>
    <n v="1983.3333333333333"/>
    <n v="47600"/>
    <n v="1845.7083333333333"/>
    <n v="3303"/>
    <n v="44297"/>
    <n v="1"/>
    <s v="ECO SIROCCO 26003S"/>
    <s v="LIMG00358300"/>
    <s v="ONE"/>
    <s v="PAITA"/>
    <n v="10005721"/>
    <s v="Compensación"/>
    <s v="ENERO10005721Compensación"/>
    <n v="1860"/>
    <n v="27074.763257694456"/>
    <n v="9821.5947948746671"/>
    <n v="427.38654616783856"/>
    <n v="7316.2554012630353"/>
    <n v="44640"/>
    <n v="23.7"/>
    <n v="1889.3858510966963"/>
    <n v="44778.444670991703"/>
    <n v="2960"/>
    <n v="6.2184873949579833E-2"/>
    <n v="3303"/>
    <n v="1737.2307692307693"/>
    <n v="5040.2307692307695"/>
    <n v="4902.4838709677424"/>
    <n v="1328.9099999999999"/>
    <n v="-5653.8046401985121"/>
    <n v="-0.11877740840753176"/>
    <n v="12701.709677419356"/>
    <n v="-18355.514317617868"/>
    <n v="-0.38562004868945099"/>
    <n v="11954.516129032258"/>
    <n v="6300.7114888337455"/>
  </r>
  <r>
    <s v="ENERO"/>
    <x v="0"/>
    <s v="145-2025"/>
    <d v="2025-12-29T00:00:00"/>
    <d v="2026-01-19T00:00:00"/>
    <n v="54"/>
    <x v="2"/>
    <s v="Rejos"/>
    <s v="500-1 / 1-2"/>
    <s v="España"/>
    <s v="Vigo"/>
    <x v="3"/>
    <s v="Jorge"/>
    <n v="2600"/>
    <n v="140400"/>
    <n v="2430.962962962963"/>
    <n v="9128"/>
    <n v="131272"/>
    <n v="2"/>
    <s v="IZMIT EXPRESS 604N"/>
    <n v="28952064"/>
    <s v="HAPAG"/>
    <s v="PAITA"/>
    <n v="10007162"/>
    <s v="Compensación"/>
    <s v="ENERO10007162Compensación"/>
    <n v="1790"/>
    <n v="62786.857928293095"/>
    <n v="16565.701663187629"/>
    <n v="844.08439810183756"/>
    <n v="16463.356010417436"/>
    <n v="96660"/>
    <n v="54"/>
    <n v="1842.6970447733056"/>
    <n v="99505.640417758506"/>
    <n v="43740"/>
    <n v="0.31153846153846154"/>
    <n v="9128"/>
    <n v="3908.7692307692309"/>
    <n v="13036.76923076923"/>
    <n v="11030.58870967742"/>
    <n v="3938.16"/>
    <n v="23610.802059553349"/>
    <n v="0.16816810583727457"/>
    <n v="28578.846774193549"/>
    <n v="-4968.0447146402003"/>
    <n v="-3.5384933864958688E-2"/>
    <n v="26897.661290322583"/>
    <n v="50508.463349875936"/>
  </r>
  <r>
    <s v="FEBRERO"/>
    <x v="1"/>
    <s v="146-2026"/>
    <d v="2026-01-05T00:00:00"/>
    <d v="2026-02-06T00:00:00"/>
    <n v="10"/>
    <x v="3"/>
    <s v="Conos"/>
    <s v="10 cm - up "/>
    <s v="Tailandia"/>
    <s v="Lat Krabang"/>
    <x v="2"/>
    <s v="Jose"/>
    <n v="2100"/>
    <n v="21000"/>
    <n v="2100"/>
    <n v="1458.3333333333335"/>
    <n v="19541.666666666668"/>
    <n v="1"/>
    <s v="ECO MARIN 26006S"/>
    <n v="6444023300"/>
    <s v="COSCO"/>
    <s v="PAITA"/>
    <n v="10007969"/>
    <s v="Compensación"/>
    <s v="FEBRERO10007969Compensación"/>
    <n v="1397.2773083886541"/>
    <n v="11301.83162341581"/>
    <n v="2127.4652987326494"/>
    <n v="166.83162341581172"/>
    <n v="376.64453832227065"/>
    <n v="13972.773083886541"/>
    <n v="10"/>
    <n v="1397.2773083886541"/>
    <n v="13972.773083886541"/>
    <n v="7027.2269161134591"/>
    <n v="0.33462985314825994"/>
    <n v="1458.3333333333335"/>
    <n v="723.84615384615381"/>
    <n v="2182.1794871794873"/>
    <n v="346.35011931713882"/>
    <n v="586.25"/>
    <n v="5084.9473096168331"/>
    <n v="0.24214034807699206"/>
    <n v="908.63366578963473"/>
    <n v="4176.3136438271986"/>
    <n v="0.19887207827748565"/>
    <n v="755.57945297680976"/>
    <n v="5840.5267625936431"/>
  </r>
  <r>
    <s v="FEBRERO"/>
    <x v="1"/>
    <s v="146-2026"/>
    <d v="2026-01-05T00:00:00"/>
    <d v="2026-02-06T00:00:00"/>
    <n v="14"/>
    <x v="1"/>
    <s v="Nucas"/>
    <s v="500-up"/>
    <s v="Tailandia "/>
    <s v="Lat Krabang"/>
    <x v="2"/>
    <s v="Jose"/>
    <n v="1700"/>
    <n v="23456"/>
    <n v="1700"/>
    <n v="2041.6666666666667"/>
    <n v="21414.333333333332"/>
    <n v="0"/>
    <m/>
    <m/>
    <m/>
    <m/>
    <n v="10005779"/>
    <s v="Compensación"/>
    <s v="FEBRERO10005779Compensación"/>
    <n v="1859.71452825612"/>
    <n v="15847.870967741903"/>
    <n v="5732.4074702886119"/>
    <n v="189.92020373514393"/>
    <n v="4265.8047538200244"/>
    <n v="26036.003395585682"/>
    <n v="14.849"/>
    <n v="1859.71452825612"/>
    <n v="27614.901030075125"/>
    <n v="-2580.0033955856816"/>
    <n v="-0.10999332348165423"/>
    <n v="2041.6666666666667"/>
    <n v="1013.3846153846155"/>
    <n v="3055.0512820512822"/>
    <n v="484.89016704399438"/>
    <n v="642.42999999999995"/>
    <n v="-5477.514844680958"/>
    <n v="-0.23352297257336962"/>
    <n v="1272.0871321054888"/>
    <n v="-6749.6019767864473"/>
    <n v="-0.2877558823664072"/>
    <n v="1057.8112341675337"/>
    <n v="-4419.7036105134248"/>
  </r>
  <r>
    <s v="ENERO"/>
    <x v="0"/>
    <s v="147-2026"/>
    <d v="2026-01-10T00:00:00"/>
    <d v="2026-01-28T00:00:00"/>
    <n v="72"/>
    <x v="5"/>
    <s v="Alas"/>
    <s v="1 - 2 kgs."/>
    <s v="Tailandia "/>
    <s v="Bangkok"/>
    <x v="2"/>
    <s v="Jose"/>
    <n v="1887.7083333333333"/>
    <n v="135915"/>
    <n v="1754.25"/>
    <n v="9609"/>
    <n v="126306"/>
    <n v="3"/>
    <s v="ECO MARIN 26004N"/>
    <s v="LIMG01524600"/>
    <s v="ONE"/>
    <s v="PAITA"/>
    <n v="10006720"/>
    <s v="Compensación"/>
    <s v="ENERO10006720Compensación"/>
    <n v="1720"/>
    <n v="81764.360643671505"/>
    <n v="18919.257644210982"/>
    <n v="1185.8373623695809"/>
    <n v="21970.544349747925"/>
    <n v="123840"/>
    <n v="69.7"/>
    <n v="1723.9159631619368"/>
    <n v="120156.942632387"/>
    <n v="12075"/>
    <n v="8.8842291137843504E-2"/>
    <n v="9609"/>
    <n v="5211.6923076923076"/>
    <n v="14820.692307692309"/>
    <n v="14707.451612903227"/>
    <n v="3789.18"/>
    <n v="-13663.963920595535"/>
    <n v="-0.10053315616816051"/>
    <n v="38105.129032258068"/>
    <n v="-51769.092952853607"/>
    <n v="-0.3808931534624847"/>
    <n v="35863.548387096773"/>
    <n v="22199.584466501237"/>
  </r>
  <r>
    <s v="ENERO"/>
    <x v="0"/>
    <m/>
    <d v="2026-01-31T00:00:00"/>
    <d v="2026-01-31T00:00:00"/>
    <n v="0"/>
    <x v="6"/>
    <s v="Residuos"/>
    <s v="Residuos"/>
    <s v="Residuos"/>
    <s v="Residuos"/>
    <x v="4"/>
    <m/>
    <n v="0"/>
    <n v="24314.28"/>
    <n v="0"/>
    <n v="0"/>
    <n v="24314.28"/>
    <m/>
    <m/>
    <m/>
    <m/>
    <m/>
    <m/>
    <m/>
    <m/>
    <n v="0"/>
    <n v="0"/>
    <n v="0"/>
    <n v="0"/>
    <n v="0"/>
    <n v="0"/>
    <m/>
    <m/>
    <m/>
    <n v="24314.28"/>
    <n v="1"/>
    <n v="0"/>
    <n v="0"/>
    <n v="0"/>
    <n v="0"/>
    <n v="0"/>
    <n v="24314.28"/>
    <n v="1"/>
    <n v="0"/>
    <n v="24314.28"/>
    <n v="1"/>
    <n v="0"/>
    <n v="24314.28"/>
  </r>
  <r>
    <s v="FEBRERO"/>
    <x v="1"/>
    <s v="148-2026"/>
    <d v="1900-01-14T00:00:00"/>
    <d v="2026-02-02T00:00:00"/>
    <n v="135"/>
    <x v="4"/>
    <s v="Filete"/>
    <s v="2-4 (B)"/>
    <s v="España "/>
    <s v="Vigo"/>
    <x v="5"/>
    <s v="Jorge"/>
    <n v="1650"/>
    <n v="222750"/>
    <n v="1480.962962962963"/>
    <n v="22820"/>
    <n v="199930"/>
    <n v="5"/>
    <s v="ODYSSEUS 606N"/>
    <n v="59582082"/>
    <s v="HAPAG"/>
    <s v="PAITA"/>
    <n v="10005721"/>
    <s v="Compensación"/>
    <s v="FEBRERO10005721Compensación"/>
    <n v="1861.4473333333335"/>
    <n v="152495.08195455416"/>
    <n v="50378.668938514202"/>
    <n v="2680.0173531310843"/>
    <n v="45741.621753800559"/>
    <n v="251295.39"/>
    <n v="135"/>
    <n v="1861.4473333333335"/>
    <n v="251295.39"/>
    <n v="-28545.390000000014"/>
    <n v="-0.12814989898989906"/>
    <n v="22820"/>
    <n v="9771.923076923078"/>
    <n v="32591.923076923078"/>
    <n v="4675.7266107813739"/>
    <n v="5997.9"/>
    <n v="-59815.139687704468"/>
    <n v="-0.26853036896837024"/>
    <n v="12266.554488160069"/>
    <n v="-72081.694175864541"/>
    <n v="-0.32359907598592386"/>
    <n v="10256.328244508353"/>
    <n v="-49558.811443196115"/>
  </r>
  <r>
    <s v="FEBRERO"/>
    <x v="1"/>
    <s v="149-2026"/>
    <d v="1900-01-15T00:00:00"/>
    <d v="2026-02-02T00:00:00"/>
    <n v="27"/>
    <x v="0"/>
    <s v="Rejos"/>
    <m/>
    <s v="España "/>
    <s v="Vigo"/>
    <x v="3"/>
    <s v="Jorge"/>
    <n v="2873.5185185185187"/>
    <n v="77585"/>
    <n v="2711.8888888888887"/>
    <n v="4364"/>
    <n v="73221"/>
    <n v="1"/>
    <m/>
    <m/>
    <m/>
    <m/>
    <n v="10007567"/>
    <s v="Entradas"/>
    <s v="FEBRERO10007567Entradas"/>
    <n v="1829.8234619119073"/>
    <n v="30498.568502492959"/>
    <n v="8738.5729424640977"/>
    <n v="554.4620338671225"/>
    <n v="9613.6299927973178"/>
    <n v="49405.233471621497"/>
    <n v="26.302"/>
    <n v="1829.8234619119073"/>
    <n v="48129"/>
    <n v="28179.766528378503"/>
    <n v="0.36321152965622866"/>
    <n v="4364"/>
    <n v="1954.3846153846155"/>
    <n v="6318.3846153846152"/>
    <n v="935.1453221562748"/>
    <n v="2196.63"/>
    <n v="23122.866590837613"/>
    <n v="0.29803269434604129"/>
    <n v="2453.3108976320141"/>
    <n v="20669.555693205599"/>
    <n v="0.2664117508952194"/>
    <n v="2051.2656489016708"/>
    <n v="25174.132239739283"/>
  </r>
  <r>
    <s v="FEBRERO"/>
    <x v="1"/>
    <s v="150-2026A"/>
    <d v="1900-11-20T00:00:00"/>
    <d v="2026-02-16T00:00:00"/>
    <n v="26"/>
    <x v="2"/>
    <s v="Rejos"/>
    <s v="1-2 KG"/>
    <s v="España "/>
    <s v="Vigo"/>
    <x v="6"/>
    <s v="Avelino"/>
    <n v="2600"/>
    <n v="67600"/>
    <n v="2432.1538461538462"/>
    <n v="4364"/>
    <n v="63236"/>
    <n v="1"/>
    <s v="CAPE SPENCER 608N "/>
    <n v="11400418"/>
    <s v="HAPAG"/>
    <s v="PAITA"/>
    <n v="10007162"/>
    <s v="Compensación"/>
    <s v="FEBRERO10007162Compensación"/>
    <n v="1715.2908173076921"/>
    <n v="27996.817500000001"/>
    <n v="7988.6674999999996"/>
    <n v="415.92750000000001"/>
    <n v="8196.1487499999894"/>
    <n v="44597.561249999999"/>
    <n v="26"/>
    <n v="1715.2908173076921"/>
    <n v="44597.561249999999"/>
    <n v="23002.438750000001"/>
    <n v="0.34027276257396449"/>
    <n v="4364"/>
    <n v="1882"/>
    <n v="6246"/>
    <n v="900.51031022456095"/>
    <n v="1897.08"/>
    <n v="17753.00843977544"/>
    <n v="0.2626184680440154"/>
    <n v="2362.4475310530506"/>
    <n v="15390.560908722389"/>
    <n v="0.22767101935979867"/>
    <n v="1975.2928470904976"/>
    <n v="19728.301286865939"/>
  </r>
  <r>
    <s v="FEBRERO"/>
    <x v="1"/>
    <s v="151-2025"/>
    <d v="1900-01-25T00:00:00"/>
    <d v="2026-02-27T00:00:00"/>
    <n v="27"/>
    <x v="7"/>
    <s v="Membran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n v="10009332"/>
    <s v="Entradas"/>
    <s v="FEBRERO10009332Entradas"/>
    <n v="1529.9064788732392"/>
    <n v="34256.33985501268"/>
    <n v="6268.5857518887296"/>
    <n v="633.18765349791158"/>
    <n v="149.36166917813952"/>
    <n v="41307.47492957746"/>
    <n v="26.625"/>
    <n v="1529.9064788732392"/>
    <n v="40733.759999999995"/>
    <n v="-2701.22492957746"/>
    <n v="-6.9968591344081857E-2"/>
    <n v="2900"/>
    <n v="1954.3846153846155"/>
    <n v="4854.3846153846152"/>
    <n v="935.1453221562748"/>
    <n v="1071.1875"/>
    <n v="-7419.5673671183504"/>
    <n v="-0.19218565302556842"/>
    <n v="2453.3108976320141"/>
    <n v="-9872.8782647503649"/>
    <n v="-0.25573264082241515"/>
    <n v="2051.2656489016708"/>
    <n v="-5368.3017182166795"/>
  </r>
  <r>
    <s v="FEBRERO"/>
    <x v="1"/>
    <s v="151-2025"/>
    <d v="1900-01-25T00:00:00"/>
    <d v="2026-02-27T00:00:00"/>
    <n v="27"/>
    <x v="8"/>
    <s v="Telill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n v="10009332"/>
    <s v="Compensación"/>
    <s v="FEBRERO10009332Compensación"/>
    <n v="1515.6443192488266"/>
    <n v="33289.300963905443"/>
    <n v="5812.6541155582836"/>
    <n v="581.72151401397002"/>
    <n v="1238.7200262406191"/>
    <n v="40922.396619718318"/>
    <n v="26.625"/>
    <n v="1515.6443192488266"/>
    <n v="40354.030000000006"/>
    <n v="-2316.1466197183181"/>
    <n v="-5.9994084370233271E-2"/>
    <n v="2900"/>
    <n v="1954.3846153846155"/>
    <n v="4854.3846153846152"/>
    <n v="935.1453221562748"/>
    <n v="1071.1875"/>
    <n v="-7034.4890572592085"/>
    <n v="-0.18221114605171981"/>
    <n v="2453.3108976320141"/>
    <n v="-9487.799954891223"/>
    <n v="-0.24575813384856657"/>
    <n v="2051.2656489016708"/>
    <n v="-4983.2234083575377"/>
  </r>
  <r>
    <s v="FEBRERO"/>
    <x v="1"/>
    <s v="152-2026"/>
    <d v="1900-01-25T00:00:00"/>
    <d v="2026-02-09T00:00:00"/>
    <n v="27"/>
    <x v="2"/>
    <s v="Rejos"/>
    <s v="2-UP KG"/>
    <s v="España "/>
    <s v="Vigo"/>
    <x v="6"/>
    <s v="Avelino"/>
    <n v="2781.2962962962961"/>
    <n v="75095"/>
    <n v="2619.6666666666665"/>
    <n v="4364"/>
    <n v="70731"/>
    <n v="1"/>
    <s v="GEMLIK EXPRESS 607N "/>
    <n v="24312444"/>
    <s v="HAPAG"/>
    <s v="PAITA"/>
    <n v="10007162"/>
    <s v="Compensación"/>
    <s v="FEBRERO10007162Compensación"/>
    <n v="1751.18680089485"/>
    <n v="29682.043351029039"/>
    <n v="8469.533190762013"/>
    <n v="440.96362330772524"/>
    <n v="8689.5034590621635"/>
    <n v="47282.04362416095"/>
    <n v="27"/>
    <n v="1751.18680089485"/>
    <n v="47282.04362416095"/>
    <n v="27812.95637583905"/>
    <n v="0.37037028265316002"/>
    <n v="4364"/>
    <n v="1954.3846153846155"/>
    <n v="6318.3846153846152"/>
    <n v="935.1453221562748"/>
    <n v="2121.9299999999998"/>
    <n v="22681.35643829816"/>
    <n v="0.30203550753443187"/>
    <n v="2453.3108976320141"/>
    <n v="20228.045540666146"/>
    <n v="0.26936607684487845"/>
    <n v="2051.2656489016708"/>
    <n v="24732.62208719983"/>
  </r>
  <r>
    <s v="FEBRERO"/>
    <x v="1"/>
    <s v="156-2026A"/>
    <d v="1900-01-26T00:00:00"/>
    <d v="2026-02-09T00:00:00"/>
    <n v="54"/>
    <x v="4"/>
    <s v="Filete"/>
    <s v="2-4 kg 100%  blanco, No polyphosphate,no medicine"/>
    <s v="China "/>
    <s v="Qingdao"/>
    <x v="8"/>
    <m/>
    <n v="1650"/>
    <n v="89100"/>
    <n v="1534.962962962963"/>
    <n v="6212"/>
    <n v="82888"/>
    <n v="2"/>
    <s v="CMA CGM IMAGINATION / 0DVITN1MA"/>
    <s v="LMM0571149"/>
    <s v="CMA CGM"/>
    <s v="PAITA"/>
    <n v="10005721"/>
    <s v="Compensación"/>
    <s v="FEBRERO10005721Compensación"/>
    <n v="1740.7827151654001"/>
    <n v="57043.95672347123"/>
    <n v="18845.188801374748"/>
    <n v="1002.5162251181431"/>
    <n v="17110.604868967483"/>
    <n v="94002.266618931608"/>
    <n v="54"/>
    <n v="1740.7827151654001"/>
    <n v="94002.266618931608"/>
    <n v="-4902.2666189316078"/>
    <n v="-5.5019827372969787E-2"/>
    <n v="6212"/>
    <n v="3908.7692307692309"/>
    <n v="10120.76923076923"/>
    <n v="1870.2906443125496"/>
    <n v="2486.64"/>
    <n v="-14406.686494013389"/>
    <n v="-0.16169120644235005"/>
    <n v="4906.6217952640282"/>
    <n v="-19313.308289277418"/>
    <n v="-0.2167599134599037"/>
    <n v="4102.5312978033417"/>
    <n v="-10304.155196210048"/>
  </r>
  <r>
    <s v="FEBRERO"/>
    <x v="1"/>
    <s v="156-2026B"/>
    <d v="1900-01-26T00:00:00"/>
    <d v="2026-02-18T00:00:00"/>
    <n v="81"/>
    <x v="4"/>
    <s v="Filete"/>
    <s v="2-4 kg 100%  blanco, No polyphosphate,no medicine"/>
    <s v="China "/>
    <s v="Qingdao"/>
    <x v="8"/>
    <m/>
    <n v="1650"/>
    <n v="133650"/>
    <n v="1534.962962962963"/>
    <n v="9318"/>
    <n v="124332"/>
    <n v="3"/>
    <s v="CMA CGM EXCELLENCE 0DVNNN1MA"/>
    <s v="LMM0571699"/>
    <s v="CMA CGM"/>
    <s v="PAITA"/>
    <n v="10005721"/>
    <s v="Compensación"/>
    <s v="FEBRERO10005721Compensación"/>
    <n v="1740.7827151654001"/>
    <n v="85565.935085206846"/>
    <n v="28267.783202062124"/>
    <n v="1503.7743376772146"/>
    <n v="25665.907303451222"/>
    <n v="141003.39992839741"/>
    <n v="81"/>
    <n v="1740.7827151654001"/>
    <n v="141003.39992839741"/>
    <n v="-7353.3999283974117"/>
    <n v="-5.5019827372969787E-2"/>
    <n v="9318"/>
    <n v="5863.1538461538466"/>
    <n v="15181.153846153848"/>
    <n v="2805.4359664688245"/>
    <n v="3729.96"/>
    <n v="-21610.029741020084"/>
    <n v="-0.16169120644235005"/>
    <n v="7359.9326928960418"/>
    <n v="-28969.962433916124"/>
    <n v="-0.21675991345990367"/>
    <n v="6153.7969467050116"/>
    <n v="-15456.232794315072"/>
  </r>
  <r>
    <s v="FEBRERO"/>
    <x v="1"/>
    <s v="157-2026"/>
    <d v="1900-01-27T00:00:00"/>
    <d v="2026-02-13T00:00:00"/>
    <n v="24"/>
    <x v="3"/>
    <s v="Conos"/>
    <m/>
    <s v="Tailandia"/>
    <s v="Lat Krabang"/>
    <x v="2"/>
    <s v="Jose"/>
    <n v="2000"/>
    <n v="48000"/>
    <n v="1854.1666666666667"/>
    <n v="3500"/>
    <n v="44500"/>
    <n v="1"/>
    <s v="ECO SIROCCO 26007S"/>
    <n v="6445030580"/>
    <s v="COSCO"/>
    <s v="PAITA"/>
    <n v="10007969"/>
    <s v="Compensación"/>
    <s v="FEBRERO10007969Compensación"/>
    <n v="1397.2773083886541"/>
    <n v="27124.395896197944"/>
    <n v="5105.9167169583588"/>
    <n v="400.3958961979481"/>
    <n v="903.94689197344962"/>
    <n v="33534.655401327698"/>
    <n v="23.14"/>
    <n v="1397.2773083886541"/>
    <n v="32332.996916113458"/>
    <n v="14465.344598672302"/>
    <n v="0.30136134580567298"/>
    <n v="3500"/>
    <n v="1737.2307692307693"/>
    <n v="5237.2307692307695"/>
    <n v="831.24028636113326"/>
    <n v="1335"/>
    <n v="9731.873543080399"/>
    <n v="0.20274736548084166"/>
    <n v="2180.7207978951237"/>
    <n v="7551.1527451852753"/>
    <n v="0.15731568219135991"/>
    <n v="1823.3472434681516"/>
    <n v="11555.220786548551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10"/>
    <s v="COSCO"/>
    <s v="PAITA"/>
    <n v="10006720"/>
    <s v="Compensación"/>
    <s v="FEBRERO10006720Compensación"/>
    <n v="1639.7681689527499"/>
    <n v="114801.79673416038"/>
    <n v="26268.81436969294"/>
    <n v="1720.5907250163245"/>
    <n v="34303.760418027356"/>
    <n v="177094.96224689699"/>
    <n v="108"/>
    <n v="1639.7681689527499"/>
    <n v="177094.96224689699"/>
    <n v="-4294.9622468969901"/>
    <n v="-2.4855105595468694E-2"/>
    <n v="11600"/>
    <n v="7817.5384615384619"/>
    <n v="19417.538461538461"/>
    <n v="3740.5812886250992"/>
    <n v="4836"/>
    <n v="-22617.081997060552"/>
    <n v="-0.130885891186693"/>
    <n v="9813.2435905280563"/>
    <n v="-32430.32558758861"/>
    <n v="-0.18767549529854519"/>
    <n v="8205.0625956066833"/>
    <n v="-14412.019401453868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30"/>
    <s v="COSCO"/>
    <s v="PAITA"/>
    <n v="10006720"/>
    <s v="Compensación"/>
    <s v="FEBRERO10006720Compensación"/>
    <n v="1639.7681689527499"/>
    <n v="114801.79673416038"/>
    <n v="26268.81436969294"/>
    <n v="1720.5907250163245"/>
    <n v="34303.760418027356"/>
    <n v="177094.96224689699"/>
    <n v="108"/>
    <n v="1639.7681689527499"/>
    <n v="177094.96224689699"/>
    <n v="-4294.9622468969901"/>
    <n v="-2.4855105595468694E-2"/>
    <n v="11600"/>
    <n v="7817.5384615384619"/>
    <n v="19417.538461538461"/>
    <n v="3740.5812886250992"/>
    <n v="4836"/>
    <n v="-22617.081997060552"/>
    <n v="-0.130885891186693"/>
    <n v="9813.2435905280563"/>
    <n v="-32430.32558758861"/>
    <n v="-0.18767549529854519"/>
    <n v="8205.0625956066833"/>
    <n v="-14412.019401453868"/>
  </r>
  <r>
    <s v="FEBRERO"/>
    <x v="1"/>
    <s v="162-2026A"/>
    <d v="1900-02-02T00:00:00"/>
    <d v="2026-02-17T00:00:00"/>
    <n v="115.5"/>
    <x v="5"/>
    <s v="Alas"/>
    <s v="1-2 KG"/>
    <s v="China "/>
    <s v="Qingdao"/>
    <x v="9"/>
    <s v="James"/>
    <n v="1500"/>
    <n v="173250"/>
    <n v="1382.987012987013"/>
    <n v="13515"/>
    <n v="159735"/>
    <n v="5"/>
    <s v="ECO SIROCCO 26007N"/>
    <s v="LIMG02628500"/>
    <s v="ONE"/>
    <s v="PAITA"/>
    <n v="10006720"/>
    <s v="Compensación"/>
    <s v="FEBRERO10006720Compensación"/>
    <n v="1639.7681689527499"/>
    <n v="122774.14372958818"/>
    <n v="28093.037589810505"/>
    <n v="1840.0761920313471"/>
    <n v="36685.966002612593"/>
    <n v="189393.22351404262"/>
    <n v="115.5"/>
    <n v="1639.7681689527499"/>
    <n v="189393.22351404262"/>
    <n v="-16143.22351404262"/>
    <n v="-9.3178779301833312E-2"/>
    <n v="13515"/>
    <n v="8360.423076923078"/>
    <n v="21875.423076923078"/>
    <n v="4000.3438781129535"/>
    <n v="4792.05"/>
    <n v="-37226.940469078647"/>
    <n v="-0.21487411526163722"/>
    <n v="10494.718839870282"/>
    <n v="-47721.659308948932"/>
    <n v="-0.27544969298094624"/>
    <n v="8774.8586091904799"/>
    <n v="-28452.081859888167"/>
  </r>
  <r>
    <s v="FEBRERO"/>
    <x v="1"/>
    <s v="162-2026B"/>
    <d v="1900-02-02T00:00:00"/>
    <d v="2026-02-17T00:00:00"/>
    <n v="46.8"/>
    <x v="5"/>
    <s v="Alas"/>
    <s v="1-2 KG"/>
    <s v="China "/>
    <s v="Dalian"/>
    <x v="9"/>
    <s v="James"/>
    <n v="1500"/>
    <n v="70200"/>
    <n v="1380.2136752136753"/>
    <n v="5606"/>
    <n v="64594"/>
    <n v="2"/>
    <s v="ECO SIROCCO 26007N"/>
    <s v="LIMG02851300"/>
    <s v="ONE"/>
    <s v="PAITA"/>
    <n v="10006720"/>
    <s v="Compensación"/>
    <s v="FEBRERO10006720Compensación"/>
    <n v="1639.7681689527499"/>
    <n v="49747.4452514695"/>
    <n v="11383.152893533606"/>
    <n v="745.5893141737406"/>
    <n v="14864.962847811854"/>
    <n v="76741.150306988697"/>
    <n v="46.8"/>
    <n v="1639.7681689527499"/>
    <n v="76741.150306988697"/>
    <n v="-6541.1503069886967"/>
    <n v="-9.3178779301833284E-2"/>
    <n v="5606"/>
    <n v="3387.6"/>
    <n v="8993.6"/>
    <n v="1620.9185584042095"/>
    <n v="1937.82"/>
    <n v="-15217.848865392905"/>
    <n v="-0.2167784738659958"/>
    <n v="4252.4055558954906"/>
    <n v="-19470.254421288395"/>
    <n v="-0.27735405158530479"/>
    <n v="3555.5271247628957"/>
    <n v="-11662.32174063001"/>
  </r>
  <r>
    <s v="FEBRERO"/>
    <x v="1"/>
    <s v="162-2026C"/>
    <d v="1900-02-02T00:00:00"/>
    <d v="2026-02-17T00:00:00"/>
    <n v="81"/>
    <x v="5"/>
    <s v="Alas"/>
    <s v="1-2 KG"/>
    <s v="China "/>
    <s v="Xiamen "/>
    <x v="9"/>
    <s v="James"/>
    <n v="1500"/>
    <n v="121500"/>
    <n v="1385.0740740740741"/>
    <n v="9309"/>
    <n v="112191"/>
    <n v="3"/>
    <s v="ECO SIROCCO 26007N"/>
    <s v="LIMG02630500"/>
    <s v="ONE"/>
    <s v="PAITA"/>
    <n v="10006720"/>
    <s v="Compensación"/>
    <s v="FEBRERO10006720Compensación"/>
    <n v="1639.7681689527499"/>
    <n v="86101.347550620267"/>
    <n v="19701.610777269703"/>
    <n v="1290.4430437622432"/>
    <n v="25727.820313520515"/>
    <n v="132821.22168517273"/>
    <n v="81"/>
    <n v="1639.7681689527499"/>
    <n v="132821.22168517273"/>
    <n v="-11321.221685172728"/>
    <n v="-9.3178779301833159E-2"/>
    <n v="9309"/>
    <n v="5863.1538461538466"/>
    <n v="15172.153846153848"/>
    <n v="2805.4359664688245"/>
    <n v="3365.73"/>
    <n v="-25933.0814977954"/>
    <n v="-0.21344099998185515"/>
    <n v="7359.9326928960418"/>
    <n v="-33293.014190691443"/>
    <n v="-0.27401657770116417"/>
    <n v="6153.7969467050116"/>
    <n v="-19779.284551090386"/>
  </r>
  <r>
    <s v="FEBRERO"/>
    <x v="1"/>
    <s v="164-2026"/>
    <d v="1900-02-08T00:00:00"/>
    <d v="2026-02-27T00:00:00"/>
    <n v="27"/>
    <x v="9"/>
    <s v="Daruma"/>
    <m/>
    <s v="China "/>
    <s v="Yantai"/>
    <x v="10"/>
    <s v="julia"/>
    <n v="3400"/>
    <n v="91800"/>
    <n v="3292.5925925925926"/>
    <n v="2900"/>
    <n v="88900"/>
    <n v="1"/>
    <s v="ECO SIROCCO 26009S"/>
    <n v="6445569300"/>
    <s v="COSCO"/>
    <s v="PAITA"/>
    <n v="10009239"/>
    <s v="Compensación"/>
    <s v="FEBRERO10009239Compensación"/>
    <n v="2114.7381481481502"/>
    <n v="29045.690000000031"/>
    <n v="18974.700000000023"/>
    <n v="365.21000000000038"/>
    <n v="8712.3300000000127"/>
    <n v="57097.930000000058"/>
    <n v="27"/>
    <n v="2114.7381481481502"/>
    <n v="57097.930000000058"/>
    <n v="34702.069999999942"/>
    <n v="0.37801819172113227"/>
    <n v="2900"/>
    <n v="1954.3846153846155"/>
    <n v="4854.3846153846152"/>
    <n v="935.1453221562748"/>
    <n v="2667"/>
    <n v="31579.540062459051"/>
    <n v="0.34400370438408551"/>
    <n v="2453.3108976320141"/>
    <n v="29126.229164827037"/>
    <n v="0.31727918480203743"/>
    <n v="2051.2656489016708"/>
    <n v="33630.805711360721"/>
  </r>
  <r>
    <s v="FEBRERO"/>
    <x v="1"/>
    <s v="168-2026A"/>
    <d v="1900-02-11T00:00:00"/>
    <d v="2026-02-24T00:00:00"/>
    <n v="351"/>
    <x v="4"/>
    <s v="Filete "/>
    <s v="2-4 AA"/>
    <s v="China "/>
    <s v="Qingdao"/>
    <x v="9"/>
    <s v="James"/>
    <n v="1300"/>
    <n v="456300"/>
    <n v="1300"/>
    <n v="40339"/>
    <n v="415961"/>
    <n v="13"/>
    <s v="ECO MARIN 26008N"/>
    <n v="6445505270"/>
    <s v="COSCO"/>
    <s v="PAITA"/>
    <n v="10005721"/>
    <s v="Compensación"/>
    <s v="FEBRERO10005721Compensación"/>
    <n v="1740.7827151654001"/>
    <n v="370785.71870256303"/>
    <n v="122493.72720893587"/>
    <n v="6516.3554632679306"/>
    <n v="111218.93164828864"/>
    <n v="611014.73302305548"/>
    <n v="351"/>
    <n v="1740.7827151654001"/>
    <n v="611014.73302305548"/>
    <n v="-154714.73302305548"/>
    <n v="-0.33906362705030785"/>
    <n v="40339"/>
    <n v="25407"/>
    <n v="65746"/>
    <n v="12156.889188031573"/>
    <n v="12478.83"/>
    <n v="-220138.79221108707"/>
    <n v="-0.48244311245033328"/>
    <n v="31893.041669216182"/>
    <n v="-252031.83388030325"/>
    <n v="-0.55233800981876668"/>
    <n v="26666.453435721716"/>
    <n v="-193472.33877536535"/>
  </r>
  <r>
    <s v="FEBRERO"/>
    <x v="1"/>
    <s v="168-2026B"/>
    <d v="1900-02-11T00:00:00"/>
    <d v="2026-02-22T00:00:00"/>
    <n v="135"/>
    <x v="4"/>
    <s v="Filete "/>
    <s v="2-4 AA"/>
    <s v="China "/>
    <s v="shidao"/>
    <x v="9"/>
    <s v="James"/>
    <n v="1300"/>
    <n v="175500"/>
    <n v="1300"/>
    <n v="15515"/>
    <n v="159985"/>
    <n v="5"/>
    <s v="ECO MARIN 26008S"/>
    <n v="6445260920"/>
    <s v="COSCO"/>
    <s v="PAITA"/>
    <n v="10005721"/>
    <s v="Compensación"/>
    <s v="FEBRERO10005721Compensación"/>
    <n v="1763.7777777777778"/>
    <n v="144493.71301319491"/>
    <n v="47735.316039620215"/>
    <n v="2539.3976863405351"/>
    <n v="43341.573260844343"/>
    <n v="238110"/>
    <n v="135"/>
    <n v="1763.7777777777778"/>
    <n v="238110"/>
    <n v="-62610"/>
    <n v="-0.35675213675213674"/>
    <n v="15515"/>
    <n v="9771.923076923078"/>
    <n v="25286.923076923078"/>
    <n v="4675.7266107813739"/>
    <n v="4799.55"/>
    <n v="-87773.099687704453"/>
    <n v="-0.50013162215216211"/>
    <n v="12266.554488160069"/>
    <n v="-100039.65417586452"/>
    <n v="-0.57002651952059558"/>
    <n v="10256.328244508353"/>
    <n v="-77516.771443196107"/>
  </r>
  <r>
    <s v="FEBRERO"/>
    <x v="1"/>
    <s v="168-2026C"/>
    <d v="1900-02-11T00:00:00"/>
    <d v="2026-02-22T00:00:00"/>
    <n v="54"/>
    <x v="4"/>
    <s v="Filete "/>
    <s v="2-4 AA"/>
    <s v="China "/>
    <s v="Xiamen "/>
    <x v="9"/>
    <s v="James"/>
    <n v="1300"/>
    <n v="70200"/>
    <n v="1300"/>
    <n v="6206"/>
    <n v="63994"/>
    <n v="2"/>
    <s v="ECO MARIN 26008S"/>
    <n v="6445502930"/>
    <s v="COSCO"/>
    <s v="PAITA"/>
    <n v="10005721"/>
    <s v="Compensación"/>
    <s v="FEBRERO10005721Compensación"/>
    <n v="1740.7827151654001"/>
    <n v="57043.95672347123"/>
    <n v="18845.188801374748"/>
    <n v="1002.5162251181431"/>
    <n v="17110.604868967483"/>
    <n v="94002.266618931608"/>
    <n v="54"/>
    <n v="1740.7827151654001"/>
    <n v="94002.266618931608"/>
    <n v="-23802.266618931608"/>
    <n v="-0.33906362705030779"/>
    <n v="6206"/>
    <n v="3908.7692307692309"/>
    <n v="10114.76923076923"/>
    <n v="1870.2906443125496"/>
    <n v="1919.82"/>
    <n v="-33867.506494013389"/>
    <n v="-0.48244311245033317"/>
    <n v="4906.6217952640282"/>
    <n v="-38774.128289277418"/>
    <n v="-0.55233800981876668"/>
    <n v="4102.5312978033417"/>
    <n v="-29764.975196210049"/>
  </r>
  <r>
    <s v="FEBRERO"/>
    <x v="1"/>
    <s v="170-2026A"/>
    <d v="1900-02-11T00:00:00"/>
    <d v="2026-02-23T00:00:00"/>
    <n v="156"/>
    <x v="2"/>
    <s v="Rejos"/>
    <s v="9 FCL 1-2 / 1 FCL 2-UP"/>
    <s v="España "/>
    <s v="Vigo"/>
    <x v="11"/>
    <s v="Ramon"/>
    <n v="2500"/>
    <n v="390000"/>
    <n v="2337.2307692307691"/>
    <n v="25392"/>
    <n v="364608"/>
    <n v="4"/>
    <s v="CAPE SABLE 609N"/>
    <n v="11428031"/>
    <s v="HAPAG"/>
    <s v="PAITA"/>
    <n v="10007162"/>
    <s v="Compensación"/>
    <s v="FEBRERO10007162Compensación"/>
    <n v="1715.2908173076921"/>
    <n v="167980.905"/>
    <n v="47932.004999999997"/>
    <n v="2495.5650000000001"/>
    <n v="49176.892499999936"/>
    <n v="267585.36749999999"/>
    <n v="156"/>
    <n v="1715.2908173076921"/>
    <n v="267585.36749999999"/>
    <n v="122414.63250000001"/>
    <n v="0.31388367307692311"/>
    <n v="25392"/>
    <n v="11292"/>
    <n v="36684"/>
    <n v="5403.0618613473662"/>
    <n v="10938.24"/>
    <n v="91265.810638652649"/>
    <n v="0.23401489907346834"/>
    <n v="14174.685186318302"/>
    <n v="77091.125452334352"/>
    <n v="0.19766955244188295"/>
    <n v="11851.757082542987"/>
    <n v="103117.56772119564"/>
  </r>
  <r>
    <s v="FEBRERO"/>
    <x v="1"/>
    <m/>
    <d v="2026-02-27T00:00:00"/>
    <d v="2026-02-27T00:00:00"/>
    <n v="0"/>
    <x v="6"/>
    <s v="Residuos"/>
    <s v="Residuos"/>
    <s v="Residuos"/>
    <s v="Residuos"/>
    <x v="4"/>
    <m/>
    <n v="0"/>
    <n v="40026"/>
    <n v="0"/>
    <n v="0"/>
    <n v="40026"/>
    <m/>
    <m/>
    <m/>
    <m/>
    <m/>
    <m/>
    <m/>
    <m/>
    <n v="0"/>
    <n v="0"/>
    <n v="0"/>
    <n v="0"/>
    <n v="0"/>
    <n v="0"/>
    <m/>
    <m/>
    <m/>
    <n v="40026"/>
    <n v="1"/>
    <n v="0"/>
    <n v="0"/>
    <n v="0"/>
    <n v="0"/>
    <n v="0"/>
    <n v="40026"/>
    <n v="1"/>
    <n v="0"/>
    <n v="40026"/>
    <n v="1"/>
    <n v="0"/>
    <n v="40026"/>
  </r>
  <r>
    <s v="FEBRERO"/>
    <x v="2"/>
    <s v="150-2026B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51077247"/>
    <m/>
    <m/>
    <n v="10007162"/>
    <s v="Inventario final"/>
    <s v="FEBRERO10007162Inventario final"/>
    <n v="1665.8462115998248"/>
    <n v="26556.781955828061"/>
    <n v="7540"/>
    <n v="401.52781079897397"/>
    <n v="8813.6917349684063"/>
    <n v="43312.001501595441"/>
    <m/>
    <n v="1665.8462115998248"/>
    <m/>
    <n v="24287.998498404559"/>
    <n v="0.35928991861545206"/>
    <n v="4232"/>
    <n v="1882"/>
    <n v="6114"/>
    <n v="1023.6767211143401"/>
    <n v="1901.04"/>
    <n v="19051.361777290218"/>
    <n v="0.28182487836228132"/>
    <n v="2012.3749874736948"/>
    <n v="17038.986789816525"/>
    <n v="0.25205601760083618"/>
    <n v="1607.0643207528283"/>
    <n v="20658.426098043048"/>
  </r>
  <r>
    <s v="FEBRERO"/>
    <x v="2"/>
    <s v="150-2026C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37563181"/>
    <m/>
    <m/>
    <n v="10007162"/>
    <s v="Inventario final"/>
    <s v="FEBRERO10007162Inventario final"/>
    <n v="1665.8462115998248"/>
    <n v="26556.781955828061"/>
    <n v="7540"/>
    <n v="401.52781079897397"/>
    <n v="8813.6917349684063"/>
    <n v="43312.001501595441"/>
    <m/>
    <n v="1665.8462115998248"/>
    <m/>
    <n v="24287.998498404559"/>
    <n v="0.35928991861545206"/>
    <n v="4232"/>
    <n v="1882"/>
    <n v="6114"/>
    <n v="1023.6767211143401"/>
    <n v="1901.04"/>
    <n v="19051.361777290218"/>
    <n v="0.28182487836228132"/>
    <n v="2012.3749874736948"/>
    <n v="17038.986789816525"/>
    <n v="0.25205601760083618"/>
    <n v="1607.0643207528283"/>
    <n v="20658.426098043048"/>
  </r>
  <r>
    <s v="FEBRERO"/>
    <x v="2"/>
    <s v="159-2026A"/>
    <d v="1900-01-29T00:00:00"/>
    <d v="2026-03-03T00:00:00"/>
    <n v="24"/>
    <x v="4"/>
    <s v="Filete"/>
    <s v="B"/>
    <s v="Japón "/>
    <s v="Sendai"/>
    <x v="2"/>
    <s v="Jose"/>
    <n v="1700"/>
    <n v="39610"/>
    <n v="1562.375"/>
    <n v="3303"/>
    <n v="36307"/>
    <n v="1"/>
    <s v="ECO SIROCCO 26009N"/>
    <s v="LIMG03265300"/>
    <s v="ONE"/>
    <s v="PAITA"/>
    <n v="10005721"/>
    <s v="Inventario final"/>
    <s v="FEBRERO10005721Inventario final"/>
    <n v="1672.2065734817018"/>
    <n v="24373.183226706289"/>
    <n v="7141.8487007671083"/>
    <n v="437.5257269336891"/>
    <n v="8180.4001091537557"/>
    <n v="40132.957763560844"/>
    <m/>
    <n v="1672.2065734817018"/>
    <m/>
    <n v="-522.95776356084389"/>
    <n v="-1.3202670122717594E-2"/>
    <n v="3303"/>
    <n v="1737.2307692307693"/>
    <n v="5040.2307692307695"/>
    <n v="944.93235795169858"/>
    <n v="1089.21"/>
    <n v="-5418.9108907433119"/>
    <n v="-0.13680663697912931"/>
    <n v="1857.5769115141798"/>
    <n v="-7276.4878022574921"/>
    <n v="-0.18370330225340803"/>
    <n v="1483.443988387226"/>
    <n v="-3935.4669023560859"/>
  </r>
  <r>
    <s v="FEBRERO"/>
    <x v="2"/>
    <s v="161-2026A"/>
    <d v="1900-01-29T00:00:00"/>
    <d v="2026-03-04T00:00:00"/>
    <n v="72"/>
    <x v="1"/>
    <s v="Nucas"/>
    <s v="500-up"/>
    <s v="Tailandia "/>
    <s v="Lat Krabang"/>
    <x v="2"/>
    <s v="Jose"/>
    <n v="1400"/>
    <n v="94640"/>
    <n v="1266.5416666666667"/>
    <n v="9609"/>
    <n v="85031"/>
    <n v="3"/>
    <s v="ECO SIROCCO 26009N"/>
    <s v="LIMG03094300"/>
    <s v="ONE LINE"/>
    <s v="PAITA"/>
    <n v="10005779"/>
    <s v="Inventario final"/>
    <s v="FEBRERO10005779Inventario final"/>
    <n v="1765.0739515902051"/>
    <n v="73785.835068955799"/>
    <n v="28079.999999999993"/>
    <n v="811.7326203208554"/>
    <n v="24407.756825218119"/>
    <n v="127085.32451449476"/>
    <m/>
    <n v="1765.0739515902051"/>
    <m/>
    <n v="-32445.324514494758"/>
    <n v="-0.34282887272289475"/>
    <n v="9609"/>
    <n v="5211.6923076923076"/>
    <n v="14820.692307692309"/>
    <n v="2834.7970738550957"/>
    <n v="2550.9299999999998"/>
    <n v="-47549.883896042164"/>
    <n v="-0.50242903524981153"/>
    <n v="5572.7307345425397"/>
    <n v="-53122.614630584707"/>
    <n v="-0.56131249609662626"/>
    <n v="4450.3319651616785"/>
    <n v="-43099.551930880487"/>
  </r>
  <r>
    <s v="FEBRERO"/>
    <x v="2"/>
    <s v="161-2026B"/>
    <d v="1900-01-29T00:00:00"/>
    <d v="2026-03-27T00:00:00"/>
    <n v="48"/>
    <x v="1"/>
    <s v="Nucas"/>
    <s v="500-up"/>
    <s v="Tailandia "/>
    <s v="Lat Krabang"/>
    <x v="2"/>
    <s v="Jose"/>
    <n v="1400"/>
    <n v="67200"/>
    <n v="1254.1666666666667"/>
    <n v="7000"/>
    <n v="60200"/>
    <n v="2"/>
    <s v="ECO SIROCCO 26013S"/>
    <n v="6446527790"/>
    <s v="COSCO"/>
    <s v="PAITA"/>
    <n v="10005779"/>
    <s v="Inventario final"/>
    <s v="FEBRERO10005779Inventario final"/>
    <n v="1765.0739515902051"/>
    <n v="49190.556712637197"/>
    <n v="18719.999999999993"/>
    <n v="541.1550802139036"/>
    <n v="16271.837883478747"/>
    <n v="84723.549676329843"/>
    <m/>
    <n v="1765.0739515902051"/>
    <m/>
    <n v="-17523.549676329843"/>
    <n v="-0.26076710827871791"/>
    <n v="7000"/>
    <n v="3474.4615384615386"/>
    <n v="10474.461538461539"/>
    <n v="1889.8647159033972"/>
    <n v="1806"/>
    <n v="-28081.87593069478"/>
    <n v="-0.41788505849248186"/>
    <n v="3715.1538230283595"/>
    <n v="-31797.029753723138"/>
    <n v="-0.47317008562088003"/>
    <n v="2966.887976774452"/>
    <n v="-25114.987953920328"/>
  </r>
  <r>
    <s v="FEBRERO"/>
    <x v="2"/>
    <s v="163-2026"/>
    <d v="1900-02-02T00:00:00"/>
    <d v="2026-03-06T00:00:00"/>
    <n v="48"/>
    <x v="5"/>
    <s v="Alas"/>
    <s v="1-up"/>
    <s v="korea"/>
    <s v="Busan"/>
    <x v="2"/>
    <s v="Jose"/>
    <n v="1600"/>
    <n v="76800"/>
    <n v="1479.1666666666667"/>
    <n v="5800"/>
    <n v="71000"/>
    <n v="2"/>
    <s v="ECO MARIN 26010S"/>
    <n v="6445718250"/>
    <s v="COSCO"/>
    <s v="PAITA"/>
    <n v="10006720"/>
    <s v="Inventario final"/>
    <s v="FEBRERO10006720Inventario final"/>
    <n v="1594.5633182136664"/>
    <n v="49114.568425710801"/>
    <n v="10330.625954198473"/>
    <n v="715.16937714348944"/>
    <n v="16378.675517203232"/>
    <n v="76539.039274255992"/>
    <m/>
    <n v="1594.5633182136667"/>
    <m/>
    <n v="260.9607257440075"/>
    <n v="3.3979261164584309E-3"/>
    <n v="5800"/>
    <n v="3474.4615384615386"/>
    <n v="9274.461538461539"/>
    <n v="1889.8647159033972"/>
    <n v="2130"/>
    <n v="-8773.3655286209287"/>
    <n v="-0.11423653032058501"/>
    <n v="3715.1538230283595"/>
    <n v="-12488.519351649287"/>
    <n v="-0.16261092905793342"/>
    <n v="2966.887976774452"/>
    <n v="-5806.4775518464767"/>
  </r>
  <r>
    <s v="FEBRERO"/>
    <x v="2"/>
    <s v="165-2026"/>
    <d v="1900-02-08T00:00:00"/>
    <d v="2026-03-24T00:00:00"/>
    <n v="27"/>
    <x v="7"/>
    <s v="Membrana"/>
    <m/>
    <s v="China "/>
    <s v="Qingdao"/>
    <x v="8"/>
    <m/>
    <n v="1400"/>
    <n v="37800"/>
    <n v="1271.6296296296296"/>
    <n v="3466"/>
    <n v="34334"/>
    <n v="1"/>
    <s v="CMA CGM BETTER WAYS 0DVOHN1MA"/>
    <s v="LMM0577574"/>
    <s v="CMA CGM"/>
    <s v="PAITA"/>
    <m/>
    <m/>
    <m/>
    <n v="0"/>
    <n v="0"/>
    <n v="0"/>
    <n v="0"/>
    <n v="0"/>
    <n v="0"/>
    <m/>
    <n v="0"/>
    <m/>
    <n v="37800"/>
    <n v="1"/>
    <n v="3466"/>
    <n v="1954.3846153846155"/>
    <n v="5420.3846153846152"/>
    <n v="1063.0489026956609"/>
    <n v="1030.02"/>
    <n v="32346.586481919723"/>
    <n v="0.85572980110898733"/>
    <n v="2089.7740254534524"/>
    <n v="30256.812456466272"/>
    <n v="0.80044477398058922"/>
    <n v="1668.8744869356292"/>
    <n v="34015.460968855354"/>
  </r>
  <r>
    <s v="FEBRERO"/>
    <x v="2"/>
    <s v="167-2026"/>
    <d v="1900-02-10T00:00:00"/>
    <d v="2026-03-23T00:00:00"/>
    <n v="48"/>
    <x v="3"/>
    <s v="Conos"/>
    <m/>
    <s v="Tailandia"/>
    <s v="Bangkok"/>
    <x v="2"/>
    <s v="Jose"/>
    <n v="1600"/>
    <n v="76800"/>
    <n v="1462.5"/>
    <n v="6600"/>
    <n v="70200"/>
    <n v="2"/>
    <s v="ECO MARIN 26012S"/>
    <n v="6446513180"/>
    <s v="COSCO"/>
    <s v="PAITA"/>
    <n v="10007969"/>
    <s v="Inventario final"/>
    <s v="FEBRERO10007969Inventario final"/>
    <n v="1205.0788876276958"/>
    <n v="48999.282633371178"/>
    <n v="9840.0000000000018"/>
    <n v="757.17593643586838"/>
    <n v="-1752.6719636776393"/>
    <n v="57843.786606129404"/>
    <m/>
    <n v="1205.0788876276961"/>
    <m/>
    <n v="18956.213393870596"/>
    <n v="0.24682569523269005"/>
    <n v="6600"/>
    <n v="3474.4615384615386"/>
    <n v="10074.461538461539"/>
    <n v="1889.8647159033972"/>
    <n v="2106"/>
    <n v="9097.8871395056594"/>
    <n v="0.11846207212897994"/>
    <n v="3715.1538230283595"/>
    <n v="5382.7333164772999"/>
    <n v="7.0087673391631508E-2"/>
    <n v="2966.887976774452"/>
    <n v="12064.775116280111"/>
  </r>
  <r>
    <s v="FEBRERO"/>
    <x v="2"/>
    <s v="169-2026A"/>
    <d v="1900-02-11T00:00:00"/>
    <d v="2026-03-03T00:00:00"/>
    <n v="116.8"/>
    <x v="5"/>
    <s v="Alas"/>
    <s v="1-up"/>
    <s v="China "/>
    <s v="Qingdao"/>
    <x v="2"/>
    <s v="Jose"/>
    <n v="1600"/>
    <n v="186880"/>
    <n v="1484.2893835616439"/>
    <n v="13515"/>
    <n v="173365"/>
    <n v="5"/>
    <s v="ECO SIROCCO 26009N"/>
    <s v="LIMG02789600"/>
    <s v="ONE"/>
    <s v="PAITA"/>
    <n v="10006720"/>
    <s v="Inventario final"/>
    <s v="FEBRERO10006720Inventario final"/>
    <n v="1594.5633182136664"/>
    <n v="119512.11650256295"/>
    <n v="25137.856488549616"/>
    <n v="1740.245484382491"/>
    <n v="39854.777091861193"/>
    <n v="186244.99556735624"/>
    <m/>
    <n v="1594.5633182136667"/>
    <m/>
    <n v="635.00443264376372"/>
    <n v="3.397926116458496E-3"/>
    <n v="13515"/>
    <n v="8454.5230769230766"/>
    <n v="21969.523076923077"/>
    <n v="4598.6708086982662"/>
    <n v="5200.95"/>
    <n v="-20732.239452977577"/>
    <n v="-0.11093878131944337"/>
    <n v="9040.207636035675"/>
    <n v="-29772.447089013251"/>
    <n v="-0.15931318005679179"/>
    <n v="7219.4274101511664"/>
    <n v="-13512.812042826412"/>
  </r>
  <r>
    <s v="FEBRERO"/>
    <x v="2"/>
    <s v="169-2026B"/>
    <d v="1900-02-11T00:00:00"/>
    <d v="2026-03-10T00:00:00"/>
    <n v="135"/>
    <x v="5"/>
    <s v="Alas"/>
    <s v="1-up"/>
    <s v="China "/>
    <s v="Qingdao"/>
    <x v="2"/>
    <s v="Jose"/>
    <n v="1600"/>
    <n v="216000"/>
    <n v="1519.911111111111"/>
    <n v="10812"/>
    <n v="205188"/>
    <n v="4"/>
    <s v="ECO MARIN 26010N"/>
    <s v="LIMG03633900"/>
    <s v="ONE"/>
    <s v="PAITA"/>
    <n v="10006720"/>
    <s v="Inventario final"/>
    <s v="FEBRERO10006720Inventario final"/>
    <n v="1594.5633182136664"/>
    <n v="138134.72369731162"/>
    <n v="29054.885496183208"/>
    <n v="2011.4138732160641"/>
    <n v="46065.02489213409"/>
    <n v="215266.04795884498"/>
    <m/>
    <n v="1594.5633182136667"/>
    <m/>
    <n v="733.95204115501838"/>
    <n v="3.3979261164584183E-3"/>
    <n v="10812"/>
    <n v="9771.923076923078"/>
    <n v="20583.923076923078"/>
    <n v="5315.2445134783047"/>
    <n v="6155.6399999999994"/>
    <n v="-19009.575549246365"/>
    <n v="-8.800729420947391E-2"/>
    <n v="10448.870127267262"/>
    <n v="-29458.445676513627"/>
    <n v="-0.13638169294682234"/>
    <n v="8344.3724346781455"/>
    <n v="-10665.203114568219"/>
  </r>
  <r>
    <s v="FEBRERO"/>
    <x v="2"/>
    <s v="170-2026B"/>
    <d v="1900-02-11T00:00:00"/>
    <d v="2026-03-11T00:00:00"/>
    <n v="78"/>
    <x v="2"/>
    <s v="Rejos"/>
    <s v=" 1-2 "/>
    <s v="España "/>
    <s v="Vigo"/>
    <x v="11"/>
    <s v="Ramon"/>
    <n v="2400"/>
    <n v="171600"/>
    <n v="2243.0865384615386"/>
    <n v="12239.25"/>
    <n v="159360.75"/>
    <n v="3"/>
    <s v="CMA CGM BOLDNESS / 0DVODN1MA"/>
    <s v="LMM0575562"/>
    <s v="CMA CGM"/>
    <m/>
    <n v="10007162"/>
    <s v="Inventario final"/>
    <s v="FEBRERO10007162Inventario final"/>
    <n v="1665.8462115998245"/>
    <n v="79670.345867484182"/>
    <n v="22620"/>
    <n v="1204.583432396922"/>
    <n v="26441.075204905217"/>
    <n v="129936.00450478631"/>
    <m/>
    <n v="1665.8462115998248"/>
    <m/>
    <n v="41663.99549521369"/>
    <n v="0.24279717654553432"/>
    <n v="12239.25"/>
    <n v="5646"/>
    <n v="17885.25"/>
    <n v="3071.0301633430204"/>
    <n v="4780.8225000000002"/>
    <n v="25488.537831870672"/>
    <n v="0.14853460274982908"/>
    <n v="6037.124962421085"/>
    <n v="19451.412869449588"/>
    <n v="0.11335322184993933"/>
    <n v="4821.1929622584848"/>
    <n v="30309.730794129158"/>
  </r>
  <r>
    <s v="FEBRERO"/>
    <x v="2"/>
    <s v="171-2026"/>
    <d v="1900-02-12T00:00:00"/>
    <d v="2026-03-04T00:00:00"/>
    <n v="135"/>
    <x v="4"/>
    <s v="Filete "/>
    <s v="2-4 AA"/>
    <s v="China "/>
    <s v="shidao"/>
    <x v="12"/>
    <m/>
    <n v="1450"/>
    <n v="195750"/>
    <n v="1338.7777777777778"/>
    <n v="15015"/>
    <n v="180735"/>
    <n v="5"/>
    <s v="ECO SIROCCO 26009N"/>
    <s v="LIMG03093900"/>
    <s v="ONE"/>
    <s v="PAITA"/>
    <n v="10005721"/>
    <s v="Inventario final"/>
    <s v="FEBRERO10005721Inventario final"/>
    <n v="1672.2065734817018"/>
    <n v="137099.15565022288"/>
    <n v="40172.898941814987"/>
    <n v="2461.0822140020014"/>
    <n v="46014.750613989876"/>
    <n v="225747.88742002973"/>
    <m/>
    <n v="1672.2065734817018"/>
    <m/>
    <n v="-29997.887420029729"/>
    <n v="-0.15324591274600116"/>
    <n v="15015"/>
    <n v="9771.923076923078"/>
    <n v="24786.923076923078"/>
    <n v="5315.2445134783047"/>
    <n v="5422.05"/>
    <n v="-54678.005010431109"/>
    <n v="-0.27932569609415636"/>
    <n v="10448.870127267262"/>
    <n v="-65126.875137698371"/>
    <n v="-0.33270434297674772"/>
    <n v="8344.3724346781455"/>
    <n v="-46333.632575752963"/>
  </r>
  <r>
    <s v="FEBRERO"/>
    <x v="2"/>
    <s v="172-2026A"/>
    <d v="1900-02-15T00:00:00"/>
    <d v="2026-03-11T00:00:00"/>
    <n v="150"/>
    <x v="2"/>
    <s v="Rejos"/>
    <s v="1-2 KG "/>
    <s v="España "/>
    <s v="Vigo"/>
    <x v="11"/>
    <s v="Ramon"/>
    <n v="2300"/>
    <n v="345000"/>
    <n v="2139.1"/>
    <n v="24135"/>
    <n v="320865"/>
    <n v="6"/>
    <s v="CMA CGM BOLDNESS / 0DVODN1MA"/>
    <s v="LMM0575536"/>
    <s v="CMA CGM"/>
    <m/>
    <n v="10007162"/>
    <s v="Inventario final"/>
    <s v="FEBRERO10007162Inventario final"/>
    <n v="1665.8462115998245"/>
    <n v="153212.20359131575"/>
    <n v="43500"/>
    <n v="2316.5066007633113"/>
    <n v="50848.221547894645"/>
    <n v="249876.93173997369"/>
    <m/>
    <n v="1665.8462115998248"/>
    <m/>
    <n v="95123.06826002631"/>
    <n v="0.27571903843485884"/>
    <n v="24135"/>
    <n v="10857.692307692309"/>
    <n v="34992.692307692312"/>
    <n v="5905.8272371981166"/>
    <n v="9625.9499999999989"/>
    <n v="63850.49871513588"/>
    <n v="0.18507390931923443"/>
    <n v="11609.855696963625"/>
    <n v="52240.643018172254"/>
    <n v="0.15142215367586159"/>
    <n v="9271.5249274201633"/>
    <n v="73122.023642556043"/>
  </r>
  <r>
    <s v="FEBRERO"/>
    <x v="2"/>
    <s v="172-2026A"/>
    <d v="1900-02-15T00:00:00"/>
    <d v="2026-03-11T00:00:00"/>
    <n v="25"/>
    <x v="0"/>
    <s v="Rejos"/>
    <m/>
    <s v="España "/>
    <s v="Vigo"/>
    <x v="11"/>
    <s v="Ramon"/>
    <n v="2500"/>
    <n v="62500"/>
    <n v="2336.7199999999998"/>
    <n v="4082"/>
    <n v="58418"/>
    <n v="1"/>
    <s v="CMA CGM BOLDNESS / 0DVODN1MA"/>
    <s v="LMM0575536"/>
    <s v="CMA CGM"/>
    <m/>
    <n v="10007567"/>
    <s v="Inventario final"/>
    <s v="FEBRERO10007567Inventario final"/>
    <n v="1652.2357755261103"/>
    <n v="25509.801247077157"/>
    <n v="6874.9999999999982"/>
    <n v="445.83008573655485"/>
    <n v="8475.2630553390482"/>
    <n v="41305.894388152759"/>
    <m/>
    <n v="1652.2357755261105"/>
    <m/>
    <n v="21194.105611847241"/>
    <n v="0.33910568978955585"/>
    <n v="4082"/>
    <n v="1809.6153846153848"/>
    <n v="5891.6153846153848"/>
    <n v="984.30453953301935"/>
    <n v="1752.54"/>
    <n v="16070.725687698836"/>
    <n v="0.25713161100318138"/>
    <n v="1934.9759494939374"/>
    <n v="14135.749738204899"/>
    <n v="0.22617199581127839"/>
    <n v="1545.2541545700271"/>
    <n v="17615.979842268862"/>
  </r>
  <r>
    <s v="FEBRERO"/>
    <x v="2"/>
    <s v="172-2026B"/>
    <d v="1900-02-15T00:00:00"/>
    <d v="2026-03-27T00:00:00"/>
    <n v="54"/>
    <x v="10"/>
    <s v="Alas"/>
    <s v="0.3 - UP "/>
    <s v="China "/>
    <s v="Qingdao"/>
    <x v="11"/>
    <s v="Ramon"/>
    <n v="3350"/>
    <n v="177221.7"/>
    <n v="3242.5925925925926"/>
    <n v="5800"/>
    <n v="171421.7"/>
    <n v="2"/>
    <s v="ECO SIROCCO 26013S"/>
    <n v="6446512380"/>
    <s v="COSCO"/>
    <s v="PAITA"/>
    <n v="10009331"/>
    <s v="Inventario final"/>
    <s v="FEBRERO10009331Inventario final"/>
    <n v="1762.2155585172022"/>
    <n v="54300.639715681929"/>
    <n v="21542.90537538872"/>
    <n v="986.65482007996445"/>
    <n v="18329.440248778326"/>
    <n v="95159.640159928924"/>
    <m/>
    <n v="1762.2155585172025"/>
    <m/>
    <n v="82062.059840071088"/>
    <n v="0.46304747014655134"/>
    <n v="5800"/>
    <n v="3908.7692307692309"/>
    <n v="9708.7692307692305"/>
    <n v="2126.0978053913218"/>
    <n v="5142.6509999999998"/>
    <n v="75369.843803910524"/>
    <n v="0.42528563829322547"/>
    <n v="4179.5480509069048"/>
    <n v="71190.295753003622"/>
    <n v="0.40170191208527861"/>
    <n v="3337.7489738712584"/>
    <n v="78707.592777781785"/>
  </r>
  <r>
    <s v="FEBRERO"/>
    <x v="2"/>
    <s v="174-2026"/>
    <d v="1900-02-17T00:00:00"/>
    <d v="2026-03-10T00:00:00"/>
    <n v="108"/>
    <x v="4"/>
    <s v="Filete "/>
    <s v="2-4 AA"/>
    <s v="China "/>
    <s v="shidao"/>
    <x v="12"/>
    <m/>
    <n v="1450"/>
    <n v="156600"/>
    <n v="1338.7777777777778"/>
    <n v="12012"/>
    <n v="144588"/>
    <n v="4"/>
    <s v="ECO MARIN 26010N"/>
    <s v="LIMG03595900"/>
    <m/>
    <m/>
    <n v="10005721"/>
    <s v="Inventario final"/>
    <s v="FEBRERO10005721Inventario final"/>
    <n v="1672.206573481702"/>
    <n v="109679.3245201783"/>
    <n v="32138.31915345199"/>
    <n v="1968.8657712016009"/>
    <n v="36811.800491191905"/>
    <n v="180598.30993602381"/>
    <m/>
    <n v="1672.2065734817018"/>
    <m/>
    <n v="-23998.309936023812"/>
    <n v="-0.15324591274600136"/>
    <n v="12012"/>
    <n v="7821.6923076923076"/>
    <n v="19833.692307692309"/>
    <n v="4252.1956107826436"/>
    <n v="4337.6399999999994"/>
    <n v="-43746.557854498766"/>
    <n v="-0.27935222129309556"/>
    <n v="8359.0961018138096"/>
    <n v="-52105.653956312577"/>
    <n v="-0.33273086817568698"/>
    <n v="6675.4979477425168"/>
    <n v="-37071.059906756251"/>
  </r>
  <r>
    <s v="FEBRERO"/>
    <x v="2"/>
    <s v="175-2026"/>
    <d v="1900-02-17T00:00:00"/>
    <d v="2026-03-18T00:00:00"/>
    <n v="26"/>
    <x v="4"/>
    <s v="Filete "/>
    <s v="2-4 AA"/>
    <s v="Klaipeda"/>
    <s v="Lituania"/>
    <x v="13"/>
    <m/>
    <n v="1500"/>
    <n v="39000"/>
    <n v="1230.9615384615386"/>
    <n v="6995"/>
    <n v="32005"/>
    <n v="1"/>
    <s v="CMA CGM VOLTAIRE / 0DVOFN1MA"/>
    <s v="LMM0575667"/>
    <n v="1"/>
    <s v="CMA CGM"/>
    <n v="10005721"/>
    <s v="Inventario final"/>
    <s v="FEBRERO10005721Inventario final"/>
    <n v="1672.2065734817018"/>
    <n v="26404.281828931813"/>
    <n v="7737.0027591643675"/>
    <n v="473.98620417816318"/>
    <n v="8862.1001182499022"/>
    <n v="43477.370910524245"/>
    <m/>
    <n v="1672.2065734817018"/>
    <m/>
    <n v="-4477.3709105242451"/>
    <n v="-0.11480438232113449"/>
    <n v="6995"/>
    <n v="1883"/>
    <n v="8878"/>
    <n v="1023.6767211143401"/>
    <n v="960.15"/>
    <n v="-13418.897631638585"/>
    <n v="-0.3440742982471432"/>
    <n v="2012.3749874736948"/>
    <n v="-15431.27261911228"/>
    <n v="-0.39567365690031486"/>
    <n v="1607.0643207528283"/>
    <n v="-11811.833310885757"/>
  </r>
  <r>
    <s v="FEBRERO"/>
    <x v="2"/>
    <s v="176-2026A"/>
    <d v="1900-02-17T00:00:00"/>
    <d v="2026-03-23T00:00:00"/>
    <n v="54"/>
    <x v="5"/>
    <s v="Alas"/>
    <s v="1-up"/>
    <s v="China "/>
    <s v="Qingdao"/>
    <x v="2"/>
    <s v="Jose"/>
    <n v="1600"/>
    <n v="86400"/>
    <n v="1492.5925925925926"/>
    <n v="5800"/>
    <n v="80600"/>
    <n v="2"/>
    <s v="ECO SIROCCO 26011S"/>
    <n v="6446527810"/>
    <s v="COSCO"/>
    <s v="PAITA"/>
    <n v="10006720"/>
    <s v="Inventario final"/>
    <s v="FEBRERO10006720Inventario final"/>
    <n v="1594.5633182136667"/>
    <n v="55253.889478924655"/>
    <n v="11621.954198473282"/>
    <n v="804.56554928642561"/>
    <n v="18426.009956853635"/>
    <n v="86106.419183538004"/>
    <m/>
    <n v="1594.5633182136667"/>
    <m/>
    <n v="293.58081646199571"/>
    <n v="3.3979261164582839E-3"/>
    <n v="5800"/>
    <n v="3910.8461538461538"/>
    <n v="9710.8461538461543"/>
    <n v="2126.0978053913218"/>
    <n v="2418"/>
    <n v="-9125.3631427754808"/>
    <n v="-0.10561762896730881"/>
    <n v="4179.5480509069048"/>
    <n v="-13304.911193682387"/>
    <n v="-0.15399202770465725"/>
    <n v="3337.7489738712584"/>
    <n v="-5787.6141689042224"/>
  </r>
  <r>
    <s v="FEBRERO"/>
    <x v="2"/>
    <s v="176-2026B"/>
    <d v="1900-02-17T00:00:00"/>
    <d v="2026-03-27T00:00:00"/>
    <n v="81"/>
    <x v="5"/>
    <s v="Alas"/>
    <s v="1-up"/>
    <s v="China "/>
    <s v="Qingdao"/>
    <x v="2"/>
    <s v="Jose"/>
    <n v="1600"/>
    <n v="125600"/>
    <n v="1499.5185185185185"/>
    <n v="8139"/>
    <n v="117461"/>
    <n v="3"/>
    <s v="ECO SIROCCO 26013S"/>
    <s v="LIMG04326900"/>
    <s v="ONE LINE"/>
    <s v="PAITA"/>
    <n v="10006720"/>
    <s v="Inventario final"/>
    <s v="FEBRERO10006720Inventario final"/>
    <n v="1594.5633182136667"/>
    <n v="82880.834218386983"/>
    <n v="17432.931297709925"/>
    <n v="1206.8483239296384"/>
    <n v="27639.014935280455"/>
    <n v="129159.62877530699"/>
    <m/>
    <n v="1594.5633182136667"/>
    <m/>
    <n v="-3559.6287753069919"/>
    <n v="-2.8340993433972866E-2"/>
    <n v="8139"/>
    <n v="5866.2692307692305"/>
    <n v="14005.26923076923"/>
    <n v="3189.1467080869825"/>
    <n v="3523.83"/>
    <n v="-17230.214714163201"/>
    <n v="-0.13718323817008918"/>
    <n v="6269.3220763603567"/>
    <n v="-23499.536790523558"/>
    <n v="-0.18709822285448693"/>
    <n v="5006.623460806888"/>
    <n v="-12223.591253356313"/>
  </r>
  <r>
    <s v="FEBRERO"/>
    <x v="2"/>
    <s v="177-2026A"/>
    <d v="1900-02-18T00:00:00"/>
    <d v="2026-03-27T00:00:00"/>
    <n v="48"/>
    <x v="5"/>
    <s v="Alas"/>
    <s v="1-up"/>
    <s v="korea"/>
    <s v="Busan"/>
    <x v="2"/>
    <s v="Jose"/>
    <n v="1600"/>
    <n v="76800"/>
    <n v="1486.9583333333333"/>
    <n v="5426"/>
    <n v="71374"/>
    <n v="2"/>
    <s v="ECO SIROCCO 26013S"/>
    <s v="LIMG04588500"/>
    <s v="ONE LINE"/>
    <s v="PAITA"/>
    <n v="10006720"/>
    <s v="Inventario final"/>
    <s v="FEBRERO10006720Inventario final"/>
    <n v="1850.3683620975771"/>
    <n v="61393.210532138502"/>
    <n v="10330.625954198473"/>
    <n v="715.16937714348944"/>
    <n v="16378.675517203232"/>
    <n v="88817.681380683702"/>
    <m/>
    <n v="1594.5633182136667"/>
    <m/>
    <n v="-12017.681380683702"/>
    <n v="-0.15648022631098571"/>
    <n v="5426"/>
    <n v="3476.3076923076924"/>
    <n v="8902.3076923076915"/>
    <n v="1889.8647159033972"/>
    <n v="2141.2199999999998"/>
    <n v="-20668.633788894789"/>
    <n v="-0.26912283579290092"/>
    <n v="3715.1538230283595"/>
    <n v="-24383.787611923148"/>
    <n v="-0.31749723453024931"/>
    <n v="2966.887976774452"/>
    <n v="-17701.745812120338"/>
  </r>
  <r>
    <s v="FEBRERO"/>
    <x v="2"/>
    <s v="179-2026A"/>
    <d v="1900-02-22T00:00:00"/>
    <d v="2026-03-20T00:00:00"/>
    <n v="24"/>
    <x v="1"/>
    <s v="Nucas"/>
    <s v="500-up"/>
    <s v="Tailandia "/>
    <s v="Laem chabang"/>
    <x v="1"/>
    <s v="ACER FOOD"/>
    <n v="1100"/>
    <n v="26400"/>
    <n v="966.54166666666663"/>
    <n v="3203"/>
    <n v="23197"/>
    <n v="1"/>
    <s v="ECO MARIN 26012N"/>
    <s v="LIMG03918800"/>
    <s v="ONE LINE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22110.59442724457"/>
    <n v="-0.83752251618350648"/>
    <n v="3203"/>
    <n v="1738.1538461538462"/>
    <n v="4941.1538461538457"/>
    <n v="944.93235795169858"/>
    <n v="695.91"/>
    <n v="-27300.770631350115"/>
    <n v="-1.0341200996723527"/>
    <n v="1857.5769115141798"/>
    <n v="-29158.347542864296"/>
    <n v="-1.1044828614721325"/>
    <n v="1483.443988387226"/>
    <n v="-25817.326642962889"/>
  </r>
  <r>
    <s v="FEBRERO"/>
    <x v="2"/>
    <s v="179-2026B1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24500"/>
    <s v="ONE LINE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22110.59442724457"/>
    <n v="-0.83752251618350648"/>
    <n v="3513"/>
    <n v="1738.1538461538462"/>
    <n v="5251.1538461538457"/>
    <n v="944.93235795169858"/>
    <n v="686.61"/>
    <n v="-27620.070631350114"/>
    <n v="-1.0462147966420499"/>
    <n v="1857.5769115141798"/>
    <n v="-29477.647542864295"/>
    <n v="-1.1165775584418294"/>
    <n v="1483.443988387226"/>
    <n v="-26136.626642962889"/>
  </r>
  <r>
    <s v="FEBRERO"/>
    <x v="2"/>
    <s v="179-2026B2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33500"/>
    <s v="ONE LINE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22110.59442724457"/>
    <n v="-0.83752251618350648"/>
    <n v="3513"/>
    <n v="1738.1538461538462"/>
    <n v="5251.1538461538457"/>
    <n v="944.93235795169858"/>
    <n v="686.61"/>
    <n v="-27620.070631350114"/>
    <n v="-1.0462147966420499"/>
    <n v="1857.5769115141798"/>
    <n v="-29477.647542864295"/>
    <n v="-1.1165775584418294"/>
    <n v="1483.443988387226"/>
    <n v="-26136.626642962889"/>
  </r>
  <r>
    <s v="FEBRERO"/>
    <x v="2"/>
    <s v="179-2026B3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7900"/>
    <s v="ONE LINE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22110.59442724457"/>
    <n v="-0.83752251618350648"/>
    <n v="3513"/>
    <n v="1738.1538461538462"/>
    <n v="5251.1538461538457"/>
    <n v="944.93235795169858"/>
    <n v="686.61"/>
    <n v="-27620.070631350114"/>
    <n v="-1.0462147966420499"/>
    <n v="1857.5769115141798"/>
    <n v="-29477.647542864295"/>
    <n v="-1.1165775584418294"/>
    <n v="1483.443988387226"/>
    <n v="-26136.626642962889"/>
  </r>
  <r>
    <s v="FEBRERO"/>
    <x v="2"/>
    <s v="179-2026B4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8300"/>
    <s v="ONE LINE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22110.59442724457"/>
    <n v="-0.83752251618350648"/>
    <n v="3513"/>
    <n v="1738.1538461538462"/>
    <n v="5251.1538461538457"/>
    <n v="944.93235795169858"/>
    <n v="686.61"/>
    <n v="-27620.070631350114"/>
    <n v="-1.0462147966420499"/>
    <n v="1857.5769115141798"/>
    <n v="-29477.647542864295"/>
    <n v="-1.1165775584418294"/>
    <n v="1483.443988387226"/>
    <n v="-26136.626642962889"/>
  </r>
  <r>
    <s v="FEBRERO"/>
    <x v="2"/>
    <s v="179-2026B5"/>
    <d v="1900-02-22T00:00:00"/>
    <d v="2026-03-27T00:00:00"/>
    <n v="24"/>
    <x v="1"/>
    <s v="Nucas"/>
    <s v="500-up"/>
    <s v="Tailandia "/>
    <s v="Lat Krabang"/>
    <x v="1"/>
    <s v="Julieta"/>
    <n v="1100"/>
    <n v="26400"/>
    <n v="966.54166666666663"/>
    <n v="3203"/>
    <n v="23197"/>
    <n v="1"/>
    <s v="ECO SIROCCO 26013S"/>
    <s v="LIMG03940300"/>
    <s v="ONE LINE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22110.59442724457"/>
    <n v="-0.83752251618350648"/>
    <n v="3203"/>
    <n v="1738.1538461538462"/>
    <n v="4941.1538461538457"/>
    <n v="944.93235795169858"/>
    <n v="695.91"/>
    <n v="-27300.770631350115"/>
    <n v="-1.0341200996723527"/>
    <n v="1857.5769115141798"/>
    <n v="-29158.347542864296"/>
    <n v="-1.1044828614721325"/>
    <n v="1483.443988387226"/>
    <n v="-25817.326642962889"/>
  </r>
  <r>
    <s v="FEBRERO"/>
    <x v="2"/>
    <s v="179-2026C1"/>
    <d v="1900-02-22T00:00:00"/>
    <d v="2026-03-27T00:00:00"/>
    <n v="24"/>
    <x v="1"/>
    <s v="Nucas"/>
    <s v="1-2 KG "/>
    <s v="Tailandia "/>
    <s v="Lat Krabang"/>
    <x v="1"/>
    <s v="KHUNRUNG"/>
    <n v="1200"/>
    <n v="19560"/>
    <n v="1054.1666666666667"/>
    <n v="3500"/>
    <n v="16060"/>
    <n v="1"/>
    <s v="ECO SIROCCO 26013S"/>
    <n v="6447908140"/>
    <s v="COSCO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28950.59442724457"/>
    <n v="-1.4800917396341804"/>
    <n v="3500"/>
    <n v="1738.1538461538462"/>
    <n v="5238.1538461538457"/>
    <n v="944.93235795169858"/>
    <n v="481.79999999999995"/>
    <n v="-34651.880631350112"/>
    <n v="-1.7715685394350773"/>
    <n v="1857.5769115141798"/>
    <n v="-36509.457542864293"/>
    <n v="-1.866536684195516"/>
    <n v="1483.443988387226"/>
    <n v="-33168.436642962886"/>
  </r>
  <r>
    <s v="FEBRERO"/>
    <x v="2"/>
    <s v="179-2026C2"/>
    <d v="1900-02-22T00:00:00"/>
    <d v="2026-03-27T00:00:00"/>
    <n v="24"/>
    <x v="1"/>
    <s v="Nucas"/>
    <s v="1-2 KG "/>
    <s v="Tailandia "/>
    <s v="Lat Krabang"/>
    <x v="1"/>
    <s v="KHUNRUNG"/>
    <n v="1200"/>
    <n v="28800"/>
    <n v="1054.1666666666667"/>
    <n v="3500"/>
    <n v="25300"/>
    <n v="1"/>
    <s v="ECO SIROCCO 26013S"/>
    <n v="6447908120"/>
    <s v="COSCO"/>
    <s v="PAITA"/>
    <n v="10005779"/>
    <s v="Inventario final"/>
    <s v="FEBRERO10005779Inventario final"/>
    <n v="2021.274767801857"/>
    <n v="30744.097945398247"/>
    <n v="9359.9999999999964"/>
    <n v="270.5775401069518"/>
    <n v="8135.9189417393736"/>
    <n v="48510.59442724457"/>
    <m/>
    <n v="1765.0739515902051"/>
    <m/>
    <n v="-19710.59442724457"/>
    <n v="-0.68439563983488094"/>
    <n v="3500"/>
    <n v="1738.1538461538462"/>
    <n v="5238.1538461538457"/>
    <n v="944.93235795169858"/>
    <n v="759"/>
    <n v="-25134.680631350115"/>
    <n v="-0.87273196636632344"/>
    <n v="1857.5769115141798"/>
    <n v="-26992.257542864296"/>
    <n v="-0.937231164682788"/>
    <n v="1483.443988387226"/>
    <n v="-23651.236642962889"/>
  </r>
  <r>
    <s v="FEBRERO"/>
    <x v="2"/>
    <s v="181-2026"/>
    <d v="2026-02-24T00:00:00"/>
    <d v="2026-03-27T00:00:00"/>
    <n v="48"/>
    <x v="1"/>
    <s v="Nucas"/>
    <s v="500-1000"/>
    <s v="Tailandia "/>
    <s v="Lat Krabang"/>
    <x v="2"/>
    <s v="Jose"/>
    <n v="1200"/>
    <n v="57600"/>
    <n v="1126.8125"/>
    <n v="3513"/>
    <n v="54087"/>
    <n v="1"/>
    <s v="ECO SIROCCO 26013S"/>
    <s v="LIMG04324700"/>
    <s v="ONE LINE"/>
    <s v="PAITA"/>
    <n v="10005779"/>
    <s v="Inventario final"/>
    <s v="FEBRERO10005779Inventario final"/>
    <n v="2021.274767801857"/>
    <n v="61488.195890796494"/>
    <n v="18719.999999999993"/>
    <n v="541.1550802139036"/>
    <n v="16271.837883478747"/>
    <n v="97021.188854489141"/>
    <m/>
    <n v="1765.0739515902051"/>
    <m/>
    <n v="-39421.188854489141"/>
    <n v="-0.68439563983488094"/>
    <n v="3513"/>
    <n v="3476.3076923076924"/>
    <n v="6989.3076923076924"/>
    <n v="1889.8647159033972"/>
    <n v="1622.61"/>
    <n v="-46677.751262700229"/>
    <n v="-0.81037762608854569"/>
    <n v="3715.1538230283595"/>
    <n v="-50392.905085728591"/>
    <n v="-0.87487682440501024"/>
    <n v="2966.887976774452"/>
    <n v="-43710.863285925778"/>
  </r>
  <r>
    <s v="FEBRERO"/>
    <x v="2"/>
    <s v="183-2026"/>
    <d v="1900-02-26T00:00:00"/>
    <d v="2026-03-27T00:00:00"/>
    <n v="27"/>
    <x v="2"/>
    <s v="Rejos"/>
    <s v="2- UP LIMPIOS "/>
    <s v="China "/>
    <s v="Yantai"/>
    <x v="14"/>
    <m/>
    <n v="2600"/>
    <n v="70200"/>
    <n v="2485.1851851851852"/>
    <n v="3100"/>
    <n v="67100"/>
    <n v="1"/>
    <s v="ECO SIROCCO 26013S"/>
    <n v="6447908790"/>
    <s v="COSCO"/>
    <s v="PAITA"/>
    <n v="10007162"/>
    <s v="Inventario final"/>
    <s v="FEBRERO10007162Inventario final"/>
    <n v="1921.1998842520175"/>
    <n v="34472.745808046042"/>
    <n v="7830"/>
    <n v="416.97118813739604"/>
    <n v="9152.6798786210366"/>
    <n v="51872.396874804472"/>
    <m/>
    <n v="1665.8462115998248"/>
    <m/>
    <n v="18327.603125195528"/>
    <n v="0.26107696759537791"/>
    <n v="3100"/>
    <n v="1955.4230769230769"/>
    <n v="5055.4230769230771"/>
    <n v="1063.0489026956609"/>
    <n v="2013"/>
    <n v="14222.13114557679"/>
    <n v="0.20259446076320214"/>
    <n v="2089.7740254534524"/>
    <n v="12132.357120123337"/>
    <n v="0.17282560000175695"/>
    <n v="1668.8744869356292"/>
    <n v="15891.005632512419"/>
  </r>
  <r>
    <s v="FEBRERO"/>
    <x v="2"/>
    <s v="184-2026"/>
    <d v="1900-02-27T00:00:00"/>
    <d v="2026-03-23T00:00:00"/>
    <n v="216"/>
    <x v="9"/>
    <s v="Daruma"/>
    <m/>
    <s v="China"/>
    <s v="Qingdao"/>
    <x v="15"/>
    <s v="James"/>
    <n v="3100"/>
    <n v="669600"/>
    <n v="2992.5925925925926"/>
    <n v="23200"/>
    <n v="646400"/>
    <n v="8"/>
    <s v="ECO MARIN 26012N"/>
    <n v="6447338820"/>
    <s v="COSCO"/>
    <s v="PAITA"/>
    <n v="10009239"/>
    <s v="Inventario final"/>
    <s v="FEBRERO10009239Inventario final"/>
    <n v="2321.3258701381314"/>
    <n v="274469.90594329336"/>
    <n v="143151.38931297712"/>
    <n v="2621.6008724100329"/>
    <n v="81163.491821155927"/>
    <n v="501406.38794983644"/>
    <m/>
    <n v="2067.1870683387856"/>
    <m/>
    <n v="168193.61205016356"/>
    <n v="0.25118520318124787"/>
    <n v="23200"/>
    <n v="15643.384615384615"/>
    <n v="38843.384615384617"/>
    <n v="8504.3912215652872"/>
    <n v="19392"/>
    <n v="140237.83621321365"/>
    <n v="0.20943523926704549"/>
    <n v="16718.192203627619"/>
    <n v="123519.64400958603"/>
    <n v="0.18446780766067208"/>
    <n v="13350.995895485034"/>
    <n v="153588.8321086987"/>
  </r>
  <r>
    <s v="FEBRERO"/>
    <x v="2"/>
    <s v="185-2026"/>
    <d v="1900-02-27T00:00:00"/>
    <d v="2026-03-23T00:00:00"/>
    <n v="108"/>
    <x v="9"/>
    <s v="Daruma "/>
    <m/>
    <s v="China "/>
    <s v="Qingdao"/>
    <x v="16"/>
    <s v="James"/>
    <n v="3100"/>
    <n v="334800"/>
    <n v="2992.5925925925926"/>
    <n v="11600"/>
    <n v="323200"/>
    <n v="4"/>
    <s v="ECO MARIN 26012N"/>
    <n v="6447338860"/>
    <s v="COSCO"/>
    <s v="PAITA"/>
    <n v="10009239"/>
    <s v="Inventario final"/>
    <s v="FEBRERO10009239Inventario final"/>
    <n v="2321.3258701381314"/>
    <n v="137234.95297164668"/>
    <n v="71575.694656488558"/>
    <n v="1310.8004362050165"/>
    <n v="40581.745910577964"/>
    <n v="250703.19397491822"/>
    <m/>
    <n v="2067.1870683387856"/>
    <m/>
    <n v="84096.80602508178"/>
    <n v="0.25118520318124787"/>
    <n v="11600"/>
    <n v="7821.6923076923076"/>
    <n v="19421.692307692309"/>
    <n v="4252.1956107826436"/>
    <n v="9696"/>
    <n v="70118.918106606827"/>
    <n v="0.20943523926704549"/>
    <n v="8359.0961018138096"/>
    <n v="61759.822004793015"/>
    <n v="0.18446780766067208"/>
    <n v="6675.4979477425168"/>
    <n v="76794.416054349349"/>
  </r>
  <r>
    <s v="FEBRERO"/>
    <x v="2"/>
    <s v="189-2026"/>
    <d v="1900-03-08T00:00:00"/>
    <d v="2026-03-27T00:00:00"/>
    <n v="10"/>
    <x v="1"/>
    <s v="Nucas"/>
    <s v="300-500"/>
    <s v="Tailandia "/>
    <s v="Lat Krabang"/>
    <x v="1"/>
    <s v="Julieta"/>
    <n v="1130"/>
    <n v="11300"/>
    <n v="990"/>
    <n v="1400"/>
    <n v="9900"/>
    <n v="1"/>
    <s v="ECO SIROCCO 26013S"/>
    <n v="6447908000"/>
    <s v="COSCO"/>
    <s v="PAITA"/>
    <n v="10005779"/>
    <s v="Inventario final"/>
    <s v="FEBRERO10005779Inventario final"/>
    <n v="2021.2747678018573"/>
    <n v="12810.040810582605"/>
    <n v="3899.9999999999991"/>
    <n v="112.74064171122993"/>
    <n v="3389.9662257247387"/>
    <n v="20212.747678018572"/>
    <m/>
    <n v="1765.0739515902051"/>
    <m/>
    <n v="-8912.7476780185716"/>
    <n v="-0.78873873256801519"/>
    <n v="1400"/>
    <n v="724.23076923076917"/>
    <n v="2124.2307692307691"/>
    <n v="393.72181581320774"/>
    <n v="297"/>
    <n v="-11133.700263062548"/>
    <n v="-0.98528320912057954"/>
    <n v="773.99037979757497"/>
    <n v="-11907.690642860123"/>
    <n v="-1.0537779329964712"/>
    <n v="618.10166182801083"/>
    <n v="-10515.598601234538"/>
  </r>
  <r>
    <s v="FEBRERO"/>
    <x v="2"/>
    <s v="189-2026"/>
    <d v="1900-03-08T00:00:00"/>
    <d v="2026-03-27T00:00:00"/>
    <n v="15"/>
    <x v="1"/>
    <s v="Nucas"/>
    <s v="500-1000"/>
    <s v="Tailandia "/>
    <s v="Lat Krabang"/>
    <x v="1"/>
    <s v="Julieta"/>
    <n v="1200"/>
    <n v="18000"/>
    <n v="1060"/>
    <n v="2100"/>
    <n v="15900"/>
    <n v="0"/>
    <s v="ECO SIROCCO 26013S"/>
    <n v="6447908000"/>
    <s v="COSCO"/>
    <s v="PAITA"/>
    <n v="10005779"/>
    <s v="Inventario final"/>
    <s v="FEBRERO10005779Inventario final"/>
    <n v="2021.2747678018568"/>
    <n v="19215.061215873906"/>
    <n v="5849.9999999999982"/>
    <n v="169.11096256684488"/>
    <n v="5084.9493385871083"/>
    <n v="30319.121517027852"/>
    <m/>
    <n v="1765.0739515902051"/>
    <m/>
    <n v="-12319.121517027852"/>
    <n v="-0.68439563983488061"/>
    <n v="2100"/>
    <n v="1086.3461538461538"/>
    <n v="3186.3461538461538"/>
    <n v="590.58272371981161"/>
    <n v="477"/>
    <n v="-15619.050394593818"/>
    <n v="-0.86772502192187884"/>
    <n v="1160.9855696963625"/>
    <n v="-16780.035964290182"/>
    <n v="-0.9322242202383435"/>
    <n v="927.15249274201619"/>
    <n v="-14691.897901851802"/>
  </r>
  <r>
    <s v="FEBRERO"/>
    <x v="2"/>
    <s v="170-2026B"/>
    <d v="1900-02-11T00:00:00"/>
    <d v="2026-03-11T00:00:00"/>
    <n v="24"/>
    <x v="2"/>
    <s v="Rejos"/>
    <s v="2 - UP"/>
    <s v="España "/>
    <s v="Vigo"/>
    <x v="11"/>
    <s v="Ramon"/>
    <n v="2400"/>
    <n v="57600"/>
    <n v="2230.0104166666665"/>
    <n v="4079.75"/>
    <n v="53520.25"/>
    <n v="1"/>
    <s v="CMA CGM BOLDNESS / 0DVODN1MA"/>
    <s v="LMM0575562"/>
    <s v="CMA CGM"/>
    <m/>
    <n v="10007162"/>
    <s v="Inventario final"/>
    <s v="FEBRERO10007162Inventario final"/>
    <n v="1921.1998842520177"/>
    <n v="30642.440718263148"/>
    <n v="6960"/>
    <n v="370.64105612212984"/>
    <n v="8135.715447663144"/>
    <n v="46108.797222048423"/>
    <m/>
    <n v="1665.8462115998248"/>
    <m/>
    <n v="11491.202777951577"/>
    <n v="0.19950004822832601"/>
    <n v="4079.75"/>
    <n v="1738.1538461538462"/>
    <n v="5817.9038461538457"/>
    <n v="944.93235795169858"/>
    <n v="1605.6074999999998"/>
    <n v="6333.9740738460332"/>
    <n v="0.10996482767093807"/>
    <n v="1857.5769115141798"/>
    <n v="4476.3971623318539"/>
    <n v="7.7715228512705792E-2"/>
    <n v="1483.443988387226"/>
    <n v="7817.4180622332588"/>
  </r>
  <r>
    <s v="FEBRERO"/>
    <x v="2"/>
    <s v="153-2026"/>
    <d v="1900-01-25T00:00:00"/>
    <d v="2026-03-29T00:00:00"/>
    <n v="26"/>
    <x v="0"/>
    <s v="Rejos"/>
    <m/>
    <s v="España "/>
    <s v="Valencia"/>
    <x v="0"/>
    <s v="Ignacio / Ives"/>
    <n v="2950"/>
    <n v="76700"/>
    <n v="2793.0865384615386"/>
    <n v="4079.75"/>
    <n v="72620.25"/>
    <n v="1"/>
    <s v="CAPE SKAGEN 614N"/>
    <n v="19449468"/>
    <s v="HAPAG"/>
    <m/>
    <n v="10007567"/>
    <s v="Inventario final"/>
    <s v="FEBRERO10007567Inventario final"/>
    <n v="1907.3337879968822"/>
    <n v="33162.741621200308"/>
    <n v="7149.9999999999982"/>
    <n v="463.66328916601708"/>
    <n v="8814.2735775526089"/>
    <n v="49590.678487918936"/>
    <m/>
    <n v="1652.2357755261105"/>
    <m/>
    <n v="27109.321512081064"/>
    <n v="0.35344617356037894"/>
    <n v="4079.75"/>
    <n v="1883"/>
    <n v="5962.75"/>
    <n v="1023.6767211143401"/>
    <n v="2178.6075000000001"/>
    <n v="22301.502290966724"/>
    <n v="0.29076274173359484"/>
    <n v="2012.3749874736948"/>
    <n v="20289.127303493031"/>
    <n v="0.26452577970655844"/>
    <n v="1607.0643207528283"/>
    <n v="23908.566611719551"/>
  </r>
  <r>
    <s v="FEBRERO"/>
    <x v="2"/>
    <m/>
    <d v="2026-03-30T00:00:00"/>
    <d v="2026-03-30T00:00:00"/>
    <n v="0"/>
    <x v="6"/>
    <s v="Residuos"/>
    <s v="Residuos"/>
    <s v="Residuos"/>
    <s v="Residuos"/>
    <x v="4"/>
    <m/>
    <n v="0"/>
    <n v="26456.610000000008"/>
    <n v="0"/>
    <n v="0"/>
    <n v="26456.610000000008"/>
    <m/>
    <m/>
    <m/>
    <m/>
    <m/>
    <m/>
    <m/>
    <m/>
    <n v="0"/>
    <n v="0"/>
    <n v="0"/>
    <n v="0"/>
    <n v="0"/>
    <n v="0"/>
    <m/>
    <m/>
    <m/>
    <n v="26456.610000000008"/>
    <n v="1"/>
    <n v="0"/>
    <n v="0"/>
    <n v="0"/>
    <n v="0"/>
    <n v="0"/>
    <n v="26456.610000000008"/>
    <n v="1"/>
    <n v="0"/>
    <n v="26456.610000000008"/>
    <n v="1"/>
    <n v="0"/>
    <n v="26456.610000000008"/>
  </r>
  <r>
    <s v="MARZO"/>
    <x v="3"/>
    <s v="145-2025B"/>
    <d v="2025-12-29T00:00:00"/>
    <d v="2026-04-11T00:00:00"/>
    <n v="27"/>
    <x v="11"/>
    <s v="Recortes cocidos "/>
    <m/>
    <s v="España "/>
    <s v="Vigo"/>
    <x v="3"/>
    <s v="Jorge"/>
    <n v="2500"/>
    <n v="67500"/>
    <n v="2312.2896296296294"/>
    <n v="5068.18"/>
    <n v="62431.82"/>
    <n v="1"/>
    <s v="MSC CAROLE NX614R"/>
    <s v="EBKG16377153"/>
    <s v="MSC"/>
    <m/>
    <n v="10007050"/>
    <m/>
    <m/>
    <n v="1616.8353658536589"/>
    <n v="36510.202381932882"/>
    <n v="6700.6223911049556"/>
    <n v="636.55912715497072"/>
    <n v="-192.82902214402037"/>
    <n v="43654.554878048788"/>
    <m/>
    <n v="1616.8353658536585"/>
    <m/>
    <n v="23845.445121951212"/>
    <n v="0.35326585365853647"/>
    <n v="5068.18"/>
    <n v="1955.4230769230769"/>
    <n v="7023.6030769230774"/>
    <n v="1005.4608527517522"/>
    <n v="1872.9546"/>
    <n v="17689.335792276383"/>
    <n v="0.26206423395965012"/>
    <n v="1976.5656766708842"/>
    <n v="15712.770115605499"/>
    <n v="0.23278177949045184"/>
    <n v="1580.0491206619561"/>
    <n v="19269.384912938338"/>
  </r>
  <r>
    <s v="MARZO"/>
    <x v="3"/>
    <s v="150-2026D"/>
    <d v="1900-11-20T00:00:00"/>
    <d v="2026-04-11T00:00:00"/>
    <n v="26"/>
    <x v="0"/>
    <s v="Rejos"/>
    <s v="s/t"/>
    <s v="España "/>
    <s v="Vigo"/>
    <x v="6"/>
    <s v="Avelino"/>
    <n v="2950"/>
    <n v="76700"/>
    <n v="2755.07"/>
    <n v="5068.18"/>
    <n v="71631.820000000007"/>
    <n v="1"/>
    <s v="MSC CAROLE NX614R"/>
    <s v="EBKG16377125"/>
    <s v="MSC"/>
    <m/>
    <n v="10007567"/>
    <m/>
    <m/>
    <n v="2019.4979622082251"/>
    <n v="32427.37634290793"/>
    <n v="8739.3159279528154"/>
    <n v="566.7272682818973"/>
    <n v="10773.527478271213"/>
    <n v="52506.947017413855"/>
    <m/>
    <n v="2019.4979622082253"/>
    <m/>
    <n v="24193.052982586145"/>
    <n v="0.31542441959043216"/>
    <n v="5068.18"/>
    <n v="1883"/>
    <n v="6951.18"/>
    <n v="968.2215619090947"/>
    <n v="2148.9546"/>
    <n v="18422.606020677049"/>
    <n v="0.24019043051730182"/>
    <n v="1903.3595404978885"/>
    <n v="16519.246480179161"/>
    <n v="0.2153747911366253"/>
    <n v="1521.5287828596613"/>
    <n v="19944.134803536712"/>
  </r>
  <r>
    <s v="MARZO"/>
    <x v="3"/>
    <s v="172-2026C"/>
    <d v="1900-02-15T00:00:00"/>
    <d v="2026-04-08T00:00:00"/>
    <n v="125"/>
    <x v="4"/>
    <s v="Filete "/>
    <s v="2-4 kg  AA"/>
    <s v="España"/>
    <s v="Vigo"/>
    <x v="11"/>
    <s v="Ramon"/>
    <n v="1400"/>
    <n v="175000"/>
    <n v="1143.1600000000001"/>
    <n v="32105"/>
    <n v="142895"/>
    <n v="5"/>
    <s v="ECO MARIN 26014N"/>
    <s v="LIMG05144800"/>
    <s v="ONE"/>
    <m/>
    <n v="10005721"/>
    <m/>
    <m/>
    <n v="2095.2688776918831"/>
    <n v="159059.95692512728"/>
    <n v="46607.869646877691"/>
    <n v="2855.3030038133484"/>
    <n v="53385.48013566708"/>
    <n v="261908.60971148539"/>
    <m/>
    <n v="2095.2688776918831"/>
    <m/>
    <n v="-86908.609711485391"/>
    <n v="-0.49662062692277364"/>
    <n v="32105"/>
    <n v="9052.8846153846152"/>
    <n v="41157.884615384617"/>
    <n v="4654.9113553321858"/>
    <n v="4286.8499999999995"/>
    <n v="-128434.55568220219"/>
    <n v="-0.73391174675544113"/>
    <n v="9150.7670216244642"/>
    <n v="-137585.32270382665"/>
    <n v="-0.78620184402186655"/>
    <n v="7315.0422252868339"/>
    <n v="-121119.51345691536"/>
  </r>
  <r>
    <s v="MARZO"/>
    <x v="3"/>
    <s v="173-2026"/>
    <d v="1900-02-16T00:00:00"/>
    <d v="2026-04-08T00:00:00"/>
    <n v="120"/>
    <x v="4"/>
    <s v="Filete "/>
    <s v="2-4 AA"/>
    <s v="Japón "/>
    <s v="Sendai"/>
    <x v="2"/>
    <s v="Jose"/>
    <n v="1500"/>
    <n v="180000"/>
    <n v="1371.2083333333333"/>
    <n v="15455"/>
    <n v="164545"/>
    <n v="5"/>
    <s v="ECO MARIN 26014N"/>
    <s v="LIMG05163900"/>
    <s v="ONE"/>
    <m/>
    <n v="10005721"/>
    <m/>
    <m/>
    <n v="2095.2688776918831"/>
    <n v="152697.55864812218"/>
    <n v="44743.55486100258"/>
    <n v="2741.0908836608146"/>
    <n v="51250.060930240397"/>
    <n v="251432.26532302599"/>
    <m/>
    <n v="2095.2688776918831"/>
    <m/>
    <n v="-71432.265323025989"/>
    <n v="-0.3968459184612555"/>
    <n v="15455"/>
    <n v="8690.7692307692305"/>
    <n v="24145.76923076923"/>
    <n v="4468.7149011188985"/>
    <n v="4936.3499999999995"/>
    <n v="-95110.399454914121"/>
    <n v="-0.52839110808285628"/>
    <n v="8784.7363407594858"/>
    <n v="-103895.1357956736"/>
    <n v="-0.57719519886485338"/>
    <n v="7022.4405362753605"/>
    <n v="-88087.95891863876"/>
  </r>
  <r>
    <s v="MARZO"/>
    <x v="3"/>
    <s v="177-2026B"/>
    <d v="1900-02-18T00:00:00"/>
    <d v="2026-04-20T00:00:00"/>
    <n v="68.819999999999993"/>
    <x v="5"/>
    <s v="Alas"/>
    <s v="1-up"/>
    <s v="korea"/>
    <s v="Busan"/>
    <x v="2"/>
    <s v="Jose"/>
    <n v="1600"/>
    <n v="110111.99999999999"/>
    <n v="1482.258064516129"/>
    <n v="8103"/>
    <n v="102008.99999999999"/>
    <n v="3"/>
    <s v="ECO MARIN 26016N"/>
    <s v="LIMG05567300"/>
    <s v="ONE LINE"/>
    <m/>
    <n v="10006720"/>
    <m/>
    <m/>
    <n v="1949.1981178129743"/>
    <n v="86079.151463624454"/>
    <n v="18105.656727301903"/>
    <n v="1253.419812298584"/>
    <n v="28705.586464663931"/>
    <n v="134143.81446788888"/>
    <m/>
    <n v="1949.1981178129743"/>
    <m/>
    <n v="-24031.814467888893"/>
    <n v="-0.21824882363310899"/>
    <n v="8103"/>
    <n v="4984.1561538461528"/>
    <n v="13087.156153846154"/>
    <n v="2562.807995791688"/>
    <n v="3060.2699999999995"/>
    <n v="-36621.508617526735"/>
    <n v="-0.33258417445443494"/>
    <n v="5038.046291425564"/>
    <n v="-41659.554908952297"/>
    <n v="-0.37833800956255725"/>
    <n v="4027.3696475539186"/>
    <n v="-32594.138969972817"/>
  </r>
  <r>
    <s v="MARZO"/>
    <x v="3"/>
    <s v="178-2026A"/>
    <d v="1900-02-18T00:00:00"/>
    <d v="2026-04-13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CAPE SPENCER 608N "/>
    <n v="93351271"/>
    <s v="HAPAG"/>
    <m/>
    <n v="10005721"/>
    <m/>
    <m/>
    <n v="2095.2688776918831"/>
    <n v="33084.47104042647"/>
    <n v="9694.4368865505585"/>
    <n v="593.90302479317643"/>
    <n v="11104.179868218753"/>
    <n v="54476.990819988954"/>
    <m/>
    <n v="2095.2688776918831"/>
    <m/>
    <n v="-18076.990819988954"/>
    <n v="-0.49662062692277348"/>
    <n v="4850"/>
    <n v="1883"/>
    <n v="6733"/>
    <n v="968.2215619090947"/>
    <n v="946.5"/>
    <n v="-24831.712381898047"/>
    <n v="-0.68218990060159468"/>
    <n v="1903.3595404978885"/>
    <n v="-26735.071922395935"/>
    <n v="-0.73447999786802021"/>
    <n v="1521.5287828596613"/>
    <n v="-23310.183599038384"/>
  </r>
  <r>
    <s v="MARZO"/>
    <x v="3"/>
    <s v="178-2026B"/>
    <d v="1900-02-18T00:00:00"/>
    <d v="2026-04-20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CAPE SABLE 617N"/>
    <n v="10367430"/>
    <s v="HAPAG"/>
    <m/>
    <n v="10005721"/>
    <m/>
    <m/>
    <n v="2095.2688776918831"/>
    <n v="33084.47104042647"/>
    <n v="9694.4368865505585"/>
    <n v="593.90302479317643"/>
    <n v="11104.179868218753"/>
    <n v="54476.990819988954"/>
    <m/>
    <n v="2095.2688776918831"/>
    <m/>
    <n v="-18076.990819988954"/>
    <n v="-0.49662062692277348"/>
    <n v="4850"/>
    <n v="1883"/>
    <n v="6733"/>
    <n v="968.2215619090947"/>
    <n v="946.5"/>
    <n v="-24831.712381898047"/>
    <n v="-0.68218990060159468"/>
    <n v="1903.3595404978885"/>
    <n v="-26735.071922395935"/>
    <n v="-0.73447999786802021"/>
    <n v="1521.5287828596613"/>
    <n v="-23310.183599038384"/>
  </r>
  <r>
    <s v="MARZO"/>
    <x v="3"/>
    <s v="178-2026C"/>
    <d v="1900-02-18T00:00:00"/>
    <d v="2026-04-27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LEONIDAS Z  618N"/>
    <n v="92234213"/>
    <s v="HAPAG"/>
    <m/>
    <n v="10005721"/>
    <m/>
    <m/>
    <n v="2095.2688776918831"/>
    <n v="33084.47104042647"/>
    <n v="9694.4368865505585"/>
    <n v="593.90302479317643"/>
    <n v="11104.179868218753"/>
    <n v="54476.990819988954"/>
    <m/>
    <n v="2095.2688776918831"/>
    <m/>
    <n v="-18076.990819988954"/>
    <n v="-0.49662062692277348"/>
    <n v="4850"/>
    <n v="1883"/>
    <n v="6733"/>
    <n v="968.2215619090947"/>
    <n v="946.5"/>
    <n v="-24831.712381898047"/>
    <n v="-0.68218990060159468"/>
    <n v="1903.3595404978885"/>
    <n v="-26735.071922395935"/>
    <n v="-0.73447999786802021"/>
    <n v="1521.5287828596613"/>
    <n v="-23310.183599038384"/>
  </r>
  <r>
    <s v="MARZO"/>
    <x v="3"/>
    <s v="182-2026"/>
    <d v="2026-02-24T00:00:00"/>
    <d v="2026-04-20T00:00:00"/>
    <n v="22.2"/>
    <x v="3"/>
    <s v="Conos"/>
    <m/>
    <s v="Tailandia"/>
    <s v="Lat Krabang"/>
    <x v="2"/>
    <s v="Jose"/>
    <n v="1600"/>
    <n v="35520"/>
    <n v="1442.2972972972973"/>
    <n v="3501"/>
    <n v="32019"/>
    <n v="1"/>
    <s v="ECO MARIN 26016N"/>
    <s v="LIMG05569500"/>
    <s v="ONE LINE"/>
    <m/>
    <n v="10007969"/>
    <m/>
    <m/>
    <n v="1595.4396310788145"/>
    <n v="30003.11570659365"/>
    <n v="6025.2036904681827"/>
    <n v="463.63203725072105"/>
    <n v="-1073.1916243628687"/>
    <n v="35418.759809949683"/>
    <m/>
    <n v="1595.4396310788147"/>
    <m/>
    <n v="101.24019005031732"/>
    <n v="2.8502305757409155E-3"/>
    <n v="3501"/>
    <n v="1607.7923076923075"/>
    <n v="5108.7923076923071"/>
    <n v="826.71225670699619"/>
    <n v="960.56999999999994"/>
    <n v="-4873.6943743489865"/>
    <n v="-0.13720986414270794"/>
    <n v="1625.1762230405047"/>
    <n v="-6498.8705973894912"/>
    <n v="-0.18296369925083028"/>
    <n v="1299.1514992109417"/>
    <n v="-3574.542875138045"/>
  </r>
  <r>
    <s v="MARZO"/>
    <x v="3"/>
    <s v="186-2026"/>
    <d v="1900-03-04T00:00:00"/>
    <d v="2026-04-13T00:00:00"/>
    <n v="26"/>
    <x v="0"/>
    <s v="Rejos"/>
    <m/>
    <s v="España"/>
    <s v="Valencia"/>
    <x v="0"/>
    <s v="Ignacio / Ives"/>
    <n v="3100"/>
    <n v="80600"/>
    <n v="2913.4615384615386"/>
    <n v="4850"/>
    <n v="75750"/>
    <n v="1"/>
    <s v="CAPE SPENCER 608N "/>
    <n v="32406022"/>
    <s v="HAPAG"/>
    <m/>
    <n v="10007567"/>
    <m/>
    <m/>
    <n v="2019.4979622082251"/>
    <n v="32427.37634290793"/>
    <n v="8739.3159279528154"/>
    <n v="566.7272682818973"/>
    <n v="10773.527478271213"/>
    <n v="52506.947017413855"/>
    <m/>
    <n v="2019.4979622082253"/>
    <m/>
    <n v="28093.052982586145"/>
    <n v="0.34854904444895962"/>
    <n v="4850"/>
    <n v="1883"/>
    <n v="6733"/>
    <n v="968.2215619090947"/>
    <n v="2272.5"/>
    <n v="22664.331420677052"/>
    <n v="0.28119517891658874"/>
    <n v="1903.3595404978885"/>
    <n v="20760.971880179164"/>
    <n v="0.25758029628013851"/>
    <n v="1521.5287828596613"/>
    <n v="24185.860203536715"/>
  </r>
  <r>
    <s v="MARZO"/>
    <x v="3"/>
    <s v="187-2026"/>
    <d v="1900-03-06T00:00:00"/>
    <d v="2026-04-20T00:00:00"/>
    <n v="115.8"/>
    <x v="5"/>
    <s v="Alas"/>
    <s v="1-up"/>
    <s v="Japón "/>
    <s v="Sendai"/>
    <x v="2"/>
    <s v="Jose"/>
    <n v="1650"/>
    <n v="191070"/>
    <n v="1507.4697754749568"/>
    <n v="16505"/>
    <n v="174565"/>
    <n v="5"/>
    <s v="ECO MARIN 26016N"/>
    <s v="LIMG05575900"/>
    <s v="ONE LINE"/>
    <m/>
    <n v="10006720"/>
    <m/>
    <m/>
    <n v="1949.1981178129743"/>
    <n v="144841.11798151283"/>
    <n v="30465.490395547229"/>
    <n v="2109.0673389156645"/>
    <n v="48301.466326766691"/>
    <n v="225717.1420427424"/>
    <m/>
    <n v="1949.1981178129743"/>
    <m/>
    <n v="-34647.142042742402"/>
    <n v="-0.18133219261392369"/>
    <n v="16505"/>
    <n v="8386.5923076923063"/>
    <n v="24891.592307692306"/>
    <n v="4312.3098795797368"/>
    <n v="5236.95"/>
    <n v="-58614.094230014445"/>
    <n v="-0.30676764656939576"/>
    <n v="8477.2705688329024"/>
    <n v="-67091.364798847353"/>
    <n v="-0.3511350018257568"/>
    <n v="6776.655117505723"/>
    <n v="-51837.43911250872"/>
  </r>
  <r>
    <s v="MARZO"/>
    <x v="3"/>
    <s v="188-2026"/>
    <d v="1900-03-06T00:00:00"/>
    <d v="2026-04-08T00:00:00"/>
    <n v="46"/>
    <x v="4"/>
    <s v="Filete"/>
    <s v="2-4 A "/>
    <s v="Japón "/>
    <s v="Hakata"/>
    <x v="2"/>
    <s v="Jose"/>
    <n v="1700"/>
    <n v="78200"/>
    <n v="1547.7826086956522"/>
    <n v="7002"/>
    <n v="71198"/>
    <n v="2"/>
    <s v="ECO MARIN 26014N"/>
    <s v="LIMG05162800"/>
    <s v="ONE"/>
    <m/>
    <n v="10005721"/>
    <m/>
    <m/>
    <n v="2095.2688776918831"/>
    <n v="58534.064148446836"/>
    <n v="17151.696030050989"/>
    <n v="1050.7515054033122"/>
    <n v="19645.856689925487"/>
    <n v="96382.368373826612"/>
    <m/>
    <n v="2095.2688776918831"/>
    <m/>
    <n v="-18182.368373826612"/>
    <n v="-0.23251110452463697"/>
    <n v="7002"/>
    <n v="3331.4615384615381"/>
    <n v="10333.461538461539"/>
    <n v="1713.0073787622446"/>
    <n v="2135.94"/>
    <n v="-28092.897291050398"/>
    <n v="-0.35924421088299741"/>
    <n v="3367.4822639578028"/>
    <n v="-31460.3795550082"/>
    <n v="-0.40230664392593607"/>
    <n v="2691.9355389055549"/>
    <n v="-25400.961752144842"/>
  </r>
  <r>
    <s v="MARZO"/>
    <x v="3"/>
    <s v="190-2026"/>
    <d v="1900-03-10T00:00:00"/>
    <d v="2026-04-20T00:00:00"/>
    <n v="24"/>
    <x v="4"/>
    <s v="Filete"/>
    <s v="2-4 A "/>
    <s v="Japón "/>
    <s v="Tokyo "/>
    <x v="2"/>
    <s v="Jose"/>
    <n v="1800"/>
    <n v="43200"/>
    <n v="1666.625"/>
    <n v="3201"/>
    <n v="39999"/>
    <n v="1"/>
    <s v="ECO MARIN 26016N"/>
    <s v="LIMG05576300"/>
    <s v="ONE LINE"/>
    <m/>
    <n v="10005721"/>
    <m/>
    <m/>
    <n v="2095.2688776918831"/>
    <n v="30539.511729624435"/>
    <n v="8948.7109722005152"/>
    <n v="548.21817673216287"/>
    <n v="10250.012186048079"/>
    <n v="50286.453064605194"/>
    <m/>
    <n v="2095.2688776918831"/>
    <m/>
    <n v="-7086.4530646051935"/>
    <n v="-0.16403826538437949"/>
    <n v="3201"/>
    <n v="1738.1538461538462"/>
    <n v="4939.1538461538457"/>
    <n v="893.7429802237798"/>
    <n v="1199.97"/>
    <n v="-11719.37989098282"/>
    <n v="-0.27128194192089861"/>
    <n v="1756.9472681518971"/>
    <n v="-13476.327159134717"/>
    <n v="-0.31195201757256286"/>
    <n v="1404.488107255072"/>
    <n v="-10314.891783727748"/>
  </r>
  <r>
    <s v="MARZO"/>
    <x v="3"/>
    <s v="191-2026"/>
    <d v="1900-03-12T00:00:00"/>
    <d v="2026-04-17T00:00:00"/>
    <n v="26.64"/>
    <x v="10"/>
    <s v="Alas Precocidas"/>
    <s v="300-up skin-on "/>
    <s v="China "/>
    <s v="Yantai"/>
    <x v="17"/>
    <s v="Sasha"/>
    <n v="3600"/>
    <n v="95904"/>
    <n v="3475.1876876876877"/>
    <n v="3325"/>
    <n v="92579"/>
    <n v="1"/>
    <s v="ECO MARIN 26016S"/>
    <n v="6450014810"/>
    <s v="COSCO"/>
    <m/>
    <n v="10009331"/>
    <m/>
    <m/>
    <n v="2445.4442541856924"/>
    <n v="37174.41497424274"/>
    <n v="14748.351186445821"/>
    <n v="675.467469813192"/>
    <n v="12548.401301005102"/>
    <n v="65146.634931506851"/>
    <m/>
    <n v="2445.4442541856924"/>
    <m/>
    <n v="30757.365068493149"/>
    <n v="0.32070992939286319"/>
    <n v="3325"/>
    <n v="1929.3507692307692"/>
    <n v="5254.3507692307694"/>
    <n v="992.05470804839558"/>
    <n v="2777.37"/>
    <n v="27288.329591213984"/>
    <n v="0.28453797121302538"/>
    <n v="1950.2114676486058"/>
    <n v="25338.118123565378"/>
    <n v="0.2642029333871932"/>
    <n v="1558.9817990531301"/>
    <n v="28847.311390267114"/>
  </r>
  <r>
    <s v="MARZO"/>
    <x v="3"/>
    <s v="192-2026"/>
    <d v="1900-03-12T00:00:00"/>
    <d v="2026-04-10T00:00:00"/>
    <n v="27"/>
    <x v="5"/>
    <s v="Alas"/>
    <s v="1-up "/>
    <s v="China "/>
    <s v="Yantai"/>
    <x v="17"/>
    <s v="Sasha"/>
    <n v="1700"/>
    <n v="45900"/>
    <n v="1585.1851851851852"/>
    <n v="3100"/>
    <n v="42800"/>
    <n v="1"/>
    <s v="ECO SIROCCO 26015S"/>
    <n v="6448952470"/>
    <s v="COSCO"/>
    <m/>
    <n v="10006720"/>
    <m/>
    <m/>
    <n v="1949.1981178129743"/>
    <n v="33771.245125223199"/>
    <n v="7103.3526828996137"/>
    <n v="491.75145207878188"/>
    <n v="11261.999920748709"/>
    <n v="52628.349180950303"/>
    <m/>
    <n v="1949.1981178129743"/>
    <m/>
    <n v="-6728.349180950303"/>
    <n v="-0.14658712812527894"/>
    <n v="3100"/>
    <n v="1955.4230769230769"/>
    <n v="5055.4230769230771"/>
    <n v="1005.4608527517522"/>
    <n v="1284"/>
    <n v="-11505.233110625133"/>
    <n v="-0.25065867343409876"/>
    <n v="1976.5656766708842"/>
    <n v="-13481.798787296017"/>
    <n v="-0.29372110647703742"/>
    <n v="1580.0491206619561"/>
    <n v="-9925.1839899631777"/>
  </r>
  <r>
    <s v="MARZO"/>
    <x v="3"/>
    <s v="193-2026"/>
    <d v="1900-03-12T00:00:00"/>
    <d v="2026-04-10T00:00:00"/>
    <n v="27"/>
    <x v="4"/>
    <s v="Filete"/>
    <s v="2-4 A  external skin removed, inner membranes on"/>
    <s v="China "/>
    <s v="Yantai"/>
    <x v="17"/>
    <s v="Sasha"/>
    <n v="1600"/>
    <n v="43200"/>
    <n v="1485.1851851851852"/>
    <n v="3100"/>
    <n v="40100"/>
    <n v="1"/>
    <s v="ECO SIROCCO 26015S"/>
    <n v="6448952410"/>
    <s v="COSCO"/>
    <m/>
    <n v="10005721"/>
    <m/>
    <m/>
    <n v="2095.2688776918831"/>
    <n v="34356.950695827487"/>
    <n v="10067.299843725581"/>
    <n v="616.74544882368332"/>
    <n v="11531.26370930409"/>
    <n v="56572.259697680842"/>
    <m/>
    <n v="2095.2688776918831"/>
    <m/>
    <n v="-13372.259697680842"/>
    <n v="-0.30954304855742687"/>
    <n v="3100"/>
    <n v="1955.4230769230769"/>
    <n v="5055.4230769230771"/>
    <n v="1005.4608527517522"/>
    <n v="1203"/>
    <n v="-18230.143627355672"/>
    <n v="-0.42199406544804796"/>
    <n v="1976.5656766708842"/>
    <n v="-20206.709304026557"/>
    <n v="-0.46774790055617033"/>
    <n v="1580.0491206619561"/>
    <n v="-16650.094506693717"/>
  </r>
  <r>
    <s v="MARZO"/>
    <x v="3"/>
    <s v="194-2026"/>
    <d v="1900-03-12T00:00:00"/>
    <d v="2026-04-10T00:00:00"/>
    <n v="27"/>
    <x v="9"/>
    <s v="Daruma "/>
    <m/>
    <s v="China "/>
    <s v="Yantai"/>
    <x v="17"/>
    <s v="Sasha"/>
    <n v="3500"/>
    <n v="94500"/>
    <n v="3385.1851851851852"/>
    <n v="3100"/>
    <n v="91400"/>
    <n v="1"/>
    <s v="ECO SIROCCO 26015S"/>
    <n v="6448952450"/>
    <s v="COSCO"/>
    <m/>
    <n v="10009239"/>
    <m/>
    <m/>
    <n v="2289.259911894274"/>
    <n v="30395.5535675012"/>
    <n v="19816.224055469786"/>
    <n v="362.90412912522686"/>
    <n v="11235.33586904918"/>
    <n v="61810.017621145395"/>
    <m/>
    <n v="2289.2599118942735"/>
    <m/>
    <n v="32689.982378854605"/>
    <n v="0.34592573945877891"/>
    <n v="3100"/>
    <n v="1955.4230769230769"/>
    <n v="5055.4230769230771"/>
    <n v="1005.4608527517522"/>
    <n v="2742"/>
    <n v="29371.098449179775"/>
    <n v="0.31080527459449497"/>
    <n v="1976.5656766708842"/>
    <n v="27394.53277250889"/>
    <n v="0.28988923568792474"/>
    <n v="1580.0491206619561"/>
    <n v="30951.147569841731"/>
  </r>
  <r>
    <s v="MARZO"/>
    <x v="3"/>
    <s v="195-2026"/>
    <d v="1900-03-16T00:00:00"/>
    <d v="2026-04-22T00:00:00"/>
    <n v="24.2"/>
    <x v="12"/>
    <s v="Ventosas"/>
    <m/>
    <s v="China "/>
    <s v="MAWEI FUZHOU"/>
    <x v="9"/>
    <s v="James"/>
    <n v="1250"/>
    <n v="30250"/>
    <n v="1108.0165289256199"/>
    <n v="3436"/>
    <n v="26814"/>
    <n v="1"/>
    <s v="CMA CGM EXCELLENCE 0DVOPN1MA"/>
    <s v="LMM0581298"/>
    <s v="CMA CGM"/>
    <m/>
    <m/>
    <m/>
    <m/>
    <n v="0"/>
    <n v="0"/>
    <n v="0"/>
    <n v="0"/>
    <n v="0"/>
    <n v="0"/>
    <m/>
    <n v="0"/>
    <m/>
    <n v="30250"/>
    <n v="1"/>
    <n v="3436"/>
    <n v="1752.6384615384613"/>
    <n v="5188.6384615384613"/>
    <n v="901.19083839231121"/>
    <n v="804.42"/>
    <n v="24964.590700069228"/>
    <n v="0.82527572562212326"/>
    <n v="1771.5884953864961"/>
    <n v="23193.002204682733"/>
    <n v="0.76671081668372665"/>
    <n v="1416.192174815531"/>
    <n v="26380.782874884761"/>
  </r>
  <r>
    <s v="MARZO"/>
    <x v="3"/>
    <s v="196-2026"/>
    <d v="1900-03-24T00:00:00"/>
    <d v="2026-04-20T00:00:00"/>
    <n v="81"/>
    <x v="4"/>
    <s v="Filete"/>
    <s v="2-4 AA"/>
    <s v="China "/>
    <s v="Qingdao"/>
    <x v="18"/>
    <s v="Nana "/>
    <n v="2200"/>
    <n v="178200"/>
    <n v="2099.962962962963"/>
    <n v="8103"/>
    <n v="170097"/>
    <n v="3"/>
    <s v="ECO MARIN 26016N"/>
    <s v="LIMG05822400"/>
    <m/>
    <m/>
    <n v="10005721"/>
    <m/>
    <m/>
    <n v="2095.2688776918831"/>
    <n v="103070.85208748248"/>
    <n v="30201.899531176743"/>
    <n v="1850.2363464710497"/>
    <n v="34593.791127912271"/>
    <n v="169716.77909304251"/>
    <m/>
    <n v="2095.2688776918831"/>
    <m/>
    <n v="8483.2209069574892"/>
    <n v="4.7605055594598704E-2"/>
    <n v="8103"/>
    <n v="5866.2692307692305"/>
    <n v="13969.26923076923"/>
    <n v="3016.3825582552568"/>
    <n v="5102.91"/>
    <n v="-3399.5208820669977"/>
    <n v="-1.9076997093529727E-2"/>
    <n v="5929.6970300126532"/>
    <n v="-9329.21791207965"/>
    <n v="-5.2352513535800504E-2"/>
    <n v="4740.147361985868"/>
    <n v="1340.6264799188702"/>
  </r>
  <r>
    <s v="MARZO"/>
    <x v="3"/>
    <s v="197-2026A"/>
    <d v="1900-03-27T00:00:00"/>
    <d v="2026-04-28T00:00:00"/>
    <n v="189"/>
    <x v="4"/>
    <s v="Filete"/>
    <s v="2-4 AA LIGERAMENTE ROSADO "/>
    <s v="China "/>
    <s v="Qingdao"/>
    <x v="18"/>
    <s v="Nana "/>
    <n v="2100"/>
    <n v="396900"/>
    <n v="2029.6296296296296"/>
    <n v="13300"/>
    <n v="383600"/>
    <n v="4"/>
    <s v="ECO SIROCCO 26017N"/>
    <n v="6450842530"/>
    <m/>
    <m/>
    <n v="10005721"/>
    <m/>
    <m/>
    <n v="2095.2688776918831"/>
    <n v="240498.65487079244"/>
    <n v="70471.09890607906"/>
    <n v="4317.218141765783"/>
    <n v="80718.845965128625"/>
    <n v="396005.81788376591"/>
    <m/>
    <n v="2095.2688776918831"/>
    <m/>
    <n v="894.18211623409297"/>
    <n v="2.2529153848175687E-3"/>
    <n v="13300"/>
    <n v="13687.961538461537"/>
    <n v="26987.961538461539"/>
    <n v="7038.2259692622656"/>
    <n v="11508"/>
    <n v="-21624.005391489714"/>
    <n v="-5.4482250923380486E-2"/>
    <n v="13835.95973669619"/>
    <n v="-35459.965128185904"/>
    <n v="-8.934231576766416E-2"/>
    <n v="11060.343844633693"/>
    <n v="-10563.661546856021"/>
  </r>
  <r>
    <s v="MARZO"/>
    <x v="3"/>
    <s v="198-2026A"/>
    <d v="1900-03-28T00:00:00"/>
    <d v="2026-04-17T00:00:00"/>
    <n v="162"/>
    <x v="9"/>
    <s v="Daruma"/>
    <m/>
    <s v="China"/>
    <s v="Qingdao"/>
    <x v="15"/>
    <s v="James"/>
    <n v="3900"/>
    <n v="631800"/>
    <n v="3792.5925925925926"/>
    <n v="17400"/>
    <n v="614400"/>
    <n v="6"/>
    <s v="ECO MARIN 26016S"/>
    <n v="6450013900"/>
    <m/>
    <m/>
    <n v="10009239"/>
    <m/>
    <m/>
    <n v="2289.2599118942735"/>
    <n v="182373.32140500721"/>
    <n v="118897.34433281871"/>
    <n v="2177.4247747513609"/>
    <n v="67412.015214295083"/>
    <n v="370860.10572687234"/>
    <m/>
    <n v="2289.2599118942735"/>
    <m/>
    <n v="260939.89427312766"/>
    <n v="0.41301027900146831"/>
    <n v="17400"/>
    <n v="11732.538461538461"/>
    <n v="29132.538461538461"/>
    <n v="6032.7651165105135"/>
    <n v="18432"/>
    <n v="244206.59069507869"/>
    <n v="0.38652515146419547"/>
    <n v="11859.394060025306"/>
    <n v="232347.19663505338"/>
    <n v="0.36775434731727347"/>
    <n v="9480.2947239717359"/>
    <n v="253686.88541905044"/>
  </r>
  <r>
    <s v="MARZO"/>
    <x v="3"/>
    <s v="198-2026B"/>
    <d v="1900-03-28T00:00:00"/>
    <d v="2026-04-22T00:00:00"/>
    <n v="27"/>
    <x v="9"/>
    <s v="Daruma"/>
    <m/>
    <s v="China"/>
    <s v="Qingdao"/>
    <x v="15"/>
    <s v="James"/>
    <n v="3900"/>
    <n v="105300"/>
    <n v="3799.962962962963"/>
    <n v="2701"/>
    <n v="102599"/>
    <n v="1"/>
    <s v="ECO MARIN 26016N("/>
    <s v="LIMG05097800"/>
    <m/>
    <m/>
    <n v="10009239"/>
    <m/>
    <m/>
    <n v="2289.259911894274"/>
    <n v="30395.5535675012"/>
    <n v="19816.224055469786"/>
    <n v="362.90412912522686"/>
    <n v="11235.33586904918"/>
    <n v="61810.017621145395"/>
    <m/>
    <n v="2289.2599118942735"/>
    <m/>
    <n v="43489.982378854605"/>
    <n v="0.41301027900146825"/>
    <n v="2701"/>
    <n v="1955.4230769230769"/>
    <n v="4656.4230769230771"/>
    <n v="1005.4608527517522"/>
    <n v="3077.97"/>
    <n v="40906.068449179773"/>
    <n v="0.38847168517739578"/>
    <n v="1976.5656766708842"/>
    <n v="38929.502772508888"/>
    <n v="0.36970088103047377"/>
    <n v="1580.0491206619561"/>
    <n v="42486.117569841728"/>
  </r>
  <r>
    <s v="MARZO"/>
    <x v="3"/>
    <s v="200-2026"/>
    <d v="1900-03-28T00:00:00"/>
    <d v="2026-04-24T00:00:00"/>
    <n v="26.46"/>
    <x v="10"/>
    <s v="Alas Precocidas"/>
    <m/>
    <s v="China "/>
    <s v="Qingdao"/>
    <x v="19"/>
    <s v="Mark"/>
    <n v="4200"/>
    <n v="111132"/>
    <n v="4074.3386243386244"/>
    <n v="3325"/>
    <n v="107807"/>
    <n v="1"/>
    <s v="ECO SIROCCO 26017S"/>
    <n v="6451450280"/>
    <s v="COSCO"/>
    <m/>
    <n v="10009331"/>
    <m/>
    <m/>
    <n v="2445.4442541856924"/>
    <n v="36923.236494687044"/>
    <n v="14648.700164915783"/>
    <n v="670.90350042256239"/>
    <n v="12463.614805728041"/>
    <n v="64706.454965753423"/>
    <m/>
    <n v="2445.4442541856924"/>
    <m/>
    <n v="46425.545034246577"/>
    <n v="0.41775136805102558"/>
    <n v="3325"/>
    <n v="1916.3146153846153"/>
    <n v="5241.3146153846155"/>
    <n v="985.35163569671715"/>
    <n v="3234.21"/>
    <n v="43433.088783165244"/>
    <n v="0.390824324075561"/>
    <n v="1937.0343631374667"/>
    <n v="41496.05442002778"/>
    <n v="0.3733942916534192"/>
    <n v="1548.448138248717"/>
    <n v="44981.536921413957"/>
  </r>
  <r>
    <s v="MARZO"/>
    <x v="3"/>
    <s v="201-2026"/>
    <d v="1900-03-31T00:00:00"/>
    <d v="2026-04-24T00:00:00"/>
    <n v="54"/>
    <x v="2"/>
    <s v="Rejos"/>
    <s v="2- UP LIMPIOS "/>
    <s v="China "/>
    <s v="Yantai"/>
    <x v="14"/>
    <s v="jack"/>
    <n v="2700"/>
    <n v="145800"/>
    <n v="2576.8518518518517"/>
    <n v="6650"/>
    <n v="139150"/>
    <n v="2"/>
    <s v="ECO SIROCCO 26017S"/>
    <n v="6450494060"/>
    <s v="COSCO"/>
    <m/>
    <n v="10007162"/>
    <m/>
    <m/>
    <n v="2018.1792863359442"/>
    <n v="66822.189033747985"/>
    <n v="18972.152053381189"/>
    <n v="1010.3244933871891"/>
    <n v="22177.015881624618"/>
    <n v="108981.68146214099"/>
    <m/>
    <n v="2018.1792863359442"/>
    <m/>
    <n v="36818.318537859013"/>
    <n v="0.25252619024594658"/>
    <n v="6650"/>
    <n v="3910.8461538461538"/>
    <n v="10560.846153846154"/>
    <n v="2010.9217055035044"/>
    <n v="4174.5"/>
    <n v="28421.050678509353"/>
    <n v="0.19493176048360325"/>
    <n v="3953.1313533417683"/>
    <n v="24467.919325167586"/>
    <n v="0.16781837671582706"/>
    <n v="3160.0982413239121"/>
    <n v="31581.148919833264"/>
  </r>
  <r>
    <s v="MARZO"/>
    <x v="3"/>
    <s v="202-2026A"/>
    <d v="1900-03-31T00:00:00"/>
    <d v="2026-04-24T00:00:00"/>
    <n v="26.1"/>
    <x v="8"/>
    <s v="Membrana"/>
    <m/>
    <s v="China "/>
    <s v="Qingdao"/>
    <x v="7"/>
    <m/>
    <n v="2000"/>
    <n v="52200"/>
    <n v="1880.2681992337164"/>
    <n v="3125"/>
    <n v="49075"/>
    <n v="1"/>
    <s v="ECO SIROCCO 26017S"/>
    <n v="6450494050"/>
    <s v="COSCO"/>
    <m/>
    <m/>
    <m/>
    <m/>
    <n v="0"/>
    <n v="0"/>
    <n v="0"/>
    <n v="0"/>
    <n v="0"/>
    <n v="0"/>
    <m/>
    <n v="0"/>
    <m/>
    <n v="52200"/>
    <n v="1"/>
    <n v="3125"/>
    <n v="1890.2423076923078"/>
    <n v="5015.2423076923078"/>
    <n v="971.94549099336052"/>
    <n v="1472.25"/>
    <n v="47685.062201314329"/>
    <n v="0.91350693872249678"/>
    <n v="1910.6801541151883"/>
    <n v="45774.382047199142"/>
    <n v="0.87690387063599884"/>
    <n v="1527.380816639891"/>
    <n v="49212.443017954218"/>
  </r>
  <r>
    <s v="MARZO"/>
    <x v="3"/>
    <s v="202-2026B"/>
    <d v="1900-03-31T00:00:00"/>
    <d v="2026-04-28T00:00:00"/>
    <n v="26.25"/>
    <x v="7"/>
    <s v="Telilla"/>
    <m/>
    <s v="China "/>
    <s v="Qingdao"/>
    <x v="7"/>
    <m/>
    <n v="2000"/>
    <n v="52500"/>
    <n v="1880.952380952381"/>
    <n v="3125"/>
    <n v="49375"/>
    <n v="1"/>
    <s v="ECO SIROCCO 26017N"/>
    <n v="6451132960"/>
    <s v="COSCO"/>
    <m/>
    <m/>
    <m/>
    <m/>
    <n v="0"/>
    <n v="0"/>
    <n v="0"/>
    <n v="0"/>
    <n v="0"/>
    <n v="0"/>
    <m/>
    <n v="0"/>
    <m/>
    <n v="52500"/>
    <n v="1"/>
    <n v="3125"/>
    <n v="1901.1057692307691"/>
    <n v="5026.1057692307695"/>
    <n v="977.53138461975914"/>
    <n v="1481.25"/>
    <n v="47977.612846149474"/>
    <n v="0.91385929230760898"/>
    <n v="1921.6610745411374"/>
    <n v="46055.951771608336"/>
    <n v="0.87725622422111116"/>
    <n v="1536.1588673102351"/>
    <n v="49513.771713459711"/>
  </r>
  <r>
    <s v="MARZO"/>
    <x v="3"/>
    <s v="203-2026"/>
    <d v="1900-04-06T00:00:00"/>
    <d v="2026-04-28T00:00:00"/>
    <n v="54"/>
    <x v="2"/>
    <s v="Rejos"/>
    <s v="&lt;1000 DIRTY SUCKERS ON ,SEXUAL OFF"/>
    <s v="China "/>
    <s v="shidao"/>
    <x v="19"/>
    <s v="Mark"/>
    <n v="2850"/>
    <n v="153900"/>
    <n v="2726.8518518518517"/>
    <n v="6650"/>
    <n v="147250"/>
    <n v="2"/>
    <s v="ECO SIROCCO 26017S"/>
    <n v="6451277930"/>
    <s v="COSCO"/>
    <m/>
    <n v="10007162"/>
    <m/>
    <m/>
    <n v="2104.8006424908026"/>
    <n v="71499.742266110348"/>
    <n v="18972.152053381189"/>
    <n v="1010.3244933871891"/>
    <n v="22177.015881624618"/>
    <n v="113659.23469450334"/>
    <m/>
    <n v="2018.1792863359442"/>
    <m/>
    <n v="40240.765305496665"/>
    <n v="0.26147345877515704"/>
    <n v="6650"/>
    <n v="3910.8461538461538"/>
    <n v="10560.846153846154"/>
    <n v="2010.9217055035044"/>
    <n v="4417.5"/>
    <n v="32086.497446147005"/>
    <n v="0.20848926215820016"/>
    <n v="3953.1313533417683"/>
    <n v="28133.366092805238"/>
    <n v="0.182802898588728"/>
    <n v="3160.0982413239121"/>
    <n v="35246.595687470915"/>
  </r>
  <r>
    <s v="MARZO"/>
    <x v="3"/>
    <s v="204-2026"/>
    <d v="1900-04-07T00:00:00"/>
    <d v="2026-04-28T00:00:00"/>
    <n v="24"/>
    <x v="4"/>
    <s v="Filete"/>
    <s v="1-2 A - AA  manto "/>
    <s v="Japón "/>
    <s v="KOBE"/>
    <x v="2"/>
    <s v="Jose"/>
    <n v="2300"/>
    <n v="55200"/>
    <n v="2166.625"/>
    <n v="3201"/>
    <n v="51999"/>
    <n v="1"/>
    <s v="ECO SIROCCO 26017N"/>
    <s v="LIMG06389600"/>
    <s v="ONE"/>
    <m/>
    <n v="10005721"/>
    <m/>
    <m/>
    <n v="2184.3424535699546"/>
    <n v="32677.277550698149"/>
    <n v="8948.7109722005152"/>
    <n v="548.21817673216287"/>
    <n v="10250.012186048079"/>
    <n v="52424.218885678907"/>
    <m/>
    <n v="2095.2688776918831"/>
    <m/>
    <n v="2775.7811143210929"/>
    <n v="5.028588975219371E-2"/>
    <n v="3201"/>
    <n v="1738.1538461538462"/>
    <n v="4939.1538461538457"/>
    <n v="893.7429802237798"/>
    <n v="1559.97"/>
    <n v="-1497.1457120565326"/>
    <n v="-2.7122204928560375E-2"/>
    <n v="1756.9472681518971"/>
    <n v="-3254.0929802084297"/>
    <n v="-5.8950959786384594E-2"/>
    <n v="1404.488107255072"/>
    <n v="-92.657604801460593"/>
  </r>
  <r>
    <s v="MARZO"/>
    <x v="3"/>
    <s v="205-2026"/>
    <d v="1900-04-07T00:00:00"/>
    <d v="2026-04-28T00:00:00"/>
    <n v="25.8"/>
    <x v="0"/>
    <s v="Rejos"/>
    <s v="&gt;60 CM , SUCKERS OFF"/>
    <s v="Manzanillo"/>
    <s v="Mexico "/>
    <x v="20"/>
    <s v="alexander"/>
    <n v="2920"/>
    <n v="75336"/>
    <n v="2815.4651162790697"/>
    <n v="2697"/>
    <n v="72639"/>
    <n v="1"/>
    <s v="LEONIDAS Z 618N"/>
    <n v="35835231"/>
    <s v="HAPAG"/>
    <m/>
    <n v="10007567"/>
    <m/>
    <m/>
    <n v="2106.8024369775931"/>
    <n v="34430.39043547371"/>
    <n v="8672.0904208147167"/>
    <n v="562.36782775665199"/>
    <n v="10690.65418997682"/>
    <n v="54355.502874021899"/>
    <m/>
    <n v="2019.4979622082253"/>
    <m/>
    <n v="20980.497125978101"/>
    <n v="0.27849231610356406"/>
    <n v="2697"/>
    <n v="1868.5153846153846"/>
    <n v="4565.5153846153844"/>
    <n v="960.77370374056329"/>
    <n v="2179.17"/>
    <n v="17633.378037622155"/>
    <n v="0.2340631044603132"/>
    <n v="1888.7183132632895"/>
    <n v="15744.659724358866"/>
    <n v="0.20899250988052015"/>
    <n v="1509.8247152992026"/>
    <n v="19143.202752921359"/>
  </r>
  <r>
    <s v="MARZO"/>
    <x v="3"/>
    <s v="207-2026"/>
    <d v="1900-03-06T00:00:00"/>
    <d v="2026-04-28T00:00:00"/>
    <n v="24"/>
    <x v="5"/>
    <s v="Alas"/>
    <s v="300-500 / 500-1000"/>
    <s v="Japón "/>
    <s v="Sendai"/>
    <x v="2"/>
    <s v="Jose"/>
    <n v="2400"/>
    <n v="57600"/>
    <n v="2262.4583333333335"/>
    <n v="3301"/>
    <n v="54299"/>
    <n v="1"/>
    <s v="ECO SIROCCO 26017N"/>
    <s v="LIMG06456800"/>
    <s v="COSCO"/>
    <m/>
    <n v="10006720"/>
    <m/>
    <m/>
    <n v="2036.7531977672568"/>
    <n v="32120.20647465673"/>
    <n v="6314.0912736885457"/>
    <n v="437.11240184780615"/>
    <n v="10010.666596221075"/>
    <n v="48882.076746414161"/>
    <m/>
    <n v="1949.1981178129743"/>
    <m/>
    <n v="8717.9232535858391"/>
    <n v="0.15135283426364304"/>
    <n v="3301"/>
    <n v="1738.1538461538462"/>
    <n v="5039.1538461538457"/>
    <n v="893.7429802237798"/>
    <n v="1628.97"/>
    <n v="4413.9964272082134"/>
    <n v="7.6631882416809266E-2"/>
    <n v="1756.9472681518971"/>
    <n v="2657.0491590563161"/>
    <n v="4.6129325678061044E-2"/>
    <n v="1404.488107255072"/>
    <n v="5818.4845344632849"/>
  </r>
  <r>
    <s v="MARZO"/>
    <x v="3"/>
    <s v="208-2026"/>
    <d v="1900-04-10T00:00:00"/>
    <d v="2026-04-28T00:00:00"/>
    <n v="27"/>
    <x v="2"/>
    <s v="Rejos"/>
    <s v="&lt;1000 "/>
    <s v="China "/>
    <s v="shidao"/>
    <x v="21"/>
    <s v="susan"/>
    <n v="3000"/>
    <n v="81000"/>
    <n v="2880.9259259259261"/>
    <n v="3215"/>
    <n v="77785"/>
    <n v="1"/>
    <s v="ECO SIROCCO 26017N"/>
    <n v="6451442940"/>
    <s v="COSCO"/>
    <m/>
    <n v="10007162"/>
    <m/>
    <m/>
    <n v="2104.8006424908026"/>
    <n v="35749.871133055174"/>
    <n v="9486.0760266905945"/>
    <n v="505.16224669359457"/>
    <n v="11088.507940812309"/>
    <n v="56829.617347251668"/>
    <m/>
    <n v="2018.1792863359442"/>
    <m/>
    <n v="24170.382652748332"/>
    <n v="0.29839978583639915"/>
    <n v="3215"/>
    <n v="1955.4230769230769"/>
    <n v="5170.4230769230771"/>
    <n v="1005.4608527517522"/>
    <n v="2333.5499999999997"/>
    <n v="20328.048723073502"/>
    <n v="0.25096356448238893"/>
    <n v="1976.5656766708842"/>
    <n v="18351.483046402616"/>
    <n v="0.22656151909139033"/>
    <n v="1580.0491206619561"/>
    <n v="21908.097843735457"/>
  </r>
  <r>
    <s v="MARZO"/>
    <x v="3"/>
    <s v="209-2026"/>
    <d v="1900-04-10T00:00:00"/>
    <d v="2026-04-28T00:00:00"/>
    <n v="26"/>
    <x v="0"/>
    <s v="Rejos"/>
    <s v="&gt;60 CM , SUCKERS OFF"/>
    <s v="Manzanillo"/>
    <s v="Mexico "/>
    <x v="20"/>
    <s v="alexander"/>
    <n v="2920"/>
    <n v="75920"/>
    <n v="2816.2692307692309"/>
    <n v="2697"/>
    <n v="73223"/>
    <n v="1"/>
    <s v="LEONIDAS Z 618N"/>
    <n v="13060709"/>
    <s v="HAPAG"/>
    <m/>
    <n v="10007567"/>
    <m/>
    <m/>
    <n v="2106.8024369775931"/>
    <n v="34697.292686911489"/>
    <n v="8739.3159279528154"/>
    <n v="566.7272682818973"/>
    <n v="10773.527478271213"/>
    <n v="54776.863361417418"/>
    <m/>
    <n v="2019.4979622082253"/>
    <m/>
    <n v="21143.136638582582"/>
    <n v="0.27849231610356406"/>
    <n v="2697"/>
    <n v="1883"/>
    <n v="4580"/>
    <n v="968.2215619090947"/>
    <n v="2196.69"/>
    <n v="17791.605076673488"/>
    <n v="0.23434674758526722"/>
    <n v="1903.3595404978885"/>
    <n v="15888.2455361756"/>
    <n v="0.2092761530054742"/>
    <n v="1521.5287828596613"/>
    <n v="19313.133859533151"/>
  </r>
  <r>
    <s v="MARZO"/>
    <x v="3"/>
    <s v="210-2026A"/>
    <d v="1900-04-13T00:00:00"/>
    <d v="2026-04-28T00:00:00"/>
    <n v="108"/>
    <x v="5"/>
    <s v="Alas"/>
    <s v="&lt;1000 ENTERAS "/>
    <s v="China "/>
    <s v="shidao"/>
    <x v="19"/>
    <s v="Mark"/>
    <n v="2350"/>
    <n v="253800"/>
    <n v="2319.212962962963"/>
    <n v="3325"/>
    <n v="250475"/>
    <n v="1"/>
    <s v="ECO SIROCCO 26017N"/>
    <n v="6451281130"/>
    <s v="COSCO"/>
    <m/>
    <n v="10006720"/>
    <m/>
    <m/>
    <n v="2036.7531977672566"/>
    <n v="144540.92913595529"/>
    <n v="28413.410731598455"/>
    <n v="1967.0058083151275"/>
    <n v="45047.999682994836"/>
    <n v="219969.34535886371"/>
    <m/>
    <n v="1949.1981178129743"/>
    <m/>
    <n v="33830.654641136294"/>
    <n v="0.13329651158840147"/>
    <n v="3325"/>
    <n v="7821.6923076923076"/>
    <n v="11146.692307692309"/>
    <n v="4021.8434110070089"/>
    <n v="7514.25"/>
    <n v="26176.368922436977"/>
    <n v="0.10313778141228123"/>
    <n v="7906.2627066835366"/>
    <n v="18270.10621575344"/>
    <n v="7.1986234104623487E-2"/>
    <n v="6320.1964826478243"/>
    <n v="32496.565405084802"/>
  </r>
  <r>
    <s v="MARZO"/>
    <x v="3"/>
    <s v="210-2026A"/>
    <d v="1900-04-13T00:00:00"/>
    <d v="2026-04-28T00:00:00"/>
    <n v="27"/>
    <x v="2"/>
    <s v="Rejos"/>
    <s v="&lt;1000 DIRTY SUCKERS ON ,SEXUAL OFF"/>
    <s v="China "/>
    <s v="shidao"/>
    <x v="19"/>
    <s v="Mark"/>
    <n v="2850"/>
    <n v="76950"/>
    <n v="2726.8518518518517"/>
    <n v="3325"/>
    <n v="73625"/>
    <n v="1"/>
    <s v="ECO SIROCCO 26017N"/>
    <n v="6451281130"/>
    <s v="COSCO"/>
    <m/>
    <n v="10007162"/>
    <m/>
    <m/>
    <n v="2104.8006424908026"/>
    <n v="35749.871133055174"/>
    <n v="9486.0760266905945"/>
    <n v="505.16224669359457"/>
    <n v="11088.507940812309"/>
    <n v="56829.617347251668"/>
    <m/>
    <n v="2018.1792863359442"/>
    <m/>
    <n v="20120.382652748332"/>
    <n v="0.26147345877515704"/>
    <n v="3325"/>
    <n v="1955.4230769230769"/>
    <n v="5280.4230769230771"/>
    <n v="1005.4608527517522"/>
    <n v="2208.75"/>
    <n v="16043.248723073502"/>
    <n v="0.20848926215820016"/>
    <n v="1976.5656766708842"/>
    <n v="14066.683046402619"/>
    <n v="0.182802898588728"/>
    <n v="1580.0491206619561"/>
    <n v="17623.297843735458"/>
  </r>
  <r>
    <s v="MARZO"/>
    <x v="3"/>
    <s v="213-2026"/>
    <d v="1900-04-15T00:00:00"/>
    <d v="2026-04-28T00:00:00"/>
    <n v="70.900000000000006"/>
    <x v="4"/>
    <s v="Filete"/>
    <s v="1-2 A - AA  manto"/>
    <s v="Japón "/>
    <s v="KOBE"/>
    <x v="2"/>
    <s v="Jose"/>
    <n v="2300"/>
    <n v="163070"/>
    <n v="2164.5557122708037"/>
    <n v="9603"/>
    <n v="153467"/>
    <n v="3"/>
    <s v="ECO SIROCCO 26017N"/>
    <s v="LIMG06698900"/>
    <s v="COSCO"/>
    <m/>
    <n v="10005721"/>
    <m/>
    <m/>
    <n v="2184.3424535699546"/>
    <n v="96534.124097687454"/>
    <n v="26435.983663709027"/>
    <n v="1619.5278637629315"/>
    <n v="30280.244332950369"/>
    <n v="154869.87995810978"/>
    <m/>
    <n v="2095.2688776918831"/>
    <m/>
    <n v="8200.1200418902154"/>
    <n v="5.0285889752193634E-2"/>
    <n v="9603"/>
    <n v="5134.7961538461541"/>
    <n v="14737.796153846153"/>
    <n v="2640.2657207444163"/>
    <n v="4604.01"/>
    <n v="-4573.9318327003548"/>
    <n v="-2.8048885955113477E-2"/>
    <n v="5190.315054665396"/>
    <n v="-9764.2468873657508"/>
    <n v="-5.9877640812937699E-2"/>
    <n v="4149.091950182692"/>
    <n v="-424.83988251766277"/>
  </r>
  <r>
    <s v="MARZO"/>
    <x v="3"/>
    <s v="214-2026"/>
    <d v="1900-04-16T00:00:00"/>
    <d v="2026-04-28T00:00:00"/>
    <n v="24"/>
    <x v="4"/>
    <s v="Filete"/>
    <s v="2-4 A - AA"/>
    <s v="Japón "/>
    <s v="Sendai"/>
    <x v="2"/>
    <s v="Jose"/>
    <n v="2200"/>
    <n v="52800"/>
    <n v="2062.4583333333335"/>
    <n v="3301"/>
    <n v="49499"/>
    <n v="1"/>
    <s v="ECO SIROCCO 26017N"/>
    <s v="LIMG06699300"/>
    <s v="COSCO"/>
    <m/>
    <n v="10005721"/>
    <m/>
    <m/>
    <n v="2184.3424535699546"/>
    <n v="32677.277550698149"/>
    <n v="8948.7109722005152"/>
    <n v="548.21817673216287"/>
    <n v="10250.012186048079"/>
    <n v="52424.218885678907"/>
    <m/>
    <n v="2095.2688776918831"/>
    <m/>
    <n v="375.7811143210929"/>
    <n v="7.1170665591116077E-3"/>
    <n v="3301"/>
    <n v="1738.1538461538462"/>
    <n v="5039.1538461538457"/>
    <n v="893.7429802237798"/>
    <n v="1484.97"/>
    <n v="-4072.1457120565328"/>
    <n v="-7.7123971819252513E-2"/>
    <n v="1756.9472681518971"/>
    <n v="-5829.0929802084302"/>
    <n v="-0.11039948826152329"/>
    <n v="1404.488107255072"/>
    <n v="-2667.6576048014608"/>
  </r>
  <r>
    <s v="MARZO"/>
    <x v="3"/>
    <s v="218-2026A"/>
    <d v="1900-04-17T00:00:00"/>
    <d v="2026-04-27T00:00:00"/>
    <n v="134.94"/>
    <x v="2"/>
    <s v="Rejos"/>
    <s v="1-2 LIMPIO "/>
    <s v="España "/>
    <s v="Vigo"/>
    <x v="5"/>
    <s v="Jorge"/>
    <n v="2400"/>
    <n v="323856"/>
    <n v="2213.9172965762564"/>
    <n v="25110"/>
    <n v="298746"/>
    <n v="5"/>
    <s v="LEONIDAS Z 618N"/>
    <n v="23616054"/>
    <s v="HAPAG"/>
    <m/>
    <n v="10007162"/>
    <m/>
    <m/>
    <n v="2104.8006424908026"/>
    <n v="178669.9115072024"/>
    <n v="47409.299964504768"/>
    <n v="2524.6886506975425"/>
    <n v="55417.898575304178"/>
    <n v="284021.79869770887"/>
    <m/>
    <n v="2018.1792863359442"/>
    <m/>
    <n v="39834.201302291127"/>
    <n v="0.12299973229549901"/>
    <n v="25110"/>
    <n v="9772.7699999999986"/>
    <n v="34882.769999999997"/>
    <n v="5025.0699063082011"/>
    <n v="8962.3799999999992"/>
    <n v="8888.7413959829282"/>
    <n v="2.7446585507086261E-2"/>
    <n v="9878.436015184041"/>
    <n v="-989.6946192011128"/>
    <n v="-3.0559712316619511E-3"/>
    <n v="7896.7343830416421"/>
    <n v="16785.475779024571"/>
  </r>
  <r>
    <s v="MARZO"/>
    <x v="3"/>
    <s v="218-2026B"/>
    <d v="1900-04-17T00:00:00"/>
    <d v="2026-04-27T00:00:00"/>
    <n v="162"/>
    <x v="2"/>
    <s v="Rejos"/>
    <s v="1-2 LIMPIO "/>
    <s v="España "/>
    <s v="Vigo"/>
    <x v="5"/>
    <s v="Jorge"/>
    <n v="2400"/>
    <n v="388800"/>
    <n v="2214.0432098765432"/>
    <n v="30125"/>
    <n v="358675"/>
    <n v="6"/>
    <s v="LEONIDAS Z 618N"/>
    <n v="16115713"/>
    <s v="HAPAG"/>
    <m/>
    <n v="10007162"/>
    <m/>
    <m/>
    <n v="2104.8006424908021"/>
    <n v="214499.22679833102"/>
    <n v="56916.456160143563"/>
    <n v="3030.9734801615673"/>
    <n v="66531.047644873848"/>
    <n v="340977.70408350998"/>
    <m/>
    <n v="2018.1792863359442"/>
    <m/>
    <n v="47822.295916490024"/>
    <n v="0.12299973229549903"/>
    <n v="30125"/>
    <n v="11732.538461538461"/>
    <n v="41857.538461538461"/>
    <n v="6032.7651165105135"/>
    <n v="10760.25"/>
    <n v="10692.24233844105"/>
    <n v="2.7500623298459492E-2"/>
    <n v="11859.394060025306"/>
    <n v="-1167.1517215842559"/>
    <n v="-3.0019334402887239E-3"/>
    <n v="9480.2947239717359"/>
    <n v="20172.5370624127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52321-74F9-4743-8BA2-3A3A4A8BF512}" name="TablaDinámica15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50:N74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2"/>
        <item x="15"/>
        <item x="11"/>
        <item x="9"/>
        <item x="5"/>
        <item m="1" x="22"/>
        <item x="19"/>
        <item x="18"/>
        <item x="6"/>
        <item x="12"/>
        <item x="0"/>
        <item x="16"/>
        <item x="3"/>
        <item x="1"/>
        <item x="17"/>
        <item x="8"/>
        <item x="14"/>
        <item x="7"/>
        <item x="20"/>
        <item x="10"/>
        <item x="4"/>
        <item x="2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11"/>
  </rowFields>
  <rowItems count="2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UTILIDAD _x000a_NETA" fld="4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E4B47-6EF0-44D0-B5AE-B513BF905862}" name="TablaDinámica13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8:N43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showAll="0"/>
    <pivotField axis="axisRow" showAll="0">
      <items count="15">
        <item x="4"/>
        <item x="2"/>
        <item x="5"/>
        <item m="1" x="13"/>
        <item x="9"/>
        <item x="0"/>
        <item x="1"/>
        <item x="10"/>
        <item x="3"/>
        <item x="7"/>
        <item x="8"/>
        <item x="11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UTILIDAD _x000a_NETA" fld="4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0E303-91B0-4CC8-A21A-1764FDD852C2}" name="TablaDinámica2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F18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numFmtId="9" showAll="0"/>
    <pivotField numFmtId="165" showAll="0"/>
    <pivotField numFmtId="165" showAll="0"/>
    <pivotField dataField="1" numFmtId="165" showAll="0"/>
    <pivotField dataField="1" showAll="0"/>
    <pivotField dataField="1" numFmtId="165" showAll="0"/>
    <pivotField dataField="1" showAll="0"/>
    <pivotField showAll="0"/>
    <pivotField dataField="1" showAll="0"/>
    <pivotField dataField="1" showAll="0"/>
    <pivotField numFmtId="9" showAll="0"/>
    <pivotField dataField="1" showAll="0"/>
    <pivotField dataField="1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2">
    <dataField name="Suma de  Cantidad " fld="5" baseField="0" baseItem="0"/>
    <dataField name="Suma de VALOR _x000a_CFR" fld="14" baseField="0" baseItem="0"/>
    <dataField name="Suma de COSTO _x000a_VENTAS" fld="31" baseField="0" baseItem="0" numFmtId="165"/>
    <dataField name="Suma de UTILIDAD _x000a_BRUTA" fld="35" baseField="0" baseItem="0" numFmtId="165"/>
    <dataField name="Suma de GASTO_x000a_VENTAS" fld="39" baseField="0" baseItem="0" numFmtId="165"/>
    <dataField name="Suma de GASTO _x000a_ADM" fld="40" baseField="0" baseItem="0"/>
    <dataField name="Suma de DRAWBACK" fld="41" baseField="0" baseItem="0" numFmtId="165"/>
    <dataField name="Suma de UTILIDAD _x000a_OPERATIVA" fld="42" baseField="0" baseItem="0"/>
    <dataField name="Suma de GASTO _x000a_FINANCIERO" fld="44" baseField="0" baseItem="0"/>
    <dataField name="Suma de UTILIDAD _x000a_NETA" fld="45" baseField="0" baseItem="0"/>
    <dataField name="Suma de DEPRECIACIÓN" fld="47" baseField="0" baseItem="0"/>
    <dataField name="Suma de EBITDA" fld="48" baseField="0" baseItem="0"/>
  </dataFields>
  <formats count="15">
    <format dxfId="16">
      <pivotArea outline="0" collapsedLevelsAreSubtotals="1" fieldPosition="0"/>
    </format>
    <format dxfId="15">
      <pivotArea collapsedLevelsAreSubtotals="1" fieldPosition="0">
        <references count="1">
          <reference field="4294967294" count="1">
            <x v="3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">
      <pivotArea collapsedLevelsAreSubtotals="1" fieldPosition="0">
        <references count="1">
          <reference field="4294967294" count="1">
            <x v="7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">
      <pivotArea collapsedLevelsAreSubtotals="1" fieldPosition="0">
        <references count="1">
          <reference field="4294967294" count="1">
            <x v="9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9">
      <pivotArea collapsedLevelsAreSubtotals="1" fieldPosition="0">
        <references count="1">
          <reference field="4294967294" count="1">
            <x v="1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">
      <pivotArea collapsedLevelsAreSubtotals="1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1">
          <reference field="4294967294" count="1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collapsedLevelsAreSubtotals="1" fieldPosition="0">
        <references count="2">
          <reference field="4294967294" count="1">
            <x v="9"/>
          </reference>
          <reference field="1" count="0" selected="0"/>
        </references>
      </pivotArea>
    </format>
    <format dxfId="2">
      <pivotArea field="1" grandCol="1" collapsedLevelsAreSubtotals="1" axis="axisCol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E5D41-BC23-42CC-BDC9-D29AB408FFA8}" name="TablaDinámica1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4:F99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dataField="1" showAll="0"/>
    <pivotField axis="axisRow" showAll="0">
      <items count="15">
        <item x="4"/>
        <item x="2"/>
        <item x="5"/>
        <item m="1" x="13"/>
        <item x="9"/>
        <item x="0"/>
        <item x="1"/>
        <item x="10"/>
        <item x="3"/>
        <item x="7"/>
        <item x="8"/>
        <item x="11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 Cantidad " fld="5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5C919-4804-4E15-800F-45B3E307EEE6}" name="TablaDinámica14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28:W43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showAll="0"/>
    <pivotField axis="axisRow" showAll="0">
      <items count="15">
        <item x="4"/>
        <item x="2"/>
        <item x="5"/>
        <item m="1" x="13"/>
        <item x="9"/>
        <item x="0"/>
        <item x="10"/>
        <item x="3"/>
        <item x="7"/>
        <item x="8"/>
        <item x="11"/>
        <item x="12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6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EBITDA" fld="48" baseField="0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BD381-73DF-48CC-A799-808A0C3AB87E}" name="TablaDinámica16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50:W74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2"/>
        <item x="15"/>
        <item x="11"/>
        <item x="9"/>
        <item x="5"/>
        <item m="1" x="22"/>
        <item x="19"/>
        <item x="18"/>
        <item x="12"/>
        <item x="6"/>
        <item x="0"/>
        <item x="16"/>
        <item x="1"/>
        <item x="3"/>
        <item x="17"/>
        <item x="8"/>
        <item x="14"/>
        <item x="20"/>
        <item x="7"/>
        <item x="10"/>
        <item x="21"/>
        <item x="4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11"/>
  </rowFields>
  <rowItems count="2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EBITDA" fld="48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A1C8C-B333-4643-A3FD-6F4CBA815D7D}" name="TablaDinámica6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3:F107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dataField="1"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dataField="1" showAll="0"/>
    <pivotField showAll="0"/>
  </pivotFields>
  <rowFields count="1">
    <field x="-2"/>
  </rowFields>
  <rowItems count="3">
    <i>
      <x/>
    </i>
    <i i="1">
      <x v="1"/>
    </i>
    <i i="2">
      <x v="2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3">
    <dataField name="Suma de  Cantidad " fld="5" baseField="0" baseItem="0"/>
    <dataField name="Suma de CIF" fld="30" baseField="0" baseItem="0"/>
    <dataField name="Suma de DEPRECIACIÓN" fld="47" baseField="0" baseItem="0"/>
  </dataFields>
  <formats count="5">
    <format dxfId="24">
      <pivotArea outline="0" collapsedLevelsAreSubtotals="1" fieldPosition="0"/>
    </format>
    <format dxfId="23">
      <pivotArea collapsedLevelsAreSubtotals="1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collapsedLevelsAreSubtotals="1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4CD86-BFC1-45EB-8B7A-1AFC8EE701F1}" name="TablaDinámica4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F74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2"/>
        <item x="15"/>
        <item x="11"/>
        <item x="9"/>
        <item x="5"/>
        <item m="1" x="22"/>
        <item x="19"/>
        <item x="18"/>
        <item x="6"/>
        <item x="12"/>
        <item x="0"/>
        <item x="16"/>
        <item x="3"/>
        <item x="1"/>
        <item x="17"/>
        <item x="8"/>
        <item x="14"/>
        <item x="7"/>
        <item x="20"/>
        <item x="10"/>
        <item x="4"/>
        <item x="21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2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VALOR _x000a_CFR" fld="14" baseField="0" baseItem="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B3CAA-A5A8-44F1-91AE-7F2CDC0416B8}" name="TablaDinámica7" cacheId="8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8:F43" firstHeaderRow="1" firstDataRow="2" firstDataCol="1"/>
  <pivotFields count="4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" showAll="0"/>
    <pivotField numFmtId="16" showAll="0"/>
    <pivotField showAll="0"/>
    <pivotField axis="axisRow" showAll="0">
      <items count="15">
        <item x="4"/>
        <item x="2"/>
        <item x="5"/>
        <item m="1" x="13"/>
        <item x="9"/>
        <item x="0"/>
        <item x="1"/>
        <item x="10"/>
        <item x="3"/>
        <item x="7"/>
        <item x="8"/>
        <item x="11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VALOR _x000a_CFR" fld="14" baseField="0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8" dT="2026-05-05T04:09:53.60" personId="{8CB64CF2-02A6-40B8-83A5-8B37A2DB3E5D}" id="{743F763D-BF14-4725-ABDD-766DB822D542}">
    <text>DESCUENTO APLICADO SIMILAR A EEFF</text>
  </threadedComment>
  <threadedComment ref="P39" dT="2026-05-05T04:10:30.46" personId="{8CB64CF2-02A6-40B8-83A5-8B37A2DB3E5D}" id="{820516E0-4AB1-49A7-845D-22E96737FF7A}">
    <text>DESCUENTO SIMILAR A EEFF</text>
  </threadedComment>
  <threadedComment ref="P46" dT="2026-05-05T04:14:35.51" personId="{8CB64CF2-02A6-40B8-83A5-8B37A2DB3E5D}" id="{E72F7E13-0828-4E09-98D0-25D30BC24A04}">
    <text>DESCUENTO SIMILAR A EEFF</text>
  </threadedComment>
  <threadedComment ref="P54" dT="2026-05-05T04:09:13.48" personId="{8CB64CF2-02A6-40B8-83A5-8B37A2DB3E5D}" id="{1E248A2B-787B-4DCE-94CB-52323DAFCCE3}">
    <text>SE APLICA DESCUENTO DE 4K SIMILAR A EEFF</text>
  </threadedComment>
  <threadedComment ref="AC61" dT="2026-05-05T04:46:45.59" personId="{8CB64CF2-02A6-40B8-83A5-8B37A2DB3E5D}" id="{6B8ABF03-AD92-41AD-AA56-4CCF25614F6E}">
    <text>Se incrementó 25% costo materia prima a las 520 tm despachadas al final de mes</text>
  </threadedComment>
  <threadedComment ref="P62" dT="2026-05-05T04:19:09.03" personId="{8CB64CF2-02A6-40B8-83A5-8B37A2DB3E5D}" id="{ADC37C9E-FF1D-488C-95F1-FBB76ECE040E}">
    <text>DESCUENTO SIMILAR A EEFF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EFBE-6465-46C9-9661-E048167F5E68}">
  <dimension ref="B3:S124"/>
  <sheetViews>
    <sheetView showGridLines="0" topLeftCell="A105" zoomScale="90" zoomScaleNormal="90" workbookViewId="0">
      <selection activeCell="C64" sqref="C64"/>
    </sheetView>
  </sheetViews>
  <sheetFormatPr baseColWidth="10" defaultRowHeight="14.4"/>
  <cols>
    <col min="2" max="2" width="9.109375" customWidth="1"/>
    <col min="3" max="3" width="43.44140625" customWidth="1"/>
    <col min="4" max="6" width="23.88671875" customWidth="1"/>
    <col min="7" max="9" width="14.109375" customWidth="1"/>
    <col min="11" max="11" width="7.77734375" customWidth="1"/>
    <col min="12" max="12" width="38.5546875" customWidth="1"/>
    <col min="13" max="13" width="17.21875" customWidth="1"/>
    <col min="14" max="14" width="28.6640625" bestFit="1" customWidth="1"/>
    <col min="15" max="15" width="17.21875" customWidth="1"/>
    <col min="19" max="19" width="13.77734375" bestFit="1" customWidth="1"/>
  </cols>
  <sheetData>
    <row r="3" spans="2:19">
      <c r="S3" s="58">
        <f>'Tablas ppt'!S46-'Tablas ppt'!S44</f>
        <v>-0.27000000048428774</v>
      </c>
    </row>
    <row r="5" spans="2:19">
      <c r="B5" s="237" t="s">
        <v>639</v>
      </c>
    </row>
    <row r="63" spans="2:2">
      <c r="B63" s="237" t="s">
        <v>677</v>
      </c>
    </row>
    <row r="88" spans="2:6" ht="15.6">
      <c r="B88" s="270" t="s">
        <v>645</v>
      </c>
      <c r="C88" s="270"/>
      <c r="D88" s="270"/>
      <c r="E88" s="270"/>
      <c r="F88" s="270"/>
    </row>
    <row r="90" spans="2:6">
      <c r="B90" s="239" t="s">
        <v>649</v>
      </c>
      <c r="C90" s="239" t="s">
        <v>650</v>
      </c>
      <c r="D90" s="239" t="s">
        <v>651</v>
      </c>
      <c r="E90" s="239" t="s">
        <v>577</v>
      </c>
      <c r="F90" s="239" t="s">
        <v>652</v>
      </c>
    </row>
    <row r="91" spans="2:6">
      <c r="B91" s="27">
        <v>1</v>
      </c>
      <c r="C91" s="7" t="s">
        <v>653</v>
      </c>
      <c r="D91" s="10">
        <v>12800672</v>
      </c>
      <c r="E91" s="10">
        <v>7371.2</v>
      </c>
      <c r="F91" s="10">
        <v>1737</v>
      </c>
    </row>
    <row r="92" spans="2:6">
      <c r="B92" s="27">
        <v>2</v>
      </c>
      <c r="C92" s="7" t="s">
        <v>654</v>
      </c>
      <c r="D92" s="10">
        <v>11792528</v>
      </c>
      <c r="E92" s="10">
        <v>7242.6</v>
      </c>
      <c r="F92" s="10">
        <v>1628</v>
      </c>
    </row>
    <row r="93" spans="2:6">
      <c r="B93" s="27">
        <v>3</v>
      </c>
      <c r="C93" s="7" t="s">
        <v>655</v>
      </c>
      <c r="D93" s="10">
        <v>11724680</v>
      </c>
      <c r="E93" s="10">
        <v>6746.5</v>
      </c>
      <c r="F93" s="10">
        <v>1738</v>
      </c>
    </row>
    <row r="94" spans="2:6">
      <c r="B94" s="27">
        <v>4</v>
      </c>
      <c r="C94" s="7" t="s">
        <v>656</v>
      </c>
      <c r="D94" s="10">
        <v>8847640</v>
      </c>
      <c r="E94" s="10">
        <v>5227.2</v>
      </c>
      <c r="F94" s="10">
        <v>1693</v>
      </c>
    </row>
    <row r="95" spans="2:6">
      <c r="B95" s="27">
        <v>5</v>
      </c>
      <c r="C95" s="7" t="s">
        <v>657</v>
      </c>
      <c r="D95" s="10">
        <v>8496998</v>
      </c>
      <c r="E95" s="10">
        <v>4421.2</v>
      </c>
      <c r="F95" s="10">
        <v>1922</v>
      </c>
    </row>
    <row r="96" spans="2:6">
      <c r="B96" s="27">
        <v>6</v>
      </c>
      <c r="C96" s="7" t="s">
        <v>658</v>
      </c>
      <c r="D96" s="10">
        <v>6857126</v>
      </c>
      <c r="E96" s="10">
        <v>3973.8</v>
      </c>
      <c r="F96" s="10">
        <v>1726</v>
      </c>
    </row>
    <row r="97" spans="2:6">
      <c r="B97" s="248">
        <v>7</v>
      </c>
      <c r="C97" s="249" t="s">
        <v>659</v>
      </c>
      <c r="D97" s="250">
        <v>6231879</v>
      </c>
      <c r="E97" s="250">
        <v>3981.4</v>
      </c>
      <c r="F97" s="250">
        <v>1565</v>
      </c>
    </row>
    <row r="98" spans="2:6">
      <c r="B98" s="27">
        <v>8</v>
      </c>
      <c r="C98" s="7" t="s">
        <v>660</v>
      </c>
      <c r="D98" s="10">
        <v>6229395</v>
      </c>
      <c r="E98" s="10">
        <v>3736</v>
      </c>
      <c r="F98" s="10">
        <v>1667</v>
      </c>
    </row>
    <row r="99" spans="2:6">
      <c r="B99" s="27">
        <v>9</v>
      </c>
      <c r="C99" s="7" t="s">
        <v>661</v>
      </c>
      <c r="D99" s="10">
        <v>6166547</v>
      </c>
      <c r="E99" s="10">
        <v>3730.3</v>
      </c>
      <c r="F99" s="10">
        <v>1653</v>
      </c>
    </row>
    <row r="100" spans="2:6">
      <c r="B100" s="27">
        <v>10</v>
      </c>
      <c r="C100" s="7" t="s">
        <v>662</v>
      </c>
      <c r="D100" s="10">
        <v>6164559</v>
      </c>
      <c r="E100" s="10">
        <v>3692.9</v>
      </c>
      <c r="F100" s="10">
        <v>1669</v>
      </c>
    </row>
    <row r="101" spans="2:6">
      <c r="B101" s="27">
        <v>11</v>
      </c>
      <c r="C101" s="7" t="s">
        <v>663</v>
      </c>
      <c r="D101" s="10">
        <v>5928869</v>
      </c>
      <c r="E101" s="10">
        <v>3562.1</v>
      </c>
      <c r="F101" s="10">
        <v>1664</v>
      </c>
    </row>
    <row r="102" spans="2:6">
      <c r="B102" s="27">
        <v>12</v>
      </c>
      <c r="C102" s="7" t="s">
        <v>671</v>
      </c>
      <c r="D102" s="10">
        <v>5879029</v>
      </c>
      <c r="E102" s="10">
        <v>3591.3</v>
      </c>
      <c r="F102" s="10">
        <v>1637</v>
      </c>
    </row>
    <row r="103" spans="2:6">
      <c r="B103" s="27">
        <v>13</v>
      </c>
      <c r="C103" s="7" t="s">
        <v>672</v>
      </c>
      <c r="D103" s="10">
        <v>5845822</v>
      </c>
      <c r="E103" s="10">
        <v>3191.4</v>
      </c>
      <c r="F103" s="10">
        <v>1832</v>
      </c>
    </row>
    <row r="104" spans="2:6">
      <c r="B104" s="27">
        <v>14</v>
      </c>
      <c r="C104" s="7" t="s">
        <v>664</v>
      </c>
      <c r="D104" s="10">
        <v>5592801</v>
      </c>
      <c r="E104" s="10">
        <v>3427.3</v>
      </c>
      <c r="F104" s="10">
        <v>1632</v>
      </c>
    </row>
    <row r="105" spans="2:6">
      <c r="B105" s="27">
        <v>15</v>
      </c>
      <c r="C105" s="7" t="s">
        <v>665</v>
      </c>
      <c r="D105" s="10">
        <v>5556358</v>
      </c>
      <c r="E105" s="10">
        <v>3119.3</v>
      </c>
      <c r="F105" s="10">
        <v>1781</v>
      </c>
    </row>
    <row r="107" spans="2:6" ht="15.6">
      <c r="B107" s="270" t="s">
        <v>676</v>
      </c>
      <c r="C107" s="270"/>
      <c r="D107" s="270"/>
      <c r="E107" s="270"/>
      <c r="F107" s="270"/>
    </row>
    <row r="109" spans="2:6">
      <c r="B109" s="239" t="s">
        <v>649</v>
      </c>
      <c r="C109" s="239" t="s">
        <v>650</v>
      </c>
      <c r="D109" s="239" t="s">
        <v>651</v>
      </c>
      <c r="E109" s="239" t="s">
        <v>577</v>
      </c>
      <c r="F109" s="239" t="s">
        <v>652</v>
      </c>
    </row>
    <row r="110" spans="2:6">
      <c r="B110" s="27">
        <v>1</v>
      </c>
      <c r="C110" s="7" t="s">
        <v>657</v>
      </c>
      <c r="D110" s="10">
        <v>9211788</v>
      </c>
      <c r="E110" s="10">
        <v>2579.8000000000002</v>
      </c>
      <c r="F110" s="10">
        <v>3571</v>
      </c>
    </row>
    <row r="111" spans="2:6">
      <c r="B111" s="27">
        <v>2</v>
      </c>
      <c r="C111" s="7" t="s">
        <v>646</v>
      </c>
      <c r="D111" s="10">
        <v>5319083</v>
      </c>
      <c r="E111" s="10">
        <v>1670.5</v>
      </c>
      <c r="F111" s="10">
        <v>3184</v>
      </c>
    </row>
    <row r="112" spans="2:6">
      <c r="B112" s="27">
        <v>3</v>
      </c>
      <c r="C112" s="7" t="s">
        <v>666</v>
      </c>
      <c r="D112" s="10">
        <v>4286058</v>
      </c>
      <c r="E112" s="10">
        <v>1338</v>
      </c>
      <c r="F112" s="10">
        <v>3203</v>
      </c>
    </row>
    <row r="113" spans="2:6">
      <c r="B113" s="27">
        <v>4</v>
      </c>
      <c r="C113" s="7" t="s">
        <v>655</v>
      </c>
      <c r="D113" s="10">
        <v>4050574</v>
      </c>
      <c r="E113" s="10">
        <v>1190.4000000000001</v>
      </c>
      <c r="F113" s="10">
        <v>3403</v>
      </c>
    </row>
    <row r="114" spans="2:6">
      <c r="B114" s="27">
        <v>5</v>
      </c>
      <c r="C114" s="7" t="s">
        <v>673</v>
      </c>
      <c r="D114" s="10">
        <v>3921103</v>
      </c>
      <c r="E114" s="10">
        <v>1215</v>
      </c>
      <c r="F114" s="10">
        <v>3227</v>
      </c>
    </row>
    <row r="115" spans="2:6">
      <c r="B115" s="27">
        <v>6</v>
      </c>
      <c r="C115" s="7" t="s">
        <v>667</v>
      </c>
      <c r="D115" s="10">
        <v>3883786</v>
      </c>
      <c r="E115" s="10">
        <v>1076.8</v>
      </c>
      <c r="F115" s="10">
        <v>3607</v>
      </c>
    </row>
    <row r="116" spans="2:6">
      <c r="B116" s="27">
        <v>7</v>
      </c>
      <c r="C116" s="7" t="s">
        <v>668</v>
      </c>
      <c r="D116" s="10">
        <v>2905633</v>
      </c>
      <c r="E116" s="10">
        <v>847.7</v>
      </c>
      <c r="F116" s="10">
        <v>3428</v>
      </c>
    </row>
    <row r="117" spans="2:6">
      <c r="B117" s="27">
        <v>8</v>
      </c>
      <c r="C117" s="7" t="s">
        <v>674</v>
      </c>
      <c r="D117" s="10">
        <v>2751416</v>
      </c>
      <c r="E117" s="10">
        <v>796</v>
      </c>
      <c r="F117" s="10">
        <v>3457</v>
      </c>
    </row>
    <row r="118" spans="2:6">
      <c r="B118" s="27">
        <v>9</v>
      </c>
      <c r="C118" s="7" t="s">
        <v>669</v>
      </c>
      <c r="D118" s="10">
        <v>2475284</v>
      </c>
      <c r="E118" s="10">
        <v>735</v>
      </c>
      <c r="F118" s="10">
        <v>3368</v>
      </c>
    </row>
    <row r="119" spans="2:6">
      <c r="B119" s="27">
        <v>10</v>
      </c>
      <c r="C119" s="7" t="s">
        <v>665</v>
      </c>
      <c r="D119" s="10">
        <v>2135285</v>
      </c>
      <c r="E119" s="10">
        <v>602.9</v>
      </c>
      <c r="F119" s="10">
        <v>3542</v>
      </c>
    </row>
    <row r="120" spans="2:6">
      <c r="B120" s="27">
        <v>11</v>
      </c>
      <c r="C120" s="7" t="s">
        <v>670</v>
      </c>
      <c r="D120" s="10">
        <v>1926814</v>
      </c>
      <c r="E120" s="10">
        <v>563.20000000000005</v>
      </c>
      <c r="F120" s="10">
        <v>3421</v>
      </c>
    </row>
    <row r="121" spans="2:6">
      <c r="B121" s="27">
        <v>12</v>
      </c>
      <c r="C121" s="7" t="s">
        <v>675</v>
      </c>
      <c r="D121" s="10">
        <v>1802223</v>
      </c>
      <c r="E121" s="10">
        <v>539.5</v>
      </c>
      <c r="F121" s="10">
        <v>3340</v>
      </c>
    </row>
    <row r="122" spans="2:6">
      <c r="B122" s="248">
        <v>13</v>
      </c>
      <c r="C122" s="249" t="s">
        <v>659</v>
      </c>
      <c r="D122" s="250">
        <v>1682322</v>
      </c>
      <c r="E122" s="250">
        <v>511.9</v>
      </c>
      <c r="F122" s="250">
        <v>3286</v>
      </c>
    </row>
    <row r="123" spans="2:6">
      <c r="B123" s="27">
        <v>14</v>
      </c>
      <c r="C123" s="7" t="s">
        <v>664</v>
      </c>
      <c r="D123" s="10">
        <v>1626116</v>
      </c>
      <c r="E123" s="10">
        <v>524.20000000000005</v>
      </c>
      <c r="F123" s="10">
        <v>3102</v>
      </c>
    </row>
    <row r="124" spans="2:6">
      <c r="B124" s="27">
        <v>15</v>
      </c>
      <c r="C124" s="7" t="s">
        <v>653</v>
      </c>
      <c r="D124" s="10">
        <v>1603048</v>
      </c>
      <c r="E124" s="10">
        <v>475.7</v>
      </c>
      <c r="F124" s="10">
        <v>3370</v>
      </c>
    </row>
  </sheetData>
  <mergeCells count="2">
    <mergeCell ref="B88:F88"/>
    <mergeCell ref="B107:F10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4A11-D674-47F9-90C4-33FD39C8FB84}">
  <dimension ref="B4:S100"/>
  <sheetViews>
    <sheetView showGridLines="0" zoomScale="90" zoomScaleNormal="90" workbookViewId="0">
      <selection activeCell="J75" sqref="J75"/>
    </sheetView>
  </sheetViews>
  <sheetFormatPr baseColWidth="10" defaultRowHeight="14.4"/>
  <cols>
    <col min="2" max="2" width="17.77734375" customWidth="1"/>
    <col min="3" max="6" width="10.44140625" customWidth="1"/>
    <col min="7" max="7" width="12.6640625" customWidth="1"/>
  </cols>
  <sheetData>
    <row r="4" spans="2:13" ht="15" thickBot="1"/>
    <row r="5" spans="2:13" ht="15" thickBot="1">
      <c r="B5" s="267" t="s">
        <v>696</v>
      </c>
      <c r="C5" s="268"/>
      <c r="D5" s="268"/>
      <c r="E5" s="268"/>
      <c r="F5" s="268"/>
      <c r="G5" s="268"/>
      <c r="H5" s="268"/>
      <c r="I5" s="269"/>
    </row>
    <row r="6" spans="2:13" ht="15" thickBot="1">
      <c r="B6" s="257" t="s">
        <v>603</v>
      </c>
      <c r="C6" s="258">
        <v>46023</v>
      </c>
      <c r="D6" s="258">
        <v>46054</v>
      </c>
      <c r="E6" s="258">
        <v>46082</v>
      </c>
      <c r="F6" s="258">
        <v>46113</v>
      </c>
      <c r="G6" s="259" t="s">
        <v>634</v>
      </c>
      <c r="H6" s="259" t="s">
        <v>686</v>
      </c>
      <c r="I6" s="256" t="s">
        <v>694</v>
      </c>
      <c r="M6" t="s">
        <v>680</v>
      </c>
    </row>
    <row r="7" spans="2:13">
      <c r="B7" s="240" t="s">
        <v>635</v>
      </c>
      <c r="C7" s="241">
        <f>[1]Resumen!$D$4</f>
        <v>1877.2149999999999</v>
      </c>
      <c r="D7" s="241">
        <f>[1]Resumen!$D$5</f>
        <v>3149.7860000000001</v>
      </c>
      <c r="E7" s="241">
        <f>[1]Resumen!$D$6</f>
        <v>2255.518</v>
      </c>
      <c r="F7" s="241">
        <f>[1]Resumen!$D$7</f>
        <v>2853.1889999999999</v>
      </c>
      <c r="G7" s="253">
        <f>SUM(C7:F7)</f>
        <v>10135.708000000001</v>
      </c>
      <c r="H7" s="242">
        <v>8550</v>
      </c>
      <c r="I7" s="242">
        <f>G7-H7</f>
        <v>1585.7080000000005</v>
      </c>
      <c r="M7" t="s">
        <v>681</v>
      </c>
    </row>
    <row r="8" spans="2:13">
      <c r="B8" s="240" t="s">
        <v>636</v>
      </c>
      <c r="C8" s="241">
        <f>TD!B7</f>
        <v>248</v>
      </c>
      <c r="D8" s="241">
        <f>TD!C7</f>
        <v>1634.3</v>
      </c>
      <c r="E8" s="241">
        <f>TD!D7</f>
        <v>1995.8</v>
      </c>
      <c r="F8" s="241">
        <f>TD!E7</f>
        <v>2110.1099999999997</v>
      </c>
      <c r="G8" s="253">
        <f>TD!F7</f>
        <v>5988.2099999999991</v>
      </c>
      <c r="H8" s="242">
        <f>TD!G7</f>
        <v>5834</v>
      </c>
      <c r="I8" s="242">
        <f>G8-H8</f>
        <v>154.20999999999913</v>
      </c>
      <c r="M8" t="s">
        <v>682</v>
      </c>
    </row>
    <row r="9" spans="2:13">
      <c r="B9" s="240" t="s">
        <v>637</v>
      </c>
      <c r="C9" s="243">
        <f>TD!B8/1000</f>
        <v>564.61527999999998</v>
      </c>
      <c r="D9" s="243">
        <f>TD!C8/1000</f>
        <v>2769.8245000000002</v>
      </c>
      <c r="E9" s="243">
        <f>TD!D8/1000</f>
        <v>3896.41831</v>
      </c>
      <c r="F9" s="243">
        <f>TD!E8/1000</f>
        <v>4888.92</v>
      </c>
      <c r="G9" s="254">
        <f>TD!F8/1000</f>
        <v>12119.77809</v>
      </c>
      <c r="H9" s="244">
        <f>O36/1000</f>
        <v>15333.647000000001</v>
      </c>
      <c r="I9" s="244">
        <f>G9-H9</f>
        <v>-3213.8689100000011</v>
      </c>
      <c r="M9" t="s">
        <v>683</v>
      </c>
    </row>
    <row r="10" spans="2:13">
      <c r="B10" s="240" t="s">
        <v>609</v>
      </c>
      <c r="C10" s="243">
        <f>TD!B16/1000</f>
        <v>-99.03798461538463</v>
      </c>
      <c r="D10" s="243">
        <f>TD!C16/1000</f>
        <v>-488.40745738826922</v>
      </c>
      <c r="E10" s="243">
        <f>TD!D16/1000</f>
        <v>-201.20763531705279</v>
      </c>
      <c r="F10" s="243">
        <f>TD!E16/1000</f>
        <v>89.74709976306444</v>
      </c>
      <c r="G10" s="254">
        <f>TD!F16/1000</f>
        <v>-698.90597755764225</v>
      </c>
      <c r="H10" s="244">
        <f>O44/1000</f>
        <v>572.67244000000039</v>
      </c>
      <c r="I10" s="244">
        <f>G10-H10</f>
        <v>-1271.5784175576428</v>
      </c>
      <c r="M10" t="s">
        <v>684</v>
      </c>
    </row>
    <row r="11" spans="2:13" ht="15" thickBot="1">
      <c r="B11" s="245" t="s">
        <v>638</v>
      </c>
      <c r="C11" s="246">
        <f t="shared" ref="C11:H11" si="0">C10/C9</f>
        <v>-0.17540790716004823</v>
      </c>
      <c r="D11" s="246">
        <f t="shared" si="0"/>
        <v>-0.17633155363752079</v>
      </c>
      <c r="E11" s="246">
        <f t="shared" si="0"/>
        <v>-5.1639125809634333E-2</v>
      </c>
      <c r="F11" s="246">
        <f t="shared" si="0"/>
        <v>1.8357244496343659E-2</v>
      </c>
      <c r="G11" s="255">
        <f t="shared" si="0"/>
        <v>-5.7666565540033105E-2</v>
      </c>
      <c r="H11" s="247">
        <f t="shared" si="0"/>
        <v>3.7347438610005848E-2</v>
      </c>
      <c r="I11" s="247">
        <f>G11-H11</f>
        <v>-9.5014004150038953E-2</v>
      </c>
    </row>
    <row r="12" spans="2:13" ht="15" thickBot="1">
      <c r="B12" s="165"/>
      <c r="C12" s="252"/>
      <c r="D12" s="252"/>
      <c r="E12" s="252"/>
      <c r="F12" s="252"/>
      <c r="G12" s="252"/>
      <c r="H12" s="252"/>
      <c r="I12" s="252"/>
    </row>
    <row r="13" spans="2:13" ht="15" thickBot="1">
      <c r="B13" s="267" t="s">
        <v>697</v>
      </c>
      <c r="C13" s="268"/>
      <c r="D13" s="268"/>
      <c r="E13" s="268"/>
      <c r="F13" s="268"/>
      <c r="G13" s="268"/>
      <c r="H13" s="268"/>
      <c r="I13" s="269"/>
    </row>
    <row r="14" spans="2:13" ht="15" thickBot="1">
      <c r="B14" s="257" t="s">
        <v>603</v>
      </c>
      <c r="C14" s="258">
        <v>46023</v>
      </c>
      <c r="D14" s="258">
        <v>46054</v>
      </c>
      <c r="E14" s="258">
        <v>46082</v>
      </c>
      <c r="F14" s="258">
        <v>46113</v>
      </c>
      <c r="G14" s="259" t="s">
        <v>634</v>
      </c>
      <c r="H14" s="259" t="s">
        <v>686</v>
      </c>
      <c r="I14" s="256" t="s">
        <v>694</v>
      </c>
    </row>
    <row r="15" spans="2:13">
      <c r="B15" s="240" t="s">
        <v>635</v>
      </c>
      <c r="C15" s="241"/>
      <c r="D15" s="241"/>
      <c r="E15" s="241"/>
      <c r="F15" s="241"/>
      <c r="G15" s="253"/>
      <c r="H15" s="242">
        <v>300</v>
      </c>
      <c r="I15" s="242">
        <f>G15-H15</f>
        <v>-300</v>
      </c>
    </row>
    <row r="16" spans="2:13">
      <c r="B16" s="240" t="s">
        <v>636</v>
      </c>
      <c r="C16" s="241">
        <v>0</v>
      </c>
      <c r="D16" s="241">
        <v>0</v>
      </c>
      <c r="E16" s="241">
        <v>0</v>
      </c>
      <c r="F16" s="241">
        <v>0</v>
      </c>
      <c r="G16" s="253">
        <v>0</v>
      </c>
      <c r="H16" s="242">
        <v>129</v>
      </c>
      <c r="I16" s="242">
        <f>G16-H16</f>
        <v>-129</v>
      </c>
    </row>
    <row r="17" spans="2:19">
      <c r="B17" s="240" t="s">
        <v>637</v>
      </c>
      <c r="C17" s="241">
        <v>0</v>
      </c>
      <c r="D17" s="241">
        <v>0</v>
      </c>
      <c r="E17" s="241">
        <v>0</v>
      </c>
      <c r="F17" s="241">
        <v>0</v>
      </c>
      <c r="G17" s="253">
        <f>SUM(C17:F17)</f>
        <v>0</v>
      </c>
      <c r="H17" s="244">
        <f>P36/1000</f>
        <v>278.3254</v>
      </c>
      <c r="I17" s="244">
        <f>G17-H17</f>
        <v>-278.3254</v>
      </c>
    </row>
    <row r="18" spans="2:19">
      <c r="B18" s="240" t="s">
        <v>609</v>
      </c>
      <c r="C18" s="243">
        <f>-7871.79/1000</f>
        <v>-7.8717899999999998</v>
      </c>
      <c r="D18" s="243">
        <v>-13.224</v>
      </c>
      <c r="E18" s="243">
        <f>-10009.96/1000</f>
        <v>-10.00996</v>
      </c>
      <c r="F18" s="243">
        <v>-10</v>
      </c>
      <c r="G18" s="254">
        <f>SUM(C18:F18)</f>
        <v>-41.10575</v>
      </c>
      <c r="H18" s="244">
        <f>P44/1000</f>
        <v>59.370169999999952</v>
      </c>
      <c r="I18" s="244">
        <f>G18-H18</f>
        <v>-100.47591999999995</v>
      </c>
      <c r="L18" t="s">
        <v>687</v>
      </c>
    </row>
    <row r="19" spans="2:19" ht="15" thickBot="1">
      <c r="B19" s="245" t="s">
        <v>638</v>
      </c>
      <c r="C19" s="246"/>
      <c r="D19" s="246"/>
      <c r="E19" s="246"/>
      <c r="F19" s="246"/>
      <c r="G19" s="255"/>
      <c r="H19" s="247">
        <f>H18/H17</f>
        <v>0.21331208003293969</v>
      </c>
      <c r="I19" s="247">
        <f>G19-H19</f>
        <v>-0.21331208003293969</v>
      </c>
      <c r="L19" t="s">
        <v>686</v>
      </c>
    </row>
    <row r="20" spans="2:19" ht="15" thickBot="1">
      <c r="K20" t="s">
        <v>637</v>
      </c>
      <c r="L20" s="56">
        <v>278325.40000000002</v>
      </c>
    </row>
    <row r="21" spans="2:19" ht="15" thickBot="1">
      <c r="B21" s="267" t="s">
        <v>698</v>
      </c>
      <c r="C21" s="268"/>
      <c r="D21" s="268"/>
      <c r="E21" s="268"/>
      <c r="F21" s="268"/>
      <c r="G21" s="268"/>
      <c r="H21" s="268"/>
      <c r="I21" s="269"/>
      <c r="L21" s="56"/>
    </row>
    <row r="22" spans="2:19" ht="15" thickBot="1">
      <c r="B22" s="257" t="s">
        <v>603</v>
      </c>
      <c r="C22" s="258">
        <v>46023</v>
      </c>
      <c r="D22" s="258">
        <v>46054</v>
      </c>
      <c r="E22" s="258">
        <v>46082</v>
      </c>
      <c r="F22" s="258">
        <v>46113</v>
      </c>
      <c r="G22" s="259" t="s">
        <v>634</v>
      </c>
      <c r="H22" s="259" t="s">
        <v>686</v>
      </c>
      <c r="I22" s="256" t="s">
        <v>694</v>
      </c>
      <c r="L22" s="56"/>
    </row>
    <row r="23" spans="2:19">
      <c r="B23" s="240" t="s">
        <v>637</v>
      </c>
      <c r="C23" s="241">
        <v>0</v>
      </c>
      <c r="D23" s="241">
        <v>0</v>
      </c>
      <c r="E23" s="241">
        <v>0</v>
      </c>
      <c r="F23" s="241">
        <v>0</v>
      </c>
      <c r="G23" s="253">
        <f>SUM(C23:F23)</f>
        <v>0</v>
      </c>
      <c r="H23" s="244">
        <f>Q36/1000</f>
        <v>333.33332999999999</v>
      </c>
      <c r="I23" s="242">
        <f>G23-H23</f>
        <v>-333.33332999999999</v>
      </c>
      <c r="L23" s="56"/>
    </row>
    <row r="24" spans="2:19">
      <c r="B24" s="240" t="s">
        <v>609</v>
      </c>
      <c r="C24" s="241">
        <v>0</v>
      </c>
      <c r="D24" s="241">
        <v>0</v>
      </c>
      <c r="E24" s="241">
        <v>0</v>
      </c>
      <c r="F24" s="241">
        <v>0</v>
      </c>
      <c r="G24" s="253">
        <f>SUM(C24:F24)</f>
        <v>0</v>
      </c>
      <c r="H24" s="244">
        <f>Q44/1000</f>
        <v>333.33332999999999</v>
      </c>
      <c r="I24" s="242">
        <f>G24-H24</f>
        <v>-333.33332999999999</v>
      </c>
      <c r="L24" s="56"/>
    </row>
    <row r="25" spans="2:19" ht="15" thickBot="1">
      <c r="B25" s="245" t="s">
        <v>638</v>
      </c>
      <c r="C25" s="246"/>
      <c r="D25" s="246"/>
      <c r="E25" s="246"/>
      <c r="F25" s="246"/>
      <c r="G25" s="255"/>
      <c r="H25" s="247">
        <f>H24/H23</f>
        <v>1</v>
      </c>
      <c r="I25" s="247">
        <f>G25-H25</f>
        <v>-1</v>
      </c>
      <c r="L25" s="56"/>
    </row>
    <row r="26" spans="2:19" ht="15" thickBot="1">
      <c r="L26" s="56"/>
    </row>
    <row r="27" spans="2:19" ht="15" thickBot="1">
      <c r="B27" s="267" t="s">
        <v>693</v>
      </c>
      <c r="C27" s="268"/>
      <c r="D27" s="268"/>
      <c r="E27" s="268"/>
      <c r="F27" s="268"/>
      <c r="G27" s="268"/>
      <c r="H27" s="268"/>
      <c r="I27" s="269"/>
      <c r="L27" s="56"/>
      <c r="N27" s="1"/>
      <c r="O27" s="228"/>
      <c r="P27" s="58"/>
      <c r="Q27" s="58"/>
      <c r="R27" s="58"/>
      <c r="S27" s="58"/>
    </row>
    <row r="28" spans="2:19" ht="15" thickBot="1">
      <c r="B28" s="257" t="s">
        <v>603</v>
      </c>
      <c r="C28" s="258">
        <v>46023</v>
      </c>
      <c r="D28" s="258">
        <v>46054</v>
      </c>
      <c r="E28" s="258">
        <v>46082</v>
      </c>
      <c r="F28" s="258">
        <v>46113</v>
      </c>
      <c r="G28" s="259" t="s">
        <v>634</v>
      </c>
      <c r="H28" s="259" t="s">
        <v>686</v>
      </c>
      <c r="I28" s="256" t="s">
        <v>694</v>
      </c>
      <c r="L28" s="56"/>
      <c r="N28" s="1"/>
      <c r="O28" s="228"/>
      <c r="P28" s="58"/>
      <c r="Q28" s="58"/>
      <c r="R28" s="58"/>
      <c r="S28" s="58"/>
    </row>
    <row r="29" spans="2:19">
      <c r="B29" s="240" t="s">
        <v>637</v>
      </c>
      <c r="C29" s="241">
        <f>45444/3.35/1000</f>
        <v>13.565373134328357</v>
      </c>
      <c r="D29" s="241">
        <f>57239.28/3.4/1000</f>
        <v>16.835082352941175</v>
      </c>
      <c r="E29" s="241">
        <f>54636.38/3.45/1000</f>
        <v>15.836631884057971</v>
      </c>
      <c r="F29" s="241">
        <f>216375.28/3.5/1000</f>
        <v>61.821508571428573</v>
      </c>
      <c r="G29" s="253">
        <f>SUM(C29:F29)</f>
        <v>108.05859594275609</v>
      </c>
      <c r="H29" s="244">
        <f>R36/1000</f>
        <v>290.90909000000005</v>
      </c>
      <c r="I29" s="242">
        <f>G29-H29</f>
        <v>-182.85049405724396</v>
      </c>
      <c r="L29" s="56"/>
    </row>
    <row r="30" spans="2:19">
      <c r="B30" s="240" t="s">
        <v>609</v>
      </c>
      <c r="C30" s="243">
        <f>C29-41.889</f>
        <v>-28.323626865671645</v>
      </c>
      <c r="D30" s="243">
        <f>D29-34.4</f>
        <v>-17.564917647058824</v>
      </c>
      <c r="E30" s="243">
        <f>E29-53.1</f>
        <v>-37.263368115942029</v>
      </c>
      <c r="F30" s="243">
        <f>F29-43</f>
        <v>18.821508571428573</v>
      </c>
      <c r="G30" s="254">
        <f>SUM(C30:F30)</f>
        <v>-64.330404057243925</v>
      </c>
      <c r="H30" s="244">
        <f>R44/1000</f>
        <v>172.42886000000004</v>
      </c>
      <c r="I30" s="242">
        <f>G30-H30</f>
        <v>-236.75926405724397</v>
      </c>
      <c r="L30" s="56"/>
    </row>
    <row r="31" spans="2:19" ht="15" thickBot="1">
      <c r="B31" s="245" t="s">
        <v>638</v>
      </c>
      <c r="C31" s="246"/>
      <c r="D31" s="246"/>
      <c r="E31" s="246"/>
      <c r="F31" s="246"/>
      <c r="G31" s="255"/>
      <c r="H31" s="247">
        <f>H30/H29</f>
        <v>0.59272420810226323</v>
      </c>
      <c r="I31" s="247">
        <f>G31-H31</f>
        <v>-0.59272420810226323</v>
      </c>
      <c r="L31" s="56"/>
    </row>
    <row r="32" spans="2:19" ht="15" thickBot="1">
      <c r="L32" s="56"/>
    </row>
    <row r="33" spans="2:19" ht="15" thickBot="1">
      <c r="B33" s="267" t="s">
        <v>695</v>
      </c>
      <c r="C33" s="268"/>
      <c r="D33" s="268"/>
      <c r="E33" s="268"/>
      <c r="F33" s="268"/>
      <c r="G33" s="268"/>
      <c r="H33" s="268"/>
      <c r="I33" s="269"/>
      <c r="L33" s="56"/>
      <c r="N33" s="1"/>
      <c r="O33" s="228"/>
      <c r="P33" s="58"/>
      <c r="Q33" s="58"/>
      <c r="R33" s="58"/>
      <c r="S33" s="58"/>
    </row>
    <row r="34" spans="2:19" ht="15" thickBot="1">
      <c r="B34" s="257" t="s">
        <v>603</v>
      </c>
      <c r="C34" s="258">
        <v>46023</v>
      </c>
      <c r="D34" s="258">
        <v>46054</v>
      </c>
      <c r="E34" s="258">
        <v>46082</v>
      </c>
      <c r="F34" s="258">
        <v>46113</v>
      </c>
      <c r="G34" s="259" t="s">
        <v>634</v>
      </c>
      <c r="H34" s="259" t="s">
        <v>686</v>
      </c>
      <c r="I34" s="256" t="s">
        <v>694</v>
      </c>
      <c r="L34" s="56"/>
    </row>
    <row r="35" spans="2:19">
      <c r="B35" s="240" t="s">
        <v>635</v>
      </c>
      <c r="C35" s="241">
        <f t="shared" ref="C35:F36" si="1">C15+C7</f>
        <v>1877.2149999999999</v>
      </c>
      <c r="D35" s="241">
        <f t="shared" si="1"/>
        <v>3149.7860000000001</v>
      </c>
      <c r="E35" s="241">
        <f t="shared" si="1"/>
        <v>2255.518</v>
      </c>
      <c r="F35" s="241">
        <f t="shared" si="1"/>
        <v>2853.1889999999999</v>
      </c>
      <c r="G35" s="253">
        <f>SUM(C35:F35)</f>
        <v>10135.708000000001</v>
      </c>
      <c r="H35" s="253">
        <f>H15+H7</f>
        <v>8850</v>
      </c>
      <c r="I35" s="242">
        <f>G35-H35</f>
        <v>1285.7080000000005</v>
      </c>
      <c r="L35" s="56"/>
      <c r="O35" s="231" t="s">
        <v>689</v>
      </c>
      <c r="P35" s="231" t="s">
        <v>687</v>
      </c>
      <c r="Q35" s="231" t="s">
        <v>691</v>
      </c>
      <c r="R35" s="231" t="s">
        <v>688</v>
      </c>
      <c r="S35" t="s">
        <v>692</v>
      </c>
    </row>
    <row r="36" spans="2:19">
      <c r="B36" s="240" t="s">
        <v>636</v>
      </c>
      <c r="C36" s="241">
        <f t="shared" si="1"/>
        <v>248</v>
      </c>
      <c r="D36" s="241">
        <f t="shared" si="1"/>
        <v>1634.3</v>
      </c>
      <c r="E36" s="241">
        <f t="shared" si="1"/>
        <v>1995.8</v>
      </c>
      <c r="F36" s="241">
        <f t="shared" si="1"/>
        <v>2110.1099999999997</v>
      </c>
      <c r="G36" s="253">
        <f>SUM(C36:F36)</f>
        <v>5988.2099999999991</v>
      </c>
      <c r="H36" s="253">
        <f>H16+H8</f>
        <v>5963</v>
      </c>
      <c r="I36" s="242">
        <f>G36-H36</f>
        <v>25.209999999999127</v>
      </c>
      <c r="L36" s="56"/>
      <c r="N36" s="1" t="s">
        <v>13</v>
      </c>
      <c r="O36" s="228">
        <v>15333647</v>
      </c>
      <c r="P36" s="228">
        <f>L20</f>
        <v>278325.40000000002</v>
      </c>
      <c r="Q36" s="58">
        <v>333333.33</v>
      </c>
      <c r="R36" s="58">
        <v>290909.09000000003</v>
      </c>
      <c r="S36" s="58">
        <f t="shared" ref="S36:S44" si="2">SUM(O36:R36)</f>
        <v>16236214.82</v>
      </c>
    </row>
    <row r="37" spans="2:19">
      <c r="B37" s="240" t="s">
        <v>637</v>
      </c>
      <c r="C37" s="243">
        <f>C17+C9+C23+C29</f>
        <v>578.1806531343284</v>
      </c>
      <c r="D37" s="243">
        <f>D17+D9+D23+D29</f>
        <v>2786.6595823529415</v>
      </c>
      <c r="E37" s="243">
        <f>E17+E9+E23+E29</f>
        <v>3912.2549418840581</v>
      </c>
      <c r="F37" s="243">
        <f>F17+F9+F23+F29</f>
        <v>4950.7415085714283</v>
      </c>
      <c r="G37" s="254">
        <f>SUM(C37:F37)</f>
        <v>12227.836685942755</v>
      </c>
      <c r="H37" s="254">
        <f>H17+H9+H23+H29</f>
        <v>16236.214819999999</v>
      </c>
      <c r="I37" s="244">
        <f>G37-H37</f>
        <v>-4008.3781340572441</v>
      </c>
      <c r="L37" s="56"/>
      <c r="N37" s="1" t="s">
        <v>14</v>
      </c>
      <c r="O37" s="228">
        <v>12916734.6</v>
      </c>
      <c r="P37" s="58">
        <f>L38-4251</f>
        <v>194785.42</v>
      </c>
      <c r="Q37" s="58">
        <v>0</v>
      </c>
      <c r="R37" s="58">
        <f>L44</f>
        <v>118480.23</v>
      </c>
      <c r="S37" s="58">
        <f t="shared" si="2"/>
        <v>13230000.25</v>
      </c>
    </row>
    <row r="38" spans="2:19">
      <c r="B38" s="240" t="s">
        <v>609</v>
      </c>
      <c r="C38" s="243">
        <f>C18+C10+C30</f>
        <v>-135.23340148105629</v>
      </c>
      <c r="D38" s="243">
        <f>D18+D10+D30</f>
        <v>-519.19637503532806</v>
      </c>
      <c r="E38" s="243">
        <f>E18+E10+E30</f>
        <v>-248.48096343299483</v>
      </c>
      <c r="F38" s="243">
        <f>F18+F10+F30</f>
        <v>98.568608334493007</v>
      </c>
      <c r="G38" s="254">
        <f>SUM(C38:F38)</f>
        <v>-804.34213161488617</v>
      </c>
      <c r="H38" s="254">
        <f>H18+H10+H24+H30</f>
        <v>1137.8048000000003</v>
      </c>
      <c r="I38" s="244">
        <f>G38-H38</f>
        <v>-1942.1469316148864</v>
      </c>
      <c r="K38" t="s">
        <v>685</v>
      </c>
      <c r="L38" s="56">
        <v>199036.42</v>
      </c>
      <c r="N38" s="78" t="s">
        <v>15</v>
      </c>
      <c r="O38" s="229">
        <f>O36-O37</f>
        <v>2416912.4000000004</v>
      </c>
      <c r="P38" s="229">
        <f>P36-P37</f>
        <v>83539.98000000001</v>
      </c>
      <c r="Q38" s="229">
        <f>Q36-Q37</f>
        <v>333333.33</v>
      </c>
      <c r="R38" s="229">
        <f>R36-R37</f>
        <v>172428.86000000004</v>
      </c>
      <c r="S38" s="58">
        <f t="shared" si="2"/>
        <v>3006214.5700000003</v>
      </c>
    </row>
    <row r="39" spans="2:19" ht="15" thickBot="1">
      <c r="B39" s="245" t="s">
        <v>638</v>
      </c>
      <c r="C39" s="246">
        <f t="shared" ref="C39:H39" si="3">C38/C37</f>
        <v>-0.2338947191469542</v>
      </c>
      <c r="D39" s="246">
        <f t="shared" si="3"/>
        <v>-0.18631496230226294</v>
      </c>
      <c r="E39" s="246">
        <f t="shared" si="3"/>
        <v>-6.3513489566539266E-2</v>
      </c>
      <c r="F39" s="246">
        <f t="shared" si="3"/>
        <v>1.9909867676152552E-2</v>
      </c>
      <c r="G39" s="255">
        <f t="shared" si="3"/>
        <v>-6.5779593911289805E-2</v>
      </c>
      <c r="H39" s="255">
        <f t="shared" si="3"/>
        <v>7.0078205580184627E-2</v>
      </c>
      <c r="I39" s="247">
        <f>G39-H39</f>
        <v>-0.13585779949147442</v>
      </c>
      <c r="K39" t="s">
        <v>690</v>
      </c>
      <c r="L39" s="56">
        <f>L20-L38</f>
        <v>79288.98000000001</v>
      </c>
      <c r="N39" s="1" t="s">
        <v>16</v>
      </c>
      <c r="O39" s="228">
        <v>1313000</v>
      </c>
      <c r="P39" s="110">
        <f>1341135.81-O39</f>
        <v>28135.810000000056</v>
      </c>
      <c r="R39">
        <v>0</v>
      </c>
      <c r="S39" s="58">
        <f t="shared" si="2"/>
        <v>1341135.81</v>
      </c>
    </row>
    <row r="40" spans="2:19">
      <c r="N40" s="1" t="s">
        <v>17</v>
      </c>
      <c r="O40" s="228">
        <v>273515.96000000002</v>
      </c>
      <c r="P40">
        <v>0</v>
      </c>
      <c r="R40">
        <v>0</v>
      </c>
      <c r="S40" s="58">
        <f t="shared" si="2"/>
        <v>273515.96000000002</v>
      </c>
    </row>
    <row r="41" spans="2:19">
      <c r="N41" s="1" t="s">
        <v>18</v>
      </c>
      <c r="O41" s="228">
        <v>283276</v>
      </c>
      <c r="P41" s="110">
        <f>287242-O41</f>
        <v>3966</v>
      </c>
      <c r="R41">
        <v>0</v>
      </c>
      <c r="S41" s="58">
        <f t="shared" si="2"/>
        <v>287242</v>
      </c>
    </row>
    <row r="42" spans="2:19">
      <c r="B42" s="165" t="s">
        <v>637</v>
      </c>
      <c r="C42" s="251">
        <f>45444/3.35/1000</f>
        <v>13.565373134328357</v>
      </c>
      <c r="D42" s="251">
        <f>57239/3.4/1000</f>
        <v>16.835000000000001</v>
      </c>
      <c r="E42" s="251">
        <f>54636.38/3.45/1000</f>
        <v>15.836631884057971</v>
      </c>
      <c r="F42" s="56">
        <f>216375.28/3.5/1000</f>
        <v>61.821508571428573</v>
      </c>
      <c r="G42" s="251">
        <f>SUM(C42:F42)</f>
        <v>108.05851358981491</v>
      </c>
      <c r="L42" t="s">
        <v>688</v>
      </c>
      <c r="N42" s="78" t="s">
        <v>19</v>
      </c>
      <c r="O42" s="229">
        <f>O38-O39-O40+O41</f>
        <v>1113672.4400000004</v>
      </c>
      <c r="P42" s="229">
        <f>P38-P39-P40+P41</f>
        <v>59370.169999999955</v>
      </c>
      <c r="Q42" s="229">
        <f>Q38-Q39-Q40+Q41</f>
        <v>333333.33</v>
      </c>
      <c r="R42" s="229">
        <f>R38-R39-R40+R41</f>
        <v>172428.86000000004</v>
      </c>
      <c r="S42" s="58">
        <f t="shared" si="2"/>
        <v>1678804.8000000005</v>
      </c>
    </row>
    <row r="43" spans="2:19">
      <c r="B43" s="165" t="s">
        <v>678</v>
      </c>
      <c r="C43" s="251">
        <f>49761/1000</f>
        <v>49.761000000000003</v>
      </c>
      <c r="D43" s="251">
        <f>47645/1000</f>
        <v>47.645000000000003</v>
      </c>
      <c r="E43" s="251">
        <f>63202/1000</f>
        <v>63.201999999999998</v>
      </c>
      <c r="G43" s="251">
        <f>SUM(C43:F43)</f>
        <v>160.608</v>
      </c>
      <c r="K43" t="s">
        <v>637</v>
      </c>
      <c r="L43" s="56">
        <v>333333.33</v>
      </c>
      <c r="N43" s="1" t="s">
        <v>20</v>
      </c>
      <c r="O43" s="58">
        <v>541000</v>
      </c>
      <c r="P43">
        <v>0</v>
      </c>
      <c r="R43">
        <v>0</v>
      </c>
      <c r="S43" s="58">
        <f t="shared" si="2"/>
        <v>541000</v>
      </c>
    </row>
    <row r="44" spans="2:19">
      <c r="B44" s="165" t="s">
        <v>679</v>
      </c>
      <c r="C44" s="251">
        <f>C42-C43</f>
        <v>-36.195626865671642</v>
      </c>
      <c r="D44" s="251">
        <f>D42-D43</f>
        <v>-30.810000000000002</v>
      </c>
      <c r="E44" s="251">
        <f>E42-E43</f>
        <v>-47.365368115942026</v>
      </c>
      <c r="G44" s="251">
        <f>G42-G43</f>
        <v>-52.549486410185096</v>
      </c>
      <c r="K44" t="s">
        <v>685</v>
      </c>
      <c r="L44" s="56">
        <v>118480.23</v>
      </c>
      <c r="N44" s="78" t="s">
        <v>21</v>
      </c>
      <c r="O44" s="230">
        <f>O42-O43</f>
        <v>572672.44000000041</v>
      </c>
      <c r="P44" s="230">
        <f>P42-P43</f>
        <v>59370.169999999955</v>
      </c>
      <c r="Q44" s="230">
        <f>Q42-Q43</f>
        <v>333333.33</v>
      </c>
      <c r="R44" s="230">
        <f>R42-R43</f>
        <v>172428.86000000004</v>
      </c>
      <c r="S44" s="56">
        <f t="shared" si="2"/>
        <v>1137804.8000000005</v>
      </c>
    </row>
    <row r="45" spans="2:19">
      <c r="K45" t="s">
        <v>679</v>
      </c>
      <c r="L45" s="56">
        <f>L43-L44</f>
        <v>214853.10000000003</v>
      </c>
      <c r="N45" s="1" t="s">
        <v>22</v>
      </c>
      <c r="O45" s="228">
        <v>466666.66666666669</v>
      </c>
    </row>
    <row r="46" spans="2:19">
      <c r="N46" s="78" t="s">
        <v>23</v>
      </c>
      <c r="O46" s="229">
        <f>O45+O42</f>
        <v>1580339.1066666672</v>
      </c>
      <c r="S46" s="56">
        <v>1137804.53</v>
      </c>
    </row>
    <row r="48" spans="2:19">
      <c r="B48" s="266" t="s">
        <v>714</v>
      </c>
      <c r="C48" s="266"/>
      <c r="D48" s="266"/>
      <c r="E48" s="266"/>
      <c r="F48" s="266"/>
      <c r="G48" s="266"/>
    </row>
    <row r="50" spans="2:13">
      <c r="B50" s="260" t="s">
        <v>603</v>
      </c>
      <c r="C50" s="261">
        <v>46023</v>
      </c>
      <c r="D50" s="261">
        <v>46054</v>
      </c>
      <c r="E50" s="261">
        <v>46082</v>
      </c>
      <c r="F50" s="261">
        <v>46113</v>
      </c>
      <c r="G50" s="260" t="s">
        <v>699</v>
      </c>
    </row>
    <row r="51" spans="2:13">
      <c r="B51" s="231" t="s">
        <v>700</v>
      </c>
      <c r="C51" s="262">
        <v>248</v>
      </c>
      <c r="D51" s="262">
        <v>1634.3</v>
      </c>
      <c r="E51" s="262">
        <v>1995.8</v>
      </c>
      <c r="F51" s="262">
        <v>2110.1099999999997</v>
      </c>
      <c r="G51" s="262">
        <v>5988.2099999999991</v>
      </c>
    </row>
    <row r="52" spans="2:13" ht="9.6" customHeight="1">
      <c r="B52" s="231"/>
      <c r="C52" s="262"/>
      <c r="D52" s="262"/>
      <c r="E52" s="262"/>
      <c r="F52" s="262"/>
      <c r="G52" s="262"/>
    </row>
    <row r="53" spans="2:13">
      <c r="B53" s="231" t="s">
        <v>637</v>
      </c>
      <c r="C53" s="262">
        <f t="shared" ref="C53:C69" si="4">I53/1000</f>
        <v>564.61527999999998</v>
      </c>
      <c r="D53" s="262">
        <f t="shared" ref="D53:D69" si="5">J53/1000</f>
        <v>2769.8245000000002</v>
      </c>
      <c r="E53" s="262">
        <f t="shared" ref="E53:E69" si="6">K53/1000</f>
        <v>3896.41831</v>
      </c>
      <c r="F53" s="262">
        <f t="shared" ref="F53:F69" si="7">L53/1000</f>
        <v>4888.92</v>
      </c>
      <c r="G53" s="262">
        <f t="shared" ref="G53:G69" si="8">M53/1000</f>
        <v>12119.77809</v>
      </c>
      <c r="I53" s="10">
        <v>564615.28</v>
      </c>
      <c r="J53" s="10">
        <v>2769824.5</v>
      </c>
      <c r="K53" s="10">
        <v>3896418.31</v>
      </c>
      <c r="L53" s="10">
        <v>4888920</v>
      </c>
      <c r="M53" s="10">
        <v>12119778.09</v>
      </c>
    </row>
    <row r="54" spans="2:13">
      <c r="B54" s="175" t="s">
        <v>701</v>
      </c>
      <c r="C54" s="265">
        <f t="shared" si="4"/>
        <v>442.63559999999995</v>
      </c>
      <c r="D54" s="265">
        <f t="shared" si="5"/>
        <v>2804.3150154651926</v>
      </c>
      <c r="E54" s="265">
        <f t="shared" si="6"/>
        <v>3579.9647407401308</v>
      </c>
      <c r="F54" s="265">
        <f t="shared" si="7"/>
        <v>4265.6470305907806</v>
      </c>
      <c r="G54" s="265">
        <f t="shared" si="8"/>
        <v>11092.562386796106</v>
      </c>
      <c r="I54" s="10">
        <v>442635.6</v>
      </c>
      <c r="J54" s="10">
        <v>2804315.0154651925</v>
      </c>
      <c r="K54" s="10">
        <v>3579964.7407401307</v>
      </c>
      <c r="L54" s="10">
        <v>4265647.030590781</v>
      </c>
      <c r="M54" s="10">
        <v>11092562.386796106</v>
      </c>
    </row>
    <row r="55" spans="2:13">
      <c r="B55" s="165" t="s">
        <v>702</v>
      </c>
      <c r="C55" s="241">
        <f t="shared" si="4"/>
        <v>121.97967999999999</v>
      </c>
      <c r="D55" s="241">
        <f t="shared" si="5"/>
        <v>-34.490515465192352</v>
      </c>
      <c r="E55" s="241">
        <f t="shared" si="6"/>
        <v>316.45356925987033</v>
      </c>
      <c r="F55" s="241">
        <f t="shared" si="7"/>
        <v>623.27296940921815</v>
      </c>
      <c r="G55" s="241">
        <f t="shared" si="8"/>
        <v>1027.2157032038963</v>
      </c>
      <c r="I55" s="90">
        <v>121979.68</v>
      </c>
      <c r="J55" s="90">
        <v>-34490.515465192351</v>
      </c>
      <c r="K55" s="90">
        <v>316453.56925987033</v>
      </c>
      <c r="L55" s="90">
        <v>623272.96940921817</v>
      </c>
      <c r="M55" s="90">
        <v>1027215.7032038962</v>
      </c>
    </row>
    <row r="56" spans="2:13">
      <c r="B56" s="263" t="s">
        <v>713</v>
      </c>
      <c r="C56" s="264">
        <f t="shared" ref="C56:G56" si="9">C55/C$53</f>
        <v>0.21604034520638546</v>
      </c>
      <c r="D56" s="264">
        <f t="shared" si="9"/>
        <v>-1.2452238567892064E-2</v>
      </c>
      <c r="E56" s="264">
        <f t="shared" si="9"/>
        <v>8.1216528638032789E-2</v>
      </c>
      <c r="F56" s="264">
        <f t="shared" si="9"/>
        <v>0.12748684155380291</v>
      </c>
      <c r="G56" s="264">
        <f t="shared" si="9"/>
        <v>8.4755322711019723E-2</v>
      </c>
      <c r="I56" s="90"/>
      <c r="J56" s="90"/>
      <c r="K56" s="90"/>
      <c r="L56" s="90"/>
      <c r="M56" s="90"/>
    </row>
    <row r="57" spans="2:13" ht="9.6" customHeight="1">
      <c r="B57" s="263"/>
      <c r="C57" s="264"/>
      <c r="D57" s="264"/>
      <c r="E57" s="264"/>
      <c r="F57" s="264"/>
      <c r="G57" s="264"/>
      <c r="I57" s="90"/>
      <c r="J57" s="90"/>
      <c r="K57" s="90"/>
      <c r="L57" s="90"/>
      <c r="M57" s="90"/>
    </row>
    <row r="58" spans="2:13">
      <c r="B58" s="231" t="s">
        <v>703</v>
      </c>
      <c r="C58" s="262">
        <f t="shared" si="4"/>
        <v>54.228384615384627</v>
      </c>
      <c r="D58" s="262">
        <f t="shared" si="5"/>
        <v>324.52217692307698</v>
      </c>
      <c r="E58" s="262">
        <f t="shared" si="6"/>
        <v>393.24577307692329</v>
      </c>
      <c r="F58" s="262">
        <f t="shared" si="7"/>
        <v>438.56901884615377</v>
      </c>
      <c r="G58" s="262">
        <f t="shared" si="8"/>
        <v>1210.5653534615387</v>
      </c>
      <c r="I58" s="10">
        <v>54228.384615384624</v>
      </c>
      <c r="J58" s="10">
        <v>324522.17692307697</v>
      </c>
      <c r="K58" s="10">
        <v>393245.77307692327</v>
      </c>
      <c r="L58" s="10">
        <v>438569.01884615375</v>
      </c>
      <c r="M58" s="10">
        <v>1210565.3534615387</v>
      </c>
    </row>
    <row r="59" spans="2:13">
      <c r="B59" s="231" t="s">
        <v>704</v>
      </c>
      <c r="C59" s="262">
        <f t="shared" si="4"/>
        <v>50.658999999999999</v>
      </c>
      <c r="D59" s="262">
        <f t="shared" si="5"/>
        <v>56.603999999999992</v>
      </c>
      <c r="E59" s="262">
        <f t="shared" si="6"/>
        <v>78.578999999999994</v>
      </c>
      <c r="F59" s="262">
        <f t="shared" si="7"/>
        <v>78.579000000000008</v>
      </c>
      <c r="G59" s="262">
        <f t="shared" si="8"/>
        <v>264.42099999999999</v>
      </c>
      <c r="I59" s="10">
        <v>50659</v>
      </c>
      <c r="J59" s="10">
        <v>56603.999999999993</v>
      </c>
      <c r="K59" s="10">
        <v>78579</v>
      </c>
      <c r="L59" s="10">
        <v>78579.000000000015</v>
      </c>
      <c r="M59" s="10">
        <v>264421</v>
      </c>
    </row>
    <row r="60" spans="2:13">
      <c r="B60" s="175" t="s">
        <v>705</v>
      </c>
      <c r="C60" s="265">
        <f t="shared" si="4"/>
        <v>15.120719999999999</v>
      </c>
      <c r="D60" s="265">
        <f t="shared" si="5"/>
        <v>75.707235000000011</v>
      </c>
      <c r="E60" s="265">
        <f t="shared" si="6"/>
        <v>108.63656850000001</v>
      </c>
      <c r="F60" s="265">
        <f t="shared" si="7"/>
        <v>138.09514920000001</v>
      </c>
      <c r="G60" s="265">
        <f t="shared" si="8"/>
        <v>337.55967270000002</v>
      </c>
      <c r="I60" s="10">
        <v>15120.72</v>
      </c>
      <c r="J60" s="10">
        <v>75707.235000000015</v>
      </c>
      <c r="K60" s="10">
        <v>108636.56850000001</v>
      </c>
      <c r="L60" s="10">
        <v>138095.14920000001</v>
      </c>
      <c r="M60" s="10">
        <v>337559.6727</v>
      </c>
    </row>
    <row r="61" spans="2:13">
      <c r="B61" s="165" t="s">
        <v>706</v>
      </c>
      <c r="C61" s="241">
        <f t="shared" si="4"/>
        <v>32.213015384615382</v>
      </c>
      <c r="D61" s="241">
        <f t="shared" si="5"/>
        <v>-339.90945738826923</v>
      </c>
      <c r="E61" s="241">
        <f t="shared" si="6"/>
        <v>-46.734635317052778</v>
      </c>
      <c r="F61" s="241">
        <f t="shared" si="7"/>
        <v>244.22009976306438</v>
      </c>
      <c r="G61" s="241">
        <f t="shared" si="8"/>
        <v>-110.21097755764224</v>
      </c>
      <c r="I61" s="90">
        <v>32213.015384615384</v>
      </c>
      <c r="J61" s="90">
        <v>-339909.45738826925</v>
      </c>
      <c r="K61" s="90">
        <v>-46734.63531705278</v>
      </c>
      <c r="L61" s="90">
        <v>244220.09976306438</v>
      </c>
      <c r="M61" s="90">
        <v>-110210.97755764224</v>
      </c>
    </row>
    <row r="62" spans="2:13">
      <c r="B62" s="263" t="s">
        <v>712</v>
      </c>
      <c r="C62" s="264">
        <f t="shared" ref="C62" si="10">C61/C$53</f>
        <v>5.705303509429533E-2</v>
      </c>
      <c r="D62" s="264">
        <f t="shared" ref="D62" si="11">D61/D$53</f>
        <v>-0.12271877058935295</v>
      </c>
      <c r="E62" s="264">
        <f t="shared" ref="E62" si="12">E61/E$53</f>
        <v>-1.1994255133518449E-2</v>
      </c>
      <c r="F62" s="264">
        <f t="shared" ref="F62" si="13">F61/F$53</f>
        <v>4.99537934273959E-2</v>
      </c>
      <c r="G62" s="264">
        <f t="shared" ref="G62" si="14">G61/G$53</f>
        <v>-9.093481476247247E-3</v>
      </c>
      <c r="I62" s="90"/>
      <c r="J62" s="90"/>
      <c r="K62" s="90"/>
      <c r="L62" s="90"/>
      <c r="M62" s="90"/>
    </row>
    <row r="63" spans="2:13" ht="9.6" customHeight="1">
      <c r="B63" s="263"/>
      <c r="C63" s="264"/>
      <c r="D63" s="264"/>
      <c r="E63" s="264"/>
      <c r="F63" s="264"/>
      <c r="G63" s="264"/>
      <c r="I63" s="90"/>
      <c r="J63" s="90"/>
      <c r="K63" s="90"/>
      <c r="L63" s="90"/>
      <c r="M63" s="90"/>
    </row>
    <row r="64" spans="2:13">
      <c r="B64" s="175" t="s">
        <v>707</v>
      </c>
      <c r="C64" s="265">
        <f t="shared" si="4"/>
        <v>131.251</v>
      </c>
      <c r="D64" s="265">
        <f t="shared" si="5"/>
        <v>148.49799999999999</v>
      </c>
      <c r="E64" s="265">
        <f t="shared" si="6"/>
        <v>154.47299999999993</v>
      </c>
      <c r="F64" s="265">
        <f t="shared" si="7"/>
        <v>154.47300000000004</v>
      </c>
      <c r="G64" s="265">
        <f t="shared" si="8"/>
        <v>588.69500000000005</v>
      </c>
      <c r="I64" s="10">
        <v>131251</v>
      </c>
      <c r="J64" s="10">
        <v>148498</v>
      </c>
      <c r="K64" s="10">
        <v>154472.99999999994</v>
      </c>
      <c r="L64" s="10">
        <v>154473.00000000003</v>
      </c>
      <c r="M64" s="10">
        <v>588695</v>
      </c>
    </row>
    <row r="65" spans="2:13">
      <c r="B65" s="165" t="s">
        <v>708</v>
      </c>
      <c r="C65" s="241">
        <f t="shared" si="4"/>
        <v>-99.03798461538463</v>
      </c>
      <c r="D65" s="241">
        <f t="shared" si="5"/>
        <v>-488.40745738826922</v>
      </c>
      <c r="E65" s="241">
        <f t="shared" si="6"/>
        <v>-201.20763531705279</v>
      </c>
      <c r="F65" s="241">
        <f t="shared" si="7"/>
        <v>89.74709976306444</v>
      </c>
      <c r="G65" s="241">
        <f t="shared" si="8"/>
        <v>-698.90597755764225</v>
      </c>
      <c r="I65" s="90">
        <v>-99037.98461538463</v>
      </c>
      <c r="J65" s="90">
        <v>-488407.45738826925</v>
      </c>
      <c r="K65" s="90">
        <v>-201207.6353170528</v>
      </c>
      <c r="L65" s="90">
        <v>89747.099763064442</v>
      </c>
      <c r="M65" s="90">
        <v>-698905.97755764227</v>
      </c>
    </row>
    <row r="66" spans="2:13">
      <c r="B66" s="263" t="s">
        <v>711</v>
      </c>
      <c r="C66" s="264">
        <f t="shared" ref="C66" si="15">C65/C$53</f>
        <v>-0.17540790716004823</v>
      </c>
      <c r="D66" s="264">
        <f t="shared" ref="D66" si="16">D65/D$53</f>
        <v>-0.17633155363752079</v>
      </c>
      <c r="E66" s="264">
        <f t="shared" ref="E66" si="17">E65/E$53</f>
        <v>-5.1639125809634333E-2</v>
      </c>
      <c r="F66" s="264">
        <f t="shared" ref="F66" si="18">F65/F$53</f>
        <v>1.8357244496343659E-2</v>
      </c>
      <c r="G66" s="264">
        <f t="shared" ref="G66" si="19">G65/G$53</f>
        <v>-5.7666565540033105E-2</v>
      </c>
      <c r="I66" s="90"/>
      <c r="J66" s="90"/>
      <c r="K66" s="90"/>
      <c r="L66" s="90"/>
      <c r="M66" s="90"/>
    </row>
    <row r="67" spans="2:13" ht="9.6" customHeight="1">
      <c r="B67" s="263"/>
      <c r="C67" s="264"/>
      <c r="D67" s="264"/>
      <c r="E67" s="264"/>
      <c r="F67" s="264"/>
      <c r="G67" s="264"/>
      <c r="I67" s="90"/>
      <c r="J67" s="90"/>
      <c r="K67" s="90"/>
      <c r="L67" s="90"/>
      <c r="M67" s="90"/>
    </row>
    <row r="68" spans="2:13">
      <c r="B68" s="175" t="s">
        <v>709</v>
      </c>
      <c r="C68" s="265">
        <f t="shared" si="4"/>
        <v>123.53</v>
      </c>
      <c r="D68" s="265">
        <f t="shared" si="5"/>
        <v>124.15239344367619</v>
      </c>
      <c r="E68" s="265">
        <f t="shared" si="6"/>
        <v>123.36072966763443</v>
      </c>
      <c r="F68" s="265">
        <f t="shared" si="7"/>
        <v>123.48435000000002</v>
      </c>
      <c r="G68" s="265">
        <f t="shared" si="8"/>
        <v>494.5274731113106</v>
      </c>
      <c r="I68" s="10">
        <v>123530</v>
      </c>
      <c r="J68" s="10">
        <v>124152.39344367619</v>
      </c>
      <c r="K68" s="10">
        <v>123360.72966763443</v>
      </c>
      <c r="L68" s="10">
        <v>123484.35000000002</v>
      </c>
      <c r="M68" s="10">
        <v>494527.47311131062</v>
      </c>
    </row>
    <row r="69" spans="2:13">
      <c r="B69" s="165" t="s">
        <v>42</v>
      </c>
      <c r="C69" s="241">
        <f t="shared" si="4"/>
        <v>155.74301538461538</v>
      </c>
      <c r="D69" s="241">
        <f t="shared" si="5"/>
        <v>-215.75706394459309</v>
      </c>
      <c r="E69" s="241">
        <f t="shared" si="6"/>
        <v>76.626094350581639</v>
      </c>
      <c r="F69" s="241">
        <f t="shared" si="7"/>
        <v>367.7044497630643</v>
      </c>
      <c r="G69" s="241">
        <f t="shared" si="8"/>
        <v>384.31649555366823</v>
      </c>
      <c r="I69" s="90">
        <v>155743.01538461537</v>
      </c>
      <c r="J69" s="90">
        <v>-215757.06394459307</v>
      </c>
      <c r="K69" s="90">
        <v>76626.094350581639</v>
      </c>
      <c r="L69" s="90">
        <v>367704.44976306433</v>
      </c>
      <c r="M69" s="90">
        <v>384316.49555366824</v>
      </c>
    </row>
    <row r="70" spans="2:13">
      <c r="B70" s="263" t="s">
        <v>710</v>
      </c>
      <c r="C70" s="264">
        <f t="shared" ref="C70" si="20">C69/C$53</f>
        <v>0.2758391791745618</v>
      </c>
      <c r="D70" s="264">
        <f t="shared" ref="D70" si="21">D69/D$53</f>
        <v>-7.7895572064075921E-2</v>
      </c>
      <c r="E70" s="264">
        <f>E69/E$53</f>
        <v>1.9665777196951329E-2</v>
      </c>
      <c r="F70" s="264">
        <f t="shared" ref="F70" si="22">F69/F$53</f>
        <v>7.5211795194657372E-2</v>
      </c>
      <c r="G70" s="264">
        <f t="shared" ref="G70" si="23">G69/G$53</f>
        <v>3.170986240010177E-2</v>
      </c>
    </row>
    <row r="73" spans="2:13">
      <c r="B73" s="266" t="s">
        <v>715</v>
      </c>
      <c r="C73" s="266"/>
      <c r="D73" s="266"/>
      <c r="E73" s="266"/>
      <c r="F73" s="266"/>
      <c r="G73" s="266"/>
    </row>
    <row r="75" spans="2:13">
      <c r="B75" s="260" t="s">
        <v>603</v>
      </c>
      <c r="C75" s="261">
        <v>46023</v>
      </c>
      <c r="D75" s="261">
        <v>46054</v>
      </c>
      <c r="E75" s="261">
        <v>46082</v>
      </c>
      <c r="F75" s="261">
        <v>46113</v>
      </c>
      <c r="G75" s="260" t="s">
        <v>699</v>
      </c>
    </row>
    <row r="76" spans="2:13">
      <c r="B76" s="231" t="s">
        <v>700</v>
      </c>
      <c r="C76" s="262">
        <v>248</v>
      </c>
      <c r="D76" s="262">
        <v>1634.3</v>
      </c>
      <c r="E76" s="262">
        <v>1995.8</v>
      </c>
      <c r="F76" s="262">
        <v>2110.1099999999997</v>
      </c>
      <c r="G76" s="262">
        <v>5988.2099999999991</v>
      </c>
    </row>
    <row r="77" spans="2:13">
      <c r="B77" s="231"/>
      <c r="C77" s="262"/>
      <c r="D77" s="262"/>
      <c r="E77" s="262"/>
      <c r="F77" s="262"/>
      <c r="G77" s="262"/>
    </row>
    <row r="78" spans="2:13">
      <c r="B78" s="231" t="s">
        <v>637</v>
      </c>
      <c r="C78" s="262">
        <f t="shared" ref="C78:F78" si="24">C53+C17+C29</f>
        <v>578.1806531343284</v>
      </c>
      <c r="D78" s="262">
        <f t="shared" si="24"/>
        <v>2786.6595823529415</v>
      </c>
      <c r="E78" s="262">
        <f t="shared" si="24"/>
        <v>3912.2549418840581</v>
      </c>
      <c r="F78" s="262">
        <f t="shared" si="24"/>
        <v>4950.7415085714283</v>
      </c>
      <c r="G78" s="262">
        <f t="shared" ref="G78:G80" si="25">SUM(C78:F78)</f>
        <v>12227.836685942755</v>
      </c>
    </row>
    <row r="79" spans="2:13">
      <c r="B79" s="175" t="s">
        <v>701</v>
      </c>
      <c r="C79" s="265">
        <f>C54-C18+41.88</f>
        <v>492.38738999999993</v>
      </c>
      <c r="D79" s="265">
        <f>D54-D18+(D29+D30)+35.1298352941174</f>
        <v>2851.9390154651928</v>
      </c>
      <c r="E79" s="265">
        <f>E54-E18+(E29+E30)+74.5267362318833</f>
        <v>3643.0747007401296</v>
      </c>
      <c r="F79" s="265">
        <f>F54-F18+(F29+F30)-37.6430171428565</f>
        <v>4318.6470305907815</v>
      </c>
      <c r="G79" s="265">
        <f t="shared" si="25"/>
        <v>11306.048136796104</v>
      </c>
      <c r="J79" s="58">
        <f>G78-G79-G83-G84+G85</f>
        <v>-215.63813161488741</v>
      </c>
    </row>
    <row r="80" spans="2:13">
      <c r="B80" s="165" t="s">
        <v>702</v>
      </c>
      <c r="C80" s="241">
        <f t="shared" ref="C80:F80" si="26">C78-C79</f>
        <v>85.79326313432847</v>
      </c>
      <c r="D80" s="241">
        <f t="shared" si="26"/>
        <v>-65.279433112251354</v>
      </c>
      <c r="E80" s="241">
        <f t="shared" si="26"/>
        <v>269.18024114392847</v>
      </c>
      <c r="F80" s="241">
        <f t="shared" si="26"/>
        <v>632.09447798064684</v>
      </c>
      <c r="G80" s="241">
        <f t="shared" si="25"/>
        <v>921.78854914665249</v>
      </c>
      <c r="J80" s="58">
        <f>J79-G89</f>
        <v>-804.33313161488741</v>
      </c>
    </row>
    <row r="81" spans="2:10">
      <c r="B81" s="263" t="s">
        <v>713</v>
      </c>
      <c r="C81" s="264">
        <f t="shared" ref="C81" si="27">C80/C$53</f>
        <v>0.15194994923681213</v>
      </c>
      <c r="D81" s="264">
        <f t="shared" ref="D81" si="28">D80/D$53</f>
        <v>-2.3568075563000959E-2</v>
      </c>
      <c r="E81" s="264">
        <f t="shared" ref="E81" si="29">E80/E$53</f>
        <v>6.9084020176449809E-2</v>
      </c>
      <c r="F81" s="264">
        <f t="shared" ref="F81" si="30">F80/F$53</f>
        <v>0.12929122955185335</v>
      </c>
      <c r="G81" s="264">
        <f t="shared" ref="G81" si="31">G80/G$53</f>
        <v>7.6056553370991015E-2</v>
      </c>
      <c r="J81" s="58">
        <f>G86+G93</f>
        <v>278.88934149642444</v>
      </c>
    </row>
    <row r="82" spans="2:10">
      <c r="B82" s="263"/>
      <c r="C82" s="264"/>
      <c r="D82" s="264"/>
      <c r="E82" s="264"/>
      <c r="F82" s="264"/>
      <c r="G82" s="264"/>
    </row>
    <row r="83" spans="2:10">
      <c r="B83" s="231" t="s">
        <v>703</v>
      </c>
      <c r="C83" s="262">
        <f t="shared" ref="C83:F85" si="32">C58</f>
        <v>54.228384615384627</v>
      </c>
      <c r="D83" s="262">
        <f t="shared" si="32"/>
        <v>324.52217692307698</v>
      </c>
      <c r="E83" s="262">
        <f t="shared" si="32"/>
        <v>393.24577307692329</v>
      </c>
      <c r="F83" s="262">
        <f t="shared" si="32"/>
        <v>438.56901884615377</v>
      </c>
      <c r="G83" s="262">
        <f t="shared" ref="G83:G84" si="33">SUM(C83:F83)</f>
        <v>1210.5653534615387</v>
      </c>
    </row>
    <row r="84" spans="2:10">
      <c r="B84" s="231" t="s">
        <v>704</v>
      </c>
      <c r="C84" s="262">
        <f t="shared" si="32"/>
        <v>50.658999999999999</v>
      </c>
      <c r="D84" s="262">
        <f t="shared" si="32"/>
        <v>56.603999999999992</v>
      </c>
      <c r="E84" s="262">
        <f t="shared" si="32"/>
        <v>78.578999999999994</v>
      </c>
      <c r="F84" s="262">
        <f t="shared" si="32"/>
        <v>78.579000000000008</v>
      </c>
      <c r="G84" s="262">
        <f t="shared" si="33"/>
        <v>264.42099999999999</v>
      </c>
    </row>
    <row r="85" spans="2:10">
      <c r="B85" s="175" t="s">
        <v>705</v>
      </c>
      <c r="C85" s="265">
        <f t="shared" si="32"/>
        <v>15.120719999999999</v>
      </c>
      <c r="D85" s="265">
        <f t="shared" si="32"/>
        <v>75.707235000000011</v>
      </c>
      <c r="E85" s="265">
        <f t="shared" si="32"/>
        <v>108.63656850000001</v>
      </c>
      <c r="F85" s="265">
        <f t="shared" si="32"/>
        <v>138.09514920000001</v>
      </c>
      <c r="G85" s="265">
        <f t="shared" ref="G85:G86" si="34">SUM(C85:F85)</f>
        <v>337.55967270000002</v>
      </c>
    </row>
    <row r="86" spans="2:10">
      <c r="B86" s="165" t="s">
        <v>706</v>
      </c>
      <c r="C86" s="241">
        <f t="shared" ref="C86:F86" si="35">C80-C83-C84+C85</f>
        <v>-3.9734014810561575</v>
      </c>
      <c r="D86" s="241">
        <f t="shared" si="35"/>
        <v>-370.6983750353283</v>
      </c>
      <c r="E86" s="241">
        <f t="shared" si="35"/>
        <v>-94.007963432994814</v>
      </c>
      <c r="F86" s="241">
        <f t="shared" si="35"/>
        <v>253.04160833449308</v>
      </c>
      <c r="G86" s="241">
        <f t="shared" si="34"/>
        <v>-215.63813161488619</v>
      </c>
    </row>
    <row r="87" spans="2:10">
      <c r="B87" s="263" t="s">
        <v>712</v>
      </c>
      <c r="C87" s="264">
        <f t="shared" ref="C87" si="36">C86/C$53</f>
        <v>-7.0373608752780439E-3</v>
      </c>
      <c r="D87" s="264">
        <f t="shared" ref="D87" si="37">D86/D$53</f>
        <v>-0.13383460758446186</v>
      </c>
      <c r="E87" s="264">
        <f t="shared" ref="E87" si="38">E86/E$53</f>
        <v>-2.4126763595101474E-2</v>
      </c>
      <c r="F87" s="264">
        <f t="shared" ref="F87" si="39">F86/F$53</f>
        <v>5.1758181425446331E-2</v>
      </c>
      <c r="G87" s="264">
        <f t="shared" ref="G87" si="40">G86/G$53</f>
        <v>-1.7792250816275976E-2</v>
      </c>
    </row>
    <row r="88" spans="2:10">
      <c r="B88" s="263"/>
      <c r="C88" s="264"/>
      <c r="D88" s="264"/>
      <c r="E88" s="264"/>
      <c r="F88" s="264"/>
      <c r="G88" s="264"/>
    </row>
    <row r="89" spans="2:10">
      <c r="B89" s="175" t="s">
        <v>707</v>
      </c>
      <c r="C89" s="265">
        <f t="shared" ref="C89:F89" si="41">C64</f>
        <v>131.251</v>
      </c>
      <c r="D89" s="265">
        <f t="shared" si="41"/>
        <v>148.49799999999999</v>
      </c>
      <c r="E89" s="265">
        <f t="shared" si="41"/>
        <v>154.47299999999993</v>
      </c>
      <c r="F89" s="265">
        <f t="shared" si="41"/>
        <v>154.47300000000004</v>
      </c>
      <c r="G89" s="265">
        <f t="shared" ref="G89:G90" si="42">SUM(C89:F89)</f>
        <v>588.69500000000005</v>
      </c>
    </row>
    <row r="90" spans="2:10">
      <c r="B90" s="165" t="s">
        <v>708</v>
      </c>
      <c r="C90" s="241">
        <f t="shared" ref="C90:F90" si="43">C86-C89</f>
        <v>-135.22440148105616</v>
      </c>
      <c r="D90" s="241">
        <f t="shared" si="43"/>
        <v>-519.19637503532829</v>
      </c>
      <c r="E90" s="241">
        <f t="shared" si="43"/>
        <v>-248.48096343299474</v>
      </c>
      <c r="F90" s="241">
        <f t="shared" si="43"/>
        <v>98.568608334493035</v>
      </c>
      <c r="G90" s="241">
        <f t="shared" si="42"/>
        <v>-804.33313161488604</v>
      </c>
    </row>
    <row r="91" spans="2:10">
      <c r="B91" s="263" t="s">
        <v>711</v>
      </c>
      <c r="C91" s="264">
        <f t="shared" ref="C91" si="44">C90/C$53</f>
        <v>-0.23949830312962159</v>
      </c>
      <c r="D91" s="264">
        <f t="shared" ref="D91" si="45">D90/D$53</f>
        <v>-0.18744739063262972</v>
      </c>
      <c r="E91" s="264">
        <f t="shared" ref="E91" si="46">E90/E$53</f>
        <v>-6.3771634271217334E-2</v>
      </c>
      <c r="F91" s="264">
        <f t="shared" ref="F91" si="47">F90/F$53</f>
        <v>2.0161632494394066E-2</v>
      </c>
      <c r="G91" s="264">
        <f t="shared" ref="G91" si="48">G90/G$53</f>
        <v>-6.6365334880061827E-2</v>
      </c>
    </row>
    <row r="92" spans="2:10">
      <c r="B92" s="263"/>
      <c r="C92" s="264"/>
      <c r="D92" s="264"/>
      <c r="E92" s="264"/>
      <c r="F92" s="264"/>
      <c r="G92" s="264"/>
    </row>
    <row r="93" spans="2:10">
      <c r="B93" s="175" t="s">
        <v>709</v>
      </c>
      <c r="C93" s="265">
        <f t="shared" ref="C93:F93" si="49">C68</f>
        <v>123.53</v>
      </c>
      <c r="D93" s="265">
        <f t="shared" si="49"/>
        <v>124.15239344367619</v>
      </c>
      <c r="E93" s="265">
        <f t="shared" si="49"/>
        <v>123.36072966763443</v>
      </c>
      <c r="F93" s="265">
        <f t="shared" si="49"/>
        <v>123.48435000000002</v>
      </c>
      <c r="G93" s="265">
        <f t="shared" ref="G93:G94" si="50">SUM(C93:F93)</f>
        <v>494.5274731113106</v>
      </c>
    </row>
    <row r="94" spans="2:10">
      <c r="B94" s="165" t="s">
        <v>42</v>
      </c>
      <c r="C94" s="241">
        <f t="shared" ref="C94:F94" si="51">C93+C86</f>
        <v>119.55659851894384</v>
      </c>
      <c r="D94" s="241">
        <f t="shared" si="51"/>
        <v>-246.54598159165209</v>
      </c>
      <c r="E94" s="241">
        <f t="shared" si="51"/>
        <v>29.352766234639617</v>
      </c>
      <c r="F94" s="241">
        <f t="shared" si="51"/>
        <v>376.52595833449311</v>
      </c>
      <c r="G94" s="241">
        <f t="shared" si="50"/>
        <v>278.88934149642449</v>
      </c>
    </row>
    <row r="95" spans="2:10">
      <c r="B95" s="263" t="s">
        <v>710</v>
      </c>
      <c r="C95" s="264">
        <f t="shared" ref="C95" si="52">C94/C$53</f>
        <v>0.21174878320498844</v>
      </c>
      <c r="D95" s="264">
        <f t="shared" ref="D95" si="53">D94/D$53</f>
        <v>-8.9011409059184823E-2</v>
      </c>
      <c r="E95" s="264">
        <f>E94/E$53</f>
        <v>7.5332687353683071E-3</v>
      </c>
      <c r="F95" s="264">
        <f t="shared" ref="F95" si="54">F94/F$53</f>
        <v>7.7016183192707824E-2</v>
      </c>
      <c r="G95" s="264">
        <f t="shared" ref="G95" si="55">G94/G$53</f>
        <v>2.3011093060073057E-2</v>
      </c>
    </row>
    <row r="98" spans="3:6">
      <c r="C98" s="58">
        <f>C78-C37</f>
        <v>0</v>
      </c>
      <c r="D98" s="58">
        <f t="shared" ref="D98:F98" si="56">D78-D37</f>
        <v>0</v>
      </c>
      <c r="E98" s="58">
        <f t="shared" si="56"/>
        <v>0</v>
      </c>
      <c r="F98" s="58">
        <f t="shared" si="56"/>
        <v>0</v>
      </c>
    </row>
    <row r="99" spans="3:6">
      <c r="C99" s="58">
        <f>C90-C38</f>
        <v>9.0000000001282388E-3</v>
      </c>
      <c r="D99" s="58">
        <f t="shared" ref="D99:F99" si="57">D90-D38</f>
        <v>0</v>
      </c>
      <c r="E99" s="58">
        <f t="shared" si="57"/>
        <v>0</v>
      </c>
      <c r="F99" s="58">
        <f t="shared" si="57"/>
        <v>0</v>
      </c>
    </row>
    <row r="100" spans="3:6">
      <c r="C100">
        <v>9.0000000001282388E-3</v>
      </c>
      <c r="D100">
        <v>35.129835294117356</v>
      </c>
      <c r="E100">
        <v>74.526736231883291</v>
      </c>
      <c r="F100">
        <v>-37.643017142856451</v>
      </c>
    </row>
  </sheetData>
  <mergeCells count="7">
    <mergeCell ref="B48:G48"/>
    <mergeCell ref="B73:G73"/>
    <mergeCell ref="B5:I5"/>
    <mergeCell ref="B33:I33"/>
    <mergeCell ref="B27:I27"/>
    <mergeCell ref="B21:I21"/>
    <mergeCell ref="B13:I13"/>
  </mergeCells>
  <pageMargins left="0.7" right="0.7" top="0.75" bottom="0.75" header="0.3" footer="0.3"/>
  <ignoredErrors>
    <ignoredError sqref="C68:G70 C56:G56 C58:G62 C64:G6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334C-21BE-48A2-AF1B-C2A868C004CD}">
  <dimension ref="A1:AY121"/>
  <sheetViews>
    <sheetView showGridLines="0" zoomScale="80" zoomScaleNormal="80" workbookViewId="0">
      <selection activeCell="F23" sqref="F23"/>
    </sheetView>
  </sheetViews>
  <sheetFormatPr baseColWidth="10" defaultColWidth="11.44140625" defaultRowHeight="14.4"/>
  <cols>
    <col min="1" max="1" width="22.21875" bestFit="1" customWidth="1"/>
    <col min="2" max="2" width="22.44140625" bestFit="1" customWidth="1"/>
    <col min="3" max="4" width="10.88671875" bestFit="1" customWidth="1"/>
    <col min="5" max="5" width="14.21875" customWidth="1"/>
    <col min="6" max="6" width="12.44140625" bestFit="1" customWidth="1"/>
    <col min="7" max="7" width="12.44140625" customWidth="1"/>
    <col min="8" max="8" width="22.77734375" customWidth="1"/>
    <col min="9" max="9" width="10.109375" customWidth="1"/>
    <col min="10" max="10" width="22.44140625" bestFit="1" customWidth="1"/>
    <col min="11" max="12" width="9.6640625" bestFit="1" customWidth="1"/>
    <col min="13" max="13" width="9.44140625" bestFit="1" customWidth="1"/>
    <col min="14" max="14" width="13.77734375" bestFit="1" customWidth="1"/>
    <col min="15" max="15" width="12.109375" customWidth="1"/>
    <col min="16" max="17" width="7.109375" customWidth="1"/>
    <col min="18" max="18" width="26.77734375" bestFit="1" customWidth="1"/>
    <col min="19" max="19" width="22.44140625" bestFit="1" customWidth="1"/>
    <col min="20" max="20" width="9.6640625" bestFit="1" customWidth="1"/>
    <col min="21" max="21" width="9.44140625" bestFit="1" customWidth="1"/>
    <col min="22" max="22" width="9.6640625" bestFit="1" customWidth="1"/>
    <col min="23" max="23" width="12.44140625" bestFit="1" customWidth="1"/>
    <col min="24" max="24" width="7.109375" customWidth="1"/>
    <col min="25" max="25" width="11.5546875" customWidth="1"/>
    <col min="26" max="26" width="36" bestFit="1" customWidth="1"/>
    <col min="27" max="27" width="22.44140625" bestFit="1" customWidth="1"/>
    <col min="28" max="29" width="13.77734375" bestFit="1" customWidth="1"/>
    <col min="30" max="30" width="12.44140625" bestFit="1" customWidth="1"/>
    <col min="37" max="37" width="18.5546875" bestFit="1" customWidth="1"/>
  </cols>
  <sheetData>
    <row r="1" spans="1:43">
      <c r="B1" s="56"/>
      <c r="C1" s="56"/>
      <c r="D1" s="56"/>
      <c r="I1" s="114"/>
      <c r="N1" s="231" t="s">
        <v>599</v>
      </c>
      <c r="O1" s="231" t="s">
        <v>596</v>
      </c>
      <c r="P1" s="231" t="s">
        <v>601</v>
      </c>
    </row>
    <row r="2" spans="1:43">
      <c r="A2" s="53" t="s">
        <v>0</v>
      </c>
      <c r="E2" s="56"/>
      <c r="F2" s="56"/>
      <c r="M2" s="226" t="s">
        <v>600</v>
      </c>
      <c r="N2" s="56">
        <f>3024.94326918258/3.4</f>
        <v>889.68919681840589</v>
      </c>
      <c r="O2">
        <v>1119</v>
      </c>
      <c r="P2" s="74">
        <f>N2/O2-1</f>
        <v>-0.20492475708810909</v>
      </c>
      <c r="AA2" s="58"/>
    </row>
    <row r="3" spans="1:43">
      <c r="E3" s="172"/>
      <c r="F3" s="172"/>
      <c r="M3" s="226" t="s">
        <v>598</v>
      </c>
      <c r="N3" s="112">
        <f>N9/N2</f>
        <v>2.0820758205673897</v>
      </c>
      <c r="O3" s="112">
        <f>O9/O2</f>
        <v>1.9865383442964619</v>
      </c>
      <c r="P3" s="74">
        <f>N3/O3-1</f>
        <v>4.8092440070550246E-2</v>
      </c>
      <c r="AA3" s="58"/>
    </row>
    <row r="4" spans="1:43">
      <c r="A4" s="266" t="s">
        <v>1</v>
      </c>
      <c r="B4" s="266"/>
      <c r="C4" s="266"/>
      <c r="D4" s="266"/>
      <c r="E4" s="266"/>
      <c r="F4" s="165"/>
      <c r="M4" s="226" t="s">
        <v>597</v>
      </c>
      <c r="N4" s="112">
        <f>N8/N2</f>
        <v>2.2748843803546017</v>
      </c>
      <c r="O4" s="112">
        <f>O8/O2</f>
        <v>2.3488157462203474</v>
      </c>
      <c r="P4" s="74">
        <f>N4/O4-1</f>
        <v>-3.1476017641960286E-2</v>
      </c>
      <c r="AA4" s="58"/>
      <c r="AD4" s="231" t="s">
        <v>604</v>
      </c>
      <c r="AE4" s="231" t="s">
        <v>605</v>
      </c>
      <c r="AF4" s="231" t="s">
        <v>606</v>
      </c>
      <c r="AG4" s="231" t="s">
        <v>607</v>
      </c>
      <c r="AH4" s="231" t="s">
        <v>599</v>
      </c>
      <c r="AI4" s="231" t="s">
        <v>686</v>
      </c>
    </row>
    <row r="5" spans="1:43">
      <c r="B5" s="77" t="s">
        <v>2</v>
      </c>
      <c r="G5" s="166"/>
      <c r="I5" s="266" t="s">
        <v>3</v>
      </c>
      <c r="J5" s="266"/>
      <c r="K5" s="266"/>
      <c r="L5" s="266"/>
      <c r="M5" s="266"/>
      <c r="N5" s="165"/>
      <c r="P5" s="233">
        <f>P3-P4</f>
        <v>7.9568457712510532E-2</v>
      </c>
      <c r="R5" s="266" t="s">
        <v>4</v>
      </c>
      <c r="S5" s="266"/>
      <c r="T5" s="266"/>
      <c r="U5" s="266"/>
      <c r="V5" s="266"/>
      <c r="AC5" s="1" t="s">
        <v>608</v>
      </c>
      <c r="AD5" s="58">
        <f t="shared" ref="AD5:AH5" si="0">B8/1000</f>
        <v>564.61527999999998</v>
      </c>
      <c r="AE5" s="58">
        <f t="shared" si="0"/>
        <v>2769.8245000000002</v>
      </c>
      <c r="AF5" s="58">
        <f t="shared" si="0"/>
        <v>3896.41831</v>
      </c>
      <c r="AG5" s="58">
        <f t="shared" si="0"/>
        <v>4888.92</v>
      </c>
      <c r="AH5" s="58">
        <f t="shared" si="0"/>
        <v>12119.77809</v>
      </c>
      <c r="AI5" s="58">
        <f>G8/1000</f>
        <v>15333.647000000001</v>
      </c>
    </row>
    <row r="6" spans="1:43">
      <c r="A6" s="77" t="s">
        <v>5</v>
      </c>
      <c r="B6" t="s">
        <v>6</v>
      </c>
      <c r="C6" t="s">
        <v>7</v>
      </c>
      <c r="D6" t="s">
        <v>8</v>
      </c>
      <c r="E6" t="s">
        <v>466</v>
      </c>
      <c r="F6" t="s">
        <v>9</v>
      </c>
      <c r="G6" s="82" t="s">
        <v>596</v>
      </c>
      <c r="H6" s="231" t="s">
        <v>601</v>
      </c>
      <c r="I6" s="82" t="s">
        <v>10</v>
      </c>
      <c r="J6" s="82" t="s">
        <v>6</v>
      </c>
      <c r="K6" s="82" t="s">
        <v>7</v>
      </c>
      <c r="L6" s="82" t="s">
        <v>8</v>
      </c>
      <c r="M6" s="82" t="s">
        <v>466</v>
      </c>
      <c r="N6" s="82" t="s">
        <v>11</v>
      </c>
      <c r="O6" s="82" t="s">
        <v>596</v>
      </c>
      <c r="P6" s="231"/>
      <c r="R6" s="82" t="s">
        <v>10</v>
      </c>
      <c r="S6" s="82" t="s">
        <v>6</v>
      </c>
      <c r="T6" s="82" t="s">
        <v>7</v>
      </c>
      <c r="U6" s="82" t="s">
        <v>8</v>
      </c>
      <c r="V6" s="82" t="s">
        <v>466</v>
      </c>
      <c r="W6" s="82" t="s">
        <v>11</v>
      </c>
      <c r="X6" s="82" t="s">
        <v>596</v>
      </c>
      <c r="AC6" s="1" t="s">
        <v>609</v>
      </c>
      <c r="AD6" s="58">
        <f t="shared" ref="AD6:AG6" si="1">B16/1000</f>
        <v>-99.03798461538463</v>
      </c>
      <c r="AE6" s="58">
        <f t="shared" si="1"/>
        <v>-488.40745738826922</v>
      </c>
      <c r="AF6" s="58">
        <f t="shared" si="1"/>
        <v>-201.20763531705279</v>
      </c>
      <c r="AG6" s="58">
        <f t="shared" si="1"/>
        <v>89.74709976306444</v>
      </c>
      <c r="AH6" s="58">
        <f t="shared" ref="AH6" si="2">F16/1000</f>
        <v>-698.90597755764225</v>
      </c>
      <c r="AI6" s="58">
        <f t="shared" ref="AI6" si="3">G16/1000</f>
        <v>520.03599999999994</v>
      </c>
    </row>
    <row r="7" spans="1:43">
      <c r="A7" s="80" t="s">
        <v>12</v>
      </c>
      <c r="B7" s="81">
        <v>248</v>
      </c>
      <c r="C7" s="81">
        <v>1634.3</v>
      </c>
      <c r="D7" s="81">
        <v>1995.8</v>
      </c>
      <c r="E7" s="81">
        <v>2110.1099999999997</v>
      </c>
      <c r="F7" s="81">
        <v>5988.2099999999991</v>
      </c>
      <c r="G7" s="227">
        <v>5834</v>
      </c>
      <c r="H7" s="232">
        <f>(F7-G7)/G7</f>
        <v>2.6432979088104068E-2</v>
      </c>
      <c r="I7" s="80"/>
      <c r="R7" s="80"/>
      <c r="AB7" s="79"/>
      <c r="AQ7" s="236"/>
    </row>
    <row r="8" spans="1:43">
      <c r="A8" s="1" t="s">
        <v>13</v>
      </c>
      <c r="B8" s="58">
        <v>564615.28</v>
      </c>
      <c r="C8" s="58">
        <v>2769824.5</v>
      </c>
      <c r="D8" s="58">
        <v>3896418.31</v>
      </c>
      <c r="E8" s="58">
        <v>4888920</v>
      </c>
      <c r="F8" s="58">
        <v>12119778.09</v>
      </c>
      <c r="G8" s="228">
        <v>15333647</v>
      </c>
      <c r="H8" s="232">
        <f t="shared" ref="H8:H19" si="4">(F8-G8)/G8</f>
        <v>-0.20959585870210787</v>
      </c>
      <c r="I8" s="1" t="s">
        <v>13</v>
      </c>
      <c r="J8" s="56">
        <f t="shared" ref="J8:J18" si="5">B8/B$7</f>
        <v>2276.6745161290323</v>
      </c>
      <c r="K8" s="56">
        <f t="shared" ref="K8:K18" si="6">C8/C$7</f>
        <v>1694.8078688123355</v>
      </c>
      <c r="L8" s="56">
        <f t="shared" ref="L8:O18" si="7">D8/D$7</f>
        <v>1952.3090039082074</v>
      </c>
      <c r="M8" s="56">
        <f t="shared" si="7"/>
        <v>2316.90291027482</v>
      </c>
      <c r="N8" s="56">
        <f t="shared" si="7"/>
        <v>2023.9400572124227</v>
      </c>
      <c r="O8" s="56">
        <f t="shared" si="7"/>
        <v>2628.3248200205689</v>
      </c>
      <c r="P8" s="74"/>
      <c r="R8" s="1" t="s">
        <v>13</v>
      </c>
      <c r="S8" s="74">
        <f t="shared" ref="S8:S18" si="8">B8/B$8</f>
        <v>1</v>
      </c>
      <c r="T8" s="74">
        <f t="shared" ref="T8:T18" si="9">C8/C$8</f>
        <v>1</v>
      </c>
      <c r="U8" s="74">
        <f t="shared" ref="U8:X18" si="10">D8/D$8</f>
        <v>1</v>
      </c>
      <c r="V8" s="74">
        <f t="shared" si="10"/>
        <v>1</v>
      </c>
      <c r="W8" s="74">
        <f t="shared" si="10"/>
        <v>1</v>
      </c>
      <c r="X8" s="74">
        <f t="shared" si="10"/>
        <v>1</v>
      </c>
      <c r="AA8" s="58"/>
      <c r="AB8" s="79"/>
    </row>
    <row r="9" spans="1:43">
      <c r="A9" s="1" t="s">
        <v>14</v>
      </c>
      <c r="B9" s="58">
        <v>442635.6</v>
      </c>
      <c r="C9" s="58">
        <v>2804315.0154651925</v>
      </c>
      <c r="D9" s="58">
        <v>3579964.7407401307</v>
      </c>
      <c r="E9" s="58">
        <v>4265647.030590781</v>
      </c>
      <c r="F9" s="58">
        <v>11092562.386796106</v>
      </c>
      <c r="G9" s="228">
        <v>12968611</v>
      </c>
      <c r="H9" s="232">
        <f t="shared" si="4"/>
        <v>-0.14466072065881955</v>
      </c>
      <c r="I9" s="1" t="s">
        <v>14</v>
      </c>
      <c r="J9" s="56">
        <f t="shared" si="5"/>
        <v>1784.8209677419354</v>
      </c>
      <c r="K9" s="56">
        <f t="shared" si="6"/>
        <v>1715.9120207215276</v>
      </c>
      <c r="L9" s="56">
        <f t="shared" si="7"/>
        <v>1793.7492437820076</v>
      </c>
      <c r="M9" s="56">
        <f t="shared" si="7"/>
        <v>2021.528276057069</v>
      </c>
      <c r="N9" s="56">
        <f t="shared" si="7"/>
        <v>1852.4003645156245</v>
      </c>
      <c r="O9" s="56">
        <f t="shared" si="7"/>
        <v>2222.9364072677408</v>
      </c>
      <c r="P9" s="74"/>
      <c r="R9" s="1" t="s">
        <v>14</v>
      </c>
      <c r="S9" s="74">
        <f t="shared" si="8"/>
        <v>0.7839596547936144</v>
      </c>
      <c r="T9" s="74">
        <f t="shared" si="9"/>
        <v>1.012452238567892</v>
      </c>
      <c r="U9" s="74">
        <f t="shared" si="10"/>
        <v>0.91878347136196747</v>
      </c>
      <c r="V9" s="74">
        <f t="shared" si="10"/>
        <v>0.87251315844619692</v>
      </c>
      <c r="W9" s="74">
        <f t="shared" si="10"/>
        <v>0.9152446772889804</v>
      </c>
      <c r="X9" s="74">
        <f t="shared" si="10"/>
        <v>0.8457616769187396</v>
      </c>
      <c r="AA9" s="58"/>
      <c r="AB9" s="79"/>
      <c r="AK9" s="53" t="s">
        <v>647</v>
      </c>
    </row>
    <row r="10" spans="1:43">
      <c r="A10" s="78" t="s">
        <v>15</v>
      </c>
      <c r="B10" s="79">
        <v>121979.68</v>
      </c>
      <c r="C10" s="79">
        <v>-34490.515465192351</v>
      </c>
      <c r="D10" s="79">
        <v>316453.56925987033</v>
      </c>
      <c r="E10" s="79">
        <v>623272.96940921817</v>
      </c>
      <c r="F10" s="79">
        <v>1027215.7032038962</v>
      </c>
      <c r="G10" s="229">
        <f>G8-G9</f>
        <v>2365036</v>
      </c>
      <c r="H10" s="232">
        <f t="shared" si="4"/>
        <v>-0.5656659335401677</v>
      </c>
      <c r="I10" s="78" t="s">
        <v>15</v>
      </c>
      <c r="J10" s="83">
        <f t="shared" si="5"/>
        <v>491.85354838709674</v>
      </c>
      <c r="K10" s="83">
        <f t="shared" si="6"/>
        <v>-21.10415190919192</v>
      </c>
      <c r="L10" s="83">
        <f t="shared" si="7"/>
        <v>158.55976012620019</v>
      </c>
      <c r="M10" s="83">
        <f t="shared" si="7"/>
        <v>295.37463421775084</v>
      </c>
      <c r="N10" s="83">
        <f t="shared" si="7"/>
        <v>171.5396926967986</v>
      </c>
      <c r="O10" s="83">
        <f t="shared" si="7"/>
        <v>405.38841275282823</v>
      </c>
      <c r="P10" s="74"/>
      <c r="R10" s="78" t="s">
        <v>15</v>
      </c>
      <c r="S10" s="85">
        <f t="shared" si="8"/>
        <v>0.21604034520638546</v>
      </c>
      <c r="T10" s="85">
        <f t="shared" si="9"/>
        <v>-1.2452238567892064E-2</v>
      </c>
      <c r="U10" s="85">
        <f t="shared" si="10"/>
        <v>8.1216528638032789E-2</v>
      </c>
      <c r="V10" s="85">
        <f t="shared" si="10"/>
        <v>0.12748684155380291</v>
      </c>
      <c r="W10" s="85">
        <f t="shared" si="10"/>
        <v>8.4755322711019723E-2</v>
      </c>
      <c r="X10" s="85">
        <f t="shared" si="10"/>
        <v>0.15423832308126045</v>
      </c>
      <c r="AC10" s="79" t="s">
        <v>610</v>
      </c>
    </row>
    <row r="11" spans="1:43">
      <c r="A11" s="1" t="s">
        <v>16</v>
      </c>
      <c r="B11" s="58">
        <v>54228.384615384624</v>
      </c>
      <c r="C11" s="58">
        <v>324522.17692307697</v>
      </c>
      <c r="D11" s="58">
        <v>393245.77307692327</v>
      </c>
      <c r="E11" s="58">
        <v>438569.01884615375</v>
      </c>
      <c r="F11" s="58">
        <v>1210565.3534615387</v>
      </c>
      <c r="G11" s="228">
        <v>1313000</v>
      </c>
      <c r="H11" s="232">
        <f t="shared" si="4"/>
        <v>-7.8015724705606498E-2</v>
      </c>
      <c r="I11" s="1" t="s">
        <v>16</v>
      </c>
      <c r="J11" s="56">
        <f t="shared" si="5"/>
        <v>218.66284119106703</v>
      </c>
      <c r="K11" s="56">
        <f t="shared" si="6"/>
        <v>198.56952635567336</v>
      </c>
      <c r="L11" s="56">
        <f t="shared" si="7"/>
        <v>197.03666353187859</v>
      </c>
      <c r="M11" s="56">
        <f t="shared" si="7"/>
        <v>207.84178021342669</v>
      </c>
      <c r="N11" s="56">
        <f t="shared" si="7"/>
        <v>202.15813297488546</v>
      </c>
      <c r="O11" s="56">
        <f t="shared" si="7"/>
        <v>225.05999314364072</v>
      </c>
      <c r="R11" s="1" t="s">
        <v>16</v>
      </c>
      <c r="S11" s="74">
        <f t="shared" si="8"/>
        <v>9.6044840684057692E-2</v>
      </c>
      <c r="T11" s="74">
        <f t="shared" si="9"/>
        <v>0.11716344372110109</v>
      </c>
      <c r="U11" s="74">
        <f t="shared" si="10"/>
        <v>0.10092493715771582</v>
      </c>
      <c r="V11" s="74">
        <f t="shared" si="10"/>
        <v>8.9706728448441325E-2</v>
      </c>
      <c r="W11" s="74">
        <f t="shared" si="10"/>
        <v>9.9883458630350114E-2</v>
      </c>
      <c r="X11" s="74">
        <f t="shared" si="10"/>
        <v>8.5628683117591003E-2</v>
      </c>
      <c r="AC11" s="58"/>
      <c r="AD11" s="231" t="s">
        <v>608</v>
      </c>
      <c r="AE11" s="231" t="s">
        <v>609</v>
      </c>
      <c r="AK11" t="s">
        <v>301</v>
      </c>
      <c r="AL11" t="s">
        <v>640</v>
      </c>
      <c r="AM11" t="s">
        <v>648</v>
      </c>
    </row>
    <row r="12" spans="1:43">
      <c r="A12" s="1" t="s">
        <v>17</v>
      </c>
      <c r="B12" s="58">
        <v>50659</v>
      </c>
      <c r="C12" s="58">
        <v>56603.999999999993</v>
      </c>
      <c r="D12" s="58">
        <v>78579</v>
      </c>
      <c r="E12" s="58">
        <v>78579.000000000015</v>
      </c>
      <c r="F12" s="58">
        <v>264421</v>
      </c>
      <c r="G12" s="228">
        <v>274000</v>
      </c>
      <c r="H12" s="232">
        <f t="shared" si="4"/>
        <v>-3.4959854014598543E-2</v>
      </c>
      <c r="I12" s="1" t="s">
        <v>17</v>
      </c>
      <c r="J12" s="56">
        <f t="shared" si="5"/>
        <v>204.27016129032259</v>
      </c>
      <c r="K12" s="56">
        <f t="shared" si="6"/>
        <v>34.635011931713883</v>
      </c>
      <c r="L12" s="56">
        <f t="shared" si="7"/>
        <v>39.372181581320774</v>
      </c>
      <c r="M12" s="56">
        <f t="shared" si="7"/>
        <v>37.239290842657503</v>
      </c>
      <c r="N12" s="56">
        <f t="shared" si="7"/>
        <v>44.156935044028188</v>
      </c>
      <c r="O12" s="56">
        <f t="shared" si="7"/>
        <v>46.966061021597532</v>
      </c>
      <c r="R12" s="1" t="s">
        <v>17</v>
      </c>
      <c r="S12" s="74">
        <f t="shared" si="8"/>
        <v>8.9723041147593455E-2</v>
      </c>
      <c r="T12" s="74">
        <f t="shared" si="9"/>
        <v>2.0435951808499057E-2</v>
      </c>
      <c r="U12" s="74">
        <f t="shared" si="10"/>
        <v>2.0166982533248591E-2</v>
      </c>
      <c r="V12" s="74">
        <f t="shared" si="10"/>
        <v>1.6072874990795516E-2</v>
      </c>
      <c r="W12" s="74">
        <f t="shared" si="10"/>
        <v>2.1817313653471358E-2</v>
      </c>
      <c r="X12" s="74">
        <f t="shared" si="10"/>
        <v>1.7869199675719677E-2</v>
      </c>
      <c r="AC12" s="78" t="s">
        <v>627</v>
      </c>
      <c r="AD12" s="79">
        <v>3148.23</v>
      </c>
      <c r="AE12" s="79">
        <v>-1138.4306055680258</v>
      </c>
      <c r="AF12" s="110"/>
      <c r="AG12" s="58"/>
      <c r="AK12" t="s">
        <v>627</v>
      </c>
      <c r="AL12">
        <v>1323</v>
      </c>
      <c r="AM12">
        <v>1525</v>
      </c>
    </row>
    <row r="13" spans="1:43">
      <c r="A13" s="1" t="s">
        <v>18</v>
      </c>
      <c r="B13" s="58">
        <v>15120.72</v>
      </c>
      <c r="C13" s="58">
        <v>75707.235000000015</v>
      </c>
      <c r="D13" s="58">
        <v>108636.56850000001</v>
      </c>
      <c r="E13" s="58">
        <v>138095.14920000001</v>
      </c>
      <c r="F13" s="58">
        <v>337559.6727</v>
      </c>
      <c r="G13" s="228">
        <v>283000</v>
      </c>
      <c r="H13" s="232">
        <f t="shared" si="4"/>
        <v>0.19279036289752649</v>
      </c>
      <c r="I13" s="1" t="s">
        <v>18</v>
      </c>
      <c r="J13" s="56">
        <f t="shared" si="5"/>
        <v>60.970645161290321</v>
      </c>
      <c r="K13" s="56">
        <f t="shared" si="6"/>
        <v>46.323952150767923</v>
      </c>
      <c r="L13" s="56">
        <f t="shared" si="7"/>
        <v>54.432592694658787</v>
      </c>
      <c r="M13" s="56">
        <f t="shared" si="7"/>
        <v>65.444526209534118</v>
      </c>
      <c r="N13" s="56">
        <f t="shared" si="7"/>
        <v>56.370713902819048</v>
      </c>
      <c r="O13" s="56">
        <f t="shared" si="7"/>
        <v>48.508741858073364</v>
      </c>
      <c r="R13" s="1" t="s">
        <v>18</v>
      </c>
      <c r="S13" s="74">
        <f t="shared" si="8"/>
        <v>2.6780571719560969E-2</v>
      </c>
      <c r="T13" s="74">
        <f t="shared" si="9"/>
        <v>2.7332863508139238E-2</v>
      </c>
      <c r="U13" s="74">
        <f t="shared" si="10"/>
        <v>2.788113591941313E-2</v>
      </c>
      <c r="V13" s="74">
        <f t="shared" si="10"/>
        <v>2.8246555312829831E-2</v>
      </c>
      <c r="W13" s="74">
        <f t="shared" si="10"/>
        <v>2.7851968096554481E-2</v>
      </c>
      <c r="X13" s="74">
        <f t="shared" si="10"/>
        <v>1.845614419061558E-2</v>
      </c>
      <c r="AC13" s="78" t="s">
        <v>628</v>
      </c>
      <c r="AD13" s="79">
        <v>2631.8490000000002</v>
      </c>
      <c r="AE13" s="79">
        <v>311.25594609437849</v>
      </c>
      <c r="AF13" s="58"/>
      <c r="AG13" s="58"/>
      <c r="AK13" t="s">
        <v>630</v>
      </c>
      <c r="AL13">
        <v>3292</v>
      </c>
      <c r="AM13">
        <v>3417</v>
      </c>
    </row>
    <row r="14" spans="1:43">
      <c r="A14" s="78" t="s">
        <v>19</v>
      </c>
      <c r="B14" s="79">
        <v>32213.015384615384</v>
      </c>
      <c r="C14" s="79">
        <v>-339909.45738826925</v>
      </c>
      <c r="D14" s="79">
        <v>-46734.63531705278</v>
      </c>
      <c r="E14" s="79">
        <v>244220.09976306438</v>
      </c>
      <c r="F14" s="79">
        <v>-110210.97755764224</v>
      </c>
      <c r="G14" s="229">
        <f>G10-G11-G12+G13</f>
        <v>1061036</v>
      </c>
      <c r="H14" s="232">
        <f t="shared" si="4"/>
        <v>-1.1038711010348774</v>
      </c>
      <c r="I14" s="78" t="s">
        <v>19</v>
      </c>
      <c r="J14" s="83">
        <f t="shared" si="5"/>
        <v>129.89119106699752</v>
      </c>
      <c r="K14" s="83">
        <f t="shared" si="6"/>
        <v>-207.98473804581121</v>
      </c>
      <c r="L14" s="83">
        <f t="shared" si="7"/>
        <v>-23.416492292340305</v>
      </c>
      <c r="M14" s="83">
        <f t="shared" si="7"/>
        <v>115.73808937120076</v>
      </c>
      <c r="N14" s="83">
        <f t="shared" si="7"/>
        <v>-18.404661419295959</v>
      </c>
      <c r="O14" s="83">
        <f t="shared" si="7"/>
        <v>181.87110044566336</v>
      </c>
      <c r="R14" s="78" t="s">
        <v>19</v>
      </c>
      <c r="S14" s="85">
        <f t="shared" si="8"/>
        <v>5.705303509429533E-2</v>
      </c>
      <c r="T14" s="85">
        <f t="shared" si="9"/>
        <v>-0.12271877058935296</v>
      </c>
      <c r="U14" s="85">
        <f t="shared" si="10"/>
        <v>-1.1994255133518449E-2</v>
      </c>
      <c r="V14" s="85">
        <f t="shared" si="10"/>
        <v>4.9953793427395907E-2</v>
      </c>
      <c r="W14" s="85">
        <f t="shared" si="10"/>
        <v>-9.093481476247247E-3</v>
      </c>
      <c r="X14" s="85">
        <f t="shared" si="10"/>
        <v>6.9196584478565346E-2</v>
      </c>
      <c r="AC14" s="78" t="s">
        <v>629</v>
      </c>
      <c r="AD14" s="79">
        <v>2273.4270000000001</v>
      </c>
      <c r="AE14" s="79">
        <v>-451.32788288255074</v>
      </c>
      <c r="AF14" s="58"/>
      <c r="AG14" s="58"/>
      <c r="AK14" t="s">
        <v>642</v>
      </c>
      <c r="AL14">
        <v>2724</v>
      </c>
      <c r="AM14">
        <v>2704</v>
      </c>
    </row>
    <row r="15" spans="1:43">
      <c r="A15" s="1" t="s">
        <v>20</v>
      </c>
      <c r="B15" s="58">
        <v>131251</v>
      </c>
      <c r="C15" s="58">
        <v>148498</v>
      </c>
      <c r="D15" s="58">
        <v>154472.99999999994</v>
      </c>
      <c r="E15" s="58">
        <v>154473.00000000003</v>
      </c>
      <c r="F15" s="58">
        <v>588695</v>
      </c>
      <c r="G15" s="58">
        <v>541000</v>
      </c>
      <c r="H15" s="232">
        <f t="shared" si="4"/>
        <v>8.8160813308687622E-2</v>
      </c>
      <c r="I15" s="1" t="s">
        <v>20</v>
      </c>
      <c r="J15" s="56">
        <f t="shared" si="5"/>
        <v>529.23790322580646</v>
      </c>
      <c r="K15" s="56">
        <f t="shared" si="6"/>
        <v>90.863366578963479</v>
      </c>
      <c r="L15" s="56">
        <f t="shared" si="7"/>
        <v>77.399037979757466</v>
      </c>
      <c r="M15" s="56">
        <f t="shared" si="7"/>
        <v>73.206136172995741</v>
      </c>
      <c r="N15" s="56">
        <f t="shared" si="7"/>
        <v>98.309010539042561</v>
      </c>
      <c r="O15" s="56">
        <f t="shared" si="7"/>
        <v>92.73225917038053</v>
      </c>
      <c r="R15" s="1" t="s">
        <v>20</v>
      </c>
      <c r="S15" s="74">
        <f t="shared" si="8"/>
        <v>0.23246094225434352</v>
      </c>
      <c r="T15" s="74">
        <f t="shared" si="9"/>
        <v>5.3612783048167856E-2</v>
      </c>
      <c r="U15" s="74">
        <f t="shared" si="10"/>
        <v>3.9644870676115863E-2</v>
      </c>
      <c r="V15" s="74">
        <f t="shared" si="10"/>
        <v>3.1596548931052265E-2</v>
      </c>
      <c r="W15" s="74">
        <f t="shared" si="10"/>
        <v>4.8573084063785861E-2</v>
      </c>
      <c r="X15" s="74">
        <f t="shared" si="10"/>
        <v>3.5281886950964764E-2</v>
      </c>
      <c r="AC15" s="78" t="s">
        <v>630</v>
      </c>
      <c r="AD15" s="79">
        <v>1927.8</v>
      </c>
      <c r="AE15" s="79">
        <v>513.07692735927731</v>
      </c>
      <c r="AF15" s="58"/>
      <c r="AG15" s="58"/>
      <c r="AK15" t="s">
        <v>641</v>
      </c>
      <c r="AL15">
        <v>1123</v>
      </c>
      <c r="AM15">
        <v>1171</v>
      </c>
    </row>
    <row r="16" spans="1:43">
      <c r="A16" s="78" t="s">
        <v>21</v>
      </c>
      <c r="B16" s="119">
        <v>-99037.98461538463</v>
      </c>
      <c r="C16" s="119">
        <v>-488407.45738826925</v>
      </c>
      <c r="D16" s="119">
        <v>-201207.6353170528</v>
      </c>
      <c r="E16" s="119">
        <v>89747.099763064442</v>
      </c>
      <c r="F16" s="119">
        <v>-698905.97755764227</v>
      </c>
      <c r="G16" s="230">
        <f>G14-G15</f>
        <v>520036</v>
      </c>
      <c r="H16" s="232">
        <f t="shared" si="4"/>
        <v>-2.3439569136706737</v>
      </c>
      <c r="I16" s="78" t="s">
        <v>21</v>
      </c>
      <c r="J16" s="83">
        <f t="shared" si="5"/>
        <v>-399.346712158809</v>
      </c>
      <c r="K16" s="83">
        <f t="shared" si="6"/>
        <v>-298.84810462477469</v>
      </c>
      <c r="L16" s="83">
        <f t="shared" si="7"/>
        <v>-100.8155302720978</v>
      </c>
      <c r="M16" s="83">
        <f t="shared" si="7"/>
        <v>42.531953198205052</v>
      </c>
      <c r="N16" s="83">
        <f t="shared" si="7"/>
        <v>-116.71367195833854</v>
      </c>
      <c r="O16" s="83">
        <f t="shared" si="7"/>
        <v>89.138841275282829</v>
      </c>
      <c r="R16" s="78" t="s">
        <v>21</v>
      </c>
      <c r="S16" s="85">
        <f t="shared" si="8"/>
        <v>-0.1754079071600482</v>
      </c>
      <c r="T16" s="85">
        <f t="shared" si="9"/>
        <v>-0.17633155363752082</v>
      </c>
      <c r="U16" s="85">
        <f t="shared" si="10"/>
        <v>-5.1639125809634333E-2</v>
      </c>
      <c r="V16" s="85">
        <f t="shared" si="10"/>
        <v>1.8357244496343659E-2</v>
      </c>
      <c r="W16" s="85">
        <f t="shared" si="10"/>
        <v>-5.7666565540033105E-2</v>
      </c>
      <c r="X16" s="85">
        <f t="shared" si="10"/>
        <v>3.3914697527600575E-2</v>
      </c>
      <c r="AC16" s="78" t="s">
        <v>631</v>
      </c>
      <c r="AD16" s="79">
        <v>599.40499999999997</v>
      </c>
      <c r="AE16" s="79">
        <v>126.98724667837696</v>
      </c>
      <c r="AF16" s="58"/>
      <c r="AG16" s="58"/>
      <c r="AK16" t="s">
        <v>633</v>
      </c>
      <c r="AL16">
        <v>3240</v>
      </c>
      <c r="AM16">
        <v>3318</v>
      </c>
    </row>
    <row r="17" spans="1:41">
      <c r="A17" s="1" t="s">
        <v>22</v>
      </c>
      <c r="B17" s="58">
        <v>123530</v>
      </c>
      <c r="C17" s="58">
        <v>124152.39344367619</v>
      </c>
      <c r="D17" s="58">
        <v>123360.72966763443</v>
      </c>
      <c r="E17" s="58">
        <v>123484.35000000002</v>
      </c>
      <c r="F17" s="58">
        <v>494527.47311131062</v>
      </c>
      <c r="G17" s="228">
        <v>466666.66666666669</v>
      </c>
      <c r="H17" s="232">
        <f t="shared" si="4"/>
        <v>5.9701728095665582E-2</v>
      </c>
      <c r="I17" s="1" t="s">
        <v>22</v>
      </c>
      <c r="J17" s="56">
        <f t="shared" si="5"/>
        <v>498.10483870967744</v>
      </c>
      <c r="K17" s="56">
        <f t="shared" si="6"/>
        <v>75.966709565976984</v>
      </c>
      <c r="L17" s="56">
        <f t="shared" si="7"/>
        <v>61.810166182801098</v>
      </c>
      <c r="M17" s="56">
        <f t="shared" si="7"/>
        <v>58.520337802294684</v>
      </c>
      <c r="N17" s="56">
        <f t="shared" si="7"/>
        <v>82.58352213955601</v>
      </c>
      <c r="O17" s="56">
        <f t="shared" si="7"/>
        <v>79.990858187635709</v>
      </c>
      <c r="R17" s="1" t="s">
        <v>22</v>
      </c>
      <c r="S17" s="74">
        <f t="shared" si="8"/>
        <v>0.21878614408026648</v>
      </c>
      <c r="T17" s="74">
        <f t="shared" si="9"/>
        <v>4.4823198525277032E-2</v>
      </c>
      <c r="U17" s="74">
        <f t="shared" si="10"/>
        <v>3.1660032330469781E-2</v>
      </c>
      <c r="V17" s="74">
        <f t="shared" si="10"/>
        <v>2.5258001767261486E-2</v>
      </c>
      <c r="W17" s="74">
        <f t="shared" si="10"/>
        <v>4.0803343876349027E-2</v>
      </c>
      <c r="X17" s="74">
        <f t="shared" si="10"/>
        <v>3.0434160031639353E-2</v>
      </c>
      <c r="AC17" s="78" t="s">
        <v>632</v>
      </c>
      <c r="AD17" s="79">
        <v>514.83000000000004</v>
      </c>
      <c r="AE17" s="79">
        <v>-431.34411270209853</v>
      </c>
      <c r="AF17" s="58"/>
      <c r="AG17" s="58"/>
      <c r="AK17" t="s">
        <v>629</v>
      </c>
      <c r="AL17">
        <v>1509</v>
      </c>
      <c r="AM17">
        <v>1579</v>
      </c>
    </row>
    <row r="18" spans="1:41">
      <c r="A18" s="78" t="s">
        <v>23</v>
      </c>
      <c r="B18" s="79">
        <v>155743.01538461537</v>
      </c>
      <c r="C18" s="79">
        <v>-215757.06394459307</v>
      </c>
      <c r="D18" s="79">
        <v>76626.094350581639</v>
      </c>
      <c r="E18" s="79">
        <v>367704.44976306433</v>
      </c>
      <c r="F18" s="79">
        <v>384316.49555366824</v>
      </c>
      <c r="G18" s="229">
        <f>G17+G14</f>
        <v>1527702.6666666667</v>
      </c>
      <c r="H18" s="232">
        <f t="shared" si="4"/>
        <v>-0.74843501687915603</v>
      </c>
      <c r="I18" s="78" t="s">
        <v>23</v>
      </c>
      <c r="J18" s="83">
        <f t="shared" si="5"/>
        <v>627.99602977667485</v>
      </c>
      <c r="K18" s="83">
        <f t="shared" si="6"/>
        <v>-132.01802847983421</v>
      </c>
      <c r="L18" s="83">
        <f t="shared" si="7"/>
        <v>38.393673890460789</v>
      </c>
      <c r="M18" s="83">
        <f t="shared" si="7"/>
        <v>174.25842717349539</v>
      </c>
      <c r="N18" s="83">
        <f t="shared" si="7"/>
        <v>64.178860720260033</v>
      </c>
      <c r="O18" s="83">
        <f t="shared" si="7"/>
        <v>261.86195863329908</v>
      </c>
      <c r="R18" s="78" t="s">
        <v>23</v>
      </c>
      <c r="S18" s="85">
        <f t="shared" si="8"/>
        <v>0.27583917917456174</v>
      </c>
      <c r="T18" s="85">
        <f t="shared" si="9"/>
        <v>-7.7895572064075921E-2</v>
      </c>
      <c r="U18" s="85">
        <f t="shared" si="10"/>
        <v>1.9665777196951329E-2</v>
      </c>
      <c r="V18" s="85">
        <f t="shared" si="10"/>
        <v>7.5211795194657372E-2</v>
      </c>
      <c r="W18" s="85">
        <f t="shared" si="10"/>
        <v>3.170986240010177E-2</v>
      </c>
      <c r="X18" s="85">
        <f t="shared" si="10"/>
        <v>9.9630744510204705E-2</v>
      </c>
      <c r="AC18" s="78" t="s">
        <v>633</v>
      </c>
      <c r="AD18" s="79">
        <v>384.2577</v>
      </c>
      <c r="AE18" s="79">
        <v>138.02446829659678</v>
      </c>
      <c r="AF18" s="58"/>
      <c r="AG18" s="58"/>
      <c r="AK18" t="s">
        <v>643</v>
      </c>
      <c r="AL18">
        <v>2290</v>
      </c>
      <c r="AM18">
        <v>2288</v>
      </c>
    </row>
    <row r="19" spans="1:41">
      <c r="A19" s="78" t="s">
        <v>602</v>
      </c>
      <c r="B19" s="79">
        <f t="shared" ref="B19:G19" si="11">B16+B17</f>
        <v>24492.01538461537</v>
      </c>
      <c r="C19" s="79">
        <f t="shared" si="11"/>
        <v>-364255.06394459307</v>
      </c>
      <c r="D19" s="79">
        <f t="shared" si="11"/>
        <v>-77846.905649418375</v>
      </c>
      <c r="E19" s="79">
        <f t="shared" si="11"/>
        <v>213231.44976306445</v>
      </c>
      <c r="F19" s="79">
        <f t="shared" si="11"/>
        <v>-204378.50444633164</v>
      </c>
      <c r="G19" s="79">
        <f t="shared" si="11"/>
        <v>986702.66666666674</v>
      </c>
      <c r="H19" s="232">
        <f t="shared" si="4"/>
        <v>-1.2071328185792529</v>
      </c>
      <c r="AC19" s="78" t="s">
        <v>583</v>
      </c>
      <c r="AD19" s="79">
        <f>SUM(AD20:AD25)</f>
        <v>639.97938999999997</v>
      </c>
      <c r="AE19" s="79">
        <f>SUM(AE20:AE25)</f>
        <v>232.85203516640283</v>
      </c>
    </row>
    <row r="20" spans="1:41">
      <c r="D20" s="56"/>
      <c r="E20" s="58"/>
      <c r="F20" s="58"/>
      <c r="N20" s="231" t="s">
        <v>616</v>
      </c>
      <c r="O20" s="231" t="s">
        <v>617</v>
      </c>
      <c r="AC20" s="1" t="s">
        <v>37</v>
      </c>
      <c r="AD20" s="58">
        <v>231.72</v>
      </c>
      <c r="AE20" s="58">
        <v>0.42290479048241469</v>
      </c>
      <c r="AF20" s="58"/>
      <c r="AG20" s="58"/>
    </row>
    <row r="21" spans="1:41">
      <c r="B21" s="56"/>
      <c r="C21" s="56"/>
      <c r="D21" s="56"/>
      <c r="E21" s="56"/>
      <c r="F21" s="56"/>
      <c r="G21" s="110"/>
      <c r="M21" t="s">
        <v>615</v>
      </c>
      <c r="N21" s="56">
        <v>3400000</v>
      </c>
      <c r="O21" s="56">
        <v>3400000</v>
      </c>
      <c r="AC21" s="1" t="s">
        <v>38</v>
      </c>
      <c r="AD21" s="58">
        <v>128.90625</v>
      </c>
      <c r="AE21" s="58">
        <v>66.439885963324244</v>
      </c>
      <c r="AF21" s="58"/>
      <c r="AG21" s="58"/>
    </row>
    <row r="22" spans="1:41">
      <c r="A22" s="56"/>
      <c r="B22" s="56"/>
      <c r="C22" s="56"/>
      <c r="D22" s="56"/>
      <c r="E22" s="56"/>
      <c r="F22" s="56"/>
      <c r="M22" t="s">
        <v>614</v>
      </c>
      <c r="N22" s="56">
        <v>16000</v>
      </c>
      <c r="O22" s="56">
        <v>22500</v>
      </c>
      <c r="AC22" s="1" t="s">
        <v>39</v>
      </c>
      <c r="AD22" s="58">
        <v>90.806250000000006</v>
      </c>
      <c r="AE22" s="58">
        <v>36.286582092307917</v>
      </c>
      <c r="AF22" s="58"/>
      <c r="AG22" s="58"/>
      <c r="AO22" t="s">
        <v>644</v>
      </c>
    </row>
    <row r="23" spans="1:41">
      <c r="E23" s="56"/>
      <c r="F23" s="56"/>
      <c r="M23" t="s">
        <v>613</v>
      </c>
      <c r="N23" s="56">
        <v>10975</v>
      </c>
      <c r="O23" s="56">
        <v>16500</v>
      </c>
      <c r="AC23" s="1" t="s">
        <v>468</v>
      </c>
      <c r="AD23" s="58">
        <v>67.5</v>
      </c>
      <c r="AE23" s="58">
        <v>15.712770115605499</v>
      </c>
      <c r="AF23" s="58"/>
      <c r="AG23" s="58"/>
      <c r="AO23" s="238">
        <v>6.9199999999999998E-2</v>
      </c>
    </row>
    <row r="24" spans="1:41">
      <c r="I24" s="73"/>
      <c r="M24" s="53" t="s">
        <v>612</v>
      </c>
      <c r="N24" s="83">
        <f>N21/N23</f>
        <v>309.79498861047836</v>
      </c>
      <c r="O24" s="83">
        <f>O21/O23</f>
        <v>206.06060606060606</v>
      </c>
      <c r="AC24" s="1" t="s">
        <v>500</v>
      </c>
      <c r="AD24" s="58">
        <v>30.25</v>
      </c>
      <c r="AE24" s="58">
        <v>23.193002204682731</v>
      </c>
      <c r="AF24" s="58"/>
      <c r="AG24" s="58"/>
      <c r="AO24" s="238">
        <v>6.3700000000000007E-2</v>
      </c>
    </row>
    <row r="25" spans="1:41">
      <c r="A25" s="88" t="s">
        <v>24</v>
      </c>
      <c r="AC25" s="1" t="s">
        <v>420</v>
      </c>
      <c r="AD25" s="58">
        <v>90.796890000000019</v>
      </c>
      <c r="AE25" s="58">
        <v>90.796890000000019</v>
      </c>
      <c r="AF25" s="58"/>
      <c r="AG25" s="58"/>
      <c r="AO25" s="238">
        <v>6.3399999999999998E-2</v>
      </c>
    </row>
    <row r="26" spans="1:41">
      <c r="AO26" s="238">
        <v>4.7800000000000002E-2</v>
      </c>
    </row>
    <row r="27" spans="1:41">
      <c r="A27" s="266" t="s">
        <v>25</v>
      </c>
      <c r="B27" s="266"/>
      <c r="C27" s="266"/>
      <c r="D27" s="266"/>
      <c r="E27" s="266"/>
      <c r="F27" s="165"/>
      <c r="I27" s="266" t="s">
        <v>26</v>
      </c>
      <c r="J27" s="266"/>
      <c r="K27" s="266"/>
      <c r="L27" s="266"/>
      <c r="M27" s="266"/>
      <c r="N27" s="165"/>
      <c r="R27" s="266" t="s">
        <v>27</v>
      </c>
      <c r="S27" s="266"/>
      <c r="T27" s="266"/>
      <c r="U27" s="266"/>
      <c r="V27" s="266"/>
      <c r="Z27" s="53"/>
      <c r="AA27" s="53"/>
      <c r="AB27" s="53"/>
      <c r="AC27" s="79" t="s">
        <v>611</v>
      </c>
      <c r="AO27" s="238">
        <v>4.5900000000000003E-2</v>
      </c>
    </row>
    <row r="28" spans="1:41">
      <c r="A28" s="77" t="s">
        <v>13</v>
      </c>
      <c r="B28" s="77" t="s">
        <v>2</v>
      </c>
      <c r="G28" s="86"/>
      <c r="I28" s="77" t="s">
        <v>21</v>
      </c>
      <c r="J28" s="77" t="s">
        <v>2</v>
      </c>
      <c r="O28" s="86"/>
      <c r="R28" s="77" t="s">
        <v>23</v>
      </c>
      <c r="S28" s="77" t="s">
        <v>2</v>
      </c>
      <c r="X28" s="86"/>
      <c r="AC28" s="53"/>
      <c r="AD28" s="1" t="s">
        <v>608</v>
      </c>
      <c r="AE28" s="1" t="s">
        <v>609</v>
      </c>
      <c r="AO28" s="238">
        <v>3.7100000000000001E-2</v>
      </c>
    </row>
    <row r="29" spans="1:41">
      <c r="A29" s="77" t="s">
        <v>28</v>
      </c>
      <c r="B29" t="s">
        <v>6</v>
      </c>
      <c r="C29" t="s">
        <v>7</v>
      </c>
      <c r="D29" t="s">
        <v>8</v>
      </c>
      <c r="E29" t="s">
        <v>466</v>
      </c>
      <c r="F29" t="s">
        <v>9</v>
      </c>
      <c r="G29" s="87" t="s">
        <v>29</v>
      </c>
      <c r="I29" s="77" t="s">
        <v>28</v>
      </c>
      <c r="J29" t="s">
        <v>6</v>
      </c>
      <c r="K29" t="s">
        <v>7</v>
      </c>
      <c r="L29" t="s">
        <v>8</v>
      </c>
      <c r="M29" t="s">
        <v>466</v>
      </c>
      <c r="N29" t="s">
        <v>9</v>
      </c>
      <c r="O29" s="87" t="s">
        <v>30</v>
      </c>
      <c r="R29" s="77" t="s">
        <v>28</v>
      </c>
      <c r="S29" t="s">
        <v>6</v>
      </c>
      <c r="T29" t="s">
        <v>7</v>
      </c>
      <c r="U29" t="s">
        <v>8</v>
      </c>
      <c r="V29" t="s">
        <v>466</v>
      </c>
      <c r="W29" t="s">
        <v>9</v>
      </c>
      <c r="X29" s="87" t="s">
        <v>30</v>
      </c>
      <c r="AA29" s="1"/>
      <c r="AB29" s="58"/>
      <c r="AC29" s="78" t="s">
        <v>43</v>
      </c>
      <c r="AD29" s="79">
        <v>2790.2730000000001</v>
      </c>
      <c r="AE29" s="79">
        <v>-709.04030084151225</v>
      </c>
      <c r="AF29" s="1"/>
      <c r="AG29" s="58"/>
      <c r="AH29" s="110"/>
      <c r="AO29" s="238">
        <v>3.3700000000000001E-2</v>
      </c>
    </row>
    <row r="30" spans="1:41">
      <c r="A30" s="1" t="s">
        <v>33</v>
      </c>
      <c r="B30" s="58">
        <v>94800</v>
      </c>
      <c r="C30" s="58">
        <v>1147500</v>
      </c>
      <c r="D30" s="58">
        <v>430960</v>
      </c>
      <c r="E30" s="58">
        <v>1474970</v>
      </c>
      <c r="F30" s="58">
        <v>3148230</v>
      </c>
      <c r="G30" s="73">
        <f>E30/$E$43</f>
        <v>0.30169648920415959</v>
      </c>
      <c r="I30" s="1" t="s">
        <v>33</v>
      </c>
      <c r="J30" s="58">
        <v>-36814.028635235736</v>
      </c>
      <c r="K30" s="58">
        <v>-511210.58124450332</v>
      </c>
      <c r="L30" s="58">
        <v>-139940.28951538072</v>
      </c>
      <c r="M30" s="58">
        <v>-450465.70617290586</v>
      </c>
      <c r="N30" s="58">
        <v>-1138430.6055680257</v>
      </c>
      <c r="O30" s="73">
        <f t="shared" ref="O30:O43" si="12">N30/F30</f>
        <v>-0.36160973168034921</v>
      </c>
      <c r="R30" s="1" t="s">
        <v>33</v>
      </c>
      <c r="S30" s="58">
        <v>12498.422977667491</v>
      </c>
      <c r="T30" s="58">
        <v>-376073.28484849271</v>
      </c>
      <c r="U30" s="58">
        <v>-99151.992695751062</v>
      </c>
      <c r="V30" s="58">
        <v>-343912.16137429333</v>
      </c>
      <c r="W30" s="58">
        <v>-806639.01594086969</v>
      </c>
      <c r="X30" s="73">
        <f>W30/F30</f>
        <v>-0.25621984922984331</v>
      </c>
      <c r="AA30" s="1"/>
      <c r="AB30" s="58"/>
      <c r="AC30" s="78" t="s">
        <v>47</v>
      </c>
      <c r="AD30" s="79">
        <v>1406.7</v>
      </c>
      <c r="AE30" s="79">
        <v>394.79634341714831</v>
      </c>
      <c r="AF30" s="1"/>
      <c r="AG30" s="58"/>
      <c r="AH30" s="58"/>
      <c r="AO30" s="238">
        <v>3.3700000000000001E-2</v>
      </c>
    </row>
    <row r="31" spans="1:41">
      <c r="A31" s="1" t="s">
        <v>31</v>
      </c>
      <c r="B31" s="58">
        <v>149248</v>
      </c>
      <c r="C31" s="58">
        <v>532695</v>
      </c>
      <c r="D31" s="58">
        <v>779600</v>
      </c>
      <c r="E31" s="58">
        <v>1170306</v>
      </c>
      <c r="F31" s="58">
        <v>2631849</v>
      </c>
      <c r="G31" s="73">
        <f t="shared" ref="G31:G43" si="13">E31/$E$43</f>
        <v>0.23937924940477651</v>
      </c>
      <c r="I31" s="1" t="s">
        <v>31</v>
      </c>
      <c r="J31" s="58">
        <v>-6695.1747270471478</v>
      </c>
      <c r="K31" s="58">
        <v>112709.73190172289</v>
      </c>
      <c r="L31" s="58">
        <v>122378.78374971008</v>
      </c>
      <c r="M31" s="58">
        <v>82862.605169992676</v>
      </c>
      <c r="N31" s="58">
        <v>311255.94609437848</v>
      </c>
      <c r="O31" s="73">
        <f t="shared" si="12"/>
        <v>0.11826512314892627</v>
      </c>
      <c r="R31" s="1" t="s">
        <v>31</v>
      </c>
      <c r="S31" s="58">
        <v>52849.610595533508</v>
      </c>
      <c r="T31" s="58">
        <v>147578.49109526142</v>
      </c>
      <c r="U31" s="58">
        <v>168457.03032751696</v>
      </c>
      <c r="V31" s="58">
        <v>143317.15313621247</v>
      </c>
      <c r="W31" s="58">
        <v>512202.28515452438</v>
      </c>
      <c r="X31" s="73">
        <f t="shared" ref="X31:X43" si="14">W31/F31</f>
        <v>0.19461689677277244</v>
      </c>
      <c r="AA31" s="1"/>
      <c r="AB31" s="58"/>
      <c r="AC31" s="78" t="s">
        <v>44</v>
      </c>
      <c r="AD31" s="79">
        <v>1378.9216999999999</v>
      </c>
      <c r="AE31" s="79">
        <v>101.00030128966993</v>
      </c>
      <c r="AF31" s="1"/>
      <c r="AG31" s="58"/>
      <c r="AH31" s="58"/>
      <c r="AO31" s="238">
        <v>3.3300000000000003E-2</v>
      </c>
    </row>
    <row r="32" spans="1:41">
      <c r="A32" s="1" t="s">
        <v>32</v>
      </c>
      <c r="B32" s="58">
        <v>135915</v>
      </c>
      <c r="C32" s="58">
        <v>710550</v>
      </c>
      <c r="D32" s="58">
        <v>768480</v>
      </c>
      <c r="E32" s="58">
        <v>658482</v>
      </c>
      <c r="F32" s="58">
        <v>2273427</v>
      </c>
      <c r="G32" s="73">
        <f t="shared" si="13"/>
        <v>0.13468864289045435</v>
      </c>
      <c r="I32" s="1" t="s">
        <v>32</v>
      </c>
      <c r="J32" s="58">
        <v>-51769.092952853607</v>
      </c>
      <c r="K32" s="58">
        <v>-165345.57909610597</v>
      </c>
      <c r="L32" s="58">
        <v>-132907.64771330525</v>
      </c>
      <c r="M32" s="58">
        <v>-101305.56312028592</v>
      </c>
      <c r="N32" s="58">
        <v>-451327.88288255077</v>
      </c>
      <c r="O32" s="73">
        <f t="shared" si="12"/>
        <v>-0.19852314716177416</v>
      </c>
      <c r="R32" s="1" t="s">
        <v>32</v>
      </c>
      <c r="S32" s="58">
        <v>22199.584466501237</v>
      </c>
      <c r="T32" s="58">
        <v>-88717.7269545163</v>
      </c>
      <c r="U32" s="58">
        <v>-65697.443943621984</v>
      </c>
      <c r="V32" s="58">
        <v>-56041.712132896624</v>
      </c>
      <c r="W32" s="58">
        <v>-188257.29856453367</v>
      </c>
      <c r="X32" s="73">
        <f t="shared" si="14"/>
        <v>-8.2807716528629977E-2</v>
      </c>
      <c r="AA32" s="1"/>
      <c r="AB32" s="58"/>
      <c r="AC32" s="78" t="s">
        <v>45</v>
      </c>
      <c r="AD32" s="79">
        <v>1097.2</v>
      </c>
      <c r="AE32" s="79">
        <v>-468.13754206169125</v>
      </c>
      <c r="AF32" s="1"/>
      <c r="AG32" s="58"/>
      <c r="AH32" s="58"/>
      <c r="AO32" s="238">
        <v>3.3300000000000003E-2</v>
      </c>
    </row>
    <row r="33" spans="1:41">
      <c r="A33" s="1" t="s">
        <v>498</v>
      </c>
      <c r="B33" s="58"/>
      <c r="C33" s="58">
        <v>91800</v>
      </c>
      <c r="D33" s="58">
        <v>1004400</v>
      </c>
      <c r="E33" s="58">
        <v>831600</v>
      </c>
      <c r="F33" s="58">
        <v>1927800</v>
      </c>
      <c r="G33" s="73">
        <f t="shared" si="13"/>
        <v>0.17009891755234285</v>
      </c>
      <c r="I33" s="1" t="s">
        <v>498</v>
      </c>
      <c r="J33" s="58"/>
      <c r="K33" s="58">
        <v>29126.229164827037</v>
      </c>
      <c r="L33" s="58">
        <v>185279.46601437905</v>
      </c>
      <c r="M33" s="58">
        <v>298671.23218007118</v>
      </c>
      <c r="N33" s="58">
        <v>513076.92735927727</v>
      </c>
      <c r="O33" s="73">
        <f t="shared" si="12"/>
        <v>0.26614634679908561</v>
      </c>
      <c r="R33" s="1" t="s">
        <v>498</v>
      </c>
      <c r="S33" s="58"/>
      <c r="T33" s="58">
        <v>33630.805711360721</v>
      </c>
      <c r="U33" s="58">
        <v>230383.24816304806</v>
      </c>
      <c r="V33" s="58">
        <v>327124.15055873391</v>
      </c>
      <c r="W33" s="58">
        <v>591138.20443314267</v>
      </c>
      <c r="X33" s="73">
        <f t="shared" si="14"/>
        <v>0.30663876150697306</v>
      </c>
      <c r="AA33" s="1"/>
      <c r="AB33" s="58"/>
      <c r="AC33" s="78" t="s">
        <v>52</v>
      </c>
      <c r="AD33" s="79">
        <v>935.40599999999995</v>
      </c>
      <c r="AE33" s="79">
        <v>-74.238540516649905</v>
      </c>
      <c r="AF33" s="1"/>
      <c r="AG33" s="58"/>
      <c r="AH33" s="58"/>
      <c r="AO33" s="238">
        <v>3.2000000000000001E-2</v>
      </c>
    </row>
    <row r="34" spans="1:41">
      <c r="A34" s="1" t="s">
        <v>36</v>
      </c>
      <c r="B34" s="58">
        <v>74064</v>
      </c>
      <c r="C34" s="58">
        <v>77585</v>
      </c>
      <c r="D34" s="58">
        <v>139200</v>
      </c>
      <c r="E34" s="58">
        <v>308556</v>
      </c>
      <c r="F34" s="58">
        <v>599405</v>
      </c>
      <c r="G34" s="73">
        <f t="shared" si="13"/>
        <v>6.3113325642473184E-2</v>
      </c>
      <c r="I34" s="1" t="s">
        <v>36</v>
      </c>
      <c r="J34" s="58">
        <v>2979.6903225806473</v>
      </c>
      <c r="K34" s="58">
        <v>20669.555693205599</v>
      </c>
      <c r="L34" s="58">
        <v>34424.877041697931</v>
      </c>
      <c r="M34" s="58">
        <v>68913.123620892788</v>
      </c>
      <c r="N34" s="58">
        <v>126987.24667837696</v>
      </c>
      <c r="O34" s="73">
        <f t="shared" si="12"/>
        <v>0.21185550116928781</v>
      </c>
      <c r="R34" s="1" t="s">
        <v>36</v>
      </c>
      <c r="S34" s="58">
        <v>29690.601612903229</v>
      </c>
      <c r="T34" s="58">
        <v>25174.132239739283</v>
      </c>
      <c r="U34" s="58">
        <v>41524.546453988412</v>
      </c>
      <c r="V34" s="58">
        <v>82586.331619527933</v>
      </c>
      <c r="W34" s="58">
        <v>178975.61192615886</v>
      </c>
      <c r="X34" s="73">
        <f t="shared" si="14"/>
        <v>0.29858878709079645</v>
      </c>
      <c r="AA34" s="1"/>
      <c r="AB34" s="58"/>
      <c r="AC34" s="78" t="s">
        <v>511</v>
      </c>
      <c r="AD34" s="79">
        <v>595.78200000000004</v>
      </c>
      <c r="AE34" s="79">
        <v>101.96620977498908</v>
      </c>
      <c r="AF34" s="1"/>
      <c r="AG34" s="58"/>
      <c r="AH34" s="58"/>
      <c r="AO34" s="238">
        <v>3.1800000000000002E-2</v>
      </c>
    </row>
    <row r="35" spans="1:41">
      <c r="A35" s="1" t="s">
        <v>34</v>
      </c>
      <c r="B35" s="58">
        <v>35874</v>
      </c>
      <c r="C35" s="58">
        <v>23456</v>
      </c>
      <c r="D35" s="58">
        <v>455500</v>
      </c>
      <c r="E35" s="58"/>
      <c r="F35" s="58">
        <v>514830</v>
      </c>
      <c r="G35" s="73">
        <f t="shared" si="13"/>
        <v>0</v>
      </c>
      <c r="I35" s="1" t="s">
        <v>34</v>
      </c>
      <c r="J35" s="58">
        <v>-20865.234305210917</v>
      </c>
      <c r="K35" s="58">
        <v>-6749.6019767864473</v>
      </c>
      <c r="L35" s="58">
        <v>-403729.27642010112</v>
      </c>
      <c r="M35" s="58"/>
      <c r="N35" s="58">
        <v>-431344.1127020985</v>
      </c>
      <c r="O35" s="73">
        <f t="shared" si="12"/>
        <v>-0.83783795175513953</v>
      </c>
      <c r="R35" s="1" t="s">
        <v>35</v>
      </c>
      <c r="S35" s="58"/>
      <c r="T35" s="58"/>
      <c r="U35" s="58">
        <v>78707.592777781785</v>
      </c>
      <c r="V35" s="58">
        <v>73828.848311681068</v>
      </c>
      <c r="W35" s="58">
        <v>152536.44108946284</v>
      </c>
      <c r="X35" s="73">
        <f t="shared" si="14"/>
        <v>0.29628506708906405</v>
      </c>
      <c r="AA35" s="1"/>
      <c r="AB35" s="58"/>
      <c r="AC35" s="78" t="s">
        <v>504</v>
      </c>
      <c r="AD35" s="79">
        <v>575.1</v>
      </c>
      <c r="AE35" s="79">
        <v>-44.789183040265556</v>
      </c>
      <c r="AF35" s="1"/>
      <c r="AG35" s="58"/>
      <c r="AH35" s="58"/>
      <c r="AO35" s="238">
        <v>3.1600000000000003E-2</v>
      </c>
    </row>
    <row r="36" spans="1:41">
      <c r="A36" s="1" t="s">
        <v>35</v>
      </c>
      <c r="B36" s="58"/>
      <c r="C36" s="58"/>
      <c r="D36" s="58">
        <v>177221.7</v>
      </c>
      <c r="E36" s="58">
        <v>207036</v>
      </c>
      <c r="F36" s="58">
        <v>384257.7</v>
      </c>
      <c r="G36" s="73">
        <f t="shared" si="13"/>
        <v>4.2348003239979379E-2</v>
      </c>
      <c r="I36" s="1" t="s">
        <v>35</v>
      </c>
      <c r="J36" s="58"/>
      <c r="K36" s="58"/>
      <c r="L36" s="58">
        <v>71190.295753003622</v>
      </c>
      <c r="M36" s="58">
        <v>66834.172543593158</v>
      </c>
      <c r="N36" s="58">
        <v>138024.46829659678</v>
      </c>
      <c r="O36" s="73">
        <f t="shared" si="12"/>
        <v>0.35919766421491822</v>
      </c>
      <c r="R36" s="1" t="s">
        <v>37</v>
      </c>
      <c r="S36" s="58">
        <v>14467.801488833746</v>
      </c>
      <c r="T36" s="58">
        <v>17395.747549142194</v>
      </c>
      <c r="U36" s="58">
        <v>12064.775116280111</v>
      </c>
      <c r="V36" s="58">
        <v>-3574.542875138045</v>
      </c>
      <c r="W36" s="58">
        <v>40353.781279118004</v>
      </c>
      <c r="X36" s="73">
        <f t="shared" si="14"/>
        <v>0.10501749549616833</v>
      </c>
      <c r="AA36" s="1"/>
      <c r="AB36" s="58"/>
      <c r="AC36" s="78" t="s">
        <v>583</v>
      </c>
      <c r="AD36" s="79">
        <f>SUM(AD37:AD51)</f>
        <v>3340.3953900000001</v>
      </c>
      <c r="AE36" s="79">
        <f>SUM(AE37:AE51)</f>
        <v>-0.46326557933067214</v>
      </c>
      <c r="AF36" s="1"/>
      <c r="AG36" s="58"/>
      <c r="AH36" s="58"/>
      <c r="AO36" s="238">
        <v>3.0200000000000001E-2</v>
      </c>
    </row>
    <row r="37" spans="1:41">
      <c r="A37" s="1" t="s">
        <v>37</v>
      </c>
      <c r="B37" s="58">
        <v>50400</v>
      </c>
      <c r="C37" s="58">
        <v>69000</v>
      </c>
      <c r="D37" s="58">
        <v>76800</v>
      </c>
      <c r="E37" s="58">
        <v>35520</v>
      </c>
      <c r="F37" s="58">
        <v>231720</v>
      </c>
      <c r="G37" s="73">
        <f t="shared" si="13"/>
        <v>7.265408311038021E-3</v>
      </c>
      <c r="I37" s="1" t="s">
        <v>37</v>
      </c>
      <c r="J37" s="58">
        <v>-10188.424317617868</v>
      </c>
      <c r="K37" s="58">
        <v>11727.466389012474</v>
      </c>
      <c r="L37" s="58">
        <v>5382.7333164772999</v>
      </c>
      <c r="M37" s="58">
        <v>-6498.8705973894912</v>
      </c>
      <c r="N37" s="58">
        <v>422.90479048241468</v>
      </c>
      <c r="O37" s="73">
        <f t="shared" si="12"/>
        <v>1.8250681446677658E-3</v>
      </c>
      <c r="R37" s="1" t="s">
        <v>38</v>
      </c>
      <c r="S37" s="58"/>
      <c r="T37" s="58">
        <v>-5368.3017182166795</v>
      </c>
      <c r="U37" s="58">
        <v>34015.460968855354</v>
      </c>
      <c r="V37" s="58">
        <v>49513.771713459711</v>
      </c>
      <c r="W37" s="58">
        <v>78160.930964098385</v>
      </c>
      <c r="X37" s="73">
        <f t="shared" si="14"/>
        <v>0.33730765995209039</v>
      </c>
      <c r="AA37" s="1"/>
      <c r="AB37" s="58"/>
      <c r="AC37" s="1" t="s">
        <v>48</v>
      </c>
      <c r="AD37" s="58">
        <v>354.59500000000003</v>
      </c>
      <c r="AE37" s="58">
        <v>86.215826509200753</v>
      </c>
      <c r="AF37" s="1"/>
      <c r="AG37" s="58"/>
      <c r="AH37" s="58"/>
      <c r="AO37" s="238">
        <v>0.03</v>
      </c>
    </row>
    <row r="38" spans="1:41">
      <c r="A38" s="1" t="s">
        <v>38</v>
      </c>
      <c r="B38" s="58"/>
      <c r="C38" s="58">
        <v>38606.25</v>
      </c>
      <c r="D38" s="58">
        <v>37800</v>
      </c>
      <c r="E38" s="58">
        <v>52500</v>
      </c>
      <c r="F38" s="58">
        <v>128906.25</v>
      </c>
      <c r="G38" s="73">
        <f t="shared" si="13"/>
        <v>1.0738568027294372E-2</v>
      </c>
      <c r="I38" s="1" t="s">
        <v>38</v>
      </c>
      <c r="J38" s="58"/>
      <c r="K38" s="58">
        <v>-9872.8782647503649</v>
      </c>
      <c r="L38" s="58">
        <v>30256.812456466272</v>
      </c>
      <c r="M38" s="58">
        <v>46055.951771608336</v>
      </c>
      <c r="N38" s="58">
        <v>66439.885963324239</v>
      </c>
      <c r="O38" s="73">
        <f t="shared" si="12"/>
        <v>0.51541244868518199</v>
      </c>
      <c r="R38" s="1" t="s">
        <v>39</v>
      </c>
      <c r="S38" s="58"/>
      <c r="T38" s="58">
        <v>-4983.2234083575377</v>
      </c>
      <c r="U38" s="58"/>
      <c r="V38" s="58">
        <v>49212.443017954218</v>
      </c>
      <c r="W38" s="58">
        <v>44229.219609596679</v>
      </c>
      <c r="X38" s="73">
        <f t="shared" si="14"/>
        <v>0.34311152181990151</v>
      </c>
      <c r="AA38" s="1"/>
      <c r="AB38" s="58"/>
      <c r="AC38" s="1" t="s">
        <v>46</v>
      </c>
      <c r="AD38" s="58">
        <v>352.35</v>
      </c>
      <c r="AE38" s="58">
        <v>-117.23252909401094</v>
      </c>
      <c r="AF38" s="1"/>
      <c r="AG38" s="58"/>
      <c r="AH38" s="58"/>
    </row>
    <row r="39" spans="1:41">
      <c r="A39" s="1" t="s">
        <v>39</v>
      </c>
      <c r="B39" s="58"/>
      <c r="C39" s="58">
        <v>38606.25</v>
      </c>
      <c r="D39" s="58"/>
      <c r="E39" s="58">
        <v>52200</v>
      </c>
      <c r="F39" s="58">
        <v>90806.25</v>
      </c>
      <c r="G39" s="73">
        <f t="shared" si="13"/>
        <v>1.0677204781424119E-2</v>
      </c>
      <c r="I39" s="1" t="s">
        <v>39</v>
      </c>
      <c r="J39" s="58"/>
      <c r="K39" s="58">
        <v>-9487.799954891223</v>
      </c>
      <c r="L39" s="58"/>
      <c r="M39" s="58">
        <v>45774.382047199142</v>
      </c>
      <c r="N39" s="58">
        <v>36286.582092307915</v>
      </c>
      <c r="O39" s="73">
        <f t="shared" si="12"/>
        <v>0.39960445555573448</v>
      </c>
      <c r="R39" s="1" t="s">
        <v>468</v>
      </c>
      <c r="S39" s="58"/>
      <c r="T39" s="58"/>
      <c r="U39" s="58"/>
      <c r="V39" s="58">
        <v>19269.384912938338</v>
      </c>
      <c r="W39" s="58">
        <v>19269.384912938338</v>
      </c>
      <c r="X39" s="73">
        <f t="shared" si="14"/>
        <v>0.21220328901301769</v>
      </c>
      <c r="AA39" s="1"/>
      <c r="AB39" s="58"/>
      <c r="AC39" s="1" t="s">
        <v>56</v>
      </c>
      <c r="AD39" s="58">
        <v>340.56400000000002</v>
      </c>
      <c r="AE39" s="58">
        <v>-36.175426260934969</v>
      </c>
      <c r="AF39" s="1"/>
      <c r="AG39" s="58"/>
      <c r="AH39" s="58"/>
    </row>
    <row r="40" spans="1:41">
      <c r="A40" s="1" t="s">
        <v>468</v>
      </c>
      <c r="B40" s="58"/>
      <c r="C40" s="58"/>
      <c r="D40" s="58"/>
      <c r="E40" s="58">
        <v>67500</v>
      </c>
      <c r="F40" s="58">
        <v>67500</v>
      </c>
      <c r="G40" s="73">
        <f t="shared" si="13"/>
        <v>1.3806730320807049E-2</v>
      </c>
      <c r="I40" s="1" t="s">
        <v>468</v>
      </c>
      <c r="J40" s="58"/>
      <c r="K40" s="58"/>
      <c r="L40" s="58"/>
      <c r="M40" s="58">
        <v>15712.770115605499</v>
      </c>
      <c r="N40" s="58">
        <v>15712.770115605499</v>
      </c>
      <c r="O40" s="73">
        <f t="shared" si="12"/>
        <v>0.23278177949045184</v>
      </c>
      <c r="R40" s="1" t="s">
        <v>500</v>
      </c>
      <c r="S40" s="58"/>
      <c r="T40" s="58"/>
      <c r="U40" s="58"/>
      <c r="V40" s="58">
        <v>26380.782874884761</v>
      </c>
      <c r="W40" s="58">
        <v>26380.782874884761</v>
      </c>
      <c r="X40" s="73">
        <f t="shared" si="14"/>
        <v>0.3908264129612557</v>
      </c>
      <c r="AA40" s="1"/>
      <c r="AB40" s="58"/>
      <c r="AC40" s="1" t="s">
        <v>49</v>
      </c>
      <c r="AD40" s="58">
        <v>334.8</v>
      </c>
      <c r="AE40" s="58">
        <v>61.759822004793016</v>
      </c>
      <c r="AF40" s="1"/>
      <c r="AG40" s="58"/>
      <c r="AH40" s="58"/>
    </row>
    <row r="41" spans="1:41">
      <c r="A41" s="1" t="s">
        <v>500</v>
      </c>
      <c r="B41" s="58"/>
      <c r="C41" s="58"/>
      <c r="D41" s="58"/>
      <c r="E41" s="58">
        <v>30250</v>
      </c>
      <c r="F41" s="58">
        <v>30250</v>
      </c>
      <c r="G41" s="73">
        <f t="shared" si="13"/>
        <v>6.1874606252505663E-3</v>
      </c>
      <c r="I41" s="1" t="s">
        <v>500</v>
      </c>
      <c r="J41" s="58"/>
      <c r="K41" s="58"/>
      <c r="L41" s="58"/>
      <c r="M41" s="58">
        <v>23193.002204682733</v>
      </c>
      <c r="N41" s="58">
        <v>23193.002204682733</v>
      </c>
      <c r="O41" s="73">
        <f t="shared" si="12"/>
        <v>0.76671081668372665</v>
      </c>
      <c r="R41" s="1" t="s">
        <v>420</v>
      </c>
      <c r="S41" s="58">
        <v>24314.28</v>
      </c>
      <c r="T41" s="58">
        <v>40026</v>
      </c>
      <c r="U41" s="58">
        <v>26456.610000000008</v>
      </c>
      <c r="V41" s="58"/>
      <c r="W41" s="58">
        <v>90796.890000000014</v>
      </c>
      <c r="X41" s="73">
        <f t="shared" si="14"/>
        <v>3.0015500826446284</v>
      </c>
      <c r="AA41" s="1"/>
      <c r="AB41" s="58"/>
      <c r="AC41" s="1" t="s">
        <v>53</v>
      </c>
      <c r="AD41" s="58">
        <v>285.48500000000001</v>
      </c>
      <c r="AE41" s="58">
        <v>31.414281094170896</v>
      </c>
      <c r="AF41" s="1"/>
      <c r="AG41" s="58"/>
      <c r="AH41" s="58"/>
    </row>
    <row r="42" spans="1:41">
      <c r="A42" s="1" t="s">
        <v>420</v>
      </c>
      <c r="B42" s="58">
        <v>24314.28</v>
      </c>
      <c r="C42" s="58">
        <v>40026</v>
      </c>
      <c r="D42" s="58">
        <v>26456.610000000008</v>
      </c>
      <c r="E42" s="58"/>
      <c r="F42" s="58">
        <v>90796.890000000014</v>
      </c>
      <c r="G42" s="73">
        <f t="shared" si="13"/>
        <v>0</v>
      </c>
      <c r="I42" s="1" t="s">
        <v>420</v>
      </c>
      <c r="J42" s="58">
        <v>24314.28</v>
      </c>
      <c r="K42" s="58">
        <v>40026</v>
      </c>
      <c r="L42" s="58">
        <v>26456.610000000008</v>
      </c>
      <c r="M42" s="58"/>
      <c r="N42" s="58">
        <v>90796.890000000014</v>
      </c>
      <c r="O42" s="73">
        <f t="shared" si="12"/>
        <v>1</v>
      </c>
      <c r="R42" s="1" t="s">
        <v>34</v>
      </c>
      <c r="S42" s="58">
        <v>-277.28575682381825</v>
      </c>
      <c r="T42" s="58">
        <v>-4419.7036105134248</v>
      </c>
      <c r="U42" s="58">
        <v>-350133.73281751608</v>
      </c>
      <c r="V42" s="58"/>
      <c r="W42" s="58">
        <v>-354830.72218485334</v>
      </c>
      <c r="X42" s="73">
        <f t="shared" si="14"/>
        <v>-3.9079611888122301</v>
      </c>
      <c r="AA42" s="1"/>
      <c r="AB42" s="58"/>
      <c r="AC42" s="1" t="s">
        <v>50</v>
      </c>
      <c r="AD42" s="58">
        <v>280.78199999999998</v>
      </c>
      <c r="AE42" s="58">
        <v>-291.00909126768249</v>
      </c>
      <c r="AF42" s="1"/>
      <c r="AG42" s="58"/>
      <c r="AH42" s="58"/>
    </row>
    <row r="43" spans="1:41">
      <c r="A43" s="1" t="s">
        <v>9</v>
      </c>
      <c r="B43" s="58">
        <v>564615.28</v>
      </c>
      <c r="C43" s="58">
        <v>2769824.5</v>
      </c>
      <c r="D43" s="58">
        <v>3896418.31</v>
      </c>
      <c r="E43" s="58">
        <v>4888920</v>
      </c>
      <c r="F43" s="58">
        <v>12119778.09</v>
      </c>
      <c r="G43" s="84">
        <f t="shared" si="13"/>
        <v>1</v>
      </c>
      <c r="I43" s="1" t="s">
        <v>9</v>
      </c>
      <c r="J43" s="58">
        <v>-99037.98461538463</v>
      </c>
      <c r="K43" s="58">
        <v>-488407.45738826937</v>
      </c>
      <c r="L43" s="58">
        <v>-201207.6353170528</v>
      </c>
      <c r="M43" s="58">
        <v>89747.099763064223</v>
      </c>
      <c r="N43" s="58">
        <v>-698905.97755764273</v>
      </c>
      <c r="O43" s="84">
        <f t="shared" si="12"/>
        <v>-5.7666565540033146E-2</v>
      </c>
      <c r="R43" s="1" t="s">
        <v>9</v>
      </c>
      <c r="S43" s="58">
        <v>155743.0153846154</v>
      </c>
      <c r="T43" s="58">
        <v>-215757.06394459304</v>
      </c>
      <c r="U43" s="58">
        <v>76626.094350581523</v>
      </c>
      <c r="V43" s="58">
        <v>367704.44976306445</v>
      </c>
      <c r="W43" s="58">
        <v>384316.4955536683</v>
      </c>
      <c r="X43" s="84">
        <f t="shared" si="14"/>
        <v>3.1709862400101776E-2</v>
      </c>
      <c r="AA43" s="1"/>
      <c r="AB43" s="58"/>
      <c r="AC43" s="1" t="s">
        <v>491</v>
      </c>
      <c r="AD43" s="58">
        <v>279.50400000000002</v>
      </c>
      <c r="AE43" s="58">
        <v>19.044142804751697</v>
      </c>
      <c r="AF43" s="1"/>
      <c r="AG43" s="58"/>
      <c r="AH43" s="58"/>
    </row>
    <row r="44" spans="1:41">
      <c r="AA44" s="1"/>
      <c r="AB44" s="58"/>
      <c r="AC44" s="1" t="s">
        <v>51</v>
      </c>
      <c r="AD44" s="58">
        <v>260.55</v>
      </c>
      <c r="AE44" s="58">
        <v>-18.026458266727271</v>
      </c>
      <c r="AF44" s="1"/>
      <c r="AG44" s="58"/>
      <c r="AH44" s="58"/>
    </row>
    <row r="45" spans="1:41">
      <c r="O45" s="120"/>
      <c r="P45" s="120"/>
      <c r="Q45" s="120"/>
      <c r="R45" s="120"/>
      <c r="S45" s="120"/>
      <c r="AA45" s="1"/>
      <c r="AB45" s="58"/>
      <c r="AC45" s="1" t="s">
        <v>58</v>
      </c>
      <c r="AD45" s="58">
        <v>216</v>
      </c>
      <c r="AE45" s="58">
        <v>36.600276445290923</v>
      </c>
      <c r="AF45" s="1"/>
      <c r="AG45" s="58"/>
      <c r="AH45" s="58"/>
    </row>
    <row r="46" spans="1:41">
      <c r="AA46" s="1"/>
      <c r="AB46" s="58"/>
      <c r="AC46" s="1" t="s">
        <v>55</v>
      </c>
      <c r="AD46" s="58">
        <v>181.91249999999999</v>
      </c>
      <c r="AE46" s="58">
        <v>72.469655599165876</v>
      </c>
      <c r="AF46" s="1"/>
      <c r="AG46" s="58"/>
      <c r="AH46" s="58"/>
    </row>
    <row r="47" spans="1:41">
      <c r="A47" s="88" t="s">
        <v>40</v>
      </c>
      <c r="AA47" s="1"/>
      <c r="AB47" s="58"/>
      <c r="AC47" s="1" t="s">
        <v>527</v>
      </c>
      <c r="AD47" s="58">
        <v>151.256</v>
      </c>
      <c r="AE47" s="58">
        <v>31.632905260534464</v>
      </c>
      <c r="AF47" s="1"/>
      <c r="AG47" s="58"/>
      <c r="AH47" s="58"/>
    </row>
    <row r="48" spans="1:41">
      <c r="AA48" s="1"/>
      <c r="AB48" s="58"/>
      <c r="AC48" s="1" t="s">
        <v>54</v>
      </c>
      <c r="AD48" s="58">
        <v>91.8</v>
      </c>
      <c r="AE48" s="58">
        <v>29.126229164827038</v>
      </c>
      <c r="AF48" s="1"/>
      <c r="AG48" s="58"/>
      <c r="AH48" s="58"/>
    </row>
    <row r="49" spans="1:51">
      <c r="A49" s="266" t="s">
        <v>25</v>
      </c>
      <c r="B49" s="266"/>
      <c r="C49" s="266"/>
      <c r="D49" s="266"/>
      <c r="E49" s="266"/>
      <c r="F49" s="165"/>
      <c r="I49" s="266" t="s">
        <v>26</v>
      </c>
      <c r="J49" s="266"/>
      <c r="K49" s="266"/>
      <c r="L49" s="266"/>
      <c r="M49" s="266"/>
      <c r="N49" s="266"/>
      <c r="O49" s="266"/>
      <c r="P49" s="165"/>
      <c r="R49" s="266" t="s">
        <v>27</v>
      </c>
      <c r="S49" s="266"/>
      <c r="T49" s="266"/>
      <c r="U49" s="266"/>
      <c r="V49" s="266"/>
      <c r="Z49" s="53"/>
      <c r="AA49" s="1"/>
      <c r="AB49" s="58"/>
      <c r="AC49" s="1" t="s">
        <v>422</v>
      </c>
      <c r="AD49" s="58">
        <v>90.796890000000019</v>
      </c>
      <c r="AE49" s="58">
        <v>90.796890000000019</v>
      </c>
      <c r="AF49" s="1"/>
      <c r="AG49" s="58"/>
      <c r="AH49" s="58"/>
      <c r="AY49" s="236"/>
    </row>
    <row r="50" spans="1:51">
      <c r="A50" s="77" t="s">
        <v>13</v>
      </c>
      <c r="B50" s="77" t="s">
        <v>2</v>
      </c>
      <c r="G50" s="86"/>
      <c r="I50" s="77" t="s">
        <v>21</v>
      </c>
      <c r="J50" s="77" t="s">
        <v>2</v>
      </c>
      <c r="O50" s="87" t="s">
        <v>30</v>
      </c>
      <c r="P50" s="87"/>
      <c r="R50" s="77" t="s">
        <v>23</v>
      </c>
      <c r="S50" s="77" t="s">
        <v>2</v>
      </c>
      <c r="X50" s="87" t="s">
        <v>30</v>
      </c>
      <c r="AA50" s="1"/>
      <c r="AB50" s="58"/>
      <c r="AC50" s="1" t="s">
        <v>533</v>
      </c>
      <c r="AD50" s="58">
        <v>81</v>
      </c>
      <c r="AE50" s="58">
        <v>18.351483046402617</v>
      </c>
      <c r="AF50" s="1"/>
      <c r="AG50" s="58"/>
      <c r="AH50" s="58"/>
    </row>
    <row r="51" spans="1:51">
      <c r="A51" s="77" t="s">
        <v>28</v>
      </c>
      <c r="B51" t="s">
        <v>6</v>
      </c>
      <c r="C51" t="s">
        <v>7</v>
      </c>
      <c r="D51" t="s">
        <v>8</v>
      </c>
      <c r="E51" t="s">
        <v>466</v>
      </c>
      <c r="F51" t="s">
        <v>9</v>
      </c>
      <c r="G51" s="87" t="s">
        <v>29</v>
      </c>
      <c r="I51" s="77" t="s">
        <v>28</v>
      </c>
      <c r="J51" t="s">
        <v>6</v>
      </c>
      <c r="K51" t="s">
        <v>7</v>
      </c>
      <c r="L51" t="s">
        <v>8</v>
      </c>
      <c r="M51" t="s">
        <v>466</v>
      </c>
      <c r="N51" t="s">
        <v>9</v>
      </c>
      <c r="O51" s="87" t="s">
        <v>41</v>
      </c>
      <c r="P51" s="87"/>
      <c r="Q51" s="53"/>
      <c r="R51" s="77" t="s">
        <v>28</v>
      </c>
      <c r="S51" t="s">
        <v>6</v>
      </c>
      <c r="T51" t="s">
        <v>7</v>
      </c>
      <c r="U51" t="s">
        <v>8</v>
      </c>
      <c r="V51" t="s">
        <v>466</v>
      </c>
      <c r="W51" t="s">
        <v>9</v>
      </c>
      <c r="X51" s="87" t="s">
        <v>42</v>
      </c>
      <c r="AC51" s="1" t="s">
        <v>57</v>
      </c>
      <c r="AD51" s="58">
        <v>39</v>
      </c>
      <c r="AE51" s="58">
        <v>-15.43127261911228</v>
      </c>
    </row>
    <row r="52" spans="1:51">
      <c r="A52" s="1" t="s">
        <v>43</v>
      </c>
      <c r="B52" s="58">
        <v>281115</v>
      </c>
      <c r="C52" s="58">
        <v>438056</v>
      </c>
      <c r="D52" s="58">
        <v>1104330</v>
      </c>
      <c r="E52" s="58">
        <v>966772</v>
      </c>
      <c r="F52" s="58">
        <v>2790273</v>
      </c>
      <c r="G52" s="73">
        <f>F52/$F$74</f>
        <v>0.2302247598330408</v>
      </c>
      <c r="I52" s="1" t="s">
        <v>43</v>
      </c>
      <c r="J52" s="58">
        <v>-98771.545905707215</v>
      </c>
      <c r="K52" s="58">
        <v>-59882.786762951189</v>
      </c>
      <c r="L52" s="58">
        <v>-270113.95166912186</v>
      </c>
      <c r="M52" s="58">
        <v>-280272.01650373201</v>
      </c>
      <c r="N52" s="58">
        <v>-709040.30084151227</v>
      </c>
      <c r="O52" s="73">
        <f>N52/F52</f>
        <v>-0.2541114438771806</v>
      </c>
      <c r="P52" s="73"/>
      <c r="Q52" s="73"/>
      <c r="R52" s="1" t="s">
        <v>43</v>
      </c>
      <c r="S52" s="58">
        <v>49165.808933002474</v>
      </c>
      <c r="T52" s="58">
        <v>-15847.994864278968</v>
      </c>
      <c r="U52" s="58">
        <v>-169493.53890042455</v>
      </c>
      <c r="V52" s="58">
        <v>-209176.60396978824</v>
      </c>
      <c r="W52" s="58">
        <v>-345352.32880148932</v>
      </c>
      <c r="X52" s="73">
        <f>W52/F52</f>
        <v>-0.12377008586668377</v>
      </c>
    </row>
    <row r="53" spans="1:51">
      <c r="A53" s="1" t="s">
        <v>47</v>
      </c>
      <c r="B53" s="58"/>
      <c r="C53" s="58"/>
      <c r="D53" s="58">
        <v>669600</v>
      </c>
      <c r="E53" s="58">
        <v>737100</v>
      </c>
      <c r="F53" s="58">
        <v>1406700</v>
      </c>
      <c r="G53" s="73">
        <f t="shared" ref="G53:G74" si="15">F53/$F$74</f>
        <v>0.11606648154397026</v>
      </c>
      <c r="I53" s="1" t="s">
        <v>47</v>
      </c>
      <c r="J53" s="58"/>
      <c r="K53" s="58"/>
      <c r="L53" s="58">
        <v>123519.64400958603</v>
      </c>
      <c r="M53" s="58">
        <v>271276.69940756226</v>
      </c>
      <c r="N53" s="58">
        <v>394796.34341714828</v>
      </c>
      <c r="O53" s="73">
        <f t="shared" ref="O53:O74" si="16">N53/F53</f>
        <v>0.28065425706771047</v>
      </c>
      <c r="P53" s="73"/>
      <c r="Q53" s="73"/>
      <c r="R53" s="1" t="s">
        <v>47</v>
      </c>
      <c r="S53" s="58"/>
      <c r="T53" s="58"/>
      <c r="U53" s="58">
        <v>153588.8321086987</v>
      </c>
      <c r="V53" s="58">
        <v>296173.00298889214</v>
      </c>
      <c r="W53" s="58">
        <v>449761.83509759081</v>
      </c>
      <c r="X53" s="73">
        <f t="shared" ref="X53:X74" si="17">W53/F53</f>
        <v>0.31972832522754729</v>
      </c>
    </row>
    <row r="54" spans="1:51">
      <c r="A54" s="1" t="s">
        <v>44</v>
      </c>
      <c r="B54" s="58"/>
      <c r="C54" s="58">
        <v>390000</v>
      </c>
      <c r="D54" s="58">
        <v>813921.7</v>
      </c>
      <c r="E54" s="58">
        <v>175000</v>
      </c>
      <c r="F54" s="58">
        <v>1378921.7</v>
      </c>
      <c r="G54" s="73">
        <f t="shared" si="15"/>
        <v>0.11377450063526699</v>
      </c>
      <c r="I54" s="1" t="s">
        <v>44</v>
      </c>
      <c r="J54" s="58"/>
      <c r="K54" s="58">
        <v>77091.125452334352</v>
      </c>
      <c r="L54" s="58">
        <v>161494.49854116223</v>
      </c>
      <c r="M54" s="58">
        <v>-137585.32270382665</v>
      </c>
      <c r="N54" s="58">
        <v>101000.30128966994</v>
      </c>
      <c r="O54" s="73">
        <f t="shared" si="16"/>
        <v>7.3245856736948833E-2</v>
      </c>
      <c r="P54" s="73"/>
      <c r="Q54" s="73"/>
      <c r="R54" s="1" t="s">
        <v>44</v>
      </c>
      <c r="S54" s="58"/>
      <c r="T54" s="58">
        <v>103117.56772119564</v>
      </c>
      <c r="U54" s="58">
        <v>207572.74511896912</v>
      </c>
      <c r="V54" s="58">
        <v>-121119.51345691536</v>
      </c>
      <c r="W54" s="58">
        <v>189570.7993832494</v>
      </c>
      <c r="X54" s="73">
        <f t="shared" si="17"/>
        <v>0.13747756626300783</v>
      </c>
    </row>
    <row r="55" spans="1:51">
      <c r="A55" s="1" t="s">
        <v>45</v>
      </c>
      <c r="B55" s="58"/>
      <c r="C55" s="58">
        <v>1066950</v>
      </c>
      <c r="D55" s="58"/>
      <c r="E55" s="58">
        <v>30250</v>
      </c>
      <c r="F55" s="58">
        <v>1097200</v>
      </c>
      <c r="G55" s="73">
        <f t="shared" si="15"/>
        <v>9.052971035049702E-2</v>
      </c>
      <c r="I55" s="1" t="s">
        <v>45</v>
      </c>
      <c r="J55" s="58"/>
      <c r="K55" s="58">
        <v>-491330.54426637397</v>
      </c>
      <c r="L55" s="58"/>
      <c r="M55" s="58">
        <v>23193.002204682733</v>
      </c>
      <c r="N55" s="58">
        <v>-468137.54206169123</v>
      </c>
      <c r="O55" s="73">
        <f t="shared" si="16"/>
        <v>-0.42666564168947435</v>
      </c>
      <c r="P55" s="73"/>
      <c r="Q55" s="73"/>
      <c r="R55" s="1" t="s">
        <v>45</v>
      </c>
      <c r="S55" s="58"/>
      <c r="T55" s="58">
        <v>-360647.77356638008</v>
      </c>
      <c r="U55" s="58"/>
      <c r="V55" s="58">
        <v>26380.782874884761</v>
      </c>
      <c r="W55" s="58">
        <v>-334266.9906914953</v>
      </c>
      <c r="X55" s="73">
        <f t="shared" si="17"/>
        <v>-0.30465456679866504</v>
      </c>
    </row>
    <row r="56" spans="1:51">
      <c r="A56" s="1" t="s">
        <v>52</v>
      </c>
      <c r="B56" s="58"/>
      <c r="C56" s="58">
        <v>222750</v>
      </c>
      <c r="D56" s="58"/>
      <c r="E56" s="58">
        <v>712656</v>
      </c>
      <c r="F56" s="58">
        <v>935406</v>
      </c>
      <c r="G56" s="73">
        <f t="shared" si="15"/>
        <v>7.7180125993544485E-2</v>
      </c>
      <c r="I56" s="1" t="s">
        <v>52</v>
      </c>
      <c r="J56" s="58"/>
      <c r="K56" s="58">
        <v>-72081.694175864541</v>
      </c>
      <c r="L56" s="58"/>
      <c r="M56" s="58">
        <v>-2156.8463407853687</v>
      </c>
      <c r="N56" s="58">
        <v>-74238.540516649911</v>
      </c>
      <c r="O56" s="73">
        <f t="shared" si="16"/>
        <v>-7.9365046318550347E-2</v>
      </c>
      <c r="P56" s="73"/>
      <c r="Q56" s="73"/>
      <c r="R56" s="1" t="s">
        <v>52</v>
      </c>
      <c r="S56" s="58"/>
      <c r="T56" s="58">
        <v>-49558.811443196115</v>
      </c>
      <c r="U56" s="58"/>
      <c r="V56" s="58">
        <v>36958.012841437361</v>
      </c>
      <c r="W56" s="58">
        <v>-12600.798601758754</v>
      </c>
      <c r="X56" s="73">
        <f t="shared" si="17"/>
        <v>-1.3470940534654207E-2</v>
      </c>
    </row>
    <row r="57" spans="1:51">
      <c r="A57" s="1" t="s">
        <v>511</v>
      </c>
      <c r="B57" s="58"/>
      <c r="C57" s="58"/>
      <c r="D57" s="58"/>
      <c r="E57" s="58">
        <v>595782</v>
      </c>
      <c r="F57" s="58">
        <v>595782</v>
      </c>
      <c r="G57" s="73">
        <f t="shared" si="15"/>
        <v>4.9157830743747556E-2</v>
      </c>
      <c r="I57" s="1" t="s">
        <v>511</v>
      </c>
      <c r="J57" s="58"/>
      <c r="K57" s="58"/>
      <c r="L57" s="58"/>
      <c r="M57" s="58">
        <v>101966.20977498908</v>
      </c>
      <c r="N57" s="58">
        <v>101966.20977498908</v>
      </c>
      <c r="O57" s="73">
        <f t="shared" si="16"/>
        <v>0.17114684528063803</v>
      </c>
      <c r="P57" s="73"/>
      <c r="Q57" s="73"/>
      <c r="R57" s="1" t="s">
        <v>511</v>
      </c>
      <c r="S57" s="58"/>
      <c r="T57" s="58"/>
      <c r="U57" s="58"/>
      <c r="V57" s="58">
        <v>130347.99585770513</v>
      </c>
      <c r="W57" s="58">
        <v>130347.99585770513</v>
      </c>
      <c r="X57" s="73">
        <f t="shared" si="17"/>
        <v>0.21878471631856136</v>
      </c>
      <c r="AE57" s="73"/>
    </row>
    <row r="58" spans="1:51">
      <c r="A58" s="1" t="s">
        <v>504</v>
      </c>
      <c r="B58" s="58"/>
      <c r="C58" s="58"/>
      <c r="D58" s="58"/>
      <c r="E58" s="58">
        <v>575100</v>
      </c>
      <c r="F58" s="58">
        <v>575100</v>
      </c>
      <c r="G58" s="73">
        <f t="shared" si="15"/>
        <v>4.7451363855788221E-2</v>
      </c>
      <c r="I58" s="1" t="s">
        <v>504</v>
      </c>
      <c r="J58" s="58"/>
      <c r="K58" s="58"/>
      <c r="L58" s="58"/>
      <c r="M58" s="58">
        <v>-44789.183040265554</v>
      </c>
      <c r="N58" s="58">
        <v>-44789.183040265554</v>
      </c>
      <c r="O58" s="73">
        <f t="shared" si="16"/>
        <v>-7.7880686907086688E-2</v>
      </c>
      <c r="P58" s="73"/>
      <c r="Q58" s="73"/>
      <c r="R58" s="1" t="s">
        <v>504</v>
      </c>
      <c r="S58" s="58"/>
      <c r="T58" s="58"/>
      <c r="U58" s="58"/>
      <c r="V58" s="58">
        <v>-9223.035066937151</v>
      </c>
      <c r="W58" s="58">
        <v>-9223.035066937151</v>
      </c>
      <c r="X58" s="73">
        <f t="shared" si="17"/>
        <v>-1.603727189521327E-2</v>
      </c>
      <c r="AE58" s="73"/>
    </row>
    <row r="59" spans="1:51">
      <c r="A59" s="1" t="s">
        <v>48</v>
      </c>
      <c r="B59" s="58"/>
      <c r="C59" s="58">
        <v>142695</v>
      </c>
      <c r="D59" s="58">
        <v>135200</v>
      </c>
      <c r="E59" s="58">
        <v>76700</v>
      </c>
      <c r="F59" s="58">
        <v>354595</v>
      </c>
      <c r="G59" s="73">
        <f t="shared" si="15"/>
        <v>2.925754888965958E-2</v>
      </c>
      <c r="I59" s="1" t="s">
        <v>48</v>
      </c>
      <c r="J59" s="58"/>
      <c r="K59" s="58">
        <v>35618.606449388535</v>
      </c>
      <c r="L59" s="58">
        <v>34077.97357963305</v>
      </c>
      <c r="M59" s="58">
        <v>16519.246480179161</v>
      </c>
      <c r="N59" s="58">
        <v>86215.82650920075</v>
      </c>
      <c r="O59" s="73">
        <f t="shared" si="16"/>
        <v>0.24313886690224271</v>
      </c>
      <c r="P59" s="73"/>
      <c r="Q59" s="73"/>
      <c r="R59" s="1" t="s">
        <v>46</v>
      </c>
      <c r="S59" s="58"/>
      <c r="T59" s="58"/>
      <c r="U59" s="58">
        <v>-83404.692482509214</v>
      </c>
      <c r="V59" s="58"/>
      <c r="W59" s="58">
        <v>-83404.692482509214</v>
      </c>
      <c r="X59" s="73">
        <f t="shared" si="17"/>
        <v>-0.23521113518946746</v>
      </c>
      <c r="AE59" s="73"/>
    </row>
    <row r="60" spans="1:51">
      <c r="A60" s="1" t="s">
        <v>46</v>
      </c>
      <c r="B60" s="58"/>
      <c r="C60" s="58"/>
      <c r="D60" s="58">
        <v>352350</v>
      </c>
      <c r="E60" s="58"/>
      <c r="F60" s="58">
        <v>352350</v>
      </c>
      <c r="G60" s="73">
        <f t="shared" si="15"/>
        <v>2.9072314475025177E-2</v>
      </c>
      <c r="I60" s="1" t="s">
        <v>46</v>
      </c>
      <c r="J60" s="58"/>
      <c r="K60" s="58"/>
      <c r="L60" s="58">
        <v>-117232.52909401094</v>
      </c>
      <c r="M60" s="58"/>
      <c r="N60" s="58">
        <v>-117232.52909401094</v>
      </c>
      <c r="O60" s="73">
        <f t="shared" si="16"/>
        <v>-0.33271613195405403</v>
      </c>
      <c r="P60" s="73"/>
      <c r="Q60" s="73"/>
      <c r="R60" s="1" t="s">
        <v>48</v>
      </c>
      <c r="S60" s="58"/>
      <c r="T60" s="58">
        <v>44460.923374065766</v>
      </c>
      <c r="U60" s="58">
        <v>41316.852196086096</v>
      </c>
      <c r="V60" s="58">
        <v>19944.134803536712</v>
      </c>
      <c r="W60" s="58">
        <v>105721.91037368857</v>
      </c>
      <c r="X60" s="73">
        <f t="shared" si="17"/>
        <v>0.30004799311391678</v>
      </c>
      <c r="AE60" s="73"/>
    </row>
    <row r="61" spans="1:51">
      <c r="A61" s="1" t="s">
        <v>56</v>
      </c>
      <c r="B61" s="58">
        <v>74064</v>
      </c>
      <c r="C61" s="58"/>
      <c r="D61" s="58">
        <v>76700</v>
      </c>
      <c r="E61" s="58">
        <v>189800</v>
      </c>
      <c r="F61" s="58">
        <v>340564</v>
      </c>
      <c r="G61" s="73">
        <f t="shared" si="15"/>
        <v>2.8099854425634951E-2</v>
      </c>
      <c r="I61" s="1" t="s">
        <v>56</v>
      </c>
      <c r="J61" s="58">
        <v>2979.6903225806473</v>
      </c>
      <c r="K61" s="58"/>
      <c r="L61" s="58">
        <v>20289.127303493031</v>
      </c>
      <c r="M61" s="58">
        <v>-59444.243887008648</v>
      </c>
      <c r="N61" s="58">
        <v>-36175.426260934968</v>
      </c>
      <c r="O61" s="73">
        <f t="shared" si="16"/>
        <v>-0.10622210879874258</v>
      </c>
      <c r="P61" s="73"/>
      <c r="Q61" s="73"/>
      <c r="R61" s="1" t="s">
        <v>56</v>
      </c>
      <c r="S61" s="58">
        <v>29690.601612903229</v>
      </c>
      <c r="T61" s="58"/>
      <c r="U61" s="58">
        <v>23908.566611719551</v>
      </c>
      <c r="V61" s="58">
        <v>-45744.690593578438</v>
      </c>
      <c r="W61" s="58">
        <v>7854.4776310443413</v>
      </c>
      <c r="X61" s="73">
        <f t="shared" si="17"/>
        <v>2.3063147106107344E-2</v>
      </c>
      <c r="AE61" s="73"/>
    </row>
    <row r="62" spans="1:51">
      <c r="A62" s="1" t="s">
        <v>49</v>
      </c>
      <c r="B62" s="58"/>
      <c r="C62" s="58"/>
      <c r="D62" s="58">
        <v>334800</v>
      </c>
      <c r="E62" s="58"/>
      <c r="F62" s="58">
        <v>334800</v>
      </c>
      <c r="G62" s="73">
        <f t="shared" si="15"/>
        <v>2.7624268160177181E-2</v>
      </c>
      <c r="I62" s="1" t="s">
        <v>49</v>
      </c>
      <c r="J62" s="58"/>
      <c r="K62" s="58"/>
      <c r="L62" s="58">
        <v>61759.822004793015</v>
      </c>
      <c r="M62" s="58"/>
      <c r="N62" s="58">
        <v>61759.822004793015</v>
      </c>
      <c r="O62" s="73">
        <f t="shared" si="16"/>
        <v>0.18446780766067208</v>
      </c>
      <c r="P62" s="73"/>
      <c r="Q62" s="73"/>
      <c r="R62" s="1" t="s">
        <v>49</v>
      </c>
      <c r="S62" s="58"/>
      <c r="T62" s="58"/>
      <c r="U62" s="58">
        <v>76794.416054349349</v>
      </c>
      <c r="V62" s="58"/>
      <c r="W62" s="58">
        <v>76794.416054349349</v>
      </c>
      <c r="X62" s="73">
        <f t="shared" si="17"/>
        <v>0.22937400255182003</v>
      </c>
      <c r="AE62" s="73"/>
    </row>
    <row r="63" spans="1:51">
      <c r="A63" s="1" t="s">
        <v>53</v>
      </c>
      <c r="B63" s="58">
        <v>140400</v>
      </c>
      <c r="C63" s="58">
        <v>77585</v>
      </c>
      <c r="D63" s="58"/>
      <c r="E63" s="58">
        <v>67500</v>
      </c>
      <c r="F63" s="58">
        <v>285485</v>
      </c>
      <c r="G63" s="73">
        <f t="shared" si="15"/>
        <v>2.3555299270335072E-2</v>
      </c>
      <c r="I63" s="1" t="s">
        <v>53</v>
      </c>
      <c r="J63" s="58">
        <v>-4968.0447146402003</v>
      </c>
      <c r="K63" s="58">
        <v>20669.555693205599</v>
      </c>
      <c r="L63" s="58"/>
      <c r="M63" s="58">
        <v>15712.770115605499</v>
      </c>
      <c r="N63" s="58">
        <v>31414.281094170896</v>
      </c>
      <c r="O63" s="73">
        <f t="shared" si="16"/>
        <v>0.11003828955696761</v>
      </c>
      <c r="P63" s="73"/>
      <c r="Q63" s="73"/>
      <c r="R63" s="1" t="s">
        <v>50</v>
      </c>
      <c r="S63" s="58">
        <v>2063.8614888337502</v>
      </c>
      <c r="T63" s="58"/>
      <c r="U63" s="58">
        <v>-238208.32964678947</v>
      </c>
      <c r="V63" s="58"/>
      <c r="W63" s="58">
        <v>-236144.46815795571</v>
      </c>
      <c r="X63" s="73">
        <f t="shared" si="17"/>
        <v>-0.82716944203007414</v>
      </c>
      <c r="AE63" s="73"/>
    </row>
    <row r="64" spans="1:51">
      <c r="A64" s="1" t="s">
        <v>50</v>
      </c>
      <c r="B64" s="58">
        <v>44722</v>
      </c>
      <c r="C64" s="58"/>
      <c r="D64" s="58">
        <v>236060</v>
      </c>
      <c r="E64" s="58"/>
      <c r="F64" s="58">
        <v>280782</v>
      </c>
      <c r="G64" s="73">
        <f t="shared" si="15"/>
        <v>2.3167255861860421E-2</v>
      </c>
      <c r="I64" s="1" t="s">
        <v>50</v>
      </c>
      <c r="J64" s="58">
        <v>-22592.364317617867</v>
      </c>
      <c r="K64" s="58"/>
      <c r="L64" s="58">
        <v>-268416.72695006465</v>
      </c>
      <c r="M64" s="58"/>
      <c r="N64" s="58">
        <v>-291009.0912676825</v>
      </c>
      <c r="O64" s="73">
        <f t="shared" si="16"/>
        <v>-1.0364236000444562</v>
      </c>
      <c r="P64" s="73"/>
      <c r="Q64" s="73"/>
      <c r="R64" s="1" t="s">
        <v>53</v>
      </c>
      <c r="S64" s="58">
        <v>50508.463349875936</v>
      </c>
      <c r="T64" s="58">
        <v>25174.132239739283</v>
      </c>
      <c r="U64" s="58"/>
      <c r="V64" s="58">
        <v>19269.384912938338</v>
      </c>
      <c r="W64" s="58">
        <v>94951.980502553546</v>
      </c>
      <c r="X64" s="73">
        <f t="shared" si="17"/>
        <v>0.33816975626127582</v>
      </c>
      <c r="AE64" s="73"/>
    </row>
    <row r="65" spans="1:31">
      <c r="A65" s="1" t="s">
        <v>491</v>
      </c>
      <c r="B65" s="58"/>
      <c r="C65" s="58"/>
      <c r="D65" s="58"/>
      <c r="E65" s="58">
        <v>279504</v>
      </c>
      <c r="F65" s="58">
        <v>279504</v>
      </c>
      <c r="G65" s="73">
        <f t="shared" si="15"/>
        <v>2.3061808386625336E-2</v>
      </c>
      <c r="I65" s="1" t="s">
        <v>491</v>
      </c>
      <c r="J65" s="58"/>
      <c r="K65" s="58"/>
      <c r="L65" s="58"/>
      <c r="M65" s="58">
        <v>19044.142804751697</v>
      </c>
      <c r="N65" s="58">
        <v>19044.142804751697</v>
      </c>
      <c r="O65" s="73">
        <f t="shared" si="16"/>
        <v>6.8135492890089938E-2</v>
      </c>
      <c r="P65" s="73"/>
      <c r="Q65" s="73"/>
      <c r="R65" s="1" t="s">
        <v>491</v>
      </c>
      <c r="S65" s="58"/>
      <c r="T65" s="58"/>
      <c r="U65" s="58"/>
      <c r="V65" s="58">
        <v>33223.18046345195</v>
      </c>
      <c r="W65" s="58">
        <v>33223.18046345195</v>
      </c>
      <c r="X65" s="73">
        <f t="shared" si="17"/>
        <v>0.11886477640195471</v>
      </c>
      <c r="AE65" s="73"/>
    </row>
    <row r="66" spans="1:31">
      <c r="A66" s="1" t="s">
        <v>51</v>
      </c>
      <c r="B66" s="58"/>
      <c r="C66" s="58">
        <v>222750</v>
      </c>
      <c r="D66" s="58">
        <v>37800</v>
      </c>
      <c r="E66" s="58"/>
      <c r="F66" s="58">
        <v>260550</v>
      </c>
      <c r="G66" s="73">
        <f t="shared" si="15"/>
        <v>2.14979183665895E-2</v>
      </c>
      <c r="I66" s="1" t="s">
        <v>51</v>
      </c>
      <c r="J66" s="58"/>
      <c r="K66" s="58">
        <v>-48283.270723193542</v>
      </c>
      <c r="L66" s="58">
        <v>30256.812456466272</v>
      </c>
      <c r="M66" s="58"/>
      <c r="N66" s="58">
        <v>-18026.45826672727</v>
      </c>
      <c r="O66" s="73">
        <f t="shared" si="16"/>
        <v>-6.9186176421904708E-2</v>
      </c>
      <c r="P66" s="73"/>
      <c r="Q66" s="73"/>
      <c r="R66" s="1" t="s">
        <v>51</v>
      </c>
      <c r="S66" s="58"/>
      <c r="T66" s="58">
        <v>-25760.38799052512</v>
      </c>
      <c r="U66" s="58">
        <v>34015.460968855354</v>
      </c>
      <c r="V66" s="58"/>
      <c r="W66" s="58">
        <v>8255.072978330234</v>
      </c>
      <c r="X66" s="73">
        <f t="shared" si="17"/>
        <v>3.1683258408482955E-2</v>
      </c>
      <c r="AE66" s="73"/>
    </row>
    <row r="67" spans="1:31">
      <c r="A67" s="1" t="s">
        <v>58</v>
      </c>
      <c r="B67" s="58"/>
      <c r="C67" s="58"/>
      <c r="D67" s="58">
        <v>70200</v>
      </c>
      <c r="E67" s="58">
        <v>145800</v>
      </c>
      <c r="F67" s="58">
        <v>216000</v>
      </c>
      <c r="G67" s="73">
        <f t="shared" si="15"/>
        <v>1.7822108490436892E-2</v>
      </c>
      <c r="I67" s="1" t="s">
        <v>58</v>
      </c>
      <c r="J67" s="58"/>
      <c r="K67" s="58"/>
      <c r="L67" s="58">
        <v>12132.357120123337</v>
      </c>
      <c r="M67" s="58">
        <v>24467.919325167586</v>
      </c>
      <c r="N67" s="58">
        <v>36600.276445290925</v>
      </c>
      <c r="O67" s="73">
        <f t="shared" si="16"/>
        <v>0.16944572428375429</v>
      </c>
      <c r="P67" s="73"/>
      <c r="Q67" s="73"/>
      <c r="R67" s="1" t="s">
        <v>58</v>
      </c>
      <c r="S67" s="58"/>
      <c r="T67" s="58"/>
      <c r="U67" s="58">
        <v>15891.005632512419</v>
      </c>
      <c r="V67" s="58">
        <v>31581.148919833264</v>
      </c>
      <c r="W67" s="58">
        <v>47472.154552345681</v>
      </c>
      <c r="X67" s="73">
        <f t="shared" si="17"/>
        <v>0.21977849329789667</v>
      </c>
      <c r="AE67" s="73"/>
    </row>
    <row r="68" spans="1:31">
      <c r="A68" s="1" t="s">
        <v>55</v>
      </c>
      <c r="B68" s="58"/>
      <c r="C68" s="58">
        <v>77212.5</v>
      </c>
      <c r="D68" s="58"/>
      <c r="E68" s="58">
        <v>104700</v>
      </c>
      <c r="F68" s="58">
        <v>181912.5</v>
      </c>
      <c r="G68" s="73">
        <f t="shared" si="15"/>
        <v>1.5009556994289819E-2</v>
      </c>
      <c r="I68" s="1" t="s">
        <v>55</v>
      </c>
      <c r="J68" s="58"/>
      <c r="K68" s="58">
        <v>-19360.678219641588</v>
      </c>
      <c r="L68" s="58"/>
      <c r="M68" s="58">
        <v>91830.33381880747</v>
      </c>
      <c r="N68" s="58">
        <v>72469.655599165882</v>
      </c>
      <c r="O68" s="73">
        <f t="shared" si="16"/>
        <v>0.39837644801300559</v>
      </c>
      <c r="P68" s="73"/>
      <c r="Q68" s="84"/>
      <c r="R68" s="1" t="s">
        <v>527</v>
      </c>
      <c r="S68" s="58"/>
      <c r="T68" s="58"/>
      <c r="U68" s="58"/>
      <c r="V68" s="58">
        <v>38456.336612454514</v>
      </c>
      <c r="W68" s="58">
        <v>38456.336612454514</v>
      </c>
      <c r="X68" s="73">
        <f t="shared" si="17"/>
        <v>0.21140018752122319</v>
      </c>
      <c r="AE68" s="118"/>
    </row>
    <row r="69" spans="1:31">
      <c r="A69" s="1" t="s">
        <v>527</v>
      </c>
      <c r="B69" s="58"/>
      <c r="C69" s="58"/>
      <c r="D69" s="58"/>
      <c r="E69" s="58">
        <v>151256</v>
      </c>
      <c r="F69" s="58">
        <v>151256</v>
      </c>
      <c r="G69" s="73">
        <f t="shared" si="15"/>
        <v>1.2480096489951492E-2</v>
      </c>
      <c r="I69" s="1" t="s">
        <v>527</v>
      </c>
      <c r="J69" s="58"/>
      <c r="K69" s="58"/>
      <c r="L69" s="58"/>
      <c r="M69" s="58">
        <v>31632.905260534466</v>
      </c>
      <c r="N69" s="58">
        <v>31632.905260534466</v>
      </c>
      <c r="O69" s="73">
        <f t="shared" si="16"/>
        <v>0.20913487901659747</v>
      </c>
      <c r="P69" s="84"/>
      <c r="R69" s="1" t="s">
        <v>55</v>
      </c>
      <c r="S69" s="58"/>
      <c r="T69" s="58">
        <v>-10351.525126574217</v>
      </c>
      <c r="U69" s="58"/>
      <c r="V69" s="58">
        <v>98726.214731413929</v>
      </c>
      <c r="W69" s="58">
        <v>88374.689604839718</v>
      </c>
      <c r="X69" s="73">
        <f t="shared" si="17"/>
        <v>0.58427229071798614</v>
      </c>
      <c r="AE69" s="84"/>
    </row>
    <row r="70" spans="1:31">
      <c r="A70" s="1" t="s">
        <v>54</v>
      </c>
      <c r="B70" s="58"/>
      <c r="C70" s="58">
        <v>91800</v>
      </c>
      <c r="D70" s="58"/>
      <c r="E70" s="58"/>
      <c r="F70" s="58">
        <v>91800</v>
      </c>
      <c r="G70" s="73">
        <f t="shared" si="15"/>
        <v>7.5743961084356786E-3</v>
      </c>
      <c r="I70" s="1" t="s">
        <v>54</v>
      </c>
      <c r="J70" s="58"/>
      <c r="K70" s="58">
        <v>29126.229164827037</v>
      </c>
      <c r="L70" s="58"/>
      <c r="M70" s="58"/>
      <c r="N70" s="58">
        <v>29126.229164827037</v>
      </c>
      <c r="O70" s="73">
        <f t="shared" si="16"/>
        <v>0.31727918480203743</v>
      </c>
      <c r="R70" s="1" t="s">
        <v>54</v>
      </c>
      <c r="S70" s="58"/>
      <c r="T70" s="58">
        <v>33630.805711360721</v>
      </c>
      <c r="U70" s="58"/>
      <c r="V70" s="58"/>
      <c r="W70" s="58">
        <v>33630.805711360721</v>
      </c>
      <c r="X70" s="73">
        <f t="shared" si="17"/>
        <v>0.36634864609325402</v>
      </c>
    </row>
    <row r="71" spans="1:31">
      <c r="A71" s="1" t="s">
        <v>422</v>
      </c>
      <c r="B71" s="58">
        <v>24314.28</v>
      </c>
      <c r="C71" s="58">
        <v>40026</v>
      </c>
      <c r="D71" s="58">
        <v>26456.610000000008</v>
      </c>
      <c r="E71" s="58"/>
      <c r="F71" s="58">
        <v>90796.890000000014</v>
      </c>
      <c r="G71" s="73">
        <f t="shared" si="15"/>
        <v>7.4916297415475218E-3</v>
      </c>
      <c r="I71" s="1" t="s">
        <v>422</v>
      </c>
      <c r="J71" s="58">
        <v>24314.28</v>
      </c>
      <c r="K71" s="58">
        <v>40026</v>
      </c>
      <c r="L71" s="58">
        <v>26456.610000000008</v>
      </c>
      <c r="M71" s="58"/>
      <c r="N71" s="58">
        <v>90796.890000000014</v>
      </c>
      <c r="O71" s="73">
        <f t="shared" si="16"/>
        <v>1</v>
      </c>
      <c r="R71" s="1" t="s">
        <v>533</v>
      </c>
      <c r="S71" s="58"/>
      <c r="T71" s="58"/>
      <c r="U71" s="58"/>
      <c r="V71" s="58">
        <v>21908.097843735457</v>
      </c>
      <c r="W71" s="58">
        <v>21908.097843735457</v>
      </c>
      <c r="X71" s="73">
        <f t="shared" si="17"/>
        <v>0.24128687495502824</v>
      </c>
    </row>
    <row r="72" spans="1:31">
      <c r="A72" s="1" t="s">
        <v>533</v>
      </c>
      <c r="B72" s="58"/>
      <c r="C72" s="58"/>
      <c r="D72" s="58"/>
      <c r="E72" s="58">
        <v>81000</v>
      </c>
      <c r="F72" s="58">
        <v>81000</v>
      </c>
      <c r="G72" s="73">
        <f t="shared" si="15"/>
        <v>6.6832906839138341E-3</v>
      </c>
      <c r="I72" s="1" t="s">
        <v>533</v>
      </c>
      <c r="J72" s="58"/>
      <c r="K72" s="58"/>
      <c r="L72" s="58"/>
      <c r="M72" s="58">
        <v>18351.483046402616</v>
      </c>
      <c r="N72" s="58">
        <v>18351.483046402616</v>
      </c>
      <c r="O72" s="73">
        <f t="shared" si="16"/>
        <v>0.22656151909139033</v>
      </c>
      <c r="R72" s="1" t="s">
        <v>422</v>
      </c>
      <c r="S72" s="58">
        <v>24314.28</v>
      </c>
      <c r="T72" s="58">
        <v>40026</v>
      </c>
      <c r="U72" s="58">
        <v>26456.610000000008</v>
      </c>
      <c r="V72" s="58"/>
      <c r="W72" s="58">
        <v>90796.890000000014</v>
      </c>
      <c r="X72" s="73">
        <f t="shared" si="17"/>
        <v>1.1209492592592594</v>
      </c>
    </row>
    <row r="73" spans="1:31">
      <c r="A73" s="1" t="s">
        <v>57</v>
      </c>
      <c r="B73" s="58"/>
      <c r="C73" s="58"/>
      <c r="D73" s="58">
        <v>39000</v>
      </c>
      <c r="E73" s="58"/>
      <c r="F73" s="58">
        <v>39000</v>
      </c>
      <c r="G73" s="73">
        <f t="shared" si="15"/>
        <v>3.2178806996622164E-3</v>
      </c>
      <c r="I73" s="1" t="s">
        <v>57</v>
      </c>
      <c r="J73" s="58"/>
      <c r="K73" s="58"/>
      <c r="L73" s="58">
        <v>-15431.27261911228</v>
      </c>
      <c r="M73" s="58"/>
      <c r="N73" s="58">
        <v>-15431.27261911228</v>
      </c>
      <c r="O73" s="73">
        <f t="shared" si="16"/>
        <v>-0.39567365690031486</v>
      </c>
      <c r="R73" s="1" t="s">
        <v>57</v>
      </c>
      <c r="S73" s="58"/>
      <c r="T73" s="58"/>
      <c r="U73" s="58">
        <v>-11811.833310885757</v>
      </c>
      <c r="V73" s="58"/>
      <c r="W73" s="58">
        <v>-11811.833310885757</v>
      </c>
      <c r="X73" s="73">
        <f t="shared" si="17"/>
        <v>-0.30286752079194246</v>
      </c>
    </row>
    <row r="74" spans="1:31">
      <c r="A74" s="1" t="s">
        <v>9</v>
      </c>
      <c r="B74" s="58">
        <v>564615.28</v>
      </c>
      <c r="C74" s="58">
        <v>2769824.5</v>
      </c>
      <c r="D74" s="58">
        <v>3896418.31</v>
      </c>
      <c r="E74" s="58">
        <v>4888920</v>
      </c>
      <c r="F74" s="58">
        <v>12119778.09</v>
      </c>
      <c r="G74" s="84">
        <f t="shared" si="15"/>
        <v>1</v>
      </c>
      <c r="I74" s="1" t="s">
        <v>9</v>
      </c>
      <c r="J74" s="58">
        <v>-99037.98461538463</v>
      </c>
      <c r="K74" s="58">
        <v>-488407.45738826925</v>
      </c>
      <c r="L74" s="58">
        <v>-201207.63531705274</v>
      </c>
      <c r="M74" s="58">
        <v>89747.09976306434</v>
      </c>
      <c r="N74" s="58">
        <v>-698905.97755764239</v>
      </c>
      <c r="O74" s="84">
        <f t="shared" si="16"/>
        <v>-5.7666565540033118E-2</v>
      </c>
      <c r="R74" s="1" t="s">
        <v>9</v>
      </c>
      <c r="S74" s="58">
        <v>155743.01538461537</v>
      </c>
      <c r="T74" s="58">
        <v>-215757.06394459313</v>
      </c>
      <c r="U74" s="58">
        <v>76626.094350581567</v>
      </c>
      <c r="V74" s="58">
        <v>367704.44976306439</v>
      </c>
      <c r="W74" s="58">
        <v>384316.49555366818</v>
      </c>
      <c r="X74" s="84">
        <f t="shared" si="17"/>
        <v>3.1709862400101763E-2</v>
      </c>
    </row>
    <row r="75" spans="1:31">
      <c r="G75" s="73"/>
    </row>
    <row r="84" spans="1:6">
      <c r="A84" s="77" t="s">
        <v>12</v>
      </c>
      <c r="B84" s="77" t="s">
        <v>2</v>
      </c>
    </row>
    <row r="85" spans="1:6">
      <c r="A85" s="77" t="s">
        <v>28</v>
      </c>
      <c r="B85" t="s">
        <v>6</v>
      </c>
      <c r="C85" t="s">
        <v>7</v>
      </c>
      <c r="D85" t="s">
        <v>8</v>
      </c>
      <c r="E85" t="s">
        <v>466</v>
      </c>
      <c r="F85" t="s">
        <v>9</v>
      </c>
    </row>
    <row r="86" spans="1:6">
      <c r="A86" s="1" t="s">
        <v>33</v>
      </c>
      <c r="B86" s="58">
        <v>48</v>
      </c>
      <c r="C86" s="58">
        <v>810</v>
      </c>
      <c r="D86" s="58">
        <v>293</v>
      </c>
      <c r="E86" s="58">
        <v>808.9</v>
      </c>
      <c r="F86" s="58">
        <v>1959.9</v>
      </c>
    </row>
    <row r="87" spans="1:6">
      <c r="A87" s="1" t="s">
        <v>31</v>
      </c>
      <c r="B87" s="58">
        <v>57.96</v>
      </c>
      <c r="C87" s="58">
        <v>209</v>
      </c>
      <c r="D87" s="58">
        <v>331</v>
      </c>
      <c r="E87" s="58">
        <v>458.94</v>
      </c>
      <c r="F87" s="58">
        <v>1056.9000000000001</v>
      </c>
    </row>
    <row r="88" spans="1:6">
      <c r="A88" s="1" t="s">
        <v>32</v>
      </c>
      <c r="B88" s="58">
        <v>72</v>
      </c>
      <c r="C88" s="58">
        <v>459.3</v>
      </c>
      <c r="D88" s="58">
        <v>482.8</v>
      </c>
      <c r="E88" s="58">
        <v>343.62</v>
      </c>
      <c r="F88" s="58">
        <v>1357.7199999999998</v>
      </c>
    </row>
    <row r="89" spans="1:6">
      <c r="A89" s="1" t="s">
        <v>498</v>
      </c>
      <c r="B89" s="58"/>
      <c r="C89" s="58">
        <v>27</v>
      </c>
      <c r="D89" s="58">
        <v>324</v>
      </c>
      <c r="E89" s="58">
        <v>216</v>
      </c>
      <c r="F89" s="58">
        <v>567</v>
      </c>
    </row>
    <row r="90" spans="1:6">
      <c r="A90" s="1" t="s">
        <v>36</v>
      </c>
      <c r="B90" s="58">
        <v>26</v>
      </c>
      <c r="C90" s="58">
        <v>27</v>
      </c>
      <c r="D90" s="58">
        <v>51</v>
      </c>
      <c r="E90" s="58">
        <v>103.8</v>
      </c>
      <c r="F90" s="58">
        <v>207.8</v>
      </c>
    </row>
    <row r="91" spans="1:6">
      <c r="A91" s="1" t="s">
        <v>34</v>
      </c>
      <c r="B91" s="58">
        <v>20.04</v>
      </c>
      <c r="C91" s="58">
        <v>14</v>
      </c>
      <c r="D91" s="58">
        <v>385</v>
      </c>
      <c r="E91" s="58"/>
      <c r="F91" s="58">
        <v>419.04</v>
      </c>
    </row>
    <row r="92" spans="1:6">
      <c r="A92" s="1" t="s">
        <v>35</v>
      </c>
      <c r="B92" s="58"/>
      <c r="C92" s="58"/>
      <c r="D92" s="58">
        <v>54</v>
      </c>
      <c r="E92" s="58">
        <v>53.1</v>
      </c>
      <c r="F92" s="58">
        <v>107.1</v>
      </c>
    </row>
    <row r="93" spans="1:6">
      <c r="A93" s="1" t="s">
        <v>37</v>
      </c>
      <c r="B93" s="58">
        <v>24</v>
      </c>
      <c r="C93" s="58">
        <v>34</v>
      </c>
      <c r="D93" s="58">
        <v>48</v>
      </c>
      <c r="E93" s="58">
        <v>22.2</v>
      </c>
      <c r="F93" s="58">
        <v>128.19999999999999</v>
      </c>
    </row>
    <row r="94" spans="1:6">
      <c r="A94" s="1" t="s">
        <v>38</v>
      </c>
      <c r="B94" s="58"/>
      <c r="C94" s="58">
        <v>27</v>
      </c>
      <c r="D94" s="58">
        <v>27</v>
      </c>
      <c r="E94" s="58">
        <v>26.25</v>
      </c>
      <c r="F94" s="58">
        <v>80.25</v>
      </c>
    </row>
    <row r="95" spans="1:6">
      <c r="A95" s="1" t="s">
        <v>39</v>
      </c>
      <c r="B95" s="58"/>
      <c r="C95" s="58">
        <v>27</v>
      </c>
      <c r="D95" s="58"/>
      <c r="E95" s="58">
        <v>26.1</v>
      </c>
      <c r="F95" s="58">
        <v>53.1</v>
      </c>
    </row>
    <row r="96" spans="1:6">
      <c r="A96" s="1" t="s">
        <v>468</v>
      </c>
      <c r="B96" s="58"/>
      <c r="C96" s="58"/>
      <c r="D96" s="58"/>
      <c r="E96" s="58">
        <v>27</v>
      </c>
      <c r="F96" s="58">
        <v>27</v>
      </c>
    </row>
    <row r="97" spans="1:10">
      <c r="A97" s="1" t="s">
        <v>500</v>
      </c>
      <c r="B97" s="58"/>
      <c r="C97" s="58"/>
      <c r="D97" s="58"/>
      <c r="E97" s="58">
        <v>24.2</v>
      </c>
      <c r="F97" s="58">
        <v>24.2</v>
      </c>
    </row>
    <row r="98" spans="1:10">
      <c r="A98" s="1" t="s">
        <v>420</v>
      </c>
      <c r="B98" s="58">
        <v>0</v>
      </c>
      <c r="C98" s="58">
        <v>0</v>
      </c>
      <c r="D98" s="58">
        <v>0</v>
      </c>
      <c r="E98" s="58"/>
      <c r="F98" s="58">
        <v>0</v>
      </c>
    </row>
    <row r="99" spans="1:10">
      <c r="A99" s="1" t="s">
        <v>9</v>
      </c>
      <c r="B99" s="58">
        <v>248</v>
      </c>
      <c r="C99" s="58">
        <v>1634.3</v>
      </c>
      <c r="D99" s="58">
        <v>1995.8</v>
      </c>
      <c r="E99" s="58">
        <v>2110.1099999999997</v>
      </c>
      <c r="F99" s="58">
        <v>5988.2100000000009</v>
      </c>
    </row>
    <row r="103" spans="1:10">
      <c r="B103" s="77" t="s">
        <v>2</v>
      </c>
      <c r="G103" s="166"/>
    </row>
    <row r="104" spans="1:10">
      <c r="A104" s="77" t="s">
        <v>5</v>
      </c>
      <c r="B104" t="s">
        <v>6</v>
      </c>
      <c r="C104" t="s">
        <v>7</v>
      </c>
      <c r="D104" t="s">
        <v>8</v>
      </c>
      <c r="E104" t="s">
        <v>466</v>
      </c>
      <c r="F104" t="s">
        <v>9</v>
      </c>
      <c r="G104" s="82" t="s">
        <v>596</v>
      </c>
    </row>
    <row r="105" spans="1:10">
      <c r="A105" s="80" t="s">
        <v>12</v>
      </c>
      <c r="B105" s="81">
        <v>248</v>
      </c>
      <c r="C105" s="81">
        <v>1634.3</v>
      </c>
      <c r="D105" s="81">
        <v>1995.8</v>
      </c>
      <c r="E105" s="81">
        <v>2110.1099999999997</v>
      </c>
      <c r="F105" s="81">
        <v>5988.2099999999991</v>
      </c>
      <c r="G105" s="227">
        <v>5834</v>
      </c>
    </row>
    <row r="106" spans="1:10">
      <c r="A106" s="1" t="s">
        <v>618</v>
      </c>
      <c r="B106" s="58">
        <v>71063.9493007118</v>
      </c>
      <c r="C106" s="58">
        <v>497398.49628571334</v>
      </c>
      <c r="D106" s="58">
        <v>662941.54713227064</v>
      </c>
      <c r="E106" s="58">
        <v>833915.75094778603</v>
      </c>
      <c r="F106" s="58">
        <v>2065319.7436664817</v>
      </c>
      <c r="G106" s="228">
        <v>15333647</v>
      </c>
    </row>
    <row r="107" spans="1:10">
      <c r="A107" s="1" t="s">
        <v>22</v>
      </c>
      <c r="B107" s="58">
        <v>123530</v>
      </c>
      <c r="C107" s="58">
        <v>124152.39344367619</v>
      </c>
      <c r="D107" s="58">
        <v>123360.72966763443</v>
      </c>
      <c r="E107" s="58">
        <v>123484.35000000002</v>
      </c>
      <c r="F107" s="58">
        <v>494527.47311131062</v>
      </c>
      <c r="G107" s="228">
        <v>12968611</v>
      </c>
    </row>
    <row r="108" spans="1:10">
      <c r="I108" s="56">
        <v>7100</v>
      </c>
      <c r="J108" t="s">
        <v>626</v>
      </c>
    </row>
    <row r="109" spans="1:10">
      <c r="E109" s="226" t="s">
        <v>619</v>
      </c>
      <c r="F109" s="56">
        <f>F106/F105</f>
        <v>344.89768122134694</v>
      </c>
      <c r="H109" s="235" t="s">
        <v>619</v>
      </c>
      <c r="I109" s="58">
        <f>F106/I108</f>
        <v>290.89010474175797</v>
      </c>
    </row>
    <row r="110" spans="1:10">
      <c r="E110" s="235" t="s">
        <v>620</v>
      </c>
      <c r="F110" s="83">
        <f>(F106-F107)/F105</f>
        <v>262.31415908179093</v>
      </c>
      <c r="H110" s="235" t="s">
        <v>620</v>
      </c>
      <c r="I110" s="83">
        <f>(F106-F107)/I108</f>
        <v>221.23834796551708</v>
      </c>
      <c r="J110" t="s">
        <v>624</v>
      </c>
    </row>
    <row r="111" spans="1:10">
      <c r="E111" s="235" t="s">
        <v>621</v>
      </c>
      <c r="F111" s="79">
        <f>N12</f>
        <v>44.156935044028188</v>
      </c>
      <c r="H111" s="235" t="s">
        <v>621</v>
      </c>
      <c r="I111" s="83">
        <f>F111</f>
        <v>44.156935044028188</v>
      </c>
      <c r="J111" t="s">
        <v>625</v>
      </c>
    </row>
    <row r="112" spans="1:10">
      <c r="E112" s="235" t="s">
        <v>622</v>
      </c>
      <c r="F112" s="79">
        <v>0</v>
      </c>
      <c r="H112" s="235" t="s">
        <v>622</v>
      </c>
      <c r="I112" s="83">
        <v>0</v>
      </c>
    </row>
    <row r="113" spans="1:9">
      <c r="E113" s="235" t="s">
        <v>623</v>
      </c>
      <c r="F113" s="79">
        <f>N15</f>
        <v>98.309010539042561</v>
      </c>
      <c r="H113" s="235" t="s">
        <v>623</v>
      </c>
      <c r="I113" s="83">
        <f>F113</f>
        <v>98.309010539042561</v>
      </c>
    </row>
    <row r="114" spans="1:9">
      <c r="F114" s="79">
        <f>SUM(F110:F113)</f>
        <v>404.78010466486171</v>
      </c>
      <c r="I114" s="79">
        <f>SUM(I110:I113)</f>
        <v>363.70429354858783</v>
      </c>
    </row>
    <row r="118" spans="1:9">
      <c r="A118" s="1"/>
      <c r="B118" s="58"/>
      <c r="C118" s="58"/>
      <c r="D118" s="58"/>
    </row>
    <row r="119" spans="1:9">
      <c r="A119" s="1"/>
      <c r="B119" s="58"/>
      <c r="C119" s="58"/>
      <c r="D119" s="58"/>
      <c r="E119" s="58"/>
      <c r="F119" s="58"/>
    </row>
    <row r="120" spans="1:9">
      <c r="A120" s="1"/>
      <c r="B120" s="58"/>
      <c r="C120" s="58"/>
      <c r="D120" s="58"/>
      <c r="E120" s="58"/>
      <c r="F120" s="58"/>
    </row>
    <row r="121" spans="1:9">
      <c r="A121" s="78"/>
      <c r="B121" s="79"/>
      <c r="C121" s="79"/>
      <c r="D121" s="79"/>
      <c r="E121" s="79"/>
      <c r="F121" s="79"/>
    </row>
  </sheetData>
  <mergeCells count="9">
    <mergeCell ref="A4:E4"/>
    <mergeCell ref="I5:M5"/>
    <mergeCell ref="R5:V5"/>
    <mergeCell ref="A49:E49"/>
    <mergeCell ref="R49:V49"/>
    <mergeCell ref="I49:O49"/>
    <mergeCell ref="A27:E27"/>
    <mergeCell ref="I27:M27"/>
    <mergeCell ref="R27:V27"/>
  </mergeCells>
  <phoneticPr fontId="31" type="noConversion"/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DF5D-4B52-4DC0-B796-EF7D4CAE41BF}">
  <dimension ref="B2:BQ129"/>
  <sheetViews>
    <sheetView showGridLines="0" tabSelected="1" zoomScale="80" zoomScaleNormal="80" workbookViewId="0">
      <pane ySplit="3" topLeftCell="A4" activePane="bottomLeft" state="frozen"/>
      <selection pane="bottomLeft" activeCell="A2" sqref="A2"/>
    </sheetView>
  </sheetViews>
  <sheetFormatPr baseColWidth="10" defaultColWidth="11.44140625" defaultRowHeight="14.4" outlineLevelCol="1"/>
  <cols>
    <col min="2" max="2" width="11.5546875" hidden="1" customWidth="1" outlineLevel="1"/>
    <col min="3" max="3" width="11.5546875" collapsed="1"/>
    <col min="7" max="7" width="15.77734375" bestFit="1" customWidth="1"/>
    <col min="8" max="8" width="36" customWidth="1"/>
    <col min="10" max="12" width="11.5546875" customWidth="1" outlineLevel="1"/>
    <col min="13" max="13" width="26.77734375" customWidth="1" outlineLevel="1"/>
    <col min="14" max="15" width="11.5546875" customWidth="1" outlineLevel="1"/>
    <col min="16" max="16" width="13.33203125" customWidth="1"/>
    <col min="17" max="18" width="11.5546875" hidden="1" customWidth="1" outlineLevel="1"/>
    <col min="19" max="19" width="14.44140625" customWidth="1" collapsed="1"/>
    <col min="20" max="24" width="11.5546875" hidden="1" customWidth="1" outlineLevel="1"/>
    <col min="25" max="26" width="16.33203125" hidden="1" customWidth="1" outlineLevel="1"/>
    <col min="27" max="27" width="32.109375" hidden="1" customWidth="1" outlineLevel="1"/>
    <col min="28" max="28" width="12.109375" customWidth="1" collapsed="1"/>
    <col min="29" max="32" width="12.109375" hidden="1" customWidth="1" outlineLevel="1"/>
    <col min="33" max="33" width="13.77734375" bestFit="1" customWidth="1" collapsed="1"/>
    <col min="34" max="35" width="12.21875" hidden="1" customWidth="1" outlineLevel="1"/>
    <col min="36" max="36" width="13.21875" hidden="1" customWidth="1" outlineLevel="1"/>
    <col min="37" max="37" width="11.33203125" customWidth="1" collapsed="1"/>
    <col min="38" max="38" width="11.33203125" customWidth="1"/>
    <col min="39" max="40" width="12.109375" hidden="1" customWidth="1" outlineLevel="1"/>
    <col min="41" max="41" width="12.109375" customWidth="1" collapsed="1"/>
    <col min="42" max="48" width="12.109375" customWidth="1"/>
    <col min="49" max="49" width="15.33203125" customWidth="1"/>
    <col min="50" max="50" width="12.109375" customWidth="1"/>
  </cols>
  <sheetData>
    <row r="2" spans="2:69">
      <c r="C2" s="126" t="s">
        <v>423</v>
      </c>
      <c r="D2" s="231"/>
      <c r="E2" s="231"/>
      <c r="F2" s="126" t="s">
        <v>423</v>
      </c>
      <c r="G2" s="126" t="s">
        <v>423</v>
      </c>
      <c r="H2" s="126" t="s">
        <v>423</v>
      </c>
      <c r="I2" s="231"/>
      <c r="J2" s="231"/>
      <c r="K2" s="126" t="s">
        <v>423</v>
      </c>
      <c r="L2" s="231"/>
      <c r="M2" s="126" t="s">
        <v>423</v>
      </c>
      <c r="N2" s="231"/>
      <c r="O2" s="231"/>
      <c r="P2" s="126" t="s">
        <v>423</v>
      </c>
      <c r="Q2" s="231"/>
      <c r="R2" s="231"/>
      <c r="S2" s="126" t="s">
        <v>423</v>
      </c>
      <c r="AU2" s="126" t="s">
        <v>423</v>
      </c>
      <c r="AV2" s="126" t="s">
        <v>423</v>
      </c>
      <c r="BA2" s="271" t="s">
        <v>3</v>
      </c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</row>
    <row r="3" spans="2:69" ht="43.2">
      <c r="B3" s="33" t="s">
        <v>59</v>
      </c>
      <c r="C3" s="37" t="s">
        <v>60</v>
      </c>
      <c r="D3" s="34" t="s">
        <v>61</v>
      </c>
      <c r="E3" s="34" t="s">
        <v>62</v>
      </c>
      <c r="F3" s="35" t="s">
        <v>63</v>
      </c>
      <c r="G3" s="36" t="s">
        <v>64</v>
      </c>
      <c r="H3" s="37" t="s">
        <v>65</v>
      </c>
      <c r="I3" s="37" t="s">
        <v>66</v>
      </c>
      <c r="J3" s="37" t="s">
        <v>67</v>
      </c>
      <c r="K3" s="34" t="s">
        <v>68</v>
      </c>
      <c r="L3" s="34" t="s">
        <v>69</v>
      </c>
      <c r="M3" s="34" t="s">
        <v>70</v>
      </c>
      <c r="N3" s="34" t="s">
        <v>71</v>
      </c>
      <c r="O3" s="36" t="s">
        <v>72</v>
      </c>
      <c r="P3" s="47" t="s">
        <v>73</v>
      </c>
      <c r="Q3" s="36" t="s">
        <v>74</v>
      </c>
      <c r="R3" s="36" t="s">
        <v>75</v>
      </c>
      <c r="S3" s="47" t="s">
        <v>76</v>
      </c>
      <c r="T3" s="38" t="s">
        <v>77</v>
      </c>
      <c r="U3" s="34" t="s">
        <v>78</v>
      </c>
      <c r="V3" s="39" t="s">
        <v>79</v>
      </c>
      <c r="W3" s="40" t="s">
        <v>80</v>
      </c>
      <c r="X3" s="41" t="s">
        <v>81</v>
      </c>
      <c r="Y3" s="33" t="s">
        <v>82</v>
      </c>
      <c r="Z3" s="6" t="s">
        <v>83</v>
      </c>
      <c r="AA3" s="42" t="s">
        <v>84</v>
      </c>
      <c r="AB3" s="43" t="s">
        <v>85</v>
      </c>
      <c r="AC3" s="75" t="s">
        <v>86</v>
      </c>
      <c r="AD3" s="75" t="s">
        <v>87</v>
      </c>
      <c r="AE3" s="75" t="s">
        <v>88</v>
      </c>
      <c r="AF3" s="75" t="s">
        <v>89</v>
      </c>
      <c r="AG3" s="43" t="s">
        <v>90</v>
      </c>
      <c r="AH3" s="109" t="s">
        <v>417</v>
      </c>
      <c r="AI3" s="109" t="s">
        <v>418</v>
      </c>
      <c r="AJ3" s="109" t="s">
        <v>419</v>
      </c>
      <c r="AK3" s="43" t="s">
        <v>91</v>
      </c>
      <c r="AL3" s="89" t="s">
        <v>92</v>
      </c>
      <c r="AM3" s="76" t="s">
        <v>93</v>
      </c>
      <c r="AN3" s="76" t="s">
        <v>94</v>
      </c>
      <c r="AO3" s="43" t="s">
        <v>95</v>
      </c>
      <c r="AP3" s="43" t="s">
        <v>96</v>
      </c>
      <c r="AQ3" s="33" t="s">
        <v>97</v>
      </c>
      <c r="AR3" s="43" t="s">
        <v>98</v>
      </c>
      <c r="AS3" s="89" t="s">
        <v>99</v>
      </c>
      <c r="AT3" s="43" t="s">
        <v>100</v>
      </c>
      <c r="AU3" s="43" t="s">
        <v>101</v>
      </c>
      <c r="AV3" s="89" t="s">
        <v>102</v>
      </c>
      <c r="AW3" s="33" t="s">
        <v>103</v>
      </c>
      <c r="AX3" s="33" t="s">
        <v>42</v>
      </c>
      <c r="AY3" s="89" t="s">
        <v>104</v>
      </c>
      <c r="BA3" s="43" t="s">
        <v>105</v>
      </c>
      <c r="BB3" s="75" t="s">
        <v>86</v>
      </c>
      <c r="BC3" s="75" t="s">
        <v>87</v>
      </c>
      <c r="BD3" s="75" t="s">
        <v>88</v>
      </c>
      <c r="BE3" s="75" t="s">
        <v>89</v>
      </c>
      <c r="BF3" s="43" t="s">
        <v>90</v>
      </c>
      <c r="BG3" s="43" t="s">
        <v>91</v>
      </c>
      <c r="BH3" s="76" t="s">
        <v>93</v>
      </c>
      <c r="BI3" s="76" t="s">
        <v>94</v>
      </c>
      <c r="BJ3" s="43" t="s">
        <v>95</v>
      </c>
      <c r="BK3" s="43" t="s">
        <v>96</v>
      </c>
      <c r="BL3" s="33" t="s">
        <v>97</v>
      </c>
      <c r="BM3" s="43" t="s">
        <v>98</v>
      </c>
      <c r="BN3" s="43" t="s">
        <v>100</v>
      </c>
      <c r="BO3" s="43" t="s">
        <v>101</v>
      </c>
      <c r="BP3" s="33" t="s">
        <v>103</v>
      </c>
      <c r="BQ3" s="33" t="s">
        <v>42</v>
      </c>
    </row>
    <row r="4" spans="2:69">
      <c r="B4" s="4" t="s">
        <v>6</v>
      </c>
      <c r="C4" s="27" t="str">
        <f t="shared" ref="C4:C35" si="0">B4</f>
        <v>ENERO</v>
      </c>
      <c r="D4" s="25" t="s">
        <v>106</v>
      </c>
      <c r="E4" s="100">
        <v>325</v>
      </c>
      <c r="F4" s="100">
        <v>46033</v>
      </c>
      <c r="G4" s="101">
        <v>26</v>
      </c>
      <c r="H4" s="102" t="s">
        <v>36</v>
      </c>
      <c r="I4" s="27" t="s">
        <v>107</v>
      </c>
      <c r="J4" s="7"/>
      <c r="K4" s="7" t="s">
        <v>108</v>
      </c>
      <c r="L4" s="7" t="s">
        <v>109</v>
      </c>
      <c r="M4" s="21" t="s">
        <v>56</v>
      </c>
      <c r="N4" s="7" t="s">
        <v>110</v>
      </c>
      <c r="O4" s="46">
        <f>P4/G4</f>
        <v>2848.6153846153848</v>
      </c>
      <c r="P4" s="52">
        <f>78000*0+74064</f>
        <v>74064</v>
      </c>
      <c r="Q4" s="46">
        <f>S4/G4</f>
        <v>2670.3846153846152</v>
      </c>
      <c r="R4" s="46">
        <v>4634</v>
      </c>
      <c r="S4" s="45">
        <f t="shared" ref="S4:S35" si="1">P4-R4</f>
        <v>69430</v>
      </c>
      <c r="T4" s="22">
        <v>1</v>
      </c>
      <c r="U4" s="23" t="s">
        <v>111</v>
      </c>
      <c r="V4" s="24">
        <v>26106924</v>
      </c>
      <c r="W4" s="25" t="s">
        <v>112</v>
      </c>
      <c r="X4" s="4" t="s">
        <v>113</v>
      </c>
      <c r="Y4" s="7">
        <v>10007567</v>
      </c>
      <c r="Z4" s="3" t="s">
        <v>114</v>
      </c>
      <c r="AA4" s="7" t="str">
        <f t="shared" ref="AA4:AA14" si="2">B4&amp;Y4&amp;Z4</f>
        <v>ENERO10007567Compensación</v>
      </c>
      <c r="AB4" s="26">
        <f>INDEX('Detalle Costos'!$L$5:$L$158,MATCH(Resumen!AA4,'Detalle Costos'!$C$5:$C$158,0))*1000</f>
        <v>1830</v>
      </c>
      <c r="AC4" s="44">
        <f>IFERROR(INDEX('Detalle Costos'!$X$5:$X$158,MATCH(Resumen!AA4,'Detalle Costos'!$C$5:$C$158,0))*AG4,0)</f>
        <v>31604.018542872498</v>
      </c>
      <c r="AD4" s="44">
        <f>IFERROR(INDEX('Detalle Costos'!$Z$5:$Z$158,MATCH(Resumen!AA4,'Detalle Costos'!$C$5:$C$158,0))*AG4,0)</f>
        <v>7767.6489739716217</v>
      </c>
      <c r="AE4" s="44">
        <f>IFERROR(INDEX('Detalle Costos'!$Y$5:$Y$158,MATCH(Resumen!AA4,'Detalle Costos'!$C$5:$C$158,0))*AG4,0)</f>
        <v>466.19181744573058</v>
      </c>
      <c r="AF4" s="44">
        <f>IFERROR(INDEX('Detalle Costos'!$AA$5:$AA$158,MATCH(Resumen!AA4,'Detalle Costos'!$C$5:$C$158,0))*AG4,0)</f>
        <v>7742.1406657101552</v>
      </c>
      <c r="AG4" s="44">
        <f t="shared" ref="AG4:AG35" si="3">AB4*G4</f>
        <v>47580</v>
      </c>
      <c r="AH4" s="117">
        <f>48.96-AH17</f>
        <v>22.658000000000001</v>
      </c>
      <c r="AI4" s="26">
        <f t="shared" ref="AI4:AI11" si="4">+AJ4/AH4</f>
        <v>1829.8234619119073</v>
      </c>
      <c r="AJ4" s="44">
        <f>89589.14-AJ17</f>
        <v>41460.14</v>
      </c>
      <c r="AK4" s="90">
        <f t="shared" ref="AK4:AK35" si="5">P4-AG4</f>
        <v>26484</v>
      </c>
      <c r="AL4" s="91">
        <f t="shared" ref="AL4:AL35" si="6">AK4/P4</f>
        <v>0.35758263123784834</v>
      </c>
      <c r="AM4" s="10">
        <f t="shared" ref="AM4:AM35" si="7">R4</f>
        <v>4634</v>
      </c>
      <c r="AN4" s="10">
        <f t="shared" ref="AN4:AN26" si="8">1882/26*G4</f>
        <v>1882</v>
      </c>
      <c r="AO4" s="10">
        <f t="shared" ref="AO4:AO35" si="9">SUM(AM4:AN4)</f>
        <v>6516</v>
      </c>
      <c r="AP4" s="10">
        <f t="shared" ref="AP4:AP11" si="10">50659/248*G4</f>
        <v>5311.0241935483873</v>
      </c>
      <c r="AQ4" s="10">
        <f t="shared" ref="AQ4:AQ14" si="11">S4*0.03</f>
        <v>2082.9</v>
      </c>
      <c r="AR4" s="90">
        <f t="shared" ref="AR4:AR35" si="12">AK4-AO4-AP4+AQ4</f>
        <v>16739.875806451615</v>
      </c>
      <c r="AS4" s="91">
        <f t="shared" ref="AS4:AS35" si="13">AR4/P4</f>
        <v>0.22601906197952601</v>
      </c>
      <c r="AT4" s="10">
        <f t="shared" ref="AT4:AT11" si="14">131251/248*G4</f>
        <v>13760.185483870968</v>
      </c>
      <c r="AU4" s="90">
        <f t="shared" ref="AU4:AU35" si="15">AR4-AT4</f>
        <v>2979.6903225806473</v>
      </c>
      <c r="AV4" s="91">
        <f t="shared" ref="AV4:AV35" si="16">AU4/P4</f>
        <v>4.0231290810388953E-2</v>
      </c>
      <c r="AW4" s="10">
        <f t="shared" ref="AW4:AW11" si="17">123530/248*G4</f>
        <v>12950.725806451614</v>
      </c>
      <c r="AX4" s="90">
        <f t="shared" ref="AX4:AX35" si="18">AR4+AW4</f>
        <v>29690.601612903229</v>
      </c>
      <c r="AY4" s="91">
        <f t="shared" ref="AY4:AY35" si="19">AX4/P4</f>
        <v>0.40087764113338775</v>
      </c>
      <c r="BA4" s="10">
        <f t="shared" ref="BA4:BA14" si="20">P4/$G4</f>
        <v>2848.6153846153848</v>
      </c>
      <c r="BB4" s="10">
        <f t="shared" ref="BB4:BB14" si="21">-AC4/$G4</f>
        <v>-1215.5391747258652</v>
      </c>
      <c r="BC4" s="10">
        <f t="shared" ref="BC4:BC14" si="22">-AD4/$G4</f>
        <v>-298.7557297681393</v>
      </c>
      <c r="BD4" s="10">
        <f t="shared" ref="BD4:BD14" si="23">-AE4/$G4</f>
        <v>-17.930454517143485</v>
      </c>
      <c r="BE4" s="10">
        <f t="shared" ref="BE4:BE14" si="24">-AF4/$G4</f>
        <v>-297.77464098885213</v>
      </c>
      <c r="BF4" s="10">
        <f t="shared" ref="BF4:BF14" si="25">-AG4/$G4</f>
        <v>-1830</v>
      </c>
      <c r="BG4" s="10">
        <f t="shared" ref="BG4:BG14" si="26">AK4/$G4</f>
        <v>1018.6153846153846</v>
      </c>
      <c r="BH4" s="10">
        <f t="shared" ref="BH4:BH14" si="27">-AM4/$G4</f>
        <v>-178.23076923076923</v>
      </c>
      <c r="BI4" s="10">
        <f t="shared" ref="BI4:BI14" si="28">-AN4/$G4</f>
        <v>-72.384615384615387</v>
      </c>
      <c r="BJ4" s="10">
        <f t="shared" ref="BJ4:BJ14" si="29">-AO4/$G4</f>
        <v>-250.61538461538461</v>
      </c>
      <c r="BK4" s="10">
        <f t="shared" ref="BK4:BK14" si="30">-AP4/$G4</f>
        <v>-204.27016129032259</v>
      </c>
      <c r="BL4" s="10">
        <f t="shared" ref="BL4:BL14" si="31">AQ4/$G4</f>
        <v>80.111538461538458</v>
      </c>
      <c r="BM4" s="10">
        <f t="shared" ref="BM4:BM14" si="32">AR4/$G4</f>
        <v>643.84137717121598</v>
      </c>
      <c r="BN4" s="10">
        <f t="shared" ref="BN4:BN14" si="33">-AT4/$G4</f>
        <v>-529.23790322580646</v>
      </c>
      <c r="BO4" s="10">
        <f t="shared" ref="BO4:BO14" si="34">AU4/$G4</f>
        <v>114.6034739454095</v>
      </c>
      <c r="BP4" s="10">
        <f t="shared" ref="BP4:BP14" si="35">AW4/$G4</f>
        <v>498.10483870967744</v>
      </c>
      <c r="BQ4" s="10">
        <f t="shared" ref="BQ4:BQ14" si="36">AX4/$G4</f>
        <v>1141.9462158808933</v>
      </c>
    </row>
    <row r="5" spans="2:69">
      <c r="B5" s="4" t="s">
        <v>6</v>
      </c>
      <c r="C5" s="27" t="str">
        <f t="shared" si="0"/>
        <v>ENERO</v>
      </c>
      <c r="D5" s="25" t="s">
        <v>115</v>
      </c>
      <c r="E5" s="100">
        <v>325</v>
      </c>
      <c r="F5" s="100">
        <v>46053</v>
      </c>
      <c r="G5" s="101">
        <v>17.04</v>
      </c>
      <c r="H5" s="102" t="s">
        <v>34</v>
      </c>
      <c r="I5" s="27" t="s">
        <v>116</v>
      </c>
      <c r="J5" s="19" t="s">
        <v>117</v>
      </c>
      <c r="K5" s="7" t="s">
        <v>118</v>
      </c>
      <c r="L5" s="7" t="s">
        <v>119</v>
      </c>
      <c r="M5" s="21" t="s">
        <v>50</v>
      </c>
      <c r="N5" s="7" t="s">
        <v>120</v>
      </c>
      <c r="O5" s="46">
        <v>1850</v>
      </c>
      <c r="P5" s="52">
        <v>31524</v>
      </c>
      <c r="Q5" s="46">
        <v>1656.3380281690143</v>
      </c>
      <c r="R5" s="46">
        <f>3300/24*G5</f>
        <v>2343</v>
      </c>
      <c r="S5" s="45">
        <f t="shared" si="1"/>
        <v>29181</v>
      </c>
      <c r="T5" s="22">
        <v>1</v>
      </c>
      <c r="U5" s="27" t="s">
        <v>121</v>
      </c>
      <c r="V5" s="24">
        <v>6443191850</v>
      </c>
      <c r="W5" s="25" t="s">
        <v>122</v>
      </c>
      <c r="X5" s="4" t="s">
        <v>113</v>
      </c>
      <c r="Y5" s="7">
        <v>10005779</v>
      </c>
      <c r="Z5" s="28" t="s">
        <v>114</v>
      </c>
      <c r="AA5" s="7" t="str">
        <f t="shared" si="2"/>
        <v>ENERO10005779Compensación</v>
      </c>
      <c r="AB5" s="26">
        <f>INDEX('Detalle Costos'!$L$5:$L$158,MATCH(Resumen!AA5,'Detalle Costos'!$C$5:$C$158,0))*1000</f>
        <v>1930</v>
      </c>
      <c r="AC5" s="44">
        <f>IFERROR(INDEX('Detalle Costos'!$X$5:$X$158,MATCH(Resumen!AA5,'Detalle Costos'!$C$5:$C$158,0))*AG5,0)</f>
        <v>20697.484505029512</v>
      </c>
      <c r="AD5" s="44">
        <f>IFERROR(INDEX('Detalle Costos'!$Z$5:$Z$158,MATCH(Resumen!AA5,'Detalle Costos'!$C$5:$C$158,0))*AG5,0)</f>
        <v>6988.7487369194496</v>
      </c>
      <c r="AE5" s="44">
        <f>IFERROR(INDEX('Detalle Costos'!$Y$5:$Y$158,MATCH(Resumen!AA5,'Detalle Costos'!$C$5:$C$158,0))*AG5,0)</f>
        <v>251.1516477056781</v>
      </c>
      <c r="AF5" s="44">
        <f>IFERROR(INDEX('Detalle Costos'!$AA$5:$AA$158,MATCH(Resumen!AA5,'Detalle Costos'!$C$5:$C$158,0))*AG5,0)</f>
        <v>4949.8151103453556</v>
      </c>
      <c r="AG5" s="44">
        <f t="shared" si="3"/>
        <v>32887.199999999997</v>
      </c>
      <c r="AH5" s="44">
        <v>17.04</v>
      </c>
      <c r="AI5" s="26">
        <f t="shared" si="4"/>
        <v>1977.4951253481865</v>
      </c>
      <c r="AJ5" s="44">
        <v>33696.516935933098</v>
      </c>
      <c r="AK5" s="90">
        <f t="shared" si="5"/>
        <v>-1363.1999999999971</v>
      </c>
      <c r="AL5" s="92">
        <f t="shared" si="6"/>
        <v>-4.3243243243243148E-2</v>
      </c>
      <c r="AM5" s="10">
        <f t="shared" si="7"/>
        <v>2343</v>
      </c>
      <c r="AN5" s="10">
        <f t="shared" si="8"/>
        <v>1233.4338461538462</v>
      </c>
      <c r="AO5" s="10">
        <f t="shared" si="9"/>
        <v>3576.4338461538464</v>
      </c>
      <c r="AP5" s="10">
        <f t="shared" si="10"/>
        <v>3480.7635483870968</v>
      </c>
      <c r="AQ5" s="10">
        <f t="shared" si="11"/>
        <v>875.43</v>
      </c>
      <c r="AR5" s="90">
        <f t="shared" si="12"/>
        <v>-7544.9673945409395</v>
      </c>
      <c r="AS5" s="92">
        <f t="shared" si="13"/>
        <v>-0.23934041982429069</v>
      </c>
      <c r="AT5" s="10">
        <f t="shared" si="14"/>
        <v>9018.213870967742</v>
      </c>
      <c r="AU5" s="90">
        <f t="shared" si="15"/>
        <v>-16563.181265508683</v>
      </c>
      <c r="AV5" s="92">
        <f t="shared" si="16"/>
        <v>-0.52541496210851046</v>
      </c>
      <c r="AW5" s="10">
        <f t="shared" si="17"/>
        <v>8487.706451612903</v>
      </c>
      <c r="AX5" s="90">
        <f t="shared" si="18"/>
        <v>942.73905707196354</v>
      </c>
      <c r="AY5" s="92">
        <f t="shared" si="19"/>
        <v>2.9905438937697103E-2</v>
      </c>
      <c r="BA5" s="10">
        <f t="shared" si="20"/>
        <v>1850</v>
      </c>
      <c r="BB5" s="10">
        <f t="shared" si="21"/>
        <v>-1214.6411094500888</v>
      </c>
      <c r="BC5" s="10">
        <f t="shared" si="22"/>
        <v>-410.13783667367665</v>
      </c>
      <c r="BD5" s="10">
        <f t="shared" si="23"/>
        <v>-14.738946461600829</v>
      </c>
      <c r="BE5" s="10">
        <f t="shared" si="24"/>
        <v>-290.48210741463356</v>
      </c>
      <c r="BF5" s="10">
        <f t="shared" si="25"/>
        <v>-1930</v>
      </c>
      <c r="BG5" s="10">
        <f t="shared" si="26"/>
        <v>-79.999999999999829</v>
      </c>
      <c r="BH5" s="10">
        <f t="shared" si="27"/>
        <v>-137.5</v>
      </c>
      <c r="BI5" s="10">
        <f t="shared" si="28"/>
        <v>-72.384615384615387</v>
      </c>
      <c r="BJ5" s="10">
        <f t="shared" si="29"/>
        <v>-209.88461538461542</v>
      </c>
      <c r="BK5" s="10">
        <f t="shared" si="30"/>
        <v>-204.27016129032259</v>
      </c>
      <c r="BL5" s="10">
        <f t="shared" si="31"/>
        <v>51.375</v>
      </c>
      <c r="BM5" s="10">
        <f t="shared" si="32"/>
        <v>-442.77977667493781</v>
      </c>
      <c r="BN5" s="10">
        <f t="shared" si="33"/>
        <v>-529.23790322580646</v>
      </c>
      <c r="BO5" s="10">
        <f t="shared" si="34"/>
        <v>-972.01767990074438</v>
      </c>
      <c r="BP5" s="10">
        <f t="shared" si="35"/>
        <v>498.10483870967744</v>
      </c>
      <c r="BQ5" s="10">
        <f t="shared" si="36"/>
        <v>55.325062034739645</v>
      </c>
    </row>
    <row r="6" spans="2:69">
      <c r="B6" s="4" t="s">
        <v>6</v>
      </c>
      <c r="C6" s="27" t="str">
        <f t="shared" si="0"/>
        <v>ENERO</v>
      </c>
      <c r="D6" s="25" t="s">
        <v>115</v>
      </c>
      <c r="E6" s="100">
        <v>325</v>
      </c>
      <c r="F6" s="100">
        <v>46053</v>
      </c>
      <c r="G6" s="101">
        <v>3</v>
      </c>
      <c r="H6" s="102" t="s">
        <v>34</v>
      </c>
      <c r="I6" s="27" t="s">
        <v>116</v>
      </c>
      <c r="J6" s="7" t="s">
        <v>123</v>
      </c>
      <c r="K6" s="7" t="s">
        <v>118</v>
      </c>
      <c r="L6" s="7" t="s">
        <v>119</v>
      </c>
      <c r="M6" s="21" t="s">
        <v>50</v>
      </c>
      <c r="N6" s="7" t="s">
        <v>120</v>
      </c>
      <c r="O6" s="46">
        <v>1450</v>
      </c>
      <c r="P6" s="52">
        <v>4350</v>
      </c>
      <c r="Q6" s="46">
        <v>1450</v>
      </c>
      <c r="R6" s="46">
        <f>3300/24*G6</f>
        <v>412.5</v>
      </c>
      <c r="S6" s="45">
        <f t="shared" si="1"/>
        <v>3937.5</v>
      </c>
      <c r="T6" s="22">
        <v>0</v>
      </c>
      <c r="U6" s="27"/>
      <c r="V6" s="24">
        <v>6443191850</v>
      </c>
      <c r="W6" s="25" t="s">
        <v>122</v>
      </c>
      <c r="X6" s="4" t="s">
        <v>113</v>
      </c>
      <c r="Y6" s="7">
        <v>10005781</v>
      </c>
      <c r="Z6" s="28" t="s">
        <v>114</v>
      </c>
      <c r="AA6" s="7" t="str">
        <f t="shared" si="2"/>
        <v>ENERO10005781Compensación</v>
      </c>
      <c r="AB6" s="26">
        <f>INDEX('Detalle Costos'!$L$5:$L$158,MATCH(Resumen!AA6,'Detalle Costos'!$C$5:$C$158,0))*1000</f>
        <v>1980</v>
      </c>
      <c r="AC6" s="44">
        <f>IFERROR(INDEX('Detalle Costos'!$X$5:$X$158,MATCH(Resumen!AA6,'Detalle Costos'!$C$5:$C$158,0))*AG6,0)</f>
        <v>3757.0131752477705</v>
      </c>
      <c r="AD6" s="44">
        <f>IFERROR(INDEX('Detalle Costos'!$Z$5:$Z$158,MATCH(Resumen!AA6,'Detalle Costos'!$C$5:$C$158,0))*AG6,0)</f>
        <v>1227.8049305981747</v>
      </c>
      <c r="AE6" s="44">
        <f>IFERROR(INDEX('Detalle Costos'!$Y$5:$Y$158,MATCH(Resumen!AA6,'Detalle Costos'!$C$5:$C$158,0))*AG6,0)</f>
        <v>49.950511210059688</v>
      </c>
      <c r="AF6" s="44">
        <f>IFERROR(INDEX('Detalle Costos'!$AA$5:$AA$158,MATCH(Resumen!AA6,'Detalle Costos'!$C$5:$C$158,0))*AG6,0)</f>
        <v>905.2313829439945</v>
      </c>
      <c r="AG6" s="44">
        <f t="shared" si="3"/>
        <v>5940</v>
      </c>
      <c r="AH6" s="196">
        <v>3</v>
      </c>
      <c r="AI6" s="26">
        <f t="shared" si="4"/>
        <v>1934.6564044943834</v>
      </c>
      <c r="AJ6" s="44">
        <v>5803.9692134831503</v>
      </c>
      <c r="AK6" s="90">
        <f t="shared" si="5"/>
        <v>-1590</v>
      </c>
      <c r="AL6" s="92">
        <f t="shared" si="6"/>
        <v>-0.36551724137931035</v>
      </c>
      <c r="AM6" s="10">
        <f t="shared" si="7"/>
        <v>412.5</v>
      </c>
      <c r="AN6" s="10">
        <f t="shared" si="8"/>
        <v>217.15384615384616</v>
      </c>
      <c r="AO6" s="10">
        <f t="shared" si="9"/>
        <v>629.65384615384619</v>
      </c>
      <c r="AP6" s="10">
        <f t="shared" si="10"/>
        <v>612.8104838709678</v>
      </c>
      <c r="AQ6" s="10">
        <f t="shared" si="11"/>
        <v>118.125</v>
      </c>
      <c r="AR6" s="90">
        <f t="shared" si="12"/>
        <v>-2714.339330024814</v>
      </c>
      <c r="AS6" s="92">
        <f t="shared" si="13"/>
        <v>-0.62398605287926756</v>
      </c>
      <c r="AT6" s="10">
        <f t="shared" si="14"/>
        <v>1587.7137096774195</v>
      </c>
      <c r="AU6" s="90">
        <f t="shared" si="15"/>
        <v>-4302.0530397022339</v>
      </c>
      <c r="AV6" s="92">
        <f t="shared" si="16"/>
        <v>-0.9889777102763756</v>
      </c>
      <c r="AW6" s="10">
        <f t="shared" si="17"/>
        <v>1494.3145161290322</v>
      </c>
      <c r="AX6" s="90">
        <f t="shared" si="18"/>
        <v>-1220.0248138957818</v>
      </c>
      <c r="AY6" s="92">
        <f t="shared" si="19"/>
        <v>-0.28046547445880043</v>
      </c>
      <c r="BA6" s="10">
        <f t="shared" si="20"/>
        <v>1450</v>
      </c>
      <c r="BB6" s="10">
        <f t="shared" si="21"/>
        <v>-1252.3377250825902</v>
      </c>
      <c r="BC6" s="10">
        <f t="shared" si="22"/>
        <v>-409.26831019939158</v>
      </c>
      <c r="BD6" s="10">
        <f t="shared" si="23"/>
        <v>-16.650170403353229</v>
      </c>
      <c r="BE6" s="10">
        <f t="shared" si="24"/>
        <v>-301.74379431466485</v>
      </c>
      <c r="BF6" s="10">
        <f t="shared" si="25"/>
        <v>-1980</v>
      </c>
      <c r="BG6" s="10">
        <f t="shared" si="26"/>
        <v>-530</v>
      </c>
      <c r="BH6" s="10">
        <f t="shared" si="27"/>
        <v>-137.5</v>
      </c>
      <c r="BI6" s="10">
        <f t="shared" si="28"/>
        <v>-72.384615384615387</v>
      </c>
      <c r="BJ6" s="10">
        <f t="shared" si="29"/>
        <v>-209.88461538461539</v>
      </c>
      <c r="BK6" s="10">
        <f t="shared" si="30"/>
        <v>-204.27016129032259</v>
      </c>
      <c r="BL6" s="10">
        <f t="shared" si="31"/>
        <v>39.375</v>
      </c>
      <c r="BM6" s="10">
        <f t="shared" si="32"/>
        <v>-904.77977667493803</v>
      </c>
      <c r="BN6" s="10">
        <f t="shared" si="33"/>
        <v>-529.23790322580646</v>
      </c>
      <c r="BO6" s="10">
        <f t="shared" si="34"/>
        <v>-1434.0176799007447</v>
      </c>
      <c r="BP6" s="10">
        <f t="shared" si="35"/>
        <v>498.10483870967738</v>
      </c>
      <c r="BQ6" s="10">
        <f t="shared" si="36"/>
        <v>-406.6749379652606</v>
      </c>
    </row>
    <row r="7" spans="2:69">
      <c r="B7" s="4" t="s">
        <v>6</v>
      </c>
      <c r="C7" s="27" t="str">
        <f t="shared" si="0"/>
        <v>ENERO</v>
      </c>
      <c r="D7" s="25" t="s">
        <v>115</v>
      </c>
      <c r="E7" s="100">
        <v>325</v>
      </c>
      <c r="F7" s="100">
        <v>46053</v>
      </c>
      <c r="G7" s="101">
        <v>3.96</v>
      </c>
      <c r="H7" s="102" t="s">
        <v>31</v>
      </c>
      <c r="I7" s="27" t="s">
        <v>107</v>
      </c>
      <c r="J7" s="7" t="s">
        <v>124</v>
      </c>
      <c r="K7" s="7" t="s">
        <v>118</v>
      </c>
      <c r="L7" s="7" t="s">
        <v>119</v>
      </c>
      <c r="M7" s="21" t="s">
        <v>50</v>
      </c>
      <c r="N7" s="7" t="s">
        <v>120</v>
      </c>
      <c r="O7" s="46">
        <f>P7/G7</f>
        <v>2234.3434343434342</v>
      </c>
      <c r="P7" s="52">
        <v>8848</v>
      </c>
      <c r="Q7" s="46">
        <v>2800</v>
      </c>
      <c r="R7" s="46">
        <f>3300/24*G7</f>
        <v>544.5</v>
      </c>
      <c r="S7" s="45">
        <f t="shared" si="1"/>
        <v>8303.5</v>
      </c>
      <c r="T7" s="22">
        <v>0</v>
      </c>
      <c r="U7" s="27"/>
      <c r="V7" s="24">
        <v>6443191850</v>
      </c>
      <c r="W7" s="25" t="s">
        <v>122</v>
      </c>
      <c r="X7" s="4" t="s">
        <v>113</v>
      </c>
      <c r="Y7" s="7">
        <v>10007162</v>
      </c>
      <c r="Z7" s="28" t="s">
        <v>114</v>
      </c>
      <c r="AA7" s="7" t="str">
        <f t="shared" si="2"/>
        <v>ENERO10007162Compensación</v>
      </c>
      <c r="AB7" s="26">
        <f>INDEX('Detalle Costos'!$L$5:$L$158,MATCH(Resumen!AA7,'Detalle Costos'!$C$5:$C$158,0))*1000</f>
        <v>1790</v>
      </c>
      <c r="AC7" s="44">
        <f>IFERROR(INDEX('Detalle Costos'!$X$5:$X$158,MATCH(Resumen!AA7,'Detalle Costos'!$C$5:$C$158,0))*AG7,0)</f>
        <v>4604.3695814081602</v>
      </c>
      <c r="AD7" s="44">
        <f>IFERROR(INDEX('Detalle Costos'!$Z$5:$Z$158,MATCH(Resumen!AA7,'Detalle Costos'!$C$5:$C$158,0))*AG7,0)</f>
        <v>1214.8181219670928</v>
      </c>
      <c r="AE7" s="44">
        <f>IFERROR(INDEX('Detalle Costos'!$Y$5:$Y$158,MATCH(Resumen!AA7,'Detalle Costos'!$C$5:$C$158,0))*AG7,0)</f>
        <v>61.899522527468079</v>
      </c>
      <c r="AF7" s="44">
        <f>IFERROR(INDEX('Detalle Costos'!$AA$5:$AA$158,MATCH(Resumen!AA7,'Detalle Costos'!$C$5:$C$158,0))*AG7,0)</f>
        <v>1207.3127740972786</v>
      </c>
      <c r="AG7" s="44">
        <f t="shared" si="3"/>
        <v>7088.4</v>
      </c>
      <c r="AH7" s="44">
        <v>3.16</v>
      </c>
      <c r="AI7" s="26">
        <f t="shared" si="4"/>
        <v>1842.6970447733067</v>
      </c>
      <c r="AJ7" s="44">
        <v>5822.9226614836498</v>
      </c>
      <c r="AK7" s="90">
        <f t="shared" si="5"/>
        <v>1759.6000000000004</v>
      </c>
      <c r="AL7" s="92">
        <f t="shared" si="6"/>
        <v>0.198869801084991</v>
      </c>
      <c r="AM7" s="10">
        <f t="shared" si="7"/>
        <v>544.5</v>
      </c>
      <c r="AN7" s="10">
        <f t="shared" si="8"/>
        <v>286.64307692307693</v>
      </c>
      <c r="AO7" s="10">
        <f t="shared" si="9"/>
        <v>831.14307692307693</v>
      </c>
      <c r="AP7" s="10">
        <f t="shared" si="10"/>
        <v>808.9098387096775</v>
      </c>
      <c r="AQ7" s="10">
        <f t="shared" si="11"/>
        <v>249.10499999999999</v>
      </c>
      <c r="AR7" s="90">
        <f t="shared" si="12"/>
        <v>368.65208436724595</v>
      </c>
      <c r="AS7" s="92">
        <f t="shared" si="13"/>
        <v>4.1665018576768305E-2</v>
      </c>
      <c r="AT7" s="10">
        <f t="shared" si="14"/>
        <v>2095.7820967741936</v>
      </c>
      <c r="AU7" s="90">
        <f t="shared" si="15"/>
        <v>-1727.1300124069476</v>
      </c>
      <c r="AV7" s="92">
        <f t="shared" si="16"/>
        <v>-0.19520004661018847</v>
      </c>
      <c r="AW7" s="10">
        <f t="shared" si="17"/>
        <v>1972.4951612903226</v>
      </c>
      <c r="AX7" s="90">
        <f t="shared" si="18"/>
        <v>2341.1472456575684</v>
      </c>
      <c r="AY7" s="92">
        <f t="shared" si="19"/>
        <v>0.26459620769185899</v>
      </c>
      <c r="BA7" s="10">
        <f t="shared" si="20"/>
        <v>2234.3434343434342</v>
      </c>
      <c r="BB7" s="10">
        <f t="shared" si="21"/>
        <v>-1162.7195912646869</v>
      </c>
      <c r="BC7" s="10">
        <f t="shared" si="22"/>
        <v>-306.77225302199315</v>
      </c>
      <c r="BD7" s="10">
        <f t="shared" si="23"/>
        <v>-15.631192557441434</v>
      </c>
      <c r="BE7" s="10">
        <f t="shared" si="24"/>
        <v>-304.87696315587846</v>
      </c>
      <c r="BF7" s="10">
        <f t="shared" si="25"/>
        <v>-1790</v>
      </c>
      <c r="BG7" s="10">
        <f t="shared" si="26"/>
        <v>444.34343434343447</v>
      </c>
      <c r="BH7" s="10">
        <f t="shared" si="27"/>
        <v>-137.5</v>
      </c>
      <c r="BI7" s="10">
        <f t="shared" si="28"/>
        <v>-72.384615384615387</v>
      </c>
      <c r="BJ7" s="10">
        <f t="shared" si="29"/>
        <v>-209.88461538461539</v>
      </c>
      <c r="BK7" s="10">
        <f t="shared" si="30"/>
        <v>-204.27016129032259</v>
      </c>
      <c r="BL7" s="10">
        <f t="shared" si="31"/>
        <v>62.905303030303031</v>
      </c>
      <c r="BM7" s="10">
        <f t="shared" si="32"/>
        <v>93.093960698799478</v>
      </c>
      <c r="BN7" s="10">
        <f t="shared" si="33"/>
        <v>-529.23790322580646</v>
      </c>
      <c r="BO7" s="10">
        <f t="shared" si="34"/>
        <v>-436.14394252700697</v>
      </c>
      <c r="BP7" s="10">
        <f t="shared" si="35"/>
        <v>498.10483870967744</v>
      </c>
      <c r="BQ7" s="10">
        <f t="shared" si="36"/>
        <v>591.19879940847693</v>
      </c>
    </row>
    <row r="8" spans="2:69">
      <c r="B8" s="4" t="s">
        <v>6</v>
      </c>
      <c r="C8" s="27" t="str">
        <f t="shared" si="0"/>
        <v>ENERO</v>
      </c>
      <c r="D8" s="25" t="s">
        <v>125</v>
      </c>
      <c r="E8" s="100">
        <v>45982</v>
      </c>
      <c r="F8" s="100">
        <v>46031</v>
      </c>
      <c r="G8" s="101">
        <v>24</v>
      </c>
      <c r="H8" s="102" t="s">
        <v>37</v>
      </c>
      <c r="I8" s="27" t="s">
        <v>126</v>
      </c>
      <c r="J8" s="19"/>
      <c r="K8" s="7" t="s">
        <v>127</v>
      </c>
      <c r="L8" s="7" t="s">
        <v>128</v>
      </c>
      <c r="M8" s="21" t="s">
        <v>43</v>
      </c>
      <c r="N8" s="7" t="s">
        <v>129</v>
      </c>
      <c r="O8" s="46">
        <v>2100</v>
      </c>
      <c r="P8" s="52">
        <v>50400</v>
      </c>
      <c r="Q8" s="46">
        <v>1962.5</v>
      </c>
      <c r="R8" s="46">
        <v>3300</v>
      </c>
      <c r="S8" s="45">
        <f t="shared" si="1"/>
        <v>47100</v>
      </c>
      <c r="T8" s="22">
        <v>1</v>
      </c>
      <c r="U8" s="27" t="s">
        <v>130</v>
      </c>
      <c r="V8" s="24">
        <v>6440924270</v>
      </c>
      <c r="W8" s="25" t="s">
        <v>122</v>
      </c>
      <c r="X8" s="4" t="s">
        <v>113</v>
      </c>
      <c r="Y8" s="7">
        <v>10007969</v>
      </c>
      <c r="Z8" s="28" t="s">
        <v>114</v>
      </c>
      <c r="AA8" s="7" t="str">
        <f t="shared" si="2"/>
        <v>ENERO10007969Compensación</v>
      </c>
      <c r="AB8" s="26">
        <f>INDEX('Detalle Costos'!$L$5:$L$158,MATCH(Resumen!AA8,'Detalle Costos'!$C$5:$C$158,0))*1000</f>
        <v>1640</v>
      </c>
      <c r="AC8" s="44">
        <f>IFERROR(INDEX('Detalle Costos'!$X$5:$X$158,MATCH(Resumen!AA8,'Detalle Costos'!$C$5:$C$158,0))*AG8,0)</f>
        <v>30431.61897971667</v>
      </c>
      <c r="AD8" s="44">
        <f>IFERROR(INDEX('Detalle Costos'!$Z$5:$Z$158,MATCH(Resumen!AA8,'Detalle Costos'!$C$5:$C$158,0))*AG8,0)</f>
        <v>5331.8120500864879</v>
      </c>
      <c r="AE8" s="44">
        <f>IFERROR(INDEX('Detalle Costos'!$Y$5:$Y$158,MATCH(Resumen!AA8,'Detalle Costos'!$C$5:$C$158,0))*AG8,0)</f>
        <v>403.53076527325976</v>
      </c>
      <c r="AF8" s="44">
        <f>IFERROR(INDEX('Detalle Costos'!$AA$5:$AA$158,MATCH(Resumen!AA8,'Detalle Costos'!$C$5:$C$158,0))*AG8,0)</f>
        <v>3193.03820492358</v>
      </c>
      <c r="AG8" s="44">
        <f t="shared" si="3"/>
        <v>39360</v>
      </c>
      <c r="AH8" s="197">
        <v>24</v>
      </c>
      <c r="AI8" s="26">
        <f t="shared" si="4"/>
        <v>1644.316650390625</v>
      </c>
      <c r="AJ8" s="44">
        <v>39463.599609375</v>
      </c>
      <c r="AK8" s="90">
        <f t="shared" si="5"/>
        <v>11040</v>
      </c>
      <c r="AL8" s="92">
        <f t="shared" si="6"/>
        <v>0.21904761904761905</v>
      </c>
      <c r="AM8" s="10">
        <f t="shared" si="7"/>
        <v>3300</v>
      </c>
      <c r="AN8" s="10">
        <f t="shared" si="8"/>
        <v>1737.2307692307693</v>
      </c>
      <c r="AO8" s="10">
        <f t="shared" si="9"/>
        <v>5037.2307692307695</v>
      </c>
      <c r="AP8" s="10">
        <f t="shared" si="10"/>
        <v>4902.4838709677424</v>
      </c>
      <c r="AQ8" s="10">
        <f t="shared" si="11"/>
        <v>1413</v>
      </c>
      <c r="AR8" s="90">
        <f t="shared" si="12"/>
        <v>2513.2853598014881</v>
      </c>
      <c r="AS8" s="92">
        <f t="shared" si="13"/>
        <v>4.986677301193429E-2</v>
      </c>
      <c r="AT8" s="10">
        <f t="shared" si="14"/>
        <v>12701.709677419356</v>
      </c>
      <c r="AU8" s="90">
        <f t="shared" si="15"/>
        <v>-10188.424317617868</v>
      </c>
      <c r="AV8" s="92">
        <f t="shared" si="16"/>
        <v>-0.20215127614321166</v>
      </c>
      <c r="AW8" s="10">
        <f t="shared" si="17"/>
        <v>11954.516129032258</v>
      </c>
      <c r="AX8" s="90">
        <f t="shared" si="18"/>
        <v>14467.801488833746</v>
      </c>
      <c r="AY8" s="92">
        <f t="shared" si="19"/>
        <v>0.28705955334987593</v>
      </c>
      <c r="BA8" s="10">
        <f t="shared" si="20"/>
        <v>2100</v>
      </c>
      <c r="BB8" s="10">
        <f t="shared" si="21"/>
        <v>-1267.9841241548613</v>
      </c>
      <c r="BC8" s="10">
        <f t="shared" si="22"/>
        <v>-222.15883542027032</v>
      </c>
      <c r="BD8" s="10">
        <f t="shared" si="23"/>
        <v>-16.813781886385822</v>
      </c>
      <c r="BE8" s="10">
        <f t="shared" si="24"/>
        <v>-133.04325853848249</v>
      </c>
      <c r="BF8" s="10">
        <f t="shared" si="25"/>
        <v>-1640</v>
      </c>
      <c r="BG8" s="10">
        <f t="shared" si="26"/>
        <v>460</v>
      </c>
      <c r="BH8" s="10">
        <f t="shared" si="27"/>
        <v>-137.5</v>
      </c>
      <c r="BI8" s="10">
        <f t="shared" si="28"/>
        <v>-72.384615384615387</v>
      </c>
      <c r="BJ8" s="10">
        <f t="shared" si="29"/>
        <v>-209.88461538461539</v>
      </c>
      <c r="BK8" s="10">
        <f t="shared" si="30"/>
        <v>-204.27016129032259</v>
      </c>
      <c r="BL8" s="10">
        <f t="shared" si="31"/>
        <v>58.875</v>
      </c>
      <c r="BM8" s="10">
        <f t="shared" si="32"/>
        <v>104.72022332506201</v>
      </c>
      <c r="BN8" s="10">
        <f t="shared" si="33"/>
        <v>-529.23790322580646</v>
      </c>
      <c r="BO8" s="10">
        <f t="shared" si="34"/>
        <v>-424.5176799007445</v>
      </c>
      <c r="BP8" s="10">
        <f t="shared" si="35"/>
        <v>498.10483870967738</v>
      </c>
      <c r="BQ8" s="10">
        <f t="shared" si="36"/>
        <v>602.8250620347394</v>
      </c>
    </row>
    <row r="9" spans="2:69">
      <c r="B9" s="4" t="s">
        <v>6</v>
      </c>
      <c r="C9" s="27" t="str">
        <f t="shared" si="0"/>
        <v>ENERO</v>
      </c>
      <c r="D9" s="25" t="s">
        <v>131</v>
      </c>
      <c r="E9" s="100">
        <v>46000</v>
      </c>
      <c r="F9" s="100">
        <v>46043</v>
      </c>
      <c r="G9" s="101">
        <v>24</v>
      </c>
      <c r="H9" s="102" t="s">
        <v>33</v>
      </c>
      <c r="I9" s="27" t="s">
        <v>132</v>
      </c>
      <c r="J9" s="7" t="s">
        <v>133</v>
      </c>
      <c r="K9" s="7" t="s">
        <v>134</v>
      </c>
      <c r="L9" s="7" t="s">
        <v>135</v>
      </c>
      <c r="M9" s="21" t="s">
        <v>43</v>
      </c>
      <c r="N9" s="7" t="s">
        <v>129</v>
      </c>
      <c r="O9" s="46">
        <f>P9/G9</f>
        <v>1966.6666666666667</v>
      </c>
      <c r="P9" s="52">
        <f>48000*0+47200</f>
        <v>47200</v>
      </c>
      <c r="Q9" s="46">
        <f>S9/G9</f>
        <v>1841.5416666666667</v>
      </c>
      <c r="R9" s="46">
        <v>3003</v>
      </c>
      <c r="S9" s="45">
        <f t="shared" si="1"/>
        <v>44197</v>
      </c>
      <c r="T9" s="22">
        <v>1</v>
      </c>
      <c r="U9" s="27" t="s">
        <v>136</v>
      </c>
      <c r="V9" s="24" t="s">
        <v>137</v>
      </c>
      <c r="W9" s="25" t="s">
        <v>138</v>
      </c>
      <c r="X9" s="4" t="s">
        <v>113</v>
      </c>
      <c r="Y9" s="7">
        <v>10005721</v>
      </c>
      <c r="Z9" s="28" t="s">
        <v>114</v>
      </c>
      <c r="AA9" s="7" t="str">
        <f t="shared" si="2"/>
        <v>ENERO10005721Compensación</v>
      </c>
      <c r="AB9" s="26">
        <f>INDEX('Detalle Costos'!$L$5:$L$158,MATCH(Resumen!AA9,'Detalle Costos'!$C$5:$C$158,0))*1000</f>
        <v>1860</v>
      </c>
      <c r="AC9" s="44">
        <f>IFERROR(INDEX('Detalle Costos'!$X$5:$X$158,MATCH(Resumen!AA9,'Detalle Costos'!$C$5:$C$158,0))*AG9,0)</f>
        <v>27074.763257694456</v>
      </c>
      <c r="AD9" s="44">
        <f>IFERROR(INDEX('Detalle Costos'!$Z$5:$Z$158,MATCH(Resumen!AA9,'Detalle Costos'!$C$5:$C$158,0))*AG9,0)</f>
        <v>9821.5947948746671</v>
      </c>
      <c r="AE9" s="44">
        <f>IFERROR(INDEX('Detalle Costos'!$Y$5:$Y$158,MATCH(Resumen!AA9,'Detalle Costos'!$C$5:$C$158,0))*AG9,0)</f>
        <v>427.38654616783856</v>
      </c>
      <c r="AF9" s="44">
        <f>IFERROR(INDEX('Detalle Costos'!$AA$5:$AA$158,MATCH(Resumen!AA9,'Detalle Costos'!$C$5:$C$158,0))*AG9,0)</f>
        <v>7316.2554012630353</v>
      </c>
      <c r="AG9" s="44">
        <f t="shared" si="3"/>
        <v>44640</v>
      </c>
      <c r="AH9" s="44">
        <v>23.7</v>
      </c>
      <c r="AI9" s="26">
        <f t="shared" si="4"/>
        <v>1889.3858510966963</v>
      </c>
      <c r="AJ9" s="44">
        <v>44778.444670991703</v>
      </c>
      <c r="AK9" s="90">
        <f t="shared" si="5"/>
        <v>2560</v>
      </c>
      <c r="AL9" s="92">
        <f t="shared" si="6"/>
        <v>5.4237288135593219E-2</v>
      </c>
      <c r="AM9" s="10">
        <f t="shared" si="7"/>
        <v>3003</v>
      </c>
      <c r="AN9" s="10">
        <f t="shared" si="8"/>
        <v>1737.2307692307693</v>
      </c>
      <c r="AO9" s="10">
        <f t="shared" si="9"/>
        <v>4740.2307692307695</v>
      </c>
      <c r="AP9" s="10">
        <f t="shared" si="10"/>
        <v>4902.4838709677424</v>
      </c>
      <c r="AQ9" s="10">
        <f t="shared" si="11"/>
        <v>1325.9099999999999</v>
      </c>
      <c r="AR9" s="90">
        <f t="shared" si="12"/>
        <v>-5756.8046401985121</v>
      </c>
      <c r="AS9" s="92">
        <f t="shared" si="13"/>
        <v>-0.12196620000420576</v>
      </c>
      <c r="AT9" s="10">
        <f t="shared" si="14"/>
        <v>12701.709677419356</v>
      </c>
      <c r="AU9" s="90">
        <f t="shared" si="15"/>
        <v>-18458.514317617868</v>
      </c>
      <c r="AV9" s="92">
        <f t="shared" si="16"/>
        <v>-0.39107021859359892</v>
      </c>
      <c r="AW9" s="10">
        <f t="shared" si="17"/>
        <v>11954.516129032258</v>
      </c>
      <c r="AX9" s="90">
        <f t="shared" si="18"/>
        <v>6197.7114888337455</v>
      </c>
      <c r="AY9" s="92">
        <f t="shared" si="19"/>
        <v>0.13130744679732512</v>
      </c>
      <c r="BA9" s="10">
        <f t="shared" si="20"/>
        <v>1966.6666666666667</v>
      </c>
      <c r="BB9" s="10">
        <f t="shared" si="21"/>
        <v>-1128.1151357372689</v>
      </c>
      <c r="BC9" s="10">
        <f t="shared" si="22"/>
        <v>-409.23311645311111</v>
      </c>
      <c r="BD9" s="10">
        <f t="shared" si="23"/>
        <v>-17.807772756993273</v>
      </c>
      <c r="BE9" s="10">
        <f t="shared" si="24"/>
        <v>-304.84397505262649</v>
      </c>
      <c r="BF9" s="10">
        <f t="shared" si="25"/>
        <v>-1860</v>
      </c>
      <c r="BG9" s="10">
        <f t="shared" si="26"/>
        <v>106.66666666666667</v>
      </c>
      <c r="BH9" s="10">
        <f t="shared" si="27"/>
        <v>-125.125</v>
      </c>
      <c r="BI9" s="10">
        <f t="shared" si="28"/>
        <v>-72.384615384615387</v>
      </c>
      <c r="BJ9" s="10">
        <f t="shared" si="29"/>
        <v>-197.50961538461539</v>
      </c>
      <c r="BK9" s="10">
        <f t="shared" si="30"/>
        <v>-204.27016129032259</v>
      </c>
      <c r="BL9" s="10">
        <f t="shared" si="31"/>
        <v>55.246249999999996</v>
      </c>
      <c r="BM9" s="10">
        <f t="shared" si="32"/>
        <v>-239.86686000827135</v>
      </c>
      <c r="BN9" s="10">
        <f t="shared" si="33"/>
        <v>-529.23790322580646</v>
      </c>
      <c r="BO9" s="10">
        <f t="shared" si="34"/>
        <v>-769.10476323407784</v>
      </c>
      <c r="BP9" s="10">
        <f t="shared" si="35"/>
        <v>498.10483870967738</v>
      </c>
      <c r="BQ9" s="10">
        <f t="shared" si="36"/>
        <v>258.23797870140606</v>
      </c>
    </row>
    <row r="10" spans="2:69">
      <c r="B10" s="4" t="s">
        <v>6</v>
      </c>
      <c r="C10" s="27" t="str">
        <f t="shared" si="0"/>
        <v>ENERO</v>
      </c>
      <c r="D10" s="25" t="s">
        <v>139</v>
      </c>
      <c r="E10" s="100">
        <v>347</v>
      </c>
      <c r="F10" s="100">
        <v>46038</v>
      </c>
      <c r="G10" s="101">
        <v>24</v>
      </c>
      <c r="H10" s="102" t="s">
        <v>33</v>
      </c>
      <c r="I10" s="27" t="s">
        <v>132</v>
      </c>
      <c r="J10" s="7" t="s">
        <v>140</v>
      </c>
      <c r="K10" s="7" t="s">
        <v>141</v>
      </c>
      <c r="L10" s="7" t="s">
        <v>142</v>
      </c>
      <c r="M10" s="21" t="s">
        <v>43</v>
      </c>
      <c r="N10" s="7" t="s">
        <v>129</v>
      </c>
      <c r="O10" s="46">
        <f>P10/G10</f>
        <v>1983.3333333333333</v>
      </c>
      <c r="P10" s="52">
        <f>48000*0+47600</f>
        <v>47600</v>
      </c>
      <c r="Q10" s="46">
        <f>S10/G10</f>
        <v>1845.7083333333333</v>
      </c>
      <c r="R10" s="46">
        <v>3303</v>
      </c>
      <c r="S10" s="45">
        <f t="shared" si="1"/>
        <v>44297</v>
      </c>
      <c r="T10" s="22">
        <v>1</v>
      </c>
      <c r="U10" s="27" t="s">
        <v>143</v>
      </c>
      <c r="V10" s="24" t="s">
        <v>144</v>
      </c>
      <c r="W10" s="25" t="s">
        <v>138</v>
      </c>
      <c r="X10" s="4" t="s">
        <v>113</v>
      </c>
      <c r="Y10" s="7">
        <v>10005721</v>
      </c>
      <c r="Z10" s="28" t="s">
        <v>114</v>
      </c>
      <c r="AA10" s="7" t="str">
        <f t="shared" si="2"/>
        <v>ENERO10005721Compensación</v>
      </c>
      <c r="AB10" s="26">
        <f>INDEX('Detalle Costos'!$L$5:$L$158,MATCH(Resumen!AA10,'Detalle Costos'!$C$5:$C$158,0))*1000</f>
        <v>1860</v>
      </c>
      <c r="AC10" s="44">
        <f>IFERROR(INDEX('Detalle Costos'!$X$5:$X$158,MATCH(Resumen!AA10,'Detalle Costos'!$C$5:$C$158,0))*AG10,0)</f>
        <v>27074.763257694456</v>
      </c>
      <c r="AD10" s="44">
        <f>IFERROR(INDEX('Detalle Costos'!$Z$5:$Z$158,MATCH(Resumen!AA10,'Detalle Costos'!$C$5:$C$158,0))*AG10,0)</f>
        <v>9821.5947948746671</v>
      </c>
      <c r="AE10" s="44">
        <f>IFERROR(INDEX('Detalle Costos'!$Y$5:$Y$158,MATCH(Resumen!AA10,'Detalle Costos'!$C$5:$C$158,0))*AG10,0)</f>
        <v>427.38654616783856</v>
      </c>
      <c r="AF10" s="44">
        <f>IFERROR(INDEX('Detalle Costos'!$AA$5:$AA$158,MATCH(Resumen!AA10,'Detalle Costos'!$C$5:$C$158,0))*AG10,0)</f>
        <v>7316.2554012630353</v>
      </c>
      <c r="AG10" s="44">
        <f t="shared" si="3"/>
        <v>44640</v>
      </c>
      <c r="AH10" s="44">
        <v>23.7</v>
      </c>
      <c r="AI10" s="26">
        <f t="shared" si="4"/>
        <v>1889.3858510966963</v>
      </c>
      <c r="AJ10" s="44">
        <v>44778.444670991703</v>
      </c>
      <c r="AK10" s="90">
        <f t="shared" si="5"/>
        <v>2960</v>
      </c>
      <c r="AL10" s="92">
        <f t="shared" si="6"/>
        <v>6.2184873949579833E-2</v>
      </c>
      <c r="AM10" s="10">
        <f t="shared" si="7"/>
        <v>3303</v>
      </c>
      <c r="AN10" s="10">
        <f t="shared" si="8"/>
        <v>1737.2307692307693</v>
      </c>
      <c r="AO10" s="10">
        <f t="shared" si="9"/>
        <v>5040.2307692307695</v>
      </c>
      <c r="AP10" s="10">
        <f t="shared" si="10"/>
        <v>4902.4838709677424</v>
      </c>
      <c r="AQ10" s="10">
        <f t="shared" si="11"/>
        <v>1328.9099999999999</v>
      </c>
      <c r="AR10" s="90">
        <f t="shared" si="12"/>
        <v>-5653.8046401985121</v>
      </c>
      <c r="AS10" s="92">
        <f t="shared" si="13"/>
        <v>-0.11877740840753176</v>
      </c>
      <c r="AT10" s="10">
        <f t="shared" si="14"/>
        <v>12701.709677419356</v>
      </c>
      <c r="AU10" s="90">
        <f t="shared" si="15"/>
        <v>-18355.514317617868</v>
      </c>
      <c r="AV10" s="92">
        <f t="shared" si="16"/>
        <v>-0.38562004868945099</v>
      </c>
      <c r="AW10" s="10">
        <f t="shared" si="17"/>
        <v>11954.516129032258</v>
      </c>
      <c r="AX10" s="90">
        <f t="shared" si="18"/>
        <v>6300.7114888337455</v>
      </c>
      <c r="AY10" s="92">
        <f t="shared" si="19"/>
        <v>0.13236788842087702</v>
      </c>
      <c r="BA10" s="10">
        <f t="shared" si="20"/>
        <v>1983.3333333333333</v>
      </c>
      <c r="BB10" s="10">
        <f t="shared" si="21"/>
        <v>-1128.1151357372689</v>
      </c>
      <c r="BC10" s="10">
        <f t="shared" si="22"/>
        <v>-409.23311645311111</v>
      </c>
      <c r="BD10" s="10">
        <f t="shared" si="23"/>
        <v>-17.807772756993273</v>
      </c>
      <c r="BE10" s="10">
        <f t="shared" si="24"/>
        <v>-304.84397505262649</v>
      </c>
      <c r="BF10" s="10">
        <f t="shared" si="25"/>
        <v>-1860</v>
      </c>
      <c r="BG10" s="10">
        <f t="shared" si="26"/>
        <v>123.33333333333333</v>
      </c>
      <c r="BH10" s="10">
        <f t="shared" si="27"/>
        <v>-137.625</v>
      </c>
      <c r="BI10" s="10">
        <f t="shared" si="28"/>
        <v>-72.384615384615387</v>
      </c>
      <c r="BJ10" s="10">
        <f t="shared" si="29"/>
        <v>-210.00961538461539</v>
      </c>
      <c r="BK10" s="10">
        <f t="shared" si="30"/>
        <v>-204.27016129032259</v>
      </c>
      <c r="BL10" s="10">
        <f t="shared" si="31"/>
        <v>55.371249999999996</v>
      </c>
      <c r="BM10" s="10">
        <f t="shared" si="32"/>
        <v>-235.57519334160466</v>
      </c>
      <c r="BN10" s="10">
        <f t="shared" si="33"/>
        <v>-529.23790322580646</v>
      </c>
      <c r="BO10" s="10">
        <f t="shared" si="34"/>
        <v>-764.81309656741121</v>
      </c>
      <c r="BP10" s="10">
        <f t="shared" si="35"/>
        <v>498.10483870967738</v>
      </c>
      <c r="BQ10" s="10">
        <f t="shared" si="36"/>
        <v>262.52964536807275</v>
      </c>
    </row>
    <row r="11" spans="2:69">
      <c r="B11" s="4" t="s">
        <v>6</v>
      </c>
      <c r="C11" s="27" t="str">
        <f t="shared" si="0"/>
        <v>ENERO</v>
      </c>
      <c r="D11" s="25" t="s">
        <v>145</v>
      </c>
      <c r="E11" s="100">
        <v>46020</v>
      </c>
      <c r="F11" s="100">
        <v>46041</v>
      </c>
      <c r="G11" s="101">
        <v>54</v>
      </c>
      <c r="H11" s="102" t="s">
        <v>31</v>
      </c>
      <c r="I11" s="27" t="s">
        <v>107</v>
      </c>
      <c r="J11" s="19" t="s">
        <v>146</v>
      </c>
      <c r="K11" s="7" t="s">
        <v>108</v>
      </c>
      <c r="L11" s="4" t="s">
        <v>147</v>
      </c>
      <c r="M11" s="29" t="s">
        <v>53</v>
      </c>
      <c r="N11" s="4" t="s">
        <v>148</v>
      </c>
      <c r="O11" s="46">
        <v>2600</v>
      </c>
      <c r="P11" s="52">
        <v>140400</v>
      </c>
      <c r="Q11" s="46">
        <v>2430.962962962963</v>
      </c>
      <c r="R11" s="46">
        <v>9128</v>
      </c>
      <c r="S11" s="45">
        <f t="shared" si="1"/>
        <v>131272</v>
      </c>
      <c r="T11" s="22">
        <v>2</v>
      </c>
      <c r="U11" s="27" t="s">
        <v>149</v>
      </c>
      <c r="V11" s="24">
        <v>28952064</v>
      </c>
      <c r="W11" s="25" t="s">
        <v>112</v>
      </c>
      <c r="X11" s="4" t="s">
        <v>113</v>
      </c>
      <c r="Y11" s="7">
        <v>10007162</v>
      </c>
      <c r="Z11" s="28" t="s">
        <v>114</v>
      </c>
      <c r="AA11" s="7" t="str">
        <f t="shared" si="2"/>
        <v>ENERO10007162Compensación</v>
      </c>
      <c r="AB11" s="26">
        <f>INDEX('Detalle Costos'!$L$5:$L$158,MATCH(Resumen!AA11,'Detalle Costos'!$C$5:$C$158,0))*1000</f>
        <v>1790</v>
      </c>
      <c r="AC11" s="44">
        <f>IFERROR(INDEX('Detalle Costos'!$X$5:$X$158,MATCH(Resumen!AA11,'Detalle Costos'!$C$5:$C$158,0))*AG11,0)</f>
        <v>62786.857928293095</v>
      </c>
      <c r="AD11" s="44">
        <f>IFERROR(INDEX('Detalle Costos'!$Z$5:$Z$158,MATCH(Resumen!AA11,'Detalle Costos'!$C$5:$C$158,0))*AG11,0)</f>
        <v>16565.701663187629</v>
      </c>
      <c r="AE11" s="44">
        <f>IFERROR(INDEX('Detalle Costos'!$Y$5:$Y$158,MATCH(Resumen!AA11,'Detalle Costos'!$C$5:$C$158,0))*AG11,0)</f>
        <v>844.08439810183756</v>
      </c>
      <c r="AF11" s="44">
        <f>IFERROR(INDEX('Detalle Costos'!$AA$5:$AA$158,MATCH(Resumen!AA11,'Detalle Costos'!$C$5:$C$158,0))*AG11,0)</f>
        <v>16463.356010417436</v>
      </c>
      <c r="AG11" s="44">
        <f t="shared" si="3"/>
        <v>96660</v>
      </c>
      <c r="AH11" s="44">
        <v>54</v>
      </c>
      <c r="AI11" s="26">
        <f t="shared" si="4"/>
        <v>1842.6970447733056</v>
      </c>
      <c r="AJ11" s="44">
        <v>99505.640417758506</v>
      </c>
      <c r="AK11" s="90">
        <f t="shared" si="5"/>
        <v>43740</v>
      </c>
      <c r="AL11" s="93">
        <f t="shared" si="6"/>
        <v>0.31153846153846154</v>
      </c>
      <c r="AM11" s="10">
        <f t="shared" si="7"/>
        <v>9128</v>
      </c>
      <c r="AN11" s="10">
        <f t="shared" si="8"/>
        <v>3908.7692307692309</v>
      </c>
      <c r="AO11" s="10">
        <f t="shared" si="9"/>
        <v>13036.76923076923</v>
      </c>
      <c r="AP11" s="10">
        <f t="shared" si="10"/>
        <v>11030.58870967742</v>
      </c>
      <c r="AQ11" s="10">
        <f t="shared" si="11"/>
        <v>3938.16</v>
      </c>
      <c r="AR11" s="90">
        <f t="shared" si="12"/>
        <v>23610.802059553349</v>
      </c>
      <c r="AS11" s="93">
        <f t="shared" si="13"/>
        <v>0.16816810583727457</v>
      </c>
      <c r="AT11" s="10">
        <f t="shared" si="14"/>
        <v>28578.846774193549</v>
      </c>
      <c r="AU11" s="90">
        <f t="shared" si="15"/>
        <v>-4968.0447146402003</v>
      </c>
      <c r="AV11" s="93">
        <f t="shared" si="16"/>
        <v>-3.5384933864958688E-2</v>
      </c>
      <c r="AW11" s="10">
        <f t="shared" si="17"/>
        <v>26897.661290322583</v>
      </c>
      <c r="AX11" s="90">
        <f t="shared" si="18"/>
        <v>50508.463349875936</v>
      </c>
      <c r="AY11" s="93">
        <f t="shared" si="19"/>
        <v>0.35974688995638132</v>
      </c>
      <c r="BA11" s="10">
        <f t="shared" si="20"/>
        <v>2600</v>
      </c>
      <c r="BB11" s="10">
        <f t="shared" si="21"/>
        <v>-1162.7195912646869</v>
      </c>
      <c r="BC11" s="10">
        <f t="shared" si="22"/>
        <v>-306.77225302199309</v>
      </c>
      <c r="BD11" s="10">
        <f t="shared" si="23"/>
        <v>-15.631192557441436</v>
      </c>
      <c r="BE11" s="10">
        <f t="shared" si="24"/>
        <v>-304.87696315587846</v>
      </c>
      <c r="BF11" s="10">
        <f t="shared" si="25"/>
        <v>-1790</v>
      </c>
      <c r="BG11" s="10">
        <f t="shared" si="26"/>
        <v>810</v>
      </c>
      <c r="BH11" s="10">
        <f t="shared" si="27"/>
        <v>-169.03703703703704</v>
      </c>
      <c r="BI11" s="10">
        <f t="shared" si="28"/>
        <v>-72.384615384615387</v>
      </c>
      <c r="BJ11" s="10">
        <f t="shared" si="29"/>
        <v>-241.42165242165242</v>
      </c>
      <c r="BK11" s="10">
        <f t="shared" si="30"/>
        <v>-204.27016129032259</v>
      </c>
      <c r="BL11" s="10">
        <f t="shared" si="31"/>
        <v>72.928888888888892</v>
      </c>
      <c r="BM11" s="10">
        <f t="shared" si="32"/>
        <v>437.23707517691389</v>
      </c>
      <c r="BN11" s="10">
        <f t="shared" si="33"/>
        <v>-529.23790322580646</v>
      </c>
      <c r="BO11" s="10">
        <f t="shared" si="34"/>
        <v>-92.0008280488926</v>
      </c>
      <c r="BP11" s="10">
        <f t="shared" si="35"/>
        <v>498.10483870967749</v>
      </c>
      <c r="BQ11" s="10">
        <f t="shared" si="36"/>
        <v>935.34191388659144</v>
      </c>
    </row>
    <row r="12" spans="2:69">
      <c r="B12" s="4" t="s">
        <v>7</v>
      </c>
      <c r="C12" s="27" t="str">
        <f t="shared" si="0"/>
        <v>FEBRERO</v>
      </c>
      <c r="D12" s="25" t="s">
        <v>150</v>
      </c>
      <c r="E12" s="100">
        <v>46027</v>
      </c>
      <c r="F12" s="100">
        <v>46059</v>
      </c>
      <c r="G12" s="101">
        <v>10</v>
      </c>
      <c r="H12" s="102" t="s">
        <v>37</v>
      </c>
      <c r="I12" s="27" t="s">
        <v>126</v>
      </c>
      <c r="J12" s="7" t="s">
        <v>151</v>
      </c>
      <c r="K12" s="7" t="s">
        <v>127</v>
      </c>
      <c r="L12" s="7" t="s">
        <v>119</v>
      </c>
      <c r="M12" s="21" t="s">
        <v>43</v>
      </c>
      <c r="N12" s="7" t="s">
        <v>129</v>
      </c>
      <c r="O12" s="20">
        <v>2100</v>
      </c>
      <c r="P12" s="61">
        <v>21000</v>
      </c>
      <c r="Q12" s="20">
        <v>2100</v>
      </c>
      <c r="R12" s="30">
        <f>3500/24*G12</f>
        <v>1458.3333333333335</v>
      </c>
      <c r="S12" s="32">
        <f t="shared" si="1"/>
        <v>19541.666666666668</v>
      </c>
      <c r="T12" s="22">
        <v>1</v>
      </c>
      <c r="U12" s="27" t="s">
        <v>152</v>
      </c>
      <c r="V12" s="24">
        <v>6444023300</v>
      </c>
      <c r="W12" s="25" t="s">
        <v>122</v>
      </c>
      <c r="X12" s="4" t="s">
        <v>113</v>
      </c>
      <c r="Y12" s="7">
        <v>10007969</v>
      </c>
      <c r="Z12" s="7" t="s">
        <v>114</v>
      </c>
      <c r="AA12" s="7" t="str">
        <f t="shared" si="2"/>
        <v>FEBRERO10007969Compensación</v>
      </c>
      <c r="AB12" s="26">
        <f>INDEX('Detalle Costos'!$L$5:$L$158,MATCH(Resumen!AA12,'Detalle Costos'!$C$5:$C$158,0))*1000*0+AI12</f>
        <v>1397.2773083886541</v>
      </c>
      <c r="AC12" s="44">
        <f>IFERROR(INDEX('Detalle Costos'!$X$5:$X$158,MATCH(Resumen!AA12,'Detalle Costos'!$C$5:$C$158,0))*AG12,0)</f>
        <v>11301.83162341581</v>
      </c>
      <c r="AD12" s="44">
        <f>IFERROR(INDEX('Detalle Costos'!$Z$5:$Z$158,MATCH(Resumen!AA12,'Detalle Costos'!$C$5:$C$158,0))*AG12,0)</f>
        <v>2127.4652987326494</v>
      </c>
      <c r="AE12" s="44">
        <f>IFERROR(INDEX('Detalle Costos'!$Y$5:$Y$158,MATCH(Resumen!AA12,'Detalle Costos'!$C$5:$C$158,0))*AG12,0)</f>
        <v>166.83162341581172</v>
      </c>
      <c r="AF12" s="44">
        <f>IFERROR(INDEX('Detalle Costos'!$AA$5:$AA$158,MATCH(Resumen!AA12,'Detalle Costos'!$C$5:$C$158,0))*AG12,0)</f>
        <v>376.64453832227065</v>
      </c>
      <c r="AG12" s="44">
        <f t="shared" si="3"/>
        <v>13972.773083886541</v>
      </c>
      <c r="AH12" s="26">
        <f>+G12</f>
        <v>10</v>
      </c>
      <c r="AI12" s="44">
        <v>1397.2773083886541</v>
      </c>
      <c r="AJ12" s="44">
        <f>+AI12*AH12</f>
        <v>13972.773083886541</v>
      </c>
      <c r="AK12" s="45">
        <f t="shared" si="5"/>
        <v>7027.2269161134591</v>
      </c>
      <c r="AL12" s="94">
        <f t="shared" si="6"/>
        <v>0.33462985314825994</v>
      </c>
      <c r="AM12" s="44">
        <f t="shared" si="7"/>
        <v>1458.3333333333335</v>
      </c>
      <c r="AN12" s="44">
        <f t="shared" si="8"/>
        <v>723.84615384615381</v>
      </c>
      <c r="AO12" s="44">
        <f t="shared" si="9"/>
        <v>2182.1794871794873</v>
      </c>
      <c r="AP12" s="44">
        <f t="shared" ref="AP12:AP13" si="37">56604/1634.3*G12</f>
        <v>346.35011931713882</v>
      </c>
      <c r="AQ12" s="44">
        <f t="shared" si="11"/>
        <v>586.25</v>
      </c>
      <c r="AR12" s="45">
        <f t="shared" si="12"/>
        <v>5084.9473096168331</v>
      </c>
      <c r="AS12" s="94">
        <f t="shared" si="13"/>
        <v>0.24214034807699206</v>
      </c>
      <c r="AT12" s="44">
        <f>148498/1634.3*G12</f>
        <v>908.63366578963473</v>
      </c>
      <c r="AU12" s="45">
        <f t="shared" si="15"/>
        <v>4176.3136438271986</v>
      </c>
      <c r="AV12" s="94">
        <f t="shared" si="16"/>
        <v>0.19887207827748565</v>
      </c>
      <c r="AW12" s="44">
        <f>123484.35/1634.3*G12</f>
        <v>755.57945297680976</v>
      </c>
      <c r="AX12" s="45">
        <f t="shared" si="18"/>
        <v>5840.5267625936431</v>
      </c>
      <c r="AY12" s="94">
        <f t="shared" si="19"/>
        <v>0.2781203220282687</v>
      </c>
      <c r="BA12" s="10">
        <f t="shared" si="20"/>
        <v>2100</v>
      </c>
      <c r="BB12" s="10">
        <f t="shared" si="21"/>
        <v>-1130.183162341581</v>
      </c>
      <c r="BC12" s="10">
        <f t="shared" si="22"/>
        <v>-212.74652987326493</v>
      </c>
      <c r="BD12" s="10">
        <f t="shared" si="23"/>
        <v>-16.683162341581173</v>
      </c>
      <c r="BE12" s="10">
        <f t="shared" si="24"/>
        <v>-37.664453832227068</v>
      </c>
      <c r="BF12" s="10">
        <f t="shared" si="25"/>
        <v>-1397.2773083886541</v>
      </c>
      <c r="BG12" s="10">
        <f t="shared" si="26"/>
        <v>702.72269161134591</v>
      </c>
      <c r="BH12" s="10">
        <f t="shared" si="27"/>
        <v>-145.83333333333334</v>
      </c>
      <c r="BI12" s="10">
        <f t="shared" si="28"/>
        <v>-72.384615384615387</v>
      </c>
      <c r="BJ12" s="10">
        <f t="shared" si="29"/>
        <v>-218.21794871794873</v>
      </c>
      <c r="BK12" s="10">
        <f t="shared" si="30"/>
        <v>-34.635011931713883</v>
      </c>
      <c r="BL12" s="10">
        <f t="shared" si="31"/>
        <v>58.625</v>
      </c>
      <c r="BM12" s="10">
        <f t="shared" si="32"/>
        <v>508.49473096168333</v>
      </c>
      <c r="BN12" s="10">
        <f t="shared" si="33"/>
        <v>-90.863366578963479</v>
      </c>
      <c r="BO12" s="10">
        <f t="shared" si="34"/>
        <v>417.63136438271988</v>
      </c>
      <c r="BP12" s="10">
        <f t="shared" si="35"/>
        <v>75.557945297680973</v>
      </c>
      <c r="BQ12" s="10">
        <f t="shared" si="36"/>
        <v>584.05267625936426</v>
      </c>
    </row>
    <row r="13" spans="2:69">
      <c r="B13" s="4" t="s">
        <v>7</v>
      </c>
      <c r="C13" s="127" t="str">
        <f t="shared" si="0"/>
        <v>FEBRERO</v>
      </c>
      <c r="D13" s="128" t="s">
        <v>150</v>
      </c>
      <c r="E13" s="129">
        <v>46027</v>
      </c>
      <c r="F13" s="129">
        <v>46059</v>
      </c>
      <c r="G13" s="130">
        <v>14</v>
      </c>
      <c r="H13" s="131" t="s">
        <v>34</v>
      </c>
      <c r="I13" s="127" t="s">
        <v>116</v>
      </c>
      <c r="J13" s="132" t="s">
        <v>153</v>
      </c>
      <c r="K13" s="132" t="s">
        <v>118</v>
      </c>
      <c r="L13" s="132" t="s">
        <v>119</v>
      </c>
      <c r="M13" s="219" t="s">
        <v>43</v>
      </c>
      <c r="N13" s="132" t="s">
        <v>129</v>
      </c>
      <c r="O13" s="133">
        <v>1700</v>
      </c>
      <c r="P13" s="134">
        <f>23800-344</f>
        <v>23456</v>
      </c>
      <c r="Q13" s="20">
        <v>1700</v>
      </c>
      <c r="R13" s="30">
        <f>3500/24*G13</f>
        <v>2041.6666666666667</v>
      </c>
      <c r="S13" s="135">
        <f t="shared" si="1"/>
        <v>21414.333333333332</v>
      </c>
      <c r="T13" s="22">
        <v>0</v>
      </c>
      <c r="U13" s="27"/>
      <c r="V13" s="24"/>
      <c r="W13" s="25"/>
      <c r="X13" s="4"/>
      <c r="Y13" s="7">
        <v>10005779</v>
      </c>
      <c r="Z13" s="7" t="s">
        <v>114</v>
      </c>
      <c r="AA13" s="7" t="str">
        <f t="shared" si="2"/>
        <v>FEBRERO10005779Compensación</v>
      </c>
      <c r="AB13" s="133">
        <f>INDEX('Detalle Costos'!$L$5:$L$158,MATCH(Resumen!AA13,'Detalle Costos'!$C$5:$C$158,0))*1000*0+AI13</f>
        <v>1859.71452825612</v>
      </c>
      <c r="AC13" s="44">
        <f>IFERROR(INDEX('Detalle Costos'!$X$5:$X$158,MATCH(Resumen!AA13,'Detalle Costos'!$C$5:$C$158,0))*AG13,0)</f>
        <v>15847.870967741903</v>
      </c>
      <c r="AD13" s="44">
        <f>IFERROR(INDEX('Detalle Costos'!$Z$5:$Z$158,MATCH(Resumen!AA13,'Detalle Costos'!$C$5:$C$158,0))*AG13,0)</f>
        <v>5732.4074702886119</v>
      </c>
      <c r="AE13" s="44">
        <f>IFERROR(INDEX('Detalle Costos'!$Y$5:$Y$158,MATCH(Resumen!AA13,'Detalle Costos'!$C$5:$C$158,0))*AG13,0)</f>
        <v>189.92020373514393</v>
      </c>
      <c r="AF13" s="44">
        <f>IFERROR(INDEX('Detalle Costos'!$AA$5:$AA$158,MATCH(Resumen!AA13,'Detalle Costos'!$C$5:$C$158,0))*AG13,0)</f>
        <v>4265.8047538200244</v>
      </c>
      <c r="AG13" s="136">
        <f t="shared" si="3"/>
        <v>26036.003395585682</v>
      </c>
      <c r="AH13" s="26">
        <v>14.849</v>
      </c>
      <c r="AI13" s="44">
        <v>1859.71452825612</v>
      </c>
      <c r="AJ13" s="44">
        <f>AI13*AH13</f>
        <v>27614.901030075125</v>
      </c>
      <c r="AK13" s="137">
        <f t="shared" si="5"/>
        <v>-2580.0033955856816</v>
      </c>
      <c r="AL13" s="138">
        <f t="shared" si="6"/>
        <v>-0.10999332348165423</v>
      </c>
      <c r="AM13" s="44">
        <f t="shared" si="7"/>
        <v>2041.6666666666667</v>
      </c>
      <c r="AN13" s="44">
        <f t="shared" si="8"/>
        <v>1013.3846153846155</v>
      </c>
      <c r="AO13" s="136">
        <f t="shared" si="9"/>
        <v>3055.0512820512822</v>
      </c>
      <c r="AP13" s="136">
        <f t="shared" si="37"/>
        <v>484.89016704399438</v>
      </c>
      <c r="AQ13" s="136">
        <f t="shared" si="11"/>
        <v>642.42999999999995</v>
      </c>
      <c r="AR13" s="137">
        <f t="shared" si="12"/>
        <v>-5477.514844680958</v>
      </c>
      <c r="AS13" s="138">
        <f t="shared" si="13"/>
        <v>-0.23352297257336962</v>
      </c>
      <c r="AT13" s="136">
        <f>148498/1634.3*G13</f>
        <v>1272.0871321054888</v>
      </c>
      <c r="AU13" s="137">
        <f t="shared" si="15"/>
        <v>-6749.6019767864473</v>
      </c>
      <c r="AV13" s="138">
        <f t="shared" si="16"/>
        <v>-0.2877558823664072</v>
      </c>
      <c r="AW13" s="136">
        <f>123484.35/1634.3*G13</f>
        <v>1057.8112341675337</v>
      </c>
      <c r="AX13" s="137">
        <f t="shared" si="18"/>
        <v>-4419.7036105134248</v>
      </c>
      <c r="AY13" s="138">
        <f t="shared" si="19"/>
        <v>-0.18842529035272104</v>
      </c>
      <c r="BA13" s="44">
        <f t="shared" si="20"/>
        <v>1675.4285714285713</v>
      </c>
      <c r="BB13" s="44">
        <f t="shared" si="21"/>
        <v>-1131.9907834101359</v>
      </c>
      <c r="BC13" s="44">
        <f t="shared" si="22"/>
        <v>-409.45767644918658</v>
      </c>
      <c r="BD13" s="44">
        <f t="shared" si="23"/>
        <v>-13.565728838224567</v>
      </c>
      <c r="BE13" s="44">
        <f t="shared" si="24"/>
        <v>-304.70033955857315</v>
      </c>
      <c r="BF13" s="44">
        <f t="shared" si="25"/>
        <v>-1859.71452825612</v>
      </c>
      <c r="BG13" s="44">
        <f t="shared" si="26"/>
        <v>-184.28595682754869</v>
      </c>
      <c r="BH13" s="44">
        <f t="shared" si="27"/>
        <v>-145.83333333333334</v>
      </c>
      <c r="BI13" s="44">
        <f t="shared" si="28"/>
        <v>-72.384615384615387</v>
      </c>
      <c r="BJ13" s="44">
        <f t="shared" si="29"/>
        <v>-218.21794871794873</v>
      </c>
      <c r="BK13" s="44">
        <f t="shared" si="30"/>
        <v>-34.635011931713883</v>
      </c>
      <c r="BL13" s="44">
        <f t="shared" si="31"/>
        <v>45.887857142857136</v>
      </c>
      <c r="BM13" s="44">
        <f t="shared" si="32"/>
        <v>-391.25106033435412</v>
      </c>
      <c r="BN13" s="44">
        <f t="shared" si="33"/>
        <v>-90.863366578963479</v>
      </c>
      <c r="BO13" s="44">
        <f t="shared" si="34"/>
        <v>-482.11442691331769</v>
      </c>
      <c r="BP13" s="44">
        <f t="shared" si="35"/>
        <v>75.557945297680973</v>
      </c>
      <c r="BQ13" s="44">
        <f t="shared" si="36"/>
        <v>-315.69311503667319</v>
      </c>
    </row>
    <row r="14" spans="2:69">
      <c r="B14" s="4" t="s">
        <v>6</v>
      </c>
      <c r="C14" s="27" t="str">
        <f t="shared" si="0"/>
        <v>ENERO</v>
      </c>
      <c r="D14" s="27" t="s">
        <v>154</v>
      </c>
      <c r="E14" s="100">
        <v>46032</v>
      </c>
      <c r="F14" s="100">
        <v>46050</v>
      </c>
      <c r="G14" s="101">
        <v>72</v>
      </c>
      <c r="H14" s="102" t="s">
        <v>32</v>
      </c>
      <c r="I14" s="27" t="s">
        <v>155</v>
      </c>
      <c r="J14" s="19" t="s">
        <v>156</v>
      </c>
      <c r="K14" s="7" t="s">
        <v>118</v>
      </c>
      <c r="L14" s="7" t="s">
        <v>128</v>
      </c>
      <c r="M14" s="21" t="s">
        <v>43</v>
      </c>
      <c r="N14" s="7" t="s">
        <v>129</v>
      </c>
      <c r="O14" s="46">
        <f>P14/G14</f>
        <v>1887.7083333333333</v>
      </c>
      <c r="P14" s="52">
        <f>140400*0+135915</f>
        <v>135915</v>
      </c>
      <c r="Q14" s="46">
        <f>S14/G14</f>
        <v>1754.25</v>
      </c>
      <c r="R14" s="46">
        <v>9609</v>
      </c>
      <c r="S14" s="45">
        <f t="shared" si="1"/>
        <v>126306</v>
      </c>
      <c r="T14" s="60">
        <v>3</v>
      </c>
      <c r="U14" s="97" t="s">
        <v>157</v>
      </c>
      <c r="V14" s="59" t="s">
        <v>158</v>
      </c>
      <c r="W14" s="25" t="s">
        <v>138</v>
      </c>
      <c r="X14" s="4" t="s">
        <v>113</v>
      </c>
      <c r="Y14" s="7">
        <v>10006720</v>
      </c>
      <c r="Z14" s="7" t="s">
        <v>114</v>
      </c>
      <c r="AA14" s="7" t="str">
        <f t="shared" si="2"/>
        <v>ENERO10006720Compensación</v>
      </c>
      <c r="AB14" s="26">
        <f>INDEX('Detalle Costos'!$L$5:$L$158,MATCH(Resumen!AA14,'Detalle Costos'!$C$5:$C$158,0))*1000</f>
        <v>1720</v>
      </c>
      <c r="AC14" s="44">
        <f>IFERROR(INDEX('Detalle Costos'!$X$5:$X$158,MATCH(Resumen!AA14,'Detalle Costos'!$C$5:$C$158,0))*AG14,0)</f>
        <v>81764.360643671505</v>
      </c>
      <c r="AD14" s="44">
        <f>IFERROR(INDEX('Detalle Costos'!$Z$5:$Z$158,MATCH(Resumen!AA14,'Detalle Costos'!$C$5:$C$158,0))*AG14,0)</f>
        <v>18919.257644210982</v>
      </c>
      <c r="AE14" s="44">
        <f>IFERROR(INDEX('Detalle Costos'!$Y$5:$Y$158,MATCH(Resumen!AA14,'Detalle Costos'!$C$5:$C$158,0))*AG14,0)</f>
        <v>1185.8373623695809</v>
      </c>
      <c r="AF14" s="44">
        <f>IFERROR(INDEX('Detalle Costos'!$AA$5:$AA$158,MATCH(Resumen!AA14,'Detalle Costos'!$C$5:$C$158,0))*AG14,0)</f>
        <v>21970.544349747925</v>
      </c>
      <c r="AG14" s="44">
        <f t="shared" si="3"/>
        <v>123840</v>
      </c>
      <c r="AH14" s="44">
        <v>69.7</v>
      </c>
      <c r="AI14" s="26">
        <f>+AJ14/AH14</f>
        <v>1723.9159631619368</v>
      </c>
      <c r="AJ14" s="44">
        <v>120156.942632387</v>
      </c>
      <c r="AK14" s="45">
        <f t="shared" si="5"/>
        <v>12075</v>
      </c>
      <c r="AL14" s="98">
        <f t="shared" si="6"/>
        <v>8.8842291137843504E-2</v>
      </c>
      <c r="AM14" s="44">
        <f t="shared" si="7"/>
        <v>9609</v>
      </c>
      <c r="AN14" s="44">
        <f t="shared" si="8"/>
        <v>5211.6923076923076</v>
      </c>
      <c r="AO14" s="44">
        <f t="shared" si="9"/>
        <v>14820.692307692309</v>
      </c>
      <c r="AP14" s="44">
        <f t="shared" ref="AP14:AP15" si="38">50659/248*G14</f>
        <v>14707.451612903227</v>
      </c>
      <c r="AQ14" s="44">
        <f t="shared" si="11"/>
        <v>3789.18</v>
      </c>
      <c r="AR14" s="45">
        <f t="shared" si="12"/>
        <v>-13663.963920595535</v>
      </c>
      <c r="AS14" s="98">
        <f t="shared" si="13"/>
        <v>-0.10053315616816051</v>
      </c>
      <c r="AT14" s="44">
        <f>131251/248*G14</f>
        <v>38105.129032258068</v>
      </c>
      <c r="AU14" s="45">
        <f t="shared" si="15"/>
        <v>-51769.092952853607</v>
      </c>
      <c r="AV14" s="98">
        <f t="shared" si="16"/>
        <v>-0.3808931534624847</v>
      </c>
      <c r="AW14" s="44">
        <f>123530/248*G14</f>
        <v>35863.548387096773</v>
      </c>
      <c r="AX14" s="45">
        <f t="shared" si="18"/>
        <v>22199.584466501237</v>
      </c>
      <c r="AY14" s="98">
        <f t="shared" si="19"/>
        <v>0.16333432267594628</v>
      </c>
      <c r="BA14" s="44">
        <f t="shared" si="20"/>
        <v>1887.7083333333333</v>
      </c>
      <c r="BB14" s="44">
        <f t="shared" si="21"/>
        <v>-1135.6161200509932</v>
      </c>
      <c r="BC14" s="44">
        <f t="shared" si="22"/>
        <v>-262.7674672807081</v>
      </c>
      <c r="BD14" s="44">
        <f t="shared" si="23"/>
        <v>-16.46996336624418</v>
      </c>
      <c r="BE14" s="44">
        <f t="shared" si="24"/>
        <v>-305.14644930205452</v>
      </c>
      <c r="BF14" s="44">
        <f t="shared" si="25"/>
        <v>-1720</v>
      </c>
      <c r="BG14" s="44">
        <f t="shared" si="26"/>
        <v>167.70833333333334</v>
      </c>
      <c r="BH14" s="44">
        <f t="shared" si="27"/>
        <v>-133.45833333333334</v>
      </c>
      <c r="BI14" s="44">
        <f t="shared" si="28"/>
        <v>-72.384615384615387</v>
      </c>
      <c r="BJ14" s="44">
        <f t="shared" si="29"/>
        <v>-205.84294871794873</v>
      </c>
      <c r="BK14" s="44">
        <f t="shared" si="30"/>
        <v>-204.27016129032259</v>
      </c>
      <c r="BL14" s="44">
        <f t="shared" si="31"/>
        <v>52.627499999999998</v>
      </c>
      <c r="BM14" s="44">
        <f t="shared" si="32"/>
        <v>-189.77727667493798</v>
      </c>
      <c r="BN14" s="44">
        <f t="shared" si="33"/>
        <v>-529.23790322580646</v>
      </c>
      <c r="BO14" s="44">
        <f t="shared" si="34"/>
        <v>-719.01517990074456</v>
      </c>
      <c r="BP14" s="44">
        <f t="shared" si="35"/>
        <v>498.10483870967738</v>
      </c>
      <c r="BQ14" s="44">
        <f t="shared" si="36"/>
        <v>308.3275620347394</v>
      </c>
    </row>
    <row r="15" spans="2:69">
      <c r="B15" s="4" t="s">
        <v>6</v>
      </c>
      <c r="C15" s="27" t="str">
        <f t="shared" si="0"/>
        <v>ENERO</v>
      </c>
      <c r="D15" s="27"/>
      <c r="E15" s="100">
        <v>46053</v>
      </c>
      <c r="F15" s="100">
        <v>46053</v>
      </c>
      <c r="G15" s="101">
        <v>0</v>
      </c>
      <c r="H15" s="102" t="s">
        <v>420</v>
      </c>
      <c r="I15" s="27" t="s">
        <v>421</v>
      </c>
      <c r="J15" s="27" t="s">
        <v>421</v>
      </c>
      <c r="K15" s="27" t="s">
        <v>421</v>
      </c>
      <c r="L15" s="27" t="s">
        <v>421</v>
      </c>
      <c r="M15" s="27" t="s">
        <v>422</v>
      </c>
      <c r="N15" s="7"/>
      <c r="O15" s="46">
        <v>0</v>
      </c>
      <c r="P15" s="52">
        <v>24314.28</v>
      </c>
      <c r="Q15" s="46">
        <v>0</v>
      </c>
      <c r="R15" s="46">
        <v>0</v>
      </c>
      <c r="S15" s="45">
        <f t="shared" si="1"/>
        <v>24314.28</v>
      </c>
      <c r="T15" s="60"/>
      <c r="U15" s="97"/>
      <c r="V15" s="59"/>
      <c r="W15" s="25"/>
      <c r="X15" s="4"/>
      <c r="Y15" s="7"/>
      <c r="Z15" s="7"/>
      <c r="AA15" s="7"/>
      <c r="AB15" s="26">
        <v>0</v>
      </c>
      <c r="AC15" s="44">
        <f>IFERROR(INDEX('Detalle Costos'!$X$5:$X$158,MATCH(Resumen!AA15,'Detalle Costos'!$C$5:$C$158,0))*AG15,0)</f>
        <v>0</v>
      </c>
      <c r="AD15" s="44">
        <f>IFERROR(INDEX('Detalle Costos'!$Z$5:$Z$158,MATCH(Resumen!AA15,'Detalle Costos'!$C$5:$C$158,0))*AG15,0)</f>
        <v>0</v>
      </c>
      <c r="AE15" s="44">
        <f>IFERROR(INDEX('Detalle Costos'!$Y$5:$Y$158,MATCH(Resumen!AA15,'Detalle Costos'!$C$5:$C$158,0))*AG15,0)</f>
        <v>0</v>
      </c>
      <c r="AF15" s="44">
        <f>IFERROR(INDEX('Detalle Costos'!$AA$5:$AA$158,MATCH(Resumen!AA15,'Detalle Costos'!$C$5:$C$158,0))*AG15,0)</f>
        <v>0</v>
      </c>
      <c r="AG15" s="44">
        <f t="shared" si="3"/>
        <v>0</v>
      </c>
      <c r="AH15" s="44"/>
      <c r="AI15" s="26"/>
      <c r="AJ15" s="10"/>
      <c r="AK15" s="45">
        <f t="shared" si="5"/>
        <v>24314.28</v>
      </c>
      <c r="AL15" s="98">
        <f t="shared" si="6"/>
        <v>1</v>
      </c>
      <c r="AM15" s="44">
        <f t="shared" si="7"/>
        <v>0</v>
      </c>
      <c r="AN15" s="44">
        <f t="shared" si="8"/>
        <v>0</v>
      </c>
      <c r="AO15" s="44">
        <f t="shared" si="9"/>
        <v>0</v>
      </c>
      <c r="AP15" s="44">
        <f t="shared" si="38"/>
        <v>0</v>
      </c>
      <c r="AQ15" s="44">
        <v>0</v>
      </c>
      <c r="AR15" s="45">
        <f t="shared" si="12"/>
        <v>24314.28</v>
      </c>
      <c r="AS15" s="98">
        <f t="shared" si="13"/>
        <v>1</v>
      </c>
      <c r="AT15" s="44">
        <f>131251/248*G15</f>
        <v>0</v>
      </c>
      <c r="AU15" s="45">
        <f t="shared" si="15"/>
        <v>24314.28</v>
      </c>
      <c r="AV15" s="98">
        <f t="shared" si="16"/>
        <v>1</v>
      </c>
      <c r="AW15" s="44">
        <f>123530/248*G15</f>
        <v>0</v>
      </c>
      <c r="AX15" s="45">
        <f t="shared" si="18"/>
        <v>24314.28</v>
      </c>
      <c r="AY15" s="98">
        <f t="shared" si="19"/>
        <v>1</v>
      </c>
      <c r="BA15" s="44">
        <v>0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0</v>
      </c>
      <c r="BK15" s="44">
        <v>0</v>
      </c>
      <c r="BL15" s="44">
        <v>0</v>
      </c>
      <c r="BM15" s="44">
        <v>0</v>
      </c>
      <c r="BN15" s="44">
        <v>0</v>
      </c>
      <c r="BO15" s="44">
        <v>0</v>
      </c>
      <c r="BP15" s="44">
        <v>0</v>
      </c>
      <c r="BQ15" s="44">
        <v>0</v>
      </c>
    </row>
    <row r="16" spans="2:69">
      <c r="B16" s="4" t="s">
        <v>7</v>
      </c>
      <c r="C16" s="27" t="str">
        <f t="shared" si="0"/>
        <v>FEBRERO</v>
      </c>
      <c r="D16" s="29" t="s">
        <v>159</v>
      </c>
      <c r="E16" s="100">
        <v>15</v>
      </c>
      <c r="F16" s="100">
        <v>46055</v>
      </c>
      <c r="G16" s="101">
        <v>135</v>
      </c>
      <c r="H16" s="102" t="s">
        <v>33</v>
      </c>
      <c r="I16" s="27" t="s">
        <v>132</v>
      </c>
      <c r="J16" s="7" t="s">
        <v>160</v>
      </c>
      <c r="K16" s="7" t="s">
        <v>161</v>
      </c>
      <c r="L16" s="7" t="s">
        <v>147</v>
      </c>
      <c r="M16" s="21" t="s">
        <v>52</v>
      </c>
      <c r="N16" s="4" t="s">
        <v>148</v>
      </c>
      <c r="O16" s="20">
        <v>1650</v>
      </c>
      <c r="P16" s="48">
        <v>222750</v>
      </c>
      <c r="Q16" s="20">
        <v>1480.962962962963</v>
      </c>
      <c r="R16" s="30">
        <v>22820</v>
      </c>
      <c r="S16" s="32">
        <f t="shared" si="1"/>
        <v>199930</v>
      </c>
      <c r="T16" s="60">
        <v>5</v>
      </c>
      <c r="U16" s="59" t="s">
        <v>162</v>
      </c>
      <c r="V16" s="147">
        <v>59582082</v>
      </c>
      <c r="W16" s="25" t="s">
        <v>112</v>
      </c>
      <c r="X16" s="62" t="s">
        <v>113</v>
      </c>
      <c r="Y16" s="7">
        <v>10005721</v>
      </c>
      <c r="Z16" s="7" t="s">
        <v>114</v>
      </c>
      <c r="AA16" s="7" t="str">
        <f t="shared" ref="AA16:AA34" si="39">B16&amp;Y16&amp;Z16</f>
        <v>FEBRERO10005721Compensación</v>
      </c>
      <c r="AB16" s="26">
        <f>INDEX('Detalle Costos'!$L$5:$L$158,MATCH(Resumen!AA16,'Detalle Costos'!$C$5:$C$158,0))*1000*0+AI16</f>
        <v>1861.4473333333335</v>
      </c>
      <c r="AC16" s="44">
        <f>IFERROR(INDEX('Detalle Costos'!$X$5:$X$158,MATCH(Resumen!AA16,'Detalle Costos'!$C$5:$C$158,0))*AG16,0)</f>
        <v>152495.08195455416</v>
      </c>
      <c r="AD16" s="44">
        <f>IFERROR(INDEX('Detalle Costos'!$Z$5:$Z$158,MATCH(Resumen!AA16,'Detalle Costos'!$C$5:$C$158,0))*AG16,0)</f>
        <v>50378.668938514202</v>
      </c>
      <c r="AE16" s="44">
        <f>IFERROR(INDEX('Detalle Costos'!$Y$5:$Y$158,MATCH(Resumen!AA16,'Detalle Costos'!$C$5:$C$158,0))*AG16,0)</f>
        <v>2680.0173531310843</v>
      </c>
      <c r="AF16" s="44">
        <f>IFERROR(INDEX('Detalle Costos'!$AA$5:$AA$158,MATCH(Resumen!AA16,'Detalle Costos'!$C$5:$C$158,0))*AG16,0)</f>
        <v>45741.621753800559</v>
      </c>
      <c r="AG16" s="44">
        <f t="shared" si="3"/>
        <v>251295.39</v>
      </c>
      <c r="AH16" s="26">
        <f>+G16</f>
        <v>135</v>
      </c>
      <c r="AI16" s="44">
        <f>AJ16/AH16</f>
        <v>1861.4473333333335</v>
      </c>
      <c r="AJ16" s="113">
        <v>251295.39</v>
      </c>
      <c r="AK16" s="45">
        <f t="shared" si="5"/>
        <v>-28545.390000000014</v>
      </c>
      <c r="AL16" s="94">
        <f t="shared" si="6"/>
        <v>-0.12814989898989906</v>
      </c>
      <c r="AM16" s="44">
        <f t="shared" si="7"/>
        <v>22820</v>
      </c>
      <c r="AN16" s="44">
        <f t="shared" si="8"/>
        <v>9771.923076923078</v>
      </c>
      <c r="AO16" s="44">
        <f t="shared" si="9"/>
        <v>32591.923076923078</v>
      </c>
      <c r="AP16" s="44">
        <f t="shared" ref="AP16:AP35" si="40">56604/1634.3*G16</f>
        <v>4675.7266107813739</v>
      </c>
      <c r="AQ16" s="44">
        <f t="shared" ref="AQ16:AQ34" si="41">S16*0.03</f>
        <v>5997.9</v>
      </c>
      <c r="AR16" s="45">
        <f t="shared" si="12"/>
        <v>-59815.139687704468</v>
      </c>
      <c r="AS16" s="94">
        <f t="shared" si="13"/>
        <v>-0.26853036896837024</v>
      </c>
      <c r="AT16" s="44">
        <f t="shared" ref="AT16:AT34" si="42">148498/1634.3*G16</f>
        <v>12266.554488160069</v>
      </c>
      <c r="AU16" s="45">
        <f t="shared" si="15"/>
        <v>-72081.694175864541</v>
      </c>
      <c r="AV16" s="94">
        <f t="shared" si="16"/>
        <v>-0.32359907598592386</v>
      </c>
      <c r="AW16" s="44">
        <f t="shared" ref="AW16:AW34" si="43">124162.35/1634.3*G16</f>
        <v>10256.328244508353</v>
      </c>
      <c r="AX16" s="45">
        <f t="shared" si="18"/>
        <v>-49558.811443196115</v>
      </c>
      <c r="AY16" s="94">
        <f t="shared" si="19"/>
        <v>-0.22248624665856842</v>
      </c>
      <c r="BA16" s="44">
        <f t="shared" ref="BA16:BA34" si="44">P16/$G16</f>
        <v>1650</v>
      </c>
      <c r="BB16" s="44">
        <f t="shared" ref="BB16:BB34" si="45">-AC16/$G16</f>
        <v>-1129.5931996633642</v>
      </c>
      <c r="BC16" s="44">
        <f t="shared" ref="BC16:BC34" si="46">-AD16/$G16</f>
        <v>-373.17532547047557</v>
      </c>
      <c r="BD16" s="44">
        <f t="shared" ref="BD16:BD34" si="47">-AE16/$G16</f>
        <v>-19.851980393563586</v>
      </c>
      <c r="BE16" s="44">
        <f t="shared" ref="BE16:BE34" si="48">-AF16/$G16</f>
        <v>-338.82682780593007</v>
      </c>
      <c r="BF16" s="44">
        <f t="shared" ref="BF16:BF34" si="49">-AG16/$G16</f>
        <v>-1861.4473333333335</v>
      </c>
      <c r="BG16" s="44">
        <f t="shared" ref="BG16:BG34" si="50">AK16/$G16</f>
        <v>-211.44733333333343</v>
      </c>
      <c r="BH16" s="44">
        <f t="shared" ref="BH16:BH34" si="51">-AM16/$G16</f>
        <v>-169.03703703703704</v>
      </c>
      <c r="BI16" s="44">
        <f t="shared" ref="BI16:BI34" si="52">-AN16/$G16</f>
        <v>-72.384615384615387</v>
      </c>
      <c r="BJ16" s="44">
        <f t="shared" ref="BJ16:BJ34" si="53">-AO16/$G16</f>
        <v>-241.42165242165242</v>
      </c>
      <c r="BK16" s="44">
        <f t="shared" ref="BK16:BK34" si="54">-AP16/$G16</f>
        <v>-34.635011931713883</v>
      </c>
      <c r="BL16" s="44">
        <f t="shared" ref="BL16:BL34" si="55">AQ16/$G16</f>
        <v>44.428888888888885</v>
      </c>
      <c r="BM16" s="44">
        <f t="shared" ref="BM16:BM34" si="56">AR16/$G16</f>
        <v>-443.07510879781086</v>
      </c>
      <c r="BN16" s="44">
        <f t="shared" ref="BN16:BN34" si="57">-AT16/$G16</f>
        <v>-90.863366578963479</v>
      </c>
      <c r="BO16" s="44">
        <f t="shared" ref="BO16:BO34" si="58">AU16/$G16</f>
        <v>-533.93847537677436</v>
      </c>
      <c r="BP16" s="44">
        <f t="shared" ref="BP16:BP34" si="59">AW16/$G16</f>
        <v>75.972801811172985</v>
      </c>
      <c r="BQ16" s="44">
        <f t="shared" ref="BQ16:BQ34" si="60">AX16/$G16</f>
        <v>-367.10230698663787</v>
      </c>
    </row>
    <row r="17" spans="2:69">
      <c r="B17" s="4" t="s">
        <v>7</v>
      </c>
      <c r="C17" s="27" t="str">
        <f t="shared" si="0"/>
        <v>FEBRERO</v>
      </c>
      <c r="D17" s="29" t="s">
        <v>163</v>
      </c>
      <c r="E17" s="100">
        <v>16</v>
      </c>
      <c r="F17" s="100">
        <v>46055</v>
      </c>
      <c r="G17" s="101">
        <v>27</v>
      </c>
      <c r="H17" s="102" t="s">
        <v>36</v>
      </c>
      <c r="I17" s="27" t="s">
        <v>107</v>
      </c>
      <c r="J17" s="7"/>
      <c r="K17" s="7" t="s">
        <v>161</v>
      </c>
      <c r="L17" s="7" t="s">
        <v>147</v>
      </c>
      <c r="M17" s="29" t="s">
        <v>53</v>
      </c>
      <c r="N17" s="4" t="s">
        <v>148</v>
      </c>
      <c r="O17" s="20">
        <f>P17/G17</f>
        <v>2873.5185185185187</v>
      </c>
      <c r="P17" s="48">
        <f>79650*0+77585</f>
        <v>77585</v>
      </c>
      <c r="Q17" s="20">
        <f>S17/G17</f>
        <v>2711.8888888888887</v>
      </c>
      <c r="R17" s="30">
        <v>4364</v>
      </c>
      <c r="S17" s="32">
        <f t="shared" si="1"/>
        <v>73221</v>
      </c>
      <c r="T17" s="60">
        <v>1</v>
      </c>
      <c r="U17" s="7"/>
      <c r="V17" s="7"/>
      <c r="W17" s="4"/>
      <c r="X17" s="4"/>
      <c r="Y17" s="7">
        <v>10007567</v>
      </c>
      <c r="Z17" s="7" t="s">
        <v>164</v>
      </c>
      <c r="AA17" s="7" t="str">
        <f t="shared" si="39"/>
        <v>FEBRERO10007567Entradas</v>
      </c>
      <c r="AB17" s="26">
        <f>INDEX('Detalle Costos'!$L$5:$L$158,MATCH(Resumen!AA17,'Detalle Costos'!$C$5:$C$158,0))*1000*0+AI17</f>
        <v>1829.8234619119073</v>
      </c>
      <c r="AC17" s="44">
        <f>IFERROR(INDEX('Detalle Costos'!$X$5:$X$158,MATCH(Resumen!AA17,'Detalle Costos'!$C$5:$C$158,0))*AG17,0)</f>
        <v>30498.568502492959</v>
      </c>
      <c r="AD17" s="44">
        <f>IFERROR(INDEX('Detalle Costos'!$Z$5:$Z$158,MATCH(Resumen!AA17,'Detalle Costos'!$C$5:$C$158,0))*AG17,0)</f>
        <v>8738.5729424640977</v>
      </c>
      <c r="AE17" s="44">
        <f>IFERROR(INDEX('Detalle Costos'!$Y$5:$Y$158,MATCH(Resumen!AA17,'Detalle Costos'!$C$5:$C$158,0))*AG17,0)</f>
        <v>554.4620338671225</v>
      </c>
      <c r="AF17" s="44">
        <f>IFERROR(INDEX('Detalle Costos'!$AA$5:$AA$158,MATCH(Resumen!AA17,'Detalle Costos'!$C$5:$C$158,0))*AG17,0)</f>
        <v>9613.6299927973178</v>
      </c>
      <c r="AG17" s="44">
        <f t="shared" si="3"/>
        <v>49405.233471621497</v>
      </c>
      <c r="AH17" s="101">
        <v>26.302</v>
      </c>
      <c r="AI17" s="44">
        <f>+AI4</f>
        <v>1829.8234619119073</v>
      </c>
      <c r="AJ17" s="44">
        <v>48129</v>
      </c>
      <c r="AK17" s="45">
        <f t="shared" si="5"/>
        <v>28179.766528378503</v>
      </c>
      <c r="AL17" s="94">
        <f t="shared" si="6"/>
        <v>0.36321152965622866</v>
      </c>
      <c r="AM17" s="44">
        <f t="shared" si="7"/>
        <v>4364</v>
      </c>
      <c r="AN17" s="44">
        <f t="shared" si="8"/>
        <v>1954.3846153846155</v>
      </c>
      <c r="AO17" s="44">
        <f t="shared" si="9"/>
        <v>6318.3846153846152</v>
      </c>
      <c r="AP17" s="44">
        <f t="shared" si="40"/>
        <v>935.1453221562748</v>
      </c>
      <c r="AQ17" s="44">
        <f t="shared" si="41"/>
        <v>2196.63</v>
      </c>
      <c r="AR17" s="45">
        <f t="shared" si="12"/>
        <v>23122.866590837613</v>
      </c>
      <c r="AS17" s="94">
        <f t="shared" si="13"/>
        <v>0.29803269434604129</v>
      </c>
      <c r="AT17" s="44">
        <f t="shared" si="42"/>
        <v>2453.3108976320141</v>
      </c>
      <c r="AU17" s="45">
        <f t="shared" si="15"/>
        <v>20669.555693205599</v>
      </c>
      <c r="AV17" s="94">
        <f t="shared" si="16"/>
        <v>0.2664117508952194</v>
      </c>
      <c r="AW17" s="44">
        <f t="shared" si="43"/>
        <v>2051.2656489016708</v>
      </c>
      <c r="AX17" s="45">
        <f t="shared" si="18"/>
        <v>25174.132239739283</v>
      </c>
      <c r="AY17" s="94">
        <f t="shared" si="19"/>
        <v>0.3244716406488275</v>
      </c>
      <c r="BA17" s="44">
        <f t="shared" si="44"/>
        <v>2873.5185185185187</v>
      </c>
      <c r="BB17" s="44">
        <f t="shared" si="45"/>
        <v>-1129.576611203443</v>
      </c>
      <c r="BC17" s="44">
        <f t="shared" si="46"/>
        <v>-323.6508497208925</v>
      </c>
      <c r="BD17" s="44">
        <f t="shared" si="47"/>
        <v>-20.535630883967499</v>
      </c>
      <c r="BE17" s="44">
        <f t="shared" si="48"/>
        <v>-356.06037010360438</v>
      </c>
      <c r="BF17" s="44">
        <f t="shared" si="49"/>
        <v>-1829.8234619119073</v>
      </c>
      <c r="BG17" s="44">
        <f t="shared" si="50"/>
        <v>1043.6950566066112</v>
      </c>
      <c r="BH17" s="44">
        <f t="shared" si="51"/>
        <v>-161.62962962962962</v>
      </c>
      <c r="BI17" s="44">
        <f t="shared" si="52"/>
        <v>-72.384615384615387</v>
      </c>
      <c r="BJ17" s="44">
        <f t="shared" si="53"/>
        <v>-234.01424501424501</v>
      </c>
      <c r="BK17" s="44">
        <f t="shared" si="54"/>
        <v>-34.635011931713883</v>
      </c>
      <c r="BL17" s="44">
        <f t="shared" si="55"/>
        <v>81.356666666666669</v>
      </c>
      <c r="BM17" s="44">
        <f t="shared" si="56"/>
        <v>856.40246632731896</v>
      </c>
      <c r="BN17" s="44">
        <f t="shared" si="57"/>
        <v>-90.863366578963479</v>
      </c>
      <c r="BO17" s="44">
        <f t="shared" si="58"/>
        <v>765.53909974835551</v>
      </c>
      <c r="BP17" s="44">
        <f t="shared" si="59"/>
        <v>75.972801811172999</v>
      </c>
      <c r="BQ17" s="44">
        <f t="shared" si="60"/>
        <v>932.37526813849195</v>
      </c>
    </row>
    <row r="18" spans="2:69">
      <c r="B18" s="4" t="s">
        <v>7</v>
      </c>
      <c r="C18" s="27" t="str">
        <f t="shared" si="0"/>
        <v>FEBRERO</v>
      </c>
      <c r="D18" s="25" t="s">
        <v>165</v>
      </c>
      <c r="E18" s="100">
        <v>325</v>
      </c>
      <c r="F18" s="100">
        <v>46069</v>
      </c>
      <c r="G18" s="101">
        <v>26</v>
      </c>
      <c r="H18" s="102" t="s">
        <v>31</v>
      </c>
      <c r="I18" s="27" t="s">
        <v>107</v>
      </c>
      <c r="J18" s="19" t="s">
        <v>166</v>
      </c>
      <c r="K18" s="7" t="s">
        <v>161</v>
      </c>
      <c r="L18" s="7" t="s">
        <v>147</v>
      </c>
      <c r="M18" s="21" t="s">
        <v>48</v>
      </c>
      <c r="N18" s="7" t="s">
        <v>167</v>
      </c>
      <c r="O18" s="20">
        <v>2600</v>
      </c>
      <c r="P18" s="61">
        <v>67600</v>
      </c>
      <c r="Q18" s="20">
        <v>2432.1538461538462</v>
      </c>
      <c r="R18" s="30">
        <v>4364</v>
      </c>
      <c r="S18" s="32">
        <f t="shared" si="1"/>
        <v>63236</v>
      </c>
      <c r="T18" s="60">
        <v>1</v>
      </c>
      <c r="U18" s="7" t="s">
        <v>168</v>
      </c>
      <c r="V18" s="7">
        <v>11400418</v>
      </c>
      <c r="W18" s="4" t="s">
        <v>112</v>
      </c>
      <c r="X18" s="4" t="s">
        <v>113</v>
      </c>
      <c r="Y18" s="7">
        <v>10007162</v>
      </c>
      <c r="Z18" s="7" t="s">
        <v>114</v>
      </c>
      <c r="AA18" s="7" t="str">
        <f t="shared" si="39"/>
        <v>FEBRERO10007162Compensación</v>
      </c>
      <c r="AB18" s="26">
        <f>INDEX('Detalle Costos'!$L$5:$L$158,MATCH(Resumen!AA18,'Detalle Costos'!$C$5:$C$158,0))*1000*0+AI18</f>
        <v>1715.2908173076921</v>
      </c>
      <c r="AC18" s="44">
        <f>IFERROR(INDEX('Detalle Costos'!$X$5:$X$158,MATCH(Resumen!AA18,'Detalle Costos'!$C$5:$C$158,0))*AG18,0)</f>
        <v>27996.817500000001</v>
      </c>
      <c r="AD18" s="44">
        <f>IFERROR(INDEX('Detalle Costos'!$Z$5:$Z$158,MATCH(Resumen!AA18,'Detalle Costos'!$C$5:$C$158,0))*AG18,0)</f>
        <v>7988.6674999999996</v>
      </c>
      <c r="AE18" s="44">
        <f>IFERROR(INDEX('Detalle Costos'!$Y$5:$Y$158,MATCH(Resumen!AA18,'Detalle Costos'!$C$5:$C$158,0))*AG18,0)</f>
        <v>415.92750000000001</v>
      </c>
      <c r="AF18" s="44">
        <f>IFERROR(INDEX('Detalle Costos'!$AA$5:$AA$158,MATCH(Resumen!AA18,'Detalle Costos'!$C$5:$C$158,0))*AG18,0)</f>
        <v>8196.1487499999894</v>
      </c>
      <c r="AG18" s="44">
        <f t="shared" si="3"/>
        <v>44597.561249999999</v>
      </c>
      <c r="AH18" s="26">
        <f>+G18</f>
        <v>26</v>
      </c>
      <c r="AI18" s="44">
        <v>1715.2908173076921</v>
      </c>
      <c r="AJ18" s="44">
        <f>AI18*AH18</f>
        <v>44597.561249999999</v>
      </c>
      <c r="AK18" s="45">
        <f t="shared" si="5"/>
        <v>23002.438750000001</v>
      </c>
      <c r="AL18" s="94">
        <f t="shared" si="6"/>
        <v>0.34027276257396449</v>
      </c>
      <c r="AM18" s="44">
        <f t="shared" si="7"/>
        <v>4364</v>
      </c>
      <c r="AN18" s="44">
        <f t="shared" si="8"/>
        <v>1882</v>
      </c>
      <c r="AO18" s="44">
        <f t="shared" si="9"/>
        <v>6246</v>
      </c>
      <c r="AP18" s="44">
        <f t="shared" si="40"/>
        <v>900.51031022456095</v>
      </c>
      <c r="AQ18" s="44">
        <f t="shared" si="41"/>
        <v>1897.08</v>
      </c>
      <c r="AR18" s="45">
        <f t="shared" si="12"/>
        <v>17753.00843977544</v>
      </c>
      <c r="AS18" s="94">
        <f t="shared" si="13"/>
        <v>0.2626184680440154</v>
      </c>
      <c r="AT18" s="44">
        <f t="shared" si="42"/>
        <v>2362.4475310530506</v>
      </c>
      <c r="AU18" s="45">
        <f t="shared" si="15"/>
        <v>15390.560908722389</v>
      </c>
      <c r="AV18" s="94">
        <f t="shared" si="16"/>
        <v>0.22767101935979867</v>
      </c>
      <c r="AW18" s="44">
        <f t="shared" si="43"/>
        <v>1975.2928470904976</v>
      </c>
      <c r="AX18" s="45">
        <f t="shared" si="18"/>
        <v>19728.301286865939</v>
      </c>
      <c r="AY18" s="94">
        <f t="shared" si="19"/>
        <v>0.2918387764329281</v>
      </c>
      <c r="BA18" s="44">
        <f t="shared" si="44"/>
        <v>2600</v>
      </c>
      <c r="BB18" s="44">
        <f t="shared" si="45"/>
        <v>-1076.8006730769232</v>
      </c>
      <c r="BC18" s="44">
        <f t="shared" si="46"/>
        <v>-307.25644230769228</v>
      </c>
      <c r="BD18" s="44">
        <f t="shared" si="47"/>
        <v>-15.997211538461539</v>
      </c>
      <c r="BE18" s="44">
        <f t="shared" si="48"/>
        <v>-315.23649038461497</v>
      </c>
      <c r="BF18" s="44">
        <f t="shared" si="49"/>
        <v>-1715.2908173076924</v>
      </c>
      <c r="BG18" s="44">
        <f t="shared" si="50"/>
        <v>884.70918269230776</v>
      </c>
      <c r="BH18" s="44">
        <f t="shared" si="51"/>
        <v>-167.84615384615384</v>
      </c>
      <c r="BI18" s="44">
        <f t="shared" si="52"/>
        <v>-72.384615384615387</v>
      </c>
      <c r="BJ18" s="44">
        <f t="shared" si="53"/>
        <v>-240.23076923076923</v>
      </c>
      <c r="BK18" s="44">
        <f t="shared" si="54"/>
        <v>-34.635011931713883</v>
      </c>
      <c r="BL18" s="44">
        <f t="shared" si="55"/>
        <v>72.964615384615385</v>
      </c>
      <c r="BM18" s="44">
        <f t="shared" si="56"/>
        <v>682.80801691444003</v>
      </c>
      <c r="BN18" s="44">
        <f t="shared" si="57"/>
        <v>-90.863366578963479</v>
      </c>
      <c r="BO18" s="44">
        <f t="shared" si="58"/>
        <v>591.94465033547647</v>
      </c>
      <c r="BP18" s="44">
        <f t="shared" si="59"/>
        <v>75.972801811172985</v>
      </c>
      <c r="BQ18" s="44">
        <f t="shared" si="60"/>
        <v>758.78081872561302</v>
      </c>
    </row>
    <row r="19" spans="2:69">
      <c r="B19" s="4" t="s">
        <v>7</v>
      </c>
      <c r="C19" s="27" t="str">
        <f t="shared" si="0"/>
        <v>FEBRERO</v>
      </c>
      <c r="D19" s="25" t="s">
        <v>169</v>
      </c>
      <c r="E19" s="100">
        <v>26</v>
      </c>
      <c r="F19" s="100">
        <v>46080</v>
      </c>
      <c r="G19" s="101">
        <v>27</v>
      </c>
      <c r="H19" s="102" t="s">
        <v>38</v>
      </c>
      <c r="I19" s="27" t="s">
        <v>170</v>
      </c>
      <c r="J19" s="7"/>
      <c r="K19" s="7" t="s">
        <v>171</v>
      </c>
      <c r="L19" s="7" t="s">
        <v>172</v>
      </c>
      <c r="M19" s="21" t="s">
        <v>55</v>
      </c>
      <c r="N19" s="7"/>
      <c r="O19" s="20">
        <f>P19/G19</f>
        <v>1429.8611111111111</v>
      </c>
      <c r="P19" s="61">
        <f>39150*0+38606.25</f>
        <v>38606.25</v>
      </c>
      <c r="Q19" s="20">
        <f>S19/G19</f>
        <v>1322.4537037037037</v>
      </c>
      <c r="R19" s="30">
        <v>2900</v>
      </c>
      <c r="S19" s="32">
        <f t="shared" si="1"/>
        <v>35706.25</v>
      </c>
      <c r="T19" s="60">
        <v>1</v>
      </c>
      <c r="U19" s="7" t="s">
        <v>173</v>
      </c>
      <c r="V19" s="7">
        <v>6445502950</v>
      </c>
      <c r="W19" s="4" t="s">
        <v>122</v>
      </c>
      <c r="X19" s="4" t="s">
        <v>113</v>
      </c>
      <c r="Y19" s="7">
        <v>10009332</v>
      </c>
      <c r="Z19" s="7" t="s">
        <v>164</v>
      </c>
      <c r="AA19" s="7" t="str">
        <f t="shared" si="39"/>
        <v>FEBRERO10009332Entradas</v>
      </c>
      <c r="AB19" s="26">
        <f>AI19</f>
        <v>1529.9064788732392</v>
      </c>
      <c r="AC19" s="44">
        <f>IFERROR(INDEX('Detalle Costos'!$X$5:$X$158,MATCH(Resumen!AA19,'Detalle Costos'!$C$5:$C$158,0))*AG19,0)</f>
        <v>34256.33985501268</v>
      </c>
      <c r="AD19" s="44">
        <f>IFERROR(INDEX('Detalle Costos'!$Z$5:$Z$158,MATCH(Resumen!AA19,'Detalle Costos'!$C$5:$C$158,0))*AG19,0)</f>
        <v>6268.5857518887296</v>
      </c>
      <c r="AE19" s="44">
        <f>IFERROR(INDEX('Detalle Costos'!$Y$5:$Y$158,MATCH(Resumen!AA19,'Detalle Costos'!$C$5:$C$158,0))*AG19,0)</f>
        <v>633.18765349791158</v>
      </c>
      <c r="AF19" s="44">
        <f>IFERROR(INDEX('Detalle Costos'!$AA$5:$AA$158,MATCH(Resumen!AA19,'Detalle Costos'!$C$5:$C$158,0))*AG19,0)</f>
        <v>149.36166917813952</v>
      </c>
      <c r="AG19" s="44">
        <f t="shared" si="3"/>
        <v>41307.47492957746</v>
      </c>
      <c r="AH19" s="26">
        <v>26.625</v>
      </c>
      <c r="AI19" s="44">
        <f>AJ19/AH19</f>
        <v>1529.9064788732392</v>
      </c>
      <c r="AJ19" s="44">
        <v>40733.759999999995</v>
      </c>
      <c r="AK19" s="45">
        <f t="shared" si="5"/>
        <v>-2701.22492957746</v>
      </c>
      <c r="AL19" s="94">
        <f t="shared" si="6"/>
        <v>-6.9968591344081857E-2</v>
      </c>
      <c r="AM19" s="44">
        <f t="shared" si="7"/>
        <v>2900</v>
      </c>
      <c r="AN19" s="44">
        <f t="shared" si="8"/>
        <v>1954.3846153846155</v>
      </c>
      <c r="AO19" s="44">
        <f t="shared" si="9"/>
        <v>4854.3846153846152</v>
      </c>
      <c r="AP19" s="44">
        <f t="shared" si="40"/>
        <v>935.1453221562748</v>
      </c>
      <c r="AQ19" s="44">
        <f t="shared" si="41"/>
        <v>1071.1875</v>
      </c>
      <c r="AR19" s="45">
        <f t="shared" si="12"/>
        <v>-7419.5673671183504</v>
      </c>
      <c r="AS19" s="94">
        <f t="shared" si="13"/>
        <v>-0.19218565302556842</v>
      </c>
      <c r="AT19" s="44">
        <f t="shared" si="42"/>
        <v>2453.3108976320141</v>
      </c>
      <c r="AU19" s="45">
        <f t="shared" si="15"/>
        <v>-9872.8782647503649</v>
      </c>
      <c r="AV19" s="94">
        <f t="shared" si="16"/>
        <v>-0.25573264082241515</v>
      </c>
      <c r="AW19" s="44">
        <f t="shared" si="43"/>
        <v>2051.2656489016708</v>
      </c>
      <c r="AX19" s="45">
        <f t="shared" si="18"/>
        <v>-5368.3017182166795</v>
      </c>
      <c r="AY19" s="94">
        <f t="shared" si="19"/>
        <v>-0.1390526590439807</v>
      </c>
      <c r="BA19" s="44">
        <f t="shared" si="44"/>
        <v>1429.8611111111111</v>
      </c>
      <c r="BB19" s="44">
        <f t="shared" si="45"/>
        <v>-1268.7533279634326</v>
      </c>
      <c r="BC19" s="44">
        <f t="shared" si="46"/>
        <v>-232.16984266254553</v>
      </c>
      <c r="BD19" s="44">
        <f t="shared" si="47"/>
        <v>-23.451394573996726</v>
      </c>
      <c r="BE19" s="44">
        <f t="shared" si="48"/>
        <v>-5.5319136732644267</v>
      </c>
      <c r="BF19" s="44">
        <f t="shared" si="49"/>
        <v>-1529.9064788732392</v>
      </c>
      <c r="BG19" s="44">
        <f t="shared" si="50"/>
        <v>-100.04536776212815</v>
      </c>
      <c r="BH19" s="44">
        <f t="shared" si="51"/>
        <v>-107.4074074074074</v>
      </c>
      <c r="BI19" s="44">
        <f t="shared" si="52"/>
        <v>-72.384615384615387</v>
      </c>
      <c r="BJ19" s="44">
        <f t="shared" si="53"/>
        <v>-179.79202279202278</v>
      </c>
      <c r="BK19" s="44">
        <f t="shared" si="54"/>
        <v>-34.635011931713883</v>
      </c>
      <c r="BL19" s="44">
        <f t="shared" si="55"/>
        <v>39.673611111111114</v>
      </c>
      <c r="BM19" s="44">
        <f t="shared" si="56"/>
        <v>-274.7987913747537</v>
      </c>
      <c r="BN19" s="44">
        <f t="shared" si="57"/>
        <v>-90.863366578963479</v>
      </c>
      <c r="BO19" s="44">
        <f t="shared" si="58"/>
        <v>-365.66215795371721</v>
      </c>
      <c r="BP19" s="44">
        <f t="shared" si="59"/>
        <v>75.972801811172999</v>
      </c>
      <c r="BQ19" s="44">
        <f t="shared" si="60"/>
        <v>-198.82598956358072</v>
      </c>
    </row>
    <row r="20" spans="2:69">
      <c r="B20" s="4" t="s">
        <v>7</v>
      </c>
      <c r="C20" s="27" t="str">
        <f t="shared" si="0"/>
        <v>FEBRERO</v>
      </c>
      <c r="D20" s="25" t="s">
        <v>169</v>
      </c>
      <c r="E20" s="100">
        <v>26</v>
      </c>
      <c r="F20" s="100">
        <v>46080</v>
      </c>
      <c r="G20" s="101">
        <v>27</v>
      </c>
      <c r="H20" s="102" t="s">
        <v>39</v>
      </c>
      <c r="I20" s="27" t="s">
        <v>174</v>
      </c>
      <c r="J20" s="7"/>
      <c r="K20" s="7" t="s">
        <v>171</v>
      </c>
      <c r="L20" s="7" t="s">
        <v>172</v>
      </c>
      <c r="M20" s="21" t="s">
        <v>55</v>
      </c>
      <c r="N20" s="7"/>
      <c r="O20" s="20">
        <f>P20/G20</f>
        <v>1429.8611111111111</v>
      </c>
      <c r="P20" s="61">
        <f>39150*0+38606.25</f>
        <v>38606.25</v>
      </c>
      <c r="Q20" s="20">
        <f>S20/G20</f>
        <v>1322.4537037037037</v>
      </c>
      <c r="R20" s="30">
        <v>2900</v>
      </c>
      <c r="S20" s="32">
        <f t="shared" si="1"/>
        <v>35706.25</v>
      </c>
      <c r="T20" s="60">
        <v>1</v>
      </c>
      <c r="U20" s="7" t="s">
        <v>173</v>
      </c>
      <c r="V20" s="7">
        <v>6445502950</v>
      </c>
      <c r="W20" s="4" t="s">
        <v>122</v>
      </c>
      <c r="X20" s="4" t="s">
        <v>113</v>
      </c>
      <c r="Y20" s="7">
        <v>10009332</v>
      </c>
      <c r="Z20" s="7" t="s">
        <v>114</v>
      </c>
      <c r="AA20" s="7" t="str">
        <f t="shared" si="39"/>
        <v>FEBRERO10009332Compensación</v>
      </c>
      <c r="AB20" s="26">
        <f>INDEX('Detalle Costos'!$L$5:$L$158,MATCH(Resumen!AA20,'Detalle Costos'!$C$5:$C$158,0))*1000*0+AI20</f>
        <v>1515.6443192488266</v>
      </c>
      <c r="AC20" s="44">
        <f>IFERROR(INDEX('Detalle Costos'!$X$5:$X$158,MATCH(Resumen!AA20,'Detalle Costos'!$C$5:$C$158,0))*AG20,0)</f>
        <v>33289.300963905443</v>
      </c>
      <c r="AD20" s="44">
        <f>IFERROR(INDEX('Detalle Costos'!$Z$5:$Z$158,MATCH(Resumen!AA20,'Detalle Costos'!$C$5:$C$158,0))*AG20,0)</f>
        <v>5812.6541155582836</v>
      </c>
      <c r="AE20" s="44">
        <f>IFERROR(INDEX('Detalle Costos'!$Y$5:$Y$158,MATCH(Resumen!AA20,'Detalle Costos'!$C$5:$C$158,0))*AG20,0)</f>
        <v>581.72151401397002</v>
      </c>
      <c r="AF20" s="44">
        <f>IFERROR(INDEX('Detalle Costos'!$AA$5:$AA$158,MATCH(Resumen!AA20,'Detalle Costos'!$C$5:$C$158,0))*AG20,0)</f>
        <v>1238.7200262406191</v>
      </c>
      <c r="AG20" s="44">
        <f t="shared" si="3"/>
        <v>40922.396619718318</v>
      </c>
      <c r="AH20" s="26">
        <v>26.625</v>
      </c>
      <c r="AI20" s="44">
        <f>AJ20/AH20</f>
        <v>1515.6443192488266</v>
      </c>
      <c r="AJ20" s="44">
        <v>40354.030000000006</v>
      </c>
      <c r="AK20" s="45">
        <f t="shared" si="5"/>
        <v>-2316.1466197183181</v>
      </c>
      <c r="AL20" s="94">
        <f t="shared" si="6"/>
        <v>-5.9994084370233271E-2</v>
      </c>
      <c r="AM20" s="44">
        <f t="shared" si="7"/>
        <v>2900</v>
      </c>
      <c r="AN20" s="44">
        <f t="shared" si="8"/>
        <v>1954.3846153846155</v>
      </c>
      <c r="AO20" s="44">
        <f t="shared" si="9"/>
        <v>4854.3846153846152</v>
      </c>
      <c r="AP20" s="44">
        <f t="shared" si="40"/>
        <v>935.1453221562748</v>
      </c>
      <c r="AQ20" s="44">
        <f t="shared" si="41"/>
        <v>1071.1875</v>
      </c>
      <c r="AR20" s="45">
        <f t="shared" si="12"/>
        <v>-7034.4890572592085</v>
      </c>
      <c r="AS20" s="94">
        <f t="shared" si="13"/>
        <v>-0.18221114605171981</v>
      </c>
      <c r="AT20" s="44">
        <f t="shared" si="42"/>
        <v>2453.3108976320141</v>
      </c>
      <c r="AU20" s="45">
        <f t="shared" si="15"/>
        <v>-9487.799954891223</v>
      </c>
      <c r="AV20" s="94">
        <f t="shared" si="16"/>
        <v>-0.24575813384856657</v>
      </c>
      <c r="AW20" s="44">
        <f t="shared" si="43"/>
        <v>2051.2656489016708</v>
      </c>
      <c r="AX20" s="45">
        <f t="shared" si="18"/>
        <v>-4983.2234083575377</v>
      </c>
      <c r="AY20" s="94">
        <f t="shared" si="19"/>
        <v>-0.1290781520701321</v>
      </c>
      <c r="BA20" s="44">
        <f t="shared" si="44"/>
        <v>1429.8611111111111</v>
      </c>
      <c r="BB20" s="44">
        <f t="shared" si="45"/>
        <v>-1232.9370727372386</v>
      </c>
      <c r="BC20" s="44">
        <f t="shared" si="46"/>
        <v>-215.28348576141792</v>
      </c>
      <c r="BD20" s="44">
        <f t="shared" si="47"/>
        <v>-21.545241259776667</v>
      </c>
      <c r="BE20" s="44">
        <f t="shared" si="48"/>
        <v>-45.878519490393302</v>
      </c>
      <c r="BF20" s="44">
        <f t="shared" si="49"/>
        <v>-1515.6443192488266</v>
      </c>
      <c r="BG20" s="44">
        <f t="shared" si="50"/>
        <v>-85.783208137715491</v>
      </c>
      <c r="BH20" s="44">
        <f t="shared" si="51"/>
        <v>-107.4074074074074</v>
      </c>
      <c r="BI20" s="44">
        <f t="shared" si="52"/>
        <v>-72.384615384615387</v>
      </c>
      <c r="BJ20" s="44">
        <f t="shared" si="53"/>
        <v>-179.79202279202278</v>
      </c>
      <c r="BK20" s="44">
        <f t="shared" si="54"/>
        <v>-34.635011931713883</v>
      </c>
      <c r="BL20" s="44">
        <f t="shared" si="55"/>
        <v>39.673611111111114</v>
      </c>
      <c r="BM20" s="44">
        <f t="shared" si="56"/>
        <v>-260.53663175034103</v>
      </c>
      <c r="BN20" s="44">
        <f t="shared" si="57"/>
        <v>-90.863366578963479</v>
      </c>
      <c r="BO20" s="44">
        <f t="shared" si="58"/>
        <v>-351.39999832930454</v>
      </c>
      <c r="BP20" s="44">
        <f t="shared" si="59"/>
        <v>75.972801811172999</v>
      </c>
      <c r="BQ20" s="44">
        <f t="shared" si="60"/>
        <v>-184.56382993916807</v>
      </c>
    </row>
    <row r="21" spans="2:69">
      <c r="B21" s="4" t="s">
        <v>7</v>
      </c>
      <c r="C21" s="27" t="str">
        <f t="shared" si="0"/>
        <v>FEBRERO</v>
      </c>
      <c r="D21" s="25" t="s">
        <v>175</v>
      </c>
      <c r="E21" s="100">
        <v>26</v>
      </c>
      <c r="F21" s="100">
        <v>46062</v>
      </c>
      <c r="G21" s="101">
        <v>27</v>
      </c>
      <c r="H21" s="102" t="s">
        <v>31</v>
      </c>
      <c r="I21" s="27" t="s">
        <v>107</v>
      </c>
      <c r="J21" s="19" t="s">
        <v>176</v>
      </c>
      <c r="K21" s="7" t="s">
        <v>161</v>
      </c>
      <c r="L21" s="7" t="s">
        <v>147</v>
      </c>
      <c r="M21" s="21" t="s">
        <v>48</v>
      </c>
      <c r="N21" s="7" t="s">
        <v>167</v>
      </c>
      <c r="O21" s="20">
        <f>P21/G21</f>
        <v>2781.2962962962961</v>
      </c>
      <c r="P21" s="61">
        <f>75600*0+75095</f>
        <v>75095</v>
      </c>
      <c r="Q21" s="20">
        <f>S21/G21</f>
        <v>2619.6666666666665</v>
      </c>
      <c r="R21" s="30">
        <v>4364</v>
      </c>
      <c r="S21" s="32">
        <f t="shared" si="1"/>
        <v>70731</v>
      </c>
      <c r="T21" s="60">
        <v>1</v>
      </c>
      <c r="U21" s="7" t="s">
        <v>177</v>
      </c>
      <c r="V21" s="7">
        <v>24312444</v>
      </c>
      <c r="W21" s="25" t="s">
        <v>112</v>
      </c>
      <c r="X21" s="62" t="s">
        <v>113</v>
      </c>
      <c r="Y21" s="7">
        <v>10007162</v>
      </c>
      <c r="Z21" s="7" t="s">
        <v>114</v>
      </c>
      <c r="AA21" s="7" t="str">
        <f t="shared" si="39"/>
        <v>FEBRERO10007162Compensación</v>
      </c>
      <c r="AB21" s="26">
        <f>INDEX('Detalle Costos'!$L$5:$L$158,MATCH(Resumen!AA21,'Detalle Costos'!$C$5:$C$158,0))*1000*0+AI21</f>
        <v>1751.18680089485</v>
      </c>
      <c r="AC21" s="44">
        <f>IFERROR(INDEX('Detalle Costos'!$X$5:$X$158,MATCH(Resumen!AA21,'Detalle Costos'!$C$5:$C$158,0))*AG21,0)</f>
        <v>29682.043351029039</v>
      </c>
      <c r="AD21" s="44">
        <f>IFERROR(INDEX('Detalle Costos'!$Z$5:$Z$158,MATCH(Resumen!AA21,'Detalle Costos'!$C$5:$C$158,0))*AG21,0)</f>
        <v>8469.533190762013</v>
      </c>
      <c r="AE21" s="44">
        <f>IFERROR(INDEX('Detalle Costos'!$Y$5:$Y$158,MATCH(Resumen!AA21,'Detalle Costos'!$C$5:$C$158,0))*AG21,0)</f>
        <v>440.96362330772524</v>
      </c>
      <c r="AF21" s="44">
        <f>IFERROR(INDEX('Detalle Costos'!$AA$5:$AA$158,MATCH(Resumen!AA21,'Detalle Costos'!$C$5:$C$158,0))*AG21,0)</f>
        <v>8689.5034590621635</v>
      </c>
      <c r="AG21" s="44">
        <f t="shared" si="3"/>
        <v>47282.04362416095</v>
      </c>
      <c r="AH21" s="26">
        <f>+G21</f>
        <v>27</v>
      </c>
      <c r="AI21" s="44">
        <f>1.75118680089485*1000</f>
        <v>1751.18680089485</v>
      </c>
      <c r="AJ21" s="44">
        <f>AI21*AH21</f>
        <v>47282.04362416095</v>
      </c>
      <c r="AK21" s="45">
        <f t="shared" si="5"/>
        <v>27812.95637583905</v>
      </c>
      <c r="AL21" s="94">
        <f t="shared" si="6"/>
        <v>0.37037028265316002</v>
      </c>
      <c r="AM21" s="44">
        <f t="shared" si="7"/>
        <v>4364</v>
      </c>
      <c r="AN21" s="44">
        <f t="shared" si="8"/>
        <v>1954.3846153846155</v>
      </c>
      <c r="AO21" s="44">
        <f t="shared" si="9"/>
        <v>6318.3846153846152</v>
      </c>
      <c r="AP21" s="44">
        <f t="shared" si="40"/>
        <v>935.1453221562748</v>
      </c>
      <c r="AQ21" s="44">
        <f t="shared" si="41"/>
        <v>2121.9299999999998</v>
      </c>
      <c r="AR21" s="45">
        <f t="shared" si="12"/>
        <v>22681.35643829816</v>
      </c>
      <c r="AS21" s="94">
        <f t="shared" si="13"/>
        <v>0.30203550753443187</v>
      </c>
      <c r="AT21" s="44">
        <f t="shared" si="42"/>
        <v>2453.3108976320141</v>
      </c>
      <c r="AU21" s="45">
        <f t="shared" si="15"/>
        <v>20228.045540666146</v>
      </c>
      <c r="AV21" s="94">
        <f t="shared" si="16"/>
        <v>0.26936607684487845</v>
      </c>
      <c r="AW21" s="44">
        <f t="shared" si="43"/>
        <v>2051.2656489016708</v>
      </c>
      <c r="AX21" s="45">
        <f t="shared" si="18"/>
        <v>24732.62208719983</v>
      </c>
      <c r="AY21" s="94">
        <f t="shared" si="19"/>
        <v>0.32935111641520515</v>
      </c>
      <c r="BA21" s="44">
        <f t="shared" si="44"/>
        <v>2781.2962962962961</v>
      </c>
      <c r="BB21" s="44">
        <f t="shared" si="45"/>
        <v>-1099.3349389270015</v>
      </c>
      <c r="BC21" s="44">
        <f t="shared" si="46"/>
        <v>-313.68641447266714</v>
      </c>
      <c r="BD21" s="44">
        <f t="shared" si="47"/>
        <v>-16.331986048434267</v>
      </c>
      <c r="BE21" s="44">
        <f t="shared" si="48"/>
        <v>-321.83346144674681</v>
      </c>
      <c r="BF21" s="44">
        <f t="shared" si="49"/>
        <v>-1751.18680089485</v>
      </c>
      <c r="BG21" s="44">
        <f t="shared" si="50"/>
        <v>1030.1094954014463</v>
      </c>
      <c r="BH21" s="44">
        <f t="shared" si="51"/>
        <v>-161.62962962962962</v>
      </c>
      <c r="BI21" s="44">
        <f t="shared" si="52"/>
        <v>-72.384615384615387</v>
      </c>
      <c r="BJ21" s="44">
        <f t="shared" si="53"/>
        <v>-234.01424501424501</v>
      </c>
      <c r="BK21" s="44">
        <f t="shared" si="54"/>
        <v>-34.635011931713883</v>
      </c>
      <c r="BL21" s="44">
        <f t="shared" si="55"/>
        <v>78.589999999999989</v>
      </c>
      <c r="BM21" s="44">
        <f t="shared" si="56"/>
        <v>840.05023845548737</v>
      </c>
      <c r="BN21" s="44">
        <f t="shared" si="57"/>
        <v>-90.863366578963479</v>
      </c>
      <c r="BO21" s="44">
        <f t="shared" si="58"/>
        <v>749.18687187652392</v>
      </c>
      <c r="BP21" s="44">
        <f t="shared" si="59"/>
        <v>75.972801811172999</v>
      </c>
      <c r="BQ21" s="44">
        <f t="shared" si="60"/>
        <v>916.02304026666036</v>
      </c>
    </row>
    <row r="22" spans="2:69">
      <c r="B22" s="4" t="s">
        <v>7</v>
      </c>
      <c r="C22" s="27" t="str">
        <f t="shared" si="0"/>
        <v>FEBRERO</v>
      </c>
      <c r="D22" s="25" t="s">
        <v>178</v>
      </c>
      <c r="E22" s="100">
        <v>27</v>
      </c>
      <c r="F22" s="100">
        <v>46062</v>
      </c>
      <c r="G22" s="103">
        <v>54</v>
      </c>
      <c r="H22" s="102" t="s">
        <v>33</v>
      </c>
      <c r="I22" s="27" t="s">
        <v>132</v>
      </c>
      <c r="J22" s="19" t="s">
        <v>179</v>
      </c>
      <c r="K22" s="7" t="s">
        <v>171</v>
      </c>
      <c r="L22" s="7" t="s">
        <v>172</v>
      </c>
      <c r="M22" s="21" t="s">
        <v>51</v>
      </c>
      <c r="N22" s="7"/>
      <c r="O22" s="20">
        <v>1650</v>
      </c>
      <c r="P22" s="61">
        <v>89100</v>
      </c>
      <c r="Q22" s="20">
        <v>1534.962962962963</v>
      </c>
      <c r="R22" s="30">
        <v>6212</v>
      </c>
      <c r="S22" s="32">
        <f t="shared" si="1"/>
        <v>82888</v>
      </c>
      <c r="T22" s="60">
        <v>2</v>
      </c>
      <c r="U22" s="7" t="s">
        <v>180</v>
      </c>
      <c r="V22" s="7" t="s">
        <v>181</v>
      </c>
      <c r="W22" s="4" t="s">
        <v>182</v>
      </c>
      <c r="X22" s="4" t="s">
        <v>113</v>
      </c>
      <c r="Y22" s="7">
        <v>10005721</v>
      </c>
      <c r="Z22" s="7" t="s">
        <v>114</v>
      </c>
      <c r="AA22" s="7" t="str">
        <f t="shared" si="39"/>
        <v>FEBRERO10005721Compensación</v>
      </c>
      <c r="AB22" s="26">
        <f>INDEX('Detalle Costos'!$L$5:$L$158,MATCH(Resumen!AA22,'Detalle Costos'!$C$5:$C$158,0))*1000*0+AI22</f>
        <v>1740.7827151654001</v>
      </c>
      <c r="AC22" s="44">
        <f>IFERROR(INDEX('Detalle Costos'!$X$5:$X$158,MATCH(Resumen!AA22,'Detalle Costos'!$C$5:$C$158,0))*AG22,0)</f>
        <v>57043.95672347123</v>
      </c>
      <c r="AD22" s="44">
        <f>IFERROR(INDEX('Detalle Costos'!$Z$5:$Z$158,MATCH(Resumen!AA22,'Detalle Costos'!$C$5:$C$158,0))*AG22,0)</f>
        <v>18845.188801374748</v>
      </c>
      <c r="AE22" s="44">
        <f>IFERROR(INDEX('Detalle Costos'!$Y$5:$Y$158,MATCH(Resumen!AA22,'Detalle Costos'!$C$5:$C$158,0))*AG22,0)</f>
        <v>1002.5162251181431</v>
      </c>
      <c r="AF22" s="44">
        <f>IFERROR(INDEX('Detalle Costos'!$AA$5:$AA$158,MATCH(Resumen!AA22,'Detalle Costos'!$C$5:$C$158,0))*AG22,0)</f>
        <v>17110.604868967483</v>
      </c>
      <c r="AG22" s="44">
        <f t="shared" si="3"/>
        <v>94002.266618931608</v>
      </c>
      <c r="AH22" s="26">
        <f>+G22</f>
        <v>54</v>
      </c>
      <c r="AI22" s="44">
        <f>1.7407827151654*1000</f>
        <v>1740.7827151654001</v>
      </c>
      <c r="AJ22" s="44">
        <f t="shared" ref="AJ22:AJ29" si="61">+AI22*AH22</f>
        <v>94002.266618931608</v>
      </c>
      <c r="AK22" s="45">
        <f t="shared" si="5"/>
        <v>-4902.2666189316078</v>
      </c>
      <c r="AL22" s="94">
        <f t="shared" si="6"/>
        <v>-5.5019827372969787E-2</v>
      </c>
      <c r="AM22" s="44">
        <f t="shared" si="7"/>
        <v>6212</v>
      </c>
      <c r="AN22" s="44">
        <f t="shared" si="8"/>
        <v>3908.7692307692309</v>
      </c>
      <c r="AO22" s="44">
        <f t="shared" si="9"/>
        <v>10120.76923076923</v>
      </c>
      <c r="AP22" s="44">
        <f t="shared" si="40"/>
        <v>1870.2906443125496</v>
      </c>
      <c r="AQ22" s="44">
        <f t="shared" si="41"/>
        <v>2486.64</v>
      </c>
      <c r="AR22" s="45">
        <f t="shared" si="12"/>
        <v>-14406.686494013389</v>
      </c>
      <c r="AS22" s="94">
        <f t="shared" si="13"/>
        <v>-0.16169120644235005</v>
      </c>
      <c r="AT22" s="44">
        <f t="shared" si="42"/>
        <v>4906.6217952640282</v>
      </c>
      <c r="AU22" s="45">
        <f t="shared" si="15"/>
        <v>-19313.308289277418</v>
      </c>
      <c r="AV22" s="94">
        <f t="shared" si="16"/>
        <v>-0.2167599134599037</v>
      </c>
      <c r="AW22" s="44">
        <f t="shared" si="43"/>
        <v>4102.5312978033417</v>
      </c>
      <c r="AX22" s="45">
        <f t="shared" si="18"/>
        <v>-10304.155196210048</v>
      </c>
      <c r="AY22" s="94">
        <f t="shared" si="19"/>
        <v>-0.11564708413254823</v>
      </c>
      <c r="BA22" s="44">
        <f t="shared" si="44"/>
        <v>1650</v>
      </c>
      <c r="BB22" s="44">
        <f t="shared" si="45"/>
        <v>-1056.369568953171</v>
      </c>
      <c r="BC22" s="44">
        <f t="shared" si="46"/>
        <v>-348.98497780323606</v>
      </c>
      <c r="BD22" s="44">
        <f t="shared" si="47"/>
        <v>-18.565115279965614</v>
      </c>
      <c r="BE22" s="44">
        <f t="shared" si="48"/>
        <v>-316.86305312902743</v>
      </c>
      <c r="BF22" s="44">
        <f t="shared" si="49"/>
        <v>-1740.7827151654001</v>
      </c>
      <c r="BG22" s="44">
        <f t="shared" si="50"/>
        <v>-90.782715165400148</v>
      </c>
      <c r="BH22" s="44">
        <f t="shared" si="51"/>
        <v>-115.03703703703704</v>
      </c>
      <c r="BI22" s="44">
        <f t="shared" si="52"/>
        <v>-72.384615384615387</v>
      </c>
      <c r="BJ22" s="44">
        <f t="shared" si="53"/>
        <v>-187.42165242165242</v>
      </c>
      <c r="BK22" s="44">
        <f t="shared" si="54"/>
        <v>-34.635011931713883</v>
      </c>
      <c r="BL22" s="44">
        <f t="shared" si="55"/>
        <v>46.048888888888889</v>
      </c>
      <c r="BM22" s="44">
        <f t="shared" si="56"/>
        <v>-266.79049062987758</v>
      </c>
      <c r="BN22" s="44">
        <f t="shared" si="57"/>
        <v>-90.863366578963479</v>
      </c>
      <c r="BO22" s="44">
        <f t="shared" si="58"/>
        <v>-357.65385720884109</v>
      </c>
      <c r="BP22" s="44">
        <f t="shared" si="59"/>
        <v>75.972801811172999</v>
      </c>
      <c r="BQ22" s="44">
        <f t="shared" si="60"/>
        <v>-190.8176888187046</v>
      </c>
    </row>
    <row r="23" spans="2:69">
      <c r="B23" s="4" t="s">
        <v>7</v>
      </c>
      <c r="C23" s="27" t="str">
        <f t="shared" si="0"/>
        <v>FEBRERO</v>
      </c>
      <c r="D23" s="25" t="s">
        <v>183</v>
      </c>
      <c r="E23" s="100">
        <v>27</v>
      </c>
      <c r="F23" s="100">
        <v>46071</v>
      </c>
      <c r="G23" s="103">
        <v>81</v>
      </c>
      <c r="H23" s="102" t="s">
        <v>33</v>
      </c>
      <c r="I23" s="27" t="s">
        <v>132</v>
      </c>
      <c r="J23" s="19" t="s">
        <v>179</v>
      </c>
      <c r="K23" s="7" t="s">
        <v>171</v>
      </c>
      <c r="L23" s="7" t="s">
        <v>172</v>
      </c>
      <c r="M23" s="21" t="s">
        <v>51</v>
      </c>
      <c r="N23" s="7"/>
      <c r="O23" s="20">
        <v>1650</v>
      </c>
      <c r="P23" s="61">
        <v>133650</v>
      </c>
      <c r="Q23" s="20">
        <v>1534.962962962963</v>
      </c>
      <c r="R23" s="30">
        <v>9318</v>
      </c>
      <c r="S23" s="32">
        <f t="shared" si="1"/>
        <v>124332</v>
      </c>
      <c r="T23" s="60">
        <v>3</v>
      </c>
      <c r="U23" s="148" t="s">
        <v>184</v>
      </c>
      <c r="V23" s="149" t="s">
        <v>185</v>
      </c>
      <c r="W23" s="4" t="s">
        <v>182</v>
      </c>
      <c r="X23" s="4" t="s">
        <v>113</v>
      </c>
      <c r="Y23" s="7">
        <v>10005721</v>
      </c>
      <c r="Z23" s="7" t="s">
        <v>114</v>
      </c>
      <c r="AA23" s="7" t="str">
        <f t="shared" si="39"/>
        <v>FEBRERO10005721Compensación</v>
      </c>
      <c r="AB23" s="26">
        <f>INDEX('Detalle Costos'!$L$5:$L$158,MATCH(Resumen!AA23,'Detalle Costos'!$C$5:$C$158,0))*1000*0+AI23</f>
        <v>1740.7827151654001</v>
      </c>
      <c r="AC23" s="44">
        <f>IFERROR(INDEX('Detalle Costos'!$X$5:$X$158,MATCH(Resumen!AA23,'Detalle Costos'!$C$5:$C$158,0))*AG23,0)</f>
        <v>85565.935085206846</v>
      </c>
      <c r="AD23" s="44">
        <f>IFERROR(INDEX('Detalle Costos'!$Z$5:$Z$158,MATCH(Resumen!AA23,'Detalle Costos'!$C$5:$C$158,0))*AG23,0)</f>
        <v>28267.783202062124</v>
      </c>
      <c r="AE23" s="44">
        <f>IFERROR(INDEX('Detalle Costos'!$Y$5:$Y$158,MATCH(Resumen!AA23,'Detalle Costos'!$C$5:$C$158,0))*AG23,0)</f>
        <v>1503.7743376772146</v>
      </c>
      <c r="AF23" s="44">
        <f>IFERROR(INDEX('Detalle Costos'!$AA$5:$AA$158,MATCH(Resumen!AA23,'Detalle Costos'!$C$5:$C$158,0))*AG23,0)</f>
        <v>25665.907303451222</v>
      </c>
      <c r="AG23" s="44">
        <f t="shared" si="3"/>
        <v>141003.39992839741</v>
      </c>
      <c r="AH23" s="26">
        <f>+G23</f>
        <v>81</v>
      </c>
      <c r="AI23" s="44">
        <f>1.7407827151654*1000</f>
        <v>1740.7827151654001</v>
      </c>
      <c r="AJ23" s="44">
        <f t="shared" si="61"/>
        <v>141003.39992839741</v>
      </c>
      <c r="AK23" s="45">
        <f t="shared" si="5"/>
        <v>-7353.3999283974117</v>
      </c>
      <c r="AL23" s="94">
        <f t="shared" si="6"/>
        <v>-5.5019827372969787E-2</v>
      </c>
      <c r="AM23" s="44">
        <f t="shared" si="7"/>
        <v>9318</v>
      </c>
      <c r="AN23" s="44">
        <f t="shared" si="8"/>
        <v>5863.1538461538466</v>
      </c>
      <c r="AO23" s="44">
        <f t="shared" si="9"/>
        <v>15181.153846153848</v>
      </c>
      <c r="AP23" s="44">
        <f t="shared" si="40"/>
        <v>2805.4359664688245</v>
      </c>
      <c r="AQ23" s="44">
        <f t="shared" si="41"/>
        <v>3729.96</v>
      </c>
      <c r="AR23" s="45">
        <f t="shared" si="12"/>
        <v>-21610.029741020084</v>
      </c>
      <c r="AS23" s="94">
        <f t="shared" si="13"/>
        <v>-0.16169120644235005</v>
      </c>
      <c r="AT23" s="44">
        <f t="shared" si="42"/>
        <v>7359.9326928960418</v>
      </c>
      <c r="AU23" s="45">
        <f t="shared" si="15"/>
        <v>-28969.962433916124</v>
      </c>
      <c r="AV23" s="94">
        <f t="shared" si="16"/>
        <v>-0.21675991345990367</v>
      </c>
      <c r="AW23" s="44">
        <f t="shared" si="43"/>
        <v>6153.7969467050116</v>
      </c>
      <c r="AX23" s="45">
        <f t="shared" si="18"/>
        <v>-15456.232794315072</v>
      </c>
      <c r="AY23" s="94">
        <f t="shared" si="19"/>
        <v>-0.11564708413254823</v>
      </c>
      <c r="BA23" s="44">
        <f t="shared" si="44"/>
        <v>1650</v>
      </c>
      <c r="BB23" s="44">
        <f t="shared" si="45"/>
        <v>-1056.369568953171</v>
      </c>
      <c r="BC23" s="44">
        <f t="shared" si="46"/>
        <v>-348.98497780323612</v>
      </c>
      <c r="BD23" s="44">
        <f t="shared" si="47"/>
        <v>-18.565115279965614</v>
      </c>
      <c r="BE23" s="44">
        <f t="shared" si="48"/>
        <v>-316.86305312902743</v>
      </c>
      <c r="BF23" s="44">
        <f t="shared" si="49"/>
        <v>-1740.7827151654001</v>
      </c>
      <c r="BG23" s="44">
        <f t="shared" si="50"/>
        <v>-90.782715165400148</v>
      </c>
      <c r="BH23" s="44">
        <f t="shared" si="51"/>
        <v>-115.03703703703704</v>
      </c>
      <c r="BI23" s="44">
        <f t="shared" si="52"/>
        <v>-72.384615384615387</v>
      </c>
      <c r="BJ23" s="44">
        <f t="shared" si="53"/>
        <v>-187.42165242165242</v>
      </c>
      <c r="BK23" s="44">
        <f t="shared" si="54"/>
        <v>-34.635011931713883</v>
      </c>
      <c r="BL23" s="44">
        <f t="shared" si="55"/>
        <v>46.048888888888889</v>
      </c>
      <c r="BM23" s="44">
        <f t="shared" si="56"/>
        <v>-266.79049062987758</v>
      </c>
      <c r="BN23" s="44">
        <f t="shared" si="57"/>
        <v>-90.863366578963479</v>
      </c>
      <c r="BO23" s="44">
        <f t="shared" si="58"/>
        <v>-357.65385720884103</v>
      </c>
      <c r="BP23" s="44">
        <f t="shared" si="59"/>
        <v>75.972801811172985</v>
      </c>
      <c r="BQ23" s="44">
        <f t="shared" si="60"/>
        <v>-190.8176888187046</v>
      </c>
    </row>
    <row r="24" spans="2:69">
      <c r="B24" s="4" t="s">
        <v>7</v>
      </c>
      <c r="C24" s="27" t="str">
        <f t="shared" si="0"/>
        <v>FEBRERO</v>
      </c>
      <c r="D24" s="25" t="s">
        <v>186</v>
      </c>
      <c r="E24" s="100">
        <v>28</v>
      </c>
      <c r="F24" s="100">
        <v>46066</v>
      </c>
      <c r="G24" s="101">
        <v>24</v>
      </c>
      <c r="H24" s="102" t="s">
        <v>37</v>
      </c>
      <c r="I24" s="27" t="s">
        <v>126</v>
      </c>
      <c r="J24" s="19"/>
      <c r="K24" s="7" t="s">
        <v>127</v>
      </c>
      <c r="L24" s="7" t="s">
        <v>119</v>
      </c>
      <c r="M24" s="21" t="s">
        <v>43</v>
      </c>
      <c r="N24" s="7" t="s">
        <v>129</v>
      </c>
      <c r="O24" s="20">
        <v>2000</v>
      </c>
      <c r="P24" s="61">
        <v>48000</v>
      </c>
      <c r="Q24" s="20">
        <v>1854.1666666666667</v>
      </c>
      <c r="R24" s="30">
        <v>3500</v>
      </c>
      <c r="S24" s="32">
        <f t="shared" si="1"/>
        <v>44500</v>
      </c>
      <c r="T24" s="26">
        <v>1</v>
      </c>
      <c r="U24" s="44" t="s">
        <v>187</v>
      </c>
      <c r="V24" s="44">
        <v>6445030580</v>
      </c>
      <c r="W24" s="44" t="s">
        <v>122</v>
      </c>
      <c r="X24" s="44" t="s">
        <v>113</v>
      </c>
      <c r="Y24" s="7">
        <v>10007969</v>
      </c>
      <c r="Z24" s="7" t="s">
        <v>114</v>
      </c>
      <c r="AA24" s="7" t="str">
        <f t="shared" si="39"/>
        <v>FEBRERO10007969Compensación</v>
      </c>
      <c r="AB24" s="26">
        <f>INDEX('Detalle Costos'!$L$5:$L$158,MATCH(Resumen!AA24,'Detalle Costos'!$C$5:$C$158,0))*1000*0+AI24</f>
        <v>1397.2773083886541</v>
      </c>
      <c r="AC24" s="111">
        <f>IFERROR(INDEX('Detalle Costos'!$X$5:$X$158,MATCH(Resumen!AA24,'Detalle Costos'!$C$5:$C$158,0))*AG24,0)</f>
        <v>27124.395896197944</v>
      </c>
      <c r="AD24" s="111">
        <f>IFERROR(INDEX('Detalle Costos'!$Z$5:$Z$158,MATCH(Resumen!AA24,'Detalle Costos'!$C$5:$C$158,0))*AG24,0)</f>
        <v>5105.9167169583588</v>
      </c>
      <c r="AE24" s="111">
        <f>IFERROR(INDEX('Detalle Costos'!$Y$5:$Y$158,MATCH(Resumen!AA24,'Detalle Costos'!$C$5:$C$158,0))*AG24,0)</f>
        <v>400.3958961979481</v>
      </c>
      <c r="AF24" s="111">
        <f>IFERROR(INDEX('Detalle Costos'!$AA$5:$AA$158,MATCH(Resumen!AA24,'Detalle Costos'!$C$5:$C$158,0))*AG24,0)</f>
        <v>903.94689197344962</v>
      </c>
      <c r="AG24" s="44">
        <f t="shared" si="3"/>
        <v>33534.655401327698</v>
      </c>
      <c r="AH24" s="26">
        <v>23.14</v>
      </c>
      <c r="AI24" s="44">
        <v>1397.2773083886541</v>
      </c>
      <c r="AJ24" s="44">
        <f t="shared" si="61"/>
        <v>32332.996916113458</v>
      </c>
      <c r="AK24" s="45">
        <f t="shared" si="5"/>
        <v>14465.344598672302</v>
      </c>
      <c r="AL24" s="94">
        <f t="shared" si="6"/>
        <v>0.30136134580567298</v>
      </c>
      <c r="AM24" s="44">
        <f t="shared" si="7"/>
        <v>3500</v>
      </c>
      <c r="AN24" s="44">
        <f t="shared" si="8"/>
        <v>1737.2307692307693</v>
      </c>
      <c r="AO24" s="44">
        <f t="shared" si="9"/>
        <v>5237.2307692307695</v>
      </c>
      <c r="AP24" s="44">
        <f t="shared" si="40"/>
        <v>831.24028636113326</v>
      </c>
      <c r="AQ24" s="44">
        <f t="shared" si="41"/>
        <v>1335</v>
      </c>
      <c r="AR24" s="45">
        <f t="shared" si="12"/>
        <v>9731.873543080399</v>
      </c>
      <c r="AS24" s="94">
        <f t="shared" si="13"/>
        <v>0.20274736548084166</v>
      </c>
      <c r="AT24" s="44">
        <f t="shared" si="42"/>
        <v>2180.7207978951237</v>
      </c>
      <c r="AU24" s="45">
        <f t="shared" si="15"/>
        <v>7551.1527451852753</v>
      </c>
      <c r="AV24" s="94">
        <f t="shared" si="16"/>
        <v>0.15731568219135991</v>
      </c>
      <c r="AW24" s="44">
        <f t="shared" si="43"/>
        <v>1823.3472434681516</v>
      </c>
      <c r="AX24" s="45">
        <f t="shared" si="18"/>
        <v>11555.220786548551</v>
      </c>
      <c r="AY24" s="94">
        <f t="shared" si="19"/>
        <v>0.24073376638642813</v>
      </c>
      <c r="BA24" s="44">
        <f t="shared" si="44"/>
        <v>2000</v>
      </c>
      <c r="BB24" s="44">
        <f t="shared" si="45"/>
        <v>-1130.183162341581</v>
      </c>
      <c r="BC24" s="44">
        <f t="shared" si="46"/>
        <v>-212.74652987326496</v>
      </c>
      <c r="BD24" s="44">
        <f t="shared" si="47"/>
        <v>-16.68316234158117</v>
      </c>
      <c r="BE24" s="44">
        <f t="shared" si="48"/>
        <v>-37.664453832227068</v>
      </c>
      <c r="BF24" s="44">
        <f t="shared" si="49"/>
        <v>-1397.2773083886541</v>
      </c>
      <c r="BG24" s="44">
        <f t="shared" si="50"/>
        <v>602.72269161134591</v>
      </c>
      <c r="BH24" s="44">
        <f t="shared" si="51"/>
        <v>-145.83333333333334</v>
      </c>
      <c r="BI24" s="44">
        <f t="shared" si="52"/>
        <v>-72.384615384615387</v>
      </c>
      <c r="BJ24" s="44">
        <f t="shared" si="53"/>
        <v>-218.21794871794873</v>
      </c>
      <c r="BK24" s="44">
        <f t="shared" si="54"/>
        <v>-34.635011931713883</v>
      </c>
      <c r="BL24" s="44">
        <f t="shared" si="55"/>
        <v>55.625</v>
      </c>
      <c r="BM24" s="44">
        <f t="shared" si="56"/>
        <v>405.49473096168327</v>
      </c>
      <c r="BN24" s="44">
        <f t="shared" si="57"/>
        <v>-90.863366578963493</v>
      </c>
      <c r="BO24" s="44">
        <f t="shared" si="58"/>
        <v>314.63136438271982</v>
      </c>
      <c r="BP24" s="44">
        <f t="shared" si="59"/>
        <v>75.972801811172985</v>
      </c>
      <c r="BQ24" s="44">
        <f t="shared" si="60"/>
        <v>481.46753277285626</v>
      </c>
    </row>
    <row r="25" spans="2:69">
      <c r="B25" s="4" t="s">
        <v>7</v>
      </c>
      <c r="C25" s="27" t="str">
        <f t="shared" si="0"/>
        <v>FEBRERO</v>
      </c>
      <c r="D25" s="27" t="s">
        <v>188</v>
      </c>
      <c r="E25" s="100">
        <v>30</v>
      </c>
      <c r="F25" s="100">
        <v>46066</v>
      </c>
      <c r="G25" s="101">
        <v>108</v>
      </c>
      <c r="H25" s="102" t="s">
        <v>32</v>
      </c>
      <c r="I25" s="27" t="s">
        <v>155</v>
      </c>
      <c r="J25" s="19"/>
      <c r="K25" s="7" t="s">
        <v>171</v>
      </c>
      <c r="L25" s="7" t="s">
        <v>172</v>
      </c>
      <c r="M25" s="21" t="s">
        <v>43</v>
      </c>
      <c r="N25" s="7" t="s">
        <v>129</v>
      </c>
      <c r="O25" s="20">
        <v>1600</v>
      </c>
      <c r="P25" s="61">
        <v>172800</v>
      </c>
      <c r="Q25" s="20">
        <v>1492.5925925925926</v>
      </c>
      <c r="R25" s="30">
        <v>11600</v>
      </c>
      <c r="S25" s="32">
        <f t="shared" si="1"/>
        <v>161200</v>
      </c>
      <c r="T25" s="60">
        <v>4</v>
      </c>
      <c r="U25" s="7" t="s">
        <v>187</v>
      </c>
      <c r="V25" s="7">
        <v>6445031110</v>
      </c>
      <c r="W25" s="4" t="s">
        <v>122</v>
      </c>
      <c r="X25" s="4" t="s">
        <v>113</v>
      </c>
      <c r="Y25" s="7">
        <v>10006720</v>
      </c>
      <c r="Z25" s="7" t="s">
        <v>114</v>
      </c>
      <c r="AA25" s="7" t="str">
        <f t="shared" si="39"/>
        <v>FEBRERO10006720Compensación</v>
      </c>
      <c r="AB25" s="26">
        <f>INDEX('Detalle Costos'!$L$5:$L$158,MATCH(Resumen!AA25,'Detalle Costos'!$C$5:$C$158,0))*1000*0+AI25</f>
        <v>1639.7681689527499</v>
      </c>
      <c r="AC25" s="44">
        <f>IFERROR(INDEX('Detalle Costos'!$X$5:$X$158,MATCH(Resumen!AA25,'Detalle Costos'!$C$5:$C$158,0))*AG25,0)</f>
        <v>114801.79673416038</v>
      </c>
      <c r="AD25" s="44">
        <f>IFERROR(INDEX('Detalle Costos'!$Z$5:$Z$158,MATCH(Resumen!AA25,'Detalle Costos'!$C$5:$C$158,0))*AG25,0)</f>
        <v>26268.81436969294</v>
      </c>
      <c r="AE25" s="44">
        <f>IFERROR(INDEX('Detalle Costos'!$Y$5:$Y$158,MATCH(Resumen!AA25,'Detalle Costos'!$C$5:$C$158,0))*AG25,0)</f>
        <v>1720.5907250163245</v>
      </c>
      <c r="AF25" s="44">
        <f>IFERROR(INDEX('Detalle Costos'!$AA$5:$AA$158,MATCH(Resumen!AA25,'Detalle Costos'!$C$5:$C$158,0))*AG25,0)</f>
        <v>34303.760418027356</v>
      </c>
      <c r="AG25" s="44">
        <f t="shared" si="3"/>
        <v>177094.96224689699</v>
      </c>
      <c r="AH25" s="26">
        <f>+G25</f>
        <v>108</v>
      </c>
      <c r="AI25" s="44">
        <f>1.63976816895275*1000</f>
        <v>1639.7681689527499</v>
      </c>
      <c r="AJ25" s="44">
        <f t="shared" si="61"/>
        <v>177094.96224689699</v>
      </c>
      <c r="AK25" s="45">
        <f t="shared" si="5"/>
        <v>-4294.9622468969901</v>
      </c>
      <c r="AL25" s="94">
        <f t="shared" si="6"/>
        <v>-2.4855105595468694E-2</v>
      </c>
      <c r="AM25" s="44">
        <f t="shared" si="7"/>
        <v>11600</v>
      </c>
      <c r="AN25" s="44">
        <f t="shared" si="8"/>
        <v>7817.5384615384619</v>
      </c>
      <c r="AO25" s="44">
        <f t="shared" si="9"/>
        <v>19417.538461538461</v>
      </c>
      <c r="AP25" s="44">
        <f t="shared" si="40"/>
        <v>3740.5812886250992</v>
      </c>
      <c r="AQ25" s="44">
        <f t="shared" si="41"/>
        <v>4836</v>
      </c>
      <c r="AR25" s="45">
        <f t="shared" si="12"/>
        <v>-22617.081997060552</v>
      </c>
      <c r="AS25" s="94">
        <f t="shared" si="13"/>
        <v>-0.130885891186693</v>
      </c>
      <c r="AT25" s="44">
        <f t="shared" si="42"/>
        <v>9813.2435905280563</v>
      </c>
      <c r="AU25" s="45">
        <f t="shared" si="15"/>
        <v>-32430.32558758861</v>
      </c>
      <c r="AV25" s="94">
        <f t="shared" si="16"/>
        <v>-0.18767549529854519</v>
      </c>
      <c r="AW25" s="44">
        <f t="shared" si="43"/>
        <v>8205.0625956066833</v>
      </c>
      <c r="AX25" s="45">
        <f t="shared" si="18"/>
        <v>-14412.019401453868</v>
      </c>
      <c r="AY25" s="94">
        <f t="shared" si="19"/>
        <v>-8.3402890054709883E-2</v>
      </c>
      <c r="BA25" s="44">
        <f t="shared" si="44"/>
        <v>1600</v>
      </c>
      <c r="BB25" s="44">
        <f t="shared" si="45"/>
        <v>-1062.9795993903738</v>
      </c>
      <c r="BC25" s="44">
        <f t="shared" si="46"/>
        <v>-243.22976268234203</v>
      </c>
      <c r="BD25" s="44">
        <f t="shared" si="47"/>
        <v>-15.931395602003006</v>
      </c>
      <c r="BE25" s="44">
        <f t="shared" si="48"/>
        <v>-317.62741127803105</v>
      </c>
      <c r="BF25" s="44">
        <f t="shared" si="49"/>
        <v>-1639.7681689527499</v>
      </c>
      <c r="BG25" s="44">
        <f t="shared" si="50"/>
        <v>-39.76816895274991</v>
      </c>
      <c r="BH25" s="44">
        <f t="shared" si="51"/>
        <v>-107.4074074074074</v>
      </c>
      <c r="BI25" s="44">
        <f t="shared" si="52"/>
        <v>-72.384615384615387</v>
      </c>
      <c r="BJ25" s="44">
        <f t="shared" si="53"/>
        <v>-179.79202279202278</v>
      </c>
      <c r="BK25" s="44">
        <f t="shared" si="54"/>
        <v>-34.635011931713883</v>
      </c>
      <c r="BL25" s="44">
        <f t="shared" si="55"/>
        <v>44.777777777777779</v>
      </c>
      <c r="BM25" s="44">
        <f t="shared" si="56"/>
        <v>-209.41742589870881</v>
      </c>
      <c r="BN25" s="44">
        <f t="shared" si="57"/>
        <v>-90.863366578963479</v>
      </c>
      <c r="BO25" s="44">
        <f t="shared" si="58"/>
        <v>-300.28079247767232</v>
      </c>
      <c r="BP25" s="44">
        <f t="shared" si="59"/>
        <v>75.972801811172999</v>
      </c>
      <c r="BQ25" s="44">
        <f t="shared" si="60"/>
        <v>-133.44462408753583</v>
      </c>
    </row>
    <row r="26" spans="2:69">
      <c r="B26" s="4" t="s">
        <v>7</v>
      </c>
      <c r="C26" s="27" t="str">
        <f t="shared" si="0"/>
        <v>FEBRERO</v>
      </c>
      <c r="D26" s="27" t="s">
        <v>188</v>
      </c>
      <c r="E26" s="100">
        <v>30</v>
      </c>
      <c r="F26" s="100">
        <v>46066</v>
      </c>
      <c r="G26" s="101">
        <v>108</v>
      </c>
      <c r="H26" s="102" t="s">
        <v>32</v>
      </c>
      <c r="I26" s="27" t="s">
        <v>155</v>
      </c>
      <c r="J26" s="19"/>
      <c r="K26" s="7" t="s">
        <v>171</v>
      </c>
      <c r="L26" s="7" t="s">
        <v>172</v>
      </c>
      <c r="M26" s="21" t="s">
        <v>43</v>
      </c>
      <c r="N26" s="7" t="s">
        <v>129</v>
      </c>
      <c r="O26" s="20">
        <v>1600</v>
      </c>
      <c r="P26" s="61">
        <v>172800</v>
      </c>
      <c r="Q26" s="20">
        <v>1492.5925925925926</v>
      </c>
      <c r="R26" s="30">
        <v>11600</v>
      </c>
      <c r="S26" s="32">
        <f t="shared" si="1"/>
        <v>161200</v>
      </c>
      <c r="T26" s="60">
        <v>4</v>
      </c>
      <c r="U26" s="7" t="s">
        <v>187</v>
      </c>
      <c r="V26" s="7">
        <v>6445031130</v>
      </c>
      <c r="W26" s="4" t="s">
        <v>122</v>
      </c>
      <c r="X26" s="4" t="s">
        <v>113</v>
      </c>
      <c r="Y26" s="7">
        <v>10006720</v>
      </c>
      <c r="Z26" s="7" t="s">
        <v>114</v>
      </c>
      <c r="AA26" s="7" t="str">
        <f t="shared" si="39"/>
        <v>FEBRERO10006720Compensación</v>
      </c>
      <c r="AB26" s="26">
        <f>INDEX('Detalle Costos'!$L$5:$L$158,MATCH(Resumen!AA26,'Detalle Costos'!$C$5:$C$158,0))*1000*0+AI26</f>
        <v>1639.7681689527499</v>
      </c>
      <c r="AC26" s="44">
        <f>IFERROR(INDEX('Detalle Costos'!$X$5:$X$158,MATCH(Resumen!AA26,'Detalle Costos'!$C$5:$C$158,0))*AG26,0)</f>
        <v>114801.79673416038</v>
      </c>
      <c r="AD26" s="44">
        <f>IFERROR(INDEX('Detalle Costos'!$Z$5:$Z$158,MATCH(Resumen!AA26,'Detalle Costos'!$C$5:$C$158,0))*AG26,0)</f>
        <v>26268.81436969294</v>
      </c>
      <c r="AE26" s="44">
        <f>IFERROR(INDEX('Detalle Costos'!$Y$5:$Y$158,MATCH(Resumen!AA26,'Detalle Costos'!$C$5:$C$158,0))*AG26,0)</f>
        <v>1720.5907250163245</v>
      </c>
      <c r="AF26" s="44">
        <f>IFERROR(INDEX('Detalle Costos'!$AA$5:$AA$158,MATCH(Resumen!AA26,'Detalle Costos'!$C$5:$C$158,0))*AG26,0)</f>
        <v>34303.760418027356</v>
      </c>
      <c r="AG26" s="44">
        <f t="shared" si="3"/>
        <v>177094.96224689699</v>
      </c>
      <c r="AH26" s="26">
        <f>+G26</f>
        <v>108</v>
      </c>
      <c r="AI26" s="44">
        <f>1.63976816895275*1000</f>
        <v>1639.7681689527499</v>
      </c>
      <c r="AJ26" s="44">
        <f t="shared" si="61"/>
        <v>177094.96224689699</v>
      </c>
      <c r="AK26" s="45">
        <f t="shared" si="5"/>
        <v>-4294.9622468969901</v>
      </c>
      <c r="AL26" s="94">
        <f t="shared" si="6"/>
        <v>-2.4855105595468694E-2</v>
      </c>
      <c r="AM26" s="44">
        <f t="shared" si="7"/>
        <v>11600</v>
      </c>
      <c r="AN26" s="44">
        <f t="shared" si="8"/>
        <v>7817.5384615384619</v>
      </c>
      <c r="AO26" s="44">
        <f t="shared" si="9"/>
        <v>19417.538461538461</v>
      </c>
      <c r="AP26" s="44">
        <f t="shared" si="40"/>
        <v>3740.5812886250992</v>
      </c>
      <c r="AQ26" s="44">
        <f t="shared" si="41"/>
        <v>4836</v>
      </c>
      <c r="AR26" s="45">
        <f t="shared" si="12"/>
        <v>-22617.081997060552</v>
      </c>
      <c r="AS26" s="94">
        <f t="shared" si="13"/>
        <v>-0.130885891186693</v>
      </c>
      <c r="AT26" s="44">
        <f t="shared" si="42"/>
        <v>9813.2435905280563</v>
      </c>
      <c r="AU26" s="45">
        <f t="shared" si="15"/>
        <v>-32430.32558758861</v>
      </c>
      <c r="AV26" s="94">
        <f t="shared" si="16"/>
        <v>-0.18767549529854519</v>
      </c>
      <c r="AW26" s="44">
        <f t="shared" si="43"/>
        <v>8205.0625956066833</v>
      </c>
      <c r="AX26" s="45">
        <f t="shared" si="18"/>
        <v>-14412.019401453868</v>
      </c>
      <c r="AY26" s="94">
        <f t="shared" si="19"/>
        <v>-8.3402890054709883E-2</v>
      </c>
      <c r="BA26" s="44">
        <f t="shared" si="44"/>
        <v>1600</v>
      </c>
      <c r="BB26" s="44">
        <f t="shared" si="45"/>
        <v>-1062.9795993903738</v>
      </c>
      <c r="BC26" s="44">
        <f t="shared" si="46"/>
        <v>-243.22976268234203</v>
      </c>
      <c r="BD26" s="44">
        <f t="shared" si="47"/>
        <v>-15.931395602003006</v>
      </c>
      <c r="BE26" s="44">
        <f t="shared" si="48"/>
        <v>-317.62741127803105</v>
      </c>
      <c r="BF26" s="44">
        <f t="shared" si="49"/>
        <v>-1639.7681689527499</v>
      </c>
      <c r="BG26" s="44">
        <f t="shared" si="50"/>
        <v>-39.76816895274991</v>
      </c>
      <c r="BH26" s="44">
        <f t="shared" si="51"/>
        <v>-107.4074074074074</v>
      </c>
      <c r="BI26" s="44">
        <f t="shared" si="52"/>
        <v>-72.384615384615387</v>
      </c>
      <c r="BJ26" s="44">
        <f t="shared" si="53"/>
        <v>-179.79202279202278</v>
      </c>
      <c r="BK26" s="44">
        <f t="shared" si="54"/>
        <v>-34.635011931713883</v>
      </c>
      <c r="BL26" s="44">
        <f t="shared" si="55"/>
        <v>44.777777777777779</v>
      </c>
      <c r="BM26" s="44">
        <f t="shared" si="56"/>
        <v>-209.41742589870881</v>
      </c>
      <c r="BN26" s="44">
        <f t="shared" si="57"/>
        <v>-90.863366578963479</v>
      </c>
      <c r="BO26" s="44">
        <f t="shared" si="58"/>
        <v>-300.28079247767232</v>
      </c>
      <c r="BP26" s="44">
        <f t="shared" si="59"/>
        <v>75.972801811172999</v>
      </c>
      <c r="BQ26" s="44">
        <f t="shared" si="60"/>
        <v>-133.44462408753583</v>
      </c>
    </row>
    <row r="27" spans="2:69">
      <c r="B27" s="4" t="s">
        <v>7</v>
      </c>
      <c r="C27" s="27" t="str">
        <f t="shared" si="0"/>
        <v>FEBRERO</v>
      </c>
      <c r="D27" s="27" t="s">
        <v>189</v>
      </c>
      <c r="E27" s="100">
        <v>34</v>
      </c>
      <c r="F27" s="100">
        <v>46070</v>
      </c>
      <c r="G27" s="101">
        <v>115.5</v>
      </c>
      <c r="H27" s="102" t="s">
        <v>32</v>
      </c>
      <c r="I27" s="27" t="s">
        <v>155</v>
      </c>
      <c r="J27" s="4" t="s">
        <v>190</v>
      </c>
      <c r="K27" s="7" t="s">
        <v>171</v>
      </c>
      <c r="L27" s="7" t="s">
        <v>172</v>
      </c>
      <c r="M27" s="21" t="s">
        <v>45</v>
      </c>
      <c r="N27" s="7" t="s">
        <v>191</v>
      </c>
      <c r="O27" s="20">
        <v>1500</v>
      </c>
      <c r="P27" s="61">
        <v>173250</v>
      </c>
      <c r="Q27" s="20">
        <v>1382.987012987013</v>
      </c>
      <c r="R27" s="30">
        <v>13515</v>
      </c>
      <c r="S27" s="32">
        <f t="shared" si="1"/>
        <v>159735</v>
      </c>
      <c r="T27" s="60">
        <v>5</v>
      </c>
      <c r="U27" s="7" t="s">
        <v>192</v>
      </c>
      <c r="V27" s="7" t="s">
        <v>193</v>
      </c>
      <c r="W27" s="4" t="s">
        <v>138</v>
      </c>
      <c r="X27" s="4" t="s">
        <v>113</v>
      </c>
      <c r="Y27" s="7">
        <v>10006720</v>
      </c>
      <c r="Z27" s="7" t="s">
        <v>114</v>
      </c>
      <c r="AA27" s="7" t="str">
        <f t="shared" si="39"/>
        <v>FEBRERO10006720Compensación</v>
      </c>
      <c r="AB27" s="26">
        <f>INDEX('Detalle Costos'!$L$5:$L$158,MATCH(Resumen!AA27,'Detalle Costos'!$C$5:$C$158,0))*1000*0+AI27</f>
        <v>1639.7681689527499</v>
      </c>
      <c r="AC27" s="44">
        <f>IFERROR(INDEX('Detalle Costos'!$X$5:$X$158,MATCH(Resumen!AA27,'Detalle Costos'!$C$5:$C$158,0))*AG27,0)</f>
        <v>122774.14372958818</v>
      </c>
      <c r="AD27" s="44">
        <f>IFERROR(INDEX('Detalle Costos'!$Z$5:$Z$158,MATCH(Resumen!AA27,'Detalle Costos'!$C$5:$C$158,0))*AG27,0)</f>
        <v>28093.037589810505</v>
      </c>
      <c r="AE27" s="44">
        <f>IFERROR(INDEX('Detalle Costos'!$Y$5:$Y$158,MATCH(Resumen!AA27,'Detalle Costos'!$C$5:$C$158,0))*AG27,0)</f>
        <v>1840.0761920313471</v>
      </c>
      <c r="AF27" s="44">
        <f>IFERROR(INDEX('Detalle Costos'!$AA$5:$AA$158,MATCH(Resumen!AA27,'Detalle Costos'!$C$5:$C$158,0))*AG27,0)</f>
        <v>36685.966002612593</v>
      </c>
      <c r="AG27" s="44">
        <f t="shared" si="3"/>
        <v>189393.22351404262</v>
      </c>
      <c r="AH27" s="26">
        <f>+G27</f>
        <v>115.5</v>
      </c>
      <c r="AI27" s="44">
        <f>1.63976816895275*1000</f>
        <v>1639.7681689527499</v>
      </c>
      <c r="AJ27" s="44">
        <f t="shared" si="61"/>
        <v>189393.22351404262</v>
      </c>
      <c r="AK27" s="45">
        <f t="shared" si="5"/>
        <v>-16143.22351404262</v>
      </c>
      <c r="AL27" s="94">
        <f t="shared" si="6"/>
        <v>-9.3178779301833312E-2</v>
      </c>
      <c r="AM27" s="44">
        <f t="shared" si="7"/>
        <v>13515</v>
      </c>
      <c r="AN27" s="44">
        <f t="shared" ref="AN27:AN33" si="62">1882/26*G27</f>
        <v>8360.423076923078</v>
      </c>
      <c r="AO27" s="44">
        <f t="shared" si="9"/>
        <v>21875.423076923078</v>
      </c>
      <c r="AP27" s="44">
        <f t="shared" si="40"/>
        <v>4000.3438781129535</v>
      </c>
      <c r="AQ27" s="44">
        <f t="shared" si="41"/>
        <v>4792.05</v>
      </c>
      <c r="AR27" s="45">
        <f t="shared" si="12"/>
        <v>-37226.940469078647</v>
      </c>
      <c r="AS27" s="94">
        <f t="shared" si="13"/>
        <v>-0.21487411526163722</v>
      </c>
      <c r="AT27" s="44">
        <f t="shared" si="42"/>
        <v>10494.718839870282</v>
      </c>
      <c r="AU27" s="45">
        <f t="shared" si="15"/>
        <v>-47721.659308948932</v>
      </c>
      <c r="AV27" s="94">
        <f t="shared" si="16"/>
        <v>-0.27544969298094624</v>
      </c>
      <c r="AW27" s="44">
        <f t="shared" si="43"/>
        <v>8774.8586091904799</v>
      </c>
      <c r="AX27" s="45">
        <f t="shared" si="18"/>
        <v>-28452.081859888167</v>
      </c>
      <c r="AY27" s="94">
        <f t="shared" si="19"/>
        <v>-0.16422558072085522</v>
      </c>
      <c r="BA27" s="44">
        <f t="shared" si="44"/>
        <v>1500</v>
      </c>
      <c r="BB27" s="44">
        <f t="shared" si="45"/>
        <v>-1062.9795993903738</v>
      </c>
      <c r="BC27" s="44">
        <f t="shared" si="46"/>
        <v>-243.22976268234203</v>
      </c>
      <c r="BD27" s="44">
        <f t="shared" si="47"/>
        <v>-15.931395602003006</v>
      </c>
      <c r="BE27" s="44">
        <f t="shared" si="48"/>
        <v>-317.6274112780311</v>
      </c>
      <c r="BF27" s="44">
        <f t="shared" si="49"/>
        <v>-1639.7681689527499</v>
      </c>
      <c r="BG27" s="44">
        <f t="shared" si="50"/>
        <v>-139.76816895274996</v>
      </c>
      <c r="BH27" s="44">
        <f t="shared" si="51"/>
        <v>-117.01298701298701</v>
      </c>
      <c r="BI27" s="44">
        <f t="shared" si="52"/>
        <v>-72.384615384615401</v>
      </c>
      <c r="BJ27" s="44">
        <f t="shared" si="53"/>
        <v>-189.39760239760241</v>
      </c>
      <c r="BK27" s="44">
        <f t="shared" si="54"/>
        <v>-34.635011931713883</v>
      </c>
      <c r="BL27" s="44">
        <f t="shared" si="55"/>
        <v>41.489610389610391</v>
      </c>
      <c r="BM27" s="44">
        <f t="shared" si="56"/>
        <v>-322.31117289245583</v>
      </c>
      <c r="BN27" s="44">
        <f t="shared" si="57"/>
        <v>-90.863366578963479</v>
      </c>
      <c r="BO27" s="44">
        <f t="shared" si="58"/>
        <v>-413.17453947141934</v>
      </c>
      <c r="BP27" s="44">
        <f t="shared" si="59"/>
        <v>75.972801811172985</v>
      </c>
      <c r="BQ27" s="44">
        <f t="shared" si="60"/>
        <v>-246.33837108128284</v>
      </c>
    </row>
    <row r="28" spans="2:69">
      <c r="B28" s="4" t="s">
        <v>7</v>
      </c>
      <c r="C28" s="27" t="str">
        <f t="shared" si="0"/>
        <v>FEBRERO</v>
      </c>
      <c r="D28" s="27" t="s">
        <v>194</v>
      </c>
      <c r="E28" s="100">
        <v>34</v>
      </c>
      <c r="F28" s="100">
        <v>46070</v>
      </c>
      <c r="G28" s="101">
        <v>46.8</v>
      </c>
      <c r="H28" s="102" t="s">
        <v>32</v>
      </c>
      <c r="I28" s="27" t="s">
        <v>155</v>
      </c>
      <c r="J28" s="4" t="s">
        <v>190</v>
      </c>
      <c r="K28" s="7" t="s">
        <v>171</v>
      </c>
      <c r="L28" s="7" t="s">
        <v>195</v>
      </c>
      <c r="M28" s="21" t="s">
        <v>45</v>
      </c>
      <c r="N28" s="7" t="s">
        <v>191</v>
      </c>
      <c r="O28" s="20">
        <v>1500</v>
      </c>
      <c r="P28" s="61">
        <v>70200</v>
      </c>
      <c r="Q28" s="20">
        <v>1380.2136752136753</v>
      </c>
      <c r="R28" s="30">
        <v>5606</v>
      </c>
      <c r="S28" s="32">
        <f t="shared" si="1"/>
        <v>64594</v>
      </c>
      <c r="T28" s="60">
        <v>2</v>
      </c>
      <c r="U28" s="7" t="s">
        <v>192</v>
      </c>
      <c r="V28" s="7" t="s">
        <v>196</v>
      </c>
      <c r="W28" s="4" t="s">
        <v>138</v>
      </c>
      <c r="X28" s="4" t="s">
        <v>113</v>
      </c>
      <c r="Y28" s="7">
        <v>10006720</v>
      </c>
      <c r="Z28" s="7" t="s">
        <v>114</v>
      </c>
      <c r="AA28" s="7" t="str">
        <f t="shared" si="39"/>
        <v>FEBRERO10006720Compensación</v>
      </c>
      <c r="AB28" s="26">
        <f>INDEX('Detalle Costos'!$L$5:$L$158,MATCH(Resumen!AA28,'Detalle Costos'!$C$5:$C$158,0))*1000*0+AI28</f>
        <v>1639.7681689527499</v>
      </c>
      <c r="AC28" s="44">
        <f>IFERROR(INDEX('Detalle Costos'!$X$5:$X$158,MATCH(Resumen!AA28,'Detalle Costos'!$C$5:$C$158,0))*AG28,0)</f>
        <v>49747.4452514695</v>
      </c>
      <c r="AD28" s="44">
        <f>IFERROR(INDEX('Detalle Costos'!$Z$5:$Z$158,MATCH(Resumen!AA28,'Detalle Costos'!$C$5:$C$158,0))*AG28,0)</f>
        <v>11383.152893533606</v>
      </c>
      <c r="AE28" s="44">
        <f>IFERROR(INDEX('Detalle Costos'!$Y$5:$Y$158,MATCH(Resumen!AA28,'Detalle Costos'!$C$5:$C$158,0))*AG28,0)</f>
        <v>745.5893141737406</v>
      </c>
      <c r="AF28" s="44">
        <f>IFERROR(INDEX('Detalle Costos'!$AA$5:$AA$158,MATCH(Resumen!AA28,'Detalle Costos'!$C$5:$C$158,0))*AG28,0)</f>
        <v>14864.962847811854</v>
      </c>
      <c r="AG28" s="44">
        <f t="shared" si="3"/>
        <v>76741.150306988697</v>
      </c>
      <c r="AH28" s="26">
        <f>+G28</f>
        <v>46.8</v>
      </c>
      <c r="AI28" s="44">
        <f>1.63976816895275*1000</f>
        <v>1639.7681689527499</v>
      </c>
      <c r="AJ28" s="44">
        <f t="shared" si="61"/>
        <v>76741.150306988697</v>
      </c>
      <c r="AK28" s="45">
        <f t="shared" si="5"/>
        <v>-6541.1503069886967</v>
      </c>
      <c r="AL28" s="94">
        <f t="shared" si="6"/>
        <v>-9.3178779301833284E-2</v>
      </c>
      <c r="AM28" s="44">
        <f t="shared" si="7"/>
        <v>5606</v>
      </c>
      <c r="AN28" s="44">
        <f t="shared" si="62"/>
        <v>3387.6</v>
      </c>
      <c r="AO28" s="44">
        <f t="shared" si="9"/>
        <v>8993.6</v>
      </c>
      <c r="AP28" s="44">
        <f t="shared" si="40"/>
        <v>1620.9185584042095</v>
      </c>
      <c r="AQ28" s="44">
        <f t="shared" si="41"/>
        <v>1937.82</v>
      </c>
      <c r="AR28" s="45">
        <f t="shared" si="12"/>
        <v>-15217.848865392905</v>
      </c>
      <c r="AS28" s="94">
        <f t="shared" si="13"/>
        <v>-0.2167784738659958</v>
      </c>
      <c r="AT28" s="44">
        <f t="shared" si="42"/>
        <v>4252.4055558954906</v>
      </c>
      <c r="AU28" s="45">
        <f t="shared" si="15"/>
        <v>-19470.254421288395</v>
      </c>
      <c r="AV28" s="94">
        <f t="shared" si="16"/>
        <v>-0.27735405158530479</v>
      </c>
      <c r="AW28" s="44">
        <f t="shared" si="43"/>
        <v>3555.5271247628957</v>
      </c>
      <c r="AX28" s="45">
        <f t="shared" si="18"/>
        <v>-11662.32174063001</v>
      </c>
      <c r="AY28" s="94">
        <f t="shared" si="19"/>
        <v>-0.1661299393252138</v>
      </c>
      <c r="BA28" s="44">
        <f t="shared" si="44"/>
        <v>1500</v>
      </c>
      <c r="BB28" s="44">
        <f t="shared" si="45"/>
        <v>-1062.979599390374</v>
      </c>
      <c r="BC28" s="44">
        <f t="shared" si="46"/>
        <v>-243.22976268234203</v>
      </c>
      <c r="BD28" s="44">
        <f t="shared" si="47"/>
        <v>-15.931395602003006</v>
      </c>
      <c r="BE28" s="44">
        <f t="shared" si="48"/>
        <v>-317.6274112780311</v>
      </c>
      <c r="BF28" s="44">
        <f t="shared" si="49"/>
        <v>-1639.7681689527501</v>
      </c>
      <c r="BG28" s="44">
        <f t="shared" si="50"/>
        <v>-139.76816895274993</v>
      </c>
      <c r="BH28" s="44">
        <f t="shared" si="51"/>
        <v>-119.7863247863248</v>
      </c>
      <c r="BI28" s="44">
        <f t="shared" si="52"/>
        <v>-72.384615384615387</v>
      </c>
      <c r="BJ28" s="44">
        <f t="shared" si="53"/>
        <v>-192.17094017094018</v>
      </c>
      <c r="BK28" s="44">
        <f t="shared" si="54"/>
        <v>-34.635011931713883</v>
      </c>
      <c r="BL28" s="44">
        <f t="shared" si="55"/>
        <v>41.406410256410254</v>
      </c>
      <c r="BM28" s="44">
        <f t="shared" si="56"/>
        <v>-325.16771079899371</v>
      </c>
      <c r="BN28" s="44">
        <f t="shared" si="57"/>
        <v>-90.863366578963479</v>
      </c>
      <c r="BO28" s="44">
        <f t="shared" si="58"/>
        <v>-416.03107737795716</v>
      </c>
      <c r="BP28" s="44">
        <f t="shared" si="59"/>
        <v>75.972801811172985</v>
      </c>
      <c r="BQ28" s="44">
        <f t="shared" si="60"/>
        <v>-249.19490898782075</v>
      </c>
    </row>
    <row r="29" spans="2:69">
      <c r="B29" s="4" t="s">
        <v>7</v>
      </c>
      <c r="C29" s="27" t="str">
        <f t="shared" si="0"/>
        <v>FEBRERO</v>
      </c>
      <c r="D29" s="27" t="s">
        <v>197</v>
      </c>
      <c r="E29" s="100">
        <v>34</v>
      </c>
      <c r="F29" s="100">
        <v>46070</v>
      </c>
      <c r="G29" s="101">
        <v>81</v>
      </c>
      <c r="H29" s="102" t="s">
        <v>32</v>
      </c>
      <c r="I29" s="27" t="s">
        <v>155</v>
      </c>
      <c r="J29" s="4" t="s">
        <v>190</v>
      </c>
      <c r="K29" s="7" t="s">
        <v>171</v>
      </c>
      <c r="L29" s="7" t="s">
        <v>198</v>
      </c>
      <c r="M29" s="21" t="s">
        <v>45</v>
      </c>
      <c r="N29" s="7" t="s">
        <v>191</v>
      </c>
      <c r="O29" s="20">
        <v>1500</v>
      </c>
      <c r="P29" s="61">
        <v>121500</v>
      </c>
      <c r="Q29" s="20">
        <v>1385.0740740740741</v>
      </c>
      <c r="R29" s="30">
        <v>9309</v>
      </c>
      <c r="S29" s="32">
        <f t="shared" si="1"/>
        <v>112191</v>
      </c>
      <c r="T29" s="60">
        <v>3</v>
      </c>
      <c r="U29" s="7" t="s">
        <v>192</v>
      </c>
      <c r="V29" s="7" t="s">
        <v>199</v>
      </c>
      <c r="W29" s="4" t="s">
        <v>138</v>
      </c>
      <c r="X29" s="4" t="s">
        <v>113</v>
      </c>
      <c r="Y29" s="7">
        <v>10006720</v>
      </c>
      <c r="Z29" s="7" t="s">
        <v>114</v>
      </c>
      <c r="AA29" s="7" t="str">
        <f t="shared" si="39"/>
        <v>FEBRERO10006720Compensación</v>
      </c>
      <c r="AB29" s="26">
        <f>INDEX('Detalle Costos'!$L$5:$L$158,MATCH(Resumen!AA29,'Detalle Costos'!$C$5:$C$158,0))*1000*0+AI29</f>
        <v>1639.7681689527499</v>
      </c>
      <c r="AC29" s="44">
        <f>IFERROR(INDEX('Detalle Costos'!$X$5:$X$158,MATCH(Resumen!AA29,'Detalle Costos'!$C$5:$C$158,0))*AG29,0)</f>
        <v>86101.347550620267</v>
      </c>
      <c r="AD29" s="44">
        <f>IFERROR(INDEX('Detalle Costos'!$Z$5:$Z$158,MATCH(Resumen!AA29,'Detalle Costos'!$C$5:$C$158,0))*AG29,0)</f>
        <v>19701.610777269703</v>
      </c>
      <c r="AE29" s="44">
        <f>IFERROR(INDEX('Detalle Costos'!$Y$5:$Y$158,MATCH(Resumen!AA29,'Detalle Costos'!$C$5:$C$158,0))*AG29,0)</f>
        <v>1290.4430437622432</v>
      </c>
      <c r="AF29" s="44">
        <f>IFERROR(INDEX('Detalle Costos'!$AA$5:$AA$158,MATCH(Resumen!AA29,'Detalle Costos'!$C$5:$C$158,0))*AG29,0)</f>
        <v>25727.820313520515</v>
      </c>
      <c r="AG29" s="44">
        <f t="shared" si="3"/>
        <v>132821.22168517273</v>
      </c>
      <c r="AH29" s="26">
        <f>+G29</f>
        <v>81</v>
      </c>
      <c r="AI29" s="44">
        <f>1.63976816895275*1000</f>
        <v>1639.7681689527499</v>
      </c>
      <c r="AJ29" s="44">
        <f t="shared" si="61"/>
        <v>132821.22168517273</v>
      </c>
      <c r="AK29" s="45">
        <f t="shared" si="5"/>
        <v>-11321.221685172728</v>
      </c>
      <c r="AL29" s="94">
        <f t="shared" si="6"/>
        <v>-9.3178779301833159E-2</v>
      </c>
      <c r="AM29" s="44">
        <f t="shared" si="7"/>
        <v>9309</v>
      </c>
      <c r="AN29" s="44">
        <f t="shared" si="62"/>
        <v>5863.1538461538466</v>
      </c>
      <c r="AO29" s="44">
        <f t="shared" si="9"/>
        <v>15172.153846153848</v>
      </c>
      <c r="AP29" s="44">
        <f t="shared" si="40"/>
        <v>2805.4359664688245</v>
      </c>
      <c r="AQ29" s="44">
        <f t="shared" si="41"/>
        <v>3365.73</v>
      </c>
      <c r="AR29" s="45">
        <f t="shared" si="12"/>
        <v>-25933.0814977954</v>
      </c>
      <c r="AS29" s="94">
        <f t="shared" si="13"/>
        <v>-0.21344099998185515</v>
      </c>
      <c r="AT29" s="44">
        <f t="shared" si="42"/>
        <v>7359.9326928960418</v>
      </c>
      <c r="AU29" s="45">
        <f t="shared" si="15"/>
        <v>-33293.014190691443</v>
      </c>
      <c r="AV29" s="94">
        <f t="shared" si="16"/>
        <v>-0.27401657770116417</v>
      </c>
      <c r="AW29" s="44">
        <f t="shared" si="43"/>
        <v>6153.7969467050116</v>
      </c>
      <c r="AX29" s="45">
        <f t="shared" si="18"/>
        <v>-19779.284551090386</v>
      </c>
      <c r="AY29" s="94">
        <f t="shared" si="19"/>
        <v>-0.16279246544107315</v>
      </c>
      <c r="BA29" s="44">
        <f t="shared" si="44"/>
        <v>1500</v>
      </c>
      <c r="BB29" s="44">
        <f t="shared" si="45"/>
        <v>-1062.9795993903736</v>
      </c>
      <c r="BC29" s="44">
        <f t="shared" si="46"/>
        <v>-243.22976268234203</v>
      </c>
      <c r="BD29" s="44">
        <f t="shared" si="47"/>
        <v>-15.931395602003002</v>
      </c>
      <c r="BE29" s="44">
        <f t="shared" si="48"/>
        <v>-317.62741127803105</v>
      </c>
      <c r="BF29" s="44">
        <f t="shared" si="49"/>
        <v>-1639.7681689527496</v>
      </c>
      <c r="BG29" s="44">
        <f t="shared" si="50"/>
        <v>-139.76816895274973</v>
      </c>
      <c r="BH29" s="44">
        <f t="shared" si="51"/>
        <v>-114.92592592592592</v>
      </c>
      <c r="BI29" s="44">
        <f t="shared" si="52"/>
        <v>-72.384615384615387</v>
      </c>
      <c r="BJ29" s="44">
        <f t="shared" si="53"/>
        <v>-187.31054131054134</v>
      </c>
      <c r="BK29" s="44">
        <f t="shared" si="54"/>
        <v>-34.635011931713883</v>
      </c>
      <c r="BL29" s="44">
        <f t="shared" si="55"/>
        <v>41.55222222222222</v>
      </c>
      <c r="BM29" s="44">
        <f t="shared" si="56"/>
        <v>-320.16149997278274</v>
      </c>
      <c r="BN29" s="44">
        <f t="shared" si="57"/>
        <v>-90.863366578963479</v>
      </c>
      <c r="BO29" s="44">
        <f t="shared" si="58"/>
        <v>-411.02486655174619</v>
      </c>
      <c r="BP29" s="44">
        <f t="shared" si="59"/>
        <v>75.972801811172985</v>
      </c>
      <c r="BQ29" s="44">
        <f t="shared" si="60"/>
        <v>-244.18869816160969</v>
      </c>
    </row>
    <row r="30" spans="2:69">
      <c r="B30" s="4" t="s">
        <v>7</v>
      </c>
      <c r="C30" s="27" t="str">
        <f t="shared" si="0"/>
        <v>FEBRERO</v>
      </c>
      <c r="D30" s="27" t="s">
        <v>200</v>
      </c>
      <c r="E30" s="100">
        <v>40</v>
      </c>
      <c r="F30" s="100">
        <v>46080</v>
      </c>
      <c r="G30" s="103">
        <v>27</v>
      </c>
      <c r="H30" s="27" t="s">
        <v>498</v>
      </c>
      <c r="I30" s="27" t="s">
        <v>201</v>
      </c>
      <c r="J30" s="7"/>
      <c r="K30" s="7" t="s">
        <v>171</v>
      </c>
      <c r="L30" s="7" t="s">
        <v>202</v>
      </c>
      <c r="M30" s="21" t="s">
        <v>54</v>
      </c>
      <c r="N30" s="7" t="s">
        <v>203</v>
      </c>
      <c r="O30" s="20">
        <v>3400</v>
      </c>
      <c r="P30" s="61">
        <v>91800</v>
      </c>
      <c r="Q30" s="20">
        <v>3292.5925925925926</v>
      </c>
      <c r="R30" s="30">
        <v>2900</v>
      </c>
      <c r="S30" s="32">
        <f t="shared" si="1"/>
        <v>88900</v>
      </c>
      <c r="T30" s="60">
        <v>1</v>
      </c>
      <c r="U30" s="150" t="s">
        <v>173</v>
      </c>
      <c r="V30" s="150">
        <v>6445569300</v>
      </c>
      <c r="W30" s="4" t="s">
        <v>122</v>
      </c>
      <c r="X30" s="4" t="s">
        <v>113</v>
      </c>
      <c r="Y30" s="7">
        <v>10009239</v>
      </c>
      <c r="Z30" s="7" t="s">
        <v>114</v>
      </c>
      <c r="AA30" s="7" t="str">
        <f t="shared" si="39"/>
        <v>FEBRERO10009239Compensación</v>
      </c>
      <c r="AB30" s="26">
        <f>INDEX('Detalle Costos'!$L$5:$L$158,MATCH(Resumen!AA30,'Detalle Costos'!$C$5:$C$158,0))*1000*0+AI30</f>
        <v>2114.7381481481502</v>
      </c>
      <c r="AC30" s="44">
        <f>IFERROR(INDEX('Detalle Costos'!$X$5:$X$158,MATCH(Resumen!AA30,'Detalle Costos'!$C$5:$C$158,0))*AG30,0)</f>
        <v>29045.690000000031</v>
      </c>
      <c r="AD30" s="44">
        <f>IFERROR(INDEX('Detalle Costos'!$Z$5:$Z$158,MATCH(Resumen!AA30,'Detalle Costos'!$C$5:$C$158,0))*AG30,0)</f>
        <v>18974.700000000023</v>
      </c>
      <c r="AE30" s="44">
        <f>IFERROR(INDEX('Detalle Costos'!$Y$5:$Y$158,MATCH(Resumen!AA30,'Detalle Costos'!$C$5:$C$158,0))*AG30,0)</f>
        <v>365.21000000000038</v>
      </c>
      <c r="AF30" s="44">
        <f>IFERROR(INDEX('Detalle Costos'!$AA$5:$AA$158,MATCH(Resumen!AA30,'Detalle Costos'!$C$5:$C$158,0))*AG30,0)</f>
        <v>8712.3300000000127</v>
      </c>
      <c r="AG30" s="44">
        <f t="shared" si="3"/>
        <v>57097.930000000058</v>
      </c>
      <c r="AH30" s="26">
        <v>27</v>
      </c>
      <c r="AI30" s="44">
        <f>2.11473814814815*1000</f>
        <v>2114.7381481481502</v>
      </c>
      <c r="AJ30" s="44">
        <f>AI30*AH30</f>
        <v>57097.930000000058</v>
      </c>
      <c r="AK30" s="45">
        <f t="shared" si="5"/>
        <v>34702.069999999942</v>
      </c>
      <c r="AL30" s="94">
        <f t="shared" si="6"/>
        <v>0.37801819172113227</v>
      </c>
      <c r="AM30" s="44">
        <f t="shared" si="7"/>
        <v>2900</v>
      </c>
      <c r="AN30" s="44">
        <f t="shared" si="62"/>
        <v>1954.3846153846155</v>
      </c>
      <c r="AO30" s="44">
        <f t="shared" si="9"/>
        <v>4854.3846153846152</v>
      </c>
      <c r="AP30" s="44">
        <f t="shared" si="40"/>
        <v>935.1453221562748</v>
      </c>
      <c r="AQ30" s="44">
        <f t="shared" si="41"/>
        <v>2667</v>
      </c>
      <c r="AR30" s="45">
        <f t="shared" si="12"/>
        <v>31579.540062459051</v>
      </c>
      <c r="AS30" s="94">
        <f t="shared" si="13"/>
        <v>0.34400370438408551</v>
      </c>
      <c r="AT30" s="44">
        <f t="shared" si="42"/>
        <v>2453.3108976320141</v>
      </c>
      <c r="AU30" s="45">
        <f t="shared" si="15"/>
        <v>29126.229164827037</v>
      </c>
      <c r="AV30" s="94">
        <f t="shared" si="16"/>
        <v>0.31727918480203743</v>
      </c>
      <c r="AW30" s="44">
        <f t="shared" si="43"/>
        <v>2051.2656489016708</v>
      </c>
      <c r="AX30" s="45">
        <f t="shared" si="18"/>
        <v>33630.805711360721</v>
      </c>
      <c r="AY30" s="94">
        <f t="shared" si="19"/>
        <v>0.36634864609325402</v>
      </c>
      <c r="BA30" s="44">
        <f t="shared" si="44"/>
        <v>3400</v>
      </c>
      <c r="BB30" s="44">
        <f t="shared" si="45"/>
        <v>-1075.7662962962975</v>
      </c>
      <c r="BC30" s="44">
        <f t="shared" si="46"/>
        <v>-702.76666666666745</v>
      </c>
      <c r="BD30" s="44">
        <f t="shared" si="47"/>
        <v>-13.52629629629631</v>
      </c>
      <c r="BE30" s="44">
        <f t="shared" si="48"/>
        <v>-322.67888888888933</v>
      </c>
      <c r="BF30" s="44">
        <f t="shared" si="49"/>
        <v>-2114.7381481481502</v>
      </c>
      <c r="BG30" s="44">
        <f t="shared" si="50"/>
        <v>1285.2618518518498</v>
      </c>
      <c r="BH30" s="44">
        <f t="shared" si="51"/>
        <v>-107.4074074074074</v>
      </c>
      <c r="BI30" s="44">
        <f t="shared" si="52"/>
        <v>-72.384615384615387</v>
      </c>
      <c r="BJ30" s="44">
        <f t="shared" si="53"/>
        <v>-179.79202279202278</v>
      </c>
      <c r="BK30" s="44">
        <f t="shared" si="54"/>
        <v>-34.635011931713883</v>
      </c>
      <c r="BL30" s="44">
        <f t="shared" si="55"/>
        <v>98.777777777777771</v>
      </c>
      <c r="BM30" s="44">
        <f t="shared" si="56"/>
        <v>1169.6125949058908</v>
      </c>
      <c r="BN30" s="44">
        <f t="shared" si="57"/>
        <v>-90.863366578963479</v>
      </c>
      <c r="BO30" s="44">
        <f t="shared" si="58"/>
        <v>1078.7492283269273</v>
      </c>
      <c r="BP30" s="44">
        <f t="shared" si="59"/>
        <v>75.972801811172999</v>
      </c>
      <c r="BQ30" s="44">
        <f t="shared" si="60"/>
        <v>1245.5853967170638</v>
      </c>
    </row>
    <row r="31" spans="2:69">
      <c r="B31" s="4" t="s">
        <v>7</v>
      </c>
      <c r="C31" s="27" t="str">
        <f t="shared" si="0"/>
        <v>FEBRERO</v>
      </c>
      <c r="D31" s="27" t="s">
        <v>204</v>
      </c>
      <c r="E31" s="100">
        <v>43</v>
      </c>
      <c r="F31" s="100">
        <v>46077</v>
      </c>
      <c r="G31" s="101">
        <v>351</v>
      </c>
      <c r="H31" s="151" t="s">
        <v>33</v>
      </c>
      <c r="I31" s="27" t="s">
        <v>205</v>
      </c>
      <c r="J31" s="4" t="s">
        <v>206</v>
      </c>
      <c r="K31" s="7" t="s">
        <v>171</v>
      </c>
      <c r="L31" s="7" t="s">
        <v>172</v>
      </c>
      <c r="M31" s="21" t="s">
        <v>45</v>
      </c>
      <c r="N31" s="7" t="s">
        <v>191</v>
      </c>
      <c r="O31" s="20">
        <v>1300</v>
      </c>
      <c r="P31" s="61">
        <v>456300</v>
      </c>
      <c r="Q31" s="20">
        <v>1300</v>
      </c>
      <c r="R31" s="30">
        <f>3103*T31</f>
        <v>40339</v>
      </c>
      <c r="S31" s="32">
        <f t="shared" si="1"/>
        <v>415961</v>
      </c>
      <c r="T31" s="152">
        <v>13</v>
      </c>
      <c r="U31" s="150" t="s">
        <v>207</v>
      </c>
      <c r="V31" s="150">
        <v>6445505270</v>
      </c>
      <c r="W31" s="153" t="s">
        <v>122</v>
      </c>
      <c r="X31" s="4" t="s">
        <v>113</v>
      </c>
      <c r="Y31" s="7">
        <v>10005721</v>
      </c>
      <c r="Z31" s="7" t="s">
        <v>114</v>
      </c>
      <c r="AA31" s="7" t="str">
        <f t="shared" si="39"/>
        <v>FEBRERO10005721Compensación</v>
      </c>
      <c r="AB31" s="26">
        <f>INDEX('Detalle Costos'!$L$5:$L$158,MATCH(Resumen!AA31,'Detalle Costos'!$C$5:$C$158,0))*1000*0+AI31</f>
        <v>1740.7827151654001</v>
      </c>
      <c r="AC31" s="44">
        <f>IFERROR(INDEX('Detalle Costos'!$X$5:$X$158,MATCH(Resumen!AA31,'Detalle Costos'!$C$5:$C$158,0))*AG31,0)</f>
        <v>370785.71870256303</v>
      </c>
      <c r="AD31" s="44">
        <f>IFERROR(INDEX('Detalle Costos'!$Z$5:$Z$158,MATCH(Resumen!AA31,'Detalle Costos'!$C$5:$C$158,0))*AG31,0)</f>
        <v>122493.72720893587</v>
      </c>
      <c r="AE31" s="44">
        <f>IFERROR(INDEX('Detalle Costos'!$Y$5:$Y$158,MATCH(Resumen!AA31,'Detalle Costos'!$C$5:$C$158,0))*AG31,0)</f>
        <v>6516.3554632679306</v>
      </c>
      <c r="AF31" s="44">
        <f>IFERROR(INDEX('Detalle Costos'!$AA$5:$AA$158,MATCH(Resumen!AA31,'Detalle Costos'!$C$5:$C$158,0))*AG31,0)</f>
        <v>111218.93164828864</v>
      </c>
      <c r="AG31" s="44">
        <f t="shared" si="3"/>
        <v>611014.73302305548</v>
      </c>
      <c r="AH31" s="26">
        <f>+G31</f>
        <v>351</v>
      </c>
      <c r="AI31" s="44">
        <f>1.7407827151654*1000</f>
        <v>1740.7827151654001</v>
      </c>
      <c r="AJ31" s="44">
        <f>+AI31*AH31</f>
        <v>611014.73302305548</v>
      </c>
      <c r="AK31" s="45">
        <f t="shared" si="5"/>
        <v>-154714.73302305548</v>
      </c>
      <c r="AL31" s="94">
        <f t="shared" si="6"/>
        <v>-0.33906362705030785</v>
      </c>
      <c r="AM31" s="44">
        <f t="shared" si="7"/>
        <v>40339</v>
      </c>
      <c r="AN31" s="44">
        <f t="shared" si="62"/>
        <v>25407</v>
      </c>
      <c r="AO31" s="44">
        <f t="shared" si="9"/>
        <v>65746</v>
      </c>
      <c r="AP31" s="44">
        <f t="shared" si="40"/>
        <v>12156.889188031573</v>
      </c>
      <c r="AQ31" s="44">
        <f t="shared" si="41"/>
        <v>12478.83</v>
      </c>
      <c r="AR31" s="45">
        <f t="shared" si="12"/>
        <v>-220138.79221108707</v>
      </c>
      <c r="AS31" s="94">
        <f t="shared" si="13"/>
        <v>-0.48244311245033328</v>
      </c>
      <c r="AT31" s="44">
        <f t="shared" si="42"/>
        <v>31893.041669216182</v>
      </c>
      <c r="AU31" s="45">
        <f t="shared" si="15"/>
        <v>-252031.83388030325</v>
      </c>
      <c r="AV31" s="94">
        <f t="shared" si="16"/>
        <v>-0.55233800981876668</v>
      </c>
      <c r="AW31" s="44">
        <f t="shared" si="43"/>
        <v>26666.453435721716</v>
      </c>
      <c r="AX31" s="45">
        <f t="shared" si="18"/>
        <v>-193472.33877536535</v>
      </c>
      <c r="AY31" s="94">
        <f t="shared" si="19"/>
        <v>-0.42400249567250792</v>
      </c>
      <c r="BA31" s="44">
        <f t="shared" si="44"/>
        <v>1300</v>
      </c>
      <c r="BB31" s="44">
        <f t="shared" si="45"/>
        <v>-1056.369568953171</v>
      </c>
      <c r="BC31" s="44">
        <f t="shared" si="46"/>
        <v>-348.98497780323612</v>
      </c>
      <c r="BD31" s="44">
        <f t="shared" si="47"/>
        <v>-18.565115279965614</v>
      </c>
      <c r="BE31" s="44">
        <f t="shared" si="48"/>
        <v>-316.86305312902743</v>
      </c>
      <c r="BF31" s="44">
        <f t="shared" si="49"/>
        <v>-1740.7827151654003</v>
      </c>
      <c r="BG31" s="44">
        <f t="shared" si="50"/>
        <v>-440.78271516540025</v>
      </c>
      <c r="BH31" s="44">
        <f t="shared" si="51"/>
        <v>-114.92592592592592</v>
      </c>
      <c r="BI31" s="44">
        <f t="shared" si="52"/>
        <v>-72.384615384615387</v>
      </c>
      <c r="BJ31" s="44">
        <f t="shared" si="53"/>
        <v>-187.31054131054131</v>
      </c>
      <c r="BK31" s="44">
        <f t="shared" si="54"/>
        <v>-34.635011931713883</v>
      </c>
      <c r="BL31" s="44">
        <f t="shared" si="55"/>
        <v>35.55222222222222</v>
      </c>
      <c r="BM31" s="44">
        <f t="shared" si="56"/>
        <v>-627.17604618543328</v>
      </c>
      <c r="BN31" s="44">
        <f t="shared" si="57"/>
        <v>-90.863366578963479</v>
      </c>
      <c r="BO31" s="44">
        <f t="shared" si="58"/>
        <v>-718.03941276439673</v>
      </c>
      <c r="BP31" s="44">
        <f t="shared" si="59"/>
        <v>75.972801811172985</v>
      </c>
      <c r="BQ31" s="44">
        <f t="shared" si="60"/>
        <v>-551.20324437426029</v>
      </c>
    </row>
    <row r="32" spans="2:69">
      <c r="B32" s="4" t="s">
        <v>7</v>
      </c>
      <c r="C32" s="27" t="str">
        <f t="shared" si="0"/>
        <v>FEBRERO</v>
      </c>
      <c r="D32" s="27" t="s">
        <v>208</v>
      </c>
      <c r="E32" s="100">
        <v>43</v>
      </c>
      <c r="F32" s="100">
        <v>46075</v>
      </c>
      <c r="G32" s="101">
        <v>135</v>
      </c>
      <c r="H32" s="151" t="s">
        <v>33</v>
      </c>
      <c r="I32" s="27" t="s">
        <v>205</v>
      </c>
      <c r="J32" s="4" t="s">
        <v>206</v>
      </c>
      <c r="K32" s="7" t="s">
        <v>171</v>
      </c>
      <c r="L32" s="7" t="s">
        <v>209</v>
      </c>
      <c r="M32" s="21" t="s">
        <v>45</v>
      </c>
      <c r="N32" s="7" t="s">
        <v>191</v>
      </c>
      <c r="O32" s="20">
        <v>1300</v>
      </c>
      <c r="P32" s="61">
        <v>175500</v>
      </c>
      <c r="Q32" s="20">
        <v>1300</v>
      </c>
      <c r="R32" s="30">
        <f>3103*T32</f>
        <v>15515</v>
      </c>
      <c r="S32" s="32">
        <f t="shared" si="1"/>
        <v>159985</v>
      </c>
      <c r="T32" s="152">
        <v>5</v>
      </c>
      <c r="U32" s="150" t="s">
        <v>210</v>
      </c>
      <c r="V32" s="150">
        <v>6445260920</v>
      </c>
      <c r="W32" s="153" t="s">
        <v>122</v>
      </c>
      <c r="X32" s="4" t="s">
        <v>113</v>
      </c>
      <c r="Y32" s="7">
        <v>10005721</v>
      </c>
      <c r="Z32" s="7" t="s">
        <v>114</v>
      </c>
      <c r="AA32" s="7" t="str">
        <f t="shared" si="39"/>
        <v>FEBRERO10005721Compensación</v>
      </c>
      <c r="AB32" s="26">
        <f>INDEX('Detalle Costos'!$L$5:$L$158,MATCH(Resumen!AA32,'Detalle Costos'!$C$5:$C$158,0))*1000*0+AI32</f>
        <v>1763.7777777777778</v>
      </c>
      <c r="AC32" s="44">
        <f>IFERROR(INDEX('Detalle Costos'!$X$5:$X$158,MATCH(Resumen!AA32,'Detalle Costos'!$C$5:$C$158,0))*AG32,0)</f>
        <v>144493.71301319491</v>
      </c>
      <c r="AD32" s="44">
        <f>IFERROR(INDEX('Detalle Costos'!$Z$5:$Z$158,MATCH(Resumen!AA32,'Detalle Costos'!$C$5:$C$158,0))*AG32,0)</f>
        <v>47735.316039620215</v>
      </c>
      <c r="AE32" s="44">
        <f>IFERROR(INDEX('Detalle Costos'!$Y$5:$Y$158,MATCH(Resumen!AA32,'Detalle Costos'!$C$5:$C$158,0))*AG32,0)</f>
        <v>2539.3976863405351</v>
      </c>
      <c r="AF32" s="44">
        <f>IFERROR(INDEX('Detalle Costos'!$AA$5:$AA$158,MATCH(Resumen!AA32,'Detalle Costos'!$C$5:$C$158,0))*AG32,0)</f>
        <v>43341.573260844343</v>
      </c>
      <c r="AG32" s="44">
        <f t="shared" si="3"/>
        <v>238110</v>
      </c>
      <c r="AH32" s="26">
        <f>+G32</f>
        <v>135</v>
      </c>
      <c r="AI32" s="44">
        <f>+AJ32/AH32</f>
        <v>1763.7777777777778</v>
      </c>
      <c r="AJ32" s="44">
        <v>238110</v>
      </c>
      <c r="AK32" s="45">
        <f t="shared" si="5"/>
        <v>-62610</v>
      </c>
      <c r="AL32" s="94">
        <f t="shared" si="6"/>
        <v>-0.35675213675213674</v>
      </c>
      <c r="AM32" s="44">
        <f t="shared" si="7"/>
        <v>15515</v>
      </c>
      <c r="AN32" s="44">
        <f t="shared" si="62"/>
        <v>9771.923076923078</v>
      </c>
      <c r="AO32" s="44">
        <f t="shared" si="9"/>
        <v>25286.923076923078</v>
      </c>
      <c r="AP32" s="44">
        <f t="shared" si="40"/>
        <v>4675.7266107813739</v>
      </c>
      <c r="AQ32" s="44">
        <f t="shared" si="41"/>
        <v>4799.55</v>
      </c>
      <c r="AR32" s="45">
        <f t="shared" si="12"/>
        <v>-87773.099687704453</v>
      </c>
      <c r="AS32" s="94">
        <f t="shared" si="13"/>
        <v>-0.50013162215216211</v>
      </c>
      <c r="AT32" s="44">
        <f t="shared" si="42"/>
        <v>12266.554488160069</v>
      </c>
      <c r="AU32" s="45">
        <f t="shared" si="15"/>
        <v>-100039.65417586452</v>
      </c>
      <c r="AV32" s="94">
        <f t="shared" si="16"/>
        <v>-0.57002651952059558</v>
      </c>
      <c r="AW32" s="44">
        <f t="shared" si="43"/>
        <v>10256.328244508353</v>
      </c>
      <c r="AX32" s="45">
        <f t="shared" si="18"/>
        <v>-77516.771443196107</v>
      </c>
      <c r="AY32" s="94">
        <f t="shared" si="19"/>
        <v>-0.44169100537433681</v>
      </c>
      <c r="BA32" s="44">
        <f t="shared" si="44"/>
        <v>1300</v>
      </c>
      <c r="BB32" s="44">
        <f t="shared" si="45"/>
        <v>-1070.3238000977401</v>
      </c>
      <c r="BC32" s="44">
        <f t="shared" si="46"/>
        <v>-353.59493362681638</v>
      </c>
      <c r="BD32" s="44">
        <f t="shared" si="47"/>
        <v>-18.81035323215211</v>
      </c>
      <c r="BE32" s="44">
        <f t="shared" si="48"/>
        <v>-321.04869082106921</v>
      </c>
      <c r="BF32" s="44">
        <f t="shared" si="49"/>
        <v>-1763.7777777777778</v>
      </c>
      <c r="BG32" s="44">
        <f t="shared" si="50"/>
        <v>-463.77777777777777</v>
      </c>
      <c r="BH32" s="44">
        <f t="shared" si="51"/>
        <v>-114.92592592592592</v>
      </c>
      <c r="BI32" s="44">
        <f t="shared" si="52"/>
        <v>-72.384615384615387</v>
      </c>
      <c r="BJ32" s="44">
        <f t="shared" si="53"/>
        <v>-187.31054131054131</v>
      </c>
      <c r="BK32" s="44">
        <f t="shared" si="54"/>
        <v>-34.635011931713883</v>
      </c>
      <c r="BL32" s="44">
        <f t="shared" si="55"/>
        <v>35.552222222222227</v>
      </c>
      <c r="BM32" s="44">
        <f t="shared" si="56"/>
        <v>-650.1711087978108</v>
      </c>
      <c r="BN32" s="44">
        <f t="shared" si="57"/>
        <v>-90.863366578963479</v>
      </c>
      <c r="BO32" s="44">
        <f t="shared" si="58"/>
        <v>-741.03447537677425</v>
      </c>
      <c r="BP32" s="44">
        <f t="shared" si="59"/>
        <v>75.972801811172985</v>
      </c>
      <c r="BQ32" s="44">
        <f t="shared" si="60"/>
        <v>-574.19830698663782</v>
      </c>
    </row>
    <row r="33" spans="2:69">
      <c r="B33" s="4" t="s">
        <v>7</v>
      </c>
      <c r="C33" s="27" t="str">
        <f t="shared" si="0"/>
        <v>FEBRERO</v>
      </c>
      <c r="D33" s="27" t="s">
        <v>211</v>
      </c>
      <c r="E33" s="100">
        <v>43</v>
      </c>
      <c r="F33" s="100">
        <v>46075</v>
      </c>
      <c r="G33" s="101">
        <v>54</v>
      </c>
      <c r="H33" s="151" t="s">
        <v>33</v>
      </c>
      <c r="I33" s="27" t="s">
        <v>205</v>
      </c>
      <c r="J33" s="4" t="s">
        <v>206</v>
      </c>
      <c r="K33" s="7" t="s">
        <v>171</v>
      </c>
      <c r="L33" s="7" t="s">
        <v>198</v>
      </c>
      <c r="M33" s="21" t="s">
        <v>45</v>
      </c>
      <c r="N33" s="7" t="s">
        <v>191</v>
      </c>
      <c r="O33" s="20">
        <v>1300</v>
      </c>
      <c r="P33" s="61">
        <v>70200</v>
      </c>
      <c r="Q33" s="20">
        <v>1300</v>
      </c>
      <c r="R33" s="30">
        <f>3103*T33</f>
        <v>6206</v>
      </c>
      <c r="S33" s="32">
        <f t="shared" si="1"/>
        <v>63994</v>
      </c>
      <c r="T33" s="31">
        <v>2</v>
      </c>
      <c r="U33" s="150" t="s">
        <v>210</v>
      </c>
      <c r="V33" s="150">
        <v>6445502930</v>
      </c>
      <c r="W33" s="153" t="s">
        <v>122</v>
      </c>
      <c r="X33" s="4" t="s">
        <v>113</v>
      </c>
      <c r="Y33" s="7">
        <v>10005721</v>
      </c>
      <c r="Z33" s="7" t="s">
        <v>114</v>
      </c>
      <c r="AA33" s="7" t="str">
        <f t="shared" si="39"/>
        <v>FEBRERO10005721Compensación</v>
      </c>
      <c r="AB33" s="26">
        <f>INDEX('Detalle Costos'!$L$5:$L$158,MATCH(Resumen!AA33,'Detalle Costos'!$C$5:$C$158,0))*1000*0+AI33</f>
        <v>1740.7827151654001</v>
      </c>
      <c r="AC33" s="44">
        <f>IFERROR(INDEX('Detalle Costos'!$X$5:$X$158,MATCH(Resumen!AA33,'Detalle Costos'!$C$5:$C$158,0))*AG33,0)</f>
        <v>57043.95672347123</v>
      </c>
      <c r="AD33" s="44">
        <f>IFERROR(INDEX('Detalle Costos'!$Z$5:$Z$158,MATCH(Resumen!AA33,'Detalle Costos'!$C$5:$C$158,0))*AG33,0)</f>
        <v>18845.188801374748</v>
      </c>
      <c r="AE33" s="44">
        <f>IFERROR(INDEX('Detalle Costos'!$Y$5:$Y$158,MATCH(Resumen!AA33,'Detalle Costos'!$C$5:$C$158,0))*AG33,0)</f>
        <v>1002.5162251181431</v>
      </c>
      <c r="AF33" s="44">
        <f>IFERROR(INDEX('Detalle Costos'!$AA$5:$AA$158,MATCH(Resumen!AA33,'Detalle Costos'!$C$5:$C$158,0))*AG33,0)</f>
        <v>17110.604868967483</v>
      </c>
      <c r="AG33" s="44">
        <f t="shared" si="3"/>
        <v>94002.266618931608</v>
      </c>
      <c r="AH33" s="26">
        <f>+G33</f>
        <v>54</v>
      </c>
      <c r="AI33" s="44">
        <f>1.7407827151654*1000</f>
        <v>1740.7827151654001</v>
      </c>
      <c r="AJ33" s="44">
        <f>+AI33*AH33</f>
        <v>94002.266618931608</v>
      </c>
      <c r="AK33" s="45">
        <f t="shared" si="5"/>
        <v>-23802.266618931608</v>
      </c>
      <c r="AL33" s="94">
        <f t="shared" si="6"/>
        <v>-0.33906362705030779</v>
      </c>
      <c r="AM33" s="44">
        <f t="shared" si="7"/>
        <v>6206</v>
      </c>
      <c r="AN33" s="44">
        <f t="shared" si="62"/>
        <v>3908.7692307692309</v>
      </c>
      <c r="AO33" s="44">
        <f t="shared" si="9"/>
        <v>10114.76923076923</v>
      </c>
      <c r="AP33" s="44">
        <f t="shared" si="40"/>
        <v>1870.2906443125496</v>
      </c>
      <c r="AQ33" s="44">
        <f t="shared" si="41"/>
        <v>1919.82</v>
      </c>
      <c r="AR33" s="45">
        <f t="shared" si="12"/>
        <v>-33867.506494013389</v>
      </c>
      <c r="AS33" s="94">
        <f t="shared" si="13"/>
        <v>-0.48244311245033317</v>
      </c>
      <c r="AT33" s="44">
        <f t="shared" si="42"/>
        <v>4906.6217952640282</v>
      </c>
      <c r="AU33" s="45">
        <f t="shared" si="15"/>
        <v>-38774.128289277418</v>
      </c>
      <c r="AV33" s="94">
        <f t="shared" si="16"/>
        <v>-0.55233800981876668</v>
      </c>
      <c r="AW33" s="44">
        <f t="shared" si="43"/>
        <v>4102.5312978033417</v>
      </c>
      <c r="AX33" s="45">
        <f t="shared" si="18"/>
        <v>-29764.975196210049</v>
      </c>
      <c r="AY33" s="94">
        <f t="shared" si="19"/>
        <v>-0.42400249567250781</v>
      </c>
      <c r="BA33" s="44">
        <f t="shared" si="44"/>
        <v>1300</v>
      </c>
      <c r="BB33" s="44">
        <f t="shared" si="45"/>
        <v>-1056.369568953171</v>
      </c>
      <c r="BC33" s="44">
        <f t="shared" si="46"/>
        <v>-348.98497780323606</v>
      </c>
      <c r="BD33" s="44">
        <f t="shared" si="47"/>
        <v>-18.565115279965614</v>
      </c>
      <c r="BE33" s="44">
        <f t="shared" si="48"/>
        <v>-316.86305312902743</v>
      </c>
      <c r="BF33" s="44">
        <f t="shared" si="49"/>
        <v>-1740.7827151654001</v>
      </c>
      <c r="BG33" s="44">
        <f t="shared" si="50"/>
        <v>-440.78271516540013</v>
      </c>
      <c r="BH33" s="44">
        <f t="shared" si="51"/>
        <v>-114.92592592592592</v>
      </c>
      <c r="BI33" s="44">
        <f t="shared" si="52"/>
        <v>-72.384615384615387</v>
      </c>
      <c r="BJ33" s="44">
        <f t="shared" si="53"/>
        <v>-187.31054131054131</v>
      </c>
      <c r="BK33" s="44">
        <f t="shared" si="54"/>
        <v>-34.635011931713883</v>
      </c>
      <c r="BL33" s="44">
        <f t="shared" si="55"/>
        <v>35.55222222222222</v>
      </c>
      <c r="BM33" s="44">
        <f t="shared" si="56"/>
        <v>-627.17604618543317</v>
      </c>
      <c r="BN33" s="44">
        <f t="shared" si="57"/>
        <v>-90.863366578963479</v>
      </c>
      <c r="BO33" s="44">
        <f t="shared" si="58"/>
        <v>-718.03941276439662</v>
      </c>
      <c r="BP33" s="44">
        <f t="shared" si="59"/>
        <v>75.972801811172999</v>
      </c>
      <c r="BQ33" s="44">
        <f t="shared" si="60"/>
        <v>-551.20324437426018</v>
      </c>
    </row>
    <row r="34" spans="2:69">
      <c r="B34" s="7" t="s">
        <v>7</v>
      </c>
      <c r="C34" s="27" t="str">
        <f t="shared" si="0"/>
        <v>FEBRERO</v>
      </c>
      <c r="D34" s="25" t="s">
        <v>212</v>
      </c>
      <c r="E34" s="100">
        <v>43</v>
      </c>
      <c r="F34" s="100">
        <v>46076</v>
      </c>
      <c r="G34" s="101">
        <v>156</v>
      </c>
      <c r="H34" s="104" t="s">
        <v>31</v>
      </c>
      <c r="I34" s="105" t="s">
        <v>107</v>
      </c>
      <c r="J34" s="7" t="s">
        <v>213</v>
      </c>
      <c r="K34" s="7" t="s">
        <v>161</v>
      </c>
      <c r="L34" s="7" t="s">
        <v>147</v>
      </c>
      <c r="M34" s="21" t="s">
        <v>44</v>
      </c>
      <c r="N34" s="7" t="s">
        <v>214</v>
      </c>
      <c r="O34" s="20">
        <v>2500</v>
      </c>
      <c r="P34" s="61">
        <v>390000</v>
      </c>
      <c r="Q34" s="30">
        <v>2337.2307692307691</v>
      </c>
      <c r="R34" s="30">
        <v>25392</v>
      </c>
      <c r="S34" s="32">
        <f t="shared" si="1"/>
        <v>364608</v>
      </c>
      <c r="T34" s="31">
        <v>4</v>
      </c>
      <c r="U34" s="29" t="s">
        <v>215</v>
      </c>
      <c r="V34" s="154">
        <v>11428031</v>
      </c>
      <c r="W34" s="25" t="s">
        <v>112</v>
      </c>
      <c r="X34" s="4" t="s">
        <v>113</v>
      </c>
      <c r="Y34" s="7">
        <v>10007162</v>
      </c>
      <c r="Z34" s="7" t="s">
        <v>114</v>
      </c>
      <c r="AA34" s="7" t="str">
        <f t="shared" si="39"/>
        <v>FEBRERO10007162Compensación</v>
      </c>
      <c r="AB34" s="26">
        <f>INDEX('Detalle Costos'!$L$5:$L$158,MATCH(Resumen!AA34,'Detalle Costos'!$C$5:$C$158,0))*1000*0+AI34</f>
        <v>1715.2908173076921</v>
      </c>
      <c r="AC34" s="44">
        <f>IFERROR(INDEX('Detalle Costos'!$X$5:$X$158,MATCH(Resumen!AA34,'Detalle Costos'!$C$5:$C$158,0))*AG34,0)</f>
        <v>167980.905</v>
      </c>
      <c r="AD34" s="44">
        <f>IFERROR(INDEX('Detalle Costos'!$Z$5:$Z$158,MATCH(Resumen!AA34,'Detalle Costos'!$C$5:$C$158,0))*AG34,0)</f>
        <v>47932.004999999997</v>
      </c>
      <c r="AE34" s="44">
        <f>IFERROR(INDEX('Detalle Costos'!$Y$5:$Y$158,MATCH(Resumen!AA34,'Detalle Costos'!$C$5:$C$158,0))*AG34,0)</f>
        <v>2495.5650000000001</v>
      </c>
      <c r="AF34" s="44">
        <f>IFERROR(INDEX('Detalle Costos'!$AA$5:$AA$158,MATCH(Resumen!AA34,'Detalle Costos'!$C$5:$C$158,0))*AG34,0)</f>
        <v>49176.892499999936</v>
      </c>
      <c r="AG34" s="44">
        <f t="shared" si="3"/>
        <v>267585.36749999999</v>
      </c>
      <c r="AH34" s="26">
        <f>+G34</f>
        <v>156</v>
      </c>
      <c r="AI34" s="44">
        <v>1715.2908173076921</v>
      </c>
      <c r="AJ34" s="44">
        <f>AI34*AH34</f>
        <v>267585.36749999999</v>
      </c>
      <c r="AK34" s="45">
        <f t="shared" si="5"/>
        <v>122414.63250000001</v>
      </c>
      <c r="AL34" s="94">
        <f t="shared" si="6"/>
        <v>0.31388367307692311</v>
      </c>
      <c r="AM34" s="44">
        <f t="shared" si="7"/>
        <v>25392</v>
      </c>
      <c r="AN34" s="44">
        <f t="shared" ref="AN34:AN45" si="63">1882/26*G34</f>
        <v>11292</v>
      </c>
      <c r="AO34" s="44">
        <f t="shared" si="9"/>
        <v>36684</v>
      </c>
      <c r="AP34" s="44">
        <f t="shared" si="40"/>
        <v>5403.0618613473662</v>
      </c>
      <c r="AQ34" s="44">
        <f t="shared" si="41"/>
        <v>10938.24</v>
      </c>
      <c r="AR34" s="45">
        <f t="shared" si="12"/>
        <v>91265.810638652649</v>
      </c>
      <c r="AS34" s="94">
        <f t="shared" si="13"/>
        <v>0.23401489907346834</v>
      </c>
      <c r="AT34" s="44">
        <f t="shared" si="42"/>
        <v>14174.685186318302</v>
      </c>
      <c r="AU34" s="45">
        <f t="shared" si="15"/>
        <v>77091.125452334352</v>
      </c>
      <c r="AV34" s="94">
        <f t="shared" si="16"/>
        <v>0.19766955244188295</v>
      </c>
      <c r="AW34" s="44">
        <f t="shared" si="43"/>
        <v>11851.757082542987</v>
      </c>
      <c r="AX34" s="45">
        <f t="shared" si="18"/>
        <v>103117.56772119564</v>
      </c>
      <c r="AY34" s="94">
        <f t="shared" si="19"/>
        <v>0.26440401979793754</v>
      </c>
      <c r="BA34" s="44">
        <f t="shared" si="44"/>
        <v>2500</v>
      </c>
      <c r="BB34" s="44">
        <f t="shared" si="45"/>
        <v>-1076.800673076923</v>
      </c>
      <c r="BC34" s="44">
        <f t="shared" si="46"/>
        <v>-307.25644230769228</v>
      </c>
      <c r="BD34" s="44">
        <f t="shared" si="47"/>
        <v>-15.997211538461539</v>
      </c>
      <c r="BE34" s="44">
        <f t="shared" si="48"/>
        <v>-315.23649038461497</v>
      </c>
      <c r="BF34" s="44">
        <f t="shared" si="49"/>
        <v>-1715.2908173076924</v>
      </c>
      <c r="BG34" s="44">
        <f t="shared" si="50"/>
        <v>784.70918269230776</v>
      </c>
      <c r="BH34" s="44">
        <f t="shared" si="51"/>
        <v>-162.76923076923077</v>
      </c>
      <c r="BI34" s="44">
        <f t="shared" si="52"/>
        <v>-72.384615384615387</v>
      </c>
      <c r="BJ34" s="44">
        <f t="shared" si="53"/>
        <v>-235.15384615384616</v>
      </c>
      <c r="BK34" s="44">
        <f t="shared" si="54"/>
        <v>-34.635011931713883</v>
      </c>
      <c r="BL34" s="44">
        <f t="shared" si="55"/>
        <v>70.116923076923072</v>
      </c>
      <c r="BM34" s="44">
        <f t="shared" si="56"/>
        <v>585.03724768367078</v>
      </c>
      <c r="BN34" s="44">
        <f t="shared" si="57"/>
        <v>-90.863366578963479</v>
      </c>
      <c r="BO34" s="44">
        <f t="shared" si="58"/>
        <v>494.17388110470739</v>
      </c>
      <c r="BP34" s="44">
        <f t="shared" si="59"/>
        <v>75.972801811172985</v>
      </c>
      <c r="BQ34" s="44">
        <f t="shared" si="60"/>
        <v>661.01004949484377</v>
      </c>
    </row>
    <row r="35" spans="2:69">
      <c r="B35" s="7" t="s">
        <v>7</v>
      </c>
      <c r="C35" s="27" t="str">
        <f t="shared" si="0"/>
        <v>FEBRERO</v>
      </c>
      <c r="D35" s="27"/>
      <c r="E35" s="100">
        <v>46080</v>
      </c>
      <c r="F35" s="100">
        <v>46080</v>
      </c>
      <c r="G35" s="155">
        <v>0</v>
      </c>
      <c r="H35" s="102" t="s">
        <v>420</v>
      </c>
      <c r="I35" s="27" t="s">
        <v>421</v>
      </c>
      <c r="J35" s="27" t="s">
        <v>421</v>
      </c>
      <c r="K35" s="27" t="s">
        <v>421</v>
      </c>
      <c r="L35" s="27" t="s">
        <v>421</v>
      </c>
      <c r="M35" s="27" t="s">
        <v>422</v>
      </c>
      <c r="N35" s="7"/>
      <c r="O35" s="44">
        <v>0</v>
      </c>
      <c r="P35" s="52">
        <v>40026</v>
      </c>
      <c r="Q35" s="44">
        <v>0</v>
      </c>
      <c r="R35" s="44">
        <v>0</v>
      </c>
      <c r="S35" s="45">
        <f t="shared" si="1"/>
        <v>40026</v>
      </c>
      <c r="T35" s="60"/>
      <c r="U35" s="97"/>
      <c r="V35" s="59"/>
      <c r="W35" s="25"/>
      <c r="X35" s="4"/>
      <c r="Y35" s="7"/>
      <c r="Z35" s="7"/>
      <c r="AA35" s="7"/>
      <c r="AB35" s="26">
        <v>0</v>
      </c>
      <c r="AC35" s="44">
        <f>IFERROR(INDEX('Detalle Costos'!$X$5:$X$158,MATCH(Resumen!AA35,'Detalle Costos'!$C$5:$C$158,0))*AG35,0)</f>
        <v>0</v>
      </c>
      <c r="AD35" s="44">
        <f>IFERROR(INDEX('Detalle Costos'!$Z$5:$Z$158,MATCH(Resumen!AA35,'Detalle Costos'!$C$5:$C$158,0))*AG35,0)</f>
        <v>0</v>
      </c>
      <c r="AE35" s="44">
        <f>IFERROR(INDEX('Detalle Costos'!$Y$5:$Y$158,MATCH(Resumen!AA35,'Detalle Costos'!$C$5:$C$158,0))*AG35,0)</f>
        <v>0</v>
      </c>
      <c r="AF35" s="44">
        <f>IFERROR(INDEX('Detalle Costos'!$AA$5:$AA$158,MATCH(Resumen!AA35,'Detalle Costos'!$C$5:$C$158,0))*AG35,0)</f>
        <v>0</v>
      </c>
      <c r="AG35" s="44">
        <f t="shared" si="3"/>
        <v>0</v>
      </c>
      <c r="AH35" s="44"/>
      <c r="AI35" s="115"/>
      <c r="AJ35" s="44"/>
      <c r="AK35" s="45">
        <f t="shared" si="5"/>
        <v>40026</v>
      </c>
      <c r="AL35" s="116">
        <f t="shared" si="6"/>
        <v>1</v>
      </c>
      <c r="AM35" s="44">
        <f t="shared" si="7"/>
        <v>0</v>
      </c>
      <c r="AN35" s="44">
        <f t="shared" si="63"/>
        <v>0</v>
      </c>
      <c r="AO35" s="44">
        <f t="shared" si="9"/>
        <v>0</v>
      </c>
      <c r="AP35" s="44">
        <f t="shared" si="40"/>
        <v>0</v>
      </c>
      <c r="AQ35" s="44">
        <v>0</v>
      </c>
      <c r="AR35" s="45">
        <f t="shared" si="12"/>
        <v>40026</v>
      </c>
      <c r="AS35" s="116">
        <f t="shared" si="13"/>
        <v>1</v>
      </c>
      <c r="AT35" s="44">
        <f>131251/248*G35</f>
        <v>0</v>
      </c>
      <c r="AU35" s="45">
        <f t="shared" si="15"/>
        <v>40026</v>
      </c>
      <c r="AV35" s="116">
        <f t="shared" si="16"/>
        <v>1</v>
      </c>
      <c r="AW35" s="44">
        <f>123530/248*G35</f>
        <v>0</v>
      </c>
      <c r="AX35" s="45">
        <f t="shared" si="18"/>
        <v>40026</v>
      </c>
      <c r="AY35" s="116">
        <f t="shared" si="19"/>
        <v>1</v>
      </c>
      <c r="BA35" s="44">
        <v>0</v>
      </c>
      <c r="BB35" s="44">
        <v>0</v>
      </c>
      <c r="BC35" s="44">
        <v>0</v>
      </c>
      <c r="BD35" s="44">
        <v>0</v>
      </c>
      <c r="BE35" s="44"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0</v>
      </c>
      <c r="BK35" s="44">
        <v>0</v>
      </c>
      <c r="BL35" s="44">
        <v>0</v>
      </c>
      <c r="BM35" s="44">
        <v>0</v>
      </c>
      <c r="BN35" s="44">
        <v>0</v>
      </c>
      <c r="BO35" s="44">
        <v>0</v>
      </c>
      <c r="BP35" s="44">
        <v>0</v>
      </c>
      <c r="BQ35" s="44">
        <v>0</v>
      </c>
    </row>
    <row r="36" spans="2:69">
      <c r="B36" s="7" t="s">
        <v>7</v>
      </c>
      <c r="C36" s="127" t="s">
        <v>8</v>
      </c>
      <c r="D36" s="128" t="s">
        <v>216</v>
      </c>
      <c r="E36" s="129">
        <v>325</v>
      </c>
      <c r="F36" s="129">
        <v>46084</v>
      </c>
      <c r="G36" s="130">
        <v>26</v>
      </c>
      <c r="H36" s="131" t="s">
        <v>31</v>
      </c>
      <c r="I36" s="127" t="s">
        <v>107</v>
      </c>
      <c r="J36" s="19" t="s">
        <v>166</v>
      </c>
      <c r="K36" s="7" t="s">
        <v>161</v>
      </c>
      <c r="L36" s="7" t="s">
        <v>147</v>
      </c>
      <c r="M36" s="21" t="s">
        <v>48</v>
      </c>
      <c r="N36" s="7" t="s">
        <v>167</v>
      </c>
      <c r="O36" s="20">
        <v>2600</v>
      </c>
      <c r="P36" s="134">
        <v>67600</v>
      </c>
      <c r="Q36" s="133">
        <v>2518.6153846153848</v>
      </c>
      <c r="R36" s="133">
        <v>4232</v>
      </c>
      <c r="S36" s="135">
        <f t="shared" ref="S36:S67" si="64">P36-R36</f>
        <v>63368</v>
      </c>
      <c r="T36" s="65">
        <v>1</v>
      </c>
      <c r="U36" s="7" t="s">
        <v>217</v>
      </c>
      <c r="V36" s="7">
        <v>51077247</v>
      </c>
      <c r="W36" s="4"/>
      <c r="X36" s="4"/>
      <c r="Y36" s="7">
        <v>10007162</v>
      </c>
      <c r="Z36" s="7" t="s">
        <v>218</v>
      </c>
      <c r="AA36" s="7" t="str">
        <f t="shared" ref="AA36:AA41" si="65">B36&amp;Y36&amp;Z36</f>
        <v>FEBRERO10007162Inventario final</v>
      </c>
      <c r="AB36" s="133">
        <f t="shared" ref="AB36:AB67" si="66">IFERROR(AG36/G36,0)</f>
        <v>1665.8462115998248</v>
      </c>
      <c r="AC36" s="46">
        <f>IFERROR(INDEX('Costos Producción Febrero'!$G$34:$G$57,MATCH(Resumen!Y36,'Costos Producción Febrero'!$B$34:$B$57,0))*AI36*G36,0)</f>
        <v>26556.781955828061</v>
      </c>
      <c r="AD36" s="46">
        <f>IFERROR(INDEX('Costos Producción Febrero'!$H$34:$H$57,MATCH(Resumen!Y36,'Costos Producción Febrero'!$B$34:$B$57,0))*AI36*G36,0)</f>
        <v>7540</v>
      </c>
      <c r="AE36" s="46">
        <f>IFERROR(INDEX('Costos Producción Febrero'!$I$34:$I$57,MATCH(Resumen!Y36,'Costos Producción Febrero'!$B$34:$B$57,0))*AI36*G36,0)</f>
        <v>401.52781079897397</v>
      </c>
      <c r="AF36" s="46">
        <f>IFERROR(INDEX('Costos Producción Febrero'!$J$34:$J$57,MATCH(Resumen!Y36,'Costos Producción Febrero'!$B$34:$B$57,0))*AI36*G36,0)</f>
        <v>8813.6917349684063</v>
      </c>
      <c r="AG36" s="136">
        <f t="shared" ref="AG36:AG67" si="67">SUM(AC36:AF36)</f>
        <v>43312.001501595441</v>
      </c>
      <c r="AH36" s="46"/>
      <c r="AI36" s="46">
        <f>INDEX('Costos Producción Febrero'!$F$5:$F$28,MATCH(Resumen!Y36,'Costos Producción Febrero'!$B$5:$B$28,0))</f>
        <v>1665.8462115998248</v>
      </c>
      <c r="AJ36" s="46"/>
      <c r="AK36" s="137">
        <f t="shared" ref="AK36:AK70" si="68">P36-AG36</f>
        <v>24287.998498404559</v>
      </c>
      <c r="AL36" s="138">
        <f t="shared" ref="AL36:AL67" si="69">AK36/P36</f>
        <v>0.35928991861545206</v>
      </c>
      <c r="AM36" s="44">
        <f t="shared" ref="AM36:AM70" si="70">R36</f>
        <v>4232</v>
      </c>
      <c r="AN36" s="44">
        <f t="shared" si="63"/>
        <v>1882</v>
      </c>
      <c r="AO36" s="136">
        <f t="shared" ref="AO36:AO67" si="71">SUM(AM36:AN36)</f>
        <v>6114</v>
      </c>
      <c r="AP36" s="136">
        <f t="shared" ref="AP36:AP70" si="72">78579/1995.8*G36</f>
        <v>1023.6767211143401</v>
      </c>
      <c r="AQ36" s="136">
        <f t="shared" ref="AQ36:AQ71" si="73">S36*0.03</f>
        <v>1901.04</v>
      </c>
      <c r="AR36" s="137">
        <f t="shared" ref="AR36:AR67" si="74">AK36-AO36-AP36+AQ36</f>
        <v>19051.361777290218</v>
      </c>
      <c r="AS36" s="138">
        <f t="shared" ref="AS36:AS67" si="75">AR36/P36</f>
        <v>0.28182487836228132</v>
      </c>
      <c r="AT36" s="136">
        <f t="shared" ref="AT36:AT71" si="76">154473/1995.8*G36</f>
        <v>2012.3749874736948</v>
      </c>
      <c r="AU36" s="137">
        <f t="shared" ref="AU36:AU67" si="77">AR36-AT36</f>
        <v>17038.986789816525</v>
      </c>
      <c r="AV36" s="138">
        <f t="shared" ref="AV36:AV67" si="78">AU36/P36</f>
        <v>0.25205601760083618</v>
      </c>
      <c r="AW36" s="136">
        <f t="shared" ref="AW36:AW71" si="79">123484.35/1997.8*G36</f>
        <v>1607.0643207528283</v>
      </c>
      <c r="AX36" s="137">
        <f t="shared" ref="AX36:AX67" si="80">AR36+AW36</f>
        <v>20658.426098043048</v>
      </c>
      <c r="AY36" s="138">
        <f t="shared" ref="AY36:AY67" si="81">AX36/P36</f>
        <v>0.30559801920182023</v>
      </c>
      <c r="BA36" s="44">
        <f t="shared" ref="BA36:BA71" si="82">P36/$G36</f>
        <v>2600</v>
      </c>
      <c r="BB36" s="44">
        <f t="shared" ref="BB36:BB71" si="83">-AC36/$G36</f>
        <v>-1021.4146906087716</v>
      </c>
      <c r="BC36" s="44">
        <f t="shared" ref="BC36:BC71" si="84">-AD36/$G36</f>
        <v>-290</v>
      </c>
      <c r="BD36" s="44">
        <f t="shared" ref="BD36:BD71" si="85">-AE36/$G36</f>
        <v>-15.443377338422076</v>
      </c>
      <c r="BE36" s="44">
        <f t="shared" ref="BE36:BE71" si="86">-AF36/$G36</f>
        <v>-338.98814365263104</v>
      </c>
      <c r="BF36" s="44">
        <f t="shared" ref="BF36:BF71" si="87">-AG36/$G36</f>
        <v>-1665.8462115998248</v>
      </c>
      <c r="BG36" s="44">
        <f t="shared" ref="BG36:BG71" si="88">AK36/$G36</f>
        <v>934.15378840017536</v>
      </c>
      <c r="BH36" s="44">
        <f t="shared" ref="BH36:BH71" si="89">-AM36/$G36</f>
        <v>-162.76923076923077</v>
      </c>
      <c r="BI36" s="44">
        <f t="shared" ref="BI36:BI71" si="90">-AN36/$G36</f>
        <v>-72.384615384615387</v>
      </c>
      <c r="BJ36" s="44">
        <f t="shared" ref="BJ36:BJ71" si="91">-AO36/$G36</f>
        <v>-235.15384615384616</v>
      </c>
      <c r="BK36" s="44">
        <f t="shared" ref="BK36:BK71" si="92">-AP36/$G36</f>
        <v>-39.372181581320774</v>
      </c>
      <c r="BL36" s="44">
        <f t="shared" ref="BL36:BL71" si="93">AQ36/$G36</f>
        <v>73.116923076923072</v>
      </c>
      <c r="BM36" s="44">
        <f t="shared" ref="BM36:BM71" si="94">AR36/$G36</f>
        <v>732.74468374193145</v>
      </c>
      <c r="BN36" s="44">
        <f t="shared" ref="BN36:BN71" si="95">-AT36/$G36</f>
        <v>-77.399037979757495</v>
      </c>
      <c r="BO36" s="44">
        <f t="shared" ref="BO36:BO71" si="96">AU36/$G36</f>
        <v>655.34564576217406</v>
      </c>
      <c r="BP36" s="44">
        <f t="shared" ref="BP36:BP71" si="97">AW36/$G36</f>
        <v>61.81016618280109</v>
      </c>
      <c r="BQ36" s="44">
        <f t="shared" ref="BQ36:BQ71" si="98">AX36/$G36</f>
        <v>794.55484992473259</v>
      </c>
    </row>
    <row r="37" spans="2:69">
      <c r="B37" s="7" t="s">
        <v>7</v>
      </c>
      <c r="C37" s="127" t="s">
        <v>8</v>
      </c>
      <c r="D37" s="128" t="s">
        <v>219</v>
      </c>
      <c r="E37" s="129">
        <v>325</v>
      </c>
      <c r="F37" s="129">
        <v>46084</v>
      </c>
      <c r="G37" s="130">
        <v>26</v>
      </c>
      <c r="H37" s="131" t="s">
        <v>31</v>
      </c>
      <c r="I37" s="127" t="s">
        <v>107</v>
      </c>
      <c r="J37" s="19" t="s">
        <v>166</v>
      </c>
      <c r="K37" s="7" t="s">
        <v>161</v>
      </c>
      <c r="L37" s="7" t="s">
        <v>147</v>
      </c>
      <c r="M37" s="21" t="s">
        <v>48</v>
      </c>
      <c r="N37" s="7" t="s">
        <v>167</v>
      </c>
      <c r="O37" s="20">
        <v>2600</v>
      </c>
      <c r="P37" s="134">
        <v>67600</v>
      </c>
      <c r="Q37" s="133">
        <v>2518.6153846153848</v>
      </c>
      <c r="R37" s="133">
        <v>4232</v>
      </c>
      <c r="S37" s="135">
        <f t="shared" si="64"/>
        <v>63368</v>
      </c>
      <c r="T37" s="65">
        <v>1</v>
      </c>
      <c r="U37" s="7" t="s">
        <v>217</v>
      </c>
      <c r="V37" s="7">
        <v>37563181</v>
      </c>
      <c r="W37" s="4"/>
      <c r="X37" s="4"/>
      <c r="Y37" s="7">
        <v>10007162</v>
      </c>
      <c r="Z37" s="7" t="s">
        <v>218</v>
      </c>
      <c r="AA37" s="7" t="str">
        <f t="shared" si="65"/>
        <v>FEBRERO10007162Inventario final</v>
      </c>
      <c r="AB37" s="133">
        <f t="shared" si="66"/>
        <v>1665.8462115998248</v>
      </c>
      <c r="AC37" s="46">
        <f>IFERROR(INDEX('Costos Producción Febrero'!$G$34:$G$57,MATCH(Resumen!Y37,'Costos Producción Febrero'!$B$34:$B$57,0))*AI37*G37,0)</f>
        <v>26556.781955828061</v>
      </c>
      <c r="AD37" s="46">
        <f>IFERROR(INDEX('Costos Producción Febrero'!$H$34:$H$57,MATCH(Resumen!Y37,'Costos Producción Febrero'!$B$34:$B$57,0))*AI37*G37,0)</f>
        <v>7540</v>
      </c>
      <c r="AE37" s="46">
        <f>IFERROR(INDEX('Costos Producción Febrero'!$I$34:$I$57,MATCH(Resumen!Y37,'Costos Producción Febrero'!$B$34:$B$57,0))*AI37*G37,0)</f>
        <v>401.52781079897397</v>
      </c>
      <c r="AF37" s="46">
        <f>IFERROR(INDEX('Costos Producción Febrero'!$J$34:$J$57,MATCH(Resumen!Y37,'Costos Producción Febrero'!$B$34:$B$57,0))*AI37*G37,0)</f>
        <v>8813.6917349684063</v>
      </c>
      <c r="AG37" s="136">
        <f t="shared" si="67"/>
        <v>43312.001501595441</v>
      </c>
      <c r="AH37" s="46"/>
      <c r="AI37" s="46">
        <f>INDEX('Costos Producción Febrero'!$F$5:$F$28,MATCH(Resumen!Y37,'Costos Producción Febrero'!$B$5:$B$28,0))</f>
        <v>1665.8462115998248</v>
      </c>
      <c r="AJ37" s="46"/>
      <c r="AK37" s="137">
        <f t="shared" si="68"/>
        <v>24287.998498404559</v>
      </c>
      <c r="AL37" s="138">
        <f t="shared" si="69"/>
        <v>0.35928991861545206</v>
      </c>
      <c r="AM37" s="44">
        <f t="shared" si="70"/>
        <v>4232</v>
      </c>
      <c r="AN37" s="44">
        <f t="shared" si="63"/>
        <v>1882</v>
      </c>
      <c r="AO37" s="136">
        <f t="shared" si="71"/>
        <v>6114</v>
      </c>
      <c r="AP37" s="136">
        <f t="shared" si="72"/>
        <v>1023.6767211143401</v>
      </c>
      <c r="AQ37" s="136">
        <f t="shared" si="73"/>
        <v>1901.04</v>
      </c>
      <c r="AR37" s="137">
        <f t="shared" si="74"/>
        <v>19051.361777290218</v>
      </c>
      <c r="AS37" s="138">
        <f t="shared" si="75"/>
        <v>0.28182487836228132</v>
      </c>
      <c r="AT37" s="136">
        <f t="shared" si="76"/>
        <v>2012.3749874736948</v>
      </c>
      <c r="AU37" s="137">
        <f t="shared" si="77"/>
        <v>17038.986789816525</v>
      </c>
      <c r="AV37" s="138">
        <f t="shared" si="78"/>
        <v>0.25205601760083618</v>
      </c>
      <c r="AW37" s="136">
        <f t="shared" si="79"/>
        <v>1607.0643207528283</v>
      </c>
      <c r="AX37" s="137">
        <f t="shared" si="80"/>
        <v>20658.426098043048</v>
      </c>
      <c r="AY37" s="138">
        <f t="shared" si="81"/>
        <v>0.30559801920182023</v>
      </c>
      <c r="BA37" s="44">
        <f t="shared" si="82"/>
        <v>2600</v>
      </c>
      <c r="BB37" s="44">
        <f t="shared" si="83"/>
        <v>-1021.4146906087716</v>
      </c>
      <c r="BC37" s="44">
        <f t="shared" si="84"/>
        <v>-290</v>
      </c>
      <c r="BD37" s="44">
        <f t="shared" si="85"/>
        <v>-15.443377338422076</v>
      </c>
      <c r="BE37" s="44">
        <f t="shared" si="86"/>
        <v>-338.98814365263104</v>
      </c>
      <c r="BF37" s="44">
        <f t="shared" si="87"/>
        <v>-1665.8462115998248</v>
      </c>
      <c r="BG37" s="44">
        <f t="shared" si="88"/>
        <v>934.15378840017536</v>
      </c>
      <c r="BH37" s="44">
        <f t="shared" si="89"/>
        <v>-162.76923076923077</v>
      </c>
      <c r="BI37" s="44">
        <f t="shared" si="90"/>
        <v>-72.384615384615387</v>
      </c>
      <c r="BJ37" s="44">
        <f t="shared" si="91"/>
        <v>-235.15384615384616</v>
      </c>
      <c r="BK37" s="44">
        <f t="shared" si="92"/>
        <v>-39.372181581320774</v>
      </c>
      <c r="BL37" s="44">
        <f t="shared" si="93"/>
        <v>73.116923076923072</v>
      </c>
      <c r="BM37" s="44">
        <f t="shared" si="94"/>
        <v>732.74468374193145</v>
      </c>
      <c r="BN37" s="44">
        <f t="shared" si="95"/>
        <v>-77.399037979757495</v>
      </c>
      <c r="BO37" s="44">
        <f t="shared" si="96"/>
        <v>655.34564576217406</v>
      </c>
      <c r="BP37" s="44">
        <f t="shared" si="97"/>
        <v>61.81016618280109</v>
      </c>
      <c r="BQ37" s="44">
        <f t="shared" si="98"/>
        <v>794.55484992473259</v>
      </c>
    </row>
    <row r="38" spans="2:69">
      <c r="B38" s="7" t="s">
        <v>7</v>
      </c>
      <c r="C38" s="29" t="s">
        <v>8</v>
      </c>
      <c r="D38" s="27" t="s">
        <v>220</v>
      </c>
      <c r="E38" s="100">
        <v>30</v>
      </c>
      <c r="F38" s="100">
        <v>46084</v>
      </c>
      <c r="G38" s="101">
        <v>24</v>
      </c>
      <c r="H38" s="151" t="s">
        <v>33</v>
      </c>
      <c r="I38" s="27" t="s">
        <v>132</v>
      </c>
      <c r="J38" s="19" t="s">
        <v>221</v>
      </c>
      <c r="K38" s="7" t="s">
        <v>141</v>
      </c>
      <c r="L38" s="7" t="s">
        <v>142</v>
      </c>
      <c r="M38" s="21" t="s">
        <v>43</v>
      </c>
      <c r="N38" s="7" t="s">
        <v>129</v>
      </c>
      <c r="O38" s="20">
        <v>1700</v>
      </c>
      <c r="P38" s="220">
        <f>40800-1190</f>
        <v>39610</v>
      </c>
      <c r="Q38" s="20">
        <v>1562.375</v>
      </c>
      <c r="R38" s="30">
        <v>3303</v>
      </c>
      <c r="S38" s="32">
        <f t="shared" si="64"/>
        <v>36307</v>
      </c>
      <c r="T38" s="65">
        <v>1</v>
      </c>
      <c r="U38" s="23" t="s">
        <v>222</v>
      </c>
      <c r="V38" s="150" t="s">
        <v>223</v>
      </c>
      <c r="W38" s="62" t="s">
        <v>138</v>
      </c>
      <c r="X38" s="4" t="s">
        <v>113</v>
      </c>
      <c r="Y38" s="7">
        <v>10005721</v>
      </c>
      <c r="Z38" s="7" t="s">
        <v>218</v>
      </c>
      <c r="AA38" s="7" t="str">
        <f t="shared" si="65"/>
        <v>FEBRERO10005721Inventario final</v>
      </c>
      <c r="AB38" s="20">
        <f t="shared" si="66"/>
        <v>1672.2065734817018</v>
      </c>
      <c r="AC38" s="46">
        <f>IFERROR(INDEX('Costos Producción Febrero'!$G$34:$G$57,MATCH(Resumen!Y38,'Costos Producción Febrero'!$B$34:$B$57,0))*AI38*G38,0)</f>
        <v>24373.183226706289</v>
      </c>
      <c r="AD38" s="46">
        <f>IFERROR(INDEX('Costos Producción Febrero'!$H$34:$H$57,MATCH(Resumen!Y38,'Costos Producción Febrero'!$B$34:$B$57,0))*AI38*G38,0)</f>
        <v>7141.8487007671083</v>
      </c>
      <c r="AE38" s="46">
        <f>IFERROR(INDEX('Costos Producción Febrero'!$I$34:$I$57,MATCH(Resumen!Y38,'Costos Producción Febrero'!$B$34:$B$57,0))*AI38*G38,0)</f>
        <v>437.5257269336891</v>
      </c>
      <c r="AF38" s="46">
        <f>IFERROR(INDEX('Costos Producción Febrero'!$J$34:$J$57,MATCH(Resumen!Y38,'Costos Producción Febrero'!$B$34:$B$57,0))*AI38*G38,0)</f>
        <v>8180.4001091537557</v>
      </c>
      <c r="AG38" s="46">
        <f t="shared" si="67"/>
        <v>40132.957763560844</v>
      </c>
      <c r="AH38" s="46"/>
      <c r="AI38" s="46">
        <f>INDEX('Costos Producción Febrero'!$F$5:$F$28,MATCH(Resumen!Y38,'Costos Producción Febrero'!$B$5:$B$28,0))</f>
        <v>1672.2065734817018</v>
      </c>
      <c r="AJ38" s="46"/>
      <c r="AK38" s="45">
        <f t="shared" si="68"/>
        <v>-522.95776356084389</v>
      </c>
      <c r="AL38" s="94">
        <f t="shared" si="69"/>
        <v>-1.3202670122717594E-2</v>
      </c>
      <c r="AM38" s="44">
        <f t="shared" si="70"/>
        <v>3303</v>
      </c>
      <c r="AN38" s="44">
        <f t="shared" si="63"/>
        <v>1737.2307692307693</v>
      </c>
      <c r="AO38" s="44">
        <f t="shared" si="71"/>
        <v>5040.2307692307695</v>
      </c>
      <c r="AP38" s="44">
        <f t="shared" si="72"/>
        <v>944.93235795169858</v>
      </c>
      <c r="AQ38" s="44">
        <f t="shared" si="73"/>
        <v>1089.21</v>
      </c>
      <c r="AR38" s="45">
        <f t="shared" si="74"/>
        <v>-5418.9108907433119</v>
      </c>
      <c r="AS38" s="94">
        <f t="shared" si="75"/>
        <v>-0.13680663697912931</v>
      </c>
      <c r="AT38" s="44">
        <f t="shared" si="76"/>
        <v>1857.5769115141798</v>
      </c>
      <c r="AU38" s="45">
        <f t="shared" si="77"/>
        <v>-7276.4878022574921</v>
      </c>
      <c r="AV38" s="94">
        <f t="shared" si="78"/>
        <v>-0.18370330225340803</v>
      </c>
      <c r="AW38" s="44">
        <f t="shared" si="79"/>
        <v>1483.443988387226</v>
      </c>
      <c r="AX38" s="45">
        <f t="shared" si="80"/>
        <v>-3935.4669023560859</v>
      </c>
      <c r="AY38" s="94">
        <f t="shared" si="81"/>
        <v>-9.9355387587884023E-2</v>
      </c>
      <c r="BA38" s="44">
        <f t="shared" si="82"/>
        <v>1650.4166666666667</v>
      </c>
      <c r="BB38" s="44">
        <f t="shared" si="83"/>
        <v>-1015.549301112762</v>
      </c>
      <c r="BC38" s="44">
        <f t="shared" si="84"/>
        <v>-297.57702919862953</v>
      </c>
      <c r="BD38" s="44">
        <f t="shared" si="85"/>
        <v>-18.230238622237046</v>
      </c>
      <c r="BE38" s="44">
        <f t="shared" si="86"/>
        <v>-340.85000454807317</v>
      </c>
      <c r="BF38" s="44">
        <f t="shared" si="87"/>
        <v>-1672.2065734817018</v>
      </c>
      <c r="BG38" s="44">
        <f t="shared" si="88"/>
        <v>-21.789906815035163</v>
      </c>
      <c r="BH38" s="44">
        <f t="shared" si="89"/>
        <v>-137.625</v>
      </c>
      <c r="BI38" s="44">
        <f t="shared" si="90"/>
        <v>-72.384615384615387</v>
      </c>
      <c r="BJ38" s="44">
        <f t="shared" si="91"/>
        <v>-210.00961538461539</v>
      </c>
      <c r="BK38" s="44">
        <f t="shared" si="92"/>
        <v>-39.372181581320774</v>
      </c>
      <c r="BL38" s="44">
        <f t="shared" si="93"/>
        <v>45.383749999999999</v>
      </c>
      <c r="BM38" s="44">
        <f t="shared" si="94"/>
        <v>-225.78795378097132</v>
      </c>
      <c r="BN38" s="44">
        <f t="shared" si="95"/>
        <v>-77.399037979757495</v>
      </c>
      <c r="BO38" s="44">
        <f t="shared" si="96"/>
        <v>-303.18699176072886</v>
      </c>
      <c r="BP38" s="44">
        <f t="shared" si="97"/>
        <v>61.810166182801083</v>
      </c>
      <c r="BQ38" s="44">
        <f t="shared" si="98"/>
        <v>-163.97778759817024</v>
      </c>
    </row>
    <row r="39" spans="2:69">
      <c r="B39" s="7" t="s">
        <v>7</v>
      </c>
      <c r="C39" s="29" t="s">
        <v>8</v>
      </c>
      <c r="D39" s="25" t="s">
        <v>224</v>
      </c>
      <c r="E39" s="100">
        <v>30</v>
      </c>
      <c r="F39" s="100">
        <v>46085</v>
      </c>
      <c r="G39" s="103">
        <v>72</v>
      </c>
      <c r="H39" s="102" t="s">
        <v>34</v>
      </c>
      <c r="I39" s="27" t="s">
        <v>116</v>
      </c>
      <c r="J39" s="7" t="s">
        <v>153</v>
      </c>
      <c r="K39" s="7" t="s">
        <v>118</v>
      </c>
      <c r="L39" s="7" t="s">
        <v>119</v>
      </c>
      <c r="M39" s="21" t="s">
        <v>43</v>
      </c>
      <c r="N39" s="7" t="s">
        <v>129</v>
      </c>
      <c r="O39" s="20">
        <v>1400</v>
      </c>
      <c r="P39" s="220">
        <f>100800-6160</f>
        <v>94640</v>
      </c>
      <c r="Q39" s="20">
        <v>1266.5416666666667</v>
      </c>
      <c r="R39" s="30">
        <v>9609</v>
      </c>
      <c r="S39" s="32">
        <f t="shared" si="64"/>
        <v>85031</v>
      </c>
      <c r="T39" s="65">
        <v>3</v>
      </c>
      <c r="U39" s="66" t="s">
        <v>222</v>
      </c>
      <c r="V39" s="67" t="s">
        <v>225</v>
      </c>
      <c r="W39" s="66" t="s">
        <v>226</v>
      </c>
      <c r="X39" s="4" t="s">
        <v>113</v>
      </c>
      <c r="Y39" s="7">
        <v>10005779</v>
      </c>
      <c r="Z39" s="7" t="s">
        <v>218</v>
      </c>
      <c r="AA39" s="7" t="str">
        <f t="shared" si="65"/>
        <v>FEBRERO10005779Inventario final</v>
      </c>
      <c r="AB39" s="20">
        <f t="shared" si="66"/>
        <v>1765.0739515902051</v>
      </c>
      <c r="AC39" s="46">
        <f>IFERROR(INDEX('Costos Producción Febrero'!$G$34:$G$57,MATCH(Resumen!Y39,'Costos Producción Febrero'!$B$34:$B$57,0))*AI39*G39,0)</f>
        <v>73785.835068955799</v>
      </c>
      <c r="AD39" s="46">
        <f>IFERROR(INDEX('Costos Producción Febrero'!$H$34:$H$57,MATCH(Resumen!Y39,'Costos Producción Febrero'!$B$34:$B$57,0))*AI39*G39,0)</f>
        <v>28079.999999999993</v>
      </c>
      <c r="AE39" s="46">
        <f>IFERROR(INDEX('Costos Producción Febrero'!$I$34:$I$57,MATCH(Resumen!Y39,'Costos Producción Febrero'!$B$34:$B$57,0))*AI39*G39,0)</f>
        <v>811.7326203208554</v>
      </c>
      <c r="AF39" s="46">
        <f>IFERROR(INDEX('Costos Producción Febrero'!$J$34:$J$57,MATCH(Resumen!Y39,'Costos Producción Febrero'!$B$34:$B$57,0))*AI39*G39,0)</f>
        <v>24407.756825218119</v>
      </c>
      <c r="AG39" s="46">
        <f t="shared" si="67"/>
        <v>127085.32451449476</v>
      </c>
      <c r="AH39" s="46"/>
      <c r="AI39" s="46">
        <f>INDEX('Costos Producción Febrero'!$F$5:$F$28,MATCH(Resumen!Y39,'Costos Producción Febrero'!$B$5:$B$28,0))</f>
        <v>1765.0739515902051</v>
      </c>
      <c r="AJ39" s="46"/>
      <c r="AK39" s="45">
        <f t="shared" si="68"/>
        <v>-32445.324514494758</v>
      </c>
      <c r="AL39" s="94">
        <f t="shared" si="69"/>
        <v>-0.34282887272289475</v>
      </c>
      <c r="AM39" s="44">
        <f t="shared" si="70"/>
        <v>9609</v>
      </c>
      <c r="AN39" s="44">
        <f t="shared" si="63"/>
        <v>5211.6923076923076</v>
      </c>
      <c r="AO39" s="44">
        <f t="shared" si="71"/>
        <v>14820.692307692309</v>
      </c>
      <c r="AP39" s="44">
        <f t="shared" si="72"/>
        <v>2834.7970738550957</v>
      </c>
      <c r="AQ39" s="44">
        <f t="shared" si="73"/>
        <v>2550.9299999999998</v>
      </c>
      <c r="AR39" s="45">
        <f t="shared" si="74"/>
        <v>-47549.883896042164</v>
      </c>
      <c r="AS39" s="94">
        <f t="shared" si="75"/>
        <v>-0.50242903524981153</v>
      </c>
      <c r="AT39" s="44">
        <f t="shared" si="76"/>
        <v>5572.7307345425397</v>
      </c>
      <c r="AU39" s="45">
        <f t="shared" si="77"/>
        <v>-53122.614630584707</v>
      </c>
      <c r="AV39" s="94">
        <f t="shared" si="78"/>
        <v>-0.56131249609662626</v>
      </c>
      <c r="AW39" s="44">
        <f t="shared" si="79"/>
        <v>4450.3319651616785</v>
      </c>
      <c r="AX39" s="45">
        <f t="shared" si="80"/>
        <v>-43099.551930880487</v>
      </c>
      <c r="AY39" s="94">
        <f t="shared" si="81"/>
        <v>-0.45540524018259176</v>
      </c>
      <c r="BA39" s="44">
        <f t="shared" si="82"/>
        <v>1314.4444444444443</v>
      </c>
      <c r="BB39" s="44">
        <f t="shared" si="83"/>
        <v>-1024.8032648466083</v>
      </c>
      <c r="BC39" s="44">
        <f t="shared" si="84"/>
        <v>-389.99999999999989</v>
      </c>
      <c r="BD39" s="44">
        <f t="shared" si="85"/>
        <v>-11.274064171122992</v>
      </c>
      <c r="BE39" s="44">
        <f t="shared" si="86"/>
        <v>-338.99662257247388</v>
      </c>
      <c r="BF39" s="44">
        <f t="shared" si="87"/>
        <v>-1765.0739515902051</v>
      </c>
      <c r="BG39" s="44">
        <f t="shared" si="88"/>
        <v>-450.6295071457605</v>
      </c>
      <c r="BH39" s="44">
        <f t="shared" si="89"/>
        <v>-133.45833333333334</v>
      </c>
      <c r="BI39" s="44">
        <f t="shared" si="90"/>
        <v>-72.384615384615387</v>
      </c>
      <c r="BJ39" s="44">
        <f t="shared" si="91"/>
        <v>-205.84294871794873</v>
      </c>
      <c r="BK39" s="44">
        <f t="shared" si="92"/>
        <v>-39.372181581320774</v>
      </c>
      <c r="BL39" s="44">
        <f t="shared" si="93"/>
        <v>35.429583333333333</v>
      </c>
      <c r="BM39" s="44">
        <f t="shared" si="94"/>
        <v>-660.41505411169669</v>
      </c>
      <c r="BN39" s="44">
        <f t="shared" si="95"/>
        <v>-77.399037979757495</v>
      </c>
      <c r="BO39" s="44">
        <f t="shared" si="96"/>
        <v>-737.81409209145431</v>
      </c>
      <c r="BP39" s="44">
        <f t="shared" si="97"/>
        <v>61.81016618280109</v>
      </c>
      <c r="BQ39" s="44">
        <f t="shared" si="98"/>
        <v>-598.60488792889566</v>
      </c>
    </row>
    <row r="40" spans="2:69">
      <c r="B40" s="7" t="s">
        <v>7</v>
      </c>
      <c r="C40" s="29" t="s">
        <v>8</v>
      </c>
      <c r="D40" s="25" t="s">
        <v>259</v>
      </c>
      <c r="E40" s="100">
        <v>30</v>
      </c>
      <c r="F40" s="100">
        <v>46108</v>
      </c>
      <c r="G40" s="103">
        <v>48</v>
      </c>
      <c r="H40" s="102" t="s">
        <v>34</v>
      </c>
      <c r="I40" s="27" t="s">
        <v>116</v>
      </c>
      <c r="J40" s="7" t="s">
        <v>153</v>
      </c>
      <c r="K40" s="7" t="s">
        <v>118</v>
      </c>
      <c r="L40" s="7" t="s">
        <v>119</v>
      </c>
      <c r="M40" s="21" t="s">
        <v>43</v>
      </c>
      <c r="N40" s="7" t="s">
        <v>129</v>
      </c>
      <c r="O40" s="20">
        <v>1400</v>
      </c>
      <c r="P40" s="61">
        <v>67200</v>
      </c>
      <c r="Q40" s="20">
        <v>1254.1666666666667</v>
      </c>
      <c r="R40" s="30">
        <v>7000</v>
      </c>
      <c r="S40" s="32">
        <f t="shared" si="64"/>
        <v>60200</v>
      </c>
      <c r="T40" s="65">
        <v>2</v>
      </c>
      <c r="U40" s="59" t="s">
        <v>260</v>
      </c>
      <c r="V40" s="27">
        <v>6446527790</v>
      </c>
      <c r="W40" s="62" t="s">
        <v>122</v>
      </c>
      <c r="X40" s="4" t="s">
        <v>113</v>
      </c>
      <c r="Y40" s="7">
        <v>10005779</v>
      </c>
      <c r="Z40" s="7" t="s">
        <v>218</v>
      </c>
      <c r="AA40" s="7" t="str">
        <f t="shared" si="65"/>
        <v>FEBRERO10005779Inventario final</v>
      </c>
      <c r="AB40" s="20">
        <f t="shared" si="66"/>
        <v>1765.0739515902051</v>
      </c>
      <c r="AC40" s="46">
        <f>IFERROR(INDEX('Costos Producción Febrero'!$G$34:$G$57,MATCH(Resumen!Y40,'Costos Producción Febrero'!$B$34:$B$57,0))*AI40*G40,0)</f>
        <v>49190.556712637197</v>
      </c>
      <c r="AD40" s="46">
        <f>IFERROR(INDEX('Costos Producción Febrero'!$H$34:$H$57,MATCH(Resumen!Y40,'Costos Producción Febrero'!$B$34:$B$57,0))*AI40*G40,0)</f>
        <v>18719.999999999993</v>
      </c>
      <c r="AE40" s="46">
        <f>IFERROR(INDEX('Costos Producción Febrero'!$I$34:$I$57,MATCH(Resumen!Y40,'Costos Producción Febrero'!$B$34:$B$57,0))*AI40*G40,0)</f>
        <v>541.1550802139036</v>
      </c>
      <c r="AF40" s="46">
        <f>IFERROR(INDEX('Costos Producción Febrero'!$J$34:$J$57,MATCH(Resumen!Y40,'Costos Producción Febrero'!$B$34:$B$57,0))*AI40*G40,0)</f>
        <v>16271.837883478747</v>
      </c>
      <c r="AG40" s="46">
        <f t="shared" si="67"/>
        <v>84723.549676329843</v>
      </c>
      <c r="AH40" s="46"/>
      <c r="AI40" s="46">
        <f>INDEX('Costos Producción Febrero'!$F$5:$F$28,MATCH(Resumen!Y40,'Costos Producción Febrero'!$B$5:$B$28,0))</f>
        <v>1765.0739515902051</v>
      </c>
      <c r="AJ40" s="46"/>
      <c r="AK40" s="45">
        <f t="shared" si="68"/>
        <v>-17523.549676329843</v>
      </c>
      <c r="AL40" s="94">
        <f t="shared" si="69"/>
        <v>-0.26076710827871791</v>
      </c>
      <c r="AM40" s="44">
        <f t="shared" si="70"/>
        <v>7000</v>
      </c>
      <c r="AN40" s="44">
        <f t="shared" si="63"/>
        <v>3474.4615384615386</v>
      </c>
      <c r="AO40" s="44">
        <f t="shared" si="71"/>
        <v>10474.461538461539</v>
      </c>
      <c r="AP40" s="44">
        <f t="shared" si="72"/>
        <v>1889.8647159033972</v>
      </c>
      <c r="AQ40" s="44">
        <f t="shared" si="73"/>
        <v>1806</v>
      </c>
      <c r="AR40" s="45">
        <f t="shared" si="74"/>
        <v>-28081.87593069478</v>
      </c>
      <c r="AS40" s="94">
        <f t="shared" si="75"/>
        <v>-0.41788505849248186</v>
      </c>
      <c r="AT40" s="44">
        <f t="shared" si="76"/>
        <v>3715.1538230283595</v>
      </c>
      <c r="AU40" s="45">
        <f t="shared" si="77"/>
        <v>-31797.029753723138</v>
      </c>
      <c r="AV40" s="94">
        <f t="shared" si="78"/>
        <v>-0.47317008562088003</v>
      </c>
      <c r="AW40" s="44">
        <f t="shared" si="79"/>
        <v>2966.887976774452</v>
      </c>
      <c r="AX40" s="45">
        <f t="shared" si="80"/>
        <v>-25114.987953920328</v>
      </c>
      <c r="AY40" s="94">
        <f t="shared" si="81"/>
        <v>-0.37373493979048106</v>
      </c>
      <c r="BA40" s="44">
        <f t="shared" si="82"/>
        <v>1400</v>
      </c>
      <c r="BB40" s="44">
        <f t="shared" si="83"/>
        <v>-1024.8032648466083</v>
      </c>
      <c r="BC40" s="44">
        <f t="shared" si="84"/>
        <v>-389.99999999999983</v>
      </c>
      <c r="BD40" s="44">
        <f t="shared" si="85"/>
        <v>-11.274064171122992</v>
      </c>
      <c r="BE40" s="44">
        <f t="shared" si="86"/>
        <v>-338.99662257247388</v>
      </c>
      <c r="BF40" s="44">
        <f t="shared" si="87"/>
        <v>-1765.0739515902051</v>
      </c>
      <c r="BG40" s="44">
        <f t="shared" si="88"/>
        <v>-365.07395159020507</v>
      </c>
      <c r="BH40" s="44">
        <f t="shared" si="89"/>
        <v>-145.83333333333334</v>
      </c>
      <c r="BI40" s="44">
        <f t="shared" si="90"/>
        <v>-72.384615384615387</v>
      </c>
      <c r="BJ40" s="44">
        <f t="shared" si="91"/>
        <v>-218.21794871794873</v>
      </c>
      <c r="BK40" s="44">
        <f t="shared" si="92"/>
        <v>-39.372181581320774</v>
      </c>
      <c r="BL40" s="44">
        <f t="shared" si="93"/>
        <v>37.625</v>
      </c>
      <c r="BM40" s="44">
        <f t="shared" si="94"/>
        <v>-585.03908188947457</v>
      </c>
      <c r="BN40" s="44">
        <f t="shared" si="95"/>
        <v>-77.399037979757495</v>
      </c>
      <c r="BO40" s="44">
        <f t="shared" si="96"/>
        <v>-662.43811986923208</v>
      </c>
      <c r="BP40" s="44">
        <f t="shared" si="97"/>
        <v>61.810166182801083</v>
      </c>
      <c r="BQ40" s="44">
        <f t="shared" si="98"/>
        <v>-523.22891570667355</v>
      </c>
    </row>
    <row r="41" spans="2:69">
      <c r="B41" s="7" t="s">
        <v>7</v>
      </c>
      <c r="C41" s="29" t="s">
        <v>8</v>
      </c>
      <c r="D41" s="25" t="s">
        <v>227</v>
      </c>
      <c r="E41" s="100">
        <v>34</v>
      </c>
      <c r="F41" s="100">
        <v>46087</v>
      </c>
      <c r="G41" s="103">
        <v>48</v>
      </c>
      <c r="H41" s="102" t="s">
        <v>32</v>
      </c>
      <c r="I41" s="27" t="s">
        <v>155</v>
      </c>
      <c r="J41" s="7" t="s">
        <v>228</v>
      </c>
      <c r="K41" s="7" t="s">
        <v>229</v>
      </c>
      <c r="L41" s="7" t="s">
        <v>230</v>
      </c>
      <c r="M41" s="21" t="s">
        <v>43</v>
      </c>
      <c r="N41" s="7" t="s">
        <v>129</v>
      </c>
      <c r="O41" s="20">
        <v>1600</v>
      </c>
      <c r="P41" s="61">
        <v>76800</v>
      </c>
      <c r="Q41" s="20">
        <v>1479.1666666666667</v>
      </c>
      <c r="R41" s="30">
        <v>5800</v>
      </c>
      <c r="S41" s="32">
        <f t="shared" si="64"/>
        <v>71000</v>
      </c>
      <c r="T41" s="65">
        <v>2</v>
      </c>
      <c r="U41" s="23" t="s">
        <v>231</v>
      </c>
      <c r="V41" s="27">
        <v>6445718250</v>
      </c>
      <c r="W41" s="62" t="s">
        <v>122</v>
      </c>
      <c r="X41" s="4" t="s">
        <v>113</v>
      </c>
      <c r="Y41" s="7">
        <v>10006720</v>
      </c>
      <c r="Z41" s="7" t="s">
        <v>218</v>
      </c>
      <c r="AA41" s="7" t="str">
        <f t="shared" si="65"/>
        <v>FEBRERO10006720Inventario final</v>
      </c>
      <c r="AB41" s="20">
        <f t="shared" si="66"/>
        <v>1594.5633182136664</v>
      </c>
      <c r="AC41" s="46">
        <f>IFERROR(INDEX('Costos Producción Febrero'!$G$34:$G$57,MATCH(Resumen!Y41,'Costos Producción Febrero'!$B$34:$B$57,0))*AI41*G41,0)</f>
        <v>49114.568425710801</v>
      </c>
      <c r="AD41" s="46">
        <f>IFERROR(INDEX('Costos Producción Febrero'!$H$34:$H$57,MATCH(Resumen!Y41,'Costos Producción Febrero'!$B$34:$B$57,0))*AI41*G41,0)</f>
        <v>10330.625954198473</v>
      </c>
      <c r="AE41" s="46">
        <f>IFERROR(INDEX('Costos Producción Febrero'!$I$34:$I$57,MATCH(Resumen!Y41,'Costos Producción Febrero'!$B$34:$B$57,0))*AI41*G41,0)</f>
        <v>715.16937714348944</v>
      </c>
      <c r="AF41" s="46">
        <f>IFERROR(INDEX('Costos Producción Febrero'!$J$34:$J$57,MATCH(Resumen!Y41,'Costos Producción Febrero'!$B$34:$B$57,0))*AI41*G41,0)</f>
        <v>16378.675517203232</v>
      </c>
      <c r="AG41" s="46">
        <f t="shared" si="67"/>
        <v>76539.039274255992</v>
      </c>
      <c r="AH41" s="46"/>
      <c r="AI41" s="46">
        <f>INDEX('Costos Producción Febrero'!$F$5:$F$28,MATCH(Resumen!Y41,'Costos Producción Febrero'!$B$5:$B$28,0))</f>
        <v>1594.5633182136667</v>
      </c>
      <c r="AJ41" s="46"/>
      <c r="AK41" s="45">
        <f t="shared" si="68"/>
        <v>260.9607257440075</v>
      </c>
      <c r="AL41" s="94">
        <f t="shared" si="69"/>
        <v>3.3979261164584309E-3</v>
      </c>
      <c r="AM41" s="44">
        <f t="shared" si="70"/>
        <v>5800</v>
      </c>
      <c r="AN41" s="44">
        <f t="shared" si="63"/>
        <v>3474.4615384615386</v>
      </c>
      <c r="AO41" s="44">
        <f t="shared" si="71"/>
        <v>9274.461538461539</v>
      </c>
      <c r="AP41" s="44">
        <f t="shared" si="72"/>
        <v>1889.8647159033972</v>
      </c>
      <c r="AQ41" s="44">
        <f t="shared" si="73"/>
        <v>2130</v>
      </c>
      <c r="AR41" s="45">
        <f t="shared" si="74"/>
        <v>-8773.3655286209287</v>
      </c>
      <c r="AS41" s="94">
        <f t="shared" si="75"/>
        <v>-0.11423653032058501</v>
      </c>
      <c r="AT41" s="44">
        <f t="shared" si="76"/>
        <v>3715.1538230283595</v>
      </c>
      <c r="AU41" s="45">
        <f t="shared" si="77"/>
        <v>-12488.519351649287</v>
      </c>
      <c r="AV41" s="94">
        <f t="shared" si="78"/>
        <v>-0.16261092905793342</v>
      </c>
      <c r="AW41" s="44">
        <f t="shared" si="79"/>
        <v>2966.887976774452</v>
      </c>
      <c r="AX41" s="45">
        <f t="shared" si="80"/>
        <v>-5806.4775518464767</v>
      </c>
      <c r="AY41" s="94">
        <f t="shared" si="81"/>
        <v>-7.5605176456334328E-2</v>
      </c>
      <c r="BA41" s="44">
        <f t="shared" si="82"/>
        <v>1600</v>
      </c>
      <c r="BB41" s="44">
        <f t="shared" si="83"/>
        <v>-1023.2201755356417</v>
      </c>
      <c r="BC41" s="44">
        <f t="shared" si="84"/>
        <v>-215.22137404580153</v>
      </c>
      <c r="BD41" s="44">
        <f t="shared" si="85"/>
        <v>-14.899362023822697</v>
      </c>
      <c r="BE41" s="44">
        <f t="shared" si="86"/>
        <v>-341.22240660840066</v>
      </c>
      <c r="BF41" s="44">
        <f t="shared" si="87"/>
        <v>-1594.5633182136664</v>
      </c>
      <c r="BG41" s="44">
        <f t="shared" si="88"/>
        <v>5.43668178633349</v>
      </c>
      <c r="BH41" s="44">
        <f t="shared" si="89"/>
        <v>-120.83333333333333</v>
      </c>
      <c r="BI41" s="44">
        <f t="shared" si="90"/>
        <v>-72.384615384615387</v>
      </c>
      <c r="BJ41" s="44">
        <f t="shared" si="91"/>
        <v>-193.21794871794873</v>
      </c>
      <c r="BK41" s="44">
        <f t="shared" si="92"/>
        <v>-39.372181581320774</v>
      </c>
      <c r="BL41" s="44">
        <f t="shared" si="93"/>
        <v>44.375</v>
      </c>
      <c r="BM41" s="44">
        <f t="shared" si="94"/>
        <v>-182.77844851293602</v>
      </c>
      <c r="BN41" s="44">
        <f t="shared" si="95"/>
        <v>-77.399037979757495</v>
      </c>
      <c r="BO41" s="44">
        <f t="shared" si="96"/>
        <v>-260.1774864926935</v>
      </c>
      <c r="BP41" s="44">
        <f t="shared" si="97"/>
        <v>61.810166182801083</v>
      </c>
      <c r="BQ41" s="44">
        <f t="shared" si="98"/>
        <v>-120.96828233013493</v>
      </c>
    </row>
    <row r="42" spans="2:69">
      <c r="B42" s="7" t="s">
        <v>7</v>
      </c>
      <c r="C42" s="29" t="s">
        <v>8</v>
      </c>
      <c r="D42" s="25" t="s">
        <v>261</v>
      </c>
      <c r="E42" s="100">
        <v>40</v>
      </c>
      <c r="F42" s="100">
        <v>46105</v>
      </c>
      <c r="G42" s="103">
        <v>27</v>
      </c>
      <c r="H42" s="102" t="s">
        <v>38</v>
      </c>
      <c r="I42" s="27" t="s">
        <v>170</v>
      </c>
      <c r="J42" s="7"/>
      <c r="K42" s="7" t="s">
        <v>171</v>
      </c>
      <c r="L42" s="7" t="s">
        <v>172</v>
      </c>
      <c r="M42" s="21" t="s">
        <v>51</v>
      </c>
      <c r="N42" s="7"/>
      <c r="O42" s="20">
        <v>1400</v>
      </c>
      <c r="P42" s="61">
        <v>37800</v>
      </c>
      <c r="Q42" s="20">
        <v>1271.6296296296296</v>
      </c>
      <c r="R42" s="30">
        <v>3466</v>
      </c>
      <c r="S42" s="32">
        <f t="shared" si="64"/>
        <v>34334</v>
      </c>
      <c r="T42" s="65">
        <v>1</v>
      </c>
      <c r="U42" s="156" t="s">
        <v>262</v>
      </c>
      <c r="V42" s="157" t="s">
        <v>263</v>
      </c>
      <c r="W42" s="158" t="s">
        <v>182</v>
      </c>
      <c r="X42" s="4" t="s">
        <v>113</v>
      </c>
      <c r="Y42" s="7"/>
      <c r="Z42" s="7"/>
      <c r="AA42" s="7"/>
      <c r="AB42" s="20">
        <f t="shared" si="66"/>
        <v>0</v>
      </c>
      <c r="AC42" s="46">
        <f>IFERROR(INDEX('Costos Producción Febrero'!$G$34:$G$57,MATCH(Resumen!Y42,'Costos Producción Febrero'!$B$34:$B$57,0))*AI42*G42,0)</f>
        <v>0</v>
      </c>
      <c r="AD42" s="46">
        <f>IFERROR(INDEX('Costos Producción Febrero'!$H$34:$H$57,MATCH(Resumen!Y42,'Costos Producción Febrero'!$B$34:$B$57,0))*AI42*G42,0)</f>
        <v>0</v>
      </c>
      <c r="AE42" s="46">
        <f>IFERROR(INDEX('Costos Producción Febrero'!$I$34:$I$57,MATCH(Resumen!Y42,'Costos Producción Febrero'!$B$34:$B$57,0))*AI42*G42,0)</f>
        <v>0</v>
      </c>
      <c r="AF42" s="46">
        <f>IFERROR(INDEX('Costos Producción Febrero'!$J$34:$J$57,MATCH(Resumen!Y42,'Costos Producción Febrero'!$B$34:$B$57,0))*AI42*G42,0)</f>
        <v>0</v>
      </c>
      <c r="AG42" s="46">
        <f t="shared" si="67"/>
        <v>0</v>
      </c>
      <c r="AH42" s="46"/>
      <c r="AI42" s="46">
        <v>0</v>
      </c>
      <c r="AJ42" s="46"/>
      <c r="AK42" s="45">
        <f t="shared" si="68"/>
        <v>37800</v>
      </c>
      <c r="AL42" s="94">
        <f t="shared" si="69"/>
        <v>1</v>
      </c>
      <c r="AM42" s="44">
        <f t="shared" si="70"/>
        <v>3466</v>
      </c>
      <c r="AN42" s="44">
        <f t="shared" si="63"/>
        <v>1954.3846153846155</v>
      </c>
      <c r="AO42" s="44">
        <f t="shared" si="71"/>
        <v>5420.3846153846152</v>
      </c>
      <c r="AP42" s="44">
        <f t="shared" si="72"/>
        <v>1063.0489026956609</v>
      </c>
      <c r="AQ42" s="44">
        <f t="shared" si="73"/>
        <v>1030.02</v>
      </c>
      <c r="AR42" s="45">
        <f t="shared" si="74"/>
        <v>32346.586481919723</v>
      </c>
      <c r="AS42" s="94">
        <f t="shared" si="75"/>
        <v>0.85572980110898733</v>
      </c>
      <c r="AT42" s="44">
        <f t="shared" si="76"/>
        <v>2089.7740254534524</v>
      </c>
      <c r="AU42" s="45">
        <f t="shared" si="77"/>
        <v>30256.812456466272</v>
      </c>
      <c r="AV42" s="94">
        <f t="shared" si="78"/>
        <v>0.80044477398058922</v>
      </c>
      <c r="AW42" s="44">
        <f t="shared" si="79"/>
        <v>1668.8744869356292</v>
      </c>
      <c r="AX42" s="45">
        <f t="shared" si="80"/>
        <v>34015.460968855354</v>
      </c>
      <c r="AY42" s="94">
        <f t="shared" si="81"/>
        <v>0.89987991981098814</v>
      </c>
      <c r="BA42" s="44">
        <f t="shared" si="82"/>
        <v>1400</v>
      </c>
      <c r="BB42" s="44">
        <f t="shared" si="83"/>
        <v>0</v>
      </c>
      <c r="BC42" s="44">
        <f t="shared" si="84"/>
        <v>0</v>
      </c>
      <c r="BD42" s="44">
        <f t="shared" si="85"/>
        <v>0</v>
      </c>
      <c r="BE42" s="44">
        <f t="shared" si="86"/>
        <v>0</v>
      </c>
      <c r="BF42" s="44">
        <f t="shared" si="87"/>
        <v>0</v>
      </c>
      <c r="BG42" s="44">
        <f t="shared" si="88"/>
        <v>1400</v>
      </c>
      <c r="BH42" s="44">
        <f t="shared" si="89"/>
        <v>-128.37037037037038</v>
      </c>
      <c r="BI42" s="44">
        <f t="shared" si="90"/>
        <v>-72.384615384615387</v>
      </c>
      <c r="BJ42" s="44">
        <f t="shared" si="91"/>
        <v>-200.75498575498574</v>
      </c>
      <c r="BK42" s="44">
        <f t="shared" si="92"/>
        <v>-39.372181581320774</v>
      </c>
      <c r="BL42" s="44">
        <f t="shared" si="93"/>
        <v>38.148888888888891</v>
      </c>
      <c r="BM42" s="44">
        <f t="shared" si="94"/>
        <v>1198.0217215525824</v>
      </c>
      <c r="BN42" s="44">
        <f t="shared" si="95"/>
        <v>-77.399037979757495</v>
      </c>
      <c r="BO42" s="44">
        <f t="shared" si="96"/>
        <v>1120.6226835728248</v>
      </c>
      <c r="BP42" s="44">
        <f t="shared" si="97"/>
        <v>61.810166182801083</v>
      </c>
      <c r="BQ42" s="44">
        <f t="shared" si="98"/>
        <v>1259.8318877353834</v>
      </c>
    </row>
    <row r="43" spans="2:69">
      <c r="B43" s="7" t="s">
        <v>7</v>
      </c>
      <c r="C43" s="29" t="s">
        <v>8</v>
      </c>
      <c r="D43" s="25" t="s">
        <v>232</v>
      </c>
      <c r="E43" s="100">
        <v>42</v>
      </c>
      <c r="F43" s="100">
        <v>46104</v>
      </c>
      <c r="G43" s="101">
        <v>48</v>
      </c>
      <c r="H43" s="102" t="s">
        <v>37</v>
      </c>
      <c r="I43" s="27" t="s">
        <v>126</v>
      </c>
      <c r="J43" s="7"/>
      <c r="K43" s="7" t="s">
        <v>127</v>
      </c>
      <c r="L43" s="7" t="s">
        <v>128</v>
      </c>
      <c r="M43" s="21" t="s">
        <v>43</v>
      </c>
      <c r="N43" s="7" t="s">
        <v>129</v>
      </c>
      <c r="O43" s="20">
        <v>1600</v>
      </c>
      <c r="P43" s="61">
        <v>76800</v>
      </c>
      <c r="Q43" s="20">
        <v>1462.5</v>
      </c>
      <c r="R43" s="30">
        <v>6600</v>
      </c>
      <c r="S43" s="32">
        <f t="shared" si="64"/>
        <v>70200</v>
      </c>
      <c r="T43" s="65">
        <v>2</v>
      </c>
      <c r="U43" s="23" t="s">
        <v>264</v>
      </c>
      <c r="V43" s="27">
        <v>6446513180</v>
      </c>
      <c r="W43" s="62" t="s">
        <v>122</v>
      </c>
      <c r="X43" s="4" t="s">
        <v>113</v>
      </c>
      <c r="Y43" s="7">
        <v>10007969</v>
      </c>
      <c r="Z43" s="7" t="s">
        <v>218</v>
      </c>
      <c r="AA43" s="7" t="str">
        <f t="shared" ref="AA43:AA71" si="99">B43&amp;Y43&amp;Z43</f>
        <v>FEBRERO10007969Inventario final</v>
      </c>
      <c r="AB43" s="20">
        <f t="shared" si="66"/>
        <v>1205.0788876276958</v>
      </c>
      <c r="AC43" s="46">
        <f>IFERROR(INDEX('Costos Producción Febrero'!$G$34:$G$57,MATCH(Resumen!Y43,'Costos Producción Febrero'!$B$34:$B$57,0))*AI43*G43,0)</f>
        <v>48999.282633371178</v>
      </c>
      <c r="AD43" s="46">
        <f>IFERROR(INDEX('Costos Producción Febrero'!$H$34:$H$57,MATCH(Resumen!Y43,'Costos Producción Febrero'!$B$34:$B$57,0))*AI43*G43,0)</f>
        <v>9840.0000000000018</v>
      </c>
      <c r="AE43" s="46">
        <f>IFERROR(INDEX('Costos Producción Febrero'!$I$34:$I$57,MATCH(Resumen!Y43,'Costos Producción Febrero'!$B$34:$B$57,0))*AI43*G43,0)</f>
        <v>757.17593643586838</v>
      </c>
      <c r="AF43" s="46">
        <f>IFERROR(INDEX('Costos Producción Febrero'!$J$34:$J$57,MATCH(Resumen!Y43,'Costos Producción Febrero'!$B$34:$B$57,0))*AI43*G43,0)</f>
        <v>-1752.6719636776393</v>
      </c>
      <c r="AG43" s="46">
        <f t="shared" si="67"/>
        <v>57843.786606129404</v>
      </c>
      <c r="AH43" s="46"/>
      <c r="AI43" s="46">
        <f>INDEX('Costos Producción Febrero'!$F$5:$F$28,MATCH(Resumen!Y43,'Costos Producción Febrero'!$B$5:$B$28,0))</f>
        <v>1205.0788876276961</v>
      </c>
      <c r="AJ43" s="46"/>
      <c r="AK43" s="45">
        <f t="shared" si="68"/>
        <v>18956.213393870596</v>
      </c>
      <c r="AL43" s="94">
        <f t="shared" si="69"/>
        <v>0.24682569523269005</v>
      </c>
      <c r="AM43" s="44">
        <f t="shared" si="70"/>
        <v>6600</v>
      </c>
      <c r="AN43" s="44">
        <f t="shared" si="63"/>
        <v>3474.4615384615386</v>
      </c>
      <c r="AO43" s="44">
        <f t="shared" si="71"/>
        <v>10074.461538461539</v>
      </c>
      <c r="AP43" s="44">
        <f t="shared" si="72"/>
        <v>1889.8647159033972</v>
      </c>
      <c r="AQ43" s="44">
        <f t="shared" si="73"/>
        <v>2106</v>
      </c>
      <c r="AR43" s="45">
        <f t="shared" si="74"/>
        <v>9097.8871395056594</v>
      </c>
      <c r="AS43" s="94">
        <f t="shared" si="75"/>
        <v>0.11846207212897994</v>
      </c>
      <c r="AT43" s="44">
        <f t="shared" si="76"/>
        <v>3715.1538230283595</v>
      </c>
      <c r="AU43" s="45">
        <f t="shared" si="77"/>
        <v>5382.7333164772999</v>
      </c>
      <c r="AV43" s="94">
        <f t="shared" si="78"/>
        <v>7.0087673391631508E-2</v>
      </c>
      <c r="AW43" s="44">
        <f t="shared" si="79"/>
        <v>2966.887976774452</v>
      </c>
      <c r="AX43" s="45">
        <f t="shared" si="80"/>
        <v>12064.775116280111</v>
      </c>
      <c r="AY43" s="94">
        <f t="shared" si="81"/>
        <v>0.15709342599323062</v>
      </c>
      <c r="BA43" s="44">
        <f t="shared" si="82"/>
        <v>1600</v>
      </c>
      <c r="BB43" s="44">
        <f t="shared" si="83"/>
        <v>-1020.8183881952328</v>
      </c>
      <c r="BC43" s="44">
        <f t="shared" si="84"/>
        <v>-205.00000000000003</v>
      </c>
      <c r="BD43" s="44">
        <f t="shared" si="85"/>
        <v>-15.774498675747259</v>
      </c>
      <c r="BE43" s="44">
        <f t="shared" si="86"/>
        <v>36.513999243284154</v>
      </c>
      <c r="BF43" s="44">
        <f t="shared" si="87"/>
        <v>-1205.0788876276958</v>
      </c>
      <c r="BG43" s="44">
        <f t="shared" si="88"/>
        <v>394.92111237230409</v>
      </c>
      <c r="BH43" s="44">
        <f t="shared" si="89"/>
        <v>-137.5</v>
      </c>
      <c r="BI43" s="44">
        <f t="shared" si="90"/>
        <v>-72.384615384615387</v>
      </c>
      <c r="BJ43" s="44">
        <f t="shared" si="91"/>
        <v>-209.88461538461539</v>
      </c>
      <c r="BK43" s="44">
        <f t="shared" si="92"/>
        <v>-39.372181581320774</v>
      </c>
      <c r="BL43" s="44">
        <f t="shared" si="93"/>
        <v>43.875</v>
      </c>
      <c r="BM43" s="44">
        <f t="shared" si="94"/>
        <v>189.5393154063679</v>
      </c>
      <c r="BN43" s="44">
        <f t="shared" si="95"/>
        <v>-77.399037979757495</v>
      </c>
      <c r="BO43" s="44">
        <f t="shared" si="96"/>
        <v>112.14027742661041</v>
      </c>
      <c r="BP43" s="44">
        <f t="shared" si="97"/>
        <v>61.810166182801083</v>
      </c>
      <c r="BQ43" s="44">
        <f t="shared" si="98"/>
        <v>251.34948158916896</v>
      </c>
    </row>
    <row r="44" spans="2:69">
      <c r="B44" s="7" t="s">
        <v>7</v>
      </c>
      <c r="C44" s="29" t="s">
        <v>8</v>
      </c>
      <c r="D44" s="25" t="s">
        <v>234</v>
      </c>
      <c r="E44" s="100">
        <v>43</v>
      </c>
      <c r="F44" s="100">
        <v>46084</v>
      </c>
      <c r="G44" s="103">
        <v>116.8</v>
      </c>
      <c r="H44" s="102" t="s">
        <v>32</v>
      </c>
      <c r="I44" s="27" t="s">
        <v>155</v>
      </c>
      <c r="J44" s="4" t="s">
        <v>235</v>
      </c>
      <c r="K44" s="7" t="s">
        <v>171</v>
      </c>
      <c r="L44" s="7" t="s">
        <v>172</v>
      </c>
      <c r="M44" s="21" t="s">
        <v>43</v>
      </c>
      <c r="N44" s="7" t="s">
        <v>129</v>
      </c>
      <c r="O44" s="20">
        <v>1600</v>
      </c>
      <c r="P44" s="61">
        <v>186880</v>
      </c>
      <c r="Q44" s="20">
        <v>1484.2893835616439</v>
      </c>
      <c r="R44" s="30">
        <v>13515</v>
      </c>
      <c r="S44" s="32">
        <f t="shared" si="64"/>
        <v>173365</v>
      </c>
      <c r="T44" s="31">
        <v>5</v>
      </c>
      <c r="U44" s="66" t="s">
        <v>222</v>
      </c>
      <c r="V44" s="29" t="s">
        <v>236</v>
      </c>
      <c r="W44" s="159" t="s">
        <v>138</v>
      </c>
      <c r="X44" s="4" t="s">
        <v>113</v>
      </c>
      <c r="Y44" s="7">
        <v>10006720</v>
      </c>
      <c r="Z44" s="7" t="s">
        <v>218</v>
      </c>
      <c r="AA44" s="7" t="str">
        <f t="shared" si="99"/>
        <v>FEBRERO10006720Inventario final</v>
      </c>
      <c r="AB44" s="20">
        <f t="shared" si="66"/>
        <v>1594.5633182136664</v>
      </c>
      <c r="AC44" s="46">
        <f>IFERROR(INDEX('Costos Producción Febrero'!$G$34:$G$57,MATCH(Resumen!Y44,'Costos Producción Febrero'!$B$34:$B$57,0))*AI44*G44,0)</f>
        <v>119512.11650256295</v>
      </c>
      <c r="AD44" s="46">
        <f>IFERROR(INDEX('Costos Producción Febrero'!$H$34:$H$57,MATCH(Resumen!Y44,'Costos Producción Febrero'!$B$34:$B$57,0))*AI44*G44,0)</f>
        <v>25137.856488549616</v>
      </c>
      <c r="AE44" s="46">
        <f>IFERROR(INDEX('Costos Producción Febrero'!$I$34:$I$57,MATCH(Resumen!Y44,'Costos Producción Febrero'!$B$34:$B$57,0))*AI44*G44,0)</f>
        <v>1740.245484382491</v>
      </c>
      <c r="AF44" s="46">
        <f>IFERROR(INDEX('Costos Producción Febrero'!$J$34:$J$57,MATCH(Resumen!Y44,'Costos Producción Febrero'!$B$34:$B$57,0))*AI44*G44,0)</f>
        <v>39854.777091861193</v>
      </c>
      <c r="AG44" s="46">
        <f t="shared" si="67"/>
        <v>186244.99556735624</v>
      </c>
      <c r="AH44" s="46"/>
      <c r="AI44" s="46">
        <f>INDEX('Costos Producción Febrero'!$F$5:$F$28,MATCH(Resumen!Y44,'Costos Producción Febrero'!$B$5:$B$28,0))</f>
        <v>1594.5633182136667</v>
      </c>
      <c r="AJ44" s="46"/>
      <c r="AK44" s="45">
        <f t="shared" si="68"/>
        <v>635.00443264376372</v>
      </c>
      <c r="AL44" s="94">
        <f t="shared" si="69"/>
        <v>3.397926116458496E-3</v>
      </c>
      <c r="AM44" s="44">
        <f t="shared" si="70"/>
        <v>13515</v>
      </c>
      <c r="AN44" s="44">
        <f t="shared" si="63"/>
        <v>8454.5230769230766</v>
      </c>
      <c r="AO44" s="44">
        <f t="shared" si="71"/>
        <v>21969.523076923077</v>
      </c>
      <c r="AP44" s="44">
        <f t="shared" si="72"/>
        <v>4598.6708086982662</v>
      </c>
      <c r="AQ44" s="44">
        <f t="shared" si="73"/>
        <v>5200.95</v>
      </c>
      <c r="AR44" s="45">
        <f t="shared" si="74"/>
        <v>-20732.239452977577</v>
      </c>
      <c r="AS44" s="94">
        <f t="shared" si="75"/>
        <v>-0.11093878131944337</v>
      </c>
      <c r="AT44" s="44">
        <f t="shared" si="76"/>
        <v>9040.207636035675</v>
      </c>
      <c r="AU44" s="45">
        <f t="shared" si="77"/>
        <v>-29772.447089013251</v>
      </c>
      <c r="AV44" s="94">
        <f t="shared" si="78"/>
        <v>-0.15931318005679179</v>
      </c>
      <c r="AW44" s="44">
        <f t="shared" si="79"/>
        <v>7219.4274101511664</v>
      </c>
      <c r="AX44" s="45">
        <f t="shared" si="80"/>
        <v>-13512.812042826412</v>
      </c>
      <c r="AY44" s="94">
        <f t="shared" si="81"/>
        <v>-7.2307427455192697E-2</v>
      </c>
      <c r="BA44" s="44">
        <f t="shared" si="82"/>
        <v>1600</v>
      </c>
      <c r="BB44" s="44">
        <f t="shared" si="83"/>
        <v>-1023.2201755356417</v>
      </c>
      <c r="BC44" s="44">
        <f t="shared" si="84"/>
        <v>-215.22137404580153</v>
      </c>
      <c r="BD44" s="44">
        <f t="shared" si="85"/>
        <v>-14.899362023822697</v>
      </c>
      <c r="BE44" s="44">
        <f t="shared" si="86"/>
        <v>-341.22240660840066</v>
      </c>
      <c r="BF44" s="44">
        <f t="shared" si="87"/>
        <v>-1594.5633182136664</v>
      </c>
      <c r="BG44" s="44">
        <f t="shared" si="88"/>
        <v>5.4366817863335939</v>
      </c>
      <c r="BH44" s="44">
        <f t="shared" si="89"/>
        <v>-115.71061643835617</v>
      </c>
      <c r="BI44" s="44">
        <f t="shared" si="90"/>
        <v>-72.384615384615387</v>
      </c>
      <c r="BJ44" s="44">
        <f t="shared" si="91"/>
        <v>-188.09523182297156</v>
      </c>
      <c r="BK44" s="44">
        <f t="shared" si="92"/>
        <v>-39.372181581320774</v>
      </c>
      <c r="BL44" s="44">
        <f t="shared" si="93"/>
        <v>44.528681506849317</v>
      </c>
      <c r="BM44" s="44">
        <f t="shared" si="94"/>
        <v>-177.50205011110941</v>
      </c>
      <c r="BN44" s="44">
        <f t="shared" si="95"/>
        <v>-77.399037979757495</v>
      </c>
      <c r="BO44" s="44">
        <f t="shared" si="96"/>
        <v>-254.90108809086689</v>
      </c>
      <c r="BP44" s="44">
        <f t="shared" si="97"/>
        <v>61.810166182801083</v>
      </c>
      <c r="BQ44" s="44">
        <f t="shared" si="98"/>
        <v>-115.69188392830833</v>
      </c>
    </row>
    <row r="45" spans="2:69">
      <c r="B45" s="7" t="s">
        <v>7</v>
      </c>
      <c r="C45" s="29" t="s">
        <v>8</v>
      </c>
      <c r="D45" s="25" t="s">
        <v>237</v>
      </c>
      <c r="E45" s="100">
        <v>43</v>
      </c>
      <c r="F45" s="100">
        <v>46091</v>
      </c>
      <c r="G45" s="103">
        <v>135</v>
      </c>
      <c r="H45" s="102" t="s">
        <v>32</v>
      </c>
      <c r="I45" s="27" t="s">
        <v>155</v>
      </c>
      <c r="J45" s="4" t="s">
        <v>235</v>
      </c>
      <c r="K45" s="7" t="s">
        <v>171</v>
      </c>
      <c r="L45" s="7" t="s">
        <v>172</v>
      </c>
      <c r="M45" s="21" t="s">
        <v>43</v>
      </c>
      <c r="N45" s="7" t="s">
        <v>129</v>
      </c>
      <c r="O45" s="20">
        <v>1600</v>
      </c>
      <c r="P45" s="61">
        <v>216000</v>
      </c>
      <c r="Q45" s="20">
        <v>1519.911111111111</v>
      </c>
      <c r="R45" s="30">
        <v>10812</v>
      </c>
      <c r="S45" s="32">
        <f t="shared" si="64"/>
        <v>205188</v>
      </c>
      <c r="T45" s="31">
        <v>4</v>
      </c>
      <c r="U45" s="66" t="s">
        <v>238</v>
      </c>
      <c r="V45" s="67" t="s">
        <v>239</v>
      </c>
      <c r="W45" s="159" t="s">
        <v>138</v>
      </c>
      <c r="X45" s="4" t="s">
        <v>113</v>
      </c>
      <c r="Y45" s="7">
        <v>10006720</v>
      </c>
      <c r="Z45" s="7" t="s">
        <v>218</v>
      </c>
      <c r="AA45" s="7" t="str">
        <f t="shared" si="99"/>
        <v>FEBRERO10006720Inventario final</v>
      </c>
      <c r="AB45" s="20">
        <f t="shared" si="66"/>
        <v>1594.5633182136664</v>
      </c>
      <c r="AC45" s="46">
        <f>IFERROR(INDEX('Costos Producción Febrero'!$G$34:$G$57,MATCH(Resumen!Y45,'Costos Producción Febrero'!$B$34:$B$57,0))*AI45*G45,0)</f>
        <v>138134.72369731162</v>
      </c>
      <c r="AD45" s="46">
        <f>IFERROR(INDEX('Costos Producción Febrero'!$H$34:$H$57,MATCH(Resumen!Y45,'Costos Producción Febrero'!$B$34:$B$57,0))*AI45*G45,0)</f>
        <v>29054.885496183208</v>
      </c>
      <c r="AE45" s="46">
        <f>IFERROR(INDEX('Costos Producción Febrero'!$I$34:$I$57,MATCH(Resumen!Y45,'Costos Producción Febrero'!$B$34:$B$57,0))*AI45*G45,0)</f>
        <v>2011.4138732160641</v>
      </c>
      <c r="AF45" s="46">
        <f>IFERROR(INDEX('Costos Producción Febrero'!$J$34:$J$57,MATCH(Resumen!Y45,'Costos Producción Febrero'!$B$34:$B$57,0))*AI45*G45,0)</f>
        <v>46065.02489213409</v>
      </c>
      <c r="AG45" s="46">
        <f t="shared" si="67"/>
        <v>215266.04795884498</v>
      </c>
      <c r="AH45" s="46"/>
      <c r="AI45" s="46">
        <f>INDEX('Costos Producción Febrero'!$F$5:$F$28,MATCH(Resumen!Y45,'Costos Producción Febrero'!$B$5:$B$28,0))</f>
        <v>1594.5633182136667</v>
      </c>
      <c r="AJ45" s="46"/>
      <c r="AK45" s="45">
        <f t="shared" si="68"/>
        <v>733.95204115501838</v>
      </c>
      <c r="AL45" s="94">
        <f t="shared" si="69"/>
        <v>3.3979261164584183E-3</v>
      </c>
      <c r="AM45" s="44">
        <f t="shared" si="70"/>
        <v>10812</v>
      </c>
      <c r="AN45" s="44">
        <f t="shared" si="63"/>
        <v>9771.923076923078</v>
      </c>
      <c r="AO45" s="44">
        <f t="shared" si="71"/>
        <v>20583.923076923078</v>
      </c>
      <c r="AP45" s="44">
        <f t="shared" si="72"/>
        <v>5315.2445134783047</v>
      </c>
      <c r="AQ45" s="44">
        <f t="shared" si="73"/>
        <v>6155.6399999999994</v>
      </c>
      <c r="AR45" s="45">
        <f t="shared" si="74"/>
        <v>-19009.575549246365</v>
      </c>
      <c r="AS45" s="94">
        <f t="shared" si="75"/>
        <v>-8.800729420947391E-2</v>
      </c>
      <c r="AT45" s="44">
        <f t="shared" si="76"/>
        <v>10448.870127267262</v>
      </c>
      <c r="AU45" s="45">
        <f t="shared" si="77"/>
        <v>-29458.445676513627</v>
      </c>
      <c r="AV45" s="94">
        <f t="shared" si="78"/>
        <v>-0.13638169294682234</v>
      </c>
      <c r="AW45" s="44">
        <f t="shared" si="79"/>
        <v>8344.3724346781455</v>
      </c>
      <c r="AX45" s="45">
        <f t="shared" si="80"/>
        <v>-10665.203114568219</v>
      </c>
      <c r="AY45" s="94">
        <f t="shared" si="81"/>
        <v>-4.9375940345223239E-2</v>
      </c>
      <c r="BA45" s="44">
        <f t="shared" si="82"/>
        <v>1600</v>
      </c>
      <c r="BB45" s="44">
        <f t="shared" si="83"/>
        <v>-1023.2201755356416</v>
      </c>
      <c r="BC45" s="44">
        <f t="shared" si="84"/>
        <v>-215.22137404580153</v>
      </c>
      <c r="BD45" s="44">
        <f t="shared" si="85"/>
        <v>-14.899362023822697</v>
      </c>
      <c r="BE45" s="44">
        <f t="shared" si="86"/>
        <v>-341.22240660840066</v>
      </c>
      <c r="BF45" s="44">
        <f t="shared" si="87"/>
        <v>-1594.5633182136664</v>
      </c>
      <c r="BG45" s="44">
        <f t="shared" si="88"/>
        <v>5.4366817863334695</v>
      </c>
      <c r="BH45" s="44">
        <f t="shared" si="89"/>
        <v>-80.088888888888889</v>
      </c>
      <c r="BI45" s="44">
        <f t="shared" si="90"/>
        <v>-72.384615384615387</v>
      </c>
      <c r="BJ45" s="44">
        <f t="shared" si="91"/>
        <v>-152.47350427350429</v>
      </c>
      <c r="BK45" s="44">
        <f t="shared" si="92"/>
        <v>-39.372181581320774</v>
      </c>
      <c r="BL45" s="44">
        <f t="shared" si="93"/>
        <v>45.597333333333331</v>
      </c>
      <c r="BM45" s="44">
        <f t="shared" si="94"/>
        <v>-140.81167073515826</v>
      </c>
      <c r="BN45" s="44">
        <f t="shared" si="95"/>
        <v>-77.399037979757495</v>
      </c>
      <c r="BO45" s="44">
        <f t="shared" si="96"/>
        <v>-218.21070871491577</v>
      </c>
      <c r="BP45" s="44">
        <f t="shared" si="97"/>
        <v>61.810166182801076</v>
      </c>
      <c r="BQ45" s="44">
        <f t="shared" si="98"/>
        <v>-79.001504552357176</v>
      </c>
    </row>
    <row r="46" spans="2:69">
      <c r="B46" s="7" t="s">
        <v>7</v>
      </c>
      <c r="C46" s="29" t="s">
        <v>8</v>
      </c>
      <c r="D46" s="25" t="s">
        <v>240</v>
      </c>
      <c r="E46" s="100">
        <v>43</v>
      </c>
      <c r="F46" s="100">
        <v>46092</v>
      </c>
      <c r="G46" s="101">
        <v>78</v>
      </c>
      <c r="H46" s="104" t="s">
        <v>31</v>
      </c>
      <c r="I46" s="105" t="s">
        <v>107</v>
      </c>
      <c r="J46" s="7" t="s">
        <v>265</v>
      </c>
      <c r="K46" s="7" t="s">
        <v>161</v>
      </c>
      <c r="L46" s="7" t="s">
        <v>147</v>
      </c>
      <c r="M46" s="21" t="s">
        <v>44</v>
      </c>
      <c r="N46" s="7" t="s">
        <v>214</v>
      </c>
      <c r="O46" s="20">
        <v>2400</v>
      </c>
      <c r="P46" s="220">
        <f>187200-15600</f>
        <v>171600</v>
      </c>
      <c r="Q46" s="20">
        <v>2243.0865384615386</v>
      </c>
      <c r="R46" s="30">
        <v>12239.25</v>
      </c>
      <c r="S46" s="32">
        <f t="shared" si="64"/>
        <v>159360.75</v>
      </c>
      <c r="T46" s="68">
        <v>3</v>
      </c>
      <c r="U46" s="59" t="s">
        <v>241</v>
      </c>
      <c r="V46" s="148" t="s">
        <v>242</v>
      </c>
      <c r="W46" s="158" t="s">
        <v>182</v>
      </c>
      <c r="X46" s="4"/>
      <c r="Y46" s="7">
        <v>10007162</v>
      </c>
      <c r="Z46" s="7" t="s">
        <v>218</v>
      </c>
      <c r="AA46" s="7" t="str">
        <f t="shared" si="99"/>
        <v>FEBRERO10007162Inventario final</v>
      </c>
      <c r="AB46" s="20">
        <f t="shared" si="66"/>
        <v>1665.8462115998245</v>
      </c>
      <c r="AC46" s="46">
        <f>IFERROR(INDEX('Costos Producción Febrero'!$G$34:$G$57,MATCH(Resumen!Y46,'Costos Producción Febrero'!$B$34:$B$57,0))*AI46*G46,0)</f>
        <v>79670.345867484182</v>
      </c>
      <c r="AD46" s="46">
        <f>IFERROR(INDEX('Costos Producción Febrero'!$H$34:$H$57,MATCH(Resumen!Y46,'Costos Producción Febrero'!$B$34:$B$57,0))*AI46*G46,0)</f>
        <v>22620</v>
      </c>
      <c r="AE46" s="46">
        <f>IFERROR(INDEX('Costos Producción Febrero'!$I$34:$I$57,MATCH(Resumen!Y46,'Costos Producción Febrero'!$B$34:$B$57,0))*AI46*G46,0)</f>
        <v>1204.583432396922</v>
      </c>
      <c r="AF46" s="46">
        <f>IFERROR(INDEX('Costos Producción Febrero'!$J$34:$J$57,MATCH(Resumen!Y46,'Costos Producción Febrero'!$B$34:$B$57,0))*AI46*G46,0)</f>
        <v>26441.075204905217</v>
      </c>
      <c r="AG46" s="46">
        <f t="shared" si="67"/>
        <v>129936.00450478631</v>
      </c>
      <c r="AH46" s="46"/>
      <c r="AI46" s="46">
        <f>INDEX('Costos Producción Febrero'!$F$5:$F$28,MATCH(Resumen!Y46,'Costos Producción Febrero'!$B$5:$B$28,0))</f>
        <v>1665.8462115998248</v>
      </c>
      <c r="AJ46" s="46"/>
      <c r="AK46" s="45">
        <f t="shared" si="68"/>
        <v>41663.99549521369</v>
      </c>
      <c r="AL46" s="94">
        <f t="shared" si="69"/>
        <v>0.24279717654553432</v>
      </c>
      <c r="AM46" s="44">
        <f t="shared" si="70"/>
        <v>12239.25</v>
      </c>
      <c r="AN46" s="44">
        <f t="shared" ref="AN46:AN47" si="100">1882/26*G46</f>
        <v>5646</v>
      </c>
      <c r="AO46" s="44">
        <f t="shared" si="71"/>
        <v>17885.25</v>
      </c>
      <c r="AP46" s="44">
        <f t="shared" si="72"/>
        <v>3071.0301633430204</v>
      </c>
      <c r="AQ46" s="44">
        <f t="shared" si="73"/>
        <v>4780.8225000000002</v>
      </c>
      <c r="AR46" s="45">
        <f t="shared" si="74"/>
        <v>25488.537831870672</v>
      </c>
      <c r="AS46" s="94">
        <f t="shared" si="75"/>
        <v>0.14853460274982908</v>
      </c>
      <c r="AT46" s="44">
        <f t="shared" si="76"/>
        <v>6037.124962421085</v>
      </c>
      <c r="AU46" s="45">
        <f t="shared" si="77"/>
        <v>19451.412869449588</v>
      </c>
      <c r="AV46" s="94">
        <f t="shared" si="78"/>
        <v>0.11335322184993933</v>
      </c>
      <c r="AW46" s="44">
        <f t="shared" si="79"/>
        <v>4821.1929622584848</v>
      </c>
      <c r="AX46" s="45">
        <f t="shared" si="80"/>
        <v>30309.730794129158</v>
      </c>
      <c r="AY46" s="94">
        <f t="shared" si="81"/>
        <v>0.17663013283292051</v>
      </c>
      <c r="BA46" s="44">
        <f t="shared" si="82"/>
        <v>2200</v>
      </c>
      <c r="BB46" s="44">
        <f t="shared" si="83"/>
        <v>-1021.4146906087716</v>
      </c>
      <c r="BC46" s="44">
        <f t="shared" si="84"/>
        <v>-290</v>
      </c>
      <c r="BD46" s="44">
        <f t="shared" si="85"/>
        <v>-15.443377338422078</v>
      </c>
      <c r="BE46" s="44">
        <f t="shared" si="86"/>
        <v>-338.98814365263098</v>
      </c>
      <c r="BF46" s="44">
        <f t="shared" si="87"/>
        <v>-1665.8462115998245</v>
      </c>
      <c r="BG46" s="44">
        <f t="shared" si="88"/>
        <v>534.15378840017547</v>
      </c>
      <c r="BH46" s="44">
        <f t="shared" si="89"/>
        <v>-156.91346153846155</v>
      </c>
      <c r="BI46" s="44">
        <f t="shared" si="90"/>
        <v>-72.384615384615387</v>
      </c>
      <c r="BJ46" s="44">
        <f t="shared" si="91"/>
        <v>-229.29807692307693</v>
      </c>
      <c r="BK46" s="44">
        <f t="shared" si="92"/>
        <v>-39.372181581320774</v>
      </c>
      <c r="BL46" s="44">
        <f t="shared" si="93"/>
        <v>61.292596153846155</v>
      </c>
      <c r="BM46" s="44">
        <f t="shared" si="94"/>
        <v>326.776126049624</v>
      </c>
      <c r="BN46" s="44">
        <f t="shared" si="95"/>
        <v>-77.399037979757495</v>
      </c>
      <c r="BO46" s="44">
        <f t="shared" si="96"/>
        <v>249.37708806986652</v>
      </c>
      <c r="BP46" s="44">
        <f t="shared" si="97"/>
        <v>61.81016618280109</v>
      </c>
      <c r="BQ46" s="44">
        <f t="shared" si="98"/>
        <v>388.58629223242508</v>
      </c>
    </row>
    <row r="47" spans="2:69">
      <c r="B47" s="7" t="s">
        <v>7</v>
      </c>
      <c r="C47" s="29" t="s">
        <v>8</v>
      </c>
      <c r="D47" s="27" t="s">
        <v>243</v>
      </c>
      <c r="E47" s="100">
        <v>44</v>
      </c>
      <c r="F47" s="100">
        <v>46085</v>
      </c>
      <c r="G47" s="101">
        <v>135</v>
      </c>
      <c r="H47" s="151" t="s">
        <v>33</v>
      </c>
      <c r="I47" s="27" t="s">
        <v>205</v>
      </c>
      <c r="J47" s="4" t="s">
        <v>206</v>
      </c>
      <c r="K47" s="7" t="s">
        <v>171</v>
      </c>
      <c r="L47" s="7" t="s">
        <v>244</v>
      </c>
      <c r="M47" s="21" t="s">
        <v>46</v>
      </c>
      <c r="N47" s="7"/>
      <c r="O47" s="20">
        <v>1450</v>
      </c>
      <c r="P47" s="61">
        <v>195750</v>
      </c>
      <c r="Q47" s="20">
        <v>1338.7777777777778</v>
      </c>
      <c r="R47" s="30">
        <v>15015</v>
      </c>
      <c r="S47" s="32">
        <f t="shared" si="64"/>
        <v>180735</v>
      </c>
      <c r="T47" s="68">
        <v>5</v>
      </c>
      <c r="U47" s="158" t="s">
        <v>222</v>
      </c>
      <c r="V47" s="148" t="s">
        <v>245</v>
      </c>
      <c r="W47" s="25" t="s">
        <v>138</v>
      </c>
      <c r="X47" s="4" t="s">
        <v>113</v>
      </c>
      <c r="Y47" s="7">
        <v>10005721</v>
      </c>
      <c r="Z47" s="7" t="s">
        <v>218</v>
      </c>
      <c r="AA47" s="7" t="str">
        <f t="shared" si="99"/>
        <v>FEBRERO10005721Inventario final</v>
      </c>
      <c r="AB47" s="20">
        <f t="shared" si="66"/>
        <v>1672.2065734817018</v>
      </c>
      <c r="AC47" s="46">
        <f>IFERROR(INDEX('Costos Producción Febrero'!$G$34:$G$57,MATCH(Resumen!Y47,'Costos Producción Febrero'!$B$34:$B$57,0))*AI47*G47,0)</f>
        <v>137099.15565022288</v>
      </c>
      <c r="AD47" s="46">
        <f>IFERROR(INDEX('Costos Producción Febrero'!$H$34:$H$57,MATCH(Resumen!Y47,'Costos Producción Febrero'!$B$34:$B$57,0))*AI47*G47,0)</f>
        <v>40172.898941814987</v>
      </c>
      <c r="AE47" s="46">
        <f>IFERROR(INDEX('Costos Producción Febrero'!$I$34:$I$57,MATCH(Resumen!Y47,'Costos Producción Febrero'!$B$34:$B$57,0))*AI47*G47,0)</f>
        <v>2461.0822140020014</v>
      </c>
      <c r="AF47" s="46">
        <f>IFERROR(INDEX('Costos Producción Febrero'!$J$34:$J$57,MATCH(Resumen!Y47,'Costos Producción Febrero'!$B$34:$B$57,0))*AI47*G47,0)</f>
        <v>46014.750613989876</v>
      </c>
      <c r="AG47" s="46">
        <f t="shared" si="67"/>
        <v>225747.88742002973</v>
      </c>
      <c r="AH47" s="46"/>
      <c r="AI47" s="46">
        <f>INDEX('Costos Producción Febrero'!$F$5:$F$28,MATCH(Resumen!Y47,'Costos Producción Febrero'!$B$5:$B$28,0))</f>
        <v>1672.2065734817018</v>
      </c>
      <c r="AJ47" s="46"/>
      <c r="AK47" s="45">
        <f t="shared" si="68"/>
        <v>-29997.887420029729</v>
      </c>
      <c r="AL47" s="94">
        <f t="shared" si="69"/>
        <v>-0.15324591274600116</v>
      </c>
      <c r="AM47" s="44">
        <f t="shared" si="70"/>
        <v>15015</v>
      </c>
      <c r="AN47" s="44">
        <f t="shared" si="100"/>
        <v>9771.923076923078</v>
      </c>
      <c r="AO47" s="44">
        <f t="shared" si="71"/>
        <v>24786.923076923078</v>
      </c>
      <c r="AP47" s="44">
        <f t="shared" si="72"/>
        <v>5315.2445134783047</v>
      </c>
      <c r="AQ47" s="44">
        <f t="shared" si="73"/>
        <v>5422.05</v>
      </c>
      <c r="AR47" s="45">
        <f t="shared" si="74"/>
        <v>-54678.005010431109</v>
      </c>
      <c r="AS47" s="94">
        <f t="shared" si="75"/>
        <v>-0.27932569609415636</v>
      </c>
      <c r="AT47" s="44">
        <f t="shared" si="76"/>
        <v>10448.870127267262</v>
      </c>
      <c r="AU47" s="45">
        <f t="shared" si="77"/>
        <v>-65126.875137698371</v>
      </c>
      <c r="AV47" s="94">
        <f t="shared" si="78"/>
        <v>-0.33270434297674772</v>
      </c>
      <c r="AW47" s="44">
        <f t="shared" si="79"/>
        <v>8344.3724346781455</v>
      </c>
      <c r="AX47" s="45">
        <f t="shared" si="80"/>
        <v>-46333.632575752963</v>
      </c>
      <c r="AY47" s="94">
        <f t="shared" si="81"/>
        <v>-0.23669799527843149</v>
      </c>
      <c r="BA47" s="44">
        <f t="shared" si="82"/>
        <v>1450</v>
      </c>
      <c r="BB47" s="44">
        <f t="shared" si="83"/>
        <v>-1015.549301112762</v>
      </c>
      <c r="BC47" s="44">
        <f t="shared" si="84"/>
        <v>-297.57702919862953</v>
      </c>
      <c r="BD47" s="44">
        <f t="shared" si="85"/>
        <v>-18.230238622237046</v>
      </c>
      <c r="BE47" s="44">
        <f t="shared" si="86"/>
        <v>-340.85000454807317</v>
      </c>
      <c r="BF47" s="44">
        <f t="shared" si="87"/>
        <v>-1672.2065734817018</v>
      </c>
      <c r="BG47" s="44">
        <f t="shared" si="88"/>
        <v>-222.2065734817017</v>
      </c>
      <c r="BH47" s="44">
        <f t="shared" si="89"/>
        <v>-111.22222222222223</v>
      </c>
      <c r="BI47" s="44">
        <f t="shared" si="90"/>
        <v>-72.384615384615387</v>
      </c>
      <c r="BJ47" s="44">
        <f t="shared" si="91"/>
        <v>-183.60683760683762</v>
      </c>
      <c r="BK47" s="44">
        <f t="shared" si="92"/>
        <v>-39.372181581320774</v>
      </c>
      <c r="BL47" s="44">
        <f t="shared" si="93"/>
        <v>40.163333333333334</v>
      </c>
      <c r="BM47" s="44">
        <f t="shared" si="94"/>
        <v>-405.0222593365267</v>
      </c>
      <c r="BN47" s="44">
        <f t="shared" si="95"/>
        <v>-77.399037979757495</v>
      </c>
      <c r="BO47" s="44">
        <f t="shared" si="96"/>
        <v>-482.42129731628421</v>
      </c>
      <c r="BP47" s="44">
        <f t="shared" si="97"/>
        <v>61.810166182801076</v>
      </c>
      <c r="BQ47" s="44">
        <f t="shared" si="98"/>
        <v>-343.21209315372568</v>
      </c>
    </row>
    <row r="48" spans="2:69">
      <c r="B48" s="7" t="s">
        <v>7</v>
      </c>
      <c r="C48" s="29" t="s">
        <v>8</v>
      </c>
      <c r="D48" s="25" t="s">
        <v>246</v>
      </c>
      <c r="E48" s="100">
        <v>47</v>
      </c>
      <c r="F48" s="100">
        <v>46092</v>
      </c>
      <c r="G48" s="101">
        <v>150</v>
      </c>
      <c r="H48" s="104" t="s">
        <v>31</v>
      </c>
      <c r="I48" s="105" t="s">
        <v>107</v>
      </c>
      <c r="J48" s="7" t="s">
        <v>247</v>
      </c>
      <c r="K48" s="7" t="s">
        <v>161</v>
      </c>
      <c r="L48" s="7" t="s">
        <v>147</v>
      </c>
      <c r="M48" s="21" t="s">
        <v>44</v>
      </c>
      <c r="N48" s="7" t="s">
        <v>214</v>
      </c>
      <c r="O48" s="20">
        <v>2300</v>
      </c>
      <c r="P48" s="61">
        <v>345000</v>
      </c>
      <c r="Q48" s="20">
        <v>2139.1</v>
      </c>
      <c r="R48" s="30">
        <v>24135</v>
      </c>
      <c r="S48" s="32">
        <f t="shared" si="64"/>
        <v>320865</v>
      </c>
      <c r="T48" s="68">
        <v>6</v>
      </c>
      <c r="U48" s="59" t="s">
        <v>241</v>
      </c>
      <c r="V48" s="148" t="s">
        <v>248</v>
      </c>
      <c r="W48" s="150" t="s">
        <v>182</v>
      </c>
      <c r="X48" s="160"/>
      <c r="Y48" s="7">
        <v>10007162</v>
      </c>
      <c r="Z48" s="7" t="s">
        <v>218</v>
      </c>
      <c r="AA48" s="7" t="str">
        <f t="shared" si="99"/>
        <v>FEBRERO10007162Inventario final</v>
      </c>
      <c r="AB48" s="20">
        <f t="shared" si="66"/>
        <v>1665.8462115998245</v>
      </c>
      <c r="AC48" s="46">
        <f>IFERROR(INDEX('Costos Producción Febrero'!$G$34:$G$57,MATCH(Resumen!Y48,'Costos Producción Febrero'!$B$34:$B$57,0))*AI48*G48,0)</f>
        <v>153212.20359131575</v>
      </c>
      <c r="AD48" s="46">
        <f>IFERROR(INDEX('Costos Producción Febrero'!$H$34:$H$57,MATCH(Resumen!Y48,'Costos Producción Febrero'!$B$34:$B$57,0))*AI48*G48,0)</f>
        <v>43500</v>
      </c>
      <c r="AE48" s="46">
        <f>IFERROR(INDEX('Costos Producción Febrero'!$I$34:$I$57,MATCH(Resumen!Y48,'Costos Producción Febrero'!$B$34:$B$57,0))*AI48*G48,0)</f>
        <v>2316.5066007633113</v>
      </c>
      <c r="AF48" s="46">
        <f>IFERROR(INDEX('Costos Producción Febrero'!$J$34:$J$57,MATCH(Resumen!Y48,'Costos Producción Febrero'!$B$34:$B$57,0))*AI48*G48,0)</f>
        <v>50848.221547894645</v>
      </c>
      <c r="AG48" s="46">
        <f t="shared" si="67"/>
        <v>249876.93173997369</v>
      </c>
      <c r="AH48" s="46"/>
      <c r="AI48" s="46">
        <f>INDEX('Costos Producción Febrero'!$F$5:$F$28,MATCH(Resumen!Y48,'Costos Producción Febrero'!$B$5:$B$28,0))</f>
        <v>1665.8462115998248</v>
      </c>
      <c r="AJ48" s="46"/>
      <c r="AK48" s="45">
        <f t="shared" si="68"/>
        <v>95123.06826002631</v>
      </c>
      <c r="AL48" s="94">
        <f t="shared" si="69"/>
        <v>0.27571903843485884</v>
      </c>
      <c r="AM48" s="44">
        <f t="shared" si="70"/>
        <v>24135</v>
      </c>
      <c r="AN48" s="44">
        <f t="shared" ref="AN48:AN50" si="101">1882/26*G48</f>
        <v>10857.692307692309</v>
      </c>
      <c r="AO48" s="44">
        <f t="shared" si="71"/>
        <v>34992.692307692312</v>
      </c>
      <c r="AP48" s="44">
        <f t="shared" si="72"/>
        <v>5905.8272371981166</v>
      </c>
      <c r="AQ48" s="44">
        <f t="shared" si="73"/>
        <v>9625.9499999999989</v>
      </c>
      <c r="AR48" s="45">
        <f t="shared" si="74"/>
        <v>63850.49871513588</v>
      </c>
      <c r="AS48" s="94">
        <f t="shared" si="75"/>
        <v>0.18507390931923443</v>
      </c>
      <c r="AT48" s="44">
        <f t="shared" si="76"/>
        <v>11609.855696963625</v>
      </c>
      <c r="AU48" s="45">
        <f t="shared" si="77"/>
        <v>52240.643018172254</v>
      </c>
      <c r="AV48" s="94">
        <f t="shared" si="78"/>
        <v>0.15142215367586159</v>
      </c>
      <c r="AW48" s="44">
        <f t="shared" si="79"/>
        <v>9271.5249274201633</v>
      </c>
      <c r="AX48" s="45">
        <f t="shared" si="80"/>
        <v>73122.023642556043</v>
      </c>
      <c r="AY48" s="94">
        <f t="shared" si="81"/>
        <v>0.21194789461610447</v>
      </c>
      <c r="BA48" s="44">
        <f t="shared" si="82"/>
        <v>2300</v>
      </c>
      <c r="BB48" s="44">
        <f t="shared" si="83"/>
        <v>-1021.4146906087716</v>
      </c>
      <c r="BC48" s="44">
        <f t="shared" si="84"/>
        <v>-290</v>
      </c>
      <c r="BD48" s="44">
        <f t="shared" si="85"/>
        <v>-15.443377338422076</v>
      </c>
      <c r="BE48" s="44">
        <f t="shared" si="86"/>
        <v>-338.98814365263098</v>
      </c>
      <c r="BF48" s="44">
        <f t="shared" si="87"/>
        <v>-1665.8462115998245</v>
      </c>
      <c r="BG48" s="44">
        <f t="shared" si="88"/>
        <v>634.15378840017536</v>
      </c>
      <c r="BH48" s="44">
        <f t="shared" si="89"/>
        <v>-160.9</v>
      </c>
      <c r="BI48" s="44">
        <f t="shared" si="90"/>
        <v>-72.384615384615387</v>
      </c>
      <c r="BJ48" s="44">
        <f t="shared" si="91"/>
        <v>-233.28461538461542</v>
      </c>
      <c r="BK48" s="44">
        <f t="shared" si="92"/>
        <v>-39.372181581320774</v>
      </c>
      <c r="BL48" s="44">
        <f t="shared" si="93"/>
        <v>64.172999999999988</v>
      </c>
      <c r="BM48" s="44">
        <f t="shared" si="94"/>
        <v>425.66999143423919</v>
      </c>
      <c r="BN48" s="44">
        <f t="shared" si="95"/>
        <v>-77.399037979757495</v>
      </c>
      <c r="BO48" s="44">
        <f t="shared" si="96"/>
        <v>348.27095345448168</v>
      </c>
      <c r="BP48" s="44">
        <f t="shared" si="97"/>
        <v>61.81016618280109</v>
      </c>
      <c r="BQ48" s="44">
        <f t="shared" si="98"/>
        <v>487.48015761704028</v>
      </c>
    </row>
    <row r="49" spans="2:69">
      <c r="B49" s="7" t="s">
        <v>7</v>
      </c>
      <c r="C49" s="29" t="s">
        <v>8</v>
      </c>
      <c r="D49" s="25" t="s">
        <v>246</v>
      </c>
      <c r="E49" s="100">
        <v>47</v>
      </c>
      <c r="F49" s="100">
        <v>46092</v>
      </c>
      <c r="G49" s="101">
        <v>25</v>
      </c>
      <c r="H49" s="104" t="s">
        <v>36</v>
      </c>
      <c r="I49" s="105" t="s">
        <v>107</v>
      </c>
      <c r="J49" s="7"/>
      <c r="K49" s="7" t="s">
        <v>161</v>
      </c>
      <c r="L49" s="7" t="s">
        <v>147</v>
      </c>
      <c r="M49" s="21" t="s">
        <v>44</v>
      </c>
      <c r="N49" s="7" t="s">
        <v>214</v>
      </c>
      <c r="O49" s="20">
        <v>2500</v>
      </c>
      <c r="P49" s="61">
        <v>62500</v>
      </c>
      <c r="Q49" s="20">
        <v>2336.7199999999998</v>
      </c>
      <c r="R49" s="30">
        <v>4082</v>
      </c>
      <c r="S49" s="32">
        <f t="shared" si="64"/>
        <v>58418</v>
      </c>
      <c r="T49" s="65">
        <v>1</v>
      </c>
      <c r="U49" s="59" t="s">
        <v>241</v>
      </c>
      <c r="V49" s="148" t="s">
        <v>248</v>
      </c>
      <c r="W49" s="150" t="s">
        <v>182</v>
      </c>
      <c r="X49" s="160"/>
      <c r="Y49" s="7">
        <v>10007567</v>
      </c>
      <c r="Z49" s="7" t="s">
        <v>218</v>
      </c>
      <c r="AA49" s="7" t="str">
        <f t="shared" si="99"/>
        <v>FEBRERO10007567Inventario final</v>
      </c>
      <c r="AB49" s="20">
        <f t="shared" si="66"/>
        <v>1652.2357755261103</v>
      </c>
      <c r="AC49" s="46">
        <f>IFERROR(INDEX('Costos Producción Febrero'!$G$34:$G$57,MATCH(Resumen!Y49,'Costos Producción Febrero'!$B$34:$B$57,0))*AI49*G49,0)</f>
        <v>25509.801247077157</v>
      </c>
      <c r="AD49" s="46">
        <f>IFERROR(INDEX('Costos Producción Febrero'!$H$34:$H$57,MATCH(Resumen!Y49,'Costos Producción Febrero'!$B$34:$B$57,0))*AI49*G49,0)</f>
        <v>6874.9999999999982</v>
      </c>
      <c r="AE49" s="46">
        <f>IFERROR(INDEX('Costos Producción Febrero'!$I$34:$I$57,MATCH(Resumen!Y49,'Costos Producción Febrero'!$B$34:$B$57,0))*AI49*G49,0)</f>
        <v>445.83008573655485</v>
      </c>
      <c r="AF49" s="46">
        <f>IFERROR(INDEX('Costos Producción Febrero'!$J$34:$J$57,MATCH(Resumen!Y49,'Costos Producción Febrero'!$B$34:$B$57,0))*AI49*G49,0)</f>
        <v>8475.2630553390482</v>
      </c>
      <c r="AG49" s="46">
        <f t="shared" si="67"/>
        <v>41305.894388152759</v>
      </c>
      <c r="AH49" s="46"/>
      <c r="AI49" s="46">
        <f>INDEX('Costos Producción Febrero'!$F$5:$F$28,MATCH(Resumen!Y49,'Costos Producción Febrero'!$B$5:$B$28,0))</f>
        <v>1652.2357755261105</v>
      </c>
      <c r="AJ49" s="46"/>
      <c r="AK49" s="45">
        <f t="shared" si="68"/>
        <v>21194.105611847241</v>
      </c>
      <c r="AL49" s="94">
        <f t="shared" si="69"/>
        <v>0.33910568978955585</v>
      </c>
      <c r="AM49" s="44">
        <f t="shared" si="70"/>
        <v>4082</v>
      </c>
      <c r="AN49" s="44">
        <f t="shared" si="101"/>
        <v>1809.6153846153848</v>
      </c>
      <c r="AO49" s="44">
        <f t="shared" si="71"/>
        <v>5891.6153846153848</v>
      </c>
      <c r="AP49" s="44">
        <f t="shared" si="72"/>
        <v>984.30453953301935</v>
      </c>
      <c r="AQ49" s="44">
        <f t="shared" si="73"/>
        <v>1752.54</v>
      </c>
      <c r="AR49" s="45">
        <f t="shared" si="74"/>
        <v>16070.725687698836</v>
      </c>
      <c r="AS49" s="94">
        <f t="shared" si="75"/>
        <v>0.25713161100318138</v>
      </c>
      <c r="AT49" s="44">
        <f t="shared" si="76"/>
        <v>1934.9759494939374</v>
      </c>
      <c r="AU49" s="45">
        <f t="shared" si="77"/>
        <v>14135.749738204899</v>
      </c>
      <c r="AV49" s="94">
        <f t="shared" si="78"/>
        <v>0.22617199581127839</v>
      </c>
      <c r="AW49" s="44">
        <f t="shared" si="79"/>
        <v>1545.2541545700271</v>
      </c>
      <c r="AX49" s="45">
        <f t="shared" si="80"/>
        <v>17615.979842268862</v>
      </c>
      <c r="AY49" s="94">
        <f t="shared" si="81"/>
        <v>0.2818556774763018</v>
      </c>
      <c r="BA49" s="44">
        <f t="shared" si="82"/>
        <v>2500</v>
      </c>
      <c r="BB49" s="44">
        <f t="shared" si="83"/>
        <v>-1020.3920498830863</v>
      </c>
      <c r="BC49" s="44">
        <f t="shared" si="84"/>
        <v>-274.99999999999994</v>
      </c>
      <c r="BD49" s="44">
        <f t="shared" si="85"/>
        <v>-17.833203429462195</v>
      </c>
      <c r="BE49" s="44">
        <f t="shared" si="86"/>
        <v>-339.0105222135619</v>
      </c>
      <c r="BF49" s="44">
        <f t="shared" si="87"/>
        <v>-1652.2357755261103</v>
      </c>
      <c r="BG49" s="44">
        <f t="shared" si="88"/>
        <v>847.76422447388961</v>
      </c>
      <c r="BH49" s="44">
        <f t="shared" si="89"/>
        <v>-163.28</v>
      </c>
      <c r="BI49" s="44">
        <f t="shared" si="90"/>
        <v>-72.384615384615387</v>
      </c>
      <c r="BJ49" s="44">
        <f t="shared" si="91"/>
        <v>-235.66461538461539</v>
      </c>
      <c r="BK49" s="44">
        <f t="shared" si="92"/>
        <v>-39.372181581320774</v>
      </c>
      <c r="BL49" s="44">
        <f t="shared" si="93"/>
        <v>70.101600000000005</v>
      </c>
      <c r="BM49" s="44">
        <f t="shared" si="94"/>
        <v>642.82902750795347</v>
      </c>
      <c r="BN49" s="44">
        <f t="shared" si="95"/>
        <v>-77.399037979757495</v>
      </c>
      <c r="BO49" s="44">
        <f t="shared" si="96"/>
        <v>565.42998952819596</v>
      </c>
      <c r="BP49" s="44">
        <f t="shared" si="97"/>
        <v>61.810166182801083</v>
      </c>
      <c r="BQ49" s="44">
        <f t="shared" si="98"/>
        <v>704.6391936907545</v>
      </c>
    </row>
    <row r="50" spans="2:69">
      <c r="B50" s="7" t="s">
        <v>7</v>
      </c>
      <c r="C50" s="29" t="s">
        <v>8</v>
      </c>
      <c r="D50" s="25" t="s">
        <v>249</v>
      </c>
      <c r="E50" s="100">
        <v>47</v>
      </c>
      <c r="F50" s="100">
        <v>46108</v>
      </c>
      <c r="G50" s="101">
        <v>54</v>
      </c>
      <c r="H50" s="27" t="s">
        <v>35</v>
      </c>
      <c r="I50" s="27" t="s">
        <v>155</v>
      </c>
      <c r="J50" s="7" t="s">
        <v>250</v>
      </c>
      <c r="K50" s="7" t="s">
        <v>171</v>
      </c>
      <c r="L50" s="7" t="s">
        <v>172</v>
      </c>
      <c r="M50" s="21" t="s">
        <v>44</v>
      </c>
      <c r="N50" s="7" t="s">
        <v>214</v>
      </c>
      <c r="O50" s="20">
        <v>3350</v>
      </c>
      <c r="P50" s="220">
        <f>180900-3678.3</f>
        <v>177221.7</v>
      </c>
      <c r="Q50" s="20">
        <v>3242.5925925925926</v>
      </c>
      <c r="R50" s="30">
        <v>5800</v>
      </c>
      <c r="S50" s="32">
        <f t="shared" si="64"/>
        <v>171421.7</v>
      </c>
      <c r="T50" s="65">
        <v>2</v>
      </c>
      <c r="U50" s="59" t="s">
        <v>260</v>
      </c>
      <c r="V50" s="148">
        <v>6446512380</v>
      </c>
      <c r="W50" s="62" t="s">
        <v>122</v>
      </c>
      <c r="X50" s="4" t="s">
        <v>113</v>
      </c>
      <c r="Y50" s="18">
        <v>10009331</v>
      </c>
      <c r="Z50" s="7" t="s">
        <v>218</v>
      </c>
      <c r="AA50" s="18" t="str">
        <f t="shared" si="99"/>
        <v>FEBRERO10009331Inventario final</v>
      </c>
      <c r="AB50" s="63">
        <f t="shared" si="66"/>
        <v>1762.2155585172022</v>
      </c>
      <c r="AC50" s="64">
        <f>IFERROR(INDEX('Costos Producción Febrero'!$G$34:$G$57,MATCH(Resumen!Y50,'Costos Producción Febrero'!$B$34:$B$57,0))*AI50*G50,0)</f>
        <v>54300.639715681929</v>
      </c>
      <c r="AD50" s="64">
        <f>IFERROR(INDEX('Costos Producción Febrero'!$H$34:$H$57,MATCH(Resumen!Y50,'Costos Producción Febrero'!$B$34:$B$57,0))*AI50*G50,0)</f>
        <v>21542.90537538872</v>
      </c>
      <c r="AE50" s="64">
        <f>IFERROR(INDEX('Costos Producción Febrero'!$I$34:$I$57,MATCH(Resumen!Y50,'Costos Producción Febrero'!$B$34:$B$57,0))*AI50*G50,0)</f>
        <v>986.65482007996445</v>
      </c>
      <c r="AF50" s="64">
        <f>IFERROR(INDEX('Costos Producción Febrero'!$J$34:$J$57,MATCH(Resumen!Y50,'Costos Producción Febrero'!$B$34:$B$57,0))*AI50*G50,0)</f>
        <v>18329.440248778326</v>
      </c>
      <c r="AG50" s="64">
        <f t="shared" si="67"/>
        <v>95159.640159928924</v>
      </c>
      <c r="AH50" s="64"/>
      <c r="AI50" s="64">
        <f>INDEX('Costos Producción Febrero'!$F$5:$F$28,MATCH(Resumen!Y50,'Costos Producción Febrero'!$B$5:$B$28,0))</f>
        <v>1762.2155585172025</v>
      </c>
      <c r="AJ50" s="64"/>
      <c r="AK50" s="95">
        <f t="shared" si="68"/>
        <v>82062.059840071088</v>
      </c>
      <c r="AL50" s="94">
        <f t="shared" si="69"/>
        <v>0.46304747014655134</v>
      </c>
      <c r="AM50" s="44">
        <f t="shared" si="70"/>
        <v>5800</v>
      </c>
      <c r="AN50" s="44">
        <f t="shared" si="101"/>
        <v>3908.7692307692309</v>
      </c>
      <c r="AO50" s="44">
        <f t="shared" si="71"/>
        <v>9708.7692307692305</v>
      </c>
      <c r="AP50" s="44">
        <f t="shared" si="72"/>
        <v>2126.0978053913218</v>
      </c>
      <c r="AQ50" s="44">
        <f t="shared" si="73"/>
        <v>5142.6509999999998</v>
      </c>
      <c r="AR50" s="45">
        <f t="shared" si="74"/>
        <v>75369.843803910524</v>
      </c>
      <c r="AS50" s="94">
        <f t="shared" si="75"/>
        <v>0.42528563829322547</v>
      </c>
      <c r="AT50" s="44">
        <f t="shared" si="76"/>
        <v>4179.5480509069048</v>
      </c>
      <c r="AU50" s="45">
        <f t="shared" si="77"/>
        <v>71190.295753003622</v>
      </c>
      <c r="AV50" s="94">
        <f t="shared" si="78"/>
        <v>0.40170191208527861</v>
      </c>
      <c r="AW50" s="44">
        <f t="shared" si="79"/>
        <v>3337.7489738712584</v>
      </c>
      <c r="AX50" s="45">
        <f t="shared" si="80"/>
        <v>78707.592777781785</v>
      </c>
      <c r="AY50" s="94">
        <f t="shared" si="81"/>
        <v>0.44411938706028542</v>
      </c>
      <c r="BA50" s="44">
        <f t="shared" si="82"/>
        <v>3281.8833333333337</v>
      </c>
      <c r="BB50" s="44">
        <f t="shared" si="83"/>
        <v>-1005.5674021422579</v>
      </c>
      <c r="BC50" s="44">
        <f t="shared" si="84"/>
        <v>-398.94269213682816</v>
      </c>
      <c r="BD50" s="44">
        <f t="shared" si="85"/>
        <v>-18.271385557036378</v>
      </c>
      <c r="BE50" s="44">
        <f t="shared" si="86"/>
        <v>-339.43407868108011</v>
      </c>
      <c r="BF50" s="44">
        <f t="shared" si="87"/>
        <v>-1762.2155585172022</v>
      </c>
      <c r="BG50" s="44">
        <f t="shared" si="88"/>
        <v>1519.6677748161312</v>
      </c>
      <c r="BH50" s="44">
        <f t="shared" si="89"/>
        <v>-107.4074074074074</v>
      </c>
      <c r="BI50" s="44">
        <f t="shared" si="90"/>
        <v>-72.384615384615387</v>
      </c>
      <c r="BJ50" s="44">
        <f t="shared" si="91"/>
        <v>-179.79202279202278</v>
      </c>
      <c r="BK50" s="44">
        <f t="shared" si="92"/>
        <v>-39.372181581320774</v>
      </c>
      <c r="BL50" s="44">
        <f t="shared" si="93"/>
        <v>95.234277777777777</v>
      </c>
      <c r="BM50" s="44">
        <f t="shared" si="94"/>
        <v>1395.7378482205652</v>
      </c>
      <c r="BN50" s="44">
        <f t="shared" si="95"/>
        <v>-77.399037979757495</v>
      </c>
      <c r="BO50" s="44">
        <f t="shared" si="96"/>
        <v>1318.3388102408078</v>
      </c>
      <c r="BP50" s="44">
        <f t="shared" si="97"/>
        <v>61.810166182801083</v>
      </c>
      <c r="BQ50" s="44">
        <f t="shared" si="98"/>
        <v>1457.5480144033663</v>
      </c>
    </row>
    <row r="51" spans="2:69">
      <c r="B51" s="7" t="s">
        <v>7</v>
      </c>
      <c r="C51" s="29" t="s">
        <v>8</v>
      </c>
      <c r="D51" s="27" t="s">
        <v>251</v>
      </c>
      <c r="E51" s="100">
        <v>49</v>
      </c>
      <c r="F51" s="100">
        <v>46091</v>
      </c>
      <c r="G51" s="101">
        <v>108</v>
      </c>
      <c r="H51" s="151" t="s">
        <v>33</v>
      </c>
      <c r="I51" s="27" t="s">
        <v>205</v>
      </c>
      <c r="J51" s="4" t="s">
        <v>206</v>
      </c>
      <c r="K51" s="7" t="s">
        <v>171</v>
      </c>
      <c r="L51" s="7" t="s">
        <v>209</v>
      </c>
      <c r="M51" s="21" t="s">
        <v>46</v>
      </c>
      <c r="N51" s="7"/>
      <c r="O51" s="20">
        <v>1450</v>
      </c>
      <c r="P51" s="61">
        <v>156600</v>
      </c>
      <c r="Q51" s="20">
        <v>1338.7777777777778</v>
      </c>
      <c r="R51" s="30">
        <v>12012</v>
      </c>
      <c r="S51" s="32">
        <f t="shared" si="64"/>
        <v>144588</v>
      </c>
      <c r="T51" s="65">
        <v>4</v>
      </c>
      <c r="U51" s="7" t="s">
        <v>238</v>
      </c>
      <c r="V51" s="7" t="s">
        <v>252</v>
      </c>
      <c r="W51" s="4"/>
      <c r="X51" s="4"/>
      <c r="Y51" s="7">
        <v>10005721</v>
      </c>
      <c r="Z51" s="7" t="s">
        <v>218</v>
      </c>
      <c r="AA51" s="7" t="str">
        <f t="shared" si="99"/>
        <v>FEBRERO10005721Inventario final</v>
      </c>
      <c r="AB51" s="20">
        <f t="shared" si="66"/>
        <v>1672.206573481702</v>
      </c>
      <c r="AC51" s="46">
        <f>IFERROR(INDEX('Costos Producción Febrero'!$G$34:$G$57,MATCH(Resumen!Y51,'Costos Producción Febrero'!$B$34:$B$57,0))*AI51*G51,0)</f>
        <v>109679.3245201783</v>
      </c>
      <c r="AD51" s="46">
        <f>IFERROR(INDEX('Costos Producción Febrero'!$H$34:$H$57,MATCH(Resumen!Y51,'Costos Producción Febrero'!$B$34:$B$57,0))*AI51*G51,0)</f>
        <v>32138.31915345199</v>
      </c>
      <c r="AE51" s="46">
        <f>IFERROR(INDEX('Costos Producción Febrero'!$I$34:$I$57,MATCH(Resumen!Y51,'Costos Producción Febrero'!$B$34:$B$57,0))*AI51*G51,0)</f>
        <v>1968.8657712016009</v>
      </c>
      <c r="AF51" s="46">
        <f>IFERROR(INDEX('Costos Producción Febrero'!$J$34:$J$57,MATCH(Resumen!Y51,'Costos Producción Febrero'!$B$34:$B$57,0))*AI51*G51,0)</f>
        <v>36811.800491191905</v>
      </c>
      <c r="AG51" s="46">
        <f t="shared" si="67"/>
        <v>180598.30993602381</v>
      </c>
      <c r="AH51" s="46"/>
      <c r="AI51" s="46">
        <f>INDEX('Costos Producción Febrero'!$F$5:$F$28,MATCH(Resumen!Y51,'Costos Producción Febrero'!$B$5:$B$28,0))</f>
        <v>1672.2065734817018</v>
      </c>
      <c r="AJ51" s="46"/>
      <c r="AK51" s="45">
        <f t="shared" si="68"/>
        <v>-23998.309936023812</v>
      </c>
      <c r="AL51" s="94">
        <f t="shared" si="69"/>
        <v>-0.15324591274600136</v>
      </c>
      <c r="AM51" s="44">
        <f t="shared" si="70"/>
        <v>12012</v>
      </c>
      <c r="AN51" s="44">
        <f t="shared" ref="AN51:AN70" si="102">1883/26*G51</f>
        <v>7821.6923076923076</v>
      </c>
      <c r="AO51" s="44">
        <f t="shared" si="71"/>
        <v>19833.692307692309</v>
      </c>
      <c r="AP51" s="44">
        <f t="shared" si="72"/>
        <v>4252.1956107826436</v>
      </c>
      <c r="AQ51" s="44">
        <f t="shared" si="73"/>
        <v>4337.6399999999994</v>
      </c>
      <c r="AR51" s="45">
        <f t="shared" si="74"/>
        <v>-43746.557854498766</v>
      </c>
      <c r="AS51" s="94">
        <f t="shared" si="75"/>
        <v>-0.27935222129309556</v>
      </c>
      <c r="AT51" s="44">
        <f t="shared" si="76"/>
        <v>8359.0961018138096</v>
      </c>
      <c r="AU51" s="45">
        <f t="shared" si="77"/>
        <v>-52105.653956312577</v>
      </c>
      <c r="AV51" s="94">
        <f t="shared" si="78"/>
        <v>-0.33273086817568698</v>
      </c>
      <c r="AW51" s="44">
        <f t="shared" si="79"/>
        <v>6675.4979477425168</v>
      </c>
      <c r="AX51" s="45">
        <f t="shared" si="80"/>
        <v>-37071.059906756251</v>
      </c>
      <c r="AY51" s="94">
        <f t="shared" si="81"/>
        <v>-0.23672452047737069</v>
      </c>
      <c r="BA51" s="44">
        <f t="shared" si="82"/>
        <v>1450</v>
      </c>
      <c r="BB51" s="44">
        <f t="shared" si="83"/>
        <v>-1015.549301112762</v>
      </c>
      <c r="BC51" s="44">
        <f t="shared" si="84"/>
        <v>-297.57702919862953</v>
      </c>
      <c r="BD51" s="44">
        <f t="shared" si="85"/>
        <v>-18.230238622237046</v>
      </c>
      <c r="BE51" s="44">
        <f t="shared" si="86"/>
        <v>-340.85000454807317</v>
      </c>
      <c r="BF51" s="44">
        <f t="shared" si="87"/>
        <v>-1672.206573481702</v>
      </c>
      <c r="BG51" s="44">
        <f t="shared" si="88"/>
        <v>-222.20657348170195</v>
      </c>
      <c r="BH51" s="44">
        <f t="shared" si="89"/>
        <v>-111.22222222222223</v>
      </c>
      <c r="BI51" s="44">
        <f t="shared" si="90"/>
        <v>-72.42307692307692</v>
      </c>
      <c r="BJ51" s="44">
        <f t="shared" si="91"/>
        <v>-183.64529914529916</v>
      </c>
      <c r="BK51" s="44">
        <f t="shared" si="92"/>
        <v>-39.372181581320774</v>
      </c>
      <c r="BL51" s="44">
        <f t="shared" si="93"/>
        <v>40.163333333333327</v>
      </c>
      <c r="BM51" s="44">
        <f t="shared" si="94"/>
        <v>-405.06072087498859</v>
      </c>
      <c r="BN51" s="44">
        <f t="shared" si="95"/>
        <v>-77.399037979757495</v>
      </c>
      <c r="BO51" s="44">
        <f t="shared" si="96"/>
        <v>-482.4597588547461</v>
      </c>
      <c r="BP51" s="44">
        <f t="shared" si="97"/>
        <v>61.810166182801083</v>
      </c>
      <c r="BQ51" s="44">
        <f t="shared" si="98"/>
        <v>-343.25055469218751</v>
      </c>
    </row>
    <row r="52" spans="2:69">
      <c r="B52" s="7" t="s">
        <v>7</v>
      </c>
      <c r="C52" s="29" t="s">
        <v>8</v>
      </c>
      <c r="D52" s="27" t="s">
        <v>253</v>
      </c>
      <c r="E52" s="100">
        <v>49</v>
      </c>
      <c r="F52" s="100">
        <v>46099</v>
      </c>
      <c r="G52" s="101">
        <v>26</v>
      </c>
      <c r="H52" s="151" t="s">
        <v>33</v>
      </c>
      <c r="I52" s="27" t="s">
        <v>205</v>
      </c>
      <c r="J52" s="4" t="s">
        <v>206</v>
      </c>
      <c r="K52" s="7" t="s">
        <v>254</v>
      </c>
      <c r="L52" s="7" t="s">
        <v>255</v>
      </c>
      <c r="M52" s="21" t="s">
        <v>57</v>
      </c>
      <c r="N52" s="7"/>
      <c r="O52" s="20">
        <v>1500</v>
      </c>
      <c r="P52" s="61">
        <v>39000</v>
      </c>
      <c r="Q52" s="20">
        <v>1230.9615384615386</v>
      </c>
      <c r="R52" s="30">
        <v>6995</v>
      </c>
      <c r="S52" s="32">
        <f t="shared" si="64"/>
        <v>32005</v>
      </c>
      <c r="T52" s="65">
        <v>1</v>
      </c>
      <c r="U52" s="59" t="s">
        <v>256</v>
      </c>
      <c r="V52" s="156" t="s">
        <v>257</v>
      </c>
      <c r="W52" s="46">
        <v>1</v>
      </c>
      <c r="X52" s="161" t="s">
        <v>182</v>
      </c>
      <c r="Y52" s="7">
        <v>10005721</v>
      </c>
      <c r="Z52" s="7" t="s">
        <v>218</v>
      </c>
      <c r="AA52" s="7" t="str">
        <f t="shared" si="99"/>
        <v>FEBRERO10005721Inventario final</v>
      </c>
      <c r="AB52" s="20">
        <f t="shared" si="66"/>
        <v>1672.2065734817018</v>
      </c>
      <c r="AC52" s="46">
        <f>IFERROR(INDEX('Costos Producción Febrero'!$G$34:$G$57,MATCH(Resumen!Y52,'Costos Producción Febrero'!$B$34:$B$57,0))*AI52*G52,0)</f>
        <v>26404.281828931813</v>
      </c>
      <c r="AD52" s="46">
        <f>IFERROR(INDEX('Costos Producción Febrero'!$H$34:$H$57,MATCH(Resumen!Y52,'Costos Producción Febrero'!$B$34:$B$57,0))*AI52*G52,0)</f>
        <v>7737.0027591643675</v>
      </c>
      <c r="AE52" s="46">
        <f>IFERROR(INDEX('Costos Producción Febrero'!$I$34:$I$57,MATCH(Resumen!Y52,'Costos Producción Febrero'!$B$34:$B$57,0))*AI52*G52,0)</f>
        <v>473.98620417816318</v>
      </c>
      <c r="AF52" s="46">
        <f>IFERROR(INDEX('Costos Producción Febrero'!$J$34:$J$57,MATCH(Resumen!Y52,'Costos Producción Febrero'!$B$34:$B$57,0))*AI52*G52,0)</f>
        <v>8862.1001182499022</v>
      </c>
      <c r="AG52" s="46">
        <f t="shared" si="67"/>
        <v>43477.370910524245</v>
      </c>
      <c r="AH52" s="46"/>
      <c r="AI52" s="46">
        <f>INDEX('Costos Producción Febrero'!$F$5:$F$28,MATCH(Resumen!Y52,'Costos Producción Febrero'!$B$5:$B$28,0))</f>
        <v>1672.2065734817018</v>
      </c>
      <c r="AJ52" s="46"/>
      <c r="AK52" s="45">
        <f t="shared" si="68"/>
        <v>-4477.3709105242451</v>
      </c>
      <c r="AL52" s="94">
        <f t="shared" si="69"/>
        <v>-0.11480438232113449</v>
      </c>
      <c r="AM52" s="44">
        <f t="shared" si="70"/>
        <v>6995</v>
      </c>
      <c r="AN52" s="44">
        <f t="shared" si="102"/>
        <v>1883</v>
      </c>
      <c r="AO52" s="44">
        <f t="shared" si="71"/>
        <v>8878</v>
      </c>
      <c r="AP52" s="44">
        <f t="shared" si="72"/>
        <v>1023.6767211143401</v>
      </c>
      <c r="AQ52" s="44">
        <f t="shared" si="73"/>
        <v>960.15</v>
      </c>
      <c r="AR52" s="45">
        <f t="shared" si="74"/>
        <v>-13418.897631638585</v>
      </c>
      <c r="AS52" s="94">
        <f t="shared" si="75"/>
        <v>-0.3440742982471432</v>
      </c>
      <c r="AT52" s="44">
        <f t="shared" si="76"/>
        <v>2012.3749874736948</v>
      </c>
      <c r="AU52" s="45">
        <f t="shared" si="77"/>
        <v>-15431.27261911228</v>
      </c>
      <c r="AV52" s="94">
        <f t="shared" si="78"/>
        <v>-0.39567365690031486</v>
      </c>
      <c r="AW52" s="44">
        <f t="shared" si="79"/>
        <v>1607.0643207528283</v>
      </c>
      <c r="AX52" s="45">
        <f t="shared" si="80"/>
        <v>-11811.833310885757</v>
      </c>
      <c r="AY52" s="94">
        <f t="shared" si="81"/>
        <v>-0.30286752079194246</v>
      </c>
      <c r="BA52" s="44">
        <f t="shared" si="82"/>
        <v>1500</v>
      </c>
      <c r="BB52" s="44">
        <f t="shared" si="83"/>
        <v>-1015.549301112762</v>
      </c>
      <c r="BC52" s="44">
        <f t="shared" si="84"/>
        <v>-297.57702919862953</v>
      </c>
      <c r="BD52" s="44">
        <f t="shared" si="85"/>
        <v>-18.230238622237046</v>
      </c>
      <c r="BE52" s="44">
        <f t="shared" si="86"/>
        <v>-340.85000454807317</v>
      </c>
      <c r="BF52" s="44">
        <f t="shared" si="87"/>
        <v>-1672.2065734817018</v>
      </c>
      <c r="BG52" s="44">
        <f t="shared" si="88"/>
        <v>-172.20657348170172</v>
      </c>
      <c r="BH52" s="44">
        <f t="shared" si="89"/>
        <v>-269.03846153846155</v>
      </c>
      <c r="BI52" s="44">
        <f t="shared" si="90"/>
        <v>-72.42307692307692</v>
      </c>
      <c r="BJ52" s="44">
        <f t="shared" si="91"/>
        <v>-341.46153846153845</v>
      </c>
      <c r="BK52" s="44">
        <f t="shared" si="92"/>
        <v>-39.372181581320774</v>
      </c>
      <c r="BL52" s="44">
        <f t="shared" si="93"/>
        <v>36.928846153846152</v>
      </c>
      <c r="BM52" s="44">
        <f t="shared" si="94"/>
        <v>-516.11144737071481</v>
      </c>
      <c r="BN52" s="44">
        <f t="shared" si="95"/>
        <v>-77.399037979757495</v>
      </c>
      <c r="BO52" s="44">
        <f t="shared" si="96"/>
        <v>-593.51048535047232</v>
      </c>
      <c r="BP52" s="44">
        <f t="shared" si="97"/>
        <v>61.81016618280109</v>
      </c>
      <c r="BQ52" s="44">
        <f t="shared" si="98"/>
        <v>-454.30128118791373</v>
      </c>
    </row>
    <row r="53" spans="2:69">
      <c r="B53" s="7" t="s">
        <v>7</v>
      </c>
      <c r="C53" s="29" t="s">
        <v>8</v>
      </c>
      <c r="D53" s="25" t="s">
        <v>258</v>
      </c>
      <c r="E53" s="100">
        <v>49</v>
      </c>
      <c r="F53" s="100">
        <v>46104</v>
      </c>
      <c r="G53" s="103">
        <v>54</v>
      </c>
      <c r="H53" s="102" t="s">
        <v>32</v>
      </c>
      <c r="I53" s="27" t="s">
        <v>155</v>
      </c>
      <c r="J53" s="7" t="s">
        <v>228</v>
      </c>
      <c r="K53" s="7" t="s">
        <v>171</v>
      </c>
      <c r="L53" s="7" t="s">
        <v>172</v>
      </c>
      <c r="M53" s="21" t="s">
        <v>43</v>
      </c>
      <c r="N53" s="7" t="s">
        <v>129</v>
      </c>
      <c r="O53" s="20">
        <v>1600</v>
      </c>
      <c r="P53" s="61">
        <v>86400</v>
      </c>
      <c r="Q53" s="20">
        <v>1492.5925925925926</v>
      </c>
      <c r="R53" s="30">
        <v>5800</v>
      </c>
      <c r="S53" s="32">
        <f t="shared" si="64"/>
        <v>80600</v>
      </c>
      <c r="T53" s="65">
        <v>2</v>
      </c>
      <c r="U53" s="23" t="s">
        <v>233</v>
      </c>
      <c r="V53" s="27">
        <v>6446527810</v>
      </c>
      <c r="W53" s="62" t="s">
        <v>122</v>
      </c>
      <c r="X53" s="4" t="s">
        <v>113</v>
      </c>
      <c r="Y53" s="7">
        <v>10006720</v>
      </c>
      <c r="Z53" s="7" t="s">
        <v>218</v>
      </c>
      <c r="AA53" s="7" t="str">
        <f t="shared" si="99"/>
        <v>FEBRERO10006720Inventario final</v>
      </c>
      <c r="AB53" s="20">
        <f t="shared" si="66"/>
        <v>1594.5633182136667</v>
      </c>
      <c r="AC53" s="46">
        <f>IFERROR(INDEX('Costos Producción Febrero'!$G$34:$G$57,MATCH(Resumen!Y53,'Costos Producción Febrero'!$B$34:$B$57,0))*AI53*G53,0)</f>
        <v>55253.889478924655</v>
      </c>
      <c r="AD53" s="46">
        <f>IFERROR(INDEX('Costos Producción Febrero'!$H$34:$H$57,MATCH(Resumen!Y53,'Costos Producción Febrero'!$B$34:$B$57,0))*AI53*G53,0)</f>
        <v>11621.954198473282</v>
      </c>
      <c r="AE53" s="46">
        <f>IFERROR(INDEX('Costos Producción Febrero'!$I$34:$I$57,MATCH(Resumen!Y53,'Costos Producción Febrero'!$B$34:$B$57,0))*AI53*G53,0)</f>
        <v>804.56554928642561</v>
      </c>
      <c r="AF53" s="46">
        <f>IFERROR(INDEX('Costos Producción Febrero'!$J$34:$J$57,MATCH(Resumen!Y53,'Costos Producción Febrero'!$B$34:$B$57,0))*AI53*G53,0)</f>
        <v>18426.009956853635</v>
      </c>
      <c r="AG53" s="46">
        <f t="shared" si="67"/>
        <v>86106.419183538004</v>
      </c>
      <c r="AH53" s="46"/>
      <c r="AI53" s="46">
        <f>INDEX('Costos Producción Febrero'!$F$5:$F$28,MATCH(Resumen!Y53,'Costos Producción Febrero'!$B$5:$B$28,0))</f>
        <v>1594.5633182136667</v>
      </c>
      <c r="AJ53" s="46"/>
      <c r="AK53" s="45">
        <f t="shared" si="68"/>
        <v>293.58081646199571</v>
      </c>
      <c r="AL53" s="94">
        <f t="shared" si="69"/>
        <v>3.3979261164582839E-3</v>
      </c>
      <c r="AM53" s="44">
        <f t="shared" si="70"/>
        <v>5800</v>
      </c>
      <c r="AN53" s="44">
        <f t="shared" si="102"/>
        <v>3910.8461538461538</v>
      </c>
      <c r="AO53" s="44">
        <f t="shared" si="71"/>
        <v>9710.8461538461543</v>
      </c>
      <c r="AP53" s="44">
        <f t="shared" si="72"/>
        <v>2126.0978053913218</v>
      </c>
      <c r="AQ53" s="44">
        <f t="shared" si="73"/>
        <v>2418</v>
      </c>
      <c r="AR53" s="45">
        <f t="shared" si="74"/>
        <v>-9125.3631427754808</v>
      </c>
      <c r="AS53" s="94">
        <f t="shared" si="75"/>
        <v>-0.10561762896730881</v>
      </c>
      <c r="AT53" s="44">
        <f t="shared" si="76"/>
        <v>4179.5480509069048</v>
      </c>
      <c r="AU53" s="45">
        <f t="shared" si="77"/>
        <v>-13304.911193682387</v>
      </c>
      <c r="AV53" s="94">
        <f t="shared" si="78"/>
        <v>-0.15399202770465725</v>
      </c>
      <c r="AW53" s="44">
        <f t="shared" si="79"/>
        <v>3337.7489738712584</v>
      </c>
      <c r="AX53" s="45">
        <f t="shared" si="80"/>
        <v>-5787.6141689042224</v>
      </c>
      <c r="AY53" s="94">
        <f t="shared" si="81"/>
        <v>-6.6986275103058129E-2</v>
      </c>
      <c r="BA53" s="44">
        <f t="shared" si="82"/>
        <v>1600</v>
      </c>
      <c r="BB53" s="44">
        <f t="shared" si="83"/>
        <v>-1023.2201755356417</v>
      </c>
      <c r="BC53" s="44">
        <f t="shared" si="84"/>
        <v>-215.22137404580153</v>
      </c>
      <c r="BD53" s="44">
        <f t="shared" si="85"/>
        <v>-14.899362023822697</v>
      </c>
      <c r="BE53" s="44">
        <f t="shared" si="86"/>
        <v>-341.22240660840066</v>
      </c>
      <c r="BF53" s="44">
        <f t="shared" si="87"/>
        <v>-1594.5633182136667</v>
      </c>
      <c r="BG53" s="44">
        <f t="shared" si="88"/>
        <v>5.4366817863332537</v>
      </c>
      <c r="BH53" s="44">
        <f t="shared" si="89"/>
        <v>-107.4074074074074</v>
      </c>
      <c r="BI53" s="44">
        <f t="shared" si="90"/>
        <v>-72.42307692307692</v>
      </c>
      <c r="BJ53" s="44">
        <f t="shared" si="91"/>
        <v>-179.83048433048432</v>
      </c>
      <c r="BK53" s="44">
        <f t="shared" si="92"/>
        <v>-39.372181581320774</v>
      </c>
      <c r="BL53" s="44">
        <f t="shared" si="93"/>
        <v>44.777777777777779</v>
      </c>
      <c r="BM53" s="44">
        <f t="shared" si="94"/>
        <v>-168.9882063476941</v>
      </c>
      <c r="BN53" s="44">
        <f t="shared" si="95"/>
        <v>-77.399037979757495</v>
      </c>
      <c r="BO53" s="44">
        <f t="shared" si="96"/>
        <v>-246.38724432745161</v>
      </c>
      <c r="BP53" s="44">
        <f t="shared" si="97"/>
        <v>61.810166182801083</v>
      </c>
      <c r="BQ53" s="44">
        <f t="shared" si="98"/>
        <v>-107.17804016489301</v>
      </c>
    </row>
    <row r="54" spans="2:69">
      <c r="B54" s="7" t="s">
        <v>7</v>
      </c>
      <c r="C54" s="29" t="s">
        <v>8</v>
      </c>
      <c r="D54" s="25" t="s">
        <v>266</v>
      </c>
      <c r="E54" s="100">
        <v>49</v>
      </c>
      <c r="F54" s="100">
        <v>46108</v>
      </c>
      <c r="G54" s="103">
        <v>81</v>
      </c>
      <c r="H54" s="102" t="s">
        <v>32</v>
      </c>
      <c r="I54" s="27" t="s">
        <v>155</v>
      </c>
      <c r="J54" s="7" t="s">
        <v>228</v>
      </c>
      <c r="K54" s="7" t="s">
        <v>171</v>
      </c>
      <c r="L54" s="7" t="s">
        <v>172</v>
      </c>
      <c r="M54" s="21" t="s">
        <v>43</v>
      </c>
      <c r="N54" s="7" t="s">
        <v>129</v>
      </c>
      <c r="O54" s="20">
        <v>1600</v>
      </c>
      <c r="P54" s="220">
        <f>129600-4000</f>
        <v>125600</v>
      </c>
      <c r="Q54" s="20">
        <v>1499.5185185185185</v>
      </c>
      <c r="R54" s="30">
        <v>8139</v>
      </c>
      <c r="S54" s="32">
        <f t="shared" si="64"/>
        <v>117461</v>
      </c>
      <c r="T54" s="65">
        <v>3</v>
      </c>
      <c r="U54" s="59" t="s">
        <v>260</v>
      </c>
      <c r="V54" s="67" t="s">
        <v>267</v>
      </c>
      <c r="W54" s="66" t="s">
        <v>226</v>
      </c>
      <c r="X54" s="4" t="s">
        <v>113</v>
      </c>
      <c r="Y54" s="7">
        <v>10006720</v>
      </c>
      <c r="Z54" s="7" t="s">
        <v>218</v>
      </c>
      <c r="AA54" s="7" t="str">
        <f t="shared" si="99"/>
        <v>FEBRERO10006720Inventario final</v>
      </c>
      <c r="AB54" s="20">
        <f t="shared" si="66"/>
        <v>1594.5633182136667</v>
      </c>
      <c r="AC54" s="46">
        <f>IFERROR(INDEX('Costos Producción Febrero'!$G$34:$G$57,MATCH(Resumen!Y54,'Costos Producción Febrero'!$B$34:$B$57,0))*AI54*G54,0)</f>
        <v>82880.834218386983</v>
      </c>
      <c r="AD54" s="46">
        <f>IFERROR(INDEX('Costos Producción Febrero'!$H$34:$H$57,MATCH(Resumen!Y54,'Costos Producción Febrero'!$B$34:$B$57,0))*AI54*G54,0)</f>
        <v>17432.931297709925</v>
      </c>
      <c r="AE54" s="46">
        <f>IFERROR(INDEX('Costos Producción Febrero'!$I$34:$I$57,MATCH(Resumen!Y54,'Costos Producción Febrero'!$B$34:$B$57,0))*AI54*G54,0)</f>
        <v>1206.8483239296384</v>
      </c>
      <c r="AF54" s="46">
        <f>IFERROR(INDEX('Costos Producción Febrero'!$J$34:$J$57,MATCH(Resumen!Y54,'Costos Producción Febrero'!$B$34:$B$57,0))*AI54*G54,0)</f>
        <v>27639.014935280455</v>
      </c>
      <c r="AG54" s="46">
        <f t="shared" si="67"/>
        <v>129159.62877530699</v>
      </c>
      <c r="AH54" s="46"/>
      <c r="AI54" s="46">
        <f>INDEX('Costos Producción Febrero'!$F$5:$F$28,MATCH(Resumen!Y54,'Costos Producción Febrero'!$B$5:$B$28,0))</f>
        <v>1594.5633182136667</v>
      </c>
      <c r="AJ54" s="46"/>
      <c r="AK54" s="45">
        <f t="shared" si="68"/>
        <v>-3559.6287753069919</v>
      </c>
      <c r="AL54" s="94">
        <f t="shared" si="69"/>
        <v>-2.8340993433972866E-2</v>
      </c>
      <c r="AM54" s="44">
        <f t="shared" si="70"/>
        <v>8139</v>
      </c>
      <c r="AN54" s="44">
        <f t="shared" si="102"/>
        <v>5866.2692307692305</v>
      </c>
      <c r="AO54" s="44">
        <f t="shared" si="71"/>
        <v>14005.26923076923</v>
      </c>
      <c r="AP54" s="44">
        <f t="shared" si="72"/>
        <v>3189.1467080869825</v>
      </c>
      <c r="AQ54" s="44">
        <f t="shared" si="73"/>
        <v>3523.83</v>
      </c>
      <c r="AR54" s="45">
        <f t="shared" si="74"/>
        <v>-17230.214714163201</v>
      </c>
      <c r="AS54" s="94">
        <f t="shared" si="75"/>
        <v>-0.13718323817008918</v>
      </c>
      <c r="AT54" s="44">
        <f t="shared" si="76"/>
        <v>6269.3220763603567</v>
      </c>
      <c r="AU54" s="45">
        <f t="shared" si="77"/>
        <v>-23499.536790523558</v>
      </c>
      <c r="AV54" s="94">
        <f t="shared" si="78"/>
        <v>-0.18709822285448693</v>
      </c>
      <c r="AW54" s="44">
        <f t="shared" si="79"/>
        <v>5006.623460806888</v>
      </c>
      <c r="AX54" s="45">
        <f t="shared" si="80"/>
        <v>-12223.591253356313</v>
      </c>
      <c r="AY54" s="94">
        <f t="shared" si="81"/>
        <v>-9.7321586412072558E-2</v>
      </c>
      <c r="BA54" s="44">
        <f t="shared" si="82"/>
        <v>1550.6172839506173</v>
      </c>
      <c r="BB54" s="44">
        <f t="shared" si="83"/>
        <v>-1023.2201755356417</v>
      </c>
      <c r="BC54" s="44">
        <f t="shared" si="84"/>
        <v>-215.22137404580155</v>
      </c>
      <c r="BD54" s="44">
        <f t="shared" si="85"/>
        <v>-14.899362023822695</v>
      </c>
      <c r="BE54" s="44">
        <f t="shared" si="86"/>
        <v>-341.22240660840066</v>
      </c>
      <c r="BF54" s="44">
        <f t="shared" si="87"/>
        <v>-1594.5633182136667</v>
      </c>
      <c r="BG54" s="44">
        <f t="shared" si="88"/>
        <v>-43.946034263049285</v>
      </c>
      <c r="BH54" s="44">
        <f t="shared" si="89"/>
        <v>-100.48148148148148</v>
      </c>
      <c r="BI54" s="44">
        <f t="shared" si="90"/>
        <v>-72.42307692307692</v>
      </c>
      <c r="BJ54" s="44">
        <f t="shared" si="91"/>
        <v>-172.9045584045584</v>
      </c>
      <c r="BK54" s="44">
        <f t="shared" si="92"/>
        <v>-39.372181581320774</v>
      </c>
      <c r="BL54" s="44">
        <f t="shared" si="93"/>
        <v>43.504074074074076</v>
      </c>
      <c r="BM54" s="44">
        <f t="shared" si="94"/>
        <v>-212.71870017485435</v>
      </c>
      <c r="BN54" s="44">
        <f t="shared" si="95"/>
        <v>-77.399037979757495</v>
      </c>
      <c r="BO54" s="44">
        <f t="shared" si="96"/>
        <v>-290.1177381546118</v>
      </c>
      <c r="BP54" s="44">
        <f t="shared" si="97"/>
        <v>61.810166182801083</v>
      </c>
      <c r="BQ54" s="44">
        <f t="shared" si="98"/>
        <v>-150.90853399205324</v>
      </c>
    </row>
    <row r="55" spans="2:69">
      <c r="B55" s="7" t="s">
        <v>7</v>
      </c>
      <c r="C55" s="29" t="s">
        <v>8</v>
      </c>
      <c r="D55" s="25" t="s">
        <v>268</v>
      </c>
      <c r="E55" s="100">
        <v>50</v>
      </c>
      <c r="F55" s="100">
        <v>46108</v>
      </c>
      <c r="G55" s="103">
        <v>48</v>
      </c>
      <c r="H55" s="102" t="s">
        <v>32</v>
      </c>
      <c r="I55" s="27" t="s">
        <v>155</v>
      </c>
      <c r="J55" s="7" t="s">
        <v>228</v>
      </c>
      <c r="K55" s="7" t="s">
        <v>269</v>
      </c>
      <c r="L55" s="7" t="s">
        <v>230</v>
      </c>
      <c r="M55" s="21" t="s">
        <v>43</v>
      </c>
      <c r="N55" s="7" t="s">
        <v>129</v>
      </c>
      <c r="O55" s="20">
        <v>1600</v>
      </c>
      <c r="P55" s="61">
        <v>76800</v>
      </c>
      <c r="Q55" s="20">
        <v>1486.9583333333333</v>
      </c>
      <c r="R55" s="30">
        <v>5426</v>
      </c>
      <c r="S55" s="32">
        <f t="shared" si="64"/>
        <v>71374</v>
      </c>
      <c r="T55" s="65">
        <v>2</v>
      </c>
      <c r="U55" s="59" t="s">
        <v>260</v>
      </c>
      <c r="V55" s="157" t="s">
        <v>270</v>
      </c>
      <c r="W55" s="158" t="s">
        <v>226</v>
      </c>
      <c r="X55" s="4" t="s">
        <v>113</v>
      </c>
      <c r="Y55" s="7">
        <v>10006720</v>
      </c>
      <c r="Z55" s="7" t="s">
        <v>218</v>
      </c>
      <c r="AA55" s="7" t="str">
        <f t="shared" si="99"/>
        <v>FEBRERO10006720Inventario final</v>
      </c>
      <c r="AB55" s="20">
        <f t="shared" si="66"/>
        <v>1850.3683620975771</v>
      </c>
      <c r="AC55" s="223">
        <f>IFERROR(INDEX('Costos Producción Febrero'!$G$34:$G$57,MATCH(Resumen!Y55,'Costos Producción Febrero'!$B$34:$B$57,0))*AI55*G55,0)*1.25</f>
        <v>61393.210532138502</v>
      </c>
      <c r="AD55" s="46">
        <f>IFERROR(INDEX('Costos Producción Febrero'!$H$34:$H$57,MATCH(Resumen!Y55,'Costos Producción Febrero'!$B$34:$B$57,0))*AI55*G55,0)</f>
        <v>10330.625954198473</v>
      </c>
      <c r="AE55" s="46">
        <f>IFERROR(INDEX('Costos Producción Febrero'!$I$34:$I$57,MATCH(Resumen!Y55,'Costos Producción Febrero'!$B$34:$B$57,0))*AI55*G55,0)</f>
        <v>715.16937714348944</v>
      </c>
      <c r="AF55" s="46">
        <f>IFERROR(INDEX('Costos Producción Febrero'!$J$34:$J$57,MATCH(Resumen!Y55,'Costos Producción Febrero'!$B$34:$B$57,0))*AI55*G55,0)</f>
        <v>16378.675517203232</v>
      </c>
      <c r="AG55" s="46">
        <f t="shared" si="67"/>
        <v>88817.681380683702</v>
      </c>
      <c r="AH55" s="46"/>
      <c r="AI55" s="46">
        <f>INDEX('Costos Producción Febrero'!$F$5:$F$28,MATCH(Resumen!Y55,'Costos Producción Febrero'!$B$5:$B$28,0))</f>
        <v>1594.5633182136667</v>
      </c>
      <c r="AJ55" s="46"/>
      <c r="AK55" s="45">
        <f t="shared" si="68"/>
        <v>-12017.681380683702</v>
      </c>
      <c r="AL55" s="94">
        <f t="shared" si="69"/>
        <v>-0.15648022631098571</v>
      </c>
      <c r="AM55" s="44">
        <f t="shared" si="70"/>
        <v>5426</v>
      </c>
      <c r="AN55" s="44">
        <f t="shared" si="102"/>
        <v>3476.3076923076924</v>
      </c>
      <c r="AO55" s="44">
        <f t="shared" si="71"/>
        <v>8902.3076923076915</v>
      </c>
      <c r="AP55" s="44">
        <f t="shared" si="72"/>
        <v>1889.8647159033972</v>
      </c>
      <c r="AQ55" s="44">
        <f t="shared" si="73"/>
        <v>2141.2199999999998</v>
      </c>
      <c r="AR55" s="45">
        <f t="shared" si="74"/>
        <v>-20668.633788894789</v>
      </c>
      <c r="AS55" s="94">
        <f t="shared" si="75"/>
        <v>-0.26912283579290092</v>
      </c>
      <c r="AT55" s="44">
        <f t="shared" si="76"/>
        <v>3715.1538230283595</v>
      </c>
      <c r="AU55" s="45">
        <f t="shared" si="77"/>
        <v>-24383.787611923148</v>
      </c>
      <c r="AV55" s="94">
        <f t="shared" si="78"/>
        <v>-0.31749723453024931</v>
      </c>
      <c r="AW55" s="44">
        <f t="shared" si="79"/>
        <v>2966.887976774452</v>
      </c>
      <c r="AX55" s="45">
        <f t="shared" si="80"/>
        <v>-17701.745812120338</v>
      </c>
      <c r="AY55" s="94">
        <f t="shared" si="81"/>
        <v>-0.23049148192865024</v>
      </c>
      <c r="BA55" s="44">
        <f t="shared" si="82"/>
        <v>1600</v>
      </c>
      <c r="BB55" s="44">
        <f t="shared" si="83"/>
        <v>-1279.0252194195521</v>
      </c>
      <c r="BC55" s="44">
        <f t="shared" si="84"/>
        <v>-215.22137404580153</v>
      </c>
      <c r="BD55" s="44">
        <f t="shared" si="85"/>
        <v>-14.899362023822697</v>
      </c>
      <c r="BE55" s="44">
        <f t="shared" si="86"/>
        <v>-341.22240660840066</v>
      </c>
      <c r="BF55" s="44">
        <f t="shared" si="87"/>
        <v>-1850.3683620975771</v>
      </c>
      <c r="BG55" s="44">
        <f t="shared" si="88"/>
        <v>-250.36836209757712</v>
      </c>
      <c r="BH55" s="44">
        <f t="shared" si="89"/>
        <v>-113.04166666666667</v>
      </c>
      <c r="BI55" s="44">
        <f t="shared" si="90"/>
        <v>-72.42307692307692</v>
      </c>
      <c r="BJ55" s="44">
        <f t="shared" si="91"/>
        <v>-185.46474358974356</v>
      </c>
      <c r="BK55" s="44">
        <f t="shared" si="92"/>
        <v>-39.372181581320774</v>
      </c>
      <c r="BL55" s="44">
        <f t="shared" si="93"/>
        <v>44.608749999999993</v>
      </c>
      <c r="BM55" s="44">
        <f t="shared" si="94"/>
        <v>-430.59653726864144</v>
      </c>
      <c r="BN55" s="44">
        <f t="shared" si="95"/>
        <v>-77.399037979757495</v>
      </c>
      <c r="BO55" s="44">
        <f t="shared" si="96"/>
        <v>-507.99557524839889</v>
      </c>
      <c r="BP55" s="44">
        <f t="shared" si="97"/>
        <v>61.810166182801083</v>
      </c>
      <c r="BQ55" s="44">
        <f t="shared" si="98"/>
        <v>-368.78637108584036</v>
      </c>
    </row>
    <row r="56" spans="2:69">
      <c r="B56" s="7" t="s">
        <v>7</v>
      </c>
      <c r="C56" s="29" t="s">
        <v>8</v>
      </c>
      <c r="D56" s="25" t="s">
        <v>271</v>
      </c>
      <c r="E56" s="100">
        <v>54</v>
      </c>
      <c r="F56" s="106">
        <v>46101</v>
      </c>
      <c r="G56" s="101">
        <v>24</v>
      </c>
      <c r="H56" s="102" t="s">
        <v>34</v>
      </c>
      <c r="I56" s="27" t="s">
        <v>116</v>
      </c>
      <c r="J56" s="7" t="s">
        <v>153</v>
      </c>
      <c r="K56" s="7" t="s">
        <v>118</v>
      </c>
      <c r="L56" s="7" t="s">
        <v>272</v>
      </c>
      <c r="M56" s="21" t="s">
        <v>50</v>
      </c>
      <c r="N56" s="7" t="s">
        <v>273</v>
      </c>
      <c r="O56" s="20">
        <v>1100</v>
      </c>
      <c r="P56" s="69">
        <v>26400</v>
      </c>
      <c r="Q56" s="20">
        <v>966.54166666666663</v>
      </c>
      <c r="R56" s="30">
        <v>3203</v>
      </c>
      <c r="S56" s="32">
        <f t="shared" si="64"/>
        <v>23197</v>
      </c>
      <c r="T56" s="65">
        <v>1</v>
      </c>
      <c r="U56" s="66" t="s">
        <v>274</v>
      </c>
      <c r="V56" s="70" t="s">
        <v>275</v>
      </c>
      <c r="W56" s="66" t="s">
        <v>226</v>
      </c>
      <c r="X56" s="4" t="s">
        <v>113</v>
      </c>
      <c r="Y56" s="7">
        <v>10005779</v>
      </c>
      <c r="Z56" s="7" t="s">
        <v>218</v>
      </c>
      <c r="AA56" s="7" t="str">
        <f t="shared" si="99"/>
        <v>FEBRERO10005779Inventario final</v>
      </c>
      <c r="AB56" s="20">
        <f t="shared" si="66"/>
        <v>2021.274767801857</v>
      </c>
      <c r="AC56" s="223">
        <f>IFERROR(INDEX('Costos Producción Febrero'!$G$34:$G$57,MATCH(Resumen!Y56,'Costos Producción Febrero'!$B$34:$B$57,0))*AI56*G56,0)*1.25</f>
        <v>30744.097945398247</v>
      </c>
      <c r="AD56" s="46">
        <f>IFERROR(INDEX('Costos Producción Febrero'!$H$34:$H$57,MATCH(Resumen!Y56,'Costos Producción Febrero'!$B$34:$B$57,0))*AI56*G56,0)</f>
        <v>9359.9999999999964</v>
      </c>
      <c r="AE56" s="46">
        <f>IFERROR(INDEX('Costos Producción Febrero'!$I$34:$I$57,MATCH(Resumen!Y56,'Costos Producción Febrero'!$B$34:$B$57,0))*AI56*G56,0)</f>
        <v>270.5775401069518</v>
      </c>
      <c r="AF56" s="46">
        <f>IFERROR(INDEX('Costos Producción Febrero'!$J$34:$J$57,MATCH(Resumen!Y56,'Costos Producción Febrero'!$B$34:$B$57,0))*AI56*G56,0)</f>
        <v>8135.9189417393736</v>
      </c>
      <c r="AG56" s="46">
        <f t="shared" si="67"/>
        <v>48510.59442724457</v>
      </c>
      <c r="AH56" s="46"/>
      <c r="AI56" s="46">
        <f>INDEX('Costos Producción Febrero'!$F$5:$F$28,MATCH(Resumen!Y56,'Costos Producción Febrero'!$B$5:$B$28,0))</f>
        <v>1765.0739515902051</v>
      </c>
      <c r="AJ56" s="46"/>
      <c r="AK56" s="45">
        <f t="shared" si="68"/>
        <v>-22110.59442724457</v>
      </c>
      <c r="AL56" s="94">
        <f t="shared" si="69"/>
        <v>-0.83752251618350648</v>
      </c>
      <c r="AM56" s="44">
        <f t="shared" si="70"/>
        <v>3203</v>
      </c>
      <c r="AN56" s="44">
        <f t="shared" si="102"/>
        <v>1738.1538461538462</v>
      </c>
      <c r="AO56" s="44">
        <f t="shared" si="71"/>
        <v>4941.1538461538457</v>
      </c>
      <c r="AP56" s="44">
        <f t="shared" si="72"/>
        <v>944.93235795169858</v>
      </c>
      <c r="AQ56" s="44">
        <f t="shared" si="73"/>
        <v>695.91</v>
      </c>
      <c r="AR56" s="45">
        <f t="shared" si="74"/>
        <v>-27300.770631350115</v>
      </c>
      <c r="AS56" s="94">
        <f t="shared" si="75"/>
        <v>-1.0341200996723527</v>
      </c>
      <c r="AT56" s="44">
        <f t="shared" si="76"/>
        <v>1857.5769115141798</v>
      </c>
      <c r="AU56" s="45">
        <f t="shared" si="77"/>
        <v>-29158.347542864296</v>
      </c>
      <c r="AV56" s="94">
        <f t="shared" si="78"/>
        <v>-1.1044828614721325</v>
      </c>
      <c r="AW56" s="44">
        <f t="shared" si="79"/>
        <v>1483.443988387226</v>
      </c>
      <c r="AX56" s="45">
        <f t="shared" si="80"/>
        <v>-25817.326642962889</v>
      </c>
      <c r="AY56" s="94">
        <f t="shared" si="81"/>
        <v>-0.97792903950617005</v>
      </c>
      <c r="BA56" s="10">
        <f t="shared" si="82"/>
        <v>1100</v>
      </c>
      <c r="BB56" s="10">
        <f t="shared" si="83"/>
        <v>-1281.0040810582602</v>
      </c>
      <c r="BC56" s="10">
        <f t="shared" si="84"/>
        <v>-389.99999999999983</v>
      </c>
      <c r="BD56" s="10">
        <f t="shared" si="85"/>
        <v>-11.274064171122992</v>
      </c>
      <c r="BE56" s="10">
        <f t="shared" si="86"/>
        <v>-338.99662257247388</v>
      </c>
      <c r="BF56" s="10">
        <f t="shared" si="87"/>
        <v>-2021.274767801857</v>
      </c>
      <c r="BG56" s="10">
        <f t="shared" si="88"/>
        <v>-921.27476780185714</v>
      </c>
      <c r="BH56" s="10">
        <f t="shared" si="89"/>
        <v>-133.45833333333334</v>
      </c>
      <c r="BI56" s="10">
        <f t="shared" si="90"/>
        <v>-72.42307692307692</v>
      </c>
      <c r="BJ56" s="10">
        <f t="shared" si="91"/>
        <v>-205.88141025641025</v>
      </c>
      <c r="BK56" s="10">
        <f t="shared" si="92"/>
        <v>-39.372181581320774</v>
      </c>
      <c r="BL56" s="10">
        <f t="shared" si="93"/>
        <v>28.99625</v>
      </c>
      <c r="BM56" s="10">
        <f t="shared" si="94"/>
        <v>-1137.532109639588</v>
      </c>
      <c r="BN56" s="10">
        <f t="shared" si="95"/>
        <v>-77.399037979757495</v>
      </c>
      <c r="BO56" s="10">
        <f t="shared" si="96"/>
        <v>-1214.9311476193457</v>
      </c>
      <c r="BP56" s="10">
        <f t="shared" si="97"/>
        <v>61.810166182801083</v>
      </c>
      <c r="BQ56" s="10">
        <f t="shared" si="98"/>
        <v>-1075.7219434567871</v>
      </c>
    </row>
    <row r="57" spans="2:69">
      <c r="B57" s="7" t="s">
        <v>7</v>
      </c>
      <c r="C57" s="29" t="s">
        <v>8</v>
      </c>
      <c r="D57" s="25" t="s">
        <v>276</v>
      </c>
      <c r="E57" s="100">
        <v>54</v>
      </c>
      <c r="F57" s="106">
        <v>46101</v>
      </c>
      <c r="G57" s="101">
        <v>24</v>
      </c>
      <c r="H57" s="102" t="s">
        <v>34</v>
      </c>
      <c r="I57" s="27" t="s">
        <v>116</v>
      </c>
      <c r="J57" s="7" t="s">
        <v>153</v>
      </c>
      <c r="K57" s="7" t="s">
        <v>118</v>
      </c>
      <c r="L57" s="7" t="s">
        <v>119</v>
      </c>
      <c r="M57" s="21" t="s">
        <v>50</v>
      </c>
      <c r="N57" s="7" t="s">
        <v>120</v>
      </c>
      <c r="O57" s="20">
        <v>1100</v>
      </c>
      <c r="P57" s="69">
        <v>26400</v>
      </c>
      <c r="Q57" s="20">
        <v>953.625</v>
      </c>
      <c r="R57" s="30">
        <v>3513</v>
      </c>
      <c r="S57" s="32">
        <f t="shared" si="64"/>
        <v>22887</v>
      </c>
      <c r="T57" s="65">
        <v>1</v>
      </c>
      <c r="U57" s="66" t="s">
        <v>274</v>
      </c>
      <c r="V57" s="70" t="s">
        <v>277</v>
      </c>
      <c r="W57" s="66" t="s">
        <v>226</v>
      </c>
      <c r="X57" s="4" t="s">
        <v>113</v>
      </c>
      <c r="Y57" s="7">
        <v>10005779</v>
      </c>
      <c r="Z57" s="7" t="s">
        <v>218</v>
      </c>
      <c r="AA57" s="7" t="str">
        <f t="shared" si="99"/>
        <v>FEBRERO10005779Inventario final</v>
      </c>
      <c r="AB57" s="20">
        <f t="shared" si="66"/>
        <v>2021.274767801857</v>
      </c>
      <c r="AC57" s="223">
        <f>IFERROR(INDEX('Costos Producción Febrero'!$G$34:$G$57,MATCH(Resumen!Y57,'Costos Producción Febrero'!$B$34:$B$57,0))*AI57*G57,0)*1.25</f>
        <v>30744.097945398247</v>
      </c>
      <c r="AD57" s="46">
        <f>IFERROR(INDEX('Costos Producción Febrero'!$H$34:$H$57,MATCH(Resumen!Y57,'Costos Producción Febrero'!$B$34:$B$57,0))*AI57*G57,0)</f>
        <v>9359.9999999999964</v>
      </c>
      <c r="AE57" s="46">
        <f>IFERROR(INDEX('Costos Producción Febrero'!$I$34:$I$57,MATCH(Resumen!Y57,'Costos Producción Febrero'!$B$34:$B$57,0))*AI57*G57,0)</f>
        <v>270.5775401069518</v>
      </c>
      <c r="AF57" s="46">
        <f>IFERROR(INDEX('Costos Producción Febrero'!$J$34:$J$57,MATCH(Resumen!Y57,'Costos Producción Febrero'!$B$34:$B$57,0))*AI57*G57,0)</f>
        <v>8135.9189417393736</v>
      </c>
      <c r="AG57" s="46">
        <f t="shared" si="67"/>
        <v>48510.59442724457</v>
      </c>
      <c r="AH57" s="46"/>
      <c r="AI57" s="46">
        <f>INDEX('Costos Producción Febrero'!$F$5:$F$28,MATCH(Resumen!Y57,'Costos Producción Febrero'!$B$5:$B$28,0))</f>
        <v>1765.0739515902051</v>
      </c>
      <c r="AJ57" s="46"/>
      <c r="AK57" s="45">
        <f t="shared" si="68"/>
        <v>-22110.59442724457</v>
      </c>
      <c r="AL57" s="94">
        <f t="shared" si="69"/>
        <v>-0.83752251618350648</v>
      </c>
      <c r="AM57" s="44">
        <f t="shared" si="70"/>
        <v>3513</v>
      </c>
      <c r="AN57" s="44">
        <f t="shared" si="102"/>
        <v>1738.1538461538462</v>
      </c>
      <c r="AO57" s="44">
        <f t="shared" si="71"/>
        <v>5251.1538461538457</v>
      </c>
      <c r="AP57" s="44">
        <f t="shared" si="72"/>
        <v>944.93235795169858</v>
      </c>
      <c r="AQ57" s="44">
        <f t="shared" si="73"/>
        <v>686.61</v>
      </c>
      <c r="AR57" s="45">
        <f t="shared" si="74"/>
        <v>-27620.070631350114</v>
      </c>
      <c r="AS57" s="94">
        <f t="shared" si="75"/>
        <v>-1.0462147966420499</v>
      </c>
      <c r="AT57" s="44">
        <f t="shared" si="76"/>
        <v>1857.5769115141798</v>
      </c>
      <c r="AU57" s="45">
        <f t="shared" si="77"/>
        <v>-29477.647542864295</v>
      </c>
      <c r="AV57" s="94">
        <f t="shared" si="78"/>
        <v>-1.1165775584418294</v>
      </c>
      <c r="AW57" s="44">
        <f t="shared" si="79"/>
        <v>1483.443988387226</v>
      </c>
      <c r="AX57" s="45">
        <f t="shared" si="80"/>
        <v>-26136.626642962889</v>
      </c>
      <c r="AY57" s="94">
        <f t="shared" si="81"/>
        <v>-0.99002373647586694</v>
      </c>
      <c r="BA57" s="10">
        <f t="shared" si="82"/>
        <v>1100</v>
      </c>
      <c r="BB57" s="10">
        <f t="shared" si="83"/>
        <v>-1281.0040810582602</v>
      </c>
      <c r="BC57" s="10">
        <f t="shared" si="84"/>
        <v>-389.99999999999983</v>
      </c>
      <c r="BD57" s="10">
        <f t="shared" si="85"/>
        <v>-11.274064171122992</v>
      </c>
      <c r="BE57" s="10">
        <f t="shared" si="86"/>
        <v>-338.99662257247388</v>
      </c>
      <c r="BF57" s="10">
        <f t="shared" si="87"/>
        <v>-2021.274767801857</v>
      </c>
      <c r="BG57" s="10">
        <f t="shared" si="88"/>
        <v>-921.27476780185714</v>
      </c>
      <c r="BH57" s="10">
        <f t="shared" si="89"/>
        <v>-146.375</v>
      </c>
      <c r="BI57" s="10">
        <f t="shared" si="90"/>
        <v>-72.42307692307692</v>
      </c>
      <c r="BJ57" s="10">
        <f t="shared" si="91"/>
        <v>-218.79807692307691</v>
      </c>
      <c r="BK57" s="10">
        <f t="shared" si="92"/>
        <v>-39.372181581320774</v>
      </c>
      <c r="BL57" s="10">
        <f t="shared" si="93"/>
        <v>28.608750000000001</v>
      </c>
      <c r="BM57" s="10">
        <f t="shared" si="94"/>
        <v>-1150.8362763062548</v>
      </c>
      <c r="BN57" s="10">
        <f t="shared" si="95"/>
        <v>-77.399037979757495</v>
      </c>
      <c r="BO57" s="10">
        <f t="shared" si="96"/>
        <v>-1228.2353142860122</v>
      </c>
      <c r="BP57" s="10">
        <f t="shared" si="97"/>
        <v>61.810166182801083</v>
      </c>
      <c r="BQ57" s="10">
        <f t="shared" si="98"/>
        <v>-1089.0261101234537</v>
      </c>
    </row>
    <row r="58" spans="2:69">
      <c r="B58" s="7" t="s">
        <v>7</v>
      </c>
      <c r="C58" s="29" t="s">
        <v>8</v>
      </c>
      <c r="D58" s="25" t="s">
        <v>278</v>
      </c>
      <c r="E58" s="100">
        <v>54</v>
      </c>
      <c r="F58" s="106">
        <v>46101</v>
      </c>
      <c r="G58" s="101">
        <v>24</v>
      </c>
      <c r="H58" s="102" t="s">
        <v>34</v>
      </c>
      <c r="I58" s="27" t="s">
        <v>116</v>
      </c>
      <c r="J58" s="7" t="s">
        <v>153</v>
      </c>
      <c r="K58" s="7" t="s">
        <v>118</v>
      </c>
      <c r="L58" s="7" t="s">
        <v>119</v>
      </c>
      <c r="M58" s="21" t="s">
        <v>50</v>
      </c>
      <c r="N58" s="7" t="s">
        <v>120</v>
      </c>
      <c r="O58" s="20">
        <v>1100</v>
      </c>
      <c r="P58" s="69">
        <v>26400</v>
      </c>
      <c r="Q58" s="20">
        <v>953.625</v>
      </c>
      <c r="R58" s="30">
        <v>3513</v>
      </c>
      <c r="S58" s="32">
        <f t="shared" si="64"/>
        <v>22887</v>
      </c>
      <c r="T58" s="65">
        <v>1</v>
      </c>
      <c r="U58" s="66" t="s">
        <v>274</v>
      </c>
      <c r="V58" s="70" t="s">
        <v>279</v>
      </c>
      <c r="W58" s="66" t="s">
        <v>226</v>
      </c>
      <c r="X58" s="4" t="s">
        <v>113</v>
      </c>
      <c r="Y58" s="7">
        <v>10005779</v>
      </c>
      <c r="Z58" s="7" t="s">
        <v>218</v>
      </c>
      <c r="AA58" s="7" t="str">
        <f t="shared" si="99"/>
        <v>FEBRERO10005779Inventario final</v>
      </c>
      <c r="AB58" s="20">
        <f t="shared" si="66"/>
        <v>2021.274767801857</v>
      </c>
      <c r="AC58" s="223">
        <f>IFERROR(INDEX('Costos Producción Febrero'!$G$34:$G$57,MATCH(Resumen!Y58,'Costos Producción Febrero'!$B$34:$B$57,0))*AI58*G58,0)*1.25</f>
        <v>30744.097945398247</v>
      </c>
      <c r="AD58" s="46">
        <f>IFERROR(INDEX('Costos Producción Febrero'!$H$34:$H$57,MATCH(Resumen!Y58,'Costos Producción Febrero'!$B$34:$B$57,0))*AI58*G58,0)</f>
        <v>9359.9999999999964</v>
      </c>
      <c r="AE58" s="46">
        <f>IFERROR(INDEX('Costos Producción Febrero'!$I$34:$I$57,MATCH(Resumen!Y58,'Costos Producción Febrero'!$B$34:$B$57,0))*AI58*G58,0)</f>
        <v>270.5775401069518</v>
      </c>
      <c r="AF58" s="46">
        <f>IFERROR(INDEX('Costos Producción Febrero'!$J$34:$J$57,MATCH(Resumen!Y58,'Costos Producción Febrero'!$B$34:$B$57,0))*AI58*G58,0)</f>
        <v>8135.9189417393736</v>
      </c>
      <c r="AG58" s="46">
        <f t="shared" si="67"/>
        <v>48510.59442724457</v>
      </c>
      <c r="AH58" s="46"/>
      <c r="AI58" s="46">
        <f>INDEX('Costos Producción Febrero'!$F$5:$F$28,MATCH(Resumen!Y58,'Costos Producción Febrero'!$B$5:$B$28,0))</f>
        <v>1765.0739515902051</v>
      </c>
      <c r="AJ58" s="46"/>
      <c r="AK58" s="45">
        <f t="shared" si="68"/>
        <v>-22110.59442724457</v>
      </c>
      <c r="AL58" s="94">
        <f t="shared" si="69"/>
        <v>-0.83752251618350648</v>
      </c>
      <c r="AM58" s="44">
        <f t="shared" si="70"/>
        <v>3513</v>
      </c>
      <c r="AN58" s="44">
        <f t="shared" si="102"/>
        <v>1738.1538461538462</v>
      </c>
      <c r="AO58" s="44">
        <f t="shared" si="71"/>
        <v>5251.1538461538457</v>
      </c>
      <c r="AP58" s="44">
        <f t="shared" si="72"/>
        <v>944.93235795169858</v>
      </c>
      <c r="AQ58" s="44">
        <f t="shared" si="73"/>
        <v>686.61</v>
      </c>
      <c r="AR58" s="45">
        <f t="shared" si="74"/>
        <v>-27620.070631350114</v>
      </c>
      <c r="AS58" s="94">
        <f t="shared" si="75"/>
        <v>-1.0462147966420499</v>
      </c>
      <c r="AT58" s="44">
        <f t="shared" si="76"/>
        <v>1857.5769115141798</v>
      </c>
      <c r="AU58" s="45">
        <f t="shared" si="77"/>
        <v>-29477.647542864295</v>
      </c>
      <c r="AV58" s="94">
        <f t="shared" si="78"/>
        <v>-1.1165775584418294</v>
      </c>
      <c r="AW58" s="44">
        <f t="shared" si="79"/>
        <v>1483.443988387226</v>
      </c>
      <c r="AX58" s="45">
        <f t="shared" si="80"/>
        <v>-26136.626642962889</v>
      </c>
      <c r="AY58" s="94">
        <f t="shared" si="81"/>
        <v>-0.99002373647586694</v>
      </c>
      <c r="BA58" s="10">
        <f t="shared" si="82"/>
        <v>1100</v>
      </c>
      <c r="BB58" s="10">
        <f t="shared" si="83"/>
        <v>-1281.0040810582602</v>
      </c>
      <c r="BC58" s="10">
        <f t="shared" si="84"/>
        <v>-389.99999999999983</v>
      </c>
      <c r="BD58" s="10">
        <f t="shared" si="85"/>
        <v>-11.274064171122992</v>
      </c>
      <c r="BE58" s="10">
        <f t="shared" si="86"/>
        <v>-338.99662257247388</v>
      </c>
      <c r="BF58" s="10">
        <f t="shared" si="87"/>
        <v>-2021.274767801857</v>
      </c>
      <c r="BG58" s="10">
        <f t="shared" si="88"/>
        <v>-921.27476780185714</v>
      </c>
      <c r="BH58" s="10">
        <f t="shared" si="89"/>
        <v>-146.375</v>
      </c>
      <c r="BI58" s="10">
        <f t="shared" si="90"/>
        <v>-72.42307692307692</v>
      </c>
      <c r="BJ58" s="10">
        <f t="shared" si="91"/>
        <v>-218.79807692307691</v>
      </c>
      <c r="BK58" s="10">
        <f t="shared" si="92"/>
        <v>-39.372181581320774</v>
      </c>
      <c r="BL58" s="10">
        <f t="shared" si="93"/>
        <v>28.608750000000001</v>
      </c>
      <c r="BM58" s="10">
        <f t="shared" si="94"/>
        <v>-1150.8362763062548</v>
      </c>
      <c r="BN58" s="10">
        <f t="shared" si="95"/>
        <v>-77.399037979757495</v>
      </c>
      <c r="BO58" s="10">
        <f t="shared" si="96"/>
        <v>-1228.2353142860122</v>
      </c>
      <c r="BP58" s="10">
        <f t="shared" si="97"/>
        <v>61.810166182801083</v>
      </c>
      <c r="BQ58" s="10">
        <f t="shared" si="98"/>
        <v>-1089.0261101234537</v>
      </c>
    </row>
    <row r="59" spans="2:69">
      <c r="B59" s="7" t="s">
        <v>7</v>
      </c>
      <c r="C59" s="29" t="s">
        <v>8</v>
      </c>
      <c r="D59" s="25" t="s">
        <v>280</v>
      </c>
      <c r="E59" s="100">
        <v>54</v>
      </c>
      <c r="F59" s="106">
        <v>46108</v>
      </c>
      <c r="G59" s="101">
        <v>24</v>
      </c>
      <c r="H59" s="102" t="s">
        <v>34</v>
      </c>
      <c r="I59" s="27" t="s">
        <v>116</v>
      </c>
      <c r="J59" s="7" t="s">
        <v>153</v>
      </c>
      <c r="K59" s="7" t="s">
        <v>118</v>
      </c>
      <c r="L59" s="7" t="s">
        <v>119</v>
      </c>
      <c r="M59" s="21" t="s">
        <v>50</v>
      </c>
      <c r="N59" s="7" t="s">
        <v>120</v>
      </c>
      <c r="O59" s="20">
        <v>1100</v>
      </c>
      <c r="P59" s="69">
        <v>26400</v>
      </c>
      <c r="Q59" s="20">
        <v>953.625</v>
      </c>
      <c r="R59" s="30">
        <v>3513</v>
      </c>
      <c r="S59" s="32">
        <f t="shared" si="64"/>
        <v>22887</v>
      </c>
      <c r="T59" s="65">
        <v>1</v>
      </c>
      <c r="U59" s="59" t="s">
        <v>260</v>
      </c>
      <c r="V59" s="67" t="s">
        <v>281</v>
      </c>
      <c r="W59" s="66" t="s">
        <v>226</v>
      </c>
      <c r="X59" s="4" t="s">
        <v>113</v>
      </c>
      <c r="Y59" s="7">
        <v>10005779</v>
      </c>
      <c r="Z59" s="7" t="s">
        <v>218</v>
      </c>
      <c r="AA59" s="7" t="str">
        <f t="shared" si="99"/>
        <v>FEBRERO10005779Inventario final</v>
      </c>
      <c r="AB59" s="20">
        <f t="shared" si="66"/>
        <v>2021.274767801857</v>
      </c>
      <c r="AC59" s="223">
        <f>IFERROR(INDEX('Costos Producción Febrero'!$G$34:$G$57,MATCH(Resumen!Y59,'Costos Producción Febrero'!$B$34:$B$57,0))*AI59*G59,0)*1.25</f>
        <v>30744.097945398247</v>
      </c>
      <c r="AD59" s="46">
        <f>IFERROR(INDEX('Costos Producción Febrero'!$H$34:$H$57,MATCH(Resumen!Y59,'Costos Producción Febrero'!$B$34:$B$57,0))*AI59*G59,0)</f>
        <v>9359.9999999999964</v>
      </c>
      <c r="AE59" s="46">
        <f>IFERROR(INDEX('Costos Producción Febrero'!$I$34:$I$57,MATCH(Resumen!Y59,'Costos Producción Febrero'!$B$34:$B$57,0))*AI59*G59,0)</f>
        <v>270.5775401069518</v>
      </c>
      <c r="AF59" s="46">
        <f>IFERROR(INDEX('Costos Producción Febrero'!$J$34:$J$57,MATCH(Resumen!Y59,'Costos Producción Febrero'!$B$34:$B$57,0))*AI59*G59,0)</f>
        <v>8135.9189417393736</v>
      </c>
      <c r="AG59" s="46">
        <f t="shared" si="67"/>
        <v>48510.59442724457</v>
      </c>
      <c r="AH59" s="46"/>
      <c r="AI59" s="46">
        <f>INDEX('Costos Producción Febrero'!$F$5:$F$28,MATCH(Resumen!Y59,'Costos Producción Febrero'!$B$5:$B$28,0))</f>
        <v>1765.0739515902051</v>
      </c>
      <c r="AJ59" s="46"/>
      <c r="AK59" s="45">
        <f t="shared" si="68"/>
        <v>-22110.59442724457</v>
      </c>
      <c r="AL59" s="94">
        <f t="shared" si="69"/>
        <v>-0.83752251618350648</v>
      </c>
      <c r="AM59" s="44">
        <f t="shared" si="70"/>
        <v>3513</v>
      </c>
      <c r="AN59" s="44">
        <f t="shared" si="102"/>
        <v>1738.1538461538462</v>
      </c>
      <c r="AO59" s="44">
        <f t="shared" si="71"/>
        <v>5251.1538461538457</v>
      </c>
      <c r="AP59" s="44">
        <f t="shared" si="72"/>
        <v>944.93235795169858</v>
      </c>
      <c r="AQ59" s="44">
        <f t="shared" si="73"/>
        <v>686.61</v>
      </c>
      <c r="AR59" s="45">
        <f t="shared" si="74"/>
        <v>-27620.070631350114</v>
      </c>
      <c r="AS59" s="94">
        <f t="shared" si="75"/>
        <v>-1.0462147966420499</v>
      </c>
      <c r="AT59" s="44">
        <f t="shared" si="76"/>
        <v>1857.5769115141798</v>
      </c>
      <c r="AU59" s="45">
        <f t="shared" si="77"/>
        <v>-29477.647542864295</v>
      </c>
      <c r="AV59" s="94">
        <f t="shared" si="78"/>
        <v>-1.1165775584418294</v>
      </c>
      <c r="AW59" s="44">
        <f t="shared" si="79"/>
        <v>1483.443988387226</v>
      </c>
      <c r="AX59" s="45">
        <f t="shared" si="80"/>
        <v>-26136.626642962889</v>
      </c>
      <c r="AY59" s="94">
        <f t="shared" si="81"/>
        <v>-0.99002373647586694</v>
      </c>
      <c r="BA59" s="10">
        <f t="shared" si="82"/>
        <v>1100</v>
      </c>
      <c r="BB59" s="10">
        <f t="shared" si="83"/>
        <v>-1281.0040810582602</v>
      </c>
      <c r="BC59" s="10">
        <f t="shared" si="84"/>
        <v>-389.99999999999983</v>
      </c>
      <c r="BD59" s="10">
        <f t="shared" si="85"/>
        <v>-11.274064171122992</v>
      </c>
      <c r="BE59" s="10">
        <f t="shared" si="86"/>
        <v>-338.99662257247388</v>
      </c>
      <c r="BF59" s="10">
        <f t="shared" si="87"/>
        <v>-2021.274767801857</v>
      </c>
      <c r="BG59" s="10">
        <f t="shared" si="88"/>
        <v>-921.27476780185714</v>
      </c>
      <c r="BH59" s="10">
        <f t="shared" si="89"/>
        <v>-146.375</v>
      </c>
      <c r="BI59" s="10">
        <f t="shared" si="90"/>
        <v>-72.42307692307692</v>
      </c>
      <c r="BJ59" s="10">
        <f t="shared" si="91"/>
        <v>-218.79807692307691</v>
      </c>
      <c r="BK59" s="10">
        <f t="shared" si="92"/>
        <v>-39.372181581320774</v>
      </c>
      <c r="BL59" s="10">
        <f t="shared" si="93"/>
        <v>28.608750000000001</v>
      </c>
      <c r="BM59" s="10">
        <f t="shared" si="94"/>
        <v>-1150.8362763062548</v>
      </c>
      <c r="BN59" s="10">
        <f t="shared" si="95"/>
        <v>-77.399037979757495</v>
      </c>
      <c r="BO59" s="10">
        <f t="shared" si="96"/>
        <v>-1228.2353142860122</v>
      </c>
      <c r="BP59" s="10">
        <f t="shared" si="97"/>
        <v>61.810166182801083</v>
      </c>
      <c r="BQ59" s="10">
        <f t="shared" si="98"/>
        <v>-1089.0261101234537</v>
      </c>
    </row>
    <row r="60" spans="2:69">
      <c r="B60" s="7" t="s">
        <v>7</v>
      </c>
      <c r="C60" s="29" t="s">
        <v>8</v>
      </c>
      <c r="D60" s="25" t="s">
        <v>282</v>
      </c>
      <c r="E60" s="100">
        <v>54</v>
      </c>
      <c r="F60" s="106">
        <v>46108</v>
      </c>
      <c r="G60" s="101">
        <v>24</v>
      </c>
      <c r="H60" s="102" t="s">
        <v>34</v>
      </c>
      <c r="I60" s="27" t="s">
        <v>116</v>
      </c>
      <c r="J60" s="7" t="s">
        <v>153</v>
      </c>
      <c r="K60" s="7" t="s">
        <v>118</v>
      </c>
      <c r="L60" s="7" t="s">
        <v>119</v>
      </c>
      <c r="M60" s="21" t="s">
        <v>50</v>
      </c>
      <c r="N60" s="7" t="s">
        <v>120</v>
      </c>
      <c r="O60" s="20">
        <v>1100</v>
      </c>
      <c r="P60" s="69">
        <v>26400</v>
      </c>
      <c r="Q60" s="20">
        <v>953.625</v>
      </c>
      <c r="R60" s="30">
        <v>3513</v>
      </c>
      <c r="S60" s="32">
        <f t="shared" si="64"/>
        <v>22887</v>
      </c>
      <c r="T60" s="65">
        <v>1</v>
      </c>
      <c r="U60" s="59" t="s">
        <v>260</v>
      </c>
      <c r="V60" s="67" t="s">
        <v>283</v>
      </c>
      <c r="W60" s="66" t="s">
        <v>226</v>
      </c>
      <c r="X60" s="4" t="s">
        <v>113</v>
      </c>
      <c r="Y60" s="7">
        <v>10005779</v>
      </c>
      <c r="Z60" s="7" t="s">
        <v>218</v>
      </c>
      <c r="AA60" s="7" t="str">
        <f t="shared" si="99"/>
        <v>FEBRERO10005779Inventario final</v>
      </c>
      <c r="AB60" s="20">
        <f t="shared" si="66"/>
        <v>2021.274767801857</v>
      </c>
      <c r="AC60" s="223">
        <f>IFERROR(INDEX('Costos Producción Febrero'!$G$34:$G$57,MATCH(Resumen!Y60,'Costos Producción Febrero'!$B$34:$B$57,0))*AI60*G60,0)*1.25</f>
        <v>30744.097945398247</v>
      </c>
      <c r="AD60" s="46">
        <f>IFERROR(INDEX('Costos Producción Febrero'!$H$34:$H$57,MATCH(Resumen!Y60,'Costos Producción Febrero'!$B$34:$B$57,0))*AI60*G60,0)</f>
        <v>9359.9999999999964</v>
      </c>
      <c r="AE60" s="46">
        <f>IFERROR(INDEX('Costos Producción Febrero'!$I$34:$I$57,MATCH(Resumen!Y60,'Costos Producción Febrero'!$B$34:$B$57,0))*AI60*G60,0)</f>
        <v>270.5775401069518</v>
      </c>
      <c r="AF60" s="46">
        <f>IFERROR(INDEX('Costos Producción Febrero'!$J$34:$J$57,MATCH(Resumen!Y60,'Costos Producción Febrero'!$B$34:$B$57,0))*AI60*G60,0)</f>
        <v>8135.9189417393736</v>
      </c>
      <c r="AG60" s="46">
        <f t="shared" si="67"/>
        <v>48510.59442724457</v>
      </c>
      <c r="AH60" s="46"/>
      <c r="AI60" s="46">
        <f>INDEX('Costos Producción Febrero'!$F$5:$F$28,MATCH(Resumen!Y60,'Costos Producción Febrero'!$B$5:$B$28,0))</f>
        <v>1765.0739515902051</v>
      </c>
      <c r="AJ60" s="46"/>
      <c r="AK60" s="45">
        <f t="shared" si="68"/>
        <v>-22110.59442724457</v>
      </c>
      <c r="AL60" s="94">
        <f t="shared" si="69"/>
        <v>-0.83752251618350648</v>
      </c>
      <c r="AM60" s="44">
        <f t="shared" si="70"/>
        <v>3513</v>
      </c>
      <c r="AN60" s="44">
        <f t="shared" si="102"/>
        <v>1738.1538461538462</v>
      </c>
      <c r="AO60" s="44">
        <f t="shared" si="71"/>
        <v>5251.1538461538457</v>
      </c>
      <c r="AP60" s="44">
        <f t="shared" si="72"/>
        <v>944.93235795169858</v>
      </c>
      <c r="AQ60" s="44">
        <f t="shared" si="73"/>
        <v>686.61</v>
      </c>
      <c r="AR60" s="45">
        <f t="shared" si="74"/>
        <v>-27620.070631350114</v>
      </c>
      <c r="AS60" s="94">
        <f t="shared" si="75"/>
        <v>-1.0462147966420499</v>
      </c>
      <c r="AT60" s="44">
        <f t="shared" si="76"/>
        <v>1857.5769115141798</v>
      </c>
      <c r="AU60" s="45">
        <f t="shared" si="77"/>
        <v>-29477.647542864295</v>
      </c>
      <c r="AV60" s="94">
        <f t="shared" si="78"/>
        <v>-1.1165775584418294</v>
      </c>
      <c r="AW60" s="44">
        <f t="shared" si="79"/>
        <v>1483.443988387226</v>
      </c>
      <c r="AX60" s="45">
        <f t="shared" si="80"/>
        <v>-26136.626642962889</v>
      </c>
      <c r="AY60" s="94">
        <f t="shared" si="81"/>
        <v>-0.99002373647586694</v>
      </c>
      <c r="BA60" s="10">
        <f t="shared" si="82"/>
        <v>1100</v>
      </c>
      <c r="BB60" s="10">
        <f t="shared" si="83"/>
        <v>-1281.0040810582602</v>
      </c>
      <c r="BC60" s="10">
        <f t="shared" si="84"/>
        <v>-389.99999999999983</v>
      </c>
      <c r="BD60" s="10">
        <f t="shared" si="85"/>
        <v>-11.274064171122992</v>
      </c>
      <c r="BE60" s="10">
        <f t="shared" si="86"/>
        <v>-338.99662257247388</v>
      </c>
      <c r="BF60" s="10">
        <f t="shared" si="87"/>
        <v>-2021.274767801857</v>
      </c>
      <c r="BG60" s="10">
        <f t="shared" si="88"/>
        <v>-921.27476780185714</v>
      </c>
      <c r="BH60" s="10">
        <f t="shared" si="89"/>
        <v>-146.375</v>
      </c>
      <c r="BI60" s="10">
        <f t="shared" si="90"/>
        <v>-72.42307692307692</v>
      </c>
      <c r="BJ60" s="10">
        <f t="shared" si="91"/>
        <v>-218.79807692307691</v>
      </c>
      <c r="BK60" s="10">
        <f t="shared" si="92"/>
        <v>-39.372181581320774</v>
      </c>
      <c r="BL60" s="10">
        <f t="shared" si="93"/>
        <v>28.608750000000001</v>
      </c>
      <c r="BM60" s="10">
        <f t="shared" si="94"/>
        <v>-1150.8362763062548</v>
      </c>
      <c r="BN60" s="10">
        <f t="shared" si="95"/>
        <v>-77.399037979757495</v>
      </c>
      <c r="BO60" s="10">
        <f t="shared" si="96"/>
        <v>-1228.2353142860122</v>
      </c>
      <c r="BP60" s="10">
        <f t="shared" si="97"/>
        <v>61.810166182801083</v>
      </c>
      <c r="BQ60" s="10">
        <f t="shared" si="98"/>
        <v>-1089.0261101234537</v>
      </c>
    </row>
    <row r="61" spans="2:69">
      <c r="B61" s="7" t="s">
        <v>7</v>
      </c>
      <c r="C61" s="29" t="s">
        <v>8</v>
      </c>
      <c r="D61" s="25" t="s">
        <v>284</v>
      </c>
      <c r="E61" s="100">
        <v>54</v>
      </c>
      <c r="F61" s="106">
        <v>46108</v>
      </c>
      <c r="G61" s="101">
        <v>24</v>
      </c>
      <c r="H61" s="102" t="s">
        <v>34</v>
      </c>
      <c r="I61" s="27" t="s">
        <v>116</v>
      </c>
      <c r="J61" s="7" t="s">
        <v>153</v>
      </c>
      <c r="K61" s="7" t="s">
        <v>118</v>
      </c>
      <c r="L61" s="7" t="s">
        <v>119</v>
      </c>
      <c r="M61" s="21" t="s">
        <v>50</v>
      </c>
      <c r="N61" s="7" t="s">
        <v>120</v>
      </c>
      <c r="O61" s="20">
        <v>1100</v>
      </c>
      <c r="P61" s="69">
        <v>26400</v>
      </c>
      <c r="Q61" s="20">
        <v>966.54166666666663</v>
      </c>
      <c r="R61" s="30">
        <v>3203</v>
      </c>
      <c r="S61" s="32">
        <f t="shared" si="64"/>
        <v>23197</v>
      </c>
      <c r="T61" s="65">
        <v>1</v>
      </c>
      <c r="U61" s="59" t="s">
        <v>260</v>
      </c>
      <c r="V61" s="67" t="s">
        <v>285</v>
      </c>
      <c r="W61" s="66" t="s">
        <v>226</v>
      </c>
      <c r="X61" s="4" t="s">
        <v>113</v>
      </c>
      <c r="Y61" s="7">
        <v>10005779</v>
      </c>
      <c r="Z61" s="7" t="s">
        <v>218</v>
      </c>
      <c r="AA61" s="7" t="str">
        <f t="shared" si="99"/>
        <v>FEBRERO10005779Inventario final</v>
      </c>
      <c r="AB61" s="20">
        <f t="shared" si="66"/>
        <v>2021.274767801857</v>
      </c>
      <c r="AC61" s="223">
        <f>IFERROR(INDEX('Costos Producción Febrero'!$G$34:$G$57,MATCH(Resumen!Y61,'Costos Producción Febrero'!$B$34:$B$57,0))*AI61*G61,0)*1.25</f>
        <v>30744.097945398247</v>
      </c>
      <c r="AD61" s="46">
        <f>IFERROR(INDEX('Costos Producción Febrero'!$H$34:$H$57,MATCH(Resumen!Y61,'Costos Producción Febrero'!$B$34:$B$57,0))*AI61*G61,0)</f>
        <v>9359.9999999999964</v>
      </c>
      <c r="AE61" s="46">
        <f>IFERROR(INDEX('Costos Producción Febrero'!$I$34:$I$57,MATCH(Resumen!Y61,'Costos Producción Febrero'!$B$34:$B$57,0))*AI61*G61,0)</f>
        <v>270.5775401069518</v>
      </c>
      <c r="AF61" s="46">
        <f>IFERROR(INDEX('Costos Producción Febrero'!$J$34:$J$57,MATCH(Resumen!Y61,'Costos Producción Febrero'!$B$34:$B$57,0))*AI61*G61,0)</f>
        <v>8135.9189417393736</v>
      </c>
      <c r="AG61" s="46">
        <f t="shared" si="67"/>
        <v>48510.59442724457</v>
      </c>
      <c r="AH61" s="46"/>
      <c r="AI61" s="46">
        <f>INDEX('Costos Producción Febrero'!$F$5:$F$28,MATCH(Resumen!Y61,'Costos Producción Febrero'!$B$5:$B$28,0))</f>
        <v>1765.0739515902051</v>
      </c>
      <c r="AJ61" s="46"/>
      <c r="AK61" s="45">
        <f t="shared" si="68"/>
        <v>-22110.59442724457</v>
      </c>
      <c r="AL61" s="94">
        <f t="shared" si="69"/>
        <v>-0.83752251618350648</v>
      </c>
      <c r="AM61" s="44">
        <f t="shared" si="70"/>
        <v>3203</v>
      </c>
      <c r="AN61" s="44">
        <f t="shared" si="102"/>
        <v>1738.1538461538462</v>
      </c>
      <c r="AO61" s="44">
        <f t="shared" si="71"/>
        <v>4941.1538461538457</v>
      </c>
      <c r="AP61" s="44">
        <f t="shared" si="72"/>
        <v>944.93235795169858</v>
      </c>
      <c r="AQ61" s="44">
        <f t="shared" si="73"/>
        <v>695.91</v>
      </c>
      <c r="AR61" s="45">
        <f t="shared" si="74"/>
        <v>-27300.770631350115</v>
      </c>
      <c r="AS61" s="94">
        <f t="shared" si="75"/>
        <v>-1.0341200996723527</v>
      </c>
      <c r="AT61" s="44">
        <f t="shared" si="76"/>
        <v>1857.5769115141798</v>
      </c>
      <c r="AU61" s="45">
        <f t="shared" si="77"/>
        <v>-29158.347542864296</v>
      </c>
      <c r="AV61" s="94">
        <f t="shared" si="78"/>
        <v>-1.1044828614721325</v>
      </c>
      <c r="AW61" s="44">
        <f t="shared" si="79"/>
        <v>1483.443988387226</v>
      </c>
      <c r="AX61" s="45">
        <f t="shared" si="80"/>
        <v>-25817.326642962889</v>
      </c>
      <c r="AY61" s="94">
        <f t="shared" si="81"/>
        <v>-0.97792903950617005</v>
      </c>
      <c r="BA61" s="10">
        <f t="shared" si="82"/>
        <v>1100</v>
      </c>
      <c r="BB61" s="10">
        <f t="shared" si="83"/>
        <v>-1281.0040810582602</v>
      </c>
      <c r="BC61" s="10">
        <f t="shared" si="84"/>
        <v>-389.99999999999983</v>
      </c>
      <c r="BD61" s="10">
        <f t="shared" si="85"/>
        <v>-11.274064171122992</v>
      </c>
      <c r="BE61" s="10">
        <f t="shared" si="86"/>
        <v>-338.99662257247388</v>
      </c>
      <c r="BF61" s="10">
        <f t="shared" si="87"/>
        <v>-2021.274767801857</v>
      </c>
      <c r="BG61" s="10">
        <f t="shared" si="88"/>
        <v>-921.27476780185714</v>
      </c>
      <c r="BH61" s="10">
        <f t="shared" si="89"/>
        <v>-133.45833333333334</v>
      </c>
      <c r="BI61" s="10">
        <f t="shared" si="90"/>
        <v>-72.42307692307692</v>
      </c>
      <c r="BJ61" s="10">
        <f t="shared" si="91"/>
        <v>-205.88141025641025</v>
      </c>
      <c r="BK61" s="10">
        <f t="shared" si="92"/>
        <v>-39.372181581320774</v>
      </c>
      <c r="BL61" s="10">
        <f t="shared" si="93"/>
        <v>28.99625</v>
      </c>
      <c r="BM61" s="10">
        <f t="shared" si="94"/>
        <v>-1137.532109639588</v>
      </c>
      <c r="BN61" s="10">
        <f t="shared" si="95"/>
        <v>-77.399037979757495</v>
      </c>
      <c r="BO61" s="10">
        <f t="shared" si="96"/>
        <v>-1214.9311476193457</v>
      </c>
      <c r="BP61" s="10">
        <f t="shared" si="97"/>
        <v>61.810166182801083</v>
      </c>
      <c r="BQ61" s="10">
        <f t="shared" si="98"/>
        <v>-1075.7219434567871</v>
      </c>
    </row>
    <row r="62" spans="2:69">
      <c r="B62" s="7" t="s">
        <v>7</v>
      </c>
      <c r="C62" s="29" t="s">
        <v>8</v>
      </c>
      <c r="D62" s="25" t="s">
        <v>286</v>
      </c>
      <c r="E62" s="100">
        <v>54</v>
      </c>
      <c r="F62" s="106">
        <v>46108</v>
      </c>
      <c r="G62" s="101">
        <v>24</v>
      </c>
      <c r="H62" s="102" t="s">
        <v>34</v>
      </c>
      <c r="I62" s="27" t="s">
        <v>116</v>
      </c>
      <c r="J62" s="7" t="s">
        <v>247</v>
      </c>
      <c r="K62" s="7" t="s">
        <v>118</v>
      </c>
      <c r="L62" s="7" t="s">
        <v>119</v>
      </c>
      <c r="M62" s="21" t="s">
        <v>50</v>
      </c>
      <c r="N62" s="7" t="s">
        <v>287</v>
      </c>
      <c r="O62" s="20">
        <v>1200</v>
      </c>
      <c r="P62" s="222">
        <f>28800-9240</f>
        <v>19560</v>
      </c>
      <c r="Q62" s="20">
        <v>1054.1666666666667</v>
      </c>
      <c r="R62" s="30">
        <v>3500</v>
      </c>
      <c r="S62" s="32">
        <f t="shared" si="64"/>
        <v>16060</v>
      </c>
      <c r="T62" s="65">
        <v>1</v>
      </c>
      <c r="U62" s="59" t="s">
        <v>260</v>
      </c>
      <c r="V62" s="27">
        <v>6447908140</v>
      </c>
      <c r="W62" s="25" t="s">
        <v>122</v>
      </c>
      <c r="X62" s="4" t="s">
        <v>113</v>
      </c>
      <c r="Y62" s="7">
        <v>10005779</v>
      </c>
      <c r="Z62" s="7" t="s">
        <v>218</v>
      </c>
      <c r="AA62" s="7" t="str">
        <f t="shared" si="99"/>
        <v>FEBRERO10005779Inventario final</v>
      </c>
      <c r="AB62" s="20">
        <f t="shared" si="66"/>
        <v>2021.274767801857</v>
      </c>
      <c r="AC62" s="223">
        <f>IFERROR(INDEX('Costos Producción Febrero'!$G$34:$G$57,MATCH(Resumen!Y62,'Costos Producción Febrero'!$B$34:$B$57,0))*AI62*G62,0)*1.25</f>
        <v>30744.097945398247</v>
      </c>
      <c r="AD62" s="46">
        <f>IFERROR(INDEX('Costos Producción Febrero'!$H$34:$H$57,MATCH(Resumen!Y62,'Costos Producción Febrero'!$B$34:$B$57,0))*AI62*G62,0)</f>
        <v>9359.9999999999964</v>
      </c>
      <c r="AE62" s="46">
        <f>IFERROR(INDEX('Costos Producción Febrero'!$I$34:$I$57,MATCH(Resumen!Y62,'Costos Producción Febrero'!$B$34:$B$57,0))*AI62*G62,0)</f>
        <v>270.5775401069518</v>
      </c>
      <c r="AF62" s="46">
        <f>IFERROR(INDEX('Costos Producción Febrero'!$J$34:$J$57,MATCH(Resumen!Y62,'Costos Producción Febrero'!$B$34:$B$57,0))*AI62*G62,0)</f>
        <v>8135.9189417393736</v>
      </c>
      <c r="AG62" s="46">
        <f t="shared" si="67"/>
        <v>48510.59442724457</v>
      </c>
      <c r="AH62" s="46"/>
      <c r="AI62" s="46">
        <f>INDEX('Costos Producción Febrero'!$F$5:$F$28,MATCH(Resumen!Y62,'Costos Producción Febrero'!$B$5:$B$28,0))</f>
        <v>1765.0739515902051</v>
      </c>
      <c r="AJ62" s="46"/>
      <c r="AK62" s="45">
        <f t="shared" si="68"/>
        <v>-28950.59442724457</v>
      </c>
      <c r="AL62" s="94">
        <f t="shared" si="69"/>
        <v>-1.4800917396341804</v>
      </c>
      <c r="AM62" s="44">
        <f t="shared" si="70"/>
        <v>3500</v>
      </c>
      <c r="AN62" s="44">
        <f t="shared" si="102"/>
        <v>1738.1538461538462</v>
      </c>
      <c r="AO62" s="44">
        <f t="shared" si="71"/>
        <v>5238.1538461538457</v>
      </c>
      <c r="AP62" s="44">
        <f t="shared" si="72"/>
        <v>944.93235795169858</v>
      </c>
      <c r="AQ62" s="44">
        <f t="shared" si="73"/>
        <v>481.79999999999995</v>
      </c>
      <c r="AR62" s="45">
        <f t="shared" si="74"/>
        <v>-34651.880631350112</v>
      </c>
      <c r="AS62" s="94">
        <f t="shared" si="75"/>
        <v>-1.7715685394350773</v>
      </c>
      <c r="AT62" s="44">
        <f t="shared" si="76"/>
        <v>1857.5769115141798</v>
      </c>
      <c r="AU62" s="45">
        <f t="shared" si="77"/>
        <v>-36509.457542864293</v>
      </c>
      <c r="AV62" s="94">
        <f t="shared" si="78"/>
        <v>-1.866536684195516</v>
      </c>
      <c r="AW62" s="44">
        <f t="shared" si="79"/>
        <v>1483.443988387226</v>
      </c>
      <c r="AX62" s="45">
        <f t="shared" si="80"/>
        <v>-33168.436642962886</v>
      </c>
      <c r="AY62" s="94">
        <f t="shared" si="81"/>
        <v>-1.6957278447322539</v>
      </c>
      <c r="BA62" s="10">
        <f t="shared" si="82"/>
        <v>815</v>
      </c>
      <c r="BB62" s="10">
        <f t="shared" si="83"/>
        <v>-1281.0040810582602</v>
      </c>
      <c r="BC62" s="10">
        <f t="shared" si="84"/>
        <v>-389.99999999999983</v>
      </c>
      <c r="BD62" s="10">
        <f t="shared" si="85"/>
        <v>-11.274064171122992</v>
      </c>
      <c r="BE62" s="10">
        <f t="shared" si="86"/>
        <v>-338.99662257247388</v>
      </c>
      <c r="BF62" s="10">
        <f t="shared" si="87"/>
        <v>-2021.274767801857</v>
      </c>
      <c r="BG62" s="10">
        <f t="shared" si="88"/>
        <v>-1206.274767801857</v>
      </c>
      <c r="BH62" s="10">
        <f t="shared" si="89"/>
        <v>-145.83333333333334</v>
      </c>
      <c r="BI62" s="10">
        <f t="shared" si="90"/>
        <v>-72.42307692307692</v>
      </c>
      <c r="BJ62" s="10">
        <f t="shared" si="91"/>
        <v>-218.25641025641025</v>
      </c>
      <c r="BK62" s="10">
        <f t="shared" si="92"/>
        <v>-39.372181581320774</v>
      </c>
      <c r="BL62" s="10">
        <f t="shared" si="93"/>
        <v>20.074999999999999</v>
      </c>
      <c r="BM62" s="10">
        <f t="shared" si="94"/>
        <v>-1443.8283596395879</v>
      </c>
      <c r="BN62" s="10">
        <f t="shared" si="95"/>
        <v>-77.399037979757495</v>
      </c>
      <c r="BO62" s="10">
        <f t="shared" si="96"/>
        <v>-1521.2273976193455</v>
      </c>
      <c r="BP62" s="10">
        <f t="shared" si="97"/>
        <v>61.810166182801083</v>
      </c>
      <c r="BQ62" s="10">
        <f t="shared" si="98"/>
        <v>-1382.018193456787</v>
      </c>
    </row>
    <row r="63" spans="2:69">
      <c r="B63" s="7" t="s">
        <v>7</v>
      </c>
      <c r="C63" s="29" t="s">
        <v>8</v>
      </c>
      <c r="D63" s="25" t="s">
        <v>288</v>
      </c>
      <c r="E63" s="100">
        <v>54</v>
      </c>
      <c r="F63" s="106">
        <v>46108</v>
      </c>
      <c r="G63" s="101">
        <v>24</v>
      </c>
      <c r="H63" s="102" t="s">
        <v>34</v>
      </c>
      <c r="I63" s="27" t="s">
        <v>116</v>
      </c>
      <c r="J63" s="7" t="s">
        <v>247</v>
      </c>
      <c r="K63" s="7" t="s">
        <v>118</v>
      </c>
      <c r="L63" s="7" t="s">
        <v>119</v>
      </c>
      <c r="M63" s="21" t="s">
        <v>50</v>
      </c>
      <c r="N63" s="7" t="s">
        <v>287</v>
      </c>
      <c r="O63" s="20">
        <v>1200</v>
      </c>
      <c r="P63" s="69">
        <v>28800</v>
      </c>
      <c r="Q63" s="20">
        <v>1054.1666666666667</v>
      </c>
      <c r="R63" s="30">
        <v>3500</v>
      </c>
      <c r="S63" s="32">
        <f t="shared" si="64"/>
        <v>25300</v>
      </c>
      <c r="T63" s="65">
        <v>1</v>
      </c>
      <c r="U63" s="59" t="s">
        <v>260</v>
      </c>
      <c r="V63" s="27">
        <v>6447908120</v>
      </c>
      <c r="W63" s="25" t="s">
        <v>122</v>
      </c>
      <c r="X63" s="4" t="s">
        <v>113</v>
      </c>
      <c r="Y63" s="7">
        <v>10005779</v>
      </c>
      <c r="Z63" s="7" t="s">
        <v>218</v>
      </c>
      <c r="AA63" s="7" t="str">
        <f t="shared" si="99"/>
        <v>FEBRERO10005779Inventario final</v>
      </c>
      <c r="AB63" s="20">
        <f t="shared" si="66"/>
        <v>2021.274767801857</v>
      </c>
      <c r="AC63" s="223">
        <f>IFERROR(INDEX('Costos Producción Febrero'!$G$34:$G$57,MATCH(Resumen!Y63,'Costos Producción Febrero'!$B$34:$B$57,0))*AI63*G63,0)*1.25</f>
        <v>30744.097945398247</v>
      </c>
      <c r="AD63" s="46">
        <f>IFERROR(INDEX('Costos Producción Febrero'!$H$34:$H$57,MATCH(Resumen!Y63,'Costos Producción Febrero'!$B$34:$B$57,0))*AI63*G63,0)</f>
        <v>9359.9999999999964</v>
      </c>
      <c r="AE63" s="46">
        <f>IFERROR(INDEX('Costos Producción Febrero'!$I$34:$I$57,MATCH(Resumen!Y63,'Costos Producción Febrero'!$B$34:$B$57,0))*AI63*G63,0)</f>
        <v>270.5775401069518</v>
      </c>
      <c r="AF63" s="46">
        <f>IFERROR(INDEX('Costos Producción Febrero'!$J$34:$J$57,MATCH(Resumen!Y63,'Costos Producción Febrero'!$B$34:$B$57,0))*AI63*G63,0)</f>
        <v>8135.9189417393736</v>
      </c>
      <c r="AG63" s="46">
        <f t="shared" si="67"/>
        <v>48510.59442724457</v>
      </c>
      <c r="AH63" s="46"/>
      <c r="AI63" s="46">
        <f>INDEX('Costos Producción Febrero'!$F$5:$F$28,MATCH(Resumen!Y63,'Costos Producción Febrero'!$B$5:$B$28,0))</f>
        <v>1765.0739515902051</v>
      </c>
      <c r="AJ63" s="46"/>
      <c r="AK63" s="45">
        <f t="shared" si="68"/>
        <v>-19710.59442724457</v>
      </c>
      <c r="AL63" s="94">
        <f t="shared" si="69"/>
        <v>-0.68439563983488094</v>
      </c>
      <c r="AM63" s="44">
        <f t="shared" si="70"/>
        <v>3500</v>
      </c>
      <c r="AN63" s="44">
        <f t="shared" si="102"/>
        <v>1738.1538461538462</v>
      </c>
      <c r="AO63" s="44">
        <f t="shared" si="71"/>
        <v>5238.1538461538457</v>
      </c>
      <c r="AP63" s="44">
        <f t="shared" si="72"/>
        <v>944.93235795169858</v>
      </c>
      <c r="AQ63" s="44">
        <f t="shared" si="73"/>
        <v>759</v>
      </c>
      <c r="AR63" s="45">
        <f t="shared" si="74"/>
        <v>-25134.680631350115</v>
      </c>
      <c r="AS63" s="94">
        <f t="shared" si="75"/>
        <v>-0.87273196636632344</v>
      </c>
      <c r="AT63" s="44">
        <f t="shared" si="76"/>
        <v>1857.5769115141798</v>
      </c>
      <c r="AU63" s="45">
        <f t="shared" si="77"/>
        <v>-26992.257542864296</v>
      </c>
      <c r="AV63" s="94">
        <f t="shared" si="78"/>
        <v>-0.937231164682788</v>
      </c>
      <c r="AW63" s="44">
        <f t="shared" si="79"/>
        <v>1483.443988387226</v>
      </c>
      <c r="AX63" s="45">
        <f t="shared" si="80"/>
        <v>-23651.236642962889</v>
      </c>
      <c r="AY63" s="94">
        <f t="shared" si="81"/>
        <v>-0.82122349454732257</v>
      </c>
      <c r="BA63" s="10">
        <f t="shared" si="82"/>
        <v>1200</v>
      </c>
      <c r="BB63" s="10">
        <f t="shared" si="83"/>
        <v>-1281.0040810582602</v>
      </c>
      <c r="BC63" s="10">
        <f t="shared" si="84"/>
        <v>-389.99999999999983</v>
      </c>
      <c r="BD63" s="10">
        <f t="shared" si="85"/>
        <v>-11.274064171122992</v>
      </c>
      <c r="BE63" s="10">
        <f t="shared" si="86"/>
        <v>-338.99662257247388</v>
      </c>
      <c r="BF63" s="10">
        <f t="shared" si="87"/>
        <v>-2021.274767801857</v>
      </c>
      <c r="BG63" s="10">
        <f t="shared" si="88"/>
        <v>-821.27476780185714</v>
      </c>
      <c r="BH63" s="10">
        <f t="shared" si="89"/>
        <v>-145.83333333333334</v>
      </c>
      <c r="BI63" s="10">
        <f t="shared" si="90"/>
        <v>-72.42307692307692</v>
      </c>
      <c r="BJ63" s="10">
        <f t="shared" si="91"/>
        <v>-218.25641025641025</v>
      </c>
      <c r="BK63" s="10">
        <f t="shared" si="92"/>
        <v>-39.372181581320774</v>
      </c>
      <c r="BL63" s="10">
        <f t="shared" si="93"/>
        <v>31.625</v>
      </c>
      <c r="BM63" s="10">
        <f t="shared" si="94"/>
        <v>-1047.2783596395882</v>
      </c>
      <c r="BN63" s="10">
        <f t="shared" si="95"/>
        <v>-77.399037979757495</v>
      </c>
      <c r="BO63" s="10">
        <f t="shared" si="96"/>
        <v>-1124.6773976193456</v>
      </c>
      <c r="BP63" s="10">
        <f t="shared" si="97"/>
        <v>61.810166182801083</v>
      </c>
      <c r="BQ63" s="10">
        <f t="shared" si="98"/>
        <v>-985.46819345678705</v>
      </c>
    </row>
    <row r="64" spans="2:69">
      <c r="B64" s="7" t="s">
        <v>7</v>
      </c>
      <c r="C64" s="29" t="s">
        <v>8</v>
      </c>
      <c r="D64" s="21" t="s">
        <v>289</v>
      </c>
      <c r="E64" s="100">
        <v>46077</v>
      </c>
      <c r="F64" s="100">
        <v>46108</v>
      </c>
      <c r="G64" s="101">
        <v>48</v>
      </c>
      <c r="H64" s="102" t="s">
        <v>34</v>
      </c>
      <c r="I64" s="27" t="s">
        <v>116</v>
      </c>
      <c r="J64" s="7" t="s">
        <v>290</v>
      </c>
      <c r="K64" s="7" t="s">
        <v>118</v>
      </c>
      <c r="L64" s="7" t="s">
        <v>119</v>
      </c>
      <c r="M64" s="21" t="s">
        <v>43</v>
      </c>
      <c r="N64" s="7" t="s">
        <v>129</v>
      </c>
      <c r="O64" s="20">
        <v>1200</v>
      </c>
      <c r="P64" s="61">
        <v>57600</v>
      </c>
      <c r="Q64" s="20">
        <v>1126.8125</v>
      </c>
      <c r="R64" s="20">
        <v>3513</v>
      </c>
      <c r="S64" s="32">
        <f t="shared" si="64"/>
        <v>54087</v>
      </c>
      <c r="T64" s="65">
        <v>1</v>
      </c>
      <c r="U64" s="59" t="s">
        <v>260</v>
      </c>
      <c r="V64" s="71" t="s">
        <v>291</v>
      </c>
      <c r="W64" s="72" t="s">
        <v>226</v>
      </c>
      <c r="X64" s="4" t="s">
        <v>113</v>
      </c>
      <c r="Y64" s="7">
        <v>10005779</v>
      </c>
      <c r="Z64" s="7" t="s">
        <v>218</v>
      </c>
      <c r="AA64" s="7" t="str">
        <f t="shared" si="99"/>
        <v>FEBRERO10005779Inventario final</v>
      </c>
      <c r="AB64" s="20">
        <f t="shared" si="66"/>
        <v>2021.274767801857</v>
      </c>
      <c r="AC64" s="223">
        <f>IFERROR(INDEX('Costos Producción Febrero'!$G$34:$G$57,MATCH(Resumen!Y64,'Costos Producción Febrero'!$B$34:$B$57,0))*AI64*G64,0)*1.25</f>
        <v>61488.195890796494</v>
      </c>
      <c r="AD64" s="46">
        <f>IFERROR(INDEX('Costos Producción Febrero'!$H$34:$H$57,MATCH(Resumen!Y64,'Costos Producción Febrero'!$B$34:$B$57,0))*AI64*G64,0)</f>
        <v>18719.999999999993</v>
      </c>
      <c r="AE64" s="46">
        <f>IFERROR(INDEX('Costos Producción Febrero'!$I$34:$I$57,MATCH(Resumen!Y64,'Costos Producción Febrero'!$B$34:$B$57,0))*AI64*G64,0)</f>
        <v>541.1550802139036</v>
      </c>
      <c r="AF64" s="46">
        <f>IFERROR(INDEX('Costos Producción Febrero'!$J$34:$J$57,MATCH(Resumen!Y64,'Costos Producción Febrero'!$B$34:$B$57,0))*AI64*G64,0)</f>
        <v>16271.837883478747</v>
      </c>
      <c r="AG64" s="46">
        <f t="shared" si="67"/>
        <v>97021.188854489141</v>
      </c>
      <c r="AH64" s="46"/>
      <c r="AI64" s="46">
        <f>INDEX('Costos Producción Febrero'!$F$5:$F$28,MATCH(Resumen!Y64,'Costos Producción Febrero'!$B$5:$B$28,0))</f>
        <v>1765.0739515902051</v>
      </c>
      <c r="AJ64" s="46"/>
      <c r="AK64" s="45">
        <f t="shared" si="68"/>
        <v>-39421.188854489141</v>
      </c>
      <c r="AL64" s="94">
        <f t="shared" si="69"/>
        <v>-0.68439563983488094</v>
      </c>
      <c r="AM64" s="44">
        <f t="shared" si="70"/>
        <v>3513</v>
      </c>
      <c r="AN64" s="44">
        <f t="shared" si="102"/>
        <v>3476.3076923076924</v>
      </c>
      <c r="AO64" s="44">
        <f t="shared" si="71"/>
        <v>6989.3076923076924</v>
      </c>
      <c r="AP64" s="44">
        <f t="shared" si="72"/>
        <v>1889.8647159033972</v>
      </c>
      <c r="AQ64" s="44">
        <f t="shared" si="73"/>
        <v>1622.61</v>
      </c>
      <c r="AR64" s="45">
        <f t="shared" si="74"/>
        <v>-46677.751262700229</v>
      </c>
      <c r="AS64" s="94">
        <f t="shared" si="75"/>
        <v>-0.81037762608854569</v>
      </c>
      <c r="AT64" s="44">
        <f t="shared" si="76"/>
        <v>3715.1538230283595</v>
      </c>
      <c r="AU64" s="45">
        <f t="shared" si="77"/>
        <v>-50392.905085728591</v>
      </c>
      <c r="AV64" s="94">
        <f t="shared" si="78"/>
        <v>-0.87487682440501024</v>
      </c>
      <c r="AW64" s="44">
        <f t="shared" si="79"/>
        <v>2966.887976774452</v>
      </c>
      <c r="AX64" s="45">
        <f t="shared" si="80"/>
        <v>-43710.863285925778</v>
      </c>
      <c r="AY64" s="94">
        <f t="shared" si="81"/>
        <v>-0.75886915426954471</v>
      </c>
      <c r="BA64" s="10">
        <f t="shared" si="82"/>
        <v>1200</v>
      </c>
      <c r="BB64" s="10">
        <f t="shared" si="83"/>
        <v>-1281.0040810582602</v>
      </c>
      <c r="BC64" s="10">
        <f t="shared" si="84"/>
        <v>-389.99999999999983</v>
      </c>
      <c r="BD64" s="10">
        <f t="shared" si="85"/>
        <v>-11.274064171122992</v>
      </c>
      <c r="BE64" s="10">
        <f t="shared" si="86"/>
        <v>-338.99662257247388</v>
      </c>
      <c r="BF64" s="10">
        <f t="shared" si="87"/>
        <v>-2021.274767801857</v>
      </c>
      <c r="BG64" s="10">
        <f t="shared" si="88"/>
        <v>-821.27476780185714</v>
      </c>
      <c r="BH64" s="10">
        <f t="shared" si="89"/>
        <v>-73.1875</v>
      </c>
      <c r="BI64" s="10">
        <f t="shared" si="90"/>
        <v>-72.42307692307692</v>
      </c>
      <c r="BJ64" s="10">
        <f t="shared" si="91"/>
        <v>-145.61057692307693</v>
      </c>
      <c r="BK64" s="10">
        <f t="shared" si="92"/>
        <v>-39.372181581320774</v>
      </c>
      <c r="BL64" s="10">
        <f t="shared" si="93"/>
        <v>33.804375</v>
      </c>
      <c r="BM64" s="10">
        <f t="shared" si="94"/>
        <v>-972.45315130625477</v>
      </c>
      <c r="BN64" s="10">
        <f t="shared" si="95"/>
        <v>-77.399037979757495</v>
      </c>
      <c r="BO64" s="10">
        <f t="shared" si="96"/>
        <v>-1049.8521892860124</v>
      </c>
      <c r="BP64" s="10">
        <f t="shared" si="97"/>
        <v>61.810166182801083</v>
      </c>
      <c r="BQ64" s="10">
        <f t="shared" si="98"/>
        <v>-910.64298512345374</v>
      </c>
    </row>
    <row r="65" spans="2:69" ht="19.2">
      <c r="B65" s="7" t="s">
        <v>7</v>
      </c>
      <c r="C65" s="29" t="s">
        <v>8</v>
      </c>
      <c r="D65" s="25" t="s">
        <v>292</v>
      </c>
      <c r="E65" s="100">
        <v>58</v>
      </c>
      <c r="F65" s="100">
        <v>46108</v>
      </c>
      <c r="G65" s="101">
        <v>27</v>
      </c>
      <c r="H65" s="104" t="s">
        <v>31</v>
      </c>
      <c r="I65" s="105" t="s">
        <v>107</v>
      </c>
      <c r="J65" s="7" t="s">
        <v>293</v>
      </c>
      <c r="K65" s="7" t="s">
        <v>171</v>
      </c>
      <c r="L65" s="7" t="s">
        <v>202</v>
      </c>
      <c r="M65" s="99" t="s">
        <v>58</v>
      </c>
      <c r="N65" s="7"/>
      <c r="O65" s="20">
        <v>2600</v>
      </c>
      <c r="P65" s="61">
        <v>70200</v>
      </c>
      <c r="Q65" s="20">
        <v>2485.1851851851852</v>
      </c>
      <c r="R65" s="30">
        <v>3100</v>
      </c>
      <c r="S65" s="32">
        <f t="shared" si="64"/>
        <v>67100</v>
      </c>
      <c r="T65" s="65">
        <v>1</v>
      </c>
      <c r="U65" s="7" t="s">
        <v>260</v>
      </c>
      <c r="V65" s="27">
        <v>6447908790</v>
      </c>
      <c r="W65" s="62" t="s">
        <v>122</v>
      </c>
      <c r="X65" s="4" t="s">
        <v>113</v>
      </c>
      <c r="Y65" s="7">
        <v>10007162</v>
      </c>
      <c r="Z65" s="7" t="s">
        <v>218</v>
      </c>
      <c r="AA65" s="7" t="str">
        <f t="shared" si="99"/>
        <v>FEBRERO10007162Inventario final</v>
      </c>
      <c r="AB65" s="20">
        <f t="shared" si="66"/>
        <v>1921.1998842520175</v>
      </c>
      <c r="AC65" s="223">
        <f>IFERROR(INDEX('Costos Producción Febrero'!$G$34:$G$57,MATCH(Resumen!Y65,'Costos Producción Febrero'!$B$34:$B$57,0))*AI65*G65,0)*1.25</f>
        <v>34472.745808046042</v>
      </c>
      <c r="AD65" s="46">
        <f>IFERROR(INDEX('Costos Producción Febrero'!$H$34:$H$57,MATCH(Resumen!Y65,'Costos Producción Febrero'!$B$34:$B$57,0))*AI65*G65,0)</f>
        <v>7830</v>
      </c>
      <c r="AE65" s="46">
        <f>IFERROR(INDEX('Costos Producción Febrero'!$I$34:$I$57,MATCH(Resumen!Y65,'Costos Producción Febrero'!$B$34:$B$57,0))*AI65*G65,0)</f>
        <v>416.97118813739604</v>
      </c>
      <c r="AF65" s="46">
        <f>IFERROR(INDEX('Costos Producción Febrero'!$J$34:$J$57,MATCH(Resumen!Y65,'Costos Producción Febrero'!$B$34:$B$57,0))*AI65*G65,0)</f>
        <v>9152.6798786210366</v>
      </c>
      <c r="AG65" s="46">
        <f t="shared" si="67"/>
        <v>51872.396874804472</v>
      </c>
      <c r="AH65" s="46"/>
      <c r="AI65" s="46">
        <f>INDEX('Costos Producción Febrero'!$F$5:$F$28,MATCH(Resumen!Y65,'Costos Producción Febrero'!$B$5:$B$28,0))</f>
        <v>1665.8462115998248</v>
      </c>
      <c r="AJ65" s="46"/>
      <c r="AK65" s="45">
        <f t="shared" si="68"/>
        <v>18327.603125195528</v>
      </c>
      <c r="AL65" s="94">
        <f t="shared" si="69"/>
        <v>0.26107696759537791</v>
      </c>
      <c r="AM65" s="44">
        <f t="shared" si="70"/>
        <v>3100</v>
      </c>
      <c r="AN65" s="44">
        <f t="shared" si="102"/>
        <v>1955.4230769230769</v>
      </c>
      <c r="AO65" s="44">
        <f t="shared" si="71"/>
        <v>5055.4230769230771</v>
      </c>
      <c r="AP65" s="44">
        <f t="shared" si="72"/>
        <v>1063.0489026956609</v>
      </c>
      <c r="AQ65" s="44">
        <f t="shared" si="73"/>
        <v>2013</v>
      </c>
      <c r="AR65" s="45">
        <f t="shared" si="74"/>
        <v>14222.13114557679</v>
      </c>
      <c r="AS65" s="94">
        <f t="shared" si="75"/>
        <v>0.20259446076320214</v>
      </c>
      <c r="AT65" s="44">
        <f t="shared" si="76"/>
        <v>2089.7740254534524</v>
      </c>
      <c r="AU65" s="45">
        <f t="shared" si="77"/>
        <v>12132.357120123337</v>
      </c>
      <c r="AV65" s="94">
        <f t="shared" si="78"/>
        <v>0.17282560000175695</v>
      </c>
      <c r="AW65" s="44">
        <f t="shared" si="79"/>
        <v>1668.8744869356292</v>
      </c>
      <c r="AX65" s="45">
        <f t="shared" si="80"/>
        <v>15891.005632512419</v>
      </c>
      <c r="AY65" s="94">
        <f t="shared" si="81"/>
        <v>0.226367601602741</v>
      </c>
      <c r="BA65" s="10">
        <f t="shared" si="82"/>
        <v>2600</v>
      </c>
      <c r="BB65" s="10">
        <f t="shared" si="83"/>
        <v>-1276.7683632609644</v>
      </c>
      <c r="BC65" s="10">
        <f t="shared" si="84"/>
        <v>-290</v>
      </c>
      <c r="BD65" s="10">
        <f t="shared" si="85"/>
        <v>-15.443377338422076</v>
      </c>
      <c r="BE65" s="10">
        <f t="shared" si="86"/>
        <v>-338.98814365263098</v>
      </c>
      <c r="BF65" s="10">
        <f t="shared" si="87"/>
        <v>-1921.1998842520175</v>
      </c>
      <c r="BG65" s="10">
        <f t="shared" si="88"/>
        <v>678.80011574798255</v>
      </c>
      <c r="BH65" s="10">
        <f t="shared" si="89"/>
        <v>-114.81481481481481</v>
      </c>
      <c r="BI65" s="10">
        <f t="shared" si="90"/>
        <v>-72.42307692307692</v>
      </c>
      <c r="BJ65" s="10">
        <f t="shared" si="91"/>
        <v>-187.23789173789174</v>
      </c>
      <c r="BK65" s="10">
        <f t="shared" si="92"/>
        <v>-39.372181581320774</v>
      </c>
      <c r="BL65" s="10">
        <f t="shared" si="93"/>
        <v>74.555555555555557</v>
      </c>
      <c r="BM65" s="10">
        <f t="shared" si="94"/>
        <v>526.74559798432551</v>
      </c>
      <c r="BN65" s="10">
        <f t="shared" si="95"/>
        <v>-77.399037979757495</v>
      </c>
      <c r="BO65" s="10">
        <f t="shared" si="96"/>
        <v>449.34656000456806</v>
      </c>
      <c r="BP65" s="10">
        <f t="shared" si="97"/>
        <v>61.810166182801083</v>
      </c>
      <c r="BQ65" s="10">
        <f t="shared" si="98"/>
        <v>588.55576416712665</v>
      </c>
    </row>
    <row r="66" spans="2:69">
      <c r="B66" s="7" t="s">
        <v>7</v>
      </c>
      <c r="C66" s="29" t="s">
        <v>8</v>
      </c>
      <c r="D66" s="27" t="s">
        <v>294</v>
      </c>
      <c r="E66" s="100">
        <v>59</v>
      </c>
      <c r="F66" s="100">
        <v>46104</v>
      </c>
      <c r="G66" s="101">
        <v>216</v>
      </c>
      <c r="H66" s="27" t="s">
        <v>498</v>
      </c>
      <c r="I66" s="27" t="s">
        <v>201</v>
      </c>
      <c r="J66" s="7"/>
      <c r="K66" s="7" t="s">
        <v>295</v>
      </c>
      <c r="L66" s="7" t="s">
        <v>172</v>
      </c>
      <c r="M66" s="21" t="s">
        <v>47</v>
      </c>
      <c r="N66" s="7" t="s">
        <v>191</v>
      </c>
      <c r="O66" s="20">
        <v>3100</v>
      </c>
      <c r="P66" s="32">
        <v>669600</v>
      </c>
      <c r="Q66" s="20">
        <v>2992.5925925925926</v>
      </c>
      <c r="R66" s="30">
        <v>23200</v>
      </c>
      <c r="S66" s="32">
        <f t="shared" si="64"/>
        <v>646400</v>
      </c>
      <c r="T66" s="65">
        <v>8</v>
      </c>
      <c r="U66" s="23" t="s">
        <v>274</v>
      </c>
      <c r="V66" s="27">
        <v>6447338820</v>
      </c>
      <c r="W66" s="62" t="s">
        <v>122</v>
      </c>
      <c r="X66" s="4" t="s">
        <v>113</v>
      </c>
      <c r="Y66" s="7">
        <v>10009239</v>
      </c>
      <c r="Z66" s="7" t="s">
        <v>218</v>
      </c>
      <c r="AA66" s="7" t="str">
        <f t="shared" si="99"/>
        <v>FEBRERO10009239Inventario final</v>
      </c>
      <c r="AB66" s="20">
        <f t="shared" si="66"/>
        <v>2321.3258701381314</v>
      </c>
      <c r="AC66" s="223">
        <f>IFERROR(INDEX('Costos Producción Febrero'!$G$34:$G$57,MATCH(Resumen!Y66,'Costos Producción Febrero'!$B$34:$B$57,0))*AI66*G66,0)*1.25</f>
        <v>274469.90594329336</v>
      </c>
      <c r="AD66" s="46">
        <f>IFERROR(INDEX('Costos Producción Febrero'!$H$34:$H$57,MATCH(Resumen!Y66,'Costos Producción Febrero'!$B$34:$B$57,0))*AI66*G66,0)</f>
        <v>143151.38931297712</v>
      </c>
      <c r="AE66" s="46">
        <f>IFERROR(INDEX('Costos Producción Febrero'!$I$34:$I$57,MATCH(Resumen!Y66,'Costos Producción Febrero'!$B$34:$B$57,0))*AI66*G66,0)</f>
        <v>2621.6008724100329</v>
      </c>
      <c r="AF66" s="46">
        <f>IFERROR(INDEX('Costos Producción Febrero'!$J$34:$J$57,MATCH(Resumen!Y66,'Costos Producción Febrero'!$B$34:$B$57,0))*AI66*G66,0)</f>
        <v>81163.491821155927</v>
      </c>
      <c r="AG66" s="46">
        <f t="shared" si="67"/>
        <v>501406.38794983644</v>
      </c>
      <c r="AH66" s="46"/>
      <c r="AI66" s="46">
        <f>INDEX('Costos Producción Febrero'!$F$5:$F$28,MATCH(Resumen!Y66,'Costos Producción Febrero'!$B$5:$B$28,0))</f>
        <v>2067.1870683387856</v>
      </c>
      <c r="AJ66" s="46"/>
      <c r="AK66" s="45">
        <f t="shared" si="68"/>
        <v>168193.61205016356</v>
      </c>
      <c r="AL66" s="94">
        <f t="shared" si="69"/>
        <v>0.25118520318124787</v>
      </c>
      <c r="AM66" s="44">
        <f t="shared" si="70"/>
        <v>23200</v>
      </c>
      <c r="AN66" s="44">
        <f t="shared" si="102"/>
        <v>15643.384615384615</v>
      </c>
      <c r="AO66" s="44">
        <f t="shared" si="71"/>
        <v>38843.384615384617</v>
      </c>
      <c r="AP66" s="44">
        <f t="shared" si="72"/>
        <v>8504.3912215652872</v>
      </c>
      <c r="AQ66" s="44">
        <f t="shared" si="73"/>
        <v>19392</v>
      </c>
      <c r="AR66" s="45">
        <f t="shared" si="74"/>
        <v>140237.83621321365</v>
      </c>
      <c r="AS66" s="94">
        <f t="shared" si="75"/>
        <v>0.20943523926704549</v>
      </c>
      <c r="AT66" s="44">
        <f t="shared" si="76"/>
        <v>16718.192203627619</v>
      </c>
      <c r="AU66" s="45">
        <f t="shared" si="77"/>
        <v>123519.64400958603</v>
      </c>
      <c r="AV66" s="94">
        <f t="shared" si="78"/>
        <v>0.18446780766067208</v>
      </c>
      <c r="AW66" s="44">
        <f t="shared" si="79"/>
        <v>13350.995895485034</v>
      </c>
      <c r="AX66" s="45">
        <f t="shared" si="80"/>
        <v>153588.8321086987</v>
      </c>
      <c r="AY66" s="94">
        <f t="shared" si="81"/>
        <v>0.22937400255182003</v>
      </c>
      <c r="BA66" s="10">
        <f t="shared" si="82"/>
        <v>3100</v>
      </c>
      <c r="BB66" s="10">
        <f t="shared" si="83"/>
        <v>-1270.6940089967286</v>
      </c>
      <c r="BC66" s="10">
        <f t="shared" si="84"/>
        <v>-662.73791348600514</v>
      </c>
      <c r="BD66" s="10">
        <f t="shared" si="85"/>
        <v>-12.137041075972375</v>
      </c>
      <c r="BE66" s="10">
        <f t="shared" si="86"/>
        <v>-375.75690657942556</v>
      </c>
      <c r="BF66" s="10">
        <f t="shared" si="87"/>
        <v>-2321.3258701381314</v>
      </c>
      <c r="BG66" s="10">
        <f t="shared" si="88"/>
        <v>778.67412986186832</v>
      </c>
      <c r="BH66" s="10">
        <f t="shared" si="89"/>
        <v>-107.4074074074074</v>
      </c>
      <c r="BI66" s="10">
        <f t="shared" si="90"/>
        <v>-72.42307692307692</v>
      </c>
      <c r="BJ66" s="10">
        <f t="shared" si="91"/>
        <v>-179.83048433048432</v>
      </c>
      <c r="BK66" s="10">
        <f t="shared" si="92"/>
        <v>-39.372181581320774</v>
      </c>
      <c r="BL66" s="10">
        <f t="shared" si="93"/>
        <v>89.777777777777771</v>
      </c>
      <c r="BM66" s="10">
        <f t="shared" si="94"/>
        <v>649.24924172784097</v>
      </c>
      <c r="BN66" s="10">
        <f t="shared" si="95"/>
        <v>-77.399037979757495</v>
      </c>
      <c r="BO66" s="10">
        <f t="shared" si="96"/>
        <v>571.85020374808346</v>
      </c>
      <c r="BP66" s="10">
        <f t="shared" si="97"/>
        <v>61.810166182801083</v>
      </c>
      <c r="BQ66" s="10">
        <f t="shared" si="98"/>
        <v>711.05940791064211</v>
      </c>
    </row>
    <row r="67" spans="2:69">
      <c r="B67" s="7" t="s">
        <v>7</v>
      </c>
      <c r="C67" s="29" t="s">
        <v>8</v>
      </c>
      <c r="D67" s="27" t="s">
        <v>296</v>
      </c>
      <c r="E67" s="100">
        <v>59</v>
      </c>
      <c r="F67" s="100">
        <v>46104</v>
      </c>
      <c r="G67" s="101">
        <v>108</v>
      </c>
      <c r="H67" s="27" t="s">
        <v>498</v>
      </c>
      <c r="I67" s="27" t="s">
        <v>297</v>
      </c>
      <c r="J67" s="7"/>
      <c r="K67" s="7" t="s">
        <v>171</v>
      </c>
      <c r="L67" s="7" t="s">
        <v>172</v>
      </c>
      <c r="M67" s="21" t="s">
        <v>49</v>
      </c>
      <c r="N67" s="7" t="s">
        <v>191</v>
      </c>
      <c r="O67" s="20">
        <v>3100</v>
      </c>
      <c r="P67" s="61">
        <v>334800</v>
      </c>
      <c r="Q67" s="20">
        <v>2992.5925925925926</v>
      </c>
      <c r="R67" s="30">
        <v>11600</v>
      </c>
      <c r="S67" s="32">
        <f t="shared" si="64"/>
        <v>323200</v>
      </c>
      <c r="T67" s="65">
        <v>4</v>
      </c>
      <c r="U67" s="23" t="s">
        <v>274</v>
      </c>
      <c r="V67" s="27">
        <v>6447338860</v>
      </c>
      <c r="W67" s="62" t="s">
        <v>122</v>
      </c>
      <c r="X67" s="4" t="s">
        <v>113</v>
      </c>
      <c r="Y67" s="7">
        <v>10009239</v>
      </c>
      <c r="Z67" s="7" t="s">
        <v>218</v>
      </c>
      <c r="AA67" s="7" t="str">
        <f t="shared" si="99"/>
        <v>FEBRERO10009239Inventario final</v>
      </c>
      <c r="AB67" s="20">
        <f t="shared" si="66"/>
        <v>2321.3258701381314</v>
      </c>
      <c r="AC67" s="223">
        <f>IFERROR(INDEX('Costos Producción Febrero'!$G$34:$G$57,MATCH(Resumen!Y67,'Costos Producción Febrero'!$B$34:$B$57,0))*AI67*G67,0)*1.25</f>
        <v>137234.95297164668</v>
      </c>
      <c r="AD67" s="46">
        <f>IFERROR(INDEX('Costos Producción Febrero'!$H$34:$H$57,MATCH(Resumen!Y67,'Costos Producción Febrero'!$B$34:$B$57,0))*AI67*G67,0)</f>
        <v>71575.694656488558</v>
      </c>
      <c r="AE67" s="46">
        <f>IFERROR(INDEX('Costos Producción Febrero'!$I$34:$I$57,MATCH(Resumen!Y67,'Costos Producción Febrero'!$B$34:$B$57,0))*AI67*G67,0)</f>
        <v>1310.8004362050165</v>
      </c>
      <c r="AF67" s="46">
        <f>IFERROR(INDEX('Costos Producción Febrero'!$J$34:$J$57,MATCH(Resumen!Y67,'Costos Producción Febrero'!$B$34:$B$57,0))*AI67*G67,0)</f>
        <v>40581.745910577964</v>
      </c>
      <c r="AG67" s="46">
        <f t="shared" si="67"/>
        <v>250703.19397491822</v>
      </c>
      <c r="AH67" s="46"/>
      <c r="AI67" s="46">
        <f>INDEX('Costos Producción Febrero'!$F$5:$F$28,MATCH(Resumen!Y67,'Costos Producción Febrero'!$B$5:$B$28,0))</f>
        <v>2067.1870683387856</v>
      </c>
      <c r="AJ67" s="46"/>
      <c r="AK67" s="45">
        <f t="shared" si="68"/>
        <v>84096.80602508178</v>
      </c>
      <c r="AL67" s="94">
        <f t="shared" si="69"/>
        <v>0.25118520318124787</v>
      </c>
      <c r="AM67" s="44">
        <f t="shared" si="70"/>
        <v>11600</v>
      </c>
      <c r="AN67" s="44">
        <f t="shared" si="102"/>
        <v>7821.6923076923076</v>
      </c>
      <c r="AO67" s="44">
        <f t="shared" si="71"/>
        <v>19421.692307692309</v>
      </c>
      <c r="AP67" s="44">
        <f t="shared" si="72"/>
        <v>4252.1956107826436</v>
      </c>
      <c r="AQ67" s="44">
        <f t="shared" si="73"/>
        <v>9696</v>
      </c>
      <c r="AR67" s="45">
        <f t="shared" si="74"/>
        <v>70118.918106606827</v>
      </c>
      <c r="AS67" s="94">
        <f t="shared" si="75"/>
        <v>0.20943523926704549</v>
      </c>
      <c r="AT67" s="44">
        <f t="shared" si="76"/>
        <v>8359.0961018138096</v>
      </c>
      <c r="AU67" s="45">
        <f t="shared" si="77"/>
        <v>61759.822004793015</v>
      </c>
      <c r="AV67" s="94">
        <f t="shared" si="78"/>
        <v>0.18446780766067208</v>
      </c>
      <c r="AW67" s="44">
        <f t="shared" si="79"/>
        <v>6675.4979477425168</v>
      </c>
      <c r="AX67" s="45">
        <f t="shared" si="80"/>
        <v>76794.416054349349</v>
      </c>
      <c r="AY67" s="94">
        <f t="shared" si="81"/>
        <v>0.22937400255182003</v>
      </c>
      <c r="BA67" s="10">
        <f t="shared" si="82"/>
        <v>3100</v>
      </c>
      <c r="BB67" s="10">
        <f t="shared" si="83"/>
        <v>-1270.6940089967286</v>
      </c>
      <c r="BC67" s="10">
        <f t="shared" si="84"/>
        <v>-662.73791348600514</v>
      </c>
      <c r="BD67" s="10">
        <f t="shared" si="85"/>
        <v>-12.137041075972375</v>
      </c>
      <c r="BE67" s="10">
        <f t="shared" si="86"/>
        <v>-375.75690657942556</v>
      </c>
      <c r="BF67" s="10">
        <f t="shared" si="87"/>
        <v>-2321.3258701381314</v>
      </c>
      <c r="BG67" s="10">
        <f t="shared" si="88"/>
        <v>778.67412986186832</v>
      </c>
      <c r="BH67" s="10">
        <f t="shared" si="89"/>
        <v>-107.4074074074074</v>
      </c>
      <c r="BI67" s="10">
        <f t="shared" si="90"/>
        <v>-72.42307692307692</v>
      </c>
      <c r="BJ67" s="10">
        <f t="shared" si="91"/>
        <v>-179.83048433048432</v>
      </c>
      <c r="BK67" s="10">
        <f t="shared" si="92"/>
        <v>-39.372181581320774</v>
      </c>
      <c r="BL67" s="10">
        <f t="shared" si="93"/>
        <v>89.777777777777771</v>
      </c>
      <c r="BM67" s="10">
        <f t="shared" si="94"/>
        <v>649.24924172784097</v>
      </c>
      <c r="BN67" s="10">
        <f t="shared" si="95"/>
        <v>-77.399037979757495</v>
      </c>
      <c r="BO67" s="10">
        <f t="shared" si="96"/>
        <v>571.85020374808346</v>
      </c>
      <c r="BP67" s="10">
        <f t="shared" si="97"/>
        <v>61.810166182801083</v>
      </c>
      <c r="BQ67" s="10">
        <f t="shared" si="98"/>
        <v>711.05940791064211</v>
      </c>
    </row>
    <row r="68" spans="2:69">
      <c r="B68" s="7" t="s">
        <v>7</v>
      </c>
      <c r="C68" s="29" t="s">
        <v>8</v>
      </c>
      <c r="D68" s="25" t="s">
        <v>298</v>
      </c>
      <c r="E68" s="100">
        <v>68</v>
      </c>
      <c r="F68" s="100">
        <v>46108</v>
      </c>
      <c r="G68" s="101">
        <v>10</v>
      </c>
      <c r="H68" s="102" t="s">
        <v>34</v>
      </c>
      <c r="I68" s="27" t="s">
        <v>116</v>
      </c>
      <c r="J68" s="7" t="s">
        <v>299</v>
      </c>
      <c r="K68" s="7" t="s">
        <v>118</v>
      </c>
      <c r="L68" s="7" t="s">
        <v>119</v>
      </c>
      <c r="M68" s="21" t="s">
        <v>50</v>
      </c>
      <c r="N68" s="7" t="s">
        <v>120</v>
      </c>
      <c r="O68" s="20">
        <v>1130</v>
      </c>
      <c r="P68" s="69">
        <v>11300</v>
      </c>
      <c r="Q68" s="20">
        <v>990</v>
      </c>
      <c r="R68" s="30">
        <v>1400</v>
      </c>
      <c r="S68" s="32">
        <f t="shared" ref="S68:S72" si="103">P68-R68</f>
        <v>9900</v>
      </c>
      <c r="T68" s="65">
        <v>1</v>
      </c>
      <c r="U68" s="59" t="s">
        <v>260</v>
      </c>
      <c r="V68" s="27">
        <v>6447908000</v>
      </c>
      <c r="W68" s="25" t="s">
        <v>122</v>
      </c>
      <c r="X68" s="4" t="s">
        <v>113</v>
      </c>
      <c r="Y68" s="7">
        <v>10005779</v>
      </c>
      <c r="Z68" s="7" t="s">
        <v>218</v>
      </c>
      <c r="AA68" s="7" t="str">
        <f t="shared" si="99"/>
        <v>FEBRERO10005779Inventario final</v>
      </c>
      <c r="AB68" s="20">
        <f t="shared" ref="AB68:AB99" si="104">IFERROR(AG68/G68,0)</f>
        <v>2021.2747678018573</v>
      </c>
      <c r="AC68" s="223">
        <f>IFERROR(INDEX('Costos Producción Febrero'!$G$34:$G$57,MATCH(Resumen!Y68,'Costos Producción Febrero'!$B$34:$B$57,0))*AI68*G68,0)*1.25</f>
        <v>12810.040810582605</v>
      </c>
      <c r="AD68" s="46">
        <f>IFERROR(INDEX('Costos Producción Febrero'!$H$34:$H$57,MATCH(Resumen!Y68,'Costos Producción Febrero'!$B$34:$B$57,0))*AI68*G68,0)</f>
        <v>3899.9999999999991</v>
      </c>
      <c r="AE68" s="46">
        <f>IFERROR(INDEX('Costos Producción Febrero'!$I$34:$I$57,MATCH(Resumen!Y68,'Costos Producción Febrero'!$B$34:$B$57,0))*AI68*G68,0)</f>
        <v>112.74064171122993</v>
      </c>
      <c r="AF68" s="46">
        <f>IFERROR(INDEX('Costos Producción Febrero'!$J$34:$J$57,MATCH(Resumen!Y68,'Costos Producción Febrero'!$B$34:$B$57,0))*AI68*G68,0)</f>
        <v>3389.9662257247387</v>
      </c>
      <c r="AG68" s="46">
        <f t="shared" ref="AG68:AG99" si="105">SUM(AC68:AF68)</f>
        <v>20212.747678018572</v>
      </c>
      <c r="AH68" s="46"/>
      <c r="AI68" s="46">
        <f>INDEX('Costos Producción Febrero'!$F$5:$F$28,MATCH(Resumen!Y68,'Costos Producción Febrero'!$B$5:$B$28,0))</f>
        <v>1765.0739515902051</v>
      </c>
      <c r="AJ68" s="46"/>
      <c r="AK68" s="45">
        <f t="shared" si="68"/>
        <v>-8912.7476780185716</v>
      </c>
      <c r="AL68" s="94">
        <f t="shared" ref="AL68:AL70" si="106">AK68/P68</f>
        <v>-0.78873873256801519</v>
      </c>
      <c r="AM68" s="44">
        <f t="shared" si="70"/>
        <v>1400</v>
      </c>
      <c r="AN68" s="44">
        <f t="shared" si="102"/>
        <v>724.23076923076917</v>
      </c>
      <c r="AO68" s="44">
        <f t="shared" ref="AO68:AO70" si="107">SUM(AM68:AN68)</f>
        <v>2124.2307692307691</v>
      </c>
      <c r="AP68" s="44">
        <f t="shared" si="72"/>
        <v>393.72181581320774</v>
      </c>
      <c r="AQ68" s="44">
        <f t="shared" si="73"/>
        <v>297</v>
      </c>
      <c r="AR68" s="45">
        <f t="shared" ref="AR68:AR73" si="108">AK68-AO68-AP68+AQ68</f>
        <v>-11133.700263062548</v>
      </c>
      <c r="AS68" s="94">
        <f t="shared" ref="AS68:AS73" si="109">AR68/P68</f>
        <v>-0.98528320912057954</v>
      </c>
      <c r="AT68" s="44">
        <f t="shared" si="76"/>
        <v>773.99037979757497</v>
      </c>
      <c r="AU68" s="45">
        <f t="shared" ref="AU68:AU73" si="110">AR68-AT68</f>
        <v>-11907.690642860123</v>
      </c>
      <c r="AV68" s="94">
        <f t="shared" ref="AV68:AV73" si="111">AU68/P68</f>
        <v>-1.0537779329964712</v>
      </c>
      <c r="AW68" s="44">
        <f t="shared" si="79"/>
        <v>618.10166182801083</v>
      </c>
      <c r="AX68" s="45">
        <f t="shared" ref="AX68:AX73" si="112">AR68+AW68</f>
        <v>-10515.598601234538</v>
      </c>
      <c r="AY68" s="94">
        <f t="shared" ref="AY68:AY73" si="113">AX68/P68</f>
        <v>-0.93058394701190605</v>
      </c>
      <c r="BA68" s="10">
        <f t="shared" si="82"/>
        <v>1130</v>
      </c>
      <c r="BB68" s="10">
        <f t="shared" si="83"/>
        <v>-1281.0040810582605</v>
      </c>
      <c r="BC68" s="10">
        <f t="shared" si="84"/>
        <v>-389.99999999999989</v>
      </c>
      <c r="BD68" s="10">
        <f t="shared" si="85"/>
        <v>-11.274064171122992</v>
      </c>
      <c r="BE68" s="10">
        <f t="shared" si="86"/>
        <v>-338.99662257247388</v>
      </c>
      <c r="BF68" s="10">
        <f t="shared" si="87"/>
        <v>-2021.2747678018573</v>
      </c>
      <c r="BG68" s="10">
        <f t="shared" si="88"/>
        <v>-891.27476780185714</v>
      </c>
      <c r="BH68" s="10">
        <f t="shared" si="89"/>
        <v>-140</v>
      </c>
      <c r="BI68" s="10">
        <f t="shared" si="90"/>
        <v>-72.42307692307692</v>
      </c>
      <c r="BJ68" s="10">
        <f t="shared" si="91"/>
        <v>-212.42307692307691</v>
      </c>
      <c r="BK68" s="10">
        <f t="shared" si="92"/>
        <v>-39.372181581320774</v>
      </c>
      <c r="BL68" s="10">
        <f t="shared" si="93"/>
        <v>29.7</v>
      </c>
      <c r="BM68" s="10">
        <f t="shared" si="94"/>
        <v>-1113.3700263062549</v>
      </c>
      <c r="BN68" s="10">
        <f t="shared" si="95"/>
        <v>-77.399037979757495</v>
      </c>
      <c r="BO68" s="10">
        <f t="shared" si="96"/>
        <v>-1190.7690642860123</v>
      </c>
      <c r="BP68" s="10">
        <f t="shared" si="97"/>
        <v>61.810166182801083</v>
      </c>
      <c r="BQ68" s="10">
        <f t="shared" si="98"/>
        <v>-1051.5598601234537</v>
      </c>
    </row>
    <row r="69" spans="2:69">
      <c r="B69" s="7" t="s">
        <v>7</v>
      </c>
      <c r="C69" s="29" t="s">
        <v>8</v>
      </c>
      <c r="D69" s="25" t="s">
        <v>298</v>
      </c>
      <c r="E69" s="100">
        <v>68</v>
      </c>
      <c r="F69" s="100">
        <v>46108</v>
      </c>
      <c r="G69" s="101">
        <v>15</v>
      </c>
      <c r="H69" s="102" t="s">
        <v>34</v>
      </c>
      <c r="I69" s="27" t="s">
        <v>116</v>
      </c>
      <c r="J69" s="7" t="s">
        <v>290</v>
      </c>
      <c r="K69" s="7" t="s">
        <v>118</v>
      </c>
      <c r="L69" s="7" t="s">
        <v>119</v>
      </c>
      <c r="M69" s="21" t="s">
        <v>50</v>
      </c>
      <c r="N69" s="7" t="s">
        <v>120</v>
      </c>
      <c r="O69" s="20">
        <v>1200</v>
      </c>
      <c r="P69" s="69">
        <v>18000</v>
      </c>
      <c r="Q69" s="20">
        <v>1060</v>
      </c>
      <c r="R69" s="30">
        <v>2100</v>
      </c>
      <c r="S69" s="32">
        <f t="shared" si="103"/>
        <v>15900</v>
      </c>
      <c r="T69" s="65">
        <v>0</v>
      </c>
      <c r="U69" s="59" t="s">
        <v>260</v>
      </c>
      <c r="V69" s="27">
        <v>6447908000</v>
      </c>
      <c r="W69" s="25" t="s">
        <v>122</v>
      </c>
      <c r="X69" s="4" t="s">
        <v>113</v>
      </c>
      <c r="Y69" s="7">
        <v>10005779</v>
      </c>
      <c r="Z69" s="7" t="s">
        <v>218</v>
      </c>
      <c r="AA69" s="7" t="str">
        <f t="shared" si="99"/>
        <v>FEBRERO10005779Inventario final</v>
      </c>
      <c r="AB69" s="20">
        <f t="shared" si="104"/>
        <v>2021.2747678018568</v>
      </c>
      <c r="AC69" s="223">
        <f>IFERROR(INDEX('Costos Producción Febrero'!$G$34:$G$57,MATCH(Resumen!Y69,'Costos Producción Febrero'!$B$34:$B$57,0))*AI69*G69,0)*1.25</f>
        <v>19215.061215873906</v>
      </c>
      <c r="AD69" s="46">
        <f>IFERROR(INDEX('Costos Producción Febrero'!$H$34:$H$57,MATCH(Resumen!Y69,'Costos Producción Febrero'!$B$34:$B$57,0))*AI69*G69,0)</f>
        <v>5849.9999999999982</v>
      </c>
      <c r="AE69" s="46">
        <f>IFERROR(INDEX('Costos Producción Febrero'!$I$34:$I$57,MATCH(Resumen!Y69,'Costos Producción Febrero'!$B$34:$B$57,0))*AI69*G69,0)</f>
        <v>169.11096256684488</v>
      </c>
      <c r="AF69" s="46">
        <f>IFERROR(INDEX('Costos Producción Febrero'!$J$34:$J$57,MATCH(Resumen!Y69,'Costos Producción Febrero'!$B$34:$B$57,0))*AI69*G69,0)</f>
        <v>5084.9493385871083</v>
      </c>
      <c r="AG69" s="46">
        <f t="shared" si="105"/>
        <v>30319.121517027852</v>
      </c>
      <c r="AH69" s="46"/>
      <c r="AI69" s="46">
        <f>INDEX('Costos Producción Febrero'!$F$5:$F$28,MATCH(Resumen!Y69,'Costos Producción Febrero'!$B$5:$B$28,0))</f>
        <v>1765.0739515902051</v>
      </c>
      <c r="AJ69" s="46"/>
      <c r="AK69" s="45">
        <f t="shared" si="68"/>
        <v>-12319.121517027852</v>
      </c>
      <c r="AL69" s="94">
        <f t="shared" si="106"/>
        <v>-0.68439563983488061</v>
      </c>
      <c r="AM69" s="44">
        <f t="shared" si="70"/>
        <v>2100</v>
      </c>
      <c r="AN69" s="44">
        <f t="shared" si="102"/>
        <v>1086.3461538461538</v>
      </c>
      <c r="AO69" s="44">
        <f t="shared" si="107"/>
        <v>3186.3461538461538</v>
      </c>
      <c r="AP69" s="44">
        <f t="shared" si="72"/>
        <v>590.58272371981161</v>
      </c>
      <c r="AQ69" s="44">
        <f t="shared" si="73"/>
        <v>477</v>
      </c>
      <c r="AR69" s="45">
        <f t="shared" si="108"/>
        <v>-15619.050394593818</v>
      </c>
      <c r="AS69" s="94">
        <f t="shared" si="109"/>
        <v>-0.86772502192187884</v>
      </c>
      <c r="AT69" s="44">
        <f t="shared" si="76"/>
        <v>1160.9855696963625</v>
      </c>
      <c r="AU69" s="45">
        <f t="shared" si="110"/>
        <v>-16780.035964290182</v>
      </c>
      <c r="AV69" s="94">
        <f t="shared" si="111"/>
        <v>-0.9322242202383435</v>
      </c>
      <c r="AW69" s="44">
        <f t="shared" si="79"/>
        <v>927.15249274201619</v>
      </c>
      <c r="AX69" s="45">
        <f t="shared" si="112"/>
        <v>-14691.897901851802</v>
      </c>
      <c r="AY69" s="94">
        <f t="shared" si="113"/>
        <v>-0.81621655010287786</v>
      </c>
      <c r="BA69" s="10">
        <f t="shared" si="82"/>
        <v>1200</v>
      </c>
      <c r="BB69" s="10">
        <f t="shared" si="83"/>
        <v>-1281.0040810582605</v>
      </c>
      <c r="BC69" s="10">
        <f t="shared" si="84"/>
        <v>-389.99999999999989</v>
      </c>
      <c r="BD69" s="10">
        <f t="shared" si="85"/>
        <v>-11.274064171122992</v>
      </c>
      <c r="BE69" s="10">
        <f t="shared" si="86"/>
        <v>-338.99662257247388</v>
      </c>
      <c r="BF69" s="10">
        <f t="shared" si="87"/>
        <v>-2021.2747678018568</v>
      </c>
      <c r="BG69" s="10">
        <f t="shared" si="88"/>
        <v>-821.2747678018568</v>
      </c>
      <c r="BH69" s="10">
        <f t="shared" si="89"/>
        <v>-140</v>
      </c>
      <c r="BI69" s="10">
        <f t="shared" si="90"/>
        <v>-72.42307692307692</v>
      </c>
      <c r="BJ69" s="10">
        <f t="shared" si="91"/>
        <v>-212.42307692307693</v>
      </c>
      <c r="BK69" s="10">
        <f t="shared" si="92"/>
        <v>-39.372181581320774</v>
      </c>
      <c r="BL69" s="10">
        <f t="shared" si="93"/>
        <v>31.8</v>
      </c>
      <c r="BM69" s="10">
        <f t="shared" si="94"/>
        <v>-1041.2700263062545</v>
      </c>
      <c r="BN69" s="10">
        <f t="shared" si="95"/>
        <v>-77.399037979757495</v>
      </c>
      <c r="BO69" s="10">
        <f t="shared" si="96"/>
        <v>-1118.6690642860121</v>
      </c>
      <c r="BP69" s="10">
        <f t="shared" si="97"/>
        <v>61.810166182801076</v>
      </c>
      <c r="BQ69" s="10">
        <f t="shared" si="98"/>
        <v>-979.4598601234535</v>
      </c>
    </row>
    <row r="70" spans="2:69">
      <c r="B70" s="7" t="s">
        <v>7</v>
      </c>
      <c r="C70" s="127" t="s">
        <v>8</v>
      </c>
      <c r="D70" s="128" t="s">
        <v>240</v>
      </c>
      <c r="E70" s="129">
        <v>43</v>
      </c>
      <c r="F70" s="129">
        <v>46092</v>
      </c>
      <c r="G70" s="130">
        <v>24</v>
      </c>
      <c r="H70" s="192" t="s">
        <v>31</v>
      </c>
      <c r="I70" s="127" t="s">
        <v>107</v>
      </c>
      <c r="J70" s="132" t="s">
        <v>424</v>
      </c>
      <c r="K70" s="132" t="s">
        <v>161</v>
      </c>
      <c r="L70" s="132" t="s">
        <v>147</v>
      </c>
      <c r="M70" s="128" t="s">
        <v>44</v>
      </c>
      <c r="N70" s="132" t="s">
        <v>214</v>
      </c>
      <c r="O70" s="133">
        <v>2400</v>
      </c>
      <c r="P70" s="134">
        <f>O70*G70</f>
        <v>57600</v>
      </c>
      <c r="Q70" s="133">
        <f>+S70/G70</f>
        <v>2230.0104166666665</v>
      </c>
      <c r="R70" s="133">
        <f>4079.75</f>
        <v>4079.75</v>
      </c>
      <c r="S70" s="135">
        <f t="shared" si="103"/>
        <v>53520.25</v>
      </c>
      <c r="T70" s="143">
        <v>1</v>
      </c>
      <c r="U70" s="132" t="s">
        <v>241</v>
      </c>
      <c r="V70" s="144" t="s">
        <v>242</v>
      </c>
      <c r="W70" s="145" t="s">
        <v>182</v>
      </c>
      <c r="X70" s="132"/>
      <c r="Y70" s="146">
        <v>10007162</v>
      </c>
      <c r="Z70" s="7" t="s">
        <v>218</v>
      </c>
      <c r="AA70" s="18" t="str">
        <f t="shared" si="99"/>
        <v>FEBRERO10007162Inventario final</v>
      </c>
      <c r="AB70" s="162">
        <f t="shared" si="104"/>
        <v>1921.1998842520177</v>
      </c>
      <c r="AC70" s="224">
        <f>IFERROR(INDEX('Costos Producción Febrero'!$G$34:$G$57,MATCH(Resumen!Y70,'Costos Producción Febrero'!$B$34:$B$57,0))*AI70*G70,0)*1.25</f>
        <v>30642.440718263148</v>
      </c>
      <c r="AD70" s="163">
        <f>IFERROR(INDEX('Costos Producción Febrero'!$H$34:$H$57,MATCH(Resumen!Y70,'Costos Producción Febrero'!$B$34:$B$57,0))*AI70*G70,0)</f>
        <v>6960</v>
      </c>
      <c r="AE70" s="163">
        <f>IFERROR(INDEX('Costos Producción Febrero'!$I$34:$I$57,MATCH(Resumen!Y70,'Costos Producción Febrero'!$B$34:$B$57,0))*AI70*G70,0)</f>
        <v>370.64105612212984</v>
      </c>
      <c r="AF70" s="163">
        <f>IFERROR(INDEX('Costos Producción Febrero'!$J$34:$J$57,MATCH(Resumen!Y70,'Costos Producción Febrero'!$B$34:$B$57,0))*AI70*G70,0)</f>
        <v>8135.715447663144</v>
      </c>
      <c r="AG70" s="163">
        <f t="shared" si="105"/>
        <v>46108.797222048423</v>
      </c>
      <c r="AH70" s="163"/>
      <c r="AI70" s="163">
        <f>INDEX('Costos Producción Febrero'!$F$5:$F$28,MATCH(Resumen!Y70,'Costos Producción Febrero'!$B$5:$B$28,0))</f>
        <v>1665.8462115998248</v>
      </c>
      <c r="AJ70" s="163"/>
      <c r="AK70" s="164">
        <f t="shared" si="68"/>
        <v>11491.202777951577</v>
      </c>
      <c r="AL70" s="138">
        <f t="shared" si="106"/>
        <v>0.19950004822832601</v>
      </c>
      <c r="AM70" s="136">
        <f t="shared" si="70"/>
        <v>4079.75</v>
      </c>
      <c r="AN70" s="136">
        <f t="shared" si="102"/>
        <v>1738.1538461538462</v>
      </c>
      <c r="AO70" s="136">
        <f t="shared" si="107"/>
        <v>5817.9038461538457</v>
      </c>
      <c r="AP70" s="136">
        <f t="shared" si="72"/>
        <v>944.93235795169858</v>
      </c>
      <c r="AQ70" s="136">
        <f t="shared" si="73"/>
        <v>1605.6074999999998</v>
      </c>
      <c r="AR70" s="137">
        <f t="shared" si="108"/>
        <v>6333.9740738460332</v>
      </c>
      <c r="AS70" s="138">
        <f t="shared" si="109"/>
        <v>0.10996482767093807</v>
      </c>
      <c r="AT70" s="136">
        <f t="shared" si="76"/>
        <v>1857.5769115141798</v>
      </c>
      <c r="AU70" s="137">
        <f t="shared" si="110"/>
        <v>4476.3971623318539</v>
      </c>
      <c r="AV70" s="138">
        <f t="shared" si="111"/>
        <v>7.7715228512705792E-2</v>
      </c>
      <c r="AW70" s="136">
        <f t="shared" si="79"/>
        <v>1483.443988387226</v>
      </c>
      <c r="AX70" s="137">
        <f t="shared" si="112"/>
        <v>7817.4180622332588</v>
      </c>
      <c r="AY70" s="138">
        <f t="shared" si="113"/>
        <v>0.13571906358043853</v>
      </c>
      <c r="BA70" s="10">
        <f t="shared" si="82"/>
        <v>2400</v>
      </c>
      <c r="BB70" s="10">
        <f t="shared" si="83"/>
        <v>-1276.7683632609644</v>
      </c>
      <c r="BC70" s="10">
        <f t="shared" si="84"/>
        <v>-290</v>
      </c>
      <c r="BD70" s="10">
        <f t="shared" si="85"/>
        <v>-15.443377338422076</v>
      </c>
      <c r="BE70" s="10">
        <f t="shared" si="86"/>
        <v>-338.98814365263098</v>
      </c>
      <c r="BF70" s="10">
        <f t="shared" si="87"/>
        <v>-1921.1998842520177</v>
      </c>
      <c r="BG70" s="10">
        <f t="shared" si="88"/>
        <v>478.80011574798237</v>
      </c>
      <c r="BH70" s="10">
        <f t="shared" si="89"/>
        <v>-169.98958333333334</v>
      </c>
      <c r="BI70" s="10">
        <f t="shared" si="90"/>
        <v>-72.42307692307692</v>
      </c>
      <c r="BJ70" s="10">
        <f t="shared" si="91"/>
        <v>-242.41266025641025</v>
      </c>
      <c r="BK70" s="10">
        <f t="shared" si="92"/>
        <v>-39.372181581320774</v>
      </c>
      <c r="BL70" s="10">
        <f t="shared" si="93"/>
        <v>66.900312499999998</v>
      </c>
      <c r="BM70" s="10">
        <f t="shared" si="94"/>
        <v>263.91558641025136</v>
      </c>
      <c r="BN70" s="10">
        <f t="shared" si="95"/>
        <v>-77.399037979757495</v>
      </c>
      <c r="BO70" s="10">
        <f t="shared" si="96"/>
        <v>186.51654843049391</v>
      </c>
      <c r="BP70" s="10">
        <f t="shared" si="97"/>
        <v>61.810166182801083</v>
      </c>
      <c r="BQ70" s="10">
        <f t="shared" si="98"/>
        <v>325.72575259305245</v>
      </c>
    </row>
    <row r="71" spans="2:69">
      <c r="B71" s="7" t="s">
        <v>7</v>
      </c>
      <c r="C71" s="127" t="s">
        <v>8</v>
      </c>
      <c r="D71" s="128" t="s">
        <v>425</v>
      </c>
      <c r="E71" s="129">
        <v>26</v>
      </c>
      <c r="F71" s="129">
        <v>46110</v>
      </c>
      <c r="G71" s="130">
        <f>26*1</f>
        <v>26</v>
      </c>
      <c r="H71" s="127" t="s">
        <v>36</v>
      </c>
      <c r="I71" s="127" t="s">
        <v>107</v>
      </c>
      <c r="J71" s="132"/>
      <c r="K71" s="132" t="s">
        <v>161</v>
      </c>
      <c r="L71" s="132" t="s">
        <v>109</v>
      </c>
      <c r="M71" s="128" t="s">
        <v>56</v>
      </c>
      <c r="N71" s="132" t="s">
        <v>110</v>
      </c>
      <c r="O71" s="133">
        <v>2950</v>
      </c>
      <c r="P71" s="134">
        <f>+G71*O71</f>
        <v>76700</v>
      </c>
      <c r="Q71" s="133">
        <f>+S71/G71</f>
        <v>2793.0865384615386</v>
      </c>
      <c r="R71" s="133">
        <f>4079.75</f>
        <v>4079.75</v>
      </c>
      <c r="S71" s="135">
        <f t="shared" si="103"/>
        <v>72620.25</v>
      </c>
      <c r="T71" s="143">
        <v>1</v>
      </c>
      <c r="U71" s="132" t="s">
        <v>426</v>
      </c>
      <c r="V71" s="144">
        <v>19449468</v>
      </c>
      <c r="W71" s="145" t="s">
        <v>112</v>
      </c>
      <c r="X71" s="132"/>
      <c r="Y71" s="7">
        <v>10007567</v>
      </c>
      <c r="Z71" s="7" t="s">
        <v>218</v>
      </c>
      <c r="AA71" s="18" t="str">
        <f t="shared" si="99"/>
        <v>FEBRERO10007567Inventario final</v>
      </c>
      <c r="AB71" s="162">
        <f t="shared" si="104"/>
        <v>1907.3337879968822</v>
      </c>
      <c r="AC71" s="224">
        <f>IFERROR(INDEX('Costos Producción Febrero'!$G$34:$G$57,MATCH(Resumen!Y71,'Costos Producción Febrero'!$B$34:$B$57,0))*AI71*G71,0)*1.25</f>
        <v>33162.741621200308</v>
      </c>
      <c r="AD71" s="163">
        <f>IFERROR(INDEX('Costos Producción Febrero'!$H$34:$H$57,MATCH(Resumen!Y71,'Costos Producción Febrero'!$B$34:$B$57,0))*AI71*G71,0)</f>
        <v>7149.9999999999982</v>
      </c>
      <c r="AE71" s="163">
        <f>IFERROR(INDEX('Costos Producción Febrero'!$I$34:$I$57,MATCH(Resumen!Y71,'Costos Producción Febrero'!$B$34:$B$57,0))*AI71*G71,0)</f>
        <v>463.66328916601708</v>
      </c>
      <c r="AF71" s="163">
        <f>IFERROR(INDEX('Costos Producción Febrero'!$J$34:$J$57,MATCH(Resumen!Y71,'Costos Producción Febrero'!$B$34:$B$57,0))*AI71*G71,0)</f>
        <v>8814.2735775526089</v>
      </c>
      <c r="AG71" s="163">
        <f t="shared" si="105"/>
        <v>49590.678487918936</v>
      </c>
      <c r="AH71" s="163"/>
      <c r="AI71" s="163">
        <f>INDEX('Costos Producción Febrero'!$F$5:$F$28,MATCH(Resumen!Y71,'Costos Producción Febrero'!$B$5:$B$28,0))</f>
        <v>1652.2357755261105</v>
      </c>
      <c r="AJ71" s="163"/>
      <c r="AK71" s="164">
        <f t="shared" ref="AK71:AK110" si="114">P71-AG71</f>
        <v>27109.321512081064</v>
      </c>
      <c r="AL71" s="138">
        <f t="shared" ref="AL71:AL110" si="115">AK71/P71</f>
        <v>0.35344617356037894</v>
      </c>
      <c r="AM71" s="136">
        <f t="shared" ref="AM71:AM110" si="116">R71</f>
        <v>4079.75</v>
      </c>
      <c r="AN71" s="136">
        <f t="shared" ref="AN71:AN110" si="117">1883/26*G71</f>
        <v>1883</v>
      </c>
      <c r="AO71" s="136">
        <f t="shared" ref="AO71:AO110" si="118">SUM(AM71:AN71)</f>
        <v>5962.75</v>
      </c>
      <c r="AP71" s="136">
        <f t="shared" ref="AP71" si="119">78579/1995.8*G71</f>
        <v>1023.6767211143401</v>
      </c>
      <c r="AQ71" s="136">
        <f t="shared" si="73"/>
        <v>2178.6075000000001</v>
      </c>
      <c r="AR71" s="137">
        <f t="shared" si="108"/>
        <v>22301.502290966724</v>
      </c>
      <c r="AS71" s="138">
        <f t="shared" si="109"/>
        <v>0.29076274173359484</v>
      </c>
      <c r="AT71" s="136">
        <f t="shared" si="76"/>
        <v>2012.3749874736948</v>
      </c>
      <c r="AU71" s="137">
        <f t="shared" si="110"/>
        <v>20289.127303493031</v>
      </c>
      <c r="AV71" s="138">
        <f t="shared" si="111"/>
        <v>0.26452577970655844</v>
      </c>
      <c r="AW71" s="136">
        <f t="shared" si="79"/>
        <v>1607.0643207528283</v>
      </c>
      <c r="AX71" s="137">
        <f t="shared" si="112"/>
        <v>23908.566611719551</v>
      </c>
      <c r="AY71" s="138">
        <f t="shared" si="113"/>
        <v>0.31171534043962906</v>
      </c>
      <c r="BA71" s="10">
        <f t="shared" si="82"/>
        <v>2950</v>
      </c>
      <c r="BB71" s="10">
        <f t="shared" si="83"/>
        <v>-1275.4900623538581</v>
      </c>
      <c r="BC71" s="10">
        <f t="shared" si="84"/>
        <v>-274.99999999999994</v>
      </c>
      <c r="BD71" s="10">
        <f t="shared" si="85"/>
        <v>-17.833203429462195</v>
      </c>
      <c r="BE71" s="10">
        <f t="shared" si="86"/>
        <v>-339.0105222135619</v>
      </c>
      <c r="BF71" s="10">
        <f t="shared" si="87"/>
        <v>-1907.3337879968822</v>
      </c>
      <c r="BG71" s="10">
        <f t="shared" si="88"/>
        <v>1042.6662120031178</v>
      </c>
      <c r="BH71" s="10">
        <f t="shared" si="89"/>
        <v>-156.91346153846155</v>
      </c>
      <c r="BI71" s="10">
        <f t="shared" si="90"/>
        <v>-72.42307692307692</v>
      </c>
      <c r="BJ71" s="10">
        <f t="shared" si="91"/>
        <v>-229.33653846153845</v>
      </c>
      <c r="BK71" s="10">
        <f t="shared" si="92"/>
        <v>-39.372181581320774</v>
      </c>
      <c r="BL71" s="10">
        <f t="shared" si="93"/>
        <v>83.792596153846162</v>
      </c>
      <c r="BM71" s="10">
        <f t="shared" si="94"/>
        <v>857.75008811410476</v>
      </c>
      <c r="BN71" s="10">
        <f t="shared" si="95"/>
        <v>-77.399037979757495</v>
      </c>
      <c r="BO71" s="10">
        <f t="shared" si="96"/>
        <v>780.35105013434736</v>
      </c>
      <c r="BP71" s="10">
        <f t="shared" si="97"/>
        <v>61.81016618280109</v>
      </c>
      <c r="BQ71" s="10">
        <f t="shared" si="98"/>
        <v>919.56025429690578</v>
      </c>
    </row>
    <row r="72" spans="2:69">
      <c r="B72" s="7" t="s">
        <v>7</v>
      </c>
      <c r="C72" s="127" t="s">
        <v>8</v>
      </c>
      <c r="D72" s="128"/>
      <c r="E72" s="129">
        <v>46111</v>
      </c>
      <c r="F72" s="129">
        <v>46111</v>
      </c>
      <c r="G72" s="155">
        <v>0</v>
      </c>
      <c r="H72" s="102" t="s">
        <v>420</v>
      </c>
      <c r="I72" s="27" t="s">
        <v>421</v>
      </c>
      <c r="J72" s="27" t="s">
        <v>421</v>
      </c>
      <c r="K72" s="27" t="s">
        <v>421</v>
      </c>
      <c r="L72" s="27" t="s">
        <v>421</v>
      </c>
      <c r="M72" s="27" t="s">
        <v>422</v>
      </c>
      <c r="N72" s="7"/>
      <c r="O72" s="44">
        <v>0</v>
      </c>
      <c r="P72" s="52">
        <v>26456.610000000008</v>
      </c>
      <c r="Q72" s="44">
        <v>0</v>
      </c>
      <c r="R72" s="44">
        <v>0</v>
      </c>
      <c r="S72" s="45">
        <f t="shared" si="103"/>
        <v>26456.610000000008</v>
      </c>
      <c r="T72" s="60"/>
      <c r="U72" s="97"/>
      <c r="V72" s="59"/>
      <c r="W72" s="25"/>
      <c r="X72" s="4"/>
      <c r="Y72" s="7"/>
      <c r="Z72" s="7"/>
      <c r="AA72" s="7"/>
      <c r="AB72" s="26">
        <f t="shared" si="104"/>
        <v>0</v>
      </c>
      <c r="AC72" s="44">
        <f>IFERROR(INDEX('Costos Producción Febrero'!$G$34:$G$57,MATCH(Resumen!Y72,'Costos Producción Febrero'!$B$34:$B$57,0))*AI72*G72,0)*1.25</f>
        <v>0</v>
      </c>
      <c r="AD72" s="44">
        <f>IFERROR(INDEX('Costos Producción Febrero'!$H$34:$H$57,MATCH(Resumen!Y72,'Costos Producción Febrero'!$B$34:$B$57,0))*AI72*G72,0)</f>
        <v>0</v>
      </c>
      <c r="AE72" s="44">
        <f>IFERROR(INDEX('Costos Producción Febrero'!$I$34:$I$57,MATCH(Resumen!Y72,'Costos Producción Febrero'!$B$34:$B$57,0))*AI72*G72,0)</f>
        <v>0</v>
      </c>
      <c r="AF72" s="44">
        <f>IFERROR(INDEX('Costos Producción Febrero'!$J$34:$J$57,MATCH(Resumen!Y72,'Costos Producción Febrero'!$B$34:$B$57,0))*AI72*G72,0)</f>
        <v>0</v>
      </c>
      <c r="AG72" s="44">
        <f t="shared" si="105"/>
        <v>0</v>
      </c>
      <c r="AH72" s="44"/>
      <c r="AI72" s="115"/>
      <c r="AJ72" s="44"/>
      <c r="AK72" s="45">
        <f>P72-AG72</f>
        <v>26456.610000000008</v>
      </c>
      <c r="AL72" s="116">
        <f>AK72/P72</f>
        <v>1</v>
      </c>
      <c r="AM72" s="44">
        <f>R72</f>
        <v>0</v>
      </c>
      <c r="AN72" s="44">
        <f t="shared" ref="AN72" si="120">1882/26*G72</f>
        <v>0</v>
      </c>
      <c r="AO72" s="44">
        <f>SUM(AM72:AN72)</f>
        <v>0</v>
      </c>
      <c r="AP72" s="44">
        <f t="shared" ref="AP72" si="121">56604/1634.3*G72</f>
        <v>0</v>
      </c>
      <c r="AQ72" s="44">
        <v>0</v>
      </c>
      <c r="AR72" s="45">
        <f t="shared" si="108"/>
        <v>26456.610000000008</v>
      </c>
      <c r="AS72" s="116">
        <f t="shared" si="109"/>
        <v>1</v>
      </c>
      <c r="AT72" s="44">
        <f>131251/248*G72</f>
        <v>0</v>
      </c>
      <c r="AU72" s="45">
        <f t="shared" si="110"/>
        <v>26456.610000000008</v>
      </c>
      <c r="AV72" s="116">
        <f t="shared" si="111"/>
        <v>1</v>
      </c>
      <c r="AW72" s="44">
        <f>123530/248*G72</f>
        <v>0</v>
      </c>
      <c r="AX72" s="45">
        <f t="shared" si="112"/>
        <v>26456.610000000008</v>
      </c>
      <c r="AY72" s="116">
        <f t="shared" si="113"/>
        <v>1</v>
      </c>
      <c r="BA72" s="44">
        <v>0</v>
      </c>
      <c r="BB72" s="44">
        <v>0</v>
      </c>
      <c r="BC72" s="44">
        <v>0</v>
      </c>
      <c r="BD72" s="44">
        <v>0</v>
      </c>
      <c r="BE72" s="44">
        <v>0</v>
      </c>
      <c r="BF72" s="44">
        <v>0</v>
      </c>
      <c r="BG72" s="44">
        <v>0</v>
      </c>
      <c r="BH72" s="44">
        <v>0</v>
      </c>
      <c r="BI72" s="44">
        <v>0</v>
      </c>
      <c r="BJ72" s="44">
        <v>0</v>
      </c>
      <c r="BK72" s="44">
        <v>0</v>
      </c>
      <c r="BL72" s="44">
        <v>0</v>
      </c>
      <c r="BM72" s="44">
        <v>0</v>
      </c>
      <c r="BN72" s="44">
        <v>0</v>
      </c>
      <c r="BO72" s="44">
        <v>0</v>
      </c>
      <c r="BP72" s="44">
        <v>0</v>
      </c>
      <c r="BQ72" s="44">
        <v>0</v>
      </c>
    </row>
    <row r="73" spans="2:69">
      <c r="B73" s="29" t="s">
        <v>8</v>
      </c>
      <c r="C73" s="29" t="s">
        <v>466</v>
      </c>
      <c r="D73" s="25" t="s">
        <v>467</v>
      </c>
      <c r="E73" s="100">
        <v>46020</v>
      </c>
      <c r="F73" s="100">
        <v>46123</v>
      </c>
      <c r="G73" s="101">
        <v>27</v>
      </c>
      <c r="H73" s="27" t="s">
        <v>468</v>
      </c>
      <c r="I73" s="27" t="s">
        <v>469</v>
      </c>
      <c r="J73" s="7"/>
      <c r="K73" s="7" t="s">
        <v>161</v>
      </c>
      <c r="L73" s="7" t="s">
        <v>147</v>
      </c>
      <c r="M73" s="21" t="s">
        <v>53</v>
      </c>
      <c r="N73" s="7" t="s">
        <v>148</v>
      </c>
      <c r="O73" s="20">
        <v>2500</v>
      </c>
      <c r="P73" s="61">
        <v>67500</v>
      </c>
      <c r="Q73" s="20">
        <v>2312.2896296296294</v>
      </c>
      <c r="R73" s="30">
        <v>5068.18</v>
      </c>
      <c r="S73" s="32">
        <v>62431.82</v>
      </c>
      <c r="T73" s="65">
        <v>1</v>
      </c>
      <c r="U73" s="59" t="s">
        <v>546</v>
      </c>
      <c r="V73" s="148" t="s">
        <v>547</v>
      </c>
      <c r="W73" s="62" t="s">
        <v>548</v>
      </c>
      <c r="X73" s="4"/>
      <c r="Y73" s="7">
        <v>10007050</v>
      </c>
      <c r="Z73" s="7"/>
      <c r="AA73" s="7"/>
      <c r="AB73" s="20">
        <f t="shared" si="104"/>
        <v>1616.8353658536589</v>
      </c>
      <c r="AC73" s="46">
        <f>IFERROR(INDEX('Costos Producción Febrero'!$G$34:$G$57,MATCH(Resumen!Y73,'Costos Producción Febrero'!$B$34:$B$57,0))*AI73*G73,0)</f>
        <v>36510.202381932882</v>
      </c>
      <c r="AD73" s="46">
        <f>IFERROR(INDEX('Costos Producción Febrero'!$H$34:$H$57,MATCH(Resumen!Y73,'Costos Producción Febrero'!$B$34:$B$57,0))*AI73*G73,0)</f>
        <v>6700.6223911049556</v>
      </c>
      <c r="AE73" s="46">
        <f>IFERROR(INDEX('Costos Producción Febrero'!$I$34:$I$57,MATCH(Resumen!Y73,'Costos Producción Febrero'!$B$34:$B$57,0))*AI73*G73,0)</f>
        <v>636.55912715497072</v>
      </c>
      <c r="AF73" s="46">
        <f>IFERROR(INDEX('Costos Producción Febrero'!$J$34:$J$57,MATCH(Resumen!Y73,'Costos Producción Febrero'!$B$34:$B$57,0))*AI73*G73,0)</f>
        <v>-192.82902214402037</v>
      </c>
      <c r="AG73" s="46">
        <f t="shared" si="105"/>
        <v>43654.554878048788</v>
      </c>
      <c r="AH73" s="46"/>
      <c r="AI73" s="46">
        <f>INDEX('Costos Producción Marzo'!$E$5:$E$37,MATCH(Resumen!Y73,'Costos Producción Marzo'!$A$5:$A$37,0))</f>
        <v>1616.8353658536585</v>
      </c>
      <c r="AJ73" s="46"/>
      <c r="AK73" s="45">
        <f t="shared" si="114"/>
        <v>23845.445121951212</v>
      </c>
      <c r="AL73" s="94">
        <f t="shared" si="115"/>
        <v>0.35326585365853647</v>
      </c>
      <c r="AM73" s="44">
        <f t="shared" si="116"/>
        <v>5068.18</v>
      </c>
      <c r="AN73" s="44">
        <f t="shared" si="117"/>
        <v>1955.4230769230769</v>
      </c>
      <c r="AO73" s="44">
        <f t="shared" si="118"/>
        <v>7023.6030769230774</v>
      </c>
      <c r="AP73" s="44">
        <f t="shared" ref="AP73:AP110" si="122">78579/2110.11*G73</f>
        <v>1005.4608527517522</v>
      </c>
      <c r="AQ73" s="44">
        <f t="shared" ref="AQ73:AQ110" si="123">S73*0.03</f>
        <v>1872.9546</v>
      </c>
      <c r="AR73" s="45">
        <f t="shared" si="108"/>
        <v>17689.335792276383</v>
      </c>
      <c r="AS73" s="94">
        <f t="shared" si="109"/>
        <v>0.26206423395965012</v>
      </c>
      <c r="AT73" s="44">
        <f>154473/2110.11*G73</f>
        <v>1976.5656766708842</v>
      </c>
      <c r="AU73" s="45">
        <f t="shared" si="110"/>
        <v>15712.770115605499</v>
      </c>
      <c r="AV73" s="94">
        <f t="shared" si="111"/>
        <v>0.23278177949045184</v>
      </c>
      <c r="AW73" s="44">
        <f>123484.35/2110.11*G73</f>
        <v>1580.0491206619561</v>
      </c>
      <c r="AX73" s="45">
        <f t="shared" si="112"/>
        <v>19269.384912938338</v>
      </c>
      <c r="AY73" s="94">
        <f t="shared" si="113"/>
        <v>0.28547236908056794</v>
      </c>
      <c r="BA73" s="10">
        <f t="shared" ref="BA73:BA110" si="124">P73/$G73</f>
        <v>2500</v>
      </c>
      <c r="BB73" s="10">
        <f t="shared" ref="BB73:BB110" si="125">-AC73/$G73</f>
        <v>-1352.2297178493661</v>
      </c>
      <c r="BC73" s="10">
        <f t="shared" ref="BC73:BC110" si="126">-AD73/$G73</f>
        <v>-248.1711996705539</v>
      </c>
      <c r="BD73" s="10">
        <f t="shared" ref="BD73:BD110" si="127">-AE73/$G73</f>
        <v>-23.576263968702619</v>
      </c>
      <c r="BE73" s="10">
        <f t="shared" ref="BE73:BE110" si="128">-AF73/$G73</f>
        <v>7.1418156349637174</v>
      </c>
      <c r="BF73" s="10">
        <f t="shared" ref="BF73:BF110" si="129">-AG73/$G73</f>
        <v>-1616.8353658536589</v>
      </c>
      <c r="BG73" s="10">
        <f t="shared" ref="BG73:BG110" si="130">AK73/$G73</f>
        <v>883.1646341463412</v>
      </c>
      <c r="BH73" s="10">
        <f t="shared" ref="BH73:BH110" si="131">-AM73/$G73</f>
        <v>-187.71037037037038</v>
      </c>
      <c r="BI73" s="10">
        <f t="shared" ref="BI73:BI110" si="132">-AN73/$G73</f>
        <v>-72.42307692307692</v>
      </c>
      <c r="BJ73" s="10">
        <f t="shared" ref="BJ73:BJ110" si="133">-AO73/$G73</f>
        <v>-260.13344729344732</v>
      </c>
      <c r="BK73" s="10">
        <f t="shared" ref="BK73:BK110" si="134">-AP73/$G73</f>
        <v>-37.239290842657489</v>
      </c>
      <c r="BL73" s="10">
        <f t="shared" ref="BL73:BL110" si="135">AQ73/$G73</f>
        <v>69.368688888888883</v>
      </c>
      <c r="BM73" s="10">
        <f t="shared" ref="BM73:BM110" si="136">AR73/$G73</f>
        <v>655.1605848991253</v>
      </c>
      <c r="BN73" s="10">
        <f t="shared" ref="BN73:BN110" si="137">-AT73/$G73</f>
        <v>-73.206136172995713</v>
      </c>
      <c r="BO73" s="10">
        <f t="shared" ref="BO73:BO110" si="138">AU73/$G73</f>
        <v>581.95444872612961</v>
      </c>
      <c r="BP73" s="10">
        <f t="shared" ref="BP73:BP110" si="139">AW73/$G73</f>
        <v>58.520337802294669</v>
      </c>
      <c r="BQ73" s="10">
        <f t="shared" ref="BQ73:BQ110" si="140">AX73/$G73</f>
        <v>713.68092270141995</v>
      </c>
    </row>
    <row r="74" spans="2:69">
      <c r="B74" s="29" t="s">
        <v>8</v>
      </c>
      <c r="C74" s="29" t="s">
        <v>466</v>
      </c>
      <c r="D74" s="25" t="s">
        <v>470</v>
      </c>
      <c r="E74" s="100">
        <v>325</v>
      </c>
      <c r="F74" s="100">
        <v>46123</v>
      </c>
      <c r="G74" s="101">
        <v>26</v>
      </c>
      <c r="H74" s="27" t="s">
        <v>36</v>
      </c>
      <c r="I74" s="27" t="s">
        <v>107</v>
      </c>
      <c r="J74" s="7" t="s">
        <v>471</v>
      </c>
      <c r="K74" s="7" t="s">
        <v>161</v>
      </c>
      <c r="L74" s="7" t="s">
        <v>147</v>
      </c>
      <c r="M74" s="21" t="s">
        <v>48</v>
      </c>
      <c r="N74" s="7" t="s">
        <v>167</v>
      </c>
      <c r="O74" s="20">
        <v>2950</v>
      </c>
      <c r="P74" s="61">
        <v>76700</v>
      </c>
      <c r="Q74" s="20">
        <v>2755.07</v>
      </c>
      <c r="R74" s="30">
        <v>5068.18</v>
      </c>
      <c r="S74" s="32">
        <v>71631.820000000007</v>
      </c>
      <c r="T74" s="65">
        <v>1</v>
      </c>
      <c r="U74" s="59" t="s">
        <v>546</v>
      </c>
      <c r="V74" s="148" t="s">
        <v>549</v>
      </c>
      <c r="W74" s="62" t="s">
        <v>548</v>
      </c>
      <c r="X74" s="4"/>
      <c r="Y74" s="7">
        <v>10007567</v>
      </c>
      <c r="Z74" s="7"/>
      <c r="AA74" s="7"/>
      <c r="AB74" s="20">
        <f t="shared" si="104"/>
        <v>2019.4979622082251</v>
      </c>
      <c r="AC74" s="46">
        <f>IFERROR(INDEX('Costos Producción Febrero'!$G$34:$G$57,MATCH(Resumen!Y74,'Costos Producción Febrero'!$B$34:$B$57,0))*AI74*G74,0)</f>
        <v>32427.37634290793</v>
      </c>
      <c r="AD74" s="46">
        <f>IFERROR(INDEX('Costos Producción Febrero'!$H$34:$H$57,MATCH(Resumen!Y74,'Costos Producción Febrero'!$B$34:$B$57,0))*AI74*G74,0)</f>
        <v>8739.3159279528154</v>
      </c>
      <c r="AE74" s="46">
        <f>IFERROR(INDEX('Costos Producción Febrero'!$I$34:$I$57,MATCH(Resumen!Y74,'Costos Producción Febrero'!$B$34:$B$57,0))*AI74*G74,0)</f>
        <v>566.7272682818973</v>
      </c>
      <c r="AF74" s="46">
        <f>IFERROR(INDEX('Costos Producción Febrero'!$J$34:$J$57,MATCH(Resumen!Y74,'Costos Producción Febrero'!$B$34:$B$57,0))*AI74*G74,0)</f>
        <v>10773.527478271213</v>
      </c>
      <c r="AG74" s="46">
        <f t="shared" si="105"/>
        <v>52506.947017413855</v>
      </c>
      <c r="AH74" s="46"/>
      <c r="AI74" s="46">
        <f>INDEX('Costos Producción Marzo'!$E$5:$E$37,MATCH(Resumen!Y74,'Costos Producción Marzo'!$A$5:$A$37,0))</f>
        <v>2019.4979622082253</v>
      </c>
      <c r="AJ74" s="46"/>
      <c r="AK74" s="45">
        <f t="shared" si="114"/>
        <v>24193.052982586145</v>
      </c>
      <c r="AL74" s="94">
        <f t="shared" si="115"/>
        <v>0.31542441959043216</v>
      </c>
      <c r="AM74" s="44">
        <f t="shared" si="116"/>
        <v>5068.18</v>
      </c>
      <c r="AN74" s="44">
        <f t="shared" si="117"/>
        <v>1883</v>
      </c>
      <c r="AO74" s="44">
        <f t="shared" si="118"/>
        <v>6951.18</v>
      </c>
      <c r="AP74" s="44">
        <f t="shared" si="122"/>
        <v>968.2215619090947</v>
      </c>
      <c r="AQ74" s="44">
        <f t="shared" si="123"/>
        <v>2148.9546</v>
      </c>
      <c r="AR74" s="45">
        <f t="shared" ref="AR74:AR110" si="141">AK74-AO74-AP74+AQ74</f>
        <v>18422.606020677049</v>
      </c>
      <c r="AS74" s="94">
        <f t="shared" ref="AS74:AS110" si="142">AR74/P74</f>
        <v>0.24019043051730182</v>
      </c>
      <c r="AT74" s="44">
        <f t="shared" ref="AT74:AT110" si="143">154473/2110.11*G74</f>
        <v>1903.3595404978885</v>
      </c>
      <c r="AU74" s="45">
        <f t="shared" ref="AU74:AU110" si="144">AR74-AT74</f>
        <v>16519.246480179161</v>
      </c>
      <c r="AV74" s="94">
        <f t="shared" ref="AV74:AV110" si="145">AU74/P74</f>
        <v>0.2153747911366253</v>
      </c>
      <c r="AW74" s="44">
        <f t="shared" ref="AW74:AW110" si="146">123484.35/2110.11*G74</f>
        <v>1521.5287828596613</v>
      </c>
      <c r="AX74" s="45">
        <f t="shared" ref="AX74:AX110" si="147">AR74+AW74</f>
        <v>19944.134803536712</v>
      </c>
      <c r="AY74" s="94">
        <f t="shared" ref="AY74:AY110" si="148">AX74/P74</f>
        <v>0.2600278331621475</v>
      </c>
      <c r="BA74" s="10">
        <f t="shared" si="124"/>
        <v>2950</v>
      </c>
      <c r="BB74" s="10">
        <f t="shared" si="125"/>
        <v>-1247.2067824195358</v>
      </c>
      <c r="BC74" s="10">
        <f t="shared" si="126"/>
        <v>-336.12753569049289</v>
      </c>
      <c r="BD74" s="10">
        <f t="shared" si="127"/>
        <v>-21.79720262622682</v>
      </c>
      <c r="BE74" s="10">
        <f t="shared" si="128"/>
        <v>-414.36644147196972</v>
      </c>
      <c r="BF74" s="10">
        <f t="shared" si="129"/>
        <v>-2019.4979622082251</v>
      </c>
      <c r="BG74" s="10">
        <f t="shared" si="130"/>
        <v>930.5020377917748</v>
      </c>
      <c r="BH74" s="10">
        <f t="shared" si="131"/>
        <v>-194.93</v>
      </c>
      <c r="BI74" s="10">
        <f t="shared" si="132"/>
        <v>-72.42307692307692</v>
      </c>
      <c r="BJ74" s="10">
        <f t="shared" si="133"/>
        <v>-267.35307692307691</v>
      </c>
      <c r="BK74" s="10">
        <f t="shared" si="134"/>
        <v>-37.239290842657489</v>
      </c>
      <c r="BL74" s="10">
        <f t="shared" si="135"/>
        <v>82.652100000000004</v>
      </c>
      <c r="BM74" s="10">
        <f t="shared" si="136"/>
        <v>708.56177002604034</v>
      </c>
      <c r="BN74" s="10">
        <f t="shared" si="137"/>
        <v>-73.206136172995713</v>
      </c>
      <c r="BO74" s="10">
        <f t="shared" si="138"/>
        <v>635.35563385304465</v>
      </c>
      <c r="BP74" s="10">
        <f t="shared" si="139"/>
        <v>58.520337802294662</v>
      </c>
      <c r="BQ74" s="10">
        <f t="shared" si="140"/>
        <v>767.0821078283351</v>
      </c>
    </row>
    <row r="75" spans="2:69">
      <c r="B75" s="29" t="s">
        <v>8</v>
      </c>
      <c r="C75" s="29" t="s">
        <v>466</v>
      </c>
      <c r="D75" s="25" t="s">
        <v>472</v>
      </c>
      <c r="E75" s="100">
        <v>47</v>
      </c>
      <c r="F75" s="100">
        <v>46120</v>
      </c>
      <c r="G75" s="101">
        <v>125</v>
      </c>
      <c r="H75" s="194" t="s">
        <v>33</v>
      </c>
      <c r="I75" s="27" t="s">
        <v>205</v>
      </c>
      <c r="J75" s="7" t="s">
        <v>473</v>
      </c>
      <c r="K75" s="7" t="s">
        <v>108</v>
      </c>
      <c r="L75" s="7" t="s">
        <v>147</v>
      </c>
      <c r="M75" s="21" t="s">
        <v>44</v>
      </c>
      <c r="N75" s="7" t="s">
        <v>214</v>
      </c>
      <c r="O75" s="20">
        <v>1400</v>
      </c>
      <c r="P75" s="61">
        <v>175000</v>
      </c>
      <c r="Q75" s="20">
        <v>1143.1600000000001</v>
      </c>
      <c r="R75" s="30">
        <v>32105</v>
      </c>
      <c r="S75" s="32">
        <v>142895</v>
      </c>
      <c r="T75" s="65">
        <v>5</v>
      </c>
      <c r="U75" s="59" t="s">
        <v>550</v>
      </c>
      <c r="V75" s="148" t="s">
        <v>551</v>
      </c>
      <c r="W75" s="62" t="s">
        <v>138</v>
      </c>
      <c r="X75" s="4"/>
      <c r="Y75" s="7">
        <v>10005721</v>
      </c>
      <c r="Z75" s="7"/>
      <c r="AA75" s="7"/>
      <c r="AB75" s="20">
        <f t="shared" si="104"/>
        <v>2095.2688776918831</v>
      </c>
      <c r="AC75" s="46">
        <f>IFERROR(INDEX('Costos Producción Febrero'!$G$34:$G$57,MATCH(Resumen!Y75,'Costos Producción Febrero'!$B$34:$B$57,0))*AI75*G75,0)</f>
        <v>159059.95692512728</v>
      </c>
      <c r="AD75" s="46">
        <f>IFERROR(INDEX('Costos Producción Febrero'!$H$34:$H$57,MATCH(Resumen!Y75,'Costos Producción Febrero'!$B$34:$B$57,0))*AI75*G75,0)</f>
        <v>46607.869646877691</v>
      </c>
      <c r="AE75" s="46">
        <f>IFERROR(INDEX('Costos Producción Febrero'!$I$34:$I$57,MATCH(Resumen!Y75,'Costos Producción Febrero'!$B$34:$B$57,0))*AI75*G75,0)</f>
        <v>2855.3030038133484</v>
      </c>
      <c r="AF75" s="46">
        <f>IFERROR(INDEX('Costos Producción Febrero'!$J$34:$J$57,MATCH(Resumen!Y75,'Costos Producción Febrero'!$B$34:$B$57,0))*AI75*G75,0)</f>
        <v>53385.48013566708</v>
      </c>
      <c r="AG75" s="46">
        <f t="shared" si="105"/>
        <v>261908.60971148539</v>
      </c>
      <c r="AH75" s="46"/>
      <c r="AI75" s="46">
        <f>INDEX('Costos Producción Marzo'!$E$5:$E$37,MATCH(Resumen!Y75,'Costos Producción Marzo'!$A$5:$A$37,0))</f>
        <v>2095.2688776918831</v>
      </c>
      <c r="AJ75" s="46"/>
      <c r="AK75" s="45">
        <f t="shared" si="114"/>
        <v>-86908.609711485391</v>
      </c>
      <c r="AL75" s="94">
        <f t="shared" si="115"/>
        <v>-0.49662062692277364</v>
      </c>
      <c r="AM75" s="44">
        <f t="shared" si="116"/>
        <v>32105</v>
      </c>
      <c r="AN75" s="44">
        <f t="shared" si="117"/>
        <v>9052.8846153846152</v>
      </c>
      <c r="AO75" s="44">
        <f t="shared" si="118"/>
        <v>41157.884615384617</v>
      </c>
      <c r="AP75" s="44">
        <f t="shared" si="122"/>
        <v>4654.9113553321858</v>
      </c>
      <c r="AQ75" s="44">
        <f t="shared" si="123"/>
        <v>4286.8499999999995</v>
      </c>
      <c r="AR75" s="45">
        <f t="shared" si="141"/>
        <v>-128434.55568220219</v>
      </c>
      <c r="AS75" s="94">
        <f t="shared" si="142"/>
        <v>-0.73391174675544113</v>
      </c>
      <c r="AT75" s="44">
        <f t="shared" si="143"/>
        <v>9150.7670216244642</v>
      </c>
      <c r="AU75" s="45">
        <f t="shared" si="144"/>
        <v>-137585.32270382665</v>
      </c>
      <c r="AV75" s="94">
        <f t="shared" si="145"/>
        <v>-0.78620184402186655</v>
      </c>
      <c r="AW75" s="44">
        <f t="shared" si="146"/>
        <v>7315.0422252868339</v>
      </c>
      <c r="AX75" s="45">
        <f t="shared" si="147"/>
        <v>-121119.51345691536</v>
      </c>
      <c r="AY75" s="94">
        <f t="shared" si="148"/>
        <v>-0.69211150546808775</v>
      </c>
      <c r="BA75" s="10">
        <f t="shared" si="124"/>
        <v>1400</v>
      </c>
      <c r="BB75" s="10">
        <f t="shared" si="125"/>
        <v>-1272.4796554010181</v>
      </c>
      <c r="BC75" s="10">
        <f t="shared" si="126"/>
        <v>-372.86295717502151</v>
      </c>
      <c r="BD75" s="10">
        <f t="shared" si="127"/>
        <v>-22.842424030506788</v>
      </c>
      <c r="BE75" s="10">
        <f t="shared" si="128"/>
        <v>-427.08384108533664</v>
      </c>
      <c r="BF75" s="10">
        <f t="shared" si="129"/>
        <v>-2095.2688776918831</v>
      </c>
      <c r="BG75" s="10">
        <f t="shared" si="130"/>
        <v>-695.26887769188318</v>
      </c>
      <c r="BH75" s="10">
        <f t="shared" si="131"/>
        <v>-256.83999999999997</v>
      </c>
      <c r="BI75" s="10">
        <f t="shared" si="132"/>
        <v>-72.42307692307692</v>
      </c>
      <c r="BJ75" s="10">
        <f t="shared" si="133"/>
        <v>-329.26307692307694</v>
      </c>
      <c r="BK75" s="10">
        <f t="shared" si="134"/>
        <v>-37.239290842657489</v>
      </c>
      <c r="BL75" s="10">
        <f t="shared" si="135"/>
        <v>34.294799999999995</v>
      </c>
      <c r="BM75" s="10">
        <f t="shared" si="136"/>
        <v>-1027.4764454576175</v>
      </c>
      <c r="BN75" s="10">
        <f t="shared" si="137"/>
        <v>-73.206136172995713</v>
      </c>
      <c r="BO75" s="10">
        <f t="shared" si="138"/>
        <v>-1100.6825816306132</v>
      </c>
      <c r="BP75" s="10">
        <f t="shared" si="139"/>
        <v>58.520337802294669</v>
      </c>
      <c r="BQ75" s="10">
        <f t="shared" si="140"/>
        <v>-968.95610765532285</v>
      </c>
    </row>
    <row r="76" spans="2:69">
      <c r="B76" s="29" t="s">
        <v>8</v>
      </c>
      <c r="C76" s="29" t="s">
        <v>466</v>
      </c>
      <c r="D76" s="25" t="s">
        <v>474</v>
      </c>
      <c r="E76" s="100">
        <v>48</v>
      </c>
      <c r="F76" s="100">
        <v>46120</v>
      </c>
      <c r="G76" s="101">
        <v>120</v>
      </c>
      <c r="H76" s="194" t="s">
        <v>33</v>
      </c>
      <c r="I76" s="27" t="s">
        <v>205</v>
      </c>
      <c r="J76" s="7" t="s">
        <v>206</v>
      </c>
      <c r="K76" s="7" t="s">
        <v>141</v>
      </c>
      <c r="L76" s="7" t="s">
        <v>142</v>
      </c>
      <c r="M76" s="21" t="s">
        <v>43</v>
      </c>
      <c r="N76" s="7" t="s">
        <v>129</v>
      </c>
      <c r="O76" s="20">
        <v>1500</v>
      </c>
      <c r="P76" s="61">
        <v>180000</v>
      </c>
      <c r="Q76" s="20">
        <v>1371.2083333333333</v>
      </c>
      <c r="R76" s="30">
        <v>15455</v>
      </c>
      <c r="S76" s="32">
        <v>164545</v>
      </c>
      <c r="T76" s="65">
        <v>5</v>
      </c>
      <c r="U76" s="59" t="s">
        <v>550</v>
      </c>
      <c r="V76" s="148" t="s">
        <v>552</v>
      </c>
      <c r="W76" s="62" t="s">
        <v>138</v>
      </c>
      <c r="X76" s="4"/>
      <c r="Y76" s="7">
        <v>10005721</v>
      </c>
      <c r="Z76" s="7"/>
      <c r="AA76" s="7"/>
      <c r="AB76" s="20">
        <f t="shared" si="104"/>
        <v>2095.2688776918831</v>
      </c>
      <c r="AC76" s="46">
        <f>IFERROR(INDEX('Costos Producción Febrero'!$G$34:$G$57,MATCH(Resumen!Y76,'Costos Producción Febrero'!$B$34:$B$57,0))*AI76*G76,0)</f>
        <v>152697.55864812218</v>
      </c>
      <c r="AD76" s="46">
        <f>IFERROR(INDEX('Costos Producción Febrero'!$H$34:$H$57,MATCH(Resumen!Y76,'Costos Producción Febrero'!$B$34:$B$57,0))*AI76*G76,0)</f>
        <v>44743.55486100258</v>
      </c>
      <c r="AE76" s="46">
        <f>IFERROR(INDEX('Costos Producción Febrero'!$I$34:$I$57,MATCH(Resumen!Y76,'Costos Producción Febrero'!$B$34:$B$57,0))*AI76*G76,0)</f>
        <v>2741.0908836608146</v>
      </c>
      <c r="AF76" s="46">
        <f>IFERROR(INDEX('Costos Producción Febrero'!$J$34:$J$57,MATCH(Resumen!Y76,'Costos Producción Febrero'!$B$34:$B$57,0))*AI76*G76,0)</f>
        <v>51250.060930240397</v>
      </c>
      <c r="AG76" s="46">
        <f t="shared" si="105"/>
        <v>251432.26532302599</v>
      </c>
      <c r="AH76" s="46"/>
      <c r="AI76" s="46">
        <f>INDEX('Costos Producción Marzo'!$E$5:$E$37,MATCH(Resumen!Y76,'Costos Producción Marzo'!$A$5:$A$37,0))</f>
        <v>2095.2688776918831</v>
      </c>
      <c r="AJ76" s="46"/>
      <c r="AK76" s="45">
        <f t="shared" si="114"/>
        <v>-71432.265323025989</v>
      </c>
      <c r="AL76" s="94">
        <f t="shared" si="115"/>
        <v>-0.3968459184612555</v>
      </c>
      <c r="AM76" s="44">
        <f t="shared" si="116"/>
        <v>15455</v>
      </c>
      <c r="AN76" s="44">
        <f t="shared" si="117"/>
        <v>8690.7692307692305</v>
      </c>
      <c r="AO76" s="44">
        <f t="shared" si="118"/>
        <v>24145.76923076923</v>
      </c>
      <c r="AP76" s="44">
        <f t="shared" si="122"/>
        <v>4468.7149011188985</v>
      </c>
      <c r="AQ76" s="44">
        <f t="shared" si="123"/>
        <v>4936.3499999999995</v>
      </c>
      <c r="AR76" s="45">
        <f t="shared" si="141"/>
        <v>-95110.399454914121</v>
      </c>
      <c r="AS76" s="94">
        <f t="shared" si="142"/>
        <v>-0.52839110808285628</v>
      </c>
      <c r="AT76" s="44">
        <f t="shared" si="143"/>
        <v>8784.7363407594858</v>
      </c>
      <c r="AU76" s="45">
        <f t="shared" si="144"/>
        <v>-103895.1357956736</v>
      </c>
      <c r="AV76" s="94">
        <f t="shared" si="145"/>
        <v>-0.57719519886485338</v>
      </c>
      <c r="AW76" s="44">
        <f t="shared" si="146"/>
        <v>7022.4405362753605</v>
      </c>
      <c r="AX76" s="45">
        <f t="shared" si="147"/>
        <v>-88087.95891863876</v>
      </c>
      <c r="AY76" s="94">
        <f t="shared" si="148"/>
        <v>-0.48937754954799312</v>
      </c>
      <c r="BA76" s="10">
        <f t="shared" si="124"/>
        <v>1500</v>
      </c>
      <c r="BB76" s="10">
        <f t="shared" si="125"/>
        <v>-1272.4796554010181</v>
      </c>
      <c r="BC76" s="10">
        <f t="shared" si="126"/>
        <v>-372.86295717502151</v>
      </c>
      <c r="BD76" s="10">
        <f t="shared" si="127"/>
        <v>-22.842424030506788</v>
      </c>
      <c r="BE76" s="10">
        <f t="shared" si="128"/>
        <v>-427.08384108533664</v>
      </c>
      <c r="BF76" s="10">
        <f t="shared" si="129"/>
        <v>-2095.2688776918831</v>
      </c>
      <c r="BG76" s="10">
        <f t="shared" si="130"/>
        <v>-595.26887769188329</v>
      </c>
      <c r="BH76" s="10">
        <f t="shared" si="131"/>
        <v>-128.79166666666666</v>
      </c>
      <c r="BI76" s="10">
        <f t="shared" si="132"/>
        <v>-72.42307692307692</v>
      </c>
      <c r="BJ76" s="10">
        <f t="shared" si="133"/>
        <v>-201.21474358974359</v>
      </c>
      <c r="BK76" s="10">
        <f t="shared" si="134"/>
        <v>-37.239290842657489</v>
      </c>
      <c r="BL76" s="10">
        <f t="shared" si="135"/>
        <v>41.136249999999997</v>
      </c>
      <c r="BM76" s="10">
        <f t="shared" si="136"/>
        <v>-792.58666212428432</v>
      </c>
      <c r="BN76" s="10">
        <f t="shared" si="137"/>
        <v>-73.206136172995713</v>
      </c>
      <c r="BO76" s="10">
        <f t="shared" si="138"/>
        <v>-865.79279829728</v>
      </c>
      <c r="BP76" s="10">
        <f t="shared" si="139"/>
        <v>58.520337802294669</v>
      </c>
      <c r="BQ76" s="10">
        <f t="shared" si="140"/>
        <v>-734.06632432198967</v>
      </c>
    </row>
    <row r="77" spans="2:69">
      <c r="B77" s="29" t="s">
        <v>8</v>
      </c>
      <c r="C77" s="29" t="s">
        <v>466</v>
      </c>
      <c r="D77" s="25" t="s">
        <v>475</v>
      </c>
      <c r="E77" s="100">
        <v>50</v>
      </c>
      <c r="F77" s="100">
        <v>46132</v>
      </c>
      <c r="G77" s="101">
        <v>68.819999999999993</v>
      </c>
      <c r="H77" s="194" t="s">
        <v>32</v>
      </c>
      <c r="I77" s="27" t="s">
        <v>155</v>
      </c>
      <c r="J77" s="7" t="s">
        <v>228</v>
      </c>
      <c r="K77" s="7" t="s">
        <v>269</v>
      </c>
      <c r="L77" s="7" t="s">
        <v>230</v>
      </c>
      <c r="M77" s="21" t="s">
        <v>43</v>
      </c>
      <c r="N77" s="7" t="s">
        <v>129</v>
      </c>
      <c r="O77" s="20">
        <v>1600</v>
      </c>
      <c r="P77" s="61">
        <v>110111.99999999999</v>
      </c>
      <c r="Q77" s="20">
        <v>1482.258064516129</v>
      </c>
      <c r="R77" s="30">
        <v>8103</v>
      </c>
      <c r="S77" s="32">
        <v>102008.99999999999</v>
      </c>
      <c r="T77" s="65">
        <v>3</v>
      </c>
      <c r="U77" s="59" t="s">
        <v>553</v>
      </c>
      <c r="V77" s="148" t="s">
        <v>554</v>
      </c>
      <c r="W77" s="62" t="s">
        <v>226</v>
      </c>
      <c r="X77" s="4"/>
      <c r="Y77" s="7">
        <v>10006720</v>
      </c>
      <c r="Z77" s="7"/>
      <c r="AA77" s="7"/>
      <c r="AB77" s="20">
        <f t="shared" si="104"/>
        <v>1949.1981178129743</v>
      </c>
      <c r="AC77" s="46">
        <f>IFERROR(INDEX('Costos Producción Febrero'!$G$34:$G$57,MATCH(Resumen!Y77,'Costos Producción Febrero'!$B$34:$B$57,0))*AI77*G77,0)</f>
        <v>86079.151463624454</v>
      </c>
      <c r="AD77" s="46">
        <f>IFERROR(INDEX('Costos Producción Febrero'!$H$34:$H$57,MATCH(Resumen!Y77,'Costos Producción Febrero'!$B$34:$B$57,0))*AI77*G77,0)</f>
        <v>18105.656727301903</v>
      </c>
      <c r="AE77" s="46">
        <f>IFERROR(INDEX('Costos Producción Febrero'!$I$34:$I$57,MATCH(Resumen!Y77,'Costos Producción Febrero'!$B$34:$B$57,0))*AI77*G77,0)</f>
        <v>1253.419812298584</v>
      </c>
      <c r="AF77" s="46">
        <f>IFERROR(INDEX('Costos Producción Febrero'!$J$34:$J$57,MATCH(Resumen!Y77,'Costos Producción Febrero'!$B$34:$B$57,0))*AI77*G77,0)</f>
        <v>28705.586464663931</v>
      </c>
      <c r="AG77" s="46">
        <f t="shared" si="105"/>
        <v>134143.81446788888</v>
      </c>
      <c r="AH77" s="46"/>
      <c r="AI77" s="46">
        <f>INDEX('Costos Producción Marzo'!$E$5:$E$37,MATCH(Resumen!Y77,'Costos Producción Marzo'!$A$5:$A$37,0))</f>
        <v>1949.1981178129743</v>
      </c>
      <c r="AJ77" s="46"/>
      <c r="AK77" s="45">
        <f t="shared" si="114"/>
        <v>-24031.814467888893</v>
      </c>
      <c r="AL77" s="94">
        <f t="shared" si="115"/>
        <v>-0.21824882363310899</v>
      </c>
      <c r="AM77" s="44">
        <f t="shared" si="116"/>
        <v>8103</v>
      </c>
      <c r="AN77" s="44">
        <f t="shared" si="117"/>
        <v>4984.1561538461528</v>
      </c>
      <c r="AO77" s="44">
        <f t="shared" si="118"/>
        <v>13087.156153846154</v>
      </c>
      <c r="AP77" s="44">
        <f t="shared" si="122"/>
        <v>2562.807995791688</v>
      </c>
      <c r="AQ77" s="44">
        <f t="shared" si="123"/>
        <v>3060.2699999999995</v>
      </c>
      <c r="AR77" s="45">
        <f t="shared" si="141"/>
        <v>-36621.508617526735</v>
      </c>
      <c r="AS77" s="94">
        <f t="shared" si="142"/>
        <v>-0.33258417445443494</v>
      </c>
      <c r="AT77" s="44">
        <f t="shared" si="143"/>
        <v>5038.046291425564</v>
      </c>
      <c r="AU77" s="45">
        <f t="shared" si="144"/>
        <v>-41659.554908952297</v>
      </c>
      <c r="AV77" s="94">
        <f t="shared" si="145"/>
        <v>-0.37833800956255725</v>
      </c>
      <c r="AW77" s="44">
        <f t="shared" si="146"/>
        <v>4027.3696475539186</v>
      </c>
      <c r="AX77" s="45">
        <f t="shared" si="147"/>
        <v>-32594.138969972817</v>
      </c>
      <c r="AY77" s="94">
        <f t="shared" si="148"/>
        <v>-0.29600896332800075</v>
      </c>
      <c r="BA77" s="10">
        <f t="shared" si="124"/>
        <v>1600</v>
      </c>
      <c r="BB77" s="10">
        <f t="shared" si="125"/>
        <v>-1250.7868564897481</v>
      </c>
      <c r="BC77" s="10">
        <f t="shared" si="126"/>
        <v>-263.08713640368939</v>
      </c>
      <c r="BD77" s="10">
        <f t="shared" si="127"/>
        <v>-18.213016743658589</v>
      </c>
      <c r="BE77" s="10">
        <f t="shared" si="128"/>
        <v>-417.11110817587814</v>
      </c>
      <c r="BF77" s="10">
        <f t="shared" si="129"/>
        <v>-1949.1981178129743</v>
      </c>
      <c r="BG77" s="10">
        <f t="shared" si="130"/>
        <v>-349.19811781297437</v>
      </c>
      <c r="BH77" s="10">
        <f t="shared" si="131"/>
        <v>-117.74193548387098</v>
      </c>
      <c r="BI77" s="10">
        <f t="shared" si="132"/>
        <v>-72.42307692307692</v>
      </c>
      <c r="BJ77" s="10">
        <f t="shared" si="133"/>
        <v>-190.16501240694791</v>
      </c>
      <c r="BK77" s="10">
        <f t="shared" si="134"/>
        <v>-37.239290842657489</v>
      </c>
      <c r="BL77" s="10">
        <f t="shared" si="135"/>
        <v>44.467741935483872</v>
      </c>
      <c r="BM77" s="10">
        <f t="shared" si="136"/>
        <v>-532.13467912709586</v>
      </c>
      <c r="BN77" s="10">
        <f t="shared" si="137"/>
        <v>-73.206136172995713</v>
      </c>
      <c r="BO77" s="10">
        <f t="shared" si="138"/>
        <v>-605.34081530009155</v>
      </c>
      <c r="BP77" s="10">
        <f t="shared" si="139"/>
        <v>58.520337802294669</v>
      </c>
      <c r="BQ77" s="10">
        <f t="shared" si="140"/>
        <v>-473.61434132480122</v>
      </c>
    </row>
    <row r="78" spans="2:69">
      <c r="B78" s="29" t="s">
        <v>8</v>
      </c>
      <c r="C78" s="29" t="s">
        <v>466</v>
      </c>
      <c r="D78" s="25" t="s">
        <v>476</v>
      </c>
      <c r="E78" s="100">
        <v>50</v>
      </c>
      <c r="F78" s="100">
        <v>46125</v>
      </c>
      <c r="G78" s="101">
        <v>26</v>
      </c>
      <c r="H78" s="194" t="s">
        <v>33</v>
      </c>
      <c r="I78" s="27" t="s">
        <v>132</v>
      </c>
      <c r="J78" s="7" t="s">
        <v>477</v>
      </c>
      <c r="K78" s="7" t="s">
        <v>108</v>
      </c>
      <c r="L78" s="7" t="s">
        <v>109</v>
      </c>
      <c r="M78" s="21" t="s">
        <v>56</v>
      </c>
      <c r="N78" s="7" t="s">
        <v>110</v>
      </c>
      <c r="O78" s="20">
        <v>1400</v>
      </c>
      <c r="P78" s="61">
        <v>36400</v>
      </c>
      <c r="Q78" s="20">
        <v>1213.4615384615386</v>
      </c>
      <c r="R78" s="30">
        <v>4850</v>
      </c>
      <c r="S78" s="32">
        <v>31550</v>
      </c>
      <c r="T78" s="65">
        <v>1</v>
      </c>
      <c r="U78" s="59" t="s">
        <v>168</v>
      </c>
      <c r="V78" s="148">
        <v>93351271</v>
      </c>
      <c r="W78" s="62" t="s">
        <v>112</v>
      </c>
      <c r="X78" s="4"/>
      <c r="Y78" s="7">
        <v>10005721</v>
      </c>
      <c r="Z78" s="7"/>
      <c r="AA78" s="7"/>
      <c r="AB78" s="20">
        <f t="shared" si="104"/>
        <v>2095.2688776918831</v>
      </c>
      <c r="AC78" s="46">
        <f>IFERROR(INDEX('Costos Producción Febrero'!$G$34:$G$57,MATCH(Resumen!Y78,'Costos Producción Febrero'!$B$34:$B$57,0))*AI78*G78,0)</f>
        <v>33084.47104042647</v>
      </c>
      <c r="AD78" s="46">
        <f>IFERROR(INDEX('Costos Producción Febrero'!$H$34:$H$57,MATCH(Resumen!Y78,'Costos Producción Febrero'!$B$34:$B$57,0))*AI78*G78,0)</f>
        <v>9694.4368865505585</v>
      </c>
      <c r="AE78" s="46">
        <f>IFERROR(INDEX('Costos Producción Febrero'!$I$34:$I$57,MATCH(Resumen!Y78,'Costos Producción Febrero'!$B$34:$B$57,0))*AI78*G78,0)</f>
        <v>593.90302479317643</v>
      </c>
      <c r="AF78" s="46">
        <f>IFERROR(INDEX('Costos Producción Febrero'!$J$34:$J$57,MATCH(Resumen!Y78,'Costos Producción Febrero'!$B$34:$B$57,0))*AI78*G78,0)</f>
        <v>11104.179868218753</v>
      </c>
      <c r="AG78" s="46">
        <f t="shared" si="105"/>
        <v>54476.990819988954</v>
      </c>
      <c r="AH78" s="46"/>
      <c r="AI78" s="46">
        <f>INDEX('Costos Producción Marzo'!$E$5:$E$37,MATCH(Resumen!Y78,'Costos Producción Marzo'!$A$5:$A$37,0))</f>
        <v>2095.2688776918831</v>
      </c>
      <c r="AJ78" s="46"/>
      <c r="AK78" s="45">
        <f t="shared" si="114"/>
        <v>-18076.990819988954</v>
      </c>
      <c r="AL78" s="94">
        <f t="shared" si="115"/>
        <v>-0.49662062692277348</v>
      </c>
      <c r="AM78" s="44">
        <f t="shared" si="116"/>
        <v>4850</v>
      </c>
      <c r="AN78" s="44">
        <f t="shared" si="117"/>
        <v>1883</v>
      </c>
      <c r="AO78" s="44">
        <f t="shared" si="118"/>
        <v>6733</v>
      </c>
      <c r="AP78" s="44">
        <f t="shared" si="122"/>
        <v>968.2215619090947</v>
      </c>
      <c r="AQ78" s="44">
        <f t="shared" si="123"/>
        <v>946.5</v>
      </c>
      <c r="AR78" s="45">
        <f t="shared" si="141"/>
        <v>-24831.712381898047</v>
      </c>
      <c r="AS78" s="94">
        <f t="shared" si="142"/>
        <v>-0.68218990060159468</v>
      </c>
      <c r="AT78" s="44">
        <f t="shared" si="143"/>
        <v>1903.3595404978885</v>
      </c>
      <c r="AU78" s="45">
        <f t="shared" si="144"/>
        <v>-26735.071922395935</v>
      </c>
      <c r="AV78" s="94">
        <f t="shared" si="145"/>
        <v>-0.73447999786802021</v>
      </c>
      <c r="AW78" s="44">
        <f t="shared" si="146"/>
        <v>1521.5287828596613</v>
      </c>
      <c r="AX78" s="45">
        <f t="shared" si="147"/>
        <v>-23310.183599038384</v>
      </c>
      <c r="AY78" s="94">
        <f t="shared" si="148"/>
        <v>-0.6403896593142413</v>
      </c>
      <c r="BA78" s="10">
        <f t="shared" si="124"/>
        <v>1400</v>
      </c>
      <c r="BB78" s="10">
        <f t="shared" si="125"/>
        <v>-1272.4796554010181</v>
      </c>
      <c r="BC78" s="10">
        <f t="shared" si="126"/>
        <v>-372.86295717502151</v>
      </c>
      <c r="BD78" s="10">
        <f t="shared" si="127"/>
        <v>-22.842424030506784</v>
      </c>
      <c r="BE78" s="10">
        <f t="shared" si="128"/>
        <v>-427.08384108533664</v>
      </c>
      <c r="BF78" s="10">
        <f t="shared" si="129"/>
        <v>-2095.2688776918831</v>
      </c>
      <c r="BG78" s="10">
        <f t="shared" si="130"/>
        <v>-695.26887769188284</v>
      </c>
      <c r="BH78" s="10">
        <f t="shared" si="131"/>
        <v>-186.53846153846155</v>
      </c>
      <c r="BI78" s="10">
        <f t="shared" si="132"/>
        <v>-72.42307692307692</v>
      </c>
      <c r="BJ78" s="10">
        <f t="shared" si="133"/>
        <v>-258.96153846153845</v>
      </c>
      <c r="BK78" s="10">
        <f t="shared" si="134"/>
        <v>-37.239290842657489</v>
      </c>
      <c r="BL78" s="10">
        <f t="shared" si="135"/>
        <v>36.403846153846153</v>
      </c>
      <c r="BM78" s="10">
        <f t="shared" si="136"/>
        <v>-955.06586084223261</v>
      </c>
      <c r="BN78" s="10">
        <f t="shared" si="137"/>
        <v>-73.206136172995713</v>
      </c>
      <c r="BO78" s="10">
        <f t="shared" si="138"/>
        <v>-1028.2719970152282</v>
      </c>
      <c r="BP78" s="10">
        <f t="shared" si="139"/>
        <v>58.520337802294662</v>
      </c>
      <c r="BQ78" s="10">
        <f t="shared" si="140"/>
        <v>-896.54552303993785</v>
      </c>
    </row>
    <row r="79" spans="2:69">
      <c r="B79" s="29" t="s">
        <v>8</v>
      </c>
      <c r="C79" s="29" t="s">
        <v>466</v>
      </c>
      <c r="D79" s="25" t="s">
        <v>478</v>
      </c>
      <c r="E79" s="100">
        <v>50</v>
      </c>
      <c r="F79" s="100">
        <v>46132</v>
      </c>
      <c r="G79" s="101">
        <v>26</v>
      </c>
      <c r="H79" s="194" t="s">
        <v>33</v>
      </c>
      <c r="I79" s="27" t="s">
        <v>132</v>
      </c>
      <c r="J79" s="7" t="s">
        <v>477</v>
      </c>
      <c r="K79" s="7" t="s">
        <v>108</v>
      </c>
      <c r="L79" s="7" t="s">
        <v>109</v>
      </c>
      <c r="M79" s="21" t="s">
        <v>56</v>
      </c>
      <c r="N79" s="7" t="s">
        <v>110</v>
      </c>
      <c r="O79" s="20">
        <v>1400</v>
      </c>
      <c r="P79" s="61">
        <v>36400</v>
      </c>
      <c r="Q79" s="20">
        <v>1213.4615384615386</v>
      </c>
      <c r="R79" s="30">
        <v>4850</v>
      </c>
      <c r="S79" s="32">
        <v>31550</v>
      </c>
      <c r="T79" s="65">
        <v>1</v>
      </c>
      <c r="U79" s="59" t="s">
        <v>555</v>
      </c>
      <c r="V79" s="148">
        <v>10367430</v>
      </c>
      <c r="W79" s="62" t="s">
        <v>112</v>
      </c>
      <c r="X79" s="4"/>
      <c r="Y79" s="7">
        <v>10005721</v>
      </c>
      <c r="Z79" s="7"/>
      <c r="AA79" s="7"/>
      <c r="AB79" s="20">
        <f t="shared" si="104"/>
        <v>2095.2688776918831</v>
      </c>
      <c r="AC79" s="46">
        <f>IFERROR(INDEX('Costos Producción Febrero'!$G$34:$G$57,MATCH(Resumen!Y79,'Costos Producción Febrero'!$B$34:$B$57,0))*AI79*G79,0)</f>
        <v>33084.47104042647</v>
      </c>
      <c r="AD79" s="46">
        <f>IFERROR(INDEX('Costos Producción Febrero'!$H$34:$H$57,MATCH(Resumen!Y79,'Costos Producción Febrero'!$B$34:$B$57,0))*AI79*G79,0)</f>
        <v>9694.4368865505585</v>
      </c>
      <c r="AE79" s="46">
        <f>IFERROR(INDEX('Costos Producción Febrero'!$I$34:$I$57,MATCH(Resumen!Y79,'Costos Producción Febrero'!$B$34:$B$57,0))*AI79*G79,0)</f>
        <v>593.90302479317643</v>
      </c>
      <c r="AF79" s="46">
        <f>IFERROR(INDEX('Costos Producción Febrero'!$J$34:$J$57,MATCH(Resumen!Y79,'Costos Producción Febrero'!$B$34:$B$57,0))*AI79*G79,0)</f>
        <v>11104.179868218753</v>
      </c>
      <c r="AG79" s="46">
        <f t="shared" si="105"/>
        <v>54476.990819988954</v>
      </c>
      <c r="AH79" s="46"/>
      <c r="AI79" s="46">
        <f>INDEX('Costos Producción Marzo'!$E$5:$E$37,MATCH(Resumen!Y79,'Costos Producción Marzo'!$A$5:$A$37,0))</f>
        <v>2095.2688776918831</v>
      </c>
      <c r="AJ79" s="46"/>
      <c r="AK79" s="45">
        <f t="shared" si="114"/>
        <v>-18076.990819988954</v>
      </c>
      <c r="AL79" s="94">
        <f t="shared" si="115"/>
        <v>-0.49662062692277348</v>
      </c>
      <c r="AM79" s="44">
        <f t="shared" si="116"/>
        <v>4850</v>
      </c>
      <c r="AN79" s="44">
        <f t="shared" si="117"/>
        <v>1883</v>
      </c>
      <c r="AO79" s="44">
        <f t="shared" si="118"/>
        <v>6733</v>
      </c>
      <c r="AP79" s="44">
        <f t="shared" si="122"/>
        <v>968.2215619090947</v>
      </c>
      <c r="AQ79" s="44">
        <f t="shared" si="123"/>
        <v>946.5</v>
      </c>
      <c r="AR79" s="45">
        <f t="shared" si="141"/>
        <v>-24831.712381898047</v>
      </c>
      <c r="AS79" s="94">
        <f t="shared" si="142"/>
        <v>-0.68218990060159468</v>
      </c>
      <c r="AT79" s="44">
        <f t="shared" si="143"/>
        <v>1903.3595404978885</v>
      </c>
      <c r="AU79" s="45">
        <f t="shared" si="144"/>
        <v>-26735.071922395935</v>
      </c>
      <c r="AV79" s="94">
        <f t="shared" si="145"/>
        <v>-0.73447999786802021</v>
      </c>
      <c r="AW79" s="44">
        <f t="shared" si="146"/>
        <v>1521.5287828596613</v>
      </c>
      <c r="AX79" s="45">
        <f t="shared" si="147"/>
        <v>-23310.183599038384</v>
      </c>
      <c r="AY79" s="94">
        <f t="shared" si="148"/>
        <v>-0.6403896593142413</v>
      </c>
      <c r="BA79" s="10">
        <f t="shared" si="124"/>
        <v>1400</v>
      </c>
      <c r="BB79" s="10">
        <f t="shared" si="125"/>
        <v>-1272.4796554010181</v>
      </c>
      <c r="BC79" s="10">
        <f t="shared" si="126"/>
        <v>-372.86295717502151</v>
      </c>
      <c r="BD79" s="10">
        <f t="shared" si="127"/>
        <v>-22.842424030506784</v>
      </c>
      <c r="BE79" s="10">
        <f t="shared" si="128"/>
        <v>-427.08384108533664</v>
      </c>
      <c r="BF79" s="10">
        <f t="shared" si="129"/>
        <v>-2095.2688776918831</v>
      </c>
      <c r="BG79" s="10">
        <f t="shared" si="130"/>
        <v>-695.26887769188284</v>
      </c>
      <c r="BH79" s="10">
        <f t="shared" si="131"/>
        <v>-186.53846153846155</v>
      </c>
      <c r="BI79" s="10">
        <f t="shared" si="132"/>
        <v>-72.42307692307692</v>
      </c>
      <c r="BJ79" s="10">
        <f t="shared" si="133"/>
        <v>-258.96153846153845</v>
      </c>
      <c r="BK79" s="10">
        <f t="shared" si="134"/>
        <v>-37.239290842657489</v>
      </c>
      <c r="BL79" s="10">
        <f t="shared" si="135"/>
        <v>36.403846153846153</v>
      </c>
      <c r="BM79" s="10">
        <f t="shared" si="136"/>
        <v>-955.06586084223261</v>
      </c>
      <c r="BN79" s="10">
        <f t="shared" si="137"/>
        <v>-73.206136172995713</v>
      </c>
      <c r="BO79" s="10">
        <f t="shared" si="138"/>
        <v>-1028.2719970152282</v>
      </c>
      <c r="BP79" s="10">
        <f t="shared" si="139"/>
        <v>58.520337802294662</v>
      </c>
      <c r="BQ79" s="10">
        <f t="shared" si="140"/>
        <v>-896.54552303993785</v>
      </c>
    </row>
    <row r="80" spans="2:69">
      <c r="B80" s="29" t="s">
        <v>8</v>
      </c>
      <c r="C80" s="29" t="s">
        <v>466</v>
      </c>
      <c r="D80" s="25" t="s">
        <v>479</v>
      </c>
      <c r="E80" s="100">
        <v>50</v>
      </c>
      <c r="F80" s="100">
        <v>46139</v>
      </c>
      <c r="G80" s="101">
        <v>26</v>
      </c>
      <c r="H80" s="194" t="s">
        <v>33</v>
      </c>
      <c r="I80" s="27" t="s">
        <v>132</v>
      </c>
      <c r="J80" s="7" t="s">
        <v>477</v>
      </c>
      <c r="K80" s="7" t="s">
        <v>108</v>
      </c>
      <c r="L80" s="7" t="s">
        <v>109</v>
      </c>
      <c r="M80" s="21" t="s">
        <v>56</v>
      </c>
      <c r="N80" s="7" t="s">
        <v>110</v>
      </c>
      <c r="O80" s="20">
        <v>1400</v>
      </c>
      <c r="P80" s="61">
        <v>36400</v>
      </c>
      <c r="Q80" s="20">
        <v>1213.4615384615386</v>
      </c>
      <c r="R80" s="30">
        <v>4850</v>
      </c>
      <c r="S80" s="32">
        <v>31550</v>
      </c>
      <c r="T80" s="65">
        <v>1</v>
      </c>
      <c r="U80" s="59" t="s">
        <v>556</v>
      </c>
      <c r="V80" s="148">
        <v>92234213</v>
      </c>
      <c r="W80" s="62" t="s">
        <v>112</v>
      </c>
      <c r="X80" s="4"/>
      <c r="Y80" s="7">
        <v>10005721</v>
      </c>
      <c r="Z80" s="7"/>
      <c r="AA80" s="7"/>
      <c r="AB80" s="20">
        <f t="shared" si="104"/>
        <v>2095.2688776918831</v>
      </c>
      <c r="AC80" s="46">
        <f>IFERROR(INDEX('Costos Producción Febrero'!$G$34:$G$57,MATCH(Resumen!Y80,'Costos Producción Febrero'!$B$34:$B$57,0))*AI80*G80,0)</f>
        <v>33084.47104042647</v>
      </c>
      <c r="AD80" s="46">
        <f>IFERROR(INDEX('Costos Producción Febrero'!$H$34:$H$57,MATCH(Resumen!Y80,'Costos Producción Febrero'!$B$34:$B$57,0))*AI80*G80,0)</f>
        <v>9694.4368865505585</v>
      </c>
      <c r="AE80" s="46">
        <f>IFERROR(INDEX('Costos Producción Febrero'!$I$34:$I$57,MATCH(Resumen!Y80,'Costos Producción Febrero'!$B$34:$B$57,0))*AI80*G80,0)</f>
        <v>593.90302479317643</v>
      </c>
      <c r="AF80" s="46">
        <f>IFERROR(INDEX('Costos Producción Febrero'!$J$34:$J$57,MATCH(Resumen!Y80,'Costos Producción Febrero'!$B$34:$B$57,0))*AI80*G80,0)</f>
        <v>11104.179868218753</v>
      </c>
      <c r="AG80" s="46">
        <f t="shared" si="105"/>
        <v>54476.990819988954</v>
      </c>
      <c r="AH80" s="46"/>
      <c r="AI80" s="46">
        <f>INDEX('Costos Producción Marzo'!$E$5:$E$37,MATCH(Resumen!Y80,'Costos Producción Marzo'!$A$5:$A$37,0))</f>
        <v>2095.2688776918831</v>
      </c>
      <c r="AJ80" s="46"/>
      <c r="AK80" s="45">
        <f t="shared" si="114"/>
        <v>-18076.990819988954</v>
      </c>
      <c r="AL80" s="94">
        <f t="shared" si="115"/>
        <v>-0.49662062692277348</v>
      </c>
      <c r="AM80" s="44">
        <f t="shared" si="116"/>
        <v>4850</v>
      </c>
      <c r="AN80" s="44">
        <f t="shared" si="117"/>
        <v>1883</v>
      </c>
      <c r="AO80" s="44">
        <f t="shared" si="118"/>
        <v>6733</v>
      </c>
      <c r="AP80" s="44">
        <f t="shared" si="122"/>
        <v>968.2215619090947</v>
      </c>
      <c r="AQ80" s="44">
        <f t="shared" si="123"/>
        <v>946.5</v>
      </c>
      <c r="AR80" s="45">
        <f t="shared" si="141"/>
        <v>-24831.712381898047</v>
      </c>
      <c r="AS80" s="94">
        <f t="shared" si="142"/>
        <v>-0.68218990060159468</v>
      </c>
      <c r="AT80" s="44">
        <f t="shared" si="143"/>
        <v>1903.3595404978885</v>
      </c>
      <c r="AU80" s="45">
        <f t="shared" si="144"/>
        <v>-26735.071922395935</v>
      </c>
      <c r="AV80" s="94">
        <f t="shared" si="145"/>
        <v>-0.73447999786802021</v>
      </c>
      <c r="AW80" s="44">
        <f t="shared" si="146"/>
        <v>1521.5287828596613</v>
      </c>
      <c r="AX80" s="45">
        <f t="shared" si="147"/>
        <v>-23310.183599038384</v>
      </c>
      <c r="AY80" s="94">
        <f t="shared" si="148"/>
        <v>-0.6403896593142413</v>
      </c>
      <c r="BA80" s="10">
        <f t="shared" si="124"/>
        <v>1400</v>
      </c>
      <c r="BB80" s="10">
        <f t="shared" si="125"/>
        <v>-1272.4796554010181</v>
      </c>
      <c r="BC80" s="10">
        <f t="shared" si="126"/>
        <v>-372.86295717502151</v>
      </c>
      <c r="BD80" s="10">
        <f t="shared" si="127"/>
        <v>-22.842424030506784</v>
      </c>
      <c r="BE80" s="10">
        <f t="shared" si="128"/>
        <v>-427.08384108533664</v>
      </c>
      <c r="BF80" s="10">
        <f t="shared" si="129"/>
        <v>-2095.2688776918831</v>
      </c>
      <c r="BG80" s="10">
        <f t="shared" si="130"/>
        <v>-695.26887769188284</v>
      </c>
      <c r="BH80" s="10">
        <f t="shared" si="131"/>
        <v>-186.53846153846155</v>
      </c>
      <c r="BI80" s="10">
        <f t="shared" si="132"/>
        <v>-72.42307692307692</v>
      </c>
      <c r="BJ80" s="10">
        <f t="shared" si="133"/>
        <v>-258.96153846153845</v>
      </c>
      <c r="BK80" s="10">
        <f t="shared" si="134"/>
        <v>-37.239290842657489</v>
      </c>
      <c r="BL80" s="10">
        <f t="shared" si="135"/>
        <v>36.403846153846153</v>
      </c>
      <c r="BM80" s="10">
        <f t="shared" si="136"/>
        <v>-955.06586084223261</v>
      </c>
      <c r="BN80" s="10">
        <f t="shared" si="137"/>
        <v>-73.206136172995713</v>
      </c>
      <c r="BO80" s="10">
        <f t="shared" si="138"/>
        <v>-1028.2719970152282</v>
      </c>
      <c r="BP80" s="10">
        <f t="shared" si="139"/>
        <v>58.520337802294662</v>
      </c>
      <c r="BQ80" s="10">
        <f t="shared" si="140"/>
        <v>-896.54552303993785</v>
      </c>
    </row>
    <row r="81" spans="2:69">
      <c r="B81" s="29" t="s">
        <v>8</v>
      </c>
      <c r="C81" s="29" t="s">
        <v>466</v>
      </c>
      <c r="D81" s="25" t="s">
        <v>480</v>
      </c>
      <c r="E81" s="100">
        <v>46077</v>
      </c>
      <c r="F81" s="100">
        <v>46132</v>
      </c>
      <c r="G81" s="101">
        <v>22.2</v>
      </c>
      <c r="H81" s="102" t="s">
        <v>37</v>
      </c>
      <c r="I81" s="27" t="s">
        <v>126</v>
      </c>
      <c r="J81" s="7"/>
      <c r="K81" s="7" t="s">
        <v>127</v>
      </c>
      <c r="L81" s="7" t="s">
        <v>119</v>
      </c>
      <c r="M81" s="21" t="s">
        <v>43</v>
      </c>
      <c r="N81" s="7" t="s">
        <v>129</v>
      </c>
      <c r="O81" s="20">
        <v>1600</v>
      </c>
      <c r="P81" s="61">
        <v>35520</v>
      </c>
      <c r="Q81" s="20">
        <v>1442.2972972972973</v>
      </c>
      <c r="R81" s="30">
        <v>3501</v>
      </c>
      <c r="S81" s="32">
        <v>32019</v>
      </c>
      <c r="T81" s="65">
        <v>1</v>
      </c>
      <c r="U81" s="59" t="s">
        <v>553</v>
      </c>
      <c r="V81" s="148" t="s">
        <v>557</v>
      </c>
      <c r="W81" s="62" t="s">
        <v>226</v>
      </c>
      <c r="X81" s="4"/>
      <c r="Y81" s="7">
        <v>10007969</v>
      </c>
      <c r="Z81" s="7"/>
      <c r="AA81" s="7"/>
      <c r="AB81" s="20">
        <f t="shared" si="104"/>
        <v>1595.4396310788145</v>
      </c>
      <c r="AC81" s="46">
        <f>IFERROR(INDEX('Costos Producción Febrero'!$G$34:$G$57,MATCH(Resumen!Y81,'Costos Producción Febrero'!$B$34:$B$57,0))*AI81*G81,0)</f>
        <v>30003.11570659365</v>
      </c>
      <c r="AD81" s="46">
        <f>IFERROR(INDEX('Costos Producción Febrero'!$H$34:$H$57,MATCH(Resumen!Y81,'Costos Producción Febrero'!$B$34:$B$57,0))*AI81*G81,0)</f>
        <v>6025.2036904681827</v>
      </c>
      <c r="AE81" s="46">
        <f>IFERROR(INDEX('Costos Producción Febrero'!$I$34:$I$57,MATCH(Resumen!Y81,'Costos Producción Febrero'!$B$34:$B$57,0))*AI81*G81,0)</f>
        <v>463.63203725072105</v>
      </c>
      <c r="AF81" s="46">
        <f>IFERROR(INDEX('Costos Producción Febrero'!$J$34:$J$57,MATCH(Resumen!Y81,'Costos Producción Febrero'!$B$34:$B$57,0))*AI81*G81,0)</f>
        <v>-1073.1916243628687</v>
      </c>
      <c r="AG81" s="46">
        <f t="shared" si="105"/>
        <v>35418.759809949683</v>
      </c>
      <c r="AH81" s="46"/>
      <c r="AI81" s="46">
        <f>INDEX('Costos Producción Marzo'!$E$5:$E$37,MATCH(Resumen!Y81,'Costos Producción Marzo'!$A$5:$A$37,0))</f>
        <v>1595.4396310788147</v>
      </c>
      <c r="AJ81" s="46"/>
      <c r="AK81" s="45">
        <f t="shared" si="114"/>
        <v>101.24019005031732</v>
      </c>
      <c r="AL81" s="94">
        <f t="shared" si="115"/>
        <v>2.8502305757409155E-3</v>
      </c>
      <c r="AM81" s="44">
        <f t="shared" si="116"/>
        <v>3501</v>
      </c>
      <c r="AN81" s="44">
        <f t="shared" si="117"/>
        <v>1607.7923076923075</v>
      </c>
      <c r="AO81" s="44">
        <f t="shared" si="118"/>
        <v>5108.7923076923071</v>
      </c>
      <c r="AP81" s="44">
        <f t="shared" si="122"/>
        <v>826.71225670699619</v>
      </c>
      <c r="AQ81" s="44">
        <f t="shared" si="123"/>
        <v>960.56999999999994</v>
      </c>
      <c r="AR81" s="45">
        <f t="shared" si="141"/>
        <v>-4873.6943743489865</v>
      </c>
      <c r="AS81" s="94">
        <f t="shared" si="142"/>
        <v>-0.13720986414270794</v>
      </c>
      <c r="AT81" s="44">
        <f t="shared" si="143"/>
        <v>1625.1762230405047</v>
      </c>
      <c r="AU81" s="45">
        <f t="shared" si="144"/>
        <v>-6498.8705973894912</v>
      </c>
      <c r="AV81" s="94">
        <f t="shared" si="145"/>
        <v>-0.18296369925083028</v>
      </c>
      <c r="AW81" s="44">
        <f t="shared" si="146"/>
        <v>1299.1514992109417</v>
      </c>
      <c r="AX81" s="45">
        <f t="shared" si="147"/>
        <v>-3574.542875138045</v>
      </c>
      <c r="AY81" s="94">
        <f t="shared" si="148"/>
        <v>-0.10063465301627379</v>
      </c>
      <c r="BA81" s="10">
        <f t="shared" si="124"/>
        <v>1600</v>
      </c>
      <c r="BB81" s="10">
        <f t="shared" si="125"/>
        <v>-1351.4916984952094</v>
      </c>
      <c r="BC81" s="10">
        <f t="shared" si="126"/>
        <v>-271.40557164271092</v>
      </c>
      <c r="BD81" s="10">
        <f t="shared" si="127"/>
        <v>-20.884326002284734</v>
      </c>
      <c r="BE81" s="10">
        <f t="shared" si="128"/>
        <v>48.341965061390482</v>
      </c>
      <c r="BF81" s="10">
        <f t="shared" si="129"/>
        <v>-1595.4396310788145</v>
      </c>
      <c r="BG81" s="10">
        <f t="shared" si="130"/>
        <v>4.5603689211854652</v>
      </c>
      <c r="BH81" s="10">
        <f t="shared" si="131"/>
        <v>-157.70270270270271</v>
      </c>
      <c r="BI81" s="10">
        <f t="shared" si="132"/>
        <v>-72.42307692307692</v>
      </c>
      <c r="BJ81" s="10">
        <f t="shared" si="133"/>
        <v>-230.12577962577961</v>
      </c>
      <c r="BK81" s="10">
        <f t="shared" si="134"/>
        <v>-37.239290842657489</v>
      </c>
      <c r="BL81" s="10">
        <f t="shared" si="135"/>
        <v>43.268918918918921</v>
      </c>
      <c r="BM81" s="10">
        <f t="shared" si="136"/>
        <v>-219.53578262833273</v>
      </c>
      <c r="BN81" s="10">
        <f t="shared" si="137"/>
        <v>-73.206136172995713</v>
      </c>
      <c r="BO81" s="10">
        <f t="shared" si="138"/>
        <v>-292.74191880132844</v>
      </c>
      <c r="BP81" s="10">
        <f t="shared" si="139"/>
        <v>58.520337802294669</v>
      </c>
      <c r="BQ81" s="10">
        <f t="shared" si="140"/>
        <v>-161.01544482603808</v>
      </c>
    </row>
    <row r="82" spans="2:69">
      <c r="B82" s="29" t="s">
        <v>8</v>
      </c>
      <c r="C82" s="29" t="s">
        <v>466</v>
      </c>
      <c r="D82" s="25" t="s">
        <v>481</v>
      </c>
      <c r="E82" s="100">
        <v>64</v>
      </c>
      <c r="F82" s="100">
        <v>46125</v>
      </c>
      <c r="G82" s="101">
        <v>26</v>
      </c>
      <c r="H82" s="27" t="s">
        <v>36</v>
      </c>
      <c r="I82" s="27" t="s">
        <v>107</v>
      </c>
      <c r="J82" s="7"/>
      <c r="K82" s="7" t="s">
        <v>108</v>
      </c>
      <c r="L82" s="7" t="s">
        <v>109</v>
      </c>
      <c r="M82" s="21" t="s">
        <v>56</v>
      </c>
      <c r="N82" s="7" t="s">
        <v>110</v>
      </c>
      <c r="O82" s="20">
        <v>3100</v>
      </c>
      <c r="P82" s="61">
        <v>80600</v>
      </c>
      <c r="Q82" s="20">
        <v>2913.4615384615386</v>
      </c>
      <c r="R82" s="30">
        <v>4850</v>
      </c>
      <c r="S82" s="32">
        <v>75750</v>
      </c>
      <c r="T82" s="65">
        <v>1</v>
      </c>
      <c r="U82" s="59" t="s">
        <v>168</v>
      </c>
      <c r="V82" s="148">
        <v>32406022</v>
      </c>
      <c r="W82" s="62" t="s">
        <v>112</v>
      </c>
      <c r="X82" s="4"/>
      <c r="Y82" s="7">
        <v>10007567</v>
      </c>
      <c r="Z82" s="7"/>
      <c r="AA82" s="7"/>
      <c r="AB82" s="20">
        <f t="shared" si="104"/>
        <v>2019.4979622082251</v>
      </c>
      <c r="AC82" s="46">
        <f>IFERROR(INDEX('Costos Producción Febrero'!$G$34:$G$57,MATCH(Resumen!Y82,'Costos Producción Febrero'!$B$34:$B$57,0))*AI82*G82,0)</f>
        <v>32427.37634290793</v>
      </c>
      <c r="AD82" s="46">
        <f>IFERROR(INDEX('Costos Producción Febrero'!$H$34:$H$57,MATCH(Resumen!Y82,'Costos Producción Febrero'!$B$34:$B$57,0))*AI82*G82,0)</f>
        <v>8739.3159279528154</v>
      </c>
      <c r="AE82" s="46">
        <f>IFERROR(INDEX('Costos Producción Febrero'!$I$34:$I$57,MATCH(Resumen!Y82,'Costos Producción Febrero'!$B$34:$B$57,0))*AI82*G82,0)</f>
        <v>566.7272682818973</v>
      </c>
      <c r="AF82" s="46">
        <f>IFERROR(INDEX('Costos Producción Febrero'!$J$34:$J$57,MATCH(Resumen!Y82,'Costos Producción Febrero'!$B$34:$B$57,0))*AI82*G82,0)</f>
        <v>10773.527478271213</v>
      </c>
      <c r="AG82" s="46">
        <f t="shared" si="105"/>
        <v>52506.947017413855</v>
      </c>
      <c r="AH82" s="46"/>
      <c r="AI82" s="46">
        <f>INDEX('Costos Producción Marzo'!$E$5:$E$37,MATCH(Resumen!Y82,'Costos Producción Marzo'!$A$5:$A$37,0))</f>
        <v>2019.4979622082253</v>
      </c>
      <c r="AJ82" s="46"/>
      <c r="AK82" s="45">
        <f t="shared" si="114"/>
        <v>28093.052982586145</v>
      </c>
      <c r="AL82" s="94">
        <f t="shared" si="115"/>
        <v>0.34854904444895962</v>
      </c>
      <c r="AM82" s="44">
        <f t="shared" si="116"/>
        <v>4850</v>
      </c>
      <c r="AN82" s="44">
        <f t="shared" si="117"/>
        <v>1883</v>
      </c>
      <c r="AO82" s="44">
        <f t="shared" si="118"/>
        <v>6733</v>
      </c>
      <c r="AP82" s="44">
        <f t="shared" si="122"/>
        <v>968.2215619090947</v>
      </c>
      <c r="AQ82" s="44">
        <f t="shared" si="123"/>
        <v>2272.5</v>
      </c>
      <c r="AR82" s="45">
        <f t="shared" si="141"/>
        <v>22664.331420677052</v>
      </c>
      <c r="AS82" s="94">
        <f t="shared" si="142"/>
        <v>0.28119517891658874</v>
      </c>
      <c r="AT82" s="44">
        <f t="shared" si="143"/>
        <v>1903.3595404978885</v>
      </c>
      <c r="AU82" s="45">
        <f t="shared" si="144"/>
        <v>20760.971880179164</v>
      </c>
      <c r="AV82" s="94">
        <f t="shared" si="145"/>
        <v>0.25758029628013851</v>
      </c>
      <c r="AW82" s="44">
        <f t="shared" si="146"/>
        <v>1521.5287828596613</v>
      </c>
      <c r="AX82" s="45">
        <f t="shared" si="147"/>
        <v>24185.860203536715</v>
      </c>
      <c r="AY82" s="94">
        <f t="shared" si="148"/>
        <v>0.30007270723990959</v>
      </c>
      <c r="BA82" s="10">
        <f t="shared" si="124"/>
        <v>3100</v>
      </c>
      <c r="BB82" s="10">
        <f t="shared" si="125"/>
        <v>-1247.2067824195358</v>
      </c>
      <c r="BC82" s="10">
        <f t="shared" si="126"/>
        <v>-336.12753569049289</v>
      </c>
      <c r="BD82" s="10">
        <f t="shared" si="127"/>
        <v>-21.79720262622682</v>
      </c>
      <c r="BE82" s="10">
        <f t="shared" si="128"/>
        <v>-414.36644147196972</v>
      </c>
      <c r="BF82" s="10">
        <f t="shared" si="129"/>
        <v>-2019.4979622082251</v>
      </c>
      <c r="BG82" s="10">
        <f t="shared" si="130"/>
        <v>1080.5020377917749</v>
      </c>
      <c r="BH82" s="10">
        <f t="shared" si="131"/>
        <v>-186.53846153846155</v>
      </c>
      <c r="BI82" s="10">
        <f t="shared" si="132"/>
        <v>-72.42307692307692</v>
      </c>
      <c r="BJ82" s="10">
        <f t="shared" si="133"/>
        <v>-258.96153846153845</v>
      </c>
      <c r="BK82" s="10">
        <f t="shared" si="134"/>
        <v>-37.239290842657489</v>
      </c>
      <c r="BL82" s="10">
        <f t="shared" si="135"/>
        <v>87.40384615384616</v>
      </c>
      <c r="BM82" s="10">
        <f t="shared" si="136"/>
        <v>871.70505464142502</v>
      </c>
      <c r="BN82" s="10">
        <f t="shared" si="137"/>
        <v>-73.206136172995713</v>
      </c>
      <c r="BO82" s="10">
        <f t="shared" si="138"/>
        <v>798.49891846842934</v>
      </c>
      <c r="BP82" s="10">
        <f t="shared" si="139"/>
        <v>58.520337802294662</v>
      </c>
      <c r="BQ82" s="10">
        <f t="shared" si="140"/>
        <v>930.22539244371978</v>
      </c>
    </row>
    <row r="83" spans="2:69">
      <c r="B83" s="29" t="s">
        <v>8</v>
      </c>
      <c r="C83" s="29" t="s">
        <v>466</v>
      </c>
      <c r="D83" s="25" t="s">
        <v>482</v>
      </c>
      <c r="E83" s="100">
        <v>66</v>
      </c>
      <c r="F83" s="100">
        <v>46132</v>
      </c>
      <c r="G83" s="101">
        <v>115.8</v>
      </c>
      <c r="H83" s="194" t="s">
        <v>32</v>
      </c>
      <c r="I83" s="27" t="s">
        <v>155</v>
      </c>
      <c r="J83" s="7" t="s">
        <v>228</v>
      </c>
      <c r="K83" s="7" t="s">
        <v>141</v>
      </c>
      <c r="L83" s="7" t="s">
        <v>142</v>
      </c>
      <c r="M83" s="21" t="s">
        <v>43</v>
      </c>
      <c r="N83" s="7" t="s">
        <v>129</v>
      </c>
      <c r="O83" s="20">
        <v>1650</v>
      </c>
      <c r="P83" s="61">
        <v>191070</v>
      </c>
      <c r="Q83" s="20">
        <v>1507.4697754749568</v>
      </c>
      <c r="R83" s="30">
        <v>16505</v>
      </c>
      <c r="S83" s="32">
        <v>174565</v>
      </c>
      <c r="T83" s="65">
        <v>5</v>
      </c>
      <c r="U83" s="59" t="s">
        <v>553</v>
      </c>
      <c r="V83" s="148" t="s">
        <v>558</v>
      </c>
      <c r="W83" s="62" t="s">
        <v>226</v>
      </c>
      <c r="X83" s="4"/>
      <c r="Y83" s="7">
        <v>10006720</v>
      </c>
      <c r="Z83" s="7"/>
      <c r="AA83" s="7"/>
      <c r="AB83" s="20">
        <f t="shared" si="104"/>
        <v>1949.1981178129743</v>
      </c>
      <c r="AC83" s="46">
        <f>IFERROR(INDEX('Costos Producción Febrero'!$G$34:$G$57,MATCH(Resumen!Y83,'Costos Producción Febrero'!$B$34:$B$57,0))*AI83*G83,0)</f>
        <v>144841.11798151283</v>
      </c>
      <c r="AD83" s="46">
        <f>IFERROR(INDEX('Costos Producción Febrero'!$H$34:$H$57,MATCH(Resumen!Y83,'Costos Producción Febrero'!$B$34:$B$57,0))*AI83*G83,0)</f>
        <v>30465.490395547229</v>
      </c>
      <c r="AE83" s="46">
        <f>IFERROR(INDEX('Costos Producción Febrero'!$I$34:$I$57,MATCH(Resumen!Y83,'Costos Producción Febrero'!$B$34:$B$57,0))*AI83*G83,0)</f>
        <v>2109.0673389156645</v>
      </c>
      <c r="AF83" s="46">
        <f>IFERROR(INDEX('Costos Producción Febrero'!$J$34:$J$57,MATCH(Resumen!Y83,'Costos Producción Febrero'!$B$34:$B$57,0))*AI83*G83,0)</f>
        <v>48301.466326766691</v>
      </c>
      <c r="AG83" s="46">
        <f t="shared" si="105"/>
        <v>225717.1420427424</v>
      </c>
      <c r="AH83" s="46"/>
      <c r="AI83" s="46">
        <f>INDEX('Costos Producción Marzo'!$E$5:$E$37,MATCH(Resumen!Y83,'Costos Producción Marzo'!$A$5:$A$37,0))</f>
        <v>1949.1981178129743</v>
      </c>
      <c r="AJ83" s="46"/>
      <c r="AK83" s="45">
        <f t="shared" si="114"/>
        <v>-34647.142042742402</v>
      </c>
      <c r="AL83" s="94">
        <f t="shared" si="115"/>
        <v>-0.18133219261392369</v>
      </c>
      <c r="AM83" s="44">
        <f t="shared" si="116"/>
        <v>16505</v>
      </c>
      <c r="AN83" s="44">
        <f t="shared" si="117"/>
        <v>8386.5923076923063</v>
      </c>
      <c r="AO83" s="44">
        <f t="shared" si="118"/>
        <v>24891.592307692306</v>
      </c>
      <c r="AP83" s="44">
        <f t="shared" si="122"/>
        <v>4312.3098795797368</v>
      </c>
      <c r="AQ83" s="44">
        <f t="shared" si="123"/>
        <v>5236.95</v>
      </c>
      <c r="AR83" s="45">
        <f t="shared" si="141"/>
        <v>-58614.094230014445</v>
      </c>
      <c r="AS83" s="94">
        <f t="shared" si="142"/>
        <v>-0.30676764656939576</v>
      </c>
      <c r="AT83" s="44">
        <f t="shared" si="143"/>
        <v>8477.2705688329024</v>
      </c>
      <c r="AU83" s="45">
        <f t="shared" si="144"/>
        <v>-67091.364798847353</v>
      </c>
      <c r="AV83" s="94">
        <f t="shared" si="145"/>
        <v>-0.3511350018257568</v>
      </c>
      <c r="AW83" s="44">
        <f t="shared" si="146"/>
        <v>6776.655117505723</v>
      </c>
      <c r="AX83" s="45">
        <f t="shared" si="147"/>
        <v>-51837.43911250872</v>
      </c>
      <c r="AY83" s="94">
        <f t="shared" si="148"/>
        <v>-0.27130077517406564</v>
      </c>
      <c r="BA83" s="10">
        <f t="shared" si="124"/>
        <v>1650</v>
      </c>
      <c r="BB83" s="10">
        <f t="shared" si="125"/>
        <v>-1250.7868564897481</v>
      </c>
      <c r="BC83" s="10">
        <f t="shared" si="126"/>
        <v>-263.08713640368939</v>
      </c>
      <c r="BD83" s="10">
        <f t="shared" si="127"/>
        <v>-18.213016743658589</v>
      </c>
      <c r="BE83" s="10">
        <f t="shared" si="128"/>
        <v>-417.11110817587814</v>
      </c>
      <c r="BF83" s="10">
        <f t="shared" si="129"/>
        <v>-1949.1981178129743</v>
      </c>
      <c r="BG83" s="10">
        <f t="shared" si="130"/>
        <v>-299.19811781297409</v>
      </c>
      <c r="BH83" s="10">
        <f t="shared" si="131"/>
        <v>-142.5302245250432</v>
      </c>
      <c r="BI83" s="10">
        <f t="shared" si="132"/>
        <v>-72.42307692307692</v>
      </c>
      <c r="BJ83" s="10">
        <f t="shared" si="133"/>
        <v>-214.9533014481201</v>
      </c>
      <c r="BK83" s="10">
        <f t="shared" si="134"/>
        <v>-37.239290842657489</v>
      </c>
      <c r="BL83" s="10">
        <f t="shared" si="135"/>
        <v>45.224093264248701</v>
      </c>
      <c r="BM83" s="10">
        <f t="shared" si="136"/>
        <v>-506.16661683950298</v>
      </c>
      <c r="BN83" s="10">
        <f t="shared" si="137"/>
        <v>-73.206136172995699</v>
      </c>
      <c r="BO83" s="10">
        <f t="shared" si="138"/>
        <v>-579.37275301249872</v>
      </c>
      <c r="BP83" s="10">
        <f t="shared" si="139"/>
        <v>58.520337802294669</v>
      </c>
      <c r="BQ83" s="10">
        <f t="shared" si="140"/>
        <v>-447.64627903720833</v>
      </c>
    </row>
    <row r="84" spans="2:69">
      <c r="B84" s="29" t="s">
        <v>8</v>
      </c>
      <c r="C84" s="29" t="s">
        <v>466</v>
      </c>
      <c r="D84" s="25" t="s">
        <v>483</v>
      </c>
      <c r="E84" s="100">
        <v>66</v>
      </c>
      <c r="F84" s="100">
        <v>46120</v>
      </c>
      <c r="G84" s="101">
        <v>46</v>
      </c>
      <c r="H84" s="194" t="s">
        <v>33</v>
      </c>
      <c r="I84" s="27" t="s">
        <v>132</v>
      </c>
      <c r="J84" s="7" t="s">
        <v>484</v>
      </c>
      <c r="K84" s="7" t="s">
        <v>141</v>
      </c>
      <c r="L84" s="7" t="s">
        <v>485</v>
      </c>
      <c r="M84" s="21" t="s">
        <v>43</v>
      </c>
      <c r="N84" s="7" t="s">
        <v>129</v>
      </c>
      <c r="O84" s="20">
        <v>1700</v>
      </c>
      <c r="P84" s="61">
        <v>78200</v>
      </c>
      <c r="Q84" s="20">
        <v>1547.7826086956522</v>
      </c>
      <c r="R84" s="30">
        <v>7002</v>
      </c>
      <c r="S84" s="32">
        <v>71198</v>
      </c>
      <c r="T84" s="65">
        <v>2</v>
      </c>
      <c r="U84" s="59" t="s">
        <v>550</v>
      </c>
      <c r="V84" s="148" t="s">
        <v>559</v>
      </c>
      <c r="W84" s="62" t="s">
        <v>138</v>
      </c>
      <c r="X84" s="4"/>
      <c r="Y84" s="7">
        <v>10005721</v>
      </c>
      <c r="Z84" s="7"/>
      <c r="AA84" s="7"/>
      <c r="AB84" s="20">
        <f t="shared" si="104"/>
        <v>2095.2688776918831</v>
      </c>
      <c r="AC84" s="46">
        <f>IFERROR(INDEX('Costos Producción Febrero'!$G$34:$G$57,MATCH(Resumen!Y84,'Costos Producción Febrero'!$B$34:$B$57,0))*AI84*G84,0)</f>
        <v>58534.064148446836</v>
      </c>
      <c r="AD84" s="46">
        <f>IFERROR(INDEX('Costos Producción Febrero'!$H$34:$H$57,MATCH(Resumen!Y84,'Costos Producción Febrero'!$B$34:$B$57,0))*AI84*G84,0)</f>
        <v>17151.696030050989</v>
      </c>
      <c r="AE84" s="46">
        <f>IFERROR(INDEX('Costos Producción Febrero'!$I$34:$I$57,MATCH(Resumen!Y84,'Costos Producción Febrero'!$B$34:$B$57,0))*AI84*G84,0)</f>
        <v>1050.7515054033122</v>
      </c>
      <c r="AF84" s="46">
        <f>IFERROR(INDEX('Costos Producción Febrero'!$J$34:$J$57,MATCH(Resumen!Y84,'Costos Producción Febrero'!$B$34:$B$57,0))*AI84*G84,0)</f>
        <v>19645.856689925487</v>
      </c>
      <c r="AG84" s="46">
        <f t="shared" si="105"/>
        <v>96382.368373826612</v>
      </c>
      <c r="AH84" s="46"/>
      <c r="AI84" s="46">
        <f>INDEX('Costos Producción Marzo'!$E$5:$E$37,MATCH(Resumen!Y84,'Costos Producción Marzo'!$A$5:$A$37,0))</f>
        <v>2095.2688776918831</v>
      </c>
      <c r="AJ84" s="46"/>
      <c r="AK84" s="45">
        <f t="shared" si="114"/>
        <v>-18182.368373826612</v>
      </c>
      <c r="AL84" s="94">
        <f t="shared" si="115"/>
        <v>-0.23251110452463697</v>
      </c>
      <c r="AM84" s="44">
        <f t="shared" si="116"/>
        <v>7002</v>
      </c>
      <c r="AN84" s="44">
        <f t="shared" si="117"/>
        <v>3331.4615384615381</v>
      </c>
      <c r="AO84" s="44">
        <f t="shared" si="118"/>
        <v>10333.461538461539</v>
      </c>
      <c r="AP84" s="44">
        <f t="shared" si="122"/>
        <v>1713.0073787622446</v>
      </c>
      <c r="AQ84" s="44">
        <f t="shared" si="123"/>
        <v>2135.94</v>
      </c>
      <c r="AR84" s="45">
        <f t="shared" si="141"/>
        <v>-28092.897291050398</v>
      </c>
      <c r="AS84" s="94">
        <f t="shared" si="142"/>
        <v>-0.35924421088299741</v>
      </c>
      <c r="AT84" s="44">
        <f t="shared" si="143"/>
        <v>3367.4822639578028</v>
      </c>
      <c r="AU84" s="45">
        <f t="shared" si="144"/>
        <v>-31460.3795550082</v>
      </c>
      <c r="AV84" s="94">
        <f t="shared" si="145"/>
        <v>-0.40230664392593607</v>
      </c>
      <c r="AW84" s="44">
        <f t="shared" si="146"/>
        <v>2691.9355389055549</v>
      </c>
      <c r="AX84" s="45">
        <f t="shared" si="147"/>
        <v>-25400.961752144842</v>
      </c>
      <c r="AY84" s="94">
        <f t="shared" si="148"/>
        <v>-0.32482048276400055</v>
      </c>
      <c r="BA84" s="10">
        <f t="shared" si="124"/>
        <v>1700</v>
      </c>
      <c r="BB84" s="10">
        <f t="shared" si="125"/>
        <v>-1272.4796554010181</v>
      </c>
      <c r="BC84" s="10">
        <f t="shared" si="126"/>
        <v>-372.86295717502151</v>
      </c>
      <c r="BD84" s="10">
        <f t="shared" si="127"/>
        <v>-22.842424030506788</v>
      </c>
      <c r="BE84" s="10">
        <f t="shared" si="128"/>
        <v>-427.0838410853367</v>
      </c>
      <c r="BF84" s="10">
        <f t="shared" si="129"/>
        <v>-2095.2688776918831</v>
      </c>
      <c r="BG84" s="10">
        <f t="shared" si="130"/>
        <v>-395.26887769188289</v>
      </c>
      <c r="BH84" s="10">
        <f t="shared" si="131"/>
        <v>-152.21739130434781</v>
      </c>
      <c r="BI84" s="10">
        <f t="shared" si="132"/>
        <v>-72.42307692307692</v>
      </c>
      <c r="BJ84" s="10">
        <f t="shared" si="133"/>
        <v>-224.64046822742475</v>
      </c>
      <c r="BK84" s="10">
        <f t="shared" si="134"/>
        <v>-37.239290842657489</v>
      </c>
      <c r="BL84" s="10">
        <f t="shared" si="135"/>
        <v>46.433478260869563</v>
      </c>
      <c r="BM84" s="10">
        <f t="shared" si="136"/>
        <v>-610.71515850109563</v>
      </c>
      <c r="BN84" s="10">
        <f t="shared" si="137"/>
        <v>-73.206136172995713</v>
      </c>
      <c r="BO84" s="10">
        <f t="shared" si="138"/>
        <v>-683.92129467409131</v>
      </c>
      <c r="BP84" s="10">
        <f t="shared" si="139"/>
        <v>58.520337802294669</v>
      </c>
      <c r="BQ84" s="10">
        <f t="shared" si="140"/>
        <v>-552.19482069880087</v>
      </c>
    </row>
    <row r="85" spans="2:69">
      <c r="B85" s="29" t="s">
        <v>8</v>
      </c>
      <c r="C85" s="29" t="s">
        <v>466</v>
      </c>
      <c r="D85" s="25" t="s">
        <v>486</v>
      </c>
      <c r="E85" s="100">
        <v>70</v>
      </c>
      <c r="F85" s="100">
        <v>46132</v>
      </c>
      <c r="G85" s="101">
        <v>24</v>
      </c>
      <c r="H85" s="194" t="s">
        <v>33</v>
      </c>
      <c r="I85" s="27" t="s">
        <v>132</v>
      </c>
      <c r="J85" s="7" t="s">
        <v>484</v>
      </c>
      <c r="K85" s="7" t="s">
        <v>141</v>
      </c>
      <c r="L85" s="7" t="s">
        <v>487</v>
      </c>
      <c r="M85" s="21" t="s">
        <v>43</v>
      </c>
      <c r="N85" s="7" t="s">
        <v>129</v>
      </c>
      <c r="O85" s="20">
        <v>1800</v>
      </c>
      <c r="P85" s="61">
        <v>43200</v>
      </c>
      <c r="Q85" s="20">
        <v>1666.625</v>
      </c>
      <c r="R85" s="30">
        <v>3201</v>
      </c>
      <c r="S85" s="32">
        <v>39999</v>
      </c>
      <c r="T85" s="65">
        <v>1</v>
      </c>
      <c r="U85" s="59" t="s">
        <v>553</v>
      </c>
      <c r="V85" s="148" t="s">
        <v>560</v>
      </c>
      <c r="W85" s="62" t="s">
        <v>226</v>
      </c>
      <c r="X85" s="4"/>
      <c r="Y85" s="7">
        <v>10005721</v>
      </c>
      <c r="Z85" s="7"/>
      <c r="AA85" s="7"/>
      <c r="AB85" s="20">
        <f t="shared" si="104"/>
        <v>2095.2688776918831</v>
      </c>
      <c r="AC85" s="46">
        <f>IFERROR(INDEX('Costos Producción Febrero'!$G$34:$G$57,MATCH(Resumen!Y85,'Costos Producción Febrero'!$B$34:$B$57,0))*AI85*G85,0)</f>
        <v>30539.511729624435</v>
      </c>
      <c r="AD85" s="46">
        <f>IFERROR(INDEX('Costos Producción Febrero'!$H$34:$H$57,MATCH(Resumen!Y85,'Costos Producción Febrero'!$B$34:$B$57,0))*AI85*G85,0)</f>
        <v>8948.7109722005152</v>
      </c>
      <c r="AE85" s="46">
        <f>IFERROR(INDEX('Costos Producción Febrero'!$I$34:$I$57,MATCH(Resumen!Y85,'Costos Producción Febrero'!$B$34:$B$57,0))*AI85*G85,0)</f>
        <v>548.21817673216287</v>
      </c>
      <c r="AF85" s="46">
        <f>IFERROR(INDEX('Costos Producción Febrero'!$J$34:$J$57,MATCH(Resumen!Y85,'Costos Producción Febrero'!$B$34:$B$57,0))*AI85*G85,0)</f>
        <v>10250.012186048079</v>
      </c>
      <c r="AG85" s="46">
        <f t="shared" si="105"/>
        <v>50286.453064605194</v>
      </c>
      <c r="AH85" s="46"/>
      <c r="AI85" s="46">
        <f>INDEX('Costos Producción Marzo'!$E$5:$E$37,MATCH(Resumen!Y85,'Costos Producción Marzo'!$A$5:$A$37,0))</f>
        <v>2095.2688776918831</v>
      </c>
      <c r="AJ85" s="46"/>
      <c r="AK85" s="45">
        <f t="shared" si="114"/>
        <v>-7086.4530646051935</v>
      </c>
      <c r="AL85" s="94">
        <f t="shared" si="115"/>
        <v>-0.16403826538437949</v>
      </c>
      <c r="AM85" s="44">
        <f t="shared" si="116"/>
        <v>3201</v>
      </c>
      <c r="AN85" s="44">
        <f t="shared" si="117"/>
        <v>1738.1538461538462</v>
      </c>
      <c r="AO85" s="44">
        <f t="shared" si="118"/>
        <v>4939.1538461538457</v>
      </c>
      <c r="AP85" s="44">
        <f t="shared" si="122"/>
        <v>893.7429802237798</v>
      </c>
      <c r="AQ85" s="44">
        <f t="shared" si="123"/>
        <v>1199.97</v>
      </c>
      <c r="AR85" s="45">
        <f t="shared" si="141"/>
        <v>-11719.37989098282</v>
      </c>
      <c r="AS85" s="94">
        <f t="shared" si="142"/>
        <v>-0.27128194192089861</v>
      </c>
      <c r="AT85" s="44">
        <f t="shared" si="143"/>
        <v>1756.9472681518971</v>
      </c>
      <c r="AU85" s="45">
        <f t="shared" si="144"/>
        <v>-13476.327159134717</v>
      </c>
      <c r="AV85" s="94">
        <f t="shared" si="145"/>
        <v>-0.31195201757256286</v>
      </c>
      <c r="AW85" s="44">
        <f t="shared" si="146"/>
        <v>1404.488107255072</v>
      </c>
      <c r="AX85" s="45">
        <f t="shared" si="147"/>
        <v>-10314.891783727748</v>
      </c>
      <c r="AY85" s="94">
        <f t="shared" si="148"/>
        <v>-0.23877064314184601</v>
      </c>
      <c r="BA85" s="10">
        <f t="shared" si="124"/>
        <v>1800</v>
      </c>
      <c r="BB85" s="10">
        <f t="shared" si="125"/>
        <v>-1272.4796554010181</v>
      </c>
      <c r="BC85" s="10">
        <f t="shared" si="126"/>
        <v>-372.86295717502145</v>
      </c>
      <c r="BD85" s="10">
        <f t="shared" si="127"/>
        <v>-22.842424030506788</v>
      </c>
      <c r="BE85" s="10">
        <f t="shared" si="128"/>
        <v>-427.08384108533664</v>
      </c>
      <c r="BF85" s="10">
        <f t="shared" si="129"/>
        <v>-2095.2688776918831</v>
      </c>
      <c r="BG85" s="10">
        <f t="shared" si="130"/>
        <v>-295.26887769188306</v>
      </c>
      <c r="BH85" s="10">
        <f t="shared" si="131"/>
        <v>-133.375</v>
      </c>
      <c r="BI85" s="10">
        <f t="shared" si="132"/>
        <v>-72.42307692307692</v>
      </c>
      <c r="BJ85" s="10">
        <f t="shared" si="133"/>
        <v>-205.79807692307691</v>
      </c>
      <c r="BK85" s="10">
        <f t="shared" si="134"/>
        <v>-37.239290842657489</v>
      </c>
      <c r="BL85" s="10">
        <f t="shared" si="135"/>
        <v>49.998750000000001</v>
      </c>
      <c r="BM85" s="10">
        <f t="shared" si="136"/>
        <v>-488.30749545761751</v>
      </c>
      <c r="BN85" s="10">
        <f t="shared" si="137"/>
        <v>-73.206136172995713</v>
      </c>
      <c r="BO85" s="10">
        <f t="shared" si="138"/>
        <v>-561.51363163061319</v>
      </c>
      <c r="BP85" s="10">
        <f t="shared" si="139"/>
        <v>58.520337802294669</v>
      </c>
      <c r="BQ85" s="10">
        <f t="shared" si="140"/>
        <v>-429.7871576553228</v>
      </c>
    </row>
    <row r="86" spans="2:69">
      <c r="B86" s="29" t="s">
        <v>8</v>
      </c>
      <c r="C86" s="29" t="s">
        <v>466</v>
      </c>
      <c r="D86" s="25" t="s">
        <v>488</v>
      </c>
      <c r="E86" s="100">
        <v>72</v>
      </c>
      <c r="F86" s="100">
        <v>46129</v>
      </c>
      <c r="G86" s="101">
        <v>26.64</v>
      </c>
      <c r="H86" s="27" t="s">
        <v>35</v>
      </c>
      <c r="I86" s="27" t="s">
        <v>489</v>
      </c>
      <c r="J86" s="7" t="s">
        <v>490</v>
      </c>
      <c r="K86" s="7" t="s">
        <v>171</v>
      </c>
      <c r="L86" s="7" t="s">
        <v>202</v>
      </c>
      <c r="M86" s="21" t="s">
        <v>491</v>
      </c>
      <c r="N86" s="7" t="s">
        <v>492</v>
      </c>
      <c r="O86" s="20">
        <v>3600</v>
      </c>
      <c r="P86" s="61">
        <v>95904</v>
      </c>
      <c r="Q86" s="20">
        <v>3475.1876876876877</v>
      </c>
      <c r="R86" s="30">
        <v>3325</v>
      </c>
      <c r="S86" s="32">
        <v>92579</v>
      </c>
      <c r="T86" s="65">
        <v>1</v>
      </c>
      <c r="U86" s="59" t="s">
        <v>561</v>
      </c>
      <c r="V86" s="148">
        <v>6450014810</v>
      </c>
      <c r="W86" s="62" t="s">
        <v>122</v>
      </c>
      <c r="X86" s="4"/>
      <c r="Y86" s="7">
        <v>10009331</v>
      </c>
      <c r="Z86" s="7"/>
      <c r="AA86" s="7"/>
      <c r="AB86" s="20">
        <f t="shared" si="104"/>
        <v>2445.4442541856924</v>
      </c>
      <c r="AC86" s="46">
        <f>IFERROR(INDEX('Costos Producción Febrero'!$G$34:$G$57,MATCH(Resumen!Y86,'Costos Producción Febrero'!$B$34:$B$57,0))*AI86*G86,0)</f>
        <v>37174.41497424274</v>
      </c>
      <c r="AD86" s="46">
        <f>IFERROR(INDEX('Costos Producción Febrero'!$H$34:$H$57,MATCH(Resumen!Y86,'Costos Producción Febrero'!$B$34:$B$57,0))*AI86*G86,0)</f>
        <v>14748.351186445821</v>
      </c>
      <c r="AE86" s="46">
        <f>IFERROR(INDEX('Costos Producción Febrero'!$I$34:$I$57,MATCH(Resumen!Y86,'Costos Producción Febrero'!$B$34:$B$57,0))*AI86*G86,0)</f>
        <v>675.467469813192</v>
      </c>
      <c r="AF86" s="46">
        <f>IFERROR(INDEX('Costos Producción Febrero'!$J$34:$J$57,MATCH(Resumen!Y86,'Costos Producción Febrero'!$B$34:$B$57,0))*AI86*G86,0)</f>
        <v>12548.401301005102</v>
      </c>
      <c r="AG86" s="46">
        <f t="shared" si="105"/>
        <v>65146.634931506851</v>
      </c>
      <c r="AH86" s="46"/>
      <c r="AI86" s="46">
        <f>INDEX('Costos Producción Marzo'!$E$5:$E$37,MATCH(Resumen!Y86,'Costos Producción Marzo'!$A$5:$A$37,0))</f>
        <v>2445.4442541856924</v>
      </c>
      <c r="AJ86" s="46"/>
      <c r="AK86" s="45">
        <f t="shared" si="114"/>
        <v>30757.365068493149</v>
      </c>
      <c r="AL86" s="94">
        <f t="shared" si="115"/>
        <v>0.32070992939286319</v>
      </c>
      <c r="AM86" s="44">
        <f t="shared" si="116"/>
        <v>3325</v>
      </c>
      <c r="AN86" s="44">
        <f t="shared" si="117"/>
        <v>1929.3507692307692</v>
      </c>
      <c r="AO86" s="44">
        <f t="shared" si="118"/>
        <v>5254.3507692307694</v>
      </c>
      <c r="AP86" s="44">
        <f t="shared" si="122"/>
        <v>992.05470804839558</v>
      </c>
      <c r="AQ86" s="44">
        <f t="shared" si="123"/>
        <v>2777.37</v>
      </c>
      <c r="AR86" s="45">
        <f t="shared" si="141"/>
        <v>27288.329591213984</v>
      </c>
      <c r="AS86" s="94">
        <f t="shared" si="142"/>
        <v>0.28453797121302538</v>
      </c>
      <c r="AT86" s="44">
        <f t="shared" si="143"/>
        <v>1950.2114676486058</v>
      </c>
      <c r="AU86" s="45">
        <f t="shared" si="144"/>
        <v>25338.118123565378</v>
      </c>
      <c r="AV86" s="94">
        <f t="shared" si="145"/>
        <v>0.2642029333871932</v>
      </c>
      <c r="AW86" s="44">
        <f t="shared" si="146"/>
        <v>1558.9817990531301</v>
      </c>
      <c r="AX86" s="45">
        <f t="shared" si="147"/>
        <v>28847.311390267114</v>
      </c>
      <c r="AY86" s="94">
        <f t="shared" si="148"/>
        <v>0.30079362060255166</v>
      </c>
      <c r="BA86" s="10">
        <f t="shared" si="124"/>
        <v>3600</v>
      </c>
      <c r="BB86" s="10">
        <f t="shared" si="125"/>
        <v>-1395.4359975316343</v>
      </c>
      <c r="BC86" s="10">
        <f t="shared" si="126"/>
        <v>-553.61678627799631</v>
      </c>
      <c r="BD86" s="10">
        <f t="shared" si="127"/>
        <v>-25.355385503498198</v>
      </c>
      <c r="BE86" s="10">
        <f t="shared" si="128"/>
        <v>-471.03608487256389</v>
      </c>
      <c r="BF86" s="10">
        <f t="shared" si="129"/>
        <v>-2445.4442541856924</v>
      </c>
      <c r="BG86" s="10">
        <f t="shared" si="130"/>
        <v>1154.5557458143073</v>
      </c>
      <c r="BH86" s="10">
        <f t="shared" si="131"/>
        <v>-124.81231231231232</v>
      </c>
      <c r="BI86" s="10">
        <f t="shared" si="132"/>
        <v>-72.42307692307692</v>
      </c>
      <c r="BJ86" s="10">
        <f t="shared" si="133"/>
        <v>-197.23538923538925</v>
      </c>
      <c r="BK86" s="10">
        <f t="shared" si="134"/>
        <v>-37.239290842657489</v>
      </c>
      <c r="BL86" s="10">
        <f t="shared" si="135"/>
        <v>104.25563063063062</v>
      </c>
      <c r="BM86" s="10">
        <f t="shared" si="136"/>
        <v>1024.3366963668914</v>
      </c>
      <c r="BN86" s="10">
        <f t="shared" si="137"/>
        <v>-73.206136172995713</v>
      </c>
      <c r="BO86" s="10">
        <f t="shared" si="138"/>
        <v>951.13056019389558</v>
      </c>
      <c r="BP86" s="10">
        <f t="shared" si="139"/>
        <v>58.520337802294669</v>
      </c>
      <c r="BQ86" s="10">
        <f t="shared" si="140"/>
        <v>1082.8570341691859</v>
      </c>
    </row>
    <row r="87" spans="2:69">
      <c r="B87" s="29" t="s">
        <v>8</v>
      </c>
      <c r="C87" s="29" t="s">
        <v>466</v>
      </c>
      <c r="D87" s="25" t="s">
        <v>493</v>
      </c>
      <c r="E87" s="100">
        <v>72</v>
      </c>
      <c r="F87" s="100">
        <v>46122</v>
      </c>
      <c r="G87" s="101">
        <v>27</v>
      </c>
      <c r="H87" s="194" t="s">
        <v>32</v>
      </c>
      <c r="I87" s="27" t="s">
        <v>155</v>
      </c>
      <c r="J87" s="7" t="s">
        <v>494</v>
      </c>
      <c r="K87" s="7" t="s">
        <v>171</v>
      </c>
      <c r="L87" s="7" t="s">
        <v>202</v>
      </c>
      <c r="M87" s="21" t="s">
        <v>491</v>
      </c>
      <c r="N87" s="7" t="s">
        <v>492</v>
      </c>
      <c r="O87" s="20">
        <v>1700</v>
      </c>
      <c r="P87" s="61">
        <v>45900</v>
      </c>
      <c r="Q87" s="20">
        <v>1585.1851851851852</v>
      </c>
      <c r="R87" s="30">
        <v>3100</v>
      </c>
      <c r="S87" s="32">
        <v>42800</v>
      </c>
      <c r="T87" s="65">
        <v>1</v>
      </c>
      <c r="U87" s="59" t="s">
        <v>562</v>
      </c>
      <c r="V87" s="148">
        <v>6448952470</v>
      </c>
      <c r="W87" s="62" t="s">
        <v>122</v>
      </c>
      <c r="X87" s="4"/>
      <c r="Y87" s="7">
        <v>10006720</v>
      </c>
      <c r="Z87" s="7"/>
      <c r="AA87" s="7"/>
      <c r="AB87" s="20">
        <f t="shared" si="104"/>
        <v>1949.1981178129743</v>
      </c>
      <c r="AC87" s="46">
        <f>IFERROR(INDEX('Costos Producción Febrero'!$G$34:$G$57,MATCH(Resumen!Y87,'Costos Producción Febrero'!$B$34:$B$57,0))*AI87*G87,0)</f>
        <v>33771.245125223199</v>
      </c>
      <c r="AD87" s="46">
        <f>IFERROR(INDEX('Costos Producción Febrero'!$H$34:$H$57,MATCH(Resumen!Y87,'Costos Producción Febrero'!$B$34:$B$57,0))*AI87*G87,0)</f>
        <v>7103.3526828996137</v>
      </c>
      <c r="AE87" s="46">
        <f>IFERROR(INDEX('Costos Producción Febrero'!$I$34:$I$57,MATCH(Resumen!Y87,'Costos Producción Febrero'!$B$34:$B$57,0))*AI87*G87,0)</f>
        <v>491.75145207878188</v>
      </c>
      <c r="AF87" s="46">
        <f>IFERROR(INDEX('Costos Producción Febrero'!$J$34:$J$57,MATCH(Resumen!Y87,'Costos Producción Febrero'!$B$34:$B$57,0))*AI87*G87,0)</f>
        <v>11261.999920748709</v>
      </c>
      <c r="AG87" s="46">
        <f t="shared" si="105"/>
        <v>52628.349180950303</v>
      </c>
      <c r="AH87" s="46"/>
      <c r="AI87" s="46">
        <f>INDEX('Costos Producción Marzo'!$E$5:$E$37,MATCH(Resumen!Y87,'Costos Producción Marzo'!$A$5:$A$37,0))</f>
        <v>1949.1981178129743</v>
      </c>
      <c r="AJ87" s="46"/>
      <c r="AK87" s="45">
        <f t="shared" si="114"/>
        <v>-6728.349180950303</v>
      </c>
      <c r="AL87" s="94">
        <f t="shared" si="115"/>
        <v>-0.14658712812527894</v>
      </c>
      <c r="AM87" s="44">
        <f t="shared" si="116"/>
        <v>3100</v>
      </c>
      <c r="AN87" s="44">
        <f t="shared" si="117"/>
        <v>1955.4230769230769</v>
      </c>
      <c r="AO87" s="44">
        <f t="shared" si="118"/>
        <v>5055.4230769230771</v>
      </c>
      <c r="AP87" s="44">
        <f t="shared" si="122"/>
        <v>1005.4608527517522</v>
      </c>
      <c r="AQ87" s="44">
        <f t="shared" si="123"/>
        <v>1284</v>
      </c>
      <c r="AR87" s="45">
        <f t="shared" si="141"/>
        <v>-11505.233110625133</v>
      </c>
      <c r="AS87" s="94">
        <f t="shared" si="142"/>
        <v>-0.25065867343409876</v>
      </c>
      <c r="AT87" s="44">
        <f t="shared" si="143"/>
        <v>1976.5656766708842</v>
      </c>
      <c r="AU87" s="45">
        <f t="shared" si="144"/>
        <v>-13481.798787296017</v>
      </c>
      <c r="AV87" s="94">
        <f t="shared" si="145"/>
        <v>-0.29372110647703742</v>
      </c>
      <c r="AW87" s="44">
        <f t="shared" si="146"/>
        <v>1580.0491206619561</v>
      </c>
      <c r="AX87" s="45">
        <f t="shared" si="147"/>
        <v>-9925.1839899631777</v>
      </c>
      <c r="AY87" s="94">
        <f t="shared" si="148"/>
        <v>-0.2162349453151019</v>
      </c>
      <c r="BA87" s="10">
        <f t="shared" si="124"/>
        <v>1700</v>
      </c>
      <c r="BB87" s="10">
        <f t="shared" si="125"/>
        <v>-1250.7868564897481</v>
      </c>
      <c r="BC87" s="10">
        <f t="shared" si="126"/>
        <v>-263.08713640368939</v>
      </c>
      <c r="BD87" s="10">
        <f t="shared" si="127"/>
        <v>-18.213016743658589</v>
      </c>
      <c r="BE87" s="10">
        <f t="shared" si="128"/>
        <v>-417.11110817587809</v>
      </c>
      <c r="BF87" s="10">
        <f t="shared" si="129"/>
        <v>-1949.1981178129743</v>
      </c>
      <c r="BG87" s="10">
        <f t="shared" si="130"/>
        <v>-249.19811781297417</v>
      </c>
      <c r="BH87" s="10">
        <f t="shared" si="131"/>
        <v>-114.81481481481481</v>
      </c>
      <c r="BI87" s="10">
        <f t="shared" si="132"/>
        <v>-72.42307692307692</v>
      </c>
      <c r="BJ87" s="10">
        <f t="shared" si="133"/>
        <v>-187.23789173789174</v>
      </c>
      <c r="BK87" s="10">
        <f t="shared" si="134"/>
        <v>-37.239290842657489</v>
      </c>
      <c r="BL87" s="10">
        <f t="shared" si="135"/>
        <v>47.555555555555557</v>
      </c>
      <c r="BM87" s="10">
        <f t="shared" si="136"/>
        <v>-426.11974483796791</v>
      </c>
      <c r="BN87" s="10">
        <f t="shared" si="137"/>
        <v>-73.206136172995713</v>
      </c>
      <c r="BO87" s="10">
        <f t="shared" si="138"/>
        <v>-499.3258810109636</v>
      </c>
      <c r="BP87" s="10">
        <f t="shared" si="139"/>
        <v>58.520337802294669</v>
      </c>
      <c r="BQ87" s="10">
        <f t="shared" si="140"/>
        <v>-367.59940703567327</v>
      </c>
    </row>
    <row r="88" spans="2:69">
      <c r="B88" s="29" t="s">
        <v>8</v>
      </c>
      <c r="C88" s="29" t="s">
        <v>466</v>
      </c>
      <c r="D88" s="25" t="s">
        <v>495</v>
      </c>
      <c r="E88" s="100">
        <v>72</v>
      </c>
      <c r="F88" s="100">
        <v>46122</v>
      </c>
      <c r="G88" s="101">
        <v>27</v>
      </c>
      <c r="H88" s="194" t="s">
        <v>33</v>
      </c>
      <c r="I88" s="27" t="s">
        <v>132</v>
      </c>
      <c r="J88" s="7" t="s">
        <v>496</v>
      </c>
      <c r="K88" s="7" t="s">
        <v>171</v>
      </c>
      <c r="L88" s="7" t="s">
        <v>202</v>
      </c>
      <c r="M88" s="21" t="s">
        <v>491</v>
      </c>
      <c r="N88" s="7" t="s">
        <v>492</v>
      </c>
      <c r="O88" s="20">
        <v>1600</v>
      </c>
      <c r="P88" s="61">
        <v>43200</v>
      </c>
      <c r="Q88" s="20">
        <v>1485.1851851851852</v>
      </c>
      <c r="R88" s="30">
        <v>3100</v>
      </c>
      <c r="S88" s="32">
        <v>40100</v>
      </c>
      <c r="T88" s="65">
        <v>1</v>
      </c>
      <c r="U88" s="59" t="s">
        <v>562</v>
      </c>
      <c r="V88" s="148">
        <v>6448952410</v>
      </c>
      <c r="W88" s="62" t="s">
        <v>122</v>
      </c>
      <c r="X88" s="4"/>
      <c r="Y88" s="7">
        <v>10005721</v>
      </c>
      <c r="Z88" s="7"/>
      <c r="AA88" s="7"/>
      <c r="AB88" s="20">
        <f t="shared" si="104"/>
        <v>2095.2688776918831</v>
      </c>
      <c r="AC88" s="46">
        <f>IFERROR(INDEX('Costos Producción Febrero'!$G$34:$G$57,MATCH(Resumen!Y88,'Costos Producción Febrero'!$B$34:$B$57,0))*AI88*G88,0)</f>
        <v>34356.950695827487</v>
      </c>
      <c r="AD88" s="46">
        <f>IFERROR(INDEX('Costos Producción Febrero'!$H$34:$H$57,MATCH(Resumen!Y88,'Costos Producción Febrero'!$B$34:$B$57,0))*AI88*G88,0)</f>
        <v>10067.299843725581</v>
      </c>
      <c r="AE88" s="46">
        <f>IFERROR(INDEX('Costos Producción Febrero'!$I$34:$I$57,MATCH(Resumen!Y88,'Costos Producción Febrero'!$B$34:$B$57,0))*AI88*G88,0)</f>
        <v>616.74544882368332</v>
      </c>
      <c r="AF88" s="46">
        <f>IFERROR(INDEX('Costos Producción Febrero'!$J$34:$J$57,MATCH(Resumen!Y88,'Costos Producción Febrero'!$B$34:$B$57,0))*AI88*G88,0)</f>
        <v>11531.26370930409</v>
      </c>
      <c r="AG88" s="46">
        <f t="shared" si="105"/>
        <v>56572.259697680842</v>
      </c>
      <c r="AH88" s="46"/>
      <c r="AI88" s="46">
        <f>INDEX('Costos Producción Marzo'!$E$5:$E$37,MATCH(Resumen!Y88,'Costos Producción Marzo'!$A$5:$A$37,0))</f>
        <v>2095.2688776918831</v>
      </c>
      <c r="AJ88" s="46"/>
      <c r="AK88" s="45">
        <f t="shared" si="114"/>
        <v>-13372.259697680842</v>
      </c>
      <c r="AL88" s="94">
        <f t="shared" si="115"/>
        <v>-0.30954304855742687</v>
      </c>
      <c r="AM88" s="44">
        <f t="shared" si="116"/>
        <v>3100</v>
      </c>
      <c r="AN88" s="44">
        <f t="shared" si="117"/>
        <v>1955.4230769230769</v>
      </c>
      <c r="AO88" s="44">
        <f t="shared" si="118"/>
        <v>5055.4230769230771</v>
      </c>
      <c r="AP88" s="44">
        <f t="shared" si="122"/>
        <v>1005.4608527517522</v>
      </c>
      <c r="AQ88" s="44">
        <f t="shared" si="123"/>
        <v>1203</v>
      </c>
      <c r="AR88" s="45">
        <f t="shared" si="141"/>
        <v>-18230.143627355672</v>
      </c>
      <c r="AS88" s="94">
        <f t="shared" si="142"/>
        <v>-0.42199406544804796</v>
      </c>
      <c r="AT88" s="44">
        <f t="shared" si="143"/>
        <v>1976.5656766708842</v>
      </c>
      <c r="AU88" s="45">
        <f t="shared" si="144"/>
        <v>-20206.709304026557</v>
      </c>
      <c r="AV88" s="94">
        <f t="shared" si="145"/>
        <v>-0.46774790055617033</v>
      </c>
      <c r="AW88" s="44">
        <f t="shared" si="146"/>
        <v>1580.0491206619561</v>
      </c>
      <c r="AX88" s="45">
        <f t="shared" si="147"/>
        <v>-16650.094506693717</v>
      </c>
      <c r="AY88" s="94">
        <f t="shared" si="148"/>
        <v>-0.38541885432161382</v>
      </c>
      <c r="BA88" s="10">
        <f t="shared" si="124"/>
        <v>1600</v>
      </c>
      <c r="BB88" s="10">
        <f t="shared" si="125"/>
        <v>-1272.4796554010181</v>
      </c>
      <c r="BC88" s="10">
        <f t="shared" si="126"/>
        <v>-372.86295717502151</v>
      </c>
      <c r="BD88" s="10">
        <f t="shared" si="127"/>
        <v>-22.842424030506791</v>
      </c>
      <c r="BE88" s="10">
        <f t="shared" si="128"/>
        <v>-427.0838410853367</v>
      </c>
      <c r="BF88" s="10">
        <f t="shared" si="129"/>
        <v>-2095.2688776918831</v>
      </c>
      <c r="BG88" s="10">
        <f t="shared" si="130"/>
        <v>-495.26887769188301</v>
      </c>
      <c r="BH88" s="10">
        <f t="shared" si="131"/>
        <v>-114.81481481481481</v>
      </c>
      <c r="BI88" s="10">
        <f t="shared" si="132"/>
        <v>-72.42307692307692</v>
      </c>
      <c r="BJ88" s="10">
        <f t="shared" si="133"/>
        <v>-187.23789173789174</v>
      </c>
      <c r="BK88" s="10">
        <f t="shared" si="134"/>
        <v>-37.239290842657489</v>
      </c>
      <c r="BL88" s="10">
        <f t="shared" si="135"/>
        <v>44.555555555555557</v>
      </c>
      <c r="BM88" s="10">
        <f t="shared" si="136"/>
        <v>-675.19050471687672</v>
      </c>
      <c r="BN88" s="10">
        <f t="shared" si="137"/>
        <v>-73.206136172995713</v>
      </c>
      <c r="BO88" s="10">
        <f t="shared" si="138"/>
        <v>-748.39664088987251</v>
      </c>
      <c r="BP88" s="10">
        <f t="shared" si="139"/>
        <v>58.520337802294669</v>
      </c>
      <c r="BQ88" s="10">
        <f t="shared" si="140"/>
        <v>-616.67016691458207</v>
      </c>
    </row>
    <row r="89" spans="2:69">
      <c r="B89" s="29" t="s">
        <v>8</v>
      </c>
      <c r="C89" s="29" t="s">
        <v>466</v>
      </c>
      <c r="D89" s="25" t="s">
        <v>497</v>
      </c>
      <c r="E89" s="100">
        <v>72</v>
      </c>
      <c r="F89" s="100">
        <v>46122</v>
      </c>
      <c r="G89" s="101">
        <v>27</v>
      </c>
      <c r="H89" s="27" t="s">
        <v>498</v>
      </c>
      <c r="I89" s="27" t="s">
        <v>297</v>
      </c>
      <c r="J89" s="7"/>
      <c r="K89" s="7" t="s">
        <v>171</v>
      </c>
      <c r="L89" s="7" t="s">
        <v>202</v>
      </c>
      <c r="M89" s="21" t="s">
        <v>491</v>
      </c>
      <c r="N89" s="7" t="s">
        <v>492</v>
      </c>
      <c r="O89" s="20">
        <v>3500</v>
      </c>
      <c r="P89" s="61">
        <v>94500</v>
      </c>
      <c r="Q89" s="20">
        <v>3385.1851851851852</v>
      </c>
      <c r="R89" s="30">
        <v>3100</v>
      </c>
      <c r="S89" s="32">
        <v>91400</v>
      </c>
      <c r="T89" s="65">
        <v>1</v>
      </c>
      <c r="U89" s="59" t="s">
        <v>562</v>
      </c>
      <c r="V89" s="148">
        <v>6448952450</v>
      </c>
      <c r="W89" s="62" t="s">
        <v>122</v>
      </c>
      <c r="X89" s="4"/>
      <c r="Y89" s="7">
        <v>10009239</v>
      </c>
      <c r="Z89" s="7"/>
      <c r="AA89" s="7"/>
      <c r="AB89" s="20">
        <f t="shared" si="104"/>
        <v>2289.259911894274</v>
      </c>
      <c r="AC89" s="46">
        <f>IFERROR(INDEX('Costos Producción Febrero'!$G$34:$G$57,MATCH(Resumen!Y89,'Costos Producción Febrero'!$B$34:$B$57,0))*AI89*G89,0)</f>
        <v>30395.5535675012</v>
      </c>
      <c r="AD89" s="46">
        <f>IFERROR(INDEX('Costos Producción Febrero'!$H$34:$H$57,MATCH(Resumen!Y89,'Costos Producción Febrero'!$B$34:$B$57,0))*AI89*G89,0)</f>
        <v>19816.224055469786</v>
      </c>
      <c r="AE89" s="46">
        <f>IFERROR(INDEX('Costos Producción Febrero'!$I$34:$I$57,MATCH(Resumen!Y89,'Costos Producción Febrero'!$B$34:$B$57,0))*AI89*G89,0)</f>
        <v>362.90412912522686</v>
      </c>
      <c r="AF89" s="46">
        <f>IFERROR(INDEX('Costos Producción Febrero'!$J$34:$J$57,MATCH(Resumen!Y89,'Costos Producción Febrero'!$B$34:$B$57,0))*AI89*G89,0)</f>
        <v>11235.33586904918</v>
      </c>
      <c r="AG89" s="46">
        <f t="shared" si="105"/>
        <v>61810.017621145395</v>
      </c>
      <c r="AH89" s="46"/>
      <c r="AI89" s="46">
        <f>INDEX('Costos Producción Marzo'!$E$5:$E$37,MATCH(Resumen!Y89,'Costos Producción Marzo'!$A$5:$A$37,0))</f>
        <v>2289.2599118942735</v>
      </c>
      <c r="AJ89" s="46"/>
      <c r="AK89" s="45">
        <f t="shared" si="114"/>
        <v>32689.982378854605</v>
      </c>
      <c r="AL89" s="94">
        <f t="shared" si="115"/>
        <v>0.34592573945877891</v>
      </c>
      <c r="AM89" s="44">
        <f t="shared" si="116"/>
        <v>3100</v>
      </c>
      <c r="AN89" s="44">
        <f t="shared" si="117"/>
        <v>1955.4230769230769</v>
      </c>
      <c r="AO89" s="44">
        <f t="shared" si="118"/>
        <v>5055.4230769230771</v>
      </c>
      <c r="AP89" s="44">
        <f t="shared" si="122"/>
        <v>1005.4608527517522</v>
      </c>
      <c r="AQ89" s="44">
        <f t="shared" si="123"/>
        <v>2742</v>
      </c>
      <c r="AR89" s="45">
        <f t="shared" si="141"/>
        <v>29371.098449179775</v>
      </c>
      <c r="AS89" s="94">
        <f t="shared" si="142"/>
        <v>0.31080527459449497</v>
      </c>
      <c r="AT89" s="44">
        <f t="shared" si="143"/>
        <v>1976.5656766708842</v>
      </c>
      <c r="AU89" s="45">
        <f t="shared" si="144"/>
        <v>27394.53277250889</v>
      </c>
      <c r="AV89" s="94">
        <f t="shared" si="145"/>
        <v>0.28988923568792474</v>
      </c>
      <c r="AW89" s="44">
        <f t="shared" si="146"/>
        <v>1580.0491206619561</v>
      </c>
      <c r="AX89" s="45">
        <f t="shared" si="147"/>
        <v>30951.147569841731</v>
      </c>
      <c r="AY89" s="94">
        <f t="shared" si="148"/>
        <v>0.3275253711094363</v>
      </c>
      <c r="BA89" s="10">
        <f t="shared" si="124"/>
        <v>3500</v>
      </c>
      <c r="BB89" s="10">
        <f t="shared" si="125"/>
        <v>-1125.7612432407852</v>
      </c>
      <c r="BC89" s="10">
        <f t="shared" si="126"/>
        <v>-733.93422427665871</v>
      </c>
      <c r="BD89" s="10">
        <f t="shared" si="127"/>
        <v>-13.440893671304698</v>
      </c>
      <c r="BE89" s="10">
        <f t="shared" si="128"/>
        <v>-416.12355070552519</v>
      </c>
      <c r="BF89" s="10">
        <f t="shared" si="129"/>
        <v>-2289.259911894274</v>
      </c>
      <c r="BG89" s="10">
        <f t="shared" si="130"/>
        <v>1210.740088105726</v>
      </c>
      <c r="BH89" s="10">
        <f t="shared" si="131"/>
        <v>-114.81481481481481</v>
      </c>
      <c r="BI89" s="10">
        <f t="shared" si="132"/>
        <v>-72.42307692307692</v>
      </c>
      <c r="BJ89" s="10">
        <f t="shared" si="133"/>
        <v>-187.23789173789174</v>
      </c>
      <c r="BK89" s="10">
        <f t="shared" si="134"/>
        <v>-37.239290842657489</v>
      </c>
      <c r="BL89" s="10">
        <f t="shared" si="135"/>
        <v>101.55555555555556</v>
      </c>
      <c r="BM89" s="10">
        <f t="shared" si="136"/>
        <v>1087.8184610807325</v>
      </c>
      <c r="BN89" s="10">
        <f t="shared" si="137"/>
        <v>-73.206136172995713</v>
      </c>
      <c r="BO89" s="10">
        <f t="shared" si="138"/>
        <v>1014.6123249077367</v>
      </c>
      <c r="BP89" s="10">
        <f t="shared" si="139"/>
        <v>58.520337802294669</v>
      </c>
      <c r="BQ89" s="10">
        <f t="shared" si="140"/>
        <v>1146.338798883027</v>
      </c>
    </row>
    <row r="90" spans="2:69">
      <c r="B90" s="29" t="s">
        <v>8</v>
      </c>
      <c r="C90" s="29" t="s">
        <v>466</v>
      </c>
      <c r="D90" s="25" t="s">
        <v>499</v>
      </c>
      <c r="E90" s="100">
        <v>76</v>
      </c>
      <c r="F90" s="100">
        <v>46134</v>
      </c>
      <c r="G90" s="101">
        <v>24.2</v>
      </c>
      <c r="H90" s="27" t="s">
        <v>500</v>
      </c>
      <c r="I90" s="27" t="s">
        <v>501</v>
      </c>
      <c r="J90" s="7"/>
      <c r="K90" s="7" t="s">
        <v>171</v>
      </c>
      <c r="L90" s="7" t="s">
        <v>502</v>
      </c>
      <c r="M90" s="21" t="s">
        <v>45</v>
      </c>
      <c r="N90" s="7" t="s">
        <v>191</v>
      </c>
      <c r="O90" s="20">
        <v>1250</v>
      </c>
      <c r="P90" s="61">
        <v>30250</v>
      </c>
      <c r="Q90" s="20">
        <v>1108.0165289256199</v>
      </c>
      <c r="R90" s="30">
        <v>3436</v>
      </c>
      <c r="S90" s="32">
        <v>26814</v>
      </c>
      <c r="T90" s="65">
        <v>1</v>
      </c>
      <c r="U90" s="59" t="s">
        <v>563</v>
      </c>
      <c r="V90" s="148" t="s">
        <v>564</v>
      </c>
      <c r="W90" s="62" t="s">
        <v>182</v>
      </c>
      <c r="X90" s="4"/>
      <c r="Y90" s="7"/>
      <c r="Z90" s="7"/>
      <c r="AA90" s="7"/>
      <c r="AB90" s="20">
        <f t="shared" si="104"/>
        <v>0</v>
      </c>
      <c r="AC90" s="46">
        <f>IFERROR(INDEX('Costos Producción Febrero'!$G$34:$G$57,MATCH(Resumen!Y90,'Costos Producción Febrero'!$B$34:$B$57,0))*AI90*G90,0)</f>
        <v>0</v>
      </c>
      <c r="AD90" s="46">
        <f>IFERROR(INDEX('Costos Producción Febrero'!$H$34:$H$57,MATCH(Resumen!Y90,'Costos Producción Febrero'!$B$34:$B$57,0))*AI90*G90,0)</f>
        <v>0</v>
      </c>
      <c r="AE90" s="46">
        <f>IFERROR(INDEX('Costos Producción Febrero'!$I$34:$I$57,MATCH(Resumen!Y90,'Costos Producción Febrero'!$B$34:$B$57,0))*AI90*G90,0)</f>
        <v>0</v>
      </c>
      <c r="AF90" s="46">
        <f>IFERROR(INDEX('Costos Producción Febrero'!$J$34:$J$57,MATCH(Resumen!Y90,'Costos Producción Febrero'!$B$34:$B$57,0))*AI90*G90,0)</f>
        <v>0</v>
      </c>
      <c r="AG90" s="46">
        <f t="shared" si="105"/>
        <v>0</v>
      </c>
      <c r="AH90" s="46"/>
      <c r="AI90" s="46">
        <v>0</v>
      </c>
      <c r="AJ90" s="46"/>
      <c r="AK90" s="45">
        <f t="shared" si="114"/>
        <v>30250</v>
      </c>
      <c r="AL90" s="94">
        <f t="shared" si="115"/>
        <v>1</v>
      </c>
      <c r="AM90" s="44">
        <f t="shared" si="116"/>
        <v>3436</v>
      </c>
      <c r="AN90" s="44">
        <f t="shared" si="117"/>
        <v>1752.6384615384613</v>
      </c>
      <c r="AO90" s="44">
        <f t="shared" si="118"/>
        <v>5188.6384615384613</v>
      </c>
      <c r="AP90" s="44">
        <f t="shared" si="122"/>
        <v>901.19083839231121</v>
      </c>
      <c r="AQ90" s="44">
        <f t="shared" si="123"/>
        <v>804.42</v>
      </c>
      <c r="AR90" s="45">
        <f t="shared" si="141"/>
        <v>24964.590700069228</v>
      </c>
      <c r="AS90" s="94">
        <f t="shared" si="142"/>
        <v>0.82527572562212326</v>
      </c>
      <c r="AT90" s="44">
        <f t="shared" si="143"/>
        <v>1771.5884953864961</v>
      </c>
      <c r="AU90" s="45">
        <f t="shared" si="144"/>
        <v>23193.002204682733</v>
      </c>
      <c r="AV90" s="94">
        <f t="shared" si="145"/>
        <v>0.76671081668372665</v>
      </c>
      <c r="AW90" s="44">
        <f t="shared" si="146"/>
        <v>1416.192174815531</v>
      </c>
      <c r="AX90" s="45">
        <f t="shared" si="147"/>
        <v>26380.782874884761</v>
      </c>
      <c r="AY90" s="94">
        <f t="shared" si="148"/>
        <v>0.87209199586395902</v>
      </c>
      <c r="BA90" s="10">
        <f t="shared" si="124"/>
        <v>1250</v>
      </c>
      <c r="BB90" s="10">
        <f t="shared" si="125"/>
        <v>0</v>
      </c>
      <c r="BC90" s="10">
        <f t="shared" si="126"/>
        <v>0</v>
      </c>
      <c r="BD90" s="10">
        <f t="shared" si="127"/>
        <v>0</v>
      </c>
      <c r="BE90" s="10">
        <f t="shared" si="128"/>
        <v>0</v>
      </c>
      <c r="BF90" s="10">
        <f t="shared" si="129"/>
        <v>0</v>
      </c>
      <c r="BG90" s="10">
        <f t="shared" si="130"/>
        <v>1250</v>
      </c>
      <c r="BH90" s="10">
        <f t="shared" si="131"/>
        <v>-141.98347107438016</v>
      </c>
      <c r="BI90" s="10">
        <f t="shared" si="132"/>
        <v>-72.42307692307692</v>
      </c>
      <c r="BJ90" s="10">
        <f t="shared" si="133"/>
        <v>-214.4065479974571</v>
      </c>
      <c r="BK90" s="10">
        <f t="shared" si="134"/>
        <v>-37.239290842657489</v>
      </c>
      <c r="BL90" s="10">
        <f t="shared" si="135"/>
        <v>33.240495867768594</v>
      </c>
      <c r="BM90" s="10">
        <f t="shared" si="136"/>
        <v>1031.594657027654</v>
      </c>
      <c r="BN90" s="10">
        <f t="shared" si="137"/>
        <v>-73.206136172995713</v>
      </c>
      <c r="BO90" s="10">
        <f t="shared" si="138"/>
        <v>958.3885208546584</v>
      </c>
      <c r="BP90" s="10">
        <f t="shared" si="139"/>
        <v>58.520337802294669</v>
      </c>
      <c r="BQ90" s="10">
        <f t="shared" si="140"/>
        <v>1090.1149948299487</v>
      </c>
    </row>
    <row r="91" spans="2:69">
      <c r="B91" s="29" t="s">
        <v>8</v>
      </c>
      <c r="C91" s="29" t="s">
        <v>466</v>
      </c>
      <c r="D91" s="25" t="s">
        <v>503</v>
      </c>
      <c r="E91" s="100">
        <v>84</v>
      </c>
      <c r="F91" s="100">
        <v>46132</v>
      </c>
      <c r="G91" s="101">
        <v>81</v>
      </c>
      <c r="H91" s="194" t="s">
        <v>33</v>
      </c>
      <c r="I91" s="27" t="s">
        <v>132</v>
      </c>
      <c r="J91" s="7" t="s">
        <v>206</v>
      </c>
      <c r="K91" s="7" t="s">
        <v>171</v>
      </c>
      <c r="L91" s="7" t="s">
        <v>172</v>
      </c>
      <c r="M91" s="21" t="s">
        <v>504</v>
      </c>
      <c r="N91" s="7" t="s">
        <v>505</v>
      </c>
      <c r="O91" s="20">
        <v>2200</v>
      </c>
      <c r="P91" s="61">
        <v>178200</v>
      </c>
      <c r="Q91" s="20">
        <v>2099.962962962963</v>
      </c>
      <c r="R91" s="30">
        <v>8103</v>
      </c>
      <c r="S91" s="32">
        <v>170097</v>
      </c>
      <c r="T91" s="65">
        <v>3</v>
      </c>
      <c r="U91" s="59" t="s">
        <v>553</v>
      </c>
      <c r="V91" s="148" t="s">
        <v>565</v>
      </c>
      <c r="W91" s="62"/>
      <c r="X91" s="4"/>
      <c r="Y91" s="7">
        <v>10005721</v>
      </c>
      <c r="Z91" s="7"/>
      <c r="AA91" s="7"/>
      <c r="AB91" s="20">
        <f t="shared" si="104"/>
        <v>2095.2688776918831</v>
      </c>
      <c r="AC91" s="46">
        <f>IFERROR(INDEX('Costos Producción Febrero'!$G$34:$G$57,MATCH(Resumen!Y91,'Costos Producción Febrero'!$B$34:$B$57,0))*AI91*G91,0)</f>
        <v>103070.85208748248</v>
      </c>
      <c r="AD91" s="46">
        <f>IFERROR(INDEX('Costos Producción Febrero'!$H$34:$H$57,MATCH(Resumen!Y91,'Costos Producción Febrero'!$B$34:$B$57,0))*AI91*G91,0)</f>
        <v>30201.899531176743</v>
      </c>
      <c r="AE91" s="46">
        <f>IFERROR(INDEX('Costos Producción Febrero'!$I$34:$I$57,MATCH(Resumen!Y91,'Costos Producción Febrero'!$B$34:$B$57,0))*AI91*G91,0)</f>
        <v>1850.2363464710497</v>
      </c>
      <c r="AF91" s="46">
        <f>IFERROR(INDEX('Costos Producción Febrero'!$J$34:$J$57,MATCH(Resumen!Y91,'Costos Producción Febrero'!$B$34:$B$57,0))*AI91*G91,0)</f>
        <v>34593.791127912271</v>
      </c>
      <c r="AG91" s="46">
        <f t="shared" si="105"/>
        <v>169716.77909304251</v>
      </c>
      <c r="AH91" s="46"/>
      <c r="AI91" s="46">
        <f>INDEX('Costos Producción Marzo'!$E$5:$E$37,MATCH(Resumen!Y91,'Costos Producción Marzo'!$A$5:$A$37,0))</f>
        <v>2095.2688776918831</v>
      </c>
      <c r="AJ91" s="46"/>
      <c r="AK91" s="45">
        <f t="shared" si="114"/>
        <v>8483.2209069574892</v>
      </c>
      <c r="AL91" s="94">
        <f t="shared" si="115"/>
        <v>4.7605055594598704E-2</v>
      </c>
      <c r="AM91" s="44">
        <f t="shared" si="116"/>
        <v>8103</v>
      </c>
      <c r="AN91" s="44">
        <f t="shared" si="117"/>
        <v>5866.2692307692305</v>
      </c>
      <c r="AO91" s="44">
        <f t="shared" si="118"/>
        <v>13969.26923076923</v>
      </c>
      <c r="AP91" s="44">
        <f t="shared" si="122"/>
        <v>3016.3825582552568</v>
      </c>
      <c r="AQ91" s="44">
        <f t="shared" si="123"/>
        <v>5102.91</v>
      </c>
      <c r="AR91" s="45">
        <f t="shared" si="141"/>
        <v>-3399.5208820669977</v>
      </c>
      <c r="AS91" s="94">
        <f t="shared" si="142"/>
        <v>-1.9076997093529727E-2</v>
      </c>
      <c r="AT91" s="44">
        <f t="shared" si="143"/>
        <v>5929.6970300126532</v>
      </c>
      <c r="AU91" s="45">
        <f t="shared" si="144"/>
        <v>-9329.21791207965</v>
      </c>
      <c r="AV91" s="94">
        <f t="shared" si="145"/>
        <v>-5.2352513535800504E-2</v>
      </c>
      <c r="AW91" s="44">
        <f t="shared" si="146"/>
        <v>4740.147361985868</v>
      </c>
      <c r="AX91" s="45">
        <f t="shared" si="147"/>
        <v>1340.6264799188702</v>
      </c>
      <c r="AY91" s="94">
        <f t="shared" si="148"/>
        <v>7.5231564529678469E-3</v>
      </c>
      <c r="BA91" s="10">
        <f t="shared" si="124"/>
        <v>2200</v>
      </c>
      <c r="BB91" s="10">
        <f t="shared" si="125"/>
        <v>-1272.4796554010181</v>
      </c>
      <c r="BC91" s="10">
        <f t="shared" si="126"/>
        <v>-372.86295717502151</v>
      </c>
      <c r="BD91" s="10">
        <f t="shared" si="127"/>
        <v>-22.842424030506788</v>
      </c>
      <c r="BE91" s="10">
        <f t="shared" si="128"/>
        <v>-427.0838410853367</v>
      </c>
      <c r="BF91" s="10">
        <f t="shared" si="129"/>
        <v>-2095.2688776918831</v>
      </c>
      <c r="BG91" s="10">
        <f t="shared" si="130"/>
        <v>104.73112230811715</v>
      </c>
      <c r="BH91" s="10">
        <f t="shared" si="131"/>
        <v>-100.03703703703704</v>
      </c>
      <c r="BI91" s="10">
        <f t="shared" si="132"/>
        <v>-72.42307692307692</v>
      </c>
      <c r="BJ91" s="10">
        <f t="shared" si="133"/>
        <v>-172.46011396011394</v>
      </c>
      <c r="BK91" s="10">
        <f t="shared" si="134"/>
        <v>-37.239290842657489</v>
      </c>
      <c r="BL91" s="10">
        <f t="shared" si="135"/>
        <v>62.998888888888885</v>
      </c>
      <c r="BM91" s="10">
        <f t="shared" si="136"/>
        <v>-41.969393605765404</v>
      </c>
      <c r="BN91" s="10">
        <f t="shared" si="137"/>
        <v>-73.206136172995713</v>
      </c>
      <c r="BO91" s="10">
        <f t="shared" si="138"/>
        <v>-115.17552977876112</v>
      </c>
      <c r="BP91" s="10">
        <f t="shared" si="139"/>
        <v>58.520337802294669</v>
      </c>
      <c r="BQ91" s="10">
        <f t="shared" si="140"/>
        <v>16.550944196529262</v>
      </c>
    </row>
    <row r="92" spans="2:69">
      <c r="B92" s="29" t="s">
        <v>8</v>
      </c>
      <c r="C92" s="29" t="s">
        <v>466</v>
      </c>
      <c r="D92" s="25" t="s">
        <v>506</v>
      </c>
      <c r="E92" s="100">
        <v>87</v>
      </c>
      <c r="F92" s="100">
        <v>46140</v>
      </c>
      <c r="G92" s="101">
        <v>189</v>
      </c>
      <c r="H92" s="194" t="s">
        <v>33</v>
      </c>
      <c r="I92" s="27" t="s">
        <v>132</v>
      </c>
      <c r="J92" s="7" t="s">
        <v>507</v>
      </c>
      <c r="K92" s="7" t="s">
        <v>171</v>
      </c>
      <c r="L92" s="7" t="s">
        <v>172</v>
      </c>
      <c r="M92" s="21" t="s">
        <v>504</v>
      </c>
      <c r="N92" s="7" t="s">
        <v>505</v>
      </c>
      <c r="O92" s="20">
        <v>2100</v>
      </c>
      <c r="P92" s="61">
        <v>396900</v>
      </c>
      <c r="Q92" s="20">
        <v>2029.6296296296296</v>
      </c>
      <c r="R92" s="30">
        <v>13300</v>
      </c>
      <c r="S92" s="32">
        <v>383600</v>
      </c>
      <c r="T92" s="65">
        <v>4</v>
      </c>
      <c r="U92" s="59" t="s">
        <v>566</v>
      </c>
      <c r="V92" s="148">
        <v>6450842530</v>
      </c>
      <c r="W92" s="62"/>
      <c r="X92" s="4"/>
      <c r="Y92" s="7">
        <v>10005721</v>
      </c>
      <c r="Z92" s="7"/>
      <c r="AA92" s="7"/>
      <c r="AB92" s="20">
        <f t="shared" si="104"/>
        <v>2095.2688776918831</v>
      </c>
      <c r="AC92" s="46">
        <f>IFERROR(INDEX('Costos Producción Febrero'!$G$34:$G$57,MATCH(Resumen!Y92,'Costos Producción Febrero'!$B$34:$B$57,0))*AI92*G92,0)</f>
        <v>240498.65487079244</v>
      </c>
      <c r="AD92" s="46">
        <f>IFERROR(INDEX('Costos Producción Febrero'!$H$34:$H$57,MATCH(Resumen!Y92,'Costos Producción Febrero'!$B$34:$B$57,0))*AI92*G92,0)</f>
        <v>70471.09890607906</v>
      </c>
      <c r="AE92" s="46">
        <f>IFERROR(INDEX('Costos Producción Febrero'!$I$34:$I$57,MATCH(Resumen!Y92,'Costos Producción Febrero'!$B$34:$B$57,0))*AI92*G92,0)</f>
        <v>4317.218141765783</v>
      </c>
      <c r="AF92" s="46">
        <f>IFERROR(INDEX('Costos Producción Febrero'!$J$34:$J$57,MATCH(Resumen!Y92,'Costos Producción Febrero'!$B$34:$B$57,0))*AI92*G92,0)</f>
        <v>80718.845965128625</v>
      </c>
      <c r="AG92" s="46">
        <f t="shared" si="105"/>
        <v>396005.81788376591</v>
      </c>
      <c r="AH92" s="46"/>
      <c r="AI92" s="46">
        <f>INDEX('Costos Producción Marzo'!$E$5:$E$37,MATCH(Resumen!Y92,'Costos Producción Marzo'!$A$5:$A$37,0))</f>
        <v>2095.2688776918831</v>
      </c>
      <c r="AJ92" s="46"/>
      <c r="AK92" s="45">
        <f t="shared" si="114"/>
        <v>894.18211623409297</v>
      </c>
      <c r="AL92" s="94">
        <f t="shared" si="115"/>
        <v>2.2529153848175687E-3</v>
      </c>
      <c r="AM92" s="44">
        <f t="shared" si="116"/>
        <v>13300</v>
      </c>
      <c r="AN92" s="44">
        <f t="shared" si="117"/>
        <v>13687.961538461537</v>
      </c>
      <c r="AO92" s="44">
        <f t="shared" si="118"/>
        <v>26987.961538461539</v>
      </c>
      <c r="AP92" s="44">
        <f t="shared" si="122"/>
        <v>7038.2259692622656</v>
      </c>
      <c r="AQ92" s="44">
        <f t="shared" si="123"/>
        <v>11508</v>
      </c>
      <c r="AR92" s="45">
        <f t="shared" si="141"/>
        <v>-21624.005391489714</v>
      </c>
      <c r="AS92" s="94">
        <f t="shared" si="142"/>
        <v>-5.4482250923380486E-2</v>
      </c>
      <c r="AT92" s="44">
        <f t="shared" si="143"/>
        <v>13835.95973669619</v>
      </c>
      <c r="AU92" s="45">
        <f t="shared" si="144"/>
        <v>-35459.965128185904</v>
      </c>
      <c r="AV92" s="94">
        <f t="shared" si="145"/>
        <v>-8.934231576766416E-2</v>
      </c>
      <c r="AW92" s="44">
        <f t="shared" si="146"/>
        <v>11060.343844633693</v>
      </c>
      <c r="AX92" s="45">
        <f t="shared" si="147"/>
        <v>-10563.661546856021</v>
      </c>
      <c r="AY92" s="94">
        <f t="shared" si="148"/>
        <v>-2.661542339847826E-2</v>
      </c>
      <c r="BA92" s="10">
        <f t="shared" si="124"/>
        <v>2100</v>
      </c>
      <c r="BB92" s="10">
        <f t="shared" si="125"/>
        <v>-1272.4796554010181</v>
      </c>
      <c r="BC92" s="10">
        <f t="shared" si="126"/>
        <v>-372.86295717502151</v>
      </c>
      <c r="BD92" s="10">
        <f t="shared" si="127"/>
        <v>-22.842424030506788</v>
      </c>
      <c r="BE92" s="10">
        <f t="shared" si="128"/>
        <v>-427.08384108533664</v>
      </c>
      <c r="BF92" s="10">
        <f t="shared" si="129"/>
        <v>-2095.2688776918831</v>
      </c>
      <c r="BG92" s="10">
        <f t="shared" si="130"/>
        <v>4.7311223081168938</v>
      </c>
      <c r="BH92" s="10">
        <f t="shared" si="131"/>
        <v>-70.370370370370367</v>
      </c>
      <c r="BI92" s="10">
        <f t="shared" si="132"/>
        <v>-72.42307692307692</v>
      </c>
      <c r="BJ92" s="10">
        <f t="shared" si="133"/>
        <v>-142.79344729344729</v>
      </c>
      <c r="BK92" s="10">
        <f t="shared" si="134"/>
        <v>-37.239290842657489</v>
      </c>
      <c r="BL92" s="10">
        <f t="shared" si="135"/>
        <v>60.888888888888886</v>
      </c>
      <c r="BM92" s="10">
        <f t="shared" si="136"/>
        <v>-114.41272693909902</v>
      </c>
      <c r="BN92" s="10">
        <f t="shared" si="137"/>
        <v>-73.206136172995713</v>
      </c>
      <c r="BO92" s="10">
        <f t="shared" si="138"/>
        <v>-187.61886311209474</v>
      </c>
      <c r="BP92" s="10">
        <f t="shared" si="139"/>
        <v>58.520337802294669</v>
      </c>
      <c r="BQ92" s="10">
        <f t="shared" si="140"/>
        <v>-55.892389136804347</v>
      </c>
    </row>
    <row r="93" spans="2:69">
      <c r="B93" s="29" t="s">
        <v>8</v>
      </c>
      <c r="C93" s="29" t="s">
        <v>466</v>
      </c>
      <c r="D93" s="25" t="s">
        <v>508</v>
      </c>
      <c r="E93" s="100">
        <v>88</v>
      </c>
      <c r="F93" s="100">
        <v>46129</v>
      </c>
      <c r="G93" s="101">
        <v>162</v>
      </c>
      <c r="H93" s="27" t="s">
        <v>498</v>
      </c>
      <c r="I93" s="27" t="s">
        <v>201</v>
      </c>
      <c r="J93" s="7"/>
      <c r="K93" s="7" t="s">
        <v>295</v>
      </c>
      <c r="L93" s="7" t="s">
        <v>172</v>
      </c>
      <c r="M93" s="21" t="s">
        <v>47</v>
      </c>
      <c r="N93" s="7" t="s">
        <v>191</v>
      </c>
      <c r="O93" s="20">
        <v>3900</v>
      </c>
      <c r="P93" s="61">
        <v>631800</v>
      </c>
      <c r="Q93" s="20">
        <v>3792.5925925925926</v>
      </c>
      <c r="R93" s="30">
        <v>17400</v>
      </c>
      <c r="S93" s="32">
        <v>614400</v>
      </c>
      <c r="T93" s="65">
        <v>6</v>
      </c>
      <c r="U93" s="59" t="s">
        <v>561</v>
      </c>
      <c r="V93" s="148">
        <v>6450013900</v>
      </c>
      <c r="W93" s="62"/>
      <c r="X93" s="4"/>
      <c r="Y93" s="7">
        <v>10009239</v>
      </c>
      <c r="Z93" s="7"/>
      <c r="AA93" s="7"/>
      <c r="AB93" s="20">
        <f t="shared" si="104"/>
        <v>2289.2599118942735</v>
      </c>
      <c r="AC93" s="46">
        <f>IFERROR(INDEX('Costos Producción Febrero'!$G$34:$G$57,MATCH(Resumen!Y93,'Costos Producción Febrero'!$B$34:$B$57,0))*AI93*G93,0)</f>
        <v>182373.32140500721</v>
      </c>
      <c r="AD93" s="46">
        <f>IFERROR(INDEX('Costos Producción Febrero'!$H$34:$H$57,MATCH(Resumen!Y93,'Costos Producción Febrero'!$B$34:$B$57,0))*AI93*G93,0)</f>
        <v>118897.34433281871</v>
      </c>
      <c r="AE93" s="46">
        <f>IFERROR(INDEX('Costos Producción Febrero'!$I$34:$I$57,MATCH(Resumen!Y93,'Costos Producción Febrero'!$B$34:$B$57,0))*AI93*G93,0)</f>
        <v>2177.4247747513609</v>
      </c>
      <c r="AF93" s="46">
        <f>IFERROR(INDEX('Costos Producción Febrero'!$J$34:$J$57,MATCH(Resumen!Y93,'Costos Producción Febrero'!$B$34:$B$57,0))*AI93*G93,0)</f>
        <v>67412.015214295083</v>
      </c>
      <c r="AG93" s="46">
        <f t="shared" si="105"/>
        <v>370860.10572687234</v>
      </c>
      <c r="AH93" s="46"/>
      <c r="AI93" s="46">
        <f>INDEX('Costos Producción Marzo'!$E$5:$E$37,MATCH(Resumen!Y93,'Costos Producción Marzo'!$A$5:$A$37,0))</f>
        <v>2289.2599118942735</v>
      </c>
      <c r="AJ93" s="46"/>
      <c r="AK93" s="45">
        <f t="shared" si="114"/>
        <v>260939.89427312766</v>
      </c>
      <c r="AL93" s="94">
        <f t="shared" si="115"/>
        <v>0.41301027900146831</v>
      </c>
      <c r="AM93" s="44">
        <f t="shared" si="116"/>
        <v>17400</v>
      </c>
      <c r="AN93" s="44">
        <f t="shared" si="117"/>
        <v>11732.538461538461</v>
      </c>
      <c r="AO93" s="44">
        <f t="shared" si="118"/>
        <v>29132.538461538461</v>
      </c>
      <c r="AP93" s="44">
        <f t="shared" si="122"/>
        <v>6032.7651165105135</v>
      </c>
      <c r="AQ93" s="44">
        <f t="shared" si="123"/>
        <v>18432</v>
      </c>
      <c r="AR93" s="45">
        <f t="shared" si="141"/>
        <v>244206.59069507869</v>
      </c>
      <c r="AS93" s="94">
        <f t="shared" si="142"/>
        <v>0.38652515146419547</v>
      </c>
      <c r="AT93" s="44">
        <f t="shared" si="143"/>
        <v>11859.394060025306</v>
      </c>
      <c r="AU93" s="45">
        <f t="shared" si="144"/>
        <v>232347.19663505338</v>
      </c>
      <c r="AV93" s="94">
        <f t="shared" si="145"/>
        <v>0.36775434731727347</v>
      </c>
      <c r="AW93" s="44">
        <f t="shared" si="146"/>
        <v>9480.2947239717359</v>
      </c>
      <c r="AX93" s="45">
        <f t="shared" si="147"/>
        <v>253686.88541905044</v>
      </c>
      <c r="AY93" s="94">
        <f t="shared" si="148"/>
        <v>0.40153036628529665</v>
      </c>
      <c r="BA93" s="10">
        <f t="shared" si="124"/>
        <v>3900</v>
      </c>
      <c r="BB93" s="10">
        <f t="shared" si="125"/>
        <v>-1125.7612432407852</v>
      </c>
      <c r="BC93" s="10">
        <f t="shared" si="126"/>
        <v>-733.93422427665871</v>
      </c>
      <c r="BD93" s="10">
        <f t="shared" si="127"/>
        <v>-13.440893671304696</v>
      </c>
      <c r="BE93" s="10">
        <f t="shared" si="128"/>
        <v>-416.12355070552519</v>
      </c>
      <c r="BF93" s="10">
        <f t="shared" si="129"/>
        <v>-2289.2599118942735</v>
      </c>
      <c r="BG93" s="10">
        <f t="shared" si="130"/>
        <v>1610.7400881057263</v>
      </c>
      <c r="BH93" s="10">
        <f t="shared" si="131"/>
        <v>-107.4074074074074</v>
      </c>
      <c r="BI93" s="10">
        <f t="shared" si="132"/>
        <v>-72.42307692307692</v>
      </c>
      <c r="BJ93" s="10">
        <f t="shared" si="133"/>
        <v>-179.83048433048432</v>
      </c>
      <c r="BK93" s="10">
        <f t="shared" si="134"/>
        <v>-37.239290842657489</v>
      </c>
      <c r="BL93" s="10">
        <f t="shared" si="135"/>
        <v>113.77777777777777</v>
      </c>
      <c r="BM93" s="10">
        <f t="shared" si="136"/>
        <v>1507.4480907103623</v>
      </c>
      <c r="BN93" s="10">
        <f t="shared" si="137"/>
        <v>-73.206136172995713</v>
      </c>
      <c r="BO93" s="10">
        <f t="shared" si="138"/>
        <v>1434.2419545373666</v>
      </c>
      <c r="BP93" s="10">
        <f t="shared" si="139"/>
        <v>58.520337802294669</v>
      </c>
      <c r="BQ93" s="10">
        <f t="shared" si="140"/>
        <v>1565.9684285126571</v>
      </c>
    </row>
    <row r="94" spans="2:69">
      <c r="B94" s="29" t="s">
        <v>8</v>
      </c>
      <c r="C94" s="29" t="s">
        <v>466</v>
      </c>
      <c r="D94" s="25" t="s">
        <v>509</v>
      </c>
      <c r="E94" s="100">
        <v>88</v>
      </c>
      <c r="F94" s="100">
        <v>46134</v>
      </c>
      <c r="G94" s="101">
        <v>27</v>
      </c>
      <c r="H94" s="27" t="s">
        <v>498</v>
      </c>
      <c r="I94" s="27" t="s">
        <v>201</v>
      </c>
      <c r="J94" s="7"/>
      <c r="K94" s="7" t="s">
        <v>295</v>
      </c>
      <c r="L94" s="7" t="s">
        <v>172</v>
      </c>
      <c r="M94" s="21" t="s">
        <v>47</v>
      </c>
      <c r="N94" s="7" t="s">
        <v>191</v>
      </c>
      <c r="O94" s="20">
        <v>3900</v>
      </c>
      <c r="P94" s="61">
        <v>105300</v>
      </c>
      <c r="Q94" s="20">
        <v>3799.962962962963</v>
      </c>
      <c r="R94" s="30">
        <v>2701</v>
      </c>
      <c r="S94" s="32">
        <v>102599</v>
      </c>
      <c r="T94" s="65">
        <v>1</v>
      </c>
      <c r="U94" s="59" t="s">
        <v>567</v>
      </c>
      <c r="V94" s="148" t="s">
        <v>568</v>
      </c>
      <c r="W94" s="62"/>
      <c r="X94" s="4"/>
      <c r="Y94" s="7">
        <v>10009239</v>
      </c>
      <c r="Z94" s="7"/>
      <c r="AA94" s="7"/>
      <c r="AB94" s="20">
        <f t="shared" si="104"/>
        <v>2289.259911894274</v>
      </c>
      <c r="AC94" s="46">
        <f>IFERROR(INDEX('Costos Producción Febrero'!$G$34:$G$57,MATCH(Resumen!Y94,'Costos Producción Febrero'!$B$34:$B$57,0))*AI94*G94,0)</f>
        <v>30395.5535675012</v>
      </c>
      <c r="AD94" s="46">
        <f>IFERROR(INDEX('Costos Producción Febrero'!$H$34:$H$57,MATCH(Resumen!Y94,'Costos Producción Febrero'!$B$34:$B$57,0))*AI94*G94,0)</f>
        <v>19816.224055469786</v>
      </c>
      <c r="AE94" s="46">
        <f>IFERROR(INDEX('Costos Producción Febrero'!$I$34:$I$57,MATCH(Resumen!Y94,'Costos Producción Febrero'!$B$34:$B$57,0))*AI94*G94,0)</f>
        <v>362.90412912522686</v>
      </c>
      <c r="AF94" s="46">
        <f>IFERROR(INDEX('Costos Producción Febrero'!$J$34:$J$57,MATCH(Resumen!Y94,'Costos Producción Febrero'!$B$34:$B$57,0))*AI94*G94,0)</f>
        <v>11235.33586904918</v>
      </c>
      <c r="AG94" s="46">
        <f t="shared" si="105"/>
        <v>61810.017621145395</v>
      </c>
      <c r="AH94" s="46"/>
      <c r="AI94" s="46">
        <f>INDEX('Costos Producción Marzo'!$E$5:$E$37,MATCH(Resumen!Y94,'Costos Producción Marzo'!$A$5:$A$37,0))</f>
        <v>2289.2599118942735</v>
      </c>
      <c r="AJ94" s="46"/>
      <c r="AK94" s="45">
        <f t="shared" si="114"/>
        <v>43489.982378854605</v>
      </c>
      <c r="AL94" s="94">
        <f t="shared" si="115"/>
        <v>0.41301027900146825</v>
      </c>
      <c r="AM94" s="44">
        <f t="shared" si="116"/>
        <v>2701</v>
      </c>
      <c r="AN94" s="44">
        <f t="shared" si="117"/>
        <v>1955.4230769230769</v>
      </c>
      <c r="AO94" s="44">
        <f t="shared" si="118"/>
        <v>4656.4230769230771</v>
      </c>
      <c r="AP94" s="44">
        <f t="shared" si="122"/>
        <v>1005.4608527517522</v>
      </c>
      <c r="AQ94" s="44">
        <f t="shared" si="123"/>
        <v>3077.97</v>
      </c>
      <c r="AR94" s="45">
        <f t="shared" si="141"/>
        <v>40906.068449179773</v>
      </c>
      <c r="AS94" s="94">
        <f t="shared" si="142"/>
        <v>0.38847168517739578</v>
      </c>
      <c r="AT94" s="44">
        <f t="shared" si="143"/>
        <v>1976.5656766708842</v>
      </c>
      <c r="AU94" s="45">
        <f t="shared" si="144"/>
        <v>38929.502772508888</v>
      </c>
      <c r="AV94" s="94">
        <f t="shared" si="145"/>
        <v>0.36970088103047377</v>
      </c>
      <c r="AW94" s="44">
        <f t="shared" si="146"/>
        <v>1580.0491206619561</v>
      </c>
      <c r="AX94" s="45">
        <f t="shared" si="147"/>
        <v>42486.117569841728</v>
      </c>
      <c r="AY94" s="94">
        <f t="shared" si="148"/>
        <v>0.40347689999849695</v>
      </c>
      <c r="BA94" s="10">
        <f t="shared" si="124"/>
        <v>3900</v>
      </c>
      <c r="BB94" s="10">
        <f t="shared" si="125"/>
        <v>-1125.7612432407852</v>
      </c>
      <c r="BC94" s="10">
        <f t="shared" si="126"/>
        <v>-733.93422427665871</v>
      </c>
      <c r="BD94" s="10">
        <f t="shared" si="127"/>
        <v>-13.440893671304698</v>
      </c>
      <c r="BE94" s="10">
        <f t="shared" si="128"/>
        <v>-416.12355070552519</v>
      </c>
      <c r="BF94" s="10">
        <f t="shared" si="129"/>
        <v>-2289.259911894274</v>
      </c>
      <c r="BG94" s="10">
        <f t="shared" si="130"/>
        <v>1610.740088105726</v>
      </c>
      <c r="BH94" s="10">
        <f t="shared" si="131"/>
        <v>-100.03703703703704</v>
      </c>
      <c r="BI94" s="10">
        <f t="shared" si="132"/>
        <v>-72.42307692307692</v>
      </c>
      <c r="BJ94" s="10">
        <f t="shared" si="133"/>
        <v>-172.46011396011397</v>
      </c>
      <c r="BK94" s="10">
        <f t="shared" si="134"/>
        <v>-37.239290842657489</v>
      </c>
      <c r="BL94" s="10">
        <f t="shared" si="135"/>
        <v>113.99888888888889</v>
      </c>
      <c r="BM94" s="10">
        <f t="shared" si="136"/>
        <v>1515.0395721918435</v>
      </c>
      <c r="BN94" s="10">
        <f t="shared" si="137"/>
        <v>-73.206136172995713</v>
      </c>
      <c r="BO94" s="10">
        <f t="shared" si="138"/>
        <v>1441.8334360188476</v>
      </c>
      <c r="BP94" s="10">
        <f t="shared" si="139"/>
        <v>58.520337802294669</v>
      </c>
      <c r="BQ94" s="10">
        <f t="shared" si="140"/>
        <v>1573.559909994138</v>
      </c>
    </row>
    <row r="95" spans="2:69">
      <c r="B95" s="29" t="s">
        <v>8</v>
      </c>
      <c r="C95" s="29" t="s">
        <v>466</v>
      </c>
      <c r="D95" s="25" t="s">
        <v>510</v>
      </c>
      <c r="E95" s="100">
        <v>88</v>
      </c>
      <c r="F95" s="100">
        <v>46136</v>
      </c>
      <c r="G95" s="101">
        <v>26.46</v>
      </c>
      <c r="H95" s="27" t="s">
        <v>35</v>
      </c>
      <c r="I95" s="27" t="s">
        <v>489</v>
      </c>
      <c r="J95" s="7"/>
      <c r="K95" s="7" t="s">
        <v>171</v>
      </c>
      <c r="L95" s="7" t="s">
        <v>172</v>
      </c>
      <c r="M95" s="21" t="s">
        <v>511</v>
      </c>
      <c r="N95" s="7" t="s">
        <v>512</v>
      </c>
      <c r="O95" s="20">
        <v>4200</v>
      </c>
      <c r="P95" s="61">
        <v>111132</v>
      </c>
      <c r="Q95" s="20">
        <v>4074.3386243386244</v>
      </c>
      <c r="R95" s="30">
        <v>3325</v>
      </c>
      <c r="S95" s="32">
        <v>107807</v>
      </c>
      <c r="T95" s="65">
        <v>1</v>
      </c>
      <c r="U95" s="59" t="s">
        <v>569</v>
      </c>
      <c r="V95" s="148">
        <v>6451450280</v>
      </c>
      <c r="W95" s="62" t="s">
        <v>122</v>
      </c>
      <c r="X95" s="4"/>
      <c r="Y95" s="7">
        <v>10009331</v>
      </c>
      <c r="Z95" s="7"/>
      <c r="AA95" s="7"/>
      <c r="AB95" s="20">
        <f t="shared" si="104"/>
        <v>2445.4442541856924</v>
      </c>
      <c r="AC95" s="46">
        <f>IFERROR(INDEX('Costos Producción Febrero'!$G$34:$G$57,MATCH(Resumen!Y95,'Costos Producción Febrero'!$B$34:$B$57,0))*AI95*G95,0)</f>
        <v>36923.236494687044</v>
      </c>
      <c r="AD95" s="46">
        <f>IFERROR(INDEX('Costos Producción Febrero'!$H$34:$H$57,MATCH(Resumen!Y95,'Costos Producción Febrero'!$B$34:$B$57,0))*AI95*G95,0)</f>
        <v>14648.700164915783</v>
      </c>
      <c r="AE95" s="46">
        <f>IFERROR(INDEX('Costos Producción Febrero'!$I$34:$I$57,MATCH(Resumen!Y95,'Costos Producción Febrero'!$B$34:$B$57,0))*AI95*G95,0)</f>
        <v>670.90350042256239</v>
      </c>
      <c r="AF95" s="46">
        <f>IFERROR(INDEX('Costos Producción Febrero'!$J$34:$J$57,MATCH(Resumen!Y95,'Costos Producción Febrero'!$B$34:$B$57,0))*AI95*G95,0)</f>
        <v>12463.614805728041</v>
      </c>
      <c r="AG95" s="46">
        <f t="shared" si="105"/>
        <v>64706.454965753423</v>
      </c>
      <c r="AH95" s="46"/>
      <c r="AI95" s="46">
        <f>INDEX('Costos Producción Marzo'!$E$5:$E$37,MATCH(Resumen!Y95,'Costos Producción Marzo'!$A$5:$A$37,0))</f>
        <v>2445.4442541856924</v>
      </c>
      <c r="AJ95" s="46"/>
      <c r="AK95" s="45">
        <f t="shared" si="114"/>
        <v>46425.545034246577</v>
      </c>
      <c r="AL95" s="94">
        <f t="shared" si="115"/>
        <v>0.41775136805102558</v>
      </c>
      <c r="AM95" s="44">
        <f t="shared" si="116"/>
        <v>3325</v>
      </c>
      <c r="AN95" s="44">
        <f t="shared" si="117"/>
        <v>1916.3146153846153</v>
      </c>
      <c r="AO95" s="44">
        <f t="shared" si="118"/>
        <v>5241.3146153846155</v>
      </c>
      <c r="AP95" s="44">
        <f t="shared" si="122"/>
        <v>985.35163569671715</v>
      </c>
      <c r="AQ95" s="44">
        <f t="shared" si="123"/>
        <v>3234.21</v>
      </c>
      <c r="AR95" s="45">
        <f t="shared" si="141"/>
        <v>43433.088783165244</v>
      </c>
      <c r="AS95" s="94">
        <f t="shared" si="142"/>
        <v>0.390824324075561</v>
      </c>
      <c r="AT95" s="44">
        <f t="shared" si="143"/>
        <v>1937.0343631374667</v>
      </c>
      <c r="AU95" s="45">
        <f t="shared" si="144"/>
        <v>41496.05442002778</v>
      </c>
      <c r="AV95" s="94">
        <f t="shared" si="145"/>
        <v>0.3733942916534192</v>
      </c>
      <c r="AW95" s="44">
        <f t="shared" si="146"/>
        <v>1548.448138248717</v>
      </c>
      <c r="AX95" s="45">
        <f t="shared" si="147"/>
        <v>44981.536921413957</v>
      </c>
      <c r="AY95" s="94">
        <f t="shared" si="148"/>
        <v>0.40475773783801205</v>
      </c>
      <c r="BA95" s="10">
        <f t="shared" si="124"/>
        <v>4200</v>
      </c>
      <c r="BB95" s="10">
        <f t="shared" si="125"/>
        <v>-1395.4359975316343</v>
      </c>
      <c r="BC95" s="10">
        <f t="shared" si="126"/>
        <v>-553.61678627799631</v>
      </c>
      <c r="BD95" s="10">
        <f t="shared" si="127"/>
        <v>-25.355385503498201</v>
      </c>
      <c r="BE95" s="10">
        <f t="shared" si="128"/>
        <v>-471.03608487256389</v>
      </c>
      <c r="BF95" s="10">
        <f t="shared" si="129"/>
        <v>-2445.4442541856924</v>
      </c>
      <c r="BG95" s="10">
        <f t="shared" si="130"/>
        <v>1754.5557458143076</v>
      </c>
      <c r="BH95" s="10">
        <f t="shared" si="131"/>
        <v>-125.66137566137566</v>
      </c>
      <c r="BI95" s="10">
        <f t="shared" si="132"/>
        <v>-72.42307692307692</v>
      </c>
      <c r="BJ95" s="10">
        <f t="shared" si="133"/>
        <v>-198.08445258445258</v>
      </c>
      <c r="BK95" s="10">
        <f t="shared" si="134"/>
        <v>-37.239290842657489</v>
      </c>
      <c r="BL95" s="10">
        <f t="shared" si="135"/>
        <v>122.23015873015873</v>
      </c>
      <c r="BM95" s="10">
        <f t="shared" si="136"/>
        <v>1641.4621611173561</v>
      </c>
      <c r="BN95" s="10">
        <f t="shared" si="137"/>
        <v>-73.206136172995713</v>
      </c>
      <c r="BO95" s="10">
        <f t="shared" si="138"/>
        <v>1568.2560249443604</v>
      </c>
      <c r="BP95" s="10">
        <f t="shared" si="139"/>
        <v>58.520337802294669</v>
      </c>
      <c r="BQ95" s="10">
        <f t="shared" si="140"/>
        <v>1699.9824989196507</v>
      </c>
    </row>
    <row r="96" spans="2:69">
      <c r="B96" s="29" t="s">
        <v>8</v>
      </c>
      <c r="C96" s="29" t="s">
        <v>466</v>
      </c>
      <c r="D96" s="25" t="s">
        <v>513</v>
      </c>
      <c r="E96" s="100">
        <v>91</v>
      </c>
      <c r="F96" s="100">
        <v>46136</v>
      </c>
      <c r="G96" s="101">
        <v>54</v>
      </c>
      <c r="H96" s="193" t="s">
        <v>31</v>
      </c>
      <c r="I96" s="27" t="s">
        <v>107</v>
      </c>
      <c r="J96" s="7" t="s">
        <v>293</v>
      </c>
      <c r="K96" s="7" t="s">
        <v>171</v>
      </c>
      <c r="L96" s="7" t="s">
        <v>202</v>
      </c>
      <c r="M96" s="21" t="s">
        <v>58</v>
      </c>
      <c r="N96" s="7" t="s">
        <v>514</v>
      </c>
      <c r="O96" s="20">
        <v>2700</v>
      </c>
      <c r="P96" s="61">
        <v>145800</v>
      </c>
      <c r="Q96" s="20">
        <v>2576.8518518518517</v>
      </c>
      <c r="R96" s="30">
        <v>6650</v>
      </c>
      <c r="S96" s="32">
        <v>139150</v>
      </c>
      <c r="T96" s="65">
        <v>2</v>
      </c>
      <c r="U96" s="59" t="s">
        <v>569</v>
      </c>
      <c r="V96" s="148">
        <v>6450494060</v>
      </c>
      <c r="W96" s="62" t="s">
        <v>122</v>
      </c>
      <c r="X96" s="4"/>
      <c r="Y96" s="7">
        <v>10007162</v>
      </c>
      <c r="Z96" s="7"/>
      <c r="AA96" s="7"/>
      <c r="AB96" s="20">
        <f t="shared" si="104"/>
        <v>2018.1792863359442</v>
      </c>
      <c r="AC96" s="46">
        <f>IFERROR(INDEX('Costos Producción Febrero'!$G$34:$G$57,MATCH(Resumen!Y96,'Costos Producción Febrero'!$B$34:$B$57,0))*AI96*G96,0)</f>
        <v>66822.189033747985</v>
      </c>
      <c r="AD96" s="46">
        <f>IFERROR(INDEX('Costos Producción Febrero'!$H$34:$H$57,MATCH(Resumen!Y96,'Costos Producción Febrero'!$B$34:$B$57,0))*AI96*G96,0)</f>
        <v>18972.152053381189</v>
      </c>
      <c r="AE96" s="46">
        <f>IFERROR(INDEX('Costos Producción Febrero'!$I$34:$I$57,MATCH(Resumen!Y96,'Costos Producción Febrero'!$B$34:$B$57,0))*AI96*G96,0)</f>
        <v>1010.3244933871891</v>
      </c>
      <c r="AF96" s="46">
        <f>IFERROR(INDEX('Costos Producción Febrero'!$J$34:$J$57,MATCH(Resumen!Y96,'Costos Producción Febrero'!$B$34:$B$57,0))*AI96*G96,0)</f>
        <v>22177.015881624618</v>
      </c>
      <c r="AG96" s="46">
        <f t="shared" si="105"/>
        <v>108981.68146214099</v>
      </c>
      <c r="AH96" s="46"/>
      <c r="AI96" s="46">
        <f>INDEX('Costos Producción Marzo'!$E$5:$E$37,MATCH(Resumen!Y96,'Costos Producción Marzo'!$A$5:$A$37,0))</f>
        <v>2018.1792863359442</v>
      </c>
      <c r="AJ96" s="46"/>
      <c r="AK96" s="45">
        <f t="shared" si="114"/>
        <v>36818.318537859013</v>
      </c>
      <c r="AL96" s="94">
        <f t="shared" si="115"/>
        <v>0.25252619024594658</v>
      </c>
      <c r="AM96" s="44">
        <f t="shared" si="116"/>
        <v>6650</v>
      </c>
      <c r="AN96" s="44">
        <f t="shared" si="117"/>
        <v>3910.8461538461538</v>
      </c>
      <c r="AO96" s="44">
        <f t="shared" si="118"/>
        <v>10560.846153846154</v>
      </c>
      <c r="AP96" s="44">
        <f t="shared" si="122"/>
        <v>2010.9217055035044</v>
      </c>
      <c r="AQ96" s="44">
        <f t="shared" si="123"/>
        <v>4174.5</v>
      </c>
      <c r="AR96" s="45">
        <f t="shared" si="141"/>
        <v>28421.050678509353</v>
      </c>
      <c r="AS96" s="94">
        <f t="shared" si="142"/>
        <v>0.19493176048360325</v>
      </c>
      <c r="AT96" s="44">
        <f t="shared" si="143"/>
        <v>3953.1313533417683</v>
      </c>
      <c r="AU96" s="45">
        <f t="shared" si="144"/>
        <v>24467.919325167586</v>
      </c>
      <c r="AV96" s="94">
        <f t="shared" si="145"/>
        <v>0.16781837671582706</v>
      </c>
      <c r="AW96" s="44">
        <f t="shared" si="146"/>
        <v>3160.0982413239121</v>
      </c>
      <c r="AX96" s="45">
        <f t="shared" si="147"/>
        <v>31581.148919833264</v>
      </c>
      <c r="AY96" s="94">
        <f t="shared" si="148"/>
        <v>0.2166059596696383</v>
      </c>
      <c r="BA96" s="10">
        <f t="shared" si="124"/>
        <v>2700</v>
      </c>
      <c r="BB96" s="10">
        <f t="shared" si="125"/>
        <v>-1237.4479450694071</v>
      </c>
      <c r="BC96" s="10">
        <f t="shared" si="126"/>
        <v>-351.33614913668868</v>
      </c>
      <c r="BD96" s="10">
        <f t="shared" si="127"/>
        <v>-18.709712840503503</v>
      </c>
      <c r="BE96" s="10">
        <f t="shared" si="128"/>
        <v>-410.68547928934481</v>
      </c>
      <c r="BF96" s="10">
        <f t="shared" si="129"/>
        <v>-2018.1792863359442</v>
      </c>
      <c r="BG96" s="10">
        <f t="shared" si="130"/>
        <v>681.8207136640558</v>
      </c>
      <c r="BH96" s="10">
        <f t="shared" si="131"/>
        <v>-123.14814814814815</v>
      </c>
      <c r="BI96" s="10">
        <f t="shared" si="132"/>
        <v>-72.42307692307692</v>
      </c>
      <c r="BJ96" s="10">
        <f t="shared" si="133"/>
        <v>-195.57122507122509</v>
      </c>
      <c r="BK96" s="10">
        <f t="shared" si="134"/>
        <v>-37.239290842657489</v>
      </c>
      <c r="BL96" s="10">
        <f t="shared" si="135"/>
        <v>77.305555555555557</v>
      </c>
      <c r="BM96" s="10">
        <f t="shared" si="136"/>
        <v>526.31575330572878</v>
      </c>
      <c r="BN96" s="10">
        <f t="shared" si="137"/>
        <v>-73.206136172995713</v>
      </c>
      <c r="BO96" s="10">
        <f t="shared" si="138"/>
        <v>453.10961713273309</v>
      </c>
      <c r="BP96" s="10">
        <f t="shared" si="139"/>
        <v>58.520337802294669</v>
      </c>
      <c r="BQ96" s="10">
        <f t="shared" si="140"/>
        <v>584.83609110802342</v>
      </c>
    </row>
    <row r="97" spans="2:69">
      <c r="B97" s="29" t="s">
        <v>8</v>
      </c>
      <c r="C97" s="29" t="s">
        <v>466</v>
      </c>
      <c r="D97" s="25" t="s">
        <v>515</v>
      </c>
      <c r="E97" s="100">
        <v>91</v>
      </c>
      <c r="F97" s="100">
        <v>46136</v>
      </c>
      <c r="G97" s="101">
        <v>26.1</v>
      </c>
      <c r="H97" s="102" t="s">
        <v>39</v>
      </c>
      <c r="I97" s="27" t="s">
        <v>170</v>
      </c>
      <c r="J97" s="7"/>
      <c r="K97" s="7" t="s">
        <v>171</v>
      </c>
      <c r="L97" s="7" t="s">
        <v>172</v>
      </c>
      <c r="M97" s="21" t="s">
        <v>55</v>
      </c>
      <c r="N97" s="7"/>
      <c r="O97" s="20">
        <v>2000</v>
      </c>
      <c r="P97" s="61">
        <v>52200</v>
      </c>
      <c r="Q97" s="20">
        <v>1880.2681992337164</v>
      </c>
      <c r="R97" s="30">
        <v>3125</v>
      </c>
      <c r="S97" s="32">
        <v>49075</v>
      </c>
      <c r="T97" s="65">
        <v>1</v>
      </c>
      <c r="U97" s="59" t="s">
        <v>569</v>
      </c>
      <c r="V97" s="148">
        <v>6450494050</v>
      </c>
      <c r="W97" s="62" t="s">
        <v>122</v>
      </c>
      <c r="X97" s="4"/>
      <c r="Y97" s="7"/>
      <c r="Z97" s="7"/>
      <c r="AA97" s="7"/>
      <c r="AB97" s="20">
        <f t="shared" si="104"/>
        <v>0</v>
      </c>
      <c r="AC97" s="46">
        <f>IFERROR(INDEX('Costos Producción Febrero'!$G$34:$G$57,MATCH(Resumen!Y97,'Costos Producción Febrero'!$B$34:$B$57,0))*AI97*G97,0)</f>
        <v>0</v>
      </c>
      <c r="AD97" s="46">
        <f>IFERROR(INDEX('Costos Producción Febrero'!$H$34:$H$57,MATCH(Resumen!Y97,'Costos Producción Febrero'!$B$34:$B$57,0))*AI97*G97,0)</f>
        <v>0</v>
      </c>
      <c r="AE97" s="46">
        <f>IFERROR(INDEX('Costos Producción Febrero'!$I$34:$I$57,MATCH(Resumen!Y97,'Costos Producción Febrero'!$B$34:$B$57,0))*AI97*G97,0)</f>
        <v>0</v>
      </c>
      <c r="AF97" s="46">
        <f>IFERROR(INDEX('Costos Producción Febrero'!$J$34:$J$57,MATCH(Resumen!Y97,'Costos Producción Febrero'!$B$34:$B$57,0))*AI97*G97,0)</f>
        <v>0</v>
      </c>
      <c r="AG97" s="46">
        <f t="shared" si="105"/>
        <v>0</v>
      </c>
      <c r="AH97" s="46"/>
      <c r="AI97" s="46">
        <v>0</v>
      </c>
      <c r="AJ97" s="46"/>
      <c r="AK97" s="45">
        <f t="shared" si="114"/>
        <v>52200</v>
      </c>
      <c r="AL97" s="94">
        <f t="shared" si="115"/>
        <v>1</v>
      </c>
      <c r="AM97" s="44">
        <f t="shared" si="116"/>
        <v>3125</v>
      </c>
      <c r="AN97" s="44">
        <f t="shared" si="117"/>
        <v>1890.2423076923078</v>
      </c>
      <c r="AO97" s="44">
        <f t="shared" si="118"/>
        <v>5015.2423076923078</v>
      </c>
      <c r="AP97" s="44">
        <f t="shared" si="122"/>
        <v>971.94549099336052</v>
      </c>
      <c r="AQ97" s="44">
        <f t="shared" si="123"/>
        <v>1472.25</v>
      </c>
      <c r="AR97" s="45">
        <f t="shared" si="141"/>
        <v>47685.062201314329</v>
      </c>
      <c r="AS97" s="94">
        <f t="shared" si="142"/>
        <v>0.91350693872249678</v>
      </c>
      <c r="AT97" s="44">
        <f t="shared" si="143"/>
        <v>1910.6801541151883</v>
      </c>
      <c r="AU97" s="45">
        <f t="shared" si="144"/>
        <v>45774.382047199142</v>
      </c>
      <c r="AV97" s="94">
        <f t="shared" si="145"/>
        <v>0.87690387063599884</v>
      </c>
      <c r="AW97" s="44">
        <f t="shared" si="146"/>
        <v>1527.380816639891</v>
      </c>
      <c r="AX97" s="45">
        <f t="shared" si="147"/>
        <v>49212.443017954218</v>
      </c>
      <c r="AY97" s="94">
        <f t="shared" si="148"/>
        <v>0.94276710762364402</v>
      </c>
      <c r="BA97" s="10">
        <f t="shared" si="124"/>
        <v>2000</v>
      </c>
      <c r="BB97" s="10">
        <f t="shared" si="125"/>
        <v>0</v>
      </c>
      <c r="BC97" s="10">
        <f t="shared" si="126"/>
        <v>0</v>
      </c>
      <c r="BD97" s="10">
        <f t="shared" si="127"/>
        <v>0</v>
      </c>
      <c r="BE97" s="10">
        <f t="shared" si="128"/>
        <v>0</v>
      </c>
      <c r="BF97" s="10">
        <f t="shared" si="129"/>
        <v>0</v>
      </c>
      <c r="BG97" s="10">
        <f t="shared" si="130"/>
        <v>2000</v>
      </c>
      <c r="BH97" s="10">
        <f t="shared" si="131"/>
        <v>-119.73180076628351</v>
      </c>
      <c r="BI97" s="10">
        <f t="shared" si="132"/>
        <v>-72.42307692307692</v>
      </c>
      <c r="BJ97" s="10">
        <f t="shared" si="133"/>
        <v>-192.15487768936043</v>
      </c>
      <c r="BK97" s="10">
        <f t="shared" si="134"/>
        <v>-37.239290842657489</v>
      </c>
      <c r="BL97" s="10">
        <f t="shared" si="135"/>
        <v>56.40804597701149</v>
      </c>
      <c r="BM97" s="10">
        <f t="shared" si="136"/>
        <v>1827.0138774449933</v>
      </c>
      <c r="BN97" s="10">
        <f t="shared" si="137"/>
        <v>-73.206136172995713</v>
      </c>
      <c r="BO97" s="10">
        <f t="shared" si="138"/>
        <v>1753.8077412719977</v>
      </c>
      <c r="BP97" s="10">
        <f t="shared" si="139"/>
        <v>58.520337802294669</v>
      </c>
      <c r="BQ97" s="10">
        <f t="shared" si="140"/>
        <v>1885.5342152472879</v>
      </c>
    </row>
    <row r="98" spans="2:69">
      <c r="B98" s="29" t="s">
        <v>8</v>
      </c>
      <c r="C98" s="29" t="s">
        <v>466</v>
      </c>
      <c r="D98" s="25" t="s">
        <v>516</v>
      </c>
      <c r="E98" s="100">
        <v>91</v>
      </c>
      <c r="F98" s="100">
        <v>46140</v>
      </c>
      <c r="G98" s="101">
        <v>26.25</v>
      </c>
      <c r="H98" s="194" t="s">
        <v>38</v>
      </c>
      <c r="I98" s="27" t="s">
        <v>174</v>
      </c>
      <c r="J98" s="7"/>
      <c r="K98" s="7" t="s">
        <v>171</v>
      </c>
      <c r="L98" s="7" t="s">
        <v>172</v>
      </c>
      <c r="M98" s="21" t="s">
        <v>55</v>
      </c>
      <c r="N98" s="7"/>
      <c r="O98" s="20">
        <v>2000</v>
      </c>
      <c r="P98" s="61">
        <v>52500</v>
      </c>
      <c r="Q98" s="20">
        <v>1880.952380952381</v>
      </c>
      <c r="R98" s="30">
        <v>3125</v>
      </c>
      <c r="S98" s="32">
        <v>49375</v>
      </c>
      <c r="T98" s="65">
        <v>1</v>
      </c>
      <c r="U98" s="59" t="s">
        <v>566</v>
      </c>
      <c r="V98" s="148">
        <v>6451132960</v>
      </c>
      <c r="W98" s="62" t="s">
        <v>122</v>
      </c>
      <c r="X98" s="4"/>
      <c r="Y98" s="7"/>
      <c r="Z98" s="7"/>
      <c r="AA98" s="7"/>
      <c r="AB98" s="20">
        <f t="shared" si="104"/>
        <v>0</v>
      </c>
      <c r="AC98" s="46">
        <f>IFERROR(INDEX('Costos Producción Febrero'!$G$34:$G$57,MATCH(Resumen!Y98,'Costos Producción Febrero'!$B$34:$B$57,0))*AI98*G98,0)</f>
        <v>0</v>
      </c>
      <c r="AD98" s="46">
        <f>IFERROR(INDEX('Costos Producción Febrero'!$H$34:$H$57,MATCH(Resumen!Y98,'Costos Producción Febrero'!$B$34:$B$57,0))*AI98*G98,0)</f>
        <v>0</v>
      </c>
      <c r="AE98" s="46">
        <f>IFERROR(INDEX('Costos Producción Febrero'!$I$34:$I$57,MATCH(Resumen!Y98,'Costos Producción Febrero'!$B$34:$B$57,0))*AI98*G98,0)</f>
        <v>0</v>
      </c>
      <c r="AF98" s="46">
        <f>IFERROR(INDEX('Costos Producción Febrero'!$J$34:$J$57,MATCH(Resumen!Y98,'Costos Producción Febrero'!$B$34:$B$57,0))*AI98*G98,0)</f>
        <v>0</v>
      </c>
      <c r="AG98" s="46">
        <f t="shared" si="105"/>
        <v>0</v>
      </c>
      <c r="AH98" s="46"/>
      <c r="AI98" s="46">
        <v>0</v>
      </c>
      <c r="AJ98" s="46"/>
      <c r="AK98" s="45">
        <f t="shared" si="114"/>
        <v>52500</v>
      </c>
      <c r="AL98" s="94">
        <f t="shared" si="115"/>
        <v>1</v>
      </c>
      <c r="AM98" s="44">
        <f t="shared" si="116"/>
        <v>3125</v>
      </c>
      <c r="AN98" s="44">
        <f t="shared" si="117"/>
        <v>1901.1057692307691</v>
      </c>
      <c r="AO98" s="44">
        <f t="shared" si="118"/>
        <v>5026.1057692307695</v>
      </c>
      <c r="AP98" s="44">
        <f t="shared" si="122"/>
        <v>977.53138461975914</v>
      </c>
      <c r="AQ98" s="44">
        <f t="shared" si="123"/>
        <v>1481.25</v>
      </c>
      <c r="AR98" s="45">
        <f t="shared" si="141"/>
        <v>47977.612846149474</v>
      </c>
      <c r="AS98" s="94">
        <f t="shared" si="142"/>
        <v>0.91385929230760898</v>
      </c>
      <c r="AT98" s="44">
        <f t="shared" si="143"/>
        <v>1921.6610745411374</v>
      </c>
      <c r="AU98" s="45">
        <f t="shared" si="144"/>
        <v>46055.951771608336</v>
      </c>
      <c r="AV98" s="94">
        <f t="shared" si="145"/>
        <v>0.87725622422111116</v>
      </c>
      <c r="AW98" s="44">
        <f t="shared" si="146"/>
        <v>1536.1588673102351</v>
      </c>
      <c r="AX98" s="45">
        <f t="shared" si="147"/>
        <v>49513.771713459711</v>
      </c>
      <c r="AY98" s="94">
        <f t="shared" si="148"/>
        <v>0.94311946120875645</v>
      </c>
      <c r="BA98" s="10">
        <f t="shared" si="124"/>
        <v>2000</v>
      </c>
      <c r="BB98" s="10">
        <f t="shared" si="125"/>
        <v>0</v>
      </c>
      <c r="BC98" s="10">
        <f t="shared" si="126"/>
        <v>0</v>
      </c>
      <c r="BD98" s="10">
        <f t="shared" si="127"/>
        <v>0</v>
      </c>
      <c r="BE98" s="10">
        <f t="shared" si="128"/>
        <v>0</v>
      </c>
      <c r="BF98" s="10">
        <f t="shared" si="129"/>
        <v>0</v>
      </c>
      <c r="BG98" s="10">
        <f t="shared" si="130"/>
        <v>2000</v>
      </c>
      <c r="BH98" s="10">
        <f t="shared" si="131"/>
        <v>-119.04761904761905</v>
      </c>
      <c r="BI98" s="10">
        <f t="shared" si="132"/>
        <v>-72.42307692307692</v>
      </c>
      <c r="BJ98" s="10">
        <f t="shared" si="133"/>
        <v>-191.47069597069597</v>
      </c>
      <c r="BK98" s="10">
        <f t="shared" si="134"/>
        <v>-37.239290842657489</v>
      </c>
      <c r="BL98" s="10">
        <f t="shared" si="135"/>
        <v>56.428571428571431</v>
      </c>
      <c r="BM98" s="10">
        <f t="shared" si="136"/>
        <v>1827.7185846152181</v>
      </c>
      <c r="BN98" s="10">
        <f t="shared" si="137"/>
        <v>-73.206136172995713</v>
      </c>
      <c r="BO98" s="10">
        <f t="shared" si="138"/>
        <v>1754.5124484422222</v>
      </c>
      <c r="BP98" s="10">
        <f t="shared" si="139"/>
        <v>58.520337802294669</v>
      </c>
      <c r="BQ98" s="10">
        <f t="shared" si="140"/>
        <v>1886.2389224175129</v>
      </c>
    </row>
    <row r="99" spans="2:69">
      <c r="B99" s="29" t="s">
        <v>8</v>
      </c>
      <c r="C99" s="29" t="s">
        <v>466</v>
      </c>
      <c r="D99" s="25" t="s">
        <v>517</v>
      </c>
      <c r="E99" s="100">
        <v>97</v>
      </c>
      <c r="F99" s="100">
        <v>46140</v>
      </c>
      <c r="G99" s="101">
        <v>54</v>
      </c>
      <c r="H99" s="193" t="s">
        <v>31</v>
      </c>
      <c r="I99" s="27" t="s">
        <v>107</v>
      </c>
      <c r="J99" s="7" t="s">
        <v>518</v>
      </c>
      <c r="K99" s="7" t="s">
        <v>171</v>
      </c>
      <c r="L99" s="7" t="s">
        <v>519</v>
      </c>
      <c r="M99" s="21" t="s">
        <v>511</v>
      </c>
      <c r="N99" s="7" t="s">
        <v>512</v>
      </c>
      <c r="O99" s="20">
        <v>2850</v>
      </c>
      <c r="P99" s="61">
        <v>153900</v>
      </c>
      <c r="Q99" s="20">
        <v>2726.8518518518517</v>
      </c>
      <c r="R99" s="30">
        <v>6650</v>
      </c>
      <c r="S99" s="32">
        <v>147250</v>
      </c>
      <c r="T99" s="65">
        <v>2</v>
      </c>
      <c r="U99" s="59" t="s">
        <v>569</v>
      </c>
      <c r="V99" s="148">
        <v>6451277930</v>
      </c>
      <c r="W99" s="62" t="s">
        <v>122</v>
      </c>
      <c r="X99" s="4"/>
      <c r="Y99" s="7">
        <v>10007162</v>
      </c>
      <c r="Z99" s="7"/>
      <c r="AA99" s="7"/>
      <c r="AB99" s="20">
        <f t="shared" si="104"/>
        <v>2104.8006424908026</v>
      </c>
      <c r="AC99" s="223">
        <f>IFERROR(INDEX('Costos Producción Febrero'!$G$34:$G$57,MATCH(Resumen!Y99,'Costos Producción Febrero'!$B$34:$B$57,0))*AI99*G99,0)*1.07</f>
        <v>71499.742266110348</v>
      </c>
      <c r="AD99" s="46">
        <f>IFERROR(INDEX('Costos Producción Febrero'!$H$34:$H$57,MATCH(Resumen!Y99,'Costos Producción Febrero'!$B$34:$B$57,0))*AI99*G99,0)</f>
        <v>18972.152053381189</v>
      </c>
      <c r="AE99" s="46">
        <f>IFERROR(INDEX('Costos Producción Febrero'!$I$34:$I$57,MATCH(Resumen!Y99,'Costos Producción Febrero'!$B$34:$B$57,0))*AI99*G99,0)</f>
        <v>1010.3244933871891</v>
      </c>
      <c r="AF99" s="46">
        <f>IFERROR(INDEX('Costos Producción Febrero'!$J$34:$J$57,MATCH(Resumen!Y99,'Costos Producción Febrero'!$B$34:$B$57,0))*AI99*G99,0)</f>
        <v>22177.015881624618</v>
      </c>
      <c r="AG99" s="46">
        <f t="shared" si="105"/>
        <v>113659.23469450334</v>
      </c>
      <c r="AH99" s="46"/>
      <c r="AI99" s="46">
        <f>INDEX('Costos Producción Marzo'!$E$5:$E$37,MATCH(Resumen!Y99,'Costos Producción Marzo'!$A$5:$A$37,0))</f>
        <v>2018.1792863359442</v>
      </c>
      <c r="AJ99" s="46"/>
      <c r="AK99" s="45">
        <f t="shared" si="114"/>
        <v>40240.765305496665</v>
      </c>
      <c r="AL99" s="94">
        <f t="shared" si="115"/>
        <v>0.26147345877515704</v>
      </c>
      <c r="AM99" s="44">
        <f t="shared" si="116"/>
        <v>6650</v>
      </c>
      <c r="AN99" s="44">
        <f t="shared" si="117"/>
        <v>3910.8461538461538</v>
      </c>
      <c r="AO99" s="44">
        <f t="shared" si="118"/>
        <v>10560.846153846154</v>
      </c>
      <c r="AP99" s="44">
        <f t="shared" si="122"/>
        <v>2010.9217055035044</v>
      </c>
      <c r="AQ99" s="44">
        <f t="shared" si="123"/>
        <v>4417.5</v>
      </c>
      <c r="AR99" s="45">
        <f t="shared" si="141"/>
        <v>32086.497446147005</v>
      </c>
      <c r="AS99" s="94">
        <f t="shared" si="142"/>
        <v>0.20848926215820016</v>
      </c>
      <c r="AT99" s="44">
        <f t="shared" si="143"/>
        <v>3953.1313533417683</v>
      </c>
      <c r="AU99" s="45">
        <f t="shared" si="144"/>
        <v>28133.366092805238</v>
      </c>
      <c r="AV99" s="94">
        <f t="shared" si="145"/>
        <v>0.182802898588728</v>
      </c>
      <c r="AW99" s="44">
        <f t="shared" si="146"/>
        <v>3160.0982413239121</v>
      </c>
      <c r="AX99" s="45">
        <f t="shared" si="147"/>
        <v>35246.595687470915</v>
      </c>
      <c r="AY99" s="94">
        <f t="shared" si="148"/>
        <v>0.22902271401865443</v>
      </c>
      <c r="BA99" s="10">
        <f t="shared" si="124"/>
        <v>2850</v>
      </c>
      <c r="BB99" s="10">
        <f t="shared" si="125"/>
        <v>-1324.0693012242657</v>
      </c>
      <c r="BC99" s="10">
        <f t="shared" si="126"/>
        <v>-351.33614913668868</v>
      </c>
      <c r="BD99" s="10">
        <f t="shared" si="127"/>
        <v>-18.709712840503503</v>
      </c>
      <c r="BE99" s="10">
        <f t="shared" si="128"/>
        <v>-410.68547928934481</v>
      </c>
      <c r="BF99" s="10">
        <f t="shared" si="129"/>
        <v>-2104.8006424908026</v>
      </c>
      <c r="BG99" s="10">
        <f t="shared" si="130"/>
        <v>745.19935750919751</v>
      </c>
      <c r="BH99" s="10">
        <f t="shared" si="131"/>
        <v>-123.14814814814815</v>
      </c>
      <c r="BI99" s="10">
        <f t="shared" si="132"/>
        <v>-72.42307692307692</v>
      </c>
      <c r="BJ99" s="10">
        <f t="shared" si="133"/>
        <v>-195.57122507122509</v>
      </c>
      <c r="BK99" s="10">
        <f t="shared" si="134"/>
        <v>-37.239290842657489</v>
      </c>
      <c r="BL99" s="10">
        <f t="shared" si="135"/>
        <v>81.805555555555557</v>
      </c>
      <c r="BM99" s="10">
        <f t="shared" si="136"/>
        <v>594.19439715087049</v>
      </c>
      <c r="BN99" s="10">
        <f t="shared" si="137"/>
        <v>-73.206136172995713</v>
      </c>
      <c r="BO99" s="10">
        <f t="shared" si="138"/>
        <v>520.9882609778748</v>
      </c>
      <c r="BP99" s="10">
        <f t="shared" si="139"/>
        <v>58.520337802294669</v>
      </c>
      <c r="BQ99" s="10">
        <f t="shared" si="140"/>
        <v>652.71473495316513</v>
      </c>
    </row>
    <row r="100" spans="2:69">
      <c r="B100" s="29" t="s">
        <v>8</v>
      </c>
      <c r="C100" s="29" t="s">
        <v>466</v>
      </c>
      <c r="D100" s="25" t="s">
        <v>520</v>
      </c>
      <c r="E100" s="100">
        <v>98</v>
      </c>
      <c r="F100" s="100">
        <v>46140</v>
      </c>
      <c r="G100" s="101">
        <v>24</v>
      </c>
      <c r="H100" s="194" t="s">
        <v>33</v>
      </c>
      <c r="I100" s="27" t="s">
        <v>132</v>
      </c>
      <c r="J100" s="7" t="s">
        <v>521</v>
      </c>
      <c r="K100" s="7" t="s">
        <v>141</v>
      </c>
      <c r="L100" s="7" t="s">
        <v>522</v>
      </c>
      <c r="M100" s="21" t="s">
        <v>43</v>
      </c>
      <c r="N100" s="7" t="s">
        <v>129</v>
      </c>
      <c r="O100" s="20">
        <v>2300</v>
      </c>
      <c r="P100" s="61">
        <v>55200</v>
      </c>
      <c r="Q100" s="20">
        <v>2166.625</v>
      </c>
      <c r="R100" s="30">
        <v>3201</v>
      </c>
      <c r="S100" s="32">
        <v>51999</v>
      </c>
      <c r="T100" s="65">
        <v>1</v>
      </c>
      <c r="U100" s="59" t="s">
        <v>566</v>
      </c>
      <c r="V100" s="148" t="s">
        <v>570</v>
      </c>
      <c r="W100" s="62" t="s">
        <v>138</v>
      </c>
      <c r="X100" s="4"/>
      <c r="Y100" s="7">
        <v>10005721</v>
      </c>
      <c r="Z100" s="7"/>
      <c r="AA100" s="7"/>
      <c r="AB100" s="20">
        <f t="shared" ref="AB100:AB110" si="149">IFERROR(AG100/G100,0)</f>
        <v>2184.3424535699546</v>
      </c>
      <c r="AC100" s="223">
        <f>IFERROR(INDEX('Costos Producción Febrero'!$G$34:$G$57,MATCH(Resumen!Y100,'Costos Producción Febrero'!$B$34:$B$57,0))*AI100*G100,0)*1.07</f>
        <v>32677.277550698149</v>
      </c>
      <c r="AD100" s="46">
        <f>IFERROR(INDEX('Costos Producción Febrero'!$H$34:$H$57,MATCH(Resumen!Y100,'Costos Producción Febrero'!$B$34:$B$57,0))*AI100*G100,0)</f>
        <v>8948.7109722005152</v>
      </c>
      <c r="AE100" s="46">
        <f>IFERROR(INDEX('Costos Producción Febrero'!$I$34:$I$57,MATCH(Resumen!Y100,'Costos Producción Febrero'!$B$34:$B$57,0))*AI100*G100,0)</f>
        <v>548.21817673216287</v>
      </c>
      <c r="AF100" s="46">
        <f>IFERROR(INDEX('Costos Producción Febrero'!$J$34:$J$57,MATCH(Resumen!Y100,'Costos Producción Febrero'!$B$34:$B$57,0))*AI100*G100,0)</f>
        <v>10250.012186048079</v>
      </c>
      <c r="AG100" s="46">
        <f t="shared" ref="AG100:AG110" si="150">SUM(AC100:AF100)</f>
        <v>52424.218885678907</v>
      </c>
      <c r="AH100" s="46"/>
      <c r="AI100" s="46">
        <f>INDEX('Costos Producción Marzo'!$E$5:$E$37,MATCH(Resumen!Y100,'Costos Producción Marzo'!$A$5:$A$37,0))</f>
        <v>2095.2688776918831</v>
      </c>
      <c r="AJ100" s="46"/>
      <c r="AK100" s="45">
        <f t="shared" si="114"/>
        <v>2775.7811143210929</v>
      </c>
      <c r="AL100" s="94">
        <f t="shared" si="115"/>
        <v>5.028588975219371E-2</v>
      </c>
      <c r="AM100" s="44">
        <f t="shared" si="116"/>
        <v>3201</v>
      </c>
      <c r="AN100" s="44">
        <f t="shared" si="117"/>
        <v>1738.1538461538462</v>
      </c>
      <c r="AO100" s="44">
        <f t="shared" si="118"/>
        <v>4939.1538461538457</v>
      </c>
      <c r="AP100" s="44">
        <f t="shared" si="122"/>
        <v>893.7429802237798</v>
      </c>
      <c r="AQ100" s="44">
        <f t="shared" si="123"/>
        <v>1559.97</v>
      </c>
      <c r="AR100" s="45">
        <f t="shared" si="141"/>
        <v>-1497.1457120565326</v>
      </c>
      <c r="AS100" s="94">
        <f t="shared" si="142"/>
        <v>-2.7122204928560375E-2</v>
      </c>
      <c r="AT100" s="44">
        <f t="shared" si="143"/>
        <v>1756.9472681518971</v>
      </c>
      <c r="AU100" s="45">
        <f t="shared" si="144"/>
        <v>-3254.0929802084297</v>
      </c>
      <c r="AV100" s="94">
        <f t="shared" si="145"/>
        <v>-5.8950959786384594E-2</v>
      </c>
      <c r="AW100" s="44">
        <f t="shared" si="146"/>
        <v>1404.488107255072</v>
      </c>
      <c r="AX100" s="45">
        <f t="shared" si="147"/>
        <v>-92.657604801460593</v>
      </c>
      <c r="AY100" s="94">
        <f t="shared" si="148"/>
        <v>-1.6785797971279094E-3</v>
      </c>
      <c r="BA100" s="10">
        <f t="shared" si="124"/>
        <v>2300</v>
      </c>
      <c r="BB100" s="10">
        <f t="shared" si="125"/>
        <v>-1361.5532312790895</v>
      </c>
      <c r="BC100" s="10">
        <f t="shared" si="126"/>
        <v>-372.86295717502145</v>
      </c>
      <c r="BD100" s="10">
        <f t="shared" si="127"/>
        <v>-22.842424030506788</v>
      </c>
      <c r="BE100" s="10">
        <f t="shared" si="128"/>
        <v>-427.08384108533664</v>
      </c>
      <c r="BF100" s="10">
        <f t="shared" si="129"/>
        <v>-2184.3424535699546</v>
      </c>
      <c r="BG100" s="10">
        <f t="shared" si="130"/>
        <v>115.65754643004554</v>
      </c>
      <c r="BH100" s="10">
        <f t="shared" si="131"/>
        <v>-133.375</v>
      </c>
      <c r="BI100" s="10">
        <f t="shared" si="132"/>
        <v>-72.42307692307692</v>
      </c>
      <c r="BJ100" s="10">
        <f t="shared" si="133"/>
        <v>-205.79807692307691</v>
      </c>
      <c r="BK100" s="10">
        <f t="shared" si="134"/>
        <v>-37.239290842657489</v>
      </c>
      <c r="BL100" s="10">
        <f t="shared" si="135"/>
        <v>64.998750000000001</v>
      </c>
      <c r="BM100" s="10">
        <f t="shared" si="136"/>
        <v>-62.381071335688858</v>
      </c>
      <c r="BN100" s="10">
        <f t="shared" si="137"/>
        <v>-73.206136172995713</v>
      </c>
      <c r="BO100" s="10">
        <f t="shared" si="138"/>
        <v>-135.58720750868457</v>
      </c>
      <c r="BP100" s="10">
        <f t="shared" si="139"/>
        <v>58.520337802294669</v>
      </c>
      <c r="BQ100" s="10">
        <f t="shared" si="140"/>
        <v>-3.8607335333941912</v>
      </c>
    </row>
    <row r="101" spans="2:69">
      <c r="B101" s="29" t="s">
        <v>8</v>
      </c>
      <c r="C101" s="29" t="s">
        <v>466</v>
      </c>
      <c r="D101" s="25" t="s">
        <v>523</v>
      </c>
      <c r="E101" s="100">
        <v>98</v>
      </c>
      <c r="F101" s="100">
        <v>46140</v>
      </c>
      <c r="G101" s="101">
        <v>25.8</v>
      </c>
      <c r="H101" s="27" t="s">
        <v>36</v>
      </c>
      <c r="I101" s="27" t="s">
        <v>107</v>
      </c>
      <c r="J101" s="7" t="s">
        <v>524</v>
      </c>
      <c r="K101" s="7" t="s">
        <v>525</v>
      </c>
      <c r="L101" s="7" t="s">
        <v>526</v>
      </c>
      <c r="M101" s="21" t="s">
        <v>527</v>
      </c>
      <c r="N101" s="7" t="s">
        <v>528</v>
      </c>
      <c r="O101" s="20">
        <v>2920</v>
      </c>
      <c r="P101" s="61">
        <v>75336</v>
      </c>
      <c r="Q101" s="20">
        <v>2815.4651162790697</v>
      </c>
      <c r="R101" s="30">
        <v>2697</v>
      </c>
      <c r="S101" s="32">
        <v>72639</v>
      </c>
      <c r="T101" s="65">
        <v>1</v>
      </c>
      <c r="U101" s="59" t="s">
        <v>571</v>
      </c>
      <c r="V101" s="148">
        <v>35835231</v>
      </c>
      <c r="W101" s="62" t="s">
        <v>112</v>
      </c>
      <c r="X101" s="4"/>
      <c r="Y101" s="7">
        <v>10007567</v>
      </c>
      <c r="Z101" s="7"/>
      <c r="AA101" s="7"/>
      <c r="AB101" s="20">
        <f t="shared" si="149"/>
        <v>2106.8024369775931</v>
      </c>
      <c r="AC101" s="223">
        <f>IFERROR(INDEX('Costos Producción Febrero'!$G$34:$G$57,MATCH(Resumen!Y101,'Costos Producción Febrero'!$B$34:$B$57,0))*AI101*G101,0)*1.07</f>
        <v>34430.39043547371</v>
      </c>
      <c r="AD101" s="46">
        <f>IFERROR(INDEX('Costos Producción Febrero'!$H$34:$H$57,MATCH(Resumen!Y101,'Costos Producción Febrero'!$B$34:$B$57,0))*AI101*G101,0)</f>
        <v>8672.0904208147167</v>
      </c>
      <c r="AE101" s="46">
        <f>IFERROR(INDEX('Costos Producción Febrero'!$I$34:$I$57,MATCH(Resumen!Y101,'Costos Producción Febrero'!$B$34:$B$57,0))*AI101*G101,0)</f>
        <v>562.36782775665199</v>
      </c>
      <c r="AF101" s="46">
        <f>IFERROR(INDEX('Costos Producción Febrero'!$J$34:$J$57,MATCH(Resumen!Y101,'Costos Producción Febrero'!$B$34:$B$57,0))*AI101*G101,0)</f>
        <v>10690.65418997682</v>
      </c>
      <c r="AG101" s="46">
        <f t="shared" si="150"/>
        <v>54355.502874021899</v>
      </c>
      <c r="AH101" s="46"/>
      <c r="AI101" s="46">
        <f>INDEX('Costos Producción Marzo'!$E$5:$E$37,MATCH(Resumen!Y101,'Costos Producción Marzo'!$A$5:$A$37,0))</f>
        <v>2019.4979622082253</v>
      </c>
      <c r="AJ101" s="46"/>
      <c r="AK101" s="45">
        <f t="shared" si="114"/>
        <v>20980.497125978101</v>
      </c>
      <c r="AL101" s="94">
        <f t="shared" si="115"/>
        <v>0.27849231610356406</v>
      </c>
      <c r="AM101" s="44">
        <f t="shared" si="116"/>
        <v>2697</v>
      </c>
      <c r="AN101" s="44">
        <f t="shared" si="117"/>
        <v>1868.5153846153846</v>
      </c>
      <c r="AO101" s="44">
        <f t="shared" si="118"/>
        <v>4565.5153846153844</v>
      </c>
      <c r="AP101" s="44">
        <f t="shared" si="122"/>
        <v>960.77370374056329</v>
      </c>
      <c r="AQ101" s="44">
        <f t="shared" si="123"/>
        <v>2179.17</v>
      </c>
      <c r="AR101" s="45">
        <f t="shared" si="141"/>
        <v>17633.378037622155</v>
      </c>
      <c r="AS101" s="94">
        <f t="shared" si="142"/>
        <v>0.2340631044603132</v>
      </c>
      <c r="AT101" s="44">
        <f t="shared" si="143"/>
        <v>1888.7183132632895</v>
      </c>
      <c r="AU101" s="45">
        <f t="shared" si="144"/>
        <v>15744.659724358866</v>
      </c>
      <c r="AV101" s="94">
        <f t="shared" si="145"/>
        <v>0.20899250988052015</v>
      </c>
      <c r="AW101" s="44">
        <f t="shared" si="146"/>
        <v>1509.8247152992026</v>
      </c>
      <c r="AX101" s="45">
        <f t="shared" si="147"/>
        <v>19143.202752921359</v>
      </c>
      <c r="AY101" s="94">
        <f t="shared" si="148"/>
        <v>0.25410431603644151</v>
      </c>
      <c r="BA101" s="10">
        <f t="shared" si="124"/>
        <v>2920</v>
      </c>
      <c r="BB101" s="10">
        <f t="shared" si="125"/>
        <v>-1334.5112571889035</v>
      </c>
      <c r="BC101" s="10">
        <f t="shared" si="126"/>
        <v>-336.12753569049289</v>
      </c>
      <c r="BD101" s="10">
        <f t="shared" si="127"/>
        <v>-21.79720262622682</v>
      </c>
      <c r="BE101" s="10">
        <f t="shared" si="128"/>
        <v>-414.36644147196978</v>
      </c>
      <c r="BF101" s="10">
        <f t="shared" si="129"/>
        <v>-2106.8024369775931</v>
      </c>
      <c r="BG101" s="10">
        <f t="shared" si="130"/>
        <v>813.19756302240705</v>
      </c>
      <c r="BH101" s="10">
        <f t="shared" si="131"/>
        <v>-104.53488372093022</v>
      </c>
      <c r="BI101" s="10">
        <f t="shared" si="132"/>
        <v>-72.42307692307692</v>
      </c>
      <c r="BJ101" s="10">
        <f t="shared" si="133"/>
        <v>-176.95796064400713</v>
      </c>
      <c r="BK101" s="10">
        <f t="shared" si="134"/>
        <v>-37.239290842657489</v>
      </c>
      <c r="BL101" s="10">
        <f t="shared" si="135"/>
        <v>84.463953488372098</v>
      </c>
      <c r="BM101" s="10">
        <f t="shared" si="136"/>
        <v>683.46426502411452</v>
      </c>
      <c r="BN101" s="10">
        <f t="shared" si="137"/>
        <v>-73.206136172995713</v>
      </c>
      <c r="BO101" s="10">
        <f t="shared" si="138"/>
        <v>610.25812885111884</v>
      </c>
      <c r="BP101" s="10">
        <f t="shared" si="139"/>
        <v>58.520337802294669</v>
      </c>
      <c r="BQ101" s="10">
        <f t="shared" si="140"/>
        <v>741.98460282640929</v>
      </c>
    </row>
    <row r="102" spans="2:69">
      <c r="B102" s="29" t="s">
        <v>8</v>
      </c>
      <c r="C102" s="29" t="s">
        <v>466</v>
      </c>
      <c r="D102" s="25" t="s">
        <v>529</v>
      </c>
      <c r="E102" s="100">
        <v>66</v>
      </c>
      <c r="F102" s="100">
        <v>46140</v>
      </c>
      <c r="G102" s="101">
        <v>24</v>
      </c>
      <c r="H102" s="194" t="s">
        <v>32</v>
      </c>
      <c r="I102" s="27" t="s">
        <v>155</v>
      </c>
      <c r="J102" s="7" t="s">
        <v>530</v>
      </c>
      <c r="K102" s="7" t="s">
        <v>141</v>
      </c>
      <c r="L102" s="7" t="s">
        <v>142</v>
      </c>
      <c r="M102" s="21" t="s">
        <v>43</v>
      </c>
      <c r="N102" s="7" t="s">
        <v>129</v>
      </c>
      <c r="O102" s="20">
        <v>2400</v>
      </c>
      <c r="P102" s="61">
        <v>57600</v>
      </c>
      <c r="Q102" s="20">
        <v>2262.4583333333335</v>
      </c>
      <c r="R102" s="30">
        <v>3301</v>
      </c>
      <c r="S102" s="32">
        <v>54299</v>
      </c>
      <c r="T102" s="65">
        <v>1</v>
      </c>
      <c r="U102" s="59" t="s">
        <v>566</v>
      </c>
      <c r="V102" s="148" t="s">
        <v>572</v>
      </c>
      <c r="W102" s="62" t="s">
        <v>122</v>
      </c>
      <c r="X102" s="4"/>
      <c r="Y102" s="7">
        <v>10006720</v>
      </c>
      <c r="Z102" s="7"/>
      <c r="AA102" s="7"/>
      <c r="AB102" s="20">
        <f t="shared" si="149"/>
        <v>2036.7531977672568</v>
      </c>
      <c r="AC102" s="223">
        <f>IFERROR(INDEX('Costos Producción Febrero'!$G$34:$G$57,MATCH(Resumen!Y102,'Costos Producción Febrero'!$B$34:$B$57,0))*AI102*G102,0)*1.07</f>
        <v>32120.20647465673</v>
      </c>
      <c r="AD102" s="46">
        <f>IFERROR(INDEX('Costos Producción Febrero'!$H$34:$H$57,MATCH(Resumen!Y102,'Costos Producción Febrero'!$B$34:$B$57,0))*AI102*G102,0)</f>
        <v>6314.0912736885457</v>
      </c>
      <c r="AE102" s="46">
        <f>IFERROR(INDEX('Costos Producción Febrero'!$I$34:$I$57,MATCH(Resumen!Y102,'Costos Producción Febrero'!$B$34:$B$57,0))*AI102*G102,0)</f>
        <v>437.11240184780615</v>
      </c>
      <c r="AF102" s="46">
        <f>IFERROR(INDEX('Costos Producción Febrero'!$J$34:$J$57,MATCH(Resumen!Y102,'Costos Producción Febrero'!$B$34:$B$57,0))*AI102*G102,0)</f>
        <v>10010.666596221075</v>
      </c>
      <c r="AG102" s="46">
        <f t="shared" si="150"/>
        <v>48882.076746414161</v>
      </c>
      <c r="AH102" s="46"/>
      <c r="AI102" s="46">
        <f>INDEX('Costos Producción Marzo'!$E$5:$E$37,MATCH(Resumen!Y102,'Costos Producción Marzo'!$A$5:$A$37,0))</f>
        <v>1949.1981178129743</v>
      </c>
      <c r="AJ102" s="46"/>
      <c r="AK102" s="45">
        <f t="shared" si="114"/>
        <v>8717.9232535858391</v>
      </c>
      <c r="AL102" s="94">
        <f t="shared" si="115"/>
        <v>0.15135283426364304</v>
      </c>
      <c r="AM102" s="44">
        <f t="shared" si="116"/>
        <v>3301</v>
      </c>
      <c r="AN102" s="44">
        <f t="shared" si="117"/>
        <v>1738.1538461538462</v>
      </c>
      <c r="AO102" s="44">
        <f t="shared" si="118"/>
        <v>5039.1538461538457</v>
      </c>
      <c r="AP102" s="44">
        <f t="shared" si="122"/>
        <v>893.7429802237798</v>
      </c>
      <c r="AQ102" s="44">
        <f t="shared" si="123"/>
        <v>1628.97</v>
      </c>
      <c r="AR102" s="45">
        <f t="shared" si="141"/>
        <v>4413.9964272082134</v>
      </c>
      <c r="AS102" s="94">
        <f t="shared" si="142"/>
        <v>7.6631882416809266E-2</v>
      </c>
      <c r="AT102" s="44">
        <f t="shared" si="143"/>
        <v>1756.9472681518971</v>
      </c>
      <c r="AU102" s="45">
        <f t="shared" si="144"/>
        <v>2657.0491590563161</v>
      </c>
      <c r="AV102" s="94">
        <f t="shared" si="145"/>
        <v>4.6129325678061044E-2</v>
      </c>
      <c r="AW102" s="44">
        <f t="shared" si="146"/>
        <v>1404.488107255072</v>
      </c>
      <c r="AX102" s="45">
        <f t="shared" si="147"/>
        <v>5818.4845344632849</v>
      </c>
      <c r="AY102" s="94">
        <f t="shared" si="148"/>
        <v>0.10101535650109869</v>
      </c>
      <c r="BA102" s="10">
        <f t="shared" si="124"/>
        <v>2400</v>
      </c>
      <c r="BB102" s="10">
        <f t="shared" si="125"/>
        <v>-1338.3419364440304</v>
      </c>
      <c r="BC102" s="10">
        <f t="shared" si="126"/>
        <v>-263.08713640368939</v>
      </c>
      <c r="BD102" s="10">
        <f t="shared" si="127"/>
        <v>-18.213016743658589</v>
      </c>
      <c r="BE102" s="10">
        <f t="shared" si="128"/>
        <v>-417.11110817587814</v>
      </c>
      <c r="BF102" s="10">
        <f t="shared" si="129"/>
        <v>-2036.7531977672568</v>
      </c>
      <c r="BG102" s="10">
        <f t="shared" si="130"/>
        <v>363.24680223274328</v>
      </c>
      <c r="BH102" s="10">
        <f t="shared" si="131"/>
        <v>-137.54166666666666</v>
      </c>
      <c r="BI102" s="10">
        <f t="shared" si="132"/>
        <v>-72.42307692307692</v>
      </c>
      <c r="BJ102" s="10">
        <f t="shared" si="133"/>
        <v>-209.96474358974356</v>
      </c>
      <c r="BK102" s="10">
        <f t="shared" si="134"/>
        <v>-37.239290842657489</v>
      </c>
      <c r="BL102" s="10">
        <f t="shared" si="135"/>
        <v>67.873750000000001</v>
      </c>
      <c r="BM102" s="10">
        <f t="shared" si="136"/>
        <v>183.91651780034223</v>
      </c>
      <c r="BN102" s="10">
        <f t="shared" si="137"/>
        <v>-73.206136172995713</v>
      </c>
      <c r="BO102" s="10">
        <f t="shared" si="138"/>
        <v>110.71038162734651</v>
      </c>
      <c r="BP102" s="10">
        <f t="shared" si="139"/>
        <v>58.520337802294669</v>
      </c>
      <c r="BQ102" s="10">
        <f t="shared" si="140"/>
        <v>242.43685560263688</v>
      </c>
    </row>
    <row r="103" spans="2:69">
      <c r="B103" s="29" t="s">
        <v>8</v>
      </c>
      <c r="C103" s="29" t="s">
        <v>466</v>
      </c>
      <c r="D103" s="25" t="s">
        <v>531</v>
      </c>
      <c r="E103" s="100">
        <v>101</v>
      </c>
      <c r="F103" s="100">
        <v>46140</v>
      </c>
      <c r="G103" s="101">
        <v>27</v>
      </c>
      <c r="H103" s="193" t="s">
        <v>31</v>
      </c>
      <c r="I103" s="27" t="s">
        <v>107</v>
      </c>
      <c r="J103" s="7" t="s">
        <v>532</v>
      </c>
      <c r="K103" s="7" t="s">
        <v>171</v>
      </c>
      <c r="L103" s="7" t="s">
        <v>519</v>
      </c>
      <c r="M103" s="21" t="s">
        <v>533</v>
      </c>
      <c r="N103" s="7" t="s">
        <v>534</v>
      </c>
      <c r="O103" s="20">
        <v>3000</v>
      </c>
      <c r="P103" s="61">
        <v>81000</v>
      </c>
      <c r="Q103" s="20">
        <v>2880.9259259259261</v>
      </c>
      <c r="R103" s="30">
        <v>3215</v>
      </c>
      <c r="S103" s="32">
        <v>77785</v>
      </c>
      <c r="T103" s="65">
        <v>1</v>
      </c>
      <c r="U103" s="59" t="s">
        <v>566</v>
      </c>
      <c r="V103" s="148">
        <v>6451442940</v>
      </c>
      <c r="W103" s="62" t="s">
        <v>122</v>
      </c>
      <c r="X103" s="4"/>
      <c r="Y103" s="7">
        <v>10007162</v>
      </c>
      <c r="Z103" s="7"/>
      <c r="AA103" s="7"/>
      <c r="AB103" s="20">
        <f t="shared" si="149"/>
        <v>2104.8006424908026</v>
      </c>
      <c r="AC103" s="223">
        <f>IFERROR(INDEX('Costos Producción Febrero'!$G$34:$G$57,MATCH(Resumen!Y103,'Costos Producción Febrero'!$B$34:$B$57,0))*AI103*G103,0)*1.07</f>
        <v>35749.871133055174</v>
      </c>
      <c r="AD103" s="46">
        <f>IFERROR(INDEX('Costos Producción Febrero'!$H$34:$H$57,MATCH(Resumen!Y103,'Costos Producción Febrero'!$B$34:$B$57,0))*AI103*G103,0)</f>
        <v>9486.0760266905945</v>
      </c>
      <c r="AE103" s="46">
        <f>IFERROR(INDEX('Costos Producción Febrero'!$I$34:$I$57,MATCH(Resumen!Y103,'Costos Producción Febrero'!$B$34:$B$57,0))*AI103*G103,0)</f>
        <v>505.16224669359457</v>
      </c>
      <c r="AF103" s="46">
        <f>IFERROR(INDEX('Costos Producción Febrero'!$J$34:$J$57,MATCH(Resumen!Y103,'Costos Producción Febrero'!$B$34:$B$57,0))*AI103*G103,0)</f>
        <v>11088.507940812309</v>
      </c>
      <c r="AG103" s="46">
        <f t="shared" si="150"/>
        <v>56829.617347251668</v>
      </c>
      <c r="AH103" s="46"/>
      <c r="AI103" s="46">
        <f>INDEX('Costos Producción Marzo'!$E$5:$E$37,MATCH(Resumen!Y103,'Costos Producción Marzo'!$A$5:$A$37,0))</f>
        <v>2018.1792863359442</v>
      </c>
      <c r="AJ103" s="46"/>
      <c r="AK103" s="45">
        <f t="shared" si="114"/>
        <v>24170.382652748332</v>
      </c>
      <c r="AL103" s="94">
        <f t="shared" si="115"/>
        <v>0.29839978583639915</v>
      </c>
      <c r="AM103" s="44">
        <f t="shared" si="116"/>
        <v>3215</v>
      </c>
      <c r="AN103" s="44">
        <f t="shared" si="117"/>
        <v>1955.4230769230769</v>
      </c>
      <c r="AO103" s="44">
        <f t="shared" si="118"/>
        <v>5170.4230769230771</v>
      </c>
      <c r="AP103" s="44">
        <f t="shared" si="122"/>
        <v>1005.4608527517522</v>
      </c>
      <c r="AQ103" s="44">
        <f t="shared" si="123"/>
        <v>2333.5499999999997</v>
      </c>
      <c r="AR103" s="45">
        <f t="shared" si="141"/>
        <v>20328.048723073502</v>
      </c>
      <c r="AS103" s="94">
        <f t="shared" si="142"/>
        <v>0.25096356448238893</v>
      </c>
      <c r="AT103" s="44">
        <f t="shared" si="143"/>
        <v>1976.5656766708842</v>
      </c>
      <c r="AU103" s="45">
        <f t="shared" si="144"/>
        <v>18351.483046402616</v>
      </c>
      <c r="AV103" s="94">
        <f t="shared" si="145"/>
        <v>0.22656151909139033</v>
      </c>
      <c r="AW103" s="44">
        <f t="shared" si="146"/>
        <v>1580.0491206619561</v>
      </c>
      <c r="AX103" s="45">
        <f t="shared" si="147"/>
        <v>21908.097843735457</v>
      </c>
      <c r="AY103" s="94">
        <f t="shared" si="148"/>
        <v>0.27047034374982043</v>
      </c>
      <c r="BA103" s="10">
        <f t="shared" si="124"/>
        <v>3000</v>
      </c>
      <c r="BB103" s="10">
        <f t="shared" si="125"/>
        <v>-1324.0693012242657</v>
      </c>
      <c r="BC103" s="10">
        <f t="shared" si="126"/>
        <v>-351.33614913668868</v>
      </c>
      <c r="BD103" s="10">
        <f t="shared" si="127"/>
        <v>-18.709712840503503</v>
      </c>
      <c r="BE103" s="10">
        <f t="shared" si="128"/>
        <v>-410.68547928934481</v>
      </c>
      <c r="BF103" s="10">
        <f t="shared" si="129"/>
        <v>-2104.8006424908026</v>
      </c>
      <c r="BG103" s="10">
        <f t="shared" si="130"/>
        <v>895.19935750919751</v>
      </c>
      <c r="BH103" s="10">
        <f t="shared" si="131"/>
        <v>-119.07407407407408</v>
      </c>
      <c r="BI103" s="10">
        <f t="shared" si="132"/>
        <v>-72.42307692307692</v>
      </c>
      <c r="BJ103" s="10">
        <f t="shared" si="133"/>
        <v>-191.49715099715101</v>
      </c>
      <c r="BK103" s="10">
        <f t="shared" si="134"/>
        <v>-37.239290842657489</v>
      </c>
      <c r="BL103" s="10">
        <f t="shared" si="135"/>
        <v>86.427777777777763</v>
      </c>
      <c r="BM103" s="10">
        <f t="shared" si="136"/>
        <v>752.89069344716677</v>
      </c>
      <c r="BN103" s="10">
        <f t="shared" si="137"/>
        <v>-73.206136172995713</v>
      </c>
      <c r="BO103" s="10">
        <f t="shared" si="138"/>
        <v>679.68455727417097</v>
      </c>
      <c r="BP103" s="10">
        <f t="shared" si="139"/>
        <v>58.520337802294669</v>
      </c>
      <c r="BQ103" s="10">
        <f t="shared" si="140"/>
        <v>811.41103124946142</v>
      </c>
    </row>
    <row r="104" spans="2:69">
      <c r="B104" s="29" t="s">
        <v>8</v>
      </c>
      <c r="C104" s="29" t="s">
        <v>466</v>
      </c>
      <c r="D104" s="25" t="s">
        <v>535</v>
      </c>
      <c r="E104" s="100">
        <v>101</v>
      </c>
      <c r="F104" s="100">
        <v>46140</v>
      </c>
      <c r="G104" s="101">
        <v>26</v>
      </c>
      <c r="H104" s="27" t="s">
        <v>36</v>
      </c>
      <c r="I104" s="27" t="s">
        <v>107</v>
      </c>
      <c r="J104" s="7" t="s">
        <v>524</v>
      </c>
      <c r="K104" s="7" t="s">
        <v>525</v>
      </c>
      <c r="L104" s="7" t="s">
        <v>526</v>
      </c>
      <c r="M104" s="21" t="s">
        <v>527</v>
      </c>
      <c r="N104" s="7" t="s">
        <v>528</v>
      </c>
      <c r="O104" s="20">
        <v>2920</v>
      </c>
      <c r="P104" s="61">
        <v>75920</v>
      </c>
      <c r="Q104" s="20">
        <v>2816.2692307692309</v>
      </c>
      <c r="R104" s="30">
        <v>2697</v>
      </c>
      <c r="S104" s="32">
        <v>73223</v>
      </c>
      <c r="T104" s="65">
        <v>1</v>
      </c>
      <c r="U104" s="59" t="s">
        <v>571</v>
      </c>
      <c r="V104" s="148">
        <v>13060709</v>
      </c>
      <c r="W104" s="62" t="s">
        <v>112</v>
      </c>
      <c r="X104" s="4"/>
      <c r="Y104" s="7">
        <v>10007567</v>
      </c>
      <c r="Z104" s="7"/>
      <c r="AA104" s="7"/>
      <c r="AB104" s="20">
        <f t="shared" si="149"/>
        <v>2106.8024369775931</v>
      </c>
      <c r="AC104" s="223">
        <f>IFERROR(INDEX('Costos Producción Febrero'!$G$34:$G$57,MATCH(Resumen!Y104,'Costos Producción Febrero'!$B$34:$B$57,0))*AI104*G104,0)*1.07</f>
        <v>34697.292686911489</v>
      </c>
      <c r="AD104" s="46">
        <f>IFERROR(INDEX('Costos Producción Febrero'!$H$34:$H$57,MATCH(Resumen!Y104,'Costos Producción Febrero'!$B$34:$B$57,0))*AI104*G104,0)</f>
        <v>8739.3159279528154</v>
      </c>
      <c r="AE104" s="46">
        <f>IFERROR(INDEX('Costos Producción Febrero'!$I$34:$I$57,MATCH(Resumen!Y104,'Costos Producción Febrero'!$B$34:$B$57,0))*AI104*G104,0)</f>
        <v>566.7272682818973</v>
      </c>
      <c r="AF104" s="46">
        <f>IFERROR(INDEX('Costos Producción Febrero'!$J$34:$J$57,MATCH(Resumen!Y104,'Costos Producción Febrero'!$B$34:$B$57,0))*AI104*G104,0)</f>
        <v>10773.527478271213</v>
      </c>
      <c r="AG104" s="46">
        <f t="shared" si="150"/>
        <v>54776.863361417418</v>
      </c>
      <c r="AH104" s="46"/>
      <c r="AI104" s="46">
        <f>INDEX('Costos Producción Marzo'!$E$5:$E$37,MATCH(Resumen!Y104,'Costos Producción Marzo'!$A$5:$A$37,0))</f>
        <v>2019.4979622082253</v>
      </c>
      <c r="AJ104" s="46"/>
      <c r="AK104" s="45">
        <f t="shared" si="114"/>
        <v>21143.136638582582</v>
      </c>
      <c r="AL104" s="94">
        <f t="shared" si="115"/>
        <v>0.27849231610356406</v>
      </c>
      <c r="AM104" s="44">
        <f t="shared" si="116"/>
        <v>2697</v>
      </c>
      <c r="AN104" s="44">
        <f t="shared" si="117"/>
        <v>1883</v>
      </c>
      <c r="AO104" s="44">
        <f t="shared" si="118"/>
        <v>4580</v>
      </c>
      <c r="AP104" s="44">
        <f t="shared" si="122"/>
        <v>968.2215619090947</v>
      </c>
      <c r="AQ104" s="44">
        <f t="shared" si="123"/>
        <v>2196.69</v>
      </c>
      <c r="AR104" s="45">
        <f t="shared" si="141"/>
        <v>17791.605076673488</v>
      </c>
      <c r="AS104" s="94">
        <f t="shared" si="142"/>
        <v>0.23434674758526722</v>
      </c>
      <c r="AT104" s="44">
        <f t="shared" si="143"/>
        <v>1903.3595404978885</v>
      </c>
      <c r="AU104" s="45">
        <f t="shared" si="144"/>
        <v>15888.2455361756</v>
      </c>
      <c r="AV104" s="94">
        <f t="shared" si="145"/>
        <v>0.2092761530054742</v>
      </c>
      <c r="AW104" s="44">
        <f t="shared" si="146"/>
        <v>1521.5287828596613</v>
      </c>
      <c r="AX104" s="45">
        <f t="shared" si="147"/>
        <v>19313.133859533151</v>
      </c>
      <c r="AY104" s="94">
        <f t="shared" si="148"/>
        <v>0.25438795916139556</v>
      </c>
      <c r="BA104" s="10">
        <f t="shared" si="124"/>
        <v>2920</v>
      </c>
      <c r="BB104" s="10">
        <f t="shared" si="125"/>
        <v>-1334.5112571889035</v>
      </c>
      <c r="BC104" s="10">
        <f t="shared" si="126"/>
        <v>-336.12753569049289</v>
      </c>
      <c r="BD104" s="10">
        <f t="shared" si="127"/>
        <v>-21.79720262622682</v>
      </c>
      <c r="BE104" s="10">
        <f t="shared" si="128"/>
        <v>-414.36644147196972</v>
      </c>
      <c r="BF104" s="10">
        <f t="shared" si="129"/>
        <v>-2106.8024369775931</v>
      </c>
      <c r="BG104" s="10">
        <f t="shared" si="130"/>
        <v>813.19756302240705</v>
      </c>
      <c r="BH104" s="10">
        <f t="shared" si="131"/>
        <v>-103.73076923076923</v>
      </c>
      <c r="BI104" s="10">
        <f t="shared" si="132"/>
        <v>-72.42307692307692</v>
      </c>
      <c r="BJ104" s="10">
        <f t="shared" si="133"/>
        <v>-176.15384615384616</v>
      </c>
      <c r="BK104" s="10">
        <f t="shared" si="134"/>
        <v>-37.239290842657489</v>
      </c>
      <c r="BL104" s="10">
        <f t="shared" si="135"/>
        <v>84.488076923076932</v>
      </c>
      <c r="BM104" s="10">
        <f t="shared" si="136"/>
        <v>684.29250294898031</v>
      </c>
      <c r="BN104" s="10">
        <f t="shared" si="137"/>
        <v>-73.206136172995713</v>
      </c>
      <c r="BO104" s="10">
        <f t="shared" si="138"/>
        <v>611.08636677598463</v>
      </c>
      <c r="BP104" s="10">
        <f t="shared" si="139"/>
        <v>58.520337802294662</v>
      </c>
      <c r="BQ104" s="10">
        <f t="shared" si="140"/>
        <v>742.81284075127508</v>
      </c>
    </row>
    <row r="105" spans="2:69">
      <c r="B105" s="29" t="s">
        <v>8</v>
      </c>
      <c r="C105" s="29" t="s">
        <v>466</v>
      </c>
      <c r="D105" s="25" t="s">
        <v>536</v>
      </c>
      <c r="E105" s="100">
        <v>104</v>
      </c>
      <c r="F105" s="100">
        <v>46140</v>
      </c>
      <c r="G105" s="101">
        <v>108</v>
      </c>
      <c r="H105" s="194" t="s">
        <v>32</v>
      </c>
      <c r="I105" s="27" t="s">
        <v>155</v>
      </c>
      <c r="J105" s="7" t="s">
        <v>537</v>
      </c>
      <c r="K105" s="7" t="s">
        <v>171</v>
      </c>
      <c r="L105" s="7" t="s">
        <v>519</v>
      </c>
      <c r="M105" s="21" t="s">
        <v>511</v>
      </c>
      <c r="N105" s="7" t="s">
        <v>512</v>
      </c>
      <c r="O105" s="20">
        <v>2350</v>
      </c>
      <c r="P105" s="61">
        <v>253800</v>
      </c>
      <c r="Q105" s="20">
        <v>2319.212962962963</v>
      </c>
      <c r="R105" s="30">
        <v>3325</v>
      </c>
      <c r="S105" s="32">
        <v>250475</v>
      </c>
      <c r="T105" s="65">
        <v>1</v>
      </c>
      <c r="U105" s="59" t="s">
        <v>566</v>
      </c>
      <c r="V105" s="148">
        <v>6451281130</v>
      </c>
      <c r="W105" s="62" t="s">
        <v>122</v>
      </c>
      <c r="X105" s="4"/>
      <c r="Y105" s="7">
        <v>10006720</v>
      </c>
      <c r="Z105" s="7"/>
      <c r="AA105" s="7"/>
      <c r="AB105" s="20">
        <f t="shared" si="149"/>
        <v>2036.7531977672566</v>
      </c>
      <c r="AC105" s="223">
        <f>IFERROR(INDEX('Costos Producción Febrero'!$G$34:$G$57,MATCH(Resumen!Y105,'Costos Producción Febrero'!$B$34:$B$57,0))*AI105*G105,0)*1.07</f>
        <v>144540.92913595529</v>
      </c>
      <c r="AD105" s="46">
        <f>IFERROR(INDEX('Costos Producción Febrero'!$H$34:$H$57,MATCH(Resumen!Y105,'Costos Producción Febrero'!$B$34:$B$57,0))*AI105*G105,0)</f>
        <v>28413.410731598455</v>
      </c>
      <c r="AE105" s="46">
        <f>IFERROR(INDEX('Costos Producción Febrero'!$I$34:$I$57,MATCH(Resumen!Y105,'Costos Producción Febrero'!$B$34:$B$57,0))*AI105*G105,0)</f>
        <v>1967.0058083151275</v>
      </c>
      <c r="AF105" s="46">
        <f>IFERROR(INDEX('Costos Producción Febrero'!$J$34:$J$57,MATCH(Resumen!Y105,'Costos Producción Febrero'!$B$34:$B$57,0))*AI105*G105,0)</f>
        <v>45047.999682994836</v>
      </c>
      <c r="AG105" s="46">
        <f t="shared" si="150"/>
        <v>219969.34535886371</v>
      </c>
      <c r="AH105" s="46"/>
      <c r="AI105" s="46">
        <f>INDEX('Costos Producción Marzo'!$E$5:$E$37,MATCH(Resumen!Y105,'Costos Producción Marzo'!$A$5:$A$37,0))</f>
        <v>1949.1981178129743</v>
      </c>
      <c r="AJ105" s="46"/>
      <c r="AK105" s="45">
        <f t="shared" si="114"/>
        <v>33830.654641136294</v>
      </c>
      <c r="AL105" s="94">
        <f t="shared" si="115"/>
        <v>0.13329651158840147</v>
      </c>
      <c r="AM105" s="44">
        <f t="shared" si="116"/>
        <v>3325</v>
      </c>
      <c r="AN105" s="44">
        <f t="shared" si="117"/>
        <v>7821.6923076923076</v>
      </c>
      <c r="AO105" s="44">
        <f t="shared" si="118"/>
        <v>11146.692307692309</v>
      </c>
      <c r="AP105" s="44">
        <f t="shared" si="122"/>
        <v>4021.8434110070089</v>
      </c>
      <c r="AQ105" s="44">
        <f t="shared" si="123"/>
        <v>7514.25</v>
      </c>
      <c r="AR105" s="45">
        <f t="shared" si="141"/>
        <v>26176.368922436977</v>
      </c>
      <c r="AS105" s="94">
        <f t="shared" si="142"/>
        <v>0.10313778141228123</v>
      </c>
      <c r="AT105" s="44">
        <f t="shared" si="143"/>
        <v>7906.2627066835366</v>
      </c>
      <c r="AU105" s="45">
        <f t="shared" si="144"/>
        <v>18270.10621575344</v>
      </c>
      <c r="AV105" s="94">
        <f t="shared" si="145"/>
        <v>7.1986234104623487E-2</v>
      </c>
      <c r="AW105" s="44">
        <f t="shared" si="146"/>
        <v>6320.1964826478243</v>
      </c>
      <c r="AX105" s="45">
        <f t="shared" si="147"/>
        <v>32496.565405084802</v>
      </c>
      <c r="AY105" s="94">
        <f t="shared" si="148"/>
        <v>0.12804005281751302</v>
      </c>
      <c r="BA105" s="10">
        <f t="shared" si="124"/>
        <v>2350</v>
      </c>
      <c r="BB105" s="10">
        <f t="shared" si="125"/>
        <v>-1338.3419364440304</v>
      </c>
      <c r="BC105" s="10">
        <f t="shared" si="126"/>
        <v>-263.08713640368939</v>
      </c>
      <c r="BD105" s="10">
        <f t="shared" si="127"/>
        <v>-18.213016743658589</v>
      </c>
      <c r="BE105" s="10">
        <f t="shared" si="128"/>
        <v>-417.11110817587809</v>
      </c>
      <c r="BF105" s="10">
        <f t="shared" si="129"/>
        <v>-2036.7531977672566</v>
      </c>
      <c r="BG105" s="10">
        <f t="shared" si="130"/>
        <v>313.24680223274345</v>
      </c>
      <c r="BH105" s="10">
        <f t="shared" si="131"/>
        <v>-30.787037037037038</v>
      </c>
      <c r="BI105" s="10">
        <f t="shared" si="132"/>
        <v>-72.42307692307692</v>
      </c>
      <c r="BJ105" s="10">
        <f t="shared" si="133"/>
        <v>-103.21011396011397</v>
      </c>
      <c r="BK105" s="10">
        <f t="shared" si="134"/>
        <v>-37.239290842657489</v>
      </c>
      <c r="BL105" s="10">
        <f t="shared" si="135"/>
        <v>69.576388888888886</v>
      </c>
      <c r="BM105" s="10">
        <f t="shared" si="136"/>
        <v>242.37378631886091</v>
      </c>
      <c r="BN105" s="10">
        <f t="shared" si="137"/>
        <v>-73.206136172995713</v>
      </c>
      <c r="BO105" s="10">
        <f t="shared" si="138"/>
        <v>169.1676501458652</v>
      </c>
      <c r="BP105" s="10">
        <f t="shared" si="139"/>
        <v>58.520337802294669</v>
      </c>
      <c r="BQ105" s="10">
        <f t="shared" si="140"/>
        <v>300.89412412115558</v>
      </c>
    </row>
    <row r="106" spans="2:69">
      <c r="B106" s="29" t="s">
        <v>8</v>
      </c>
      <c r="C106" s="29" t="s">
        <v>466</v>
      </c>
      <c r="D106" s="25" t="s">
        <v>536</v>
      </c>
      <c r="E106" s="100">
        <v>104</v>
      </c>
      <c r="F106" s="100">
        <v>46140</v>
      </c>
      <c r="G106" s="101">
        <v>27</v>
      </c>
      <c r="H106" s="193" t="s">
        <v>31</v>
      </c>
      <c r="I106" s="27" t="s">
        <v>107</v>
      </c>
      <c r="J106" s="7" t="s">
        <v>518</v>
      </c>
      <c r="K106" s="7" t="s">
        <v>171</v>
      </c>
      <c r="L106" s="7" t="s">
        <v>519</v>
      </c>
      <c r="M106" s="21" t="s">
        <v>511</v>
      </c>
      <c r="N106" s="7" t="s">
        <v>512</v>
      </c>
      <c r="O106" s="20">
        <v>2850</v>
      </c>
      <c r="P106" s="61">
        <v>76950</v>
      </c>
      <c r="Q106" s="20">
        <v>2726.8518518518517</v>
      </c>
      <c r="R106" s="30">
        <v>3325</v>
      </c>
      <c r="S106" s="32">
        <v>73625</v>
      </c>
      <c r="T106" s="65">
        <v>1</v>
      </c>
      <c r="U106" s="59" t="s">
        <v>566</v>
      </c>
      <c r="V106" s="148">
        <v>6451281130</v>
      </c>
      <c r="W106" s="62" t="s">
        <v>122</v>
      </c>
      <c r="X106" s="4"/>
      <c r="Y106" s="7">
        <v>10007162</v>
      </c>
      <c r="Z106" s="7"/>
      <c r="AA106" s="7"/>
      <c r="AB106" s="20">
        <f t="shared" si="149"/>
        <v>2104.8006424908026</v>
      </c>
      <c r="AC106" s="223">
        <f>IFERROR(INDEX('Costos Producción Febrero'!$G$34:$G$57,MATCH(Resumen!Y106,'Costos Producción Febrero'!$B$34:$B$57,0))*AI106*G106,0)*1.07</f>
        <v>35749.871133055174</v>
      </c>
      <c r="AD106" s="46">
        <f>IFERROR(INDEX('Costos Producción Febrero'!$H$34:$H$57,MATCH(Resumen!Y106,'Costos Producción Febrero'!$B$34:$B$57,0))*AI106*G106,0)</f>
        <v>9486.0760266905945</v>
      </c>
      <c r="AE106" s="46">
        <f>IFERROR(INDEX('Costos Producción Febrero'!$I$34:$I$57,MATCH(Resumen!Y106,'Costos Producción Febrero'!$B$34:$B$57,0))*AI106*G106,0)</f>
        <v>505.16224669359457</v>
      </c>
      <c r="AF106" s="46">
        <f>IFERROR(INDEX('Costos Producción Febrero'!$J$34:$J$57,MATCH(Resumen!Y106,'Costos Producción Febrero'!$B$34:$B$57,0))*AI106*G106,0)</f>
        <v>11088.507940812309</v>
      </c>
      <c r="AG106" s="46">
        <f t="shared" si="150"/>
        <v>56829.617347251668</v>
      </c>
      <c r="AH106" s="46"/>
      <c r="AI106" s="46">
        <f>INDEX('Costos Producción Marzo'!$E$5:$E$37,MATCH(Resumen!Y106,'Costos Producción Marzo'!$A$5:$A$37,0))</f>
        <v>2018.1792863359442</v>
      </c>
      <c r="AJ106" s="46"/>
      <c r="AK106" s="45">
        <f t="shared" si="114"/>
        <v>20120.382652748332</v>
      </c>
      <c r="AL106" s="94">
        <f t="shared" si="115"/>
        <v>0.26147345877515704</v>
      </c>
      <c r="AM106" s="44">
        <f t="shared" si="116"/>
        <v>3325</v>
      </c>
      <c r="AN106" s="44">
        <f t="shared" si="117"/>
        <v>1955.4230769230769</v>
      </c>
      <c r="AO106" s="44">
        <f t="shared" si="118"/>
        <v>5280.4230769230771</v>
      </c>
      <c r="AP106" s="44">
        <f t="shared" si="122"/>
        <v>1005.4608527517522</v>
      </c>
      <c r="AQ106" s="44">
        <f t="shared" si="123"/>
        <v>2208.75</v>
      </c>
      <c r="AR106" s="45">
        <f t="shared" si="141"/>
        <v>16043.248723073502</v>
      </c>
      <c r="AS106" s="94">
        <f t="shared" si="142"/>
        <v>0.20848926215820016</v>
      </c>
      <c r="AT106" s="44">
        <f t="shared" si="143"/>
        <v>1976.5656766708842</v>
      </c>
      <c r="AU106" s="45">
        <f t="shared" si="144"/>
        <v>14066.683046402619</v>
      </c>
      <c r="AV106" s="94">
        <f t="shared" si="145"/>
        <v>0.182802898588728</v>
      </c>
      <c r="AW106" s="44">
        <f t="shared" si="146"/>
        <v>1580.0491206619561</v>
      </c>
      <c r="AX106" s="45">
        <f t="shared" si="147"/>
        <v>17623.297843735458</v>
      </c>
      <c r="AY106" s="94">
        <f t="shared" si="148"/>
        <v>0.22902271401865443</v>
      </c>
      <c r="BA106" s="10">
        <f t="shared" si="124"/>
        <v>2850</v>
      </c>
      <c r="BB106" s="10">
        <f t="shared" si="125"/>
        <v>-1324.0693012242657</v>
      </c>
      <c r="BC106" s="10">
        <f t="shared" si="126"/>
        <v>-351.33614913668868</v>
      </c>
      <c r="BD106" s="10">
        <f t="shared" si="127"/>
        <v>-18.709712840503503</v>
      </c>
      <c r="BE106" s="10">
        <f t="shared" si="128"/>
        <v>-410.68547928934481</v>
      </c>
      <c r="BF106" s="10">
        <f t="shared" si="129"/>
        <v>-2104.8006424908026</v>
      </c>
      <c r="BG106" s="10">
        <f t="shared" si="130"/>
        <v>745.19935750919751</v>
      </c>
      <c r="BH106" s="10">
        <f t="shared" si="131"/>
        <v>-123.14814814814815</v>
      </c>
      <c r="BI106" s="10">
        <f t="shared" si="132"/>
        <v>-72.42307692307692</v>
      </c>
      <c r="BJ106" s="10">
        <f t="shared" si="133"/>
        <v>-195.57122507122509</v>
      </c>
      <c r="BK106" s="10">
        <f t="shared" si="134"/>
        <v>-37.239290842657489</v>
      </c>
      <c r="BL106" s="10">
        <f t="shared" si="135"/>
        <v>81.805555555555557</v>
      </c>
      <c r="BM106" s="10">
        <f t="shared" si="136"/>
        <v>594.19439715087049</v>
      </c>
      <c r="BN106" s="10">
        <f t="shared" si="137"/>
        <v>-73.206136172995713</v>
      </c>
      <c r="BO106" s="10">
        <f t="shared" si="138"/>
        <v>520.9882609778748</v>
      </c>
      <c r="BP106" s="10">
        <f t="shared" si="139"/>
        <v>58.520337802294669</v>
      </c>
      <c r="BQ106" s="10">
        <f t="shared" si="140"/>
        <v>652.71473495316513</v>
      </c>
    </row>
    <row r="107" spans="2:69">
      <c r="B107" s="29" t="s">
        <v>8</v>
      </c>
      <c r="C107" s="29" t="s">
        <v>466</v>
      </c>
      <c r="D107" s="25" t="s">
        <v>538</v>
      </c>
      <c r="E107" s="100">
        <v>106</v>
      </c>
      <c r="F107" s="100">
        <v>46140</v>
      </c>
      <c r="G107" s="101">
        <v>70.900000000000006</v>
      </c>
      <c r="H107" s="194" t="s">
        <v>33</v>
      </c>
      <c r="I107" s="27" t="s">
        <v>132</v>
      </c>
      <c r="J107" s="7" t="s">
        <v>539</v>
      </c>
      <c r="K107" s="7" t="s">
        <v>141</v>
      </c>
      <c r="L107" s="7" t="s">
        <v>522</v>
      </c>
      <c r="M107" s="21" t="s">
        <v>43</v>
      </c>
      <c r="N107" s="7" t="s">
        <v>129</v>
      </c>
      <c r="O107" s="20">
        <v>2300</v>
      </c>
      <c r="P107" s="61">
        <v>163070</v>
      </c>
      <c r="Q107" s="20">
        <v>2164.5557122708037</v>
      </c>
      <c r="R107" s="30">
        <v>9603</v>
      </c>
      <c r="S107" s="32">
        <v>153467</v>
      </c>
      <c r="T107" s="65">
        <v>3</v>
      </c>
      <c r="U107" s="59" t="s">
        <v>566</v>
      </c>
      <c r="V107" s="148" t="s">
        <v>573</v>
      </c>
      <c r="W107" s="62" t="s">
        <v>122</v>
      </c>
      <c r="X107" s="4"/>
      <c r="Y107" s="7">
        <v>10005721</v>
      </c>
      <c r="Z107" s="7"/>
      <c r="AA107" s="7"/>
      <c r="AB107" s="20">
        <f t="shared" si="149"/>
        <v>2184.3424535699546</v>
      </c>
      <c r="AC107" s="223">
        <f>IFERROR(INDEX('Costos Producción Febrero'!$G$34:$G$57,MATCH(Resumen!Y107,'Costos Producción Febrero'!$B$34:$B$57,0))*AI107*G107,0)*1.07</f>
        <v>96534.124097687454</v>
      </c>
      <c r="AD107" s="46">
        <f>IFERROR(INDEX('Costos Producción Febrero'!$H$34:$H$57,MATCH(Resumen!Y107,'Costos Producción Febrero'!$B$34:$B$57,0))*AI107*G107,0)</f>
        <v>26435.983663709027</v>
      </c>
      <c r="AE107" s="46">
        <f>IFERROR(INDEX('Costos Producción Febrero'!$I$34:$I$57,MATCH(Resumen!Y107,'Costos Producción Febrero'!$B$34:$B$57,0))*AI107*G107,0)</f>
        <v>1619.5278637629315</v>
      </c>
      <c r="AF107" s="46">
        <f>IFERROR(INDEX('Costos Producción Febrero'!$J$34:$J$57,MATCH(Resumen!Y107,'Costos Producción Febrero'!$B$34:$B$57,0))*AI107*G107,0)</f>
        <v>30280.244332950369</v>
      </c>
      <c r="AG107" s="46">
        <f t="shared" si="150"/>
        <v>154869.87995810978</v>
      </c>
      <c r="AH107" s="46"/>
      <c r="AI107" s="46">
        <f>INDEX('Costos Producción Marzo'!$E$5:$E$37,MATCH(Resumen!Y107,'Costos Producción Marzo'!$A$5:$A$37,0))</f>
        <v>2095.2688776918831</v>
      </c>
      <c r="AJ107" s="46"/>
      <c r="AK107" s="45">
        <f t="shared" si="114"/>
        <v>8200.1200418902154</v>
      </c>
      <c r="AL107" s="94">
        <f t="shared" si="115"/>
        <v>5.0285889752193634E-2</v>
      </c>
      <c r="AM107" s="44">
        <f t="shared" si="116"/>
        <v>9603</v>
      </c>
      <c r="AN107" s="44">
        <f t="shared" si="117"/>
        <v>5134.7961538461541</v>
      </c>
      <c r="AO107" s="44">
        <f t="shared" si="118"/>
        <v>14737.796153846153</v>
      </c>
      <c r="AP107" s="44">
        <f t="shared" si="122"/>
        <v>2640.2657207444163</v>
      </c>
      <c r="AQ107" s="44">
        <f t="shared" si="123"/>
        <v>4604.01</v>
      </c>
      <c r="AR107" s="45">
        <f t="shared" si="141"/>
        <v>-4573.9318327003548</v>
      </c>
      <c r="AS107" s="94">
        <f t="shared" si="142"/>
        <v>-2.8048885955113477E-2</v>
      </c>
      <c r="AT107" s="44">
        <f t="shared" si="143"/>
        <v>5190.315054665396</v>
      </c>
      <c r="AU107" s="45">
        <f t="shared" si="144"/>
        <v>-9764.2468873657508</v>
      </c>
      <c r="AV107" s="94">
        <f t="shared" si="145"/>
        <v>-5.9877640812937699E-2</v>
      </c>
      <c r="AW107" s="44">
        <f t="shared" si="146"/>
        <v>4149.091950182692</v>
      </c>
      <c r="AX107" s="45">
        <f t="shared" si="147"/>
        <v>-424.83988251766277</v>
      </c>
      <c r="AY107" s="94">
        <f t="shared" si="148"/>
        <v>-2.605260823681013E-3</v>
      </c>
      <c r="BA107" s="10">
        <f t="shared" si="124"/>
        <v>2300</v>
      </c>
      <c r="BB107" s="10">
        <f t="shared" si="125"/>
        <v>-1361.5532312790895</v>
      </c>
      <c r="BC107" s="10">
        <f t="shared" si="126"/>
        <v>-372.86295717502151</v>
      </c>
      <c r="BD107" s="10">
        <f t="shared" si="127"/>
        <v>-22.842424030506788</v>
      </c>
      <c r="BE107" s="10">
        <f t="shared" si="128"/>
        <v>-427.08384108533664</v>
      </c>
      <c r="BF107" s="10">
        <f t="shared" si="129"/>
        <v>-2184.3424535699546</v>
      </c>
      <c r="BG107" s="10">
        <f t="shared" si="130"/>
        <v>115.65754643004534</v>
      </c>
      <c r="BH107" s="10">
        <f t="shared" si="131"/>
        <v>-135.44428772919605</v>
      </c>
      <c r="BI107" s="10">
        <f t="shared" si="132"/>
        <v>-72.42307692307692</v>
      </c>
      <c r="BJ107" s="10">
        <f t="shared" si="133"/>
        <v>-207.86736465227295</v>
      </c>
      <c r="BK107" s="10">
        <f t="shared" si="134"/>
        <v>-37.239290842657489</v>
      </c>
      <c r="BL107" s="10">
        <f t="shared" si="135"/>
        <v>64.936671368124109</v>
      </c>
      <c r="BM107" s="10">
        <f t="shared" si="136"/>
        <v>-64.512437696760998</v>
      </c>
      <c r="BN107" s="10">
        <f t="shared" si="137"/>
        <v>-73.206136172995713</v>
      </c>
      <c r="BO107" s="10">
        <f t="shared" si="138"/>
        <v>-137.71857386975671</v>
      </c>
      <c r="BP107" s="10">
        <f t="shared" si="139"/>
        <v>58.520337802294662</v>
      </c>
      <c r="BQ107" s="10">
        <f t="shared" si="140"/>
        <v>-5.9920998944663291</v>
      </c>
    </row>
    <row r="108" spans="2:69">
      <c r="B108" s="29" t="s">
        <v>8</v>
      </c>
      <c r="C108" s="29" t="s">
        <v>466</v>
      </c>
      <c r="D108" s="25" t="s">
        <v>540</v>
      </c>
      <c r="E108" s="100">
        <v>107</v>
      </c>
      <c r="F108" s="100">
        <v>46140</v>
      </c>
      <c r="G108" s="101">
        <v>24</v>
      </c>
      <c r="H108" s="194" t="s">
        <v>33</v>
      </c>
      <c r="I108" s="27" t="s">
        <v>132</v>
      </c>
      <c r="J108" s="7" t="s">
        <v>541</v>
      </c>
      <c r="K108" s="7" t="s">
        <v>141</v>
      </c>
      <c r="L108" s="7" t="s">
        <v>542</v>
      </c>
      <c r="M108" s="21" t="s">
        <v>43</v>
      </c>
      <c r="N108" s="7" t="s">
        <v>129</v>
      </c>
      <c r="O108" s="20">
        <v>2200</v>
      </c>
      <c r="P108" s="61">
        <v>52800</v>
      </c>
      <c r="Q108" s="20">
        <v>2062.4583333333335</v>
      </c>
      <c r="R108" s="30">
        <v>3301</v>
      </c>
      <c r="S108" s="32">
        <v>49499</v>
      </c>
      <c r="T108" s="65">
        <v>1</v>
      </c>
      <c r="U108" s="59" t="s">
        <v>566</v>
      </c>
      <c r="V108" s="148" t="s">
        <v>574</v>
      </c>
      <c r="W108" s="62" t="s">
        <v>122</v>
      </c>
      <c r="X108" s="4"/>
      <c r="Y108" s="7">
        <v>10005721</v>
      </c>
      <c r="Z108" s="7"/>
      <c r="AA108" s="7"/>
      <c r="AB108" s="20">
        <f t="shared" si="149"/>
        <v>2184.3424535699546</v>
      </c>
      <c r="AC108" s="223">
        <f>IFERROR(INDEX('Costos Producción Febrero'!$G$34:$G$57,MATCH(Resumen!Y108,'Costos Producción Febrero'!$B$34:$B$57,0))*AI108*G108,0)*1.07</f>
        <v>32677.277550698149</v>
      </c>
      <c r="AD108" s="46">
        <f>IFERROR(INDEX('Costos Producción Febrero'!$H$34:$H$57,MATCH(Resumen!Y108,'Costos Producción Febrero'!$B$34:$B$57,0))*AI108*G108,0)</f>
        <v>8948.7109722005152</v>
      </c>
      <c r="AE108" s="46">
        <f>IFERROR(INDEX('Costos Producción Febrero'!$I$34:$I$57,MATCH(Resumen!Y108,'Costos Producción Febrero'!$B$34:$B$57,0))*AI108*G108,0)</f>
        <v>548.21817673216287</v>
      </c>
      <c r="AF108" s="46">
        <f>IFERROR(INDEX('Costos Producción Febrero'!$J$34:$J$57,MATCH(Resumen!Y108,'Costos Producción Febrero'!$B$34:$B$57,0))*AI108*G108,0)</f>
        <v>10250.012186048079</v>
      </c>
      <c r="AG108" s="46">
        <f t="shared" si="150"/>
        <v>52424.218885678907</v>
      </c>
      <c r="AH108" s="46"/>
      <c r="AI108" s="46">
        <f>INDEX('Costos Producción Marzo'!$E$5:$E$37,MATCH(Resumen!Y108,'Costos Producción Marzo'!$A$5:$A$37,0))</f>
        <v>2095.2688776918831</v>
      </c>
      <c r="AJ108" s="46"/>
      <c r="AK108" s="45">
        <f t="shared" si="114"/>
        <v>375.7811143210929</v>
      </c>
      <c r="AL108" s="94">
        <f t="shared" si="115"/>
        <v>7.1170665591116077E-3</v>
      </c>
      <c r="AM108" s="44">
        <f t="shared" si="116"/>
        <v>3301</v>
      </c>
      <c r="AN108" s="44">
        <f t="shared" si="117"/>
        <v>1738.1538461538462</v>
      </c>
      <c r="AO108" s="44">
        <f t="shared" si="118"/>
        <v>5039.1538461538457</v>
      </c>
      <c r="AP108" s="44">
        <f t="shared" si="122"/>
        <v>893.7429802237798</v>
      </c>
      <c r="AQ108" s="44">
        <f t="shared" si="123"/>
        <v>1484.97</v>
      </c>
      <c r="AR108" s="45">
        <f t="shared" si="141"/>
        <v>-4072.1457120565328</v>
      </c>
      <c r="AS108" s="94">
        <f t="shared" si="142"/>
        <v>-7.7123971819252513E-2</v>
      </c>
      <c r="AT108" s="44">
        <f t="shared" si="143"/>
        <v>1756.9472681518971</v>
      </c>
      <c r="AU108" s="45">
        <f t="shared" si="144"/>
        <v>-5829.0929802084302</v>
      </c>
      <c r="AV108" s="94">
        <f t="shared" si="145"/>
        <v>-0.11039948826152329</v>
      </c>
      <c r="AW108" s="44">
        <f t="shared" si="146"/>
        <v>1404.488107255072</v>
      </c>
      <c r="AX108" s="45">
        <f t="shared" si="147"/>
        <v>-2667.6576048014608</v>
      </c>
      <c r="AY108" s="94">
        <f t="shared" si="148"/>
        <v>-5.0523818272754942E-2</v>
      </c>
      <c r="BA108" s="10">
        <f t="shared" si="124"/>
        <v>2200</v>
      </c>
      <c r="BB108" s="10">
        <f t="shared" si="125"/>
        <v>-1361.5532312790895</v>
      </c>
      <c r="BC108" s="10">
        <f t="shared" si="126"/>
        <v>-372.86295717502145</v>
      </c>
      <c r="BD108" s="10">
        <f t="shared" si="127"/>
        <v>-22.842424030506788</v>
      </c>
      <c r="BE108" s="10">
        <f t="shared" si="128"/>
        <v>-427.08384108533664</v>
      </c>
      <c r="BF108" s="10">
        <f t="shared" si="129"/>
        <v>-2184.3424535699546</v>
      </c>
      <c r="BG108" s="10">
        <f t="shared" si="130"/>
        <v>15.657546430045537</v>
      </c>
      <c r="BH108" s="10">
        <f t="shared" si="131"/>
        <v>-137.54166666666666</v>
      </c>
      <c r="BI108" s="10">
        <f t="shared" si="132"/>
        <v>-72.42307692307692</v>
      </c>
      <c r="BJ108" s="10">
        <f t="shared" si="133"/>
        <v>-209.96474358974356</v>
      </c>
      <c r="BK108" s="10">
        <f t="shared" si="134"/>
        <v>-37.239290842657489</v>
      </c>
      <c r="BL108" s="10">
        <f t="shared" si="135"/>
        <v>61.873750000000001</v>
      </c>
      <c r="BM108" s="10">
        <f t="shared" si="136"/>
        <v>-169.67273800235554</v>
      </c>
      <c r="BN108" s="10">
        <f t="shared" si="137"/>
        <v>-73.206136172995713</v>
      </c>
      <c r="BO108" s="10">
        <f t="shared" si="138"/>
        <v>-242.87887417535126</v>
      </c>
      <c r="BP108" s="10">
        <f t="shared" si="139"/>
        <v>58.520337802294669</v>
      </c>
      <c r="BQ108" s="10">
        <f t="shared" si="140"/>
        <v>-111.15240020006087</v>
      </c>
    </row>
    <row r="109" spans="2:69">
      <c r="B109" s="29" t="s">
        <v>8</v>
      </c>
      <c r="C109" s="29" t="s">
        <v>466</v>
      </c>
      <c r="D109" s="25" t="s">
        <v>543</v>
      </c>
      <c r="E109" s="100">
        <v>108</v>
      </c>
      <c r="F109" s="100">
        <v>46139</v>
      </c>
      <c r="G109" s="101">
        <v>134.94</v>
      </c>
      <c r="H109" s="193" t="s">
        <v>31</v>
      </c>
      <c r="I109" s="27" t="s">
        <v>107</v>
      </c>
      <c r="J109" s="7" t="s">
        <v>544</v>
      </c>
      <c r="K109" s="7" t="s">
        <v>161</v>
      </c>
      <c r="L109" s="7" t="s">
        <v>147</v>
      </c>
      <c r="M109" s="21" t="s">
        <v>52</v>
      </c>
      <c r="N109" s="7" t="s">
        <v>148</v>
      </c>
      <c r="O109" s="20">
        <v>2400</v>
      </c>
      <c r="P109" s="61">
        <v>323856</v>
      </c>
      <c r="Q109" s="20">
        <v>2213.9172965762564</v>
      </c>
      <c r="R109" s="30">
        <v>25110</v>
      </c>
      <c r="S109" s="32">
        <v>298746</v>
      </c>
      <c r="T109" s="65">
        <v>5</v>
      </c>
      <c r="U109" s="59" t="s">
        <v>571</v>
      </c>
      <c r="V109" s="148">
        <v>23616054</v>
      </c>
      <c r="W109" s="62" t="s">
        <v>112</v>
      </c>
      <c r="X109" s="4"/>
      <c r="Y109" s="7">
        <v>10007162</v>
      </c>
      <c r="Z109" s="7"/>
      <c r="AA109" s="7"/>
      <c r="AB109" s="20">
        <f t="shared" si="149"/>
        <v>2104.8006424908026</v>
      </c>
      <c r="AC109" s="223">
        <f>IFERROR(INDEX('Costos Producción Febrero'!$G$34:$G$57,MATCH(Resumen!Y109,'Costos Producción Febrero'!$B$34:$B$57,0))*AI109*G109,0)*1.07</f>
        <v>178669.9115072024</v>
      </c>
      <c r="AD109" s="46">
        <f>IFERROR(INDEX('Costos Producción Febrero'!$H$34:$H$57,MATCH(Resumen!Y109,'Costos Producción Febrero'!$B$34:$B$57,0))*AI109*G109,0)</f>
        <v>47409.299964504768</v>
      </c>
      <c r="AE109" s="46">
        <f>IFERROR(INDEX('Costos Producción Febrero'!$I$34:$I$57,MATCH(Resumen!Y109,'Costos Producción Febrero'!$B$34:$B$57,0))*AI109*G109,0)</f>
        <v>2524.6886506975425</v>
      </c>
      <c r="AF109" s="46">
        <f>IFERROR(INDEX('Costos Producción Febrero'!$J$34:$J$57,MATCH(Resumen!Y109,'Costos Producción Febrero'!$B$34:$B$57,0))*AI109*G109,0)</f>
        <v>55417.898575304178</v>
      </c>
      <c r="AG109" s="46">
        <f t="shared" si="150"/>
        <v>284021.79869770887</v>
      </c>
      <c r="AH109" s="46"/>
      <c r="AI109" s="46">
        <f>INDEX('Costos Producción Marzo'!$E$5:$E$37,MATCH(Resumen!Y109,'Costos Producción Marzo'!$A$5:$A$37,0))</f>
        <v>2018.1792863359442</v>
      </c>
      <c r="AJ109" s="46"/>
      <c r="AK109" s="45">
        <f t="shared" si="114"/>
        <v>39834.201302291127</v>
      </c>
      <c r="AL109" s="94">
        <f t="shared" si="115"/>
        <v>0.12299973229549901</v>
      </c>
      <c r="AM109" s="44">
        <f t="shared" si="116"/>
        <v>25110</v>
      </c>
      <c r="AN109" s="44">
        <f t="shared" si="117"/>
        <v>9772.7699999999986</v>
      </c>
      <c r="AO109" s="44">
        <f t="shared" si="118"/>
        <v>34882.769999999997</v>
      </c>
      <c r="AP109" s="44">
        <f t="shared" si="122"/>
        <v>5025.0699063082011</v>
      </c>
      <c r="AQ109" s="44">
        <f t="shared" si="123"/>
        <v>8962.3799999999992</v>
      </c>
      <c r="AR109" s="45">
        <f t="shared" si="141"/>
        <v>8888.7413959829282</v>
      </c>
      <c r="AS109" s="94">
        <f t="shared" si="142"/>
        <v>2.7446585507086261E-2</v>
      </c>
      <c r="AT109" s="44">
        <f t="shared" si="143"/>
        <v>9878.436015184041</v>
      </c>
      <c r="AU109" s="45">
        <f t="shared" si="144"/>
        <v>-989.6946192011128</v>
      </c>
      <c r="AV109" s="94">
        <f t="shared" si="145"/>
        <v>-3.0559712316619511E-3</v>
      </c>
      <c r="AW109" s="44">
        <f t="shared" si="146"/>
        <v>7896.7343830416421</v>
      </c>
      <c r="AX109" s="45">
        <f t="shared" si="147"/>
        <v>16785.475779024571</v>
      </c>
      <c r="AY109" s="94">
        <f t="shared" si="148"/>
        <v>5.183005959137571E-2</v>
      </c>
      <c r="BA109" s="10">
        <f t="shared" si="124"/>
        <v>2400</v>
      </c>
      <c r="BB109" s="10">
        <f t="shared" si="125"/>
        <v>-1324.0693012242657</v>
      </c>
      <c r="BC109" s="10">
        <f t="shared" si="126"/>
        <v>-351.33614913668868</v>
      </c>
      <c r="BD109" s="10">
        <f t="shared" si="127"/>
        <v>-18.709712840503503</v>
      </c>
      <c r="BE109" s="10">
        <f t="shared" si="128"/>
        <v>-410.68547928934476</v>
      </c>
      <c r="BF109" s="10">
        <f t="shared" si="129"/>
        <v>-2104.8006424908026</v>
      </c>
      <c r="BG109" s="10">
        <f t="shared" si="130"/>
        <v>295.19935750919763</v>
      </c>
      <c r="BH109" s="10">
        <f t="shared" si="131"/>
        <v>-186.08270342374388</v>
      </c>
      <c r="BI109" s="10">
        <f t="shared" si="132"/>
        <v>-72.42307692307692</v>
      </c>
      <c r="BJ109" s="10">
        <f t="shared" si="133"/>
        <v>-258.50578034682081</v>
      </c>
      <c r="BK109" s="10">
        <f t="shared" si="134"/>
        <v>-37.239290842657489</v>
      </c>
      <c r="BL109" s="10">
        <f t="shared" si="135"/>
        <v>66.417518897287678</v>
      </c>
      <c r="BM109" s="10">
        <f t="shared" si="136"/>
        <v>65.871805217007022</v>
      </c>
      <c r="BN109" s="10">
        <f t="shared" si="137"/>
        <v>-73.206136172995713</v>
      </c>
      <c r="BO109" s="10">
        <f t="shared" si="138"/>
        <v>-7.3343309559886825</v>
      </c>
      <c r="BP109" s="10">
        <f t="shared" si="139"/>
        <v>58.520337802294669</v>
      </c>
      <c r="BQ109" s="10">
        <f t="shared" si="140"/>
        <v>124.3921430193017</v>
      </c>
    </row>
    <row r="110" spans="2:69">
      <c r="B110" s="29" t="s">
        <v>8</v>
      </c>
      <c r="C110" s="29" t="s">
        <v>466</v>
      </c>
      <c r="D110" s="25" t="s">
        <v>545</v>
      </c>
      <c r="E110" s="100">
        <v>108</v>
      </c>
      <c r="F110" s="100">
        <v>46139</v>
      </c>
      <c r="G110" s="101">
        <v>162</v>
      </c>
      <c r="H110" s="193" t="s">
        <v>31</v>
      </c>
      <c r="I110" s="27" t="s">
        <v>107</v>
      </c>
      <c r="J110" s="7" t="s">
        <v>544</v>
      </c>
      <c r="K110" s="7" t="s">
        <v>161</v>
      </c>
      <c r="L110" s="7" t="s">
        <v>147</v>
      </c>
      <c r="M110" s="21" t="s">
        <v>52</v>
      </c>
      <c r="N110" s="7" t="s">
        <v>148</v>
      </c>
      <c r="O110" s="20">
        <v>2400</v>
      </c>
      <c r="P110" s="61">
        <v>388800</v>
      </c>
      <c r="Q110" s="20">
        <v>2214.0432098765432</v>
      </c>
      <c r="R110" s="30">
        <v>30125</v>
      </c>
      <c r="S110" s="32">
        <v>358675</v>
      </c>
      <c r="T110" s="65">
        <v>6</v>
      </c>
      <c r="U110" s="59" t="s">
        <v>571</v>
      </c>
      <c r="V110" s="148">
        <v>16115713</v>
      </c>
      <c r="W110" s="62" t="s">
        <v>112</v>
      </c>
      <c r="X110" s="4"/>
      <c r="Y110" s="7">
        <v>10007162</v>
      </c>
      <c r="Z110" s="7"/>
      <c r="AA110" s="7"/>
      <c r="AB110" s="20">
        <f t="shared" si="149"/>
        <v>2104.8006424908021</v>
      </c>
      <c r="AC110" s="223">
        <f>IFERROR(INDEX('Costos Producción Febrero'!$G$34:$G$57,MATCH(Resumen!Y110,'Costos Producción Febrero'!$B$34:$B$57,0))*AI110*G110,0)*1.07</f>
        <v>214499.22679833102</v>
      </c>
      <c r="AD110" s="46">
        <f>IFERROR(INDEX('Costos Producción Febrero'!$H$34:$H$57,MATCH(Resumen!Y110,'Costos Producción Febrero'!$B$34:$B$57,0))*AI110*G110,0)</f>
        <v>56916.456160143563</v>
      </c>
      <c r="AE110" s="46">
        <f>IFERROR(INDEX('Costos Producción Febrero'!$I$34:$I$57,MATCH(Resumen!Y110,'Costos Producción Febrero'!$B$34:$B$57,0))*AI110*G110,0)</f>
        <v>3030.9734801615673</v>
      </c>
      <c r="AF110" s="46">
        <f>IFERROR(INDEX('Costos Producción Febrero'!$J$34:$J$57,MATCH(Resumen!Y110,'Costos Producción Febrero'!$B$34:$B$57,0))*AI110*G110,0)</f>
        <v>66531.047644873848</v>
      </c>
      <c r="AG110" s="46">
        <f t="shared" si="150"/>
        <v>340977.70408350998</v>
      </c>
      <c r="AH110" s="46"/>
      <c r="AI110" s="46">
        <f>INDEX('Costos Producción Marzo'!$E$5:$E$37,MATCH(Resumen!Y110,'Costos Producción Marzo'!$A$5:$A$37,0))</f>
        <v>2018.1792863359442</v>
      </c>
      <c r="AJ110" s="46"/>
      <c r="AK110" s="45">
        <f t="shared" si="114"/>
        <v>47822.295916490024</v>
      </c>
      <c r="AL110" s="94">
        <f t="shared" si="115"/>
        <v>0.12299973229549903</v>
      </c>
      <c r="AM110" s="44">
        <f t="shared" si="116"/>
        <v>30125</v>
      </c>
      <c r="AN110" s="44">
        <f t="shared" si="117"/>
        <v>11732.538461538461</v>
      </c>
      <c r="AO110" s="44">
        <f t="shared" si="118"/>
        <v>41857.538461538461</v>
      </c>
      <c r="AP110" s="44">
        <f t="shared" si="122"/>
        <v>6032.7651165105135</v>
      </c>
      <c r="AQ110" s="44">
        <f t="shared" si="123"/>
        <v>10760.25</v>
      </c>
      <c r="AR110" s="45">
        <f t="shared" si="141"/>
        <v>10692.24233844105</v>
      </c>
      <c r="AS110" s="94">
        <f t="shared" si="142"/>
        <v>2.7500623298459492E-2</v>
      </c>
      <c r="AT110" s="44">
        <f t="shared" si="143"/>
        <v>11859.394060025306</v>
      </c>
      <c r="AU110" s="45">
        <f t="shared" si="144"/>
        <v>-1167.1517215842559</v>
      </c>
      <c r="AV110" s="94">
        <f t="shared" si="145"/>
        <v>-3.0019334402887239E-3</v>
      </c>
      <c r="AW110" s="44">
        <f t="shared" si="146"/>
        <v>9480.2947239717359</v>
      </c>
      <c r="AX110" s="45">
        <f t="shared" si="147"/>
        <v>20172.537062412786</v>
      </c>
      <c r="AY110" s="94">
        <f t="shared" si="148"/>
        <v>5.1884097382748934E-2</v>
      </c>
      <c r="BA110" s="10">
        <f t="shared" si="124"/>
        <v>2400</v>
      </c>
      <c r="BB110" s="10">
        <f t="shared" si="125"/>
        <v>-1324.0693012242655</v>
      </c>
      <c r="BC110" s="10">
        <f t="shared" si="126"/>
        <v>-351.33614913668868</v>
      </c>
      <c r="BD110" s="10">
        <f t="shared" si="127"/>
        <v>-18.709712840503503</v>
      </c>
      <c r="BE110" s="10">
        <f t="shared" si="128"/>
        <v>-410.68547928934476</v>
      </c>
      <c r="BF110" s="10">
        <f t="shared" si="129"/>
        <v>-2104.8006424908021</v>
      </c>
      <c r="BG110" s="10">
        <f t="shared" si="130"/>
        <v>295.19935750919768</v>
      </c>
      <c r="BH110" s="10">
        <f t="shared" si="131"/>
        <v>-185.95679012345678</v>
      </c>
      <c r="BI110" s="10">
        <f t="shared" si="132"/>
        <v>-72.42307692307692</v>
      </c>
      <c r="BJ110" s="10">
        <f t="shared" si="133"/>
        <v>-258.37986704653372</v>
      </c>
      <c r="BK110" s="10">
        <f t="shared" si="134"/>
        <v>-37.239290842657489</v>
      </c>
      <c r="BL110" s="10">
        <f t="shared" si="135"/>
        <v>66.421296296296291</v>
      </c>
      <c r="BM110" s="10">
        <f t="shared" si="136"/>
        <v>66.001495916302787</v>
      </c>
      <c r="BN110" s="10">
        <f t="shared" si="137"/>
        <v>-73.206136172995713</v>
      </c>
      <c r="BO110" s="10">
        <f t="shared" si="138"/>
        <v>-7.2046402566929375</v>
      </c>
      <c r="BP110" s="10">
        <f t="shared" si="139"/>
        <v>58.520337802294669</v>
      </c>
      <c r="BQ110" s="10">
        <f t="shared" si="140"/>
        <v>124.52183371859745</v>
      </c>
    </row>
    <row r="111" spans="2:69">
      <c r="C111" s="139"/>
      <c r="D111" s="140"/>
      <c r="E111" s="141"/>
      <c r="F111" s="173"/>
      <c r="G111" s="174"/>
      <c r="H111" s="175"/>
      <c r="I111" s="175"/>
      <c r="J111" s="122"/>
      <c r="K111" s="122"/>
      <c r="L111" s="122"/>
      <c r="M111" s="176"/>
      <c r="N111" s="122"/>
      <c r="O111" s="177"/>
      <c r="P111" s="178"/>
      <c r="Q111" s="177"/>
      <c r="R111" s="179"/>
      <c r="S111" s="180"/>
      <c r="T111" s="181"/>
      <c r="U111" s="182"/>
      <c r="V111" s="183"/>
      <c r="W111" s="184"/>
      <c r="X111" s="185"/>
      <c r="Z111" s="122"/>
      <c r="AB111" s="186"/>
      <c r="AC111" s="187"/>
      <c r="AD111" s="187"/>
      <c r="AE111" s="187"/>
      <c r="AF111" s="187"/>
      <c r="AG111" s="187"/>
      <c r="AH111" s="187"/>
      <c r="AI111" s="187"/>
      <c r="AJ111" s="187"/>
      <c r="AK111" s="188"/>
      <c r="AL111" s="189"/>
      <c r="AM111" s="190"/>
      <c r="AN111" s="190"/>
      <c r="AO111" s="190"/>
      <c r="AP111" s="190"/>
      <c r="AQ111" s="190"/>
      <c r="AR111" s="191"/>
      <c r="AS111" s="189"/>
      <c r="AT111" s="190"/>
      <c r="AU111" s="191"/>
      <c r="AV111" s="189"/>
      <c r="AW111" s="190"/>
      <c r="AX111" s="191"/>
      <c r="AY111" s="189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</row>
    <row r="112" spans="2:69">
      <c r="F112" s="50" t="s">
        <v>11</v>
      </c>
      <c r="G112" s="50">
        <f>SUBTOTAL(9,G4:G110)</f>
        <v>5988.21</v>
      </c>
      <c r="H112" s="96"/>
      <c r="I112" s="96"/>
      <c r="J112" s="96"/>
      <c r="K112" s="96"/>
      <c r="L112" s="96"/>
      <c r="M112" s="96"/>
      <c r="N112" s="96"/>
      <c r="O112" s="107" t="s">
        <v>11</v>
      </c>
      <c r="P112" s="50">
        <f t="shared" ref="P112:S112" si="151">SUBTOTAL(9,P4:P110)</f>
        <v>12119778.09</v>
      </c>
      <c r="Q112" s="50">
        <f t="shared" si="151"/>
        <v>199226.69500020426</v>
      </c>
      <c r="R112" s="50">
        <f t="shared" si="151"/>
        <v>776992.11</v>
      </c>
      <c r="S112" s="121">
        <f t="shared" si="151"/>
        <v>11342785.98</v>
      </c>
      <c r="T112" s="51"/>
      <c r="U112" s="51"/>
      <c r="V112" s="51"/>
      <c r="W112" s="51"/>
      <c r="X112" s="51"/>
      <c r="Y112" s="51"/>
      <c r="Z112" s="51"/>
      <c r="AA112" s="51"/>
      <c r="AB112" s="50">
        <f>AG112/G112</f>
        <v>1852.4003645156231</v>
      </c>
      <c r="AC112" s="50">
        <f t="shared" ref="AC112:AX112" si="152">SUBTOTAL(9,AC4:AC110)</f>
        <v>6845551.228489954</v>
      </c>
      <c r="AD112" s="50">
        <f t="shared" si="152"/>
        <v>2079260.4992146594</v>
      </c>
      <c r="AE112" s="50">
        <f t="shared" si="152"/>
        <v>102430.9154250077</v>
      </c>
      <c r="AF112" s="50">
        <f t="shared" si="152"/>
        <v>2065319.7436664815</v>
      </c>
      <c r="AG112" s="50">
        <f t="shared" si="152"/>
        <v>11092562.3867961</v>
      </c>
      <c r="AH112" s="50"/>
      <c r="AI112" s="50"/>
      <c r="AJ112" s="50"/>
      <c r="AK112" s="50">
        <f t="shared" si="152"/>
        <v>1027215.7032038962</v>
      </c>
      <c r="AL112" s="108">
        <f>AK112/$P112</f>
        <v>8.4755322711019723E-2</v>
      </c>
      <c r="AM112" s="50">
        <f t="shared" si="152"/>
        <v>776992.11</v>
      </c>
      <c r="AN112" s="50">
        <f t="shared" si="152"/>
        <v>433573.24346153828</v>
      </c>
      <c r="AO112" s="50">
        <f t="shared" si="152"/>
        <v>1210565.3534615387</v>
      </c>
      <c r="AP112" s="50">
        <f t="shared" si="152"/>
        <v>264421.00000000006</v>
      </c>
      <c r="AQ112" s="50">
        <f t="shared" si="152"/>
        <v>337559.67269999988</v>
      </c>
      <c r="AR112" s="50">
        <f t="shared" si="152"/>
        <v>-110210.97755764278</v>
      </c>
      <c r="AS112" s="108">
        <f>AR112/$P112</f>
        <v>-9.0934814762472921E-3</v>
      </c>
      <c r="AT112" s="50">
        <f t="shared" si="152"/>
        <v>588694.99999999988</v>
      </c>
      <c r="AU112" s="50">
        <f t="shared" si="152"/>
        <v>-698905.97755764273</v>
      </c>
      <c r="AV112" s="108">
        <f>AU112/$P112</f>
        <v>-5.7666565540033146E-2</v>
      </c>
      <c r="AW112" s="50">
        <f t="shared" si="152"/>
        <v>494527.47311131074</v>
      </c>
      <c r="AX112" s="50">
        <f t="shared" si="152"/>
        <v>384316.49555366818</v>
      </c>
      <c r="AY112" s="108">
        <f>AX112/$P112</f>
        <v>3.1709862400101763E-2</v>
      </c>
      <c r="AZ112" s="50"/>
      <c r="BA112" s="50">
        <f t="shared" ref="BA112" si="153">P112/$G112</f>
        <v>2023.9400572124223</v>
      </c>
      <c r="BB112" s="50">
        <f t="shared" ref="BB112" si="154">-AC112/$G112</f>
        <v>-1143.1715368181733</v>
      </c>
      <c r="BC112" s="50">
        <f t="shared" ref="BC112" si="155">-AD112/$G112</f>
        <v>-347.22571506588105</v>
      </c>
      <c r="BD112" s="50">
        <f t="shared" ref="BD112" si="156">-AE112/$G112</f>
        <v>-17.105431410222369</v>
      </c>
      <c r="BE112" s="50">
        <f t="shared" ref="BE112" si="157">-AF112/$G112</f>
        <v>-344.89768122134683</v>
      </c>
      <c r="BF112" s="50">
        <f t="shared" ref="BF112" si="158">-AG112/$G112</f>
        <v>-1852.4003645156231</v>
      </c>
      <c r="BG112" s="50">
        <f t="shared" ref="BG112" si="159">AK112/$G112</f>
        <v>171.53969269679857</v>
      </c>
      <c r="BH112" s="50">
        <f t="shared" ref="BH112" si="160">-AM112/$G112</f>
        <v>-129.75365092406579</v>
      </c>
      <c r="BI112" s="50">
        <f t="shared" ref="BI112" si="161">-AN112/$G112</f>
        <v>-72.404482050819567</v>
      </c>
      <c r="BJ112" s="50">
        <f t="shared" ref="BJ112" si="162">-AO112/$G112</f>
        <v>-202.15813297488543</v>
      </c>
      <c r="BK112" s="50">
        <f t="shared" ref="BK112" si="163">-AP112/$G112</f>
        <v>-44.156935044028188</v>
      </c>
      <c r="BL112" s="50">
        <f t="shared" ref="BL112" si="164">AQ112/$G112</f>
        <v>56.37071390281902</v>
      </c>
      <c r="BM112" s="50">
        <f t="shared" ref="BM112" si="165">AR112/$G112</f>
        <v>-18.404661419296048</v>
      </c>
      <c r="BN112" s="50">
        <f t="shared" ref="BN112" si="166">-AT112/$G112</f>
        <v>-98.309010539042532</v>
      </c>
      <c r="BO112" s="50">
        <f t="shared" ref="BO112" si="167">AU112/$G112</f>
        <v>-116.71367195833859</v>
      </c>
      <c r="BP112" s="50">
        <f t="shared" ref="BP112" si="168">AW112/$G112</f>
        <v>82.583522139556024</v>
      </c>
      <c r="BQ112" s="50">
        <f t="shared" ref="BQ112" si="169">AX112/$G112</f>
        <v>64.178860720260005</v>
      </c>
    </row>
    <row r="113" spans="6:49">
      <c r="Y113" s="49"/>
    </row>
    <row r="114" spans="6:49">
      <c r="AG114" s="58"/>
    </row>
    <row r="115" spans="6:49">
      <c r="P115" s="221">
        <v>-236059.99</v>
      </c>
      <c r="AJ115" s="110"/>
      <c r="AO115">
        <f>AO112/G112</f>
        <v>202.15813297488543</v>
      </c>
      <c r="AW115" s="58"/>
    </row>
    <row r="116" spans="6:49">
      <c r="AG116" s="112"/>
      <c r="AI116" s="110"/>
      <c r="AJ116" s="110"/>
    </row>
    <row r="117" spans="6:49">
      <c r="AB117" s="122"/>
      <c r="AG117" s="123"/>
    </row>
    <row r="118" spans="6:49">
      <c r="AG118" s="110"/>
    </row>
    <row r="119" spans="6:49">
      <c r="P119" s="114">
        <v>589800</v>
      </c>
      <c r="T119">
        <v>312060.49</v>
      </c>
      <c r="AH119" s="112"/>
      <c r="AI119" s="112"/>
      <c r="AJ119" s="112"/>
    </row>
    <row r="120" spans="6:49">
      <c r="P120" s="114">
        <v>-574200</v>
      </c>
      <c r="AG120" s="112"/>
    </row>
    <row r="121" spans="6:49">
      <c r="F121" s="226" t="s">
        <v>590</v>
      </c>
      <c r="G121" s="112">
        <v>1995.8</v>
      </c>
      <c r="P121" s="114">
        <f>P119+P120</f>
        <v>15600</v>
      </c>
      <c r="AB121" s="124"/>
      <c r="AG121" s="112"/>
    </row>
    <row r="122" spans="6:49">
      <c r="F122" s="226" t="s">
        <v>591</v>
      </c>
      <c r="G122" s="225">
        <v>0.35</v>
      </c>
      <c r="AB122" s="124"/>
      <c r="AG122" s="112"/>
    </row>
    <row r="123" spans="6:49">
      <c r="F123" s="226" t="s">
        <v>592</v>
      </c>
      <c r="G123" s="112">
        <f>G121*G122</f>
        <v>698.53</v>
      </c>
      <c r="R123" s="1"/>
      <c r="AG123" s="112"/>
    </row>
    <row r="124" spans="6:49">
      <c r="F124" s="226" t="s">
        <v>593</v>
      </c>
      <c r="G124" s="225">
        <v>0.25</v>
      </c>
      <c r="R124" s="1"/>
      <c r="AB124" s="122"/>
      <c r="AG124" s="123"/>
    </row>
    <row r="125" spans="6:49">
      <c r="AG125" s="110"/>
    </row>
    <row r="126" spans="6:49">
      <c r="F126" s="226" t="s">
        <v>594</v>
      </c>
      <c r="G126" s="112">
        <v>2110.1099999999997</v>
      </c>
    </row>
    <row r="127" spans="6:49">
      <c r="F127" s="226" t="s">
        <v>591</v>
      </c>
      <c r="G127" s="225">
        <v>0.35</v>
      </c>
      <c r="AB127" s="125"/>
      <c r="AG127" s="125"/>
    </row>
    <row r="128" spans="6:49">
      <c r="F128" s="226" t="s">
        <v>595</v>
      </c>
      <c r="G128" s="112">
        <f>G126*G127</f>
        <v>738.53849999999989</v>
      </c>
      <c r="AG128" s="110"/>
    </row>
    <row r="129" spans="6:7">
      <c r="F129" s="226" t="s">
        <v>593</v>
      </c>
      <c r="G129" s="225">
        <v>7.0000000000000007E-2</v>
      </c>
    </row>
  </sheetData>
  <autoFilter ref="C3:BQ110" xr:uid="{FF29DF5D-4B52-4DC0-B796-EF7D4CAE41BF}"/>
  <mergeCells count="1">
    <mergeCell ref="BA2:BQ2"/>
  </mergeCells>
  <phoneticPr fontId="31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8D88-4969-4CEA-BD9F-3F5263A6244F}">
  <dimension ref="A2:R58"/>
  <sheetViews>
    <sheetView zoomScale="80" zoomScaleNormal="80" workbookViewId="0">
      <selection activeCell="G35" sqref="G35"/>
    </sheetView>
  </sheetViews>
  <sheetFormatPr baseColWidth="10" defaultRowHeight="14.4"/>
  <cols>
    <col min="1" max="1" width="18" bestFit="1" customWidth="1"/>
    <col min="4" max="4" width="39.6640625" bestFit="1" customWidth="1"/>
    <col min="5" max="5" width="11.6640625" bestFit="1" customWidth="1"/>
    <col min="6" max="6" width="13.44140625" bestFit="1" customWidth="1"/>
    <col min="7" max="7" width="15.44140625" bestFit="1" customWidth="1"/>
    <col min="8" max="8" width="12.44140625" bestFit="1" customWidth="1"/>
    <col min="9" max="9" width="11.109375" bestFit="1" customWidth="1"/>
    <col min="10" max="10" width="15" bestFit="1" customWidth="1"/>
    <col min="11" max="11" width="12.109375" customWidth="1"/>
    <col min="12" max="12" width="11.109375" bestFit="1" customWidth="1"/>
    <col min="13" max="13" width="18.5546875" bestFit="1" customWidth="1"/>
  </cols>
  <sheetData>
    <row r="2" spans="1:18">
      <c r="C2" s="53" t="s">
        <v>589</v>
      </c>
    </row>
    <row r="4" spans="1:18">
      <c r="C4" s="203" t="s">
        <v>300</v>
      </c>
      <c r="D4" s="203" t="s">
        <v>301</v>
      </c>
      <c r="E4" s="204" t="s">
        <v>577</v>
      </c>
      <c r="F4" s="204" t="s">
        <v>578</v>
      </c>
      <c r="G4" s="203" t="s">
        <v>579</v>
      </c>
      <c r="H4" s="203" t="s">
        <v>580</v>
      </c>
      <c r="I4" s="203" t="s">
        <v>581</v>
      </c>
      <c r="J4" s="203" t="s">
        <v>89</v>
      </c>
      <c r="K4" s="203" t="s">
        <v>11</v>
      </c>
      <c r="O4" s="203" t="s">
        <v>89</v>
      </c>
      <c r="P4" s="203" t="s">
        <v>584</v>
      </c>
      <c r="Q4" s="203" t="s">
        <v>582</v>
      </c>
      <c r="R4" s="203" t="s">
        <v>583</v>
      </c>
    </row>
    <row r="5" spans="1:18">
      <c r="A5" t="b">
        <f>B5=Resumen!Y45</f>
        <v>1</v>
      </c>
      <c r="B5">
        <f>INDEX('Costos Producción Marzo'!$A$5:$A$37,MATCH(D5,'Costos Producción Marzo'!$C$5:$C$37,0))</f>
        <v>10006720</v>
      </c>
      <c r="C5" s="7" t="s">
        <v>587</v>
      </c>
      <c r="D5" s="7" t="s">
        <v>329</v>
      </c>
      <c r="E5" s="10">
        <v>542.34</v>
      </c>
      <c r="F5" s="10">
        <v>1594.5633182136667</v>
      </c>
      <c r="G5" s="10">
        <v>554933.23</v>
      </c>
      <c r="H5" s="10">
        <v>116723.15999999999</v>
      </c>
      <c r="I5" s="10">
        <v>8080.52</v>
      </c>
      <c r="J5" s="10">
        <f>SUM(O5:R5)</f>
        <v>185058.56</v>
      </c>
      <c r="K5" s="205">
        <f>SUM(G5:J5)</f>
        <v>864795.47</v>
      </c>
      <c r="O5" s="7">
        <v>117460</v>
      </c>
      <c r="P5" s="7">
        <v>69186.31</v>
      </c>
      <c r="Q5" s="7">
        <v>-2811.73</v>
      </c>
      <c r="R5" s="7">
        <v>1223.98</v>
      </c>
    </row>
    <row r="6" spans="1:18">
      <c r="B6">
        <f>INDEX('Costos Producción Marzo'!$A$5:$A$37,MATCH(D6,'Costos Producción Marzo'!$C$5:$C$37,0))</f>
        <v>10009178</v>
      </c>
      <c r="C6" s="7" t="s">
        <v>587</v>
      </c>
      <c r="D6" s="7" t="s">
        <v>442</v>
      </c>
      <c r="E6" s="10">
        <v>8.2200000000000006</v>
      </c>
      <c r="F6" s="10">
        <v>1571.4975669099754</v>
      </c>
      <c r="G6" s="10">
        <v>8381.4</v>
      </c>
      <c r="H6" s="10">
        <v>1617.02</v>
      </c>
      <c r="I6" s="10">
        <v>133.13999999999999</v>
      </c>
      <c r="J6" s="10">
        <f t="shared" ref="J6:J29" si="0">SUM(O6:R6)</f>
        <v>2786.15</v>
      </c>
      <c r="K6" s="205">
        <f t="shared" ref="K6:K29" si="1">SUM(G6:J6)</f>
        <v>12917.71</v>
      </c>
      <c r="O6" s="7">
        <v>1780.31</v>
      </c>
      <c r="P6" s="7">
        <v>1048.6300000000001</v>
      </c>
      <c r="Q6" s="7">
        <v>-42.79</v>
      </c>
      <c r="R6" s="7">
        <v>0</v>
      </c>
    </row>
    <row r="7" spans="1:18">
      <c r="B7" t="e">
        <f>INDEX('Costos Producción Marzo'!$A$5:$A$37,MATCH(D7,'Costos Producción Marzo'!$C$5:$C$37,0))</f>
        <v>#N/A</v>
      </c>
      <c r="C7" s="7" t="s">
        <v>587</v>
      </c>
      <c r="D7" s="7" t="s">
        <v>453</v>
      </c>
      <c r="E7" s="10">
        <v>0.36</v>
      </c>
      <c r="F7" s="10">
        <v>1804</v>
      </c>
      <c r="G7" s="10">
        <v>370.25</v>
      </c>
      <c r="H7" s="10">
        <v>151.19999999999999</v>
      </c>
      <c r="I7" s="10">
        <v>5.92</v>
      </c>
      <c r="J7" s="10">
        <f t="shared" si="0"/>
        <v>122.07000000000001</v>
      </c>
      <c r="K7" s="205">
        <f t="shared" si="1"/>
        <v>649.44000000000005</v>
      </c>
      <c r="O7" s="7">
        <v>77.97</v>
      </c>
      <c r="P7" s="7">
        <v>45.93</v>
      </c>
      <c r="Q7" s="7">
        <v>-1.83</v>
      </c>
      <c r="R7" s="7">
        <v>0</v>
      </c>
    </row>
    <row r="8" spans="1:18">
      <c r="A8" t="b">
        <f>B8=Resumen!Y50</f>
        <v>1</v>
      </c>
      <c r="B8">
        <f>INDEX('Costos Producción Marzo'!$A$5:$A$37,MATCH(D8,'Costos Producción Marzo'!$C$5:$C$37,0))</f>
        <v>10009331</v>
      </c>
      <c r="C8" s="7" t="s">
        <v>587</v>
      </c>
      <c r="D8" s="7" t="s">
        <v>406</v>
      </c>
      <c r="E8" s="10">
        <v>40.518000000000001</v>
      </c>
      <c r="F8" s="10">
        <v>1762.2155585172025</v>
      </c>
      <c r="G8" s="10">
        <v>40743.58</v>
      </c>
      <c r="H8" s="10">
        <v>16164.36</v>
      </c>
      <c r="I8" s="10">
        <v>740.31999999999982</v>
      </c>
      <c r="J8" s="10">
        <f t="shared" si="0"/>
        <v>13753.19</v>
      </c>
      <c r="K8" s="205">
        <f t="shared" si="1"/>
        <v>71401.45</v>
      </c>
      <c r="O8" s="7">
        <v>8775.39</v>
      </c>
      <c r="P8" s="7">
        <v>5168.88</v>
      </c>
      <c r="Q8" s="7">
        <v>-191.08000000000004</v>
      </c>
      <c r="R8" s="7">
        <v>0</v>
      </c>
    </row>
    <row r="9" spans="1:18">
      <c r="B9">
        <f>INDEX('Costos Producción Marzo'!$A$5:$A$37,MATCH(D9,'Costos Producción Marzo'!$C$5:$C$37,0))</f>
        <v>10009334</v>
      </c>
      <c r="C9" s="7" t="s">
        <v>587</v>
      </c>
      <c r="D9" s="7" t="s">
        <v>455</v>
      </c>
      <c r="E9" s="10">
        <v>2.5739999999999998</v>
      </c>
      <c r="F9" s="10">
        <v>1791.3791763791767</v>
      </c>
      <c r="G9" s="10">
        <v>2610.9700000000003</v>
      </c>
      <c r="H9" s="10">
        <v>1081.08</v>
      </c>
      <c r="I9" s="10">
        <v>45.940000000000005</v>
      </c>
      <c r="J9" s="10">
        <f t="shared" si="0"/>
        <v>873.02</v>
      </c>
      <c r="K9" s="205">
        <f t="shared" si="1"/>
        <v>4611.01</v>
      </c>
      <c r="O9" s="7">
        <v>557.48</v>
      </c>
      <c r="P9" s="7">
        <v>328.37</v>
      </c>
      <c r="Q9" s="7">
        <v>-12.83</v>
      </c>
      <c r="R9" s="7">
        <v>0</v>
      </c>
    </row>
    <row r="10" spans="1:18">
      <c r="A10" t="b">
        <f>B10=Resumen!Y43</f>
        <v>1</v>
      </c>
      <c r="B10">
        <f>INDEX('Costos Producción Marzo'!$A$5:$A$37,MATCH(D10,'Costos Producción Marzo'!$C$5:$C$37,0))</f>
        <v>10007969</v>
      </c>
      <c r="C10" s="7" t="s">
        <v>587</v>
      </c>
      <c r="D10" s="7" t="s">
        <v>439</v>
      </c>
      <c r="E10" s="10">
        <v>52.86</v>
      </c>
      <c r="F10" s="10">
        <v>1205.0788876276961</v>
      </c>
      <c r="G10" s="10">
        <v>53960.46</v>
      </c>
      <c r="H10" s="10">
        <v>10836.300000000001</v>
      </c>
      <c r="I10" s="10">
        <v>833.84</v>
      </c>
      <c r="J10" s="10">
        <f t="shared" si="0"/>
        <v>-1930.1300000000003</v>
      </c>
      <c r="K10" s="205">
        <f t="shared" si="1"/>
        <v>63700.470000000008</v>
      </c>
      <c r="O10" s="7">
        <v>0</v>
      </c>
      <c r="P10" s="7">
        <v>0</v>
      </c>
      <c r="Q10" s="7">
        <v>-1930.1300000000003</v>
      </c>
      <c r="R10" s="7">
        <v>0</v>
      </c>
    </row>
    <row r="11" spans="1:18">
      <c r="A11" t="b">
        <f>B11=Resumen!Y52</f>
        <v>1</v>
      </c>
      <c r="B11">
        <f>INDEX('Costos Producción Marzo'!$A$5:$A$37,MATCH(D11,'Costos Producción Marzo'!$C$5:$C$37,0))</f>
        <v>10005721</v>
      </c>
      <c r="C11" s="7" t="s">
        <v>587</v>
      </c>
      <c r="D11" s="7" t="s">
        <v>430</v>
      </c>
      <c r="E11" s="10">
        <v>659.62</v>
      </c>
      <c r="F11" s="10">
        <v>1672.2065734817018</v>
      </c>
      <c r="G11" s="10">
        <v>669876.63000000012</v>
      </c>
      <c r="H11" s="10">
        <v>196287.76</v>
      </c>
      <c r="I11" s="10">
        <v>12025.03</v>
      </c>
      <c r="J11" s="10">
        <f t="shared" si="0"/>
        <v>224831.48</v>
      </c>
      <c r="K11" s="205">
        <f t="shared" si="1"/>
        <v>1103020.9000000001</v>
      </c>
      <c r="O11" s="7">
        <v>142860.52000000002</v>
      </c>
      <c r="P11" s="7">
        <v>84147.72</v>
      </c>
      <c r="Q11" s="7">
        <v>-3416.29</v>
      </c>
      <c r="R11" s="7">
        <v>1239.53</v>
      </c>
    </row>
    <row r="12" spans="1:18">
      <c r="B12">
        <f>INDEX('Costos Producción Marzo'!$A$5:$A$37,MATCH(D12,'Costos Producción Marzo'!$C$5:$C$37,0))</f>
        <v>10004435</v>
      </c>
      <c r="C12" s="7" t="s">
        <v>587</v>
      </c>
      <c r="D12" s="7" t="s">
        <v>429</v>
      </c>
      <c r="E12" s="10">
        <v>154.19999999999999</v>
      </c>
      <c r="F12" s="10">
        <v>1710.3250972762648</v>
      </c>
      <c r="G12" s="10">
        <v>157649.82000000004</v>
      </c>
      <c r="H12" s="10">
        <v>51614.64</v>
      </c>
      <c r="I12" s="10">
        <v>2180.8400000000006</v>
      </c>
      <c r="J12" s="10">
        <f t="shared" si="0"/>
        <v>52286.83</v>
      </c>
      <c r="K12" s="205">
        <f t="shared" si="1"/>
        <v>263732.13</v>
      </c>
      <c r="O12" s="7">
        <v>33396.65</v>
      </c>
      <c r="P12" s="7">
        <v>19671.289999999997</v>
      </c>
      <c r="Q12" s="7">
        <v>-781.11</v>
      </c>
      <c r="R12" s="7">
        <v>0</v>
      </c>
    </row>
    <row r="13" spans="1:18">
      <c r="B13">
        <f>INDEX('Costos Producción Marzo'!$A$5:$A$37,MATCH(D13,'Costos Producción Marzo'!$C$5:$C$37,0))</f>
        <v>10009251</v>
      </c>
      <c r="C13" s="7" t="s">
        <v>587</v>
      </c>
      <c r="D13" s="7" t="s">
        <v>463</v>
      </c>
      <c r="E13" s="10">
        <v>2.63</v>
      </c>
      <c r="F13" s="10">
        <v>1621.6311787072245</v>
      </c>
      <c r="G13" s="10">
        <v>2551.33</v>
      </c>
      <c r="H13" s="10">
        <v>789</v>
      </c>
      <c r="I13" s="10">
        <v>29.76</v>
      </c>
      <c r="J13" s="10">
        <f t="shared" si="0"/>
        <v>894.8</v>
      </c>
      <c r="K13" s="205">
        <f t="shared" si="1"/>
        <v>4264.8900000000003</v>
      </c>
      <c r="O13" s="7">
        <v>569.61</v>
      </c>
      <c r="P13" s="7">
        <v>335.51</v>
      </c>
      <c r="Q13" s="7">
        <v>-10.32</v>
      </c>
      <c r="R13" s="7">
        <v>0</v>
      </c>
    </row>
    <row r="14" spans="1:18">
      <c r="B14" t="e">
        <f>B7</f>
        <v>#N/A</v>
      </c>
      <c r="C14" s="7" t="s">
        <v>587</v>
      </c>
      <c r="D14" s="7" t="s">
        <v>449</v>
      </c>
      <c r="E14" s="10">
        <v>5.76</v>
      </c>
      <c r="F14" s="10">
        <v>2069.0486111111113</v>
      </c>
      <c r="G14" s="10">
        <v>5859.2000000000007</v>
      </c>
      <c r="H14" s="10">
        <v>4021.3399999999997</v>
      </c>
      <c r="I14" s="10">
        <v>83.100000000000009</v>
      </c>
      <c r="J14" s="10">
        <f t="shared" si="0"/>
        <v>1954.08</v>
      </c>
      <c r="K14" s="205">
        <f t="shared" si="1"/>
        <v>11917.720000000001</v>
      </c>
      <c r="O14" s="7">
        <v>1247.51</v>
      </c>
      <c r="P14" s="7">
        <v>734.81</v>
      </c>
      <c r="Q14" s="7">
        <v>-28.240000000000002</v>
      </c>
      <c r="R14" s="7">
        <v>0</v>
      </c>
    </row>
    <row r="15" spans="1:18">
      <c r="A15" t="b">
        <f>B15=Resumen!Y67</f>
        <v>1</v>
      </c>
      <c r="B15">
        <f>INDEX('Costos Producción Marzo'!$A$5:$A$37,MATCH(D15,'Costos Producción Marzo'!$C$5:$C$37,0))</f>
        <v>10009239</v>
      </c>
      <c r="C15" s="7" t="s">
        <v>587</v>
      </c>
      <c r="D15" s="7" t="s">
        <v>392</v>
      </c>
      <c r="E15" s="10">
        <v>220.08</v>
      </c>
      <c r="F15" s="10">
        <v>2067.1870683387856</v>
      </c>
      <c r="G15" s="10">
        <v>223723.46999999997</v>
      </c>
      <c r="H15" s="10">
        <v>145855.36000000002</v>
      </c>
      <c r="I15" s="10">
        <v>2671.12</v>
      </c>
      <c r="J15" s="10">
        <f t="shared" si="0"/>
        <v>82696.579999999987</v>
      </c>
      <c r="K15" s="205">
        <f t="shared" si="1"/>
        <v>454946.52999999991</v>
      </c>
      <c r="O15" s="7">
        <v>47145.130000000005</v>
      </c>
      <c r="P15" s="7">
        <v>27769.43</v>
      </c>
      <c r="Q15" s="7">
        <v>-1082.3799999999999</v>
      </c>
      <c r="R15" s="7">
        <v>8864.4</v>
      </c>
    </row>
    <row r="16" spans="1:18">
      <c r="B16">
        <f>INDEX('Costos Producción Marzo'!$A$5:$A$37,MATCH(D16,'Costos Producción Marzo'!$C$5:$C$37,0))</f>
        <v>10009207</v>
      </c>
      <c r="C16" s="7" t="s">
        <v>587</v>
      </c>
      <c r="D16" s="7" t="s">
        <v>446</v>
      </c>
      <c r="E16" s="10">
        <v>10.5</v>
      </c>
      <c r="F16" s="10">
        <v>1216.0695238095238</v>
      </c>
      <c r="G16" s="10">
        <v>10773.890000000001</v>
      </c>
      <c r="H16" s="10">
        <v>1889.9999999999998</v>
      </c>
      <c r="I16" s="10">
        <v>158.78000000000003</v>
      </c>
      <c r="J16" s="10">
        <f t="shared" si="0"/>
        <v>-53.940000000000012</v>
      </c>
      <c r="K16" s="205">
        <f t="shared" si="1"/>
        <v>12768.730000000001</v>
      </c>
      <c r="O16" s="7">
        <v>0</v>
      </c>
      <c r="P16" s="7">
        <v>0</v>
      </c>
      <c r="Q16" s="7">
        <v>-53.940000000000012</v>
      </c>
      <c r="R16" s="7">
        <v>0</v>
      </c>
    </row>
    <row r="17" spans="1:18">
      <c r="B17">
        <f>INDEX('Costos Producción Marzo'!$A$5:$A$37,MATCH(D17,'Costos Producción Marzo'!$C$5:$C$37,0))</f>
        <v>10005776</v>
      </c>
      <c r="C17" s="7" t="s">
        <v>587</v>
      </c>
      <c r="D17" s="7" t="s">
        <v>431</v>
      </c>
      <c r="E17" s="10">
        <v>3</v>
      </c>
      <c r="F17" s="10">
        <v>1747.6000000000004</v>
      </c>
      <c r="G17" s="10">
        <v>3027.93</v>
      </c>
      <c r="H17" s="10">
        <v>1170</v>
      </c>
      <c r="I17" s="10">
        <v>27.72</v>
      </c>
      <c r="J17" s="10">
        <f t="shared" si="0"/>
        <v>1017.15</v>
      </c>
      <c r="K17" s="205">
        <f t="shared" si="1"/>
        <v>5242.8</v>
      </c>
      <c r="O17" s="7">
        <v>649.75</v>
      </c>
      <c r="P17" s="7">
        <v>382.71999999999997</v>
      </c>
      <c r="Q17" s="7">
        <v>-15.319999999999999</v>
      </c>
      <c r="R17" s="7">
        <v>0</v>
      </c>
    </row>
    <row r="18" spans="1:18">
      <c r="A18" t="b">
        <f>Resumen!Y61=B18</f>
        <v>1</v>
      </c>
      <c r="B18">
        <f>INDEX('Costos Producción Marzo'!$A$5:$A$37,MATCH(D18,'Costos Producción Marzo'!$C$5:$C$37,0))</f>
        <v>10005779</v>
      </c>
      <c r="C18" s="7" t="s">
        <v>587</v>
      </c>
      <c r="D18" s="7" t="s">
        <v>355</v>
      </c>
      <c r="E18" s="10">
        <v>142.12</v>
      </c>
      <c r="F18" s="10">
        <v>1765.0739515902051</v>
      </c>
      <c r="G18" s="10">
        <v>145645.04</v>
      </c>
      <c r="H18" s="10">
        <v>55426.799999999996</v>
      </c>
      <c r="I18" s="10">
        <v>1602.27</v>
      </c>
      <c r="J18" s="10">
        <f t="shared" si="0"/>
        <v>48178.2</v>
      </c>
      <c r="K18" s="205">
        <f t="shared" si="1"/>
        <v>250852.31</v>
      </c>
      <c r="O18" s="7">
        <v>30780.369999999995</v>
      </c>
      <c r="P18" s="7">
        <v>18130.25</v>
      </c>
      <c r="Q18" s="7">
        <v>-732.42000000000019</v>
      </c>
      <c r="R18" s="7">
        <v>0</v>
      </c>
    </row>
    <row r="19" spans="1:18">
      <c r="B19">
        <f>INDEX('Costos Producción Marzo'!$A$5:$A$37,MATCH(D19,'Costos Producción Marzo'!$C$5:$C$37,0))</f>
        <v>10005781</v>
      </c>
      <c r="C19" s="7" t="s">
        <v>587</v>
      </c>
      <c r="D19" s="7" t="s">
        <v>366</v>
      </c>
      <c r="E19" s="10">
        <v>39.1</v>
      </c>
      <c r="F19" s="10">
        <v>1766.4485933503836</v>
      </c>
      <c r="G19" s="10">
        <v>39977.200000000004</v>
      </c>
      <c r="H19" s="10">
        <v>15249</v>
      </c>
      <c r="I19" s="10">
        <v>586.07999999999993</v>
      </c>
      <c r="J19" s="10">
        <f t="shared" si="0"/>
        <v>13255.86</v>
      </c>
      <c r="K19" s="205">
        <f t="shared" si="1"/>
        <v>69068.140000000014</v>
      </c>
      <c r="O19" s="7">
        <v>8468.2800000000007</v>
      </c>
      <c r="P19" s="7">
        <v>4987.99</v>
      </c>
      <c r="Q19" s="7">
        <v>-200.41</v>
      </c>
      <c r="R19" s="7">
        <v>0</v>
      </c>
    </row>
    <row r="20" spans="1:18">
      <c r="B20">
        <f>INDEX('Costos Producción Marzo'!$A$5:$A$37,MATCH(D20,'Costos Producción Marzo'!$C$5:$C$37,0))</f>
        <v>10007050</v>
      </c>
      <c r="C20" s="7" t="s">
        <v>587</v>
      </c>
      <c r="D20" s="7" t="s">
        <v>435</v>
      </c>
      <c r="E20" s="10">
        <v>0.5</v>
      </c>
      <c r="F20" s="10">
        <v>1172.6999999999998</v>
      </c>
      <c r="G20" s="10">
        <v>490.39</v>
      </c>
      <c r="H20" s="10">
        <v>90</v>
      </c>
      <c r="I20" s="10">
        <v>8.5499999999999989</v>
      </c>
      <c r="J20" s="10">
        <f t="shared" si="0"/>
        <v>-2.59</v>
      </c>
      <c r="K20" s="205">
        <f t="shared" si="1"/>
        <v>586.34999999999991</v>
      </c>
      <c r="O20" s="7">
        <v>0</v>
      </c>
      <c r="P20" s="7">
        <v>0</v>
      </c>
      <c r="Q20" s="7">
        <v>-2.59</v>
      </c>
      <c r="R20" s="7">
        <v>0</v>
      </c>
    </row>
    <row r="21" spans="1:18">
      <c r="B21">
        <f>INDEX('Costos Producción Marzo'!$A$5:$A$37,MATCH(D21,'Costos Producción Marzo'!$C$5:$C$37,0))</f>
        <v>10007050</v>
      </c>
      <c r="C21" s="7" t="s">
        <v>587</v>
      </c>
      <c r="D21" s="7" t="s">
        <v>457</v>
      </c>
      <c r="E21" s="10">
        <v>26.774999999999999</v>
      </c>
      <c r="F21" s="10">
        <v>1286.3458450046687</v>
      </c>
      <c r="G21" s="10">
        <v>27240.84</v>
      </c>
      <c r="H21" s="10">
        <v>5619.0199999999995</v>
      </c>
      <c r="I21" s="10">
        <v>466.11999999999989</v>
      </c>
      <c r="J21" s="10">
        <f t="shared" si="0"/>
        <v>1115.93</v>
      </c>
      <c r="K21" s="205">
        <f t="shared" si="1"/>
        <v>34441.910000000003</v>
      </c>
      <c r="O21" s="7">
        <v>0</v>
      </c>
      <c r="P21" s="7">
        <v>0</v>
      </c>
      <c r="Q21" s="7">
        <v>-132.07</v>
      </c>
      <c r="R21" s="7">
        <v>1248</v>
      </c>
    </row>
    <row r="22" spans="1:18">
      <c r="B22">
        <f>INDEX('Costos Producción Marzo'!$A$5:$A$37,MATCH(D22,'Costos Producción Marzo'!$C$5:$C$37,0))</f>
        <v>10007050</v>
      </c>
      <c r="C22" s="7" t="s">
        <v>587</v>
      </c>
      <c r="D22" s="7" t="s">
        <v>410</v>
      </c>
      <c r="E22" s="10">
        <v>25.545000000000002</v>
      </c>
      <c r="F22" s="10">
        <v>1270.5233900959092</v>
      </c>
      <c r="G22" s="10">
        <v>25988.75</v>
      </c>
      <c r="H22" s="10">
        <v>4747.26</v>
      </c>
      <c r="I22" s="10">
        <v>469.08000000000004</v>
      </c>
      <c r="J22" s="10">
        <f t="shared" si="0"/>
        <v>1250.4299999999998</v>
      </c>
      <c r="K22" s="205">
        <f t="shared" si="1"/>
        <v>32455.520000000004</v>
      </c>
      <c r="O22" s="7">
        <v>0</v>
      </c>
      <c r="P22" s="7">
        <v>0</v>
      </c>
      <c r="Q22" s="7">
        <v>-122.37</v>
      </c>
      <c r="R22" s="7">
        <v>1372.8</v>
      </c>
    </row>
    <row r="23" spans="1:18">
      <c r="B23">
        <f>INDEX('Costos Producción Marzo'!$A$5:$A$37,MATCH(D23,'Costos Producción Marzo'!$C$5:$C$37,0))</f>
        <v>10007050</v>
      </c>
      <c r="C23" s="7" t="s">
        <v>587</v>
      </c>
      <c r="D23" s="7" t="s">
        <v>434</v>
      </c>
      <c r="E23" s="10">
        <v>15.32</v>
      </c>
      <c r="F23" s="10">
        <v>1300.3054830287206</v>
      </c>
      <c r="G23" s="10">
        <v>14365.230000000001</v>
      </c>
      <c r="H23" s="10">
        <v>3407.7000000000007</v>
      </c>
      <c r="I23" s="10">
        <v>230.34</v>
      </c>
      <c r="J23" s="10">
        <f t="shared" si="0"/>
        <v>1917.4099999999999</v>
      </c>
      <c r="K23" s="205">
        <f t="shared" si="1"/>
        <v>19920.68</v>
      </c>
      <c r="O23" s="7">
        <v>0</v>
      </c>
      <c r="P23" s="7">
        <v>0</v>
      </c>
      <c r="Q23" s="7">
        <v>-66.189999999999984</v>
      </c>
      <c r="R23" s="7">
        <v>1983.6</v>
      </c>
    </row>
    <row r="24" spans="1:18">
      <c r="B24">
        <f>INDEX('Costos Producción Marzo'!$A$5:$A$37,MATCH(D24,'Costos Producción Marzo'!$C$5:$C$37,0))</f>
        <v>10007161</v>
      </c>
      <c r="C24" s="7" t="s">
        <v>587</v>
      </c>
      <c r="D24" s="7" t="s">
        <v>438</v>
      </c>
      <c r="E24" s="10">
        <v>3.22</v>
      </c>
      <c r="F24" s="10">
        <v>1648.4627329192549</v>
      </c>
      <c r="G24" s="10">
        <v>3247.62</v>
      </c>
      <c r="H24" s="10">
        <v>933.80000000000007</v>
      </c>
      <c r="I24" s="10">
        <v>35.200000000000003</v>
      </c>
      <c r="J24" s="10">
        <f t="shared" si="0"/>
        <v>1091.4299999999998</v>
      </c>
      <c r="K24" s="205">
        <f t="shared" si="1"/>
        <v>5308.0499999999993</v>
      </c>
      <c r="O24" s="7">
        <v>697.38999999999987</v>
      </c>
      <c r="P24" s="7">
        <v>410.77000000000004</v>
      </c>
      <c r="Q24" s="7">
        <v>-16.73</v>
      </c>
      <c r="R24" s="7">
        <v>0</v>
      </c>
    </row>
    <row r="25" spans="1:18">
      <c r="A25" t="b">
        <f>B25=Resumen!Y48</f>
        <v>1</v>
      </c>
      <c r="B25">
        <f>INDEX('Costos Producción Marzo'!$A$5:$A$37,MATCH(D25,'Costos Producción Marzo'!$C$5:$C$37,0))</f>
        <v>10007162</v>
      </c>
      <c r="C25" s="7" t="s">
        <v>587</v>
      </c>
      <c r="D25" s="7" t="s">
        <v>378</v>
      </c>
      <c r="E25" s="10">
        <v>319.66000000000003</v>
      </c>
      <c r="F25" s="10">
        <v>1665.8462115998248</v>
      </c>
      <c r="G25" s="10">
        <v>326505.41999999993</v>
      </c>
      <c r="H25" s="10">
        <v>92701.4</v>
      </c>
      <c r="I25" s="10">
        <v>4936.63</v>
      </c>
      <c r="J25" s="10">
        <f t="shared" si="0"/>
        <v>108360.95</v>
      </c>
      <c r="K25" s="205">
        <f t="shared" si="1"/>
        <v>532504.39999999991</v>
      </c>
      <c r="O25" s="7">
        <v>69231.97</v>
      </c>
      <c r="P25" s="7">
        <v>40779.03</v>
      </c>
      <c r="Q25" s="7">
        <v>-1650.0499999999997</v>
      </c>
      <c r="R25" s="7">
        <v>0</v>
      </c>
    </row>
    <row r="26" spans="1:18">
      <c r="B26">
        <f>INDEX('Costos Producción Marzo'!$A$5:$A$37,MATCH(D26,'Costos Producción Marzo'!$C$5:$C$37,0))</f>
        <v>10007162</v>
      </c>
      <c r="C26" s="7" t="s">
        <v>587</v>
      </c>
      <c r="D26" s="7" t="s">
        <v>458</v>
      </c>
      <c r="E26" s="10">
        <v>45.42</v>
      </c>
      <c r="F26" s="10">
        <v>1674.28225451343</v>
      </c>
      <c r="G26" s="10">
        <v>46863.23</v>
      </c>
      <c r="H26" s="10">
        <v>13171.8</v>
      </c>
      <c r="I26" s="10">
        <v>612.62</v>
      </c>
      <c r="J26" s="10">
        <f t="shared" si="0"/>
        <v>15398.25</v>
      </c>
      <c r="K26" s="205">
        <f t="shared" si="1"/>
        <v>76045.899999999994</v>
      </c>
      <c r="O26" s="7">
        <v>9837.07</v>
      </c>
      <c r="P26" s="7">
        <v>5794.2300000000005</v>
      </c>
      <c r="Q26" s="7">
        <v>-233.04999999999998</v>
      </c>
      <c r="R26" s="7">
        <v>0</v>
      </c>
    </row>
    <row r="27" spans="1:18">
      <c r="A27" t="b">
        <f>B27=Resumen!Y71</f>
        <v>1</v>
      </c>
      <c r="B27">
        <f>INDEX('Costos Producción Marzo'!$A$5:$A$37,MATCH(D27,'Costos Producción Marzo'!$C$5:$C$37,0))</f>
        <v>10007567</v>
      </c>
      <c r="C27" s="7" t="s">
        <v>587</v>
      </c>
      <c r="D27" s="7" t="s">
        <v>373</v>
      </c>
      <c r="E27" s="10">
        <v>76.98</v>
      </c>
      <c r="F27" s="10">
        <v>1652.2357755261105</v>
      </c>
      <c r="G27" s="10">
        <v>78549.78</v>
      </c>
      <c r="H27" s="10">
        <v>21169.5</v>
      </c>
      <c r="I27" s="10">
        <v>1372.8</v>
      </c>
      <c r="J27" s="10">
        <f t="shared" si="0"/>
        <v>26097.03</v>
      </c>
      <c r="K27" s="205">
        <f t="shared" si="1"/>
        <v>127189.11</v>
      </c>
      <c r="O27" s="7">
        <v>16672.34</v>
      </c>
      <c r="P27" s="7">
        <v>9820.33</v>
      </c>
      <c r="Q27" s="7">
        <v>-395.64000000000004</v>
      </c>
      <c r="R27" s="7">
        <v>0</v>
      </c>
    </row>
    <row r="28" spans="1:18">
      <c r="B28">
        <f>INDEX('Costos Producción Marzo'!$A$5:$A$37,MATCH(D28,'Costos Producción Marzo'!$C$5:$C$37,0))</f>
        <v>10009386</v>
      </c>
      <c r="C28" s="7" t="s">
        <v>587</v>
      </c>
      <c r="D28" s="7" t="s">
        <v>456</v>
      </c>
      <c r="E28" s="10">
        <v>10.24</v>
      </c>
      <c r="F28" s="10">
        <v>1219.5097656250002</v>
      </c>
      <c r="G28" s="10">
        <v>10544.550000000001</v>
      </c>
      <c r="H28" s="10">
        <v>1843.2</v>
      </c>
      <c r="I28" s="10">
        <v>152.35</v>
      </c>
      <c r="J28" s="10">
        <f t="shared" si="0"/>
        <v>-52.319999999999993</v>
      </c>
      <c r="K28" s="205">
        <f t="shared" si="1"/>
        <v>12487.780000000002</v>
      </c>
      <c r="O28" s="7">
        <v>0</v>
      </c>
      <c r="P28" s="7">
        <v>0</v>
      </c>
      <c r="Q28" s="7">
        <v>-52.319999999999993</v>
      </c>
      <c r="R28" s="7">
        <v>0</v>
      </c>
    </row>
    <row r="29" spans="1:18">
      <c r="C29" s="218" t="s">
        <v>588</v>
      </c>
      <c r="D29" s="218">
        <v>0</v>
      </c>
      <c r="E29" s="90">
        <v>2407.5419999999999</v>
      </c>
      <c r="F29" s="90">
        <v>1675.9123620688654</v>
      </c>
      <c r="G29" s="90">
        <v>2453880.2099999995</v>
      </c>
      <c r="H29" s="90">
        <v>762560.70000000019</v>
      </c>
      <c r="I29" s="90">
        <v>37488.07</v>
      </c>
      <c r="J29" s="90">
        <f t="shared" si="0"/>
        <v>780900.42000000016</v>
      </c>
      <c r="K29" s="52">
        <f t="shared" si="1"/>
        <v>4034829.3999999994</v>
      </c>
      <c r="O29" s="7">
        <v>490207.74000000005</v>
      </c>
      <c r="P29" s="7">
        <v>288742.2</v>
      </c>
      <c r="Q29" s="7">
        <v>-13981.829999999998</v>
      </c>
      <c r="R29" s="7">
        <v>15932.31</v>
      </c>
    </row>
    <row r="31" spans="1:18">
      <c r="C31" s="206" t="s">
        <v>586</v>
      </c>
    </row>
    <row r="33" spans="2:11">
      <c r="C33" s="203" t="s">
        <v>300</v>
      </c>
      <c r="D33" s="203" t="s">
        <v>301</v>
      </c>
      <c r="E33" s="204" t="s">
        <v>577</v>
      </c>
      <c r="F33" s="204" t="s">
        <v>578</v>
      </c>
      <c r="G33" s="203" t="s">
        <v>579</v>
      </c>
      <c r="H33" s="203" t="s">
        <v>580</v>
      </c>
      <c r="I33" s="203" t="s">
        <v>581</v>
      </c>
      <c r="J33" s="203" t="s">
        <v>89</v>
      </c>
      <c r="K33" s="203" t="s">
        <v>11</v>
      </c>
    </row>
    <row r="34" spans="2:11">
      <c r="B34">
        <f>B5</f>
        <v>10006720</v>
      </c>
      <c r="C34" s="7" t="s">
        <v>587</v>
      </c>
      <c r="D34" s="7" t="s">
        <v>329</v>
      </c>
      <c r="E34" s="10"/>
      <c r="F34" s="10"/>
      <c r="G34" s="208">
        <f t="shared" ref="G34:K43" si="2">G5/$K5</f>
        <v>0.64169303523294352</v>
      </c>
      <c r="H34" s="208">
        <f t="shared" si="2"/>
        <v>0.13497198360671339</v>
      </c>
      <c r="I34" s="208">
        <f t="shared" si="2"/>
        <v>9.3438509801629759E-3</v>
      </c>
      <c r="J34" s="208">
        <f t="shared" si="2"/>
        <v>0.21399113018018007</v>
      </c>
      <c r="K34" s="208">
        <f t="shared" si="2"/>
        <v>1</v>
      </c>
    </row>
    <row r="35" spans="2:11">
      <c r="B35">
        <f t="shared" ref="B35:B57" si="3">B6</f>
        <v>10009178</v>
      </c>
      <c r="C35" s="7" t="s">
        <v>587</v>
      </c>
      <c r="D35" s="7" t="s">
        <v>442</v>
      </c>
      <c r="E35" s="10"/>
      <c r="F35" s="10"/>
      <c r="G35" s="208">
        <f t="shared" si="2"/>
        <v>0.64883017191127534</v>
      </c>
      <c r="H35" s="208">
        <f t="shared" si="2"/>
        <v>0.12517853396615963</v>
      </c>
      <c r="I35" s="208">
        <f t="shared" si="2"/>
        <v>1.0306780381352422E-2</v>
      </c>
      <c r="J35" s="208">
        <f t="shared" si="2"/>
        <v>0.21568451374121267</v>
      </c>
      <c r="K35" s="208">
        <f t="shared" si="2"/>
        <v>1</v>
      </c>
    </row>
    <row r="36" spans="2:11">
      <c r="B36" t="e">
        <f t="shared" si="3"/>
        <v>#N/A</v>
      </c>
      <c r="C36" s="7" t="s">
        <v>587</v>
      </c>
      <c r="D36" s="7" t="s">
        <v>453</v>
      </c>
      <c r="E36" s="10"/>
      <c r="F36" s="10"/>
      <c r="G36" s="208">
        <f t="shared" si="2"/>
        <v>0.57010655333826066</v>
      </c>
      <c r="H36" s="208">
        <f t="shared" si="2"/>
        <v>0.23281596452328157</v>
      </c>
      <c r="I36" s="208">
        <f t="shared" si="2"/>
        <v>9.1155457009115537E-3</v>
      </c>
      <c r="J36" s="208">
        <f t="shared" si="2"/>
        <v>0.18796193643754619</v>
      </c>
      <c r="K36" s="208">
        <f t="shared" si="2"/>
        <v>1</v>
      </c>
    </row>
    <row r="37" spans="2:11">
      <c r="B37">
        <f t="shared" si="3"/>
        <v>10009331</v>
      </c>
      <c r="C37" s="7" t="s">
        <v>587</v>
      </c>
      <c r="D37" s="7" t="s">
        <v>406</v>
      </c>
      <c r="E37" s="10"/>
      <c r="F37" s="10"/>
      <c r="G37" s="208">
        <f t="shared" si="2"/>
        <v>0.57062678699102054</v>
      </c>
      <c r="H37" s="208">
        <f t="shared" si="2"/>
        <v>0.22638699914357482</v>
      </c>
      <c r="I37" s="208">
        <f t="shared" si="2"/>
        <v>1.0368416887892331E-2</v>
      </c>
      <c r="J37" s="208">
        <f t="shared" si="2"/>
        <v>0.19261779697751238</v>
      </c>
      <c r="K37" s="208">
        <f t="shared" si="2"/>
        <v>1</v>
      </c>
    </row>
    <row r="38" spans="2:11">
      <c r="B38">
        <f t="shared" si="3"/>
        <v>10009334</v>
      </c>
      <c r="C38" s="7" t="s">
        <v>587</v>
      </c>
      <c r="D38" s="7" t="s">
        <v>455</v>
      </c>
      <c r="E38" s="10"/>
      <c r="F38" s="10"/>
      <c r="G38" s="208">
        <f t="shared" si="2"/>
        <v>0.56624687432905163</v>
      </c>
      <c r="H38" s="208">
        <f t="shared" si="2"/>
        <v>0.23445622542566594</v>
      </c>
      <c r="I38" s="208">
        <f t="shared" si="2"/>
        <v>9.9631100344609973E-3</v>
      </c>
      <c r="J38" s="208">
        <f t="shared" si="2"/>
        <v>0.18933379021082147</v>
      </c>
      <c r="K38" s="208">
        <f t="shared" si="2"/>
        <v>1</v>
      </c>
    </row>
    <row r="39" spans="2:11">
      <c r="B39">
        <f t="shared" si="3"/>
        <v>10007969</v>
      </c>
      <c r="C39" s="7" t="s">
        <v>587</v>
      </c>
      <c r="D39" s="7" t="s">
        <v>439</v>
      </c>
      <c r="E39" s="10"/>
      <c r="F39" s="10"/>
      <c r="G39" s="208">
        <f t="shared" si="2"/>
        <v>0.84709673256727924</v>
      </c>
      <c r="H39" s="208">
        <f t="shared" si="2"/>
        <v>0.17011334453262275</v>
      </c>
      <c r="I39" s="208">
        <f t="shared" si="2"/>
        <v>1.3090013307594118E-2</v>
      </c>
      <c r="J39" s="208">
        <f t="shared" si="2"/>
        <v>-3.0300090407496209E-2</v>
      </c>
      <c r="K39" s="208">
        <f t="shared" si="2"/>
        <v>1</v>
      </c>
    </row>
    <row r="40" spans="2:11">
      <c r="B40">
        <f t="shared" si="3"/>
        <v>10005721</v>
      </c>
      <c r="C40" s="7" t="s">
        <v>587</v>
      </c>
      <c r="D40" s="7" t="s">
        <v>430</v>
      </c>
      <c r="E40" s="10"/>
      <c r="F40" s="10"/>
      <c r="G40" s="208">
        <f t="shared" si="2"/>
        <v>0.60731091314770191</v>
      </c>
      <c r="H40" s="208">
        <f t="shared" si="2"/>
        <v>0.17795470602596922</v>
      </c>
      <c r="I40" s="208">
        <f t="shared" si="2"/>
        <v>1.0901905847840235E-2</v>
      </c>
      <c r="J40" s="208">
        <f t="shared" si="2"/>
        <v>0.20383247497848861</v>
      </c>
      <c r="K40" s="208">
        <f t="shared" si="2"/>
        <v>1</v>
      </c>
    </row>
    <row r="41" spans="2:11">
      <c r="B41">
        <f t="shared" si="3"/>
        <v>10004435</v>
      </c>
      <c r="C41" s="7" t="s">
        <v>587</v>
      </c>
      <c r="D41" s="7" t="s">
        <v>429</v>
      </c>
      <c r="E41" s="10"/>
      <c r="F41" s="10"/>
      <c r="G41" s="208">
        <f t="shared" si="2"/>
        <v>0.59776493671817699</v>
      </c>
      <c r="H41" s="208">
        <f t="shared" si="2"/>
        <v>0.19570857748731638</v>
      </c>
      <c r="I41" s="208">
        <f t="shared" si="2"/>
        <v>8.2691479418908892E-3</v>
      </c>
      <c r="J41" s="208">
        <f t="shared" si="2"/>
        <v>0.19825733785261584</v>
      </c>
      <c r="K41" s="208">
        <f t="shared" si="2"/>
        <v>1</v>
      </c>
    </row>
    <row r="42" spans="2:11">
      <c r="B42">
        <f t="shared" si="3"/>
        <v>10009251</v>
      </c>
      <c r="C42" s="7" t="s">
        <v>587</v>
      </c>
      <c r="D42" s="7" t="s">
        <v>463</v>
      </c>
      <c r="E42" s="10"/>
      <c r="F42" s="10"/>
      <c r="G42" s="208">
        <f t="shared" si="2"/>
        <v>0.59821707007683667</v>
      </c>
      <c r="H42" s="208">
        <f t="shared" si="2"/>
        <v>0.1849989097022432</v>
      </c>
      <c r="I42" s="208">
        <f t="shared" si="2"/>
        <v>6.9779056435218725E-3</v>
      </c>
      <c r="J42" s="208">
        <f t="shared" si="2"/>
        <v>0.20980611457739823</v>
      </c>
      <c r="K42" s="208">
        <f t="shared" si="2"/>
        <v>1</v>
      </c>
    </row>
    <row r="43" spans="2:11">
      <c r="B43" t="e">
        <f t="shared" si="3"/>
        <v>#N/A</v>
      </c>
      <c r="C43" s="7" t="s">
        <v>587</v>
      </c>
      <c r="D43" s="7" t="s">
        <v>449</v>
      </c>
      <c r="E43" s="10"/>
      <c r="F43" s="10"/>
      <c r="G43" s="208">
        <f t="shared" si="2"/>
        <v>0.49163766223740785</v>
      </c>
      <c r="H43" s="208">
        <f t="shared" si="2"/>
        <v>0.33742527933195271</v>
      </c>
      <c r="I43" s="208">
        <f t="shared" si="2"/>
        <v>6.9728102355148466E-3</v>
      </c>
      <c r="J43" s="208">
        <f t="shared" si="2"/>
        <v>0.16396424819512456</v>
      </c>
      <c r="K43" s="208">
        <f t="shared" si="2"/>
        <v>1</v>
      </c>
    </row>
    <row r="44" spans="2:11">
      <c r="B44">
        <f t="shared" si="3"/>
        <v>10009239</v>
      </c>
      <c r="C44" s="7" t="s">
        <v>587</v>
      </c>
      <c r="D44" s="7" t="s">
        <v>392</v>
      </c>
      <c r="E44" s="10"/>
      <c r="F44" s="10"/>
      <c r="G44" s="208">
        <f t="shared" ref="G44:K53" si="4">G15/$K15</f>
        <v>0.49175772370436593</v>
      </c>
      <c r="H44" s="208">
        <f t="shared" si="4"/>
        <v>0.32059890642533317</v>
      </c>
      <c r="I44" s="208">
        <f t="shared" si="4"/>
        <v>5.8712833791698567E-3</v>
      </c>
      <c r="J44" s="208">
        <f t="shared" si="4"/>
        <v>0.18177208649113116</v>
      </c>
      <c r="K44" s="208">
        <f t="shared" si="4"/>
        <v>1</v>
      </c>
    </row>
    <row r="45" spans="2:11">
      <c r="B45">
        <f t="shared" si="3"/>
        <v>10009207</v>
      </c>
      <c r="C45" s="7" t="s">
        <v>587</v>
      </c>
      <c r="D45" s="7" t="s">
        <v>446</v>
      </c>
      <c r="E45" s="10"/>
      <c r="F45" s="10"/>
      <c r="G45" s="208">
        <f t="shared" si="4"/>
        <v>0.84377146356763755</v>
      </c>
      <c r="H45" s="208">
        <f t="shared" si="4"/>
        <v>0.1480178529892949</v>
      </c>
      <c r="I45" s="208">
        <f t="shared" si="4"/>
        <v>1.2435065977587435E-2</v>
      </c>
      <c r="J45" s="208">
        <f t="shared" si="4"/>
        <v>-4.2243825345198785E-3</v>
      </c>
      <c r="K45" s="208">
        <f t="shared" si="4"/>
        <v>1</v>
      </c>
    </row>
    <row r="46" spans="2:11">
      <c r="B46">
        <f t="shared" si="3"/>
        <v>10005776</v>
      </c>
      <c r="C46" s="7" t="s">
        <v>587</v>
      </c>
      <c r="D46" s="7" t="s">
        <v>431</v>
      </c>
      <c r="E46" s="10"/>
      <c r="F46" s="10"/>
      <c r="G46" s="208">
        <f t="shared" si="4"/>
        <v>0.5775406271457999</v>
      </c>
      <c r="H46" s="208">
        <f t="shared" si="4"/>
        <v>0.22316319523918515</v>
      </c>
      <c r="I46" s="208">
        <f t="shared" si="4"/>
        <v>5.2872510872053096E-3</v>
      </c>
      <c r="J46" s="208">
        <f t="shared" si="4"/>
        <v>0.19400892652780954</v>
      </c>
      <c r="K46" s="208">
        <f t="shared" si="4"/>
        <v>1</v>
      </c>
    </row>
    <row r="47" spans="2:11">
      <c r="B47">
        <f t="shared" si="3"/>
        <v>10005779</v>
      </c>
      <c r="C47" s="7" t="s">
        <v>587</v>
      </c>
      <c r="D47" s="7" t="s">
        <v>355</v>
      </c>
      <c r="E47" s="10"/>
      <c r="F47" s="10"/>
      <c r="G47" s="208">
        <f t="shared" si="4"/>
        <v>0.58060075268989952</v>
      </c>
      <c r="H47" s="208">
        <f t="shared" si="4"/>
        <v>0.22095391507457116</v>
      </c>
      <c r="I47" s="208">
        <f t="shared" si="4"/>
        <v>6.3873041472091684E-3</v>
      </c>
      <c r="J47" s="208">
        <f t="shared" si="4"/>
        <v>0.19205802808832018</v>
      </c>
      <c r="K47" s="208">
        <f t="shared" si="4"/>
        <v>1</v>
      </c>
    </row>
    <row r="48" spans="2:11">
      <c r="B48">
        <f t="shared" si="3"/>
        <v>10005781</v>
      </c>
      <c r="C48" s="7" t="s">
        <v>587</v>
      </c>
      <c r="D48" s="7" t="s">
        <v>366</v>
      </c>
      <c r="E48" s="10"/>
      <c r="F48" s="10"/>
      <c r="G48" s="208">
        <f t="shared" si="4"/>
        <v>0.57880811615891203</v>
      </c>
      <c r="H48" s="208">
        <f t="shared" si="4"/>
        <v>0.22078196980547032</v>
      </c>
      <c r="I48" s="208">
        <f t="shared" si="4"/>
        <v>8.4855332719253745E-3</v>
      </c>
      <c r="J48" s="208">
        <f t="shared" si="4"/>
        <v>0.19192438076369217</v>
      </c>
      <c r="K48" s="208">
        <f t="shared" si="4"/>
        <v>1</v>
      </c>
    </row>
    <row r="49" spans="2:11">
      <c r="B49">
        <f t="shared" si="3"/>
        <v>10007050</v>
      </c>
      <c r="C49" s="7" t="s">
        <v>587</v>
      </c>
      <c r="D49" s="7" t="s">
        <v>435</v>
      </c>
      <c r="E49" s="10"/>
      <c r="F49" s="10"/>
      <c r="G49" s="208">
        <f t="shared" si="4"/>
        <v>0.83634348085614407</v>
      </c>
      <c r="H49" s="208">
        <f t="shared" si="4"/>
        <v>0.15349194167306218</v>
      </c>
      <c r="I49" s="208">
        <f t="shared" si="4"/>
        <v>1.4581734458940907E-2</v>
      </c>
      <c r="J49" s="208">
        <f t="shared" si="4"/>
        <v>-4.4171569881470115E-3</v>
      </c>
      <c r="K49" s="208">
        <f t="shared" si="4"/>
        <v>1</v>
      </c>
    </row>
    <row r="50" spans="2:11">
      <c r="B50">
        <f t="shared" si="3"/>
        <v>10007050</v>
      </c>
      <c r="C50" s="7" t="s">
        <v>587</v>
      </c>
      <c r="D50" s="7" t="s">
        <v>457</v>
      </c>
      <c r="E50" s="10"/>
      <c r="F50" s="10"/>
      <c r="G50" s="208">
        <f t="shared" si="4"/>
        <v>0.79092129327322436</v>
      </c>
      <c r="H50" s="208">
        <f t="shared" si="4"/>
        <v>0.16314484301248097</v>
      </c>
      <c r="I50" s="208">
        <f t="shared" si="4"/>
        <v>1.3533511933571624E-2</v>
      </c>
      <c r="J50" s="208">
        <f t="shared" si="4"/>
        <v>3.2400351780722959E-2</v>
      </c>
      <c r="K50" s="208">
        <f t="shared" si="4"/>
        <v>1</v>
      </c>
    </row>
    <row r="51" spans="2:11">
      <c r="B51">
        <f t="shared" si="3"/>
        <v>10007050</v>
      </c>
      <c r="C51" s="7" t="s">
        <v>587</v>
      </c>
      <c r="D51" s="7" t="s">
        <v>410</v>
      </c>
      <c r="E51" s="10"/>
      <c r="F51" s="10"/>
      <c r="G51" s="208">
        <f t="shared" si="4"/>
        <v>0.80074976460090597</v>
      </c>
      <c r="H51" s="208">
        <f t="shared" si="4"/>
        <v>0.14626972545810388</v>
      </c>
      <c r="I51" s="208">
        <f t="shared" si="4"/>
        <v>1.4453011382963513E-2</v>
      </c>
      <c r="J51" s="208">
        <f t="shared" si="4"/>
        <v>3.8527498558026486E-2</v>
      </c>
      <c r="K51" s="208">
        <f t="shared" si="4"/>
        <v>1</v>
      </c>
    </row>
    <row r="52" spans="2:11">
      <c r="B52">
        <f t="shared" si="3"/>
        <v>10007050</v>
      </c>
      <c r="C52" s="7" t="s">
        <v>587</v>
      </c>
      <c r="D52" s="7" t="s">
        <v>434</v>
      </c>
      <c r="E52" s="10"/>
      <c r="F52" s="10"/>
      <c r="G52" s="208">
        <f t="shared" si="4"/>
        <v>0.72112146774106112</v>
      </c>
      <c r="H52" s="208">
        <f t="shared" si="4"/>
        <v>0.17106343759349585</v>
      </c>
      <c r="I52" s="208">
        <f t="shared" si="4"/>
        <v>1.1562858296001944E-2</v>
      </c>
      <c r="J52" s="208">
        <f t="shared" si="4"/>
        <v>9.6252236369441191E-2</v>
      </c>
      <c r="K52" s="208">
        <f t="shared" si="4"/>
        <v>1</v>
      </c>
    </row>
    <row r="53" spans="2:11">
      <c r="B53">
        <f t="shared" si="3"/>
        <v>10007161</v>
      </c>
      <c r="C53" s="7" t="s">
        <v>587</v>
      </c>
      <c r="D53" s="7" t="s">
        <v>438</v>
      </c>
      <c r="E53" s="10"/>
      <c r="F53" s="10"/>
      <c r="G53" s="208">
        <f t="shared" si="4"/>
        <v>0.61182920281459297</v>
      </c>
      <c r="H53" s="208">
        <f t="shared" si="4"/>
        <v>0.17592147775548464</v>
      </c>
      <c r="I53" s="208">
        <f t="shared" si="4"/>
        <v>6.6314371567713203E-3</v>
      </c>
      <c r="J53" s="208">
        <f t="shared" si="4"/>
        <v>0.20561788227315114</v>
      </c>
      <c r="K53" s="208">
        <f t="shared" si="4"/>
        <v>1</v>
      </c>
    </row>
    <row r="54" spans="2:11">
      <c r="B54">
        <f t="shared" si="3"/>
        <v>10007162</v>
      </c>
      <c r="C54" s="7" t="s">
        <v>587</v>
      </c>
      <c r="D54" s="7" t="s">
        <v>378</v>
      </c>
      <c r="E54" s="10"/>
      <c r="F54" s="10"/>
      <c r="G54" s="208">
        <f t="shared" ref="G54:K58" si="5">G25/$K25</f>
        <v>0.6131506519007166</v>
      </c>
      <c r="H54" s="208">
        <f t="shared" si="5"/>
        <v>0.17408569769564347</v>
      </c>
      <c r="I54" s="208">
        <f t="shared" si="5"/>
        <v>9.2705900646079184E-3</v>
      </c>
      <c r="J54" s="208">
        <f t="shared" si="5"/>
        <v>0.20349306033903197</v>
      </c>
      <c r="K54" s="208">
        <f t="shared" si="5"/>
        <v>1</v>
      </c>
    </row>
    <row r="55" spans="2:11">
      <c r="B55">
        <f t="shared" si="3"/>
        <v>10007162</v>
      </c>
      <c r="C55" s="7" t="s">
        <v>587</v>
      </c>
      <c r="D55" s="7" t="s">
        <v>458</v>
      </c>
      <c r="E55" s="10"/>
      <c r="F55" s="10"/>
      <c r="G55" s="208">
        <f t="shared" si="5"/>
        <v>0.61624926524638413</v>
      </c>
      <c r="H55" s="208">
        <f t="shared" si="5"/>
        <v>0.17320854904735167</v>
      </c>
      <c r="I55" s="208">
        <f t="shared" si="5"/>
        <v>8.055924119512033E-3</v>
      </c>
      <c r="J55" s="208">
        <f t="shared" si="5"/>
        <v>0.20248626158675223</v>
      </c>
      <c r="K55" s="208">
        <f t="shared" si="5"/>
        <v>1</v>
      </c>
    </row>
    <row r="56" spans="2:11">
      <c r="B56">
        <f t="shared" si="3"/>
        <v>10007567</v>
      </c>
      <c r="C56" s="7" t="s">
        <v>587</v>
      </c>
      <c r="D56" s="7" t="s">
        <v>373</v>
      </c>
      <c r="E56" s="10"/>
      <c r="F56" s="10"/>
      <c r="G56" s="208">
        <f t="shared" si="5"/>
        <v>0.61758259020760498</v>
      </c>
      <c r="H56" s="208">
        <f t="shared" si="5"/>
        <v>0.16644113635200372</v>
      </c>
      <c r="I56" s="208">
        <f t="shared" si="5"/>
        <v>1.0793376885804139E-2</v>
      </c>
      <c r="J56" s="208">
        <f t="shared" si="5"/>
        <v>0.2051828965545871</v>
      </c>
      <c r="K56" s="208">
        <f t="shared" si="5"/>
        <v>1</v>
      </c>
    </row>
    <row r="57" spans="2:11">
      <c r="B57">
        <f t="shared" si="3"/>
        <v>10009386</v>
      </c>
      <c r="C57" s="7" t="s">
        <v>587</v>
      </c>
      <c r="D57" s="7" t="s">
        <v>456</v>
      </c>
      <c r="E57" s="10"/>
      <c r="F57" s="10"/>
      <c r="G57" s="208">
        <f t="shared" si="5"/>
        <v>0.84438947515090745</v>
      </c>
      <c r="H57" s="208">
        <f t="shared" si="5"/>
        <v>0.14760029404746078</v>
      </c>
      <c r="I57" s="208">
        <f t="shared" si="5"/>
        <v>1.2199926648291367E-2</v>
      </c>
      <c r="J57" s="208">
        <f t="shared" si="5"/>
        <v>-4.1896958466596931E-3</v>
      </c>
      <c r="K57" s="208">
        <f t="shared" si="5"/>
        <v>1</v>
      </c>
    </row>
    <row r="58" spans="2:11">
      <c r="C58" s="218" t="s">
        <v>588</v>
      </c>
      <c r="D58" s="218">
        <v>0</v>
      </c>
      <c r="E58" s="90"/>
      <c r="F58" s="90"/>
      <c r="G58" s="210">
        <f t="shared" si="5"/>
        <v>0.60817446457587521</v>
      </c>
      <c r="H58" s="210">
        <f t="shared" si="5"/>
        <v>0.18899453344917144</v>
      </c>
      <c r="I58" s="210">
        <f t="shared" si="5"/>
        <v>9.2911164967718358E-3</v>
      </c>
      <c r="J58" s="210">
        <f t="shared" si="5"/>
        <v>0.19353988547818163</v>
      </c>
      <c r="K58" s="210">
        <f t="shared" si="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7928-4094-463D-B00F-0ACD53E22781}">
  <dimension ref="A2:O76"/>
  <sheetViews>
    <sheetView zoomScale="80" zoomScaleNormal="80" workbookViewId="0">
      <selection activeCell="K12" sqref="K12:K13"/>
    </sheetView>
  </sheetViews>
  <sheetFormatPr baseColWidth="10" defaultRowHeight="14.4"/>
  <cols>
    <col min="3" max="3" width="37.6640625" bestFit="1" customWidth="1"/>
    <col min="5" max="5" width="13.33203125" customWidth="1"/>
    <col min="6" max="13" width="18" customWidth="1"/>
    <col min="14" max="14" width="14.77734375" bestFit="1" customWidth="1"/>
  </cols>
  <sheetData>
    <row r="2" spans="1:15">
      <c r="B2" s="53" t="s">
        <v>585</v>
      </c>
    </row>
    <row r="4" spans="1:15">
      <c r="B4" s="203" t="s">
        <v>300</v>
      </c>
      <c r="C4" s="203" t="s">
        <v>301</v>
      </c>
      <c r="D4" s="204" t="s">
        <v>577</v>
      </c>
      <c r="E4" s="204" t="s">
        <v>578</v>
      </c>
      <c r="F4" s="203" t="s">
        <v>579</v>
      </c>
      <c r="G4" s="203" t="s">
        <v>580</v>
      </c>
      <c r="H4" s="203" t="s">
        <v>581</v>
      </c>
      <c r="I4" s="203" t="s">
        <v>89</v>
      </c>
      <c r="J4" s="203" t="s">
        <v>11</v>
      </c>
      <c r="L4" s="203" t="s">
        <v>89</v>
      </c>
      <c r="M4" s="203" t="s">
        <v>584</v>
      </c>
      <c r="N4" s="203" t="s">
        <v>582</v>
      </c>
      <c r="O4" s="203" t="s">
        <v>583</v>
      </c>
    </row>
    <row r="5" spans="1:15">
      <c r="A5" s="212">
        <v>10006668</v>
      </c>
      <c r="B5" s="198" t="s">
        <v>575</v>
      </c>
      <c r="C5" s="199" t="s">
        <v>432</v>
      </c>
      <c r="D5" s="195">
        <v>0.44</v>
      </c>
      <c r="E5" s="195">
        <f t="shared" ref="E5:E38" si="0">J5/D5</f>
        <v>1979.4772727272723</v>
      </c>
      <c r="F5" s="195">
        <v>618.67999999999995</v>
      </c>
      <c r="G5" s="195">
        <v>96.8</v>
      </c>
      <c r="H5" s="195">
        <v>6.16</v>
      </c>
      <c r="I5" s="205">
        <f>SUM(L5:O5)</f>
        <v>149.32999999999998</v>
      </c>
      <c r="J5" s="205">
        <f>SUM(F5:I5)</f>
        <v>870.9699999999998</v>
      </c>
      <c r="L5" s="195">
        <v>94.88</v>
      </c>
      <c r="M5" s="195">
        <v>56.129999999999995</v>
      </c>
      <c r="N5" s="195">
        <v>-1.68</v>
      </c>
      <c r="O5" s="195">
        <v>0</v>
      </c>
    </row>
    <row r="6" spans="1:15">
      <c r="A6" s="212">
        <v>10006719</v>
      </c>
      <c r="B6" s="198" t="s">
        <v>575</v>
      </c>
      <c r="C6" s="199" t="s">
        <v>433</v>
      </c>
      <c r="D6" s="195">
        <v>0.02</v>
      </c>
      <c r="E6" s="195">
        <f t="shared" si="0"/>
        <v>1602.5000000000002</v>
      </c>
      <c r="F6" s="195">
        <v>20.62</v>
      </c>
      <c r="G6" s="195">
        <v>4.4000000000000004</v>
      </c>
      <c r="H6" s="195">
        <v>0.25</v>
      </c>
      <c r="I6" s="205">
        <f t="shared" ref="I6:I38" si="1">SUM(L6:O6)</f>
        <v>6.7799999999999994</v>
      </c>
      <c r="J6" s="205">
        <f t="shared" ref="J6:J38" si="2">SUM(F6:I6)</f>
        <v>32.050000000000004</v>
      </c>
      <c r="L6" s="195">
        <v>4.3099999999999996</v>
      </c>
      <c r="M6" s="195">
        <v>2.5500000000000003</v>
      </c>
      <c r="N6" s="195">
        <v>-0.08</v>
      </c>
      <c r="O6" s="195">
        <v>0</v>
      </c>
    </row>
    <row r="7" spans="1:15">
      <c r="A7" s="212">
        <v>10006720</v>
      </c>
      <c r="B7" s="198" t="s">
        <v>575</v>
      </c>
      <c r="C7" s="199" t="s">
        <v>329</v>
      </c>
      <c r="D7" s="195">
        <v>368.72</v>
      </c>
      <c r="E7" s="195">
        <f t="shared" si="0"/>
        <v>1949.1981178129743</v>
      </c>
      <c r="F7" s="195">
        <v>507282.52999999997</v>
      </c>
      <c r="G7" s="195">
        <v>80527.87999999999</v>
      </c>
      <c r="H7" s="195">
        <v>6413.5100000000011</v>
      </c>
      <c r="I7" s="205">
        <f t="shared" si="1"/>
        <v>124484.40999999999</v>
      </c>
      <c r="J7" s="205">
        <f t="shared" si="2"/>
        <v>718708.33</v>
      </c>
      <c r="L7" s="195">
        <v>79504.14</v>
      </c>
      <c r="M7" s="195">
        <v>47037.599999999999</v>
      </c>
      <c r="N7" s="195">
        <v>-2057.3300000000004</v>
      </c>
      <c r="O7" s="195">
        <v>0</v>
      </c>
    </row>
    <row r="8" spans="1:15">
      <c r="A8" s="212">
        <v>10009178</v>
      </c>
      <c r="B8" s="198" t="s">
        <v>575</v>
      </c>
      <c r="C8" s="199" t="s">
        <v>442</v>
      </c>
      <c r="D8" s="195">
        <v>23.82</v>
      </c>
      <c r="E8" s="195">
        <f t="shared" si="0"/>
        <v>2048.6595298068851</v>
      </c>
      <c r="F8" s="195">
        <v>35226.9</v>
      </c>
      <c r="G8" s="195">
        <v>5127.18</v>
      </c>
      <c r="H8" s="195">
        <v>404.94</v>
      </c>
      <c r="I8" s="205">
        <f t="shared" si="1"/>
        <v>8040.0499999999984</v>
      </c>
      <c r="J8" s="205">
        <f t="shared" si="2"/>
        <v>48799.07</v>
      </c>
      <c r="L8" s="195">
        <v>5136.1299999999992</v>
      </c>
      <c r="M8" s="195">
        <v>3038.72</v>
      </c>
      <c r="N8" s="195">
        <v>-134.80000000000001</v>
      </c>
      <c r="O8" s="195">
        <v>0</v>
      </c>
    </row>
    <row r="9" spans="1:15">
      <c r="A9" s="212">
        <v>10009331</v>
      </c>
      <c r="B9" s="198" t="s">
        <v>575</v>
      </c>
      <c r="C9" s="199" t="s">
        <v>406</v>
      </c>
      <c r="D9" s="195">
        <v>10.512</v>
      </c>
      <c r="E9" s="195">
        <f t="shared" si="0"/>
        <v>2445.4442541856924</v>
      </c>
      <c r="F9" s="195">
        <v>17532.91</v>
      </c>
      <c r="G9" s="195">
        <v>4415.04</v>
      </c>
      <c r="H9" s="195">
        <v>192.07</v>
      </c>
      <c r="I9" s="205">
        <f t="shared" si="1"/>
        <v>3566.4900000000002</v>
      </c>
      <c r="J9" s="205">
        <f t="shared" si="2"/>
        <v>25706.510000000002</v>
      </c>
      <c r="L9" s="195">
        <v>2266.6200000000003</v>
      </c>
      <c r="M9" s="195">
        <v>1341.02</v>
      </c>
      <c r="N9" s="195">
        <v>-41.15</v>
      </c>
      <c r="O9" s="195">
        <v>0</v>
      </c>
    </row>
    <row r="10" spans="1:15">
      <c r="A10" s="212">
        <v>10009334</v>
      </c>
      <c r="B10" s="198" t="s">
        <v>575</v>
      </c>
      <c r="C10" s="199" t="s">
        <v>455</v>
      </c>
      <c r="D10" s="195">
        <v>1.044</v>
      </c>
      <c r="E10" s="195">
        <f t="shared" si="0"/>
        <v>2442.5766283524904</v>
      </c>
      <c r="F10" s="195">
        <v>1738.71</v>
      </c>
      <c r="G10" s="195">
        <v>438.48</v>
      </c>
      <c r="H10" s="195">
        <v>18.63</v>
      </c>
      <c r="I10" s="205">
        <f t="shared" si="1"/>
        <v>354.23</v>
      </c>
      <c r="J10" s="205">
        <f t="shared" si="2"/>
        <v>2550.0500000000002</v>
      </c>
      <c r="L10" s="195">
        <v>225.12</v>
      </c>
      <c r="M10" s="195">
        <v>133.18</v>
      </c>
      <c r="N10" s="195">
        <v>-4.07</v>
      </c>
      <c r="O10" s="195">
        <v>0</v>
      </c>
    </row>
    <row r="11" spans="1:15">
      <c r="A11" s="213">
        <v>10007969</v>
      </c>
      <c r="B11" s="198" t="s">
        <v>575</v>
      </c>
      <c r="C11" s="199" t="s">
        <v>439</v>
      </c>
      <c r="D11" s="195">
        <v>35.78</v>
      </c>
      <c r="E11" s="195">
        <f t="shared" si="0"/>
        <v>1595.4396310788147</v>
      </c>
      <c r="F11" s="195">
        <v>49333.219999999994</v>
      </c>
      <c r="G11" s="195">
        <v>7334.9</v>
      </c>
      <c r="H11" s="195">
        <v>611.95000000000005</v>
      </c>
      <c r="I11" s="205">
        <f t="shared" si="1"/>
        <v>-195.24</v>
      </c>
      <c r="J11" s="205">
        <f t="shared" si="2"/>
        <v>57084.829999999994</v>
      </c>
      <c r="L11" s="195">
        <v>0</v>
      </c>
      <c r="M11" s="195">
        <v>0</v>
      </c>
      <c r="N11" s="195">
        <v>-195.24</v>
      </c>
      <c r="O11" s="195">
        <v>0</v>
      </c>
    </row>
    <row r="12" spans="1:15">
      <c r="A12" s="214">
        <v>10005721</v>
      </c>
      <c r="B12" s="198" t="s">
        <v>575</v>
      </c>
      <c r="C12" s="199" t="s">
        <v>430</v>
      </c>
      <c r="D12" s="195">
        <v>289.76</v>
      </c>
      <c r="E12" s="195">
        <f t="shared" si="0"/>
        <v>2095.2688776918831</v>
      </c>
      <c r="F12" s="195">
        <v>406441.41000000003</v>
      </c>
      <c r="G12" s="195">
        <v>97069.6</v>
      </c>
      <c r="H12" s="195">
        <v>5733.5300000000007</v>
      </c>
      <c r="I12" s="205">
        <f t="shared" si="1"/>
        <v>97880.569999999992</v>
      </c>
      <c r="J12" s="205">
        <f t="shared" si="2"/>
        <v>607125.11</v>
      </c>
      <c r="K12" s="234">
        <f>I12/D12</f>
        <v>337.79876449475427</v>
      </c>
      <c r="L12" s="195">
        <v>62478.66</v>
      </c>
      <c r="M12" s="195">
        <v>36964.68</v>
      </c>
      <c r="N12" s="195">
        <v>-1562.77</v>
      </c>
      <c r="O12" s="195">
        <v>0</v>
      </c>
    </row>
    <row r="13" spans="1:15">
      <c r="A13" s="214">
        <v>10004435</v>
      </c>
      <c r="B13" s="198" t="s">
        <v>575</v>
      </c>
      <c r="C13" s="199" t="s">
        <v>429</v>
      </c>
      <c r="D13" s="195">
        <v>37.619999999999997</v>
      </c>
      <c r="E13" s="195">
        <f t="shared" si="0"/>
        <v>2146.0717703349283</v>
      </c>
      <c r="F13" s="195">
        <v>54930.670000000006</v>
      </c>
      <c r="G13" s="195">
        <v>12481.8</v>
      </c>
      <c r="H13" s="195">
        <v>604.32000000000016</v>
      </c>
      <c r="I13" s="205">
        <f t="shared" si="1"/>
        <v>12718.43</v>
      </c>
      <c r="J13" s="205">
        <f t="shared" si="2"/>
        <v>80735.22</v>
      </c>
      <c r="K13" s="234">
        <f>I13/D13</f>
        <v>338.07628920786817</v>
      </c>
      <c r="L13" s="195">
        <v>8111.7199999999993</v>
      </c>
      <c r="M13" s="195">
        <v>4799.1900000000005</v>
      </c>
      <c r="N13" s="195">
        <v>-192.48</v>
      </c>
      <c r="O13" s="195">
        <v>0</v>
      </c>
    </row>
    <row r="14" spans="1:15">
      <c r="A14" s="215">
        <v>10009251</v>
      </c>
      <c r="B14" s="198" t="s">
        <v>575</v>
      </c>
      <c r="C14" s="199" t="s">
        <v>463</v>
      </c>
      <c r="D14" s="195">
        <v>5.7</v>
      </c>
      <c r="E14" s="195">
        <f t="shared" si="0"/>
        <v>2298.9122807017543</v>
      </c>
      <c r="F14" s="195">
        <v>8415.4699999999993</v>
      </c>
      <c r="G14" s="195">
        <v>2718.9</v>
      </c>
      <c r="H14" s="195">
        <v>64.239999999999995</v>
      </c>
      <c r="I14" s="205">
        <f t="shared" si="1"/>
        <v>1905.1899999999998</v>
      </c>
      <c r="J14" s="205">
        <f t="shared" si="2"/>
        <v>13103.8</v>
      </c>
      <c r="K14" s="234"/>
      <c r="L14" s="195">
        <v>1229.05</v>
      </c>
      <c r="M14" s="195">
        <v>727.15</v>
      </c>
      <c r="N14" s="195">
        <v>-51.01</v>
      </c>
      <c r="O14" s="195">
        <v>0</v>
      </c>
    </row>
    <row r="15" spans="1:15">
      <c r="A15" s="215">
        <v>10009239</v>
      </c>
      <c r="B15" s="198" t="s">
        <v>575</v>
      </c>
      <c r="C15" s="199" t="s">
        <v>449</v>
      </c>
      <c r="D15" s="195">
        <v>9.08</v>
      </c>
      <c r="E15" s="195">
        <f t="shared" si="0"/>
        <v>2289.2599118942735</v>
      </c>
      <c r="F15" s="195">
        <v>11571.81</v>
      </c>
      <c r="G15" s="195">
        <v>5992.7999999999993</v>
      </c>
      <c r="H15" s="195">
        <v>155.31</v>
      </c>
      <c r="I15" s="205">
        <f t="shared" si="1"/>
        <v>3066.56</v>
      </c>
      <c r="J15" s="205">
        <f t="shared" si="2"/>
        <v>20786.480000000003</v>
      </c>
      <c r="L15" s="195">
        <v>1957.87</v>
      </c>
      <c r="M15" s="195">
        <v>1158.3399999999999</v>
      </c>
      <c r="N15" s="195">
        <v>-49.65</v>
      </c>
      <c r="O15" s="195">
        <v>0</v>
      </c>
    </row>
    <row r="16" spans="1:15">
      <c r="A16" s="215">
        <v>10009239</v>
      </c>
      <c r="B16" s="198" t="s">
        <v>575</v>
      </c>
      <c r="C16" s="199" t="s">
        <v>392</v>
      </c>
      <c r="D16" s="195">
        <v>201.74</v>
      </c>
      <c r="E16" s="195">
        <f t="shared" si="0"/>
        <v>2397.7444730841671</v>
      </c>
      <c r="F16" s="195">
        <v>277953.56999999995</v>
      </c>
      <c r="G16" s="195">
        <v>134154.48000000001</v>
      </c>
      <c r="H16" s="195">
        <v>3492.79</v>
      </c>
      <c r="I16" s="205">
        <f t="shared" si="1"/>
        <v>68120.13</v>
      </c>
      <c r="J16" s="205">
        <f t="shared" si="2"/>
        <v>483720.96999999991</v>
      </c>
      <c r="L16" s="195">
        <v>43499.590000000004</v>
      </c>
      <c r="M16" s="195">
        <v>25735.98</v>
      </c>
      <c r="N16" s="195">
        <v>-1115.44</v>
      </c>
      <c r="O16" s="195">
        <v>0</v>
      </c>
    </row>
    <row r="17" spans="1:15">
      <c r="A17" s="215">
        <v>10009251</v>
      </c>
      <c r="B17" s="198" t="s">
        <v>575</v>
      </c>
      <c r="C17" s="199" t="s">
        <v>452</v>
      </c>
      <c r="D17" s="195">
        <v>3.46</v>
      </c>
      <c r="E17" s="195">
        <f t="shared" si="0"/>
        <v>1961.9479768786127</v>
      </c>
      <c r="F17" s="195">
        <v>4370.47</v>
      </c>
      <c r="G17" s="195">
        <v>1176.4000000000001</v>
      </c>
      <c r="H17" s="195">
        <v>58.82</v>
      </c>
      <c r="I17" s="205">
        <f t="shared" si="1"/>
        <v>1182.6500000000001</v>
      </c>
      <c r="J17" s="205">
        <f t="shared" si="2"/>
        <v>6788.34</v>
      </c>
      <c r="L17" s="195">
        <v>746.06000000000006</v>
      </c>
      <c r="M17" s="195">
        <v>441.39</v>
      </c>
      <c r="N17" s="195">
        <v>-4.8</v>
      </c>
      <c r="O17" s="195">
        <v>0</v>
      </c>
    </row>
    <row r="18" spans="1:15">
      <c r="A18" s="213">
        <v>10009207</v>
      </c>
      <c r="B18" s="198" t="s">
        <v>575</v>
      </c>
      <c r="C18" s="199" t="s">
        <v>446</v>
      </c>
      <c r="D18" s="195">
        <v>8</v>
      </c>
      <c r="E18" s="195">
        <f t="shared" si="0"/>
        <v>1570.13375</v>
      </c>
      <c r="F18" s="195">
        <v>11028.3</v>
      </c>
      <c r="G18" s="195">
        <v>1440</v>
      </c>
      <c r="H18" s="195">
        <v>136.82</v>
      </c>
      <c r="I18" s="205">
        <f t="shared" si="1"/>
        <v>-44.05</v>
      </c>
      <c r="J18" s="205">
        <f t="shared" si="2"/>
        <v>12561.07</v>
      </c>
      <c r="L18" s="195">
        <v>0</v>
      </c>
      <c r="M18" s="195">
        <v>0</v>
      </c>
      <c r="N18" s="195">
        <v>-44.05</v>
      </c>
      <c r="O18" s="195">
        <v>0</v>
      </c>
    </row>
    <row r="19" spans="1:15">
      <c r="A19" s="211">
        <v>10009183</v>
      </c>
      <c r="B19" s="198" t="s">
        <v>575</v>
      </c>
      <c r="C19" s="199" t="s">
        <v>451</v>
      </c>
      <c r="D19" s="195">
        <v>0.32</v>
      </c>
      <c r="E19" s="195">
        <f t="shared" si="0"/>
        <v>2134.75</v>
      </c>
      <c r="F19" s="195">
        <v>443.39</v>
      </c>
      <c r="G19" s="195">
        <v>124.8</v>
      </c>
      <c r="H19" s="195">
        <v>6.33</v>
      </c>
      <c r="I19" s="205">
        <f t="shared" si="1"/>
        <v>108.6</v>
      </c>
      <c r="J19" s="205">
        <f t="shared" si="2"/>
        <v>683.12</v>
      </c>
      <c r="L19" s="195">
        <v>69</v>
      </c>
      <c r="M19" s="195">
        <v>40.82</v>
      </c>
      <c r="N19" s="195">
        <v>-1.22</v>
      </c>
      <c r="O19" s="195">
        <v>0</v>
      </c>
    </row>
    <row r="20" spans="1:15">
      <c r="A20" s="211">
        <v>10005776</v>
      </c>
      <c r="B20" s="198" t="s">
        <v>575</v>
      </c>
      <c r="C20" s="199" t="s">
        <v>431</v>
      </c>
      <c r="D20" s="195">
        <v>3.88</v>
      </c>
      <c r="E20" s="195">
        <f t="shared" si="0"/>
        <v>2065.25</v>
      </c>
      <c r="F20" s="195">
        <v>5134.3</v>
      </c>
      <c r="G20" s="195">
        <v>1513.2</v>
      </c>
      <c r="H20" s="195">
        <v>54.320000000000007</v>
      </c>
      <c r="I20" s="205">
        <f t="shared" si="1"/>
        <v>1311.3500000000001</v>
      </c>
      <c r="J20" s="205">
        <f t="shared" si="2"/>
        <v>8013.17</v>
      </c>
      <c r="L20" s="195">
        <v>836.62000000000012</v>
      </c>
      <c r="M20" s="195">
        <v>494.97999999999996</v>
      </c>
      <c r="N20" s="195">
        <v>-20.25</v>
      </c>
      <c r="O20" s="195">
        <v>0</v>
      </c>
    </row>
    <row r="21" spans="1:15">
      <c r="A21" s="211">
        <v>10005779</v>
      </c>
      <c r="B21" s="198" t="s">
        <v>575</v>
      </c>
      <c r="C21" s="199" t="s">
        <v>355</v>
      </c>
      <c r="D21" s="195">
        <v>88.54</v>
      </c>
      <c r="E21" s="195">
        <f t="shared" si="0"/>
        <v>2100.2380844815898</v>
      </c>
      <c r="F21" s="195">
        <v>120593.32999999999</v>
      </c>
      <c r="G21" s="195">
        <v>34351.460000000006</v>
      </c>
      <c r="H21" s="195">
        <v>1110.4599999999998</v>
      </c>
      <c r="I21" s="205">
        <f t="shared" si="1"/>
        <v>29899.83</v>
      </c>
      <c r="J21" s="205">
        <f t="shared" si="2"/>
        <v>185955.07999999996</v>
      </c>
      <c r="L21" s="195">
        <v>19091.18</v>
      </c>
      <c r="M21" s="195">
        <v>11295.039999999999</v>
      </c>
      <c r="N21" s="195">
        <v>-486.38999999999993</v>
      </c>
      <c r="O21" s="195">
        <v>0</v>
      </c>
    </row>
    <row r="22" spans="1:15">
      <c r="A22" s="211">
        <v>10005781</v>
      </c>
      <c r="B22" s="198" t="s">
        <v>575</v>
      </c>
      <c r="C22" s="199" t="s">
        <v>366</v>
      </c>
      <c r="D22" s="195">
        <v>37.42</v>
      </c>
      <c r="E22" s="195">
        <f t="shared" si="0"/>
        <v>2215.6985569214326</v>
      </c>
      <c r="F22" s="195">
        <v>55056.280000000006</v>
      </c>
      <c r="G22" s="195">
        <v>14593.8</v>
      </c>
      <c r="H22" s="195">
        <v>627.81999999999994</v>
      </c>
      <c r="I22" s="205">
        <f t="shared" si="1"/>
        <v>12633.54</v>
      </c>
      <c r="J22" s="205">
        <f t="shared" si="2"/>
        <v>82911.44</v>
      </c>
      <c r="L22" s="195">
        <v>8068.6100000000006</v>
      </c>
      <c r="M22" s="195">
        <v>4773.68</v>
      </c>
      <c r="N22" s="195">
        <v>-208.74999999999997</v>
      </c>
      <c r="O22" s="195">
        <v>0</v>
      </c>
    </row>
    <row r="23" spans="1:15">
      <c r="A23" s="215">
        <v>10007050</v>
      </c>
      <c r="B23" s="198" t="s">
        <v>575</v>
      </c>
      <c r="C23" s="199" t="s">
        <v>435</v>
      </c>
      <c r="D23" s="195">
        <v>4.92</v>
      </c>
      <c r="E23" s="195">
        <f t="shared" si="0"/>
        <v>1616.8353658536585</v>
      </c>
      <c r="F23" s="195">
        <v>7020.6399999999994</v>
      </c>
      <c r="G23" s="195">
        <v>885.6</v>
      </c>
      <c r="H23" s="195">
        <v>84.15</v>
      </c>
      <c r="I23" s="205">
        <f t="shared" si="1"/>
        <v>-35.56</v>
      </c>
      <c r="J23" s="205">
        <f t="shared" si="2"/>
        <v>7954.829999999999</v>
      </c>
      <c r="L23" s="195">
        <v>0</v>
      </c>
      <c r="M23" s="195">
        <v>0</v>
      </c>
      <c r="N23" s="195">
        <v>-35.56</v>
      </c>
      <c r="O23" s="195">
        <v>0</v>
      </c>
    </row>
    <row r="24" spans="1:15">
      <c r="A24" s="215">
        <v>10007050</v>
      </c>
      <c r="B24" s="198" t="s">
        <v>575</v>
      </c>
      <c r="C24" s="199" t="s">
        <v>437</v>
      </c>
      <c r="D24" s="195">
        <v>2.38</v>
      </c>
      <c r="E24" s="195">
        <f t="shared" si="0"/>
        <v>1462.0672268907565</v>
      </c>
      <c r="F24" s="195">
        <v>3370.83</v>
      </c>
      <c r="G24" s="195">
        <v>428.4</v>
      </c>
      <c r="H24" s="195">
        <v>40.71</v>
      </c>
      <c r="I24" s="205">
        <f t="shared" si="1"/>
        <v>-360.21999999999997</v>
      </c>
      <c r="J24" s="205">
        <f t="shared" si="2"/>
        <v>3479.7200000000003</v>
      </c>
      <c r="L24" s="195">
        <v>0</v>
      </c>
      <c r="M24" s="195">
        <v>0</v>
      </c>
      <c r="N24" s="195">
        <v>-360.21999999999997</v>
      </c>
      <c r="O24" s="195">
        <v>0</v>
      </c>
    </row>
    <row r="25" spans="1:15">
      <c r="A25" s="215">
        <v>10007050</v>
      </c>
      <c r="B25" s="198" t="s">
        <v>575</v>
      </c>
      <c r="C25" s="199" t="s">
        <v>436</v>
      </c>
      <c r="D25" s="195">
        <v>2.2000000000000002</v>
      </c>
      <c r="E25" s="195">
        <f t="shared" si="0"/>
        <v>1560.2954545454547</v>
      </c>
      <c r="F25" s="195">
        <v>3010.51</v>
      </c>
      <c r="G25" s="195">
        <v>396</v>
      </c>
      <c r="H25" s="195">
        <v>37.629999999999995</v>
      </c>
      <c r="I25" s="205">
        <f t="shared" si="1"/>
        <v>-11.49</v>
      </c>
      <c r="J25" s="205">
        <f t="shared" si="2"/>
        <v>3432.6500000000005</v>
      </c>
      <c r="L25" s="195">
        <v>0</v>
      </c>
      <c r="M25" s="195">
        <v>0</v>
      </c>
      <c r="N25" s="195">
        <v>-11.49</v>
      </c>
      <c r="O25" s="195">
        <v>0</v>
      </c>
    </row>
    <row r="26" spans="1:15">
      <c r="A26" s="215">
        <v>10007050</v>
      </c>
      <c r="B26" s="198" t="s">
        <v>575</v>
      </c>
      <c r="C26" s="199" t="s">
        <v>457</v>
      </c>
      <c r="D26" s="195">
        <v>26.07</v>
      </c>
      <c r="E26" s="195">
        <f t="shared" si="0"/>
        <v>1597.2178749520522</v>
      </c>
      <c r="F26" s="195">
        <v>36206.54</v>
      </c>
      <c r="G26" s="195">
        <v>5000.8599999999997</v>
      </c>
      <c r="H26" s="195">
        <v>571.59</v>
      </c>
      <c r="I26" s="205">
        <f t="shared" si="1"/>
        <v>-139.52000000000001</v>
      </c>
      <c r="J26" s="205">
        <f t="shared" si="2"/>
        <v>41639.47</v>
      </c>
      <c r="L26" s="195">
        <v>0</v>
      </c>
      <c r="M26" s="195">
        <v>0</v>
      </c>
      <c r="N26" s="195">
        <v>-139.52000000000001</v>
      </c>
      <c r="O26" s="195">
        <v>0</v>
      </c>
    </row>
    <row r="27" spans="1:15">
      <c r="A27" s="215">
        <v>10007050</v>
      </c>
      <c r="B27" s="198" t="s">
        <v>575</v>
      </c>
      <c r="C27" s="199" t="s">
        <v>410</v>
      </c>
      <c r="D27" s="195">
        <v>24.215</v>
      </c>
      <c r="E27" s="195">
        <f t="shared" si="0"/>
        <v>1579.1199669626264</v>
      </c>
      <c r="F27" s="195">
        <v>33480.78</v>
      </c>
      <c r="G27" s="195">
        <v>4355.5200000000004</v>
      </c>
      <c r="H27" s="195">
        <v>531.07000000000005</v>
      </c>
      <c r="I27" s="205">
        <f t="shared" si="1"/>
        <v>-128.97999999999999</v>
      </c>
      <c r="J27" s="205">
        <f t="shared" si="2"/>
        <v>38238.39</v>
      </c>
      <c r="L27" s="195">
        <v>0</v>
      </c>
      <c r="M27" s="195">
        <v>0</v>
      </c>
      <c r="N27" s="195">
        <v>-128.97999999999999</v>
      </c>
      <c r="O27" s="195">
        <v>0</v>
      </c>
    </row>
    <row r="28" spans="1:15">
      <c r="A28" s="215">
        <v>10007050</v>
      </c>
      <c r="B28" s="198" t="s">
        <v>575</v>
      </c>
      <c r="C28" s="199" t="s">
        <v>434</v>
      </c>
      <c r="D28" s="195">
        <v>22.56</v>
      </c>
      <c r="E28" s="195">
        <f t="shared" si="0"/>
        <v>1587.2584219858154</v>
      </c>
      <c r="F28" s="195">
        <v>31025.649999999998</v>
      </c>
      <c r="G28" s="195">
        <v>4491.8999999999996</v>
      </c>
      <c r="H28" s="195">
        <v>410.14000000000004</v>
      </c>
      <c r="I28" s="205">
        <f t="shared" si="1"/>
        <v>-119.13999999999999</v>
      </c>
      <c r="J28" s="205">
        <f t="shared" si="2"/>
        <v>35808.549999999996</v>
      </c>
      <c r="L28" s="195">
        <v>0</v>
      </c>
      <c r="M28" s="195">
        <v>0</v>
      </c>
      <c r="N28" s="195">
        <v>-119.13999999999999</v>
      </c>
      <c r="O28" s="195">
        <v>0</v>
      </c>
    </row>
    <row r="29" spans="1:15">
      <c r="A29" s="216">
        <v>10007161</v>
      </c>
      <c r="B29" s="198" t="s">
        <v>575</v>
      </c>
      <c r="C29" s="199" t="s">
        <v>438</v>
      </c>
      <c r="D29" s="195">
        <v>4.84</v>
      </c>
      <c r="E29" s="195">
        <f t="shared" si="0"/>
        <v>1973.6880165289251</v>
      </c>
      <c r="F29" s="195">
        <v>6453.1899999999987</v>
      </c>
      <c r="G29" s="195">
        <v>1403.6</v>
      </c>
      <c r="H29" s="195">
        <v>60.730000000000011</v>
      </c>
      <c r="I29" s="205">
        <f t="shared" si="1"/>
        <v>1635.13</v>
      </c>
      <c r="J29" s="205">
        <f t="shared" si="2"/>
        <v>9552.6499999999978</v>
      </c>
      <c r="L29" s="195">
        <v>1043.6100000000001</v>
      </c>
      <c r="M29" s="195">
        <v>617.43999999999994</v>
      </c>
      <c r="N29" s="195">
        <v>-25.92</v>
      </c>
      <c r="O29" s="195">
        <v>0</v>
      </c>
    </row>
    <row r="30" spans="1:15">
      <c r="A30" s="216">
        <v>10007162</v>
      </c>
      <c r="B30" s="198" t="s">
        <v>575</v>
      </c>
      <c r="C30" s="199" t="s">
        <v>378</v>
      </c>
      <c r="D30" s="195">
        <v>206.82</v>
      </c>
      <c r="E30" s="195">
        <f t="shared" si="0"/>
        <v>2018.1792863359442</v>
      </c>
      <c r="F30" s="195">
        <v>283979.31</v>
      </c>
      <c r="G30" s="195">
        <v>59977.799999999988</v>
      </c>
      <c r="H30" s="195">
        <v>3595.6499999999992</v>
      </c>
      <c r="I30" s="205">
        <f t="shared" si="1"/>
        <v>69847.079999999987</v>
      </c>
      <c r="J30" s="205">
        <f t="shared" si="2"/>
        <v>417399.83999999997</v>
      </c>
      <c r="L30" s="195">
        <v>44594.959999999992</v>
      </c>
      <c r="M30" s="195">
        <v>26384.03</v>
      </c>
      <c r="N30" s="195">
        <v>-1131.9100000000001</v>
      </c>
      <c r="O30" s="195">
        <v>0</v>
      </c>
    </row>
    <row r="31" spans="1:15">
      <c r="A31" s="216">
        <v>10007162</v>
      </c>
      <c r="B31" s="198" t="s">
        <v>575</v>
      </c>
      <c r="C31" s="199" t="s">
        <v>458</v>
      </c>
      <c r="D31" s="195">
        <v>48.58</v>
      </c>
      <c r="E31" s="195">
        <f t="shared" si="0"/>
        <v>2122.737340469329</v>
      </c>
      <c r="F31" s="195">
        <v>71848.23000000001</v>
      </c>
      <c r="G31" s="195">
        <v>14088.2</v>
      </c>
      <c r="H31" s="195">
        <v>780.37000000000012</v>
      </c>
      <c r="I31" s="205">
        <f t="shared" si="1"/>
        <v>16405.78</v>
      </c>
      <c r="J31" s="205">
        <f t="shared" si="2"/>
        <v>103122.58</v>
      </c>
      <c r="L31" s="195">
        <v>10474.959999999999</v>
      </c>
      <c r="M31" s="195">
        <v>6197.35</v>
      </c>
      <c r="N31" s="195">
        <v>-266.53000000000003</v>
      </c>
      <c r="O31" s="195">
        <v>0</v>
      </c>
    </row>
    <row r="32" spans="1:15">
      <c r="A32" s="216">
        <v>10009186</v>
      </c>
      <c r="B32" s="198" t="s">
        <v>575</v>
      </c>
      <c r="C32" s="199" t="s">
        <v>444</v>
      </c>
      <c r="D32" s="195">
        <v>0.54</v>
      </c>
      <c r="E32" s="195">
        <f t="shared" si="0"/>
        <v>2058.9074074074074</v>
      </c>
      <c r="F32" s="195">
        <v>763.04</v>
      </c>
      <c r="G32" s="195">
        <v>156.6</v>
      </c>
      <c r="H32" s="195">
        <v>8.9</v>
      </c>
      <c r="I32" s="205">
        <f t="shared" si="1"/>
        <v>183.26999999999998</v>
      </c>
      <c r="J32" s="205">
        <f t="shared" si="2"/>
        <v>1111.81</v>
      </c>
      <c r="L32" s="195">
        <v>116.44</v>
      </c>
      <c r="M32" s="195">
        <v>68.89</v>
      </c>
      <c r="N32" s="195">
        <v>-2.06</v>
      </c>
      <c r="O32" s="195">
        <v>0</v>
      </c>
    </row>
    <row r="33" spans="1:15">
      <c r="A33" s="216">
        <v>10009777</v>
      </c>
      <c r="B33" s="198" t="s">
        <v>575</v>
      </c>
      <c r="C33" s="199" t="s">
        <v>465</v>
      </c>
      <c r="D33" s="195">
        <v>0.22</v>
      </c>
      <c r="E33" s="195">
        <f t="shared" si="0"/>
        <v>2189.363636363636</v>
      </c>
      <c r="F33" s="195">
        <v>350.9</v>
      </c>
      <c r="G33" s="195">
        <v>52.8</v>
      </c>
      <c r="H33" s="195">
        <v>3.74</v>
      </c>
      <c r="I33" s="205">
        <f t="shared" si="1"/>
        <v>74.219999999999985</v>
      </c>
      <c r="J33" s="205">
        <f t="shared" si="2"/>
        <v>481.65999999999997</v>
      </c>
      <c r="L33" s="195">
        <v>47.44</v>
      </c>
      <c r="M33" s="195">
        <v>28.07</v>
      </c>
      <c r="N33" s="195">
        <v>-1.29</v>
      </c>
      <c r="O33" s="195">
        <v>0</v>
      </c>
    </row>
    <row r="34" spans="1:15">
      <c r="A34" s="216">
        <v>10007567</v>
      </c>
      <c r="B34" s="198" t="s">
        <v>575</v>
      </c>
      <c r="C34" s="199" t="s">
        <v>373</v>
      </c>
      <c r="D34" s="195">
        <v>53.98</v>
      </c>
      <c r="E34" s="195">
        <f t="shared" si="0"/>
        <v>2019.4979622082253</v>
      </c>
      <c r="F34" s="195">
        <v>74868.42</v>
      </c>
      <c r="G34" s="195">
        <v>14844.5</v>
      </c>
      <c r="H34" s="195">
        <v>1068.0999999999999</v>
      </c>
      <c r="I34" s="205">
        <f t="shared" si="1"/>
        <v>18231.48</v>
      </c>
      <c r="J34" s="205">
        <f t="shared" si="2"/>
        <v>109012.5</v>
      </c>
      <c r="L34" s="195">
        <v>11639.27</v>
      </c>
      <c r="M34" s="195">
        <v>6886.2300000000005</v>
      </c>
      <c r="N34" s="195">
        <v>-294.02</v>
      </c>
      <c r="O34" s="195">
        <v>0</v>
      </c>
    </row>
    <row r="35" spans="1:15">
      <c r="A35" s="211">
        <v>10009176</v>
      </c>
      <c r="B35" s="198" t="s">
        <v>575</v>
      </c>
      <c r="C35" s="199" t="s">
        <v>440</v>
      </c>
      <c r="D35" s="195">
        <v>0.02</v>
      </c>
      <c r="E35" s="195">
        <f t="shared" si="0"/>
        <v>1637.5</v>
      </c>
      <c r="F35" s="195">
        <v>20.62</v>
      </c>
      <c r="G35" s="195">
        <v>5.0999999999999996</v>
      </c>
      <c r="H35" s="195">
        <v>0.25</v>
      </c>
      <c r="I35" s="205">
        <f t="shared" si="1"/>
        <v>6.7799999999999994</v>
      </c>
      <c r="J35" s="205">
        <f t="shared" si="2"/>
        <v>32.75</v>
      </c>
      <c r="L35" s="195">
        <v>4.3099999999999996</v>
      </c>
      <c r="M35" s="195">
        <v>2.5500000000000003</v>
      </c>
      <c r="N35" s="195">
        <v>-0.08</v>
      </c>
      <c r="O35" s="195">
        <v>0</v>
      </c>
    </row>
    <row r="36" spans="1:15">
      <c r="A36" s="211">
        <v>10009177</v>
      </c>
      <c r="B36" s="198" t="s">
        <v>575</v>
      </c>
      <c r="C36" s="199" t="s">
        <v>441</v>
      </c>
      <c r="D36" s="195">
        <v>2.06</v>
      </c>
      <c r="E36" s="195">
        <f t="shared" si="0"/>
        <v>2018.509708737864</v>
      </c>
      <c r="F36" s="195">
        <v>2907.81</v>
      </c>
      <c r="G36" s="195">
        <v>525.29999999999995</v>
      </c>
      <c r="H36" s="195">
        <v>25.840000000000003</v>
      </c>
      <c r="I36" s="205">
        <f t="shared" si="1"/>
        <v>699.18000000000006</v>
      </c>
      <c r="J36" s="205">
        <f t="shared" si="2"/>
        <v>4158.13</v>
      </c>
      <c r="L36" s="195">
        <v>444.18999999999994</v>
      </c>
      <c r="M36" s="195">
        <v>262.79000000000002</v>
      </c>
      <c r="N36" s="195">
        <v>-7.8</v>
      </c>
      <c r="O36" s="195">
        <v>0</v>
      </c>
    </row>
    <row r="37" spans="1:15">
      <c r="A37" s="217">
        <v>10009386</v>
      </c>
      <c r="B37" s="198" t="s">
        <v>575</v>
      </c>
      <c r="C37" s="199" t="s">
        <v>456</v>
      </c>
      <c r="D37" s="195">
        <v>8.8800000000000008</v>
      </c>
      <c r="E37" s="195">
        <f t="shared" si="0"/>
        <v>1608.7060810810806</v>
      </c>
      <c r="F37" s="195">
        <v>12582.949999999999</v>
      </c>
      <c r="G37" s="195">
        <v>1598.4</v>
      </c>
      <c r="H37" s="195">
        <v>151.88</v>
      </c>
      <c r="I37" s="205">
        <f t="shared" si="1"/>
        <v>-47.92</v>
      </c>
      <c r="J37" s="205">
        <f t="shared" si="2"/>
        <v>14285.309999999998</v>
      </c>
      <c r="L37" s="195">
        <v>0</v>
      </c>
      <c r="M37" s="195">
        <v>0</v>
      </c>
      <c r="N37" s="195">
        <v>-47.92</v>
      </c>
      <c r="O37" s="195">
        <v>0</v>
      </c>
    </row>
    <row r="38" spans="1:15">
      <c r="B38" s="200" t="s">
        <v>576</v>
      </c>
      <c r="C38" s="201">
        <v>0</v>
      </c>
      <c r="D38" s="202">
        <v>1534.1410000000001</v>
      </c>
      <c r="E38" s="202">
        <f t="shared" si="0"/>
        <v>2050.5588795293261</v>
      </c>
      <c r="F38" s="202">
        <v>2135581.9900000002</v>
      </c>
      <c r="G38" s="202">
        <v>511772.49999999994</v>
      </c>
      <c r="H38" s="202">
        <v>27063.02</v>
      </c>
      <c r="I38" s="202">
        <f t="shared" si="1"/>
        <v>471428.94000000006</v>
      </c>
      <c r="J38" s="52">
        <f t="shared" si="2"/>
        <v>3145846.45</v>
      </c>
      <c r="L38" s="202">
        <v>301684.74</v>
      </c>
      <c r="M38" s="202">
        <v>178487.80000000002</v>
      </c>
      <c r="N38" s="202">
        <v>-8743.6000000000022</v>
      </c>
      <c r="O38" s="202">
        <v>0</v>
      </c>
    </row>
    <row r="40" spans="1:15">
      <c r="B40" s="206" t="s">
        <v>586</v>
      </c>
    </row>
    <row r="42" spans="1:15">
      <c r="B42" s="203" t="s">
        <v>300</v>
      </c>
      <c r="C42" s="203" t="s">
        <v>301</v>
      </c>
      <c r="D42" s="204" t="s">
        <v>577</v>
      </c>
      <c r="E42" s="204" t="s">
        <v>578</v>
      </c>
      <c r="F42" s="203" t="s">
        <v>579</v>
      </c>
      <c r="G42" s="203" t="s">
        <v>580</v>
      </c>
      <c r="H42" s="203" t="s">
        <v>581</v>
      </c>
      <c r="I42" s="203" t="s">
        <v>89</v>
      </c>
      <c r="J42" s="203" t="s">
        <v>11</v>
      </c>
    </row>
    <row r="43" spans="1:15">
      <c r="A43" s="212">
        <f t="shared" ref="A43:A75" si="3">A5</f>
        <v>10006668</v>
      </c>
      <c r="B43" s="198" t="s">
        <v>575</v>
      </c>
      <c r="C43" s="199" t="s">
        <v>432</v>
      </c>
      <c r="D43" s="195"/>
      <c r="E43" s="195"/>
      <c r="F43" s="207">
        <f t="shared" ref="F43:J52" si="4">F5/$J5</f>
        <v>0.71033445468845091</v>
      </c>
      <c r="G43" s="207">
        <f t="shared" si="4"/>
        <v>0.11114045259882661</v>
      </c>
      <c r="H43" s="207">
        <f t="shared" si="4"/>
        <v>7.0725742562889674E-3</v>
      </c>
      <c r="I43" s="208">
        <f t="shared" si="4"/>
        <v>0.17145251845643364</v>
      </c>
      <c r="J43" s="208">
        <f t="shared" si="4"/>
        <v>1</v>
      </c>
    </row>
    <row r="44" spans="1:15">
      <c r="A44" s="212">
        <f t="shared" si="3"/>
        <v>10006719</v>
      </c>
      <c r="B44" s="198" t="s">
        <v>575</v>
      </c>
      <c r="C44" s="199" t="s">
        <v>433</v>
      </c>
      <c r="D44" s="195"/>
      <c r="E44" s="195"/>
      <c r="F44" s="207">
        <f t="shared" si="4"/>
        <v>0.64336973478939152</v>
      </c>
      <c r="G44" s="207">
        <f t="shared" si="4"/>
        <v>0.13728549141965679</v>
      </c>
      <c r="H44" s="207">
        <f t="shared" si="4"/>
        <v>7.8003120124804978E-3</v>
      </c>
      <c r="I44" s="208">
        <f t="shared" si="4"/>
        <v>0.21154446177847108</v>
      </c>
      <c r="J44" s="208">
        <f t="shared" si="4"/>
        <v>1</v>
      </c>
    </row>
    <row r="45" spans="1:15">
      <c r="A45" s="212">
        <f t="shared" si="3"/>
        <v>10006720</v>
      </c>
      <c r="B45" s="198" t="s">
        <v>575</v>
      </c>
      <c r="C45" s="199" t="s">
        <v>329</v>
      </c>
      <c r="D45" s="195"/>
      <c r="E45" s="195"/>
      <c r="F45" s="207">
        <f t="shared" si="4"/>
        <v>0.70582531024789985</v>
      </c>
      <c r="G45" s="207">
        <f t="shared" si="4"/>
        <v>0.11204528546371516</v>
      </c>
      <c r="H45" s="207">
        <f t="shared" si="4"/>
        <v>8.9236617029330965E-3</v>
      </c>
      <c r="I45" s="208">
        <f t="shared" si="4"/>
        <v>0.17320574258545188</v>
      </c>
      <c r="J45" s="208">
        <f t="shared" si="4"/>
        <v>1</v>
      </c>
    </row>
    <row r="46" spans="1:15">
      <c r="A46" s="212">
        <f t="shared" si="3"/>
        <v>10009178</v>
      </c>
      <c r="B46" s="198" t="s">
        <v>575</v>
      </c>
      <c r="C46" s="199" t="s">
        <v>442</v>
      </c>
      <c r="D46" s="195"/>
      <c r="E46" s="195"/>
      <c r="F46" s="207">
        <f t="shared" si="4"/>
        <v>0.72187646198995192</v>
      </c>
      <c r="G46" s="207">
        <f t="shared" si="4"/>
        <v>0.10506716623902874</v>
      </c>
      <c r="H46" s="207">
        <f t="shared" si="4"/>
        <v>8.2981089598633748E-3</v>
      </c>
      <c r="I46" s="208">
        <f t="shared" si="4"/>
        <v>0.16475826281115599</v>
      </c>
      <c r="J46" s="208">
        <f t="shared" si="4"/>
        <v>1</v>
      </c>
    </row>
    <row r="47" spans="1:15">
      <c r="A47" s="212">
        <f t="shared" si="3"/>
        <v>10009331</v>
      </c>
      <c r="B47" s="198" t="s">
        <v>575</v>
      </c>
      <c r="C47" s="199" t="s">
        <v>406</v>
      </c>
      <c r="D47" s="195"/>
      <c r="E47" s="195"/>
      <c r="F47" s="207">
        <f t="shared" si="4"/>
        <v>0.68204163069977208</v>
      </c>
      <c r="G47" s="207">
        <f t="shared" si="4"/>
        <v>0.17174793466713295</v>
      </c>
      <c r="H47" s="207">
        <f t="shared" si="4"/>
        <v>7.471648232296021E-3</v>
      </c>
      <c r="I47" s="208">
        <f t="shared" si="4"/>
        <v>0.13873878640079887</v>
      </c>
      <c r="J47" s="208">
        <f t="shared" si="4"/>
        <v>1</v>
      </c>
    </row>
    <row r="48" spans="1:15">
      <c r="A48" s="212">
        <f t="shared" si="3"/>
        <v>10009334</v>
      </c>
      <c r="B48" s="198" t="s">
        <v>575</v>
      </c>
      <c r="C48" s="199" t="s">
        <v>455</v>
      </c>
      <c r="D48" s="195"/>
      <c r="E48" s="195"/>
      <c r="F48" s="207">
        <f t="shared" si="4"/>
        <v>0.68183368953549928</v>
      </c>
      <c r="G48" s="207">
        <f t="shared" si="4"/>
        <v>0.17194956961628202</v>
      </c>
      <c r="H48" s="207">
        <f t="shared" si="4"/>
        <v>7.3057391031548392E-3</v>
      </c>
      <c r="I48" s="208">
        <f t="shared" si="4"/>
        <v>0.13891100174506382</v>
      </c>
      <c r="J48" s="208">
        <f t="shared" si="4"/>
        <v>1</v>
      </c>
    </row>
    <row r="49" spans="1:10">
      <c r="A49" s="213">
        <f t="shared" si="3"/>
        <v>10007969</v>
      </c>
      <c r="B49" s="198" t="s">
        <v>575</v>
      </c>
      <c r="C49" s="199" t="s">
        <v>439</v>
      </c>
      <c r="D49" s="195"/>
      <c r="E49" s="195"/>
      <c r="F49" s="207">
        <f t="shared" si="4"/>
        <v>0.86420893256579723</v>
      </c>
      <c r="G49" s="207">
        <f t="shared" si="4"/>
        <v>0.12849122963140996</v>
      </c>
      <c r="H49" s="207">
        <f t="shared" si="4"/>
        <v>1.0720010903071798E-2</v>
      </c>
      <c r="I49" s="208">
        <f t="shared" si="4"/>
        <v>-3.4201731002790063E-3</v>
      </c>
      <c r="J49" s="208">
        <f t="shared" si="4"/>
        <v>1</v>
      </c>
    </row>
    <row r="50" spans="1:10">
      <c r="A50" s="214">
        <f t="shared" si="3"/>
        <v>10005721</v>
      </c>
      <c r="B50" s="198" t="s">
        <v>575</v>
      </c>
      <c r="C50" s="199" t="s">
        <v>430</v>
      </c>
      <c r="D50" s="195"/>
      <c r="E50" s="195"/>
      <c r="F50" s="207">
        <f t="shared" si="4"/>
        <v>0.66945247907799443</v>
      </c>
      <c r="G50" s="207">
        <f t="shared" si="4"/>
        <v>0.15988401468026914</v>
      </c>
      <c r="H50" s="207">
        <f t="shared" si="4"/>
        <v>9.4437372224647417E-3</v>
      </c>
      <c r="I50" s="208">
        <f t="shared" si="4"/>
        <v>0.16121976901927182</v>
      </c>
      <c r="J50" s="208">
        <f t="shared" si="4"/>
        <v>1</v>
      </c>
    </row>
    <row r="51" spans="1:10">
      <c r="A51" s="214">
        <f t="shared" si="3"/>
        <v>10004435</v>
      </c>
      <c r="B51" s="198" t="s">
        <v>575</v>
      </c>
      <c r="C51" s="199" t="s">
        <v>429</v>
      </c>
      <c r="D51" s="195"/>
      <c r="E51" s="195"/>
      <c r="F51" s="207">
        <f t="shared" si="4"/>
        <v>0.68038050803602201</v>
      </c>
      <c r="G51" s="207">
        <f t="shared" si="4"/>
        <v>0.15460167198404859</v>
      </c>
      <c r="H51" s="207">
        <f t="shared" si="4"/>
        <v>7.4852090574596833E-3</v>
      </c>
      <c r="I51" s="208">
        <f t="shared" si="4"/>
        <v>0.15753261092246978</v>
      </c>
      <c r="J51" s="208">
        <f t="shared" si="4"/>
        <v>1</v>
      </c>
    </row>
    <row r="52" spans="1:10">
      <c r="A52" s="215">
        <f t="shared" si="3"/>
        <v>10009251</v>
      </c>
      <c r="B52" s="198" t="s">
        <v>575</v>
      </c>
      <c r="C52" s="199" t="s">
        <v>463</v>
      </c>
      <c r="D52" s="195"/>
      <c r="E52" s="195"/>
      <c r="F52" s="207">
        <f t="shared" si="4"/>
        <v>0.64221599841267418</v>
      </c>
      <c r="G52" s="207">
        <f t="shared" si="4"/>
        <v>0.20748943054686428</v>
      </c>
      <c r="H52" s="207">
        <f t="shared" si="4"/>
        <v>4.9023947251942181E-3</v>
      </c>
      <c r="I52" s="208">
        <f t="shared" si="4"/>
        <v>0.14539217631526732</v>
      </c>
      <c r="J52" s="208">
        <f t="shared" si="4"/>
        <v>1</v>
      </c>
    </row>
    <row r="53" spans="1:10">
      <c r="A53" s="215">
        <f t="shared" si="3"/>
        <v>10009239</v>
      </c>
      <c r="B53" s="198" t="s">
        <v>575</v>
      </c>
      <c r="C53" s="199" t="s">
        <v>449</v>
      </c>
      <c r="D53" s="195"/>
      <c r="E53" s="195"/>
      <c r="F53" s="207">
        <f t="shared" ref="F53:J62" si="5">F15/$J15</f>
        <v>0.55669887349854319</v>
      </c>
      <c r="G53" s="207">
        <f t="shared" si="5"/>
        <v>0.28830278142330967</v>
      </c>
      <c r="H53" s="207">
        <f t="shared" si="5"/>
        <v>7.4716835173632085E-3</v>
      </c>
      <c r="I53" s="208">
        <f t="shared" si="5"/>
        <v>0.14752666156078373</v>
      </c>
      <c r="J53" s="208">
        <f t="shared" si="5"/>
        <v>1</v>
      </c>
    </row>
    <row r="54" spans="1:10">
      <c r="A54" s="215">
        <f t="shared" si="3"/>
        <v>10009239</v>
      </c>
      <c r="B54" s="198" t="s">
        <v>575</v>
      </c>
      <c r="C54" s="199" t="s">
        <v>392</v>
      </c>
      <c r="D54" s="195"/>
      <c r="E54" s="195"/>
      <c r="F54" s="207">
        <f t="shared" si="5"/>
        <v>0.57461550612535983</v>
      </c>
      <c r="G54" s="207">
        <f t="shared" si="5"/>
        <v>0.27733856566110837</v>
      </c>
      <c r="H54" s="207">
        <f t="shared" si="5"/>
        <v>7.220671040992911E-3</v>
      </c>
      <c r="I54" s="208">
        <f t="shared" si="5"/>
        <v>0.14082525717253899</v>
      </c>
      <c r="J54" s="208">
        <f t="shared" si="5"/>
        <v>1</v>
      </c>
    </row>
    <row r="55" spans="1:10">
      <c r="A55" s="215">
        <f t="shared" si="3"/>
        <v>10009251</v>
      </c>
      <c r="B55" s="198" t="s">
        <v>575</v>
      </c>
      <c r="C55" s="199" t="s">
        <v>452</v>
      </c>
      <c r="D55" s="195"/>
      <c r="E55" s="195"/>
      <c r="F55" s="207">
        <f t="shared" si="5"/>
        <v>0.64382013864950782</v>
      </c>
      <c r="G55" s="207">
        <f t="shared" si="5"/>
        <v>0.17329715364875656</v>
      </c>
      <c r="H55" s="207">
        <f t="shared" si="5"/>
        <v>8.6648576824378265E-3</v>
      </c>
      <c r="I55" s="208">
        <f t="shared" si="5"/>
        <v>0.17421785001929779</v>
      </c>
      <c r="J55" s="208">
        <f t="shared" si="5"/>
        <v>1</v>
      </c>
    </row>
    <row r="56" spans="1:10">
      <c r="A56" s="213">
        <f t="shared" si="3"/>
        <v>10009207</v>
      </c>
      <c r="B56" s="198" t="s">
        <v>575</v>
      </c>
      <c r="C56" s="199" t="s">
        <v>446</v>
      </c>
      <c r="D56" s="195"/>
      <c r="E56" s="195"/>
      <c r="F56" s="207">
        <f t="shared" si="5"/>
        <v>0.87797456745325031</v>
      </c>
      <c r="G56" s="207">
        <f t="shared" si="5"/>
        <v>0.11463991523015157</v>
      </c>
      <c r="H56" s="207">
        <f t="shared" si="5"/>
        <v>1.0892384167909263E-2</v>
      </c>
      <c r="I56" s="208">
        <f t="shared" si="5"/>
        <v>-3.5068668513112337E-3</v>
      </c>
      <c r="J56" s="208">
        <f t="shared" si="5"/>
        <v>1</v>
      </c>
    </row>
    <row r="57" spans="1:10">
      <c r="A57" s="211">
        <f t="shared" si="3"/>
        <v>10009183</v>
      </c>
      <c r="B57" s="198" t="s">
        <v>575</v>
      </c>
      <c r="C57" s="199" t="s">
        <v>451</v>
      </c>
      <c r="D57" s="195"/>
      <c r="E57" s="195"/>
      <c r="F57" s="207">
        <f t="shared" si="5"/>
        <v>0.64906604988874572</v>
      </c>
      <c r="G57" s="207">
        <f t="shared" si="5"/>
        <v>0.18269118163719406</v>
      </c>
      <c r="H57" s="207">
        <f t="shared" si="5"/>
        <v>9.2663075301557558E-3</v>
      </c>
      <c r="I57" s="208">
        <f t="shared" si="5"/>
        <v>0.15897646094390444</v>
      </c>
      <c r="J57" s="208">
        <f t="shared" si="5"/>
        <v>1</v>
      </c>
    </row>
    <row r="58" spans="1:10">
      <c r="A58" s="211">
        <f t="shared" si="3"/>
        <v>10005776</v>
      </c>
      <c r="B58" s="198" t="s">
        <v>575</v>
      </c>
      <c r="C58" s="199" t="s">
        <v>431</v>
      </c>
      <c r="D58" s="195"/>
      <c r="E58" s="195"/>
      <c r="F58" s="207">
        <f t="shared" si="5"/>
        <v>0.64073269380282716</v>
      </c>
      <c r="G58" s="207">
        <f t="shared" si="5"/>
        <v>0.18883912359278537</v>
      </c>
      <c r="H58" s="207">
        <f t="shared" si="5"/>
        <v>6.7788403340999885E-3</v>
      </c>
      <c r="I58" s="208">
        <f t="shared" si="5"/>
        <v>0.16364934227028755</v>
      </c>
      <c r="J58" s="208">
        <f t="shared" si="5"/>
        <v>1</v>
      </c>
    </row>
    <row r="59" spans="1:10">
      <c r="A59" s="211">
        <f t="shared" si="3"/>
        <v>10005779</v>
      </c>
      <c r="B59" s="198" t="s">
        <v>575</v>
      </c>
      <c r="C59" s="199" t="s">
        <v>355</v>
      </c>
      <c r="D59" s="195"/>
      <c r="E59" s="195"/>
      <c r="F59" s="207">
        <f t="shared" si="5"/>
        <v>0.64850785469264949</v>
      </c>
      <c r="G59" s="207">
        <f t="shared" si="5"/>
        <v>0.18472988207689736</v>
      </c>
      <c r="H59" s="207">
        <f t="shared" si="5"/>
        <v>5.9716572410928488E-3</v>
      </c>
      <c r="I59" s="208">
        <f t="shared" si="5"/>
        <v>0.16079060598936049</v>
      </c>
      <c r="J59" s="208">
        <f t="shared" si="5"/>
        <v>1</v>
      </c>
    </row>
    <row r="60" spans="1:10">
      <c r="A60" s="211">
        <f t="shared" si="3"/>
        <v>10005781</v>
      </c>
      <c r="B60" s="198" t="s">
        <v>575</v>
      </c>
      <c r="C60" s="199" t="s">
        <v>366</v>
      </c>
      <c r="D60" s="195"/>
      <c r="E60" s="195"/>
      <c r="F60" s="207">
        <f t="shared" si="5"/>
        <v>0.66403719438475561</v>
      </c>
      <c r="G60" s="207">
        <f t="shared" si="5"/>
        <v>0.17601672338581983</v>
      </c>
      <c r="H60" s="207">
        <f t="shared" si="5"/>
        <v>7.5721758058960248E-3</v>
      </c>
      <c r="I60" s="208">
        <f t="shared" si="5"/>
        <v>0.15237390642352852</v>
      </c>
      <c r="J60" s="208">
        <f t="shared" si="5"/>
        <v>1</v>
      </c>
    </row>
    <row r="61" spans="1:10">
      <c r="A61" s="215">
        <f t="shared" si="3"/>
        <v>10007050</v>
      </c>
      <c r="B61" s="198" t="s">
        <v>575</v>
      </c>
      <c r="C61" s="199" t="s">
        <v>435</v>
      </c>
      <c r="D61" s="195"/>
      <c r="E61" s="195"/>
      <c r="F61" s="207">
        <f t="shared" si="5"/>
        <v>0.88256317231166481</v>
      </c>
      <c r="G61" s="207">
        <f t="shared" si="5"/>
        <v>0.11132858904590043</v>
      </c>
      <c r="H61" s="207">
        <f t="shared" si="5"/>
        <v>1.0578478735560662E-2</v>
      </c>
      <c r="I61" s="208">
        <f t="shared" si="5"/>
        <v>-4.4702400931258121E-3</v>
      </c>
      <c r="J61" s="208">
        <f t="shared" si="5"/>
        <v>1</v>
      </c>
    </row>
    <row r="62" spans="1:10">
      <c r="A62" s="215">
        <f t="shared" si="3"/>
        <v>10007050</v>
      </c>
      <c r="B62" s="198" t="s">
        <v>575</v>
      </c>
      <c r="C62" s="199" t="s">
        <v>437</v>
      </c>
      <c r="D62" s="195"/>
      <c r="E62" s="195"/>
      <c r="F62" s="207">
        <f t="shared" si="5"/>
        <v>0.96870725230765686</v>
      </c>
      <c r="G62" s="207">
        <f t="shared" si="5"/>
        <v>0.1231133539480188</v>
      </c>
      <c r="H62" s="207">
        <f t="shared" si="5"/>
        <v>1.1699217178393664E-2</v>
      </c>
      <c r="I62" s="208">
        <f t="shared" si="5"/>
        <v>-0.10351982343406939</v>
      </c>
      <c r="J62" s="208">
        <f t="shared" si="5"/>
        <v>1</v>
      </c>
    </row>
    <row r="63" spans="1:10">
      <c r="A63" s="215">
        <f t="shared" si="3"/>
        <v>10007050</v>
      </c>
      <c r="B63" s="198" t="s">
        <v>575</v>
      </c>
      <c r="C63" s="199" t="s">
        <v>436</v>
      </c>
      <c r="D63" s="195"/>
      <c r="E63" s="195"/>
      <c r="F63" s="207">
        <f t="shared" ref="F63:J72" si="6">F25/$J25</f>
        <v>0.87702212576289451</v>
      </c>
      <c r="G63" s="207">
        <f t="shared" si="6"/>
        <v>0.11536276637583207</v>
      </c>
      <c r="H63" s="207">
        <f t="shared" si="6"/>
        <v>1.0962376006875151E-2</v>
      </c>
      <c r="I63" s="208">
        <f t="shared" si="6"/>
        <v>-3.3472681456017941E-3</v>
      </c>
      <c r="J63" s="208">
        <f t="shared" si="6"/>
        <v>1</v>
      </c>
    </row>
    <row r="64" spans="1:10">
      <c r="A64" s="215">
        <f t="shared" si="3"/>
        <v>10007050</v>
      </c>
      <c r="B64" s="198" t="s">
        <v>575</v>
      </c>
      <c r="C64" s="199" t="s">
        <v>457</v>
      </c>
      <c r="D64" s="195"/>
      <c r="E64" s="195"/>
      <c r="F64" s="207">
        <f t="shared" si="6"/>
        <v>0.86952451604211101</v>
      </c>
      <c r="G64" s="207">
        <f t="shared" si="6"/>
        <v>0.12009903103954012</v>
      </c>
      <c r="H64" s="207">
        <f t="shared" si="6"/>
        <v>1.3727119965744041E-2</v>
      </c>
      <c r="I64" s="208">
        <f t="shared" si="6"/>
        <v>-3.3506670473951758E-3</v>
      </c>
      <c r="J64" s="208">
        <f t="shared" si="6"/>
        <v>1</v>
      </c>
    </row>
    <row r="65" spans="1:10">
      <c r="A65" s="215">
        <f t="shared" si="3"/>
        <v>10007050</v>
      </c>
      <c r="B65" s="198" t="s">
        <v>575</v>
      </c>
      <c r="C65" s="199" t="s">
        <v>410</v>
      </c>
      <c r="D65" s="195"/>
      <c r="E65" s="195"/>
      <c r="F65" s="207">
        <f t="shared" si="6"/>
        <v>0.87558027416949302</v>
      </c>
      <c r="G65" s="207">
        <f t="shared" si="6"/>
        <v>0.11390437725019281</v>
      </c>
      <c r="H65" s="207">
        <f t="shared" si="6"/>
        <v>1.3888398543976357E-2</v>
      </c>
      <c r="I65" s="208">
        <f t="shared" si="6"/>
        <v>-3.373049963662173E-3</v>
      </c>
      <c r="J65" s="208">
        <f t="shared" si="6"/>
        <v>1</v>
      </c>
    </row>
    <row r="66" spans="1:10">
      <c r="A66" s="215">
        <f t="shared" si="3"/>
        <v>10007050</v>
      </c>
      <c r="B66" s="198" t="s">
        <v>575</v>
      </c>
      <c r="C66" s="199" t="s">
        <v>434</v>
      </c>
      <c r="D66" s="195"/>
      <c r="E66" s="195"/>
      <c r="F66" s="207">
        <f t="shared" si="6"/>
        <v>0.86643134111825248</v>
      </c>
      <c r="G66" s="207">
        <f t="shared" si="6"/>
        <v>0.12544210809988118</v>
      </c>
      <c r="H66" s="207">
        <f t="shared" si="6"/>
        <v>1.1453689132902619E-2</v>
      </c>
      <c r="I66" s="208">
        <f t="shared" si="6"/>
        <v>-3.327138351036275E-3</v>
      </c>
      <c r="J66" s="208">
        <f t="shared" si="6"/>
        <v>1</v>
      </c>
    </row>
    <row r="67" spans="1:10">
      <c r="A67" s="216">
        <f t="shared" si="3"/>
        <v>10007161</v>
      </c>
      <c r="B67" s="198" t="s">
        <v>575</v>
      </c>
      <c r="C67" s="199" t="s">
        <v>438</v>
      </c>
      <c r="D67" s="195"/>
      <c r="E67" s="195"/>
      <c r="F67" s="207">
        <f t="shared" si="6"/>
        <v>0.67553924827142209</v>
      </c>
      <c r="G67" s="207">
        <f t="shared" si="6"/>
        <v>0.14693304999136367</v>
      </c>
      <c r="H67" s="207">
        <f t="shared" si="6"/>
        <v>6.35739820887398E-3</v>
      </c>
      <c r="I67" s="208">
        <f t="shared" si="6"/>
        <v>0.17117030352834037</v>
      </c>
      <c r="J67" s="208">
        <f t="shared" si="6"/>
        <v>1</v>
      </c>
    </row>
    <row r="68" spans="1:10">
      <c r="A68" s="216">
        <f t="shared" si="3"/>
        <v>10007162</v>
      </c>
      <c r="B68" s="198" t="s">
        <v>575</v>
      </c>
      <c r="C68" s="199" t="s">
        <v>378</v>
      </c>
      <c r="D68" s="195"/>
      <c r="E68" s="195"/>
      <c r="F68" s="207">
        <f t="shared" si="6"/>
        <v>0.68035318365239439</v>
      </c>
      <c r="G68" s="207">
        <f t="shared" si="6"/>
        <v>0.1436938739602775</v>
      </c>
      <c r="H68" s="207">
        <f t="shared" si="6"/>
        <v>8.6144019604799064E-3</v>
      </c>
      <c r="I68" s="208">
        <f t="shared" si="6"/>
        <v>0.16733854042684826</v>
      </c>
      <c r="J68" s="208">
        <f t="shared" si="6"/>
        <v>1</v>
      </c>
    </row>
    <row r="69" spans="1:10">
      <c r="A69" s="216">
        <f t="shared" si="3"/>
        <v>10007162</v>
      </c>
      <c r="B69" s="198" t="s">
        <v>575</v>
      </c>
      <c r="C69" s="199" t="s">
        <v>458</v>
      </c>
      <c r="D69" s="195"/>
      <c r="E69" s="195"/>
      <c r="F69" s="207">
        <f t="shared" si="6"/>
        <v>0.69672645893847895</v>
      </c>
      <c r="G69" s="207">
        <f t="shared" si="6"/>
        <v>0.13661605440825861</v>
      </c>
      <c r="H69" s="207">
        <f t="shared" si="6"/>
        <v>7.5674018241203827E-3</v>
      </c>
      <c r="I69" s="208">
        <f t="shared" si="6"/>
        <v>0.15909008482914216</v>
      </c>
      <c r="J69" s="208">
        <f t="shared" si="6"/>
        <v>1</v>
      </c>
    </row>
    <row r="70" spans="1:10">
      <c r="A70" s="216">
        <f t="shared" si="3"/>
        <v>10009186</v>
      </c>
      <c r="B70" s="198" t="s">
        <v>575</v>
      </c>
      <c r="C70" s="199" t="s">
        <v>444</v>
      </c>
      <c r="D70" s="195"/>
      <c r="E70" s="195"/>
      <c r="F70" s="207">
        <f t="shared" si="6"/>
        <v>0.68630431458612529</v>
      </c>
      <c r="G70" s="207">
        <f t="shared" si="6"/>
        <v>0.14085140446659053</v>
      </c>
      <c r="H70" s="207">
        <f t="shared" si="6"/>
        <v>8.0049648770923101E-3</v>
      </c>
      <c r="I70" s="208">
        <f t="shared" si="6"/>
        <v>0.16483931607019184</v>
      </c>
      <c r="J70" s="208">
        <f t="shared" si="6"/>
        <v>1</v>
      </c>
    </row>
    <row r="71" spans="1:10">
      <c r="A71" s="216">
        <f t="shared" si="3"/>
        <v>10009777</v>
      </c>
      <c r="B71" s="198" t="s">
        <v>575</v>
      </c>
      <c r="C71" s="199" t="s">
        <v>465</v>
      </c>
      <c r="D71" s="195"/>
      <c r="E71" s="195"/>
      <c r="F71" s="207">
        <f t="shared" si="6"/>
        <v>0.7285221940788108</v>
      </c>
      <c r="G71" s="207">
        <f t="shared" si="6"/>
        <v>0.109620894406843</v>
      </c>
      <c r="H71" s="207">
        <f t="shared" si="6"/>
        <v>7.7648133538180467E-3</v>
      </c>
      <c r="I71" s="208">
        <f t="shared" si="6"/>
        <v>0.15409209816052816</v>
      </c>
      <c r="J71" s="208">
        <f t="shared" si="6"/>
        <v>1</v>
      </c>
    </row>
    <row r="72" spans="1:10">
      <c r="A72" s="216">
        <f t="shared" si="3"/>
        <v>10007567</v>
      </c>
      <c r="B72" s="198" t="s">
        <v>575</v>
      </c>
      <c r="C72" s="199" t="s">
        <v>373</v>
      </c>
      <c r="D72" s="195"/>
      <c r="E72" s="195"/>
      <c r="F72" s="207">
        <f t="shared" si="6"/>
        <v>0.68678747850017197</v>
      </c>
      <c r="G72" s="207">
        <f t="shared" si="6"/>
        <v>0.13617245728700836</v>
      </c>
      <c r="H72" s="207">
        <f t="shared" si="6"/>
        <v>9.7979589496617354E-3</v>
      </c>
      <c r="I72" s="208">
        <f t="shared" si="6"/>
        <v>0.16724210526315789</v>
      </c>
      <c r="J72" s="208">
        <f t="shared" si="6"/>
        <v>1</v>
      </c>
    </row>
    <row r="73" spans="1:10">
      <c r="A73" s="211">
        <f t="shared" si="3"/>
        <v>10009176</v>
      </c>
      <c r="B73" s="198" t="s">
        <v>575</v>
      </c>
      <c r="C73" s="199" t="s">
        <v>440</v>
      </c>
      <c r="D73" s="195"/>
      <c r="E73" s="195"/>
      <c r="F73" s="207">
        <f t="shared" ref="F73:J76" si="7">F35/$J35</f>
        <v>0.62961832061068701</v>
      </c>
      <c r="G73" s="207">
        <f t="shared" si="7"/>
        <v>0.15572519083969463</v>
      </c>
      <c r="H73" s="207">
        <f t="shared" si="7"/>
        <v>7.6335877862595417E-3</v>
      </c>
      <c r="I73" s="208">
        <f t="shared" si="7"/>
        <v>0.20702290076335875</v>
      </c>
      <c r="J73" s="208">
        <f t="shared" si="7"/>
        <v>1</v>
      </c>
    </row>
    <row r="74" spans="1:10">
      <c r="A74" s="211">
        <f t="shared" si="3"/>
        <v>10009177</v>
      </c>
      <c r="B74" s="198" t="s">
        <v>575</v>
      </c>
      <c r="C74" s="199" t="s">
        <v>441</v>
      </c>
      <c r="D74" s="195"/>
      <c r="E74" s="195"/>
      <c r="F74" s="207">
        <f t="shared" si="7"/>
        <v>0.69930714046939368</v>
      </c>
      <c r="G74" s="207">
        <f t="shared" si="7"/>
        <v>0.126330826597533</v>
      </c>
      <c r="H74" s="207">
        <f t="shared" si="7"/>
        <v>6.2143319232443438E-3</v>
      </c>
      <c r="I74" s="208">
        <f t="shared" si="7"/>
        <v>0.16814770100982895</v>
      </c>
      <c r="J74" s="208">
        <f t="shared" si="7"/>
        <v>1</v>
      </c>
    </row>
    <row r="75" spans="1:10">
      <c r="A75" s="217">
        <f t="shared" si="3"/>
        <v>10009386</v>
      </c>
      <c r="B75" s="198" t="s">
        <v>575</v>
      </c>
      <c r="C75" s="199" t="s">
        <v>456</v>
      </c>
      <c r="D75" s="195"/>
      <c r="E75" s="195"/>
      <c r="F75" s="207">
        <f t="shared" si="7"/>
        <v>0.88083142752939914</v>
      </c>
      <c r="G75" s="207">
        <f t="shared" si="7"/>
        <v>0.11189116652001255</v>
      </c>
      <c r="H75" s="207">
        <f t="shared" si="7"/>
        <v>1.0631900882794984E-2</v>
      </c>
      <c r="I75" s="208">
        <f t="shared" si="7"/>
        <v>-3.3544949322065823E-3</v>
      </c>
      <c r="J75" s="208">
        <f t="shared" si="7"/>
        <v>1</v>
      </c>
    </row>
    <row r="76" spans="1:10">
      <c r="B76" s="200" t="s">
        <v>576</v>
      </c>
      <c r="C76" s="201">
        <v>0</v>
      </c>
      <c r="D76" s="202"/>
      <c r="E76" s="202"/>
      <c r="F76" s="209">
        <f t="shared" si="7"/>
        <v>0.67885766961067029</v>
      </c>
      <c r="G76" s="209">
        <f t="shared" si="7"/>
        <v>0.16268197069822016</v>
      </c>
      <c r="H76" s="209">
        <f t="shared" si="7"/>
        <v>8.60277843503773E-3</v>
      </c>
      <c r="I76" s="209">
        <f t="shared" si="7"/>
        <v>0.14985758125607179</v>
      </c>
      <c r="J76" s="210">
        <f t="shared" si="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54B3-988E-444C-9265-C841DB136EFE}">
  <dimension ref="A4:AC206"/>
  <sheetViews>
    <sheetView topLeftCell="D1" zoomScale="80" zoomScaleNormal="80" workbookViewId="0">
      <pane ySplit="4" topLeftCell="A5" activePane="bottomLeft" state="frozen"/>
      <selection activeCell="B1" sqref="B1"/>
      <selection pane="bottomLeft" activeCell="D192" sqref="D192"/>
    </sheetView>
  </sheetViews>
  <sheetFormatPr baseColWidth="10" defaultColWidth="11.44140625" defaultRowHeight="14.4" outlineLevelCol="1"/>
  <cols>
    <col min="3" max="3" width="29.44140625" bestFit="1" customWidth="1"/>
    <col min="4" max="4" width="44.88671875" customWidth="1"/>
    <col min="5" max="5" width="21.88671875" customWidth="1" outlineLevel="1"/>
    <col min="6" max="6" width="16.33203125" customWidth="1" outlineLevel="1"/>
    <col min="7" max="7" width="11.44140625" customWidth="1" outlineLevel="1"/>
    <col min="8" max="8" width="18.109375" customWidth="1" outlineLevel="1"/>
    <col min="9" max="9" width="15" customWidth="1" outlineLevel="1"/>
    <col min="10" max="10" width="11.6640625" customWidth="1" outlineLevel="1"/>
    <col min="11" max="11" width="18.33203125" customWidth="1" outlineLevel="1"/>
    <col min="12" max="12" width="11.6640625" customWidth="1" outlineLevel="1"/>
    <col min="13" max="13" width="15.109375" customWidth="1" outlineLevel="1"/>
    <col min="14" max="14" width="12.109375" customWidth="1" outlineLevel="1"/>
    <col min="15" max="16" width="14.33203125" customWidth="1" outlineLevel="1"/>
    <col min="17" max="17" width="13.88671875" customWidth="1" outlineLevel="1"/>
    <col min="18" max="18" width="15.33203125" customWidth="1" outlineLevel="1"/>
    <col min="19" max="19" width="14.88671875" customWidth="1" outlineLevel="1"/>
    <col min="20" max="20" width="12.33203125" customWidth="1" outlineLevel="1"/>
    <col min="21" max="23" width="12.109375" customWidth="1" outlineLevel="1"/>
    <col min="24" max="25" width="11.6640625" bestFit="1" customWidth="1"/>
  </cols>
  <sheetData>
    <row r="4" spans="1:29" ht="41.4">
      <c r="A4" s="5" t="s">
        <v>300</v>
      </c>
      <c r="B4" s="5" t="s">
        <v>82</v>
      </c>
      <c r="C4" s="42" t="s">
        <v>84</v>
      </c>
      <c r="D4" s="5" t="s">
        <v>301</v>
      </c>
      <c r="E4" s="6" t="s">
        <v>83</v>
      </c>
      <c r="F4" s="6" t="s">
        <v>302</v>
      </c>
      <c r="G4" s="6" t="s">
        <v>303</v>
      </c>
      <c r="H4" s="6" t="s">
        <v>304</v>
      </c>
      <c r="I4" s="6" t="s">
        <v>305</v>
      </c>
      <c r="J4" s="6" t="s">
        <v>306</v>
      </c>
      <c r="K4" s="6" t="s">
        <v>307</v>
      </c>
      <c r="L4" s="169" t="s">
        <v>308</v>
      </c>
      <c r="M4" s="6" t="s">
        <v>309</v>
      </c>
      <c r="N4" s="6" t="s">
        <v>310</v>
      </c>
      <c r="O4" s="6" t="s">
        <v>311</v>
      </c>
      <c r="P4" s="6" t="s">
        <v>89</v>
      </c>
      <c r="Q4" s="2" t="s">
        <v>312</v>
      </c>
      <c r="R4" s="2" t="s">
        <v>313</v>
      </c>
      <c r="S4" s="2" t="s">
        <v>314</v>
      </c>
      <c r="T4" s="2" t="s">
        <v>315</v>
      </c>
      <c r="U4" s="2" t="s">
        <v>316</v>
      </c>
      <c r="V4" s="2" t="s">
        <v>317</v>
      </c>
      <c r="W4" s="42" t="s">
        <v>11</v>
      </c>
      <c r="X4" s="42" t="s">
        <v>309</v>
      </c>
      <c r="Y4" s="42" t="s">
        <v>310</v>
      </c>
      <c r="Z4" s="42" t="s">
        <v>311</v>
      </c>
      <c r="AA4" s="42" t="s">
        <v>89</v>
      </c>
    </row>
    <row r="5" spans="1:29">
      <c r="A5" s="7" t="s">
        <v>6</v>
      </c>
      <c r="B5" s="7">
        <v>10009178</v>
      </c>
      <c r="C5" s="7" t="str">
        <f t="shared" ref="C5:C36" si="0">A5&amp;B5&amp;E5</f>
        <v>ENERO10009178Inventario inicial</v>
      </c>
      <c r="D5" s="7" t="s">
        <v>318</v>
      </c>
      <c r="E5" s="3" t="s">
        <v>319</v>
      </c>
      <c r="F5" s="8">
        <v>11760</v>
      </c>
      <c r="G5" s="2" t="s">
        <v>320</v>
      </c>
      <c r="H5" s="11">
        <v>24460.799999999999</v>
      </c>
      <c r="I5" s="11">
        <v>-2861.14</v>
      </c>
      <c r="J5" s="11">
        <v>0</v>
      </c>
      <c r="K5" s="11">
        <v>21599.66</v>
      </c>
      <c r="L5" s="16">
        <v>1.84</v>
      </c>
      <c r="M5" s="11">
        <v>15386.06</v>
      </c>
      <c r="N5" s="11">
        <v>192.1</v>
      </c>
      <c r="O5" s="11">
        <v>2941.72</v>
      </c>
      <c r="P5" s="11">
        <f t="shared" ref="P5:P36" si="1">SUM(Q5:V5)</f>
        <v>3079.7799999999975</v>
      </c>
      <c r="Q5" s="11">
        <v>119.29</v>
      </c>
      <c r="R5" s="11">
        <v>316.64999999999998</v>
      </c>
      <c r="S5" s="11">
        <v>1240.72</v>
      </c>
      <c r="T5" s="11">
        <v>0.08</v>
      </c>
      <c r="U5" s="11">
        <v>7.0000000000000007E-2</v>
      </c>
      <c r="V5" s="11">
        <v>1402.9699999999975</v>
      </c>
      <c r="W5" s="55">
        <f>SUM(M5:P5)</f>
        <v>21599.66</v>
      </c>
      <c r="X5" s="74">
        <f t="shared" ref="X5:AA5" si="2">M5/$W5</f>
        <v>0.71232880517563701</v>
      </c>
      <c r="Y5" s="74">
        <f t="shared" si="2"/>
        <v>8.8936585112913812E-3</v>
      </c>
      <c r="Z5" s="74">
        <f t="shared" si="2"/>
        <v>0.13619288451762665</v>
      </c>
      <c r="AA5" s="74">
        <f t="shared" si="2"/>
        <v>0.1425846517954448</v>
      </c>
    </row>
    <row r="6" spans="1:29">
      <c r="A6" s="7" t="s">
        <v>6</v>
      </c>
      <c r="B6" s="7">
        <v>10009178</v>
      </c>
      <c r="C6" s="7" t="str">
        <f t="shared" si="0"/>
        <v>ENERO10009178Revalorización</v>
      </c>
      <c r="D6" s="7" t="s">
        <v>318</v>
      </c>
      <c r="E6" s="3" t="s">
        <v>321</v>
      </c>
      <c r="F6" s="8">
        <v>0</v>
      </c>
      <c r="G6" s="2" t="s">
        <v>320</v>
      </c>
      <c r="H6" s="11">
        <v>-352.8</v>
      </c>
      <c r="I6" s="11">
        <v>352.8</v>
      </c>
      <c r="J6" s="11">
        <v>0</v>
      </c>
      <c r="K6" s="11">
        <v>0</v>
      </c>
      <c r="L6" s="16">
        <v>0</v>
      </c>
      <c r="M6" s="11">
        <v>0</v>
      </c>
      <c r="N6" s="11">
        <v>0</v>
      </c>
      <c r="O6" s="11">
        <v>0</v>
      </c>
      <c r="P6" s="11">
        <f t="shared" si="1"/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55">
        <f t="shared" ref="W6:W69" si="3">SUM(M6:P6)</f>
        <v>0</v>
      </c>
      <c r="X6" s="74" t="e">
        <f t="shared" ref="X6:X69" si="4">M6/$W6</f>
        <v>#DIV/0!</v>
      </c>
      <c r="Y6" s="74" t="e">
        <f t="shared" ref="Y6:Y69" si="5">N6/$W6</f>
        <v>#DIV/0!</v>
      </c>
      <c r="Z6" s="74" t="e">
        <f t="shared" ref="Z6:Z69" si="6">O6/$W6</f>
        <v>#DIV/0!</v>
      </c>
      <c r="AA6" s="74" t="e">
        <f t="shared" ref="AA6:AA69" si="7">P6/$W6</f>
        <v>#DIV/0!</v>
      </c>
    </row>
    <row r="7" spans="1:29">
      <c r="A7" s="7" t="s">
        <v>6</v>
      </c>
      <c r="B7" s="7">
        <v>10009178</v>
      </c>
      <c r="C7" s="7" t="str">
        <f t="shared" si="0"/>
        <v>ENERO10009178Entradas</v>
      </c>
      <c r="D7" s="7" t="s">
        <v>318</v>
      </c>
      <c r="E7" s="3" t="s">
        <v>164</v>
      </c>
      <c r="F7" s="8">
        <v>4920</v>
      </c>
      <c r="G7" s="2" t="s">
        <v>320</v>
      </c>
      <c r="H7" s="11">
        <v>10086</v>
      </c>
      <c r="I7" s="11">
        <v>-1629.21</v>
      </c>
      <c r="J7" s="11">
        <v>0</v>
      </c>
      <c r="K7" s="11">
        <v>8456.7900000000009</v>
      </c>
      <c r="L7" s="16">
        <v>1.72</v>
      </c>
      <c r="M7" s="11">
        <v>5674.08</v>
      </c>
      <c r="N7" s="11">
        <v>83.7</v>
      </c>
      <c r="O7" s="11">
        <v>1150.54</v>
      </c>
      <c r="P7" s="11">
        <f t="shared" si="1"/>
        <v>1548.4700000000007</v>
      </c>
      <c r="Q7" s="11">
        <v>11.05</v>
      </c>
      <c r="R7" s="11">
        <v>84.57</v>
      </c>
      <c r="S7" s="11">
        <v>772.75</v>
      </c>
      <c r="T7" s="11">
        <v>0.02</v>
      </c>
      <c r="U7" s="11">
        <v>0</v>
      </c>
      <c r="V7" s="11">
        <v>680.08000000000084</v>
      </c>
      <c r="W7" s="55">
        <f t="shared" si="3"/>
        <v>8456.7900000000009</v>
      </c>
      <c r="X7" s="74">
        <f t="shared" si="4"/>
        <v>0.67094961563430089</v>
      </c>
      <c r="Y7" s="74">
        <f t="shared" si="5"/>
        <v>9.8973724072609105E-3</v>
      </c>
      <c r="Z7" s="74">
        <f t="shared" si="6"/>
        <v>0.13604925746057309</v>
      </c>
      <c r="AA7" s="74">
        <f t="shared" si="7"/>
        <v>0.18310375449786509</v>
      </c>
    </row>
    <row r="8" spans="1:29">
      <c r="A8" s="7" t="s">
        <v>6</v>
      </c>
      <c r="B8" s="7">
        <v>10009178</v>
      </c>
      <c r="C8" s="7" t="str">
        <f t="shared" si="0"/>
        <v>ENERO10009178Inventario acumulado</v>
      </c>
      <c r="D8" s="7" t="s">
        <v>318</v>
      </c>
      <c r="E8" s="3" t="s">
        <v>322</v>
      </c>
      <c r="F8" s="8">
        <v>16680</v>
      </c>
      <c r="G8" s="2" t="s">
        <v>320</v>
      </c>
      <c r="H8" s="11">
        <v>34194</v>
      </c>
      <c r="I8" s="11">
        <v>-4137.55</v>
      </c>
      <c r="J8" s="11">
        <v>0</v>
      </c>
      <c r="K8" s="11">
        <v>30056.45</v>
      </c>
      <c r="L8" s="16">
        <v>1.8</v>
      </c>
      <c r="M8" s="11">
        <v>21060.14</v>
      </c>
      <c r="N8" s="11">
        <v>275.8</v>
      </c>
      <c r="O8" s="11">
        <v>4092.26</v>
      </c>
      <c r="P8" s="11">
        <f t="shared" si="1"/>
        <v>4628.2500000000036</v>
      </c>
      <c r="Q8" s="11">
        <v>130.34</v>
      </c>
      <c r="R8" s="11">
        <v>401.22</v>
      </c>
      <c r="S8" s="11">
        <v>2013.47</v>
      </c>
      <c r="T8" s="11">
        <v>0.1</v>
      </c>
      <c r="U8" s="11">
        <v>7.0000000000000007E-2</v>
      </c>
      <c r="V8" s="11">
        <v>2083.0500000000029</v>
      </c>
      <c r="W8" s="55">
        <f t="shared" si="3"/>
        <v>30056.45</v>
      </c>
      <c r="X8" s="74">
        <f t="shared" si="4"/>
        <v>0.70068620878380505</v>
      </c>
      <c r="Y8" s="74">
        <f t="shared" si="5"/>
        <v>9.1760670338646121E-3</v>
      </c>
      <c r="Z8" s="74">
        <f t="shared" si="6"/>
        <v>0.13615247309645684</v>
      </c>
      <c r="AA8" s="74">
        <f t="shared" si="7"/>
        <v>0.15398525108587352</v>
      </c>
    </row>
    <row r="9" spans="1:29" ht="15" thickBot="1">
      <c r="A9" s="7" t="s">
        <v>6</v>
      </c>
      <c r="B9" s="7">
        <v>10009178</v>
      </c>
      <c r="C9" s="7" t="str">
        <f t="shared" si="0"/>
        <v>ENERO10009178Inventario final</v>
      </c>
      <c r="D9" s="7" t="s">
        <v>318</v>
      </c>
      <c r="E9" s="3" t="s">
        <v>218</v>
      </c>
      <c r="F9" s="8">
        <v>16680</v>
      </c>
      <c r="G9" s="2" t="s">
        <v>320</v>
      </c>
      <c r="H9" s="11">
        <v>34194</v>
      </c>
      <c r="I9" s="11">
        <v>-4137.55</v>
      </c>
      <c r="J9" s="11">
        <v>0</v>
      </c>
      <c r="K9" s="11">
        <v>30056.45</v>
      </c>
      <c r="L9" s="16">
        <v>1.8</v>
      </c>
      <c r="M9" s="11">
        <v>21060.14</v>
      </c>
      <c r="N9" s="11">
        <v>275.8</v>
      </c>
      <c r="O9" s="11">
        <v>4092.26</v>
      </c>
      <c r="P9" s="11">
        <f t="shared" si="1"/>
        <v>4628.2500000000036</v>
      </c>
      <c r="Q9" s="11">
        <v>130.34</v>
      </c>
      <c r="R9" s="11">
        <v>401.22</v>
      </c>
      <c r="S9" s="11">
        <v>2013.47</v>
      </c>
      <c r="T9" s="11">
        <v>0.1</v>
      </c>
      <c r="U9" s="11">
        <v>7.0000000000000007E-2</v>
      </c>
      <c r="V9" s="11">
        <v>2083.0500000000029</v>
      </c>
      <c r="W9" s="55">
        <f t="shared" si="3"/>
        <v>30056.45</v>
      </c>
      <c r="X9" s="74">
        <f t="shared" si="4"/>
        <v>0.70068620878380505</v>
      </c>
      <c r="Y9" s="74">
        <f t="shared" si="5"/>
        <v>9.1760670338646121E-3</v>
      </c>
      <c r="Z9" s="74">
        <f t="shared" si="6"/>
        <v>0.13615247309645684</v>
      </c>
      <c r="AA9" s="74">
        <f t="shared" si="7"/>
        <v>0.15398525108587352</v>
      </c>
    </row>
    <row r="10" spans="1:29" ht="15" thickBot="1">
      <c r="A10" s="7" t="s">
        <v>7</v>
      </c>
      <c r="B10" s="7">
        <v>10009178</v>
      </c>
      <c r="C10" s="7" t="str">
        <f>A10&amp;B10&amp;E10</f>
        <v>FEBRERO10009178Inventario inicial</v>
      </c>
      <c r="D10" s="7" t="s">
        <v>318</v>
      </c>
      <c r="E10" s="3" t="s">
        <v>319</v>
      </c>
      <c r="F10" s="8">
        <v>16680</v>
      </c>
      <c r="G10" s="2" t="s">
        <v>320</v>
      </c>
      <c r="H10" s="11">
        <v>34194</v>
      </c>
      <c r="I10" s="11" t="s">
        <v>323</v>
      </c>
      <c r="J10" s="11">
        <v>0</v>
      </c>
      <c r="K10" s="11">
        <v>30056.45</v>
      </c>
      <c r="L10" s="16">
        <v>1.8</v>
      </c>
      <c r="M10" s="11">
        <v>21060.14</v>
      </c>
      <c r="N10" s="11">
        <v>275.8</v>
      </c>
      <c r="O10" s="11">
        <v>4092.26</v>
      </c>
      <c r="P10" s="11">
        <f t="shared" si="1"/>
        <v>4628.2500000000045</v>
      </c>
      <c r="Q10" s="11">
        <v>130.34</v>
      </c>
      <c r="R10" s="11">
        <v>401.22</v>
      </c>
      <c r="S10" s="11">
        <v>2013.47</v>
      </c>
      <c r="T10" s="11">
        <v>0.1</v>
      </c>
      <c r="U10" s="11">
        <v>1944.83</v>
      </c>
      <c r="V10" s="11">
        <v>138.29000000000451</v>
      </c>
      <c r="W10" s="55">
        <f t="shared" si="3"/>
        <v>30056.45</v>
      </c>
      <c r="X10" s="74">
        <f t="shared" si="4"/>
        <v>0.70068620878380505</v>
      </c>
      <c r="Y10" s="74">
        <f t="shared" si="5"/>
        <v>9.1760670338646121E-3</v>
      </c>
      <c r="Z10" s="74">
        <f t="shared" si="6"/>
        <v>0.13615247309645684</v>
      </c>
      <c r="AA10" s="74">
        <f t="shared" si="7"/>
        <v>0.15398525108587358</v>
      </c>
      <c r="AB10" s="54"/>
      <c r="AC10" s="54"/>
    </row>
    <row r="11" spans="1:29" ht="15" thickBot="1">
      <c r="A11" s="7" t="s">
        <v>7</v>
      </c>
      <c r="B11" s="7">
        <v>10009178</v>
      </c>
      <c r="C11" s="7" t="str">
        <f t="shared" si="0"/>
        <v>FEBRERO10009178Revalorización</v>
      </c>
      <c r="D11" s="7" t="s">
        <v>318</v>
      </c>
      <c r="E11" s="3" t="s">
        <v>321</v>
      </c>
      <c r="F11" s="8">
        <v>0</v>
      </c>
      <c r="G11" s="2" t="s">
        <v>320</v>
      </c>
      <c r="H11" s="11" t="s">
        <v>324</v>
      </c>
      <c r="I11" s="11">
        <v>3502.8</v>
      </c>
      <c r="J11" s="11">
        <v>0</v>
      </c>
      <c r="K11" s="11">
        <v>0</v>
      </c>
      <c r="L11" s="16">
        <v>0</v>
      </c>
      <c r="M11" s="11">
        <v>0</v>
      </c>
      <c r="N11" s="11">
        <v>0</v>
      </c>
      <c r="O11" s="11">
        <v>0</v>
      </c>
      <c r="P11" s="11">
        <f t="shared" si="1"/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55">
        <f t="shared" si="3"/>
        <v>0</v>
      </c>
      <c r="X11" s="74" t="e">
        <f t="shared" si="4"/>
        <v>#DIV/0!</v>
      </c>
      <c r="Y11" s="74" t="e">
        <f t="shared" si="5"/>
        <v>#DIV/0!</v>
      </c>
      <c r="Z11" s="74" t="e">
        <f t="shared" si="6"/>
        <v>#DIV/0!</v>
      </c>
      <c r="AA11" s="74" t="e">
        <f t="shared" si="7"/>
        <v>#DIV/0!</v>
      </c>
      <c r="AB11" s="54"/>
      <c r="AC11" s="54"/>
    </row>
    <row r="12" spans="1:29" ht="15" thickBot="1">
      <c r="A12" s="7" t="s">
        <v>7</v>
      </c>
      <c r="B12" s="7">
        <v>10009178</v>
      </c>
      <c r="C12" s="7" t="str">
        <f t="shared" si="0"/>
        <v>FEBRERO10009178Entradas</v>
      </c>
      <c r="D12" s="7" t="s">
        <v>318</v>
      </c>
      <c r="E12" s="3" t="s">
        <v>164</v>
      </c>
      <c r="F12" s="8">
        <v>8220</v>
      </c>
      <c r="G12" s="2" t="s">
        <v>320</v>
      </c>
      <c r="H12" s="11">
        <v>15124.8</v>
      </c>
      <c r="I12" s="11" t="s">
        <v>325</v>
      </c>
      <c r="J12" s="11">
        <v>0</v>
      </c>
      <c r="K12" s="11">
        <v>12924.45</v>
      </c>
      <c r="L12" s="16">
        <v>1.57</v>
      </c>
      <c r="M12" s="11">
        <v>8381.4</v>
      </c>
      <c r="N12" s="11">
        <v>139.88</v>
      </c>
      <c r="O12" s="11">
        <v>1759.88</v>
      </c>
      <c r="P12" s="11">
        <f t="shared" si="1"/>
        <v>2643.2900000000004</v>
      </c>
      <c r="Q12" s="11">
        <v>57.66</v>
      </c>
      <c r="R12" s="11">
        <v>141.81</v>
      </c>
      <c r="S12" s="11">
        <v>1295.3399999999999</v>
      </c>
      <c r="T12" s="11" t="s">
        <v>326</v>
      </c>
      <c r="U12" s="11">
        <v>1048.6300000000001</v>
      </c>
      <c r="V12" s="11">
        <v>99.850000000000364</v>
      </c>
      <c r="W12" s="55">
        <f t="shared" si="3"/>
        <v>12924.45</v>
      </c>
      <c r="X12" s="74">
        <f t="shared" si="4"/>
        <v>0.64849181203068595</v>
      </c>
      <c r="Y12" s="74">
        <f t="shared" si="5"/>
        <v>1.0822897686168462E-2</v>
      </c>
      <c r="Z12" s="74">
        <f t="shared" si="6"/>
        <v>0.13616672276189704</v>
      </c>
      <c r="AA12" s="74">
        <f t="shared" si="7"/>
        <v>0.2045185675212485</v>
      </c>
      <c r="AB12" s="54"/>
      <c r="AC12" s="54"/>
    </row>
    <row r="13" spans="1:29" ht="15" thickBot="1">
      <c r="A13" s="7" t="s">
        <v>7</v>
      </c>
      <c r="B13" s="7">
        <v>10009178</v>
      </c>
      <c r="C13" s="7" t="str">
        <f t="shared" si="0"/>
        <v>FEBRERO10009178Inventario acumulado</v>
      </c>
      <c r="D13" s="7" t="s">
        <v>318</v>
      </c>
      <c r="E13" s="3" t="s">
        <v>322</v>
      </c>
      <c r="F13" s="8">
        <v>24900</v>
      </c>
      <c r="G13" s="2" t="s">
        <v>320</v>
      </c>
      <c r="H13" s="11">
        <v>45816</v>
      </c>
      <c r="I13" s="11" t="s">
        <v>327</v>
      </c>
      <c r="J13" s="11">
        <v>0</v>
      </c>
      <c r="K13" s="11">
        <v>42980.9</v>
      </c>
      <c r="L13" s="16">
        <v>1.73</v>
      </c>
      <c r="M13" s="11">
        <v>29441.54</v>
      </c>
      <c r="N13" s="11">
        <v>415.68</v>
      </c>
      <c r="O13" s="11">
        <v>5852.14</v>
      </c>
      <c r="P13" s="11">
        <f t="shared" si="1"/>
        <v>7271.5399999999981</v>
      </c>
      <c r="Q13" s="11">
        <v>188</v>
      </c>
      <c r="R13" s="11">
        <v>543.03</v>
      </c>
      <c r="S13" s="11">
        <v>3308.81</v>
      </c>
      <c r="T13" s="11" t="s">
        <v>328</v>
      </c>
      <c r="U13" s="11">
        <v>2993.46</v>
      </c>
      <c r="V13" s="11">
        <v>238.23999999999796</v>
      </c>
      <c r="W13" s="55">
        <f t="shared" si="3"/>
        <v>42980.9</v>
      </c>
      <c r="X13" s="74">
        <f t="shared" si="4"/>
        <v>0.68499124029510783</v>
      </c>
      <c r="Y13" s="74">
        <f t="shared" si="5"/>
        <v>9.6712725885218787E-3</v>
      </c>
      <c r="Z13" s="74">
        <f t="shared" si="6"/>
        <v>0.1361567580018101</v>
      </c>
      <c r="AA13" s="74">
        <f t="shared" si="7"/>
        <v>0.16918072911456014</v>
      </c>
      <c r="AB13" s="54"/>
      <c r="AC13" s="54"/>
    </row>
    <row r="14" spans="1:29" ht="15" thickBot="1">
      <c r="A14" s="7" t="s">
        <v>7</v>
      </c>
      <c r="B14" s="7">
        <v>10009178</v>
      </c>
      <c r="C14" s="7" t="str">
        <f t="shared" si="0"/>
        <v>FEBRERO10009178Inventario final</v>
      </c>
      <c r="D14" s="7" t="s">
        <v>318</v>
      </c>
      <c r="E14" s="3" t="s">
        <v>218</v>
      </c>
      <c r="F14" s="8">
        <v>24900</v>
      </c>
      <c r="G14" s="2" t="s">
        <v>320</v>
      </c>
      <c r="H14" s="11">
        <v>45816</v>
      </c>
      <c r="I14" s="11" t="s">
        <v>327</v>
      </c>
      <c r="J14" s="11">
        <v>0</v>
      </c>
      <c r="K14" s="11">
        <v>42980.9</v>
      </c>
      <c r="L14" s="16">
        <v>1.73</v>
      </c>
      <c r="M14" s="11">
        <v>29441.54</v>
      </c>
      <c r="N14" s="11">
        <v>415.68</v>
      </c>
      <c r="O14" s="11">
        <v>5852.14</v>
      </c>
      <c r="P14" s="11">
        <f t="shared" si="1"/>
        <v>7271.5399999999981</v>
      </c>
      <c r="Q14" s="11">
        <v>188</v>
      </c>
      <c r="R14" s="11">
        <v>543.03</v>
      </c>
      <c r="S14" s="11">
        <v>3308.81</v>
      </c>
      <c r="T14" s="11" t="s">
        <v>328</v>
      </c>
      <c r="U14" s="11">
        <v>2993.46</v>
      </c>
      <c r="V14" s="11">
        <v>238.23999999999796</v>
      </c>
      <c r="W14" s="55">
        <f t="shared" si="3"/>
        <v>42980.9</v>
      </c>
      <c r="X14" s="74">
        <f t="shared" si="4"/>
        <v>0.68499124029510783</v>
      </c>
      <c r="Y14" s="74">
        <f t="shared" si="5"/>
        <v>9.6712725885218787E-3</v>
      </c>
      <c r="Z14" s="74">
        <f t="shared" si="6"/>
        <v>0.1361567580018101</v>
      </c>
      <c r="AA14" s="74">
        <f t="shared" si="7"/>
        <v>0.16918072911456014</v>
      </c>
      <c r="AB14" s="54"/>
      <c r="AC14" s="54"/>
    </row>
    <row r="15" spans="1:29">
      <c r="A15" s="7" t="s">
        <v>6</v>
      </c>
      <c r="B15" s="7">
        <v>10006720</v>
      </c>
      <c r="C15" s="7" t="str">
        <f t="shared" si="0"/>
        <v>ENERO10006720Inventario inicial</v>
      </c>
      <c r="D15" s="7" t="s">
        <v>329</v>
      </c>
      <c r="E15" s="3" t="s">
        <v>319</v>
      </c>
      <c r="F15" s="9">
        <v>80180</v>
      </c>
      <c r="G15" s="3" t="s">
        <v>320</v>
      </c>
      <c r="H15" s="12">
        <v>138711.4</v>
      </c>
      <c r="I15" s="12">
        <v>2617.91</v>
      </c>
      <c r="J15" s="13"/>
      <c r="K15" s="12">
        <v>141329.31</v>
      </c>
      <c r="L15" s="17">
        <v>1.76</v>
      </c>
      <c r="M15" s="12">
        <v>96628.24</v>
      </c>
      <c r="N15" s="12">
        <v>1272.01</v>
      </c>
      <c r="O15" s="12">
        <v>21487.27</v>
      </c>
      <c r="P15" s="12">
        <f t="shared" si="1"/>
        <v>21941.789999999986</v>
      </c>
      <c r="Q15" s="12">
        <v>716.19</v>
      </c>
      <c r="R15" s="12">
        <v>2221.84</v>
      </c>
      <c r="S15" s="12">
        <v>8915.09</v>
      </c>
      <c r="T15" s="12">
        <v>9554.3700000000008</v>
      </c>
      <c r="U15" s="11">
        <v>17.13</v>
      </c>
      <c r="V15" s="11">
        <v>517.1699999999837</v>
      </c>
      <c r="W15" s="55">
        <f t="shared" si="3"/>
        <v>141329.31</v>
      </c>
      <c r="X15" s="74">
        <f t="shared" si="4"/>
        <v>0.68370984051362038</v>
      </c>
      <c r="Y15" s="74">
        <f t="shared" si="5"/>
        <v>9.0003269668549289E-3</v>
      </c>
      <c r="Z15" s="74">
        <f t="shared" si="6"/>
        <v>0.15203689878624613</v>
      </c>
      <c r="AA15" s="74">
        <f t="shared" si="7"/>
        <v>0.15525293373327859</v>
      </c>
    </row>
    <row r="16" spans="1:29">
      <c r="A16" s="7" t="s">
        <v>6</v>
      </c>
      <c r="B16" s="7">
        <v>10006720</v>
      </c>
      <c r="C16" s="7" t="str">
        <f t="shared" si="0"/>
        <v>ENERO10006720Revalorización</v>
      </c>
      <c r="D16" s="7" t="s">
        <v>329</v>
      </c>
      <c r="E16" s="3" t="s">
        <v>321</v>
      </c>
      <c r="F16" s="9">
        <v>0</v>
      </c>
      <c r="G16" s="3" t="s">
        <v>320</v>
      </c>
      <c r="H16" s="12">
        <v>4009</v>
      </c>
      <c r="I16" s="12">
        <v>-4009</v>
      </c>
      <c r="J16" s="13"/>
      <c r="K16" s="12">
        <v>0</v>
      </c>
      <c r="L16" s="17">
        <v>0</v>
      </c>
      <c r="M16" s="12">
        <v>0</v>
      </c>
      <c r="N16" s="12">
        <v>0</v>
      </c>
      <c r="O16" s="12">
        <v>0</v>
      </c>
      <c r="P16" s="12">
        <f t="shared" si="1"/>
        <v>0</v>
      </c>
      <c r="Q16" s="12">
        <v>0</v>
      </c>
      <c r="R16" s="12">
        <v>0</v>
      </c>
      <c r="S16" s="12">
        <v>0</v>
      </c>
      <c r="T16" s="12">
        <v>0</v>
      </c>
      <c r="U16" s="11">
        <v>0</v>
      </c>
      <c r="V16" s="11">
        <v>0</v>
      </c>
      <c r="W16" s="55">
        <f t="shared" si="3"/>
        <v>0</v>
      </c>
      <c r="X16" s="74" t="e">
        <f t="shared" si="4"/>
        <v>#DIV/0!</v>
      </c>
      <c r="Y16" s="74" t="e">
        <f t="shared" si="5"/>
        <v>#DIV/0!</v>
      </c>
      <c r="Z16" s="74" t="e">
        <f t="shared" si="6"/>
        <v>#DIV/0!</v>
      </c>
      <c r="AA16" s="74" t="e">
        <f t="shared" si="7"/>
        <v>#DIV/0!</v>
      </c>
    </row>
    <row r="17" spans="1:27">
      <c r="A17" s="7" t="s">
        <v>6</v>
      </c>
      <c r="B17" s="7">
        <v>10006720</v>
      </c>
      <c r="C17" s="7" t="str">
        <f t="shared" si="0"/>
        <v>ENERO10006720Entradas</v>
      </c>
      <c r="D17" s="7" t="s">
        <v>329</v>
      </c>
      <c r="E17" s="3" t="s">
        <v>164</v>
      </c>
      <c r="F17" s="9">
        <v>276180</v>
      </c>
      <c r="G17" s="3" t="s">
        <v>320</v>
      </c>
      <c r="H17" s="12">
        <v>491600.4</v>
      </c>
      <c r="I17" s="12">
        <v>-18595.02</v>
      </c>
      <c r="J17" s="13"/>
      <c r="K17" s="12">
        <v>473005.38</v>
      </c>
      <c r="L17" s="17">
        <v>1.71</v>
      </c>
      <c r="M17" s="12">
        <v>308981.27</v>
      </c>
      <c r="N17" s="12">
        <v>4610.57</v>
      </c>
      <c r="O17" s="12">
        <v>72365.759999999995</v>
      </c>
      <c r="P17" s="12">
        <f t="shared" si="1"/>
        <v>87047.77999999997</v>
      </c>
      <c r="Q17" s="12">
        <v>620.30999999999995</v>
      </c>
      <c r="R17" s="12">
        <v>4747.8100000000004</v>
      </c>
      <c r="S17" s="12">
        <v>43377.94</v>
      </c>
      <c r="T17" s="12">
        <v>35110.76</v>
      </c>
      <c r="U17" s="11">
        <v>0</v>
      </c>
      <c r="V17" s="11">
        <v>3190.9599999999627</v>
      </c>
      <c r="W17" s="55">
        <f t="shared" si="3"/>
        <v>473005.38</v>
      </c>
      <c r="X17" s="74">
        <f t="shared" si="4"/>
        <v>0.65322992732133411</v>
      </c>
      <c r="Y17" s="74">
        <f t="shared" si="5"/>
        <v>9.7473944165286236E-3</v>
      </c>
      <c r="Z17" s="74">
        <f t="shared" si="6"/>
        <v>0.15299140994971347</v>
      </c>
      <c r="AA17" s="74">
        <f t="shared" si="7"/>
        <v>0.18403126831242378</v>
      </c>
    </row>
    <row r="18" spans="1:27">
      <c r="A18" s="7" t="s">
        <v>6</v>
      </c>
      <c r="B18" s="7">
        <v>10006720</v>
      </c>
      <c r="C18" s="7" t="str">
        <f t="shared" si="0"/>
        <v>ENERO10006720Inv. acumulado</v>
      </c>
      <c r="D18" s="7" t="s">
        <v>329</v>
      </c>
      <c r="E18" s="3" t="s">
        <v>330</v>
      </c>
      <c r="F18" s="9">
        <v>356360</v>
      </c>
      <c r="G18" s="3" t="s">
        <v>320</v>
      </c>
      <c r="H18" s="12">
        <v>634320.80000000005</v>
      </c>
      <c r="I18" s="12">
        <v>-19986.11</v>
      </c>
      <c r="J18" s="13"/>
      <c r="K18" s="12">
        <v>614334.68999999994</v>
      </c>
      <c r="L18" s="17">
        <v>1.72</v>
      </c>
      <c r="M18" s="12">
        <v>405609.51</v>
      </c>
      <c r="N18" s="12">
        <v>5882.58</v>
      </c>
      <c r="O18" s="12">
        <v>93853.03</v>
      </c>
      <c r="P18" s="12">
        <f t="shared" si="1"/>
        <v>108989.56999999989</v>
      </c>
      <c r="Q18" s="12">
        <v>1336.5</v>
      </c>
      <c r="R18" s="12">
        <v>6969.65</v>
      </c>
      <c r="S18" s="12">
        <v>52293.03</v>
      </c>
      <c r="T18" s="12">
        <v>44665.13</v>
      </c>
      <c r="U18" s="11">
        <v>17.13</v>
      </c>
      <c r="V18" s="11">
        <v>3708.1299999998882</v>
      </c>
      <c r="W18" s="55">
        <f t="shared" si="3"/>
        <v>614334.68999999994</v>
      </c>
      <c r="X18" s="74">
        <f t="shared" si="4"/>
        <v>0.66024191145709199</v>
      </c>
      <c r="Y18" s="74">
        <f t="shared" si="5"/>
        <v>9.5755295863237024E-3</v>
      </c>
      <c r="Z18" s="74">
        <f t="shared" si="6"/>
        <v>0.15277182214795654</v>
      </c>
      <c r="AA18" s="74">
        <f t="shared" si="7"/>
        <v>0.17741073680862773</v>
      </c>
    </row>
    <row r="19" spans="1:27">
      <c r="A19" s="7" t="s">
        <v>6</v>
      </c>
      <c r="B19" s="7">
        <v>10006720</v>
      </c>
      <c r="C19" s="7" t="str">
        <f t="shared" si="0"/>
        <v>ENERO10006720Compensación</v>
      </c>
      <c r="D19" s="7" t="s">
        <v>329</v>
      </c>
      <c r="E19" s="3" t="s">
        <v>114</v>
      </c>
      <c r="F19" s="9">
        <v>69700</v>
      </c>
      <c r="G19" s="3" t="s">
        <v>320</v>
      </c>
      <c r="H19" s="12">
        <v>124066</v>
      </c>
      <c r="I19" s="12">
        <v>-3909.06</v>
      </c>
      <c r="J19" s="13"/>
      <c r="K19" s="12">
        <v>120156.94</v>
      </c>
      <c r="L19" s="17">
        <v>1.72</v>
      </c>
      <c r="M19" s="12">
        <v>79332.649999999994</v>
      </c>
      <c r="N19" s="12">
        <v>1150.57</v>
      </c>
      <c r="O19" s="12">
        <v>18356.59</v>
      </c>
      <c r="P19" s="12">
        <f t="shared" si="1"/>
        <v>21317.130000000005</v>
      </c>
      <c r="Q19" s="12">
        <v>261.39999999999998</v>
      </c>
      <c r="R19" s="12">
        <v>1363.19</v>
      </c>
      <c r="S19" s="12">
        <v>10227.93</v>
      </c>
      <c r="T19" s="12">
        <v>8735.99</v>
      </c>
      <c r="U19" s="11">
        <v>3.35</v>
      </c>
      <c r="V19" s="11">
        <v>725.27000000000407</v>
      </c>
      <c r="W19" s="55">
        <f t="shared" si="3"/>
        <v>120156.94</v>
      </c>
      <c r="X19" s="74">
        <f t="shared" si="4"/>
        <v>0.66024193026220535</v>
      </c>
      <c r="Y19" s="74">
        <f t="shared" si="5"/>
        <v>9.5755600966535917E-3</v>
      </c>
      <c r="Z19" s="74">
        <f t="shared" si="6"/>
        <v>0.15277178330273725</v>
      </c>
      <c r="AA19" s="74">
        <f t="shared" si="7"/>
        <v>0.1774107263384038</v>
      </c>
    </row>
    <row r="20" spans="1:27">
      <c r="A20" s="7" t="s">
        <v>6</v>
      </c>
      <c r="B20" s="7">
        <v>10006720</v>
      </c>
      <c r="C20" s="7" t="str">
        <f t="shared" si="0"/>
        <v>ENERO10006720Inventario final</v>
      </c>
      <c r="D20" s="7" t="s">
        <v>329</v>
      </c>
      <c r="E20" s="3" t="s">
        <v>218</v>
      </c>
      <c r="F20" s="9">
        <v>286660</v>
      </c>
      <c r="G20" s="3" t="s">
        <v>320</v>
      </c>
      <c r="H20" s="12">
        <v>510254.8</v>
      </c>
      <c r="I20" s="12">
        <v>-16077.05</v>
      </c>
      <c r="J20" s="13"/>
      <c r="K20" s="12">
        <v>494177.75</v>
      </c>
      <c r="L20" s="17">
        <v>1.72</v>
      </c>
      <c r="M20" s="12">
        <v>326276.86</v>
      </c>
      <c r="N20" s="12">
        <v>4732.01</v>
      </c>
      <c r="O20" s="12">
        <v>75496.44</v>
      </c>
      <c r="P20" s="12">
        <f t="shared" si="1"/>
        <v>87672.439999999973</v>
      </c>
      <c r="Q20" s="12">
        <v>1075.0999999999999</v>
      </c>
      <c r="R20" s="12">
        <v>5606.46</v>
      </c>
      <c r="S20" s="12">
        <v>42065.1</v>
      </c>
      <c r="T20" s="12">
        <v>35929.14</v>
      </c>
      <c r="U20" s="11">
        <v>13.78</v>
      </c>
      <c r="V20" s="11">
        <v>2982.859999999986</v>
      </c>
      <c r="W20" s="55">
        <f t="shared" si="3"/>
        <v>494177.75</v>
      </c>
      <c r="X20" s="74">
        <f t="shared" si="4"/>
        <v>0.66024190688471907</v>
      </c>
      <c r="Y20" s="74">
        <f t="shared" si="5"/>
        <v>9.575522167883925E-3</v>
      </c>
      <c r="Z20" s="74">
        <f t="shared" si="6"/>
        <v>0.15277183159298452</v>
      </c>
      <c r="AA20" s="74">
        <f t="shared" si="7"/>
        <v>0.1774107393544124</v>
      </c>
    </row>
    <row r="21" spans="1:27">
      <c r="A21" s="7" t="s">
        <v>7</v>
      </c>
      <c r="B21" s="7">
        <v>10006720</v>
      </c>
      <c r="C21" s="7" t="str">
        <f t="shared" si="0"/>
        <v>FEBRERO10006720Inventario inicial</v>
      </c>
      <c r="D21" s="7" t="s">
        <v>329</v>
      </c>
      <c r="E21" s="3" t="s">
        <v>319</v>
      </c>
      <c r="F21" s="8">
        <v>286660</v>
      </c>
      <c r="G21" s="2" t="s">
        <v>320</v>
      </c>
      <c r="H21" s="11">
        <v>510254.8</v>
      </c>
      <c r="I21" s="11" t="s">
        <v>331</v>
      </c>
      <c r="J21" s="11">
        <v>0</v>
      </c>
      <c r="K21" s="11">
        <v>494177.75</v>
      </c>
      <c r="L21" s="16">
        <v>1.72</v>
      </c>
      <c r="M21" s="11">
        <v>326276.86</v>
      </c>
      <c r="N21" s="11">
        <v>4732.01</v>
      </c>
      <c r="O21" s="11">
        <v>75496.44</v>
      </c>
      <c r="P21" s="11">
        <f t="shared" si="1"/>
        <v>87672.44</v>
      </c>
      <c r="Q21" s="11">
        <v>1075.0999999999999</v>
      </c>
      <c r="R21" s="11">
        <v>5606.46</v>
      </c>
      <c r="S21" s="11">
        <v>42065.1</v>
      </c>
      <c r="T21" s="11">
        <v>0.13</v>
      </c>
      <c r="U21" s="11">
        <v>35929.14</v>
      </c>
      <c r="V21" s="11">
        <v>2996.5100000000093</v>
      </c>
      <c r="W21" s="55">
        <f t="shared" si="3"/>
        <v>494177.75</v>
      </c>
      <c r="X21" s="74">
        <f t="shared" si="4"/>
        <v>0.66024190688471907</v>
      </c>
      <c r="Y21" s="74">
        <f t="shared" si="5"/>
        <v>9.575522167883925E-3</v>
      </c>
      <c r="Z21" s="74">
        <f t="shared" si="6"/>
        <v>0.15277183159298452</v>
      </c>
      <c r="AA21" s="74">
        <f t="shared" si="7"/>
        <v>0.17741073935441246</v>
      </c>
    </row>
    <row r="22" spans="1:27">
      <c r="A22" s="7" t="s">
        <v>7</v>
      </c>
      <c r="B22" s="7">
        <v>10006720</v>
      </c>
      <c r="C22" s="7" t="str">
        <f t="shared" si="0"/>
        <v>FEBRERO10006720Revalorización</v>
      </c>
      <c r="D22" s="7" t="s">
        <v>329</v>
      </c>
      <c r="E22" s="3" t="s">
        <v>321</v>
      </c>
      <c r="F22" s="8">
        <v>0</v>
      </c>
      <c r="G22" s="2" t="s">
        <v>320</v>
      </c>
      <c r="H22" s="11" t="s">
        <v>332</v>
      </c>
      <c r="I22" s="11">
        <v>5733.2</v>
      </c>
      <c r="J22" s="11">
        <v>0</v>
      </c>
      <c r="K22" s="11">
        <v>0</v>
      </c>
      <c r="L22" s="16">
        <v>0</v>
      </c>
      <c r="M22" s="11">
        <v>0</v>
      </c>
      <c r="N22" s="11">
        <v>0</v>
      </c>
      <c r="O22" s="11">
        <v>0</v>
      </c>
      <c r="P22" s="11">
        <f t="shared" si="1"/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55">
        <f t="shared" si="3"/>
        <v>0</v>
      </c>
      <c r="X22" s="74" t="e">
        <f t="shared" si="4"/>
        <v>#DIV/0!</v>
      </c>
      <c r="Y22" s="74" t="e">
        <f t="shared" si="5"/>
        <v>#DIV/0!</v>
      </c>
      <c r="Z22" s="74" t="e">
        <f t="shared" si="6"/>
        <v>#DIV/0!</v>
      </c>
      <c r="AA22" s="74" t="e">
        <f t="shared" si="7"/>
        <v>#DIV/0!</v>
      </c>
    </row>
    <row r="23" spans="1:27">
      <c r="A23" s="7" t="s">
        <v>7</v>
      </c>
      <c r="B23" s="7">
        <v>10006720</v>
      </c>
      <c r="C23" s="7" t="str">
        <f t="shared" si="0"/>
        <v>FEBRERO10006720Entradas</v>
      </c>
      <c r="D23" s="7" t="s">
        <v>329</v>
      </c>
      <c r="E23" s="3" t="s">
        <v>164</v>
      </c>
      <c r="F23" s="8">
        <v>542340</v>
      </c>
      <c r="G23" s="2" t="s">
        <v>320</v>
      </c>
      <c r="H23" s="11">
        <v>954518.4</v>
      </c>
      <c r="I23" s="11" t="s">
        <v>333</v>
      </c>
      <c r="J23" s="11">
        <v>0</v>
      </c>
      <c r="K23" s="11">
        <v>865190.07</v>
      </c>
      <c r="L23" s="16">
        <v>1.6</v>
      </c>
      <c r="M23" s="11">
        <v>554933.23</v>
      </c>
      <c r="N23" s="11">
        <v>8475.11</v>
      </c>
      <c r="O23" s="11">
        <v>126141.04</v>
      </c>
      <c r="P23" s="11">
        <f t="shared" si="1"/>
        <v>175640.68999999994</v>
      </c>
      <c r="Q23" s="11">
        <v>3804.51</v>
      </c>
      <c r="R23" s="11">
        <v>9355.3700000000008</v>
      </c>
      <c r="S23" s="11">
        <v>85463.56</v>
      </c>
      <c r="T23" s="11" t="s">
        <v>334</v>
      </c>
      <c r="U23" s="11">
        <v>69186.31</v>
      </c>
      <c r="V23" s="11">
        <v>7830.9399999999441</v>
      </c>
      <c r="W23" s="55">
        <f t="shared" si="3"/>
        <v>865190.07</v>
      </c>
      <c r="X23" s="74">
        <f t="shared" si="4"/>
        <v>0.64140036882300322</v>
      </c>
      <c r="Y23" s="74">
        <f t="shared" si="5"/>
        <v>9.7956625877594749E-3</v>
      </c>
      <c r="Z23" s="74">
        <f t="shared" si="6"/>
        <v>0.14579575560778224</v>
      </c>
      <c r="AA23" s="74">
        <f t="shared" si="7"/>
        <v>0.20300821298145499</v>
      </c>
    </row>
    <row r="24" spans="1:27">
      <c r="A24" s="7" t="s">
        <v>7</v>
      </c>
      <c r="B24" s="7">
        <v>10006720</v>
      </c>
      <c r="C24" s="7" t="str">
        <f t="shared" si="0"/>
        <v>FEBRERO10006720Inventario acumulado</v>
      </c>
      <c r="D24" s="7" t="s">
        <v>329</v>
      </c>
      <c r="E24" s="3" t="s">
        <v>322</v>
      </c>
      <c r="F24" s="8">
        <v>829000</v>
      </c>
      <c r="G24" s="2" t="s">
        <v>320</v>
      </c>
      <c r="H24" s="11">
        <v>1459040</v>
      </c>
      <c r="I24" s="11" t="s">
        <v>335</v>
      </c>
      <c r="J24" s="11">
        <v>0</v>
      </c>
      <c r="K24" s="11">
        <v>1359367.82</v>
      </c>
      <c r="L24" s="16">
        <v>1.64</v>
      </c>
      <c r="M24" s="11">
        <v>881210.09</v>
      </c>
      <c r="N24" s="11">
        <v>13207.12</v>
      </c>
      <c r="O24" s="11">
        <v>201637.48</v>
      </c>
      <c r="P24" s="11">
        <f t="shared" si="1"/>
        <v>263313.13000000006</v>
      </c>
      <c r="Q24" s="11">
        <v>4879.6099999999997</v>
      </c>
      <c r="R24" s="11">
        <v>14961.83</v>
      </c>
      <c r="S24" s="11">
        <v>127528.66</v>
      </c>
      <c r="T24" s="11" t="s">
        <v>328</v>
      </c>
      <c r="U24" s="11">
        <v>105115.45</v>
      </c>
      <c r="V24" s="11">
        <v>10827.580000000075</v>
      </c>
      <c r="W24" s="55">
        <f t="shared" si="3"/>
        <v>1359367.82</v>
      </c>
      <c r="X24" s="74">
        <f t="shared" si="4"/>
        <v>0.6482499269403037</v>
      </c>
      <c r="Y24" s="74">
        <f t="shared" si="5"/>
        <v>9.7156338451501664E-3</v>
      </c>
      <c r="Z24" s="74">
        <f t="shared" si="6"/>
        <v>0.14833180323483014</v>
      </c>
      <c r="AA24" s="74">
        <f t="shared" si="7"/>
        <v>0.19370263597971596</v>
      </c>
    </row>
    <row r="25" spans="1:27">
      <c r="A25" s="7" t="s">
        <v>7</v>
      </c>
      <c r="B25" s="7">
        <v>10006720</v>
      </c>
      <c r="C25" s="7" t="str">
        <f t="shared" si="0"/>
        <v>FEBRERO10006720Compensación</v>
      </c>
      <c r="D25" s="7" t="s">
        <v>329</v>
      </c>
      <c r="E25" s="3" t="s">
        <v>114</v>
      </c>
      <c r="F25" s="8">
        <v>459300</v>
      </c>
      <c r="G25" s="2" t="s">
        <v>320</v>
      </c>
      <c r="H25" s="11">
        <v>808368</v>
      </c>
      <c r="I25" s="11" t="s">
        <v>336</v>
      </c>
      <c r="J25" s="11">
        <v>0</v>
      </c>
      <c r="K25" s="11">
        <v>753145.52</v>
      </c>
      <c r="L25" s="16">
        <v>1.64</v>
      </c>
      <c r="M25" s="11">
        <v>488226.53</v>
      </c>
      <c r="N25" s="11">
        <v>7317.29</v>
      </c>
      <c r="O25" s="11">
        <v>111715.43</v>
      </c>
      <c r="P25" s="11">
        <f t="shared" si="1"/>
        <v>145886.27000000005</v>
      </c>
      <c r="Q25" s="11">
        <v>2703.51</v>
      </c>
      <c r="R25" s="11">
        <v>8289.4599999999991</v>
      </c>
      <c r="S25" s="11">
        <v>70656.11</v>
      </c>
      <c r="T25" s="11" t="s">
        <v>337</v>
      </c>
      <c r="U25" s="11">
        <v>58238.27</v>
      </c>
      <c r="V25" s="11">
        <v>5998.9200000000419</v>
      </c>
      <c r="W25" s="55">
        <f t="shared" si="3"/>
        <v>753145.52</v>
      </c>
      <c r="X25" s="74">
        <f t="shared" si="4"/>
        <v>0.64824992917703339</v>
      </c>
      <c r="Y25" s="74">
        <f t="shared" si="5"/>
        <v>9.7156390175433816E-3</v>
      </c>
      <c r="Z25" s="74">
        <f t="shared" si="6"/>
        <v>0.14833179914553563</v>
      </c>
      <c r="AA25" s="74">
        <f t="shared" si="7"/>
        <v>0.19370263265988763</v>
      </c>
    </row>
    <row r="26" spans="1:27">
      <c r="A26" s="7" t="s">
        <v>7</v>
      </c>
      <c r="B26" s="7">
        <v>10006720</v>
      </c>
      <c r="C26" s="7" t="str">
        <f t="shared" si="0"/>
        <v>FEBRERO10006720Inventario final</v>
      </c>
      <c r="D26" s="7" t="s">
        <v>329</v>
      </c>
      <c r="E26" s="3" t="s">
        <v>218</v>
      </c>
      <c r="F26" s="8">
        <v>369700</v>
      </c>
      <c r="G26" s="2" t="s">
        <v>320</v>
      </c>
      <c r="H26" s="11">
        <v>650672</v>
      </c>
      <c r="I26" s="11" t="s">
        <v>338</v>
      </c>
      <c r="J26" s="11">
        <v>0</v>
      </c>
      <c r="K26" s="11">
        <v>606222.30000000005</v>
      </c>
      <c r="L26" s="16">
        <v>1.64</v>
      </c>
      <c r="M26" s="11">
        <v>392983.56</v>
      </c>
      <c r="N26" s="11">
        <v>5889.83</v>
      </c>
      <c r="O26" s="11">
        <v>89922.05</v>
      </c>
      <c r="P26" s="11">
        <f t="shared" si="1"/>
        <v>117426.86000000004</v>
      </c>
      <c r="Q26" s="11">
        <v>2176.1</v>
      </c>
      <c r="R26" s="11">
        <v>6672.37</v>
      </c>
      <c r="S26" s="11">
        <v>56872.55</v>
      </c>
      <c r="T26" s="11" t="s">
        <v>337</v>
      </c>
      <c r="U26" s="11">
        <v>46877.18</v>
      </c>
      <c r="V26" s="11">
        <v>4828.6600000000326</v>
      </c>
      <c r="W26" s="55">
        <f t="shared" si="3"/>
        <v>606222.30000000005</v>
      </c>
      <c r="X26" s="74">
        <f t="shared" si="4"/>
        <v>0.6482499241614833</v>
      </c>
      <c r="Y26" s="74">
        <f t="shared" si="5"/>
        <v>9.7156274191826982E-3</v>
      </c>
      <c r="Z26" s="74">
        <f t="shared" si="6"/>
        <v>0.14833180831520054</v>
      </c>
      <c r="AA26" s="74">
        <f t="shared" si="7"/>
        <v>0.19370264010413349</v>
      </c>
    </row>
    <row r="27" spans="1:27">
      <c r="A27" s="7" t="s">
        <v>6</v>
      </c>
      <c r="B27" s="7">
        <v>10006722</v>
      </c>
      <c r="C27" s="7" t="str">
        <f t="shared" si="0"/>
        <v>ENERO10006722Inventario inicial</v>
      </c>
      <c r="D27" s="7" t="s">
        <v>339</v>
      </c>
      <c r="E27" s="3" t="s">
        <v>319</v>
      </c>
      <c r="F27" s="8">
        <v>120</v>
      </c>
      <c r="G27" s="2" t="s">
        <v>320</v>
      </c>
      <c r="H27" s="11">
        <v>224.4</v>
      </c>
      <c r="I27" s="11">
        <v>-0.37</v>
      </c>
      <c r="J27" s="11"/>
      <c r="K27" s="11">
        <v>224.03</v>
      </c>
      <c r="L27" s="16">
        <v>1.87</v>
      </c>
      <c r="M27" s="11">
        <v>184.53</v>
      </c>
      <c r="N27" s="11">
        <v>2.57</v>
      </c>
      <c r="O27" s="11">
        <v>24.03</v>
      </c>
      <c r="P27" s="11">
        <f t="shared" si="1"/>
        <v>12.900000000000006</v>
      </c>
      <c r="Q27" s="11">
        <v>0.61</v>
      </c>
      <c r="R27" s="11">
        <v>2.37</v>
      </c>
      <c r="S27" s="11">
        <v>4.28</v>
      </c>
      <c r="T27" s="11">
        <v>-0.06</v>
      </c>
      <c r="U27" s="11">
        <v>0.02</v>
      </c>
      <c r="V27" s="11">
        <v>5.6800000000000068</v>
      </c>
      <c r="W27" s="55">
        <f t="shared" si="3"/>
        <v>224.03</v>
      </c>
      <c r="X27" s="74">
        <f t="shared" si="4"/>
        <v>0.82368432799178681</v>
      </c>
      <c r="Y27" s="74">
        <f t="shared" si="5"/>
        <v>1.1471677900281212E-2</v>
      </c>
      <c r="Z27" s="74">
        <f t="shared" si="6"/>
        <v>0.10726242021157881</v>
      </c>
      <c r="AA27" s="74">
        <f t="shared" si="7"/>
        <v>5.758157389635319E-2</v>
      </c>
    </row>
    <row r="28" spans="1:27">
      <c r="A28" s="7" t="s">
        <v>6</v>
      </c>
      <c r="B28" s="7">
        <v>10006722</v>
      </c>
      <c r="C28" s="7" t="str">
        <f t="shared" si="0"/>
        <v>ENERO10006722Revalorización</v>
      </c>
      <c r="D28" s="7" t="s">
        <v>339</v>
      </c>
      <c r="E28" s="3" t="s">
        <v>321</v>
      </c>
      <c r="F28" s="8">
        <v>0</v>
      </c>
      <c r="G28" s="2" t="s">
        <v>320</v>
      </c>
      <c r="H28" s="11">
        <v>0</v>
      </c>
      <c r="I28" s="11">
        <v>0</v>
      </c>
      <c r="J28" s="11"/>
      <c r="K28" s="11">
        <v>0</v>
      </c>
      <c r="L28" s="16">
        <v>0</v>
      </c>
      <c r="M28" s="11">
        <v>0</v>
      </c>
      <c r="N28" s="11">
        <v>0</v>
      </c>
      <c r="O28" s="11">
        <v>0</v>
      </c>
      <c r="P28" s="11">
        <f t="shared" si="1"/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55">
        <f t="shared" si="3"/>
        <v>0</v>
      </c>
      <c r="X28" s="74" t="e">
        <f t="shared" si="4"/>
        <v>#DIV/0!</v>
      </c>
      <c r="Y28" s="74" t="e">
        <f t="shared" si="5"/>
        <v>#DIV/0!</v>
      </c>
      <c r="Z28" s="74" t="e">
        <f t="shared" si="6"/>
        <v>#DIV/0!</v>
      </c>
      <c r="AA28" s="74" t="e">
        <f t="shared" si="7"/>
        <v>#DIV/0!</v>
      </c>
    </row>
    <row r="29" spans="1:27">
      <c r="A29" s="7" t="s">
        <v>6</v>
      </c>
      <c r="B29" s="7">
        <v>10006722</v>
      </c>
      <c r="C29" s="7" t="str">
        <f t="shared" si="0"/>
        <v>ENERO10006722Inv. acumulado</v>
      </c>
      <c r="D29" s="7" t="s">
        <v>339</v>
      </c>
      <c r="E29" s="3" t="s">
        <v>330</v>
      </c>
      <c r="F29" s="8">
        <v>120</v>
      </c>
      <c r="G29" s="2" t="s">
        <v>320</v>
      </c>
      <c r="H29" s="11">
        <v>224.4</v>
      </c>
      <c r="I29" s="11">
        <v>-0.37</v>
      </c>
      <c r="J29" s="11"/>
      <c r="K29" s="11">
        <v>224.03</v>
      </c>
      <c r="L29" s="16">
        <v>1.87</v>
      </c>
      <c r="M29" s="11">
        <v>184.53</v>
      </c>
      <c r="N29" s="11">
        <v>2.57</v>
      </c>
      <c r="O29" s="11">
        <v>24.03</v>
      </c>
      <c r="P29" s="11">
        <f t="shared" si="1"/>
        <v>12.900000000000006</v>
      </c>
      <c r="Q29" s="11">
        <v>0.61</v>
      </c>
      <c r="R29" s="11">
        <v>2.37</v>
      </c>
      <c r="S29" s="11">
        <v>4.28</v>
      </c>
      <c r="T29" s="11">
        <v>-0.06</v>
      </c>
      <c r="U29" s="11">
        <v>0.02</v>
      </c>
      <c r="V29" s="11">
        <v>5.6800000000000068</v>
      </c>
      <c r="W29" s="55">
        <f t="shared" si="3"/>
        <v>224.03</v>
      </c>
      <c r="X29" s="74">
        <f t="shared" si="4"/>
        <v>0.82368432799178681</v>
      </c>
      <c r="Y29" s="74">
        <f t="shared" si="5"/>
        <v>1.1471677900281212E-2</v>
      </c>
      <c r="Z29" s="74">
        <f t="shared" si="6"/>
        <v>0.10726242021157881</v>
      </c>
      <c r="AA29" s="74">
        <f t="shared" si="7"/>
        <v>5.758157389635319E-2</v>
      </c>
    </row>
    <row r="30" spans="1:27">
      <c r="A30" s="7" t="s">
        <v>6</v>
      </c>
      <c r="B30" s="7">
        <v>10006722</v>
      </c>
      <c r="C30" s="7" t="str">
        <f t="shared" si="0"/>
        <v>ENERO10006722Inventario final</v>
      </c>
      <c r="D30" s="7" t="s">
        <v>339</v>
      </c>
      <c r="E30" s="3" t="s">
        <v>218</v>
      </c>
      <c r="F30" s="8">
        <v>120</v>
      </c>
      <c r="G30" s="2" t="s">
        <v>320</v>
      </c>
      <c r="H30" s="11">
        <v>224.4</v>
      </c>
      <c r="I30" s="11">
        <v>-0.37</v>
      </c>
      <c r="J30" s="11"/>
      <c r="K30" s="11">
        <v>224.03</v>
      </c>
      <c r="L30" s="16">
        <v>1.87</v>
      </c>
      <c r="M30" s="11">
        <v>184.53</v>
      </c>
      <c r="N30" s="11">
        <v>2.57</v>
      </c>
      <c r="O30" s="11">
        <v>24.03</v>
      </c>
      <c r="P30" s="11">
        <f t="shared" si="1"/>
        <v>12.900000000000006</v>
      </c>
      <c r="Q30" s="11">
        <v>0.61</v>
      </c>
      <c r="R30" s="11">
        <v>2.37</v>
      </c>
      <c r="S30" s="11">
        <v>4.28</v>
      </c>
      <c r="T30" s="11">
        <v>-0.06</v>
      </c>
      <c r="U30" s="11">
        <v>0.02</v>
      </c>
      <c r="V30" s="11">
        <v>5.6800000000000068</v>
      </c>
      <c r="W30" s="55">
        <f t="shared" si="3"/>
        <v>224.03</v>
      </c>
      <c r="X30" s="74">
        <f t="shared" si="4"/>
        <v>0.82368432799178681</v>
      </c>
      <c r="Y30" s="74">
        <f t="shared" si="5"/>
        <v>1.1471677900281212E-2</v>
      </c>
      <c r="Z30" s="74">
        <f t="shared" si="6"/>
        <v>0.10726242021157881</v>
      </c>
      <c r="AA30" s="74">
        <f t="shared" si="7"/>
        <v>5.758157389635319E-2</v>
      </c>
    </row>
    <row r="31" spans="1:27">
      <c r="A31" s="7" t="s">
        <v>7</v>
      </c>
      <c r="B31" s="7">
        <v>10006722</v>
      </c>
      <c r="C31" s="7" t="str">
        <f t="shared" si="0"/>
        <v>FEBRERO10006722Inventario inicial</v>
      </c>
      <c r="D31" s="7" t="s">
        <v>339</v>
      </c>
      <c r="E31" s="3" t="s">
        <v>319</v>
      </c>
      <c r="F31" s="8">
        <v>120</v>
      </c>
      <c r="G31" s="2" t="s">
        <v>320</v>
      </c>
      <c r="H31" s="11">
        <v>224.4</v>
      </c>
      <c r="I31" s="11" t="s">
        <v>340</v>
      </c>
      <c r="J31" s="11">
        <v>0</v>
      </c>
      <c r="K31" s="11">
        <v>224.03</v>
      </c>
      <c r="L31" s="16">
        <v>1.87</v>
      </c>
      <c r="M31" s="11">
        <v>184.53</v>
      </c>
      <c r="N31" s="11">
        <v>2.57</v>
      </c>
      <c r="O31" s="11">
        <v>24.03</v>
      </c>
      <c r="P31" s="11">
        <f t="shared" si="1"/>
        <v>12.900000000000018</v>
      </c>
      <c r="Q31" s="11">
        <v>0.61</v>
      </c>
      <c r="R31" s="11">
        <v>2.37</v>
      </c>
      <c r="S31" s="11">
        <v>4.28</v>
      </c>
      <c r="T31" s="11" t="s">
        <v>341</v>
      </c>
      <c r="U31" s="11">
        <v>3.41</v>
      </c>
      <c r="V31" s="11">
        <v>2.2300000000000182</v>
      </c>
      <c r="W31" s="55">
        <f t="shared" si="3"/>
        <v>224.03</v>
      </c>
      <c r="X31" s="74">
        <f t="shared" si="4"/>
        <v>0.82368432799178681</v>
      </c>
      <c r="Y31" s="74">
        <f t="shared" si="5"/>
        <v>1.1471677900281212E-2</v>
      </c>
      <c r="Z31" s="74">
        <f t="shared" si="6"/>
        <v>0.10726242021157881</v>
      </c>
      <c r="AA31" s="74">
        <f t="shared" si="7"/>
        <v>5.7581573896353246E-2</v>
      </c>
    </row>
    <row r="32" spans="1:27">
      <c r="A32" s="7" t="s">
        <v>7</v>
      </c>
      <c r="B32" s="7">
        <v>10006722</v>
      </c>
      <c r="C32" s="7" t="str">
        <f t="shared" si="0"/>
        <v>FEBRERO10006722Revalorización</v>
      </c>
      <c r="D32" s="7" t="s">
        <v>339</v>
      </c>
      <c r="E32" s="3" t="s">
        <v>321</v>
      </c>
      <c r="F32" s="8">
        <v>0</v>
      </c>
      <c r="G32" s="2" t="s">
        <v>320</v>
      </c>
      <c r="H32" s="11">
        <v>0</v>
      </c>
      <c r="I32" s="11">
        <v>0</v>
      </c>
      <c r="J32" s="11">
        <v>0</v>
      </c>
      <c r="K32" s="11">
        <v>0</v>
      </c>
      <c r="L32" s="16">
        <v>0</v>
      </c>
      <c r="M32" s="11">
        <v>0</v>
      </c>
      <c r="N32" s="11">
        <v>0</v>
      </c>
      <c r="O32" s="11">
        <v>0</v>
      </c>
      <c r="P32" s="11">
        <f t="shared" si="1"/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55">
        <f t="shared" si="3"/>
        <v>0</v>
      </c>
      <c r="X32" s="74" t="e">
        <f t="shared" si="4"/>
        <v>#DIV/0!</v>
      </c>
      <c r="Y32" s="74" t="e">
        <f t="shared" si="5"/>
        <v>#DIV/0!</v>
      </c>
      <c r="Z32" s="74" t="e">
        <f t="shared" si="6"/>
        <v>#DIV/0!</v>
      </c>
      <c r="AA32" s="74" t="e">
        <f t="shared" si="7"/>
        <v>#DIV/0!</v>
      </c>
    </row>
    <row r="33" spans="1:27">
      <c r="A33" s="7" t="s">
        <v>7</v>
      </c>
      <c r="B33" s="7">
        <v>10006722</v>
      </c>
      <c r="C33" s="7" t="str">
        <f t="shared" si="0"/>
        <v>FEBRERO10006722Inventario acumulado</v>
      </c>
      <c r="D33" s="7" t="s">
        <v>339</v>
      </c>
      <c r="E33" s="3" t="s">
        <v>322</v>
      </c>
      <c r="F33" s="8">
        <v>120</v>
      </c>
      <c r="G33" s="2" t="s">
        <v>320</v>
      </c>
      <c r="H33" s="11">
        <v>224.4</v>
      </c>
      <c r="I33" s="11" t="s">
        <v>340</v>
      </c>
      <c r="J33" s="11">
        <v>0</v>
      </c>
      <c r="K33" s="11">
        <v>224.03</v>
      </c>
      <c r="L33" s="16">
        <v>1.87</v>
      </c>
      <c r="M33" s="11">
        <v>184.53</v>
      </c>
      <c r="N33" s="11">
        <v>2.57</v>
      </c>
      <c r="O33" s="11">
        <v>24.03</v>
      </c>
      <c r="P33" s="11">
        <f t="shared" si="1"/>
        <v>12.900000000000018</v>
      </c>
      <c r="Q33" s="11">
        <v>0.61</v>
      </c>
      <c r="R33" s="11">
        <v>2.37</v>
      </c>
      <c r="S33" s="11">
        <v>4.28</v>
      </c>
      <c r="T33" s="11" t="s">
        <v>341</v>
      </c>
      <c r="U33" s="11">
        <v>3.41</v>
      </c>
      <c r="V33" s="11">
        <v>2.2300000000000182</v>
      </c>
      <c r="W33" s="55">
        <f t="shared" si="3"/>
        <v>224.03</v>
      </c>
      <c r="X33" s="74">
        <f t="shared" si="4"/>
        <v>0.82368432799178681</v>
      </c>
      <c r="Y33" s="74">
        <f t="shared" si="5"/>
        <v>1.1471677900281212E-2</v>
      </c>
      <c r="Z33" s="74">
        <f t="shared" si="6"/>
        <v>0.10726242021157881</v>
      </c>
      <c r="AA33" s="74">
        <f t="shared" si="7"/>
        <v>5.7581573896353246E-2</v>
      </c>
    </row>
    <row r="34" spans="1:27">
      <c r="A34" s="7" t="s">
        <v>7</v>
      </c>
      <c r="B34" s="7">
        <v>10006722</v>
      </c>
      <c r="C34" s="7" t="str">
        <f t="shared" si="0"/>
        <v>FEBRERO10006722Inventario final</v>
      </c>
      <c r="D34" s="7" t="s">
        <v>339</v>
      </c>
      <c r="E34" s="3" t="s">
        <v>218</v>
      </c>
      <c r="F34" s="8">
        <v>120</v>
      </c>
      <c r="G34" s="2" t="s">
        <v>320</v>
      </c>
      <c r="H34" s="11">
        <v>224.4</v>
      </c>
      <c r="I34" s="11" t="s">
        <v>340</v>
      </c>
      <c r="J34" s="11">
        <v>0</v>
      </c>
      <c r="K34" s="11">
        <v>224.03</v>
      </c>
      <c r="L34" s="16">
        <v>1.87</v>
      </c>
      <c r="M34" s="11">
        <v>184.53</v>
      </c>
      <c r="N34" s="11">
        <v>2.57</v>
      </c>
      <c r="O34" s="11">
        <v>24.03</v>
      </c>
      <c r="P34" s="11">
        <f t="shared" si="1"/>
        <v>12.900000000000018</v>
      </c>
      <c r="Q34" s="11">
        <v>0.61</v>
      </c>
      <c r="R34" s="11">
        <v>2.37</v>
      </c>
      <c r="S34" s="11">
        <v>4.28</v>
      </c>
      <c r="T34" s="11" t="s">
        <v>341</v>
      </c>
      <c r="U34" s="11">
        <v>3.41</v>
      </c>
      <c r="V34" s="11">
        <v>2.2300000000000182</v>
      </c>
      <c r="W34" s="55">
        <f t="shared" si="3"/>
        <v>224.03</v>
      </c>
      <c r="X34" s="74">
        <f t="shared" si="4"/>
        <v>0.82368432799178681</v>
      </c>
      <c r="Y34" s="74">
        <f t="shared" si="5"/>
        <v>1.1471677900281212E-2</v>
      </c>
      <c r="Z34" s="74">
        <f t="shared" si="6"/>
        <v>0.10726242021157881</v>
      </c>
      <c r="AA34" s="74">
        <f t="shared" si="7"/>
        <v>5.7581573896353246E-2</v>
      </c>
    </row>
    <row r="35" spans="1:27">
      <c r="A35" s="7" t="s">
        <v>6</v>
      </c>
      <c r="B35" s="7">
        <v>10007969</v>
      </c>
      <c r="C35" s="7" t="str">
        <f t="shared" si="0"/>
        <v>ENERO10007969Inventario inicial</v>
      </c>
      <c r="D35" s="4" t="s">
        <v>37</v>
      </c>
      <c r="E35" s="3" t="s">
        <v>319</v>
      </c>
      <c r="F35" s="8">
        <v>33140</v>
      </c>
      <c r="G35" s="2" t="s">
        <v>320</v>
      </c>
      <c r="H35" s="11">
        <v>66611.399999999994</v>
      </c>
      <c r="I35" s="11">
        <v>-3356.06</v>
      </c>
      <c r="J35" s="11"/>
      <c r="K35" s="11">
        <v>63255.34</v>
      </c>
      <c r="L35" s="16">
        <v>1.91</v>
      </c>
      <c r="M35" s="11">
        <v>45896.74</v>
      </c>
      <c r="N35" s="11">
        <v>553.85</v>
      </c>
      <c r="O35" s="11">
        <v>7946.71</v>
      </c>
      <c r="P35" s="11">
        <f t="shared" si="1"/>
        <v>8858.0399999999972</v>
      </c>
      <c r="Q35" s="11">
        <v>164.9</v>
      </c>
      <c r="R35" s="11">
        <v>915.37</v>
      </c>
      <c r="S35" s="11">
        <v>3681.16</v>
      </c>
      <c r="T35" s="11">
        <v>3942.02</v>
      </c>
      <c r="U35" s="11"/>
      <c r="V35" s="11">
        <v>154.58999999999651</v>
      </c>
      <c r="W35" s="55">
        <f t="shared" si="3"/>
        <v>63255.34</v>
      </c>
      <c r="X35" s="74">
        <f t="shared" si="4"/>
        <v>0.72557889974190326</v>
      </c>
      <c r="Y35" s="74">
        <f t="shared" si="5"/>
        <v>8.7557825157528208E-3</v>
      </c>
      <c r="Z35" s="74">
        <f t="shared" si="6"/>
        <v>0.12562907732374848</v>
      </c>
      <c r="AA35" s="74">
        <f t="shared" si="7"/>
        <v>0.14003624041859544</v>
      </c>
    </row>
    <row r="36" spans="1:27">
      <c r="A36" s="7" t="s">
        <v>6</v>
      </c>
      <c r="B36" s="7">
        <v>10007969</v>
      </c>
      <c r="C36" s="7" t="str">
        <f t="shared" si="0"/>
        <v>ENERO10007969Revalorización</v>
      </c>
      <c r="D36" s="4" t="s">
        <v>37</v>
      </c>
      <c r="E36" s="3" t="s">
        <v>321</v>
      </c>
      <c r="F36" s="9">
        <v>0</v>
      </c>
      <c r="G36" s="3" t="s">
        <v>320</v>
      </c>
      <c r="H36" s="12">
        <v>1325.6</v>
      </c>
      <c r="I36" s="12">
        <v>-1325.6</v>
      </c>
      <c r="J36" s="13"/>
      <c r="K36" s="12">
        <v>0</v>
      </c>
      <c r="L36" s="17">
        <v>0</v>
      </c>
      <c r="M36" s="12">
        <v>0</v>
      </c>
      <c r="N36" s="12">
        <v>0</v>
      </c>
      <c r="O36" s="12">
        <v>0</v>
      </c>
      <c r="P36" s="12">
        <f t="shared" si="1"/>
        <v>0</v>
      </c>
      <c r="Q36" s="12">
        <v>0</v>
      </c>
      <c r="R36" s="12">
        <v>0</v>
      </c>
      <c r="S36" s="12">
        <v>0</v>
      </c>
      <c r="T36" s="14">
        <v>0</v>
      </c>
      <c r="U36" s="11"/>
      <c r="V36" s="11">
        <v>0</v>
      </c>
      <c r="W36" s="55">
        <f t="shared" si="3"/>
        <v>0</v>
      </c>
      <c r="X36" s="74" t="e">
        <f t="shared" si="4"/>
        <v>#DIV/0!</v>
      </c>
      <c r="Y36" s="74" t="e">
        <f t="shared" si="5"/>
        <v>#DIV/0!</v>
      </c>
      <c r="Z36" s="74" t="e">
        <f t="shared" si="6"/>
        <v>#DIV/0!</v>
      </c>
      <c r="AA36" s="74" t="e">
        <f t="shared" si="7"/>
        <v>#DIV/0!</v>
      </c>
    </row>
    <row r="37" spans="1:27">
      <c r="A37" s="7" t="s">
        <v>6</v>
      </c>
      <c r="B37" s="7">
        <v>10007969</v>
      </c>
      <c r="C37" s="7" t="str">
        <f t="shared" ref="C37:C68" si="8">A37&amp;B37&amp;E37</f>
        <v>ENERO10007969Entradas</v>
      </c>
      <c r="D37" s="4" t="s">
        <v>37</v>
      </c>
      <c r="E37" s="3" t="s">
        <v>164</v>
      </c>
      <c r="F37" s="9">
        <v>31840</v>
      </c>
      <c r="G37" s="3" t="s">
        <v>320</v>
      </c>
      <c r="H37" s="12">
        <v>65272</v>
      </c>
      <c r="I37" s="12">
        <v>-21679.65</v>
      </c>
      <c r="J37" s="13"/>
      <c r="K37" s="12">
        <v>43592.35</v>
      </c>
      <c r="L37" s="17">
        <v>1.37</v>
      </c>
      <c r="M37" s="12">
        <v>36713.730000000003</v>
      </c>
      <c r="N37" s="12">
        <v>541.57000000000005</v>
      </c>
      <c r="O37" s="12">
        <v>6527.17</v>
      </c>
      <c r="P37" s="12">
        <f t="shared" ref="P37:P68" si="9">SUM(Q37:V37)</f>
        <v>-190.12000000000262</v>
      </c>
      <c r="Q37" s="12">
        <v>0</v>
      </c>
      <c r="R37" s="12">
        <v>0</v>
      </c>
      <c r="S37" s="12">
        <v>0</v>
      </c>
      <c r="T37" s="14">
        <v>0</v>
      </c>
      <c r="U37" s="11"/>
      <c r="V37" s="11">
        <v>-190.12000000000262</v>
      </c>
      <c r="W37" s="55">
        <f t="shared" si="3"/>
        <v>43592.35</v>
      </c>
      <c r="X37" s="74">
        <f t="shared" si="4"/>
        <v>0.84220579987084898</v>
      </c>
      <c r="Y37" s="74">
        <f t="shared" si="5"/>
        <v>1.2423510088352659E-2</v>
      </c>
      <c r="Z37" s="74">
        <f t="shared" si="6"/>
        <v>0.14973200573036324</v>
      </c>
      <c r="AA37" s="74">
        <f t="shared" si="7"/>
        <v>-4.3613156895648576E-3</v>
      </c>
    </row>
    <row r="38" spans="1:27">
      <c r="A38" s="7" t="s">
        <v>6</v>
      </c>
      <c r="B38" s="7">
        <v>10007969</v>
      </c>
      <c r="C38" s="7" t="str">
        <f t="shared" si="8"/>
        <v>ENERO10007969Inv. acumulado</v>
      </c>
      <c r="D38" s="4" t="s">
        <v>37</v>
      </c>
      <c r="E38" s="3" t="s">
        <v>330</v>
      </c>
      <c r="F38" s="9">
        <v>64980</v>
      </c>
      <c r="G38" s="3" t="s">
        <v>320</v>
      </c>
      <c r="H38" s="12">
        <v>133209</v>
      </c>
      <c r="I38" s="12">
        <v>-26361.31</v>
      </c>
      <c r="J38" s="13"/>
      <c r="K38" s="12">
        <v>106847.69</v>
      </c>
      <c r="L38" s="17">
        <v>1.64</v>
      </c>
      <c r="M38" s="12">
        <v>82610.47</v>
      </c>
      <c r="N38" s="12">
        <v>1095.42</v>
      </c>
      <c r="O38" s="12">
        <v>14473.88</v>
      </c>
      <c r="P38" s="12">
        <f t="shared" si="9"/>
        <v>8667.9200000000019</v>
      </c>
      <c r="Q38" s="12">
        <v>164.9</v>
      </c>
      <c r="R38" s="12">
        <v>915.37</v>
      </c>
      <c r="S38" s="12">
        <v>3681.16</v>
      </c>
      <c r="T38" s="14">
        <v>3942.02</v>
      </c>
      <c r="U38" s="11"/>
      <c r="V38" s="11">
        <v>-35.529999999998836</v>
      </c>
      <c r="W38" s="55">
        <f t="shared" si="3"/>
        <v>106847.69</v>
      </c>
      <c r="X38" s="74">
        <f t="shared" si="4"/>
        <v>0.77316102949909349</v>
      </c>
      <c r="Y38" s="74">
        <f t="shared" si="5"/>
        <v>1.0252163617201271E-2</v>
      </c>
      <c r="Z38" s="74">
        <f t="shared" si="6"/>
        <v>0.13546273204409004</v>
      </c>
      <c r="AA38" s="74">
        <f t="shared" si="7"/>
        <v>8.1124074839615173E-2</v>
      </c>
    </row>
    <row r="39" spans="1:27">
      <c r="A39" s="7" t="s">
        <v>6</v>
      </c>
      <c r="B39" s="7">
        <v>10007969</v>
      </c>
      <c r="C39" s="7" t="str">
        <f t="shared" si="8"/>
        <v>ENERO10007969Compensación</v>
      </c>
      <c r="D39" s="4" t="s">
        <v>37</v>
      </c>
      <c r="E39" s="3" t="s">
        <v>114</v>
      </c>
      <c r="F39" s="9">
        <v>24020</v>
      </c>
      <c r="G39" s="3" t="s">
        <v>320</v>
      </c>
      <c r="H39" s="12">
        <v>49241</v>
      </c>
      <c r="I39" s="12">
        <v>-9744.52</v>
      </c>
      <c r="J39" s="13"/>
      <c r="K39" s="12">
        <v>39496.480000000003</v>
      </c>
      <c r="L39" s="17">
        <v>1.64</v>
      </c>
      <c r="M39" s="12">
        <v>30537.14</v>
      </c>
      <c r="N39" s="12">
        <v>404.93</v>
      </c>
      <c r="O39" s="12">
        <v>5350.3</v>
      </c>
      <c r="P39" s="12">
        <f t="shared" si="9"/>
        <v>3204.1100000000024</v>
      </c>
      <c r="Q39" s="12">
        <v>60.95</v>
      </c>
      <c r="R39" s="12">
        <v>338.37</v>
      </c>
      <c r="S39" s="12">
        <v>1360.75</v>
      </c>
      <c r="T39" s="14">
        <v>1457.17</v>
      </c>
      <c r="U39" s="11"/>
      <c r="V39" s="11">
        <v>-13.129999999997381</v>
      </c>
      <c r="W39" s="55">
        <f t="shared" si="3"/>
        <v>39496.480000000003</v>
      </c>
      <c r="X39" s="74">
        <f t="shared" si="4"/>
        <v>0.77316105131393975</v>
      </c>
      <c r="Y39" s="74">
        <f t="shared" si="5"/>
        <v>1.0252306028284039E-2</v>
      </c>
      <c r="Z39" s="74">
        <f t="shared" si="6"/>
        <v>0.13546270452455508</v>
      </c>
      <c r="AA39" s="74">
        <f t="shared" si="7"/>
        <v>8.1123938133221038E-2</v>
      </c>
    </row>
    <row r="40" spans="1:27">
      <c r="A40" s="7" t="s">
        <v>6</v>
      </c>
      <c r="B40" s="7">
        <v>10007969</v>
      </c>
      <c r="C40" s="7" t="str">
        <f t="shared" si="8"/>
        <v>ENERO10007969Inventario final</v>
      </c>
      <c r="D40" s="4" t="s">
        <v>37</v>
      </c>
      <c r="E40" s="3" t="s">
        <v>218</v>
      </c>
      <c r="F40" s="9">
        <v>40960</v>
      </c>
      <c r="G40" s="3" t="s">
        <v>320</v>
      </c>
      <c r="H40" s="12">
        <v>83968</v>
      </c>
      <c r="I40" s="12">
        <v>-16616.79</v>
      </c>
      <c r="J40" s="13"/>
      <c r="K40" s="12">
        <v>67351.210000000006</v>
      </c>
      <c r="L40" s="17">
        <v>1.64</v>
      </c>
      <c r="M40" s="12">
        <v>52073.33</v>
      </c>
      <c r="N40" s="12">
        <v>690.49</v>
      </c>
      <c r="O40" s="12">
        <v>9123.58</v>
      </c>
      <c r="P40" s="12">
        <f t="shared" si="9"/>
        <v>5463.8100000000049</v>
      </c>
      <c r="Q40" s="12">
        <v>103.95</v>
      </c>
      <c r="R40" s="12">
        <v>577</v>
      </c>
      <c r="S40" s="12">
        <v>2320.41</v>
      </c>
      <c r="T40" s="14">
        <v>2484.85</v>
      </c>
      <c r="U40" s="11"/>
      <c r="V40" s="11">
        <v>-22.399999999994179</v>
      </c>
      <c r="W40" s="55">
        <f t="shared" si="3"/>
        <v>67351.210000000006</v>
      </c>
      <c r="X40" s="74">
        <f t="shared" si="4"/>
        <v>0.7731610167063071</v>
      </c>
      <c r="Y40" s="74">
        <f t="shared" si="5"/>
        <v>1.0252080103683362E-2</v>
      </c>
      <c r="Z40" s="74">
        <f t="shared" si="6"/>
        <v>0.1354627481822524</v>
      </c>
      <c r="AA40" s="74">
        <f t="shared" si="7"/>
        <v>8.1124155007757159E-2</v>
      </c>
    </row>
    <row r="41" spans="1:27">
      <c r="A41" s="7" t="s">
        <v>7</v>
      </c>
      <c r="B41" s="7">
        <v>10007969</v>
      </c>
      <c r="C41" s="7" t="str">
        <f t="shared" si="8"/>
        <v>FEBRERO10007969Inventario inicial</v>
      </c>
      <c r="D41" s="4" t="s">
        <v>37</v>
      </c>
      <c r="E41" s="3" t="s">
        <v>319</v>
      </c>
      <c r="F41" s="8">
        <v>40960</v>
      </c>
      <c r="G41" s="2" t="s">
        <v>320</v>
      </c>
      <c r="H41" s="11">
        <v>83968</v>
      </c>
      <c r="I41" s="11" t="s">
        <v>342</v>
      </c>
      <c r="J41" s="11"/>
      <c r="K41" s="11">
        <v>67351.210000000006</v>
      </c>
      <c r="L41" s="16">
        <v>1.64</v>
      </c>
      <c r="M41" s="11">
        <v>52073.33</v>
      </c>
      <c r="N41" s="11">
        <v>690.49</v>
      </c>
      <c r="O41" s="11">
        <v>9123.58</v>
      </c>
      <c r="P41" s="11">
        <f t="shared" si="9"/>
        <v>5463.8100000000104</v>
      </c>
      <c r="Q41" s="11">
        <v>103.95</v>
      </c>
      <c r="R41" s="11">
        <v>577</v>
      </c>
      <c r="S41" s="11">
        <v>2320.41</v>
      </c>
      <c r="T41" s="11">
        <v>0.01</v>
      </c>
      <c r="U41" s="11">
        <v>2484.85</v>
      </c>
      <c r="V41" s="11">
        <v>-22.409999999988941</v>
      </c>
      <c r="W41" s="55">
        <f t="shared" si="3"/>
        <v>67351.210000000006</v>
      </c>
      <c r="X41" s="74">
        <f t="shared" si="4"/>
        <v>0.7731610167063071</v>
      </c>
      <c r="Y41" s="74">
        <f t="shared" si="5"/>
        <v>1.0252080103683362E-2</v>
      </c>
      <c r="Z41" s="74">
        <f t="shared" si="6"/>
        <v>0.1354627481822524</v>
      </c>
      <c r="AA41" s="74">
        <f t="shared" si="7"/>
        <v>8.1124155007757243E-2</v>
      </c>
    </row>
    <row r="42" spans="1:27">
      <c r="A42" s="7" t="s">
        <v>7</v>
      </c>
      <c r="B42" s="7">
        <v>10007969</v>
      </c>
      <c r="C42" s="7" t="str">
        <f t="shared" si="8"/>
        <v>FEBRERO10007969Revalorización</v>
      </c>
      <c r="D42" s="4" t="s">
        <v>37</v>
      </c>
      <c r="E42" s="3" t="s">
        <v>321</v>
      </c>
      <c r="F42" s="8">
        <v>0</v>
      </c>
      <c r="G42" s="2" t="s">
        <v>320</v>
      </c>
      <c r="H42" s="11" t="s">
        <v>343</v>
      </c>
      <c r="I42" s="11">
        <v>5734.4</v>
      </c>
      <c r="J42" s="11"/>
      <c r="K42" s="11">
        <v>0</v>
      </c>
      <c r="L42" s="16">
        <v>0</v>
      </c>
      <c r="M42" s="11">
        <v>0</v>
      </c>
      <c r="N42" s="11">
        <v>0</v>
      </c>
      <c r="O42" s="11">
        <v>0</v>
      </c>
      <c r="P42" s="11">
        <f t="shared" si="9"/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55">
        <f t="shared" si="3"/>
        <v>0</v>
      </c>
      <c r="X42" s="74" t="e">
        <f t="shared" si="4"/>
        <v>#DIV/0!</v>
      </c>
      <c r="Y42" s="74" t="e">
        <f t="shared" si="5"/>
        <v>#DIV/0!</v>
      </c>
      <c r="Z42" s="74" t="e">
        <f t="shared" si="6"/>
        <v>#DIV/0!</v>
      </c>
      <c r="AA42" s="74" t="e">
        <f t="shared" si="7"/>
        <v>#DIV/0!</v>
      </c>
    </row>
    <row r="43" spans="1:27">
      <c r="A43" s="7" t="s">
        <v>7</v>
      </c>
      <c r="B43" s="7">
        <v>10007969</v>
      </c>
      <c r="C43" s="7" t="str">
        <f t="shared" si="8"/>
        <v>FEBRERO10007969Entradas</v>
      </c>
      <c r="D43" s="4" t="s">
        <v>37</v>
      </c>
      <c r="E43" s="3" t="s">
        <v>164</v>
      </c>
      <c r="F43" s="8">
        <v>52860</v>
      </c>
      <c r="G43" s="2" t="s">
        <v>320</v>
      </c>
      <c r="H43" s="11">
        <v>100962.6</v>
      </c>
      <c r="I43" s="11" t="s">
        <v>344</v>
      </c>
      <c r="J43" s="11"/>
      <c r="K43" s="11">
        <v>63741.34</v>
      </c>
      <c r="L43" s="16">
        <v>1.21</v>
      </c>
      <c r="M43" s="11">
        <v>53960.46</v>
      </c>
      <c r="N43" s="11">
        <v>874.71</v>
      </c>
      <c r="O43" s="11">
        <v>10836.3</v>
      </c>
      <c r="P43" s="11">
        <f t="shared" si="9"/>
        <v>-1930.1300000000047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-1930.1300000000047</v>
      </c>
      <c r="W43" s="55">
        <f t="shared" si="3"/>
        <v>63741.34</v>
      </c>
      <c r="X43" s="74">
        <f t="shared" si="4"/>
        <v>0.84655358673036996</v>
      </c>
      <c r="Y43" s="74">
        <f t="shared" si="5"/>
        <v>1.372280532539793E-2</v>
      </c>
      <c r="Z43" s="74">
        <f t="shared" si="6"/>
        <v>0.17000427038402394</v>
      </c>
      <c r="AA43" s="74">
        <f t="shared" si="7"/>
        <v>-3.0280662439791897E-2</v>
      </c>
    </row>
    <row r="44" spans="1:27">
      <c r="A44" s="7" t="s">
        <v>7</v>
      </c>
      <c r="B44" s="7">
        <v>10007969</v>
      </c>
      <c r="C44" s="7" t="str">
        <f t="shared" si="8"/>
        <v>FEBRERO10007969Inventario acumulado</v>
      </c>
      <c r="D44" s="4" t="s">
        <v>37</v>
      </c>
      <c r="E44" s="3" t="s">
        <v>322</v>
      </c>
      <c r="F44" s="8">
        <v>93820</v>
      </c>
      <c r="G44" s="2" t="s">
        <v>320</v>
      </c>
      <c r="H44" s="11">
        <v>179196.2</v>
      </c>
      <c r="I44" s="11" t="s">
        <v>345</v>
      </c>
      <c r="J44" s="11"/>
      <c r="K44" s="11">
        <v>131092.54999999999</v>
      </c>
      <c r="L44" s="16">
        <v>1.4</v>
      </c>
      <c r="M44" s="11">
        <v>106033.79</v>
      </c>
      <c r="N44" s="11">
        <v>1565.2</v>
      </c>
      <c r="O44" s="11">
        <v>19959.88</v>
      </c>
      <c r="P44" s="11">
        <f t="shared" si="9"/>
        <v>3533.6799999999912</v>
      </c>
      <c r="Q44" s="11">
        <v>103.95</v>
      </c>
      <c r="R44" s="11">
        <v>577</v>
      </c>
      <c r="S44" s="11">
        <v>2320.41</v>
      </c>
      <c r="T44" s="11">
        <v>0.01</v>
      </c>
      <c r="U44" s="11">
        <v>2484.85</v>
      </c>
      <c r="V44" s="11">
        <v>-1952.5400000000081</v>
      </c>
      <c r="W44" s="55">
        <f t="shared" si="3"/>
        <v>131092.54999999999</v>
      </c>
      <c r="X44" s="74">
        <f t="shared" si="4"/>
        <v>0.80884680326990366</v>
      </c>
      <c r="Y44" s="74">
        <f t="shared" si="5"/>
        <v>1.193965637253986E-2</v>
      </c>
      <c r="Z44" s="74">
        <f t="shared" si="6"/>
        <v>0.15225792770069696</v>
      </c>
      <c r="AA44" s="74">
        <f t="shared" si="7"/>
        <v>2.6955612656859536E-2</v>
      </c>
    </row>
    <row r="45" spans="1:27">
      <c r="A45" s="7" t="s">
        <v>7</v>
      </c>
      <c r="B45" s="7">
        <v>10007969</v>
      </c>
      <c r="C45" s="7" t="str">
        <f t="shared" si="8"/>
        <v>FEBRERO10007969Compensación</v>
      </c>
      <c r="D45" s="4" t="s">
        <v>37</v>
      </c>
      <c r="E45" s="3" t="s">
        <v>114</v>
      </c>
      <c r="F45" s="8">
        <v>33140</v>
      </c>
      <c r="G45" s="2" t="s">
        <v>320</v>
      </c>
      <c r="H45" s="11">
        <v>63297.4</v>
      </c>
      <c r="I45" s="11" t="s">
        <v>346</v>
      </c>
      <c r="J45" s="11"/>
      <c r="K45" s="11">
        <v>46305.77</v>
      </c>
      <c r="L45" s="16">
        <v>1.4</v>
      </c>
      <c r="M45" s="11">
        <v>37454.269999999997</v>
      </c>
      <c r="N45" s="11">
        <v>552.88</v>
      </c>
      <c r="O45" s="11">
        <v>7050.42</v>
      </c>
      <c r="P45" s="11">
        <f t="shared" si="9"/>
        <v>1248.200000000005</v>
      </c>
      <c r="Q45" s="11">
        <v>36.72</v>
      </c>
      <c r="R45" s="11">
        <v>203.81</v>
      </c>
      <c r="S45" s="11">
        <v>819.64</v>
      </c>
      <c r="T45" s="11">
        <v>0</v>
      </c>
      <c r="U45" s="11">
        <v>877.72</v>
      </c>
      <c r="V45" s="11">
        <v>-689.68999999999505</v>
      </c>
      <c r="W45" s="55">
        <f t="shared" si="3"/>
        <v>46305.77</v>
      </c>
      <c r="X45" s="74">
        <f t="shared" si="4"/>
        <v>0.80884671607879532</v>
      </c>
      <c r="Y45" s="74">
        <f t="shared" si="5"/>
        <v>1.1939764742061303E-2</v>
      </c>
      <c r="Z45" s="74">
        <f t="shared" si="6"/>
        <v>0.15225791515830533</v>
      </c>
      <c r="AA45" s="74">
        <f t="shared" si="7"/>
        <v>2.6955604020838117E-2</v>
      </c>
    </row>
    <row r="46" spans="1:27">
      <c r="A46" s="7" t="s">
        <v>7</v>
      </c>
      <c r="B46" s="7">
        <v>10007969</v>
      </c>
      <c r="C46" s="7" t="str">
        <f t="shared" si="8"/>
        <v>FEBRERO10007969Inventario final</v>
      </c>
      <c r="D46" s="4" t="s">
        <v>37</v>
      </c>
      <c r="E46" s="3" t="s">
        <v>218</v>
      </c>
      <c r="F46" s="8">
        <v>60680</v>
      </c>
      <c r="G46" s="2" t="s">
        <v>320</v>
      </c>
      <c r="H46" s="11">
        <v>115898.8</v>
      </c>
      <c r="I46" s="11" t="s">
        <v>347</v>
      </c>
      <c r="J46" s="11"/>
      <c r="K46" s="11">
        <v>84786.78</v>
      </c>
      <c r="L46" s="16">
        <v>1.4</v>
      </c>
      <c r="M46" s="11">
        <v>68579.520000000004</v>
      </c>
      <c r="N46" s="11">
        <v>1012.32</v>
      </c>
      <c r="O46" s="11">
        <v>12909.46</v>
      </c>
      <c r="P46" s="11">
        <f t="shared" si="9"/>
        <v>2285.4799999999796</v>
      </c>
      <c r="Q46" s="11">
        <v>67.23</v>
      </c>
      <c r="R46" s="11">
        <v>373.19</v>
      </c>
      <c r="S46" s="11">
        <v>1500.77</v>
      </c>
      <c r="T46" s="11">
        <v>0.01</v>
      </c>
      <c r="U46" s="11">
        <v>1607.13</v>
      </c>
      <c r="V46" s="11">
        <v>-1262.8500000000204</v>
      </c>
      <c r="W46" s="55">
        <f t="shared" si="3"/>
        <v>84786.78</v>
      </c>
      <c r="X46" s="74">
        <f t="shared" si="4"/>
        <v>0.8088468508887825</v>
      </c>
      <c r="Y46" s="74">
        <f t="shared" si="5"/>
        <v>1.1939597187203006E-2</v>
      </c>
      <c r="Z46" s="74">
        <f t="shared" si="6"/>
        <v>0.15225793455064573</v>
      </c>
      <c r="AA46" s="74">
        <f t="shared" si="7"/>
        <v>2.695561737336858E-2</v>
      </c>
    </row>
    <row r="47" spans="1:27">
      <c r="A47" s="7" t="s">
        <v>6</v>
      </c>
      <c r="B47" s="7">
        <v>10005721</v>
      </c>
      <c r="C47" s="7" t="str">
        <f t="shared" si="8"/>
        <v>ENERO10005721Inventario inicial</v>
      </c>
      <c r="D47" s="7" t="s">
        <v>348</v>
      </c>
      <c r="E47" s="3" t="s">
        <v>319</v>
      </c>
      <c r="F47" s="8">
        <v>130100</v>
      </c>
      <c r="G47" s="2" t="s">
        <v>320</v>
      </c>
      <c r="H47" s="11">
        <v>291424</v>
      </c>
      <c r="I47" s="11">
        <v>-57699.72</v>
      </c>
      <c r="J47" s="11"/>
      <c r="K47" s="11">
        <v>233724.28</v>
      </c>
      <c r="L47" s="16">
        <v>1.8</v>
      </c>
      <c r="M47" s="11">
        <v>143788.37</v>
      </c>
      <c r="N47" s="11">
        <v>1889.83</v>
      </c>
      <c r="O47" s="11">
        <v>52372.25</v>
      </c>
      <c r="P47" s="11">
        <f t="shared" si="9"/>
        <v>35673.830000000024</v>
      </c>
      <c r="Q47" s="11">
        <v>302.23</v>
      </c>
      <c r="R47" s="11">
        <v>3651.9</v>
      </c>
      <c r="S47" s="11">
        <v>15184.88</v>
      </c>
      <c r="T47" s="11">
        <v>15872.2</v>
      </c>
      <c r="U47" s="11"/>
      <c r="V47" s="11">
        <v>662.62000000002445</v>
      </c>
      <c r="W47" s="55">
        <f t="shared" si="3"/>
        <v>233724.28</v>
      </c>
      <c r="X47" s="74">
        <f t="shared" si="4"/>
        <v>0.61520510406535422</v>
      </c>
      <c r="Y47" s="74">
        <f t="shared" si="5"/>
        <v>8.0857239136644249E-3</v>
      </c>
      <c r="Z47" s="74">
        <f t="shared" si="6"/>
        <v>0.22407706208357986</v>
      </c>
      <c r="AA47" s="74">
        <f t="shared" si="7"/>
        <v>0.15263210993740156</v>
      </c>
    </row>
    <row r="48" spans="1:27">
      <c r="A48" s="7" t="s">
        <v>6</v>
      </c>
      <c r="B48" s="7">
        <v>10005721</v>
      </c>
      <c r="C48" s="7" t="str">
        <f t="shared" si="8"/>
        <v>ENERO10005721Revalorización</v>
      </c>
      <c r="D48" s="7" t="s">
        <v>348</v>
      </c>
      <c r="E48" s="3" t="s">
        <v>321</v>
      </c>
      <c r="F48" s="8">
        <v>0</v>
      </c>
      <c r="G48" s="2" t="s">
        <v>320</v>
      </c>
      <c r="H48" s="11">
        <v>0</v>
      </c>
      <c r="I48" s="11">
        <v>0</v>
      </c>
      <c r="J48" s="11"/>
      <c r="K48" s="11">
        <v>0</v>
      </c>
      <c r="L48" s="16">
        <v>0</v>
      </c>
      <c r="M48" s="11">
        <v>0</v>
      </c>
      <c r="N48" s="11">
        <v>0</v>
      </c>
      <c r="O48" s="11">
        <v>0</v>
      </c>
      <c r="P48" s="11">
        <f t="shared" si="9"/>
        <v>0</v>
      </c>
      <c r="Q48" s="11">
        <v>0</v>
      </c>
      <c r="R48" s="11">
        <v>0</v>
      </c>
      <c r="S48" s="11">
        <v>0</v>
      </c>
      <c r="T48" s="11">
        <v>0</v>
      </c>
      <c r="U48" s="11"/>
      <c r="V48" s="11">
        <v>0</v>
      </c>
      <c r="W48" s="55">
        <f t="shared" si="3"/>
        <v>0</v>
      </c>
      <c r="X48" s="74" t="e">
        <f t="shared" si="4"/>
        <v>#DIV/0!</v>
      </c>
      <c r="Y48" s="74" t="e">
        <f t="shared" si="5"/>
        <v>#DIV/0!</v>
      </c>
      <c r="Z48" s="74" t="e">
        <f t="shared" si="6"/>
        <v>#DIV/0!</v>
      </c>
      <c r="AA48" s="74" t="e">
        <f t="shared" si="7"/>
        <v>#DIV/0!</v>
      </c>
    </row>
    <row r="49" spans="1:27">
      <c r="A49" s="7" t="s">
        <v>6</v>
      </c>
      <c r="B49" s="7">
        <v>10005721</v>
      </c>
      <c r="C49" s="7" t="str">
        <f t="shared" si="8"/>
        <v>ENERO10005721Entradas</v>
      </c>
      <c r="D49" s="7" t="s">
        <v>348</v>
      </c>
      <c r="E49" s="3" t="s">
        <v>164</v>
      </c>
      <c r="F49" s="8">
        <v>375660</v>
      </c>
      <c r="G49" s="2" t="s">
        <v>320</v>
      </c>
      <c r="H49" s="11">
        <v>841478.4</v>
      </c>
      <c r="I49" s="11">
        <v>-133757.06</v>
      </c>
      <c r="J49" s="11"/>
      <c r="K49" s="11">
        <v>707721.34</v>
      </c>
      <c r="L49" s="16">
        <v>1.88</v>
      </c>
      <c r="M49" s="11">
        <v>427211.12</v>
      </c>
      <c r="N49" s="11">
        <v>7123.62</v>
      </c>
      <c r="O49" s="11">
        <v>154762.57</v>
      </c>
      <c r="P49" s="11">
        <f t="shared" si="9"/>
        <v>118624.0299999999</v>
      </c>
      <c r="Q49" s="11">
        <v>843.73</v>
      </c>
      <c r="R49" s="11">
        <v>6457.97</v>
      </c>
      <c r="S49" s="11">
        <v>59002.66</v>
      </c>
      <c r="T49" s="11">
        <v>47757.66</v>
      </c>
      <c r="U49" s="11"/>
      <c r="V49" s="11">
        <v>4562.0099999998929</v>
      </c>
      <c r="W49" s="55">
        <f t="shared" si="3"/>
        <v>707721.34</v>
      </c>
      <c r="X49" s="74">
        <f t="shared" si="4"/>
        <v>0.60364312315352819</v>
      </c>
      <c r="Y49" s="74">
        <f t="shared" si="5"/>
        <v>1.0065571853464246E-2</v>
      </c>
      <c r="Z49" s="74">
        <f t="shared" si="6"/>
        <v>0.21867726922011424</v>
      </c>
      <c r="AA49" s="74">
        <f t="shared" si="7"/>
        <v>0.16761403577289319</v>
      </c>
    </row>
    <row r="50" spans="1:27">
      <c r="A50" s="7" t="s">
        <v>6</v>
      </c>
      <c r="B50" s="7">
        <v>10005721</v>
      </c>
      <c r="C50" s="7" t="str">
        <f t="shared" si="8"/>
        <v>ENERO10005721Inv. acumulado</v>
      </c>
      <c r="D50" s="7" t="s">
        <v>348</v>
      </c>
      <c r="E50" s="3" t="s">
        <v>330</v>
      </c>
      <c r="F50" s="8">
        <v>505760</v>
      </c>
      <c r="G50" s="2" t="s">
        <v>320</v>
      </c>
      <c r="H50" s="11">
        <v>1132902.3999999999</v>
      </c>
      <c r="I50" s="11">
        <v>-191456.78</v>
      </c>
      <c r="J50" s="11"/>
      <c r="K50" s="11">
        <v>941445.62</v>
      </c>
      <c r="L50" s="16">
        <v>1.86</v>
      </c>
      <c r="M50" s="11">
        <v>570999.49</v>
      </c>
      <c r="N50" s="11">
        <v>9013.4500000000007</v>
      </c>
      <c r="O50" s="11">
        <v>207134.82</v>
      </c>
      <c r="P50" s="11">
        <f t="shared" si="9"/>
        <v>154297.85999999999</v>
      </c>
      <c r="Q50" s="11">
        <v>1145.96</v>
      </c>
      <c r="R50" s="11">
        <v>10109.870000000001</v>
      </c>
      <c r="S50" s="11">
        <v>74187.539999999994</v>
      </c>
      <c r="T50" s="11">
        <v>63629.86</v>
      </c>
      <c r="U50" s="11"/>
      <c r="V50" s="11">
        <v>5224.6300000000047</v>
      </c>
      <c r="W50" s="55">
        <f t="shared" si="3"/>
        <v>941445.62</v>
      </c>
      <c r="X50" s="74">
        <f t="shared" si="4"/>
        <v>0.60651351269763198</v>
      </c>
      <c r="Y50" s="74">
        <f t="shared" si="5"/>
        <v>9.574052721175761E-3</v>
      </c>
      <c r="Z50" s="74">
        <f t="shared" si="6"/>
        <v>0.22001782747685417</v>
      </c>
      <c r="AA50" s="74">
        <f t="shared" si="7"/>
        <v>0.16389460710433809</v>
      </c>
    </row>
    <row r="51" spans="1:27">
      <c r="A51" s="7" t="s">
        <v>6</v>
      </c>
      <c r="B51" s="7">
        <v>10005721</v>
      </c>
      <c r="C51" s="7" t="str">
        <f t="shared" si="8"/>
        <v>ENERO10005721Compensación</v>
      </c>
      <c r="D51" s="7" t="s">
        <v>348</v>
      </c>
      <c r="E51" s="3" t="s">
        <v>114</v>
      </c>
      <c r="F51" s="9">
        <v>135000</v>
      </c>
      <c r="G51" s="3" t="s">
        <v>320</v>
      </c>
      <c r="H51" s="12">
        <v>302400</v>
      </c>
      <c r="I51" s="12">
        <v>-51104.61</v>
      </c>
      <c r="J51" s="13"/>
      <c r="K51" s="12">
        <v>251295.39</v>
      </c>
      <c r="L51" s="17">
        <v>1.86</v>
      </c>
      <c r="M51" s="12">
        <v>152414.04999999999</v>
      </c>
      <c r="N51" s="12">
        <v>2405.92</v>
      </c>
      <c r="O51" s="12">
        <v>55289.46</v>
      </c>
      <c r="P51" s="12">
        <f t="shared" si="9"/>
        <v>41185.960000000021</v>
      </c>
      <c r="Q51" s="12">
        <v>305.89</v>
      </c>
      <c r="R51" s="12">
        <v>2698.58</v>
      </c>
      <c r="S51" s="12">
        <v>19802.509999999998</v>
      </c>
      <c r="T51" s="12">
        <v>16984.400000000001</v>
      </c>
      <c r="U51" s="14"/>
      <c r="V51" s="11">
        <v>1394.5800000000163</v>
      </c>
      <c r="W51" s="55">
        <f t="shared" si="3"/>
        <v>251295.39</v>
      </c>
      <c r="X51" s="74">
        <f t="shared" si="4"/>
        <v>0.60651351383724139</v>
      </c>
      <c r="Y51" s="74">
        <f t="shared" si="5"/>
        <v>9.5740713747275667E-3</v>
      </c>
      <c r="Z51" s="74">
        <f t="shared" si="6"/>
        <v>0.22001780454468342</v>
      </c>
      <c r="AA51" s="74">
        <f t="shared" si="7"/>
        <v>0.16389461024334756</v>
      </c>
    </row>
    <row r="52" spans="1:27">
      <c r="A52" s="7" t="s">
        <v>6</v>
      </c>
      <c r="B52" s="7">
        <v>10005721</v>
      </c>
      <c r="C52" s="7" t="str">
        <f t="shared" si="8"/>
        <v>ENERO10005721Inventario final</v>
      </c>
      <c r="D52" s="7" t="s">
        <v>348</v>
      </c>
      <c r="E52" s="3" t="s">
        <v>218</v>
      </c>
      <c r="F52" s="9">
        <v>370760</v>
      </c>
      <c r="G52" s="3" t="s">
        <v>320</v>
      </c>
      <c r="H52" s="12">
        <v>830502.40000000002</v>
      </c>
      <c r="I52" s="12">
        <v>-140352.17000000001</v>
      </c>
      <c r="J52" s="13"/>
      <c r="K52" s="12">
        <v>690150.23</v>
      </c>
      <c r="L52" s="17">
        <v>1.86</v>
      </c>
      <c r="M52" s="12">
        <v>418585.44</v>
      </c>
      <c r="N52" s="12">
        <v>6607.53</v>
      </c>
      <c r="O52" s="12">
        <v>151845.35999999999</v>
      </c>
      <c r="P52" s="12">
        <f t="shared" si="9"/>
        <v>113111.89999999994</v>
      </c>
      <c r="Q52" s="12">
        <v>840.07</v>
      </c>
      <c r="R52" s="12">
        <v>7411.29</v>
      </c>
      <c r="S52" s="12">
        <v>54385.03</v>
      </c>
      <c r="T52" s="12">
        <v>46645.46</v>
      </c>
      <c r="U52" s="14"/>
      <c r="V52" s="11">
        <v>3830.0499999999302</v>
      </c>
      <c r="W52" s="55">
        <f t="shared" si="3"/>
        <v>690150.23</v>
      </c>
      <c r="X52" s="74">
        <f t="shared" si="4"/>
        <v>0.6065135122826808</v>
      </c>
      <c r="Y52" s="74">
        <f t="shared" si="5"/>
        <v>9.5740459291015524E-3</v>
      </c>
      <c r="Z52" s="74">
        <f t="shared" si="6"/>
        <v>0.22001783582684598</v>
      </c>
      <c r="AA52" s="74">
        <f t="shared" si="7"/>
        <v>0.16389460596137154</v>
      </c>
    </row>
    <row r="53" spans="1:27">
      <c r="A53" s="7" t="s">
        <v>7</v>
      </c>
      <c r="B53" s="7">
        <v>10005721</v>
      </c>
      <c r="C53" s="7" t="str">
        <f t="shared" si="8"/>
        <v>FEBRERO10005721Inventario inicial</v>
      </c>
      <c r="D53" s="7" t="s">
        <v>348</v>
      </c>
      <c r="E53" s="3" t="s">
        <v>319</v>
      </c>
      <c r="F53" s="9">
        <v>370760</v>
      </c>
      <c r="G53" s="3" t="s">
        <v>320</v>
      </c>
      <c r="H53" s="12">
        <v>830502.40000000002</v>
      </c>
      <c r="I53" s="12" t="s">
        <v>349</v>
      </c>
      <c r="J53" s="13"/>
      <c r="K53" s="12">
        <v>690150.23</v>
      </c>
      <c r="L53" s="17">
        <v>1.86</v>
      </c>
      <c r="M53" s="12">
        <v>418585.44</v>
      </c>
      <c r="N53" s="12">
        <v>6607.53</v>
      </c>
      <c r="O53" s="12">
        <v>151845.35999999999</v>
      </c>
      <c r="P53" s="12">
        <f t="shared" si="9"/>
        <v>113111.89999999994</v>
      </c>
      <c r="Q53" s="12">
        <v>840.07</v>
      </c>
      <c r="R53" s="12">
        <v>7411.29</v>
      </c>
      <c r="S53" s="12">
        <v>54385.03</v>
      </c>
      <c r="T53" s="12">
        <v>0</v>
      </c>
      <c r="U53" s="14">
        <v>46645.46</v>
      </c>
      <c r="V53" s="11">
        <v>3830.0499999999302</v>
      </c>
      <c r="W53" s="55">
        <f t="shared" si="3"/>
        <v>690150.23</v>
      </c>
      <c r="X53" s="74">
        <f t="shared" si="4"/>
        <v>0.6065135122826808</v>
      </c>
      <c r="Y53" s="74">
        <f t="shared" si="5"/>
        <v>9.5740459291015524E-3</v>
      </c>
      <c r="Z53" s="74">
        <f t="shared" si="6"/>
        <v>0.22001783582684598</v>
      </c>
      <c r="AA53" s="74">
        <f t="shared" si="7"/>
        <v>0.16389460596137154</v>
      </c>
    </row>
    <row r="54" spans="1:27">
      <c r="A54" s="7" t="s">
        <v>7</v>
      </c>
      <c r="B54" s="7">
        <v>10005721</v>
      </c>
      <c r="C54" s="7" t="str">
        <f t="shared" si="8"/>
        <v>FEBRERO10005721Revalorización</v>
      </c>
      <c r="D54" s="7" t="s">
        <v>348</v>
      </c>
      <c r="E54" s="3" t="s">
        <v>321</v>
      </c>
      <c r="F54" s="9">
        <v>0</v>
      </c>
      <c r="G54" s="3" t="s">
        <v>320</v>
      </c>
      <c r="H54" s="12" t="s">
        <v>350</v>
      </c>
      <c r="I54" s="12">
        <v>163134.39999999999</v>
      </c>
      <c r="J54" s="13"/>
      <c r="K54" s="12">
        <v>0</v>
      </c>
      <c r="L54" s="17">
        <v>0</v>
      </c>
      <c r="M54" s="12">
        <v>0</v>
      </c>
      <c r="N54" s="12">
        <v>0</v>
      </c>
      <c r="O54" s="12">
        <v>0</v>
      </c>
      <c r="P54" s="12">
        <f t="shared" si="9"/>
        <v>0</v>
      </c>
      <c r="Q54" s="12">
        <v>0</v>
      </c>
      <c r="R54" s="12">
        <v>0</v>
      </c>
      <c r="S54" s="12">
        <v>0</v>
      </c>
      <c r="T54" s="12">
        <v>0</v>
      </c>
      <c r="U54" s="14">
        <v>0</v>
      </c>
      <c r="V54" s="11">
        <v>0</v>
      </c>
      <c r="W54" s="55">
        <f t="shared" si="3"/>
        <v>0</v>
      </c>
      <c r="X54" s="74" t="e">
        <f t="shared" si="4"/>
        <v>#DIV/0!</v>
      </c>
      <c r="Y54" s="74" t="e">
        <f t="shared" si="5"/>
        <v>#DIV/0!</v>
      </c>
      <c r="Z54" s="74" t="e">
        <f t="shared" si="6"/>
        <v>#DIV/0!</v>
      </c>
      <c r="AA54" s="74" t="e">
        <f t="shared" si="7"/>
        <v>#DIV/0!</v>
      </c>
    </row>
    <row r="55" spans="1:27">
      <c r="A55" s="7" t="s">
        <v>7</v>
      </c>
      <c r="B55" s="7">
        <v>10005721</v>
      </c>
      <c r="C55" s="7" t="str">
        <f t="shared" si="8"/>
        <v>FEBRERO10005721Entradas</v>
      </c>
      <c r="D55" s="7" t="s">
        <v>348</v>
      </c>
      <c r="E55" s="3" t="s">
        <v>164</v>
      </c>
      <c r="F55" s="9">
        <v>659620</v>
      </c>
      <c r="G55" s="3" t="s">
        <v>320</v>
      </c>
      <c r="H55" s="12">
        <v>1187316</v>
      </c>
      <c r="I55" s="12" t="s">
        <v>351</v>
      </c>
      <c r="J55" s="13"/>
      <c r="K55" s="12">
        <v>1103517.46</v>
      </c>
      <c r="L55" s="17">
        <v>1.67</v>
      </c>
      <c r="M55" s="12">
        <v>669876.63</v>
      </c>
      <c r="N55" s="12">
        <v>12521.6</v>
      </c>
      <c r="O55" s="12">
        <v>207741.78</v>
      </c>
      <c r="P55" s="12">
        <f t="shared" si="9"/>
        <v>213377.45000000007</v>
      </c>
      <c r="Q55" s="12">
        <v>4627.24</v>
      </c>
      <c r="R55" s="12">
        <v>11378.45</v>
      </c>
      <c r="S55" s="12">
        <v>103944.9</v>
      </c>
      <c r="T55" s="12">
        <v>0.28999999999999998</v>
      </c>
      <c r="U55" s="14">
        <v>84147.72</v>
      </c>
      <c r="V55" s="11">
        <v>9278.8500000000931</v>
      </c>
      <c r="W55" s="55">
        <f t="shared" si="3"/>
        <v>1103517.46</v>
      </c>
      <c r="X55" s="74">
        <f t="shared" si="4"/>
        <v>0.60703763581592995</v>
      </c>
      <c r="Y55" s="74">
        <f t="shared" si="5"/>
        <v>1.1346988565092572E-2</v>
      </c>
      <c r="Z55" s="74">
        <f t="shared" si="6"/>
        <v>0.18825418494058083</v>
      </c>
      <c r="AA55" s="74">
        <f t="shared" si="7"/>
        <v>0.19336119067839677</v>
      </c>
    </row>
    <row r="56" spans="1:27">
      <c r="A56" s="7" t="s">
        <v>7</v>
      </c>
      <c r="B56" s="7">
        <v>10005721</v>
      </c>
      <c r="C56" s="7" t="str">
        <f t="shared" si="8"/>
        <v>FEBRERO10005721Inventario acumulado</v>
      </c>
      <c r="D56" s="7" t="s">
        <v>348</v>
      </c>
      <c r="E56" s="3" t="s">
        <v>322</v>
      </c>
      <c r="F56" s="9">
        <v>1030380</v>
      </c>
      <c r="G56" s="3" t="s">
        <v>320</v>
      </c>
      <c r="H56" s="12">
        <v>1854684</v>
      </c>
      <c r="I56" s="12" t="s">
        <v>352</v>
      </c>
      <c r="J56" s="13"/>
      <c r="K56" s="12">
        <v>1793667.69</v>
      </c>
      <c r="L56" s="17">
        <v>1.74</v>
      </c>
      <c r="M56" s="12">
        <v>1088462.07</v>
      </c>
      <c r="N56" s="12">
        <v>19129.13</v>
      </c>
      <c r="O56" s="12">
        <v>359587.14</v>
      </c>
      <c r="P56" s="12">
        <f t="shared" si="9"/>
        <v>326489.35000000009</v>
      </c>
      <c r="Q56" s="12">
        <v>5467.31</v>
      </c>
      <c r="R56" s="12">
        <v>18789.740000000002</v>
      </c>
      <c r="S56" s="12">
        <v>158329.93</v>
      </c>
      <c r="T56" s="12">
        <v>0.28999999999999998</v>
      </c>
      <c r="U56" s="14">
        <v>130793.18</v>
      </c>
      <c r="V56" s="11">
        <v>13108.90000000014</v>
      </c>
      <c r="W56" s="55">
        <f t="shared" si="3"/>
        <v>1793667.69</v>
      </c>
      <c r="X56" s="74">
        <f t="shared" si="4"/>
        <v>0.60683596859572142</v>
      </c>
      <c r="Y56" s="74">
        <f t="shared" si="5"/>
        <v>1.0664812722361075E-2</v>
      </c>
      <c r="Z56" s="74">
        <f t="shared" si="6"/>
        <v>0.20047589751700329</v>
      </c>
      <c r="AA56" s="74">
        <f t="shared" si="7"/>
        <v>0.1820233211649144</v>
      </c>
    </row>
    <row r="57" spans="1:27">
      <c r="A57" s="7" t="s">
        <v>7</v>
      </c>
      <c r="B57" s="7">
        <v>10005721</v>
      </c>
      <c r="C57" s="7" t="str">
        <f t="shared" si="8"/>
        <v>FEBRERO10005721Compensación</v>
      </c>
      <c r="D57" s="7" t="s">
        <v>348</v>
      </c>
      <c r="E57" s="3" t="s">
        <v>114</v>
      </c>
      <c r="F57" s="8">
        <v>698300</v>
      </c>
      <c r="G57" s="2" t="s">
        <v>320</v>
      </c>
      <c r="H57" s="11">
        <v>1256940</v>
      </c>
      <c r="I57" s="11" t="s">
        <v>353</v>
      </c>
      <c r="J57" s="11"/>
      <c r="K57" s="11">
        <v>1215588.57</v>
      </c>
      <c r="L57" s="16">
        <v>1.74</v>
      </c>
      <c r="M57" s="11">
        <v>737662.87</v>
      </c>
      <c r="N57" s="11">
        <v>12964.02</v>
      </c>
      <c r="O57" s="11">
        <v>243696.21</v>
      </c>
      <c r="P57" s="11">
        <f t="shared" si="9"/>
        <v>221265.47000000006</v>
      </c>
      <c r="Q57" s="11">
        <v>3705.26</v>
      </c>
      <c r="R57" s="11">
        <v>12734.01</v>
      </c>
      <c r="S57" s="11">
        <v>107301.96</v>
      </c>
      <c r="T57" s="11">
        <v>0.2</v>
      </c>
      <c r="U57" s="11">
        <v>88639.99</v>
      </c>
      <c r="V57" s="11">
        <v>8884.0500000000466</v>
      </c>
      <c r="W57" s="55">
        <f t="shared" si="3"/>
        <v>1215588.57</v>
      </c>
      <c r="X57" s="74">
        <f t="shared" si="4"/>
        <v>0.60683597082522744</v>
      </c>
      <c r="Y57" s="74">
        <f t="shared" si="5"/>
        <v>1.0664809064468251E-2</v>
      </c>
      <c r="Z57" s="74">
        <f t="shared" si="6"/>
        <v>0.20047589786073752</v>
      </c>
      <c r="AA57" s="74">
        <f t="shared" si="7"/>
        <v>0.18202332224956677</v>
      </c>
    </row>
    <row r="58" spans="1:27">
      <c r="A58" s="7" t="s">
        <v>7</v>
      </c>
      <c r="B58" s="7">
        <v>10005721</v>
      </c>
      <c r="C58" s="7" t="str">
        <f t="shared" si="8"/>
        <v>FEBRERO10005721Inventario final</v>
      </c>
      <c r="D58" s="7" t="s">
        <v>348</v>
      </c>
      <c r="E58" s="3" t="s">
        <v>218</v>
      </c>
      <c r="F58" s="8">
        <v>332080</v>
      </c>
      <c r="G58" s="2" t="s">
        <v>320</v>
      </c>
      <c r="H58" s="11">
        <v>597744</v>
      </c>
      <c r="I58" s="11" t="s">
        <v>354</v>
      </c>
      <c r="J58" s="11"/>
      <c r="K58" s="11">
        <v>578079.12</v>
      </c>
      <c r="L58" s="16">
        <v>1.74</v>
      </c>
      <c r="M58" s="11">
        <v>350799.2</v>
      </c>
      <c r="N58" s="11">
        <v>6165.11</v>
      </c>
      <c r="O58" s="11">
        <v>115890.93</v>
      </c>
      <c r="P58" s="11">
        <f t="shared" si="9"/>
        <v>105223.87999999998</v>
      </c>
      <c r="Q58" s="11">
        <v>1762.05</v>
      </c>
      <c r="R58" s="11">
        <v>6055.73</v>
      </c>
      <c r="S58" s="11">
        <v>51027.97</v>
      </c>
      <c r="T58" s="11">
        <v>0.09</v>
      </c>
      <c r="U58" s="11">
        <v>42153.19</v>
      </c>
      <c r="V58" s="11">
        <v>4224.8499999999767</v>
      </c>
      <c r="W58" s="55">
        <f t="shared" si="3"/>
        <v>578079.12</v>
      </c>
      <c r="X58" s="74">
        <f t="shared" si="4"/>
        <v>0.60683596390750116</v>
      </c>
      <c r="Y58" s="74">
        <f t="shared" si="5"/>
        <v>1.0664820414202124E-2</v>
      </c>
      <c r="Z58" s="74">
        <f t="shared" si="6"/>
        <v>0.20047589679419661</v>
      </c>
      <c r="AA58" s="74">
        <f t="shared" si="7"/>
        <v>0.18202331888410012</v>
      </c>
    </row>
    <row r="59" spans="1:27">
      <c r="A59" s="7" t="s">
        <v>6</v>
      </c>
      <c r="B59" s="7">
        <v>10005779</v>
      </c>
      <c r="C59" s="7" t="str">
        <f t="shared" si="8"/>
        <v>ENERO10005779Inventario inicial</v>
      </c>
      <c r="D59" s="7" t="s">
        <v>355</v>
      </c>
      <c r="E59" s="3" t="s">
        <v>319</v>
      </c>
      <c r="F59" s="8">
        <v>96140</v>
      </c>
      <c r="G59" s="2" t="s">
        <v>320</v>
      </c>
      <c r="H59" s="11">
        <v>204778.2</v>
      </c>
      <c r="I59" s="11">
        <v>-14558.56</v>
      </c>
      <c r="J59" s="11"/>
      <c r="K59" s="11">
        <v>190219.64</v>
      </c>
      <c r="L59" s="16">
        <v>1.98</v>
      </c>
      <c r="M59" s="11">
        <v>122437</v>
      </c>
      <c r="N59" s="11">
        <v>1608.88</v>
      </c>
      <c r="O59" s="11">
        <v>40184.82</v>
      </c>
      <c r="P59" s="11">
        <f t="shared" si="9"/>
        <v>25988.94000000001</v>
      </c>
      <c r="Q59" s="11">
        <v>756.12</v>
      </c>
      <c r="R59" s="11">
        <v>2669.29</v>
      </c>
      <c r="S59" s="11">
        <v>10708.82</v>
      </c>
      <c r="T59" s="11">
        <v>11526.48</v>
      </c>
      <c r="U59" s="11"/>
      <c r="V59" s="11">
        <v>328.23000000001048</v>
      </c>
      <c r="W59" s="55">
        <f t="shared" si="3"/>
        <v>190219.64</v>
      </c>
      <c r="X59" s="74">
        <f t="shared" si="4"/>
        <v>0.64366119082130524</v>
      </c>
      <c r="Y59" s="74">
        <f t="shared" si="5"/>
        <v>8.4580120117985717E-3</v>
      </c>
      <c r="Z59" s="74">
        <f t="shared" si="6"/>
        <v>0.2112548420341874</v>
      </c>
      <c r="AA59" s="74">
        <f t="shared" si="7"/>
        <v>0.13662595513270873</v>
      </c>
    </row>
    <row r="60" spans="1:27">
      <c r="A60" s="7" t="s">
        <v>6</v>
      </c>
      <c r="B60" s="7">
        <v>10005779</v>
      </c>
      <c r="C60" s="7" t="str">
        <f t="shared" si="8"/>
        <v>ENERO10005779Revalorización</v>
      </c>
      <c r="D60" s="7" t="s">
        <v>355</v>
      </c>
      <c r="E60" s="3" t="s">
        <v>321</v>
      </c>
      <c r="F60" s="8">
        <v>0</v>
      </c>
      <c r="G60" s="2" t="s">
        <v>320</v>
      </c>
      <c r="H60" s="11">
        <v>-1922.8</v>
      </c>
      <c r="I60" s="11">
        <v>1922.8</v>
      </c>
      <c r="J60" s="11"/>
      <c r="K60" s="11">
        <v>0</v>
      </c>
      <c r="L60" s="16">
        <v>0</v>
      </c>
      <c r="M60" s="11">
        <v>0</v>
      </c>
      <c r="N60" s="11">
        <v>0</v>
      </c>
      <c r="O60" s="11">
        <v>0</v>
      </c>
      <c r="P60" s="11">
        <f t="shared" si="9"/>
        <v>0</v>
      </c>
      <c r="Q60" s="11">
        <v>0</v>
      </c>
      <c r="R60" s="11">
        <v>0</v>
      </c>
      <c r="S60" s="11">
        <v>0</v>
      </c>
      <c r="T60" s="11">
        <v>0</v>
      </c>
      <c r="U60" s="11"/>
      <c r="V60" s="11">
        <v>0</v>
      </c>
      <c r="W60" s="55">
        <f t="shared" si="3"/>
        <v>0</v>
      </c>
      <c r="X60" s="74" t="e">
        <f t="shared" si="4"/>
        <v>#DIV/0!</v>
      </c>
      <c r="Y60" s="74" t="e">
        <f t="shared" si="5"/>
        <v>#DIV/0!</v>
      </c>
      <c r="Z60" s="74" t="e">
        <f t="shared" si="6"/>
        <v>#DIV/0!</v>
      </c>
      <c r="AA60" s="74" t="e">
        <f t="shared" si="7"/>
        <v>#DIV/0!</v>
      </c>
    </row>
    <row r="61" spans="1:27">
      <c r="A61" s="7" t="s">
        <v>6</v>
      </c>
      <c r="B61" s="7">
        <v>10005779</v>
      </c>
      <c r="C61" s="7" t="str">
        <f t="shared" si="8"/>
        <v>ENERO10005779Entradas</v>
      </c>
      <c r="D61" s="7" t="s">
        <v>355</v>
      </c>
      <c r="E61" s="3" t="s">
        <v>164</v>
      </c>
      <c r="F61" s="8">
        <v>84920</v>
      </c>
      <c r="G61" s="2" t="s">
        <v>320</v>
      </c>
      <c r="H61" s="11">
        <v>179181.2</v>
      </c>
      <c r="I61" s="11">
        <v>-19111.95</v>
      </c>
      <c r="J61" s="11"/>
      <c r="K61" s="11">
        <v>160069.25</v>
      </c>
      <c r="L61" s="16">
        <v>1.88</v>
      </c>
      <c r="M61" s="11">
        <v>98016.61</v>
      </c>
      <c r="N61" s="11">
        <v>1066.0999999999999</v>
      </c>
      <c r="O61" s="11">
        <v>34253.93</v>
      </c>
      <c r="P61" s="11">
        <f t="shared" si="9"/>
        <v>26732.60999999999</v>
      </c>
      <c r="Q61" s="11">
        <v>190.73</v>
      </c>
      <c r="R61" s="11">
        <v>1459.86</v>
      </c>
      <c r="S61" s="11">
        <v>13337.87</v>
      </c>
      <c r="T61" s="11">
        <v>10795.88</v>
      </c>
      <c r="U61" s="11"/>
      <c r="V61" s="11">
        <v>948.26999999998952</v>
      </c>
      <c r="W61" s="55">
        <f t="shared" si="3"/>
        <v>160069.25</v>
      </c>
      <c r="X61" s="74">
        <f t="shared" si="4"/>
        <v>0.61233878461978175</v>
      </c>
      <c r="Y61" s="74">
        <f t="shared" si="5"/>
        <v>6.660242363851895E-3</v>
      </c>
      <c r="Z61" s="74">
        <f t="shared" si="6"/>
        <v>0.21399444303012602</v>
      </c>
      <c r="AA61" s="74">
        <f t="shared" si="7"/>
        <v>0.16700652998624027</v>
      </c>
    </row>
    <row r="62" spans="1:27">
      <c r="A62" s="7" t="s">
        <v>6</v>
      </c>
      <c r="B62" s="7">
        <v>10005779</v>
      </c>
      <c r="C62" s="7" t="str">
        <f t="shared" si="8"/>
        <v>ENERO10005779Inv. acumulado</v>
      </c>
      <c r="D62" s="7" t="s">
        <v>355</v>
      </c>
      <c r="E62" s="3" t="s">
        <v>330</v>
      </c>
      <c r="F62" s="8">
        <v>181060</v>
      </c>
      <c r="G62" s="2" t="s">
        <v>320</v>
      </c>
      <c r="H62" s="11">
        <v>382036.6</v>
      </c>
      <c r="I62" s="11">
        <v>-31747.71</v>
      </c>
      <c r="J62" s="11"/>
      <c r="K62" s="11">
        <v>350288.89</v>
      </c>
      <c r="L62" s="16">
        <v>1.93</v>
      </c>
      <c r="M62" s="11">
        <v>220453.61</v>
      </c>
      <c r="N62" s="11">
        <v>2674.98</v>
      </c>
      <c r="O62" s="11">
        <v>74438.75</v>
      </c>
      <c r="P62" s="11">
        <f t="shared" si="9"/>
        <v>52721.550000000061</v>
      </c>
      <c r="Q62" s="11">
        <v>946.85</v>
      </c>
      <c r="R62" s="11">
        <v>4129.1499999999996</v>
      </c>
      <c r="S62" s="11">
        <v>24046.69</v>
      </c>
      <c r="T62" s="11">
        <v>22322.36</v>
      </c>
      <c r="U62" s="11"/>
      <c r="V62" s="11">
        <v>1276.5000000000582</v>
      </c>
      <c r="W62" s="55">
        <f t="shared" si="3"/>
        <v>350288.89</v>
      </c>
      <c r="X62" s="74">
        <f t="shared" si="4"/>
        <v>0.62934799330917968</v>
      </c>
      <c r="Y62" s="74">
        <f t="shared" si="5"/>
        <v>7.6364968355119682E-3</v>
      </c>
      <c r="Z62" s="74">
        <f t="shared" si="6"/>
        <v>0.21250673979411677</v>
      </c>
      <c r="AA62" s="74">
        <f t="shared" si="7"/>
        <v>0.15050877006119165</v>
      </c>
    </row>
    <row r="63" spans="1:27">
      <c r="A63" s="7" t="s">
        <v>6</v>
      </c>
      <c r="B63" s="7">
        <v>10005779</v>
      </c>
      <c r="C63" s="7" t="str">
        <f t="shared" si="8"/>
        <v>ENERO10005779Compensación</v>
      </c>
      <c r="D63" s="7" t="s">
        <v>355</v>
      </c>
      <c r="E63" s="3" t="s">
        <v>114</v>
      </c>
      <c r="F63" s="9">
        <v>3060</v>
      </c>
      <c r="G63" s="3" t="s">
        <v>320</v>
      </c>
      <c r="H63" s="12">
        <v>6456.6</v>
      </c>
      <c r="I63" s="12">
        <v>-536.54999999999995</v>
      </c>
      <c r="J63" s="13"/>
      <c r="K63" s="12">
        <v>5920.05</v>
      </c>
      <c r="L63" s="17">
        <v>1.93</v>
      </c>
      <c r="M63" s="12">
        <v>3725.77</v>
      </c>
      <c r="N63" s="12">
        <v>45.21</v>
      </c>
      <c r="O63" s="12">
        <v>1258.05</v>
      </c>
      <c r="P63" s="12">
        <f t="shared" si="9"/>
        <v>891.02000000000089</v>
      </c>
      <c r="Q63" s="12">
        <v>16</v>
      </c>
      <c r="R63" s="12">
        <v>69.790000000000006</v>
      </c>
      <c r="S63" s="12">
        <v>406.4</v>
      </c>
      <c r="T63" s="14">
        <v>377.25</v>
      </c>
      <c r="U63" s="13"/>
      <c r="V63" s="11">
        <v>21.580000000000837</v>
      </c>
      <c r="W63" s="55">
        <f t="shared" si="3"/>
        <v>5920.0500000000011</v>
      </c>
      <c r="X63" s="74">
        <f t="shared" si="4"/>
        <v>0.62934772510367298</v>
      </c>
      <c r="Y63" s="74">
        <f t="shared" si="5"/>
        <v>7.636759824663642E-3</v>
      </c>
      <c r="Z63" s="74">
        <f t="shared" si="6"/>
        <v>0.21250665112625733</v>
      </c>
      <c r="AA63" s="74">
        <f t="shared" si="7"/>
        <v>0.150508863945406</v>
      </c>
    </row>
    <row r="64" spans="1:27">
      <c r="A64" s="7" t="s">
        <v>6</v>
      </c>
      <c r="B64" s="7">
        <v>10005779</v>
      </c>
      <c r="C64" s="7" t="str">
        <f t="shared" si="8"/>
        <v>ENERO10005779Inventario final</v>
      </c>
      <c r="D64" s="7" t="s">
        <v>355</v>
      </c>
      <c r="E64" s="3" t="s">
        <v>218</v>
      </c>
      <c r="F64" s="9">
        <v>178000</v>
      </c>
      <c r="G64" s="3" t="s">
        <v>320</v>
      </c>
      <c r="H64" s="12">
        <v>375580</v>
      </c>
      <c r="I64" s="12">
        <v>-31211.16</v>
      </c>
      <c r="J64" s="13"/>
      <c r="K64" s="12">
        <v>344368.84</v>
      </c>
      <c r="L64" s="17">
        <v>1.93</v>
      </c>
      <c r="M64" s="12">
        <v>216727.84</v>
      </c>
      <c r="N64" s="12">
        <v>2629.77</v>
      </c>
      <c r="O64" s="12">
        <v>73180.7</v>
      </c>
      <c r="P64" s="12">
        <f t="shared" si="9"/>
        <v>51830.530000000042</v>
      </c>
      <c r="Q64" s="12">
        <v>930.85</v>
      </c>
      <c r="R64" s="12">
        <v>4059.36</v>
      </c>
      <c r="S64" s="12">
        <v>23640.29</v>
      </c>
      <c r="T64" s="14">
        <v>21945.11</v>
      </c>
      <c r="U64" s="13"/>
      <c r="V64" s="11">
        <v>1254.9200000000419</v>
      </c>
      <c r="W64" s="55">
        <f t="shared" si="3"/>
        <v>344368.84</v>
      </c>
      <c r="X64" s="74">
        <f t="shared" si="4"/>
        <v>0.6293479979199047</v>
      </c>
      <c r="Y64" s="74">
        <f t="shared" si="5"/>
        <v>7.6364923144614351E-3</v>
      </c>
      <c r="Z64" s="74">
        <f t="shared" si="6"/>
        <v>0.2125067413184073</v>
      </c>
      <c r="AA64" s="74">
        <f t="shared" si="7"/>
        <v>0.15050876844722663</v>
      </c>
    </row>
    <row r="65" spans="1:27">
      <c r="A65" s="7" t="s">
        <v>7</v>
      </c>
      <c r="B65" s="7">
        <v>10005779</v>
      </c>
      <c r="C65" s="7" t="str">
        <f t="shared" si="8"/>
        <v>FEBRERO10005779Inventario inicial</v>
      </c>
      <c r="D65" s="7" t="s">
        <v>355</v>
      </c>
      <c r="E65" s="3" t="s">
        <v>319</v>
      </c>
      <c r="F65" s="8">
        <v>178000</v>
      </c>
      <c r="G65" s="2" t="s">
        <v>320</v>
      </c>
      <c r="H65" s="11">
        <v>375580</v>
      </c>
      <c r="I65" s="11" t="s">
        <v>356</v>
      </c>
      <c r="J65" s="11"/>
      <c r="K65" s="11">
        <v>344368.84</v>
      </c>
      <c r="L65" s="16">
        <v>1.93</v>
      </c>
      <c r="M65" s="11">
        <v>216727.84</v>
      </c>
      <c r="N65" s="11">
        <v>2629.77</v>
      </c>
      <c r="O65" s="11">
        <v>73180.7</v>
      </c>
      <c r="P65" s="11">
        <f t="shared" si="9"/>
        <v>51830.530000000042</v>
      </c>
      <c r="Q65" s="11">
        <v>930.85</v>
      </c>
      <c r="R65" s="11">
        <v>4059.36</v>
      </c>
      <c r="S65" s="11">
        <v>23640.29</v>
      </c>
      <c r="T65" s="11" t="s">
        <v>337</v>
      </c>
      <c r="U65" s="11">
        <v>21945.11</v>
      </c>
      <c r="V65" s="11">
        <v>1254.9200000000419</v>
      </c>
      <c r="W65" s="55">
        <f t="shared" si="3"/>
        <v>344368.84</v>
      </c>
      <c r="X65" s="74">
        <f t="shared" si="4"/>
        <v>0.6293479979199047</v>
      </c>
      <c r="Y65" s="74">
        <f t="shared" si="5"/>
        <v>7.6364923144614351E-3</v>
      </c>
      <c r="Z65" s="74">
        <f t="shared" si="6"/>
        <v>0.2125067413184073</v>
      </c>
      <c r="AA65" s="74">
        <f t="shared" si="7"/>
        <v>0.15050876844722663</v>
      </c>
    </row>
    <row r="66" spans="1:27">
      <c r="A66" s="7" t="s">
        <v>7</v>
      </c>
      <c r="B66" s="7">
        <v>10005779</v>
      </c>
      <c r="C66" s="7" t="str">
        <f t="shared" si="8"/>
        <v>FEBRERO10005779Revalorización</v>
      </c>
      <c r="D66" s="7" t="s">
        <v>355</v>
      </c>
      <c r="E66" s="3" t="s">
        <v>321</v>
      </c>
      <c r="F66" s="8">
        <v>0</v>
      </c>
      <c r="G66" s="2" t="s">
        <v>320</v>
      </c>
      <c r="H66" s="11" t="s">
        <v>357</v>
      </c>
      <c r="I66" s="11">
        <v>23140</v>
      </c>
      <c r="J66" s="11"/>
      <c r="K66" s="11">
        <v>0</v>
      </c>
      <c r="L66" s="16">
        <v>0</v>
      </c>
      <c r="M66" s="11">
        <v>0</v>
      </c>
      <c r="N66" s="11">
        <v>0</v>
      </c>
      <c r="O66" s="11">
        <v>0</v>
      </c>
      <c r="P66" s="11">
        <f t="shared" si="9"/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55">
        <f t="shared" si="3"/>
        <v>0</v>
      </c>
      <c r="X66" s="74" t="e">
        <f t="shared" si="4"/>
        <v>#DIV/0!</v>
      </c>
      <c r="Y66" s="74" t="e">
        <f t="shared" si="5"/>
        <v>#DIV/0!</v>
      </c>
      <c r="Z66" s="74" t="e">
        <f t="shared" si="6"/>
        <v>#DIV/0!</v>
      </c>
      <c r="AA66" s="74" t="e">
        <f t="shared" si="7"/>
        <v>#DIV/0!</v>
      </c>
    </row>
    <row r="67" spans="1:27">
      <c r="A67" s="7" t="s">
        <v>7</v>
      </c>
      <c r="B67" s="7">
        <v>10005779</v>
      </c>
      <c r="C67" s="7" t="str">
        <f t="shared" si="8"/>
        <v>FEBRERO10005779Entradas</v>
      </c>
      <c r="D67" s="7" t="s">
        <v>355</v>
      </c>
      <c r="E67" s="3" t="s">
        <v>164</v>
      </c>
      <c r="F67" s="8">
        <v>142120</v>
      </c>
      <c r="G67" s="2" t="s">
        <v>320</v>
      </c>
      <c r="H67" s="11">
        <v>281397.59999999998</v>
      </c>
      <c r="I67" s="11" t="s">
        <v>358</v>
      </c>
      <c r="J67" s="11"/>
      <c r="K67" s="11">
        <v>250962.96</v>
      </c>
      <c r="L67" s="16">
        <v>1.77</v>
      </c>
      <c r="M67" s="11">
        <v>145645.04</v>
      </c>
      <c r="N67" s="11">
        <v>1712.92</v>
      </c>
      <c r="O67" s="11">
        <v>57894.879999999997</v>
      </c>
      <c r="P67" s="11">
        <f t="shared" si="9"/>
        <v>45710.119999999966</v>
      </c>
      <c r="Q67" s="11">
        <v>996.97</v>
      </c>
      <c r="R67" s="11">
        <v>2451.58</v>
      </c>
      <c r="S67" s="11">
        <v>22395.7</v>
      </c>
      <c r="T67" s="11" t="s">
        <v>359</v>
      </c>
      <c r="U67" s="11">
        <v>18130.25</v>
      </c>
      <c r="V67" s="11">
        <v>1735.6199999999662</v>
      </c>
      <c r="W67" s="55">
        <f t="shared" si="3"/>
        <v>250962.96</v>
      </c>
      <c r="X67" s="74">
        <f t="shared" si="4"/>
        <v>0.58034476482107167</v>
      </c>
      <c r="Y67" s="74">
        <f t="shared" si="5"/>
        <v>6.8253896909727238E-3</v>
      </c>
      <c r="Z67" s="74">
        <f t="shared" si="6"/>
        <v>0.23069093542728378</v>
      </c>
      <c r="AA67" s="74">
        <f t="shared" si="7"/>
        <v>0.18213891006067176</v>
      </c>
    </row>
    <row r="68" spans="1:27">
      <c r="A68" s="7" t="s">
        <v>7</v>
      </c>
      <c r="B68" s="7">
        <v>10005779</v>
      </c>
      <c r="C68" s="7" t="str">
        <f t="shared" si="8"/>
        <v>FEBRERO10005779Inventario acumulado</v>
      </c>
      <c r="D68" s="7" t="s">
        <v>355</v>
      </c>
      <c r="E68" s="3" t="s">
        <v>322</v>
      </c>
      <c r="F68" s="8">
        <v>320120</v>
      </c>
      <c r="G68" s="2" t="s">
        <v>320</v>
      </c>
      <c r="H68" s="11">
        <v>633837.6</v>
      </c>
      <c r="I68" s="11" t="s">
        <v>360</v>
      </c>
      <c r="J68" s="11"/>
      <c r="K68" s="11">
        <v>595331.80000000005</v>
      </c>
      <c r="L68" s="16">
        <v>1.86</v>
      </c>
      <c r="M68" s="11">
        <v>362372.88</v>
      </c>
      <c r="N68" s="11">
        <v>4342.6899999999996</v>
      </c>
      <c r="O68" s="11">
        <v>131075.57999999999</v>
      </c>
      <c r="P68" s="11">
        <f t="shared" si="9"/>
        <v>97540.650000000038</v>
      </c>
      <c r="Q68" s="11">
        <v>1927.82</v>
      </c>
      <c r="R68" s="11">
        <v>6510.94</v>
      </c>
      <c r="S68" s="11">
        <v>46035.99</v>
      </c>
      <c r="T68" s="11" t="s">
        <v>361</v>
      </c>
      <c r="U68" s="11">
        <v>40075.360000000001</v>
      </c>
      <c r="V68" s="11">
        <v>2990.5400000000373</v>
      </c>
      <c r="W68" s="55">
        <f t="shared" si="3"/>
        <v>595331.80000000005</v>
      </c>
      <c r="X68" s="74">
        <f t="shared" si="4"/>
        <v>0.60869061588848428</v>
      </c>
      <c r="Y68" s="74">
        <f t="shared" si="5"/>
        <v>7.2945708594770167E-3</v>
      </c>
      <c r="Z68" s="74">
        <f t="shared" si="6"/>
        <v>0.22017231399364182</v>
      </c>
      <c r="AA68" s="74">
        <f t="shared" si="7"/>
        <v>0.16384249925839681</v>
      </c>
    </row>
    <row r="69" spans="1:27">
      <c r="A69" s="7" t="s">
        <v>7</v>
      </c>
      <c r="B69" s="7">
        <v>10005779</v>
      </c>
      <c r="C69" s="7" t="str">
        <f t="shared" ref="C69:C100" si="10">A69&amp;B69&amp;E69</f>
        <v>FEBRERO10005779Compensación</v>
      </c>
      <c r="D69" s="7" t="s">
        <v>355</v>
      </c>
      <c r="E69" s="3" t="s">
        <v>114</v>
      </c>
      <c r="F69" s="8">
        <v>82460</v>
      </c>
      <c r="G69" s="2" t="s">
        <v>320</v>
      </c>
      <c r="H69" s="11">
        <v>163270.79999999999</v>
      </c>
      <c r="I69" s="11" t="s">
        <v>362</v>
      </c>
      <c r="J69" s="11"/>
      <c r="K69" s="11">
        <v>153352.06</v>
      </c>
      <c r="L69" s="16">
        <v>1.86</v>
      </c>
      <c r="M69" s="11">
        <v>93343.96</v>
      </c>
      <c r="N69" s="11">
        <v>1118.6300000000001</v>
      </c>
      <c r="O69" s="11">
        <v>33763.879999999997</v>
      </c>
      <c r="P69" s="11">
        <f t="shared" ref="P69:P100" si="11">SUM(Q69:V69)</f>
        <v>25125.589999999997</v>
      </c>
      <c r="Q69" s="11">
        <v>496.59</v>
      </c>
      <c r="R69" s="11">
        <v>1677.16</v>
      </c>
      <c r="S69" s="11">
        <v>11858.45</v>
      </c>
      <c r="T69" s="11" t="s">
        <v>363</v>
      </c>
      <c r="U69" s="11">
        <v>10323.049999999999</v>
      </c>
      <c r="V69" s="11">
        <v>770.33999999999651</v>
      </c>
      <c r="W69" s="55">
        <f t="shared" si="3"/>
        <v>153352.06</v>
      </c>
      <c r="X69" s="74">
        <f t="shared" si="4"/>
        <v>0.6086906168720525</v>
      </c>
      <c r="Y69" s="74">
        <f t="shared" si="5"/>
        <v>7.2945221603152909E-3</v>
      </c>
      <c r="Z69" s="74">
        <f t="shared" si="6"/>
        <v>0.22017232764920144</v>
      </c>
      <c r="AA69" s="74">
        <f t="shared" si="7"/>
        <v>0.16384253331843079</v>
      </c>
    </row>
    <row r="70" spans="1:27">
      <c r="A70" s="7" t="s">
        <v>7</v>
      </c>
      <c r="B70" s="7">
        <v>10005779</v>
      </c>
      <c r="C70" s="7" t="str">
        <f t="shared" si="10"/>
        <v>FEBRERO10005779Inventario final</v>
      </c>
      <c r="D70" s="7" t="s">
        <v>355</v>
      </c>
      <c r="E70" s="3" t="s">
        <v>218</v>
      </c>
      <c r="F70" s="8">
        <v>237660</v>
      </c>
      <c r="G70" s="2" t="s">
        <v>320</v>
      </c>
      <c r="H70" s="11">
        <v>470566.8</v>
      </c>
      <c r="I70" s="11" t="s">
        <v>364</v>
      </c>
      <c r="J70" s="11"/>
      <c r="K70" s="11">
        <v>441979.74</v>
      </c>
      <c r="L70" s="16">
        <v>1.86</v>
      </c>
      <c r="M70" s="11">
        <v>269028.92</v>
      </c>
      <c r="N70" s="11">
        <v>3224.06</v>
      </c>
      <c r="O70" s="11">
        <v>97311.7</v>
      </c>
      <c r="P70" s="11">
        <f t="shared" si="11"/>
        <v>72415.060000000012</v>
      </c>
      <c r="Q70" s="11">
        <v>1431.23</v>
      </c>
      <c r="R70" s="11">
        <v>4833.78</v>
      </c>
      <c r="S70" s="11">
        <v>34177.54</v>
      </c>
      <c r="T70" s="11" t="s">
        <v>365</v>
      </c>
      <c r="U70" s="11">
        <v>29752.31</v>
      </c>
      <c r="V70" s="11">
        <v>2220.2000000000116</v>
      </c>
      <c r="W70" s="55">
        <f t="shared" ref="W70:W133" si="12">SUM(M70:P70)</f>
        <v>441979.74</v>
      </c>
      <c r="X70" s="74">
        <f t="shared" ref="X70:X133" si="13">M70/$W70</f>
        <v>0.60869061554721937</v>
      </c>
      <c r="Y70" s="74">
        <f t="shared" ref="Y70:Y133" si="14">N70/$W70</f>
        <v>7.2945877564433159E-3</v>
      </c>
      <c r="Z70" s="74">
        <f t="shared" ref="Z70:Z133" si="15">O70/$W70</f>
        <v>0.22017230925562334</v>
      </c>
      <c r="AA70" s="74">
        <f t="shared" ref="AA70:AA133" si="16">P70/$W70</f>
        <v>0.16384248744071395</v>
      </c>
    </row>
    <row r="71" spans="1:27">
      <c r="A71" s="7" t="s">
        <v>6</v>
      </c>
      <c r="B71" s="7">
        <v>10005781</v>
      </c>
      <c r="C71" s="7" t="str">
        <f t="shared" si="10"/>
        <v>ENERO10005781Inventario inicial</v>
      </c>
      <c r="D71" s="7" t="s">
        <v>366</v>
      </c>
      <c r="E71" s="3" t="s">
        <v>319</v>
      </c>
      <c r="F71" s="8">
        <v>17040</v>
      </c>
      <c r="G71" s="2" t="s">
        <v>320</v>
      </c>
      <c r="H71" s="11">
        <v>35443.199999999997</v>
      </c>
      <c r="I71" s="11">
        <v>770.38</v>
      </c>
      <c r="J71" s="11"/>
      <c r="K71" s="11">
        <v>36213.58</v>
      </c>
      <c r="L71" s="16">
        <v>2.13</v>
      </c>
      <c r="M71" s="11">
        <v>24064.33</v>
      </c>
      <c r="N71" s="11">
        <v>281.54000000000002</v>
      </c>
      <c r="O71" s="11">
        <v>7119.73</v>
      </c>
      <c r="P71" s="11">
        <f t="shared" si="11"/>
        <v>4747.9800000000014</v>
      </c>
      <c r="Q71" s="11">
        <v>198.98</v>
      </c>
      <c r="R71" s="11">
        <v>475.98</v>
      </c>
      <c r="S71" s="11">
        <v>1900.36</v>
      </c>
      <c r="T71" s="11">
        <v>2060.33</v>
      </c>
      <c r="U71" s="11"/>
      <c r="V71" s="11">
        <v>112.33000000000175</v>
      </c>
      <c r="W71" s="55">
        <f t="shared" si="12"/>
        <v>36213.58</v>
      </c>
      <c r="X71" s="74">
        <f t="shared" si="13"/>
        <v>0.66451121374909639</v>
      </c>
      <c r="Y71" s="74">
        <f t="shared" si="14"/>
        <v>7.7744315806390863E-3</v>
      </c>
      <c r="Z71" s="74">
        <f t="shared" si="15"/>
        <v>0.19660387070264798</v>
      </c>
      <c r="AA71" s="74">
        <f t="shared" si="16"/>
        <v>0.1311104839676166</v>
      </c>
    </row>
    <row r="72" spans="1:27">
      <c r="A72" s="7" t="s">
        <v>6</v>
      </c>
      <c r="B72" s="7">
        <v>10005781</v>
      </c>
      <c r="C72" s="7" t="str">
        <f t="shared" si="10"/>
        <v>ENERO10005781Revalorización</v>
      </c>
      <c r="D72" s="7" t="s">
        <v>366</v>
      </c>
      <c r="E72" s="3" t="s">
        <v>321</v>
      </c>
      <c r="F72" s="8">
        <v>0</v>
      </c>
      <c r="G72" s="2" t="s">
        <v>320</v>
      </c>
      <c r="H72" s="11">
        <v>-170.4</v>
      </c>
      <c r="I72" s="11">
        <v>170.4</v>
      </c>
      <c r="J72" s="11"/>
      <c r="K72" s="11">
        <v>0</v>
      </c>
      <c r="L72" s="16">
        <v>0</v>
      </c>
      <c r="M72" s="11">
        <v>0</v>
      </c>
      <c r="N72" s="11">
        <v>0</v>
      </c>
      <c r="O72" s="11">
        <v>0</v>
      </c>
      <c r="P72" s="11">
        <f t="shared" si="11"/>
        <v>0</v>
      </c>
      <c r="Q72" s="11">
        <v>0</v>
      </c>
      <c r="R72" s="11">
        <v>0</v>
      </c>
      <c r="S72" s="11">
        <v>0</v>
      </c>
      <c r="T72" s="11">
        <v>0</v>
      </c>
      <c r="U72" s="11"/>
      <c r="V72" s="11">
        <v>0</v>
      </c>
      <c r="W72" s="55">
        <f t="shared" si="12"/>
        <v>0</v>
      </c>
      <c r="X72" s="74" t="e">
        <f t="shared" si="13"/>
        <v>#DIV/0!</v>
      </c>
      <c r="Y72" s="74" t="e">
        <f t="shared" si="14"/>
        <v>#DIV/0!</v>
      </c>
      <c r="Z72" s="74" t="e">
        <f t="shared" si="15"/>
        <v>#DIV/0!</v>
      </c>
      <c r="AA72" s="74" t="e">
        <f t="shared" si="16"/>
        <v>#DIV/0!</v>
      </c>
    </row>
    <row r="73" spans="1:27">
      <c r="A73" s="7" t="s">
        <v>6</v>
      </c>
      <c r="B73" s="7">
        <v>10005781</v>
      </c>
      <c r="C73" s="7" t="str">
        <f t="shared" si="10"/>
        <v>ENERO10005781Entradas</v>
      </c>
      <c r="D73" s="7" t="s">
        <v>366</v>
      </c>
      <c r="E73" s="3" t="s">
        <v>164</v>
      </c>
      <c r="F73" s="8">
        <v>28720</v>
      </c>
      <c r="G73" s="2" t="s">
        <v>320</v>
      </c>
      <c r="H73" s="11">
        <v>59450.400000000001</v>
      </c>
      <c r="I73" s="11">
        <v>-5173.8</v>
      </c>
      <c r="J73" s="11"/>
      <c r="K73" s="11">
        <v>54276.6</v>
      </c>
      <c r="L73" s="16">
        <v>1.89</v>
      </c>
      <c r="M73" s="11">
        <v>33170.14</v>
      </c>
      <c r="N73" s="11">
        <v>479.43</v>
      </c>
      <c r="O73" s="11">
        <v>11584.68</v>
      </c>
      <c r="P73" s="11">
        <f t="shared" si="11"/>
        <v>9042.3499999999985</v>
      </c>
      <c r="Q73" s="11">
        <v>64.510000000000005</v>
      </c>
      <c r="R73" s="11">
        <v>493.73</v>
      </c>
      <c r="S73" s="11">
        <v>4510.88</v>
      </c>
      <c r="T73" s="11">
        <v>3651.17</v>
      </c>
      <c r="U73" s="11"/>
      <c r="V73" s="11">
        <v>322.05999999999767</v>
      </c>
      <c r="W73" s="55">
        <f t="shared" si="12"/>
        <v>54276.6</v>
      </c>
      <c r="X73" s="74">
        <f t="shared" si="13"/>
        <v>0.61113150049929432</v>
      </c>
      <c r="Y73" s="74">
        <f t="shared" si="14"/>
        <v>8.833088292192216E-3</v>
      </c>
      <c r="Z73" s="74">
        <f t="shared" si="15"/>
        <v>0.21343783508915445</v>
      </c>
      <c r="AA73" s="74">
        <f t="shared" si="16"/>
        <v>0.16659757611935896</v>
      </c>
    </row>
    <row r="74" spans="1:27">
      <c r="A74" s="7" t="s">
        <v>6</v>
      </c>
      <c r="B74" s="7">
        <v>10005781</v>
      </c>
      <c r="C74" s="7" t="str">
        <f t="shared" si="10"/>
        <v>ENERO10005781Inv. acumulado</v>
      </c>
      <c r="D74" s="7" t="s">
        <v>366</v>
      </c>
      <c r="E74" s="3" t="s">
        <v>330</v>
      </c>
      <c r="F74" s="8">
        <v>45760</v>
      </c>
      <c r="G74" s="2" t="s">
        <v>320</v>
      </c>
      <c r="H74" s="11">
        <v>94723.199999999997</v>
      </c>
      <c r="I74" s="11">
        <v>-4233.0200000000004</v>
      </c>
      <c r="J74" s="11"/>
      <c r="K74" s="11">
        <v>90490.18</v>
      </c>
      <c r="L74" s="16">
        <v>1.98</v>
      </c>
      <c r="M74" s="11">
        <v>57234.47</v>
      </c>
      <c r="N74" s="11">
        <v>760.97</v>
      </c>
      <c r="O74" s="11">
        <v>18704.41</v>
      </c>
      <c r="P74" s="11">
        <f t="shared" si="11"/>
        <v>13790.329999999984</v>
      </c>
      <c r="Q74" s="11">
        <v>263.49</v>
      </c>
      <c r="R74" s="11">
        <v>969.71</v>
      </c>
      <c r="S74" s="11">
        <v>6411.24</v>
      </c>
      <c r="T74" s="11">
        <v>5711.5</v>
      </c>
      <c r="U74" s="11"/>
      <c r="V74" s="11">
        <v>434.38999999998487</v>
      </c>
      <c r="W74" s="55">
        <f t="shared" si="12"/>
        <v>90490.18</v>
      </c>
      <c r="X74" s="74">
        <f t="shared" si="13"/>
        <v>0.63249371368252338</v>
      </c>
      <c r="Y74" s="74">
        <f t="shared" si="14"/>
        <v>8.4094207791386884E-3</v>
      </c>
      <c r="Z74" s="74">
        <f t="shared" si="15"/>
        <v>0.20670099230656852</v>
      </c>
      <c r="AA74" s="74">
        <f t="shared" si="16"/>
        <v>0.15239587323176929</v>
      </c>
    </row>
    <row r="75" spans="1:27">
      <c r="A75" s="7" t="s">
        <v>6</v>
      </c>
      <c r="B75" s="7">
        <v>10005781</v>
      </c>
      <c r="C75" s="7" t="str">
        <f t="shared" si="10"/>
        <v>ENERO10005781Compensación</v>
      </c>
      <c r="D75" s="7" t="s">
        <v>366</v>
      </c>
      <c r="E75" s="3" t="s">
        <v>114</v>
      </c>
      <c r="F75" s="9">
        <v>17040</v>
      </c>
      <c r="G75" s="3" t="s">
        <v>320</v>
      </c>
      <c r="H75" s="12">
        <v>35272.800000000003</v>
      </c>
      <c r="I75" s="12">
        <v>-1576.28</v>
      </c>
      <c r="J75" s="13"/>
      <c r="K75" s="12">
        <v>33696.519999999997</v>
      </c>
      <c r="L75" s="17">
        <v>1.98</v>
      </c>
      <c r="M75" s="12">
        <v>21312.84</v>
      </c>
      <c r="N75" s="12">
        <v>283.36</v>
      </c>
      <c r="O75" s="12">
        <v>6965.11</v>
      </c>
      <c r="P75" s="12">
        <f t="shared" si="11"/>
        <v>5135.2099999999946</v>
      </c>
      <c r="Q75" s="12">
        <v>98.12</v>
      </c>
      <c r="R75" s="12">
        <v>361.09</v>
      </c>
      <c r="S75" s="12">
        <v>2387.41</v>
      </c>
      <c r="T75" s="12">
        <v>2126.83</v>
      </c>
      <c r="U75" s="14"/>
      <c r="V75" s="11">
        <v>161.75999999999476</v>
      </c>
      <c r="W75" s="55">
        <f t="shared" si="12"/>
        <v>33696.519999999997</v>
      </c>
      <c r="X75" s="74">
        <f t="shared" si="13"/>
        <v>0.63249380054676274</v>
      </c>
      <c r="Y75" s="74">
        <f t="shared" si="14"/>
        <v>8.4091769713905192E-3</v>
      </c>
      <c r="Z75" s="74">
        <f t="shared" si="15"/>
        <v>0.20670116676736947</v>
      </c>
      <c r="AA75" s="74">
        <f t="shared" si="16"/>
        <v>0.1523958557144772</v>
      </c>
    </row>
    <row r="76" spans="1:27">
      <c r="A76" s="7" t="s">
        <v>6</v>
      </c>
      <c r="B76" s="7">
        <v>10005781</v>
      </c>
      <c r="C76" s="7" t="str">
        <f t="shared" si="10"/>
        <v>ENERO10005781Inventario final</v>
      </c>
      <c r="D76" s="7" t="s">
        <v>366</v>
      </c>
      <c r="E76" s="3" t="s">
        <v>218</v>
      </c>
      <c r="F76" s="9">
        <v>28720</v>
      </c>
      <c r="G76" s="3" t="s">
        <v>320</v>
      </c>
      <c r="H76" s="12">
        <v>59450.400000000001</v>
      </c>
      <c r="I76" s="12">
        <v>2656.74</v>
      </c>
      <c r="J76" s="13"/>
      <c r="K76" s="12">
        <v>56793.66</v>
      </c>
      <c r="L76" s="17">
        <v>1.98</v>
      </c>
      <c r="M76" s="12">
        <v>35921.629999999997</v>
      </c>
      <c r="N76" s="12">
        <v>477.61</v>
      </c>
      <c r="O76" s="12">
        <v>11739.3</v>
      </c>
      <c r="P76" s="12">
        <f t="shared" si="11"/>
        <v>8655.1200000000117</v>
      </c>
      <c r="Q76" s="12">
        <v>165.37</v>
      </c>
      <c r="R76" s="12">
        <v>608.62</v>
      </c>
      <c r="S76" s="12">
        <v>4023.83</v>
      </c>
      <c r="T76" s="12">
        <v>3584.67</v>
      </c>
      <c r="U76" s="14"/>
      <c r="V76" s="11">
        <v>272.63000000001193</v>
      </c>
      <c r="W76" s="55">
        <f t="shared" si="12"/>
        <v>56793.66</v>
      </c>
      <c r="X76" s="74">
        <f t="shared" si="13"/>
        <v>0.63249366214468294</v>
      </c>
      <c r="Y76" s="74">
        <f t="shared" si="14"/>
        <v>8.4095654338882195E-3</v>
      </c>
      <c r="Z76" s="74">
        <f t="shared" si="15"/>
        <v>0.20670088879639029</v>
      </c>
      <c r="AA76" s="74">
        <f t="shared" si="16"/>
        <v>0.15239588362503861</v>
      </c>
    </row>
    <row r="77" spans="1:27">
      <c r="A77" s="7" t="s">
        <v>7</v>
      </c>
      <c r="B77" s="7">
        <v>10005781</v>
      </c>
      <c r="C77" s="7" t="str">
        <f t="shared" si="10"/>
        <v>FEBRERO10005781Inventario inicial</v>
      </c>
      <c r="D77" s="7" t="s">
        <v>366</v>
      </c>
      <c r="E77" s="3" t="s">
        <v>319</v>
      </c>
      <c r="F77" s="9">
        <v>28720</v>
      </c>
      <c r="G77" s="3" t="s">
        <v>320</v>
      </c>
      <c r="H77" s="12">
        <v>59450.400000000001</v>
      </c>
      <c r="I77" s="12" t="s">
        <v>367</v>
      </c>
      <c r="J77" s="13"/>
      <c r="K77" s="12">
        <v>56793.66</v>
      </c>
      <c r="L77" s="17">
        <v>1.98</v>
      </c>
      <c r="M77" s="12">
        <v>35921.629999999997</v>
      </c>
      <c r="N77" s="12">
        <v>477.61</v>
      </c>
      <c r="O77" s="12">
        <v>11739.3</v>
      </c>
      <c r="P77" s="12">
        <f t="shared" si="11"/>
        <v>8655.1200000000117</v>
      </c>
      <c r="Q77" s="12">
        <v>165.37</v>
      </c>
      <c r="R77" s="12">
        <v>608.62</v>
      </c>
      <c r="S77" s="12">
        <v>4023.83</v>
      </c>
      <c r="T77" s="12" t="s">
        <v>368</v>
      </c>
      <c r="U77" s="14">
        <v>3584.67</v>
      </c>
      <c r="V77" s="11">
        <v>272.63000000001193</v>
      </c>
      <c r="W77" s="55">
        <f t="shared" si="12"/>
        <v>56793.66</v>
      </c>
      <c r="X77" s="74">
        <f t="shared" si="13"/>
        <v>0.63249366214468294</v>
      </c>
      <c r="Y77" s="74">
        <f t="shared" si="14"/>
        <v>8.4095654338882195E-3</v>
      </c>
      <c r="Z77" s="74">
        <f t="shared" si="15"/>
        <v>0.20670088879639029</v>
      </c>
      <c r="AA77" s="74">
        <f t="shared" si="16"/>
        <v>0.15239588362503861</v>
      </c>
    </row>
    <row r="78" spans="1:27">
      <c r="A78" s="7" t="s">
        <v>7</v>
      </c>
      <c r="B78" s="7">
        <v>10005781</v>
      </c>
      <c r="C78" s="7" t="str">
        <f t="shared" si="10"/>
        <v>FEBRERO10005781Revalorización</v>
      </c>
      <c r="D78" s="7" t="s">
        <v>366</v>
      </c>
      <c r="E78" s="3" t="s">
        <v>321</v>
      </c>
      <c r="F78" s="9">
        <v>0</v>
      </c>
      <c r="G78" s="3" t="s">
        <v>320</v>
      </c>
      <c r="H78" s="12">
        <v>1723.2</v>
      </c>
      <c r="I78" s="12" t="s">
        <v>369</v>
      </c>
      <c r="J78" s="13"/>
      <c r="K78" s="12">
        <v>0</v>
      </c>
      <c r="L78" s="17">
        <v>0</v>
      </c>
      <c r="M78" s="12">
        <v>0</v>
      </c>
      <c r="N78" s="12">
        <v>0</v>
      </c>
      <c r="O78" s="12">
        <v>0</v>
      </c>
      <c r="P78" s="12">
        <f t="shared" si="11"/>
        <v>0</v>
      </c>
      <c r="Q78" s="12">
        <v>0</v>
      </c>
      <c r="R78" s="12">
        <v>0</v>
      </c>
      <c r="S78" s="12">
        <v>0</v>
      </c>
      <c r="T78" s="12">
        <v>0</v>
      </c>
      <c r="U78" s="14">
        <v>0</v>
      </c>
      <c r="V78" s="11">
        <v>0</v>
      </c>
      <c r="W78" s="55">
        <f t="shared" si="12"/>
        <v>0</v>
      </c>
      <c r="X78" s="74" t="e">
        <f t="shared" si="13"/>
        <v>#DIV/0!</v>
      </c>
      <c r="Y78" s="74" t="e">
        <f t="shared" si="14"/>
        <v>#DIV/0!</v>
      </c>
      <c r="Z78" s="74" t="e">
        <f t="shared" si="15"/>
        <v>#DIV/0!</v>
      </c>
      <c r="AA78" s="74" t="e">
        <f t="shared" si="16"/>
        <v>#DIV/0!</v>
      </c>
    </row>
    <row r="79" spans="1:27">
      <c r="A79" s="7" t="s">
        <v>7</v>
      </c>
      <c r="B79" s="7">
        <v>10005781</v>
      </c>
      <c r="C79" s="7" t="str">
        <f t="shared" si="10"/>
        <v>FEBRERO10005781Entradas</v>
      </c>
      <c r="D79" s="7" t="s">
        <v>366</v>
      </c>
      <c r="E79" s="3" t="s">
        <v>164</v>
      </c>
      <c r="F79" s="9">
        <v>39100</v>
      </c>
      <c r="G79" s="3" t="s">
        <v>320</v>
      </c>
      <c r="H79" s="12">
        <v>83283</v>
      </c>
      <c r="I79" s="12" t="s">
        <v>370</v>
      </c>
      <c r="J79" s="13"/>
      <c r="K79" s="12">
        <v>69096.94</v>
      </c>
      <c r="L79" s="17">
        <v>1.77</v>
      </c>
      <c r="M79" s="12">
        <v>39977.199999999997</v>
      </c>
      <c r="N79" s="12">
        <v>614.88</v>
      </c>
      <c r="O79" s="12">
        <v>15927.99</v>
      </c>
      <c r="P79" s="12">
        <f t="shared" si="11"/>
        <v>12576.87000000001</v>
      </c>
      <c r="Q79" s="12">
        <v>274.29000000000002</v>
      </c>
      <c r="R79" s="12">
        <v>674.48</v>
      </c>
      <c r="S79" s="12">
        <v>6161.49</v>
      </c>
      <c r="T79" s="12" t="s">
        <v>328</v>
      </c>
      <c r="U79" s="14">
        <v>4987.99</v>
      </c>
      <c r="V79" s="11">
        <v>478.6200000000099</v>
      </c>
      <c r="W79" s="55">
        <f t="shared" si="12"/>
        <v>69096.94</v>
      </c>
      <c r="X79" s="74">
        <f t="shared" si="13"/>
        <v>0.57856686562386117</v>
      </c>
      <c r="Y79" s="74">
        <f t="shared" si="14"/>
        <v>8.8988021756100915E-3</v>
      </c>
      <c r="Z79" s="74">
        <f t="shared" si="15"/>
        <v>0.23051657569785289</v>
      </c>
      <c r="AA79" s="74">
        <f t="shared" si="16"/>
        <v>0.18201775650267593</v>
      </c>
    </row>
    <row r="80" spans="1:27">
      <c r="A80" s="7" t="s">
        <v>7</v>
      </c>
      <c r="B80" s="7">
        <v>10005781</v>
      </c>
      <c r="C80" s="7" t="str">
        <f t="shared" si="10"/>
        <v>FEBRERO10005781Inventario acumulado</v>
      </c>
      <c r="D80" s="7" t="s">
        <v>366</v>
      </c>
      <c r="E80" s="3" t="s">
        <v>322</v>
      </c>
      <c r="F80" s="9">
        <v>67820</v>
      </c>
      <c r="G80" s="3" t="s">
        <v>320</v>
      </c>
      <c r="H80" s="12">
        <v>144456.6</v>
      </c>
      <c r="I80" s="12" t="s">
        <v>371</v>
      </c>
      <c r="J80" s="13"/>
      <c r="K80" s="12">
        <v>125890.6</v>
      </c>
      <c r="L80" s="17">
        <v>1.86</v>
      </c>
      <c r="M80" s="12">
        <v>75898.83</v>
      </c>
      <c r="N80" s="12">
        <v>1092.49</v>
      </c>
      <c r="O80" s="12">
        <v>27667.29</v>
      </c>
      <c r="P80" s="12">
        <f t="shared" si="11"/>
        <v>21231.989999999998</v>
      </c>
      <c r="Q80" s="12">
        <v>439.66</v>
      </c>
      <c r="R80" s="12">
        <v>1283.0999999999999</v>
      </c>
      <c r="S80" s="12">
        <v>10185.32</v>
      </c>
      <c r="T80" s="11" t="s">
        <v>372</v>
      </c>
      <c r="U80" s="11">
        <v>8572.66</v>
      </c>
      <c r="V80" s="11">
        <v>751.25</v>
      </c>
      <c r="W80" s="55">
        <f t="shared" si="12"/>
        <v>125890.6</v>
      </c>
      <c r="X80" s="74">
        <f t="shared" si="13"/>
        <v>0.6028951327581249</v>
      </c>
      <c r="Y80" s="74">
        <f t="shared" si="14"/>
        <v>8.6780903419318035E-3</v>
      </c>
      <c r="Z80" s="74">
        <f t="shared" si="15"/>
        <v>0.21977248499887997</v>
      </c>
      <c r="AA80" s="74">
        <f t="shared" si="16"/>
        <v>0.16865429190106329</v>
      </c>
    </row>
    <row r="81" spans="1:27">
      <c r="A81" s="7" t="s">
        <v>7</v>
      </c>
      <c r="B81" s="7">
        <v>10005781</v>
      </c>
      <c r="C81" s="7" t="str">
        <f t="shared" si="10"/>
        <v>FEBRERO10005781Inventario final</v>
      </c>
      <c r="D81" s="7" t="s">
        <v>366</v>
      </c>
      <c r="E81" s="3" t="s">
        <v>218</v>
      </c>
      <c r="F81" s="8">
        <v>67820</v>
      </c>
      <c r="G81" s="2" t="s">
        <v>320</v>
      </c>
      <c r="H81" s="11">
        <v>144456.6</v>
      </c>
      <c r="I81" s="11" t="s">
        <v>371</v>
      </c>
      <c r="J81" s="11"/>
      <c r="K81" s="11">
        <v>125890.6</v>
      </c>
      <c r="L81" s="16">
        <v>1.86</v>
      </c>
      <c r="M81" s="11">
        <v>75898.83</v>
      </c>
      <c r="N81" s="11">
        <v>1092.49</v>
      </c>
      <c r="O81" s="11">
        <v>27667.29</v>
      </c>
      <c r="P81" s="11">
        <f t="shared" si="11"/>
        <v>21231.989999999998</v>
      </c>
      <c r="Q81" s="11">
        <v>439.66</v>
      </c>
      <c r="R81" s="11">
        <v>1283.0999999999999</v>
      </c>
      <c r="S81" s="11">
        <v>10185.32</v>
      </c>
      <c r="T81" s="11" t="s">
        <v>372</v>
      </c>
      <c r="U81" s="11">
        <v>8572.66</v>
      </c>
      <c r="V81" s="11">
        <v>751.25</v>
      </c>
      <c r="W81" s="55">
        <f t="shared" si="12"/>
        <v>125890.6</v>
      </c>
      <c r="X81" s="74">
        <f t="shared" si="13"/>
        <v>0.6028951327581249</v>
      </c>
      <c r="Y81" s="74">
        <f t="shared" si="14"/>
        <v>8.6780903419318035E-3</v>
      </c>
      <c r="Z81" s="74">
        <f t="shared" si="15"/>
        <v>0.21977248499887997</v>
      </c>
      <c r="AA81" s="74">
        <f t="shared" si="16"/>
        <v>0.16865429190106329</v>
      </c>
    </row>
    <row r="82" spans="1:27">
      <c r="A82" s="7" t="s">
        <v>6</v>
      </c>
      <c r="B82" s="7">
        <v>10007567</v>
      </c>
      <c r="C82" s="7" t="str">
        <f t="shared" si="10"/>
        <v>ENERO10007567Inventario inicial</v>
      </c>
      <c r="D82" s="7" t="s">
        <v>373</v>
      </c>
      <c r="E82" s="3" t="s">
        <v>319</v>
      </c>
      <c r="F82" s="8">
        <v>30440</v>
      </c>
      <c r="G82" s="2" t="s">
        <v>320</v>
      </c>
      <c r="H82" s="11">
        <v>56618.400000000001</v>
      </c>
      <c r="I82" s="11">
        <v>1543.11</v>
      </c>
      <c r="J82" s="11"/>
      <c r="K82" s="11">
        <v>58161.51</v>
      </c>
      <c r="L82" s="16">
        <v>1.91</v>
      </c>
      <c r="M82" s="11">
        <v>39830.400000000001</v>
      </c>
      <c r="N82" s="11">
        <v>493.59</v>
      </c>
      <c r="O82" s="11">
        <v>9574.4</v>
      </c>
      <c r="P82" s="11">
        <f t="shared" si="11"/>
        <v>8263.1200000000063</v>
      </c>
      <c r="Q82" s="11">
        <v>211.68</v>
      </c>
      <c r="R82" s="11">
        <v>844.83</v>
      </c>
      <c r="S82" s="11">
        <v>3417.18</v>
      </c>
      <c r="T82" s="11">
        <v>3648.08</v>
      </c>
      <c r="U82" s="11"/>
      <c r="V82" s="11">
        <v>141.35000000000582</v>
      </c>
      <c r="W82" s="55">
        <f t="shared" si="12"/>
        <v>58161.510000000009</v>
      </c>
      <c r="X82" s="74">
        <f t="shared" si="13"/>
        <v>0.68482403568958228</v>
      </c>
      <c r="Y82" s="74">
        <f t="shared" si="14"/>
        <v>8.4865403253801333E-3</v>
      </c>
      <c r="Z82" s="74">
        <f t="shared" si="15"/>
        <v>0.16461745920970755</v>
      </c>
      <c r="AA82" s="74">
        <f t="shared" si="16"/>
        <v>0.14207196477533002</v>
      </c>
    </row>
    <row r="83" spans="1:27">
      <c r="A83" s="7" t="s">
        <v>6</v>
      </c>
      <c r="B83" s="7">
        <v>10007567</v>
      </c>
      <c r="C83" s="7" t="str">
        <f t="shared" si="10"/>
        <v>ENERO10007567Revalorización</v>
      </c>
      <c r="D83" s="7" t="s">
        <v>373</v>
      </c>
      <c r="E83" s="3" t="s">
        <v>321</v>
      </c>
      <c r="F83" s="8">
        <v>0</v>
      </c>
      <c r="G83" s="2" t="s">
        <v>320</v>
      </c>
      <c r="H83" s="11">
        <v>913.2</v>
      </c>
      <c r="I83" s="11">
        <v>-913.2</v>
      </c>
      <c r="J83" s="11"/>
      <c r="K83" s="11">
        <v>0</v>
      </c>
      <c r="L83" s="16">
        <v>0</v>
      </c>
      <c r="M83" s="11">
        <v>0</v>
      </c>
      <c r="N83" s="11">
        <v>0</v>
      </c>
      <c r="O83" s="11">
        <v>0</v>
      </c>
      <c r="P83" s="11">
        <f t="shared" si="11"/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>
        <v>0</v>
      </c>
      <c r="W83" s="55">
        <f t="shared" si="12"/>
        <v>0</v>
      </c>
      <c r="X83" s="74" t="e">
        <f t="shared" si="13"/>
        <v>#DIV/0!</v>
      </c>
      <c r="Y83" s="74" t="e">
        <f t="shared" si="14"/>
        <v>#DIV/0!</v>
      </c>
      <c r="Z83" s="74" t="e">
        <f t="shared" si="15"/>
        <v>#DIV/0!</v>
      </c>
      <c r="AA83" s="74" t="e">
        <f t="shared" si="16"/>
        <v>#DIV/0!</v>
      </c>
    </row>
    <row r="84" spans="1:27">
      <c r="A84" s="7" t="s">
        <v>6</v>
      </c>
      <c r="B84" s="7">
        <v>10007567</v>
      </c>
      <c r="C84" s="7" t="str">
        <f t="shared" si="10"/>
        <v>ENERO10007567Entradas</v>
      </c>
      <c r="D84" s="7" t="s">
        <v>373</v>
      </c>
      <c r="E84" s="3" t="s">
        <v>164</v>
      </c>
      <c r="F84" s="8">
        <v>46420</v>
      </c>
      <c r="G84" s="2" t="s">
        <v>320</v>
      </c>
      <c r="H84" s="11">
        <v>87733.8</v>
      </c>
      <c r="I84" s="11">
        <v>-5253.54</v>
      </c>
      <c r="J84" s="11"/>
      <c r="K84" s="11">
        <v>82480.259999999995</v>
      </c>
      <c r="L84" s="16">
        <v>1.78</v>
      </c>
      <c r="M84" s="11">
        <v>53587.96</v>
      </c>
      <c r="N84" s="11">
        <v>884.42</v>
      </c>
      <c r="O84" s="11">
        <v>13386</v>
      </c>
      <c r="P84" s="11">
        <f t="shared" si="11"/>
        <v>14621.879999999986</v>
      </c>
      <c r="Q84" s="11">
        <v>104.26</v>
      </c>
      <c r="R84" s="11">
        <v>798.01</v>
      </c>
      <c r="S84" s="11">
        <v>7290.91</v>
      </c>
      <c r="T84" s="11">
        <v>5901.37</v>
      </c>
      <c r="U84" s="11"/>
      <c r="V84" s="11">
        <v>527.32999999998719</v>
      </c>
      <c r="W84" s="55">
        <f t="shared" si="12"/>
        <v>82480.259999999995</v>
      </c>
      <c r="X84" s="74">
        <f t="shared" si="13"/>
        <v>0.64970648734618441</v>
      </c>
      <c r="Y84" s="74">
        <f t="shared" si="14"/>
        <v>1.0722808099780481E-2</v>
      </c>
      <c r="Z84" s="74">
        <f t="shared" si="15"/>
        <v>0.16229337783367803</v>
      </c>
      <c r="AA84" s="74">
        <f t="shared" si="16"/>
        <v>0.17727732672035693</v>
      </c>
    </row>
    <row r="85" spans="1:27">
      <c r="A85" s="7" t="s">
        <v>6</v>
      </c>
      <c r="B85" s="7">
        <v>10007567</v>
      </c>
      <c r="C85" s="7" t="str">
        <f t="shared" si="10"/>
        <v>ENERO10007567Inv. acumulado</v>
      </c>
      <c r="D85" s="7" t="s">
        <v>373</v>
      </c>
      <c r="E85" s="3" t="s">
        <v>330</v>
      </c>
      <c r="F85" s="8">
        <v>76860</v>
      </c>
      <c r="G85" s="2" t="s">
        <v>320</v>
      </c>
      <c r="H85" s="11">
        <v>145265.4</v>
      </c>
      <c r="I85" s="11">
        <v>-4623.63</v>
      </c>
      <c r="J85" s="11"/>
      <c r="K85" s="11">
        <v>140641.76999999999</v>
      </c>
      <c r="L85" s="16">
        <v>1.83</v>
      </c>
      <c r="M85" s="11">
        <v>93418.36</v>
      </c>
      <c r="N85" s="11">
        <v>1378.01</v>
      </c>
      <c r="O85" s="11">
        <v>22960.400000000001</v>
      </c>
      <c r="P85" s="11">
        <f t="shared" si="11"/>
        <v>22884.999999999993</v>
      </c>
      <c r="Q85" s="11">
        <v>315.94</v>
      </c>
      <c r="R85" s="11">
        <v>1642.84</v>
      </c>
      <c r="S85" s="11">
        <v>10708.09</v>
      </c>
      <c r="T85" s="11">
        <v>9549.4500000000007</v>
      </c>
      <c r="U85" s="11"/>
      <c r="V85" s="11">
        <v>668.67999999999302</v>
      </c>
      <c r="W85" s="55">
        <f t="shared" si="12"/>
        <v>140641.76999999999</v>
      </c>
      <c r="X85" s="74">
        <f t="shared" si="13"/>
        <v>0.66422912624037656</v>
      </c>
      <c r="Y85" s="74">
        <f t="shared" si="14"/>
        <v>9.7980137764193398E-3</v>
      </c>
      <c r="Z85" s="74">
        <f t="shared" si="15"/>
        <v>0.16325448691380948</v>
      </c>
      <c r="AA85" s="74">
        <f t="shared" si="16"/>
        <v>0.16271837306939463</v>
      </c>
    </row>
    <row r="86" spans="1:27">
      <c r="A86" s="7" t="s">
        <v>6</v>
      </c>
      <c r="B86" s="7">
        <v>10007567</v>
      </c>
      <c r="C86" s="7" t="str">
        <f t="shared" si="10"/>
        <v>ENERO10007567Compensación</v>
      </c>
      <c r="D86" s="7" t="s">
        <v>373</v>
      </c>
      <c r="E86" s="3" t="s">
        <v>114</v>
      </c>
      <c r="F86" s="8">
        <v>48960</v>
      </c>
      <c r="G86" s="2" t="s">
        <v>320</v>
      </c>
      <c r="H86" s="11">
        <v>92534.399999999994</v>
      </c>
      <c r="I86" s="11">
        <v>-2945.26</v>
      </c>
      <c r="J86" s="11"/>
      <c r="K86" s="11">
        <v>89589.14</v>
      </c>
      <c r="L86" s="16">
        <v>1.83</v>
      </c>
      <c r="M86" s="11">
        <v>59507.71</v>
      </c>
      <c r="N86" s="11">
        <v>877.8</v>
      </c>
      <c r="O86" s="11">
        <v>14625.83</v>
      </c>
      <c r="P86" s="11">
        <f t="shared" si="11"/>
        <v>14577.800000000007</v>
      </c>
      <c r="Q86" s="11">
        <v>201.25</v>
      </c>
      <c r="R86" s="11">
        <v>1046.5</v>
      </c>
      <c r="S86" s="11">
        <v>6821.07</v>
      </c>
      <c r="T86" s="11">
        <v>6083.02</v>
      </c>
      <c r="U86" s="11"/>
      <c r="V86" s="11">
        <v>425.9600000000064</v>
      </c>
      <c r="W86" s="55">
        <f t="shared" si="12"/>
        <v>89589.14</v>
      </c>
      <c r="X86" s="74">
        <f t="shared" si="13"/>
        <v>0.66422905722724879</v>
      </c>
      <c r="Y86" s="74">
        <f t="shared" si="14"/>
        <v>9.7980625776740351E-3</v>
      </c>
      <c r="Z86" s="74">
        <f t="shared" si="15"/>
        <v>0.16325449714105972</v>
      </c>
      <c r="AA86" s="74">
        <f t="shared" si="16"/>
        <v>0.16271838305401756</v>
      </c>
    </row>
    <row r="87" spans="1:27">
      <c r="A87" s="7" t="s">
        <v>6</v>
      </c>
      <c r="B87" s="7">
        <v>10007567</v>
      </c>
      <c r="C87" s="7" t="str">
        <f t="shared" si="10"/>
        <v>ENERO10007567Inventario final</v>
      </c>
      <c r="D87" s="7" t="s">
        <v>373</v>
      </c>
      <c r="E87" s="3" t="s">
        <v>218</v>
      </c>
      <c r="F87" s="9">
        <v>27900</v>
      </c>
      <c r="G87" s="3" t="s">
        <v>320</v>
      </c>
      <c r="H87" s="12">
        <v>52731</v>
      </c>
      <c r="I87" s="12">
        <v>-1678.37</v>
      </c>
      <c r="J87" s="15"/>
      <c r="K87" s="12">
        <v>51052.63</v>
      </c>
      <c r="L87" s="17">
        <v>1.83</v>
      </c>
      <c r="M87" s="12">
        <v>33910.65</v>
      </c>
      <c r="N87" s="12">
        <v>500.21</v>
      </c>
      <c r="O87" s="12">
        <v>8334.57</v>
      </c>
      <c r="P87" s="12">
        <f t="shared" si="11"/>
        <v>8307.1999999999935</v>
      </c>
      <c r="Q87" s="12">
        <v>114.69</v>
      </c>
      <c r="R87" s="12">
        <v>596.34</v>
      </c>
      <c r="S87" s="12">
        <v>3887.02</v>
      </c>
      <c r="T87" s="11">
        <v>3466.43</v>
      </c>
      <c r="U87" s="11"/>
      <c r="V87" s="11">
        <v>242.71999999999389</v>
      </c>
      <c r="W87" s="55">
        <f t="shared" si="12"/>
        <v>51052.62999999999</v>
      </c>
      <c r="X87" s="74">
        <f t="shared" si="13"/>
        <v>0.66422924734729649</v>
      </c>
      <c r="Y87" s="74">
        <f t="shared" si="14"/>
        <v>9.797928138080253E-3</v>
      </c>
      <c r="Z87" s="74">
        <f t="shared" si="15"/>
        <v>0.16325446896663309</v>
      </c>
      <c r="AA87" s="74">
        <f t="shared" si="16"/>
        <v>0.16271835554799027</v>
      </c>
    </row>
    <row r="88" spans="1:27">
      <c r="A88" s="7" t="s">
        <v>7</v>
      </c>
      <c r="B88" s="7">
        <v>10007567</v>
      </c>
      <c r="C88" s="7" t="str">
        <f t="shared" si="10"/>
        <v>FEBRERO10007567Inventario inicial</v>
      </c>
      <c r="D88" s="7" t="s">
        <v>373</v>
      </c>
      <c r="E88" s="3" t="s">
        <v>319</v>
      </c>
      <c r="F88" s="8">
        <v>27900</v>
      </c>
      <c r="G88" s="2" t="s">
        <v>320</v>
      </c>
      <c r="H88" s="11">
        <v>52731</v>
      </c>
      <c r="I88" s="11" t="s">
        <v>374</v>
      </c>
      <c r="J88" s="11"/>
      <c r="K88" s="11">
        <v>51052.63</v>
      </c>
      <c r="L88" s="16">
        <v>1.83</v>
      </c>
      <c r="M88" s="11">
        <v>33910.65</v>
      </c>
      <c r="N88" s="11">
        <v>500.21</v>
      </c>
      <c r="O88" s="11">
        <v>8334.57</v>
      </c>
      <c r="P88" s="11">
        <f t="shared" si="11"/>
        <v>8307.1999999999935</v>
      </c>
      <c r="Q88" s="11">
        <v>114.69</v>
      </c>
      <c r="R88" s="11">
        <v>596.34</v>
      </c>
      <c r="S88" s="11">
        <v>3887.02</v>
      </c>
      <c r="T88" s="11">
        <v>0</v>
      </c>
      <c r="U88" s="11">
        <v>3466.43</v>
      </c>
      <c r="V88" s="11">
        <v>242.71999999999389</v>
      </c>
      <c r="W88" s="55">
        <f t="shared" si="12"/>
        <v>51052.62999999999</v>
      </c>
      <c r="X88" s="74">
        <f t="shared" si="13"/>
        <v>0.66422924734729649</v>
      </c>
      <c r="Y88" s="74">
        <f t="shared" si="14"/>
        <v>9.797928138080253E-3</v>
      </c>
      <c r="Z88" s="74">
        <f t="shared" si="15"/>
        <v>0.16325446896663309</v>
      </c>
      <c r="AA88" s="74">
        <f t="shared" si="16"/>
        <v>0.16271835554799027</v>
      </c>
    </row>
    <row r="89" spans="1:27">
      <c r="A89" s="7" t="s">
        <v>7</v>
      </c>
      <c r="B89" s="7">
        <v>10007567</v>
      </c>
      <c r="C89" s="7" t="str">
        <f t="shared" si="10"/>
        <v>FEBRERO10007567Revalorización</v>
      </c>
      <c r="D89" s="7" t="s">
        <v>373</v>
      </c>
      <c r="E89" s="3" t="s">
        <v>321</v>
      </c>
      <c r="F89" s="8">
        <v>0</v>
      </c>
      <c r="G89" s="2" t="s">
        <v>320</v>
      </c>
      <c r="H89" s="11">
        <v>558</v>
      </c>
      <c r="I89" s="11" t="s">
        <v>375</v>
      </c>
      <c r="J89" s="11"/>
      <c r="K89" s="11">
        <v>0</v>
      </c>
      <c r="L89" s="16">
        <v>0</v>
      </c>
      <c r="M89" s="11">
        <v>0</v>
      </c>
      <c r="N89" s="11">
        <v>0</v>
      </c>
      <c r="O89" s="11">
        <v>0</v>
      </c>
      <c r="P89" s="11">
        <f t="shared" si="11"/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55">
        <f t="shared" si="12"/>
        <v>0</v>
      </c>
      <c r="X89" s="74" t="e">
        <f t="shared" si="13"/>
        <v>#DIV/0!</v>
      </c>
      <c r="Y89" s="74" t="e">
        <f t="shared" si="14"/>
        <v>#DIV/0!</v>
      </c>
      <c r="Z89" s="74" t="e">
        <f t="shared" si="15"/>
        <v>#DIV/0!</v>
      </c>
      <c r="AA89" s="74" t="e">
        <f t="shared" si="16"/>
        <v>#DIV/0!</v>
      </c>
    </row>
    <row r="90" spans="1:27">
      <c r="A90" s="7" t="s">
        <v>7</v>
      </c>
      <c r="B90" s="7">
        <v>10007567</v>
      </c>
      <c r="C90" s="7" t="str">
        <f t="shared" si="10"/>
        <v>FEBRERO10007567Entradas</v>
      </c>
      <c r="D90" s="7" t="s">
        <v>373</v>
      </c>
      <c r="E90" s="3" t="s">
        <v>164</v>
      </c>
      <c r="F90" s="8">
        <v>76980</v>
      </c>
      <c r="G90" s="2" t="s">
        <v>320</v>
      </c>
      <c r="H90" s="11">
        <v>147031.79999999999</v>
      </c>
      <c r="I90" s="11" t="s">
        <v>376</v>
      </c>
      <c r="J90" s="11"/>
      <c r="K90" s="11">
        <v>127244.34</v>
      </c>
      <c r="L90" s="16">
        <v>1.65</v>
      </c>
      <c r="M90" s="11">
        <v>78549.78</v>
      </c>
      <c r="N90" s="11">
        <v>1428.03</v>
      </c>
      <c r="O90" s="11">
        <v>22506.400000000001</v>
      </c>
      <c r="P90" s="11">
        <f t="shared" si="11"/>
        <v>24760.129999999997</v>
      </c>
      <c r="Q90" s="11">
        <v>540.02</v>
      </c>
      <c r="R90" s="11">
        <v>1327.92</v>
      </c>
      <c r="S90" s="11">
        <v>12130.74</v>
      </c>
      <c r="T90" s="11" t="s">
        <v>334</v>
      </c>
      <c r="U90" s="11">
        <v>9820.33</v>
      </c>
      <c r="V90" s="11">
        <v>941.11999999999534</v>
      </c>
      <c r="W90" s="55">
        <f t="shared" si="12"/>
        <v>127244.34</v>
      </c>
      <c r="X90" s="74">
        <f t="shared" si="13"/>
        <v>0.61731453045377105</v>
      </c>
      <c r="Y90" s="74">
        <f t="shared" si="14"/>
        <v>1.1222738866027362E-2</v>
      </c>
      <c r="Z90" s="74">
        <f t="shared" si="15"/>
        <v>0.17687545080590619</v>
      </c>
      <c r="AA90" s="74">
        <f t="shared" si="16"/>
        <v>0.19458727987429539</v>
      </c>
    </row>
    <row r="91" spans="1:27">
      <c r="A91" s="7" t="s">
        <v>7</v>
      </c>
      <c r="B91" s="7">
        <v>10007567</v>
      </c>
      <c r="C91" s="7" t="str">
        <f t="shared" si="10"/>
        <v>FEBRERO10007567Inventario acumulado</v>
      </c>
      <c r="D91" s="7" t="s">
        <v>373</v>
      </c>
      <c r="E91" s="3" t="s">
        <v>322</v>
      </c>
      <c r="F91" s="8">
        <v>104880</v>
      </c>
      <c r="G91" s="2" t="s">
        <v>320</v>
      </c>
      <c r="H91" s="11">
        <v>200320.8</v>
      </c>
      <c r="I91" s="11" t="s">
        <v>377</v>
      </c>
      <c r="J91" s="11"/>
      <c r="K91" s="11">
        <v>178296.97</v>
      </c>
      <c r="L91" s="16">
        <v>1.7</v>
      </c>
      <c r="M91" s="11">
        <v>112460.43</v>
      </c>
      <c r="N91" s="11">
        <v>1928.24</v>
      </c>
      <c r="O91" s="11">
        <v>30840.97</v>
      </c>
      <c r="P91" s="11">
        <f t="shared" si="11"/>
        <v>33067.329999999994</v>
      </c>
      <c r="Q91" s="11">
        <v>654.71</v>
      </c>
      <c r="R91" s="11">
        <v>1924.26</v>
      </c>
      <c r="S91" s="11">
        <v>16017.76</v>
      </c>
      <c r="T91" s="11" t="s">
        <v>334</v>
      </c>
      <c r="U91" s="11">
        <v>13286.76</v>
      </c>
      <c r="V91" s="11">
        <v>1183.8399999999965</v>
      </c>
      <c r="W91" s="55">
        <f t="shared" si="12"/>
        <v>178296.97</v>
      </c>
      <c r="X91" s="74">
        <f t="shared" si="13"/>
        <v>0.63074784725730337</v>
      </c>
      <c r="Y91" s="74">
        <f t="shared" si="14"/>
        <v>1.0814765949191396E-2</v>
      </c>
      <c r="Z91" s="74">
        <f t="shared" si="15"/>
        <v>0.17297528948472876</v>
      </c>
      <c r="AA91" s="74">
        <f t="shared" si="16"/>
        <v>0.18546209730877644</v>
      </c>
    </row>
    <row r="92" spans="1:27">
      <c r="A92" s="7" t="s">
        <v>7</v>
      </c>
      <c r="B92" s="7">
        <v>10007567</v>
      </c>
      <c r="C92" s="7" t="str">
        <f t="shared" si="10"/>
        <v>FEBRERO10007567Inventario final</v>
      </c>
      <c r="D92" s="7" t="s">
        <v>373</v>
      </c>
      <c r="E92" s="3" t="s">
        <v>218</v>
      </c>
      <c r="F92" s="8">
        <v>104880</v>
      </c>
      <c r="G92" s="2" t="s">
        <v>320</v>
      </c>
      <c r="H92" s="11">
        <v>200320.8</v>
      </c>
      <c r="I92" s="11" t="s">
        <v>377</v>
      </c>
      <c r="J92" s="11"/>
      <c r="K92" s="11">
        <v>178296.97</v>
      </c>
      <c r="L92" s="16">
        <v>1.7</v>
      </c>
      <c r="M92" s="11">
        <v>112460.43</v>
      </c>
      <c r="N92" s="11">
        <v>1928.24</v>
      </c>
      <c r="O92" s="11">
        <v>30840.97</v>
      </c>
      <c r="P92" s="11">
        <f t="shared" si="11"/>
        <v>33067.329999999994</v>
      </c>
      <c r="Q92" s="11">
        <v>654.71</v>
      </c>
      <c r="R92" s="11">
        <v>1924.26</v>
      </c>
      <c r="S92" s="11">
        <v>16017.76</v>
      </c>
      <c r="T92" s="11" t="s">
        <v>334</v>
      </c>
      <c r="U92" s="11">
        <v>13286.76</v>
      </c>
      <c r="V92" s="11">
        <v>1183.8399999999965</v>
      </c>
      <c r="W92" s="55">
        <f t="shared" si="12"/>
        <v>178296.97</v>
      </c>
      <c r="X92" s="74">
        <f t="shared" si="13"/>
        <v>0.63074784725730337</v>
      </c>
      <c r="Y92" s="74">
        <f t="shared" si="14"/>
        <v>1.0814765949191396E-2</v>
      </c>
      <c r="Z92" s="74">
        <f t="shared" si="15"/>
        <v>0.17297528948472876</v>
      </c>
      <c r="AA92" s="74">
        <f t="shared" si="16"/>
        <v>0.18546209730877644</v>
      </c>
    </row>
    <row r="93" spans="1:27">
      <c r="A93" s="7" t="s">
        <v>6</v>
      </c>
      <c r="B93" s="7">
        <v>10007162</v>
      </c>
      <c r="C93" s="7" t="str">
        <f t="shared" si="10"/>
        <v>ENERO10007162Inventario inicial</v>
      </c>
      <c r="D93" s="7" t="s">
        <v>378</v>
      </c>
      <c r="E93" s="3" t="s">
        <v>319</v>
      </c>
      <c r="F93" s="8">
        <v>49100</v>
      </c>
      <c r="G93" s="2" t="s">
        <v>320</v>
      </c>
      <c r="H93" s="11">
        <v>100164</v>
      </c>
      <c r="I93" s="11">
        <v>-9203.33</v>
      </c>
      <c r="J93" s="11"/>
      <c r="K93" s="11">
        <v>90960.67</v>
      </c>
      <c r="L93" s="16">
        <v>1.85</v>
      </c>
      <c r="M93" s="11">
        <v>61487.46</v>
      </c>
      <c r="N93" s="11">
        <v>598.21</v>
      </c>
      <c r="O93" s="11">
        <v>15812.84</v>
      </c>
      <c r="P93" s="11">
        <f t="shared" si="11"/>
        <v>13062.160000000007</v>
      </c>
      <c r="Q93" s="11">
        <v>1343.31</v>
      </c>
      <c r="R93" s="11">
        <v>5334.03</v>
      </c>
      <c r="S93" s="11">
        <v>5713.89</v>
      </c>
      <c r="T93" s="11"/>
      <c r="U93" s="11"/>
      <c r="V93" s="11">
        <v>670.93000000000757</v>
      </c>
      <c r="W93" s="55">
        <f t="shared" si="12"/>
        <v>90960.67</v>
      </c>
      <c r="X93" s="74">
        <f t="shared" si="13"/>
        <v>0.67597853006139907</v>
      </c>
      <c r="Y93" s="74">
        <f t="shared" si="14"/>
        <v>6.5765786465732945E-3</v>
      </c>
      <c r="Z93" s="74">
        <f t="shared" si="15"/>
        <v>0.17384260692011175</v>
      </c>
      <c r="AA93" s="74">
        <f t="shared" si="16"/>
        <v>0.14360228437191599</v>
      </c>
    </row>
    <row r="94" spans="1:27">
      <c r="A94" s="7" t="s">
        <v>6</v>
      </c>
      <c r="B94" s="7">
        <v>10007162</v>
      </c>
      <c r="C94" s="7" t="str">
        <f t="shared" si="10"/>
        <v>ENERO10007162Revalorización</v>
      </c>
      <c r="D94" s="7" t="s">
        <v>378</v>
      </c>
      <c r="E94" s="3" t="s">
        <v>321</v>
      </c>
      <c r="F94" s="8">
        <v>0</v>
      </c>
      <c r="G94" s="2" t="s">
        <v>320</v>
      </c>
      <c r="H94" s="11">
        <v>0</v>
      </c>
      <c r="I94" s="11">
        <v>0</v>
      </c>
      <c r="J94" s="11"/>
      <c r="K94" s="11">
        <v>0</v>
      </c>
      <c r="L94" s="16">
        <v>0</v>
      </c>
      <c r="M94" s="11">
        <v>0</v>
      </c>
      <c r="N94" s="11">
        <v>0</v>
      </c>
      <c r="O94" s="11">
        <v>0</v>
      </c>
      <c r="P94" s="11">
        <f t="shared" si="11"/>
        <v>0</v>
      </c>
      <c r="Q94" s="11">
        <v>0</v>
      </c>
      <c r="R94" s="11">
        <v>0</v>
      </c>
      <c r="S94" s="11">
        <v>0</v>
      </c>
      <c r="T94" s="11"/>
      <c r="U94" s="11"/>
      <c r="V94" s="11">
        <v>0</v>
      </c>
      <c r="W94" s="55">
        <f t="shared" si="12"/>
        <v>0</v>
      </c>
      <c r="X94" s="74" t="e">
        <f t="shared" si="13"/>
        <v>#DIV/0!</v>
      </c>
      <c r="Y94" s="74" t="e">
        <f t="shared" si="14"/>
        <v>#DIV/0!</v>
      </c>
      <c r="Z94" s="74" t="e">
        <f t="shared" si="15"/>
        <v>#DIV/0!</v>
      </c>
      <c r="AA94" s="74" t="e">
        <f t="shared" si="16"/>
        <v>#DIV/0!</v>
      </c>
    </row>
    <row r="95" spans="1:27">
      <c r="A95" s="7" t="s">
        <v>6</v>
      </c>
      <c r="B95" s="7">
        <v>10007162</v>
      </c>
      <c r="C95" s="7" t="str">
        <f t="shared" si="10"/>
        <v>ENERO10007162Entradas</v>
      </c>
      <c r="D95" s="7" t="s">
        <v>378</v>
      </c>
      <c r="E95" s="3" t="s">
        <v>164</v>
      </c>
      <c r="F95" s="8">
        <v>197540</v>
      </c>
      <c r="G95" s="2" t="s">
        <v>320</v>
      </c>
      <c r="H95" s="11">
        <v>402981.6</v>
      </c>
      <c r="I95" s="11">
        <v>-52003.55</v>
      </c>
      <c r="J95" s="11"/>
      <c r="K95" s="11">
        <v>350978.05</v>
      </c>
      <c r="L95" s="16">
        <v>1.78</v>
      </c>
      <c r="M95" s="11">
        <v>225580.01</v>
      </c>
      <c r="N95" s="11">
        <v>3261.02</v>
      </c>
      <c r="O95" s="11">
        <v>59927.12</v>
      </c>
      <c r="P95" s="11">
        <f t="shared" si="11"/>
        <v>62209.899999999994</v>
      </c>
      <c r="Q95" s="11">
        <v>3395.91</v>
      </c>
      <c r="R95" s="11">
        <v>31026.42</v>
      </c>
      <c r="S95" s="11">
        <v>25113.26</v>
      </c>
      <c r="T95" s="11"/>
      <c r="U95" s="11"/>
      <c r="V95" s="11">
        <v>2674.3099999999977</v>
      </c>
      <c r="W95" s="55">
        <f t="shared" si="12"/>
        <v>350978.05000000005</v>
      </c>
      <c r="X95" s="74">
        <f t="shared" si="13"/>
        <v>0.64271828394966579</v>
      </c>
      <c r="Y95" s="74">
        <f t="shared" si="14"/>
        <v>9.2912363038087416E-3</v>
      </c>
      <c r="Z95" s="74">
        <f t="shared" si="15"/>
        <v>0.17074321314395585</v>
      </c>
      <c r="AA95" s="74">
        <f t="shared" si="16"/>
        <v>0.17724726660256956</v>
      </c>
    </row>
    <row r="96" spans="1:27">
      <c r="A96" s="7" t="s">
        <v>6</v>
      </c>
      <c r="B96" s="7">
        <v>10007162</v>
      </c>
      <c r="C96" s="7" t="str">
        <f t="shared" si="10"/>
        <v>ENERO10007162Inv. acumulado</v>
      </c>
      <c r="D96" s="7" t="s">
        <v>378</v>
      </c>
      <c r="E96" s="3" t="s">
        <v>330</v>
      </c>
      <c r="F96" s="8">
        <v>246640</v>
      </c>
      <c r="G96" s="2" t="s">
        <v>320</v>
      </c>
      <c r="H96" s="11">
        <v>503145.6</v>
      </c>
      <c r="I96" s="11">
        <v>-61206.879999999997</v>
      </c>
      <c r="J96" s="11"/>
      <c r="K96" s="11">
        <v>441938.72</v>
      </c>
      <c r="L96" s="16">
        <v>1.79</v>
      </c>
      <c r="M96" s="11">
        <v>287067.46999999997</v>
      </c>
      <c r="N96" s="11">
        <v>3859.23</v>
      </c>
      <c r="O96" s="11">
        <v>75739.960000000006</v>
      </c>
      <c r="P96" s="11">
        <f t="shared" si="11"/>
        <v>75272.06</v>
      </c>
      <c r="Q96" s="11">
        <v>4739.22</v>
      </c>
      <c r="R96" s="11">
        <v>36360.449999999997</v>
      </c>
      <c r="S96" s="11">
        <v>30827.15</v>
      </c>
      <c r="T96" s="11"/>
      <c r="U96" s="11"/>
      <c r="V96" s="11">
        <v>3345.2399999999907</v>
      </c>
      <c r="W96" s="55">
        <f t="shared" si="12"/>
        <v>441938.72</v>
      </c>
      <c r="X96" s="74">
        <f t="shared" si="13"/>
        <v>0.64956397122207343</v>
      </c>
      <c r="Y96" s="74">
        <f t="shared" si="14"/>
        <v>8.7325002887278132E-3</v>
      </c>
      <c r="Z96" s="74">
        <f t="shared" si="15"/>
        <v>0.17138113628061377</v>
      </c>
      <c r="AA96" s="74">
        <f t="shared" si="16"/>
        <v>0.17032239220858494</v>
      </c>
    </row>
    <row r="97" spans="1:27">
      <c r="A97" s="7" t="s">
        <v>6</v>
      </c>
      <c r="B97" s="7">
        <v>10007162</v>
      </c>
      <c r="C97" s="7" t="str">
        <f t="shared" si="10"/>
        <v>ENERO10007162Compensación</v>
      </c>
      <c r="D97" s="7" t="s">
        <v>378</v>
      </c>
      <c r="E97" s="3" t="s">
        <v>114</v>
      </c>
      <c r="F97" s="8">
        <v>43400</v>
      </c>
      <c r="G97" s="2" t="s">
        <v>320</v>
      </c>
      <c r="H97" s="11">
        <v>88536</v>
      </c>
      <c r="I97" s="11">
        <v>-10770.27</v>
      </c>
      <c r="J97" s="11"/>
      <c r="K97" s="11">
        <v>77765.73</v>
      </c>
      <c r="L97" s="16">
        <v>1.79</v>
      </c>
      <c r="M97" s="11">
        <v>50513.82</v>
      </c>
      <c r="N97" s="11">
        <v>679.09</v>
      </c>
      <c r="O97" s="11">
        <v>13327.58</v>
      </c>
      <c r="P97" s="11">
        <f t="shared" si="11"/>
        <v>13245.239999999994</v>
      </c>
      <c r="Q97" s="11">
        <v>833.94</v>
      </c>
      <c r="R97" s="11">
        <v>6398.16</v>
      </c>
      <c r="S97" s="11">
        <v>5424.49</v>
      </c>
      <c r="T97" s="11"/>
      <c r="U97" s="11"/>
      <c r="V97" s="11">
        <v>588.64999999999418</v>
      </c>
      <c r="W97" s="55">
        <f t="shared" si="12"/>
        <v>77765.73</v>
      </c>
      <c r="X97" s="74">
        <f t="shared" si="13"/>
        <v>0.64956401746630554</v>
      </c>
      <c r="Y97" s="74">
        <f t="shared" si="14"/>
        <v>8.7325098086265002E-3</v>
      </c>
      <c r="Z97" s="74">
        <f t="shared" si="15"/>
        <v>0.17138114693966097</v>
      </c>
      <c r="AA97" s="74">
        <f t="shared" si="16"/>
        <v>0.17032232578540696</v>
      </c>
    </row>
    <row r="98" spans="1:27">
      <c r="A98" s="7" t="s">
        <v>6</v>
      </c>
      <c r="B98" s="7">
        <v>10007162</v>
      </c>
      <c r="C98" s="7" t="str">
        <f t="shared" si="10"/>
        <v>ENERO10007162Inventario final</v>
      </c>
      <c r="D98" s="7" t="s">
        <v>378</v>
      </c>
      <c r="E98" s="3" t="s">
        <v>218</v>
      </c>
      <c r="F98" s="9">
        <v>203240</v>
      </c>
      <c r="G98" s="3" t="s">
        <v>320</v>
      </c>
      <c r="H98" s="12">
        <v>414609.6</v>
      </c>
      <c r="I98" s="12">
        <v>-50436.61</v>
      </c>
      <c r="J98" s="13"/>
      <c r="K98" s="12">
        <v>364172.99</v>
      </c>
      <c r="L98" s="17">
        <v>1.79</v>
      </c>
      <c r="M98" s="12">
        <v>236553.65</v>
      </c>
      <c r="N98" s="12">
        <v>3180.14</v>
      </c>
      <c r="O98" s="12">
        <v>62412.38</v>
      </c>
      <c r="P98" s="12">
        <f t="shared" si="11"/>
        <v>62026.820000000022</v>
      </c>
      <c r="Q98" s="12">
        <v>3905.28</v>
      </c>
      <c r="R98" s="12">
        <v>29962.29</v>
      </c>
      <c r="S98" s="12">
        <v>25402.66</v>
      </c>
      <c r="T98" s="11"/>
      <c r="U98" s="11"/>
      <c r="V98" s="11">
        <v>2756.5900000000256</v>
      </c>
      <c r="W98" s="55">
        <f t="shared" si="12"/>
        <v>364172.99</v>
      </c>
      <c r="X98" s="74">
        <f t="shared" si="13"/>
        <v>0.64956396134705108</v>
      </c>
      <c r="Y98" s="74">
        <f t="shared" si="14"/>
        <v>8.7324982558426422E-3</v>
      </c>
      <c r="Z98" s="74">
        <f t="shared" si="15"/>
        <v>0.17138113400447408</v>
      </c>
      <c r="AA98" s="74">
        <f t="shared" si="16"/>
        <v>0.17032240639263233</v>
      </c>
    </row>
    <row r="99" spans="1:27">
      <c r="A99" s="7" t="s">
        <v>7</v>
      </c>
      <c r="B99" s="7">
        <v>10007162</v>
      </c>
      <c r="C99" s="7" t="str">
        <f t="shared" si="10"/>
        <v>FEBRERO10007162Inventario inicial</v>
      </c>
      <c r="D99" s="7" t="s">
        <v>378</v>
      </c>
      <c r="E99" s="3" t="s">
        <v>319</v>
      </c>
      <c r="F99" s="9">
        <v>203240</v>
      </c>
      <c r="G99" s="3" t="s">
        <v>320</v>
      </c>
      <c r="H99" s="12">
        <v>414609.6</v>
      </c>
      <c r="I99" s="12" t="s">
        <v>379</v>
      </c>
      <c r="J99" s="13"/>
      <c r="K99" s="12">
        <v>364172.99</v>
      </c>
      <c r="L99" s="17">
        <v>1.79</v>
      </c>
      <c r="M99" s="12">
        <v>236553.65</v>
      </c>
      <c r="N99" s="12">
        <v>3180.14</v>
      </c>
      <c r="O99" s="12">
        <v>62412.38</v>
      </c>
      <c r="P99" s="12">
        <f t="shared" si="11"/>
        <v>62026.820000000007</v>
      </c>
      <c r="Q99" s="12">
        <v>688.64</v>
      </c>
      <c r="R99" s="12">
        <v>3905.28</v>
      </c>
      <c r="S99" s="12">
        <v>29962.29</v>
      </c>
      <c r="T99" s="11">
        <v>0.01</v>
      </c>
      <c r="U99" s="11">
        <v>25402.66</v>
      </c>
      <c r="V99" s="11">
        <v>2067.9400000000023</v>
      </c>
      <c r="W99" s="55">
        <f t="shared" si="12"/>
        <v>364172.99</v>
      </c>
      <c r="X99" s="74">
        <f t="shared" si="13"/>
        <v>0.64956396134705108</v>
      </c>
      <c r="Y99" s="74">
        <f t="shared" si="14"/>
        <v>8.7324982558426422E-3</v>
      </c>
      <c r="Z99" s="74">
        <f t="shared" si="15"/>
        <v>0.17138113400447408</v>
      </c>
      <c r="AA99" s="74">
        <f t="shared" si="16"/>
        <v>0.17032240639263227</v>
      </c>
    </row>
    <row r="100" spans="1:27">
      <c r="A100" s="7" t="s">
        <v>7</v>
      </c>
      <c r="B100" s="7">
        <v>10007162</v>
      </c>
      <c r="C100" s="7" t="str">
        <f t="shared" si="10"/>
        <v>FEBRERO10007162Revalorización</v>
      </c>
      <c r="D100" s="7" t="s">
        <v>378</v>
      </c>
      <c r="E100" s="3" t="s">
        <v>321</v>
      </c>
      <c r="F100" s="9">
        <v>0</v>
      </c>
      <c r="G100" s="3" t="s">
        <v>320</v>
      </c>
      <c r="H100" s="12" t="s">
        <v>380</v>
      </c>
      <c r="I100" s="12">
        <v>38615.599999999999</v>
      </c>
      <c r="J100" s="13"/>
      <c r="K100" s="12">
        <v>0</v>
      </c>
      <c r="L100" s="17">
        <v>0</v>
      </c>
      <c r="M100" s="12">
        <v>0</v>
      </c>
      <c r="N100" s="12">
        <v>0</v>
      </c>
      <c r="O100" s="12">
        <v>0</v>
      </c>
      <c r="P100" s="12">
        <f t="shared" si="11"/>
        <v>0</v>
      </c>
      <c r="Q100" s="12">
        <v>0</v>
      </c>
      <c r="R100" s="12">
        <v>0</v>
      </c>
      <c r="S100" s="12">
        <v>0</v>
      </c>
      <c r="T100" s="11">
        <v>0</v>
      </c>
      <c r="U100" s="11">
        <v>0</v>
      </c>
      <c r="V100" s="11">
        <v>0</v>
      </c>
      <c r="W100" s="55">
        <f t="shared" si="12"/>
        <v>0</v>
      </c>
      <c r="X100" s="74" t="e">
        <f t="shared" si="13"/>
        <v>#DIV/0!</v>
      </c>
      <c r="Y100" s="74" t="e">
        <f t="shared" si="14"/>
        <v>#DIV/0!</v>
      </c>
      <c r="Z100" s="74" t="e">
        <f t="shared" si="15"/>
        <v>#DIV/0!</v>
      </c>
      <c r="AA100" s="74" t="e">
        <f t="shared" si="16"/>
        <v>#DIV/0!</v>
      </c>
    </row>
    <row r="101" spans="1:27">
      <c r="A101" s="7" t="s">
        <v>7</v>
      </c>
      <c r="B101" s="7">
        <v>10007162</v>
      </c>
      <c r="C101" s="7" t="str">
        <f t="shared" ref="C101:C132" si="17">A101&amp;B101&amp;E101</f>
        <v>FEBRERO10007162Entradas</v>
      </c>
      <c r="D101" s="7" t="s">
        <v>378</v>
      </c>
      <c r="E101" s="3" t="s">
        <v>164</v>
      </c>
      <c r="F101" s="9">
        <v>319660</v>
      </c>
      <c r="G101" s="3" t="s">
        <v>320</v>
      </c>
      <c r="H101" s="12">
        <v>591371</v>
      </c>
      <c r="I101" s="12" t="s">
        <v>381</v>
      </c>
      <c r="J101" s="13"/>
      <c r="K101" s="12">
        <v>532752.57999999996</v>
      </c>
      <c r="L101" s="17">
        <v>1.67</v>
      </c>
      <c r="M101" s="12">
        <v>326505.42</v>
      </c>
      <c r="N101" s="12">
        <v>5184.8100000000004</v>
      </c>
      <c r="O101" s="12">
        <v>98252.02</v>
      </c>
      <c r="P101" s="12">
        <f t="shared" ref="P101:P132" si="18">SUM(Q101:V101)</f>
        <v>102810.32999999999</v>
      </c>
      <c r="Q101" s="12">
        <v>2242.41</v>
      </c>
      <c r="R101" s="12">
        <v>5514.14</v>
      </c>
      <c r="S101" s="12">
        <v>50372.98</v>
      </c>
      <c r="T101" s="11">
        <v>0.28000000000000003</v>
      </c>
      <c r="U101" s="11">
        <v>40779.03</v>
      </c>
      <c r="V101" s="11">
        <v>3901.4899999999907</v>
      </c>
      <c r="W101" s="55">
        <f t="shared" si="12"/>
        <v>532752.57999999996</v>
      </c>
      <c r="X101" s="74">
        <f t="shared" si="13"/>
        <v>0.61286501887987099</v>
      </c>
      <c r="Y101" s="74">
        <f t="shared" si="14"/>
        <v>9.7321161729521811E-3</v>
      </c>
      <c r="Z101" s="74">
        <f t="shared" si="15"/>
        <v>0.18442335840025403</v>
      </c>
      <c r="AA101" s="74">
        <f t="shared" si="16"/>
        <v>0.19297950654692278</v>
      </c>
    </row>
    <row r="102" spans="1:27">
      <c r="A102" s="7" t="s">
        <v>7</v>
      </c>
      <c r="B102" s="7">
        <v>10007162</v>
      </c>
      <c r="C102" s="7" t="str">
        <f t="shared" si="17"/>
        <v>FEBRERO10007162Inventario acumulado</v>
      </c>
      <c r="D102" s="7" t="s">
        <v>378</v>
      </c>
      <c r="E102" s="3" t="s">
        <v>322</v>
      </c>
      <c r="F102" s="9">
        <v>522900</v>
      </c>
      <c r="G102" s="3" t="s">
        <v>320</v>
      </c>
      <c r="H102" s="12">
        <v>967365</v>
      </c>
      <c r="I102" s="12" t="s">
        <v>382</v>
      </c>
      <c r="J102" s="13"/>
      <c r="K102" s="12">
        <v>896925.57</v>
      </c>
      <c r="L102" s="17">
        <v>1.72</v>
      </c>
      <c r="M102" s="12">
        <v>563059.06999999995</v>
      </c>
      <c r="N102" s="12">
        <v>8364.9500000000007</v>
      </c>
      <c r="O102" s="12">
        <v>160664.4</v>
      </c>
      <c r="P102" s="12">
        <f t="shared" si="18"/>
        <v>164837.15000000005</v>
      </c>
      <c r="Q102" s="12">
        <v>2931.05</v>
      </c>
      <c r="R102" s="12">
        <v>9419.42</v>
      </c>
      <c r="S102" s="12">
        <v>80335.27</v>
      </c>
      <c r="T102" s="11">
        <v>0.28999999999999998</v>
      </c>
      <c r="U102" s="11">
        <v>66181.69</v>
      </c>
      <c r="V102" s="11">
        <v>5969.4300000000512</v>
      </c>
      <c r="W102" s="55">
        <f t="shared" si="12"/>
        <v>896925.57</v>
      </c>
      <c r="X102" s="74">
        <f t="shared" si="13"/>
        <v>0.62776565729974676</v>
      </c>
      <c r="Y102" s="74">
        <f t="shared" si="14"/>
        <v>9.3262476617764403E-3</v>
      </c>
      <c r="Z102" s="74">
        <f t="shared" si="15"/>
        <v>0.17912790690090372</v>
      </c>
      <c r="AA102" s="74">
        <f t="shared" si="16"/>
        <v>0.18378018813757319</v>
      </c>
    </row>
    <row r="103" spans="1:27">
      <c r="A103" s="7" t="s">
        <v>7</v>
      </c>
      <c r="B103" s="7">
        <v>10007162</v>
      </c>
      <c r="C103" s="7" t="str">
        <f t="shared" si="17"/>
        <v>FEBRERO10007162Compensación</v>
      </c>
      <c r="D103" s="7" t="s">
        <v>378</v>
      </c>
      <c r="E103" s="3" t="s">
        <v>114</v>
      </c>
      <c r="F103" s="9">
        <v>208000</v>
      </c>
      <c r="G103" s="3" t="s">
        <v>320</v>
      </c>
      <c r="H103" s="12">
        <v>384800</v>
      </c>
      <c r="I103" s="12" t="s">
        <v>383</v>
      </c>
      <c r="J103" s="13"/>
      <c r="K103" s="12">
        <v>356780.49</v>
      </c>
      <c r="L103" s="17">
        <v>1.72</v>
      </c>
      <c r="M103" s="12">
        <v>223974.54</v>
      </c>
      <c r="N103" s="12">
        <v>3327.42</v>
      </c>
      <c r="O103" s="12">
        <v>63909.34</v>
      </c>
      <c r="P103" s="12">
        <f t="shared" si="18"/>
        <v>65569.189999999915</v>
      </c>
      <c r="Q103" s="12">
        <v>1165.92</v>
      </c>
      <c r="R103" s="12">
        <v>3746.87</v>
      </c>
      <c r="S103" s="12">
        <v>31955.9</v>
      </c>
      <c r="T103" s="11">
        <v>0.11</v>
      </c>
      <c r="U103" s="11">
        <v>26325.86</v>
      </c>
      <c r="V103" s="11">
        <v>2374.5299999999115</v>
      </c>
      <c r="W103" s="55">
        <f t="shared" si="12"/>
        <v>356780.49</v>
      </c>
      <c r="X103" s="74">
        <f t="shared" si="13"/>
        <v>0.62776566061670025</v>
      </c>
      <c r="Y103" s="74">
        <f t="shared" si="14"/>
        <v>9.3262386628820432E-3</v>
      </c>
      <c r="Z103" s="74">
        <f t="shared" si="15"/>
        <v>0.17912790018310698</v>
      </c>
      <c r="AA103" s="74">
        <f t="shared" si="16"/>
        <v>0.18378020053731053</v>
      </c>
    </row>
    <row r="104" spans="1:27">
      <c r="A104" s="7" t="s">
        <v>7</v>
      </c>
      <c r="B104" s="7">
        <v>10007162</v>
      </c>
      <c r="C104" s="7" t="str">
        <f t="shared" si="17"/>
        <v>FEBRERO10007162Inventario final</v>
      </c>
      <c r="D104" s="7" t="s">
        <v>378</v>
      </c>
      <c r="E104" s="3" t="s">
        <v>218</v>
      </c>
      <c r="F104" s="8">
        <v>314900</v>
      </c>
      <c r="G104" s="2" t="s">
        <v>320</v>
      </c>
      <c r="H104" s="11">
        <v>582565</v>
      </c>
      <c r="I104" s="11" t="s">
        <v>384</v>
      </c>
      <c r="J104" s="11"/>
      <c r="K104" s="11">
        <v>540145.07999999996</v>
      </c>
      <c r="L104" s="16">
        <v>1.72</v>
      </c>
      <c r="M104" s="11">
        <v>339084.53</v>
      </c>
      <c r="N104" s="11">
        <v>5037.53</v>
      </c>
      <c r="O104" s="11">
        <v>96755.06</v>
      </c>
      <c r="P104" s="11">
        <f t="shared" si="18"/>
        <v>99267.959999999905</v>
      </c>
      <c r="Q104" s="11">
        <v>1765.13</v>
      </c>
      <c r="R104" s="11">
        <v>5672.55</v>
      </c>
      <c r="S104" s="11">
        <v>48379.37</v>
      </c>
      <c r="T104" s="11">
        <v>0.18</v>
      </c>
      <c r="U104" s="11">
        <v>39855.83</v>
      </c>
      <c r="V104" s="11">
        <v>3594.8999999999069</v>
      </c>
      <c r="W104" s="55">
        <f t="shared" si="12"/>
        <v>540145.07999999996</v>
      </c>
      <c r="X104" s="74">
        <f t="shared" si="13"/>
        <v>0.627765655108809</v>
      </c>
      <c r="Y104" s="74">
        <f t="shared" si="14"/>
        <v>9.3262536057905042E-3</v>
      </c>
      <c r="Z104" s="74">
        <f t="shared" si="15"/>
        <v>0.17912791133819086</v>
      </c>
      <c r="AA104" s="74">
        <f t="shared" si="16"/>
        <v>0.18378017994720958</v>
      </c>
    </row>
    <row r="105" spans="1:27">
      <c r="A105" s="7" t="s">
        <v>6</v>
      </c>
      <c r="B105" s="7">
        <v>10009639</v>
      </c>
      <c r="C105" s="7" t="str">
        <f t="shared" si="17"/>
        <v>ENERO10009639Inventario inicial</v>
      </c>
      <c r="D105" s="7" t="s">
        <v>385</v>
      </c>
      <c r="E105" s="3" t="s">
        <v>319</v>
      </c>
      <c r="F105" s="8">
        <v>3860</v>
      </c>
      <c r="G105" s="2" t="s">
        <v>320</v>
      </c>
      <c r="H105" s="11">
        <v>7604.2</v>
      </c>
      <c r="I105" s="11">
        <v>513.41</v>
      </c>
      <c r="J105" s="11"/>
      <c r="K105" s="11">
        <v>8117.61</v>
      </c>
      <c r="L105" s="16">
        <v>2.1</v>
      </c>
      <c r="M105" s="11">
        <v>5762.32</v>
      </c>
      <c r="N105" s="11">
        <v>39.83</v>
      </c>
      <c r="O105" s="11">
        <v>1239.72</v>
      </c>
      <c r="P105" s="11">
        <f t="shared" si="18"/>
        <v>1075.7400000000002</v>
      </c>
      <c r="Q105" s="11">
        <v>35.979999999999997</v>
      </c>
      <c r="R105" s="11">
        <v>108.33</v>
      </c>
      <c r="S105" s="11">
        <v>438.49</v>
      </c>
      <c r="T105" s="11">
        <v>470.8</v>
      </c>
      <c r="U105" s="11"/>
      <c r="V105" s="11">
        <v>22.140000000000327</v>
      </c>
      <c r="W105" s="55">
        <f t="shared" si="12"/>
        <v>8117.6100000000006</v>
      </c>
      <c r="X105" s="74">
        <f t="shared" si="13"/>
        <v>0.70985425513174438</v>
      </c>
      <c r="Y105" s="74">
        <f t="shared" si="14"/>
        <v>4.9066166026699972E-3</v>
      </c>
      <c r="Z105" s="74">
        <f t="shared" si="15"/>
        <v>0.15271982763399572</v>
      </c>
      <c r="AA105" s="74">
        <f t="shared" si="16"/>
        <v>0.13251930063158987</v>
      </c>
    </row>
    <row r="106" spans="1:27">
      <c r="A106" s="7" t="s">
        <v>6</v>
      </c>
      <c r="B106" s="7">
        <v>10009639</v>
      </c>
      <c r="C106" s="7" t="str">
        <f t="shared" si="17"/>
        <v>ENERO10009639Revalorización</v>
      </c>
      <c r="D106" s="7" t="s">
        <v>385</v>
      </c>
      <c r="E106" s="3" t="s">
        <v>321</v>
      </c>
      <c r="F106" s="8">
        <v>0</v>
      </c>
      <c r="G106" s="2" t="s">
        <v>320</v>
      </c>
      <c r="H106" s="11">
        <v>308.8</v>
      </c>
      <c r="I106" s="11">
        <v>-308.8</v>
      </c>
      <c r="J106" s="11"/>
      <c r="K106" s="11">
        <v>0</v>
      </c>
      <c r="L106" s="16">
        <v>0</v>
      </c>
      <c r="M106" s="11">
        <v>0</v>
      </c>
      <c r="N106" s="11">
        <v>0</v>
      </c>
      <c r="O106" s="11">
        <v>0</v>
      </c>
      <c r="P106" s="11">
        <f t="shared" si="18"/>
        <v>0</v>
      </c>
      <c r="Q106" s="11">
        <v>0</v>
      </c>
      <c r="R106" s="11">
        <v>0</v>
      </c>
      <c r="S106" s="11">
        <v>0</v>
      </c>
      <c r="T106" s="11">
        <v>0</v>
      </c>
      <c r="U106" s="11"/>
      <c r="V106" s="11">
        <v>0</v>
      </c>
      <c r="W106" s="55">
        <f t="shared" si="12"/>
        <v>0</v>
      </c>
      <c r="X106" s="74" t="e">
        <f t="shared" si="13"/>
        <v>#DIV/0!</v>
      </c>
      <c r="Y106" s="74" t="e">
        <f t="shared" si="14"/>
        <v>#DIV/0!</v>
      </c>
      <c r="Z106" s="74" t="e">
        <f t="shared" si="15"/>
        <v>#DIV/0!</v>
      </c>
      <c r="AA106" s="74" t="e">
        <f t="shared" si="16"/>
        <v>#DIV/0!</v>
      </c>
    </row>
    <row r="107" spans="1:27">
      <c r="A107" s="7" t="s">
        <v>6</v>
      </c>
      <c r="B107" s="7">
        <v>10009639</v>
      </c>
      <c r="C107" s="7" t="str">
        <f t="shared" si="17"/>
        <v>ENERO10009639Entradas</v>
      </c>
      <c r="D107" s="7" t="s">
        <v>385</v>
      </c>
      <c r="E107" s="3" t="s">
        <v>164</v>
      </c>
      <c r="F107" s="8">
        <v>26860</v>
      </c>
      <c r="G107" s="2" t="s">
        <v>320</v>
      </c>
      <c r="H107" s="11">
        <v>55063</v>
      </c>
      <c r="I107" s="11">
        <v>-5635.69</v>
      </c>
      <c r="J107" s="11"/>
      <c r="K107" s="11">
        <v>49427.31</v>
      </c>
      <c r="L107" s="16">
        <v>1.84</v>
      </c>
      <c r="M107" s="11">
        <v>30972.47</v>
      </c>
      <c r="N107" s="11">
        <v>431.84</v>
      </c>
      <c r="O107" s="11">
        <v>8205.1</v>
      </c>
      <c r="P107" s="11">
        <f t="shared" si="18"/>
        <v>9817.8999999999942</v>
      </c>
      <c r="Q107" s="11">
        <v>69.849999999999994</v>
      </c>
      <c r="R107" s="11">
        <v>534.64</v>
      </c>
      <c r="S107" s="11">
        <v>4884.6899999999996</v>
      </c>
      <c r="T107" s="11">
        <v>3953.75</v>
      </c>
      <c r="U107" s="11"/>
      <c r="V107" s="11">
        <v>374.96999999999389</v>
      </c>
      <c r="W107" s="55">
        <f t="shared" si="12"/>
        <v>49427.31</v>
      </c>
      <c r="X107" s="74">
        <f t="shared" si="13"/>
        <v>0.62662665639704052</v>
      </c>
      <c r="Y107" s="74">
        <f t="shared" si="14"/>
        <v>8.7368703657957521E-3</v>
      </c>
      <c r="Z107" s="74">
        <f t="shared" si="15"/>
        <v>0.16600336939234606</v>
      </c>
      <c r="AA107" s="74">
        <f t="shared" si="16"/>
        <v>0.19863310384481767</v>
      </c>
    </row>
    <row r="108" spans="1:27">
      <c r="A108" s="7" t="s">
        <v>6</v>
      </c>
      <c r="B108" s="7">
        <v>10009639</v>
      </c>
      <c r="C108" s="7" t="str">
        <f t="shared" si="17"/>
        <v>ENERO10009639Inv. acumulado</v>
      </c>
      <c r="D108" s="7" t="s">
        <v>385</v>
      </c>
      <c r="E108" s="3" t="s">
        <v>330</v>
      </c>
      <c r="F108" s="8">
        <v>30720</v>
      </c>
      <c r="G108" s="2" t="s">
        <v>320</v>
      </c>
      <c r="H108" s="11">
        <v>62976</v>
      </c>
      <c r="I108" s="11">
        <v>-5431.08</v>
      </c>
      <c r="J108" s="11"/>
      <c r="K108" s="11">
        <v>57544.92</v>
      </c>
      <c r="L108" s="16">
        <v>1.87</v>
      </c>
      <c r="M108" s="11">
        <v>36734.79</v>
      </c>
      <c r="N108" s="11">
        <v>471.67</v>
      </c>
      <c r="O108" s="11">
        <v>9444.82</v>
      </c>
      <c r="P108" s="11">
        <f t="shared" si="18"/>
        <v>10893.640000000001</v>
      </c>
      <c r="Q108" s="11">
        <v>105.83</v>
      </c>
      <c r="R108" s="11">
        <v>642.97</v>
      </c>
      <c r="S108" s="11">
        <v>5323.18</v>
      </c>
      <c r="T108" s="11">
        <v>4424.55</v>
      </c>
      <c r="U108" s="11"/>
      <c r="V108" s="11">
        <v>397.11000000000058</v>
      </c>
      <c r="W108" s="55">
        <f t="shared" si="12"/>
        <v>57544.92</v>
      </c>
      <c r="X108" s="74">
        <f t="shared" si="13"/>
        <v>0.63836720947739611</v>
      </c>
      <c r="Y108" s="74">
        <f t="shared" si="14"/>
        <v>8.1965532318056932E-3</v>
      </c>
      <c r="Z108" s="74">
        <f t="shared" si="15"/>
        <v>0.16412951829631531</v>
      </c>
      <c r="AA108" s="74">
        <f t="shared" si="16"/>
        <v>0.18930671899448295</v>
      </c>
    </row>
    <row r="109" spans="1:27">
      <c r="A109" s="7" t="s">
        <v>6</v>
      </c>
      <c r="B109" s="7">
        <v>10009639</v>
      </c>
      <c r="C109" s="7" t="str">
        <f t="shared" si="17"/>
        <v>ENERO10009639Compensación</v>
      </c>
      <c r="D109" s="7" t="s">
        <v>385</v>
      </c>
      <c r="E109" s="3" t="s">
        <v>114</v>
      </c>
      <c r="F109" s="8">
        <v>2340</v>
      </c>
      <c r="G109" s="2" t="s">
        <v>320</v>
      </c>
      <c r="H109" s="11">
        <v>4797</v>
      </c>
      <c r="I109" s="11">
        <v>-413.7</v>
      </c>
      <c r="J109" s="11"/>
      <c r="K109" s="11">
        <v>4383.3</v>
      </c>
      <c r="L109" s="16">
        <v>1.87</v>
      </c>
      <c r="M109" s="11">
        <v>2798.16</v>
      </c>
      <c r="N109" s="11">
        <v>35.93</v>
      </c>
      <c r="O109" s="11">
        <v>719.43</v>
      </c>
      <c r="P109" s="11">
        <f t="shared" si="18"/>
        <v>829.78000000000065</v>
      </c>
      <c r="Q109" s="11">
        <v>8.06</v>
      </c>
      <c r="R109" s="11">
        <v>48.97</v>
      </c>
      <c r="S109" s="11">
        <v>405.48</v>
      </c>
      <c r="T109" s="11">
        <v>337.03</v>
      </c>
      <c r="U109" s="11"/>
      <c r="V109" s="11">
        <v>30.240000000000691</v>
      </c>
      <c r="W109" s="55">
        <f t="shared" si="12"/>
        <v>4383.3</v>
      </c>
      <c r="X109" s="74">
        <f t="shared" si="13"/>
        <v>0.63836835261104641</v>
      </c>
      <c r="Y109" s="74">
        <f t="shared" si="14"/>
        <v>8.1970205096616698E-3</v>
      </c>
      <c r="Z109" s="74">
        <f t="shared" si="15"/>
        <v>0.16412976524536307</v>
      </c>
      <c r="AA109" s="74">
        <f t="shared" si="16"/>
        <v>0.18930486163392893</v>
      </c>
    </row>
    <row r="110" spans="1:27">
      <c r="A110" s="7" t="s">
        <v>6</v>
      </c>
      <c r="B110" s="7">
        <v>10009639</v>
      </c>
      <c r="C110" s="7" t="str">
        <f t="shared" si="17"/>
        <v>ENERO10009639Inventario final</v>
      </c>
      <c r="D110" s="7" t="s">
        <v>385</v>
      </c>
      <c r="E110" s="3" t="s">
        <v>218</v>
      </c>
      <c r="F110" s="9">
        <v>28380</v>
      </c>
      <c r="G110" s="3" t="s">
        <v>320</v>
      </c>
      <c r="H110" s="12">
        <v>58179</v>
      </c>
      <c r="I110" s="12">
        <v>-5017.38</v>
      </c>
      <c r="J110" s="15"/>
      <c r="K110" s="12">
        <v>53161.62</v>
      </c>
      <c r="L110" s="17">
        <v>1.87</v>
      </c>
      <c r="M110" s="12">
        <v>33936.629999999997</v>
      </c>
      <c r="N110" s="12">
        <v>435.74</v>
      </c>
      <c r="O110" s="12">
        <v>8725.39</v>
      </c>
      <c r="P110" s="12">
        <f t="shared" si="18"/>
        <v>10063.86000000001</v>
      </c>
      <c r="Q110" s="12">
        <v>97.77</v>
      </c>
      <c r="R110" s="12">
        <v>594</v>
      </c>
      <c r="S110" s="12">
        <v>4917.7</v>
      </c>
      <c r="T110" s="11">
        <v>4087.52</v>
      </c>
      <c r="U110" s="11"/>
      <c r="V110" s="11">
        <v>366.8700000000099</v>
      </c>
      <c r="W110" s="55">
        <f t="shared" si="12"/>
        <v>53161.62</v>
      </c>
      <c r="X110" s="74">
        <f t="shared" si="13"/>
        <v>0.63836711522335088</v>
      </c>
      <c r="Y110" s="74">
        <f t="shared" si="14"/>
        <v>8.1965147036527474E-3</v>
      </c>
      <c r="Z110" s="74">
        <f t="shared" si="15"/>
        <v>0.16412949793478826</v>
      </c>
      <c r="AA110" s="74">
        <f t="shared" si="16"/>
        <v>0.18930687213820815</v>
      </c>
    </row>
    <row r="111" spans="1:27">
      <c r="A111" s="7" t="s">
        <v>7</v>
      </c>
      <c r="B111" s="7">
        <v>10009639</v>
      </c>
      <c r="C111" s="7" t="str">
        <f t="shared" si="17"/>
        <v>FEBRERO10009639Inventario inicial</v>
      </c>
      <c r="D111" s="7" t="s">
        <v>385</v>
      </c>
      <c r="E111" s="3" t="s">
        <v>319</v>
      </c>
      <c r="F111" s="8">
        <v>28380</v>
      </c>
      <c r="G111" s="2" t="s">
        <v>320</v>
      </c>
      <c r="H111" s="11">
        <v>58179</v>
      </c>
      <c r="I111" s="11" t="s">
        <v>386</v>
      </c>
      <c r="J111" s="11"/>
      <c r="K111" s="11">
        <v>53161.62</v>
      </c>
      <c r="L111" s="16">
        <v>1.87</v>
      </c>
      <c r="M111" s="11">
        <v>33936.629999999997</v>
      </c>
      <c r="N111" s="11">
        <v>435.74</v>
      </c>
      <c r="O111" s="11">
        <v>8725.39</v>
      </c>
      <c r="P111" s="11">
        <f t="shared" si="18"/>
        <v>10063.860000000008</v>
      </c>
      <c r="Q111" s="11">
        <v>97.77</v>
      </c>
      <c r="R111" s="11">
        <v>594</v>
      </c>
      <c r="S111" s="11">
        <v>4917.7</v>
      </c>
      <c r="T111" s="11">
        <v>0.01</v>
      </c>
      <c r="U111" s="11">
        <v>4087.52</v>
      </c>
      <c r="V111" s="11">
        <v>366.86000000000786</v>
      </c>
      <c r="W111" s="55">
        <f t="shared" si="12"/>
        <v>53161.62</v>
      </c>
      <c r="X111" s="74">
        <f t="shared" si="13"/>
        <v>0.63836711522335088</v>
      </c>
      <c r="Y111" s="74">
        <f t="shared" si="14"/>
        <v>8.1965147036527474E-3</v>
      </c>
      <c r="Z111" s="74">
        <f t="shared" si="15"/>
        <v>0.16412949793478826</v>
      </c>
      <c r="AA111" s="74">
        <f t="shared" si="16"/>
        <v>0.18930687213820813</v>
      </c>
    </row>
    <row r="112" spans="1:27">
      <c r="A112" s="7" t="s">
        <v>7</v>
      </c>
      <c r="B112" s="7">
        <v>10009639</v>
      </c>
      <c r="C112" s="7" t="str">
        <f t="shared" si="17"/>
        <v>FEBRERO10009639Revalorización</v>
      </c>
      <c r="D112" s="7" t="s">
        <v>385</v>
      </c>
      <c r="E112" s="3" t="s">
        <v>321</v>
      </c>
      <c r="F112" s="8">
        <v>0</v>
      </c>
      <c r="G112" s="2" t="s">
        <v>320</v>
      </c>
      <c r="H112" s="11">
        <v>1419</v>
      </c>
      <c r="I112" s="11" t="s">
        <v>387</v>
      </c>
      <c r="J112" s="11"/>
      <c r="K112" s="11">
        <v>0</v>
      </c>
      <c r="L112" s="16">
        <v>0</v>
      </c>
      <c r="M112" s="11">
        <v>0</v>
      </c>
      <c r="N112" s="11">
        <v>0</v>
      </c>
      <c r="O112" s="11">
        <v>0</v>
      </c>
      <c r="P112" s="11">
        <f t="shared" si="18"/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55">
        <f t="shared" si="12"/>
        <v>0</v>
      </c>
      <c r="X112" s="74" t="e">
        <f t="shared" si="13"/>
        <v>#DIV/0!</v>
      </c>
      <c r="Y112" s="74" t="e">
        <f t="shared" si="14"/>
        <v>#DIV/0!</v>
      </c>
      <c r="Z112" s="74" t="e">
        <f t="shared" si="15"/>
        <v>#DIV/0!</v>
      </c>
      <c r="AA112" s="74" t="e">
        <f t="shared" si="16"/>
        <v>#DIV/0!</v>
      </c>
    </row>
    <row r="113" spans="1:27">
      <c r="A113" s="7" t="s">
        <v>7</v>
      </c>
      <c r="B113" s="7">
        <v>10009639</v>
      </c>
      <c r="C113" s="7" t="str">
        <f t="shared" si="17"/>
        <v>FEBRERO10009639Entradas</v>
      </c>
      <c r="D113" s="7" t="s">
        <v>385</v>
      </c>
      <c r="E113" s="3" t="s">
        <v>164</v>
      </c>
      <c r="F113" s="8">
        <v>45420</v>
      </c>
      <c r="G113" s="2" t="s">
        <v>320</v>
      </c>
      <c r="H113" s="11">
        <v>95382</v>
      </c>
      <c r="I113" s="11" t="s">
        <v>388</v>
      </c>
      <c r="J113" s="11"/>
      <c r="K113" s="11">
        <v>76075.97</v>
      </c>
      <c r="L113" s="16">
        <v>1.67</v>
      </c>
      <c r="M113" s="11">
        <v>46863.23</v>
      </c>
      <c r="N113" s="11">
        <v>642.69000000000005</v>
      </c>
      <c r="O113" s="11">
        <v>13960.46</v>
      </c>
      <c r="P113" s="11">
        <f t="shared" si="18"/>
        <v>14609.589999999995</v>
      </c>
      <c r="Q113" s="11">
        <v>318.62</v>
      </c>
      <c r="R113" s="11">
        <v>783.5</v>
      </c>
      <c r="S113" s="11">
        <v>7157.42</v>
      </c>
      <c r="T113" s="11">
        <v>0.06</v>
      </c>
      <c r="U113" s="11">
        <v>5794.23</v>
      </c>
      <c r="V113" s="11">
        <v>555.75999999999476</v>
      </c>
      <c r="W113" s="55">
        <f t="shared" si="12"/>
        <v>76075.97</v>
      </c>
      <c r="X113" s="74">
        <f t="shared" si="13"/>
        <v>0.61600568484371609</v>
      </c>
      <c r="Y113" s="74">
        <f t="shared" si="14"/>
        <v>8.4480027004585033E-3</v>
      </c>
      <c r="Z113" s="74">
        <f t="shared" si="15"/>
        <v>0.18350682876603477</v>
      </c>
      <c r="AA113" s="74">
        <f t="shared" si="16"/>
        <v>0.19203948368979054</v>
      </c>
    </row>
    <row r="114" spans="1:27">
      <c r="A114" s="7" t="s">
        <v>7</v>
      </c>
      <c r="B114" s="7">
        <v>10009639</v>
      </c>
      <c r="C114" s="7" t="str">
        <f t="shared" si="17"/>
        <v>FEBRERO10009639Inventario acumulado</v>
      </c>
      <c r="D114" s="7" t="s">
        <v>385</v>
      </c>
      <c r="E114" s="3" t="s">
        <v>322</v>
      </c>
      <c r="F114" s="8">
        <v>73800</v>
      </c>
      <c r="G114" s="2" t="s">
        <v>320</v>
      </c>
      <c r="H114" s="11">
        <v>154980</v>
      </c>
      <c r="I114" s="11" t="s">
        <v>389</v>
      </c>
      <c r="J114" s="11"/>
      <c r="K114" s="11">
        <v>129237.59</v>
      </c>
      <c r="L114" s="16">
        <v>1.75</v>
      </c>
      <c r="M114" s="11">
        <v>80799.86</v>
      </c>
      <c r="N114" s="11">
        <v>1078.43</v>
      </c>
      <c r="O114" s="11">
        <v>22685.85</v>
      </c>
      <c r="P114" s="11">
        <f t="shared" si="18"/>
        <v>24673.450000000012</v>
      </c>
      <c r="Q114" s="11">
        <v>416.39</v>
      </c>
      <c r="R114" s="11">
        <v>1377.5</v>
      </c>
      <c r="S114" s="11">
        <v>12075.12</v>
      </c>
      <c r="T114" s="11">
        <v>7.0000000000000007E-2</v>
      </c>
      <c r="U114" s="11">
        <v>9881.75</v>
      </c>
      <c r="V114" s="11">
        <v>922.6200000000099</v>
      </c>
      <c r="W114" s="55">
        <f t="shared" si="12"/>
        <v>129237.59</v>
      </c>
      <c r="X114" s="74">
        <f t="shared" si="13"/>
        <v>0.62520401378577239</v>
      </c>
      <c r="Y114" s="74">
        <f t="shared" si="14"/>
        <v>8.3445536240655694E-3</v>
      </c>
      <c r="Z114" s="74">
        <f t="shared" si="15"/>
        <v>0.17553600310869305</v>
      </c>
      <c r="AA114" s="74">
        <f t="shared" si="16"/>
        <v>0.19091542948146906</v>
      </c>
    </row>
    <row r="115" spans="1:27">
      <c r="A115" s="7" t="s">
        <v>7</v>
      </c>
      <c r="B115" s="7">
        <v>10009639</v>
      </c>
      <c r="C115" s="7" t="str">
        <f t="shared" si="17"/>
        <v>FEBRERO10009639Compensación</v>
      </c>
      <c r="D115" s="7" t="s">
        <v>385</v>
      </c>
      <c r="E115" s="3" t="s">
        <v>114</v>
      </c>
      <c r="F115" s="8">
        <v>26820</v>
      </c>
      <c r="G115" s="2" t="s">
        <v>320</v>
      </c>
      <c r="H115" s="11">
        <v>56322</v>
      </c>
      <c r="I115" s="11" t="s">
        <v>390</v>
      </c>
      <c r="J115" s="11"/>
      <c r="K115" s="11">
        <v>46966.83</v>
      </c>
      <c r="L115" s="16">
        <v>1.75</v>
      </c>
      <c r="M115" s="11">
        <v>29363.85</v>
      </c>
      <c r="N115" s="11">
        <v>391.92</v>
      </c>
      <c r="O115" s="11">
        <v>8244.3700000000008</v>
      </c>
      <c r="P115" s="11">
        <f t="shared" si="18"/>
        <v>8966.69</v>
      </c>
      <c r="Q115" s="11">
        <v>151.32</v>
      </c>
      <c r="R115" s="11">
        <v>500.6</v>
      </c>
      <c r="S115" s="11">
        <v>4388.28</v>
      </c>
      <c r="T115" s="11">
        <v>0.03</v>
      </c>
      <c r="U115" s="11">
        <v>3591.17</v>
      </c>
      <c r="V115" s="11">
        <v>335.29000000000087</v>
      </c>
      <c r="W115" s="55">
        <f t="shared" si="12"/>
        <v>46966.83</v>
      </c>
      <c r="X115" s="74">
        <f t="shared" si="13"/>
        <v>0.62520400035514423</v>
      </c>
      <c r="Y115" s="74">
        <f t="shared" si="14"/>
        <v>8.3446125701904933E-3</v>
      </c>
      <c r="Z115" s="74">
        <f t="shared" si="15"/>
        <v>0.17553601126582313</v>
      </c>
      <c r="AA115" s="74">
        <f t="shared" si="16"/>
        <v>0.1909153758088421</v>
      </c>
    </row>
    <row r="116" spans="1:27">
      <c r="A116" s="7" t="s">
        <v>7</v>
      </c>
      <c r="B116" s="7">
        <v>10009639</v>
      </c>
      <c r="C116" s="7" t="str">
        <f t="shared" si="17"/>
        <v>FEBRERO10009639Inventario final</v>
      </c>
      <c r="D116" s="7" t="s">
        <v>385</v>
      </c>
      <c r="E116" s="3" t="s">
        <v>218</v>
      </c>
      <c r="F116" s="8">
        <v>46980</v>
      </c>
      <c r="G116" s="2" t="s">
        <v>320</v>
      </c>
      <c r="H116" s="11">
        <v>98658</v>
      </c>
      <c r="I116" s="11" t="s">
        <v>391</v>
      </c>
      <c r="J116" s="11"/>
      <c r="K116" s="11">
        <v>82270.759999999995</v>
      </c>
      <c r="L116" s="16">
        <v>1.75</v>
      </c>
      <c r="M116" s="11">
        <v>51436.01</v>
      </c>
      <c r="N116" s="11">
        <v>686.51</v>
      </c>
      <c r="O116" s="11">
        <v>14441.48</v>
      </c>
      <c r="P116" s="11">
        <f t="shared" si="18"/>
        <v>15706.760000000002</v>
      </c>
      <c r="Q116" s="11">
        <v>265.07</v>
      </c>
      <c r="R116" s="11">
        <v>876.9</v>
      </c>
      <c r="S116" s="11">
        <v>7686.84</v>
      </c>
      <c r="T116" s="11">
        <v>0.04</v>
      </c>
      <c r="U116" s="11">
        <v>6290.58</v>
      </c>
      <c r="V116" s="11">
        <v>587.33000000000175</v>
      </c>
      <c r="W116" s="55">
        <f t="shared" si="12"/>
        <v>82270.760000000009</v>
      </c>
      <c r="X116" s="74">
        <f t="shared" si="13"/>
        <v>0.62520402145306542</v>
      </c>
      <c r="Y116" s="74">
        <f t="shared" si="14"/>
        <v>8.3445199728311732E-3</v>
      </c>
      <c r="Z116" s="74">
        <f t="shared" si="15"/>
        <v>0.17553599845194087</v>
      </c>
      <c r="AA116" s="74">
        <f t="shared" si="16"/>
        <v>0.19091546012216248</v>
      </c>
    </row>
    <row r="117" spans="1:27">
      <c r="A117" s="7" t="s">
        <v>6</v>
      </c>
      <c r="B117" s="7">
        <v>10009239</v>
      </c>
      <c r="C117" s="7" t="str">
        <f t="shared" si="17"/>
        <v>ENERO10009239Inventario inicial</v>
      </c>
      <c r="D117" s="7" t="s">
        <v>392</v>
      </c>
      <c r="E117" s="3" t="s">
        <v>319</v>
      </c>
      <c r="F117" s="8">
        <v>420</v>
      </c>
      <c r="G117" s="2" t="s">
        <v>320</v>
      </c>
      <c r="H117" s="11">
        <v>1054.2</v>
      </c>
      <c r="I117" s="11">
        <v>1049.78</v>
      </c>
      <c r="J117" s="11"/>
      <c r="K117" s="11">
        <v>2103.98</v>
      </c>
      <c r="L117" s="16">
        <v>5.01</v>
      </c>
      <c r="M117" s="11">
        <v>1391.81</v>
      </c>
      <c r="N117" s="11">
        <v>13.45</v>
      </c>
      <c r="O117" s="11">
        <v>517.6</v>
      </c>
      <c r="P117" s="11">
        <f t="shared" si="18"/>
        <v>181.11999999999983</v>
      </c>
      <c r="Q117" s="11">
        <v>19.48</v>
      </c>
      <c r="R117" s="11">
        <v>70.41</v>
      </c>
      <c r="S117" s="11">
        <v>77.03</v>
      </c>
      <c r="T117" s="11"/>
      <c r="U117" s="11"/>
      <c r="V117" s="11">
        <v>14.199999999999818</v>
      </c>
      <c r="W117" s="55">
        <f t="shared" si="12"/>
        <v>2103.98</v>
      </c>
      <c r="X117" s="74">
        <f t="shared" si="13"/>
        <v>0.6615129421382332</v>
      </c>
      <c r="Y117" s="74">
        <f t="shared" si="14"/>
        <v>6.3926463179307782E-3</v>
      </c>
      <c r="Z117" s="74">
        <f t="shared" si="15"/>
        <v>0.24600994306029525</v>
      </c>
      <c r="AA117" s="74">
        <f t="shared" si="16"/>
        <v>8.6084468483540635E-2</v>
      </c>
    </row>
    <row r="118" spans="1:27">
      <c r="A118" s="7" t="s">
        <v>6</v>
      </c>
      <c r="B118" s="7">
        <v>10009239</v>
      </c>
      <c r="C118" s="7" t="str">
        <f t="shared" si="17"/>
        <v>ENERO10009239Revalorización</v>
      </c>
      <c r="D118" s="7" t="s">
        <v>392</v>
      </c>
      <c r="E118" s="3" t="s">
        <v>321</v>
      </c>
      <c r="F118" s="8">
        <v>0</v>
      </c>
      <c r="G118" s="2" t="s">
        <v>320</v>
      </c>
      <c r="H118" s="11">
        <v>2335.1999999999998</v>
      </c>
      <c r="I118" s="11">
        <v>-2335.1999999999998</v>
      </c>
      <c r="J118" s="11"/>
      <c r="K118" s="11">
        <v>0</v>
      </c>
      <c r="L118" s="16">
        <v>0</v>
      </c>
      <c r="M118" s="11">
        <v>0</v>
      </c>
      <c r="N118" s="11">
        <v>0</v>
      </c>
      <c r="O118" s="11">
        <v>0</v>
      </c>
      <c r="P118" s="11">
        <f t="shared" si="18"/>
        <v>0</v>
      </c>
      <c r="Q118" s="11">
        <v>0</v>
      </c>
      <c r="R118" s="11">
        <v>0</v>
      </c>
      <c r="S118" s="11">
        <v>0</v>
      </c>
      <c r="T118" s="11"/>
      <c r="U118" s="11"/>
      <c r="V118" s="11">
        <v>0</v>
      </c>
      <c r="W118" s="55">
        <f t="shared" si="12"/>
        <v>0</v>
      </c>
      <c r="X118" s="74" t="e">
        <f t="shared" si="13"/>
        <v>#DIV/0!</v>
      </c>
      <c r="Y118" s="74" t="e">
        <f t="shared" si="14"/>
        <v>#DIV/0!</v>
      </c>
      <c r="Z118" s="74" t="e">
        <f t="shared" si="15"/>
        <v>#DIV/0!</v>
      </c>
      <c r="AA118" s="74" t="e">
        <f t="shared" si="16"/>
        <v>#DIV/0!</v>
      </c>
    </row>
    <row r="119" spans="1:27">
      <c r="A119" s="7" t="s">
        <v>6</v>
      </c>
      <c r="B119" s="7">
        <v>10009239</v>
      </c>
      <c r="C119" s="7" t="str">
        <f t="shared" si="17"/>
        <v>ENERO10009239Entradas</v>
      </c>
      <c r="D119" s="7" t="s">
        <v>392</v>
      </c>
      <c r="E119" s="3" t="s">
        <v>164</v>
      </c>
      <c r="F119" s="8">
        <v>102060</v>
      </c>
      <c r="G119" s="2" t="s">
        <v>320</v>
      </c>
      <c r="H119" s="11">
        <v>823624.2</v>
      </c>
      <c r="I119" s="11">
        <v>-598995.24</v>
      </c>
      <c r="J119" s="11"/>
      <c r="K119" s="11">
        <v>224628.96</v>
      </c>
      <c r="L119" s="16">
        <v>2.2000000000000002</v>
      </c>
      <c r="M119" s="11">
        <v>116155.77</v>
      </c>
      <c r="N119" s="11">
        <v>1473.55</v>
      </c>
      <c r="O119" s="11">
        <v>74847.429999999993</v>
      </c>
      <c r="P119" s="11">
        <f t="shared" si="18"/>
        <v>32152.209999999985</v>
      </c>
      <c r="Q119" s="11">
        <v>1754.52</v>
      </c>
      <c r="R119" s="11">
        <v>16029.94</v>
      </c>
      <c r="S119" s="11">
        <v>12974.89</v>
      </c>
      <c r="T119" s="11"/>
      <c r="U119" s="11"/>
      <c r="V119" s="11">
        <v>1392.859999999986</v>
      </c>
      <c r="W119" s="55">
        <f t="shared" si="12"/>
        <v>224628.96</v>
      </c>
      <c r="X119" s="74">
        <f t="shared" si="13"/>
        <v>0.51710060002948866</v>
      </c>
      <c r="Y119" s="74">
        <f t="shared" si="14"/>
        <v>6.5599288711482261E-3</v>
      </c>
      <c r="Z119" s="74">
        <f t="shared" si="15"/>
        <v>0.33320472124342293</v>
      </c>
      <c r="AA119" s="74">
        <f t="shared" si="16"/>
        <v>0.14313474985594016</v>
      </c>
    </row>
    <row r="120" spans="1:27">
      <c r="A120" s="7" t="s">
        <v>6</v>
      </c>
      <c r="B120" s="7">
        <v>10009239</v>
      </c>
      <c r="C120" s="7" t="str">
        <f t="shared" si="17"/>
        <v>ENERO10009239Inv. acumulado</v>
      </c>
      <c r="D120" s="7" t="s">
        <v>392</v>
      </c>
      <c r="E120" s="3" t="s">
        <v>330</v>
      </c>
      <c r="F120" s="8">
        <v>102480</v>
      </c>
      <c r="G120" s="2" t="s">
        <v>320</v>
      </c>
      <c r="H120" s="11">
        <v>827013.6</v>
      </c>
      <c r="I120" s="11">
        <v>-600280.66</v>
      </c>
      <c r="J120" s="11"/>
      <c r="K120" s="11">
        <v>226732.94</v>
      </c>
      <c r="L120" s="16">
        <v>2.21</v>
      </c>
      <c r="M120" s="11">
        <v>117547.58</v>
      </c>
      <c r="N120" s="11">
        <v>1487</v>
      </c>
      <c r="O120" s="11">
        <v>75365.03</v>
      </c>
      <c r="P120" s="11">
        <f t="shared" si="18"/>
        <v>32333.330000000024</v>
      </c>
      <c r="Q120" s="11">
        <v>1774</v>
      </c>
      <c r="R120" s="11">
        <v>16100.35</v>
      </c>
      <c r="S120" s="11">
        <v>13051.92</v>
      </c>
      <c r="T120" s="11"/>
      <c r="U120" s="11"/>
      <c r="V120" s="11">
        <v>1407.0600000000268</v>
      </c>
      <c r="W120" s="55">
        <f t="shared" si="12"/>
        <v>226732.94</v>
      </c>
      <c r="X120" s="74">
        <f t="shared" si="13"/>
        <v>0.51844068179947744</v>
      </c>
      <c r="Y120" s="74">
        <f t="shared" si="14"/>
        <v>6.5583765640757803E-3</v>
      </c>
      <c r="Z120" s="74">
        <f t="shared" si="15"/>
        <v>0.33239559280623271</v>
      </c>
      <c r="AA120" s="74">
        <f t="shared" si="16"/>
        <v>0.1426053488302142</v>
      </c>
    </row>
    <row r="121" spans="1:27">
      <c r="A121" s="7" t="s">
        <v>6</v>
      </c>
      <c r="B121" s="7">
        <v>10009239</v>
      </c>
      <c r="C121" s="7" t="str">
        <f t="shared" si="17"/>
        <v>ENERO10009239Inventario final</v>
      </c>
      <c r="D121" s="7" t="s">
        <v>392</v>
      </c>
      <c r="E121" s="3" t="s">
        <v>218</v>
      </c>
      <c r="F121" s="9">
        <v>102480</v>
      </c>
      <c r="G121" s="3" t="s">
        <v>320</v>
      </c>
      <c r="H121" s="12">
        <v>827013.6</v>
      </c>
      <c r="I121" s="12">
        <v>-600280.66</v>
      </c>
      <c r="J121" s="13"/>
      <c r="K121" s="12">
        <v>226732.94</v>
      </c>
      <c r="L121" s="17">
        <v>2.21</v>
      </c>
      <c r="M121" s="12">
        <v>117547.58</v>
      </c>
      <c r="N121" s="12">
        <v>1487</v>
      </c>
      <c r="O121" s="12">
        <v>75365.03</v>
      </c>
      <c r="P121" s="12">
        <f t="shared" si="18"/>
        <v>32333.330000000024</v>
      </c>
      <c r="Q121" s="12">
        <v>1774</v>
      </c>
      <c r="R121" s="12">
        <v>16100.35</v>
      </c>
      <c r="S121" s="12">
        <v>13051.92</v>
      </c>
      <c r="T121" s="11"/>
      <c r="U121" s="11"/>
      <c r="V121" s="11">
        <v>1407.0600000000268</v>
      </c>
      <c r="W121" s="55">
        <f t="shared" si="12"/>
        <v>226732.94</v>
      </c>
      <c r="X121" s="74">
        <f t="shared" si="13"/>
        <v>0.51844068179947744</v>
      </c>
      <c r="Y121" s="74">
        <f t="shared" si="14"/>
        <v>6.5583765640757803E-3</v>
      </c>
      <c r="Z121" s="74">
        <f t="shared" si="15"/>
        <v>0.33239559280623271</v>
      </c>
      <c r="AA121" s="74">
        <f t="shared" si="16"/>
        <v>0.1426053488302142</v>
      </c>
    </row>
    <row r="122" spans="1:27">
      <c r="A122" s="7" t="s">
        <v>7</v>
      </c>
      <c r="B122" s="7">
        <v>10009239</v>
      </c>
      <c r="C122" s="7" t="str">
        <f t="shared" si="17"/>
        <v>FEBRERO10009239Inventario inicial</v>
      </c>
      <c r="D122" s="7" t="s">
        <v>392</v>
      </c>
      <c r="E122" s="3" t="s">
        <v>319</v>
      </c>
      <c r="F122" s="9">
        <v>102480</v>
      </c>
      <c r="G122" s="3" t="s">
        <v>320</v>
      </c>
      <c r="H122" s="12">
        <v>827013.6</v>
      </c>
      <c r="I122" s="12" t="s">
        <v>393</v>
      </c>
      <c r="J122" s="13"/>
      <c r="K122" s="12">
        <v>226732.94</v>
      </c>
      <c r="L122" s="17">
        <v>2.21</v>
      </c>
      <c r="M122" s="12">
        <v>117547.58</v>
      </c>
      <c r="N122" s="12">
        <v>1487</v>
      </c>
      <c r="O122" s="12">
        <v>75365.03</v>
      </c>
      <c r="P122" s="12">
        <f t="shared" si="18"/>
        <v>32333.330000000009</v>
      </c>
      <c r="Q122" s="12">
        <v>237.66</v>
      </c>
      <c r="R122" s="12">
        <v>1774</v>
      </c>
      <c r="S122" s="12">
        <v>16100.35</v>
      </c>
      <c r="T122" s="11">
        <v>0.02</v>
      </c>
      <c r="U122" s="11">
        <v>13051.92</v>
      </c>
      <c r="V122" s="11">
        <v>1169.3800000000047</v>
      </c>
      <c r="W122" s="55">
        <f t="shared" si="12"/>
        <v>226732.94</v>
      </c>
      <c r="X122" s="74">
        <f t="shared" si="13"/>
        <v>0.51844068179947744</v>
      </c>
      <c r="Y122" s="74">
        <f t="shared" si="14"/>
        <v>6.5583765640757803E-3</v>
      </c>
      <c r="Z122" s="74">
        <f t="shared" si="15"/>
        <v>0.33239559280623271</v>
      </c>
      <c r="AA122" s="74">
        <f t="shared" si="16"/>
        <v>0.14260534883021411</v>
      </c>
    </row>
    <row r="123" spans="1:27">
      <c r="A123" s="7" t="s">
        <v>7</v>
      </c>
      <c r="B123" s="7">
        <v>10009239</v>
      </c>
      <c r="C123" s="7" t="str">
        <f t="shared" si="17"/>
        <v>FEBRERO10009239Revalorización</v>
      </c>
      <c r="D123" s="7" t="s">
        <v>392</v>
      </c>
      <c r="E123" s="3" t="s">
        <v>321</v>
      </c>
      <c r="F123" s="9">
        <v>0</v>
      </c>
      <c r="G123" s="3" t="s">
        <v>320</v>
      </c>
      <c r="H123" s="12" t="s">
        <v>394</v>
      </c>
      <c r="I123" s="12">
        <v>313588.8</v>
      </c>
      <c r="J123" s="13"/>
      <c r="K123" s="12">
        <v>0</v>
      </c>
      <c r="L123" s="17">
        <v>0</v>
      </c>
      <c r="M123" s="12">
        <v>0</v>
      </c>
      <c r="N123" s="12">
        <v>0</v>
      </c>
      <c r="O123" s="12">
        <v>0</v>
      </c>
      <c r="P123" s="12">
        <f t="shared" si="18"/>
        <v>0</v>
      </c>
      <c r="Q123" s="12">
        <v>0</v>
      </c>
      <c r="R123" s="12">
        <v>0</v>
      </c>
      <c r="S123" s="12">
        <v>0</v>
      </c>
      <c r="T123" s="11">
        <v>0</v>
      </c>
      <c r="U123" s="11">
        <v>0</v>
      </c>
      <c r="V123" s="11">
        <v>0</v>
      </c>
      <c r="W123" s="55">
        <f t="shared" si="12"/>
        <v>0</v>
      </c>
      <c r="X123" s="74" t="e">
        <f t="shared" si="13"/>
        <v>#DIV/0!</v>
      </c>
      <c r="Y123" s="74" t="e">
        <f t="shared" si="14"/>
        <v>#DIV/0!</v>
      </c>
      <c r="Z123" s="74" t="e">
        <f t="shared" si="15"/>
        <v>#DIV/0!</v>
      </c>
      <c r="AA123" s="74" t="e">
        <f t="shared" si="16"/>
        <v>#DIV/0!</v>
      </c>
    </row>
    <row r="124" spans="1:27">
      <c r="A124" s="7" t="s">
        <v>7</v>
      </c>
      <c r="B124" s="7">
        <v>10009239</v>
      </c>
      <c r="C124" s="7" t="str">
        <f t="shared" si="17"/>
        <v>FEBRERO10009239Entradas</v>
      </c>
      <c r="D124" s="7" t="s">
        <v>392</v>
      </c>
      <c r="E124" s="3" t="s">
        <v>164</v>
      </c>
      <c r="F124" s="9">
        <v>220080</v>
      </c>
      <c r="G124" s="3" t="s">
        <v>320</v>
      </c>
      <c r="H124" s="12">
        <v>1102600.8</v>
      </c>
      <c r="I124" s="12" t="s">
        <v>395</v>
      </c>
      <c r="J124" s="13"/>
      <c r="K124" s="12">
        <v>455396.99</v>
      </c>
      <c r="L124" s="17">
        <v>2.0699999999999998</v>
      </c>
      <c r="M124" s="12">
        <v>229451.58</v>
      </c>
      <c r="N124" s="12">
        <v>2876.11</v>
      </c>
      <c r="O124" s="12">
        <v>151319.39000000001</v>
      </c>
      <c r="P124" s="12">
        <f t="shared" si="18"/>
        <v>71749.910000000062</v>
      </c>
      <c r="Q124" s="12">
        <v>1551.56</v>
      </c>
      <c r="R124" s="12">
        <v>3846.94</v>
      </c>
      <c r="S124" s="12">
        <v>35142.76</v>
      </c>
      <c r="T124" s="11" t="s">
        <v>365</v>
      </c>
      <c r="U124" s="11">
        <v>28449.46</v>
      </c>
      <c r="V124" s="11">
        <v>2759.1900000000605</v>
      </c>
      <c r="W124" s="55">
        <f t="shared" si="12"/>
        <v>455396.99</v>
      </c>
      <c r="X124" s="74">
        <f t="shared" si="13"/>
        <v>0.50384957529034169</v>
      </c>
      <c r="Y124" s="74">
        <f t="shared" si="14"/>
        <v>6.3156104742809133E-3</v>
      </c>
      <c r="Z124" s="74">
        <f t="shared" si="15"/>
        <v>0.33228017163661977</v>
      </c>
      <c r="AA124" s="74">
        <f t="shared" si="16"/>
        <v>0.15755464259875776</v>
      </c>
    </row>
    <row r="125" spans="1:27">
      <c r="A125" s="7" t="s">
        <v>7</v>
      </c>
      <c r="B125" s="7">
        <v>10009239</v>
      </c>
      <c r="C125" s="7" t="str">
        <f t="shared" si="17"/>
        <v>FEBRERO10009239Inventario acumulado</v>
      </c>
      <c r="D125" s="7" t="s">
        <v>392</v>
      </c>
      <c r="E125" s="3" t="s">
        <v>322</v>
      </c>
      <c r="F125" s="9">
        <v>322560</v>
      </c>
      <c r="G125" s="3" t="s">
        <v>320</v>
      </c>
      <c r="H125" s="12">
        <v>1616025.6000000001</v>
      </c>
      <c r="I125" s="12" t="s">
        <v>396</v>
      </c>
      <c r="J125" s="13"/>
      <c r="K125" s="12">
        <v>682129.93</v>
      </c>
      <c r="L125" s="17">
        <v>2.11</v>
      </c>
      <c r="M125" s="12">
        <v>346999.16</v>
      </c>
      <c r="N125" s="12">
        <v>4363.1099999999997</v>
      </c>
      <c r="O125" s="12">
        <v>226684.42</v>
      </c>
      <c r="P125" s="12">
        <f t="shared" si="18"/>
        <v>104083.24000000008</v>
      </c>
      <c r="Q125" s="12">
        <v>1789.22</v>
      </c>
      <c r="R125" s="12">
        <v>5620.94</v>
      </c>
      <c r="S125" s="12">
        <v>51243.11</v>
      </c>
      <c r="T125" s="11" t="s">
        <v>397</v>
      </c>
      <c r="U125" s="11">
        <v>41501.379999999997</v>
      </c>
      <c r="V125" s="11">
        <v>3928.5900000000838</v>
      </c>
      <c r="W125" s="55">
        <f t="shared" si="12"/>
        <v>682129.93</v>
      </c>
      <c r="X125" s="74">
        <f t="shared" si="13"/>
        <v>0.50869950831801203</v>
      </c>
      <c r="Y125" s="74">
        <f t="shared" si="14"/>
        <v>6.3963034139258475E-3</v>
      </c>
      <c r="Z125" s="74">
        <f t="shared" si="15"/>
        <v>0.33231853644070419</v>
      </c>
      <c r="AA125" s="74">
        <f t="shared" si="16"/>
        <v>0.15258565182735798</v>
      </c>
    </row>
    <row r="126" spans="1:27">
      <c r="A126" s="7" t="s">
        <v>7</v>
      </c>
      <c r="B126" s="7">
        <v>10009239</v>
      </c>
      <c r="C126" s="7" t="str">
        <f t="shared" si="17"/>
        <v>FEBRERO10009239Compensación</v>
      </c>
      <c r="D126" s="7" t="s">
        <v>392</v>
      </c>
      <c r="E126" s="3" t="s">
        <v>114</v>
      </c>
      <c r="F126" s="9">
        <v>27000</v>
      </c>
      <c r="G126" s="3" t="s">
        <v>320</v>
      </c>
      <c r="H126" s="12">
        <v>135270</v>
      </c>
      <c r="I126" s="12" t="s">
        <v>398</v>
      </c>
      <c r="J126" s="13"/>
      <c r="K126" s="12">
        <v>57097.93</v>
      </c>
      <c r="L126" s="17">
        <v>2.11</v>
      </c>
      <c r="M126" s="12">
        <v>29045.69</v>
      </c>
      <c r="N126" s="12">
        <v>365.21</v>
      </c>
      <c r="O126" s="12">
        <v>18974.7</v>
      </c>
      <c r="P126" s="12">
        <f t="shared" si="18"/>
        <v>8712.3300000000036</v>
      </c>
      <c r="Q126" s="12">
        <v>149.77000000000001</v>
      </c>
      <c r="R126" s="12">
        <v>470.5</v>
      </c>
      <c r="S126" s="12">
        <v>4289.33</v>
      </c>
      <c r="T126" s="11" t="s">
        <v>337</v>
      </c>
      <c r="U126" s="11">
        <v>3473.89</v>
      </c>
      <c r="V126" s="11">
        <v>328.84000000000378</v>
      </c>
      <c r="W126" s="55">
        <f t="shared" si="12"/>
        <v>57097.93</v>
      </c>
      <c r="X126" s="74">
        <f t="shared" si="13"/>
        <v>0.50869952728584034</v>
      </c>
      <c r="Y126" s="74">
        <f t="shared" si="14"/>
        <v>6.3962038553761931E-3</v>
      </c>
      <c r="Z126" s="74">
        <f t="shared" si="15"/>
        <v>0.33231852713399596</v>
      </c>
      <c r="AA126" s="74">
        <f t="shared" si="16"/>
        <v>0.15258574172478764</v>
      </c>
    </row>
    <row r="127" spans="1:27">
      <c r="A127" s="7" t="s">
        <v>7</v>
      </c>
      <c r="B127" s="7">
        <v>10009239</v>
      </c>
      <c r="C127" s="7" t="str">
        <f t="shared" si="17"/>
        <v>FEBRERO10009239Inventario final</v>
      </c>
      <c r="D127" s="7" t="s">
        <v>392</v>
      </c>
      <c r="E127" s="3" t="s">
        <v>218</v>
      </c>
      <c r="F127" s="8">
        <v>295560</v>
      </c>
      <c r="G127" s="2" t="s">
        <v>320</v>
      </c>
      <c r="H127" s="11">
        <v>1480755.6</v>
      </c>
      <c r="I127" s="11" t="s">
        <v>399</v>
      </c>
      <c r="J127" s="11"/>
      <c r="K127" s="11">
        <v>625032</v>
      </c>
      <c r="L127" s="16">
        <v>2.11</v>
      </c>
      <c r="M127" s="11">
        <v>317953.46999999997</v>
      </c>
      <c r="N127" s="11">
        <v>3997.9</v>
      </c>
      <c r="O127" s="11">
        <v>207709.72</v>
      </c>
      <c r="P127" s="11">
        <f t="shared" si="18"/>
        <v>95370.91</v>
      </c>
      <c r="Q127" s="11">
        <v>1639.45</v>
      </c>
      <c r="R127" s="11">
        <v>5150.4399999999996</v>
      </c>
      <c r="S127" s="11">
        <v>46953.78</v>
      </c>
      <c r="T127" s="11" t="s">
        <v>400</v>
      </c>
      <c r="U127" s="11">
        <v>38027.49</v>
      </c>
      <c r="V127" s="11">
        <v>3599.75</v>
      </c>
      <c r="W127" s="55">
        <f t="shared" si="12"/>
        <v>625032</v>
      </c>
      <c r="X127" s="74">
        <f t="shared" si="13"/>
        <v>0.50869950658526275</v>
      </c>
      <c r="Y127" s="74">
        <f t="shared" si="14"/>
        <v>6.3963125087995497E-3</v>
      </c>
      <c r="Z127" s="74">
        <f t="shared" si="15"/>
        <v>0.33231853729089073</v>
      </c>
      <c r="AA127" s="74">
        <f t="shared" si="16"/>
        <v>0.15258564361504692</v>
      </c>
    </row>
    <row r="128" spans="1:27">
      <c r="A128" s="7" t="s">
        <v>6</v>
      </c>
      <c r="B128" s="7">
        <v>10007050</v>
      </c>
      <c r="C128" s="7" t="str">
        <f t="shared" si="17"/>
        <v>ENERO10007050Inventario inicial</v>
      </c>
      <c r="D128" s="7" t="s">
        <v>401</v>
      </c>
      <c r="E128" s="3" t="s">
        <v>319</v>
      </c>
      <c r="F128" s="8">
        <v>0</v>
      </c>
      <c r="G128" s="2" t="s">
        <v>320</v>
      </c>
      <c r="H128" s="11">
        <v>0</v>
      </c>
      <c r="I128" s="11">
        <v>0</v>
      </c>
      <c r="J128" s="11"/>
      <c r="K128" s="11">
        <v>0</v>
      </c>
      <c r="L128" s="16">
        <v>0</v>
      </c>
      <c r="M128" s="11">
        <v>0</v>
      </c>
      <c r="N128" s="11">
        <v>0</v>
      </c>
      <c r="O128" s="11">
        <v>0</v>
      </c>
      <c r="P128" s="11">
        <f t="shared" si="18"/>
        <v>0</v>
      </c>
      <c r="Q128" s="11"/>
      <c r="R128" s="11"/>
      <c r="S128" s="11"/>
      <c r="T128" s="11"/>
      <c r="U128" s="11"/>
      <c r="V128" s="11">
        <v>0</v>
      </c>
      <c r="W128" s="55">
        <f t="shared" si="12"/>
        <v>0</v>
      </c>
      <c r="X128" s="74" t="e">
        <f t="shared" si="13"/>
        <v>#DIV/0!</v>
      </c>
      <c r="Y128" s="74" t="e">
        <f t="shared" si="14"/>
        <v>#DIV/0!</v>
      </c>
      <c r="Z128" s="74" t="e">
        <f t="shared" si="15"/>
        <v>#DIV/0!</v>
      </c>
      <c r="AA128" s="74" t="e">
        <f t="shared" si="16"/>
        <v>#DIV/0!</v>
      </c>
    </row>
    <row r="129" spans="1:27">
      <c r="A129" s="7" t="s">
        <v>6</v>
      </c>
      <c r="B129" s="7">
        <v>10007050</v>
      </c>
      <c r="C129" s="7" t="str">
        <f t="shared" si="17"/>
        <v>ENERO10007050Revalorización</v>
      </c>
      <c r="D129" s="7" t="s">
        <v>401</v>
      </c>
      <c r="E129" s="3" t="s">
        <v>321</v>
      </c>
      <c r="F129" s="8">
        <v>0</v>
      </c>
      <c r="G129" s="2" t="s">
        <v>320</v>
      </c>
      <c r="H129" s="11">
        <v>0</v>
      </c>
      <c r="I129" s="11">
        <v>0</v>
      </c>
      <c r="J129" s="11"/>
      <c r="K129" s="11">
        <v>0</v>
      </c>
      <c r="L129" s="16">
        <v>0</v>
      </c>
      <c r="M129" s="11">
        <v>0</v>
      </c>
      <c r="N129" s="11">
        <v>0</v>
      </c>
      <c r="O129" s="11">
        <v>0</v>
      </c>
      <c r="P129" s="11">
        <f t="shared" si="18"/>
        <v>0</v>
      </c>
      <c r="Q129" s="11"/>
      <c r="R129" s="11"/>
      <c r="S129" s="11"/>
      <c r="T129" s="11"/>
      <c r="U129" s="11"/>
      <c r="V129" s="11">
        <v>0</v>
      </c>
      <c r="W129" s="55">
        <f t="shared" si="12"/>
        <v>0</v>
      </c>
      <c r="X129" s="74" t="e">
        <f t="shared" si="13"/>
        <v>#DIV/0!</v>
      </c>
      <c r="Y129" s="74" t="e">
        <f t="shared" si="14"/>
        <v>#DIV/0!</v>
      </c>
      <c r="Z129" s="74" t="e">
        <f t="shared" si="15"/>
        <v>#DIV/0!</v>
      </c>
      <c r="AA129" s="74" t="e">
        <f t="shared" si="16"/>
        <v>#DIV/0!</v>
      </c>
    </row>
    <row r="130" spans="1:27">
      <c r="A130" s="7" t="s">
        <v>6</v>
      </c>
      <c r="B130" s="7">
        <v>10007050</v>
      </c>
      <c r="C130" s="7" t="str">
        <f t="shared" si="17"/>
        <v>ENERO10007050Entradas</v>
      </c>
      <c r="D130" s="7" t="s">
        <v>401</v>
      </c>
      <c r="E130" s="3" t="s">
        <v>164</v>
      </c>
      <c r="F130" s="8">
        <v>11740</v>
      </c>
      <c r="G130" s="2" t="s">
        <v>320</v>
      </c>
      <c r="H130" s="11">
        <v>29702.2</v>
      </c>
      <c r="I130" s="11">
        <v>-13761.55</v>
      </c>
      <c r="J130" s="11"/>
      <c r="K130" s="11">
        <v>15940.65</v>
      </c>
      <c r="L130" s="16">
        <v>1.36</v>
      </c>
      <c r="M130" s="11">
        <v>13172.77</v>
      </c>
      <c r="N130" s="11">
        <v>184.66</v>
      </c>
      <c r="O130" s="11">
        <v>2641.53</v>
      </c>
      <c r="P130" s="11">
        <f t="shared" si="18"/>
        <v>-58.31000000000131</v>
      </c>
      <c r="Q130" s="11"/>
      <c r="R130" s="11"/>
      <c r="S130" s="11"/>
      <c r="T130" s="11"/>
      <c r="U130" s="11"/>
      <c r="V130" s="11">
        <v>-58.31000000000131</v>
      </c>
      <c r="W130" s="55">
        <f t="shared" si="12"/>
        <v>15940.65</v>
      </c>
      <c r="X130" s="74">
        <f t="shared" si="13"/>
        <v>0.82636341679918957</v>
      </c>
      <c r="Y130" s="74">
        <f t="shared" si="14"/>
        <v>1.158422021686694E-2</v>
      </c>
      <c r="Z130" s="74">
        <f t="shared" si="15"/>
        <v>0.1657103066687996</v>
      </c>
      <c r="AA130" s="74">
        <f t="shared" si="16"/>
        <v>-3.6579436848560949E-3</v>
      </c>
    </row>
    <row r="131" spans="1:27">
      <c r="A131" s="7" t="s">
        <v>6</v>
      </c>
      <c r="B131" s="7">
        <v>10007050</v>
      </c>
      <c r="C131" s="7" t="str">
        <f t="shared" si="17"/>
        <v>ENERO10007050Inv. acumulado</v>
      </c>
      <c r="D131" s="7" t="s">
        <v>401</v>
      </c>
      <c r="E131" s="3" t="s">
        <v>330</v>
      </c>
      <c r="F131" s="8">
        <v>11740</v>
      </c>
      <c r="G131" s="2" t="s">
        <v>320</v>
      </c>
      <c r="H131" s="11">
        <v>29702.2</v>
      </c>
      <c r="I131" s="11">
        <v>-13761.55</v>
      </c>
      <c r="J131" s="11"/>
      <c r="K131" s="11">
        <v>15940.65</v>
      </c>
      <c r="L131" s="16">
        <v>1.36</v>
      </c>
      <c r="M131" s="11">
        <v>13172.77</v>
      </c>
      <c r="N131" s="11">
        <v>184.66</v>
      </c>
      <c r="O131" s="11">
        <v>2641.53</v>
      </c>
      <c r="P131" s="11">
        <f t="shared" si="18"/>
        <v>-58.31000000000131</v>
      </c>
      <c r="Q131" s="11"/>
      <c r="R131" s="11"/>
      <c r="S131" s="11"/>
      <c r="T131" s="11"/>
      <c r="U131" s="11"/>
      <c r="V131" s="11">
        <v>-58.31000000000131</v>
      </c>
      <c r="W131" s="55">
        <f t="shared" si="12"/>
        <v>15940.65</v>
      </c>
      <c r="X131" s="74">
        <f t="shared" si="13"/>
        <v>0.82636341679918957</v>
      </c>
      <c r="Y131" s="74">
        <f t="shared" si="14"/>
        <v>1.158422021686694E-2</v>
      </c>
      <c r="Z131" s="74">
        <f t="shared" si="15"/>
        <v>0.1657103066687996</v>
      </c>
      <c r="AA131" s="74">
        <f t="shared" si="16"/>
        <v>-3.6579436848560949E-3</v>
      </c>
    </row>
    <row r="132" spans="1:27">
      <c r="A132" s="7" t="s">
        <v>6</v>
      </c>
      <c r="B132" s="7">
        <v>10007050</v>
      </c>
      <c r="C132" s="7" t="str">
        <f t="shared" si="17"/>
        <v>ENERO10007050Inventario final</v>
      </c>
      <c r="D132" s="7" t="s">
        <v>401</v>
      </c>
      <c r="E132" s="3" t="s">
        <v>218</v>
      </c>
      <c r="F132" s="8">
        <v>11740</v>
      </c>
      <c r="G132" s="2" t="s">
        <v>320</v>
      </c>
      <c r="H132" s="11">
        <v>29702.2</v>
      </c>
      <c r="I132" s="11">
        <v>-13761.55</v>
      </c>
      <c r="J132" s="11"/>
      <c r="K132" s="11">
        <v>15940.65</v>
      </c>
      <c r="L132" s="16">
        <v>1.36</v>
      </c>
      <c r="M132" s="11">
        <v>13172.77</v>
      </c>
      <c r="N132" s="11">
        <v>184.66</v>
      </c>
      <c r="O132" s="11">
        <v>2641.53</v>
      </c>
      <c r="P132" s="11">
        <f t="shared" si="18"/>
        <v>-58.31000000000131</v>
      </c>
      <c r="Q132" s="11"/>
      <c r="R132" s="11"/>
      <c r="S132" s="11"/>
      <c r="T132" s="11"/>
      <c r="U132" s="11"/>
      <c r="V132" s="11">
        <v>-58.31000000000131</v>
      </c>
      <c r="W132" s="55">
        <f t="shared" si="12"/>
        <v>15940.65</v>
      </c>
      <c r="X132" s="74">
        <f t="shared" si="13"/>
        <v>0.82636341679918957</v>
      </c>
      <c r="Y132" s="74">
        <f t="shared" si="14"/>
        <v>1.158422021686694E-2</v>
      </c>
      <c r="Z132" s="74">
        <f t="shared" si="15"/>
        <v>0.1657103066687996</v>
      </c>
      <c r="AA132" s="74">
        <f t="shared" si="16"/>
        <v>-3.6579436848560949E-3</v>
      </c>
    </row>
    <row r="133" spans="1:27">
      <c r="A133" s="7" t="s">
        <v>7</v>
      </c>
      <c r="B133" s="7">
        <v>10007050</v>
      </c>
      <c r="C133" s="7" t="str">
        <f t="shared" ref="C133:C196" si="19">A133&amp;B133&amp;E133</f>
        <v>FEBRERO10007050Inventario inicial</v>
      </c>
      <c r="D133" s="7" t="s">
        <v>401</v>
      </c>
      <c r="E133" s="3" t="s">
        <v>319</v>
      </c>
      <c r="F133" s="8">
        <v>11740</v>
      </c>
      <c r="G133" s="2" t="s">
        <v>320</v>
      </c>
      <c r="H133" s="11">
        <v>29702.2</v>
      </c>
      <c r="I133" s="11" t="s">
        <v>402</v>
      </c>
      <c r="J133" s="11"/>
      <c r="K133" s="11">
        <v>15940.65</v>
      </c>
      <c r="L133" s="16">
        <v>1.36</v>
      </c>
      <c r="M133" s="11">
        <v>13172.77</v>
      </c>
      <c r="N133" s="11">
        <v>184.66</v>
      </c>
      <c r="O133" s="11">
        <v>2641.53</v>
      </c>
      <c r="P133" s="11">
        <f t="shared" ref="P133:P158" si="20">SUM(Q133:V133)</f>
        <v>-58.31000000000131</v>
      </c>
      <c r="Q133" s="11">
        <v>0</v>
      </c>
      <c r="R133" s="11">
        <v>0</v>
      </c>
      <c r="S133" s="11">
        <v>0</v>
      </c>
      <c r="T133" s="11" t="s">
        <v>368</v>
      </c>
      <c r="U133" s="11">
        <v>0</v>
      </c>
      <c r="V133" s="11">
        <v>-58.31000000000131</v>
      </c>
      <c r="W133" s="55">
        <f t="shared" si="12"/>
        <v>15940.65</v>
      </c>
      <c r="X133" s="74">
        <f t="shared" si="13"/>
        <v>0.82636341679918957</v>
      </c>
      <c r="Y133" s="74">
        <f t="shared" si="14"/>
        <v>1.158422021686694E-2</v>
      </c>
      <c r="Z133" s="74">
        <f t="shared" si="15"/>
        <v>0.1657103066687996</v>
      </c>
      <c r="AA133" s="74">
        <f t="shared" si="16"/>
        <v>-3.6579436848560949E-3</v>
      </c>
    </row>
    <row r="134" spans="1:27">
      <c r="A134" s="7" t="s">
        <v>7</v>
      </c>
      <c r="B134" s="7">
        <v>10007050</v>
      </c>
      <c r="C134" s="7" t="str">
        <f t="shared" si="19"/>
        <v>FEBRERO10007050Revalorización</v>
      </c>
      <c r="D134" s="7" t="s">
        <v>401</v>
      </c>
      <c r="E134" s="3" t="s">
        <v>321</v>
      </c>
      <c r="F134" s="8">
        <v>0</v>
      </c>
      <c r="G134" s="2" t="s">
        <v>320</v>
      </c>
      <c r="H134" s="11" t="s">
        <v>403</v>
      </c>
      <c r="I134" s="11">
        <v>2700.2</v>
      </c>
      <c r="J134" s="11"/>
      <c r="K134" s="11">
        <v>0</v>
      </c>
      <c r="L134" s="16">
        <v>0</v>
      </c>
      <c r="M134" s="11">
        <v>0</v>
      </c>
      <c r="N134" s="11">
        <v>0</v>
      </c>
      <c r="O134" s="11">
        <v>0</v>
      </c>
      <c r="P134" s="11">
        <f t="shared" si="20"/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55">
        <f t="shared" ref="W134:W158" si="21">SUM(M134:P134)</f>
        <v>0</v>
      </c>
      <c r="X134" s="74" t="e">
        <f t="shared" ref="X134:X158" si="22">M134/$W134</f>
        <v>#DIV/0!</v>
      </c>
      <c r="Y134" s="74" t="e">
        <f t="shared" ref="Y134:Y158" si="23">N134/$W134</f>
        <v>#DIV/0!</v>
      </c>
      <c r="Z134" s="74" t="e">
        <f t="shared" ref="Z134:Z158" si="24">O134/$W134</f>
        <v>#DIV/0!</v>
      </c>
      <c r="AA134" s="74" t="e">
        <f t="shared" ref="AA134:AA158" si="25">P134/$W134</f>
        <v>#DIV/0!</v>
      </c>
    </row>
    <row r="135" spans="1:27">
      <c r="A135" s="18" t="s">
        <v>7</v>
      </c>
      <c r="B135" s="18">
        <v>10007050</v>
      </c>
      <c r="C135" s="18" t="str">
        <f t="shared" si="19"/>
        <v>FEBRERO10007050Entradas</v>
      </c>
      <c r="D135" s="18" t="s">
        <v>401</v>
      </c>
      <c r="E135" s="3" t="s">
        <v>164</v>
      </c>
      <c r="F135" s="8">
        <v>15320</v>
      </c>
      <c r="G135" s="2" t="s">
        <v>320</v>
      </c>
      <c r="H135" s="11">
        <v>35236</v>
      </c>
      <c r="I135" s="11" t="s">
        <v>404</v>
      </c>
      <c r="J135" s="11"/>
      <c r="K135" s="11">
        <v>19496.29</v>
      </c>
      <c r="L135" s="16">
        <v>1.27</v>
      </c>
      <c r="M135" s="11">
        <v>15644.46</v>
      </c>
      <c r="N135" s="11">
        <v>260.14</v>
      </c>
      <c r="O135" s="11">
        <v>3617.28</v>
      </c>
      <c r="P135" s="11">
        <f t="shared" si="20"/>
        <v>-25.589999999997815</v>
      </c>
      <c r="Q135" s="11">
        <v>0.39</v>
      </c>
      <c r="R135" s="11">
        <v>4.7699999999999996</v>
      </c>
      <c r="S135" s="11">
        <v>19.87</v>
      </c>
      <c r="T135" s="11">
        <v>0.02</v>
      </c>
      <c r="U135" s="11">
        <v>20.76</v>
      </c>
      <c r="V135" s="11">
        <v>-71.399999999997817</v>
      </c>
      <c r="W135" s="55">
        <f t="shared" si="21"/>
        <v>19496.29</v>
      </c>
      <c r="X135" s="74">
        <f t="shared" si="22"/>
        <v>0.80243266795887824</v>
      </c>
      <c r="Y135" s="74">
        <f t="shared" si="23"/>
        <v>1.3343051421578156E-2</v>
      </c>
      <c r="Z135" s="74">
        <f t="shared" si="24"/>
        <v>0.1855368380343132</v>
      </c>
      <c r="AA135" s="74">
        <f t="shared" si="25"/>
        <v>-1.3125574147695696E-3</v>
      </c>
    </row>
    <row r="136" spans="1:27">
      <c r="A136" s="7" t="s">
        <v>7</v>
      </c>
      <c r="B136" s="7">
        <v>10007050</v>
      </c>
      <c r="C136" s="7" t="str">
        <f t="shared" si="19"/>
        <v>FEBRERO10007050Inventario acumulado</v>
      </c>
      <c r="D136" s="7" t="s">
        <v>401</v>
      </c>
      <c r="E136" s="3" t="s">
        <v>322</v>
      </c>
      <c r="F136" s="8">
        <v>27060</v>
      </c>
      <c r="G136" s="2" t="s">
        <v>320</v>
      </c>
      <c r="H136" s="11">
        <v>62238</v>
      </c>
      <c r="I136" s="11" t="s">
        <v>405</v>
      </c>
      <c r="J136" s="11"/>
      <c r="K136" s="11">
        <v>35436.94</v>
      </c>
      <c r="L136" s="16">
        <v>1.31</v>
      </c>
      <c r="M136" s="11">
        <v>28817.23</v>
      </c>
      <c r="N136" s="11">
        <v>444.8</v>
      </c>
      <c r="O136" s="11">
        <v>6258.81</v>
      </c>
      <c r="P136" s="11">
        <f t="shared" si="20"/>
        <v>-83.899999999995046</v>
      </c>
      <c r="Q136" s="11">
        <v>0.39</v>
      </c>
      <c r="R136" s="11">
        <v>4.7699999999999996</v>
      </c>
      <c r="S136" s="11">
        <v>19.87</v>
      </c>
      <c r="T136" s="11" t="s">
        <v>337</v>
      </c>
      <c r="U136" s="11">
        <v>20.76</v>
      </c>
      <c r="V136" s="11">
        <v>-129.68999999999505</v>
      </c>
      <c r="W136" s="55">
        <f t="shared" si="21"/>
        <v>35436.94</v>
      </c>
      <c r="X136" s="74">
        <f t="shared" si="22"/>
        <v>0.81319747133922959</v>
      </c>
      <c r="Y136" s="74">
        <f t="shared" si="23"/>
        <v>1.2551873835607701E-2</v>
      </c>
      <c r="Z136" s="74">
        <f t="shared" si="24"/>
        <v>0.17661824073974786</v>
      </c>
      <c r="AA136" s="74">
        <f t="shared" si="25"/>
        <v>-2.3675859145850359E-3</v>
      </c>
    </row>
    <row r="137" spans="1:27">
      <c r="A137" s="7" t="s">
        <v>7</v>
      </c>
      <c r="B137" s="7">
        <v>10007050</v>
      </c>
      <c r="C137" s="7" t="str">
        <f t="shared" si="19"/>
        <v>FEBRERO10007050Inventario final</v>
      </c>
      <c r="D137" s="7" t="s">
        <v>401</v>
      </c>
      <c r="E137" s="3" t="s">
        <v>218</v>
      </c>
      <c r="F137" s="8">
        <v>27060</v>
      </c>
      <c r="G137" s="2" t="s">
        <v>320</v>
      </c>
      <c r="H137" s="11">
        <v>62238</v>
      </c>
      <c r="I137" s="11" t="s">
        <v>405</v>
      </c>
      <c r="J137" s="11"/>
      <c r="K137" s="11">
        <v>35436.94</v>
      </c>
      <c r="L137" s="16">
        <v>1.31</v>
      </c>
      <c r="M137" s="11">
        <v>28817.23</v>
      </c>
      <c r="N137" s="11">
        <v>444.8</v>
      </c>
      <c r="O137" s="11">
        <v>6258.81</v>
      </c>
      <c r="P137" s="11">
        <f t="shared" si="20"/>
        <v>-83.899999999995046</v>
      </c>
      <c r="Q137" s="11">
        <v>0.39</v>
      </c>
      <c r="R137" s="11">
        <v>4.7699999999999996</v>
      </c>
      <c r="S137" s="11">
        <v>19.87</v>
      </c>
      <c r="T137" s="11" t="s">
        <v>337</v>
      </c>
      <c r="U137" s="11">
        <v>20.76</v>
      </c>
      <c r="V137" s="11">
        <v>-129.68999999999505</v>
      </c>
      <c r="W137" s="55">
        <f t="shared" si="21"/>
        <v>35436.94</v>
      </c>
      <c r="X137" s="74">
        <f t="shared" si="22"/>
        <v>0.81319747133922959</v>
      </c>
      <c r="Y137" s="74">
        <f t="shared" si="23"/>
        <v>1.2551873835607701E-2</v>
      </c>
      <c r="Z137" s="74">
        <f t="shared" si="24"/>
        <v>0.17661824073974786</v>
      </c>
      <c r="AA137" s="74">
        <f t="shared" si="25"/>
        <v>-2.3675859145850359E-3</v>
      </c>
    </row>
    <row r="138" spans="1:27">
      <c r="A138" s="7" t="s">
        <v>6</v>
      </c>
      <c r="B138" s="7">
        <v>10009331</v>
      </c>
      <c r="C138" s="7" t="str">
        <f t="shared" si="19"/>
        <v>ENERO10009331Inventario inicial</v>
      </c>
      <c r="D138" s="7" t="s">
        <v>406</v>
      </c>
      <c r="E138" s="3" t="s">
        <v>319</v>
      </c>
      <c r="F138" s="8">
        <v>0</v>
      </c>
      <c r="G138" s="2" t="s">
        <v>320</v>
      </c>
      <c r="H138" s="11">
        <v>0</v>
      </c>
      <c r="I138" s="11">
        <v>0</v>
      </c>
      <c r="J138" s="11"/>
      <c r="K138" s="11">
        <v>0</v>
      </c>
      <c r="L138" s="16">
        <v>0</v>
      </c>
      <c r="M138" s="11">
        <v>0</v>
      </c>
      <c r="N138" s="11">
        <v>0</v>
      </c>
      <c r="O138" s="11">
        <v>0</v>
      </c>
      <c r="P138" s="11">
        <f t="shared" si="20"/>
        <v>0</v>
      </c>
      <c r="Q138" s="11">
        <v>0</v>
      </c>
      <c r="R138" s="11">
        <v>0</v>
      </c>
      <c r="S138" s="11">
        <v>0</v>
      </c>
      <c r="T138" s="11">
        <v>0</v>
      </c>
      <c r="U138" s="11"/>
      <c r="V138" s="11">
        <v>0</v>
      </c>
      <c r="W138" s="55">
        <f t="shared" si="21"/>
        <v>0</v>
      </c>
      <c r="X138" s="74" t="e">
        <f t="shared" si="22"/>
        <v>#DIV/0!</v>
      </c>
      <c r="Y138" s="74" t="e">
        <f t="shared" si="23"/>
        <v>#DIV/0!</v>
      </c>
      <c r="Z138" s="74" t="e">
        <f t="shared" si="24"/>
        <v>#DIV/0!</v>
      </c>
      <c r="AA138" s="74" t="e">
        <f t="shared" si="25"/>
        <v>#DIV/0!</v>
      </c>
    </row>
    <row r="139" spans="1:27">
      <c r="A139" s="7" t="s">
        <v>6</v>
      </c>
      <c r="B139" s="7">
        <v>10009331</v>
      </c>
      <c r="C139" s="7" t="str">
        <f t="shared" si="19"/>
        <v>ENERO10009331Revalorización</v>
      </c>
      <c r="D139" s="7" t="s">
        <v>406</v>
      </c>
      <c r="E139" s="3" t="s">
        <v>321</v>
      </c>
      <c r="F139" s="8">
        <v>0</v>
      </c>
      <c r="G139" s="2" t="s">
        <v>320</v>
      </c>
      <c r="H139" s="11">
        <v>0</v>
      </c>
      <c r="I139" s="11">
        <v>0</v>
      </c>
      <c r="J139" s="11"/>
      <c r="K139" s="11">
        <v>0</v>
      </c>
      <c r="L139" s="16">
        <v>0</v>
      </c>
      <c r="M139" s="11">
        <v>0</v>
      </c>
      <c r="N139" s="11">
        <v>0</v>
      </c>
      <c r="O139" s="11">
        <v>0</v>
      </c>
      <c r="P139" s="11">
        <f t="shared" si="20"/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>
        <v>0</v>
      </c>
      <c r="W139" s="55">
        <f t="shared" si="21"/>
        <v>0</v>
      </c>
      <c r="X139" s="74" t="e">
        <f t="shared" si="22"/>
        <v>#DIV/0!</v>
      </c>
      <c r="Y139" s="74" t="e">
        <f t="shared" si="23"/>
        <v>#DIV/0!</v>
      </c>
      <c r="Z139" s="74" t="e">
        <f t="shared" si="24"/>
        <v>#DIV/0!</v>
      </c>
      <c r="AA139" s="74" t="e">
        <f t="shared" si="25"/>
        <v>#DIV/0!</v>
      </c>
    </row>
    <row r="140" spans="1:27">
      <c r="A140" s="7" t="s">
        <v>6</v>
      </c>
      <c r="B140" s="7">
        <v>10009331</v>
      </c>
      <c r="C140" s="7" t="str">
        <f t="shared" si="19"/>
        <v>ENERO10009331Entradas</v>
      </c>
      <c r="D140" s="7" t="s">
        <v>406</v>
      </c>
      <c r="E140" s="3" t="s">
        <v>164</v>
      </c>
      <c r="F140" s="8">
        <v>16650</v>
      </c>
      <c r="G140" s="2" t="s">
        <v>320</v>
      </c>
      <c r="H140" s="11">
        <v>70096.5</v>
      </c>
      <c r="I140" s="11">
        <v>-37945.18</v>
      </c>
      <c r="J140" s="11"/>
      <c r="K140" s="11">
        <v>32151.32</v>
      </c>
      <c r="L140" s="16">
        <v>1.93</v>
      </c>
      <c r="M140" s="11">
        <v>19396.48</v>
      </c>
      <c r="N140" s="11">
        <v>304.44</v>
      </c>
      <c r="O140" s="11">
        <v>7215.56</v>
      </c>
      <c r="P140" s="11">
        <f t="shared" si="20"/>
        <v>5234.84</v>
      </c>
      <c r="Q140" s="11">
        <v>286.23</v>
      </c>
      <c r="R140" s="11">
        <v>2615.12</v>
      </c>
      <c r="S140" s="11">
        <v>2116.71</v>
      </c>
      <c r="T140" s="11">
        <v>37.4</v>
      </c>
      <c r="U140" s="11"/>
      <c r="V140" s="11">
        <v>179.38000000000102</v>
      </c>
      <c r="W140" s="55">
        <f t="shared" si="21"/>
        <v>32151.32</v>
      </c>
      <c r="X140" s="74">
        <f t="shared" si="22"/>
        <v>0.60328720562639415</v>
      </c>
      <c r="Y140" s="74">
        <f t="shared" si="23"/>
        <v>9.4689735911309397E-3</v>
      </c>
      <c r="Z140" s="74">
        <f t="shared" si="24"/>
        <v>0.22442500027992632</v>
      </c>
      <c r="AA140" s="74">
        <f t="shared" si="25"/>
        <v>0.16281882050254859</v>
      </c>
    </row>
    <row r="141" spans="1:27">
      <c r="A141" s="7" t="s">
        <v>6</v>
      </c>
      <c r="B141" s="7">
        <v>10009331</v>
      </c>
      <c r="C141" s="7" t="str">
        <f t="shared" si="19"/>
        <v>ENERO10009331Inv. acumulado</v>
      </c>
      <c r="D141" s="7" t="s">
        <v>406</v>
      </c>
      <c r="E141" s="3" t="s">
        <v>330</v>
      </c>
      <c r="F141" s="8">
        <v>16650</v>
      </c>
      <c r="G141" s="2" t="s">
        <v>320</v>
      </c>
      <c r="H141" s="11">
        <v>70096.5</v>
      </c>
      <c r="I141" s="11">
        <v>-37945.18</v>
      </c>
      <c r="J141" s="11"/>
      <c r="K141" s="11">
        <v>32151.32</v>
      </c>
      <c r="L141" s="16">
        <v>1.93</v>
      </c>
      <c r="M141" s="11">
        <v>19396.48</v>
      </c>
      <c r="N141" s="11">
        <v>304.44</v>
      </c>
      <c r="O141" s="11">
        <v>7215.56</v>
      </c>
      <c r="P141" s="11">
        <f t="shared" si="20"/>
        <v>5234.84</v>
      </c>
      <c r="Q141" s="11">
        <v>286.23</v>
      </c>
      <c r="R141" s="11">
        <v>2615.12</v>
      </c>
      <c r="S141" s="11">
        <v>2116.71</v>
      </c>
      <c r="T141" s="11">
        <v>37.4</v>
      </c>
      <c r="U141" s="11"/>
      <c r="V141" s="11">
        <v>179.38000000000102</v>
      </c>
      <c r="W141" s="55">
        <f t="shared" si="21"/>
        <v>32151.32</v>
      </c>
      <c r="X141" s="74">
        <f t="shared" si="22"/>
        <v>0.60328720562639415</v>
      </c>
      <c r="Y141" s="74">
        <f t="shared" si="23"/>
        <v>9.4689735911309397E-3</v>
      </c>
      <c r="Z141" s="74">
        <f t="shared" si="24"/>
        <v>0.22442500027992632</v>
      </c>
      <c r="AA141" s="74">
        <f t="shared" si="25"/>
        <v>0.16281882050254859</v>
      </c>
    </row>
    <row r="142" spans="1:27">
      <c r="A142" s="7" t="s">
        <v>6</v>
      </c>
      <c r="B142" s="7">
        <v>10009331</v>
      </c>
      <c r="C142" s="7" t="str">
        <f t="shared" si="19"/>
        <v>ENERO10009331Inventario final</v>
      </c>
      <c r="D142" s="7" t="s">
        <v>406</v>
      </c>
      <c r="E142" s="3" t="s">
        <v>218</v>
      </c>
      <c r="F142" s="8">
        <v>16650</v>
      </c>
      <c r="G142" s="2" t="s">
        <v>320</v>
      </c>
      <c r="H142" s="11">
        <v>70096.5</v>
      </c>
      <c r="I142" s="11">
        <v>-37945.18</v>
      </c>
      <c r="J142" s="11"/>
      <c r="K142" s="11">
        <v>32151.32</v>
      </c>
      <c r="L142" s="16">
        <v>1.93</v>
      </c>
      <c r="M142" s="11">
        <v>19396.48</v>
      </c>
      <c r="N142" s="11">
        <v>304.44</v>
      </c>
      <c r="O142" s="11">
        <v>7215.56</v>
      </c>
      <c r="P142" s="11">
        <f t="shared" si="20"/>
        <v>5234.84</v>
      </c>
      <c r="Q142" s="11">
        <v>286.23</v>
      </c>
      <c r="R142" s="11">
        <v>2615.12</v>
      </c>
      <c r="S142" s="11">
        <v>2116.71</v>
      </c>
      <c r="T142" s="11">
        <v>37.4</v>
      </c>
      <c r="U142" s="11"/>
      <c r="V142" s="11">
        <v>179.38000000000102</v>
      </c>
      <c r="W142" s="55">
        <f t="shared" si="21"/>
        <v>32151.32</v>
      </c>
      <c r="X142" s="74">
        <f t="shared" si="22"/>
        <v>0.60328720562639415</v>
      </c>
      <c r="Y142" s="74">
        <f t="shared" si="23"/>
        <v>9.4689735911309397E-3</v>
      </c>
      <c r="Z142" s="74">
        <f t="shared" si="24"/>
        <v>0.22442500027992632</v>
      </c>
      <c r="AA142" s="74">
        <f t="shared" si="25"/>
        <v>0.16281882050254859</v>
      </c>
    </row>
    <row r="143" spans="1:27">
      <c r="A143" s="7" t="s">
        <v>7</v>
      </c>
      <c r="B143" s="7">
        <v>10009331</v>
      </c>
      <c r="C143" s="7" t="str">
        <f t="shared" si="19"/>
        <v>FEBRERO10009331Inventario inicial</v>
      </c>
      <c r="D143" s="7" t="s">
        <v>406</v>
      </c>
      <c r="E143" s="3" t="s">
        <v>319</v>
      </c>
      <c r="F143" s="9">
        <v>16650</v>
      </c>
      <c r="G143" s="3" t="s">
        <v>320</v>
      </c>
      <c r="H143" s="12">
        <v>70096.5</v>
      </c>
      <c r="I143" s="12" t="s">
        <v>407</v>
      </c>
      <c r="J143" s="13"/>
      <c r="K143" s="12">
        <v>32151.32</v>
      </c>
      <c r="L143" s="17">
        <v>1.93</v>
      </c>
      <c r="M143" s="12">
        <v>19396.48</v>
      </c>
      <c r="N143" s="12">
        <v>304.44</v>
      </c>
      <c r="O143" s="12">
        <v>7215.56</v>
      </c>
      <c r="P143" s="12">
        <f t="shared" si="20"/>
        <v>5234.8400000000011</v>
      </c>
      <c r="Q143" s="12">
        <v>37.4</v>
      </c>
      <c r="R143" s="12">
        <v>286.23</v>
      </c>
      <c r="S143" s="12">
        <v>2615.12</v>
      </c>
      <c r="T143" s="11">
        <v>0</v>
      </c>
      <c r="U143" s="11">
        <v>2116.71</v>
      </c>
      <c r="V143" s="11">
        <v>179.38000000000102</v>
      </c>
      <c r="W143" s="55">
        <f t="shared" si="21"/>
        <v>32151.32</v>
      </c>
      <c r="X143" s="74">
        <f t="shared" si="22"/>
        <v>0.60328720562639415</v>
      </c>
      <c r="Y143" s="74">
        <f t="shared" si="23"/>
        <v>9.4689735911309397E-3</v>
      </c>
      <c r="Z143" s="74">
        <f t="shared" si="24"/>
        <v>0.22442500027992632</v>
      </c>
      <c r="AA143" s="74">
        <f t="shared" si="25"/>
        <v>0.16281882050254862</v>
      </c>
    </row>
    <row r="144" spans="1:27">
      <c r="A144" s="7" t="s">
        <v>7</v>
      </c>
      <c r="B144" s="7">
        <v>10009331</v>
      </c>
      <c r="C144" s="7" t="str">
        <f t="shared" si="19"/>
        <v>FEBRERO10009331Revalorización</v>
      </c>
      <c r="D144" s="7" t="s">
        <v>406</v>
      </c>
      <c r="E144" s="3" t="s">
        <v>321</v>
      </c>
      <c r="F144" s="9">
        <v>0</v>
      </c>
      <c r="G144" s="3" t="s">
        <v>320</v>
      </c>
      <c r="H144" s="12">
        <v>0</v>
      </c>
      <c r="I144" s="12">
        <v>0</v>
      </c>
      <c r="J144" s="13"/>
      <c r="K144" s="12">
        <v>0</v>
      </c>
      <c r="L144" s="17">
        <v>0</v>
      </c>
      <c r="M144" s="12">
        <v>0</v>
      </c>
      <c r="N144" s="12">
        <v>0</v>
      </c>
      <c r="O144" s="12">
        <v>0</v>
      </c>
      <c r="P144" s="12">
        <f t="shared" si="20"/>
        <v>0</v>
      </c>
      <c r="Q144" s="12">
        <v>0</v>
      </c>
      <c r="R144" s="12">
        <v>0</v>
      </c>
      <c r="S144" s="12">
        <v>0</v>
      </c>
      <c r="T144" s="11">
        <v>0</v>
      </c>
      <c r="U144" s="11">
        <v>0</v>
      </c>
      <c r="V144" s="11">
        <v>0</v>
      </c>
      <c r="W144" s="55">
        <f t="shared" si="21"/>
        <v>0</v>
      </c>
      <c r="X144" s="74" t="e">
        <f t="shared" si="22"/>
        <v>#DIV/0!</v>
      </c>
      <c r="Y144" s="74" t="e">
        <f t="shared" si="23"/>
        <v>#DIV/0!</v>
      </c>
      <c r="Z144" s="74" t="e">
        <f t="shared" si="24"/>
        <v>#DIV/0!</v>
      </c>
      <c r="AA144" s="74" t="e">
        <f t="shared" si="25"/>
        <v>#DIV/0!</v>
      </c>
    </row>
    <row r="145" spans="1:27">
      <c r="A145" s="7" t="s">
        <v>7</v>
      </c>
      <c r="B145" s="7">
        <v>10009331</v>
      </c>
      <c r="C145" s="7" t="str">
        <f t="shared" si="19"/>
        <v>FEBRERO10009331Entradas</v>
      </c>
      <c r="D145" s="7" t="s">
        <v>406</v>
      </c>
      <c r="E145" s="3" t="s">
        <v>164</v>
      </c>
      <c r="F145" s="9">
        <v>40518</v>
      </c>
      <c r="G145" s="3" t="s">
        <v>320</v>
      </c>
      <c r="H145" s="12">
        <v>170580.78</v>
      </c>
      <c r="I145" s="12" t="s">
        <v>408</v>
      </c>
      <c r="J145" s="13"/>
      <c r="K145" s="12">
        <v>71441.59</v>
      </c>
      <c r="L145" s="17">
        <v>1.76</v>
      </c>
      <c r="M145" s="12">
        <v>40743.58</v>
      </c>
      <c r="N145" s="12">
        <v>780.46</v>
      </c>
      <c r="O145" s="12">
        <v>16867.82</v>
      </c>
      <c r="P145" s="12">
        <f t="shared" si="20"/>
        <v>13049.729999999996</v>
      </c>
      <c r="Q145" s="12">
        <v>284.23</v>
      </c>
      <c r="R145" s="12">
        <v>698.94</v>
      </c>
      <c r="S145" s="12">
        <v>6384.95</v>
      </c>
      <c r="T145" s="11">
        <v>0.14000000000000001</v>
      </c>
      <c r="U145" s="11">
        <v>5168.88</v>
      </c>
      <c r="V145" s="11">
        <v>512.58999999999651</v>
      </c>
      <c r="W145" s="55">
        <f t="shared" si="21"/>
        <v>71441.59</v>
      </c>
      <c r="X145" s="74">
        <f t="shared" si="22"/>
        <v>0.57030617599636291</v>
      </c>
      <c r="Y145" s="74">
        <f t="shared" si="23"/>
        <v>1.0924448909941676E-2</v>
      </c>
      <c r="Z145" s="74">
        <f t="shared" si="24"/>
        <v>0.23610644723892624</v>
      </c>
      <c r="AA145" s="74">
        <f t="shared" si="25"/>
        <v>0.18266292785476915</v>
      </c>
    </row>
    <row r="146" spans="1:27">
      <c r="A146" s="7" t="s">
        <v>7</v>
      </c>
      <c r="B146" s="7">
        <v>10009331</v>
      </c>
      <c r="C146" s="7" t="str">
        <f t="shared" si="19"/>
        <v>FEBRERO10009331Inventario acumulado</v>
      </c>
      <c r="D146" s="7" t="s">
        <v>406</v>
      </c>
      <c r="E146" s="3" t="s">
        <v>322</v>
      </c>
      <c r="F146" s="9">
        <v>57168</v>
      </c>
      <c r="G146" s="3" t="s">
        <v>320</v>
      </c>
      <c r="H146" s="12">
        <v>240677.28</v>
      </c>
      <c r="I146" s="12" t="s">
        <v>409</v>
      </c>
      <c r="J146" s="13"/>
      <c r="K146" s="12">
        <v>103592.91</v>
      </c>
      <c r="L146" s="17">
        <v>1.81</v>
      </c>
      <c r="M146" s="12">
        <v>60140.06</v>
      </c>
      <c r="N146" s="12">
        <v>1084.9000000000001</v>
      </c>
      <c r="O146" s="12">
        <v>24083.38</v>
      </c>
      <c r="P146" s="12">
        <f t="shared" si="20"/>
        <v>18284.57</v>
      </c>
      <c r="Q146" s="12">
        <v>321.63</v>
      </c>
      <c r="R146" s="12">
        <v>985.17</v>
      </c>
      <c r="S146" s="12">
        <v>9000.07</v>
      </c>
      <c r="T146" s="11">
        <v>0.14000000000000001</v>
      </c>
      <c r="U146" s="11">
        <v>7285.59</v>
      </c>
      <c r="V146" s="11">
        <v>691.97000000000116</v>
      </c>
      <c r="W146" s="55">
        <f t="shared" si="21"/>
        <v>103592.91</v>
      </c>
      <c r="X146" s="74">
        <f t="shared" si="22"/>
        <v>0.58054223981158548</v>
      </c>
      <c r="Y146" s="74">
        <f t="shared" si="23"/>
        <v>1.0472724436450333E-2</v>
      </c>
      <c r="Z146" s="74">
        <f t="shared" si="24"/>
        <v>0.23248096805080579</v>
      </c>
      <c r="AA146" s="74">
        <f t="shared" si="25"/>
        <v>0.17650406770115831</v>
      </c>
    </row>
    <row r="147" spans="1:27">
      <c r="A147" s="7" t="s">
        <v>7</v>
      </c>
      <c r="B147" s="7">
        <v>10009331</v>
      </c>
      <c r="C147" s="7" t="str">
        <f t="shared" si="19"/>
        <v>FEBRERO10009331Inventario final</v>
      </c>
      <c r="D147" s="7" t="s">
        <v>406</v>
      </c>
      <c r="E147" s="3" t="s">
        <v>218</v>
      </c>
      <c r="F147" s="9">
        <v>57168</v>
      </c>
      <c r="G147" s="3" t="s">
        <v>320</v>
      </c>
      <c r="H147" s="12">
        <v>240677.28</v>
      </c>
      <c r="I147" s="12" t="s">
        <v>409</v>
      </c>
      <c r="J147" s="13"/>
      <c r="K147" s="12">
        <v>103592.91</v>
      </c>
      <c r="L147" s="17">
        <v>1.81</v>
      </c>
      <c r="M147" s="12">
        <v>60140.06</v>
      </c>
      <c r="N147" s="12">
        <v>1084.9000000000001</v>
      </c>
      <c r="O147" s="12">
        <v>24083.38</v>
      </c>
      <c r="P147" s="12">
        <f t="shared" si="20"/>
        <v>18284.57</v>
      </c>
      <c r="Q147" s="12">
        <v>321.63</v>
      </c>
      <c r="R147" s="12">
        <v>985.17</v>
      </c>
      <c r="S147" s="12">
        <v>9000.07</v>
      </c>
      <c r="T147" s="11">
        <v>0.14000000000000001</v>
      </c>
      <c r="U147" s="11">
        <v>7285.59</v>
      </c>
      <c r="V147" s="11">
        <v>691.97000000000116</v>
      </c>
      <c r="W147" s="55">
        <f t="shared" si="21"/>
        <v>103592.91</v>
      </c>
      <c r="X147" s="74">
        <f t="shared" si="22"/>
        <v>0.58054223981158548</v>
      </c>
      <c r="Y147" s="74">
        <f t="shared" si="23"/>
        <v>1.0472724436450333E-2</v>
      </c>
      <c r="Z147" s="74">
        <f t="shared" si="24"/>
        <v>0.23248096805080579</v>
      </c>
      <c r="AA147" s="74">
        <f t="shared" si="25"/>
        <v>0.17650406770115831</v>
      </c>
    </row>
    <row r="148" spans="1:27">
      <c r="A148" s="7" t="s">
        <v>6</v>
      </c>
      <c r="B148" s="7">
        <v>10009332</v>
      </c>
      <c r="C148" s="7" t="str">
        <f t="shared" si="19"/>
        <v>ENERO10009332Inventario inicial</v>
      </c>
      <c r="D148" s="7" t="s">
        <v>410</v>
      </c>
      <c r="E148" s="3" t="s">
        <v>319</v>
      </c>
      <c r="F148" s="9">
        <v>5565</v>
      </c>
      <c r="G148" s="3" t="s">
        <v>320</v>
      </c>
      <c r="H148" s="12">
        <v>13133.4</v>
      </c>
      <c r="I148" s="12">
        <v>4147.6400000000003</v>
      </c>
      <c r="J148" s="13"/>
      <c r="K148" s="12">
        <v>17281.04</v>
      </c>
      <c r="L148" s="17">
        <v>3.11</v>
      </c>
      <c r="M148" s="12">
        <v>12999.14</v>
      </c>
      <c r="N148" s="12">
        <v>176.7</v>
      </c>
      <c r="O148" s="12">
        <v>2229.9699999999998</v>
      </c>
      <c r="P148" s="12">
        <f t="shared" si="20"/>
        <v>1875.2300000000025</v>
      </c>
      <c r="Q148" s="12">
        <v>212.58</v>
      </c>
      <c r="R148" s="12">
        <v>705.93</v>
      </c>
      <c r="S148" s="12">
        <v>781.44</v>
      </c>
      <c r="T148" s="11"/>
      <c r="U148" s="11"/>
      <c r="V148" s="11">
        <v>175.28000000000247</v>
      </c>
      <c r="W148" s="55">
        <f t="shared" si="21"/>
        <v>17281.04</v>
      </c>
      <c r="X148" s="74">
        <f t="shared" si="22"/>
        <v>0.75221977380990956</v>
      </c>
      <c r="Y148" s="74">
        <f t="shared" si="23"/>
        <v>1.0225079046168517E-2</v>
      </c>
      <c r="Z148" s="74">
        <f t="shared" si="24"/>
        <v>0.12904142343284894</v>
      </c>
      <c r="AA148" s="74">
        <f t="shared" si="25"/>
        <v>0.10851372371107308</v>
      </c>
    </row>
    <row r="149" spans="1:27">
      <c r="A149" s="7" t="s">
        <v>6</v>
      </c>
      <c r="B149" s="7">
        <v>10009332</v>
      </c>
      <c r="C149" s="7" t="str">
        <f t="shared" si="19"/>
        <v>ENERO10009332Revalorización</v>
      </c>
      <c r="D149" s="7" t="s">
        <v>410</v>
      </c>
      <c r="E149" s="3" t="s">
        <v>321</v>
      </c>
      <c r="F149" s="8">
        <v>0</v>
      </c>
      <c r="G149" s="2" t="s">
        <v>320</v>
      </c>
      <c r="H149" s="11">
        <v>6678</v>
      </c>
      <c r="I149" s="11">
        <v>-6678</v>
      </c>
      <c r="J149" s="11"/>
      <c r="K149" s="11">
        <v>0</v>
      </c>
      <c r="L149" s="16">
        <v>0</v>
      </c>
      <c r="M149" s="11">
        <v>0</v>
      </c>
      <c r="N149" s="11">
        <v>0</v>
      </c>
      <c r="O149" s="11">
        <v>0</v>
      </c>
      <c r="P149" s="11">
        <f t="shared" si="20"/>
        <v>0</v>
      </c>
      <c r="Q149" s="11">
        <v>0</v>
      </c>
      <c r="R149" s="11">
        <v>0</v>
      </c>
      <c r="S149" s="11">
        <v>0</v>
      </c>
      <c r="T149" s="11"/>
      <c r="U149" s="11"/>
      <c r="V149" s="11">
        <v>0</v>
      </c>
      <c r="W149" s="55">
        <f t="shared" si="21"/>
        <v>0</v>
      </c>
      <c r="X149" s="74" t="e">
        <f t="shared" si="22"/>
        <v>#DIV/0!</v>
      </c>
      <c r="Y149" s="74" t="e">
        <f t="shared" si="23"/>
        <v>#DIV/0!</v>
      </c>
      <c r="Z149" s="74" t="e">
        <f t="shared" si="24"/>
        <v>#DIV/0!</v>
      </c>
      <c r="AA149" s="74" t="e">
        <f t="shared" si="25"/>
        <v>#DIV/0!</v>
      </c>
    </row>
    <row r="150" spans="1:27">
      <c r="A150" s="7" t="s">
        <v>6</v>
      </c>
      <c r="B150" s="7">
        <v>10009332</v>
      </c>
      <c r="C150" s="7" t="str">
        <f t="shared" si="19"/>
        <v>ENERO10009332Entradas</v>
      </c>
      <c r="D150" s="7" t="s">
        <v>410</v>
      </c>
      <c r="E150" s="3" t="s">
        <v>164</v>
      </c>
      <c r="F150" s="8">
        <v>10665</v>
      </c>
      <c r="G150" s="2" t="s">
        <v>320</v>
      </c>
      <c r="H150" s="11">
        <v>37967.4</v>
      </c>
      <c r="I150" s="11">
        <v>-23813.05</v>
      </c>
      <c r="J150" s="11"/>
      <c r="K150" s="11">
        <v>14154.35</v>
      </c>
      <c r="L150" s="16">
        <v>1.33</v>
      </c>
      <c r="M150" s="11">
        <v>12058.71</v>
      </c>
      <c r="N150" s="11">
        <v>234</v>
      </c>
      <c r="O150" s="11">
        <v>1919.7</v>
      </c>
      <c r="P150" s="11">
        <f t="shared" si="20"/>
        <v>-58.059999999999491</v>
      </c>
      <c r="Q150" s="11">
        <v>0</v>
      </c>
      <c r="R150" s="11">
        <v>0</v>
      </c>
      <c r="S150" s="11">
        <v>0</v>
      </c>
      <c r="T150" s="11"/>
      <c r="U150" s="11"/>
      <c r="V150" s="11">
        <v>-58.059999999999491</v>
      </c>
      <c r="W150" s="55">
        <f t="shared" si="21"/>
        <v>14154.35</v>
      </c>
      <c r="X150" s="74">
        <f t="shared" si="22"/>
        <v>0.85194374874155288</v>
      </c>
      <c r="Y150" s="74">
        <f t="shared" si="23"/>
        <v>1.6532020191672523E-2</v>
      </c>
      <c r="Z150" s="74">
        <f t="shared" si="24"/>
        <v>0.1356261502647596</v>
      </c>
      <c r="AA150" s="74">
        <f t="shared" si="25"/>
        <v>-4.1019191979850354E-3</v>
      </c>
    </row>
    <row r="151" spans="1:27">
      <c r="A151" s="7" t="s">
        <v>6</v>
      </c>
      <c r="B151" s="7">
        <v>10009332</v>
      </c>
      <c r="C151" s="7" t="str">
        <f t="shared" si="19"/>
        <v>ENERO10009332Inv. acumulado</v>
      </c>
      <c r="D151" s="7" t="s">
        <v>410</v>
      </c>
      <c r="E151" s="3" t="s">
        <v>330</v>
      </c>
      <c r="F151" s="8">
        <v>16230</v>
      </c>
      <c r="G151" s="2" t="s">
        <v>320</v>
      </c>
      <c r="H151" s="11">
        <v>57778.8</v>
      </c>
      <c r="I151" s="11">
        <v>-26343.41</v>
      </c>
      <c r="J151" s="11"/>
      <c r="K151" s="11">
        <v>31435.39</v>
      </c>
      <c r="L151" s="16">
        <v>1.94</v>
      </c>
      <c r="M151" s="11">
        <v>25057.85</v>
      </c>
      <c r="N151" s="11">
        <v>410.7</v>
      </c>
      <c r="O151" s="11">
        <v>4149.67</v>
      </c>
      <c r="P151" s="11">
        <f t="shared" si="20"/>
        <v>1817.1699999999976</v>
      </c>
      <c r="Q151" s="11">
        <v>212.58</v>
      </c>
      <c r="R151" s="11">
        <v>705.93</v>
      </c>
      <c r="S151" s="11">
        <v>781.44</v>
      </c>
      <c r="T151" s="11"/>
      <c r="U151" s="11"/>
      <c r="V151" s="11">
        <v>117.21999999999753</v>
      </c>
      <c r="W151" s="55">
        <f t="shared" si="21"/>
        <v>31435.39</v>
      </c>
      <c r="X151" s="74">
        <f t="shared" si="22"/>
        <v>0.79712228796906925</v>
      </c>
      <c r="Y151" s="74">
        <f t="shared" si="23"/>
        <v>1.3064892784851723E-2</v>
      </c>
      <c r="Z151" s="74">
        <f t="shared" si="24"/>
        <v>0.13200631517534855</v>
      </c>
      <c r="AA151" s="74">
        <f t="shared" si="25"/>
        <v>5.7806504070730395E-2</v>
      </c>
    </row>
    <row r="152" spans="1:27">
      <c r="A152" s="7" t="s">
        <v>6</v>
      </c>
      <c r="B152" s="7">
        <v>10009332</v>
      </c>
      <c r="C152" s="7" t="str">
        <f t="shared" si="19"/>
        <v>ENERO10009332Inventario final</v>
      </c>
      <c r="D152" s="7" t="s">
        <v>410</v>
      </c>
      <c r="E152" s="3" t="s">
        <v>218</v>
      </c>
      <c r="F152" s="8">
        <v>16230</v>
      </c>
      <c r="G152" s="2" t="s">
        <v>320</v>
      </c>
      <c r="H152" s="11">
        <v>57778.8</v>
      </c>
      <c r="I152" s="11">
        <v>-26343.41</v>
      </c>
      <c r="J152" s="11"/>
      <c r="K152" s="11">
        <v>31435.39</v>
      </c>
      <c r="L152" s="16">
        <v>1.94</v>
      </c>
      <c r="M152" s="11">
        <v>25057.85</v>
      </c>
      <c r="N152" s="11">
        <v>410.7</v>
      </c>
      <c r="O152" s="11">
        <v>4149.67</v>
      </c>
      <c r="P152" s="11">
        <f t="shared" si="20"/>
        <v>1817.1699999999976</v>
      </c>
      <c r="Q152" s="11">
        <v>212.58</v>
      </c>
      <c r="R152" s="11">
        <v>705.93</v>
      </c>
      <c r="S152" s="11">
        <v>781.44</v>
      </c>
      <c r="T152" s="11"/>
      <c r="U152" s="11"/>
      <c r="V152" s="11">
        <v>117.21999999999753</v>
      </c>
      <c r="W152" s="55">
        <f t="shared" si="21"/>
        <v>31435.39</v>
      </c>
      <c r="X152" s="74">
        <f t="shared" si="22"/>
        <v>0.79712228796906925</v>
      </c>
      <c r="Y152" s="74">
        <f t="shared" si="23"/>
        <v>1.3064892784851723E-2</v>
      </c>
      <c r="Z152" s="74">
        <f t="shared" si="24"/>
        <v>0.13200631517534855</v>
      </c>
      <c r="AA152" s="74">
        <f t="shared" si="25"/>
        <v>5.7806504070730395E-2</v>
      </c>
    </row>
    <row r="153" spans="1:27">
      <c r="A153" s="7" t="s">
        <v>7</v>
      </c>
      <c r="B153" s="7">
        <v>10009332</v>
      </c>
      <c r="C153" s="7" t="str">
        <f t="shared" si="19"/>
        <v>FEBRERO10009332Inventario inicial</v>
      </c>
      <c r="D153" s="7" t="s">
        <v>410</v>
      </c>
      <c r="E153" s="3" t="s">
        <v>319</v>
      </c>
      <c r="F153" s="8">
        <v>16230</v>
      </c>
      <c r="G153" s="2" t="s">
        <v>320</v>
      </c>
      <c r="H153" s="11">
        <v>57778.8</v>
      </c>
      <c r="I153" s="11" t="s">
        <v>411</v>
      </c>
      <c r="J153" s="11"/>
      <c r="K153" s="11">
        <v>31435.39</v>
      </c>
      <c r="L153" s="16">
        <v>1.94</v>
      </c>
      <c r="M153" s="11">
        <v>25057.85</v>
      </c>
      <c r="N153" s="11">
        <v>410.7</v>
      </c>
      <c r="O153" s="11">
        <v>4149.67</v>
      </c>
      <c r="P153" s="11">
        <f t="shared" si="20"/>
        <v>1817.1699999999983</v>
      </c>
      <c r="Q153" s="11">
        <v>70.180000000000007</v>
      </c>
      <c r="R153" s="11">
        <v>212.58</v>
      </c>
      <c r="S153" s="11">
        <v>705.93</v>
      </c>
      <c r="T153" s="11">
        <v>0.03</v>
      </c>
      <c r="U153" s="11">
        <v>781.44</v>
      </c>
      <c r="V153" s="11">
        <v>47.009999999998399</v>
      </c>
      <c r="W153" s="55">
        <f t="shared" si="21"/>
        <v>31435.39</v>
      </c>
      <c r="X153" s="74">
        <f t="shared" si="22"/>
        <v>0.79712228796906925</v>
      </c>
      <c r="Y153" s="74">
        <f t="shared" si="23"/>
        <v>1.3064892784851723E-2</v>
      </c>
      <c r="Z153" s="74">
        <f t="shared" si="24"/>
        <v>0.13200631517534855</v>
      </c>
      <c r="AA153" s="74">
        <f t="shared" si="25"/>
        <v>5.7806504070730416E-2</v>
      </c>
    </row>
    <row r="154" spans="1:27">
      <c r="A154" s="7" t="s">
        <v>7</v>
      </c>
      <c r="B154" s="7">
        <v>10009332</v>
      </c>
      <c r="C154" s="7" t="str">
        <f t="shared" si="19"/>
        <v>FEBRERO10009332Revalorización</v>
      </c>
      <c r="D154" s="7" t="s">
        <v>410</v>
      </c>
      <c r="E154" s="3" t="s">
        <v>321</v>
      </c>
      <c r="F154" s="8">
        <v>0</v>
      </c>
      <c r="G154" s="2" t="s">
        <v>320</v>
      </c>
      <c r="H154" s="11" t="s">
        <v>412</v>
      </c>
      <c r="I154" s="11">
        <v>7303.5</v>
      </c>
      <c r="J154" s="11"/>
      <c r="K154" s="11">
        <v>0</v>
      </c>
      <c r="L154" s="16">
        <v>0</v>
      </c>
      <c r="M154" s="11">
        <v>0</v>
      </c>
      <c r="N154" s="11">
        <v>0</v>
      </c>
      <c r="O154" s="11">
        <v>0</v>
      </c>
      <c r="P154" s="11">
        <f t="shared" si="20"/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55">
        <f t="shared" si="21"/>
        <v>0</v>
      </c>
      <c r="X154" s="74" t="e">
        <f t="shared" si="22"/>
        <v>#DIV/0!</v>
      </c>
      <c r="Y154" s="74" t="e">
        <f t="shared" si="23"/>
        <v>#DIV/0!</v>
      </c>
      <c r="Z154" s="74" t="e">
        <f t="shared" si="24"/>
        <v>#DIV/0!</v>
      </c>
      <c r="AA154" s="74" t="e">
        <f t="shared" si="25"/>
        <v>#DIV/0!</v>
      </c>
    </row>
    <row r="155" spans="1:27">
      <c r="A155" s="7" t="s">
        <v>7</v>
      </c>
      <c r="B155" s="7">
        <v>10009332</v>
      </c>
      <c r="C155" s="7" t="str">
        <f t="shared" si="19"/>
        <v>FEBRERO10009332Entradas</v>
      </c>
      <c r="D155" s="7" t="s">
        <v>410</v>
      </c>
      <c r="E155" s="3" t="s">
        <v>164</v>
      </c>
      <c r="F155" s="8">
        <v>25545</v>
      </c>
      <c r="G155" s="2" t="s">
        <v>320</v>
      </c>
      <c r="H155" s="11">
        <v>79444.95</v>
      </c>
      <c r="I155" s="11" t="s">
        <v>413</v>
      </c>
      <c r="J155" s="11"/>
      <c r="K155" s="11">
        <v>32476.45</v>
      </c>
      <c r="L155" s="16">
        <v>1.27</v>
      </c>
      <c r="M155" s="11">
        <v>26932.76</v>
      </c>
      <c r="N155" s="11">
        <v>497.82</v>
      </c>
      <c r="O155" s="11">
        <v>4928.4399999999996</v>
      </c>
      <c r="P155" s="11">
        <f t="shared" si="20"/>
        <v>117.43000000000262</v>
      </c>
      <c r="Q155" s="11">
        <v>2.04</v>
      </c>
      <c r="R155" s="11">
        <v>24.7</v>
      </c>
      <c r="S155" s="11">
        <v>102.71</v>
      </c>
      <c r="T155" s="11">
        <v>0</v>
      </c>
      <c r="U155" s="11">
        <v>107.36</v>
      </c>
      <c r="V155" s="11">
        <v>-119.37999999999738</v>
      </c>
      <c r="W155" s="55">
        <f t="shared" si="21"/>
        <v>32476.45</v>
      </c>
      <c r="X155" s="74">
        <f t="shared" si="22"/>
        <v>0.82930123212358486</v>
      </c>
      <c r="Y155" s="74">
        <f t="shared" si="23"/>
        <v>1.5328645834135195E-2</v>
      </c>
      <c r="Z155" s="74">
        <f t="shared" si="24"/>
        <v>0.15175427117187992</v>
      </c>
      <c r="AA155" s="74">
        <f t="shared" si="25"/>
        <v>3.6158508704000167E-3</v>
      </c>
    </row>
    <row r="156" spans="1:27">
      <c r="A156" s="7" t="s">
        <v>7</v>
      </c>
      <c r="B156" s="7">
        <v>10009332</v>
      </c>
      <c r="C156" s="7" t="str">
        <f t="shared" si="19"/>
        <v>FEBRERO10009332Inventario acumulado</v>
      </c>
      <c r="D156" s="7" t="s">
        <v>410</v>
      </c>
      <c r="E156" s="3" t="s">
        <v>322</v>
      </c>
      <c r="F156" s="8">
        <v>41775</v>
      </c>
      <c r="G156" s="2" t="s">
        <v>320</v>
      </c>
      <c r="H156" s="11">
        <v>129920.25</v>
      </c>
      <c r="I156" s="11" t="s">
        <v>414</v>
      </c>
      <c r="J156" s="11"/>
      <c r="K156" s="11">
        <v>63911.839999999997</v>
      </c>
      <c r="L156" s="16">
        <v>1.53</v>
      </c>
      <c r="M156" s="11">
        <v>51990.61</v>
      </c>
      <c r="N156" s="11">
        <v>908.52</v>
      </c>
      <c r="O156" s="11">
        <v>9078.11</v>
      </c>
      <c r="P156" s="11">
        <f t="shared" si="20"/>
        <v>1934.5999999999972</v>
      </c>
      <c r="Q156" s="11">
        <v>72.22</v>
      </c>
      <c r="R156" s="11">
        <v>237.28</v>
      </c>
      <c r="S156" s="11">
        <v>808.64</v>
      </c>
      <c r="T156" s="11">
        <v>0.03</v>
      </c>
      <c r="U156" s="11">
        <v>888.8</v>
      </c>
      <c r="V156" s="11">
        <v>-72.370000000002619</v>
      </c>
      <c r="W156" s="55">
        <f t="shared" si="21"/>
        <v>63911.839999999997</v>
      </c>
      <c r="X156" s="74">
        <f t="shared" si="22"/>
        <v>0.81347384146662027</v>
      </c>
      <c r="Y156" s="74">
        <f t="shared" si="23"/>
        <v>1.4215206446880579E-2</v>
      </c>
      <c r="Z156" s="74">
        <f t="shared" si="24"/>
        <v>0.14204113040713584</v>
      </c>
      <c r="AA156" s="74">
        <f t="shared" si="25"/>
        <v>3.026982167936328E-2</v>
      </c>
    </row>
    <row r="157" spans="1:27">
      <c r="A157" s="7" t="s">
        <v>7</v>
      </c>
      <c r="B157" s="7">
        <v>10009332</v>
      </c>
      <c r="C157" s="7" t="str">
        <f t="shared" si="19"/>
        <v>FEBRERO10009332Compensación</v>
      </c>
      <c r="D157" s="7" t="s">
        <v>410</v>
      </c>
      <c r="E157" s="3" t="s">
        <v>114</v>
      </c>
      <c r="F157" s="8">
        <v>26625</v>
      </c>
      <c r="G157" s="2" t="s">
        <v>320</v>
      </c>
      <c r="H157" s="11">
        <v>82803.75</v>
      </c>
      <c r="I157" s="11" t="s">
        <v>415</v>
      </c>
      <c r="J157" s="11"/>
      <c r="K157" s="11">
        <v>40733.760000000002</v>
      </c>
      <c r="L157" s="16">
        <v>1.53</v>
      </c>
      <c r="M157" s="11">
        <v>33135.85</v>
      </c>
      <c r="N157" s="11">
        <v>579.04</v>
      </c>
      <c r="O157" s="11">
        <v>5785.86</v>
      </c>
      <c r="P157" s="11">
        <f t="shared" si="20"/>
        <v>1233.0100000000048</v>
      </c>
      <c r="Q157" s="11">
        <v>46.03</v>
      </c>
      <c r="R157" s="11">
        <v>151.22999999999999</v>
      </c>
      <c r="S157" s="11">
        <v>515.38</v>
      </c>
      <c r="T157" s="11">
        <v>0.02</v>
      </c>
      <c r="U157" s="11">
        <v>566.47</v>
      </c>
      <c r="V157" s="11">
        <v>-46.119999999995343</v>
      </c>
      <c r="W157" s="55">
        <f t="shared" si="21"/>
        <v>40733.760000000002</v>
      </c>
      <c r="X157" s="74">
        <f t="shared" si="22"/>
        <v>0.8134738850525951</v>
      </c>
      <c r="Y157" s="74">
        <f t="shared" si="23"/>
        <v>1.4215235716025232E-2</v>
      </c>
      <c r="Z157" s="74">
        <f t="shared" si="24"/>
        <v>0.14204090169922931</v>
      </c>
      <c r="AA157" s="74">
        <f t="shared" si="25"/>
        <v>3.0269977532150352E-2</v>
      </c>
    </row>
    <row r="158" spans="1:27">
      <c r="A158" s="7" t="s">
        <v>7</v>
      </c>
      <c r="B158" s="7">
        <v>10009332</v>
      </c>
      <c r="C158" s="7" t="str">
        <f t="shared" si="19"/>
        <v>FEBRERO10009332Inventario final</v>
      </c>
      <c r="D158" s="7" t="s">
        <v>410</v>
      </c>
      <c r="E158" s="3" t="s">
        <v>218</v>
      </c>
      <c r="F158" s="8">
        <v>15150</v>
      </c>
      <c r="G158" s="2" t="s">
        <v>320</v>
      </c>
      <c r="H158" s="11">
        <v>47116.5</v>
      </c>
      <c r="I158" s="11" t="s">
        <v>416</v>
      </c>
      <c r="J158" s="11"/>
      <c r="K158" s="11">
        <v>23178.080000000002</v>
      </c>
      <c r="L158" s="16">
        <v>1.53</v>
      </c>
      <c r="M158" s="11">
        <v>18854.759999999998</v>
      </c>
      <c r="N158" s="11">
        <v>329.48</v>
      </c>
      <c r="O158" s="11">
        <v>3292.25</v>
      </c>
      <c r="P158" s="11">
        <f t="shared" si="20"/>
        <v>701.59000000000356</v>
      </c>
      <c r="Q158" s="11">
        <v>26.19</v>
      </c>
      <c r="R158" s="11">
        <v>86.05</v>
      </c>
      <c r="S158" s="11">
        <v>293.26</v>
      </c>
      <c r="T158" s="11">
        <v>0.01</v>
      </c>
      <c r="U158" s="11">
        <v>322.33</v>
      </c>
      <c r="V158" s="11">
        <v>-26.249999999996362</v>
      </c>
      <c r="W158" s="55">
        <f t="shared" si="21"/>
        <v>23178.080000000002</v>
      </c>
      <c r="X158" s="74">
        <f t="shared" si="22"/>
        <v>0.81347376486749534</v>
      </c>
      <c r="Y158" s="74">
        <f t="shared" si="23"/>
        <v>1.4215155008525295E-2</v>
      </c>
      <c r="Z158" s="74">
        <f t="shared" si="24"/>
        <v>0.14204153234435293</v>
      </c>
      <c r="AA158" s="74">
        <f t="shared" si="25"/>
        <v>3.026954777962642E-2</v>
      </c>
    </row>
    <row r="159" spans="1:27">
      <c r="A159" s="168" t="s">
        <v>8</v>
      </c>
      <c r="B159" s="7">
        <v>10004433</v>
      </c>
      <c r="C159" s="7" t="str">
        <f t="shared" si="19"/>
        <v>MARZO10004433Inventario final</v>
      </c>
      <c r="D159" s="167" t="s">
        <v>427</v>
      </c>
      <c r="E159" s="3" t="s">
        <v>218</v>
      </c>
      <c r="F159" s="8">
        <v>900</v>
      </c>
      <c r="G159" s="2" t="s">
        <v>320</v>
      </c>
      <c r="H159" s="11"/>
      <c r="I159" s="11"/>
      <c r="J159" s="11"/>
      <c r="K159" s="11"/>
      <c r="L159" s="170">
        <v>2.1392666666666664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55"/>
      <c r="W159" s="55"/>
    </row>
    <row r="160" spans="1:27">
      <c r="A160" s="168" t="s">
        <v>8</v>
      </c>
      <c r="B160" s="7">
        <v>10004434</v>
      </c>
      <c r="C160" s="7" t="str">
        <f t="shared" si="19"/>
        <v>MARZO10004434Inventario final</v>
      </c>
      <c r="D160" s="167" t="s">
        <v>428</v>
      </c>
      <c r="E160" s="3" t="s">
        <v>218</v>
      </c>
      <c r="F160" s="8">
        <v>3360</v>
      </c>
      <c r="G160" s="2" t="s">
        <v>320</v>
      </c>
      <c r="H160" s="11"/>
      <c r="I160" s="11"/>
      <c r="J160" s="11"/>
      <c r="K160" s="11"/>
      <c r="L160" s="170">
        <v>1.8835357142857143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55"/>
      <c r="W160" s="55"/>
    </row>
    <row r="161" spans="1:23">
      <c r="A161" s="168" t="s">
        <v>8</v>
      </c>
      <c r="B161" s="7">
        <v>10004435</v>
      </c>
      <c r="C161" s="7" t="str">
        <f t="shared" si="19"/>
        <v>MARZO10004435Inventario final</v>
      </c>
      <c r="D161" s="167" t="s">
        <v>429</v>
      </c>
      <c r="E161" s="3" t="s">
        <v>218</v>
      </c>
      <c r="F161" s="8">
        <v>270240</v>
      </c>
      <c r="G161" s="2" t="s">
        <v>320</v>
      </c>
      <c r="H161" s="11"/>
      <c r="I161" s="11"/>
      <c r="J161" s="11"/>
      <c r="K161" s="11"/>
      <c r="L161" s="170">
        <v>1.8470895500296032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55"/>
      <c r="W161" s="55"/>
    </row>
    <row r="162" spans="1:23">
      <c r="A162" s="168" t="s">
        <v>8</v>
      </c>
      <c r="B162" s="7">
        <v>10005721</v>
      </c>
      <c r="C162" s="7" t="str">
        <f t="shared" si="19"/>
        <v>MARZO10005721Inventario final</v>
      </c>
      <c r="D162" s="167" t="s">
        <v>430</v>
      </c>
      <c r="E162" s="3" t="s">
        <v>218</v>
      </c>
      <c r="F162" s="8">
        <v>1190280</v>
      </c>
      <c r="G162" s="2" t="s">
        <v>320</v>
      </c>
      <c r="H162" s="11"/>
      <c r="I162" s="11"/>
      <c r="J162" s="11"/>
      <c r="K162" s="11"/>
      <c r="L162" s="170">
        <v>1.8460127953086667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55"/>
      <c r="W162" s="55"/>
    </row>
    <row r="163" spans="1:23">
      <c r="A163" s="168" t="s">
        <v>8</v>
      </c>
      <c r="B163" s="7">
        <v>10005776</v>
      </c>
      <c r="C163" s="7" t="str">
        <f t="shared" si="19"/>
        <v>MARZO10005776Inventario final</v>
      </c>
      <c r="D163" s="167" t="s">
        <v>431</v>
      </c>
      <c r="E163" s="3" t="s">
        <v>218</v>
      </c>
      <c r="F163" s="8">
        <v>19920</v>
      </c>
      <c r="G163" s="2" t="s">
        <v>320</v>
      </c>
      <c r="H163" s="11"/>
      <c r="I163" s="11"/>
      <c r="J163" s="11"/>
      <c r="K163" s="11"/>
      <c r="L163" s="170">
        <v>1.9555903614457832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55"/>
      <c r="W163" s="55"/>
    </row>
    <row r="164" spans="1:23">
      <c r="A164" s="168" t="s">
        <v>8</v>
      </c>
      <c r="B164" s="7">
        <v>10005779</v>
      </c>
      <c r="C164" s="7" t="str">
        <f t="shared" si="19"/>
        <v>MARZO10005779Inventario final</v>
      </c>
      <c r="D164" s="167" t="s">
        <v>355</v>
      </c>
      <c r="E164" s="3" t="s">
        <v>218</v>
      </c>
      <c r="F164" s="8">
        <v>494900</v>
      </c>
      <c r="G164" s="2" t="s">
        <v>320</v>
      </c>
      <c r="H164" s="11"/>
      <c r="I164" s="11"/>
      <c r="J164" s="11"/>
      <c r="K164" s="11"/>
      <c r="L164" s="170">
        <v>1.8971217215599112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55"/>
      <c r="W164" s="55"/>
    </row>
    <row r="165" spans="1:23">
      <c r="A165" s="168" t="s">
        <v>8</v>
      </c>
      <c r="B165" s="7">
        <v>10005781</v>
      </c>
      <c r="C165" s="7" t="str">
        <f t="shared" si="19"/>
        <v>MARZO10005781Inventario final</v>
      </c>
      <c r="D165" s="167" t="s">
        <v>366</v>
      </c>
      <c r="E165" s="3" t="s">
        <v>218</v>
      </c>
      <c r="F165" s="9">
        <v>153680</v>
      </c>
      <c r="G165" s="2" t="s">
        <v>320</v>
      </c>
      <c r="H165" s="12"/>
      <c r="I165" s="12"/>
      <c r="J165" s="13"/>
      <c r="K165" s="12"/>
      <c r="L165" s="171">
        <v>1.9264264055179592</v>
      </c>
      <c r="M165" s="12"/>
      <c r="N165" s="12"/>
      <c r="O165" s="12"/>
      <c r="P165" s="12"/>
      <c r="Q165" s="12"/>
      <c r="R165" s="12"/>
      <c r="S165" s="12"/>
      <c r="T165" s="12"/>
      <c r="U165" s="14"/>
      <c r="V165" s="57"/>
      <c r="W165" s="57"/>
    </row>
    <row r="166" spans="1:23">
      <c r="A166" s="168" t="s">
        <v>8</v>
      </c>
      <c r="B166" s="7">
        <v>10006668</v>
      </c>
      <c r="C166" s="7" t="str">
        <f t="shared" si="19"/>
        <v>MARZO10006668Inventario final</v>
      </c>
      <c r="D166" s="167" t="s">
        <v>432</v>
      </c>
      <c r="E166" s="3" t="s">
        <v>218</v>
      </c>
      <c r="F166" s="9">
        <v>980</v>
      </c>
      <c r="G166" s="2" t="s">
        <v>320</v>
      </c>
      <c r="H166" s="12"/>
      <c r="I166" s="12"/>
      <c r="J166" s="13"/>
      <c r="K166" s="12"/>
      <c r="L166" s="171">
        <v>1.8625510204081634</v>
      </c>
      <c r="M166" s="12"/>
      <c r="N166" s="12"/>
      <c r="O166" s="12"/>
      <c r="P166" s="12"/>
      <c r="Q166" s="12"/>
      <c r="R166" s="12"/>
      <c r="S166" s="12"/>
      <c r="T166" s="12"/>
      <c r="U166" s="14"/>
      <c r="V166" s="57"/>
      <c r="W166" s="57"/>
    </row>
    <row r="167" spans="1:23">
      <c r="A167" s="168" t="s">
        <v>8</v>
      </c>
      <c r="B167" s="7">
        <v>10006719</v>
      </c>
      <c r="C167" s="7" t="str">
        <f t="shared" si="19"/>
        <v>MARZO10006719Inventario final</v>
      </c>
      <c r="D167" s="167" t="s">
        <v>433</v>
      </c>
      <c r="E167" s="3" t="s">
        <v>218</v>
      </c>
      <c r="F167" s="9">
        <v>2000</v>
      </c>
      <c r="G167" s="2" t="s">
        <v>320</v>
      </c>
      <c r="H167" s="12"/>
      <c r="I167" s="12"/>
      <c r="J167" s="13"/>
      <c r="K167" s="12"/>
      <c r="L167" s="171">
        <v>1.68899</v>
      </c>
      <c r="M167" s="12"/>
      <c r="N167" s="12"/>
      <c r="O167" s="12"/>
      <c r="P167" s="12"/>
      <c r="Q167" s="12"/>
      <c r="R167" s="12"/>
      <c r="S167" s="12"/>
      <c r="T167" s="12"/>
      <c r="U167" s="14"/>
      <c r="V167" s="57"/>
      <c r="W167" s="57"/>
    </row>
    <row r="168" spans="1:23">
      <c r="A168" s="168" t="s">
        <v>8</v>
      </c>
      <c r="B168" s="7">
        <v>10006720</v>
      </c>
      <c r="C168" s="7" t="str">
        <f t="shared" si="19"/>
        <v>MARZO10006720Inventario final</v>
      </c>
      <c r="D168" s="167" t="s">
        <v>329</v>
      </c>
      <c r="E168" s="3" t="s">
        <v>218</v>
      </c>
      <c r="F168" s="9">
        <v>932660</v>
      </c>
      <c r="G168" s="2" t="s">
        <v>320</v>
      </c>
      <c r="H168" s="12"/>
      <c r="I168" s="12"/>
      <c r="J168" s="13"/>
      <c r="K168" s="12"/>
      <c r="L168" s="171">
        <v>1.7114050243389873</v>
      </c>
      <c r="M168" s="12"/>
      <c r="N168" s="12"/>
      <c r="O168" s="12"/>
      <c r="P168" s="12"/>
      <c r="Q168" s="12"/>
      <c r="R168" s="12"/>
      <c r="S168" s="12"/>
      <c r="T168" s="12"/>
      <c r="U168" s="14"/>
      <c r="V168" s="57"/>
      <c r="W168" s="57"/>
    </row>
    <row r="169" spans="1:23">
      <c r="A169" s="168" t="s">
        <v>8</v>
      </c>
      <c r="B169" s="7">
        <v>10006722</v>
      </c>
      <c r="C169" s="7" t="str">
        <f t="shared" si="19"/>
        <v>MARZO10006722Inventario final</v>
      </c>
      <c r="D169" s="167" t="s">
        <v>339</v>
      </c>
      <c r="E169" s="3" t="s">
        <v>218</v>
      </c>
      <c r="F169" s="9">
        <v>360</v>
      </c>
      <c r="G169" s="2" t="s">
        <v>320</v>
      </c>
      <c r="H169" s="12"/>
      <c r="I169" s="12"/>
      <c r="J169" s="13"/>
      <c r="K169" s="12"/>
      <c r="L169" s="171">
        <v>1.8669166666666668</v>
      </c>
      <c r="M169" s="12"/>
      <c r="N169" s="12"/>
      <c r="O169" s="12"/>
      <c r="P169" s="12"/>
      <c r="Q169" s="12"/>
      <c r="R169" s="12"/>
      <c r="S169" s="12"/>
      <c r="T169" s="12"/>
      <c r="U169" s="14"/>
      <c r="V169" s="57"/>
      <c r="W169" s="57"/>
    </row>
    <row r="170" spans="1:23">
      <c r="A170" s="168" t="s">
        <v>8</v>
      </c>
      <c r="B170" s="7">
        <v>10007050</v>
      </c>
      <c r="C170" s="7" t="str">
        <f t="shared" si="19"/>
        <v>MARZO10007050Inventario final</v>
      </c>
      <c r="D170" s="167" t="s">
        <v>434</v>
      </c>
      <c r="E170" s="3" t="s">
        <v>218</v>
      </c>
      <c r="F170" s="9">
        <v>88420</v>
      </c>
      <c r="G170" s="2" t="s">
        <v>320</v>
      </c>
      <c r="H170" s="12"/>
      <c r="I170" s="12"/>
      <c r="J170" s="13"/>
      <c r="K170" s="12"/>
      <c r="L170" s="171">
        <v>1.386825152680389</v>
      </c>
      <c r="M170" s="12"/>
      <c r="N170" s="12"/>
      <c r="O170" s="12"/>
      <c r="P170" s="12"/>
      <c r="Q170" s="12"/>
      <c r="R170" s="12"/>
      <c r="S170" s="12"/>
      <c r="T170" s="12"/>
      <c r="U170" s="14"/>
      <c r="V170" s="57"/>
      <c r="W170" s="57"/>
    </row>
    <row r="171" spans="1:23">
      <c r="A171" s="168" t="s">
        <v>8</v>
      </c>
      <c r="B171" s="7">
        <v>10007051</v>
      </c>
      <c r="C171" s="7" t="str">
        <f t="shared" si="19"/>
        <v>MARZO10007051Inventario final</v>
      </c>
      <c r="D171" s="167" t="s">
        <v>435</v>
      </c>
      <c r="E171" s="3" t="s">
        <v>218</v>
      </c>
      <c r="F171" s="8">
        <v>6160</v>
      </c>
      <c r="G171" s="2" t="s">
        <v>320</v>
      </c>
      <c r="H171" s="11"/>
      <c r="I171" s="11"/>
      <c r="J171" s="11"/>
      <c r="K171" s="11"/>
      <c r="L171" s="170">
        <v>1.579564935064935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55"/>
      <c r="W171" s="55"/>
    </row>
    <row r="172" spans="1:23">
      <c r="A172" s="168" t="s">
        <v>8</v>
      </c>
      <c r="B172" s="7">
        <v>10007151</v>
      </c>
      <c r="C172" s="7" t="str">
        <f t="shared" si="19"/>
        <v>MARZO10007151Inventario final</v>
      </c>
      <c r="D172" s="167" t="s">
        <v>436</v>
      </c>
      <c r="E172" s="3" t="s">
        <v>218</v>
      </c>
      <c r="F172" s="8">
        <v>3080</v>
      </c>
      <c r="G172" s="2" t="s">
        <v>320</v>
      </c>
      <c r="H172" s="11"/>
      <c r="I172" s="11"/>
      <c r="J172" s="11"/>
      <c r="K172" s="11"/>
      <c r="L172" s="170">
        <v>1.5597045454545455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55"/>
      <c r="W172" s="55"/>
    </row>
    <row r="173" spans="1:23">
      <c r="A173" s="168" t="s">
        <v>8</v>
      </c>
      <c r="B173" s="7">
        <v>10007152</v>
      </c>
      <c r="C173" s="7" t="str">
        <f t="shared" si="19"/>
        <v>MARZO10007152Inventario final</v>
      </c>
      <c r="D173" s="167" t="s">
        <v>437</v>
      </c>
      <c r="E173" s="3" t="s">
        <v>218</v>
      </c>
      <c r="F173" s="8">
        <v>3180</v>
      </c>
      <c r="G173" s="2" t="s">
        <v>320</v>
      </c>
      <c r="H173" s="11"/>
      <c r="I173" s="11"/>
      <c r="J173" s="11"/>
      <c r="K173" s="11"/>
      <c r="L173" s="170">
        <v>1.4868616352201256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55"/>
      <c r="W173" s="55"/>
    </row>
    <row r="174" spans="1:23">
      <c r="A174" s="168" t="s">
        <v>8</v>
      </c>
      <c r="B174" s="7">
        <v>10007161</v>
      </c>
      <c r="C174" s="7" t="str">
        <f t="shared" si="19"/>
        <v>MARZO10007161Inventario final</v>
      </c>
      <c r="D174" s="167" t="s">
        <v>438</v>
      </c>
      <c r="E174" s="3" t="s">
        <v>218</v>
      </c>
      <c r="F174" s="8">
        <v>20340</v>
      </c>
      <c r="G174" s="2" t="s">
        <v>320</v>
      </c>
      <c r="H174" s="11"/>
      <c r="I174" s="11"/>
      <c r="J174" s="11"/>
      <c r="K174" s="11"/>
      <c r="L174" s="170">
        <v>1.8840594886922319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55"/>
      <c r="W174" s="55"/>
    </row>
    <row r="175" spans="1:23">
      <c r="A175" s="168" t="s">
        <v>8</v>
      </c>
      <c r="B175" s="7">
        <v>10007162</v>
      </c>
      <c r="C175" s="7" t="str">
        <f t="shared" si="19"/>
        <v>MARZO10007162Inventario final</v>
      </c>
      <c r="D175" s="167" t="s">
        <v>378</v>
      </c>
      <c r="E175" s="3" t="s">
        <v>218</v>
      </c>
      <c r="F175" s="8">
        <v>785840</v>
      </c>
      <c r="G175" s="2" t="s">
        <v>320</v>
      </c>
      <c r="H175" s="11"/>
      <c r="I175" s="11"/>
      <c r="J175" s="11"/>
      <c r="K175" s="11"/>
      <c r="L175" s="170">
        <v>1.7759905324239029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55"/>
      <c r="W175" s="55"/>
    </row>
    <row r="176" spans="1:23">
      <c r="A176" s="168" t="s">
        <v>8</v>
      </c>
      <c r="B176" s="7">
        <v>10007567</v>
      </c>
      <c r="C176" s="7" t="str">
        <f t="shared" si="19"/>
        <v>MARZO10007567Inventario final</v>
      </c>
      <c r="D176" s="167" t="s">
        <v>373</v>
      </c>
      <c r="E176" s="3" t="s">
        <v>218</v>
      </c>
      <c r="F176" s="8">
        <v>240640</v>
      </c>
      <c r="G176" s="2" t="s">
        <v>320</v>
      </c>
      <c r="H176" s="11"/>
      <c r="I176" s="11"/>
      <c r="J176" s="11"/>
      <c r="K176" s="11"/>
      <c r="L176" s="170">
        <v>1.7637217004654255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55"/>
      <c r="W176" s="55"/>
    </row>
    <row r="177" spans="1:12">
      <c r="A177" s="168" t="s">
        <v>8</v>
      </c>
      <c r="B177" s="7">
        <v>10007969</v>
      </c>
      <c r="C177" s="7" t="str">
        <f t="shared" si="19"/>
        <v>MARZO10007969Inventario final</v>
      </c>
      <c r="D177" s="167" t="s">
        <v>439</v>
      </c>
      <c r="E177" s="3" t="s">
        <v>218</v>
      </c>
      <c r="F177">
        <v>150020</v>
      </c>
      <c r="G177" s="2" t="s">
        <v>320</v>
      </c>
      <c r="L177" s="112">
        <v>1.4884309425409947</v>
      </c>
    </row>
    <row r="178" spans="1:12">
      <c r="A178" s="168" t="s">
        <v>8</v>
      </c>
      <c r="B178" s="7">
        <v>10009176</v>
      </c>
      <c r="C178" s="7" t="str">
        <f t="shared" si="19"/>
        <v>MARZO10009176Inventario final</v>
      </c>
      <c r="D178" s="167" t="s">
        <v>440</v>
      </c>
      <c r="E178" s="3" t="s">
        <v>218</v>
      </c>
      <c r="F178">
        <v>20</v>
      </c>
      <c r="G178" s="2" t="s">
        <v>320</v>
      </c>
      <c r="L178" s="112">
        <v>1.6375</v>
      </c>
    </row>
    <row r="179" spans="1:12">
      <c r="A179" s="168" t="s">
        <v>8</v>
      </c>
      <c r="B179" s="7">
        <v>10009177</v>
      </c>
      <c r="C179" s="7" t="str">
        <f t="shared" si="19"/>
        <v>MARZO10009177Inventario final</v>
      </c>
      <c r="D179" s="167" t="s">
        <v>441</v>
      </c>
      <c r="E179" s="3" t="s">
        <v>218</v>
      </c>
      <c r="F179">
        <v>2060</v>
      </c>
      <c r="G179" s="2" t="s">
        <v>320</v>
      </c>
      <c r="L179" s="112">
        <v>2.0185097087378643</v>
      </c>
    </row>
    <row r="180" spans="1:12">
      <c r="A180" s="168" t="s">
        <v>8</v>
      </c>
      <c r="B180" s="7">
        <v>10009178</v>
      </c>
      <c r="C180" s="7" t="str">
        <f t="shared" si="19"/>
        <v>MARZO10009178Inventario final</v>
      </c>
      <c r="D180" s="167" t="s">
        <v>442</v>
      </c>
      <c r="E180" s="3" t="s">
        <v>218</v>
      </c>
      <c r="F180">
        <v>70400</v>
      </c>
      <c r="G180" s="2" t="s">
        <v>320</v>
      </c>
      <c r="L180" s="112">
        <v>1.808653409090909</v>
      </c>
    </row>
    <row r="181" spans="1:12">
      <c r="A181" s="168" t="s">
        <v>8</v>
      </c>
      <c r="B181" s="7">
        <v>10009184</v>
      </c>
      <c r="C181" s="7" t="str">
        <f t="shared" si="19"/>
        <v>MARZO10009184Inventario final</v>
      </c>
      <c r="D181" s="167" t="s">
        <v>443</v>
      </c>
      <c r="E181" s="3" t="s">
        <v>218</v>
      </c>
      <c r="F181">
        <v>2820</v>
      </c>
      <c r="G181" s="2" t="s">
        <v>320</v>
      </c>
      <c r="L181" s="112">
        <v>2.0620425531914894</v>
      </c>
    </row>
    <row r="182" spans="1:12">
      <c r="A182" s="168" t="s">
        <v>8</v>
      </c>
      <c r="B182" s="7">
        <v>10009186</v>
      </c>
      <c r="C182" s="7" t="str">
        <f t="shared" si="19"/>
        <v>MARZO10009186Inventario final</v>
      </c>
      <c r="D182" s="167" t="s">
        <v>444</v>
      </c>
      <c r="E182" s="3" t="s">
        <v>218</v>
      </c>
      <c r="F182">
        <v>1140</v>
      </c>
      <c r="G182" s="2" t="s">
        <v>320</v>
      </c>
      <c r="L182" s="112">
        <v>1.9312456140350875</v>
      </c>
    </row>
    <row r="183" spans="1:12">
      <c r="A183" s="168" t="s">
        <v>8</v>
      </c>
      <c r="B183" s="7">
        <v>10009187</v>
      </c>
      <c r="C183" s="7" t="str">
        <f t="shared" si="19"/>
        <v>MARZO10009187Inventario final</v>
      </c>
      <c r="D183" s="167" t="s">
        <v>445</v>
      </c>
      <c r="E183" s="3" t="s">
        <v>218</v>
      </c>
      <c r="F183">
        <v>420</v>
      </c>
      <c r="G183" s="2" t="s">
        <v>320</v>
      </c>
      <c r="L183" s="112">
        <v>1.8391428571428572</v>
      </c>
    </row>
    <row r="184" spans="1:12">
      <c r="A184" s="168" t="s">
        <v>8</v>
      </c>
      <c r="B184" s="7">
        <v>10009207</v>
      </c>
      <c r="C184" s="7" t="str">
        <f t="shared" si="19"/>
        <v>MARZO10009207Inventario final</v>
      </c>
      <c r="D184" s="167" t="s">
        <v>446</v>
      </c>
      <c r="E184" s="3" t="s">
        <v>218</v>
      </c>
      <c r="F184">
        <v>66020</v>
      </c>
      <c r="G184" s="2" t="s">
        <v>320</v>
      </c>
      <c r="L184" s="112">
        <v>1.6168274765222661</v>
      </c>
    </row>
    <row r="185" spans="1:12">
      <c r="A185" s="168" t="s">
        <v>8</v>
      </c>
      <c r="B185" s="7">
        <v>10009224</v>
      </c>
      <c r="C185" s="7" t="str">
        <f t="shared" si="19"/>
        <v>MARZO10009224Inventario final</v>
      </c>
      <c r="D185" s="167" t="s">
        <v>447</v>
      </c>
      <c r="E185" s="3" t="s">
        <v>218</v>
      </c>
      <c r="F185">
        <v>3360</v>
      </c>
      <c r="G185" s="2" t="s">
        <v>320</v>
      </c>
      <c r="L185" s="112">
        <v>3.6412946428571429</v>
      </c>
    </row>
    <row r="186" spans="1:12">
      <c r="A186" s="168" t="s">
        <v>8</v>
      </c>
      <c r="B186" s="7">
        <v>10009239</v>
      </c>
      <c r="C186" s="7" t="str">
        <f t="shared" si="19"/>
        <v>MARZO10009239Inventario final</v>
      </c>
      <c r="D186" s="167" t="s">
        <v>392</v>
      </c>
      <c r="E186" s="3" t="s">
        <v>218</v>
      </c>
      <c r="F186">
        <v>595340</v>
      </c>
      <c r="G186" s="2" t="s">
        <v>320</v>
      </c>
      <c r="L186" s="112">
        <v>2.1697107535189972</v>
      </c>
    </row>
    <row r="187" spans="1:12">
      <c r="A187" s="168" t="s">
        <v>8</v>
      </c>
      <c r="B187" s="7">
        <v>10009241</v>
      </c>
      <c r="C187" s="7" t="str">
        <f t="shared" si="19"/>
        <v>MARZO10009241Inventario final</v>
      </c>
      <c r="D187" s="167" t="s">
        <v>448</v>
      </c>
      <c r="E187" s="3" t="s">
        <v>218</v>
      </c>
      <c r="F187">
        <v>780</v>
      </c>
      <c r="G187" s="2" t="s">
        <v>320</v>
      </c>
      <c r="L187" s="112">
        <v>1.9563846153846154</v>
      </c>
    </row>
    <row r="188" spans="1:12">
      <c r="A188" s="168" t="s">
        <v>8</v>
      </c>
      <c r="B188" s="7">
        <v>10009251</v>
      </c>
      <c r="C188" s="7" t="str">
        <f t="shared" si="19"/>
        <v>MARZO10009251Inventario final</v>
      </c>
      <c r="D188" s="167" t="s">
        <v>449</v>
      </c>
      <c r="E188" s="3" t="s">
        <v>218</v>
      </c>
      <c r="F188">
        <v>88940</v>
      </c>
      <c r="G188" s="2" t="s">
        <v>320</v>
      </c>
      <c r="L188" s="112">
        <v>3.117035079829098</v>
      </c>
    </row>
    <row r="189" spans="1:12">
      <c r="A189" s="168" t="s">
        <v>8</v>
      </c>
      <c r="B189" s="7">
        <v>10009265</v>
      </c>
      <c r="C189" s="7" t="str">
        <f t="shared" si="19"/>
        <v>MARZO10009265Inventario final</v>
      </c>
      <c r="D189" s="167" t="s">
        <v>450</v>
      </c>
      <c r="E189" s="3" t="s">
        <v>218</v>
      </c>
      <c r="F189">
        <v>2040</v>
      </c>
      <c r="G189" s="2" t="s">
        <v>320</v>
      </c>
      <c r="L189" s="112">
        <v>1.4564117647058823</v>
      </c>
    </row>
    <row r="190" spans="1:12">
      <c r="A190" s="168" t="s">
        <v>8</v>
      </c>
      <c r="B190" s="7">
        <v>10009271</v>
      </c>
      <c r="C190" s="7" t="str">
        <f t="shared" si="19"/>
        <v>MARZO10009271Inventario final</v>
      </c>
      <c r="D190" s="167" t="s">
        <v>451</v>
      </c>
      <c r="E190" s="3" t="s">
        <v>218</v>
      </c>
      <c r="F190">
        <v>1040</v>
      </c>
      <c r="G190" s="2" t="s">
        <v>320</v>
      </c>
      <c r="L190" s="112">
        <v>1.7992403846153846</v>
      </c>
    </row>
    <row r="191" spans="1:12">
      <c r="A191" s="168" t="s">
        <v>8</v>
      </c>
      <c r="B191" s="7">
        <v>10009298</v>
      </c>
      <c r="C191" s="7" t="str">
        <f t="shared" si="19"/>
        <v>MARZO10009298Inventario final</v>
      </c>
      <c r="D191" s="167" t="s">
        <v>452</v>
      </c>
      <c r="E191" s="3" t="s">
        <v>218</v>
      </c>
      <c r="F191">
        <v>3460</v>
      </c>
      <c r="G191" s="2" t="s">
        <v>320</v>
      </c>
      <c r="L191" s="112">
        <v>1.9627138728323699</v>
      </c>
    </row>
    <row r="192" spans="1:12">
      <c r="A192" s="168" t="s">
        <v>8</v>
      </c>
      <c r="B192" s="7">
        <v>10009328</v>
      </c>
      <c r="C192" s="7" t="str">
        <f t="shared" si="19"/>
        <v>MARZO10009328Inventario final</v>
      </c>
      <c r="D192" s="167" t="s">
        <v>453</v>
      </c>
      <c r="E192" s="3" t="s">
        <v>218</v>
      </c>
      <c r="F192">
        <v>360</v>
      </c>
      <c r="G192" s="2" t="s">
        <v>320</v>
      </c>
      <c r="L192" s="112">
        <v>1.8048888888888888</v>
      </c>
    </row>
    <row r="193" spans="1:12">
      <c r="A193" s="168" t="s">
        <v>8</v>
      </c>
      <c r="B193" s="7">
        <v>10009329</v>
      </c>
      <c r="C193" s="7" t="str">
        <f t="shared" si="19"/>
        <v>MARZO10009329Inventario final</v>
      </c>
      <c r="D193" s="167" t="s">
        <v>454</v>
      </c>
      <c r="E193" s="3" t="s">
        <v>218</v>
      </c>
      <c r="F193">
        <v>0</v>
      </c>
      <c r="G193" s="2" t="s">
        <v>320</v>
      </c>
      <c r="L193" s="112">
        <f>L192</f>
        <v>1.8048888888888888</v>
      </c>
    </row>
    <row r="194" spans="1:12">
      <c r="A194" s="168" t="s">
        <v>8</v>
      </c>
      <c r="B194" s="7">
        <v>10009331</v>
      </c>
      <c r="C194" s="7" t="str">
        <f t="shared" si="19"/>
        <v>MARZO10009331Inventario final</v>
      </c>
      <c r="D194" s="167" t="s">
        <v>406</v>
      </c>
      <c r="E194" s="3" t="s">
        <v>218</v>
      </c>
      <c r="F194">
        <v>88956</v>
      </c>
      <c r="G194" s="2" t="s">
        <v>320</v>
      </c>
      <c r="L194" s="112">
        <v>1.8511023427312379</v>
      </c>
    </row>
    <row r="195" spans="1:12">
      <c r="A195" s="168" t="s">
        <v>8</v>
      </c>
      <c r="B195" s="7">
        <v>10009332</v>
      </c>
      <c r="C195" s="7" t="str">
        <f t="shared" si="19"/>
        <v>MARZO10009332Inventario final</v>
      </c>
      <c r="D195" s="167" t="s">
        <v>410</v>
      </c>
      <c r="E195" s="3" t="s">
        <v>218</v>
      </c>
      <c r="F195">
        <v>70745</v>
      </c>
      <c r="G195" s="2" t="s">
        <v>320</v>
      </c>
      <c r="L195" s="112">
        <v>1.640464909180861</v>
      </c>
    </row>
    <row r="196" spans="1:12">
      <c r="A196" s="168" t="s">
        <v>8</v>
      </c>
      <c r="B196" s="7">
        <v>10009334</v>
      </c>
      <c r="C196" s="7" t="str">
        <f t="shared" si="19"/>
        <v>MARZO10009334Inventario final</v>
      </c>
      <c r="D196" s="167" t="s">
        <v>455</v>
      </c>
      <c r="E196" s="3" t="s">
        <v>218</v>
      </c>
      <c r="F196">
        <v>11754</v>
      </c>
      <c r="G196" s="2" t="s">
        <v>320</v>
      </c>
      <c r="L196" s="112">
        <v>1.9154466564573762</v>
      </c>
    </row>
    <row r="197" spans="1:12">
      <c r="A197" s="168" t="s">
        <v>8</v>
      </c>
      <c r="B197" s="7">
        <v>10009336</v>
      </c>
      <c r="C197" s="7" t="str">
        <f t="shared" ref="C197:C206" si="26">A197&amp;B197&amp;E197</f>
        <v>MARZO10009336Inventario final</v>
      </c>
      <c r="D197" s="167" t="s">
        <v>456</v>
      </c>
      <c r="E197" s="3" t="s">
        <v>218</v>
      </c>
      <c r="F197">
        <v>81140</v>
      </c>
      <c r="G197" s="2" t="s">
        <v>320</v>
      </c>
      <c r="L197" s="112">
        <v>1.6055295785062853</v>
      </c>
    </row>
    <row r="198" spans="1:12">
      <c r="A198" s="168" t="s">
        <v>8</v>
      </c>
      <c r="B198" s="7">
        <v>10009337</v>
      </c>
      <c r="C198" s="7" t="str">
        <f t="shared" si="26"/>
        <v>MARZO10009337Inventario final</v>
      </c>
      <c r="D198" s="167" t="s">
        <v>457</v>
      </c>
      <c r="E198" s="3" t="s">
        <v>218</v>
      </c>
      <c r="F198">
        <v>62130</v>
      </c>
      <c r="G198" s="2" t="s">
        <v>320</v>
      </c>
      <c r="L198" s="112">
        <v>1.6298829872847256</v>
      </c>
    </row>
    <row r="199" spans="1:12">
      <c r="A199" s="168" t="s">
        <v>8</v>
      </c>
      <c r="B199" s="7">
        <v>10009639</v>
      </c>
      <c r="C199" s="7" t="str">
        <f t="shared" si="26"/>
        <v>MARZO10009639Inventario final</v>
      </c>
      <c r="D199" s="167" t="s">
        <v>458</v>
      </c>
      <c r="E199" s="3" t="s">
        <v>218</v>
      </c>
      <c r="F199">
        <v>119920</v>
      </c>
      <c r="G199" s="2" t="s">
        <v>320</v>
      </c>
      <c r="L199" s="112">
        <v>1.8503950133422282</v>
      </c>
    </row>
    <row r="200" spans="1:12">
      <c r="A200" s="168" t="s">
        <v>8</v>
      </c>
      <c r="B200" s="7">
        <v>10009640</v>
      </c>
      <c r="C200" s="7" t="str">
        <f t="shared" si="26"/>
        <v>MARZO10009640Inventario final</v>
      </c>
      <c r="D200" s="167" t="s">
        <v>459</v>
      </c>
      <c r="E200" s="3" t="s">
        <v>218</v>
      </c>
      <c r="F200">
        <v>0</v>
      </c>
      <c r="G200" s="2" t="s">
        <v>320</v>
      </c>
      <c r="L200" s="112">
        <f>L191</f>
        <v>1.9627138728323699</v>
      </c>
    </row>
    <row r="201" spans="1:12">
      <c r="A201" s="168" t="s">
        <v>8</v>
      </c>
      <c r="B201" s="7">
        <v>10009641</v>
      </c>
      <c r="C201" s="7" t="str">
        <f t="shared" si="26"/>
        <v>MARZO10009641Inventario final</v>
      </c>
      <c r="D201" s="167" t="s">
        <v>460</v>
      </c>
      <c r="E201" s="3" t="s">
        <v>218</v>
      </c>
      <c r="F201">
        <v>198.54000000000002</v>
      </c>
      <c r="G201" s="2" t="s">
        <v>320</v>
      </c>
      <c r="L201" s="112">
        <v>14.619069205197945</v>
      </c>
    </row>
    <row r="202" spans="1:12">
      <c r="A202" s="168" t="s">
        <v>8</v>
      </c>
      <c r="B202" s="7">
        <v>10009642</v>
      </c>
      <c r="C202" s="7" t="str">
        <f t="shared" si="26"/>
        <v>MARZO10009642Inventario final</v>
      </c>
      <c r="D202" s="167" t="s">
        <v>461</v>
      </c>
      <c r="E202" s="3" t="s">
        <v>218</v>
      </c>
      <c r="F202">
        <v>80.34</v>
      </c>
      <c r="G202" s="2" t="s">
        <v>320</v>
      </c>
      <c r="L202" s="112">
        <v>48.443988050784164</v>
      </c>
    </row>
    <row r="203" spans="1:12">
      <c r="A203" s="168" t="s">
        <v>8</v>
      </c>
      <c r="B203" s="7">
        <v>10009643</v>
      </c>
      <c r="C203" s="7" t="str">
        <f t="shared" si="26"/>
        <v>MARZO10009643Inventario final</v>
      </c>
      <c r="D203" s="167" t="s">
        <v>462</v>
      </c>
      <c r="E203" s="3" t="s">
        <v>218</v>
      </c>
      <c r="F203">
        <v>71.550000000000011</v>
      </c>
      <c r="G203" s="2" t="s">
        <v>320</v>
      </c>
      <c r="L203" s="112">
        <v>12.634381551362681</v>
      </c>
    </row>
    <row r="204" spans="1:12">
      <c r="A204" s="168" t="s">
        <v>8</v>
      </c>
      <c r="B204" s="7">
        <v>10009650</v>
      </c>
      <c r="C204" s="7" t="str">
        <f t="shared" si="26"/>
        <v>MARZO10009650Inventario final</v>
      </c>
      <c r="D204" s="167" t="s">
        <v>463</v>
      </c>
      <c r="E204" s="3" t="s">
        <v>218</v>
      </c>
      <c r="F204">
        <v>8410</v>
      </c>
      <c r="G204" s="2" t="s">
        <v>320</v>
      </c>
      <c r="L204" s="112">
        <v>2.1419262782401902</v>
      </c>
    </row>
    <row r="205" spans="1:12">
      <c r="A205" s="168" t="s">
        <v>8</v>
      </c>
      <c r="B205" s="7">
        <v>10009658</v>
      </c>
      <c r="C205" s="7" t="str">
        <f t="shared" si="26"/>
        <v>MARZO10009658Inventario final</v>
      </c>
      <c r="D205" s="167" t="s">
        <v>464</v>
      </c>
      <c r="E205" s="3" t="s">
        <v>218</v>
      </c>
      <c r="F205">
        <v>5880</v>
      </c>
      <c r="G205" s="2" t="s">
        <v>320</v>
      </c>
      <c r="L205" s="112">
        <v>1.8495051020408164</v>
      </c>
    </row>
    <row r="206" spans="1:12">
      <c r="A206" s="168" t="s">
        <v>8</v>
      </c>
      <c r="B206" s="7">
        <v>10009777</v>
      </c>
      <c r="C206" s="7" t="str">
        <f t="shared" si="26"/>
        <v>MARZO10009777Inventario final</v>
      </c>
      <c r="D206" s="167" t="s">
        <v>465</v>
      </c>
      <c r="E206" s="3" t="s">
        <v>218</v>
      </c>
      <c r="F206">
        <v>220</v>
      </c>
      <c r="G206" s="2" t="s">
        <v>320</v>
      </c>
      <c r="L206" s="112">
        <v>2.1901363636363635</v>
      </c>
    </row>
  </sheetData>
  <autoFilter ref="A4:U206" xr:uid="{3CE754B3-988E-444C-9265-C841DB136EFE}"/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Gráficos ppt</vt:lpstr>
      <vt:lpstr>Tablas ppt</vt:lpstr>
      <vt:lpstr>TD</vt:lpstr>
      <vt:lpstr>Resumen</vt:lpstr>
      <vt:lpstr>Costos Producción Febrero</vt:lpstr>
      <vt:lpstr>Costos Producción Marzo</vt:lpstr>
      <vt:lpstr>Detalle Costos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Sebastian Martinez Montalvo (PFRO)</dc:creator>
  <cp:keywords/>
  <dc:description/>
  <cp:lastModifiedBy>Rodrigo Sebastian Martinez Montalvo (PFRO)</cp:lastModifiedBy>
  <cp:revision/>
  <cp:lastPrinted>2026-03-23T20:23:38Z</cp:lastPrinted>
  <dcterms:created xsi:type="dcterms:W3CDTF">2026-03-06T02:31:08Z</dcterms:created>
  <dcterms:modified xsi:type="dcterms:W3CDTF">2026-05-11T20:57:00Z</dcterms:modified>
  <cp:category/>
  <cp:contentStatus/>
</cp:coreProperties>
</file>