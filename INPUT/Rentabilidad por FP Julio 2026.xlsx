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2E03609D-CD4E-4F8D-9DB1-3202EC64E1E2}" xr6:coauthVersionLast="47" xr6:coauthVersionMax="47" xr10:uidLastSave="{00000000-0000-0000-0000-000000000000}"/>
  <bookViews>
    <workbookView xWindow="-108" yWindow="-108" windowWidth="23256" windowHeight="13896" activeTab="1" xr2:uid="{D0C09B95-B007-4212-AB74-70908523E143}"/>
  </bookViews>
  <sheets>
    <sheet name="Gráficos" sheetId="8" r:id="rId1"/>
    <sheet name="TD" sheetId="3" r:id="rId2"/>
    <sheet name="Resumen" sheetId="1" r:id="rId3"/>
    <sheet name="Costos Producción Febrero" sheetId="5" r:id="rId4"/>
    <sheet name="Costos Producción Marzo" sheetId="4" r:id="rId5"/>
    <sheet name="Detalle Costos" sheetId="2" r:id="rId6"/>
  </sheets>
  <externalReferences>
    <externalReference r:id="rId7"/>
    <externalReference r:id="rId8"/>
  </externalReferences>
  <definedNames>
    <definedName name="_xlnm._FilterDatabase" localSheetId="5" hidden="1">'Detalle Costos'!$A$4:$U$206</definedName>
    <definedName name="_xlnm._FilterDatabase" localSheetId="2" hidden="1">Resumen!$C$3:$BS$194</definedName>
  </definedNames>
  <calcPr calcId="191028" iterate="1"/>
  <pivotCaches>
    <pivotCache cacheId="1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30" i="3" l="1"/>
  <c r="M328" i="3"/>
  <c r="K328" i="3"/>
  <c r="L328" i="3"/>
  <c r="Q331" i="3"/>
  <c r="Q329" i="3"/>
  <c r="BR41" i="3"/>
  <c r="BR38" i="3"/>
  <c r="BQ39" i="3" l="1"/>
  <c r="BS37" i="3"/>
  <c r="BN38" i="3"/>
  <c r="BN27" i="3"/>
  <c r="BN28" i="3"/>
  <c r="BN29" i="3"/>
  <c r="BN30" i="3"/>
  <c r="BN31" i="3"/>
  <c r="BN32" i="3"/>
  <c r="BN33" i="3"/>
  <c r="BN34" i="3"/>
  <c r="BN35" i="3"/>
  <c r="BN36" i="3"/>
  <c r="BM27" i="3"/>
  <c r="BM28" i="3"/>
  <c r="BM29" i="3"/>
  <c r="BM30" i="3"/>
  <c r="BM31" i="3"/>
  <c r="BM32" i="3"/>
  <c r="BM33" i="3"/>
  <c r="BM34" i="3"/>
  <c r="BM35" i="3"/>
  <c r="BM36" i="3"/>
  <c r="BL36" i="3"/>
  <c r="BL35" i="3"/>
  <c r="BL34" i="3"/>
  <c r="BL33" i="3"/>
  <c r="BL32" i="3"/>
  <c r="BL31" i="3"/>
  <c r="BL30" i="3"/>
  <c r="BL29" i="3"/>
  <c r="BL28" i="3"/>
  <c r="BL27" i="3"/>
  <c r="BK28" i="3"/>
  <c r="BK29" i="3"/>
  <c r="BK30" i="3"/>
  <c r="BK31" i="3"/>
  <c r="BK32" i="3"/>
  <c r="BK33" i="3"/>
  <c r="BK34" i="3"/>
  <c r="BK35" i="3"/>
  <c r="BK36" i="3"/>
  <c r="BK37" i="3"/>
  <c r="BK38" i="3"/>
  <c r="BK27" i="3"/>
  <c r="BR37" i="3"/>
  <c r="BQ37" i="3"/>
  <c r="BQ38" i="3"/>
  <c r="BR39" i="3" l="1"/>
  <c r="BS38" i="3"/>
  <c r="BS39" i="3" s="1"/>
  <c r="P325" i="3" l="1"/>
  <c r="P327" i="3" s="1"/>
  <c r="T313" i="3"/>
  <c r="T314" i="3"/>
  <c r="T315" i="3"/>
  <c r="T316" i="3"/>
  <c r="T317" i="3"/>
  <c r="T318" i="3"/>
  <c r="T319" i="3"/>
  <c r="T320" i="3"/>
  <c r="T321" i="3"/>
  <c r="T322" i="3"/>
  <c r="T323" i="3"/>
  <c r="L326" i="3"/>
  <c r="P326" i="3"/>
  <c r="O324" i="3" l="1"/>
  <c r="P324" i="3"/>
  <c r="P313" i="3"/>
  <c r="P314" i="3"/>
  <c r="P315" i="3"/>
  <c r="P316" i="3"/>
  <c r="P317" i="3"/>
  <c r="P318" i="3"/>
  <c r="P319" i="3"/>
  <c r="P320" i="3"/>
  <c r="P321" i="3"/>
  <c r="P322" i="3"/>
  <c r="P323" i="3"/>
  <c r="O323" i="3"/>
  <c r="O322" i="3"/>
  <c r="O321" i="3"/>
  <c r="O320" i="3"/>
  <c r="O319" i="3"/>
  <c r="O318" i="3"/>
  <c r="O317" i="3"/>
  <c r="O316" i="3"/>
  <c r="O315" i="3"/>
  <c r="O314" i="3"/>
  <c r="O313" i="3"/>
  <c r="I350" i="3" l="1"/>
  <c r="K350" i="3"/>
  <c r="K351" i="3"/>
  <c r="K352" i="3"/>
  <c r="J350" i="3"/>
  <c r="I351" i="3"/>
  <c r="J351" i="3"/>
  <c r="I352" i="3"/>
  <c r="J352" i="3"/>
  <c r="I342" i="3"/>
  <c r="J342" i="3"/>
  <c r="I335" i="3"/>
  <c r="J335" i="3"/>
  <c r="J337" i="3" s="1"/>
  <c r="K342" i="3"/>
  <c r="K341" i="3"/>
  <c r="K340" i="3"/>
  <c r="I347" i="3"/>
  <c r="I345" i="3"/>
  <c r="I346" i="3"/>
  <c r="J347" i="3"/>
  <c r="I340" i="3"/>
  <c r="I341" i="3"/>
  <c r="AR123" i="3"/>
  <c r="AR121" i="3"/>
  <c r="AR122" i="3"/>
  <c r="H283" i="3"/>
  <c r="H284" i="3" s="1"/>
  <c r="D281" i="3"/>
  <c r="D282" i="3" s="1"/>
  <c r="I282" i="3" s="1"/>
  <c r="I283" i="3" s="1"/>
  <c r="I336" i="3" s="1"/>
  <c r="K336" i="3" s="1"/>
  <c r="B282" i="3"/>
  <c r="C282" i="3"/>
  <c r="E282" i="3"/>
  <c r="F282" i="3"/>
  <c r="G282" i="3"/>
  <c r="H282" i="3"/>
  <c r="J8" i="3"/>
  <c r="J7" i="3" s="1"/>
  <c r="I337" i="3" l="1"/>
  <c r="K337" i="3" s="1"/>
  <c r="K335" i="3"/>
  <c r="Y16" i="3" l="1"/>
  <c r="D324" i="3" l="1"/>
  <c r="N318" i="3" l="1"/>
  <c r="N319" i="3"/>
  <c r="N320" i="3"/>
  <c r="M313" i="3"/>
  <c r="L288" i="3" s="1"/>
  <c r="M288" i="3" s="1"/>
  <c r="M314" i="3"/>
  <c r="L292" i="3" s="1"/>
  <c r="M292" i="3" s="1"/>
  <c r="M315" i="3"/>
  <c r="L289" i="3" s="1"/>
  <c r="M289" i="3" s="1"/>
  <c r="M316" i="3"/>
  <c r="L290" i="3" s="1"/>
  <c r="M290" i="3" s="1"/>
  <c r="M317" i="3"/>
  <c r="L291" i="3" s="1"/>
  <c r="M291" i="3" s="1"/>
  <c r="M318" i="3"/>
  <c r="L295" i="3" s="1"/>
  <c r="M295" i="3" s="1"/>
  <c r="M319" i="3"/>
  <c r="L296" i="3" s="1"/>
  <c r="M296" i="3" s="1"/>
  <c r="M320" i="3"/>
  <c r="L301" i="3" s="1"/>
  <c r="M301" i="3" s="1"/>
  <c r="M321" i="3"/>
  <c r="L300" i="3" s="1"/>
  <c r="M300" i="3" s="1"/>
  <c r="M322" i="3"/>
  <c r="L298" i="3" s="1"/>
  <c r="M298" i="3" s="1"/>
  <c r="M323" i="3"/>
  <c r="L299" i="3" s="1"/>
  <c r="M299" i="3" s="1"/>
  <c r="M293" i="3"/>
  <c r="M302" i="3"/>
  <c r="M303" i="3"/>
  <c r="L324" i="3"/>
  <c r="M324" i="3" s="1"/>
  <c r="N324" i="3" s="1"/>
  <c r="J293" i="3"/>
  <c r="K293" i="3" s="1"/>
  <c r="J302" i="3"/>
  <c r="K302" i="3" s="1"/>
  <c r="J303" i="3"/>
  <c r="K303" i="3" s="1"/>
  <c r="E313" i="3"/>
  <c r="I288" i="3" s="1"/>
  <c r="E314" i="3"/>
  <c r="I292" i="3" s="1"/>
  <c r="J292" i="3" s="1"/>
  <c r="K292" i="3" s="1"/>
  <c r="E315" i="3"/>
  <c r="I289" i="3" s="1"/>
  <c r="E316" i="3"/>
  <c r="I290" i="3" s="1"/>
  <c r="E317" i="3"/>
  <c r="I291" i="3" s="1"/>
  <c r="E318" i="3"/>
  <c r="I295" i="3" s="1"/>
  <c r="E319" i="3"/>
  <c r="I296" i="3" s="1"/>
  <c r="E320" i="3"/>
  <c r="I301" i="3" s="1"/>
  <c r="E321" i="3"/>
  <c r="I300" i="3" s="1"/>
  <c r="E322" i="3"/>
  <c r="I298" i="3" s="1"/>
  <c r="E323" i="3"/>
  <c r="I299" i="3" s="1"/>
  <c r="E324" i="3"/>
  <c r="F324" i="3" s="1"/>
  <c r="G324" i="3" s="1"/>
  <c r="N317" i="3" l="1"/>
  <c r="N315" i="3"/>
  <c r="N314" i="3"/>
  <c r="N313" i="3"/>
  <c r="F321" i="3"/>
  <c r="G321" i="3" s="1"/>
  <c r="N322" i="3"/>
  <c r="N316" i="3"/>
  <c r="N323" i="3"/>
  <c r="N321" i="3"/>
  <c r="F323" i="3"/>
  <c r="G323" i="3" s="1"/>
  <c r="F322" i="3"/>
  <c r="G322" i="3" s="1"/>
  <c r="F313" i="3"/>
  <c r="G313" i="3" s="1"/>
  <c r="F319" i="3"/>
  <c r="G319" i="3" s="1"/>
  <c r="F318" i="3"/>
  <c r="G318" i="3" s="1"/>
  <c r="F317" i="3"/>
  <c r="G317" i="3" s="1"/>
  <c r="F316" i="3"/>
  <c r="G316" i="3" s="1"/>
  <c r="F315" i="3"/>
  <c r="G315" i="3" s="1"/>
  <c r="F320" i="3"/>
  <c r="G320" i="3" s="1"/>
  <c r="F314" i="3"/>
  <c r="G314" i="3" s="1"/>
  <c r="J308" i="3"/>
  <c r="J309" i="3" s="1"/>
  <c r="J299" i="3"/>
  <c r="K299" i="3" s="1"/>
  <c r="J291" i="3"/>
  <c r="K291" i="3" s="1"/>
  <c r="N293" i="3"/>
  <c r="J296" i="3"/>
  <c r="K296" i="3" s="1"/>
  <c r="J289" i="3"/>
  <c r="K289" i="3" s="1"/>
  <c r="I287" i="3"/>
  <c r="J288" i="3"/>
  <c r="K288" i="3" s="1"/>
  <c r="I297" i="3"/>
  <c r="J298" i="3"/>
  <c r="K298" i="3" s="1"/>
  <c r="J300" i="3"/>
  <c r="K300" i="3" s="1"/>
  <c r="I294" i="3"/>
  <c r="J301" i="3"/>
  <c r="K301" i="3" s="1"/>
  <c r="J290" i="3"/>
  <c r="K290" i="3" s="1"/>
  <c r="J295" i="3"/>
  <c r="K295" i="3" s="1"/>
  <c r="N292" i="3"/>
  <c r="N303" i="3"/>
  <c r="N302" i="3"/>
  <c r="L297" i="3"/>
  <c r="M297" i="3" s="1"/>
  <c r="L294" i="3"/>
  <c r="M294" i="3" s="1"/>
  <c r="L287" i="3"/>
  <c r="M287" i="3" s="1"/>
  <c r="N301" i="3" l="1"/>
  <c r="N288" i="3"/>
  <c r="N290" i="3"/>
  <c r="N299" i="3"/>
  <c r="N298" i="3"/>
  <c r="N296" i="3"/>
  <c r="N291" i="3"/>
  <c r="N289" i="3"/>
  <c r="J297" i="3"/>
  <c r="K297" i="3" s="1"/>
  <c r="I304" i="3"/>
  <c r="N295" i="3"/>
  <c r="J287" i="3"/>
  <c r="K287" i="3" s="1"/>
  <c r="N287" i="3" s="1"/>
  <c r="J294" i="3"/>
  <c r="K294" i="3" s="1"/>
  <c r="N300" i="3"/>
  <c r="L304" i="3"/>
  <c r="M304" i="3" s="1"/>
  <c r="N294" i="3" l="1"/>
  <c r="N297" i="3"/>
  <c r="J304" i="3"/>
  <c r="K304" i="3" s="1"/>
  <c r="J280" i="3"/>
  <c r="N280" i="3" s="1"/>
  <c r="N281" i="3" s="1"/>
  <c r="N304" i="3" l="1"/>
  <c r="B255" i="3"/>
  <c r="C255" i="3"/>
  <c r="D255" i="3"/>
  <c r="E255" i="3"/>
  <c r="F255" i="3"/>
  <c r="G255" i="3"/>
  <c r="H255" i="3"/>
  <c r="I255" i="3"/>
  <c r="B256" i="3"/>
  <c r="C256" i="3"/>
  <c r="D256" i="3"/>
  <c r="E256" i="3"/>
  <c r="F256" i="3"/>
  <c r="G256" i="3"/>
  <c r="H256" i="3"/>
  <c r="I256" i="3"/>
  <c r="B257" i="3"/>
  <c r="C257" i="3"/>
  <c r="D257" i="3"/>
  <c r="E257" i="3"/>
  <c r="F257" i="3"/>
  <c r="G257" i="3"/>
  <c r="H257" i="3"/>
  <c r="I257" i="3"/>
  <c r="B258" i="3"/>
  <c r="C258" i="3"/>
  <c r="D258" i="3"/>
  <c r="E258" i="3"/>
  <c r="F258" i="3"/>
  <c r="G258" i="3"/>
  <c r="H258" i="3"/>
  <c r="I258" i="3"/>
  <c r="B259" i="3"/>
  <c r="C259" i="3"/>
  <c r="D259" i="3"/>
  <c r="E259" i="3"/>
  <c r="F259" i="3"/>
  <c r="G259" i="3"/>
  <c r="H259" i="3"/>
  <c r="I259" i="3"/>
  <c r="B260" i="3"/>
  <c r="C260" i="3"/>
  <c r="D260" i="3"/>
  <c r="E260" i="3"/>
  <c r="F260" i="3"/>
  <c r="G260" i="3"/>
  <c r="H260" i="3"/>
  <c r="I260" i="3"/>
  <c r="B261" i="3"/>
  <c r="C261" i="3"/>
  <c r="D261" i="3"/>
  <c r="E261" i="3"/>
  <c r="F261" i="3"/>
  <c r="G261" i="3"/>
  <c r="H261" i="3"/>
  <c r="I261" i="3"/>
  <c r="B262" i="3"/>
  <c r="C262" i="3"/>
  <c r="D262" i="3"/>
  <c r="E262" i="3"/>
  <c r="F262" i="3"/>
  <c r="G262" i="3"/>
  <c r="H262" i="3"/>
  <c r="I262" i="3"/>
  <c r="B263" i="3"/>
  <c r="C263" i="3"/>
  <c r="D263" i="3"/>
  <c r="E263" i="3"/>
  <c r="F263" i="3"/>
  <c r="G263" i="3"/>
  <c r="H263" i="3"/>
  <c r="I263" i="3"/>
  <c r="B264" i="3"/>
  <c r="C264" i="3"/>
  <c r="D264" i="3"/>
  <c r="E264" i="3"/>
  <c r="F264" i="3"/>
  <c r="G264" i="3"/>
  <c r="H264" i="3"/>
  <c r="I264" i="3"/>
  <c r="B265" i="3"/>
  <c r="C265" i="3"/>
  <c r="D265" i="3"/>
  <c r="E265" i="3"/>
  <c r="F265" i="3"/>
  <c r="G265" i="3"/>
  <c r="H265" i="3"/>
  <c r="I265" i="3"/>
  <c r="B266" i="3"/>
  <c r="C266" i="3"/>
  <c r="D266" i="3"/>
  <c r="E266" i="3"/>
  <c r="F266" i="3"/>
  <c r="G266" i="3"/>
  <c r="H266" i="3"/>
  <c r="I266" i="3"/>
  <c r="B267" i="3"/>
  <c r="C267" i="3"/>
  <c r="D267" i="3"/>
  <c r="E267" i="3"/>
  <c r="F267" i="3"/>
  <c r="G267" i="3"/>
  <c r="H267" i="3"/>
  <c r="I267" i="3"/>
  <c r="B268" i="3"/>
  <c r="C268" i="3"/>
  <c r="D268" i="3"/>
  <c r="E268" i="3"/>
  <c r="F268" i="3"/>
  <c r="G268" i="3"/>
  <c r="H268" i="3"/>
  <c r="I268" i="3"/>
  <c r="B269" i="3"/>
  <c r="C269" i="3"/>
  <c r="D269" i="3"/>
  <c r="E269" i="3"/>
  <c r="F269" i="3"/>
  <c r="G269" i="3"/>
  <c r="H269" i="3"/>
  <c r="I269" i="3"/>
  <c r="B270" i="3"/>
  <c r="C270" i="3"/>
  <c r="D270" i="3"/>
  <c r="E270" i="3"/>
  <c r="F270" i="3"/>
  <c r="G270" i="3"/>
  <c r="H270" i="3"/>
  <c r="I270" i="3"/>
  <c r="B271" i="3"/>
  <c r="C271" i="3"/>
  <c r="D271" i="3"/>
  <c r="E271" i="3"/>
  <c r="F271" i="3"/>
  <c r="G271" i="3"/>
  <c r="H271" i="3"/>
  <c r="I271" i="3"/>
  <c r="B272" i="3"/>
  <c r="C272" i="3"/>
  <c r="D272" i="3"/>
  <c r="E272" i="3"/>
  <c r="F272" i="3"/>
  <c r="G272" i="3"/>
  <c r="H272" i="3"/>
  <c r="I272" i="3"/>
  <c r="I92" i="3" l="1"/>
  <c r="H199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C90" i="3" l="1"/>
  <c r="D90" i="3"/>
  <c r="E90" i="3"/>
  <c r="F90" i="3"/>
  <c r="G90" i="3"/>
  <c r="H90" i="3"/>
  <c r="I90" i="3"/>
  <c r="B90" i="3"/>
  <c r="T106" i="3"/>
  <c r="N106" i="3"/>
  <c r="M106" i="3"/>
  <c r="AF110" i="3"/>
  <c r="AE110" i="3"/>
  <c r="AD110" i="3"/>
  <c r="AC110" i="3"/>
  <c r="AB110" i="3"/>
  <c r="AA110" i="3"/>
  <c r="Z110" i="3"/>
  <c r="Y110" i="3"/>
  <c r="AF109" i="3"/>
  <c r="AE109" i="3"/>
  <c r="AD109" i="3"/>
  <c r="AC109" i="3"/>
  <c r="AB109" i="3"/>
  <c r="AA109" i="3"/>
  <c r="Z109" i="3"/>
  <c r="Y109" i="3"/>
  <c r="AF108" i="3"/>
  <c r="AE108" i="3"/>
  <c r="AD108" i="3"/>
  <c r="AC108" i="3"/>
  <c r="AB108" i="3"/>
  <c r="AA108" i="3"/>
  <c r="Z108" i="3"/>
  <c r="Y108" i="3"/>
  <c r="AF107" i="3"/>
  <c r="AE107" i="3"/>
  <c r="AD107" i="3"/>
  <c r="AC107" i="3"/>
  <c r="AB107" i="3"/>
  <c r="AA107" i="3"/>
  <c r="Z107" i="3"/>
  <c r="Y107" i="3"/>
  <c r="AF106" i="3"/>
  <c r="AE106" i="3"/>
  <c r="AD106" i="3"/>
  <c r="AC106" i="3"/>
  <c r="AB106" i="3"/>
  <c r="AA106" i="3"/>
  <c r="Z106" i="3"/>
  <c r="Y106" i="3"/>
  <c r="T110" i="3"/>
  <c r="S110" i="3"/>
  <c r="R110" i="3"/>
  <c r="Q110" i="3"/>
  <c r="P110" i="3"/>
  <c r="O110" i="3"/>
  <c r="N110" i="3"/>
  <c r="M110" i="3"/>
  <c r="T109" i="3"/>
  <c r="S109" i="3"/>
  <c r="R109" i="3"/>
  <c r="Q109" i="3"/>
  <c r="P109" i="3"/>
  <c r="O109" i="3"/>
  <c r="N109" i="3"/>
  <c r="M109" i="3"/>
  <c r="T108" i="3"/>
  <c r="S108" i="3"/>
  <c r="R108" i="3"/>
  <c r="Q108" i="3"/>
  <c r="P108" i="3"/>
  <c r="O108" i="3"/>
  <c r="N108" i="3"/>
  <c r="M108" i="3"/>
  <c r="T107" i="3"/>
  <c r="S107" i="3"/>
  <c r="R107" i="3"/>
  <c r="Q107" i="3"/>
  <c r="P107" i="3"/>
  <c r="O107" i="3"/>
  <c r="N107" i="3"/>
  <c r="M107" i="3"/>
  <c r="S106" i="3"/>
  <c r="R106" i="3"/>
  <c r="Q106" i="3"/>
  <c r="P106" i="3"/>
  <c r="O106" i="3"/>
  <c r="AG102" i="3"/>
  <c r="AG101" i="3"/>
  <c r="AG100" i="3"/>
  <c r="AG99" i="3"/>
  <c r="AG98" i="3"/>
  <c r="U102" i="3"/>
  <c r="U101" i="3"/>
  <c r="U100" i="3"/>
  <c r="U99" i="3"/>
  <c r="U98" i="3"/>
  <c r="B106" i="3"/>
  <c r="C106" i="3"/>
  <c r="D106" i="3"/>
  <c r="E106" i="3"/>
  <c r="F106" i="3"/>
  <c r="G106" i="3"/>
  <c r="H106" i="3"/>
  <c r="I106" i="3"/>
  <c r="B107" i="3"/>
  <c r="C107" i="3"/>
  <c r="D107" i="3"/>
  <c r="E107" i="3"/>
  <c r="F107" i="3"/>
  <c r="G107" i="3"/>
  <c r="H107" i="3"/>
  <c r="I107" i="3"/>
  <c r="B108" i="3"/>
  <c r="C108" i="3"/>
  <c r="D108" i="3"/>
  <c r="E108" i="3"/>
  <c r="F108" i="3"/>
  <c r="G108" i="3"/>
  <c r="H108" i="3"/>
  <c r="I108" i="3"/>
  <c r="B109" i="3"/>
  <c r="C109" i="3"/>
  <c r="D109" i="3"/>
  <c r="E109" i="3"/>
  <c r="F109" i="3"/>
  <c r="G109" i="3"/>
  <c r="H109" i="3"/>
  <c r="I109" i="3"/>
  <c r="B110" i="3"/>
  <c r="C110" i="3"/>
  <c r="D110" i="3"/>
  <c r="E110" i="3"/>
  <c r="F110" i="3"/>
  <c r="G110" i="3"/>
  <c r="H110" i="3"/>
  <c r="I110" i="3"/>
  <c r="J99" i="3"/>
  <c r="J100" i="3"/>
  <c r="J101" i="3"/>
  <c r="J102" i="3"/>
  <c r="J98" i="3"/>
  <c r="K159" i="3"/>
  <c r="AG53" i="3" l="1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52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U43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AF18" i="3"/>
  <c r="AF17" i="3"/>
  <c r="AF16" i="3"/>
  <c r="AF15" i="3"/>
  <c r="AF14" i="3"/>
  <c r="AF13" i="3"/>
  <c r="AF12" i="3"/>
  <c r="AF11" i="3"/>
  <c r="AF10" i="3"/>
  <c r="AF9" i="3"/>
  <c r="AF8" i="3"/>
  <c r="AE18" i="3"/>
  <c r="AE17" i="3"/>
  <c r="AE16" i="3"/>
  <c r="AE15" i="3"/>
  <c r="AE14" i="3"/>
  <c r="AE13" i="3"/>
  <c r="AE12" i="3"/>
  <c r="AE11" i="3"/>
  <c r="AE10" i="3"/>
  <c r="AE9" i="3"/>
  <c r="AE8" i="3"/>
  <c r="AY4" i="1"/>
  <c r="AY5" i="1"/>
  <c r="AY6" i="1"/>
  <c r="AY7" i="1"/>
  <c r="AY8" i="1"/>
  <c r="AY9" i="1"/>
  <c r="AY10" i="1"/>
  <c r="AY11" i="1"/>
  <c r="AY14" i="1"/>
  <c r="AY15" i="1"/>
  <c r="AY151" i="1"/>
  <c r="BR151" i="1" s="1"/>
  <c r="AY174" i="1"/>
  <c r="BR174" i="1" s="1"/>
  <c r="AY175" i="1"/>
  <c r="BR175" i="1" s="1"/>
  <c r="AY176" i="1"/>
  <c r="BR176" i="1" s="1"/>
  <c r="AY177" i="1"/>
  <c r="BR177" i="1" s="1"/>
  <c r="AY178" i="1"/>
  <c r="BR178" i="1" s="1"/>
  <c r="AY179" i="1"/>
  <c r="BR179" i="1" s="1"/>
  <c r="AY180" i="1"/>
  <c r="BR180" i="1" s="1"/>
  <c r="AY181" i="1"/>
  <c r="BR181" i="1" s="1"/>
  <c r="AY182" i="1"/>
  <c r="BR182" i="1" s="1"/>
  <c r="AY183" i="1"/>
  <c r="BR183" i="1" s="1"/>
  <c r="AY184" i="1"/>
  <c r="BR184" i="1" s="1"/>
  <c r="AY185" i="1"/>
  <c r="BR185" i="1" s="1"/>
  <c r="AY186" i="1"/>
  <c r="BR186" i="1" s="1"/>
  <c r="AY187" i="1"/>
  <c r="BR187" i="1" s="1"/>
  <c r="AY188" i="1"/>
  <c r="BR188" i="1" s="1"/>
  <c r="AY189" i="1"/>
  <c r="BR189" i="1" s="1"/>
  <c r="AY190" i="1"/>
  <c r="BR190" i="1" s="1"/>
  <c r="AY191" i="1"/>
  <c r="BR191" i="1" s="1"/>
  <c r="AY192" i="1"/>
  <c r="BR192" i="1" s="1"/>
  <c r="AY193" i="1"/>
  <c r="BR193" i="1" s="1"/>
  <c r="AY194" i="1"/>
  <c r="BR194" i="1" s="1"/>
  <c r="AY150" i="1"/>
  <c r="AY152" i="1"/>
  <c r="BR152" i="1" s="1"/>
  <c r="AY153" i="1"/>
  <c r="BR153" i="1" s="1"/>
  <c r="AY154" i="1"/>
  <c r="BR154" i="1" s="1"/>
  <c r="AY155" i="1"/>
  <c r="BR155" i="1" s="1"/>
  <c r="AY156" i="1"/>
  <c r="BR156" i="1" s="1"/>
  <c r="AY157" i="1"/>
  <c r="BR157" i="1" s="1"/>
  <c r="AY158" i="1"/>
  <c r="BR158" i="1" s="1"/>
  <c r="AY159" i="1"/>
  <c r="BR159" i="1" s="1"/>
  <c r="AY160" i="1"/>
  <c r="BR160" i="1" s="1"/>
  <c r="AY161" i="1"/>
  <c r="BR161" i="1" s="1"/>
  <c r="AY162" i="1"/>
  <c r="BR162" i="1" s="1"/>
  <c r="AY163" i="1"/>
  <c r="BR163" i="1" s="1"/>
  <c r="AY164" i="1"/>
  <c r="BR164" i="1" s="1"/>
  <c r="AY165" i="1"/>
  <c r="BR165" i="1" s="1"/>
  <c r="AY166" i="1"/>
  <c r="BR166" i="1" s="1"/>
  <c r="AY167" i="1"/>
  <c r="BR167" i="1" s="1"/>
  <c r="AY168" i="1"/>
  <c r="BR168" i="1" s="1"/>
  <c r="AY169" i="1"/>
  <c r="BR169" i="1" s="1"/>
  <c r="AY170" i="1"/>
  <c r="BR170" i="1" s="1"/>
  <c r="AY171" i="1"/>
  <c r="BR171" i="1" s="1"/>
  <c r="AY172" i="1"/>
  <c r="BR172" i="1" s="1"/>
  <c r="AY173" i="1"/>
  <c r="BR173" i="1" s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9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48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2" i="1"/>
  <c r="AY12" i="1"/>
  <c r="AY13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BC5" i="1"/>
  <c r="BK5" i="1"/>
  <c r="BC6" i="1"/>
  <c r="BK6" i="1"/>
  <c r="BC7" i="1"/>
  <c r="BK7" i="1"/>
  <c r="BC8" i="1"/>
  <c r="BK8" i="1"/>
  <c r="BK9" i="1"/>
  <c r="BK10" i="1"/>
  <c r="BC11" i="1"/>
  <c r="BK11" i="1"/>
  <c r="BC12" i="1"/>
  <c r="BK14" i="1"/>
  <c r="BC15" i="1"/>
  <c r="BK15" i="1"/>
  <c r="BN15" i="1"/>
  <c r="BC16" i="1"/>
  <c r="BC18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K35" i="1"/>
  <c r="BN35" i="1"/>
  <c r="BC36" i="1"/>
  <c r="BC37" i="1"/>
  <c r="BC40" i="1"/>
  <c r="BC41" i="1"/>
  <c r="BC42" i="1"/>
  <c r="BC43" i="1"/>
  <c r="BC44" i="1"/>
  <c r="BC45" i="1"/>
  <c r="BC47" i="1"/>
  <c r="BC48" i="1"/>
  <c r="BC49" i="1"/>
  <c r="BC51" i="1"/>
  <c r="BC52" i="1"/>
  <c r="BC53" i="1"/>
  <c r="BC55" i="1"/>
  <c r="BC56" i="1"/>
  <c r="BC57" i="1"/>
  <c r="BC58" i="1"/>
  <c r="BC59" i="1"/>
  <c r="BC60" i="1"/>
  <c r="BC61" i="1"/>
  <c r="BC63" i="1"/>
  <c r="BC64" i="1"/>
  <c r="BC65" i="1"/>
  <c r="BC66" i="1"/>
  <c r="BC67" i="1"/>
  <c r="BC68" i="1"/>
  <c r="BC69" i="1"/>
  <c r="BC72" i="1"/>
  <c r="BN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N148" i="1"/>
  <c r="BC149" i="1"/>
  <c r="BN149" i="1"/>
  <c r="BC150" i="1"/>
  <c r="BN150" i="1"/>
  <c r="BP150" i="1"/>
  <c r="BC151" i="1"/>
  <c r="BK151" i="1"/>
  <c r="BN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AV151" i="1"/>
  <c r="BP151" i="1" s="1"/>
  <c r="AV174" i="1"/>
  <c r="BP174" i="1" s="1"/>
  <c r="AV175" i="1"/>
  <c r="BP175" i="1" s="1"/>
  <c r="AV176" i="1"/>
  <c r="BP176" i="1" s="1"/>
  <c r="AV177" i="1"/>
  <c r="BP177" i="1" s="1"/>
  <c r="AV178" i="1"/>
  <c r="BP178" i="1" s="1"/>
  <c r="AV179" i="1"/>
  <c r="BP179" i="1" s="1"/>
  <c r="AV180" i="1"/>
  <c r="BP180" i="1" s="1"/>
  <c r="AV181" i="1"/>
  <c r="BP181" i="1" s="1"/>
  <c r="AV182" i="1"/>
  <c r="BP182" i="1" s="1"/>
  <c r="AV183" i="1"/>
  <c r="BP183" i="1" s="1"/>
  <c r="AV184" i="1"/>
  <c r="BP184" i="1" s="1"/>
  <c r="AV185" i="1"/>
  <c r="BP185" i="1" s="1"/>
  <c r="AV186" i="1"/>
  <c r="BP186" i="1" s="1"/>
  <c r="AV187" i="1"/>
  <c r="BP187" i="1" s="1"/>
  <c r="AV188" i="1"/>
  <c r="BP188" i="1" s="1"/>
  <c r="AV189" i="1"/>
  <c r="BP189" i="1" s="1"/>
  <c r="AV190" i="1"/>
  <c r="BP190" i="1" s="1"/>
  <c r="AV191" i="1"/>
  <c r="BP191" i="1" s="1"/>
  <c r="AV192" i="1"/>
  <c r="BP192" i="1" s="1"/>
  <c r="AV193" i="1"/>
  <c r="BP193" i="1" s="1"/>
  <c r="AV194" i="1"/>
  <c r="BP194" i="1" s="1"/>
  <c r="AR174" i="1"/>
  <c r="BM174" i="1" s="1"/>
  <c r="AR175" i="1"/>
  <c r="BM175" i="1" s="1"/>
  <c r="AR176" i="1"/>
  <c r="BM176" i="1" s="1"/>
  <c r="AR177" i="1"/>
  <c r="BM177" i="1" s="1"/>
  <c r="AR178" i="1"/>
  <c r="BM178" i="1" s="1"/>
  <c r="AR179" i="1"/>
  <c r="BM179" i="1" s="1"/>
  <c r="AR180" i="1"/>
  <c r="BM180" i="1" s="1"/>
  <c r="AR181" i="1"/>
  <c r="BM181" i="1" s="1"/>
  <c r="AR182" i="1"/>
  <c r="BM182" i="1" s="1"/>
  <c r="AR183" i="1"/>
  <c r="BM183" i="1" s="1"/>
  <c r="AR184" i="1"/>
  <c r="BM184" i="1" s="1"/>
  <c r="AR185" i="1"/>
  <c r="BM185" i="1" s="1"/>
  <c r="AR186" i="1"/>
  <c r="BM186" i="1" s="1"/>
  <c r="AR187" i="1"/>
  <c r="BM187" i="1" s="1"/>
  <c r="AR188" i="1"/>
  <c r="BM188" i="1" s="1"/>
  <c r="AR189" i="1"/>
  <c r="BM189" i="1" s="1"/>
  <c r="AR190" i="1"/>
  <c r="BM190" i="1" s="1"/>
  <c r="AR191" i="1"/>
  <c r="BM191" i="1" s="1"/>
  <c r="AR192" i="1"/>
  <c r="BM192" i="1" s="1"/>
  <c r="AR193" i="1"/>
  <c r="BM193" i="1" s="1"/>
  <c r="AR194" i="1"/>
  <c r="BM194" i="1" s="1"/>
  <c r="AP174" i="1"/>
  <c r="BK174" i="1" s="1"/>
  <c r="AP175" i="1"/>
  <c r="BK175" i="1" s="1"/>
  <c r="AP176" i="1"/>
  <c r="BK176" i="1" s="1"/>
  <c r="AP177" i="1"/>
  <c r="BK177" i="1" s="1"/>
  <c r="AP178" i="1"/>
  <c r="BK178" i="1" s="1"/>
  <c r="AP179" i="1"/>
  <c r="BK179" i="1" s="1"/>
  <c r="AP180" i="1"/>
  <c r="BK180" i="1" s="1"/>
  <c r="AP181" i="1"/>
  <c r="BK181" i="1" s="1"/>
  <c r="AP182" i="1"/>
  <c r="BK182" i="1" s="1"/>
  <c r="AP183" i="1"/>
  <c r="BK183" i="1" s="1"/>
  <c r="AP184" i="1"/>
  <c r="BK184" i="1" s="1"/>
  <c r="AP185" i="1"/>
  <c r="BK185" i="1" s="1"/>
  <c r="AP186" i="1"/>
  <c r="BK186" i="1" s="1"/>
  <c r="AP187" i="1"/>
  <c r="BK187" i="1" s="1"/>
  <c r="AP188" i="1"/>
  <c r="BK188" i="1" s="1"/>
  <c r="AP189" i="1"/>
  <c r="BK189" i="1" s="1"/>
  <c r="AP190" i="1"/>
  <c r="BK190" i="1" s="1"/>
  <c r="AP191" i="1"/>
  <c r="BK191" i="1" s="1"/>
  <c r="AP192" i="1"/>
  <c r="BK192" i="1" s="1"/>
  <c r="AP193" i="1"/>
  <c r="BK193" i="1" s="1"/>
  <c r="AP194" i="1"/>
  <c r="BK194" i="1" s="1"/>
  <c r="AO151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T18" i="3"/>
  <c r="T17" i="3"/>
  <c r="T16" i="3"/>
  <c r="T15" i="3"/>
  <c r="T14" i="3"/>
  <c r="T13" i="3"/>
  <c r="T12" i="3"/>
  <c r="T11" i="3"/>
  <c r="T10" i="3"/>
  <c r="T9" i="3"/>
  <c r="T8" i="3"/>
  <c r="S18" i="3"/>
  <c r="S17" i="3"/>
  <c r="S16" i="3"/>
  <c r="S15" i="3"/>
  <c r="S14" i="3"/>
  <c r="S13" i="3"/>
  <c r="S12" i="3"/>
  <c r="S11" i="3"/>
  <c r="S10" i="3"/>
  <c r="S9" i="3"/>
  <c r="S8" i="3"/>
  <c r="R18" i="3"/>
  <c r="R17" i="3"/>
  <c r="R16" i="3"/>
  <c r="R15" i="3"/>
  <c r="R14" i="3"/>
  <c r="R13" i="3"/>
  <c r="R12" i="3"/>
  <c r="R11" i="3"/>
  <c r="R10" i="3"/>
  <c r="R9" i="3"/>
  <c r="R8" i="3"/>
  <c r="AV152" i="1"/>
  <c r="BP152" i="1" s="1"/>
  <c r="AV153" i="1"/>
  <c r="BP153" i="1" s="1"/>
  <c r="AV154" i="1"/>
  <c r="BP154" i="1" s="1"/>
  <c r="AV155" i="1"/>
  <c r="BP155" i="1" s="1"/>
  <c r="AV156" i="1"/>
  <c r="BP156" i="1" s="1"/>
  <c r="AV157" i="1"/>
  <c r="BP157" i="1" s="1"/>
  <c r="AV158" i="1"/>
  <c r="BP158" i="1" s="1"/>
  <c r="AV159" i="1"/>
  <c r="BP159" i="1" s="1"/>
  <c r="AV160" i="1"/>
  <c r="BP160" i="1" s="1"/>
  <c r="AV161" i="1"/>
  <c r="BP161" i="1" s="1"/>
  <c r="AV162" i="1"/>
  <c r="BP162" i="1" s="1"/>
  <c r="AV163" i="1"/>
  <c r="BP163" i="1" s="1"/>
  <c r="AV164" i="1"/>
  <c r="BP164" i="1" s="1"/>
  <c r="AV165" i="1"/>
  <c r="BP165" i="1" s="1"/>
  <c r="AV166" i="1"/>
  <c r="BP166" i="1" s="1"/>
  <c r="AV167" i="1"/>
  <c r="BP167" i="1" s="1"/>
  <c r="AV168" i="1"/>
  <c r="BP168" i="1" s="1"/>
  <c r="AV169" i="1"/>
  <c r="BP169" i="1" s="1"/>
  <c r="AV170" i="1"/>
  <c r="BP170" i="1" s="1"/>
  <c r="AV171" i="1"/>
  <c r="BP171" i="1" s="1"/>
  <c r="AV172" i="1"/>
  <c r="BP172" i="1" s="1"/>
  <c r="AV173" i="1"/>
  <c r="BP173" i="1" s="1"/>
  <c r="AV111" i="1"/>
  <c r="BP111" i="1" s="1"/>
  <c r="AV112" i="1"/>
  <c r="BP112" i="1" s="1"/>
  <c r="AV113" i="1"/>
  <c r="BP113" i="1" s="1"/>
  <c r="AV114" i="1"/>
  <c r="BP114" i="1" s="1"/>
  <c r="AV115" i="1"/>
  <c r="BP115" i="1" s="1"/>
  <c r="AV116" i="1"/>
  <c r="BP116" i="1" s="1"/>
  <c r="AV117" i="1"/>
  <c r="BP117" i="1" s="1"/>
  <c r="AV118" i="1"/>
  <c r="BP118" i="1" s="1"/>
  <c r="AV119" i="1"/>
  <c r="BP119" i="1" s="1"/>
  <c r="AV120" i="1"/>
  <c r="BP120" i="1" s="1"/>
  <c r="AV121" i="1"/>
  <c r="BP121" i="1" s="1"/>
  <c r="AV122" i="1"/>
  <c r="BP122" i="1" s="1"/>
  <c r="AV123" i="1"/>
  <c r="BP123" i="1" s="1"/>
  <c r="AV124" i="1"/>
  <c r="BP124" i="1" s="1"/>
  <c r="AV125" i="1"/>
  <c r="BP125" i="1" s="1"/>
  <c r="AV126" i="1"/>
  <c r="BP126" i="1" s="1"/>
  <c r="AV127" i="1"/>
  <c r="BP127" i="1" s="1"/>
  <c r="AV128" i="1"/>
  <c r="BP128" i="1" s="1"/>
  <c r="AV129" i="1"/>
  <c r="BP129" i="1" s="1"/>
  <c r="AV130" i="1"/>
  <c r="BP130" i="1" s="1"/>
  <c r="AV131" i="1"/>
  <c r="BP131" i="1" s="1"/>
  <c r="AV132" i="1"/>
  <c r="BP132" i="1" s="1"/>
  <c r="AV133" i="1"/>
  <c r="BP133" i="1" s="1"/>
  <c r="AV134" i="1"/>
  <c r="BP134" i="1" s="1"/>
  <c r="AV135" i="1"/>
  <c r="BP135" i="1" s="1"/>
  <c r="AV136" i="1"/>
  <c r="BP136" i="1" s="1"/>
  <c r="AV137" i="1"/>
  <c r="BP137" i="1" s="1"/>
  <c r="AV138" i="1"/>
  <c r="BP138" i="1" s="1"/>
  <c r="AV139" i="1"/>
  <c r="BP139" i="1" s="1"/>
  <c r="AV140" i="1"/>
  <c r="BP140" i="1" s="1"/>
  <c r="AV141" i="1"/>
  <c r="BP141" i="1" s="1"/>
  <c r="AV142" i="1"/>
  <c r="BP142" i="1" s="1"/>
  <c r="AV143" i="1"/>
  <c r="BP143" i="1" s="1"/>
  <c r="AV144" i="1"/>
  <c r="BP144" i="1" s="1"/>
  <c r="AV145" i="1"/>
  <c r="BP145" i="1" s="1"/>
  <c r="AV146" i="1"/>
  <c r="BP146" i="1" s="1"/>
  <c r="AV147" i="1"/>
  <c r="BP147" i="1" s="1"/>
  <c r="AR152" i="1"/>
  <c r="BM152" i="1" s="1"/>
  <c r="AR153" i="1"/>
  <c r="BM153" i="1" s="1"/>
  <c r="AR154" i="1"/>
  <c r="BM154" i="1" s="1"/>
  <c r="AR155" i="1"/>
  <c r="BM155" i="1" s="1"/>
  <c r="AR156" i="1"/>
  <c r="BM156" i="1" s="1"/>
  <c r="AR157" i="1"/>
  <c r="BM157" i="1" s="1"/>
  <c r="AR158" i="1"/>
  <c r="BM158" i="1" s="1"/>
  <c r="AR159" i="1"/>
  <c r="BM159" i="1" s="1"/>
  <c r="AR160" i="1"/>
  <c r="BM160" i="1" s="1"/>
  <c r="AR161" i="1"/>
  <c r="BM161" i="1" s="1"/>
  <c r="AR162" i="1"/>
  <c r="BM162" i="1" s="1"/>
  <c r="AR163" i="1"/>
  <c r="BM163" i="1" s="1"/>
  <c r="AR164" i="1"/>
  <c r="BM164" i="1" s="1"/>
  <c r="AR165" i="1"/>
  <c r="BM165" i="1" s="1"/>
  <c r="AR166" i="1"/>
  <c r="BM166" i="1" s="1"/>
  <c r="AR167" i="1"/>
  <c r="BM167" i="1" s="1"/>
  <c r="AR168" i="1"/>
  <c r="BM168" i="1" s="1"/>
  <c r="AR169" i="1"/>
  <c r="BM169" i="1" s="1"/>
  <c r="AR170" i="1"/>
  <c r="BM170" i="1" s="1"/>
  <c r="AR171" i="1"/>
  <c r="BM171" i="1" s="1"/>
  <c r="AR172" i="1"/>
  <c r="BM172" i="1" s="1"/>
  <c r="AR173" i="1"/>
  <c r="BM173" i="1" s="1"/>
  <c r="AR111" i="1"/>
  <c r="BM111" i="1" s="1"/>
  <c r="AR112" i="1"/>
  <c r="BM112" i="1" s="1"/>
  <c r="AR113" i="1"/>
  <c r="BM113" i="1" s="1"/>
  <c r="AR114" i="1"/>
  <c r="BM114" i="1" s="1"/>
  <c r="AR115" i="1"/>
  <c r="BM115" i="1" s="1"/>
  <c r="AR116" i="1"/>
  <c r="BM116" i="1" s="1"/>
  <c r="AR117" i="1"/>
  <c r="BM117" i="1" s="1"/>
  <c r="AR118" i="1"/>
  <c r="BM118" i="1" s="1"/>
  <c r="AR119" i="1"/>
  <c r="BM119" i="1" s="1"/>
  <c r="AR120" i="1"/>
  <c r="BM120" i="1" s="1"/>
  <c r="AR121" i="1"/>
  <c r="BM121" i="1" s="1"/>
  <c r="AR122" i="1"/>
  <c r="BM122" i="1" s="1"/>
  <c r="AR123" i="1"/>
  <c r="BM123" i="1" s="1"/>
  <c r="AR124" i="1"/>
  <c r="BM124" i="1" s="1"/>
  <c r="AR125" i="1"/>
  <c r="BM125" i="1" s="1"/>
  <c r="AR126" i="1"/>
  <c r="BM126" i="1" s="1"/>
  <c r="AR127" i="1"/>
  <c r="BM127" i="1" s="1"/>
  <c r="AR128" i="1"/>
  <c r="BM128" i="1" s="1"/>
  <c r="AR129" i="1"/>
  <c r="BM129" i="1" s="1"/>
  <c r="AR130" i="1"/>
  <c r="BM130" i="1" s="1"/>
  <c r="AR131" i="1"/>
  <c r="BM131" i="1" s="1"/>
  <c r="AR132" i="1"/>
  <c r="BM132" i="1" s="1"/>
  <c r="AR133" i="1"/>
  <c r="BM133" i="1" s="1"/>
  <c r="AR134" i="1"/>
  <c r="BM134" i="1" s="1"/>
  <c r="AR135" i="1"/>
  <c r="BM135" i="1" s="1"/>
  <c r="AR136" i="1"/>
  <c r="BM136" i="1" s="1"/>
  <c r="AR137" i="1"/>
  <c r="BM137" i="1" s="1"/>
  <c r="AR138" i="1"/>
  <c r="BM138" i="1" s="1"/>
  <c r="AR139" i="1"/>
  <c r="BM139" i="1" s="1"/>
  <c r="AR140" i="1"/>
  <c r="BM140" i="1" s="1"/>
  <c r="AR141" i="1"/>
  <c r="BM141" i="1" s="1"/>
  <c r="AR142" i="1"/>
  <c r="BM142" i="1" s="1"/>
  <c r="AR143" i="1"/>
  <c r="BM143" i="1" s="1"/>
  <c r="AR144" i="1"/>
  <c r="BM144" i="1" s="1"/>
  <c r="AR145" i="1"/>
  <c r="BM145" i="1" s="1"/>
  <c r="AR146" i="1"/>
  <c r="BM146" i="1" s="1"/>
  <c r="AR147" i="1"/>
  <c r="BM147" i="1" s="1"/>
  <c r="AP152" i="1"/>
  <c r="BK152" i="1" s="1"/>
  <c r="AP153" i="1"/>
  <c r="BK153" i="1" s="1"/>
  <c r="AP154" i="1"/>
  <c r="BK154" i="1" s="1"/>
  <c r="AP155" i="1"/>
  <c r="BK155" i="1" s="1"/>
  <c r="AP156" i="1"/>
  <c r="BK156" i="1" s="1"/>
  <c r="AP157" i="1"/>
  <c r="BK157" i="1" s="1"/>
  <c r="AP158" i="1"/>
  <c r="BK158" i="1" s="1"/>
  <c r="AP159" i="1"/>
  <c r="BK159" i="1" s="1"/>
  <c r="AP160" i="1"/>
  <c r="BK160" i="1" s="1"/>
  <c r="AP161" i="1"/>
  <c r="BK161" i="1" s="1"/>
  <c r="AP162" i="1"/>
  <c r="BK162" i="1" s="1"/>
  <c r="AP163" i="1"/>
  <c r="BK163" i="1" s="1"/>
  <c r="AP164" i="1"/>
  <c r="BK164" i="1" s="1"/>
  <c r="AP165" i="1"/>
  <c r="BK165" i="1" s="1"/>
  <c r="AP166" i="1"/>
  <c r="BK166" i="1" s="1"/>
  <c r="AP167" i="1"/>
  <c r="BK167" i="1" s="1"/>
  <c r="AP168" i="1"/>
  <c r="BK168" i="1" s="1"/>
  <c r="AP169" i="1"/>
  <c r="BK169" i="1" s="1"/>
  <c r="AP170" i="1"/>
  <c r="BK170" i="1" s="1"/>
  <c r="AP171" i="1"/>
  <c r="BK171" i="1" s="1"/>
  <c r="AP172" i="1"/>
  <c r="BK172" i="1" s="1"/>
  <c r="AP173" i="1"/>
  <c r="BK173" i="1" s="1"/>
  <c r="AP111" i="1"/>
  <c r="BK111" i="1" s="1"/>
  <c r="AP112" i="1"/>
  <c r="BK112" i="1" s="1"/>
  <c r="AP113" i="1"/>
  <c r="BK113" i="1" s="1"/>
  <c r="AP114" i="1"/>
  <c r="BK114" i="1" s="1"/>
  <c r="AP115" i="1"/>
  <c r="BK115" i="1" s="1"/>
  <c r="AP116" i="1"/>
  <c r="BK116" i="1" s="1"/>
  <c r="AP117" i="1"/>
  <c r="BK117" i="1" s="1"/>
  <c r="AP118" i="1"/>
  <c r="BK118" i="1" s="1"/>
  <c r="AP119" i="1"/>
  <c r="BK119" i="1" s="1"/>
  <c r="AP120" i="1"/>
  <c r="BK120" i="1" s="1"/>
  <c r="AP121" i="1"/>
  <c r="BK121" i="1" s="1"/>
  <c r="AP122" i="1"/>
  <c r="BK122" i="1" s="1"/>
  <c r="AP123" i="1"/>
  <c r="BK123" i="1" s="1"/>
  <c r="AP124" i="1"/>
  <c r="BK124" i="1" s="1"/>
  <c r="AP125" i="1"/>
  <c r="BK125" i="1" s="1"/>
  <c r="AP126" i="1"/>
  <c r="BK126" i="1" s="1"/>
  <c r="AP127" i="1"/>
  <c r="BK127" i="1" s="1"/>
  <c r="AP128" i="1"/>
  <c r="BK128" i="1" s="1"/>
  <c r="AP129" i="1"/>
  <c r="BK129" i="1" s="1"/>
  <c r="AP130" i="1"/>
  <c r="BK130" i="1" s="1"/>
  <c r="AP131" i="1"/>
  <c r="BK131" i="1" s="1"/>
  <c r="AP132" i="1"/>
  <c r="BK132" i="1" s="1"/>
  <c r="AP133" i="1"/>
  <c r="BK133" i="1" s="1"/>
  <c r="AP134" i="1"/>
  <c r="BK134" i="1" s="1"/>
  <c r="AP135" i="1"/>
  <c r="BK135" i="1" s="1"/>
  <c r="AP136" i="1"/>
  <c r="BK136" i="1" s="1"/>
  <c r="AP137" i="1"/>
  <c r="BK137" i="1" s="1"/>
  <c r="AP138" i="1"/>
  <c r="BK138" i="1" s="1"/>
  <c r="AP139" i="1"/>
  <c r="BK139" i="1" s="1"/>
  <c r="AP140" i="1"/>
  <c r="BK140" i="1" s="1"/>
  <c r="AP141" i="1"/>
  <c r="BK141" i="1" s="1"/>
  <c r="AP142" i="1"/>
  <c r="BK142" i="1" s="1"/>
  <c r="AP143" i="1"/>
  <c r="BK143" i="1" s="1"/>
  <c r="AP144" i="1"/>
  <c r="BK144" i="1" s="1"/>
  <c r="AP145" i="1"/>
  <c r="BK145" i="1" s="1"/>
  <c r="AP146" i="1"/>
  <c r="BK146" i="1" s="1"/>
  <c r="AP147" i="1"/>
  <c r="BK147" i="1" s="1"/>
  <c r="AP73" i="1"/>
  <c r="BK73" i="1" s="1"/>
  <c r="AP74" i="1"/>
  <c r="BK74" i="1" s="1"/>
  <c r="AP75" i="1"/>
  <c r="BK75" i="1" s="1"/>
  <c r="AP76" i="1"/>
  <c r="BK76" i="1" s="1"/>
  <c r="AP77" i="1"/>
  <c r="BK77" i="1" s="1"/>
  <c r="AP78" i="1"/>
  <c r="BK78" i="1" s="1"/>
  <c r="AP79" i="1"/>
  <c r="BK79" i="1" s="1"/>
  <c r="AP80" i="1"/>
  <c r="BK80" i="1" s="1"/>
  <c r="AP81" i="1"/>
  <c r="BK81" i="1" s="1"/>
  <c r="AP82" i="1"/>
  <c r="BK82" i="1" s="1"/>
  <c r="AP83" i="1"/>
  <c r="BK83" i="1" s="1"/>
  <c r="AP84" i="1"/>
  <c r="BK84" i="1" s="1"/>
  <c r="AP85" i="1"/>
  <c r="BK85" i="1" s="1"/>
  <c r="AP86" i="1"/>
  <c r="BK86" i="1" s="1"/>
  <c r="AP87" i="1"/>
  <c r="BK87" i="1" s="1"/>
  <c r="AP88" i="1"/>
  <c r="BK88" i="1" s="1"/>
  <c r="AP89" i="1"/>
  <c r="BK89" i="1" s="1"/>
  <c r="AP90" i="1"/>
  <c r="BK90" i="1" s="1"/>
  <c r="AP91" i="1"/>
  <c r="BK91" i="1" s="1"/>
  <c r="AP92" i="1"/>
  <c r="BK92" i="1" s="1"/>
  <c r="AP93" i="1"/>
  <c r="BK93" i="1" s="1"/>
  <c r="AP94" i="1"/>
  <c r="BK94" i="1" s="1"/>
  <c r="AP95" i="1"/>
  <c r="BK95" i="1" s="1"/>
  <c r="AP96" i="1"/>
  <c r="BK96" i="1" s="1"/>
  <c r="AP97" i="1"/>
  <c r="BK97" i="1" s="1"/>
  <c r="AP98" i="1"/>
  <c r="BK98" i="1" s="1"/>
  <c r="AP99" i="1"/>
  <c r="BK99" i="1" s="1"/>
  <c r="AP100" i="1"/>
  <c r="BK100" i="1" s="1"/>
  <c r="AP101" i="1"/>
  <c r="BK101" i="1" s="1"/>
  <c r="AP102" i="1"/>
  <c r="BK102" i="1" s="1"/>
  <c r="AP103" i="1"/>
  <c r="BK103" i="1" s="1"/>
  <c r="AP104" i="1"/>
  <c r="BK104" i="1" s="1"/>
  <c r="AP105" i="1"/>
  <c r="BK105" i="1" s="1"/>
  <c r="AP106" i="1"/>
  <c r="BK106" i="1" s="1"/>
  <c r="AP107" i="1"/>
  <c r="BK107" i="1" s="1"/>
  <c r="AP108" i="1"/>
  <c r="BK108" i="1" s="1"/>
  <c r="AP109" i="1"/>
  <c r="BK109" i="1" s="1"/>
  <c r="AP110" i="1"/>
  <c r="BK110" i="1" s="1"/>
  <c r="AP36" i="1"/>
  <c r="BK36" i="1" s="1"/>
  <c r="AP37" i="1"/>
  <c r="BK37" i="1" s="1"/>
  <c r="AP38" i="1"/>
  <c r="BK38" i="1" s="1"/>
  <c r="AP39" i="1"/>
  <c r="BK39" i="1" s="1"/>
  <c r="AP40" i="1"/>
  <c r="BK40" i="1" s="1"/>
  <c r="AP41" i="1"/>
  <c r="BK41" i="1" s="1"/>
  <c r="AP42" i="1"/>
  <c r="BK42" i="1" s="1"/>
  <c r="AP43" i="1"/>
  <c r="BK43" i="1" s="1"/>
  <c r="AP44" i="1"/>
  <c r="BK44" i="1" s="1"/>
  <c r="AP45" i="1"/>
  <c r="BK45" i="1" s="1"/>
  <c r="AP46" i="1"/>
  <c r="BK46" i="1" s="1"/>
  <c r="AP47" i="1"/>
  <c r="BK47" i="1" s="1"/>
  <c r="AP48" i="1"/>
  <c r="BK48" i="1" s="1"/>
  <c r="AP49" i="1"/>
  <c r="BK49" i="1" s="1"/>
  <c r="AP50" i="1"/>
  <c r="BK50" i="1" s="1"/>
  <c r="AP51" i="1"/>
  <c r="BK51" i="1" s="1"/>
  <c r="AP52" i="1"/>
  <c r="BK52" i="1" s="1"/>
  <c r="AP53" i="1"/>
  <c r="BK53" i="1" s="1"/>
  <c r="AP54" i="1"/>
  <c r="BK54" i="1" s="1"/>
  <c r="AP55" i="1"/>
  <c r="BK55" i="1" s="1"/>
  <c r="AP56" i="1"/>
  <c r="BK56" i="1" s="1"/>
  <c r="AP57" i="1"/>
  <c r="BK57" i="1" s="1"/>
  <c r="AP58" i="1"/>
  <c r="BK58" i="1" s="1"/>
  <c r="AP59" i="1"/>
  <c r="BK59" i="1" s="1"/>
  <c r="AP60" i="1"/>
  <c r="BK60" i="1" s="1"/>
  <c r="AP61" i="1"/>
  <c r="BK61" i="1" s="1"/>
  <c r="AP62" i="1"/>
  <c r="BK62" i="1" s="1"/>
  <c r="AP63" i="1"/>
  <c r="BK63" i="1" s="1"/>
  <c r="AP64" i="1"/>
  <c r="BK64" i="1" s="1"/>
  <c r="AP65" i="1"/>
  <c r="BK65" i="1" s="1"/>
  <c r="AP66" i="1"/>
  <c r="BK66" i="1" s="1"/>
  <c r="AP67" i="1"/>
  <c r="BK67" i="1" s="1"/>
  <c r="AP68" i="1"/>
  <c r="BK68" i="1" s="1"/>
  <c r="AP69" i="1"/>
  <c r="BK69" i="1" s="1"/>
  <c r="AP70" i="1"/>
  <c r="BK70" i="1" s="1"/>
  <c r="AP12" i="1"/>
  <c r="BK12" i="1" s="1"/>
  <c r="AP13" i="1"/>
  <c r="BK13" i="1" s="1"/>
  <c r="AP16" i="1"/>
  <c r="BK16" i="1" s="1"/>
  <c r="AP17" i="1"/>
  <c r="BK17" i="1" s="1"/>
  <c r="AP18" i="1"/>
  <c r="BK18" i="1" s="1"/>
  <c r="AP19" i="1"/>
  <c r="BK19" i="1" s="1"/>
  <c r="AP20" i="1"/>
  <c r="BK20" i="1" s="1"/>
  <c r="AP21" i="1"/>
  <c r="BK21" i="1" s="1"/>
  <c r="AP22" i="1"/>
  <c r="BK22" i="1" s="1"/>
  <c r="AP23" i="1"/>
  <c r="BK23" i="1" s="1"/>
  <c r="AP24" i="1"/>
  <c r="BK24" i="1" s="1"/>
  <c r="AP25" i="1"/>
  <c r="BK25" i="1" s="1"/>
  <c r="AP26" i="1"/>
  <c r="BK26" i="1" s="1"/>
  <c r="AP27" i="1"/>
  <c r="BK27" i="1" s="1"/>
  <c r="AP28" i="1"/>
  <c r="BK28" i="1" s="1"/>
  <c r="AP29" i="1"/>
  <c r="BK29" i="1" s="1"/>
  <c r="AP30" i="1"/>
  <c r="BK30" i="1" s="1"/>
  <c r="AP31" i="1"/>
  <c r="BK31" i="1" s="1"/>
  <c r="AP32" i="1"/>
  <c r="BK32" i="1" s="1"/>
  <c r="AP33" i="1"/>
  <c r="BK33" i="1" s="1"/>
  <c r="AP34" i="1"/>
  <c r="BK34" i="1" s="1"/>
  <c r="AO14" i="1"/>
  <c r="AO11" i="1"/>
  <c r="AO10" i="1"/>
  <c r="AO9" i="1"/>
  <c r="AO8" i="1"/>
  <c r="AO7" i="1"/>
  <c r="AO6" i="1"/>
  <c r="AO5" i="1"/>
  <c r="AO4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91" i="1"/>
  <c r="AC92" i="1"/>
  <c r="AC93" i="1"/>
  <c r="AC94" i="1"/>
  <c r="AC95" i="1"/>
  <c r="AC96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168" i="1"/>
  <c r="AC152" i="1"/>
  <c r="AC154" i="1"/>
  <c r="AC158" i="1"/>
  <c r="AC161" i="1"/>
  <c r="AC163" i="1"/>
  <c r="AC138" i="1"/>
  <c r="AC139" i="1"/>
  <c r="AC140" i="1"/>
  <c r="AC141" i="1"/>
  <c r="AC142" i="1"/>
  <c r="AC143" i="1"/>
  <c r="AC144" i="1"/>
  <c r="AC145" i="1"/>
  <c r="AC146" i="1"/>
  <c r="AC147" i="1"/>
  <c r="AC132" i="1"/>
  <c r="AC133" i="1"/>
  <c r="AC134" i="1"/>
  <c r="AC135" i="1"/>
  <c r="AC136" i="1"/>
  <c r="AC130" i="1"/>
  <c r="AC129" i="1"/>
  <c r="AC128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36" i="1"/>
  <c r="AC37" i="1"/>
  <c r="AC38" i="1"/>
  <c r="AC39" i="1"/>
  <c r="AC40" i="1"/>
  <c r="AC41" i="1"/>
  <c r="AH4" i="1"/>
  <c r="AH5" i="1"/>
  <c r="BH5" i="1" s="1"/>
  <c r="AH6" i="1"/>
  <c r="BH6" i="1" s="1"/>
  <c r="AH7" i="1"/>
  <c r="BH7" i="1" s="1"/>
  <c r="AH9" i="1"/>
  <c r="BH9" i="1" s="1"/>
  <c r="AH10" i="1"/>
  <c r="BH10" i="1" s="1"/>
  <c r="AH11" i="1"/>
  <c r="BH11" i="1" s="1"/>
  <c r="AH14" i="1"/>
  <c r="BH14" i="1" s="1"/>
  <c r="K1" i="3"/>
  <c r="BR148" i="1" l="1"/>
  <c r="AV148" i="1"/>
  <c r="BP148" i="1" s="1"/>
  <c r="AR148" i="1"/>
  <c r="BM148" i="1" s="1"/>
  <c r="AP148" i="1"/>
  <c r="BK148" i="1" s="1"/>
  <c r="AO148" i="1"/>
  <c r="AN148" i="1"/>
  <c r="BJ148" i="1" s="1"/>
  <c r="AG148" i="1"/>
  <c r="BG148" i="1" s="1"/>
  <c r="AF148" i="1"/>
  <c r="BF148" i="1" s="1"/>
  <c r="AE148" i="1"/>
  <c r="BE148" i="1" s="1"/>
  <c r="AD148" i="1"/>
  <c r="BD148" i="1" s="1"/>
  <c r="S148" i="1"/>
  <c r="AR151" i="1"/>
  <c r="BM151" i="1" s="1"/>
  <c r="AN151" i="1"/>
  <c r="BJ151" i="1" s="1"/>
  <c r="AG151" i="1"/>
  <c r="BG151" i="1" s="1"/>
  <c r="AF151" i="1"/>
  <c r="BF151" i="1" s="1"/>
  <c r="AE151" i="1"/>
  <c r="BE151" i="1" s="1"/>
  <c r="AD151" i="1"/>
  <c r="BD151" i="1" s="1"/>
  <c r="S151" i="1"/>
  <c r="BR150" i="1"/>
  <c r="AR150" i="1"/>
  <c r="BM150" i="1" s="1"/>
  <c r="AP150" i="1"/>
  <c r="BK150" i="1" s="1"/>
  <c r="AO150" i="1"/>
  <c r="AN150" i="1"/>
  <c r="BJ150" i="1" s="1"/>
  <c r="AG150" i="1"/>
  <c r="BG150" i="1" s="1"/>
  <c r="AF150" i="1"/>
  <c r="BF150" i="1" s="1"/>
  <c r="AE150" i="1"/>
  <c r="BE150" i="1" s="1"/>
  <c r="AD150" i="1"/>
  <c r="BD150" i="1" s="1"/>
  <c r="S150" i="1"/>
  <c r="BR149" i="1"/>
  <c r="AV149" i="1"/>
  <c r="BP149" i="1" s="1"/>
  <c r="AR149" i="1"/>
  <c r="BM149" i="1" s="1"/>
  <c r="AP149" i="1"/>
  <c r="BK149" i="1" s="1"/>
  <c r="AO149" i="1"/>
  <c r="AN149" i="1"/>
  <c r="BJ149" i="1" s="1"/>
  <c r="AG149" i="1"/>
  <c r="BG149" i="1" s="1"/>
  <c r="AF149" i="1"/>
  <c r="BF149" i="1" s="1"/>
  <c r="AE149" i="1"/>
  <c r="BE149" i="1" s="1"/>
  <c r="AD149" i="1"/>
  <c r="BD149" i="1" s="1"/>
  <c r="S149" i="1"/>
  <c r="R158" i="1"/>
  <c r="AN158" i="1" s="1"/>
  <c r="BJ158" i="1" s="1"/>
  <c r="P128" i="1"/>
  <c r="BC128" i="1" s="1"/>
  <c r="P112" i="1"/>
  <c r="BC112" i="1" s="1"/>
  <c r="AN152" i="1"/>
  <c r="BJ152" i="1" s="1"/>
  <c r="AN153" i="1"/>
  <c r="BJ153" i="1" s="1"/>
  <c r="AN154" i="1"/>
  <c r="BJ154" i="1" s="1"/>
  <c r="AN155" i="1"/>
  <c r="BJ155" i="1" s="1"/>
  <c r="AN156" i="1"/>
  <c r="BJ156" i="1" s="1"/>
  <c r="AN157" i="1"/>
  <c r="BJ157" i="1" s="1"/>
  <c r="AN159" i="1"/>
  <c r="BJ159" i="1" s="1"/>
  <c r="AN160" i="1"/>
  <c r="BJ160" i="1" s="1"/>
  <c r="AN161" i="1"/>
  <c r="BJ161" i="1" s="1"/>
  <c r="AN162" i="1"/>
  <c r="BJ162" i="1" s="1"/>
  <c r="AN163" i="1"/>
  <c r="BJ163" i="1" s="1"/>
  <c r="AN164" i="1"/>
  <c r="BJ164" i="1" s="1"/>
  <c r="AN165" i="1"/>
  <c r="BJ165" i="1" s="1"/>
  <c r="AN166" i="1"/>
  <c r="BJ166" i="1" s="1"/>
  <c r="AN167" i="1"/>
  <c r="BJ167" i="1" s="1"/>
  <c r="AN168" i="1"/>
  <c r="BJ168" i="1" s="1"/>
  <c r="AN169" i="1"/>
  <c r="BJ169" i="1" s="1"/>
  <c r="AN170" i="1"/>
  <c r="BJ170" i="1" s="1"/>
  <c r="AN171" i="1"/>
  <c r="BJ171" i="1" s="1"/>
  <c r="AN172" i="1"/>
  <c r="BJ172" i="1" s="1"/>
  <c r="AN173" i="1"/>
  <c r="BJ173" i="1" s="1"/>
  <c r="AN174" i="1"/>
  <c r="BJ174" i="1" s="1"/>
  <c r="AN175" i="1"/>
  <c r="BJ175" i="1" s="1"/>
  <c r="AN176" i="1"/>
  <c r="BJ176" i="1" s="1"/>
  <c r="AN177" i="1"/>
  <c r="BJ177" i="1" s="1"/>
  <c r="AN178" i="1"/>
  <c r="BJ178" i="1" s="1"/>
  <c r="AN179" i="1"/>
  <c r="BJ179" i="1" s="1"/>
  <c r="AN180" i="1"/>
  <c r="BJ180" i="1" s="1"/>
  <c r="AN181" i="1"/>
  <c r="BJ181" i="1" s="1"/>
  <c r="AN182" i="1"/>
  <c r="BJ182" i="1" s="1"/>
  <c r="AN183" i="1"/>
  <c r="BJ183" i="1" s="1"/>
  <c r="AN184" i="1"/>
  <c r="BJ184" i="1" s="1"/>
  <c r="AN185" i="1"/>
  <c r="BJ185" i="1" s="1"/>
  <c r="AN186" i="1"/>
  <c r="BJ186" i="1" s="1"/>
  <c r="AN187" i="1"/>
  <c r="BJ187" i="1" s="1"/>
  <c r="AN188" i="1"/>
  <c r="BJ188" i="1" s="1"/>
  <c r="AN189" i="1"/>
  <c r="BJ189" i="1" s="1"/>
  <c r="AN190" i="1"/>
  <c r="BJ190" i="1" s="1"/>
  <c r="AN191" i="1"/>
  <c r="BJ191" i="1" s="1"/>
  <c r="AN192" i="1"/>
  <c r="BJ192" i="1" s="1"/>
  <c r="AN193" i="1"/>
  <c r="BJ193" i="1" s="1"/>
  <c r="AN194" i="1"/>
  <c r="BJ194" i="1" s="1"/>
  <c r="AJ162" i="1"/>
  <c r="AJ160" i="1"/>
  <c r="AJ159" i="1"/>
  <c r="AJ153" i="1"/>
  <c r="AJ182" i="1"/>
  <c r="AC182" i="1" s="1"/>
  <c r="AE182" i="1" s="1"/>
  <c r="BE182" i="1" s="1"/>
  <c r="AJ177" i="1"/>
  <c r="AC177" i="1" s="1"/>
  <c r="AG177" i="1" s="1"/>
  <c r="BG177" i="1" s="1"/>
  <c r="AJ176" i="1"/>
  <c r="AC176" i="1" s="1"/>
  <c r="AG176" i="1" s="1"/>
  <c r="BG176" i="1" s="1"/>
  <c r="AJ175" i="1"/>
  <c r="AC175" i="1" s="1"/>
  <c r="AC191" i="1"/>
  <c r="AG191" i="1" s="1"/>
  <c r="BG191" i="1" s="1"/>
  <c r="AC189" i="1"/>
  <c r="AG189" i="1" s="1"/>
  <c r="BG189" i="1" s="1"/>
  <c r="AJ194" i="1"/>
  <c r="AC194" i="1" s="1"/>
  <c r="AF194" i="1" s="1"/>
  <c r="BF194" i="1" s="1"/>
  <c r="AJ183" i="1"/>
  <c r="AC183" i="1" s="1"/>
  <c r="AG183" i="1" s="1"/>
  <c r="BG183" i="1" s="1"/>
  <c r="AJ181" i="1"/>
  <c r="AC181" i="1" s="1"/>
  <c r="AG181" i="1" s="1"/>
  <c r="BG181" i="1" s="1"/>
  <c r="AJ193" i="1"/>
  <c r="AC193" i="1" s="1"/>
  <c r="AE193" i="1" s="1"/>
  <c r="BE193" i="1" s="1"/>
  <c r="AJ187" i="1"/>
  <c r="AC187" i="1" s="1"/>
  <c r="AF187" i="1" s="1"/>
  <c r="BF187" i="1" s="1"/>
  <c r="AJ185" i="1"/>
  <c r="AC185" i="1" s="1"/>
  <c r="AG185" i="1" s="1"/>
  <c r="BG185" i="1" s="1"/>
  <c r="AJ184" i="1"/>
  <c r="AC184" i="1" s="1"/>
  <c r="AF184" i="1" s="1"/>
  <c r="BF184" i="1" s="1"/>
  <c r="AC180" i="1"/>
  <c r="AF180" i="1" s="1"/>
  <c r="BF180" i="1" s="1"/>
  <c r="AC179" i="1"/>
  <c r="AG179" i="1" s="1"/>
  <c r="BG179" i="1" s="1"/>
  <c r="AJ192" i="1"/>
  <c r="AC192" i="1" s="1"/>
  <c r="AJ178" i="1"/>
  <c r="AC178" i="1" s="1"/>
  <c r="AG178" i="1" s="1"/>
  <c r="BG178" i="1" s="1"/>
  <c r="AJ174" i="1"/>
  <c r="AC174" i="1" s="1"/>
  <c r="AG174" i="1" s="1"/>
  <c r="BG174" i="1" s="1"/>
  <c r="AJ186" i="1"/>
  <c r="AC186" i="1" s="1"/>
  <c r="AG186" i="1" s="1"/>
  <c r="BG186" i="1" s="1"/>
  <c r="AJ188" i="1"/>
  <c r="AC188" i="1" s="1"/>
  <c r="AF188" i="1" s="1"/>
  <c r="BF188" i="1" s="1"/>
  <c r="AJ190" i="1"/>
  <c r="AC190" i="1" s="1"/>
  <c r="AG190" i="1" s="1"/>
  <c r="BG190" i="1" s="1"/>
  <c r="AJ171" i="1"/>
  <c r="AJ173" i="1"/>
  <c r="AJ157" i="1"/>
  <c r="AJ156" i="1"/>
  <c r="AJ155" i="1"/>
  <c r="AJ172" i="1"/>
  <c r="AJ165" i="1"/>
  <c r="AC156" i="1" l="1"/>
  <c r="AF156" i="1" s="1"/>
  <c r="BF156" i="1" s="1"/>
  <c r="AC157" i="1"/>
  <c r="AF157" i="1" s="1"/>
  <c r="BF157" i="1" s="1"/>
  <c r="AC153" i="1"/>
  <c r="AF153" i="1" s="1"/>
  <c r="BF153" i="1" s="1"/>
  <c r="AC173" i="1"/>
  <c r="AF173" i="1" s="1"/>
  <c r="BF173" i="1" s="1"/>
  <c r="AC159" i="1"/>
  <c r="AD159" i="1" s="1"/>
  <c r="BD159" i="1" s="1"/>
  <c r="AC171" i="1"/>
  <c r="AG171" i="1" s="1"/>
  <c r="BG171" i="1" s="1"/>
  <c r="AC160" i="1"/>
  <c r="AF160" i="1" s="1"/>
  <c r="BF160" i="1" s="1"/>
  <c r="AC162" i="1"/>
  <c r="AG162" i="1" s="1"/>
  <c r="BG162" i="1" s="1"/>
  <c r="AC165" i="1"/>
  <c r="AD165" i="1" s="1"/>
  <c r="BD165" i="1" s="1"/>
  <c r="AC172" i="1"/>
  <c r="AE172" i="1" s="1"/>
  <c r="BE172" i="1" s="1"/>
  <c r="AC155" i="1"/>
  <c r="AE155" i="1" s="1"/>
  <c r="BE155" i="1" s="1"/>
  <c r="AQ148" i="1"/>
  <c r="BL148" i="1" s="1"/>
  <c r="AH148" i="1"/>
  <c r="AH149" i="1"/>
  <c r="AH151" i="1"/>
  <c r="BH151" i="1" s="1"/>
  <c r="AH150" i="1"/>
  <c r="AQ151" i="1"/>
  <c r="BL151" i="1" s="1"/>
  <c r="AQ150" i="1"/>
  <c r="BL150" i="1" s="1"/>
  <c r="AQ149" i="1"/>
  <c r="BL149" i="1" s="1"/>
  <c r="AL151" i="1"/>
  <c r="AC151" i="1"/>
  <c r="AF175" i="1"/>
  <c r="BF175" i="1" s="1"/>
  <c r="AG175" i="1"/>
  <c r="BG175" i="1" s="1"/>
  <c r="AQ189" i="1"/>
  <c r="BL189" i="1" s="1"/>
  <c r="AQ177" i="1"/>
  <c r="BL177" i="1" s="1"/>
  <c r="AQ165" i="1"/>
  <c r="BL165" i="1" s="1"/>
  <c r="AQ153" i="1"/>
  <c r="BL153" i="1" s="1"/>
  <c r="AQ190" i="1"/>
  <c r="BL190" i="1" s="1"/>
  <c r="AQ178" i="1"/>
  <c r="BL178" i="1" s="1"/>
  <c r="AQ166" i="1"/>
  <c r="BL166" i="1" s="1"/>
  <c r="AQ154" i="1"/>
  <c r="BL154" i="1" s="1"/>
  <c r="AQ193" i="1"/>
  <c r="BL193" i="1" s="1"/>
  <c r="AQ192" i="1"/>
  <c r="BL192" i="1" s="1"/>
  <c r="AQ180" i="1"/>
  <c r="BL180" i="1" s="1"/>
  <c r="AQ168" i="1"/>
  <c r="BL168" i="1" s="1"/>
  <c r="AQ156" i="1"/>
  <c r="BL156" i="1" s="1"/>
  <c r="AQ181" i="1"/>
  <c r="BL181" i="1" s="1"/>
  <c r="AQ169" i="1"/>
  <c r="BL169" i="1" s="1"/>
  <c r="AQ157" i="1"/>
  <c r="BL157" i="1" s="1"/>
  <c r="AQ191" i="1"/>
  <c r="BL191" i="1" s="1"/>
  <c r="AQ179" i="1"/>
  <c r="BL179" i="1" s="1"/>
  <c r="AQ167" i="1"/>
  <c r="BL167" i="1" s="1"/>
  <c r="AQ155" i="1"/>
  <c r="BL155" i="1" s="1"/>
  <c r="AQ152" i="1"/>
  <c r="BL152" i="1" s="1"/>
  <c r="AQ163" i="1"/>
  <c r="BL163" i="1" s="1"/>
  <c r="AQ186" i="1"/>
  <c r="BL186" i="1" s="1"/>
  <c r="AQ174" i="1"/>
  <c r="BL174" i="1" s="1"/>
  <c r="AQ162" i="1"/>
  <c r="BL162" i="1" s="1"/>
  <c r="AQ176" i="1"/>
  <c r="BL176" i="1" s="1"/>
  <c r="AQ175" i="1"/>
  <c r="BL175" i="1" s="1"/>
  <c r="AQ185" i="1"/>
  <c r="BL185" i="1" s="1"/>
  <c r="AQ173" i="1"/>
  <c r="BL173" i="1" s="1"/>
  <c r="AQ161" i="1"/>
  <c r="BL161" i="1" s="1"/>
  <c r="AQ188" i="1"/>
  <c r="BL188" i="1" s="1"/>
  <c r="AQ187" i="1"/>
  <c r="BL187" i="1" s="1"/>
  <c r="AQ184" i="1"/>
  <c r="BL184" i="1" s="1"/>
  <c r="AQ172" i="1"/>
  <c r="BL172" i="1" s="1"/>
  <c r="AQ160" i="1"/>
  <c r="BL160" i="1" s="1"/>
  <c r="AQ164" i="1"/>
  <c r="BL164" i="1" s="1"/>
  <c r="AQ183" i="1"/>
  <c r="BL183" i="1" s="1"/>
  <c r="AQ171" i="1"/>
  <c r="BL171" i="1" s="1"/>
  <c r="AQ159" i="1"/>
  <c r="BL159" i="1" s="1"/>
  <c r="AQ194" i="1"/>
  <c r="BL194" i="1" s="1"/>
  <c r="AQ182" i="1"/>
  <c r="BL182" i="1" s="1"/>
  <c r="AQ170" i="1"/>
  <c r="BL170" i="1" s="1"/>
  <c r="AQ158" i="1"/>
  <c r="BL158" i="1" s="1"/>
  <c r="AE160" i="1"/>
  <c r="BE160" i="1" s="1"/>
  <c r="AE183" i="1"/>
  <c r="BE183" i="1" s="1"/>
  <c r="AF186" i="1"/>
  <c r="BF186" i="1" s="1"/>
  <c r="AF183" i="1"/>
  <c r="BF183" i="1" s="1"/>
  <c r="AE185" i="1"/>
  <c r="BE185" i="1" s="1"/>
  <c r="AG182" i="1"/>
  <c r="BG182" i="1" s="1"/>
  <c r="AD182" i="1"/>
  <c r="BD182" i="1" s="1"/>
  <c r="AF182" i="1"/>
  <c r="BF182" i="1" s="1"/>
  <c r="AE177" i="1"/>
  <c r="BE177" i="1" s="1"/>
  <c r="AF177" i="1"/>
  <c r="BF177" i="1" s="1"/>
  <c r="AD177" i="1"/>
  <c r="BD177" i="1" s="1"/>
  <c r="AD176" i="1"/>
  <c r="BD176" i="1" s="1"/>
  <c r="AE176" i="1"/>
  <c r="BE176" i="1" s="1"/>
  <c r="AF176" i="1"/>
  <c r="BF176" i="1" s="1"/>
  <c r="AD175" i="1"/>
  <c r="BD175" i="1" s="1"/>
  <c r="AE175" i="1"/>
  <c r="BE175" i="1" s="1"/>
  <c r="AE191" i="1"/>
  <c r="BE191" i="1" s="1"/>
  <c r="AF191" i="1"/>
  <c r="BF191" i="1" s="1"/>
  <c r="AD191" i="1"/>
  <c r="BD191" i="1" s="1"/>
  <c r="AD189" i="1"/>
  <c r="BD189" i="1" s="1"/>
  <c r="AE189" i="1"/>
  <c r="BE189" i="1" s="1"/>
  <c r="AF189" i="1"/>
  <c r="BF189" i="1" s="1"/>
  <c r="AF185" i="1"/>
  <c r="BF185" i="1" s="1"/>
  <c r="AD194" i="1"/>
  <c r="BD194" i="1" s="1"/>
  <c r="AE194" i="1"/>
  <c r="BE194" i="1" s="1"/>
  <c r="AG194" i="1"/>
  <c r="BG194" i="1" s="1"/>
  <c r="AD183" i="1"/>
  <c r="BD183" i="1" s="1"/>
  <c r="AD181" i="1"/>
  <c r="BD181" i="1" s="1"/>
  <c r="AE181" i="1"/>
  <c r="BE181" i="1" s="1"/>
  <c r="AF181" i="1"/>
  <c r="BF181" i="1" s="1"/>
  <c r="AG184" i="1"/>
  <c r="BG184" i="1" s="1"/>
  <c r="AF193" i="1"/>
  <c r="BF193" i="1" s="1"/>
  <c r="AD193" i="1"/>
  <c r="BD193" i="1" s="1"/>
  <c r="AG193" i="1"/>
  <c r="BG193" i="1" s="1"/>
  <c r="AG187" i="1"/>
  <c r="BG187" i="1" s="1"/>
  <c r="AD187" i="1"/>
  <c r="BD187" i="1" s="1"/>
  <c r="AE187" i="1"/>
  <c r="BE187" i="1" s="1"/>
  <c r="AD185" i="1"/>
  <c r="BD185" i="1" s="1"/>
  <c r="AD184" i="1"/>
  <c r="BD184" i="1" s="1"/>
  <c r="AE184" i="1"/>
  <c r="BE184" i="1" s="1"/>
  <c r="AG180" i="1"/>
  <c r="BG180" i="1" s="1"/>
  <c r="AG188" i="1"/>
  <c r="BG188" i="1" s="1"/>
  <c r="AD179" i="1"/>
  <c r="BD179" i="1" s="1"/>
  <c r="AE179" i="1"/>
  <c r="BE179" i="1" s="1"/>
  <c r="AE180" i="1"/>
  <c r="BE180" i="1" s="1"/>
  <c r="AD180" i="1"/>
  <c r="BD180" i="1" s="1"/>
  <c r="AF179" i="1"/>
  <c r="BF179" i="1" s="1"/>
  <c r="AG192" i="1"/>
  <c r="BG192" i="1" s="1"/>
  <c r="AF192" i="1"/>
  <c r="BF192" i="1" s="1"/>
  <c r="AE192" i="1"/>
  <c r="BE192" i="1" s="1"/>
  <c r="AD192" i="1"/>
  <c r="BD192" i="1" s="1"/>
  <c r="AD178" i="1"/>
  <c r="BD178" i="1" s="1"/>
  <c r="AE178" i="1"/>
  <c r="BE178" i="1" s="1"/>
  <c r="AF178" i="1"/>
  <c r="BF178" i="1" s="1"/>
  <c r="AD174" i="1"/>
  <c r="BD174" i="1" s="1"/>
  <c r="AE174" i="1"/>
  <c r="BE174" i="1" s="1"/>
  <c r="AF174" i="1"/>
  <c r="BF174" i="1" s="1"/>
  <c r="AD186" i="1"/>
  <c r="BD186" i="1" s="1"/>
  <c r="AE186" i="1"/>
  <c r="BE186" i="1" s="1"/>
  <c r="AG157" i="1"/>
  <c r="BG157" i="1" s="1"/>
  <c r="AD188" i="1"/>
  <c r="BD188" i="1" s="1"/>
  <c r="AE188" i="1"/>
  <c r="BE188" i="1" s="1"/>
  <c r="AD190" i="1"/>
  <c r="BD190" i="1" s="1"/>
  <c r="AE190" i="1"/>
  <c r="BE190" i="1" s="1"/>
  <c r="AF190" i="1"/>
  <c r="BF190" i="1" s="1"/>
  <c r="AD157" i="1"/>
  <c r="BD157" i="1" s="1"/>
  <c r="AC164" i="1"/>
  <c r="AG164" i="1" s="1"/>
  <c r="BG164" i="1" s="1"/>
  <c r="AJ170" i="1"/>
  <c r="AJ169" i="1"/>
  <c r="AJ167" i="1"/>
  <c r="AJ166" i="1"/>
  <c r="AC166" i="1" s="1"/>
  <c r="AG166" i="1" s="1"/>
  <c r="BG166" i="1" s="1"/>
  <c r="AG168" i="1"/>
  <c r="BG168" i="1" s="1"/>
  <c r="AG154" i="1"/>
  <c r="BG154" i="1" s="1"/>
  <c r="AD152" i="1"/>
  <c r="BD152" i="1" s="1"/>
  <c r="AG161" i="1"/>
  <c r="BG161" i="1" s="1"/>
  <c r="AG163" i="1"/>
  <c r="BG163" i="1" s="1"/>
  <c r="S152" i="1"/>
  <c r="AS152" i="1" s="1"/>
  <c r="BN152" i="1" s="1"/>
  <c r="S153" i="1"/>
  <c r="AS153" i="1" s="1"/>
  <c r="BN153" i="1" s="1"/>
  <c r="S154" i="1"/>
  <c r="AS154" i="1" s="1"/>
  <c r="BN154" i="1" s="1"/>
  <c r="S155" i="1"/>
  <c r="AS155" i="1" s="1"/>
  <c r="BN155" i="1" s="1"/>
  <c r="S156" i="1"/>
  <c r="AS156" i="1" s="1"/>
  <c r="BN156" i="1" s="1"/>
  <c r="S157" i="1"/>
  <c r="AS157" i="1" s="1"/>
  <c r="BN157" i="1" s="1"/>
  <c r="S158" i="1"/>
  <c r="AS158" i="1" s="1"/>
  <c r="BN158" i="1" s="1"/>
  <c r="S159" i="1"/>
  <c r="AS159" i="1" s="1"/>
  <c r="BN159" i="1" s="1"/>
  <c r="S160" i="1"/>
  <c r="AS160" i="1" s="1"/>
  <c r="BN160" i="1" s="1"/>
  <c r="S161" i="1"/>
  <c r="AS161" i="1" s="1"/>
  <c r="BN161" i="1" s="1"/>
  <c r="S162" i="1"/>
  <c r="AS162" i="1" s="1"/>
  <c r="BN162" i="1" s="1"/>
  <c r="S163" i="1"/>
  <c r="AS163" i="1" s="1"/>
  <c r="BN163" i="1" s="1"/>
  <c r="S164" i="1"/>
  <c r="AS164" i="1" s="1"/>
  <c r="BN164" i="1" s="1"/>
  <c r="S165" i="1"/>
  <c r="AS165" i="1" s="1"/>
  <c r="BN165" i="1" s="1"/>
  <c r="S166" i="1"/>
  <c r="AS166" i="1" s="1"/>
  <c r="BN166" i="1" s="1"/>
  <c r="S167" i="1"/>
  <c r="AS167" i="1" s="1"/>
  <c r="BN167" i="1" s="1"/>
  <c r="S168" i="1"/>
  <c r="AS168" i="1" s="1"/>
  <c r="BN168" i="1" s="1"/>
  <c r="S169" i="1"/>
  <c r="AS169" i="1" s="1"/>
  <c r="BN169" i="1" s="1"/>
  <c r="S170" i="1"/>
  <c r="AS170" i="1" s="1"/>
  <c r="BN170" i="1" s="1"/>
  <c r="S171" i="1"/>
  <c r="AS171" i="1" s="1"/>
  <c r="BN171" i="1" s="1"/>
  <c r="S172" i="1"/>
  <c r="AS172" i="1" s="1"/>
  <c r="BN172" i="1" s="1"/>
  <c r="S173" i="1"/>
  <c r="AS173" i="1" s="1"/>
  <c r="BN173" i="1" s="1"/>
  <c r="S174" i="1"/>
  <c r="AS174" i="1" s="1"/>
  <c r="BN174" i="1" s="1"/>
  <c r="S175" i="1"/>
  <c r="AS175" i="1" s="1"/>
  <c r="BN175" i="1" s="1"/>
  <c r="S176" i="1"/>
  <c r="AS176" i="1" s="1"/>
  <c r="BN176" i="1" s="1"/>
  <c r="S177" i="1"/>
  <c r="AS177" i="1" s="1"/>
  <c r="BN177" i="1" s="1"/>
  <c r="S178" i="1"/>
  <c r="AS178" i="1" s="1"/>
  <c r="BN178" i="1" s="1"/>
  <c r="S179" i="1"/>
  <c r="AS179" i="1" s="1"/>
  <c r="BN179" i="1" s="1"/>
  <c r="S180" i="1"/>
  <c r="AS180" i="1" s="1"/>
  <c r="BN180" i="1" s="1"/>
  <c r="S181" i="1"/>
  <c r="AS181" i="1" s="1"/>
  <c r="BN181" i="1" s="1"/>
  <c r="S182" i="1"/>
  <c r="AS182" i="1" s="1"/>
  <c r="BN182" i="1" s="1"/>
  <c r="S183" i="1"/>
  <c r="AS183" i="1" s="1"/>
  <c r="BN183" i="1" s="1"/>
  <c r="S184" i="1"/>
  <c r="AS184" i="1" s="1"/>
  <c r="BN184" i="1" s="1"/>
  <c r="S185" i="1"/>
  <c r="AS185" i="1" s="1"/>
  <c r="BN185" i="1" s="1"/>
  <c r="S186" i="1"/>
  <c r="AS186" i="1" s="1"/>
  <c r="BN186" i="1" s="1"/>
  <c r="S187" i="1"/>
  <c r="AS187" i="1" s="1"/>
  <c r="BN187" i="1" s="1"/>
  <c r="S188" i="1"/>
  <c r="AS188" i="1" s="1"/>
  <c r="BN188" i="1" s="1"/>
  <c r="S189" i="1"/>
  <c r="AS189" i="1" s="1"/>
  <c r="BN189" i="1" s="1"/>
  <c r="S190" i="1"/>
  <c r="AS190" i="1" s="1"/>
  <c r="BN190" i="1" s="1"/>
  <c r="S191" i="1"/>
  <c r="AS191" i="1" s="1"/>
  <c r="BN191" i="1" s="1"/>
  <c r="S192" i="1"/>
  <c r="AS192" i="1" s="1"/>
  <c r="BN192" i="1" s="1"/>
  <c r="S193" i="1"/>
  <c r="AS193" i="1" s="1"/>
  <c r="BN193" i="1" s="1"/>
  <c r="S194" i="1"/>
  <c r="AS194" i="1" s="1"/>
  <c r="BN194" i="1" s="1"/>
  <c r="AD160" i="1" l="1"/>
  <c r="BD160" i="1" s="1"/>
  <c r="AE157" i="1"/>
  <c r="BE157" i="1" s="1"/>
  <c r="AD162" i="1"/>
  <c r="BD162" i="1" s="1"/>
  <c r="AF155" i="1"/>
  <c r="BF155" i="1" s="1"/>
  <c r="AF171" i="1"/>
  <c r="BF171" i="1" s="1"/>
  <c r="AE156" i="1"/>
  <c r="BE156" i="1" s="1"/>
  <c r="AD156" i="1"/>
  <c r="BD156" i="1" s="1"/>
  <c r="AF162" i="1"/>
  <c r="BF162" i="1" s="1"/>
  <c r="AG156" i="1"/>
  <c r="BG156" i="1" s="1"/>
  <c r="AE171" i="1"/>
  <c r="BE171" i="1" s="1"/>
  <c r="AE162" i="1"/>
  <c r="BE162" i="1" s="1"/>
  <c r="AD172" i="1"/>
  <c r="BD172" i="1" s="1"/>
  <c r="AC167" i="1"/>
  <c r="AF167" i="1" s="1"/>
  <c r="BF167" i="1" s="1"/>
  <c r="AC169" i="1"/>
  <c r="AE169" i="1" s="1"/>
  <c r="BE169" i="1" s="1"/>
  <c r="AD155" i="1"/>
  <c r="BD155" i="1" s="1"/>
  <c r="AG159" i="1"/>
  <c r="BG159" i="1" s="1"/>
  <c r="AC170" i="1"/>
  <c r="AD170" i="1" s="1"/>
  <c r="BD170" i="1" s="1"/>
  <c r="AF172" i="1"/>
  <c r="BF172" i="1" s="1"/>
  <c r="AE173" i="1"/>
  <c r="BE173" i="1" s="1"/>
  <c r="AF165" i="1"/>
  <c r="BF165" i="1" s="1"/>
  <c r="AG153" i="1"/>
  <c r="BG153" i="1" s="1"/>
  <c r="AG165" i="1"/>
  <c r="BG165" i="1" s="1"/>
  <c r="AE153" i="1"/>
  <c r="BE153" i="1" s="1"/>
  <c r="AE165" i="1"/>
  <c r="BE165" i="1" s="1"/>
  <c r="AG173" i="1"/>
  <c r="BG173" i="1" s="1"/>
  <c r="AD153" i="1"/>
  <c r="BD153" i="1" s="1"/>
  <c r="AD173" i="1"/>
  <c r="BD173" i="1" s="1"/>
  <c r="AG172" i="1"/>
  <c r="BG172" i="1" s="1"/>
  <c r="AF159" i="1"/>
  <c r="BF159" i="1" s="1"/>
  <c r="AE159" i="1"/>
  <c r="BE159" i="1" s="1"/>
  <c r="AG160" i="1"/>
  <c r="BG160" i="1" s="1"/>
  <c r="AG155" i="1"/>
  <c r="BG155" i="1" s="1"/>
  <c r="AD171" i="1"/>
  <c r="BD171" i="1" s="1"/>
  <c r="AT151" i="1"/>
  <c r="BO151" i="1" s="1"/>
  <c r="BI151" i="1"/>
  <c r="AC149" i="1"/>
  <c r="BH149" i="1"/>
  <c r="AC150" i="1"/>
  <c r="BH150" i="1"/>
  <c r="AL148" i="1"/>
  <c r="BI148" i="1" s="1"/>
  <c r="BH148" i="1"/>
  <c r="AL150" i="1"/>
  <c r="BI150" i="1" s="1"/>
  <c r="AC148" i="1"/>
  <c r="AL149" i="1"/>
  <c r="AM149" i="1" s="1"/>
  <c r="AM151" i="1"/>
  <c r="AG158" i="1"/>
  <c r="BG158" i="1" s="1"/>
  <c r="AD158" i="1"/>
  <c r="BD158" i="1" s="1"/>
  <c r="AH177" i="1"/>
  <c r="AH183" i="1"/>
  <c r="AH185" i="1"/>
  <c r="AH191" i="1"/>
  <c r="AH182" i="1"/>
  <c r="AH175" i="1"/>
  <c r="AH176" i="1"/>
  <c r="AH189" i="1"/>
  <c r="AH179" i="1"/>
  <c r="AH194" i="1"/>
  <c r="AH181" i="1"/>
  <c r="AH193" i="1"/>
  <c r="AH187" i="1"/>
  <c r="AH184" i="1"/>
  <c r="AH180" i="1"/>
  <c r="AH192" i="1"/>
  <c r="AH174" i="1"/>
  <c r="AH178" i="1"/>
  <c r="AH186" i="1"/>
  <c r="AH188" i="1"/>
  <c r="AH190" i="1"/>
  <c r="AH157" i="1"/>
  <c r="AH156" i="1"/>
  <c r="AD164" i="1"/>
  <c r="BD164" i="1" s="1"/>
  <c r="AE164" i="1"/>
  <c r="BE164" i="1" s="1"/>
  <c r="AF164" i="1"/>
  <c r="BF164" i="1" s="1"/>
  <c r="AD166" i="1"/>
  <c r="BD166" i="1" s="1"/>
  <c r="AE166" i="1"/>
  <c r="BE166" i="1" s="1"/>
  <c r="AF166" i="1"/>
  <c r="BF166" i="1" s="1"/>
  <c r="AD168" i="1"/>
  <c r="BD168" i="1" s="1"/>
  <c r="AE168" i="1"/>
  <c r="BE168" i="1" s="1"/>
  <c r="AF168" i="1"/>
  <c r="BF168" i="1" s="1"/>
  <c r="AE154" i="1"/>
  <c r="BE154" i="1" s="1"/>
  <c r="AD154" i="1"/>
  <c r="BD154" i="1" s="1"/>
  <c r="AF154" i="1"/>
  <c r="BF154" i="1" s="1"/>
  <c r="AE158" i="1"/>
  <c r="BE158" i="1" s="1"/>
  <c r="AF158" i="1"/>
  <c r="BF158" i="1" s="1"/>
  <c r="AF152" i="1"/>
  <c r="BF152" i="1" s="1"/>
  <c r="AD161" i="1"/>
  <c r="BD161" i="1" s="1"/>
  <c r="AE161" i="1"/>
  <c r="BE161" i="1" s="1"/>
  <c r="AF161" i="1"/>
  <c r="BF161" i="1" s="1"/>
  <c r="AE152" i="1"/>
  <c r="BE152" i="1" s="1"/>
  <c r="AD163" i="1"/>
  <c r="BD163" i="1" s="1"/>
  <c r="AG152" i="1"/>
  <c r="BG152" i="1" s="1"/>
  <c r="AE163" i="1"/>
  <c r="BE163" i="1" s="1"/>
  <c r="AF163" i="1"/>
  <c r="BF163" i="1" s="1"/>
  <c r="AD167" i="1" l="1"/>
  <c r="BD167" i="1" s="1"/>
  <c r="AH160" i="1"/>
  <c r="BH160" i="1" s="1"/>
  <c r="AZ151" i="1"/>
  <c r="AH159" i="1"/>
  <c r="AL159" i="1" s="1"/>
  <c r="BI159" i="1" s="1"/>
  <c r="AW151" i="1"/>
  <c r="AH162" i="1"/>
  <c r="AL162" i="1" s="1"/>
  <c r="BI162" i="1" s="1"/>
  <c r="AH153" i="1"/>
  <c r="AL153" i="1" s="1"/>
  <c r="BI153" i="1" s="1"/>
  <c r="AH155" i="1"/>
  <c r="AL155" i="1" s="1"/>
  <c r="BI155" i="1" s="1"/>
  <c r="AH171" i="1"/>
  <c r="BH171" i="1" s="1"/>
  <c r="AG169" i="1"/>
  <c r="BG169" i="1" s="1"/>
  <c r="AF169" i="1"/>
  <c r="BF169" i="1" s="1"/>
  <c r="AD169" i="1"/>
  <c r="BD169" i="1" s="1"/>
  <c r="AH173" i="1"/>
  <c r="AL173" i="1" s="1"/>
  <c r="BI173" i="1" s="1"/>
  <c r="AG170" i="1"/>
  <c r="BG170" i="1" s="1"/>
  <c r="AF170" i="1"/>
  <c r="BF170" i="1" s="1"/>
  <c r="AE170" i="1"/>
  <c r="BE170" i="1" s="1"/>
  <c r="AG167" i="1"/>
  <c r="BG167" i="1" s="1"/>
  <c r="AE167" i="1"/>
  <c r="BE167" i="1" s="1"/>
  <c r="AH165" i="1"/>
  <c r="AL165" i="1" s="1"/>
  <c r="BI165" i="1" s="1"/>
  <c r="AH172" i="1"/>
  <c r="AL172" i="1" s="1"/>
  <c r="BI172" i="1" s="1"/>
  <c r="AU151" i="1"/>
  <c r="AL186" i="1"/>
  <c r="BI186" i="1" s="1"/>
  <c r="BH186" i="1"/>
  <c r="AL192" i="1"/>
  <c r="BI192" i="1" s="1"/>
  <c r="BH192" i="1"/>
  <c r="AL191" i="1"/>
  <c r="BI191" i="1" s="1"/>
  <c r="BH191" i="1"/>
  <c r="AT150" i="1"/>
  <c r="BO150" i="1" s="1"/>
  <c r="AL177" i="1"/>
  <c r="BI177" i="1" s="1"/>
  <c r="BH177" i="1"/>
  <c r="AL188" i="1"/>
  <c r="BI188" i="1" s="1"/>
  <c r="BH188" i="1"/>
  <c r="AX151" i="1"/>
  <c r="BQ151" i="1"/>
  <c r="AL176" i="1"/>
  <c r="BI176" i="1" s="1"/>
  <c r="BH176" i="1"/>
  <c r="AL174" i="1"/>
  <c r="BI174" i="1" s="1"/>
  <c r="BH174" i="1"/>
  <c r="AL182" i="1"/>
  <c r="BI182" i="1" s="1"/>
  <c r="BH182" i="1"/>
  <c r="AL180" i="1"/>
  <c r="BI180" i="1" s="1"/>
  <c r="BH180" i="1"/>
  <c r="AL184" i="1"/>
  <c r="BI184" i="1" s="1"/>
  <c r="BH184" i="1"/>
  <c r="AL157" i="1"/>
  <c r="BI157" i="1" s="1"/>
  <c r="BH157" i="1"/>
  <c r="AL187" i="1"/>
  <c r="BI187" i="1" s="1"/>
  <c r="BH187" i="1"/>
  <c r="AT148" i="1"/>
  <c r="BO148" i="1" s="1"/>
  <c r="AL190" i="1"/>
  <c r="BI190" i="1" s="1"/>
  <c r="BH190" i="1"/>
  <c r="BA151" i="1"/>
  <c r="BS151" i="1"/>
  <c r="AL175" i="1"/>
  <c r="BI175" i="1" s="1"/>
  <c r="BH175" i="1"/>
  <c r="AL156" i="1"/>
  <c r="BI156" i="1" s="1"/>
  <c r="BH156" i="1"/>
  <c r="AL193" i="1"/>
  <c r="BI193" i="1" s="1"/>
  <c r="BH193" i="1"/>
  <c r="AT149" i="1"/>
  <c r="BO149" i="1" s="1"/>
  <c r="BI149" i="1"/>
  <c r="AL194" i="1"/>
  <c r="BI194" i="1" s="1"/>
  <c r="BH194" i="1"/>
  <c r="AL179" i="1"/>
  <c r="BI179" i="1" s="1"/>
  <c r="BH179" i="1"/>
  <c r="AL189" i="1"/>
  <c r="BI189" i="1" s="1"/>
  <c r="BH189" i="1"/>
  <c r="AL178" i="1"/>
  <c r="BI178" i="1" s="1"/>
  <c r="BH178" i="1"/>
  <c r="AM150" i="1"/>
  <c r="AL185" i="1"/>
  <c r="BI185" i="1" s="1"/>
  <c r="BH185" i="1"/>
  <c r="AM148" i="1"/>
  <c r="AL181" i="1"/>
  <c r="BI181" i="1" s="1"/>
  <c r="BH181" i="1"/>
  <c r="AL183" i="1"/>
  <c r="BI183" i="1" s="1"/>
  <c r="BH183" i="1"/>
  <c r="AH164" i="1"/>
  <c r="AH166" i="1"/>
  <c r="AH168" i="1"/>
  <c r="AH154" i="1"/>
  <c r="AH158" i="1"/>
  <c r="AH152" i="1"/>
  <c r="AH163" i="1"/>
  <c r="AH161" i="1"/>
  <c r="BH173" i="1" l="1"/>
  <c r="AL160" i="1"/>
  <c r="BI160" i="1" s="1"/>
  <c r="BH162" i="1"/>
  <c r="AM184" i="1"/>
  <c r="AL171" i="1"/>
  <c r="BI171" i="1" s="1"/>
  <c r="BH159" i="1"/>
  <c r="AH169" i="1"/>
  <c r="BH169" i="1" s="1"/>
  <c r="AT184" i="1"/>
  <c r="BO184" i="1" s="1"/>
  <c r="BH155" i="1"/>
  <c r="AH170" i="1"/>
  <c r="BH170" i="1" s="1"/>
  <c r="BH153" i="1"/>
  <c r="AM186" i="1"/>
  <c r="AM183" i="1"/>
  <c r="AT190" i="1"/>
  <c r="BO190" i="1" s="1"/>
  <c r="AM190" i="1"/>
  <c r="BH165" i="1"/>
  <c r="BH172" i="1"/>
  <c r="AT193" i="1"/>
  <c r="BO193" i="1" s="1"/>
  <c r="AH167" i="1"/>
  <c r="AL167" i="1" s="1"/>
  <c r="BI167" i="1" s="1"/>
  <c r="AM153" i="1"/>
  <c r="AT183" i="1"/>
  <c r="BO183" i="1" s="1"/>
  <c r="AT153" i="1"/>
  <c r="BO153" i="1" s="1"/>
  <c r="AT162" i="1"/>
  <c r="BO162" i="1" s="1"/>
  <c r="AM162" i="1"/>
  <c r="AT178" i="1"/>
  <c r="BO178" i="1" s="1"/>
  <c r="AM178" i="1"/>
  <c r="AM193" i="1"/>
  <c r="AT165" i="1"/>
  <c r="BO165" i="1" s="1"/>
  <c r="AM165" i="1"/>
  <c r="AT188" i="1"/>
  <c r="BO188" i="1" s="1"/>
  <c r="AM172" i="1"/>
  <c r="AT175" i="1"/>
  <c r="BO175" i="1" s="1"/>
  <c r="AM175" i="1"/>
  <c r="AT194" i="1"/>
  <c r="BO194" i="1" s="1"/>
  <c r="AM194" i="1"/>
  <c r="AM192" i="1"/>
  <c r="AT192" i="1"/>
  <c r="BO192" i="1" s="1"/>
  <c r="AU150" i="1"/>
  <c r="AT156" i="1"/>
  <c r="BO156" i="1" s="1"/>
  <c r="AT176" i="1"/>
  <c r="BO176" i="1" s="1"/>
  <c r="AM176" i="1"/>
  <c r="AW150" i="1"/>
  <c r="AX150" i="1" s="1"/>
  <c r="AM156" i="1"/>
  <c r="AZ148" i="1"/>
  <c r="BA148" i="1" s="1"/>
  <c r="AT172" i="1"/>
  <c r="BO172" i="1" s="1"/>
  <c r="AT186" i="1"/>
  <c r="BO186" i="1" s="1"/>
  <c r="AT181" i="1"/>
  <c r="BO181" i="1" s="1"/>
  <c r="AL166" i="1"/>
  <c r="BI166" i="1" s="1"/>
  <c r="BH166" i="1"/>
  <c r="AT155" i="1"/>
  <c r="BO155" i="1" s="1"/>
  <c r="AT177" i="1"/>
  <c r="BO177" i="1" s="1"/>
  <c r="AT185" i="1"/>
  <c r="BO185" i="1" s="1"/>
  <c r="AM171" i="1"/>
  <c r="AL154" i="1"/>
  <c r="BI154" i="1" s="1"/>
  <c r="BH154" i="1"/>
  <c r="AL168" i="1"/>
  <c r="BI168" i="1" s="1"/>
  <c r="BH168" i="1"/>
  <c r="AT180" i="1"/>
  <c r="BO180" i="1" s="1"/>
  <c r="AM181" i="1"/>
  <c r="AT191" i="1"/>
  <c r="BO191" i="1" s="1"/>
  <c r="AM191" i="1"/>
  <c r="AT182" i="1"/>
  <c r="BO182" i="1" s="1"/>
  <c r="AM177" i="1"/>
  <c r="AU149" i="1"/>
  <c r="AT173" i="1"/>
  <c r="BO173" i="1" s="1"/>
  <c r="AT179" i="1"/>
  <c r="BO179" i="1" s="1"/>
  <c r="AT174" i="1"/>
  <c r="BO174" i="1" s="1"/>
  <c r="AL161" i="1"/>
  <c r="BI161" i="1" s="1"/>
  <c r="BH161" i="1"/>
  <c r="AW149" i="1"/>
  <c r="AM173" i="1"/>
  <c r="AM179" i="1"/>
  <c r="AM189" i="1"/>
  <c r="AM174" i="1"/>
  <c r="AL158" i="1"/>
  <c r="BI158" i="1" s="1"/>
  <c r="BH158" i="1"/>
  <c r="AW148" i="1"/>
  <c r="AU148" i="1"/>
  <c r="AM180" i="1"/>
  <c r="AL164" i="1"/>
  <c r="BI164" i="1" s="1"/>
  <c r="BH164" i="1"/>
  <c r="AM155" i="1"/>
  <c r="AM182" i="1"/>
  <c r="AM185" i="1"/>
  <c r="AT189" i="1"/>
  <c r="BO189" i="1" s="1"/>
  <c r="AL163" i="1"/>
  <c r="BI163" i="1" s="1"/>
  <c r="BH163" i="1"/>
  <c r="AZ149" i="1"/>
  <c r="AT157" i="1"/>
  <c r="BO157" i="1" s="1"/>
  <c r="AT159" i="1"/>
  <c r="BO159" i="1" s="1"/>
  <c r="AT187" i="1"/>
  <c r="BO187" i="1" s="1"/>
  <c r="AL152" i="1"/>
  <c r="BI152" i="1" s="1"/>
  <c r="BH152" i="1"/>
  <c r="AZ150" i="1"/>
  <c r="AM157" i="1"/>
  <c r="AM159" i="1"/>
  <c r="AM187" i="1"/>
  <c r="AM188" i="1"/>
  <c r="AM160" i="1" l="1"/>
  <c r="AT160" i="1"/>
  <c r="BO160" i="1" s="1"/>
  <c r="AZ184" i="1"/>
  <c r="AU190" i="1"/>
  <c r="AW184" i="1"/>
  <c r="BQ184" i="1" s="1"/>
  <c r="AU184" i="1"/>
  <c r="AT171" i="1"/>
  <c r="BO171" i="1" s="1"/>
  <c r="AZ183" i="1"/>
  <c r="AW183" i="1"/>
  <c r="AX183" i="1" s="1"/>
  <c r="AL169" i="1"/>
  <c r="BI169" i="1" s="1"/>
  <c r="AU153" i="1"/>
  <c r="AL170" i="1"/>
  <c r="BI170" i="1" s="1"/>
  <c r="AW190" i="1"/>
  <c r="AX190" i="1" s="1"/>
  <c r="AZ190" i="1"/>
  <c r="BA190" i="1" s="1"/>
  <c r="AU193" i="1"/>
  <c r="AZ193" i="1"/>
  <c r="BA193" i="1" s="1"/>
  <c r="AW193" i="1"/>
  <c r="AX193" i="1" s="1"/>
  <c r="AZ153" i="1"/>
  <c r="BA153" i="1" s="1"/>
  <c r="AW162" i="1"/>
  <c r="AX162" i="1" s="1"/>
  <c r="AZ162" i="1"/>
  <c r="BA162" i="1" s="1"/>
  <c r="BH167" i="1"/>
  <c r="AU162" i="1"/>
  <c r="AW153" i="1"/>
  <c r="AX153" i="1" s="1"/>
  <c r="AU183" i="1"/>
  <c r="AW182" i="1"/>
  <c r="AX182" i="1" s="1"/>
  <c r="AZ182" i="1"/>
  <c r="BA182" i="1" s="1"/>
  <c r="AW165" i="1"/>
  <c r="AX165" i="1" s="1"/>
  <c r="AU188" i="1"/>
  <c r="AZ165" i="1"/>
  <c r="BS165" i="1" s="1"/>
  <c r="AW178" i="1"/>
  <c r="AX178" i="1" s="1"/>
  <c r="AZ178" i="1"/>
  <c r="BA178" i="1" s="1"/>
  <c r="AU178" i="1"/>
  <c r="AU165" i="1"/>
  <c r="AZ188" i="1"/>
  <c r="BA188" i="1" s="1"/>
  <c r="AT163" i="1"/>
  <c r="BO163" i="1" s="1"/>
  <c r="AW188" i="1"/>
  <c r="AX188" i="1" s="1"/>
  <c r="AU192" i="1"/>
  <c r="AW181" i="1"/>
  <c r="AX181" i="1" s="1"/>
  <c r="AT166" i="1"/>
  <c r="BO166" i="1" s="1"/>
  <c r="AW180" i="1"/>
  <c r="BQ180" i="1" s="1"/>
  <c r="AU194" i="1"/>
  <c r="AZ186" i="1"/>
  <c r="BS186" i="1" s="1"/>
  <c r="AZ194" i="1"/>
  <c r="BA194" i="1" s="1"/>
  <c r="AW175" i="1"/>
  <c r="AX175" i="1" s="1"/>
  <c r="AW172" i="1"/>
  <c r="AX172" i="1" s="1"/>
  <c r="AU175" i="1"/>
  <c r="AW194" i="1"/>
  <c r="BQ194" i="1" s="1"/>
  <c r="AM163" i="1"/>
  <c r="AW189" i="1"/>
  <c r="AX189" i="1" s="1"/>
  <c r="AZ175" i="1"/>
  <c r="BA175" i="1" s="1"/>
  <c r="AU157" i="1"/>
  <c r="AU172" i="1"/>
  <c r="AZ172" i="1"/>
  <c r="BS172" i="1" s="1"/>
  <c r="AU173" i="1"/>
  <c r="AU189" i="1"/>
  <c r="AZ157" i="1"/>
  <c r="BA157" i="1" s="1"/>
  <c r="AU171" i="1"/>
  <c r="AZ192" i="1"/>
  <c r="BA192" i="1" s="1"/>
  <c r="AM166" i="1"/>
  <c r="AZ173" i="1"/>
  <c r="BA173" i="1" s="1"/>
  <c r="AT158" i="1"/>
  <c r="BO158" i="1" s="1"/>
  <c r="AU186" i="1"/>
  <c r="AW192" i="1"/>
  <c r="AX192" i="1" s="1"/>
  <c r="AW174" i="1"/>
  <c r="BQ174" i="1" s="1"/>
  <c r="AT167" i="1"/>
  <c r="BO167" i="1" s="1"/>
  <c r="AM158" i="1"/>
  <c r="AU179" i="1"/>
  <c r="AM154" i="1"/>
  <c r="AM167" i="1"/>
  <c r="AW186" i="1"/>
  <c r="BQ186" i="1" s="1"/>
  <c r="AU176" i="1"/>
  <c r="BQ150" i="1"/>
  <c r="AZ187" i="1"/>
  <c r="BA187" i="1" s="1"/>
  <c r="AW173" i="1"/>
  <c r="BQ173" i="1" s="1"/>
  <c r="AW179" i="1"/>
  <c r="AX179" i="1" s="1"/>
  <c r="AU191" i="1"/>
  <c r="AU156" i="1"/>
  <c r="AZ156" i="1"/>
  <c r="BS156" i="1" s="1"/>
  <c r="AW155" i="1"/>
  <c r="BQ155" i="1" s="1"/>
  <c r="BS148" i="1"/>
  <c r="AU187" i="1"/>
  <c r="AW156" i="1"/>
  <c r="AX156" i="1" s="1"/>
  <c r="AU185" i="1"/>
  <c r="AM161" i="1"/>
  <c r="AZ189" i="1"/>
  <c r="BA189" i="1" s="1"/>
  <c r="AU180" i="1"/>
  <c r="AU181" i="1"/>
  <c r="AZ179" i="1"/>
  <c r="BS179" i="1" s="1"/>
  <c r="AW187" i="1"/>
  <c r="BQ187" i="1" s="1"/>
  <c r="AT161" i="1"/>
  <c r="BO161" i="1" s="1"/>
  <c r="AW185" i="1"/>
  <c r="BQ185" i="1" s="1"/>
  <c r="AW176" i="1"/>
  <c r="BQ176" i="1" s="1"/>
  <c r="AZ180" i="1"/>
  <c r="BS180" i="1" s="1"/>
  <c r="AZ176" i="1"/>
  <c r="BS176" i="1" s="1"/>
  <c r="AU182" i="1"/>
  <c r="AZ181" i="1"/>
  <c r="BA181" i="1" s="1"/>
  <c r="BA150" i="1"/>
  <c r="BS150" i="1"/>
  <c r="BA184" i="1"/>
  <c r="BS184" i="1"/>
  <c r="AZ185" i="1"/>
  <c r="AW157" i="1"/>
  <c r="AM152" i="1"/>
  <c r="BA183" i="1"/>
  <c r="BS183" i="1"/>
  <c r="AW159" i="1"/>
  <c r="AU174" i="1"/>
  <c r="AW191" i="1"/>
  <c r="AX148" i="1"/>
  <c r="BQ148" i="1"/>
  <c r="AX149" i="1"/>
  <c r="BQ149" i="1"/>
  <c r="AX184" i="1"/>
  <c r="AM164" i="1"/>
  <c r="AM168" i="1"/>
  <c r="AZ191" i="1"/>
  <c r="AU159" i="1"/>
  <c r="AU177" i="1"/>
  <c r="AT152" i="1"/>
  <c r="BO152" i="1" s="1"/>
  <c r="AZ159" i="1"/>
  <c r="AW177" i="1"/>
  <c r="AT164" i="1"/>
  <c r="BO164" i="1" s="1"/>
  <c r="AT168" i="1"/>
  <c r="BO168" i="1" s="1"/>
  <c r="AZ174" i="1"/>
  <c r="BA149" i="1"/>
  <c r="BS149" i="1"/>
  <c r="AU155" i="1"/>
  <c r="AT154" i="1"/>
  <c r="BO154" i="1" s="1"/>
  <c r="AZ155" i="1"/>
  <c r="AZ177" i="1"/>
  <c r="BQ181" i="1" l="1"/>
  <c r="AM169" i="1"/>
  <c r="AZ171" i="1"/>
  <c r="AU160" i="1"/>
  <c r="AZ160" i="1"/>
  <c r="BA160" i="1" s="1"/>
  <c r="AW160" i="1"/>
  <c r="AX160" i="1" s="1"/>
  <c r="AW171" i="1"/>
  <c r="AX171" i="1" s="1"/>
  <c r="BS190" i="1"/>
  <c r="BQ183" i="1"/>
  <c r="AT169" i="1"/>
  <c r="BO169" i="1" s="1"/>
  <c r="AT170" i="1"/>
  <c r="BO170" i="1" s="1"/>
  <c r="BQ190" i="1"/>
  <c r="BQ162" i="1"/>
  <c r="BS153" i="1"/>
  <c r="BQ193" i="1"/>
  <c r="BS193" i="1"/>
  <c r="AM170" i="1"/>
  <c r="BS162" i="1"/>
  <c r="BQ182" i="1"/>
  <c r="BS182" i="1"/>
  <c r="BQ165" i="1"/>
  <c r="BQ160" i="1"/>
  <c r="BQ153" i="1"/>
  <c r="AX187" i="1"/>
  <c r="BA165" i="1"/>
  <c r="BS188" i="1"/>
  <c r="AU166" i="1"/>
  <c r="BS178" i="1"/>
  <c r="AZ163" i="1"/>
  <c r="BS163" i="1" s="1"/>
  <c r="BQ178" i="1"/>
  <c r="AW166" i="1"/>
  <c r="AX166" i="1" s="1"/>
  <c r="BQ188" i="1"/>
  <c r="AW163" i="1"/>
  <c r="AX163" i="1" s="1"/>
  <c r="AU163" i="1"/>
  <c r="AZ166" i="1"/>
  <c r="BA166" i="1" s="1"/>
  <c r="AX180" i="1"/>
  <c r="BA172" i="1"/>
  <c r="AX174" i="1"/>
  <c r="BQ192" i="1"/>
  <c r="BQ175" i="1"/>
  <c r="BQ172" i="1"/>
  <c r="BS194" i="1"/>
  <c r="AU167" i="1"/>
  <c r="AW167" i="1"/>
  <c r="BQ167" i="1" s="1"/>
  <c r="BA186" i="1"/>
  <c r="AU158" i="1"/>
  <c r="AW158" i="1"/>
  <c r="AX158" i="1" s="1"/>
  <c r="AW164" i="1"/>
  <c r="BQ164" i="1" s="1"/>
  <c r="BQ189" i="1"/>
  <c r="AZ158" i="1"/>
  <c r="BA158" i="1" s="1"/>
  <c r="AX194" i="1"/>
  <c r="BA156" i="1"/>
  <c r="BS175" i="1"/>
  <c r="BS173" i="1"/>
  <c r="BS157" i="1"/>
  <c r="AX186" i="1"/>
  <c r="BS192" i="1"/>
  <c r="BA179" i="1"/>
  <c r="AZ167" i="1"/>
  <c r="BA167" i="1" s="1"/>
  <c r="AU169" i="1"/>
  <c r="BQ179" i="1"/>
  <c r="BA176" i="1"/>
  <c r="BS181" i="1"/>
  <c r="BS189" i="1"/>
  <c r="AZ154" i="1"/>
  <c r="BA154" i="1" s="1"/>
  <c r="AX173" i="1"/>
  <c r="BS187" i="1"/>
  <c r="BA180" i="1"/>
  <c r="AZ164" i="1"/>
  <c r="BA164" i="1" s="1"/>
  <c r="AX176" i="1"/>
  <c r="AU161" i="1"/>
  <c r="AX155" i="1"/>
  <c r="BQ156" i="1"/>
  <c r="AW161" i="1"/>
  <c r="AX161" i="1" s="1"/>
  <c r="AZ152" i="1"/>
  <c r="BS152" i="1" s="1"/>
  <c r="AX185" i="1"/>
  <c r="AZ161" i="1"/>
  <c r="BS161" i="1" s="1"/>
  <c r="AW152" i="1"/>
  <c r="AX152" i="1" s="1"/>
  <c r="AU152" i="1"/>
  <c r="AU154" i="1"/>
  <c r="AX177" i="1"/>
  <c r="BQ177" i="1"/>
  <c r="BA174" i="1"/>
  <c r="BS174" i="1"/>
  <c r="BA191" i="1"/>
  <c r="BS191" i="1"/>
  <c r="BA171" i="1"/>
  <c r="BS171" i="1"/>
  <c r="AU168" i="1"/>
  <c r="AX191" i="1"/>
  <c r="BQ191" i="1"/>
  <c r="AZ168" i="1"/>
  <c r="BA159" i="1"/>
  <c r="BS159" i="1"/>
  <c r="AW168" i="1"/>
  <c r="BA185" i="1"/>
  <c r="BS185" i="1"/>
  <c r="BA155" i="1"/>
  <c r="BS155" i="1"/>
  <c r="AX157" i="1"/>
  <c r="BQ157" i="1"/>
  <c r="AX159" i="1"/>
  <c r="BQ159" i="1"/>
  <c r="BA177" i="1"/>
  <c r="BS177" i="1"/>
  <c r="AU164" i="1"/>
  <c r="AW154" i="1"/>
  <c r="BQ171" i="1" l="1"/>
  <c r="BS160" i="1"/>
  <c r="AW169" i="1"/>
  <c r="AX169" i="1" s="1"/>
  <c r="AZ169" i="1"/>
  <c r="BA169" i="1" s="1"/>
  <c r="AU170" i="1"/>
  <c r="AZ170" i="1"/>
  <c r="BA170" i="1" s="1"/>
  <c r="AW170" i="1"/>
  <c r="AX170" i="1" s="1"/>
  <c r="BA163" i="1"/>
  <c r="BQ163" i="1"/>
  <c r="BQ166" i="1"/>
  <c r="BS166" i="1"/>
  <c r="AX167" i="1"/>
  <c r="AX164" i="1"/>
  <c r="BQ158" i="1"/>
  <c r="BS158" i="1"/>
  <c r="BS164" i="1"/>
  <c r="BS154" i="1"/>
  <c r="BS167" i="1"/>
  <c r="BA152" i="1"/>
  <c r="BA161" i="1"/>
  <c r="BS170" i="1"/>
  <c r="BQ161" i="1"/>
  <c r="BQ152" i="1"/>
  <c r="AX154" i="1"/>
  <c r="BQ154" i="1"/>
  <c r="AX168" i="1"/>
  <c r="BQ168" i="1"/>
  <c r="BA168" i="1"/>
  <c r="BS168" i="1"/>
  <c r="BQ169" i="1" l="1"/>
  <c r="BS169" i="1"/>
  <c r="BQ170" i="1"/>
  <c r="AD200" i="1" l="1"/>
  <c r="AH199" i="1"/>
  <c r="AD18" i="3"/>
  <c r="AD17" i="3"/>
  <c r="AD16" i="3"/>
  <c r="AD15" i="3"/>
  <c r="AD14" i="3"/>
  <c r="AD13" i="3"/>
  <c r="AD12" i="3"/>
  <c r="AD11" i="3"/>
  <c r="AD10" i="3"/>
  <c r="AD9" i="3"/>
  <c r="AD8" i="3"/>
  <c r="AC201" i="1"/>
  <c r="AG200" i="1"/>
  <c r="AC127" i="1" l="1"/>
  <c r="AE127" i="1" s="1"/>
  <c r="BE127" i="1" s="1"/>
  <c r="AC126" i="1"/>
  <c r="AE126" i="1" s="1"/>
  <c r="BE126" i="1" s="1"/>
  <c r="AG111" i="1"/>
  <c r="BG111" i="1" s="1"/>
  <c r="AD112" i="1"/>
  <c r="BD112" i="1" s="1"/>
  <c r="AD113" i="1"/>
  <c r="BD113" i="1" s="1"/>
  <c r="AE114" i="1"/>
  <c r="BE114" i="1" s="1"/>
  <c r="AE115" i="1"/>
  <c r="BE115" i="1" s="1"/>
  <c r="AF116" i="1"/>
  <c r="BF116" i="1" s="1"/>
  <c r="AF117" i="1"/>
  <c r="BF117" i="1" s="1"/>
  <c r="AG118" i="1"/>
  <c r="BG118" i="1" s="1"/>
  <c r="AG119" i="1"/>
  <c r="BG119" i="1" s="1"/>
  <c r="AE120" i="1"/>
  <c r="BE120" i="1" s="1"/>
  <c r="AE121" i="1"/>
  <c r="BE121" i="1" s="1"/>
  <c r="AG122" i="1"/>
  <c r="BG122" i="1" s="1"/>
  <c r="AG123" i="1"/>
  <c r="BG123" i="1" s="1"/>
  <c r="AD124" i="1"/>
  <c r="BD124" i="1" s="1"/>
  <c r="AD125" i="1"/>
  <c r="BD125" i="1" s="1"/>
  <c r="AF128" i="1"/>
  <c r="BF128" i="1" s="1"/>
  <c r="AF129" i="1"/>
  <c r="BF129" i="1" s="1"/>
  <c r="AG130" i="1"/>
  <c r="BG130" i="1" s="1"/>
  <c r="AC131" i="1"/>
  <c r="AF131" i="1" s="1"/>
  <c r="BF131" i="1" s="1"/>
  <c r="AD132" i="1"/>
  <c r="BD132" i="1" s="1"/>
  <c r="AG133" i="1"/>
  <c r="BG133" i="1" s="1"/>
  <c r="AF134" i="1"/>
  <c r="BF134" i="1" s="1"/>
  <c r="AG135" i="1"/>
  <c r="BG135" i="1" s="1"/>
  <c r="AD136" i="1"/>
  <c r="BD136" i="1" s="1"/>
  <c r="AC137" i="1"/>
  <c r="AD137" i="1" s="1"/>
  <c r="BD137" i="1" s="1"/>
  <c r="AE138" i="1"/>
  <c r="BE138" i="1" s="1"/>
  <c r="AD139" i="1"/>
  <c r="BD139" i="1" s="1"/>
  <c r="AF140" i="1"/>
  <c r="BF140" i="1" s="1"/>
  <c r="AE141" i="1"/>
  <c r="BE141" i="1" s="1"/>
  <c r="AG142" i="1"/>
  <c r="BG142" i="1" s="1"/>
  <c r="AG143" i="1"/>
  <c r="BG143" i="1" s="1"/>
  <c r="AF144" i="1"/>
  <c r="BF144" i="1" s="1"/>
  <c r="AD145" i="1"/>
  <c r="BD145" i="1" s="1"/>
  <c r="AG146" i="1"/>
  <c r="BG146" i="1" s="1"/>
  <c r="AG147" i="1"/>
  <c r="BG147" i="1" s="1"/>
  <c r="AG110" i="1"/>
  <c r="BG110" i="1" s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147" i="1"/>
  <c r="BR111" i="1"/>
  <c r="AS110" i="1"/>
  <c r="BN110" i="1" s="1"/>
  <c r="AS111" i="1"/>
  <c r="BN111" i="1" s="1"/>
  <c r="AS112" i="1"/>
  <c r="BN112" i="1" s="1"/>
  <c r="AS113" i="1"/>
  <c r="BN113" i="1" s="1"/>
  <c r="AS114" i="1"/>
  <c r="BN114" i="1" s="1"/>
  <c r="AS115" i="1"/>
  <c r="BN115" i="1" s="1"/>
  <c r="AS116" i="1"/>
  <c r="BN116" i="1" s="1"/>
  <c r="AS117" i="1"/>
  <c r="BN117" i="1" s="1"/>
  <c r="AS118" i="1"/>
  <c r="BN118" i="1" s="1"/>
  <c r="AS119" i="1"/>
  <c r="BN119" i="1" s="1"/>
  <c r="AS120" i="1"/>
  <c r="BN120" i="1" s="1"/>
  <c r="AS121" i="1"/>
  <c r="BN121" i="1" s="1"/>
  <c r="AS122" i="1"/>
  <c r="BN122" i="1" s="1"/>
  <c r="AS123" i="1"/>
  <c r="BN123" i="1" s="1"/>
  <c r="AS124" i="1"/>
  <c r="BN124" i="1" s="1"/>
  <c r="AS125" i="1"/>
  <c r="BN125" i="1" s="1"/>
  <c r="AS126" i="1"/>
  <c r="BN126" i="1" s="1"/>
  <c r="AS127" i="1"/>
  <c r="BN127" i="1" s="1"/>
  <c r="AS128" i="1"/>
  <c r="BN128" i="1" s="1"/>
  <c r="AS129" i="1"/>
  <c r="BN129" i="1" s="1"/>
  <c r="AS130" i="1"/>
  <c r="BN130" i="1" s="1"/>
  <c r="AS131" i="1"/>
  <c r="BN131" i="1" s="1"/>
  <c r="AS132" i="1"/>
  <c r="BN132" i="1" s="1"/>
  <c r="AS133" i="1"/>
  <c r="BN133" i="1" s="1"/>
  <c r="AS134" i="1"/>
  <c r="BN134" i="1" s="1"/>
  <c r="AS135" i="1"/>
  <c r="BN135" i="1" s="1"/>
  <c r="AS136" i="1"/>
  <c r="BN136" i="1" s="1"/>
  <c r="AS137" i="1"/>
  <c r="BN137" i="1" s="1"/>
  <c r="AS138" i="1"/>
  <c r="BN138" i="1" s="1"/>
  <c r="AS139" i="1"/>
  <c r="BN139" i="1" s="1"/>
  <c r="AS140" i="1"/>
  <c r="BN140" i="1" s="1"/>
  <c r="AS141" i="1"/>
  <c r="BN141" i="1" s="1"/>
  <c r="AS142" i="1"/>
  <c r="BN142" i="1" s="1"/>
  <c r="AS143" i="1"/>
  <c r="BN143" i="1" s="1"/>
  <c r="AS144" i="1"/>
  <c r="BN144" i="1" s="1"/>
  <c r="AS145" i="1"/>
  <c r="BN145" i="1" s="1"/>
  <c r="AS146" i="1"/>
  <c r="BN146" i="1" s="1"/>
  <c r="AS147" i="1"/>
  <c r="BN147" i="1" s="1"/>
  <c r="AN110" i="1"/>
  <c r="BJ110" i="1" s="1"/>
  <c r="AN111" i="1"/>
  <c r="BJ111" i="1" s="1"/>
  <c r="AN112" i="1"/>
  <c r="BJ112" i="1" s="1"/>
  <c r="AN113" i="1"/>
  <c r="BJ113" i="1" s="1"/>
  <c r="AN114" i="1"/>
  <c r="BJ114" i="1" s="1"/>
  <c r="AN115" i="1"/>
  <c r="BJ115" i="1" s="1"/>
  <c r="AN116" i="1"/>
  <c r="BJ116" i="1" s="1"/>
  <c r="AN117" i="1"/>
  <c r="BJ117" i="1" s="1"/>
  <c r="AN118" i="1"/>
  <c r="BJ118" i="1" s="1"/>
  <c r="AN119" i="1"/>
  <c r="BJ119" i="1" s="1"/>
  <c r="AN120" i="1"/>
  <c r="BJ120" i="1" s="1"/>
  <c r="AN121" i="1"/>
  <c r="BJ121" i="1" s="1"/>
  <c r="AN122" i="1"/>
  <c r="BJ122" i="1" s="1"/>
  <c r="AN123" i="1"/>
  <c r="BJ123" i="1" s="1"/>
  <c r="AN124" i="1"/>
  <c r="BJ124" i="1" s="1"/>
  <c r="AN125" i="1"/>
  <c r="BJ125" i="1" s="1"/>
  <c r="AN126" i="1"/>
  <c r="BJ126" i="1" s="1"/>
  <c r="AN127" i="1"/>
  <c r="BJ127" i="1" s="1"/>
  <c r="AN128" i="1"/>
  <c r="BJ128" i="1" s="1"/>
  <c r="AN129" i="1"/>
  <c r="BJ129" i="1" s="1"/>
  <c r="AN130" i="1"/>
  <c r="BJ130" i="1" s="1"/>
  <c r="AN131" i="1"/>
  <c r="BJ131" i="1" s="1"/>
  <c r="AN132" i="1"/>
  <c r="BJ132" i="1" s="1"/>
  <c r="AN133" i="1"/>
  <c r="BJ133" i="1" s="1"/>
  <c r="AN134" i="1"/>
  <c r="BJ134" i="1" s="1"/>
  <c r="AN135" i="1"/>
  <c r="BJ135" i="1" s="1"/>
  <c r="AN136" i="1"/>
  <c r="BJ136" i="1" s="1"/>
  <c r="AN137" i="1"/>
  <c r="BJ137" i="1" s="1"/>
  <c r="AN138" i="1"/>
  <c r="BJ138" i="1" s="1"/>
  <c r="AN139" i="1"/>
  <c r="BJ139" i="1" s="1"/>
  <c r="AN140" i="1"/>
  <c r="BJ140" i="1" s="1"/>
  <c r="AN141" i="1"/>
  <c r="BJ141" i="1" s="1"/>
  <c r="AN142" i="1"/>
  <c r="BJ142" i="1" s="1"/>
  <c r="AN143" i="1"/>
  <c r="BJ143" i="1" s="1"/>
  <c r="AN144" i="1"/>
  <c r="BJ144" i="1" s="1"/>
  <c r="AN145" i="1"/>
  <c r="BJ145" i="1" s="1"/>
  <c r="AN146" i="1"/>
  <c r="BJ146" i="1" s="1"/>
  <c r="AN147" i="1"/>
  <c r="BJ147" i="1" s="1"/>
  <c r="AQ140" i="1" l="1"/>
  <c r="BL140" i="1" s="1"/>
  <c r="AQ128" i="1"/>
  <c r="BL128" i="1" s="1"/>
  <c r="AQ116" i="1"/>
  <c r="BL116" i="1" s="1"/>
  <c r="AQ146" i="1"/>
  <c r="BL146" i="1" s="1"/>
  <c r="AQ134" i="1"/>
  <c r="BL134" i="1" s="1"/>
  <c r="AQ122" i="1"/>
  <c r="BL122" i="1" s="1"/>
  <c r="AQ145" i="1"/>
  <c r="BL145" i="1" s="1"/>
  <c r="AQ133" i="1"/>
  <c r="BL133" i="1" s="1"/>
  <c r="AQ121" i="1"/>
  <c r="BL121" i="1" s="1"/>
  <c r="AQ132" i="1"/>
  <c r="BL132" i="1" s="1"/>
  <c r="AQ120" i="1"/>
  <c r="BL120" i="1" s="1"/>
  <c r="AD140" i="1"/>
  <c r="BD140" i="1" s="1"/>
  <c r="AD128" i="1"/>
  <c r="BD128" i="1" s="1"/>
  <c r="AF112" i="1"/>
  <c r="BF112" i="1" s="1"/>
  <c r="AD110" i="1"/>
  <c r="BD110" i="1" s="1"/>
  <c r="AE147" i="1"/>
  <c r="BE147" i="1" s="1"/>
  <c r="AF147" i="1"/>
  <c r="BF147" i="1" s="1"/>
  <c r="AF111" i="1"/>
  <c r="BF111" i="1" s="1"/>
  <c r="AF114" i="1"/>
  <c r="BF114" i="1" s="1"/>
  <c r="AF113" i="1"/>
  <c r="BF113" i="1" s="1"/>
  <c r="AQ139" i="1"/>
  <c r="BL139" i="1" s="1"/>
  <c r="AQ127" i="1"/>
  <c r="BL127" i="1" s="1"/>
  <c r="AQ115" i="1"/>
  <c r="BL115" i="1" s="1"/>
  <c r="AG141" i="1"/>
  <c r="BG141" i="1" s="1"/>
  <c r="AG140" i="1"/>
  <c r="BG140" i="1" s="1"/>
  <c r="AG128" i="1"/>
  <c r="BG128" i="1" s="1"/>
  <c r="AG117" i="1"/>
  <c r="BG117" i="1" s="1"/>
  <c r="AG116" i="1"/>
  <c r="BG116" i="1" s="1"/>
  <c r="AG125" i="1"/>
  <c r="BG125" i="1" s="1"/>
  <c r="AF110" i="1"/>
  <c r="BF110" i="1" s="1"/>
  <c r="AD147" i="1"/>
  <c r="BD147" i="1" s="1"/>
  <c r="AF135" i="1"/>
  <c r="BF135" i="1" s="1"/>
  <c r="AF127" i="1"/>
  <c r="BF127" i="1" s="1"/>
  <c r="AF126" i="1"/>
  <c r="BF126" i="1" s="1"/>
  <c r="AG114" i="1"/>
  <c r="BG114" i="1" s="1"/>
  <c r="AD123" i="1"/>
  <c r="BD123" i="1" s="1"/>
  <c r="AE112" i="1"/>
  <c r="BE112" i="1" s="1"/>
  <c r="AF124" i="1"/>
  <c r="BF124" i="1" s="1"/>
  <c r="AG137" i="1"/>
  <c r="BG137" i="1" s="1"/>
  <c r="AG113" i="1"/>
  <c r="BG113" i="1" s="1"/>
  <c r="AF139" i="1"/>
  <c r="BF139" i="1" s="1"/>
  <c r="AE137" i="1"/>
  <c r="BE137" i="1" s="1"/>
  <c r="AF138" i="1"/>
  <c r="BF138" i="1" s="1"/>
  <c r="AF136" i="1"/>
  <c r="BF136" i="1" s="1"/>
  <c r="AE125" i="1"/>
  <c r="BE125" i="1" s="1"/>
  <c r="AD135" i="1"/>
  <c r="BD135" i="1" s="1"/>
  <c r="AG115" i="1"/>
  <c r="BG115" i="1" s="1"/>
  <c r="AF125" i="1"/>
  <c r="BF125" i="1" s="1"/>
  <c r="AQ131" i="1"/>
  <c r="BL131" i="1" s="1"/>
  <c r="AQ119" i="1"/>
  <c r="BL119" i="1" s="1"/>
  <c r="AD116" i="1"/>
  <c r="BD116" i="1" s="1"/>
  <c r="AE111" i="1"/>
  <c r="BE111" i="1" s="1"/>
  <c r="AF123" i="1"/>
  <c r="BF123" i="1" s="1"/>
  <c r="AG136" i="1"/>
  <c r="BG136" i="1" s="1"/>
  <c r="AG112" i="1"/>
  <c r="BG112" i="1" s="1"/>
  <c r="AG127" i="1"/>
  <c r="BG127" i="1" s="1"/>
  <c r="AG126" i="1"/>
  <c r="BG126" i="1" s="1"/>
  <c r="AE136" i="1"/>
  <c r="BE136" i="1" s="1"/>
  <c r="AF137" i="1"/>
  <c r="BF137" i="1" s="1"/>
  <c r="AE135" i="1"/>
  <c r="BE135" i="1" s="1"/>
  <c r="AG124" i="1"/>
  <c r="BG124" i="1" s="1"/>
  <c r="AE124" i="1"/>
  <c r="BE124" i="1" s="1"/>
  <c r="AE123" i="1"/>
  <c r="BE123" i="1" s="1"/>
  <c r="AG139" i="1"/>
  <c r="BG139" i="1" s="1"/>
  <c r="AE113" i="1"/>
  <c r="BE113" i="1" s="1"/>
  <c r="AG138" i="1"/>
  <c r="BG138" i="1" s="1"/>
  <c r="AQ142" i="1"/>
  <c r="BL142" i="1" s="1"/>
  <c r="AQ130" i="1"/>
  <c r="BL130" i="1" s="1"/>
  <c r="AQ118" i="1"/>
  <c r="BL118" i="1" s="1"/>
  <c r="AD111" i="1"/>
  <c r="BD111" i="1" s="1"/>
  <c r="AE110" i="1"/>
  <c r="BE110" i="1" s="1"/>
  <c r="AF115" i="1"/>
  <c r="BF115" i="1" s="1"/>
  <c r="AG129" i="1"/>
  <c r="BG129" i="1" s="1"/>
  <c r="AD141" i="1"/>
  <c r="BD141" i="1" s="1"/>
  <c r="AD129" i="1"/>
  <c r="BD129" i="1" s="1"/>
  <c r="AD117" i="1"/>
  <c r="BD117" i="1" s="1"/>
  <c r="AE143" i="1"/>
  <c r="BE143" i="1" s="1"/>
  <c r="AE131" i="1"/>
  <c r="BE131" i="1" s="1"/>
  <c r="AE119" i="1"/>
  <c r="BE119" i="1" s="1"/>
  <c r="AF145" i="1"/>
  <c r="BF145" i="1" s="1"/>
  <c r="AF133" i="1"/>
  <c r="BF133" i="1" s="1"/>
  <c r="AF121" i="1"/>
  <c r="BF121" i="1" s="1"/>
  <c r="AD122" i="1"/>
  <c r="BD122" i="1" s="1"/>
  <c r="AD121" i="1"/>
  <c r="BD121" i="1" s="1"/>
  <c r="AD120" i="1"/>
  <c r="BD120" i="1" s="1"/>
  <c r="AE134" i="1"/>
  <c r="BE134" i="1" s="1"/>
  <c r="AD143" i="1"/>
  <c r="BD143" i="1" s="1"/>
  <c r="AD119" i="1"/>
  <c r="BD119" i="1" s="1"/>
  <c r="AE133" i="1"/>
  <c r="BE133" i="1" s="1"/>
  <c r="AD142" i="1"/>
  <c r="BD142" i="1" s="1"/>
  <c r="AE132" i="1"/>
  <c r="BE132" i="1" s="1"/>
  <c r="AF146" i="1"/>
  <c r="BF146" i="1" s="1"/>
  <c r="AE118" i="1"/>
  <c r="BE118" i="1" s="1"/>
  <c r="AF120" i="1"/>
  <c r="BF120" i="1" s="1"/>
  <c r="AG134" i="1"/>
  <c r="BG134" i="1" s="1"/>
  <c r="AD127" i="1"/>
  <c r="BD127" i="1" s="1"/>
  <c r="AE129" i="1"/>
  <c r="BE129" i="1" s="1"/>
  <c r="AF143" i="1"/>
  <c r="BF143" i="1" s="1"/>
  <c r="AG145" i="1"/>
  <c r="BG145" i="1" s="1"/>
  <c r="AD138" i="1"/>
  <c r="BD138" i="1" s="1"/>
  <c r="AD126" i="1"/>
  <c r="BD126" i="1" s="1"/>
  <c r="AD114" i="1"/>
  <c r="BD114" i="1" s="1"/>
  <c r="AE140" i="1"/>
  <c r="BE140" i="1" s="1"/>
  <c r="AE128" i="1"/>
  <c r="BE128" i="1" s="1"/>
  <c r="AE116" i="1"/>
  <c r="BE116" i="1" s="1"/>
  <c r="AF142" i="1"/>
  <c r="BF142" i="1" s="1"/>
  <c r="AF130" i="1"/>
  <c r="BF130" i="1" s="1"/>
  <c r="AF118" i="1"/>
  <c r="BF118" i="1" s="1"/>
  <c r="AG144" i="1"/>
  <c r="BG144" i="1" s="1"/>
  <c r="AG132" i="1"/>
  <c r="BG132" i="1" s="1"/>
  <c r="AG120" i="1"/>
  <c r="BG120" i="1" s="1"/>
  <c r="AD146" i="1"/>
  <c r="BD146" i="1" s="1"/>
  <c r="AD133" i="1"/>
  <c r="BD133" i="1" s="1"/>
  <c r="AD144" i="1"/>
  <c r="BD144" i="1" s="1"/>
  <c r="AE146" i="1"/>
  <c r="BE146" i="1" s="1"/>
  <c r="AE145" i="1"/>
  <c r="BE145" i="1" s="1"/>
  <c r="AD118" i="1"/>
  <c r="BD118" i="1" s="1"/>
  <c r="AF122" i="1"/>
  <c r="BF122" i="1" s="1"/>
  <c r="AE130" i="1"/>
  <c r="BE130" i="1" s="1"/>
  <c r="AF132" i="1"/>
  <c r="BF132" i="1" s="1"/>
  <c r="AD115" i="1"/>
  <c r="BD115" i="1" s="1"/>
  <c r="AE117" i="1"/>
  <c r="BE117" i="1" s="1"/>
  <c r="AF119" i="1"/>
  <c r="BF119" i="1" s="1"/>
  <c r="AG121" i="1"/>
  <c r="BG121" i="1" s="1"/>
  <c r="AE139" i="1"/>
  <c r="BE139" i="1" s="1"/>
  <c r="AF141" i="1"/>
  <c r="BF141" i="1" s="1"/>
  <c r="AG131" i="1"/>
  <c r="BG131" i="1" s="1"/>
  <c r="AD134" i="1"/>
  <c r="BD134" i="1" s="1"/>
  <c r="AE122" i="1"/>
  <c r="BE122" i="1" s="1"/>
  <c r="AD131" i="1"/>
  <c r="BD131" i="1" s="1"/>
  <c r="AD130" i="1"/>
  <c r="BD130" i="1" s="1"/>
  <c r="AE144" i="1"/>
  <c r="BE144" i="1" s="1"/>
  <c r="AE142" i="1"/>
  <c r="BE142" i="1" s="1"/>
  <c r="AQ136" i="1"/>
  <c r="BL136" i="1" s="1"/>
  <c r="AQ124" i="1"/>
  <c r="BL124" i="1" s="1"/>
  <c r="AQ112" i="1"/>
  <c r="BL112" i="1" s="1"/>
  <c r="AQ147" i="1"/>
  <c r="BL147" i="1" s="1"/>
  <c r="AQ135" i="1"/>
  <c r="BL135" i="1" s="1"/>
  <c r="AQ123" i="1"/>
  <c r="BL123" i="1" s="1"/>
  <c r="AQ111" i="1"/>
  <c r="BL111" i="1" s="1"/>
  <c r="AQ144" i="1"/>
  <c r="BL144" i="1" s="1"/>
  <c r="AQ138" i="1"/>
  <c r="BL138" i="1" s="1"/>
  <c r="AQ126" i="1"/>
  <c r="BL126" i="1" s="1"/>
  <c r="AQ114" i="1"/>
  <c r="BL114" i="1" s="1"/>
  <c r="AQ143" i="1"/>
  <c r="BL143" i="1" s="1"/>
  <c r="AQ137" i="1"/>
  <c r="BL137" i="1" s="1"/>
  <c r="AQ125" i="1"/>
  <c r="BL125" i="1" s="1"/>
  <c r="AQ113" i="1"/>
  <c r="BL113" i="1" s="1"/>
  <c r="AQ141" i="1"/>
  <c r="BL141" i="1" s="1"/>
  <c r="AQ129" i="1"/>
  <c r="BL129" i="1" s="1"/>
  <c r="AQ117" i="1"/>
  <c r="BL117" i="1" s="1"/>
  <c r="AH147" i="1" l="1"/>
  <c r="BH147" i="1" s="1"/>
  <c r="AH139" i="1"/>
  <c r="BH139" i="1" s="1"/>
  <c r="AH117" i="1"/>
  <c r="BH117" i="1" s="1"/>
  <c r="AH110" i="1"/>
  <c r="BH110" i="1" s="1"/>
  <c r="AH111" i="1"/>
  <c r="BH111" i="1" s="1"/>
  <c r="AH122" i="1"/>
  <c r="BH122" i="1" s="1"/>
  <c r="AH136" i="1"/>
  <c r="BH136" i="1" s="1"/>
  <c r="AH129" i="1"/>
  <c r="BH129" i="1" s="1"/>
  <c r="AH124" i="1"/>
  <c r="BH124" i="1" s="1"/>
  <c r="AH135" i="1"/>
  <c r="BH135" i="1" s="1"/>
  <c r="AH140" i="1"/>
  <c r="BH140" i="1" s="1"/>
  <c r="AH125" i="1"/>
  <c r="BH125" i="1" s="1"/>
  <c r="AH133" i="1"/>
  <c r="BH133" i="1" s="1"/>
  <c r="AH137" i="1"/>
  <c r="BH137" i="1" s="1"/>
  <c r="AH113" i="1"/>
  <c r="BH113" i="1" s="1"/>
  <c r="AH126" i="1"/>
  <c r="BH126" i="1" s="1"/>
  <c r="AH138" i="1"/>
  <c r="BH138" i="1" s="1"/>
  <c r="AH112" i="1"/>
  <c r="BH112" i="1" s="1"/>
  <c r="AH116" i="1"/>
  <c r="BH116" i="1" s="1"/>
  <c r="AH123" i="1"/>
  <c r="BH123" i="1" s="1"/>
  <c r="AH128" i="1"/>
  <c r="BH128" i="1" s="1"/>
  <c r="AH127" i="1"/>
  <c r="BH127" i="1" s="1"/>
  <c r="AH134" i="1"/>
  <c r="BH134" i="1" s="1"/>
  <c r="AH145" i="1"/>
  <c r="BH145" i="1" s="1"/>
  <c r="AH132" i="1"/>
  <c r="BH132" i="1" s="1"/>
  <c r="AH115" i="1"/>
  <c r="BH115" i="1" s="1"/>
  <c r="AH121" i="1"/>
  <c r="BH121" i="1" s="1"/>
  <c r="AH118" i="1"/>
  <c r="BH118" i="1" s="1"/>
  <c r="AH144" i="1"/>
  <c r="BH144" i="1" s="1"/>
  <c r="AH114" i="1"/>
  <c r="BH114" i="1" s="1"/>
  <c r="AH120" i="1"/>
  <c r="BH120" i="1" s="1"/>
  <c r="AH141" i="1"/>
  <c r="BH141" i="1" s="1"/>
  <c r="AH146" i="1"/>
  <c r="BH146" i="1" s="1"/>
  <c r="AH143" i="1"/>
  <c r="BH143" i="1" s="1"/>
  <c r="AH142" i="1"/>
  <c r="BH142" i="1" s="1"/>
  <c r="AH130" i="1"/>
  <c r="BH130" i="1" s="1"/>
  <c r="AH131" i="1"/>
  <c r="BH131" i="1" s="1"/>
  <c r="AH119" i="1"/>
  <c r="BH119" i="1" s="1"/>
  <c r="AL131" i="1" l="1"/>
  <c r="BI131" i="1" s="1"/>
  <c r="AL144" i="1"/>
  <c r="AL134" i="1"/>
  <c r="AL140" i="1"/>
  <c r="AL130" i="1"/>
  <c r="BI130" i="1" s="1"/>
  <c r="AL127" i="1"/>
  <c r="BI127" i="1" s="1"/>
  <c r="AL118" i="1"/>
  <c r="AL124" i="1"/>
  <c r="AL123" i="1"/>
  <c r="BI123" i="1" s="1"/>
  <c r="AL143" i="1"/>
  <c r="AL115" i="1"/>
  <c r="AL122" i="1"/>
  <c r="BI122" i="1" s="1"/>
  <c r="AL137" i="1"/>
  <c r="BI137" i="1" s="1"/>
  <c r="AL135" i="1"/>
  <c r="BI135" i="1" s="1"/>
  <c r="AL142" i="1"/>
  <c r="BI142" i="1" s="1"/>
  <c r="AL128" i="1"/>
  <c r="BI128" i="1" s="1"/>
  <c r="AL129" i="1"/>
  <c r="BI129" i="1" s="1"/>
  <c r="AL121" i="1"/>
  <c r="AL136" i="1"/>
  <c r="BI136" i="1" s="1"/>
  <c r="AL146" i="1"/>
  <c r="BI146" i="1" s="1"/>
  <c r="AL112" i="1"/>
  <c r="AL117" i="1"/>
  <c r="BI117" i="1" s="1"/>
  <c r="AL138" i="1"/>
  <c r="BI138" i="1" s="1"/>
  <c r="AL141" i="1"/>
  <c r="BI141" i="1" s="1"/>
  <c r="AL126" i="1"/>
  <c r="AL139" i="1"/>
  <c r="BI139" i="1" s="1"/>
  <c r="AL113" i="1"/>
  <c r="AL111" i="1"/>
  <c r="BI111" i="1" s="1"/>
  <c r="AL132" i="1"/>
  <c r="BI132" i="1" s="1"/>
  <c r="AL116" i="1"/>
  <c r="AL120" i="1"/>
  <c r="BI120" i="1" s="1"/>
  <c r="AL147" i="1"/>
  <c r="BI147" i="1" s="1"/>
  <c r="AL133" i="1"/>
  <c r="AL119" i="1"/>
  <c r="BI119" i="1" s="1"/>
  <c r="AL114" i="1"/>
  <c r="AL145" i="1"/>
  <c r="AL125" i="1"/>
  <c r="BI125" i="1" s="1"/>
  <c r="AT145" i="1" l="1"/>
  <c r="BO145" i="1" s="1"/>
  <c r="BI145" i="1"/>
  <c r="AT112" i="1"/>
  <c r="BO112" i="1" s="1"/>
  <c r="BI112" i="1"/>
  <c r="AT114" i="1"/>
  <c r="BO114" i="1" s="1"/>
  <c r="BI114" i="1"/>
  <c r="AT143" i="1"/>
  <c r="BO143" i="1" s="1"/>
  <c r="BI143" i="1"/>
  <c r="AT124" i="1"/>
  <c r="BO124" i="1" s="1"/>
  <c r="BI124" i="1"/>
  <c r="AT116" i="1"/>
  <c r="BO116" i="1" s="1"/>
  <c r="BI116" i="1"/>
  <c r="AT115" i="1"/>
  <c r="BO115" i="1" s="1"/>
  <c r="BI115" i="1"/>
  <c r="AT133" i="1"/>
  <c r="BO133" i="1" s="1"/>
  <c r="BI133" i="1"/>
  <c r="AT118" i="1"/>
  <c r="BO118" i="1" s="1"/>
  <c r="BI118" i="1"/>
  <c r="AT121" i="1"/>
  <c r="BO121" i="1" s="1"/>
  <c r="BI121" i="1"/>
  <c r="AT140" i="1"/>
  <c r="BO140" i="1" s="1"/>
  <c r="BI140" i="1"/>
  <c r="AT113" i="1"/>
  <c r="BO113" i="1" s="1"/>
  <c r="BI113" i="1"/>
  <c r="AT134" i="1"/>
  <c r="BO134" i="1" s="1"/>
  <c r="BI134" i="1"/>
  <c r="AT144" i="1"/>
  <c r="BO144" i="1" s="1"/>
  <c r="BI144" i="1"/>
  <c r="AT126" i="1"/>
  <c r="BO126" i="1" s="1"/>
  <c r="BI126" i="1"/>
  <c r="AT146" i="1"/>
  <c r="BO146" i="1" s="1"/>
  <c r="AM146" i="1"/>
  <c r="AM131" i="1"/>
  <c r="AT131" i="1"/>
  <c r="BO131" i="1" s="1"/>
  <c r="AT130" i="1"/>
  <c r="BO130" i="1" s="1"/>
  <c r="AT120" i="1"/>
  <c r="BO120" i="1" s="1"/>
  <c r="AM130" i="1"/>
  <c r="AM128" i="1"/>
  <c r="AM119" i="1"/>
  <c r="AM141" i="1"/>
  <c r="AM122" i="1"/>
  <c r="AM129" i="1"/>
  <c r="AT129" i="1"/>
  <c r="BO129" i="1" s="1"/>
  <c r="AM117" i="1"/>
  <c r="AT117" i="1"/>
  <c r="BO117" i="1" s="1"/>
  <c r="AM140" i="1"/>
  <c r="AM127" i="1"/>
  <c r="AM112" i="1"/>
  <c r="AM123" i="1"/>
  <c r="AT119" i="1"/>
  <c r="BO119" i="1" s="1"/>
  <c r="AM145" i="1"/>
  <c r="AM116" i="1"/>
  <c r="AM121" i="1"/>
  <c r="AM114" i="1"/>
  <c r="AM132" i="1"/>
  <c r="AM138" i="1"/>
  <c r="AM115" i="1"/>
  <c r="AT127" i="1"/>
  <c r="BO127" i="1" s="1"/>
  <c r="AM111" i="1"/>
  <c r="AT111" i="1"/>
  <c r="BO111" i="1" s="1"/>
  <c r="AM143" i="1"/>
  <c r="AM133" i="1"/>
  <c r="AT128" i="1"/>
  <c r="BO128" i="1" s="1"/>
  <c r="AM113" i="1"/>
  <c r="AM134" i="1"/>
  <c r="AT122" i="1"/>
  <c r="BO122" i="1" s="1"/>
  <c r="AM147" i="1"/>
  <c r="AT147" i="1"/>
  <c r="BO147" i="1" s="1"/>
  <c r="AT142" i="1"/>
  <c r="BO142" i="1" s="1"/>
  <c r="AT138" i="1"/>
  <c r="BO138" i="1" s="1"/>
  <c r="AM139" i="1"/>
  <c r="AT139" i="1"/>
  <c r="BO139" i="1" s="1"/>
  <c r="AM135" i="1"/>
  <c r="AT135" i="1"/>
  <c r="BO135" i="1" s="1"/>
  <c r="AM124" i="1"/>
  <c r="AM144" i="1"/>
  <c r="AM142" i="1"/>
  <c r="AT132" i="1"/>
  <c r="BO132" i="1" s="1"/>
  <c r="AM125" i="1"/>
  <c r="AT125" i="1"/>
  <c r="BO125" i="1" s="1"/>
  <c r="AT141" i="1"/>
  <c r="BO141" i="1" s="1"/>
  <c r="AM120" i="1"/>
  <c r="AT123" i="1"/>
  <c r="AM126" i="1"/>
  <c r="AM136" i="1"/>
  <c r="AT136" i="1"/>
  <c r="BO136" i="1" s="1"/>
  <c r="AM137" i="1"/>
  <c r="AT137" i="1"/>
  <c r="BO137" i="1" s="1"/>
  <c r="AM118" i="1"/>
  <c r="AU134" i="1" l="1"/>
  <c r="AZ145" i="1"/>
  <c r="BS145" i="1" s="1"/>
  <c r="AU115" i="1"/>
  <c r="AZ115" i="1"/>
  <c r="BS115" i="1" s="1"/>
  <c r="AU145" i="1"/>
  <c r="AW134" i="1"/>
  <c r="BQ134" i="1" s="1"/>
  <c r="AW145" i="1"/>
  <c r="BQ145" i="1" s="1"/>
  <c r="AW115" i="1"/>
  <c r="BQ115" i="1" s="1"/>
  <c r="AZ134" i="1"/>
  <c r="BS134" i="1" s="1"/>
  <c r="AW118" i="1"/>
  <c r="BQ118" i="1" s="1"/>
  <c r="AU112" i="1"/>
  <c r="AZ118" i="1"/>
  <c r="BS118" i="1" s="1"/>
  <c r="AU133" i="1"/>
  <c r="AW133" i="1"/>
  <c r="BQ133" i="1" s="1"/>
  <c r="AU143" i="1"/>
  <c r="AU144" i="1"/>
  <c r="AW112" i="1"/>
  <c r="BQ112" i="1" s="1"/>
  <c r="AU116" i="1"/>
  <c r="AU113" i="1"/>
  <c r="AW114" i="1"/>
  <c r="BQ114" i="1" s="1"/>
  <c r="AU114" i="1"/>
  <c r="AZ144" i="1"/>
  <c r="BS144" i="1" s="1"/>
  <c r="AZ133" i="1"/>
  <c r="BS133" i="1" s="1"/>
  <c r="AW121" i="1"/>
  <c r="BQ121" i="1" s="1"/>
  <c r="AZ124" i="1"/>
  <c r="BS124" i="1" s="1"/>
  <c r="AU118" i="1"/>
  <c r="AZ140" i="1"/>
  <c r="BS140" i="1" s="1"/>
  <c r="AZ126" i="1"/>
  <c r="BS126" i="1" s="1"/>
  <c r="AU126" i="1"/>
  <c r="AZ113" i="1"/>
  <c r="BS113" i="1" s="1"/>
  <c r="AZ121" i="1"/>
  <c r="BS121" i="1" s="1"/>
  <c r="AU124" i="1"/>
  <c r="AW140" i="1"/>
  <c r="BQ140" i="1" s="1"/>
  <c r="AW126" i="1"/>
  <c r="BQ126" i="1" s="1"/>
  <c r="AU140" i="1"/>
  <c r="AZ143" i="1"/>
  <c r="BS143" i="1" s="1"/>
  <c r="AU121" i="1"/>
  <c r="AZ114" i="1"/>
  <c r="BS114" i="1" s="1"/>
  <c r="AW116" i="1"/>
  <c r="BQ116" i="1" s="1"/>
  <c r="AZ112" i="1"/>
  <c r="BS112" i="1" s="1"/>
  <c r="AZ116" i="1"/>
  <c r="BS116" i="1" s="1"/>
  <c r="AW143" i="1"/>
  <c r="BQ143" i="1" s="1"/>
  <c r="AW124" i="1"/>
  <c r="BQ124" i="1" s="1"/>
  <c r="AW123" i="1"/>
  <c r="BQ123" i="1" s="1"/>
  <c r="BO123" i="1"/>
  <c r="AW113" i="1"/>
  <c r="BQ113" i="1" s="1"/>
  <c r="AW144" i="1"/>
  <c r="BQ144" i="1" s="1"/>
  <c r="AU146" i="1"/>
  <c r="AZ146" i="1"/>
  <c r="AW146" i="1"/>
  <c r="AU141" i="1"/>
  <c r="AZ141" i="1"/>
  <c r="AW120" i="1"/>
  <c r="BQ120" i="1" s="1"/>
  <c r="AZ131" i="1"/>
  <c r="BS131" i="1" s="1"/>
  <c r="AU131" i="1"/>
  <c r="AU120" i="1"/>
  <c r="AZ120" i="1"/>
  <c r="BS120" i="1" s="1"/>
  <c r="AW131" i="1"/>
  <c r="AW130" i="1"/>
  <c r="BQ130" i="1" s="1"/>
  <c r="AZ123" i="1"/>
  <c r="AU130" i="1"/>
  <c r="AW141" i="1"/>
  <c r="AZ130" i="1"/>
  <c r="AZ138" i="1"/>
  <c r="BS138" i="1" s="1"/>
  <c r="AU139" i="1"/>
  <c r="AZ139" i="1"/>
  <c r="BS139" i="1" s="1"/>
  <c r="AW139" i="1"/>
  <c r="BQ139" i="1" s="1"/>
  <c r="AX123" i="1"/>
  <c r="AZ136" i="1"/>
  <c r="BS136" i="1" s="1"/>
  <c r="AW136" i="1"/>
  <c r="BQ136" i="1" s="1"/>
  <c r="AU136" i="1"/>
  <c r="AW132" i="1"/>
  <c r="BQ132" i="1" s="1"/>
  <c r="AZ128" i="1"/>
  <c r="BS128" i="1" s="1"/>
  <c r="AW128" i="1"/>
  <c r="BQ128" i="1" s="1"/>
  <c r="AU128" i="1"/>
  <c r="AU119" i="1"/>
  <c r="AU138" i="1"/>
  <c r="AW119" i="1"/>
  <c r="BQ119" i="1" s="1"/>
  <c r="BA145" i="1"/>
  <c r="AZ119" i="1"/>
  <c r="BS119" i="1" s="1"/>
  <c r="AZ129" i="1"/>
  <c r="BS129" i="1" s="1"/>
  <c r="AU129" i="1"/>
  <c r="AW129" i="1"/>
  <c r="BQ129" i="1" s="1"/>
  <c r="AW142" i="1"/>
  <c r="BQ142" i="1" s="1"/>
  <c r="AU127" i="1"/>
  <c r="AU123" i="1"/>
  <c r="AU147" i="1"/>
  <c r="AW147" i="1"/>
  <c r="BQ147" i="1" s="1"/>
  <c r="AZ147" i="1"/>
  <c r="BS147" i="1" s="1"/>
  <c r="AU142" i="1"/>
  <c r="AX134" i="1"/>
  <c r="AZ142" i="1"/>
  <c r="BS142" i="1" s="1"/>
  <c r="AZ127" i="1"/>
  <c r="BS127" i="1" s="1"/>
  <c r="AW138" i="1"/>
  <c r="BQ138" i="1" s="1"/>
  <c r="AZ135" i="1"/>
  <c r="BS135" i="1" s="1"/>
  <c r="AU135" i="1"/>
  <c r="AW135" i="1"/>
  <c r="BQ135" i="1" s="1"/>
  <c r="AU125" i="1"/>
  <c r="AW125" i="1"/>
  <c r="BQ125" i="1" s="1"/>
  <c r="AZ125" i="1"/>
  <c r="BS125" i="1" s="1"/>
  <c r="AZ122" i="1"/>
  <c r="BS122" i="1" s="1"/>
  <c r="AU122" i="1"/>
  <c r="AW122" i="1"/>
  <c r="BQ122" i="1" s="1"/>
  <c r="AZ111" i="1"/>
  <c r="BS111" i="1" s="1"/>
  <c r="AW111" i="1"/>
  <c r="BQ111" i="1" s="1"/>
  <c r="AU111" i="1"/>
  <c r="BA115" i="1"/>
  <c r="AW127" i="1"/>
  <c r="BQ127" i="1" s="1"/>
  <c r="AZ132" i="1"/>
  <c r="BS132" i="1" s="1"/>
  <c r="AU132" i="1"/>
  <c r="AU137" i="1"/>
  <c r="AZ137" i="1"/>
  <c r="BS137" i="1" s="1"/>
  <c r="AW137" i="1"/>
  <c r="BQ137" i="1" s="1"/>
  <c r="AZ117" i="1"/>
  <c r="BS117" i="1" s="1"/>
  <c r="AU117" i="1"/>
  <c r="AW117" i="1"/>
  <c r="BQ117" i="1" s="1"/>
  <c r="AX145" i="1"/>
  <c r="AX118" i="1" l="1"/>
  <c r="AX115" i="1"/>
  <c r="BA134" i="1"/>
  <c r="BA140" i="1"/>
  <c r="BA118" i="1"/>
  <c r="BA121" i="1"/>
  <c r="BA126" i="1"/>
  <c r="BA133" i="1"/>
  <c r="AX133" i="1"/>
  <c r="AX112" i="1"/>
  <c r="BA113" i="1"/>
  <c r="BA124" i="1"/>
  <c r="AX143" i="1"/>
  <c r="AX121" i="1"/>
  <c r="BA144" i="1"/>
  <c r="BA131" i="1"/>
  <c r="AX114" i="1"/>
  <c r="AX144" i="1"/>
  <c r="AX113" i="1"/>
  <c r="BA114" i="1"/>
  <c r="AX141" i="1"/>
  <c r="BQ141" i="1"/>
  <c r="AX116" i="1"/>
  <c r="BA141" i="1"/>
  <c r="BS141" i="1"/>
  <c r="AX146" i="1"/>
  <c r="BQ146" i="1"/>
  <c r="BA123" i="1"/>
  <c r="BS123" i="1"/>
  <c r="AX120" i="1"/>
  <c r="AX126" i="1"/>
  <c r="BA143" i="1"/>
  <c r="BA112" i="1"/>
  <c r="BA130" i="1"/>
  <c r="BS130" i="1"/>
  <c r="BA146" i="1"/>
  <c r="BS146" i="1"/>
  <c r="BA116" i="1"/>
  <c r="AX131" i="1"/>
  <c r="BQ131" i="1"/>
  <c r="AX140" i="1"/>
  <c r="AX124" i="1"/>
  <c r="BA120" i="1"/>
  <c r="AX130" i="1"/>
  <c r="BA138" i="1"/>
  <c r="AX139" i="1"/>
  <c r="BA117" i="1"/>
  <c r="BA127" i="1"/>
  <c r="AX119" i="1"/>
  <c r="BA136" i="1"/>
  <c r="BA125" i="1"/>
  <c r="BA137" i="1"/>
  <c r="BA142" i="1"/>
  <c r="AX127" i="1"/>
  <c r="BA139" i="1"/>
  <c r="AX135" i="1"/>
  <c r="BA128" i="1"/>
  <c r="BA111" i="1"/>
  <c r="AX142" i="1"/>
  <c r="AX117" i="1"/>
  <c r="AX122" i="1"/>
  <c r="BA147" i="1"/>
  <c r="AX129" i="1"/>
  <c r="AX138" i="1"/>
  <c r="BA122" i="1"/>
  <c r="BA129" i="1"/>
  <c r="AX137" i="1"/>
  <c r="BA132" i="1"/>
  <c r="AX125" i="1"/>
  <c r="AX111" i="1"/>
  <c r="BA119" i="1"/>
  <c r="AX128" i="1"/>
  <c r="BA135" i="1"/>
  <c r="AX147" i="1"/>
  <c r="AX132" i="1"/>
  <c r="AX136" i="1"/>
  <c r="AG99" i="1" l="1"/>
  <c r="BG99" i="1" s="1"/>
  <c r="AG100" i="1"/>
  <c r="BG100" i="1" s="1"/>
  <c r="AD101" i="1"/>
  <c r="BD101" i="1" s="1"/>
  <c r="AD102" i="1"/>
  <c r="BD102" i="1" s="1"/>
  <c r="AD103" i="1"/>
  <c r="BD103" i="1" s="1"/>
  <c r="AF104" i="1"/>
  <c r="BF104" i="1" s="1"/>
  <c r="AD105" i="1"/>
  <c r="BD105" i="1" s="1"/>
  <c r="AE106" i="1"/>
  <c r="BE106" i="1" s="1"/>
  <c r="AE107" i="1"/>
  <c r="BE107" i="1" s="1"/>
  <c r="AE108" i="1"/>
  <c r="BE108" i="1" s="1"/>
  <c r="AD109" i="1"/>
  <c r="BD109" i="1" s="1"/>
  <c r="AF91" i="1"/>
  <c r="BF91" i="1" s="1"/>
  <c r="AF92" i="1"/>
  <c r="BF92" i="1" s="1"/>
  <c r="AF93" i="1"/>
  <c r="BF93" i="1" s="1"/>
  <c r="AF94" i="1"/>
  <c r="BF94" i="1" s="1"/>
  <c r="AF95" i="1"/>
  <c r="BF95" i="1" s="1"/>
  <c r="AF96" i="1"/>
  <c r="BF96" i="1" s="1"/>
  <c r="AG73" i="1"/>
  <c r="BG73" i="1" s="1"/>
  <c r="AD74" i="1"/>
  <c r="BD74" i="1" s="1"/>
  <c r="AF75" i="1"/>
  <c r="BF75" i="1" s="1"/>
  <c r="AD76" i="1"/>
  <c r="BD76" i="1" s="1"/>
  <c r="AF77" i="1"/>
  <c r="BF77" i="1" s="1"/>
  <c r="AG78" i="1"/>
  <c r="BG78" i="1" s="1"/>
  <c r="AG79" i="1"/>
  <c r="BG79" i="1" s="1"/>
  <c r="AF83" i="1"/>
  <c r="BF83" i="1" s="1"/>
  <c r="AD84" i="1"/>
  <c r="BD84" i="1" s="1"/>
  <c r="AE85" i="1"/>
  <c r="BE85" i="1" s="1"/>
  <c r="AG86" i="1"/>
  <c r="BG86" i="1" s="1"/>
  <c r="AD87" i="1"/>
  <c r="BD87" i="1" s="1"/>
  <c r="AG88" i="1"/>
  <c r="BG88" i="1" s="1"/>
  <c r="AG89" i="1"/>
  <c r="BG89" i="1" s="1"/>
  <c r="AE78" i="1"/>
  <c r="BE78" i="1" s="1"/>
  <c r="AF79" i="1"/>
  <c r="BF79" i="1" s="1"/>
  <c r="AG80" i="1"/>
  <c r="BG80" i="1" s="1"/>
  <c r="AG81" i="1"/>
  <c r="BG81" i="1" s="1"/>
  <c r="AG82" i="1"/>
  <c r="BG82" i="1" s="1"/>
  <c r="AG94" i="1"/>
  <c r="BG94" i="1" s="1"/>
  <c r="AF101" i="1"/>
  <c r="BF101" i="1" s="1"/>
  <c r="AE92" i="1"/>
  <c r="BE92" i="1" s="1"/>
  <c r="AC90" i="1"/>
  <c r="AD90" i="1" s="1"/>
  <c r="BD90" i="1" s="1"/>
  <c r="AC97" i="1"/>
  <c r="AE97" i="1" s="1"/>
  <c r="BE97" i="1" s="1"/>
  <c r="AC98" i="1"/>
  <c r="AG98" i="1" s="1"/>
  <c r="BG98" i="1" s="1"/>
  <c r="AD43" i="1"/>
  <c r="BD43" i="1" s="1"/>
  <c r="AF44" i="1"/>
  <c r="BF44" i="1" s="1"/>
  <c r="AG45" i="1"/>
  <c r="BG45" i="1" s="1"/>
  <c r="AE46" i="1"/>
  <c r="BE46" i="1" s="1"/>
  <c r="AE47" i="1"/>
  <c r="BE47" i="1" s="1"/>
  <c r="AE48" i="1"/>
  <c r="BE48" i="1" s="1"/>
  <c r="AE49" i="1"/>
  <c r="BE49" i="1" s="1"/>
  <c r="AG50" i="1"/>
  <c r="BG50" i="1" s="1"/>
  <c r="AG51" i="1"/>
  <c r="BG51" i="1" s="1"/>
  <c r="AE52" i="1"/>
  <c r="BE52" i="1" s="1"/>
  <c r="AG53" i="1"/>
  <c r="BG53" i="1" s="1"/>
  <c r="AF54" i="1"/>
  <c r="BF54" i="1" s="1"/>
  <c r="AE55" i="1"/>
  <c r="BE55" i="1" s="1"/>
  <c r="AF56" i="1"/>
  <c r="BF56" i="1" s="1"/>
  <c r="AE57" i="1"/>
  <c r="BE57" i="1" s="1"/>
  <c r="AG58" i="1"/>
  <c r="BG58" i="1" s="1"/>
  <c r="AE59" i="1"/>
  <c r="BE59" i="1" s="1"/>
  <c r="AD60" i="1"/>
  <c r="BD60" i="1" s="1"/>
  <c r="AF61" i="1"/>
  <c r="BF61" i="1" s="1"/>
  <c r="AF62" i="1"/>
  <c r="BF62" i="1" s="1"/>
  <c r="AF63" i="1"/>
  <c r="BF63" i="1" s="1"/>
  <c r="AF64" i="1"/>
  <c r="BF64" i="1" s="1"/>
  <c r="AE65" i="1"/>
  <c r="BE65" i="1" s="1"/>
  <c r="AE66" i="1"/>
  <c r="BE66" i="1" s="1"/>
  <c r="AF67" i="1"/>
  <c r="BF67" i="1" s="1"/>
  <c r="AF68" i="1"/>
  <c r="BF68" i="1" s="1"/>
  <c r="AG69" i="1"/>
  <c r="BG69" i="1" s="1"/>
  <c r="AD70" i="1"/>
  <c r="BD70" i="1" s="1"/>
  <c r="AG36" i="1"/>
  <c r="BG36" i="1" s="1"/>
  <c r="AG37" i="1"/>
  <c r="BG37" i="1" s="1"/>
  <c r="AG38" i="1"/>
  <c r="BG38" i="1" s="1"/>
  <c r="AF39" i="1"/>
  <c r="BF39" i="1" s="1"/>
  <c r="AG40" i="1"/>
  <c r="BG40" i="1" s="1"/>
  <c r="AE41" i="1"/>
  <c r="BE41" i="1" s="1"/>
  <c r="AG42" i="1"/>
  <c r="BG42" i="1" s="1"/>
  <c r="AF42" i="1"/>
  <c r="BF42" i="1" s="1"/>
  <c r="AE42" i="1"/>
  <c r="BE42" i="1" s="1"/>
  <c r="AD42" i="1"/>
  <c r="BD42" i="1" s="1"/>
  <c r="AG92" i="1" l="1"/>
  <c r="BG92" i="1" s="1"/>
  <c r="AG93" i="1"/>
  <c r="BG93" i="1" s="1"/>
  <c r="AF78" i="1"/>
  <c r="BF78" i="1" s="1"/>
  <c r="AD92" i="1"/>
  <c r="BD92" i="1" s="1"/>
  <c r="AE102" i="1"/>
  <c r="BE102" i="1" s="1"/>
  <c r="AE101" i="1"/>
  <c r="BE101" i="1" s="1"/>
  <c r="AG91" i="1"/>
  <c r="BG91" i="1" s="1"/>
  <c r="AD91" i="1"/>
  <c r="BD91" i="1" s="1"/>
  <c r="AE100" i="1"/>
  <c r="BE100" i="1" s="1"/>
  <c r="AE103" i="1"/>
  <c r="BE103" i="1" s="1"/>
  <c r="AE104" i="1"/>
  <c r="BE104" i="1" s="1"/>
  <c r="AE93" i="1"/>
  <c r="BE93" i="1" s="1"/>
  <c r="AE91" i="1"/>
  <c r="BE91" i="1" s="1"/>
  <c r="AD100" i="1"/>
  <c r="BD100" i="1" s="1"/>
  <c r="AF100" i="1"/>
  <c r="BF100" i="1" s="1"/>
  <c r="AD49" i="1"/>
  <c r="BD49" i="1" s="1"/>
  <c r="AD48" i="1"/>
  <c r="BD48" i="1" s="1"/>
  <c r="AG59" i="1"/>
  <c r="BG59" i="1" s="1"/>
  <c r="AG48" i="1"/>
  <c r="BG48" i="1" s="1"/>
  <c r="AG47" i="1"/>
  <c r="BG47" i="1" s="1"/>
  <c r="AD47" i="1"/>
  <c r="BD47" i="1" s="1"/>
  <c r="AD94" i="1"/>
  <c r="BD94" i="1" s="1"/>
  <c r="AF47" i="1"/>
  <c r="BF47" i="1" s="1"/>
  <c r="AD93" i="1"/>
  <c r="BD93" i="1" s="1"/>
  <c r="AF103" i="1"/>
  <c r="BF103" i="1" s="1"/>
  <c r="AF102" i="1"/>
  <c r="BF102" i="1" s="1"/>
  <c r="AE105" i="1"/>
  <c r="BE105" i="1" s="1"/>
  <c r="AG108" i="1"/>
  <c r="BG108" i="1" s="1"/>
  <c r="AE75" i="1"/>
  <c r="BE75" i="1" s="1"/>
  <c r="AG106" i="1"/>
  <c r="BG106" i="1" s="1"/>
  <c r="AG105" i="1"/>
  <c r="BG105" i="1" s="1"/>
  <c r="AG101" i="1"/>
  <c r="BG101" i="1" s="1"/>
  <c r="AE95" i="1"/>
  <c r="BE95" i="1" s="1"/>
  <c r="AD95" i="1"/>
  <c r="BD95" i="1" s="1"/>
  <c r="AE94" i="1"/>
  <c r="BE94" i="1" s="1"/>
  <c r="AG95" i="1"/>
  <c r="BG95" i="1" s="1"/>
  <c r="AG109" i="1"/>
  <c r="BG109" i="1" s="1"/>
  <c r="AG107" i="1"/>
  <c r="BG107" i="1" s="1"/>
  <c r="AE74" i="1"/>
  <c r="BE74" i="1" s="1"/>
  <c r="AG104" i="1"/>
  <c r="BG104" i="1" s="1"/>
  <c r="AD45" i="1"/>
  <c r="BD45" i="1" s="1"/>
  <c r="AG103" i="1"/>
  <c r="BG103" i="1" s="1"/>
  <c r="AD98" i="1"/>
  <c r="BD98" i="1" s="1"/>
  <c r="AG102" i="1"/>
  <c r="BG102" i="1" s="1"/>
  <c r="AD40" i="1"/>
  <c r="BD40" i="1" s="1"/>
  <c r="AD97" i="1"/>
  <c r="BD97" i="1" s="1"/>
  <c r="AF97" i="1"/>
  <c r="BF97" i="1" s="1"/>
  <c r="AD96" i="1"/>
  <c r="BD96" i="1" s="1"/>
  <c r="AF59" i="1"/>
  <c r="BF59" i="1" s="1"/>
  <c r="AD38" i="1"/>
  <c r="BD38" i="1" s="1"/>
  <c r="AE38" i="1"/>
  <c r="BE38" i="1" s="1"/>
  <c r="AD86" i="1"/>
  <c r="BD86" i="1" s="1"/>
  <c r="AF90" i="1"/>
  <c r="BF90" i="1" s="1"/>
  <c r="AG60" i="1"/>
  <c r="BG60" i="1" s="1"/>
  <c r="AF60" i="1"/>
  <c r="BF60" i="1" s="1"/>
  <c r="AD85" i="1"/>
  <c r="BD85" i="1" s="1"/>
  <c r="AG97" i="1"/>
  <c r="BG97" i="1" s="1"/>
  <c r="AD59" i="1"/>
  <c r="BD59" i="1" s="1"/>
  <c r="AD75" i="1"/>
  <c r="BD75" i="1" s="1"/>
  <c r="AE90" i="1"/>
  <c r="BE90" i="1" s="1"/>
  <c r="AF74" i="1"/>
  <c r="BF74" i="1" s="1"/>
  <c r="AG96" i="1"/>
  <c r="BG96" i="1" s="1"/>
  <c r="AG46" i="1"/>
  <c r="BG46" i="1" s="1"/>
  <c r="AG76" i="1"/>
  <c r="BG76" i="1" s="1"/>
  <c r="AE69" i="1"/>
  <c r="BE69" i="1" s="1"/>
  <c r="AE45" i="1"/>
  <c r="BE45" i="1" s="1"/>
  <c r="AF70" i="1"/>
  <c r="BF70" i="1" s="1"/>
  <c r="AG77" i="1"/>
  <c r="BG77" i="1" s="1"/>
  <c r="AF108" i="1"/>
  <c r="BF108" i="1" s="1"/>
  <c r="AF89" i="1"/>
  <c r="BF89" i="1" s="1"/>
  <c r="AG74" i="1"/>
  <c r="BG74" i="1" s="1"/>
  <c r="AD69" i="1"/>
  <c r="BD69" i="1" s="1"/>
  <c r="AE70" i="1"/>
  <c r="BE70" i="1" s="1"/>
  <c r="AF55" i="1"/>
  <c r="BF55" i="1" s="1"/>
  <c r="AF106" i="1"/>
  <c r="BF106" i="1" s="1"/>
  <c r="AF46" i="1"/>
  <c r="BF46" i="1" s="1"/>
  <c r="AF105" i="1"/>
  <c r="BF105" i="1" s="1"/>
  <c r="AF87" i="1"/>
  <c r="BF87" i="1" s="1"/>
  <c r="AD58" i="1"/>
  <c r="BD58" i="1" s="1"/>
  <c r="AE87" i="1"/>
  <c r="BE87" i="1" s="1"/>
  <c r="AF86" i="1"/>
  <c r="BF86" i="1" s="1"/>
  <c r="AG70" i="1"/>
  <c r="BG70" i="1" s="1"/>
  <c r="AE86" i="1"/>
  <c r="BE86" i="1" s="1"/>
  <c r="AF85" i="1"/>
  <c r="BF85" i="1" s="1"/>
  <c r="AG87" i="1"/>
  <c r="BG87" i="1" s="1"/>
  <c r="AE98" i="1"/>
  <c r="BE98" i="1" s="1"/>
  <c r="AD88" i="1"/>
  <c r="BD88" i="1" s="1"/>
  <c r="AE77" i="1"/>
  <c r="BE77" i="1" s="1"/>
  <c r="AF76" i="1"/>
  <c r="BF76" i="1" s="1"/>
  <c r="AG85" i="1"/>
  <c r="BG85" i="1" s="1"/>
  <c r="AD77" i="1"/>
  <c r="BD77" i="1" s="1"/>
  <c r="AF69" i="1"/>
  <c r="BF69" i="1" s="1"/>
  <c r="AF109" i="1"/>
  <c r="BF109" i="1" s="1"/>
  <c r="AG75" i="1"/>
  <c r="BG75" i="1" s="1"/>
  <c r="AF58" i="1"/>
  <c r="BF58" i="1" s="1"/>
  <c r="AF107" i="1"/>
  <c r="BF107" i="1" s="1"/>
  <c r="AF57" i="1"/>
  <c r="BF57" i="1" s="1"/>
  <c r="AF88" i="1"/>
  <c r="BF88" i="1" s="1"/>
  <c r="AE68" i="1"/>
  <c r="BE68" i="1" s="1"/>
  <c r="AE88" i="1"/>
  <c r="BE88" i="1" s="1"/>
  <c r="AE67" i="1"/>
  <c r="BE67" i="1" s="1"/>
  <c r="AG90" i="1"/>
  <c r="BG90" i="1" s="1"/>
  <c r="AE58" i="1"/>
  <c r="BE58" i="1" s="1"/>
  <c r="AD104" i="1"/>
  <c r="BD104" i="1" s="1"/>
  <c r="AD46" i="1"/>
  <c r="BD46" i="1" s="1"/>
  <c r="AE40" i="1"/>
  <c r="BE40" i="1" s="1"/>
  <c r="AE96" i="1"/>
  <c r="BE96" i="1" s="1"/>
  <c r="AE76" i="1"/>
  <c r="BE76" i="1" s="1"/>
  <c r="AF98" i="1"/>
  <c r="BF98" i="1" s="1"/>
  <c r="AD108" i="1"/>
  <c r="BD108" i="1" s="1"/>
  <c r="AE109" i="1"/>
  <c r="BE109" i="1" s="1"/>
  <c r="AD107" i="1"/>
  <c r="BD107" i="1" s="1"/>
  <c r="AD106" i="1"/>
  <c r="BD106" i="1" s="1"/>
  <c r="AD99" i="1"/>
  <c r="BD99" i="1" s="1"/>
  <c r="AE99" i="1"/>
  <c r="BE99" i="1" s="1"/>
  <c r="AF99" i="1"/>
  <c r="BF99" i="1" s="1"/>
  <c r="AD83" i="1"/>
  <c r="BD83" i="1" s="1"/>
  <c r="AE89" i="1"/>
  <c r="BE89" i="1" s="1"/>
  <c r="AD89" i="1"/>
  <c r="BD89" i="1" s="1"/>
  <c r="AE84" i="1"/>
  <c r="BE84" i="1" s="1"/>
  <c r="AF84" i="1"/>
  <c r="BF84" i="1" s="1"/>
  <c r="AE82" i="1"/>
  <c r="BE82" i="1" s="1"/>
  <c r="AE81" i="1"/>
  <c r="BE81" i="1" s="1"/>
  <c r="AF82" i="1"/>
  <c r="BF82" i="1" s="1"/>
  <c r="AG83" i="1"/>
  <c r="BG83" i="1" s="1"/>
  <c r="AD82" i="1"/>
  <c r="BD82" i="1" s="1"/>
  <c r="AE83" i="1"/>
  <c r="BE83" i="1" s="1"/>
  <c r="AD81" i="1"/>
  <c r="BD81" i="1" s="1"/>
  <c r="AG84" i="1"/>
  <c r="BG84" i="1" s="1"/>
  <c r="AD80" i="1"/>
  <c r="BD80" i="1" s="1"/>
  <c r="AE80" i="1"/>
  <c r="BE80" i="1" s="1"/>
  <c r="AF81" i="1"/>
  <c r="BF81" i="1" s="1"/>
  <c r="AD78" i="1"/>
  <c r="BD78" i="1" s="1"/>
  <c r="AE79" i="1"/>
  <c r="BE79" i="1" s="1"/>
  <c r="AF80" i="1"/>
  <c r="BF80" i="1" s="1"/>
  <c r="AD79" i="1"/>
  <c r="BD79" i="1" s="1"/>
  <c r="AD73" i="1"/>
  <c r="BD73" i="1" s="1"/>
  <c r="AF73" i="1"/>
  <c r="BF73" i="1" s="1"/>
  <c r="AE73" i="1"/>
  <c r="BE73" i="1" s="1"/>
  <c r="AD63" i="1"/>
  <c r="BD63" i="1" s="1"/>
  <c r="AD62" i="1"/>
  <c r="BD62" i="1" s="1"/>
  <c r="AD61" i="1"/>
  <c r="BD61" i="1" s="1"/>
  <c r="AE60" i="1"/>
  <c r="BE60" i="1" s="1"/>
  <c r="AF40" i="1"/>
  <c r="BF40" i="1" s="1"/>
  <c r="AG41" i="1"/>
  <c r="BG41" i="1" s="1"/>
  <c r="AG64" i="1"/>
  <c r="BG64" i="1" s="1"/>
  <c r="AF41" i="1"/>
  <c r="BF41" i="1" s="1"/>
  <c r="AF38" i="1"/>
  <c r="BF38" i="1" s="1"/>
  <c r="AG49" i="1"/>
  <c r="BG49" i="1" s="1"/>
  <c r="AD41" i="1"/>
  <c r="BD41" i="1" s="1"/>
  <c r="AF48" i="1"/>
  <c r="BF48" i="1" s="1"/>
  <c r="AE51" i="1"/>
  <c r="BE51" i="1" s="1"/>
  <c r="AE50" i="1"/>
  <c r="BE50" i="1" s="1"/>
  <c r="AG52" i="1"/>
  <c r="BG52" i="1" s="1"/>
  <c r="AE56" i="1"/>
  <c r="BE56" i="1" s="1"/>
  <c r="AG65" i="1"/>
  <c r="BG65" i="1" s="1"/>
  <c r="AE63" i="1"/>
  <c r="BE63" i="1" s="1"/>
  <c r="AF52" i="1"/>
  <c r="BF52" i="1" s="1"/>
  <c r="AE62" i="1"/>
  <c r="BE62" i="1" s="1"/>
  <c r="AF51" i="1"/>
  <c r="BF51" i="1" s="1"/>
  <c r="AG62" i="1"/>
  <c r="BG62" i="1" s="1"/>
  <c r="AE61" i="1"/>
  <c r="BE61" i="1" s="1"/>
  <c r="AF50" i="1"/>
  <c r="BF50" i="1" s="1"/>
  <c r="AG61" i="1"/>
  <c r="BG61" i="1" s="1"/>
  <c r="AE64" i="1"/>
  <c r="BE64" i="1" s="1"/>
  <c r="AG63" i="1"/>
  <c r="BG63" i="1" s="1"/>
  <c r="AF49" i="1"/>
  <c r="BF49" i="1" s="1"/>
  <c r="AD39" i="1"/>
  <c r="BD39" i="1" s="1"/>
  <c r="AD57" i="1"/>
  <c r="BD57" i="1" s="1"/>
  <c r="AF45" i="1"/>
  <c r="BF45" i="1" s="1"/>
  <c r="AD51" i="1"/>
  <c r="BD51" i="1" s="1"/>
  <c r="AF66" i="1"/>
  <c r="BF66" i="1" s="1"/>
  <c r="AF65" i="1"/>
  <c r="BF65" i="1" s="1"/>
  <c r="AG54" i="1"/>
  <c r="BG54" i="1" s="1"/>
  <c r="AG57" i="1"/>
  <c r="BG57" i="1" s="1"/>
  <c r="AD50" i="1"/>
  <c r="BD50" i="1" s="1"/>
  <c r="AG66" i="1"/>
  <c r="BG66" i="1" s="1"/>
  <c r="AE54" i="1"/>
  <c r="BE54" i="1" s="1"/>
  <c r="AG39" i="1"/>
  <c r="BG39" i="1" s="1"/>
  <c r="AE36" i="1"/>
  <c r="BE36" i="1" s="1"/>
  <c r="AE39" i="1"/>
  <c r="BE39" i="1" s="1"/>
  <c r="AD44" i="1"/>
  <c r="BD44" i="1" s="1"/>
  <c r="AD55" i="1"/>
  <c r="BD55" i="1" s="1"/>
  <c r="AD54" i="1"/>
  <c r="BD54" i="1" s="1"/>
  <c r="AD64" i="1"/>
  <c r="BD64" i="1" s="1"/>
  <c r="AD52" i="1"/>
  <c r="BD52" i="1" s="1"/>
  <c r="AG68" i="1"/>
  <c r="BG68" i="1" s="1"/>
  <c r="AG56" i="1"/>
  <c r="BG56" i="1" s="1"/>
  <c r="AG44" i="1"/>
  <c r="BG44" i="1" s="1"/>
  <c r="AE44" i="1"/>
  <c r="BE44" i="1" s="1"/>
  <c r="AD68" i="1"/>
  <c r="BD68" i="1" s="1"/>
  <c r="AE53" i="1"/>
  <c r="BE53" i="1" s="1"/>
  <c r="AD67" i="1"/>
  <c r="BD67" i="1" s="1"/>
  <c r="AD66" i="1"/>
  <c r="BD66" i="1" s="1"/>
  <c r="AD53" i="1"/>
  <c r="BD53" i="1" s="1"/>
  <c r="AG67" i="1"/>
  <c r="BG67" i="1" s="1"/>
  <c r="AG55" i="1"/>
  <c r="BG55" i="1" s="1"/>
  <c r="AG43" i="1"/>
  <c r="BG43" i="1" s="1"/>
  <c r="AF53" i="1"/>
  <c r="BF53" i="1" s="1"/>
  <c r="AD56" i="1"/>
  <c r="BD56" i="1" s="1"/>
  <c r="AD65" i="1"/>
  <c r="BD65" i="1" s="1"/>
  <c r="AF43" i="1"/>
  <c r="BF43" i="1" s="1"/>
  <c r="AE43" i="1"/>
  <c r="BE43" i="1" s="1"/>
  <c r="AD37" i="1"/>
  <c r="BD37" i="1" s="1"/>
  <c r="AF37" i="1"/>
  <c r="BF37" i="1" s="1"/>
  <c r="AD36" i="1"/>
  <c r="BD36" i="1" s="1"/>
  <c r="AF36" i="1"/>
  <c r="BF36" i="1" s="1"/>
  <c r="AE37" i="1"/>
  <c r="BE37" i="1" s="1"/>
  <c r="AH36" i="1" l="1"/>
  <c r="BH36" i="1" s="1"/>
  <c r="AH15" i="1" l="1"/>
  <c r="BH15" i="1" s="1"/>
  <c r="E5" i="4" l="1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AO12" i="1" l="1"/>
  <c r="AO13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Q110" i="1" s="1"/>
  <c r="BL110" i="1" s="1"/>
  <c r="AV73" i="1"/>
  <c r="BP73" i="1" s="1"/>
  <c r="AV74" i="1"/>
  <c r="BP74" i="1" s="1"/>
  <c r="AV75" i="1"/>
  <c r="BP75" i="1" s="1"/>
  <c r="AV76" i="1"/>
  <c r="BP76" i="1" s="1"/>
  <c r="AV77" i="1"/>
  <c r="BP77" i="1" s="1"/>
  <c r="AV78" i="1"/>
  <c r="BP78" i="1" s="1"/>
  <c r="AV79" i="1"/>
  <c r="BP79" i="1" s="1"/>
  <c r="AV80" i="1"/>
  <c r="BP80" i="1" s="1"/>
  <c r="AV81" i="1"/>
  <c r="BP81" i="1" s="1"/>
  <c r="AV82" i="1"/>
  <c r="BP82" i="1" s="1"/>
  <c r="AV83" i="1"/>
  <c r="BP83" i="1" s="1"/>
  <c r="AV84" i="1"/>
  <c r="BP84" i="1" s="1"/>
  <c r="AV85" i="1"/>
  <c r="BP85" i="1" s="1"/>
  <c r="AV86" i="1"/>
  <c r="BP86" i="1" s="1"/>
  <c r="AV87" i="1"/>
  <c r="BP87" i="1" s="1"/>
  <c r="AV88" i="1"/>
  <c r="BP88" i="1" s="1"/>
  <c r="AV89" i="1"/>
  <c r="BP89" i="1" s="1"/>
  <c r="AV90" i="1"/>
  <c r="BP90" i="1" s="1"/>
  <c r="AV91" i="1"/>
  <c r="BP91" i="1" s="1"/>
  <c r="AV92" i="1"/>
  <c r="BP92" i="1" s="1"/>
  <c r="AV93" i="1"/>
  <c r="BP93" i="1" s="1"/>
  <c r="AV94" i="1"/>
  <c r="BP94" i="1" s="1"/>
  <c r="AV95" i="1"/>
  <c r="BP95" i="1" s="1"/>
  <c r="AV96" i="1"/>
  <c r="BP96" i="1" s="1"/>
  <c r="AV97" i="1"/>
  <c r="BP97" i="1" s="1"/>
  <c r="AV98" i="1"/>
  <c r="BP98" i="1" s="1"/>
  <c r="AV99" i="1"/>
  <c r="BP99" i="1" s="1"/>
  <c r="AV100" i="1"/>
  <c r="BP100" i="1" s="1"/>
  <c r="AV101" i="1"/>
  <c r="BP101" i="1" s="1"/>
  <c r="AV102" i="1"/>
  <c r="BP102" i="1" s="1"/>
  <c r="AV103" i="1"/>
  <c r="BP103" i="1" s="1"/>
  <c r="AV104" i="1"/>
  <c r="BP104" i="1" s="1"/>
  <c r="AV105" i="1"/>
  <c r="BP105" i="1" s="1"/>
  <c r="AV106" i="1"/>
  <c r="BP106" i="1" s="1"/>
  <c r="AV107" i="1"/>
  <c r="BP107" i="1" s="1"/>
  <c r="AV108" i="1"/>
  <c r="BP108" i="1" s="1"/>
  <c r="AV109" i="1"/>
  <c r="BP109" i="1" s="1"/>
  <c r="AV110" i="1"/>
  <c r="BP110" i="1" s="1"/>
  <c r="AR73" i="1"/>
  <c r="BM73" i="1" s="1"/>
  <c r="AR74" i="1"/>
  <c r="BM74" i="1" s="1"/>
  <c r="AR75" i="1"/>
  <c r="BM75" i="1" s="1"/>
  <c r="AR76" i="1"/>
  <c r="BM76" i="1" s="1"/>
  <c r="AR77" i="1"/>
  <c r="BM77" i="1" s="1"/>
  <c r="AR78" i="1"/>
  <c r="BM78" i="1" s="1"/>
  <c r="AR79" i="1"/>
  <c r="BM79" i="1" s="1"/>
  <c r="AR80" i="1"/>
  <c r="BM80" i="1" s="1"/>
  <c r="AR81" i="1"/>
  <c r="BM81" i="1" s="1"/>
  <c r="AR82" i="1"/>
  <c r="BM82" i="1" s="1"/>
  <c r="AR83" i="1"/>
  <c r="BM83" i="1" s="1"/>
  <c r="AR84" i="1"/>
  <c r="BM84" i="1" s="1"/>
  <c r="AR85" i="1"/>
  <c r="BM85" i="1" s="1"/>
  <c r="AR86" i="1"/>
  <c r="BM86" i="1" s="1"/>
  <c r="AR87" i="1"/>
  <c r="BM87" i="1" s="1"/>
  <c r="AR88" i="1"/>
  <c r="BM88" i="1" s="1"/>
  <c r="AR89" i="1"/>
  <c r="BM89" i="1" s="1"/>
  <c r="AR90" i="1"/>
  <c r="BM90" i="1" s="1"/>
  <c r="AR91" i="1"/>
  <c r="BM91" i="1" s="1"/>
  <c r="AR92" i="1"/>
  <c r="BM92" i="1" s="1"/>
  <c r="AR93" i="1"/>
  <c r="BM93" i="1" s="1"/>
  <c r="AR94" i="1"/>
  <c r="BM94" i="1" s="1"/>
  <c r="AR95" i="1"/>
  <c r="BM95" i="1" s="1"/>
  <c r="AR96" i="1"/>
  <c r="BM96" i="1" s="1"/>
  <c r="AR97" i="1"/>
  <c r="BM97" i="1" s="1"/>
  <c r="AR98" i="1"/>
  <c r="BM98" i="1" s="1"/>
  <c r="AR99" i="1"/>
  <c r="BM99" i="1" s="1"/>
  <c r="AR100" i="1"/>
  <c r="BM100" i="1" s="1"/>
  <c r="AR101" i="1"/>
  <c r="BM101" i="1" s="1"/>
  <c r="AR102" i="1"/>
  <c r="BM102" i="1" s="1"/>
  <c r="AR103" i="1"/>
  <c r="BM103" i="1" s="1"/>
  <c r="AR104" i="1"/>
  <c r="BM104" i="1" s="1"/>
  <c r="AR105" i="1"/>
  <c r="BM105" i="1" s="1"/>
  <c r="AR106" i="1"/>
  <c r="BM106" i="1" s="1"/>
  <c r="AR107" i="1"/>
  <c r="BM107" i="1" s="1"/>
  <c r="AR108" i="1"/>
  <c r="BM108" i="1" s="1"/>
  <c r="AR109" i="1"/>
  <c r="BM109" i="1" s="1"/>
  <c r="AR110" i="1"/>
  <c r="BM110" i="1" s="1"/>
  <c r="F134" i="4" l="1"/>
  <c r="G134" i="4"/>
  <c r="H134" i="4"/>
  <c r="I134" i="4"/>
  <c r="J134" i="4"/>
  <c r="F135" i="4"/>
  <c r="G135" i="4"/>
  <c r="H135" i="4"/>
  <c r="I135" i="4"/>
  <c r="J135" i="4"/>
  <c r="E135" i="4" s="1"/>
  <c r="F136" i="4"/>
  <c r="G136" i="4"/>
  <c r="H136" i="4"/>
  <c r="I136" i="4"/>
  <c r="J136" i="4"/>
  <c r="F137" i="4"/>
  <c r="G137" i="4"/>
  <c r="H137" i="4"/>
  <c r="I137" i="4"/>
  <c r="J137" i="4"/>
  <c r="F138" i="4"/>
  <c r="G138" i="4"/>
  <c r="H138" i="4"/>
  <c r="I138" i="4"/>
  <c r="J138" i="4"/>
  <c r="F139" i="4"/>
  <c r="G139" i="4"/>
  <c r="H139" i="4"/>
  <c r="I139" i="4"/>
  <c r="J139" i="4"/>
  <c r="F140" i="4"/>
  <c r="G140" i="4"/>
  <c r="H140" i="4"/>
  <c r="I140" i="4"/>
  <c r="J140" i="4"/>
  <c r="E140" i="4" s="1"/>
  <c r="F141" i="4"/>
  <c r="G141" i="4"/>
  <c r="H141" i="4"/>
  <c r="I141" i="4"/>
  <c r="J141" i="4"/>
  <c r="F142" i="4"/>
  <c r="G142" i="4"/>
  <c r="H142" i="4"/>
  <c r="I142" i="4"/>
  <c r="J142" i="4"/>
  <c r="F143" i="4"/>
  <c r="G143" i="4"/>
  <c r="H143" i="4"/>
  <c r="I143" i="4"/>
  <c r="J143" i="4"/>
  <c r="F144" i="4"/>
  <c r="G144" i="4"/>
  <c r="H144" i="4"/>
  <c r="I144" i="4"/>
  <c r="J144" i="4"/>
  <c r="F145" i="4"/>
  <c r="G145" i="4"/>
  <c r="H145" i="4"/>
  <c r="I145" i="4"/>
  <c r="J145" i="4"/>
  <c r="F146" i="4"/>
  <c r="G146" i="4"/>
  <c r="H146" i="4"/>
  <c r="I146" i="4"/>
  <c r="J146" i="4"/>
  <c r="F147" i="4"/>
  <c r="G147" i="4"/>
  <c r="H147" i="4"/>
  <c r="I147" i="4"/>
  <c r="J147" i="4"/>
  <c r="E147" i="4" s="1"/>
  <c r="F148" i="4"/>
  <c r="G148" i="4"/>
  <c r="H148" i="4"/>
  <c r="I148" i="4"/>
  <c r="J148" i="4"/>
  <c r="F149" i="4"/>
  <c r="G149" i="4"/>
  <c r="H149" i="4"/>
  <c r="I149" i="4"/>
  <c r="J149" i="4"/>
  <c r="F150" i="4"/>
  <c r="G150" i="4"/>
  <c r="H150" i="4"/>
  <c r="I150" i="4"/>
  <c r="J150" i="4"/>
  <c r="F151" i="4"/>
  <c r="G151" i="4"/>
  <c r="H151" i="4"/>
  <c r="I151" i="4"/>
  <c r="J151" i="4"/>
  <c r="E151" i="4" s="1"/>
  <c r="F152" i="4"/>
  <c r="G152" i="4"/>
  <c r="H152" i="4"/>
  <c r="I152" i="4"/>
  <c r="J152" i="4"/>
  <c r="F153" i="4"/>
  <c r="G153" i="4"/>
  <c r="H153" i="4"/>
  <c r="I153" i="4"/>
  <c r="J153" i="4"/>
  <c r="F154" i="4"/>
  <c r="G154" i="4"/>
  <c r="H154" i="4"/>
  <c r="I154" i="4"/>
  <c r="J154" i="4"/>
  <c r="F155" i="4"/>
  <c r="G155" i="4"/>
  <c r="H155" i="4"/>
  <c r="I155" i="4"/>
  <c r="J155" i="4"/>
  <c r="F156" i="4"/>
  <c r="G156" i="4"/>
  <c r="H156" i="4"/>
  <c r="I156" i="4"/>
  <c r="J156" i="4"/>
  <c r="F157" i="4"/>
  <c r="G157" i="4"/>
  <c r="H157" i="4"/>
  <c r="I157" i="4"/>
  <c r="J157" i="4"/>
  <c r="F158" i="4"/>
  <c r="G158" i="4"/>
  <c r="H158" i="4"/>
  <c r="I158" i="4"/>
  <c r="J158" i="4"/>
  <c r="F159" i="4"/>
  <c r="G159" i="4"/>
  <c r="H159" i="4"/>
  <c r="I159" i="4"/>
  <c r="J159" i="4"/>
  <c r="F160" i="4"/>
  <c r="G160" i="4"/>
  <c r="H160" i="4"/>
  <c r="I160" i="4"/>
  <c r="J160" i="4"/>
  <c r="F161" i="4"/>
  <c r="G161" i="4"/>
  <c r="H161" i="4"/>
  <c r="I161" i="4"/>
  <c r="J161" i="4"/>
  <c r="E161" i="4" s="1"/>
  <c r="F162" i="4"/>
  <c r="G162" i="4"/>
  <c r="H162" i="4"/>
  <c r="I162" i="4"/>
  <c r="J162" i="4"/>
  <c r="F163" i="4"/>
  <c r="G163" i="4"/>
  <c r="H163" i="4"/>
  <c r="I163" i="4"/>
  <c r="J163" i="4"/>
  <c r="F164" i="4"/>
  <c r="G164" i="4"/>
  <c r="H164" i="4"/>
  <c r="I164" i="4"/>
  <c r="J164" i="4"/>
  <c r="F165" i="4"/>
  <c r="G165" i="4"/>
  <c r="H165" i="4"/>
  <c r="I165" i="4"/>
  <c r="J165" i="4"/>
  <c r="F166" i="4"/>
  <c r="G166" i="4"/>
  <c r="H166" i="4"/>
  <c r="I166" i="4"/>
  <c r="J166" i="4"/>
  <c r="F167" i="4"/>
  <c r="G167" i="4"/>
  <c r="H167" i="4"/>
  <c r="I167" i="4"/>
  <c r="J167" i="4"/>
  <c r="F168" i="4"/>
  <c r="G168" i="4"/>
  <c r="H168" i="4"/>
  <c r="I168" i="4"/>
  <c r="J168" i="4"/>
  <c r="F169" i="4"/>
  <c r="G169" i="4"/>
  <c r="H169" i="4"/>
  <c r="I169" i="4"/>
  <c r="J169" i="4"/>
  <c r="F170" i="4"/>
  <c r="G170" i="4"/>
  <c r="H170" i="4"/>
  <c r="I170" i="4"/>
  <c r="J170" i="4"/>
  <c r="F171" i="4"/>
  <c r="G171" i="4"/>
  <c r="H171" i="4"/>
  <c r="I171" i="4"/>
  <c r="J171" i="4"/>
  <c r="F172" i="4"/>
  <c r="G172" i="4"/>
  <c r="H172" i="4"/>
  <c r="I172" i="4"/>
  <c r="J172" i="4"/>
  <c r="F173" i="4"/>
  <c r="G173" i="4"/>
  <c r="H173" i="4"/>
  <c r="I173" i="4"/>
  <c r="J173" i="4"/>
  <c r="F174" i="4"/>
  <c r="G174" i="4"/>
  <c r="H174" i="4"/>
  <c r="I174" i="4"/>
  <c r="J174" i="4"/>
  <c r="F175" i="4"/>
  <c r="G175" i="4"/>
  <c r="H175" i="4"/>
  <c r="I175" i="4"/>
  <c r="J175" i="4"/>
  <c r="F176" i="4"/>
  <c r="G176" i="4"/>
  <c r="H176" i="4"/>
  <c r="I176" i="4"/>
  <c r="J176" i="4"/>
  <c r="E175" i="4"/>
  <c r="D174" i="4"/>
  <c r="E174" i="4" s="1"/>
  <c r="D173" i="4"/>
  <c r="D172" i="4"/>
  <c r="E172" i="4" s="1"/>
  <c r="D171" i="4"/>
  <c r="D170" i="4"/>
  <c r="E170" i="4" s="1"/>
  <c r="D169" i="4"/>
  <c r="D168" i="4"/>
  <c r="E168" i="4" s="1"/>
  <c r="D167" i="4"/>
  <c r="E167" i="4" s="1"/>
  <c r="D166" i="4"/>
  <c r="E166" i="4" s="1"/>
  <c r="D165" i="4"/>
  <c r="E165" i="4" s="1"/>
  <c r="D164" i="4"/>
  <c r="E164" i="4" s="1"/>
  <c r="D163" i="4"/>
  <c r="E163" i="4" s="1"/>
  <c r="E162" i="4"/>
  <c r="E160" i="4"/>
  <c r="D159" i="4"/>
  <c r="D158" i="4"/>
  <c r="E158" i="4" s="1"/>
  <c r="D157" i="4"/>
  <c r="D156" i="4"/>
  <c r="E156" i="4" s="1"/>
  <c r="D155" i="4"/>
  <c r="E155" i="4" s="1"/>
  <c r="D154" i="4"/>
  <c r="E154" i="4" s="1"/>
  <c r="E153" i="4"/>
  <c r="E152" i="4"/>
  <c r="D152" i="4"/>
  <c r="D151" i="4"/>
  <c r="D150" i="4"/>
  <c r="E150" i="4" s="1"/>
  <c r="D149" i="4"/>
  <c r="E148" i="4"/>
  <c r="D148" i="4"/>
  <c r="D147" i="4"/>
  <c r="D146" i="4"/>
  <c r="E146" i="4" s="1"/>
  <c r="D145" i="4"/>
  <c r="E144" i="4"/>
  <c r="D144" i="4"/>
  <c r="E143" i="4"/>
  <c r="D143" i="4"/>
  <c r="D142" i="4"/>
  <c r="E141" i="4"/>
  <c r="D140" i="4"/>
  <c r="E139" i="4"/>
  <c r="D139" i="4"/>
  <c r="D138" i="4"/>
  <c r="E138" i="4" s="1"/>
  <c r="E137" i="4"/>
  <c r="D137" i="4"/>
  <c r="E136" i="4"/>
  <c r="D136" i="4"/>
  <c r="D135" i="4"/>
  <c r="D134" i="4"/>
  <c r="E91" i="4"/>
  <c r="E92" i="4"/>
  <c r="E93" i="4"/>
  <c r="E94" i="4"/>
  <c r="E95" i="4"/>
  <c r="E99" i="4"/>
  <c r="E100" i="4"/>
  <c r="E101" i="4"/>
  <c r="E102" i="4"/>
  <c r="E103" i="4"/>
  <c r="E105" i="4"/>
  <c r="E106" i="4"/>
  <c r="E107" i="4"/>
  <c r="E110" i="4"/>
  <c r="E111" i="4"/>
  <c r="E112" i="4"/>
  <c r="E113" i="4"/>
  <c r="E114" i="4"/>
  <c r="E115" i="4"/>
  <c r="E116" i="4"/>
  <c r="E117" i="4"/>
  <c r="E118" i="4"/>
  <c r="E119" i="4"/>
  <c r="E122" i="4"/>
  <c r="E123" i="4"/>
  <c r="E124" i="4"/>
  <c r="E125" i="4"/>
  <c r="F126" i="4"/>
  <c r="G126" i="4"/>
  <c r="H126" i="4"/>
  <c r="I126" i="4"/>
  <c r="D121" i="4"/>
  <c r="D122" i="4"/>
  <c r="D123" i="4"/>
  <c r="D124" i="4"/>
  <c r="D113" i="4"/>
  <c r="D114" i="4"/>
  <c r="D115" i="4"/>
  <c r="D116" i="4"/>
  <c r="D117" i="4"/>
  <c r="D118" i="4"/>
  <c r="D119" i="4"/>
  <c r="D120" i="4"/>
  <c r="D104" i="4"/>
  <c r="E104" i="4" s="1"/>
  <c r="D105" i="4"/>
  <c r="D106" i="4"/>
  <c r="D107" i="4"/>
  <c r="D108" i="4"/>
  <c r="D109" i="4"/>
  <c r="D92" i="4"/>
  <c r="D93" i="4"/>
  <c r="D94" i="4"/>
  <c r="D95" i="4"/>
  <c r="D96" i="4"/>
  <c r="D97" i="4"/>
  <c r="D98" i="4"/>
  <c r="E98" i="4" s="1"/>
  <c r="D99" i="4"/>
  <c r="D100" i="4"/>
  <c r="D101" i="4"/>
  <c r="D102" i="4"/>
  <c r="D84" i="4"/>
  <c r="D85" i="4"/>
  <c r="D86" i="4"/>
  <c r="D87" i="4"/>
  <c r="E87" i="4" s="1"/>
  <c r="D88" i="4"/>
  <c r="E88" i="4" s="1"/>
  <c r="D89" i="4"/>
  <c r="E89" i="4" s="1"/>
  <c r="D90" i="4"/>
  <c r="E90" i="4" s="1"/>
  <c r="J85" i="4"/>
  <c r="E85" i="4" s="1"/>
  <c r="J86" i="4"/>
  <c r="J87" i="4"/>
  <c r="J88" i="4"/>
  <c r="J89" i="4"/>
  <c r="J90" i="4"/>
  <c r="J91" i="4"/>
  <c r="J92" i="4"/>
  <c r="J93" i="4"/>
  <c r="J94" i="4"/>
  <c r="J95" i="4"/>
  <c r="J96" i="4"/>
  <c r="E96" i="4" s="1"/>
  <c r="J97" i="4"/>
  <c r="E97" i="4" s="1"/>
  <c r="J98" i="4"/>
  <c r="J99" i="4"/>
  <c r="J100" i="4"/>
  <c r="J101" i="4"/>
  <c r="J102" i="4"/>
  <c r="J103" i="4"/>
  <c r="J104" i="4"/>
  <c r="J105" i="4"/>
  <c r="J106" i="4"/>
  <c r="J107" i="4"/>
  <c r="J108" i="4"/>
  <c r="E108" i="4" s="1"/>
  <c r="J109" i="4"/>
  <c r="E109" i="4" s="1"/>
  <c r="J110" i="4"/>
  <c r="J111" i="4"/>
  <c r="J112" i="4"/>
  <c r="J113" i="4"/>
  <c r="J114" i="4"/>
  <c r="J115" i="4"/>
  <c r="J116" i="4"/>
  <c r="J117" i="4"/>
  <c r="J118" i="4"/>
  <c r="J119" i="4"/>
  <c r="J120" i="4"/>
  <c r="E120" i="4" s="1"/>
  <c r="J121" i="4"/>
  <c r="E121" i="4" s="1"/>
  <c r="J122" i="4"/>
  <c r="J123" i="4"/>
  <c r="J124" i="4"/>
  <c r="J125" i="4"/>
  <c r="E157" i="4" l="1"/>
  <c r="E149" i="4"/>
  <c r="E159" i="4"/>
  <c r="E171" i="4"/>
  <c r="E145" i="4"/>
  <c r="E169" i="4"/>
  <c r="E173" i="4"/>
  <c r="E142" i="4"/>
  <c r="E134" i="4"/>
  <c r="D176" i="4"/>
  <c r="E176" i="4" s="1"/>
  <c r="D126" i="4"/>
  <c r="E86" i="4"/>
  <c r="J84" i="4"/>
  <c r="E84" i="4" s="1"/>
  <c r="J126" i="4" l="1"/>
  <c r="E126" i="4" s="1"/>
  <c r="D8" i="8" l="1"/>
  <c r="E8" i="8"/>
  <c r="F8" i="8"/>
  <c r="G8" i="8"/>
  <c r="C8" i="8"/>
  <c r="D7" i="8"/>
  <c r="E7" i="8"/>
  <c r="F7" i="8"/>
  <c r="G7" i="8"/>
  <c r="C7" i="8"/>
  <c r="D6" i="8"/>
  <c r="E6" i="8"/>
  <c r="F6" i="8"/>
  <c r="G6" i="8"/>
  <c r="C6" i="8"/>
  <c r="F5" i="8"/>
  <c r="E5" i="8"/>
  <c r="D5" i="8"/>
  <c r="C5" i="8"/>
  <c r="AN33" i="3"/>
  <c r="AM33" i="3"/>
  <c r="AN19" i="3"/>
  <c r="AM19" i="3"/>
  <c r="AQ6" i="3"/>
  <c r="AR6" i="3"/>
  <c r="AR5" i="3"/>
  <c r="AQ5" i="3"/>
  <c r="AM6" i="3"/>
  <c r="AN6" i="3"/>
  <c r="AO6" i="3"/>
  <c r="AP6" i="3"/>
  <c r="AM5" i="3"/>
  <c r="AN5" i="3"/>
  <c r="AO5" i="3"/>
  <c r="AP5" i="3"/>
  <c r="Q8" i="3"/>
  <c r="G212" i="1"/>
  <c r="G207" i="1"/>
  <c r="BR72" i="1"/>
  <c r="AV72" i="1"/>
  <c r="BP72" i="1" s="1"/>
  <c r="AR72" i="1"/>
  <c r="BM72" i="1" s="1"/>
  <c r="AP72" i="1"/>
  <c r="BK72" i="1" s="1"/>
  <c r="AN72" i="1"/>
  <c r="BJ72" i="1" s="1"/>
  <c r="S72" i="1"/>
  <c r="P62" i="1"/>
  <c r="BC62" i="1" s="1"/>
  <c r="P46" i="1"/>
  <c r="P205" i="1"/>
  <c r="P50" i="1"/>
  <c r="BC50" i="1" s="1"/>
  <c r="P39" i="1"/>
  <c r="P38" i="1"/>
  <c r="BC38" i="1" s="1"/>
  <c r="P54" i="1"/>
  <c r="BC54" i="1" s="1"/>
  <c r="AC8" i="3"/>
  <c r="AC9" i="3"/>
  <c r="AC10" i="3"/>
  <c r="AC11" i="3"/>
  <c r="AC12" i="3"/>
  <c r="AC13" i="3"/>
  <c r="AC14" i="3"/>
  <c r="AC15" i="3"/>
  <c r="AC16" i="3"/>
  <c r="AC17" i="3"/>
  <c r="AC18" i="3"/>
  <c r="AB8" i="3"/>
  <c r="AB9" i="3"/>
  <c r="AB10" i="3"/>
  <c r="AB11" i="3"/>
  <c r="AB12" i="3"/>
  <c r="AB13" i="3"/>
  <c r="AB14" i="3"/>
  <c r="AB15" i="3"/>
  <c r="AB16" i="3"/>
  <c r="AB17" i="3"/>
  <c r="AB18" i="3"/>
  <c r="Q9" i="3"/>
  <c r="Q10" i="3"/>
  <c r="Q11" i="3"/>
  <c r="Q12" i="3"/>
  <c r="Q13" i="3"/>
  <c r="Q14" i="3"/>
  <c r="Q15" i="3"/>
  <c r="Q16" i="3"/>
  <c r="Q17" i="3"/>
  <c r="Q18" i="3"/>
  <c r="P8" i="3"/>
  <c r="P9" i="3"/>
  <c r="P10" i="3"/>
  <c r="P11" i="3"/>
  <c r="P12" i="3"/>
  <c r="P13" i="3"/>
  <c r="P14" i="3"/>
  <c r="P15" i="3"/>
  <c r="P16" i="3"/>
  <c r="P17" i="3"/>
  <c r="P18" i="3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73" i="1"/>
  <c r="AS73" i="1"/>
  <c r="BN73" i="1" s="1"/>
  <c r="AS74" i="1"/>
  <c r="BN74" i="1" s="1"/>
  <c r="AS75" i="1"/>
  <c r="BN75" i="1" s="1"/>
  <c r="AS76" i="1"/>
  <c r="BN76" i="1" s="1"/>
  <c r="AS77" i="1"/>
  <c r="BN77" i="1" s="1"/>
  <c r="AS78" i="1"/>
  <c r="BN78" i="1" s="1"/>
  <c r="AS79" i="1"/>
  <c r="BN79" i="1" s="1"/>
  <c r="AS80" i="1"/>
  <c r="BN80" i="1" s="1"/>
  <c r="AS81" i="1"/>
  <c r="BN81" i="1" s="1"/>
  <c r="AS82" i="1"/>
  <c r="BN82" i="1" s="1"/>
  <c r="AS83" i="1"/>
  <c r="BN83" i="1" s="1"/>
  <c r="AS84" i="1"/>
  <c r="BN84" i="1" s="1"/>
  <c r="AS85" i="1"/>
  <c r="BN85" i="1" s="1"/>
  <c r="AS86" i="1"/>
  <c r="BN86" i="1" s="1"/>
  <c r="AS87" i="1"/>
  <c r="BN87" i="1" s="1"/>
  <c r="AS88" i="1"/>
  <c r="BN88" i="1" s="1"/>
  <c r="AS89" i="1"/>
  <c r="BN89" i="1" s="1"/>
  <c r="AS90" i="1"/>
  <c r="BN90" i="1" s="1"/>
  <c r="AS91" i="1"/>
  <c r="BN91" i="1" s="1"/>
  <c r="AS92" i="1"/>
  <c r="BN92" i="1" s="1"/>
  <c r="AS93" i="1"/>
  <c r="BN93" i="1" s="1"/>
  <c r="AS94" i="1"/>
  <c r="BN94" i="1" s="1"/>
  <c r="AS95" i="1"/>
  <c r="BN95" i="1" s="1"/>
  <c r="AS96" i="1"/>
  <c r="BN96" i="1" s="1"/>
  <c r="AS97" i="1"/>
  <c r="BN97" i="1" s="1"/>
  <c r="AS98" i="1"/>
  <c r="BN98" i="1" s="1"/>
  <c r="AS99" i="1"/>
  <c r="BN99" i="1" s="1"/>
  <c r="AS100" i="1"/>
  <c r="BN100" i="1" s="1"/>
  <c r="AS101" i="1"/>
  <c r="BN101" i="1" s="1"/>
  <c r="AS102" i="1"/>
  <c r="BN102" i="1" s="1"/>
  <c r="AS103" i="1"/>
  <c r="BN103" i="1" s="1"/>
  <c r="AS104" i="1"/>
  <c r="BN104" i="1" s="1"/>
  <c r="AS105" i="1"/>
  <c r="BN105" i="1" s="1"/>
  <c r="AS106" i="1"/>
  <c r="BN106" i="1" s="1"/>
  <c r="AS107" i="1"/>
  <c r="BN107" i="1" s="1"/>
  <c r="AS108" i="1"/>
  <c r="BN108" i="1" s="1"/>
  <c r="AS109" i="1"/>
  <c r="BN109" i="1" s="1"/>
  <c r="AN73" i="1"/>
  <c r="BJ73" i="1" s="1"/>
  <c r="AN74" i="1"/>
  <c r="BJ74" i="1" s="1"/>
  <c r="AN75" i="1"/>
  <c r="BJ75" i="1" s="1"/>
  <c r="AN76" i="1"/>
  <c r="BJ76" i="1" s="1"/>
  <c r="AN77" i="1"/>
  <c r="BJ77" i="1" s="1"/>
  <c r="AN78" i="1"/>
  <c r="BJ78" i="1" s="1"/>
  <c r="AN79" i="1"/>
  <c r="BJ79" i="1" s="1"/>
  <c r="AN80" i="1"/>
  <c r="BJ80" i="1" s="1"/>
  <c r="AN81" i="1"/>
  <c r="BJ81" i="1" s="1"/>
  <c r="AN82" i="1"/>
  <c r="BJ82" i="1" s="1"/>
  <c r="AN83" i="1"/>
  <c r="BJ83" i="1" s="1"/>
  <c r="AN84" i="1"/>
  <c r="BJ84" i="1" s="1"/>
  <c r="AN85" i="1"/>
  <c r="BJ85" i="1" s="1"/>
  <c r="AN86" i="1"/>
  <c r="BJ86" i="1" s="1"/>
  <c r="AN87" i="1"/>
  <c r="BJ87" i="1" s="1"/>
  <c r="AN88" i="1"/>
  <c r="BJ88" i="1" s="1"/>
  <c r="AN89" i="1"/>
  <c r="BJ89" i="1" s="1"/>
  <c r="AN90" i="1"/>
  <c r="BJ90" i="1" s="1"/>
  <c r="AN91" i="1"/>
  <c r="BJ91" i="1" s="1"/>
  <c r="AN92" i="1"/>
  <c r="BJ92" i="1" s="1"/>
  <c r="AN93" i="1"/>
  <c r="BJ93" i="1" s="1"/>
  <c r="AN94" i="1"/>
  <c r="BJ94" i="1" s="1"/>
  <c r="AN95" i="1"/>
  <c r="BJ95" i="1" s="1"/>
  <c r="AN96" i="1"/>
  <c r="BJ96" i="1" s="1"/>
  <c r="AN97" i="1"/>
  <c r="BJ97" i="1" s="1"/>
  <c r="AN98" i="1"/>
  <c r="BJ98" i="1" s="1"/>
  <c r="AN99" i="1"/>
  <c r="BJ99" i="1" s="1"/>
  <c r="AN100" i="1"/>
  <c r="BJ100" i="1" s="1"/>
  <c r="AN101" i="1"/>
  <c r="BJ101" i="1" s="1"/>
  <c r="AN102" i="1"/>
  <c r="BJ102" i="1" s="1"/>
  <c r="AN103" i="1"/>
  <c r="BJ103" i="1" s="1"/>
  <c r="AN104" i="1"/>
  <c r="BJ104" i="1" s="1"/>
  <c r="AN105" i="1"/>
  <c r="BJ105" i="1" s="1"/>
  <c r="AN106" i="1"/>
  <c r="BJ106" i="1" s="1"/>
  <c r="AN107" i="1"/>
  <c r="BJ107" i="1" s="1"/>
  <c r="AN108" i="1"/>
  <c r="BJ108" i="1" s="1"/>
  <c r="AN109" i="1"/>
  <c r="BJ109" i="1" s="1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R36" i="1"/>
  <c r="BM36" i="1" s="1"/>
  <c r="AR37" i="1"/>
  <c r="BM37" i="1" s="1"/>
  <c r="AR38" i="1"/>
  <c r="BM38" i="1" s="1"/>
  <c r="AR39" i="1"/>
  <c r="BM39" i="1" s="1"/>
  <c r="AR40" i="1"/>
  <c r="BM40" i="1" s="1"/>
  <c r="AR41" i="1"/>
  <c r="BM41" i="1" s="1"/>
  <c r="AR42" i="1"/>
  <c r="BM42" i="1" s="1"/>
  <c r="AR43" i="1"/>
  <c r="BM43" i="1" s="1"/>
  <c r="AR44" i="1"/>
  <c r="BM44" i="1" s="1"/>
  <c r="AR45" i="1"/>
  <c r="BM45" i="1" s="1"/>
  <c r="AR46" i="1"/>
  <c r="BM46" i="1" s="1"/>
  <c r="AR47" i="1"/>
  <c r="BM47" i="1" s="1"/>
  <c r="AR48" i="1"/>
  <c r="BM48" i="1" s="1"/>
  <c r="AR49" i="1"/>
  <c r="BM49" i="1" s="1"/>
  <c r="AR50" i="1"/>
  <c r="BM50" i="1" s="1"/>
  <c r="AR51" i="1"/>
  <c r="BM51" i="1" s="1"/>
  <c r="AR52" i="1"/>
  <c r="BM52" i="1" s="1"/>
  <c r="AR53" i="1"/>
  <c r="BM53" i="1" s="1"/>
  <c r="AR54" i="1"/>
  <c r="BM54" i="1" s="1"/>
  <c r="AR55" i="1"/>
  <c r="BM55" i="1" s="1"/>
  <c r="AR56" i="1"/>
  <c r="BM56" i="1" s="1"/>
  <c r="AR57" i="1"/>
  <c r="BM57" i="1" s="1"/>
  <c r="AR58" i="1"/>
  <c r="BM58" i="1" s="1"/>
  <c r="AR59" i="1"/>
  <c r="BM59" i="1" s="1"/>
  <c r="AR60" i="1"/>
  <c r="BM60" i="1" s="1"/>
  <c r="AR61" i="1"/>
  <c r="BM61" i="1" s="1"/>
  <c r="AR62" i="1"/>
  <c r="BM62" i="1" s="1"/>
  <c r="AR63" i="1"/>
  <c r="BM63" i="1" s="1"/>
  <c r="AR64" i="1"/>
  <c r="BM64" i="1" s="1"/>
  <c r="AR65" i="1"/>
  <c r="BM65" i="1" s="1"/>
  <c r="AR66" i="1"/>
  <c r="BM66" i="1" s="1"/>
  <c r="AR67" i="1"/>
  <c r="BM67" i="1" s="1"/>
  <c r="AR68" i="1"/>
  <c r="BM68" i="1" s="1"/>
  <c r="AR69" i="1"/>
  <c r="BM69" i="1" s="1"/>
  <c r="AR70" i="1"/>
  <c r="BM70" i="1" s="1"/>
  <c r="AR12" i="1"/>
  <c r="BM12" i="1" s="1"/>
  <c r="AR13" i="1"/>
  <c r="BM13" i="1" s="1"/>
  <c r="AR16" i="1"/>
  <c r="BM16" i="1" s="1"/>
  <c r="AR17" i="1"/>
  <c r="BM17" i="1" s="1"/>
  <c r="AR18" i="1"/>
  <c r="BM18" i="1" s="1"/>
  <c r="AR19" i="1"/>
  <c r="BM19" i="1" s="1"/>
  <c r="AR20" i="1"/>
  <c r="BM20" i="1" s="1"/>
  <c r="AR21" i="1"/>
  <c r="BM21" i="1" s="1"/>
  <c r="AR22" i="1"/>
  <c r="BM22" i="1" s="1"/>
  <c r="AR23" i="1"/>
  <c r="BM23" i="1" s="1"/>
  <c r="AR24" i="1"/>
  <c r="BM24" i="1" s="1"/>
  <c r="AR25" i="1"/>
  <c r="BM25" i="1" s="1"/>
  <c r="AR26" i="1"/>
  <c r="BM26" i="1" s="1"/>
  <c r="AR27" i="1"/>
  <c r="BM27" i="1" s="1"/>
  <c r="AR28" i="1"/>
  <c r="BM28" i="1" s="1"/>
  <c r="AR29" i="1"/>
  <c r="BM29" i="1" s="1"/>
  <c r="AR30" i="1"/>
  <c r="BM30" i="1" s="1"/>
  <c r="AR31" i="1"/>
  <c r="BM31" i="1" s="1"/>
  <c r="AR32" i="1"/>
  <c r="BM32" i="1" s="1"/>
  <c r="AR33" i="1"/>
  <c r="BM33" i="1" s="1"/>
  <c r="AR34" i="1"/>
  <c r="BM34" i="1" s="1"/>
  <c r="AR35" i="1"/>
  <c r="BM35" i="1" s="1"/>
  <c r="AR4" i="1"/>
  <c r="AR5" i="1"/>
  <c r="BM5" i="1" s="1"/>
  <c r="AR6" i="1"/>
  <c r="BM6" i="1" s="1"/>
  <c r="AR7" i="1"/>
  <c r="BM7" i="1" s="1"/>
  <c r="AR8" i="1"/>
  <c r="BM8" i="1" s="1"/>
  <c r="AR9" i="1"/>
  <c r="BM9" i="1" s="1"/>
  <c r="AR10" i="1"/>
  <c r="BM10" i="1" s="1"/>
  <c r="AR11" i="1"/>
  <c r="BM11" i="1" s="1"/>
  <c r="AR14" i="1"/>
  <c r="BM14" i="1" s="1"/>
  <c r="AR15" i="1"/>
  <c r="BM15" i="1" s="1"/>
  <c r="AV36" i="1"/>
  <c r="BP36" i="1" s="1"/>
  <c r="AV37" i="1"/>
  <c r="BP37" i="1" s="1"/>
  <c r="AV38" i="1"/>
  <c r="BP38" i="1" s="1"/>
  <c r="AV39" i="1"/>
  <c r="BP39" i="1" s="1"/>
  <c r="AV40" i="1"/>
  <c r="BP40" i="1" s="1"/>
  <c r="AV41" i="1"/>
  <c r="BP41" i="1" s="1"/>
  <c r="AV42" i="1"/>
  <c r="BP42" i="1" s="1"/>
  <c r="AV43" i="1"/>
  <c r="BP43" i="1" s="1"/>
  <c r="AV44" i="1"/>
  <c r="BP44" i="1" s="1"/>
  <c r="AV45" i="1"/>
  <c r="BP45" i="1" s="1"/>
  <c r="AV46" i="1"/>
  <c r="BP46" i="1" s="1"/>
  <c r="AV47" i="1"/>
  <c r="BP47" i="1" s="1"/>
  <c r="AV48" i="1"/>
  <c r="BP48" i="1" s="1"/>
  <c r="AV49" i="1"/>
  <c r="BP49" i="1" s="1"/>
  <c r="AV50" i="1"/>
  <c r="BP50" i="1" s="1"/>
  <c r="AV51" i="1"/>
  <c r="BP51" i="1" s="1"/>
  <c r="AV52" i="1"/>
  <c r="BP52" i="1" s="1"/>
  <c r="AV53" i="1"/>
  <c r="BP53" i="1" s="1"/>
  <c r="AV54" i="1"/>
  <c r="BP54" i="1" s="1"/>
  <c r="AV55" i="1"/>
  <c r="BP55" i="1" s="1"/>
  <c r="AV56" i="1"/>
  <c r="BP56" i="1" s="1"/>
  <c r="AV57" i="1"/>
  <c r="BP57" i="1" s="1"/>
  <c r="AV58" i="1"/>
  <c r="BP58" i="1" s="1"/>
  <c r="AV59" i="1"/>
  <c r="BP59" i="1" s="1"/>
  <c r="AV60" i="1"/>
  <c r="BP60" i="1" s="1"/>
  <c r="AV61" i="1"/>
  <c r="BP61" i="1" s="1"/>
  <c r="AV62" i="1"/>
  <c r="BP62" i="1" s="1"/>
  <c r="AV63" i="1"/>
  <c r="BP63" i="1" s="1"/>
  <c r="AV64" i="1"/>
  <c r="BP64" i="1" s="1"/>
  <c r="AV65" i="1"/>
  <c r="BP65" i="1" s="1"/>
  <c r="AV66" i="1"/>
  <c r="BP66" i="1" s="1"/>
  <c r="AV67" i="1"/>
  <c r="BP67" i="1" s="1"/>
  <c r="AV68" i="1"/>
  <c r="BP68" i="1" s="1"/>
  <c r="AV69" i="1"/>
  <c r="BP69" i="1" s="1"/>
  <c r="AV70" i="1"/>
  <c r="BP70" i="1" s="1"/>
  <c r="B7" i="5"/>
  <c r="B14" i="5" s="1"/>
  <c r="B43" i="5" s="1"/>
  <c r="B6" i="5"/>
  <c r="B35" i="5" s="1"/>
  <c r="B8" i="5"/>
  <c r="B37" i="5" s="1"/>
  <c r="B9" i="5"/>
  <c r="B10" i="5"/>
  <c r="A10" i="5" s="1"/>
  <c r="B11" i="5"/>
  <c r="B12" i="5"/>
  <c r="B41" i="5" s="1"/>
  <c r="B13" i="5"/>
  <c r="B42" i="5" s="1"/>
  <c r="B15" i="5"/>
  <c r="B44" i="5" s="1"/>
  <c r="B16" i="5"/>
  <c r="B45" i="5" s="1"/>
  <c r="B17" i="5"/>
  <c r="B46" i="5" s="1"/>
  <c r="B18" i="5"/>
  <c r="A18" i="5" s="1"/>
  <c r="B19" i="5"/>
  <c r="B48" i="5" s="1"/>
  <c r="B20" i="5"/>
  <c r="B49" i="5" s="1"/>
  <c r="B21" i="5"/>
  <c r="B50" i="5" s="1"/>
  <c r="B22" i="5"/>
  <c r="B51" i="5" s="1"/>
  <c r="B23" i="5"/>
  <c r="B52" i="5" s="1"/>
  <c r="B24" i="5"/>
  <c r="B53" i="5" s="1"/>
  <c r="B25" i="5"/>
  <c r="A25" i="5" s="1"/>
  <c r="B26" i="5"/>
  <c r="B55" i="5" s="1"/>
  <c r="B27" i="5"/>
  <c r="B56" i="5" s="1"/>
  <c r="B28" i="5"/>
  <c r="B57" i="5" s="1"/>
  <c r="B5" i="5"/>
  <c r="G43" i="5"/>
  <c r="H43" i="5"/>
  <c r="I43" i="5"/>
  <c r="G55" i="5"/>
  <c r="H55" i="5"/>
  <c r="I55" i="5"/>
  <c r="K12" i="5"/>
  <c r="H41" i="5"/>
  <c r="K14" i="5"/>
  <c r="K43" i="5"/>
  <c r="K24" i="5"/>
  <c r="H53" i="5"/>
  <c r="K26" i="5"/>
  <c r="K55" i="5"/>
  <c r="J6" i="5"/>
  <c r="K6" i="5"/>
  <c r="J7" i="5"/>
  <c r="J8" i="5"/>
  <c r="J9" i="5"/>
  <c r="K9" i="5"/>
  <c r="J10" i="5"/>
  <c r="K10" i="5"/>
  <c r="J11" i="5"/>
  <c r="J12" i="5"/>
  <c r="J41" i="5"/>
  <c r="J13" i="5"/>
  <c r="K13" i="5"/>
  <c r="J14" i="5"/>
  <c r="J43" i="5"/>
  <c r="J15" i="5"/>
  <c r="K15" i="5"/>
  <c r="J16" i="5"/>
  <c r="K16" i="5"/>
  <c r="J17" i="5"/>
  <c r="K17" i="5"/>
  <c r="J18" i="5"/>
  <c r="K18" i="5"/>
  <c r="J19" i="5"/>
  <c r="J20" i="5"/>
  <c r="J21" i="5"/>
  <c r="K21" i="5"/>
  <c r="J22" i="5"/>
  <c r="J23" i="5"/>
  <c r="K23" i="5"/>
  <c r="J24" i="5"/>
  <c r="J53" i="5"/>
  <c r="J25" i="5"/>
  <c r="K25" i="5"/>
  <c r="J26" i="5"/>
  <c r="J55" i="5"/>
  <c r="J27" i="5"/>
  <c r="K27" i="5"/>
  <c r="J28" i="5"/>
  <c r="K28" i="5"/>
  <c r="J29" i="5"/>
  <c r="J5" i="5"/>
  <c r="I6" i="4"/>
  <c r="J6" i="4" s="1"/>
  <c r="I7" i="4"/>
  <c r="J7" i="4" s="1"/>
  <c r="I45" i="4" s="1"/>
  <c r="I8" i="4"/>
  <c r="J8" i="4" s="1"/>
  <c r="I9" i="4"/>
  <c r="I10" i="4"/>
  <c r="J10" i="4" s="1"/>
  <c r="I11" i="4"/>
  <c r="J11" i="4" s="1"/>
  <c r="F49" i="4" s="1"/>
  <c r="I12" i="4"/>
  <c r="J12" i="4" s="1"/>
  <c r="I13" i="4"/>
  <c r="J13" i="4" s="1"/>
  <c r="G51" i="4" s="1"/>
  <c r="I14" i="4"/>
  <c r="I15" i="4"/>
  <c r="I16" i="4"/>
  <c r="I17" i="4"/>
  <c r="I18" i="4"/>
  <c r="J18" i="4" s="1"/>
  <c r="I19" i="4"/>
  <c r="J19" i="4" s="1"/>
  <c r="H57" i="4" s="1"/>
  <c r="I20" i="4"/>
  <c r="J20" i="4" s="1"/>
  <c r="I21" i="4"/>
  <c r="J21" i="4" s="1"/>
  <c r="J59" i="4" s="1"/>
  <c r="I22" i="4"/>
  <c r="J22" i="4" s="1"/>
  <c r="I23" i="4"/>
  <c r="I24" i="4"/>
  <c r="J24" i="4" s="1"/>
  <c r="J62" i="4" s="1"/>
  <c r="I25" i="4"/>
  <c r="J25" i="4" s="1"/>
  <c r="I26" i="4"/>
  <c r="I27" i="4"/>
  <c r="I28" i="4"/>
  <c r="I29" i="4"/>
  <c r="I30" i="4"/>
  <c r="J30" i="4" s="1"/>
  <c r="E30" i="4" s="1"/>
  <c r="I31" i="4"/>
  <c r="J31" i="4" s="1"/>
  <c r="I32" i="4"/>
  <c r="I33" i="4"/>
  <c r="J33" i="4" s="1"/>
  <c r="I34" i="4"/>
  <c r="J34" i="4" s="1"/>
  <c r="F72" i="4" s="1"/>
  <c r="I35" i="4"/>
  <c r="J35" i="4" s="1"/>
  <c r="I36" i="4"/>
  <c r="J36" i="4" s="1"/>
  <c r="I37" i="4"/>
  <c r="J37" i="4" s="1"/>
  <c r="I38" i="4"/>
  <c r="J38" i="4" s="1"/>
  <c r="I5" i="4"/>
  <c r="K35" i="5"/>
  <c r="H35" i="5"/>
  <c r="I35" i="5"/>
  <c r="G35" i="5"/>
  <c r="J35" i="5"/>
  <c r="I57" i="5"/>
  <c r="G57" i="5"/>
  <c r="J57" i="5"/>
  <c r="H57" i="5"/>
  <c r="K57" i="5"/>
  <c r="J49" i="5"/>
  <c r="G46" i="5"/>
  <c r="H46" i="5"/>
  <c r="I46" i="5"/>
  <c r="K46" i="5"/>
  <c r="G56" i="5"/>
  <c r="H56" i="5"/>
  <c r="I56" i="5"/>
  <c r="J56" i="5"/>
  <c r="K56" i="5"/>
  <c r="I42" i="5"/>
  <c r="J42" i="5"/>
  <c r="G42" i="5"/>
  <c r="H42" i="5"/>
  <c r="K42" i="5"/>
  <c r="J48" i="5"/>
  <c r="G47" i="5"/>
  <c r="K47" i="5"/>
  <c r="H47" i="5"/>
  <c r="I47" i="5"/>
  <c r="J47" i="5"/>
  <c r="J58" i="5"/>
  <c r="I45" i="5"/>
  <c r="G45" i="5"/>
  <c r="J45" i="5"/>
  <c r="K45" i="5"/>
  <c r="H45" i="5"/>
  <c r="K44" i="5"/>
  <c r="G44" i="5"/>
  <c r="H44" i="5"/>
  <c r="I44" i="5"/>
  <c r="J44" i="5"/>
  <c r="I54" i="5"/>
  <c r="G54" i="5"/>
  <c r="H54" i="5"/>
  <c r="J54" i="5"/>
  <c r="K54" i="5"/>
  <c r="G52" i="5"/>
  <c r="H52" i="5"/>
  <c r="K52" i="5"/>
  <c r="I52" i="5"/>
  <c r="G39" i="5"/>
  <c r="H39" i="5"/>
  <c r="I39" i="5"/>
  <c r="K39" i="5"/>
  <c r="K50" i="5"/>
  <c r="H50" i="5"/>
  <c r="J50" i="5"/>
  <c r="G50" i="5"/>
  <c r="I50" i="5"/>
  <c r="K38" i="5"/>
  <c r="H38" i="5"/>
  <c r="I38" i="5"/>
  <c r="J38" i="5"/>
  <c r="G38" i="5"/>
  <c r="K11" i="5"/>
  <c r="K22" i="5"/>
  <c r="J52" i="5"/>
  <c r="K8" i="5"/>
  <c r="K5" i="5"/>
  <c r="K29" i="5"/>
  <c r="J39" i="5"/>
  <c r="K53" i="5"/>
  <c r="J46" i="5"/>
  <c r="K41" i="5"/>
  <c r="G53" i="5"/>
  <c r="G41" i="5"/>
  <c r="K20" i="5"/>
  <c r="K7" i="5"/>
  <c r="I41" i="5"/>
  <c r="K19" i="5"/>
  <c r="I53" i="5"/>
  <c r="G51" i="5"/>
  <c r="H51" i="5"/>
  <c r="I51" i="5"/>
  <c r="K51" i="5"/>
  <c r="G49" i="5"/>
  <c r="H49" i="5"/>
  <c r="I49" i="5"/>
  <c r="K49" i="5"/>
  <c r="G34" i="5"/>
  <c r="H34" i="5"/>
  <c r="I34" i="5"/>
  <c r="K34" i="5"/>
  <c r="K37" i="5"/>
  <c r="G37" i="5"/>
  <c r="H37" i="5"/>
  <c r="I37" i="5"/>
  <c r="J34" i="5"/>
  <c r="I36" i="5"/>
  <c r="K36" i="5"/>
  <c r="G36" i="5"/>
  <c r="H36" i="5"/>
  <c r="G40" i="5"/>
  <c r="K40" i="5"/>
  <c r="H40" i="5"/>
  <c r="I40" i="5"/>
  <c r="J40" i="5"/>
  <c r="J51" i="5"/>
  <c r="G58" i="5"/>
  <c r="H58" i="5"/>
  <c r="I58" i="5"/>
  <c r="K58" i="5"/>
  <c r="I48" i="5"/>
  <c r="H48" i="5"/>
  <c r="K48" i="5"/>
  <c r="G48" i="5"/>
  <c r="J36" i="5"/>
  <c r="J37" i="5"/>
  <c r="L200" i="2"/>
  <c r="L193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10" i="2"/>
  <c r="R71" i="1"/>
  <c r="AN71" i="1" s="1"/>
  <c r="S8" i="1"/>
  <c r="AS8" i="1" s="1"/>
  <c r="BN8" i="1" s="1"/>
  <c r="S11" i="1"/>
  <c r="AS11" i="1" s="1"/>
  <c r="BN11" i="1" s="1"/>
  <c r="S15" i="1"/>
  <c r="S16" i="1"/>
  <c r="AS16" i="1" s="1"/>
  <c r="BN16" i="1" s="1"/>
  <c r="S18" i="1"/>
  <c r="AS18" i="1" s="1"/>
  <c r="BN18" i="1" s="1"/>
  <c r="S22" i="1"/>
  <c r="AS22" i="1" s="1"/>
  <c r="BN22" i="1" s="1"/>
  <c r="S23" i="1"/>
  <c r="AS23" i="1" s="1"/>
  <c r="BN23" i="1" s="1"/>
  <c r="S24" i="1"/>
  <c r="AS24" i="1" s="1"/>
  <c r="BN24" i="1" s="1"/>
  <c r="S25" i="1"/>
  <c r="AS25" i="1" s="1"/>
  <c r="BN25" i="1" s="1"/>
  <c r="S26" i="1"/>
  <c r="AS26" i="1" s="1"/>
  <c r="BN26" i="1" s="1"/>
  <c r="S27" i="1"/>
  <c r="AS27" i="1" s="1"/>
  <c r="BN27" i="1" s="1"/>
  <c r="S28" i="1"/>
  <c r="AS28" i="1" s="1"/>
  <c r="BN28" i="1" s="1"/>
  <c r="S29" i="1"/>
  <c r="AS29" i="1" s="1"/>
  <c r="BN29" i="1" s="1"/>
  <c r="S30" i="1"/>
  <c r="AS30" i="1" s="1"/>
  <c r="BN30" i="1" s="1"/>
  <c r="S34" i="1"/>
  <c r="AS34" i="1" s="1"/>
  <c r="BN34" i="1" s="1"/>
  <c r="S35" i="1"/>
  <c r="S36" i="1"/>
  <c r="S37" i="1"/>
  <c r="AS37" i="1" s="1"/>
  <c r="BN37" i="1" s="1"/>
  <c r="S40" i="1"/>
  <c r="AS40" i="1" s="1"/>
  <c r="BN40" i="1" s="1"/>
  <c r="S41" i="1"/>
  <c r="AS41" i="1" s="1"/>
  <c r="BN41" i="1" s="1"/>
  <c r="S42" i="1"/>
  <c r="AS42" i="1" s="1"/>
  <c r="BN42" i="1" s="1"/>
  <c r="S43" i="1"/>
  <c r="AS43" i="1" s="1"/>
  <c r="BN43" i="1" s="1"/>
  <c r="S44" i="1"/>
  <c r="AS44" i="1" s="1"/>
  <c r="BN44" i="1" s="1"/>
  <c r="S45" i="1"/>
  <c r="AS45" i="1" s="1"/>
  <c r="BN45" i="1" s="1"/>
  <c r="S47" i="1"/>
  <c r="AS47" i="1" s="1"/>
  <c r="BN47" i="1" s="1"/>
  <c r="S48" i="1"/>
  <c r="AS48" i="1" s="1"/>
  <c r="BN48" i="1" s="1"/>
  <c r="S49" i="1"/>
  <c r="AS49" i="1" s="1"/>
  <c r="BN49" i="1" s="1"/>
  <c r="S51" i="1"/>
  <c r="AS51" i="1" s="1"/>
  <c r="BN51" i="1" s="1"/>
  <c r="S52" i="1"/>
  <c r="AS52" i="1" s="1"/>
  <c r="BN52" i="1" s="1"/>
  <c r="S53" i="1"/>
  <c r="AS53" i="1" s="1"/>
  <c r="BN53" i="1" s="1"/>
  <c r="S55" i="1"/>
  <c r="AS55" i="1" s="1"/>
  <c r="BN55" i="1" s="1"/>
  <c r="S56" i="1"/>
  <c r="AS56" i="1" s="1"/>
  <c r="BN56" i="1" s="1"/>
  <c r="S57" i="1"/>
  <c r="AS57" i="1" s="1"/>
  <c r="BN57" i="1" s="1"/>
  <c r="S58" i="1"/>
  <c r="AS58" i="1" s="1"/>
  <c r="BN58" i="1" s="1"/>
  <c r="S59" i="1"/>
  <c r="AS59" i="1" s="1"/>
  <c r="BN59" i="1" s="1"/>
  <c r="S60" i="1"/>
  <c r="AS60" i="1" s="1"/>
  <c r="BN60" i="1" s="1"/>
  <c r="S61" i="1"/>
  <c r="AS61" i="1" s="1"/>
  <c r="BN61" i="1" s="1"/>
  <c r="S63" i="1"/>
  <c r="AS63" i="1" s="1"/>
  <c r="BN63" i="1" s="1"/>
  <c r="S64" i="1"/>
  <c r="AS64" i="1" s="1"/>
  <c r="BN64" i="1" s="1"/>
  <c r="S65" i="1"/>
  <c r="AS65" i="1" s="1"/>
  <c r="BN65" i="1" s="1"/>
  <c r="S66" i="1"/>
  <c r="AS66" i="1" s="1"/>
  <c r="BN66" i="1" s="1"/>
  <c r="S67" i="1"/>
  <c r="AS67" i="1" s="1"/>
  <c r="BN67" i="1" s="1"/>
  <c r="S68" i="1"/>
  <c r="AS68" i="1" s="1"/>
  <c r="BN68" i="1" s="1"/>
  <c r="S69" i="1"/>
  <c r="AS69" i="1" s="1"/>
  <c r="BN69" i="1" s="1"/>
  <c r="AB71" i="1"/>
  <c r="G71" i="1"/>
  <c r="BR70" i="1"/>
  <c r="AB70" i="1"/>
  <c r="R70" i="1"/>
  <c r="AN70" i="1" s="1"/>
  <c r="BJ70" i="1" s="1"/>
  <c r="P70" i="1"/>
  <c r="BC70" i="1" s="1"/>
  <c r="P13" i="1"/>
  <c r="BC13" i="1" s="1"/>
  <c r="AB19" i="1"/>
  <c r="AC19" i="1" s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AV16" i="1"/>
  <c r="BP16" i="1" s="1"/>
  <c r="AV17" i="1"/>
  <c r="BP17" i="1" s="1"/>
  <c r="AV18" i="1"/>
  <c r="BP18" i="1" s="1"/>
  <c r="AV19" i="1"/>
  <c r="BP19" i="1" s="1"/>
  <c r="AV20" i="1"/>
  <c r="BP20" i="1" s="1"/>
  <c r="AV21" i="1"/>
  <c r="BP21" i="1" s="1"/>
  <c r="AV22" i="1"/>
  <c r="BP22" i="1" s="1"/>
  <c r="AV23" i="1"/>
  <c r="BP23" i="1" s="1"/>
  <c r="AV24" i="1"/>
  <c r="BP24" i="1" s="1"/>
  <c r="AV25" i="1"/>
  <c r="BP25" i="1" s="1"/>
  <c r="AV26" i="1"/>
  <c r="BP26" i="1" s="1"/>
  <c r="AV27" i="1"/>
  <c r="BP27" i="1" s="1"/>
  <c r="AV28" i="1"/>
  <c r="BP28" i="1" s="1"/>
  <c r="AV29" i="1"/>
  <c r="BP29" i="1" s="1"/>
  <c r="AV30" i="1"/>
  <c r="BP30" i="1" s="1"/>
  <c r="AV31" i="1"/>
  <c r="BP31" i="1" s="1"/>
  <c r="AV32" i="1"/>
  <c r="BP32" i="1" s="1"/>
  <c r="AV33" i="1"/>
  <c r="BP33" i="1" s="1"/>
  <c r="AV34" i="1"/>
  <c r="BP34" i="1" s="1"/>
  <c r="AV12" i="1"/>
  <c r="BP12" i="1" s="1"/>
  <c r="AV13" i="1"/>
  <c r="BP13" i="1" s="1"/>
  <c r="C35" i="1"/>
  <c r="AN35" i="1"/>
  <c r="BJ35" i="1" s="1"/>
  <c r="AV35" i="1"/>
  <c r="BP35" i="1" s="1"/>
  <c r="BR35" i="1"/>
  <c r="AH35" i="1"/>
  <c r="C15" i="1"/>
  <c r="AE15" i="1"/>
  <c r="BE15" i="1" s="1"/>
  <c r="AN15" i="1"/>
  <c r="BJ15" i="1" s="1"/>
  <c r="AV15" i="1"/>
  <c r="BP15" i="1" s="1"/>
  <c r="BR15" i="1"/>
  <c r="P20" i="1"/>
  <c r="BC20" i="1" s="1"/>
  <c r="P19" i="1"/>
  <c r="BC19" i="1" s="1"/>
  <c r="P21" i="1"/>
  <c r="P17" i="1"/>
  <c r="BC17" i="1" s="1"/>
  <c r="P14" i="1"/>
  <c r="P10" i="1"/>
  <c r="BC10" i="1" s="1"/>
  <c r="P9" i="1"/>
  <c r="P4" i="1"/>
  <c r="O7" i="1"/>
  <c r="AK13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AK4" i="1"/>
  <c r="AI4" i="1"/>
  <c r="AI33" i="1"/>
  <c r="AI32" i="1"/>
  <c r="AI31" i="1"/>
  <c r="AI23" i="1"/>
  <c r="AI22" i="1"/>
  <c r="AK22" i="1" s="1"/>
  <c r="AI16" i="1"/>
  <c r="AI34" i="1"/>
  <c r="AK34" i="1" s="1"/>
  <c r="AI21" i="1"/>
  <c r="AK21" i="1" s="1"/>
  <c r="AI18" i="1"/>
  <c r="AK18" i="1" s="1"/>
  <c r="AK30" i="1"/>
  <c r="AI12" i="1"/>
  <c r="AK12" i="1" s="1"/>
  <c r="AK24" i="1"/>
  <c r="AI29" i="1"/>
  <c r="AI28" i="1"/>
  <c r="AI27" i="1"/>
  <c r="AI26" i="1"/>
  <c r="AI25" i="1"/>
  <c r="AJ8" i="1"/>
  <c r="AH8" i="1" s="1"/>
  <c r="BH8" i="1" s="1"/>
  <c r="BR5" i="1"/>
  <c r="BR6" i="1"/>
  <c r="BR7" i="1"/>
  <c r="BR8" i="1"/>
  <c r="BR9" i="1"/>
  <c r="BR10" i="1"/>
  <c r="BR11" i="1"/>
  <c r="BR14" i="1"/>
  <c r="AV4" i="1"/>
  <c r="AV5" i="1"/>
  <c r="BP5" i="1" s="1"/>
  <c r="AV6" i="1"/>
  <c r="BP6" i="1" s="1"/>
  <c r="AV7" i="1"/>
  <c r="BP7" i="1" s="1"/>
  <c r="AV8" i="1"/>
  <c r="BP8" i="1" s="1"/>
  <c r="AV9" i="1"/>
  <c r="BP9" i="1" s="1"/>
  <c r="AV10" i="1"/>
  <c r="BP10" i="1" s="1"/>
  <c r="AV11" i="1"/>
  <c r="BP11" i="1" s="1"/>
  <c r="AV14" i="1"/>
  <c r="BP14" i="1" s="1"/>
  <c r="Y8" i="3"/>
  <c r="Z8" i="3"/>
  <c r="AA8" i="3"/>
  <c r="Y9" i="3"/>
  <c r="Z9" i="3"/>
  <c r="AA9" i="3"/>
  <c r="Y10" i="3"/>
  <c r="Z10" i="3"/>
  <c r="AA10" i="3"/>
  <c r="Y11" i="3"/>
  <c r="Z11" i="3"/>
  <c r="AA11" i="3"/>
  <c r="Y12" i="3"/>
  <c r="Z12" i="3"/>
  <c r="AA12" i="3"/>
  <c r="Y13" i="3"/>
  <c r="Z13" i="3"/>
  <c r="AA13" i="3"/>
  <c r="Y14" i="3"/>
  <c r="Z14" i="3"/>
  <c r="AA14" i="3"/>
  <c r="Y15" i="3"/>
  <c r="Z15" i="3"/>
  <c r="AA15" i="3"/>
  <c r="Z16" i="3"/>
  <c r="AA16" i="3"/>
  <c r="Y17" i="3"/>
  <c r="Z17" i="3"/>
  <c r="AA17" i="3"/>
  <c r="Y18" i="3"/>
  <c r="Z18" i="3"/>
  <c r="AA18" i="3"/>
  <c r="M8" i="3"/>
  <c r="N8" i="3"/>
  <c r="O8" i="3"/>
  <c r="M9" i="3"/>
  <c r="N9" i="3"/>
  <c r="O9" i="3"/>
  <c r="M10" i="3"/>
  <c r="N10" i="3"/>
  <c r="O10" i="3"/>
  <c r="M11" i="3"/>
  <c r="N11" i="3"/>
  <c r="O11" i="3"/>
  <c r="M12" i="3"/>
  <c r="N12" i="3"/>
  <c r="O12" i="3"/>
  <c r="M13" i="3"/>
  <c r="N13" i="3"/>
  <c r="O13" i="3"/>
  <c r="M14" i="3"/>
  <c r="N14" i="3"/>
  <c r="O14" i="3"/>
  <c r="M15" i="3"/>
  <c r="N15" i="3"/>
  <c r="O15" i="3"/>
  <c r="M16" i="3"/>
  <c r="N16" i="3"/>
  <c r="O16" i="3"/>
  <c r="M17" i="3"/>
  <c r="N17" i="3"/>
  <c r="O17" i="3"/>
  <c r="M18" i="3"/>
  <c r="N18" i="3"/>
  <c r="O18" i="3"/>
  <c r="BR12" i="1"/>
  <c r="BR13" i="1"/>
  <c r="AN8" i="1"/>
  <c r="BJ8" i="1" s="1"/>
  <c r="AN9" i="1"/>
  <c r="BJ9" i="1" s="1"/>
  <c r="AN10" i="1"/>
  <c r="BJ10" i="1" s="1"/>
  <c r="AN11" i="1"/>
  <c r="BJ11" i="1" s="1"/>
  <c r="AN14" i="1"/>
  <c r="BJ14" i="1" s="1"/>
  <c r="AN16" i="1"/>
  <c r="BJ16" i="1" s="1"/>
  <c r="AN17" i="1"/>
  <c r="BJ17" i="1" s="1"/>
  <c r="AN18" i="1"/>
  <c r="BJ18" i="1" s="1"/>
  <c r="AN19" i="1"/>
  <c r="BJ19" i="1" s="1"/>
  <c r="AN20" i="1"/>
  <c r="BJ20" i="1" s="1"/>
  <c r="AN21" i="1"/>
  <c r="BJ21" i="1" s="1"/>
  <c r="AN22" i="1"/>
  <c r="BJ22" i="1" s="1"/>
  <c r="AN23" i="1"/>
  <c r="BJ23" i="1" s="1"/>
  <c r="AN24" i="1"/>
  <c r="BJ24" i="1" s="1"/>
  <c r="AN25" i="1"/>
  <c r="BJ25" i="1" s="1"/>
  <c r="AN26" i="1"/>
  <c r="BJ26" i="1" s="1"/>
  <c r="AN27" i="1"/>
  <c r="BJ27" i="1" s="1"/>
  <c r="AN28" i="1"/>
  <c r="BJ28" i="1" s="1"/>
  <c r="AN29" i="1"/>
  <c r="BJ29" i="1" s="1"/>
  <c r="AN30" i="1"/>
  <c r="BJ30" i="1" s="1"/>
  <c r="AN34" i="1"/>
  <c r="BJ34" i="1" s="1"/>
  <c r="AN36" i="1"/>
  <c r="BJ36" i="1" s="1"/>
  <c r="AN37" i="1"/>
  <c r="BJ37" i="1" s="1"/>
  <c r="AN38" i="1"/>
  <c r="BJ38" i="1" s="1"/>
  <c r="AN39" i="1"/>
  <c r="BJ39" i="1" s="1"/>
  <c r="AN40" i="1"/>
  <c r="BJ40" i="1" s="1"/>
  <c r="AN41" i="1"/>
  <c r="BJ41" i="1" s="1"/>
  <c r="AN42" i="1"/>
  <c r="BJ42" i="1" s="1"/>
  <c r="AN43" i="1"/>
  <c r="BJ43" i="1" s="1"/>
  <c r="AN44" i="1"/>
  <c r="BJ44" i="1" s="1"/>
  <c r="AN45" i="1"/>
  <c r="BJ45" i="1" s="1"/>
  <c r="AN46" i="1"/>
  <c r="BJ46" i="1" s="1"/>
  <c r="AN47" i="1"/>
  <c r="BJ47" i="1" s="1"/>
  <c r="AN48" i="1"/>
  <c r="BJ48" i="1" s="1"/>
  <c r="AN49" i="1"/>
  <c r="BJ49" i="1" s="1"/>
  <c r="AN50" i="1"/>
  <c r="BJ50" i="1" s="1"/>
  <c r="AN51" i="1"/>
  <c r="BJ51" i="1" s="1"/>
  <c r="AN52" i="1"/>
  <c r="BJ52" i="1" s="1"/>
  <c r="AN53" i="1"/>
  <c r="BJ53" i="1" s="1"/>
  <c r="AN54" i="1"/>
  <c r="BJ54" i="1" s="1"/>
  <c r="AN55" i="1"/>
  <c r="BJ55" i="1" s="1"/>
  <c r="AN56" i="1"/>
  <c r="BJ56" i="1" s="1"/>
  <c r="AN57" i="1"/>
  <c r="BJ57" i="1" s="1"/>
  <c r="AN58" i="1"/>
  <c r="BJ58" i="1" s="1"/>
  <c r="AN59" i="1"/>
  <c r="BJ59" i="1" s="1"/>
  <c r="AN60" i="1"/>
  <c r="BJ60" i="1" s="1"/>
  <c r="AN61" i="1"/>
  <c r="BJ61" i="1" s="1"/>
  <c r="AN62" i="1"/>
  <c r="BJ62" i="1" s="1"/>
  <c r="AN63" i="1"/>
  <c r="BJ63" i="1" s="1"/>
  <c r="AN64" i="1"/>
  <c r="BJ64" i="1" s="1"/>
  <c r="AN65" i="1"/>
  <c r="BJ65" i="1" s="1"/>
  <c r="AN66" i="1"/>
  <c r="BJ66" i="1" s="1"/>
  <c r="AN67" i="1"/>
  <c r="BJ67" i="1" s="1"/>
  <c r="AN68" i="1"/>
  <c r="BJ68" i="1" s="1"/>
  <c r="AN69" i="1"/>
  <c r="BJ69" i="1" s="1"/>
  <c r="AN4" i="1"/>
  <c r="AB4" i="1"/>
  <c r="AC4" i="1" s="1"/>
  <c r="AB5" i="1"/>
  <c r="AB6" i="1"/>
  <c r="AB7" i="1"/>
  <c r="AC7" i="1" s="1"/>
  <c r="AB8" i="1"/>
  <c r="AC8" i="1" s="1"/>
  <c r="AB9" i="1"/>
  <c r="AB10" i="1"/>
  <c r="AB11" i="1"/>
  <c r="AB14" i="1"/>
  <c r="AC14" i="1" s="1"/>
  <c r="W131" i="2"/>
  <c r="X131" i="2"/>
  <c r="AB49" i="1"/>
  <c r="AB30" i="1"/>
  <c r="AC30" i="1" s="1"/>
  <c r="AB66" i="1"/>
  <c r="AB67" i="1"/>
  <c r="AB43" i="1"/>
  <c r="AB55" i="1"/>
  <c r="AB54" i="1"/>
  <c r="AB53" i="1"/>
  <c r="AB45" i="1"/>
  <c r="AB44" i="1"/>
  <c r="AB41" i="1"/>
  <c r="AB69" i="1"/>
  <c r="AB68" i="1"/>
  <c r="AB64" i="1"/>
  <c r="AB63" i="1"/>
  <c r="AB62" i="1"/>
  <c r="AB61" i="1"/>
  <c r="AB60" i="1"/>
  <c r="AB59" i="1"/>
  <c r="AB58" i="1"/>
  <c r="AB57" i="1"/>
  <c r="AB56" i="1"/>
  <c r="AB40" i="1"/>
  <c r="AB39" i="1"/>
  <c r="AB52" i="1"/>
  <c r="AB51" i="1"/>
  <c r="AB47" i="1"/>
  <c r="AB38" i="1"/>
  <c r="AB65" i="1"/>
  <c r="AB48" i="1"/>
  <c r="AB46" i="1"/>
  <c r="AB50" i="1"/>
  <c r="AB36" i="1"/>
  <c r="AB37" i="1"/>
  <c r="P5" i="2"/>
  <c r="W5" i="2"/>
  <c r="P6" i="2"/>
  <c r="P7" i="2"/>
  <c r="P8" i="2"/>
  <c r="W8" i="2"/>
  <c r="P9" i="2"/>
  <c r="W9" i="2"/>
  <c r="P10" i="2"/>
  <c r="W10" i="2"/>
  <c r="P11" i="2"/>
  <c r="W11" i="2"/>
  <c r="P12" i="2"/>
  <c r="P13" i="2"/>
  <c r="W13" i="2"/>
  <c r="Z13" i="2"/>
  <c r="P14" i="2"/>
  <c r="W14" i="2"/>
  <c r="P15" i="2"/>
  <c r="W15" i="2"/>
  <c r="P16" i="2"/>
  <c r="P17" i="2"/>
  <c r="W17" i="2"/>
  <c r="P18" i="2"/>
  <c r="P19" i="2"/>
  <c r="W19" i="2"/>
  <c r="P20" i="2"/>
  <c r="W20" i="2"/>
  <c r="P21" i="2"/>
  <c r="W21" i="2"/>
  <c r="Z21" i="2"/>
  <c r="P22" i="2"/>
  <c r="W22" i="2"/>
  <c r="P23" i="2"/>
  <c r="P24" i="2"/>
  <c r="W24" i="2"/>
  <c r="P25" i="2"/>
  <c r="W25" i="2"/>
  <c r="P26" i="2"/>
  <c r="W26" i="2"/>
  <c r="X26" i="2"/>
  <c r="P27" i="2"/>
  <c r="W27" i="2"/>
  <c r="P28" i="2"/>
  <c r="P29" i="2"/>
  <c r="W29" i="2"/>
  <c r="P30" i="2"/>
  <c r="P31" i="2"/>
  <c r="W31" i="2"/>
  <c r="Z31" i="2"/>
  <c r="P32" i="2"/>
  <c r="W32" i="2"/>
  <c r="X32" i="2"/>
  <c r="P33" i="2"/>
  <c r="W33" i="2"/>
  <c r="P34" i="2"/>
  <c r="W34" i="2"/>
  <c r="P35" i="2"/>
  <c r="P36" i="2"/>
  <c r="W36" i="2"/>
  <c r="P37" i="2"/>
  <c r="W37" i="2"/>
  <c r="Z37" i="2"/>
  <c r="P38" i="2"/>
  <c r="P39" i="2"/>
  <c r="W39" i="2"/>
  <c r="P40" i="2"/>
  <c r="P41" i="2"/>
  <c r="W41" i="2"/>
  <c r="P42" i="2"/>
  <c r="P43" i="2"/>
  <c r="P44" i="2"/>
  <c r="W44" i="2"/>
  <c r="Z44" i="2"/>
  <c r="P45" i="2"/>
  <c r="P46" i="2"/>
  <c r="P47" i="2"/>
  <c r="W47" i="2"/>
  <c r="P48" i="2"/>
  <c r="W48" i="2"/>
  <c r="P49" i="2"/>
  <c r="W49" i="2"/>
  <c r="P50" i="2"/>
  <c r="W50" i="2"/>
  <c r="P51" i="2"/>
  <c r="W51" i="2"/>
  <c r="P52" i="2"/>
  <c r="P53" i="2"/>
  <c r="W53" i="2"/>
  <c r="AA53" i="2"/>
  <c r="P54" i="2"/>
  <c r="P55" i="2"/>
  <c r="P56" i="2"/>
  <c r="W56" i="2"/>
  <c r="P57" i="2"/>
  <c r="W57" i="2"/>
  <c r="P58" i="2"/>
  <c r="W58" i="2"/>
  <c r="Z58" i="2"/>
  <c r="P59" i="2"/>
  <c r="W59" i="2"/>
  <c r="AA59" i="2"/>
  <c r="P60" i="2"/>
  <c r="P61" i="2"/>
  <c r="P62" i="2"/>
  <c r="P63" i="2"/>
  <c r="W63" i="2"/>
  <c r="Y63" i="2"/>
  <c r="P64" i="2"/>
  <c r="W64" i="2"/>
  <c r="Z64" i="2"/>
  <c r="P65" i="2"/>
  <c r="W65" i="2"/>
  <c r="P66" i="2"/>
  <c r="W66" i="2"/>
  <c r="P67" i="2"/>
  <c r="P68" i="2"/>
  <c r="W68" i="2"/>
  <c r="P69" i="2"/>
  <c r="W69" i="2"/>
  <c r="P70" i="2"/>
  <c r="W70" i="2"/>
  <c r="P71" i="2"/>
  <c r="W71" i="2"/>
  <c r="P72" i="2"/>
  <c r="W72" i="2"/>
  <c r="P73" i="2"/>
  <c r="W73" i="2"/>
  <c r="P74" i="2"/>
  <c r="P75" i="2"/>
  <c r="P76" i="2"/>
  <c r="W76" i="2"/>
  <c r="P77" i="2"/>
  <c r="W77" i="2"/>
  <c r="Y77" i="2"/>
  <c r="P78" i="2"/>
  <c r="W78" i="2"/>
  <c r="P79" i="2"/>
  <c r="P80" i="2"/>
  <c r="W80" i="2"/>
  <c r="Y80" i="2"/>
  <c r="P81" i="2"/>
  <c r="W81" i="2"/>
  <c r="P82" i="2"/>
  <c r="W82" i="2"/>
  <c r="P83" i="2"/>
  <c r="P84" i="2"/>
  <c r="W84" i="2"/>
  <c r="X84" i="2"/>
  <c r="P85" i="2"/>
  <c r="W85" i="2"/>
  <c r="P86" i="2"/>
  <c r="P87" i="2"/>
  <c r="W87" i="2"/>
  <c r="P88" i="2"/>
  <c r="W88" i="2"/>
  <c r="P89" i="2"/>
  <c r="W89" i="2"/>
  <c r="X89" i="2"/>
  <c r="P90" i="2"/>
  <c r="W90" i="2"/>
  <c r="P91" i="2"/>
  <c r="P92" i="2"/>
  <c r="W92" i="2"/>
  <c r="X92" i="2"/>
  <c r="P93" i="2"/>
  <c r="P94" i="2"/>
  <c r="W94" i="2"/>
  <c r="P95" i="2"/>
  <c r="P96" i="2"/>
  <c r="W96" i="2"/>
  <c r="Z96" i="2"/>
  <c r="P97" i="2"/>
  <c r="W97" i="2"/>
  <c r="P98" i="2"/>
  <c r="P99" i="2"/>
  <c r="W99" i="2"/>
  <c r="P100" i="2"/>
  <c r="W100" i="2"/>
  <c r="Z100" i="2"/>
  <c r="P101" i="2"/>
  <c r="W101" i="2"/>
  <c r="P102" i="2"/>
  <c r="W102" i="2"/>
  <c r="P103" i="2"/>
  <c r="P104" i="2"/>
  <c r="W104" i="2"/>
  <c r="P105" i="2"/>
  <c r="W105" i="2"/>
  <c r="P106" i="2"/>
  <c r="W106" i="2"/>
  <c r="P107" i="2"/>
  <c r="W107" i="2"/>
  <c r="X107" i="2"/>
  <c r="P108" i="2"/>
  <c r="W108" i="2"/>
  <c r="Z108" i="2"/>
  <c r="P109" i="2"/>
  <c r="P110" i="2"/>
  <c r="P111" i="2"/>
  <c r="W111" i="2"/>
  <c r="P112" i="2"/>
  <c r="W112" i="2"/>
  <c r="P113" i="2"/>
  <c r="W113" i="2"/>
  <c r="X113" i="2"/>
  <c r="P114" i="2"/>
  <c r="W114" i="2"/>
  <c r="X114" i="2"/>
  <c r="P115" i="2"/>
  <c r="P116" i="2"/>
  <c r="P117" i="2"/>
  <c r="W117" i="2"/>
  <c r="P118" i="2"/>
  <c r="W118" i="2"/>
  <c r="P119" i="2"/>
  <c r="W119" i="2"/>
  <c r="P120" i="2"/>
  <c r="W120" i="2"/>
  <c r="P121" i="2"/>
  <c r="W121" i="2"/>
  <c r="P122" i="2"/>
  <c r="W122" i="2"/>
  <c r="Z122" i="2"/>
  <c r="P123" i="2"/>
  <c r="W123" i="2"/>
  <c r="Z123" i="2"/>
  <c r="P124" i="2"/>
  <c r="P125" i="2"/>
  <c r="W125" i="2"/>
  <c r="Y125" i="2"/>
  <c r="P126" i="2"/>
  <c r="W126" i="2"/>
  <c r="P127" i="2"/>
  <c r="W127" i="2"/>
  <c r="P128" i="2"/>
  <c r="W128" i="2"/>
  <c r="P129" i="2"/>
  <c r="W129" i="2"/>
  <c r="P130" i="2"/>
  <c r="W130" i="2"/>
  <c r="Z130" i="2"/>
  <c r="P131" i="2"/>
  <c r="P132" i="2"/>
  <c r="P133" i="2"/>
  <c r="P134" i="2"/>
  <c r="W134" i="2"/>
  <c r="X134" i="2"/>
  <c r="P135" i="2"/>
  <c r="W135" i="2"/>
  <c r="P136" i="2"/>
  <c r="P137" i="2"/>
  <c r="W137" i="2"/>
  <c r="P138" i="2"/>
  <c r="W138" i="2"/>
  <c r="P139" i="2"/>
  <c r="W139" i="2"/>
  <c r="P140" i="2"/>
  <c r="W140" i="2"/>
  <c r="Z140" i="2"/>
  <c r="P141" i="2"/>
  <c r="P142" i="2"/>
  <c r="W142" i="2"/>
  <c r="P143" i="2"/>
  <c r="W143" i="2"/>
  <c r="P144" i="2"/>
  <c r="W144" i="2"/>
  <c r="Z144" i="2"/>
  <c r="P145" i="2"/>
  <c r="W145" i="2"/>
  <c r="P146" i="2"/>
  <c r="P147" i="2"/>
  <c r="W147" i="2"/>
  <c r="P148" i="2"/>
  <c r="W148" i="2"/>
  <c r="P149" i="2"/>
  <c r="W149" i="2"/>
  <c r="X149" i="2"/>
  <c r="P150" i="2"/>
  <c r="W150" i="2"/>
  <c r="Z150" i="2"/>
  <c r="P151" i="2"/>
  <c r="P152" i="2"/>
  <c r="P153" i="2"/>
  <c r="W153" i="2"/>
  <c r="P154" i="2"/>
  <c r="P155" i="2"/>
  <c r="W155" i="2"/>
  <c r="X155" i="2"/>
  <c r="P156" i="2"/>
  <c r="W156" i="2"/>
  <c r="Z156" i="2"/>
  <c r="P157" i="2"/>
  <c r="P158" i="2"/>
  <c r="R7" i="1"/>
  <c r="R6" i="1"/>
  <c r="AN6" i="1" s="1"/>
  <c r="BJ6" i="1" s="1"/>
  <c r="R5" i="1"/>
  <c r="R13" i="1"/>
  <c r="R12" i="1"/>
  <c r="R33" i="1"/>
  <c r="R32" i="1"/>
  <c r="R31" i="1"/>
  <c r="AA131" i="2"/>
  <c r="AA122" i="2"/>
  <c r="AA155" i="2"/>
  <c r="W154" i="2"/>
  <c r="Z154" i="2"/>
  <c r="Z155" i="2"/>
  <c r="Y155" i="2"/>
  <c r="AA123" i="2"/>
  <c r="W132" i="2"/>
  <c r="Y132" i="2"/>
  <c r="Z131" i="2"/>
  <c r="X29" i="2"/>
  <c r="AA29" i="2"/>
  <c r="Z107" i="2"/>
  <c r="AA112" i="2"/>
  <c r="W46" i="2"/>
  <c r="Z46" i="2"/>
  <c r="AA107" i="2"/>
  <c r="Y107" i="2"/>
  <c r="X59" i="2"/>
  <c r="Z59" i="2"/>
  <c r="Y59" i="2"/>
  <c r="W23" i="2"/>
  <c r="X23" i="2"/>
  <c r="AA37" i="2"/>
  <c r="X128" i="2"/>
  <c r="Z128" i="2"/>
  <c r="Y128" i="2"/>
  <c r="Z142" i="2"/>
  <c r="AA142" i="2"/>
  <c r="Z72" i="2"/>
  <c r="X72" i="2"/>
  <c r="Y72" i="2"/>
  <c r="Z36" i="2"/>
  <c r="X36" i="2"/>
  <c r="Y36" i="2"/>
  <c r="Z119" i="2"/>
  <c r="X119" i="2"/>
  <c r="Y119" i="2"/>
  <c r="X71" i="2"/>
  <c r="Y71" i="2"/>
  <c r="Z71" i="2"/>
  <c r="AA71" i="2"/>
  <c r="Z118" i="2"/>
  <c r="AA118" i="2"/>
  <c r="Z94" i="2"/>
  <c r="AA94" i="2"/>
  <c r="Z57" i="2"/>
  <c r="X57" i="2"/>
  <c r="Y57" i="2"/>
  <c r="AA17" i="2"/>
  <c r="X17" i="2"/>
  <c r="Y17" i="2"/>
  <c r="Z17" i="2"/>
  <c r="Z147" i="2"/>
  <c r="X147" i="2"/>
  <c r="Y147" i="2"/>
  <c r="Z135" i="2"/>
  <c r="X135" i="2"/>
  <c r="Z111" i="2"/>
  <c r="X111" i="2"/>
  <c r="Y111" i="2"/>
  <c r="X39" i="2"/>
  <c r="Y39" i="2"/>
  <c r="X27" i="2"/>
  <c r="Y27" i="2"/>
  <c r="W75" i="2"/>
  <c r="AA75" i="2"/>
  <c r="X77" i="2"/>
  <c r="AA147" i="2"/>
  <c r="Y44" i="2"/>
  <c r="W95" i="2"/>
  <c r="AA95" i="2"/>
  <c r="Y131" i="2"/>
  <c r="AA58" i="2"/>
  <c r="X44" i="2"/>
  <c r="AA111" i="2"/>
  <c r="X156" i="2"/>
  <c r="AA92" i="2"/>
  <c r="AA128" i="2"/>
  <c r="Z53" i="2"/>
  <c r="X123" i="2"/>
  <c r="AA44" i="2"/>
  <c r="Y140" i="2"/>
  <c r="X140" i="2"/>
  <c r="Y53" i="2"/>
  <c r="AA49" i="2"/>
  <c r="W152" i="2"/>
  <c r="W83" i="2"/>
  <c r="AA83" i="2"/>
  <c r="X125" i="2"/>
  <c r="X96" i="2"/>
  <c r="X53" i="2"/>
  <c r="W116" i="2"/>
  <c r="AA116" i="2"/>
  <c r="Y92" i="2"/>
  <c r="W35" i="2"/>
  <c r="AA35" i="2"/>
  <c r="AA13" i="2"/>
  <c r="Z92" i="2"/>
  <c r="Y123" i="2"/>
  <c r="X50" i="2"/>
  <c r="AA50" i="2"/>
  <c r="Y50" i="2"/>
  <c r="Z50" i="2"/>
  <c r="Z120" i="2"/>
  <c r="X120" i="2"/>
  <c r="Y120" i="2"/>
  <c r="AA120" i="2"/>
  <c r="W124" i="2"/>
  <c r="AA124" i="2"/>
  <c r="AA150" i="2"/>
  <c r="X47" i="2"/>
  <c r="Z47" i="2"/>
  <c r="Y47" i="2"/>
  <c r="AA47" i="2"/>
  <c r="AA88" i="2"/>
  <c r="AA76" i="2"/>
  <c r="W151" i="2"/>
  <c r="AA151" i="2"/>
  <c r="X127" i="2"/>
  <c r="Y127" i="2"/>
  <c r="Z127" i="2"/>
  <c r="W103" i="2"/>
  <c r="W79" i="2"/>
  <c r="AA79" i="2"/>
  <c r="W55" i="2"/>
  <c r="AA55" i="2"/>
  <c r="W43" i="2"/>
  <c r="AA43" i="2"/>
  <c r="X19" i="2"/>
  <c r="Y19" i="2"/>
  <c r="X104" i="2"/>
  <c r="Z104" i="2"/>
  <c r="Y104" i="2"/>
  <c r="Z19" i="2"/>
  <c r="Z138" i="2"/>
  <c r="X138" i="2"/>
  <c r="Z114" i="2"/>
  <c r="Y114" i="2"/>
  <c r="AA114" i="2"/>
  <c r="Z90" i="2"/>
  <c r="X90" i="2"/>
  <c r="Z66" i="2"/>
  <c r="AA66" i="2"/>
  <c r="Y101" i="2"/>
  <c r="Z101" i="2"/>
  <c r="AA101" i="2"/>
  <c r="AA139" i="2"/>
  <c r="X143" i="2"/>
  <c r="Y143" i="2"/>
  <c r="X101" i="2"/>
  <c r="X148" i="2"/>
  <c r="Y148" i="2"/>
  <c r="Z148" i="2"/>
  <c r="X112" i="2"/>
  <c r="Y112" i="2"/>
  <c r="X88" i="2"/>
  <c r="Y88" i="2"/>
  <c r="X76" i="2"/>
  <c r="Y76" i="2"/>
  <c r="X64" i="2"/>
  <c r="Y64" i="2"/>
  <c r="W40" i="2"/>
  <c r="AA40" i="2"/>
  <c r="W28" i="2"/>
  <c r="AA28" i="2"/>
  <c r="W16" i="2"/>
  <c r="AA16" i="2"/>
  <c r="Z33" i="2"/>
  <c r="X33" i="2"/>
  <c r="Y33" i="2"/>
  <c r="X14" i="2"/>
  <c r="Y14" i="2"/>
  <c r="Z14" i="2"/>
  <c r="AA138" i="2"/>
  <c r="Z112" i="2"/>
  <c r="AA100" i="2"/>
  <c r="Y137" i="2"/>
  <c r="AA137" i="2"/>
  <c r="Z137" i="2"/>
  <c r="X137" i="2"/>
  <c r="X10" i="2"/>
  <c r="Y10" i="2"/>
  <c r="Z10" i="2"/>
  <c r="AA144" i="2"/>
  <c r="Y138" i="2"/>
  <c r="W158" i="2"/>
  <c r="W38" i="2"/>
  <c r="Z5" i="2"/>
  <c r="X5" i="2"/>
  <c r="Y144" i="2"/>
  <c r="X73" i="2"/>
  <c r="Y73" i="2"/>
  <c r="Z73" i="2"/>
  <c r="X37" i="2"/>
  <c r="Y37" i="2"/>
  <c r="X49" i="2"/>
  <c r="Y49" i="2"/>
  <c r="Z49" i="2"/>
  <c r="AA134" i="2"/>
  <c r="AA90" i="2"/>
  <c r="Z26" i="2"/>
  <c r="Z87" i="2"/>
  <c r="X87" i="2"/>
  <c r="Y87" i="2"/>
  <c r="AA87" i="2"/>
  <c r="X25" i="2"/>
  <c r="Y25" i="2"/>
  <c r="Z25" i="2"/>
  <c r="AA143" i="2"/>
  <c r="Y90" i="2"/>
  <c r="Y26" i="2"/>
  <c r="Z69" i="2"/>
  <c r="X69" i="2"/>
  <c r="Y69" i="2"/>
  <c r="Z24" i="2"/>
  <c r="X24" i="2"/>
  <c r="Y24" i="2"/>
  <c r="Y150" i="2"/>
  <c r="Y134" i="2"/>
  <c r="W110" i="2"/>
  <c r="Z68" i="2"/>
  <c r="X68" i="2"/>
  <c r="Y68" i="2"/>
  <c r="AA68" i="2"/>
  <c r="X150" i="2"/>
  <c r="Y66" i="2"/>
  <c r="Y41" i="2"/>
  <c r="X41" i="2"/>
  <c r="Z41" i="2"/>
  <c r="AA41" i="2"/>
  <c r="Z88" i="2"/>
  <c r="Z76" i="2"/>
  <c r="X66" i="2"/>
  <c r="Y32" i="2"/>
  <c r="X139" i="2"/>
  <c r="Y139" i="2"/>
  <c r="W115" i="2"/>
  <c r="AA115" i="2"/>
  <c r="W91" i="2"/>
  <c r="AA91" i="2"/>
  <c r="W67" i="2"/>
  <c r="AA67" i="2"/>
  <c r="X31" i="2"/>
  <c r="Y31" i="2"/>
  <c r="W7" i="2"/>
  <c r="AA7" i="2"/>
  <c r="X145" i="2"/>
  <c r="Y145" i="2"/>
  <c r="Z145" i="2"/>
  <c r="X82" i="2"/>
  <c r="Y82" i="2"/>
  <c r="Z82" i="2"/>
  <c r="AA82" i="2"/>
  <c r="AA104" i="2"/>
  <c r="AA31" i="2"/>
  <c r="Z126" i="2"/>
  <c r="X126" i="2"/>
  <c r="Y126" i="2"/>
  <c r="AA126" i="2"/>
  <c r="Z102" i="2"/>
  <c r="X102" i="2"/>
  <c r="AA102" i="2"/>
  <c r="Z78" i="2"/>
  <c r="X78" i="2"/>
  <c r="X121" i="2"/>
  <c r="Y121" i="2"/>
  <c r="Z121" i="2"/>
  <c r="Y102" i="2"/>
  <c r="Z99" i="2"/>
  <c r="X99" i="2"/>
  <c r="Z139" i="2"/>
  <c r="W136" i="2"/>
  <c r="AA136" i="2"/>
  <c r="X100" i="2"/>
  <c r="Y100" i="2"/>
  <c r="W52" i="2"/>
  <c r="AA52" i="2"/>
  <c r="X122" i="2"/>
  <c r="Y122" i="2"/>
  <c r="W98" i="2"/>
  <c r="W74" i="2"/>
  <c r="AA74" i="2"/>
  <c r="W62" i="2"/>
  <c r="AA14" i="2"/>
  <c r="Z9" i="2"/>
  <c r="X9" i="2"/>
  <c r="Y9" i="2"/>
  <c r="AA99" i="2"/>
  <c r="AA26" i="2"/>
  <c r="X97" i="2"/>
  <c r="Y97" i="2"/>
  <c r="Z97" i="2"/>
  <c r="X8" i="2"/>
  <c r="AA8" i="2"/>
  <c r="Y8" i="2"/>
  <c r="Z8" i="2"/>
  <c r="X144" i="2"/>
  <c r="Y99" i="2"/>
  <c r="AA78" i="2"/>
  <c r="X70" i="2"/>
  <c r="Y70" i="2"/>
  <c r="Z70" i="2"/>
  <c r="AA70" i="2"/>
  <c r="Z48" i="2"/>
  <c r="X48" i="2"/>
  <c r="Y48" i="2"/>
  <c r="AA5" i="2"/>
  <c r="Z134" i="2"/>
  <c r="Y78" i="2"/>
  <c r="W86" i="2"/>
  <c r="Y5" i="2"/>
  <c r="Z143" i="2"/>
  <c r="AA127" i="2"/>
  <c r="Z129" i="2"/>
  <c r="X129" i="2"/>
  <c r="Y129" i="2"/>
  <c r="X85" i="2"/>
  <c r="Y85" i="2"/>
  <c r="Z85" i="2"/>
  <c r="Z32" i="2"/>
  <c r="X106" i="2"/>
  <c r="Y106" i="2"/>
  <c r="Z106" i="2"/>
  <c r="Z84" i="2"/>
  <c r="AA84" i="2"/>
  <c r="X65" i="2"/>
  <c r="Z65" i="2"/>
  <c r="Y65" i="2"/>
  <c r="AA65" i="2"/>
  <c r="AA32" i="2"/>
  <c r="W146" i="2"/>
  <c r="Z105" i="2"/>
  <c r="X105" i="2"/>
  <c r="Y105" i="2"/>
  <c r="Z63" i="2"/>
  <c r="AA63" i="2"/>
  <c r="X63" i="2"/>
  <c r="AA148" i="2"/>
  <c r="AA106" i="2"/>
  <c r="Y84" i="2"/>
  <c r="AA64" i="2"/>
  <c r="AA19" i="2"/>
  <c r="AA10" i="2"/>
  <c r="AA145" i="2"/>
  <c r="AA121" i="2"/>
  <c r="W109" i="2"/>
  <c r="AA109" i="2"/>
  <c r="AA85" i="2"/>
  <c r="W61" i="2"/>
  <c r="AA61" i="2"/>
  <c r="AA25" i="2"/>
  <c r="X58" i="2"/>
  <c r="Y58" i="2"/>
  <c r="X22" i="2"/>
  <c r="Y22" i="2"/>
  <c r="AA80" i="2"/>
  <c r="X11" i="2"/>
  <c r="Z11" i="2"/>
  <c r="AA11" i="2"/>
  <c r="Y11" i="2"/>
  <c r="Z153" i="2"/>
  <c r="X153" i="2"/>
  <c r="Y153" i="2"/>
  <c r="Z117" i="2"/>
  <c r="X117" i="2"/>
  <c r="Y117" i="2"/>
  <c r="Z22" i="2"/>
  <c r="AA153" i="2"/>
  <c r="W141" i="2"/>
  <c r="AA105" i="2"/>
  <c r="AA81" i="2"/>
  <c r="AA57" i="2"/>
  <c r="W45" i="2"/>
  <c r="AA21" i="2"/>
  <c r="AA9" i="2"/>
  <c r="Y149" i="2"/>
  <c r="AA149" i="2"/>
  <c r="Z149" i="2"/>
  <c r="Y113" i="2"/>
  <c r="AA113" i="2"/>
  <c r="Z113" i="2"/>
  <c r="AA156" i="2"/>
  <c r="AA140" i="2"/>
  <c r="AA135" i="2"/>
  <c r="AA119" i="2"/>
  <c r="Y108" i="2"/>
  <c r="AA96" i="2"/>
  <c r="X80" i="2"/>
  <c r="Y21" i="2"/>
  <c r="W157" i="2"/>
  <c r="AA157" i="2"/>
  <c r="AA97" i="2"/>
  <c r="AA73" i="2"/>
  <c r="X13" i="2"/>
  <c r="Y13" i="2"/>
  <c r="Z81" i="2"/>
  <c r="X81" i="2"/>
  <c r="Y81" i="2"/>
  <c r="Z39" i="2"/>
  <c r="AA39" i="2"/>
  <c r="Y154" i="2"/>
  <c r="X118" i="2"/>
  <c r="Y118" i="2"/>
  <c r="W133" i="2"/>
  <c r="Z80" i="2"/>
  <c r="AA22" i="2"/>
  <c r="X56" i="2"/>
  <c r="Z56" i="2"/>
  <c r="Y56" i="2"/>
  <c r="X20" i="2"/>
  <c r="Y20" i="2"/>
  <c r="Z20" i="2"/>
  <c r="AA108" i="2"/>
  <c r="AA129" i="2"/>
  <c r="AA117" i="2"/>
  <c r="W93" i="2"/>
  <c r="AA93" i="2"/>
  <c r="AA69" i="2"/>
  <c r="AA33" i="2"/>
  <c r="AA56" i="2"/>
  <c r="AA20" i="2"/>
  <c r="X130" i="2"/>
  <c r="Y130" i="2"/>
  <c r="Y89" i="2"/>
  <c r="AA89" i="2"/>
  <c r="Z89" i="2"/>
  <c r="Z51" i="2"/>
  <c r="AA51" i="2"/>
  <c r="X51" i="2"/>
  <c r="Y51" i="2"/>
  <c r="X34" i="2"/>
  <c r="Y34" i="2"/>
  <c r="AA34" i="2"/>
  <c r="Z34" i="2"/>
  <c r="Z15" i="2"/>
  <c r="AA15" i="2"/>
  <c r="X15" i="2"/>
  <c r="Y15" i="2"/>
  <c r="Y156" i="2"/>
  <c r="Y135" i="2"/>
  <c r="AA130" i="2"/>
  <c r="X108" i="2"/>
  <c r="Y96" i="2"/>
  <c r="AA72" i="2"/>
  <c r="X21" i="2"/>
  <c r="AA36" i="2"/>
  <c r="X142" i="2"/>
  <c r="Y142" i="2"/>
  <c r="W12" i="2"/>
  <c r="Z125" i="2"/>
  <c r="Z77" i="2"/>
  <c r="Y29" i="2"/>
  <c r="AA48" i="2"/>
  <c r="AA24" i="2"/>
  <c r="X94" i="2"/>
  <c r="Y94" i="2"/>
  <c r="AA125" i="2"/>
  <c r="AA77" i="2"/>
  <c r="Z29" i="2"/>
  <c r="W60" i="2"/>
  <c r="AA60" i="2"/>
  <c r="Z27" i="2"/>
  <c r="AA27" i="2"/>
  <c r="W54" i="2"/>
  <c r="W42" i="2"/>
  <c r="W30" i="2"/>
  <c r="W18" i="2"/>
  <c r="W6" i="2"/>
  <c r="AA6" i="2"/>
  <c r="X154" i="2"/>
  <c r="Z132" i="2"/>
  <c r="X132" i="2"/>
  <c r="Y46" i="2"/>
  <c r="X46" i="2"/>
  <c r="AA132" i="2"/>
  <c r="AA154" i="2"/>
  <c r="AA23" i="2"/>
  <c r="Y23" i="2"/>
  <c r="Z23" i="2"/>
  <c r="AA46" i="2"/>
  <c r="Y83" i="2"/>
  <c r="Z83" i="2"/>
  <c r="X83" i="2"/>
  <c r="Y152" i="2"/>
  <c r="Z152" i="2"/>
  <c r="X152" i="2"/>
  <c r="Z95" i="2"/>
  <c r="Y95" i="2"/>
  <c r="X95" i="2"/>
  <c r="X116" i="2"/>
  <c r="Y116" i="2"/>
  <c r="Z116" i="2"/>
  <c r="Z75" i="2"/>
  <c r="X75" i="2"/>
  <c r="Y75" i="2"/>
  <c r="X35" i="2"/>
  <c r="Z35" i="2"/>
  <c r="Y35" i="2"/>
  <c r="AA152" i="2"/>
  <c r="Z18" i="2"/>
  <c r="X18" i="2"/>
  <c r="Y18" i="2"/>
  <c r="Z141" i="2"/>
  <c r="X141" i="2"/>
  <c r="Y141" i="2"/>
  <c r="X86" i="2"/>
  <c r="Y86" i="2"/>
  <c r="Z86" i="2"/>
  <c r="X103" i="2"/>
  <c r="Y103" i="2"/>
  <c r="Z103" i="2"/>
  <c r="Z30" i="2"/>
  <c r="X30" i="2"/>
  <c r="Y30" i="2"/>
  <c r="X38" i="2"/>
  <c r="Z38" i="2"/>
  <c r="Y38" i="2"/>
  <c r="AA18" i="2"/>
  <c r="Z42" i="2"/>
  <c r="X42" i="2"/>
  <c r="Y42" i="2"/>
  <c r="AA38" i="2"/>
  <c r="X16" i="2"/>
  <c r="Y16" i="2"/>
  <c r="Z16" i="2"/>
  <c r="X124" i="2"/>
  <c r="Y124" i="2"/>
  <c r="Z124" i="2"/>
  <c r="Z54" i="2"/>
  <c r="X54" i="2"/>
  <c r="Y54" i="2"/>
  <c r="X146" i="2"/>
  <c r="Z146" i="2"/>
  <c r="Y146" i="2"/>
  <c r="Z62" i="2"/>
  <c r="X62" i="2"/>
  <c r="Y62" i="2"/>
  <c r="X52" i="2"/>
  <c r="Y52" i="2"/>
  <c r="Z52" i="2"/>
  <c r="X7" i="2"/>
  <c r="Y7" i="2"/>
  <c r="Z7" i="2"/>
  <c r="AA86" i="2"/>
  <c r="AA62" i="2"/>
  <c r="X110" i="2"/>
  <c r="Y110" i="2"/>
  <c r="Z110" i="2"/>
  <c r="AA110" i="2"/>
  <c r="X28" i="2"/>
  <c r="Y28" i="2"/>
  <c r="Z28" i="2"/>
  <c r="X158" i="2"/>
  <c r="Z158" i="2"/>
  <c r="Y158" i="2"/>
  <c r="X151" i="2"/>
  <c r="Y151" i="2"/>
  <c r="Z151" i="2"/>
  <c r="Z12" i="2"/>
  <c r="X12" i="2"/>
  <c r="Y12" i="2"/>
  <c r="Z45" i="2"/>
  <c r="X45" i="2"/>
  <c r="Y45" i="2"/>
  <c r="X74" i="2"/>
  <c r="Y74" i="2"/>
  <c r="Z74" i="2"/>
  <c r="AA30" i="2"/>
  <c r="X40" i="2"/>
  <c r="Y40" i="2"/>
  <c r="Z40" i="2"/>
  <c r="Z60" i="2"/>
  <c r="X60" i="2"/>
  <c r="Y60" i="2"/>
  <c r="Z93" i="2"/>
  <c r="X93" i="2"/>
  <c r="Y93" i="2"/>
  <c r="X133" i="2"/>
  <c r="Y133" i="2"/>
  <c r="Z133" i="2"/>
  <c r="AA45" i="2"/>
  <c r="X98" i="2"/>
  <c r="Y98" i="2"/>
  <c r="Z98" i="2"/>
  <c r="AA54" i="2"/>
  <c r="X67" i="2"/>
  <c r="Y67" i="2"/>
  <c r="Z67" i="2"/>
  <c r="AA42" i="2"/>
  <c r="AA133" i="2"/>
  <c r="X61" i="2"/>
  <c r="Y61" i="2"/>
  <c r="Z61" i="2"/>
  <c r="X91" i="2"/>
  <c r="Y91" i="2"/>
  <c r="Z91" i="2"/>
  <c r="AA158" i="2"/>
  <c r="X43" i="2"/>
  <c r="Y43" i="2"/>
  <c r="Z43" i="2"/>
  <c r="X136" i="2"/>
  <c r="Y136" i="2"/>
  <c r="Z136" i="2"/>
  <c r="AA98" i="2"/>
  <c r="X55" i="2"/>
  <c r="Y55" i="2"/>
  <c r="Z55" i="2"/>
  <c r="X79" i="2"/>
  <c r="Y79" i="2"/>
  <c r="Z79" i="2"/>
  <c r="Z6" i="2"/>
  <c r="X6" i="2"/>
  <c r="Y6" i="2"/>
  <c r="AA12" i="2"/>
  <c r="X157" i="2"/>
  <c r="Y157" i="2"/>
  <c r="Z157" i="2"/>
  <c r="AA141" i="2"/>
  <c r="X109" i="2"/>
  <c r="Y109" i="2"/>
  <c r="Z109" i="2"/>
  <c r="AA146" i="2"/>
  <c r="X115" i="2"/>
  <c r="Y115" i="2"/>
  <c r="Z115" i="2"/>
  <c r="AA103" i="2"/>
  <c r="C4" i="1"/>
  <c r="C5" i="1"/>
  <c r="C6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AB17" i="1"/>
  <c r="AC17" i="1" s="1"/>
  <c r="AB21" i="1"/>
  <c r="AC21" i="1" s="1"/>
  <c r="AB34" i="1"/>
  <c r="AC34" i="1" s="1"/>
  <c r="AB18" i="1"/>
  <c r="AC18" i="1" s="1"/>
  <c r="AB13" i="1"/>
  <c r="AC13" i="1" s="1"/>
  <c r="AB22" i="1"/>
  <c r="AC22" i="1" s="1"/>
  <c r="AB23" i="1"/>
  <c r="AC23" i="1" s="1"/>
  <c r="AB31" i="1"/>
  <c r="AC31" i="1" s="1"/>
  <c r="AB32" i="1"/>
  <c r="AC32" i="1" s="1"/>
  <c r="AB33" i="1"/>
  <c r="AC33" i="1" s="1"/>
  <c r="AB16" i="1"/>
  <c r="AC16" i="1" s="1"/>
  <c r="AB24" i="1"/>
  <c r="AC24" i="1" s="1"/>
  <c r="AB12" i="1"/>
  <c r="AC12" i="1" s="1"/>
  <c r="AB20" i="1"/>
  <c r="AC20" i="1" s="1"/>
  <c r="AB25" i="1"/>
  <c r="AC25" i="1" s="1"/>
  <c r="AB26" i="1"/>
  <c r="AC26" i="1" s="1"/>
  <c r="AB27" i="1"/>
  <c r="AC27" i="1" s="1"/>
  <c r="AB28" i="1"/>
  <c r="AC28" i="1" s="1"/>
  <c r="AB29" i="1"/>
  <c r="AC29" i="1" s="1"/>
  <c r="C5" i="2"/>
  <c r="C6" i="2"/>
  <c r="C7" i="2"/>
  <c r="C8" i="2"/>
  <c r="C9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O14" i="1" l="1"/>
  <c r="BC14" i="1"/>
  <c r="G196" i="1"/>
  <c r="AY71" i="1"/>
  <c r="BR71" i="1" s="1"/>
  <c r="AP71" i="1"/>
  <c r="BK71" i="1" s="1"/>
  <c r="S46" i="1"/>
  <c r="AS46" i="1" s="1"/>
  <c r="BN46" i="1" s="1"/>
  <c r="BC46" i="1"/>
  <c r="S21" i="1"/>
  <c r="AS21" i="1" s="1"/>
  <c r="BN21" i="1" s="1"/>
  <c r="BC21" i="1"/>
  <c r="O9" i="1"/>
  <c r="BC9" i="1"/>
  <c r="BJ71" i="1"/>
  <c r="S39" i="1"/>
  <c r="AS39" i="1" s="1"/>
  <c r="BN39" i="1" s="1"/>
  <c r="BC39" i="1"/>
  <c r="AF35" i="1"/>
  <c r="BF35" i="1" s="1"/>
  <c r="BH35" i="1"/>
  <c r="R196" i="1"/>
  <c r="AS36" i="1"/>
  <c r="BN36" i="1" s="1"/>
  <c r="D9" i="8"/>
  <c r="S4" i="1"/>
  <c r="Q4" i="1" s="1"/>
  <c r="BC4" i="1"/>
  <c r="O4" i="1"/>
  <c r="BK4" i="1"/>
  <c r="AN5" i="1"/>
  <c r="BJ5" i="1" s="1"/>
  <c r="BM4" i="1"/>
  <c r="BR4" i="1"/>
  <c r="BJ4" i="1"/>
  <c r="S10" i="1"/>
  <c r="Q10" i="1" s="1"/>
  <c r="O10" i="1"/>
  <c r="S17" i="1"/>
  <c r="AS17" i="1" s="1"/>
  <c r="BN17" i="1" s="1"/>
  <c r="S14" i="1"/>
  <c r="Q14" i="1" s="1"/>
  <c r="AF71" i="1"/>
  <c r="BF71" i="1" s="1"/>
  <c r="AE71" i="1"/>
  <c r="BE71" i="1" s="1"/>
  <c r="AD71" i="1"/>
  <c r="BD71" i="1" s="1"/>
  <c r="AG71" i="1"/>
  <c r="BG71" i="1" s="1"/>
  <c r="AO71" i="1"/>
  <c r="AO196" i="1" s="1"/>
  <c r="S38" i="1"/>
  <c r="AS38" i="1" s="1"/>
  <c r="BN38" i="1" s="1"/>
  <c r="S50" i="1"/>
  <c r="E9" i="8"/>
  <c r="G9" i="8"/>
  <c r="C9" i="8"/>
  <c r="AH19" i="1"/>
  <c r="BH19" i="1" s="1"/>
  <c r="F9" i="8"/>
  <c r="AH16" i="1"/>
  <c r="AH29" i="1"/>
  <c r="AH23" i="1"/>
  <c r="AK31" i="1"/>
  <c r="S54" i="1"/>
  <c r="AS54" i="1" s="1"/>
  <c r="BN54" i="1" s="1"/>
  <c r="AH28" i="1"/>
  <c r="BH28" i="1" s="1"/>
  <c r="P71" i="1"/>
  <c r="AK23" i="1"/>
  <c r="AH27" i="1"/>
  <c r="BH27" i="1" s="1"/>
  <c r="AH33" i="1"/>
  <c r="S9" i="1"/>
  <c r="AS9" i="1" s="1"/>
  <c r="BN9" i="1" s="1"/>
  <c r="S70" i="1"/>
  <c r="AS70" i="1" s="1"/>
  <c r="BN70" i="1" s="1"/>
  <c r="AH20" i="1"/>
  <c r="BP4" i="1"/>
  <c r="AQ46" i="1"/>
  <c r="BL46" i="1" s="1"/>
  <c r="AK25" i="1"/>
  <c r="AH32" i="1"/>
  <c r="AH24" i="1"/>
  <c r="BH24" i="1" s="1"/>
  <c r="AQ55" i="1"/>
  <c r="BL55" i="1" s="1"/>
  <c r="AH31" i="1"/>
  <c r="BH31" i="1" s="1"/>
  <c r="AQ83" i="1"/>
  <c r="BL83" i="1" s="1"/>
  <c r="AH30" i="1"/>
  <c r="BH30" i="1" s="1"/>
  <c r="AH34" i="1"/>
  <c r="BH34" i="1" s="1"/>
  <c r="AC11" i="1"/>
  <c r="AC9" i="1"/>
  <c r="AC6" i="1"/>
  <c r="AC10" i="1"/>
  <c r="AC5" i="1"/>
  <c r="AL7" i="1"/>
  <c r="BI7" i="1" s="1"/>
  <c r="AG7" i="1"/>
  <c r="BG7" i="1" s="1"/>
  <c r="O17" i="1"/>
  <c r="AQ90" i="1"/>
  <c r="BL90" i="1" s="1"/>
  <c r="AK27" i="1"/>
  <c r="AQ109" i="1"/>
  <c r="BL109" i="1" s="1"/>
  <c r="AQ99" i="1"/>
  <c r="BL99" i="1" s="1"/>
  <c r="AQ79" i="1"/>
  <c r="BL79" i="1" s="1"/>
  <c r="AQ82" i="1"/>
  <c r="BL82" i="1" s="1"/>
  <c r="O21" i="1"/>
  <c r="AV71" i="1"/>
  <c r="BP71" i="1" s="1"/>
  <c r="AR71" i="1"/>
  <c r="BM71" i="1" s="1"/>
  <c r="AQ42" i="1"/>
  <c r="BL42" i="1" s="1"/>
  <c r="AK26" i="1"/>
  <c r="S62" i="1"/>
  <c r="AS62" i="1" s="1"/>
  <c r="BN62" i="1" s="1"/>
  <c r="AQ72" i="1"/>
  <c r="BL72" i="1" s="1"/>
  <c r="AK28" i="1"/>
  <c r="O20" i="1"/>
  <c r="S20" i="1"/>
  <c r="AS20" i="1" s="1"/>
  <c r="BN20" i="1" s="1"/>
  <c r="S19" i="1"/>
  <c r="AQ92" i="1"/>
  <c r="BL92" i="1" s="1"/>
  <c r="AQ66" i="1"/>
  <c r="BL66" i="1" s="1"/>
  <c r="AK29" i="1"/>
  <c r="O19" i="1"/>
  <c r="AL35" i="1"/>
  <c r="AK33" i="1"/>
  <c r="AF4" i="1"/>
  <c r="AQ103" i="1"/>
  <c r="BL103" i="1" s="1"/>
  <c r="AQ93" i="1"/>
  <c r="BL93" i="1" s="1"/>
  <c r="AE14" i="1"/>
  <c r="BE14" i="1" s="1"/>
  <c r="AQ9" i="1"/>
  <c r="BL9" i="1" s="1"/>
  <c r="AQ48" i="1"/>
  <c r="BL48" i="1" s="1"/>
  <c r="AG15" i="1"/>
  <c r="BG15" i="1" s="1"/>
  <c r="AQ63" i="1"/>
  <c r="BL63" i="1" s="1"/>
  <c r="AQ108" i="1"/>
  <c r="BL108" i="1" s="1"/>
  <c r="AQ76" i="1"/>
  <c r="BL76" i="1" s="1"/>
  <c r="AQ65" i="1"/>
  <c r="BL65" i="1" s="1"/>
  <c r="AQ15" i="1"/>
  <c r="BL15" i="1" s="1"/>
  <c r="AQ51" i="1"/>
  <c r="BL51" i="1" s="1"/>
  <c r="AQ10" i="1"/>
  <c r="BL10" i="1" s="1"/>
  <c r="AQ22" i="1"/>
  <c r="BL22" i="1" s="1"/>
  <c r="AQ41" i="1"/>
  <c r="BL41" i="1" s="1"/>
  <c r="AQ8" i="1"/>
  <c r="BL8" i="1" s="1"/>
  <c r="AQ84" i="1"/>
  <c r="BL84" i="1" s="1"/>
  <c r="AQ34" i="1"/>
  <c r="BL34" i="1" s="1"/>
  <c r="AQ78" i="1"/>
  <c r="BL78" i="1" s="1"/>
  <c r="AQ20" i="1"/>
  <c r="BL20" i="1" s="1"/>
  <c r="AQ24" i="1"/>
  <c r="BL24" i="1" s="1"/>
  <c r="AQ89" i="1"/>
  <c r="BL89" i="1" s="1"/>
  <c r="AQ35" i="1"/>
  <c r="BL35" i="1" s="1"/>
  <c r="AQ25" i="1"/>
  <c r="BL25" i="1" s="1"/>
  <c r="AQ91" i="1"/>
  <c r="BL91" i="1" s="1"/>
  <c r="AQ47" i="1"/>
  <c r="BL47" i="1" s="1"/>
  <c r="AQ39" i="1"/>
  <c r="BL39" i="1" s="1"/>
  <c r="AQ64" i="1"/>
  <c r="BL64" i="1" s="1"/>
  <c r="AQ38" i="1"/>
  <c r="BL38" i="1" s="1"/>
  <c r="AQ101" i="1"/>
  <c r="BL101" i="1" s="1"/>
  <c r="AQ26" i="1"/>
  <c r="BL26" i="1" s="1"/>
  <c r="AQ23" i="1"/>
  <c r="BL23" i="1" s="1"/>
  <c r="AQ96" i="1"/>
  <c r="BL96" i="1" s="1"/>
  <c r="AQ19" i="1"/>
  <c r="BL19" i="1" s="1"/>
  <c r="AL15" i="1"/>
  <c r="AD15" i="1"/>
  <c r="BD15" i="1" s="1"/>
  <c r="AF15" i="1"/>
  <c r="BF15" i="1" s="1"/>
  <c r="AH21" i="1"/>
  <c r="AQ88" i="1"/>
  <c r="BL88" i="1" s="1"/>
  <c r="AQ73" i="1"/>
  <c r="BL73" i="1" s="1"/>
  <c r="S7" i="1"/>
  <c r="AS7" i="1" s="1"/>
  <c r="BN7" i="1" s="1"/>
  <c r="AN7" i="1"/>
  <c r="BJ7" i="1" s="1"/>
  <c r="AQ54" i="1"/>
  <c r="BL54" i="1" s="1"/>
  <c r="AH22" i="1"/>
  <c r="AH13" i="1"/>
  <c r="S6" i="1"/>
  <c r="AS6" i="1" s="1"/>
  <c r="BN6" i="1" s="1"/>
  <c r="AQ97" i="1"/>
  <c r="BL97" i="1" s="1"/>
  <c r="AQ87" i="1"/>
  <c r="BL87" i="1" s="1"/>
  <c r="AQ11" i="1"/>
  <c r="BL11" i="1" s="1"/>
  <c r="AD35" i="1"/>
  <c r="BD35" i="1" s="1"/>
  <c r="AQ53" i="1"/>
  <c r="BL53" i="1" s="1"/>
  <c r="AQ85" i="1"/>
  <c r="BL85" i="1" s="1"/>
  <c r="AQ50" i="1"/>
  <c r="BL50" i="1" s="1"/>
  <c r="AQ40" i="1"/>
  <c r="BL40" i="1" s="1"/>
  <c r="AQ43" i="1"/>
  <c r="BL43" i="1" s="1"/>
  <c r="AQ14" i="1"/>
  <c r="BL14" i="1" s="1"/>
  <c r="AQ107" i="1"/>
  <c r="BL107" i="1" s="1"/>
  <c r="AQ44" i="1"/>
  <c r="BL44" i="1" s="1"/>
  <c r="AQ77" i="1"/>
  <c r="BL77" i="1" s="1"/>
  <c r="AE35" i="1"/>
  <c r="BE35" i="1" s="1"/>
  <c r="AH12" i="1"/>
  <c r="AQ67" i="1"/>
  <c r="BL67" i="1" s="1"/>
  <c r="AQ18" i="1"/>
  <c r="BL18" i="1" s="1"/>
  <c r="AQ6" i="1"/>
  <c r="BL6" i="1" s="1"/>
  <c r="AQ100" i="1"/>
  <c r="BL100" i="1" s="1"/>
  <c r="AQ45" i="1"/>
  <c r="BL45" i="1" s="1"/>
  <c r="AG35" i="1"/>
  <c r="BG35" i="1" s="1"/>
  <c r="AQ69" i="1"/>
  <c r="BL69" i="1" s="1"/>
  <c r="AQ62" i="1"/>
  <c r="BL62" i="1" s="1"/>
  <c r="AQ68" i="1"/>
  <c r="BL68" i="1" s="1"/>
  <c r="AQ27" i="1"/>
  <c r="BL27" i="1" s="1"/>
  <c r="AQ21" i="1"/>
  <c r="BL21" i="1" s="1"/>
  <c r="AQ57" i="1"/>
  <c r="BL57" i="1" s="1"/>
  <c r="AQ106" i="1"/>
  <c r="BL106" i="1" s="1"/>
  <c r="AQ104" i="1"/>
  <c r="BL104" i="1" s="1"/>
  <c r="AQ70" i="1"/>
  <c r="BL70" i="1" s="1"/>
  <c r="AQ80" i="1"/>
  <c r="BL80" i="1" s="1"/>
  <c r="AQ94" i="1"/>
  <c r="BL94" i="1" s="1"/>
  <c r="AQ86" i="1"/>
  <c r="BL86" i="1" s="1"/>
  <c r="AQ52" i="1"/>
  <c r="BL52" i="1" s="1"/>
  <c r="AQ29" i="1"/>
  <c r="BL29" i="1" s="1"/>
  <c r="AQ17" i="1"/>
  <c r="BL17" i="1" s="1"/>
  <c r="AQ102" i="1"/>
  <c r="BL102" i="1" s="1"/>
  <c r="AH26" i="1"/>
  <c r="AH18" i="1"/>
  <c r="S32" i="1"/>
  <c r="AS32" i="1" s="1"/>
  <c r="BN32" i="1" s="1"/>
  <c r="AN32" i="1"/>
  <c r="BJ32" i="1" s="1"/>
  <c r="AH25" i="1"/>
  <c r="AD7" i="1"/>
  <c r="BD7" i="1" s="1"/>
  <c r="AE7" i="1"/>
  <c r="BE7" i="1" s="1"/>
  <c r="AF7" i="1"/>
  <c r="BF7" i="1" s="1"/>
  <c r="AQ16" i="1"/>
  <c r="BL16" i="1" s="1"/>
  <c r="AQ4" i="1"/>
  <c r="AQ59" i="1"/>
  <c r="BL59" i="1" s="1"/>
  <c r="AQ36" i="1"/>
  <c r="BL36" i="1" s="1"/>
  <c r="AQ60" i="1"/>
  <c r="BL60" i="1" s="1"/>
  <c r="AQ30" i="1"/>
  <c r="BL30" i="1" s="1"/>
  <c r="AN33" i="1"/>
  <c r="BJ33" i="1" s="1"/>
  <c r="S33" i="1"/>
  <c r="AS33" i="1" s="1"/>
  <c r="BN33" i="1" s="1"/>
  <c r="AQ98" i="1"/>
  <c r="BL98" i="1" s="1"/>
  <c r="AN12" i="1"/>
  <c r="BJ12" i="1" s="1"/>
  <c r="S12" i="1"/>
  <c r="AS12" i="1" s="1"/>
  <c r="BN12" i="1" s="1"/>
  <c r="AQ28" i="1"/>
  <c r="BL28" i="1" s="1"/>
  <c r="AQ105" i="1"/>
  <c r="BL105" i="1" s="1"/>
  <c r="AQ75" i="1"/>
  <c r="BL75" i="1" s="1"/>
  <c r="AN13" i="1"/>
  <c r="BJ13" i="1" s="1"/>
  <c r="S13" i="1"/>
  <c r="AS13" i="1" s="1"/>
  <c r="BN13" i="1" s="1"/>
  <c r="AQ58" i="1"/>
  <c r="BL58" i="1" s="1"/>
  <c r="AQ74" i="1"/>
  <c r="BL74" i="1" s="1"/>
  <c r="S5" i="1"/>
  <c r="AQ95" i="1"/>
  <c r="BL95" i="1" s="1"/>
  <c r="AQ81" i="1"/>
  <c r="BL81" i="1" s="1"/>
  <c r="AQ61" i="1"/>
  <c r="BL61" i="1" s="1"/>
  <c r="AQ49" i="1"/>
  <c r="BL49" i="1" s="1"/>
  <c r="AQ37" i="1"/>
  <c r="BL37" i="1" s="1"/>
  <c r="AQ56" i="1"/>
  <c r="BL56" i="1" s="1"/>
  <c r="AN31" i="1"/>
  <c r="BJ31" i="1" s="1"/>
  <c r="S31" i="1"/>
  <c r="AS31" i="1" s="1"/>
  <c r="BN31" i="1" s="1"/>
  <c r="G5" i="8"/>
  <c r="K12" i="4"/>
  <c r="I51" i="4"/>
  <c r="A5" i="5"/>
  <c r="H51" i="4"/>
  <c r="B39" i="5"/>
  <c r="H69" i="4"/>
  <c r="J69" i="4"/>
  <c r="A8" i="5"/>
  <c r="B34" i="5"/>
  <c r="H44" i="4"/>
  <c r="G44" i="4"/>
  <c r="J44" i="4"/>
  <c r="G71" i="4"/>
  <c r="J71" i="4"/>
  <c r="E33" i="4"/>
  <c r="F56" i="4"/>
  <c r="G56" i="4"/>
  <c r="J56" i="4"/>
  <c r="K13" i="4"/>
  <c r="I62" i="4"/>
  <c r="J32" i="4"/>
  <c r="H70" i="4" s="1"/>
  <c r="J68" i="4"/>
  <c r="I49" i="4"/>
  <c r="G68" i="4"/>
  <c r="G62" i="4"/>
  <c r="H48" i="4"/>
  <c r="F68" i="4"/>
  <c r="I48" i="4"/>
  <c r="B36" i="5"/>
  <c r="G48" i="4"/>
  <c r="A15" i="5"/>
  <c r="F48" i="4"/>
  <c r="A27" i="5"/>
  <c r="J48" i="4"/>
  <c r="J75" i="4"/>
  <c r="E37" i="4"/>
  <c r="F75" i="4"/>
  <c r="G75" i="4"/>
  <c r="H75" i="4"/>
  <c r="F57" i="4"/>
  <c r="G57" i="4"/>
  <c r="J57" i="4"/>
  <c r="I57" i="4"/>
  <c r="J27" i="4"/>
  <c r="J15" i="4"/>
  <c r="I53" i="4" s="1"/>
  <c r="F74" i="4"/>
  <c r="G74" i="4"/>
  <c r="E36" i="4"/>
  <c r="I74" i="4"/>
  <c r="J74" i="4"/>
  <c r="J26" i="4"/>
  <c r="I64" i="4" s="1"/>
  <c r="H74" i="4"/>
  <c r="F60" i="4"/>
  <c r="I60" i="4"/>
  <c r="G60" i="4"/>
  <c r="H60" i="4"/>
  <c r="J60" i="4"/>
  <c r="F59" i="4"/>
  <c r="H59" i="4"/>
  <c r="G59" i="4"/>
  <c r="J29" i="4"/>
  <c r="I67" i="4" s="1"/>
  <c r="J17" i="4"/>
  <c r="I55" i="4" s="1"/>
  <c r="J5" i="4"/>
  <c r="I43" i="4" s="1"/>
  <c r="J58" i="4"/>
  <c r="F58" i="4"/>
  <c r="H58" i="4"/>
  <c r="G58" i="4"/>
  <c r="B54" i="5"/>
  <c r="B47" i="5"/>
  <c r="B40" i="5"/>
  <c r="A11" i="5"/>
  <c r="I58" i="4"/>
  <c r="G76" i="4"/>
  <c r="H76" i="4"/>
  <c r="E38" i="4"/>
  <c r="J14" i="4"/>
  <c r="I52" i="4" s="1"/>
  <c r="H73" i="4"/>
  <c r="E35" i="4"/>
  <c r="J73" i="4"/>
  <c r="F73" i="4"/>
  <c r="G73" i="4"/>
  <c r="F50" i="4"/>
  <c r="H50" i="4"/>
  <c r="G50" i="4"/>
  <c r="J50" i="4"/>
  <c r="J76" i="4"/>
  <c r="B38" i="5"/>
  <c r="G46" i="4"/>
  <c r="J46" i="4"/>
  <c r="F46" i="4"/>
  <c r="H46" i="4"/>
  <c r="I76" i="4"/>
  <c r="I73" i="4"/>
  <c r="J23" i="4"/>
  <c r="H49" i="4"/>
  <c r="J49" i="4"/>
  <c r="G49" i="4"/>
  <c r="J45" i="4"/>
  <c r="I50" i="4"/>
  <c r="F45" i="4"/>
  <c r="G45" i="4"/>
  <c r="H45" i="4"/>
  <c r="F76" i="4"/>
  <c r="I46" i="4"/>
  <c r="I75" i="4"/>
  <c r="J63" i="4"/>
  <c r="F63" i="4"/>
  <c r="J51" i="4"/>
  <c r="F51" i="4"/>
  <c r="I56" i="4"/>
  <c r="H56" i="4"/>
  <c r="F44" i="4"/>
  <c r="J72" i="4"/>
  <c r="I63" i="4"/>
  <c r="F62" i="4"/>
  <c r="H62" i="4"/>
  <c r="E34" i="4"/>
  <c r="H72" i="4"/>
  <c r="H63" i="4"/>
  <c r="I44" i="4"/>
  <c r="G72" i="4"/>
  <c r="G63" i="4"/>
  <c r="F71" i="4"/>
  <c r="H71" i="4"/>
  <c r="I72" i="4"/>
  <c r="I71" i="4"/>
  <c r="I59" i="4"/>
  <c r="I68" i="4"/>
  <c r="H68" i="4"/>
  <c r="J9" i="4"/>
  <c r="I47" i="4" s="1"/>
  <c r="F69" i="4"/>
  <c r="G69" i="4"/>
  <c r="E31" i="4"/>
  <c r="I69" i="4"/>
  <c r="J28" i="4"/>
  <c r="J16" i="4"/>
  <c r="AP196" i="1" l="1"/>
  <c r="Q21" i="1"/>
  <c r="AD23" i="1"/>
  <c r="BD23" i="1" s="1"/>
  <c r="BH23" i="1"/>
  <c r="AF20" i="1"/>
  <c r="BF20" i="1" s="1"/>
  <c r="BH20" i="1"/>
  <c r="AF21" i="1"/>
  <c r="BF21" i="1" s="1"/>
  <c r="BH21" i="1"/>
  <c r="AL22" i="1"/>
  <c r="BI22" i="1" s="1"/>
  <c r="BH22" i="1"/>
  <c r="AG32" i="1"/>
  <c r="BG32" i="1" s="1"/>
  <c r="BH32" i="1"/>
  <c r="AF18" i="1"/>
  <c r="BF18" i="1" s="1"/>
  <c r="BH18" i="1"/>
  <c r="AD12" i="1"/>
  <c r="BD12" i="1" s="1"/>
  <c r="BH12" i="1"/>
  <c r="AE33" i="1"/>
  <c r="BE33" i="1" s="1"/>
  <c r="BH33" i="1"/>
  <c r="AG29" i="1"/>
  <c r="BG29" i="1" s="1"/>
  <c r="BH29" i="1"/>
  <c r="AE25" i="1"/>
  <c r="BE25" i="1" s="1"/>
  <c r="BH25" i="1"/>
  <c r="AG16" i="1"/>
  <c r="BG16" i="1" s="1"/>
  <c r="BH16" i="1"/>
  <c r="AF26" i="1"/>
  <c r="BF26" i="1" s="1"/>
  <c r="BH26" i="1"/>
  <c r="AM15" i="1"/>
  <c r="BI15" i="1"/>
  <c r="AE13" i="1"/>
  <c r="BE13" i="1" s="1"/>
  <c r="BH13" i="1"/>
  <c r="AM35" i="1"/>
  <c r="BI35" i="1"/>
  <c r="P196" i="1"/>
  <c r="BC196" i="1" s="1"/>
  <c r="BC71" i="1"/>
  <c r="AR196" i="1"/>
  <c r="BM196" i="1" s="1"/>
  <c r="AN196" i="1"/>
  <c r="BJ196" i="1" s="1"/>
  <c r="AY196" i="1"/>
  <c r="BR196" i="1" s="1"/>
  <c r="AQ5" i="1"/>
  <c r="BL5" i="1" s="1"/>
  <c r="AV196" i="1"/>
  <c r="BP196" i="1" s="1"/>
  <c r="AS50" i="1"/>
  <c r="BN50" i="1" s="1"/>
  <c r="AS4" i="1"/>
  <c r="BN4" i="1" s="1"/>
  <c r="Q17" i="1"/>
  <c r="BF4" i="1"/>
  <c r="AS14" i="1"/>
  <c r="BN14" i="1" s="1"/>
  <c r="AS10" i="1"/>
  <c r="BN10" i="1" s="1"/>
  <c r="AQ71" i="1"/>
  <c r="BL71" i="1" s="1"/>
  <c r="AL19" i="1"/>
  <c r="AG19" i="1"/>
  <c r="BG19" i="1" s="1"/>
  <c r="AE19" i="1"/>
  <c r="BE19" i="1" s="1"/>
  <c r="AF19" i="1"/>
  <c r="BF19" i="1" s="1"/>
  <c r="AD19" i="1"/>
  <c r="BD19" i="1" s="1"/>
  <c r="Q9" i="1"/>
  <c r="Q70" i="1"/>
  <c r="AD25" i="1"/>
  <c r="BD25" i="1" s="1"/>
  <c r="AM7" i="1"/>
  <c r="S71" i="1"/>
  <c r="AS71" i="1" s="1"/>
  <c r="BN71" i="1" s="1"/>
  <c r="AG23" i="1"/>
  <c r="BG23" i="1" s="1"/>
  <c r="AT35" i="1"/>
  <c r="AE21" i="1"/>
  <c r="BE21" i="1" s="1"/>
  <c r="AG20" i="1"/>
  <c r="BG20" i="1" s="1"/>
  <c r="AF34" i="1"/>
  <c r="BF34" i="1" s="1"/>
  <c r="AL34" i="1"/>
  <c r="BI34" i="1" s="1"/>
  <c r="AD34" i="1"/>
  <c r="BD34" i="1" s="1"/>
  <c r="AG34" i="1"/>
  <c r="BG34" i="1" s="1"/>
  <c r="AE34" i="1"/>
  <c r="BE34" i="1" s="1"/>
  <c r="AE31" i="1"/>
  <c r="BE31" i="1" s="1"/>
  <c r="AL31" i="1"/>
  <c r="BI31" i="1" s="1"/>
  <c r="AD31" i="1"/>
  <c r="BD31" i="1" s="1"/>
  <c r="AG31" i="1"/>
  <c r="BG31" i="1" s="1"/>
  <c r="AF31" i="1"/>
  <c r="BF31" i="1" s="1"/>
  <c r="AE30" i="1"/>
  <c r="BE30" i="1" s="1"/>
  <c r="AG30" i="1"/>
  <c r="BG30" i="1" s="1"/>
  <c r="AF30" i="1"/>
  <c r="BF30" i="1" s="1"/>
  <c r="AD30" i="1"/>
  <c r="BD30" i="1" s="1"/>
  <c r="AL30" i="1"/>
  <c r="BI30" i="1" s="1"/>
  <c r="AF24" i="1"/>
  <c r="BF24" i="1" s="1"/>
  <c r="AE24" i="1"/>
  <c r="BE24" i="1" s="1"/>
  <c r="AG24" i="1"/>
  <c r="BG24" i="1" s="1"/>
  <c r="AL24" i="1"/>
  <c r="BI24" i="1" s="1"/>
  <c r="AD24" i="1"/>
  <c r="BD24" i="1" s="1"/>
  <c r="BK196" i="1"/>
  <c r="AH17" i="1"/>
  <c r="BH17" i="1" s="1"/>
  <c r="AG5" i="1"/>
  <c r="BG5" i="1" s="1"/>
  <c r="AD5" i="1"/>
  <c r="BD5" i="1" s="1"/>
  <c r="AL5" i="1"/>
  <c r="AF5" i="1"/>
  <c r="BF5" i="1" s="1"/>
  <c r="AE5" i="1"/>
  <c r="BE5" i="1" s="1"/>
  <c r="AL9" i="1"/>
  <c r="BI9" i="1" s="1"/>
  <c r="AG9" i="1"/>
  <c r="BG9" i="1" s="1"/>
  <c r="AD9" i="1"/>
  <c r="BD9" i="1" s="1"/>
  <c r="AF9" i="1"/>
  <c r="BF9" i="1" s="1"/>
  <c r="AE9" i="1"/>
  <c r="BE9" i="1" s="1"/>
  <c r="AG10" i="1"/>
  <c r="BG10" i="1" s="1"/>
  <c r="AF10" i="1"/>
  <c r="BF10" i="1" s="1"/>
  <c r="AE10" i="1"/>
  <c r="BE10" i="1" s="1"/>
  <c r="AL10" i="1"/>
  <c r="BI10" i="1" s="1"/>
  <c r="AD10" i="1"/>
  <c r="BD10" i="1" s="1"/>
  <c r="AG6" i="1"/>
  <c r="BG6" i="1" s="1"/>
  <c r="AL6" i="1"/>
  <c r="AE6" i="1"/>
  <c r="BE6" i="1" s="1"/>
  <c r="AD6" i="1"/>
  <c r="BD6" i="1" s="1"/>
  <c r="AF6" i="1"/>
  <c r="BF6" i="1" s="1"/>
  <c r="AG11" i="1"/>
  <c r="BG11" i="1" s="1"/>
  <c r="AE11" i="1"/>
  <c r="BE11" i="1" s="1"/>
  <c r="AL11" i="1"/>
  <c r="AF11" i="1"/>
  <c r="BF11" i="1" s="1"/>
  <c r="AD11" i="1"/>
  <c r="BD11" i="1" s="1"/>
  <c r="AE23" i="1"/>
  <c r="BE23" i="1" s="1"/>
  <c r="AD14" i="1"/>
  <c r="BD14" i="1" s="1"/>
  <c r="AG14" i="1"/>
  <c r="BG14" i="1" s="1"/>
  <c r="AG8" i="1"/>
  <c r="BG8" i="1" s="1"/>
  <c r="BH4" i="1"/>
  <c r="AG4" i="1"/>
  <c r="AE4" i="1"/>
  <c r="AL4" i="1"/>
  <c r="AD4" i="1"/>
  <c r="AL14" i="1"/>
  <c r="BI14" i="1" s="1"/>
  <c r="AF23" i="1"/>
  <c r="BF23" i="1" s="1"/>
  <c r="AG33" i="1"/>
  <c r="BG33" i="1" s="1"/>
  <c r="AF16" i="1"/>
  <c r="BF16" i="1" s="1"/>
  <c r="AD33" i="1"/>
  <c r="BD33" i="1" s="1"/>
  <c r="Q19" i="1"/>
  <c r="AS19" i="1"/>
  <c r="BN19" i="1" s="1"/>
  <c r="AL16" i="1"/>
  <c r="AD20" i="1"/>
  <c r="BD20" i="1" s="1"/>
  <c r="AF33" i="1"/>
  <c r="BF33" i="1" s="1"/>
  <c r="AL33" i="1"/>
  <c r="AD32" i="1"/>
  <c r="BD32" i="1" s="1"/>
  <c r="AF32" i="1"/>
  <c r="BF32" i="1" s="1"/>
  <c r="Q20" i="1"/>
  <c r="AE20" i="1"/>
  <c r="BE20" i="1" s="1"/>
  <c r="AL32" i="1"/>
  <c r="BI32" i="1" s="1"/>
  <c r="AL20" i="1"/>
  <c r="BI20" i="1" s="1"/>
  <c r="AD8" i="1"/>
  <c r="BD8" i="1" s="1"/>
  <c r="AE32" i="1"/>
  <c r="BE32" i="1" s="1"/>
  <c r="AF8" i="1"/>
  <c r="BF8" i="1" s="1"/>
  <c r="AF14" i="1"/>
  <c r="BF14" i="1" s="1"/>
  <c r="AE16" i="1"/>
  <c r="BE16" i="1" s="1"/>
  <c r="AD16" i="1"/>
  <c r="BD16" i="1" s="1"/>
  <c r="AF22" i="1"/>
  <c r="BF22" i="1" s="1"/>
  <c r="AT22" i="1"/>
  <c r="AT15" i="1"/>
  <c r="AD13" i="1"/>
  <c r="BD13" i="1" s="1"/>
  <c r="AL13" i="1"/>
  <c r="BI13" i="1" s="1"/>
  <c r="AQ7" i="1"/>
  <c r="BL7" i="1" s="1"/>
  <c r="AF12" i="1"/>
  <c r="BF12" i="1" s="1"/>
  <c r="AD21" i="1"/>
  <c r="BD21" i="1" s="1"/>
  <c r="AL21" i="1"/>
  <c r="BI21" i="1" s="1"/>
  <c r="AL12" i="1"/>
  <c r="AG13" i="1"/>
  <c r="BG13" i="1" s="1"/>
  <c r="AE22" i="1"/>
  <c r="BE22" i="1" s="1"/>
  <c r="AE12" i="1"/>
  <c r="BE12" i="1" s="1"/>
  <c r="AE8" i="1"/>
  <c r="BE8" i="1" s="1"/>
  <c r="AL8" i="1"/>
  <c r="BI8" i="1" s="1"/>
  <c r="AG21" i="1"/>
  <c r="BG21" i="1" s="1"/>
  <c r="AG22" i="1"/>
  <c r="BG22" i="1" s="1"/>
  <c r="AD22" i="1"/>
  <c r="BD22" i="1" s="1"/>
  <c r="AG12" i="1"/>
  <c r="BG12" i="1" s="1"/>
  <c r="AF13" i="1"/>
  <c r="BF13" i="1" s="1"/>
  <c r="AL27" i="1"/>
  <c r="BI27" i="1" s="1"/>
  <c r="AG27" i="1"/>
  <c r="BG27" i="1" s="1"/>
  <c r="AE27" i="1"/>
  <c r="BE27" i="1" s="1"/>
  <c r="AF27" i="1"/>
  <c r="BF27" i="1" s="1"/>
  <c r="AQ13" i="1"/>
  <c r="BL13" i="1" s="1"/>
  <c r="AG25" i="1"/>
  <c r="BG25" i="1" s="1"/>
  <c r="AL25" i="1"/>
  <c r="BI25" i="1" s="1"/>
  <c r="AF25" i="1"/>
  <c r="BF25" i="1" s="1"/>
  <c r="AQ31" i="1"/>
  <c r="BL31" i="1" s="1"/>
  <c r="AS5" i="1"/>
  <c r="BN5" i="1" s="1"/>
  <c r="AQ32" i="1"/>
  <c r="BL32" i="1" s="1"/>
  <c r="AL29" i="1"/>
  <c r="BI29" i="1" s="1"/>
  <c r="AE29" i="1"/>
  <c r="BE29" i="1" s="1"/>
  <c r="AQ12" i="1"/>
  <c r="BL12" i="1" s="1"/>
  <c r="BL4" i="1"/>
  <c r="AG18" i="1"/>
  <c r="BG18" i="1" s="1"/>
  <c r="AL28" i="1"/>
  <c r="BI28" i="1" s="1"/>
  <c r="AD28" i="1"/>
  <c r="BD28" i="1" s="1"/>
  <c r="AG28" i="1"/>
  <c r="BG28" i="1" s="1"/>
  <c r="AE28" i="1"/>
  <c r="BE28" i="1" s="1"/>
  <c r="AF29" i="1"/>
  <c r="BF29" i="1" s="1"/>
  <c r="AL26" i="1"/>
  <c r="BI26" i="1" s="1"/>
  <c r="AD26" i="1"/>
  <c r="BD26" i="1" s="1"/>
  <c r="AG26" i="1"/>
  <c r="BG26" i="1" s="1"/>
  <c r="AE26" i="1"/>
  <c r="BE26" i="1" s="1"/>
  <c r="AQ33" i="1"/>
  <c r="BL33" i="1" s="1"/>
  <c r="AL23" i="1"/>
  <c r="BI23" i="1" s="1"/>
  <c r="AL18" i="1"/>
  <c r="BI18" i="1" s="1"/>
  <c r="AE18" i="1"/>
  <c r="BE18" i="1" s="1"/>
  <c r="AD18" i="1"/>
  <c r="BD18" i="1" s="1"/>
  <c r="AD27" i="1"/>
  <c r="BD27" i="1" s="1"/>
  <c r="AF28" i="1"/>
  <c r="BF28" i="1" s="1"/>
  <c r="AD29" i="1"/>
  <c r="BD29" i="1" s="1"/>
  <c r="G70" i="4"/>
  <c r="I70" i="4"/>
  <c r="E32" i="4"/>
  <c r="F70" i="4"/>
  <c r="J70" i="4"/>
  <c r="AE72" i="1"/>
  <c r="BE72" i="1" s="1"/>
  <c r="AD72" i="1"/>
  <c r="BD72" i="1" s="1"/>
  <c r="H53" i="4"/>
  <c r="J53" i="4"/>
  <c r="F53" i="4"/>
  <c r="G53" i="4"/>
  <c r="G64" i="4"/>
  <c r="H64" i="4"/>
  <c r="F64" i="4"/>
  <c r="J64" i="4"/>
  <c r="H65" i="4"/>
  <c r="G65" i="4"/>
  <c r="J65" i="4"/>
  <c r="F65" i="4"/>
  <c r="G54" i="4"/>
  <c r="J54" i="4"/>
  <c r="F54" i="4"/>
  <c r="H54" i="4"/>
  <c r="AF72" i="1"/>
  <c r="BF72" i="1" s="1"/>
  <c r="I65" i="4"/>
  <c r="G66" i="4"/>
  <c r="J66" i="4"/>
  <c r="F66" i="4"/>
  <c r="H66" i="4"/>
  <c r="AG72" i="1"/>
  <c r="BG72" i="1" s="1"/>
  <c r="H61" i="4"/>
  <c r="J61" i="4"/>
  <c r="G61" i="4"/>
  <c r="F61" i="4"/>
  <c r="G52" i="4"/>
  <c r="H52" i="4"/>
  <c r="J52" i="4"/>
  <c r="F52" i="4"/>
  <c r="E29" i="4"/>
  <c r="J67" i="4"/>
  <c r="F67" i="4"/>
  <c r="G67" i="4"/>
  <c r="H67" i="4"/>
  <c r="I61" i="4"/>
  <c r="G43" i="4"/>
  <c r="J43" i="4"/>
  <c r="H43" i="4"/>
  <c r="F43" i="4"/>
  <c r="I54" i="4"/>
  <c r="F47" i="4"/>
  <c r="H47" i="4"/>
  <c r="G47" i="4"/>
  <c r="J47" i="4"/>
  <c r="J55" i="4"/>
  <c r="F55" i="4"/>
  <c r="G55" i="4"/>
  <c r="H55" i="4"/>
  <c r="I66" i="4"/>
  <c r="AM33" i="1" l="1"/>
  <c r="BI33" i="1"/>
  <c r="AZ15" i="1"/>
  <c r="BO15" i="1"/>
  <c r="AU35" i="1"/>
  <c r="BO35" i="1"/>
  <c r="AM19" i="1"/>
  <c r="BI19" i="1"/>
  <c r="AM11" i="1"/>
  <c r="BI11" i="1"/>
  <c r="AM12" i="1"/>
  <c r="BI12" i="1"/>
  <c r="AT16" i="1"/>
  <c r="BO16" i="1" s="1"/>
  <c r="BI16" i="1"/>
  <c r="AW22" i="1"/>
  <c r="BQ22" i="1" s="1"/>
  <c r="BO22" i="1"/>
  <c r="AT6" i="1"/>
  <c r="BO6" i="1" s="1"/>
  <c r="BI6" i="1"/>
  <c r="AM22" i="1"/>
  <c r="AM5" i="1"/>
  <c r="BI5" i="1"/>
  <c r="AQ196" i="1"/>
  <c r="AO198" i="1" s="1"/>
  <c r="AP198" i="1" s="1"/>
  <c r="S196" i="1"/>
  <c r="Q196" i="1" s="1"/>
  <c r="AS196" i="1"/>
  <c r="BN196" i="1" s="1"/>
  <c r="BD4" i="1"/>
  <c r="BE4" i="1"/>
  <c r="BG4" i="1"/>
  <c r="AT4" i="1"/>
  <c r="BO4" i="1" s="1"/>
  <c r="Q71" i="1"/>
  <c r="AZ35" i="1"/>
  <c r="AW35" i="1"/>
  <c r="AM6" i="1"/>
  <c r="AM34" i="1"/>
  <c r="AT34" i="1"/>
  <c r="AT30" i="1"/>
  <c r="AM31" i="1"/>
  <c r="AD17" i="1"/>
  <c r="BD17" i="1" s="1"/>
  <c r="AG17" i="1"/>
  <c r="BG17" i="1" s="1"/>
  <c r="AE17" i="1"/>
  <c r="BE17" i="1" s="1"/>
  <c r="AL17" i="1"/>
  <c r="AF17" i="1"/>
  <c r="BF17" i="1" s="1"/>
  <c r="AM24" i="1"/>
  <c r="AT24" i="1"/>
  <c r="AT10" i="1"/>
  <c r="AM10" i="1"/>
  <c r="AM30" i="1"/>
  <c r="AT11" i="1"/>
  <c r="AT19" i="1"/>
  <c r="AM9" i="1"/>
  <c r="AT9" i="1"/>
  <c r="AT14" i="1"/>
  <c r="AM14" i="1"/>
  <c r="AM20" i="1"/>
  <c r="AM32" i="1"/>
  <c r="AT20" i="1"/>
  <c r="BO20" i="1" s="1"/>
  <c r="AM4" i="1"/>
  <c r="BI4" i="1"/>
  <c r="AM16" i="1"/>
  <c r="AU22" i="1"/>
  <c r="AU15" i="1"/>
  <c r="AZ22" i="1"/>
  <c r="AT12" i="1"/>
  <c r="AT32" i="1"/>
  <c r="BO32" i="1" s="1"/>
  <c r="AW15" i="1"/>
  <c r="AT13" i="1"/>
  <c r="AM8" i="1"/>
  <c r="AT8" i="1"/>
  <c r="BO8" i="1" s="1"/>
  <c r="AM13" i="1"/>
  <c r="AM21" i="1"/>
  <c r="AT21" i="1"/>
  <c r="BO21" i="1" s="1"/>
  <c r="AT31" i="1"/>
  <c r="AT7" i="1"/>
  <c r="BO7" i="1" s="1"/>
  <c r="AT18" i="1"/>
  <c r="BO18" i="1" s="1"/>
  <c r="AM18" i="1"/>
  <c r="AX22" i="1"/>
  <c r="AT26" i="1"/>
  <c r="BO26" i="1" s="1"/>
  <c r="AM26" i="1"/>
  <c r="AT5" i="1"/>
  <c r="BO5" i="1" s="1"/>
  <c r="AT33" i="1"/>
  <c r="BO33" i="1" s="1"/>
  <c r="AT28" i="1"/>
  <c r="BO28" i="1" s="1"/>
  <c r="AM28" i="1"/>
  <c r="AT23" i="1"/>
  <c r="BO23" i="1" s="1"/>
  <c r="AM23" i="1"/>
  <c r="AM29" i="1"/>
  <c r="AT29" i="1"/>
  <c r="BO29" i="1" s="1"/>
  <c r="AT25" i="1"/>
  <c r="BO25" i="1" s="1"/>
  <c r="AM25" i="1"/>
  <c r="AT27" i="1"/>
  <c r="BO27" i="1" s="1"/>
  <c r="AM27" i="1"/>
  <c r="AH55" i="1"/>
  <c r="AH53" i="1"/>
  <c r="BH53" i="1" s="1"/>
  <c r="AH43" i="1"/>
  <c r="BH43" i="1" s="1"/>
  <c r="AH44" i="1"/>
  <c r="AH65" i="1"/>
  <c r="BH65" i="1" s="1"/>
  <c r="AH56" i="1"/>
  <c r="BH56" i="1" s="1"/>
  <c r="AH40" i="1"/>
  <c r="BH40" i="1" s="1"/>
  <c r="AH90" i="1"/>
  <c r="BH90" i="1" s="1"/>
  <c r="AH41" i="1"/>
  <c r="BH41" i="1" s="1"/>
  <c r="AH48" i="1"/>
  <c r="BH48" i="1" s="1"/>
  <c r="AH103" i="1"/>
  <c r="BH103" i="1" s="1"/>
  <c r="AH97" i="1"/>
  <c r="BH97" i="1" s="1"/>
  <c r="AH81" i="1"/>
  <c r="BH81" i="1" s="1"/>
  <c r="AH72" i="1"/>
  <c r="BH72" i="1" s="1"/>
  <c r="AH51" i="1"/>
  <c r="BH51" i="1" s="1"/>
  <c r="AH64" i="1"/>
  <c r="BH64" i="1" s="1"/>
  <c r="AH57" i="1"/>
  <c r="BH57" i="1" s="1"/>
  <c r="AH37" i="1"/>
  <c r="BH37" i="1" s="1"/>
  <c r="AH98" i="1"/>
  <c r="BH98" i="1" s="1"/>
  <c r="AH59" i="1"/>
  <c r="BH59" i="1" s="1"/>
  <c r="AH49" i="1"/>
  <c r="BH49" i="1" s="1"/>
  <c r="AH45" i="1"/>
  <c r="BH45" i="1" s="1"/>
  <c r="AH109" i="1"/>
  <c r="BH109" i="1" s="1"/>
  <c r="AH47" i="1"/>
  <c r="BH47" i="1" s="1"/>
  <c r="AH39" i="1"/>
  <c r="BH39" i="1" s="1"/>
  <c r="AH106" i="1"/>
  <c r="BH106" i="1" s="1"/>
  <c r="AH52" i="1"/>
  <c r="BH52" i="1" s="1"/>
  <c r="AH62" i="1"/>
  <c r="BH62" i="1" s="1"/>
  <c r="AH68" i="1"/>
  <c r="BH68" i="1" s="1"/>
  <c r="AH50" i="1"/>
  <c r="BH50" i="1" s="1"/>
  <c r="AH67" i="1"/>
  <c r="BH67" i="1" s="1"/>
  <c r="AH96" i="1"/>
  <c r="BH96" i="1" s="1"/>
  <c r="AH71" i="1"/>
  <c r="BH71" i="1" s="1"/>
  <c r="AH69" i="1"/>
  <c r="BH69" i="1" s="1"/>
  <c r="AH60" i="1"/>
  <c r="BH60" i="1" s="1"/>
  <c r="AH61" i="1"/>
  <c r="BH61" i="1" s="1"/>
  <c r="AH99" i="1"/>
  <c r="BH99" i="1" s="1"/>
  <c r="AH70" i="1"/>
  <c r="BH70" i="1" s="1"/>
  <c r="AH66" i="1"/>
  <c r="BH66" i="1" s="1"/>
  <c r="AH38" i="1"/>
  <c r="BH38" i="1" s="1"/>
  <c r="AH54" i="1"/>
  <c r="BH54" i="1" s="1"/>
  <c r="AH58" i="1"/>
  <c r="BH58" i="1" s="1"/>
  <c r="AH46" i="1"/>
  <c r="BH46" i="1" s="1"/>
  <c r="AH42" i="1"/>
  <c r="BH42" i="1" s="1"/>
  <c r="AH63" i="1"/>
  <c r="BH63" i="1" s="1"/>
  <c r="AZ16" i="1" l="1"/>
  <c r="BS16" i="1" s="1"/>
  <c r="AU16" i="1"/>
  <c r="AW16" i="1"/>
  <c r="BQ16" i="1" s="1"/>
  <c r="AU6" i="1"/>
  <c r="AW6" i="1"/>
  <c r="BQ6" i="1" s="1"/>
  <c r="AZ6" i="1"/>
  <c r="BS6" i="1" s="1"/>
  <c r="AL55" i="1"/>
  <c r="BI55" i="1" s="1"/>
  <c r="BH55" i="1"/>
  <c r="AW19" i="1"/>
  <c r="BQ19" i="1" s="1"/>
  <c r="BO19" i="1"/>
  <c r="AZ31" i="1"/>
  <c r="BS31" i="1" s="1"/>
  <c r="BO31" i="1"/>
  <c r="AZ11" i="1"/>
  <c r="BS11" i="1" s="1"/>
  <c r="BO11" i="1"/>
  <c r="AU30" i="1"/>
  <c r="BO30" i="1"/>
  <c r="AU10" i="1"/>
  <c r="BO10" i="1"/>
  <c r="AZ24" i="1"/>
  <c r="BS24" i="1" s="1"/>
  <c r="BO24" i="1"/>
  <c r="AX35" i="1"/>
  <c r="BQ35" i="1"/>
  <c r="BA35" i="1"/>
  <c r="BS35" i="1"/>
  <c r="AW13" i="1"/>
  <c r="BQ13" i="1" s="1"/>
  <c r="BO13" i="1"/>
  <c r="AX15" i="1"/>
  <c r="BQ15" i="1"/>
  <c r="AT17" i="1"/>
  <c r="BO17" i="1" s="1"/>
  <c r="BI17" i="1"/>
  <c r="BA15" i="1"/>
  <c r="BS15" i="1"/>
  <c r="AZ34" i="1"/>
  <c r="BS34" i="1" s="1"/>
  <c r="BO34" i="1"/>
  <c r="AL44" i="1"/>
  <c r="BI44" i="1" s="1"/>
  <c r="BH44" i="1"/>
  <c r="AU14" i="1"/>
  <c r="BO14" i="1"/>
  <c r="AW12" i="1"/>
  <c r="BQ12" i="1" s="1"/>
  <c r="BO12" i="1"/>
  <c r="AW9" i="1"/>
  <c r="BQ9" i="1" s="1"/>
  <c r="BO9" i="1"/>
  <c r="BA22" i="1"/>
  <c r="BS22" i="1"/>
  <c r="AP201" i="1"/>
  <c r="AP202" i="1" s="1"/>
  <c r="BL196" i="1"/>
  <c r="AD196" i="1"/>
  <c r="AF196" i="1"/>
  <c r="AG196" i="1"/>
  <c r="AE196" i="1"/>
  <c r="AW4" i="1"/>
  <c r="BQ4" i="1" s="1"/>
  <c r="AU4" i="1"/>
  <c r="AZ4" i="1"/>
  <c r="BS4" i="1" s="1"/>
  <c r="AU34" i="1"/>
  <c r="AW30" i="1"/>
  <c r="BQ30" i="1" s="1"/>
  <c r="AW34" i="1"/>
  <c r="BQ34" i="1" s="1"/>
  <c r="AZ30" i="1"/>
  <c r="BS30" i="1" s="1"/>
  <c r="AM17" i="1"/>
  <c r="AW14" i="1"/>
  <c r="AZ14" i="1"/>
  <c r="BS14" i="1" s="1"/>
  <c r="AZ9" i="1"/>
  <c r="BS9" i="1" s="1"/>
  <c r="AU11" i="1"/>
  <c r="AW11" i="1"/>
  <c r="BQ11" i="1" s="1"/>
  <c r="AZ19" i="1"/>
  <c r="AU19" i="1"/>
  <c r="AU24" i="1"/>
  <c r="AU9" i="1"/>
  <c r="AZ10" i="1"/>
  <c r="AW10" i="1"/>
  <c r="AW24" i="1"/>
  <c r="BQ24" i="1" s="1"/>
  <c r="AU20" i="1"/>
  <c r="AZ20" i="1"/>
  <c r="BS20" i="1" s="1"/>
  <c r="AW20" i="1"/>
  <c r="AU12" i="1"/>
  <c r="AZ32" i="1"/>
  <c r="BS32" i="1" s="1"/>
  <c r="AZ12" i="1"/>
  <c r="BS12" i="1" s="1"/>
  <c r="AU32" i="1"/>
  <c r="AW32" i="1"/>
  <c r="BQ32" i="1" s="1"/>
  <c r="AU13" i="1"/>
  <c r="AZ13" i="1"/>
  <c r="BS13" i="1" s="1"/>
  <c r="AU31" i="1"/>
  <c r="AZ8" i="1"/>
  <c r="BS8" i="1" s="1"/>
  <c r="AW8" i="1"/>
  <c r="BQ8" i="1" s="1"/>
  <c r="AU8" i="1"/>
  <c r="AW21" i="1"/>
  <c r="BQ21" i="1" s="1"/>
  <c r="AZ21" i="1"/>
  <c r="BS21" i="1" s="1"/>
  <c r="AU21" i="1"/>
  <c r="AW31" i="1"/>
  <c r="BQ31" i="1" s="1"/>
  <c r="AZ7" i="1"/>
  <c r="BS7" i="1" s="1"/>
  <c r="AU7" i="1"/>
  <c r="AW7" i="1"/>
  <c r="BQ7" i="1" s="1"/>
  <c r="AU25" i="1"/>
  <c r="AZ25" i="1"/>
  <c r="BS25" i="1" s="1"/>
  <c r="AW25" i="1"/>
  <c r="BQ25" i="1" s="1"/>
  <c r="AW5" i="1"/>
  <c r="BQ5" i="1" s="1"/>
  <c r="AU5" i="1"/>
  <c r="AZ5" i="1"/>
  <c r="BS5" i="1" s="1"/>
  <c r="AZ26" i="1"/>
  <c r="BS26" i="1" s="1"/>
  <c r="AW26" i="1"/>
  <c r="BQ26" i="1" s="1"/>
  <c r="AU26" i="1"/>
  <c r="AU29" i="1"/>
  <c r="AW29" i="1"/>
  <c r="BQ29" i="1" s="1"/>
  <c r="AZ29" i="1"/>
  <c r="BS29" i="1" s="1"/>
  <c r="AZ33" i="1"/>
  <c r="BS33" i="1" s="1"/>
  <c r="AW33" i="1"/>
  <c r="BQ33" i="1" s="1"/>
  <c r="AU33" i="1"/>
  <c r="AU27" i="1"/>
  <c r="AW27" i="1"/>
  <c r="BQ27" i="1" s="1"/>
  <c r="AZ27" i="1"/>
  <c r="BS27" i="1" s="1"/>
  <c r="AW23" i="1"/>
  <c r="BQ23" i="1" s="1"/>
  <c r="AU23" i="1"/>
  <c r="AZ23" i="1"/>
  <c r="BS23" i="1" s="1"/>
  <c r="AW18" i="1"/>
  <c r="BQ18" i="1" s="1"/>
  <c r="AU18" i="1"/>
  <c r="AZ18" i="1"/>
  <c r="BS18" i="1" s="1"/>
  <c r="AU28" i="1"/>
  <c r="AW28" i="1"/>
  <c r="BQ28" i="1" s="1"/>
  <c r="AZ28" i="1"/>
  <c r="BS28" i="1" s="1"/>
  <c r="AL53" i="1"/>
  <c r="BI53" i="1" s="1"/>
  <c r="AL43" i="1"/>
  <c r="BI43" i="1" s="1"/>
  <c r="AL64" i="1"/>
  <c r="BI64" i="1" s="1"/>
  <c r="AH75" i="1"/>
  <c r="BH75" i="1" s="1"/>
  <c r="AH91" i="1"/>
  <c r="BH91" i="1" s="1"/>
  <c r="AL47" i="1"/>
  <c r="BI47" i="1" s="1"/>
  <c r="AL49" i="1"/>
  <c r="BI49" i="1" s="1"/>
  <c r="AL98" i="1"/>
  <c r="BI98" i="1" s="1"/>
  <c r="AL51" i="1"/>
  <c r="BI51" i="1" s="1"/>
  <c r="AH104" i="1"/>
  <c r="BH104" i="1" s="1"/>
  <c r="AL103" i="1"/>
  <c r="BI103" i="1" s="1"/>
  <c r="AL39" i="1"/>
  <c r="BI39" i="1" s="1"/>
  <c r="AL109" i="1"/>
  <c r="BI109" i="1" s="1"/>
  <c r="AL59" i="1"/>
  <c r="BI59" i="1" s="1"/>
  <c r="AL37" i="1"/>
  <c r="BI37" i="1" s="1"/>
  <c r="AH105" i="1"/>
  <c r="BH105" i="1" s="1"/>
  <c r="AH78" i="1"/>
  <c r="BH78" i="1" s="1"/>
  <c r="AL36" i="1"/>
  <c r="BI36" i="1" s="1"/>
  <c r="AC72" i="1"/>
  <c r="AL72" i="1"/>
  <c r="BI72" i="1" s="1"/>
  <c r="AH73" i="1"/>
  <c r="BH73" i="1" s="1"/>
  <c r="AL38" i="1"/>
  <c r="BI38" i="1" s="1"/>
  <c r="AH76" i="1"/>
  <c r="BH76" i="1" s="1"/>
  <c r="AL69" i="1"/>
  <c r="BI69" i="1" s="1"/>
  <c r="AL68" i="1"/>
  <c r="BI68" i="1" s="1"/>
  <c r="AH102" i="1"/>
  <c r="BH102" i="1" s="1"/>
  <c r="AH85" i="1"/>
  <c r="BH85" i="1" s="1"/>
  <c r="AL40" i="1"/>
  <c r="BI40" i="1" s="1"/>
  <c r="AL50" i="1"/>
  <c r="BI50" i="1" s="1"/>
  <c r="AL45" i="1"/>
  <c r="BI45" i="1" s="1"/>
  <c r="AH82" i="1"/>
  <c r="BH82" i="1" s="1"/>
  <c r="AL48" i="1"/>
  <c r="BI48" i="1" s="1"/>
  <c r="AH100" i="1"/>
  <c r="BH100" i="1" s="1"/>
  <c r="AL54" i="1"/>
  <c r="BI54" i="1" s="1"/>
  <c r="AL66" i="1"/>
  <c r="BI66" i="1" s="1"/>
  <c r="AL62" i="1"/>
  <c r="BI62" i="1" s="1"/>
  <c r="AH80" i="1"/>
  <c r="BH80" i="1" s="1"/>
  <c r="AL56" i="1"/>
  <c r="BI56" i="1" s="1"/>
  <c r="AL67" i="1"/>
  <c r="BI67" i="1" s="1"/>
  <c r="AH107" i="1"/>
  <c r="BH107" i="1" s="1"/>
  <c r="AH108" i="1"/>
  <c r="BH108" i="1" s="1"/>
  <c r="AH87" i="1"/>
  <c r="BH87" i="1" s="1"/>
  <c r="AL110" i="1"/>
  <c r="BI110" i="1" s="1"/>
  <c r="AL41" i="1"/>
  <c r="BI41" i="1" s="1"/>
  <c r="AL42" i="1"/>
  <c r="BI42" i="1" s="1"/>
  <c r="AL58" i="1"/>
  <c r="BI58" i="1" s="1"/>
  <c r="AL70" i="1"/>
  <c r="BI70" i="1" s="1"/>
  <c r="AH88" i="1"/>
  <c r="BH88" i="1" s="1"/>
  <c r="AL96" i="1"/>
  <c r="BI96" i="1" s="1"/>
  <c r="AL52" i="1"/>
  <c r="BI52" i="1" s="1"/>
  <c r="AH83" i="1"/>
  <c r="BH83" i="1" s="1"/>
  <c r="AH101" i="1"/>
  <c r="BH101" i="1" s="1"/>
  <c r="AL81" i="1"/>
  <c r="BI81" i="1" s="1"/>
  <c r="AH79" i="1"/>
  <c r="BH79" i="1" s="1"/>
  <c r="AH77" i="1"/>
  <c r="BH77" i="1" s="1"/>
  <c r="AL61" i="1"/>
  <c r="BI61" i="1" s="1"/>
  <c r="AH74" i="1"/>
  <c r="BH74" i="1" s="1"/>
  <c r="AL57" i="1"/>
  <c r="BI57" i="1" s="1"/>
  <c r="AL97" i="1"/>
  <c r="BI97" i="1" s="1"/>
  <c r="AL90" i="1"/>
  <c r="BI90" i="1" s="1"/>
  <c r="AL63" i="1"/>
  <c r="BI63" i="1" s="1"/>
  <c r="AL60" i="1"/>
  <c r="BI60" i="1" s="1"/>
  <c r="AL46" i="1"/>
  <c r="BI46" i="1" s="1"/>
  <c r="AL99" i="1"/>
  <c r="BI99" i="1" s="1"/>
  <c r="AL71" i="1"/>
  <c r="BI71" i="1" s="1"/>
  <c r="AL106" i="1"/>
  <c r="BI106" i="1" s="1"/>
  <c r="AH84" i="1"/>
  <c r="BH84" i="1" s="1"/>
  <c r="AH92" i="1"/>
  <c r="BH92" i="1" s="1"/>
  <c r="AL65" i="1"/>
  <c r="BI65" i="1" s="1"/>
  <c r="BA16" i="1" l="1"/>
  <c r="AX6" i="1"/>
  <c r="AX16" i="1"/>
  <c r="AM55" i="1"/>
  <c r="AT55" i="1"/>
  <c r="BO55" i="1" s="1"/>
  <c r="AZ17" i="1"/>
  <c r="BS17" i="1" s="1"/>
  <c r="BA6" i="1"/>
  <c r="AT44" i="1"/>
  <c r="BO44" i="1" s="1"/>
  <c r="BA11" i="1"/>
  <c r="AM44" i="1"/>
  <c r="AU17" i="1"/>
  <c r="AX19" i="1"/>
  <c r="BA24" i="1"/>
  <c r="BA34" i="1"/>
  <c r="AX13" i="1"/>
  <c r="BA19" i="1"/>
  <c r="BS19" i="1"/>
  <c r="AX12" i="1"/>
  <c r="AX9" i="1"/>
  <c r="AX14" i="1"/>
  <c r="BQ14" i="1"/>
  <c r="AX10" i="1"/>
  <c r="BQ10" i="1"/>
  <c r="AX20" i="1"/>
  <c r="BQ20" i="1"/>
  <c r="BA31" i="1"/>
  <c r="BA10" i="1"/>
  <c r="BS10" i="1"/>
  <c r="AW17" i="1"/>
  <c r="BQ17" i="1" s="1"/>
  <c r="BA4" i="1"/>
  <c r="AX4" i="1"/>
  <c r="AX30" i="1"/>
  <c r="BA30" i="1"/>
  <c r="AX34" i="1"/>
  <c r="BA14" i="1"/>
  <c r="BA9" i="1"/>
  <c r="AX11" i="1"/>
  <c r="BD196" i="1"/>
  <c r="AX24" i="1"/>
  <c r="BA12" i="1"/>
  <c r="BA20" i="1"/>
  <c r="BA32" i="1"/>
  <c r="AX31" i="1"/>
  <c r="AX32" i="1"/>
  <c r="BA13" i="1"/>
  <c r="BG196" i="1"/>
  <c r="BE196" i="1"/>
  <c r="BF196" i="1"/>
  <c r="AX7" i="1"/>
  <c r="BA8" i="1"/>
  <c r="BA21" i="1"/>
  <c r="AX21" i="1"/>
  <c r="BA7" i="1"/>
  <c r="AX8" i="1"/>
  <c r="BA23" i="1"/>
  <c r="AX5" i="1"/>
  <c r="BA28" i="1"/>
  <c r="BA27" i="1"/>
  <c r="AX18" i="1"/>
  <c r="AX27" i="1"/>
  <c r="AX33" i="1"/>
  <c r="BA26" i="1"/>
  <c r="BA5" i="1"/>
  <c r="AX28" i="1"/>
  <c r="BA33" i="1"/>
  <c r="AX25" i="1"/>
  <c r="AX23" i="1"/>
  <c r="BA25" i="1"/>
  <c r="AX26" i="1"/>
  <c r="BA29" i="1"/>
  <c r="BA18" i="1"/>
  <c r="AX29" i="1"/>
  <c r="AM53" i="1"/>
  <c r="AT53" i="1"/>
  <c r="AM43" i="1"/>
  <c r="AT43" i="1"/>
  <c r="AM49" i="1"/>
  <c r="AT49" i="1"/>
  <c r="BO49" i="1" s="1"/>
  <c r="AT65" i="1"/>
  <c r="BO65" i="1" s="1"/>
  <c r="AM65" i="1"/>
  <c r="AH89" i="1"/>
  <c r="BH89" i="1" s="1"/>
  <c r="AT63" i="1"/>
  <c r="BO63" i="1" s="1"/>
  <c r="AM63" i="1"/>
  <c r="AT81" i="1"/>
  <c r="BO81" i="1" s="1"/>
  <c r="AM81" i="1"/>
  <c r="AM96" i="1"/>
  <c r="AT96" i="1"/>
  <c r="BO96" i="1" s="1"/>
  <c r="AM62" i="1"/>
  <c r="AT62" i="1"/>
  <c r="BO62" i="1" s="1"/>
  <c r="AT48" i="1"/>
  <c r="BO48" i="1" s="1"/>
  <c r="AM48" i="1"/>
  <c r="AT36" i="1"/>
  <c r="BO36" i="1" s="1"/>
  <c r="AM36" i="1"/>
  <c r="AT67" i="1"/>
  <c r="BO67" i="1" s="1"/>
  <c r="AM67" i="1"/>
  <c r="AL82" i="1"/>
  <c r="BI82" i="1" s="1"/>
  <c r="AM40" i="1"/>
  <c r="AT40" i="1"/>
  <c r="BO40" i="1" s="1"/>
  <c r="AM59" i="1"/>
  <c r="AT59" i="1"/>
  <c r="BO59" i="1" s="1"/>
  <c r="AL104" i="1"/>
  <c r="BI104" i="1" s="1"/>
  <c r="AL79" i="1"/>
  <c r="BI79" i="1" s="1"/>
  <c r="AL107" i="1"/>
  <c r="BI107" i="1" s="1"/>
  <c r="AT37" i="1"/>
  <c r="BO37" i="1" s="1"/>
  <c r="AM37" i="1"/>
  <c r="AM69" i="1"/>
  <c r="AT69" i="1"/>
  <c r="BO69" i="1" s="1"/>
  <c r="AH93" i="1"/>
  <c r="BH93" i="1" s="1"/>
  <c r="AH86" i="1"/>
  <c r="BH86" i="1" s="1"/>
  <c r="AM66" i="1"/>
  <c r="AT66" i="1"/>
  <c r="BO66" i="1" s="1"/>
  <c r="AM45" i="1"/>
  <c r="AT45" i="1"/>
  <c r="BO45" i="1" s="1"/>
  <c r="AT38" i="1"/>
  <c r="BO38" i="1" s="1"/>
  <c r="AM38" i="1"/>
  <c r="AL78" i="1"/>
  <c r="BI78" i="1" s="1"/>
  <c r="AL91" i="1"/>
  <c r="BI91" i="1" s="1"/>
  <c r="AM71" i="1"/>
  <c r="AT71" i="1"/>
  <c r="BO71" i="1" s="1"/>
  <c r="AT42" i="1"/>
  <c r="BO42" i="1" s="1"/>
  <c r="AM42" i="1"/>
  <c r="AL74" i="1"/>
  <c r="BI74" i="1" s="1"/>
  <c r="AT51" i="1"/>
  <c r="BO51" i="1" s="1"/>
  <c r="AM51" i="1"/>
  <c r="AL101" i="1"/>
  <c r="BI101" i="1" s="1"/>
  <c r="AL85" i="1"/>
  <c r="BI85" i="1" s="1"/>
  <c r="AT103" i="1"/>
  <c r="BO103" i="1" s="1"/>
  <c r="AM103" i="1"/>
  <c r="AM47" i="1"/>
  <c r="AT47" i="1"/>
  <c r="BO47" i="1" s="1"/>
  <c r="AT46" i="1"/>
  <c r="BO46" i="1" s="1"/>
  <c r="AM46" i="1"/>
  <c r="AL92" i="1"/>
  <c r="BI92" i="1" s="1"/>
  <c r="AT106" i="1"/>
  <c r="BO106" i="1" s="1"/>
  <c r="AM106" i="1"/>
  <c r="AL83" i="1"/>
  <c r="BI83" i="1" s="1"/>
  <c r="AM70" i="1"/>
  <c r="AT70" i="1"/>
  <c r="BO70" i="1" s="1"/>
  <c r="AM110" i="1"/>
  <c r="AT110" i="1"/>
  <c r="BO110" i="1" s="1"/>
  <c r="AZ55" i="1"/>
  <c r="BS55" i="1" s="1"/>
  <c r="AU55" i="1"/>
  <c r="AT109" i="1"/>
  <c r="BO109" i="1" s="1"/>
  <c r="AM109" i="1"/>
  <c r="AL75" i="1"/>
  <c r="BI75" i="1" s="1"/>
  <c r="AH95" i="1"/>
  <c r="BH95" i="1" s="1"/>
  <c r="AL80" i="1"/>
  <c r="BI80" i="1" s="1"/>
  <c r="AM68" i="1"/>
  <c r="AT68" i="1"/>
  <c r="BO68" i="1" s="1"/>
  <c r="AM57" i="1"/>
  <c r="AT57" i="1"/>
  <c r="BO57" i="1" s="1"/>
  <c r="AT99" i="1"/>
  <c r="BO99" i="1" s="1"/>
  <c r="AM99" i="1"/>
  <c r="AT90" i="1"/>
  <c r="BO90" i="1" s="1"/>
  <c r="AM90" i="1"/>
  <c r="AL88" i="1"/>
  <c r="BI88" i="1" s="1"/>
  <c r="AT41" i="1"/>
  <c r="BO41" i="1" s="1"/>
  <c r="AM41" i="1"/>
  <c r="AL76" i="1"/>
  <c r="BI76" i="1" s="1"/>
  <c r="AH94" i="1"/>
  <c r="BH94" i="1" s="1"/>
  <c r="AM60" i="1"/>
  <c r="AT60" i="1"/>
  <c r="BO60" i="1" s="1"/>
  <c r="AM61" i="1"/>
  <c r="AT61" i="1"/>
  <c r="BO61" i="1" s="1"/>
  <c r="AL87" i="1"/>
  <c r="BI87" i="1" s="1"/>
  <c r="AM54" i="1"/>
  <c r="AT54" i="1"/>
  <c r="BO54" i="1" s="1"/>
  <c r="AL102" i="1"/>
  <c r="BI102" i="1" s="1"/>
  <c r="AT64" i="1"/>
  <c r="BO64" i="1" s="1"/>
  <c r="AM64" i="1"/>
  <c r="AL84" i="1"/>
  <c r="BI84" i="1" s="1"/>
  <c r="AM97" i="1"/>
  <c r="AT97" i="1"/>
  <c r="BO97" i="1" s="1"/>
  <c r="AT52" i="1"/>
  <c r="BO52" i="1" s="1"/>
  <c r="AM52" i="1"/>
  <c r="AM58" i="1"/>
  <c r="AT58" i="1"/>
  <c r="BO58" i="1" s="1"/>
  <c r="AM56" i="1"/>
  <c r="AT56" i="1"/>
  <c r="BO56" i="1" s="1"/>
  <c r="AM50" i="1"/>
  <c r="AT50" i="1"/>
  <c r="BO50" i="1" s="1"/>
  <c r="AL73" i="1"/>
  <c r="BI73" i="1" s="1"/>
  <c r="AL105" i="1"/>
  <c r="BI105" i="1" s="1"/>
  <c r="AT98" i="1"/>
  <c r="BO98" i="1" s="1"/>
  <c r="AM98" i="1"/>
  <c r="AL77" i="1"/>
  <c r="BI77" i="1" s="1"/>
  <c r="AL108" i="1"/>
  <c r="BI108" i="1" s="1"/>
  <c r="AL100" i="1"/>
  <c r="BI100" i="1" s="1"/>
  <c r="AM72" i="1"/>
  <c r="AT72" i="1"/>
  <c r="BO72" i="1" s="1"/>
  <c r="AM39" i="1"/>
  <c r="AT39" i="1"/>
  <c r="BO39" i="1" s="1"/>
  <c r="AW55" i="1" l="1"/>
  <c r="BQ55" i="1" s="1"/>
  <c r="AZ44" i="1"/>
  <c r="BS44" i="1" s="1"/>
  <c r="AU44" i="1"/>
  <c r="AW44" i="1"/>
  <c r="BQ44" i="1" s="1"/>
  <c r="BA17" i="1"/>
  <c r="AX17" i="1"/>
  <c r="AW43" i="1"/>
  <c r="BQ43" i="1" s="1"/>
  <c r="BO43" i="1"/>
  <c r="AZ53" i="1"/>
  <c r="BS53" i="1" s="1"/>
  <c r="BO53" i="1"/>
  <c r="AH196" i="1"/>
  <c r="AI197" i="1" s="1"/>
  <c r="AI199" i="1" s="1"/>
  <c r="AU43" i="1"/>
  <c r="AW53" i="1"/>
  <c r="BQ53" i="1" s="1"/>
  <c r="AU53" i="1"/>
  <c r="AZ43" i="1"/>
  <c r="AT108" i="1"/>
  <c r="BO108" i="1" s="1"/>
  <c r="AM108" i="1"/>
  <c r="AW58" i="1"/>
  <c r="BQ58" i="1" s="1"/>
  <c r="AU58" i="1"/>
  <c r="AZ58" i="1"/>
  <c r="BS58" i="1" s="1"/>
  <c r="AW57" i="1"/>
  <c r="BQ57" i="1" s="1"/>
  <c r="AU57" i="1"/>
  <c r="AZ57" i="1"/>
  <c r="BS57" i="1" s="1"/>
  <c r="AU70" i="1"/>
  <c r="AZ70" i="1"/>
  <c r="BS70" i="1" s="1"/>
  <c r="AW70" i="1"/>
  <c r="BQ70" i="1" s="1"/>
  <c r="AU46" i="1"/>
  <c r="AZ46" i="1"/>
  <c r="BS46" i="1" s="1"/>
  <c r="AW46" i="1"/>
  <c r="BQ46" i="1" s="1"/>
  <c r="AM105" i="1"/>
  <c r="AT105" i="1"/>
  <c r="BO105" i="1" s="1"/>
  <c r="AU61" i="1"/>
  <c r="AZ61" i="1"/>
  <c r="BS61" i="1" s="1"/>
  <c r="AW61" i="1"/>
  <c r="BQ61" i="1" s="1"/>
  <c r="AZ41" i="1"/>
  <c r="BS41" i="1" s="1"/>
  <c r="AU41" i="1"/>
  <c r="AW41" i="1"/>
  <c r="BQ41" i="1" s="1"/>
  <c r="AM107" i="1"/>
  <c r="AT107" i="1"/>
  <c r="BO107" i="1" s="1"/>
  <c r="AU48" i="1"/>
  <c r="AW48" i="1"/>
  <c r="BQ48" i="1" s="1"/>
  <c r="AZ48" i="1"/>
  <c r="BS48" i="1" s="1"/>
  <c r="AU63" i="1"/>
  <c r="AZ63" i="1"/>
  <c r="BS63" i="1" s="1"/>
  <c r="AW63" i="1"/>
  <c r="BQ63" i="1" s="1"/>
  <c r="AW109" i="1"/>
  <c r="BQ109" i="1" s="1"/>
  <c r="AU109" i="1"/>
  <c r="AZ109" i="1"/>
  <c r="BS109" i="1" s="1"/>
  <c r="AW39" i="1"/>
  <c r="BQ39" i="1" s="1"/>
  <c r="AZ39" i="1"/>
  <c r="BS39" i="1" s="1"/>
  <c r="AU39" i="1"/>
  <c r="AT73" i="1"/>
  <c r="BO73" i="1" s="1"/>
  <c r="AM73" i="1"/>
  <c r="AZ52" i="1"/>
  <c r="BS52" i="1" s="1"/>
  <c r="AU52" i="1"/>
  <c r="AW52" i="1"/>
  <c r="BQ52" i="1" s="1"/>
  <c r="BA55" i="1"/>
  <c r="AM101" i="1"/>
  <c r="AT101" i="1"/>
  <c r="BO101" i="1" s="1"/>
  <c r="AZ69" i="1"/>
  <c r="BS69" i="1" s="1"/>
  <c r="AU69" i="1"/>
  <c r="AW69" i="1"/>
  <c r="BQ69" i="1" s="1"/>
  <c r="AT104" i="1"/>
  <c r="BO104" i="1" s="1"/>
  <c r="AM104" i="1"/>
  <c r="AM77" i="1"/>
  <c r="AT77" i="1"/>
  <c r="BO77" i="1" s="1"/>
  <c r="AM88" i="1"/>
  <c r="AT88" i="1"/>
  <c r="BO88" i="1" s="1"/>
  <c r="AW68" i="1"/>
  <c r="BQ68" i="1" s="1"/>
  <c r="AU68" i="1"/>
  <c r="AZ68" i="1"/>
  <c r="BS68" i="1" s="1"/>
  <c r="AL86" i="1"/>
  <c r="BI86" i="1" s="1"/>
  <c r="AW60" i="1"/>
  <c r="BQ60" i="1" s="1"/>
  <c r="AU60" i="1"/>
  <c r="AZ60" i="1"/>
  <c r="BS60" i="1" s="1"/>
  <c r="AT83" i="1"/>
  <c r="BO83" i="1" s="1"/>
  <c r="AM83" i="1"/>
  <c r="AT78" i="1"/>
  <c r="BO78" i="1" s="1"/>
  <c r="AM78" i="1"/>
  <c r="AL93" i="1"/>
  <c r="BI93" i="1" s="1"/>
  <c r="AT79" i="1"/>
  <c r="BO79" i="1" s="1"/>
  <c r="AM79" i="1"/>
  <c r="AL89" i="1"/>
  <c r="BI89" i="1" s="1"/>
  <c r="AU50" i="1"/>
  <c r="AW50" i="1"/>
  <c r="BQ50" i="1" s="1"/>
  <c r="AZ50" i="1"/>
  <c r="BS50" i="1" s="1"/>
  <c r="AL94" i="1"/>
  <c r="BI94" i="1" s="1"/>
  <c r="AU42" i="1"/>
  <c r="AZ42" i="1"/>
  <c r="BS42" i="1" s="1"/>
  <c r="AW42" i="1"/>
  <c r="BQ42" i="1" s="1"/>
  <c r="AU65" i="1"/>
  <c r="AW65" i="1"/>
  <c r="BQ65" i="1" s="1"/>
  <c r="AZ65" i="1"/>
  <c r="BS65" i="1" s="1"/>
  <c r="AU54" i="1"/>
  <c r="AW54" i="1"/>
  <c r="BQ54" i="1" s="1"/>
  <c r="AZ54" i="1"/>
  <c r="BS54" i="1" s="1"/>
  <c r="AW103" i="1"/>
  <c r="BQ103" i="1" s="1"/>
  <c r="AZ103" i="1"/>
  <c r="BS103" i="1" s="1"/>
  <c r="AU103" i="1"/>
  <c r="AT85" i="1"/>
  <c r="BO85" i="1" s="1"/>
  <c r="AM85" i="1"/>
  <c r="AU71" i="1"/>
  <c r="AW71" i="1"/>
  <c r="BQ71" i="1" s="1"/>
  <c r="AZ71" i="1"/>
  <c r="BS71" i="1" s="1"/>
  <c r="AZ45" i="1"/>
  <c r="BS45" i="1" s="1"/>
  <c r="AU45" i="1"/>
  <c r="AW45" i="1"/>
  <c r="BQ45" i="1" s="1"/>
  <c r="AU59" i="1"/>
  <c r="AZ59" i="1"/>
  <c r="BS59" i="1" s="1"/>
  <c r="AW59" i="1"/>
  <c r="BQ59" i="1" s="1"/>
  <c r="AW49" i="1"/>
  <c r="BQ49" i="1" s="1"/>
  <c r="AZ49" i="1"/>
  <c r="BS49" i="1" s="1"/>
  <c r="AU49" i="1"/>
  <c r="AZ64" i="1"/>
  <c r="BS64" i="1" s="1"/>
  <c r="AU64" i="1"/>
  <c r="AW64" i="1"/>
  <c r="BQ64" i="1" s="1"/>
  <c r="AW47" i="1"/>
  <c r="BQ47" i="1" s="1"/>
  <c r="AU47" i="1"/>
  <c r="AZ47" i="1"/>
  <c r="BS47" i="1" s="1"/>
  <c r="AT82" i="1"/>
  <c r="BO82" i="1" s="1"/>
  <c r="AM82" i="1"/>
  <c r="AT102" i="1"/>
  <c r="BO102" i="1" s="1"/>
  <c r="AM102" i="1"/>
  <c r="AW62" i="1"/>
  <c r="BQ62" i="1" s="1"/>
  <c r="AU62" i="1"/>
  <c r="AZ62" i="1"/>
  <c r="BS62" i="1" s="1"/>
  <c r="AZ72" i="1"/>
  <c r="AW72" i="1"/>
  <c r="AU72" i="1"/>
  <c r="AM80" i="1"/>
  <c r="AT80" i="1"/>
  <c r="BO80" i="1" s="1"/>
  <c r="AZ38" i="1"/>
  <c r="BS38" i="1" s="1"/>
  <c r="AW38" i="1"/>
  <c r="BQ38" i="1" s="1"/>
  <c r="AU38" i="1"/>
  <c r="AW97" i="1"/>
  <c r="BQ97" i="1" s="1"/>
  <c r="AZ97" i="1"/>
  <c r="BS97" i="1" s="1"/>
  <c r="AU97" i="1"/>
  <c r="AU90" i="1"/>
  <c r="AZ90" i="1"/>
  <c r="BS90" i="1" s="1"/>
  <c r="AW90" i="1"/>
  <c r="BQ90" i="1" s="1"/>
  <c r="AW106" i="1"/>
  <c r="BQ106" i="1" s="1"/>
  <c r="AZ106" i="1"/>
  <c r="BS106" i="1" s="1"/>
  <c r="AU106" i="1"/>
  <c r="AU51" i="1"/>
  <c r="AZ51" i="1"/>
  <c r="BS51" i="1" s="1"/>
  <c r="AW51" i="1"/>
  <c r="BQ51" i="1" s="1"/>
  <c r="AW67" i="1"/>
  <c r="BQ67" i="1" s="1"/>
  <c r="AZ67" i="1"/>
  <c r="BS67" i="1" s="1"/>
  <c r="AU67" i="1"/>
  <c r="AW96" i="1"/>
  <c r="BQ96" i="1" s="1"/>
  <c r="AU96" i="1"/>
  <c r="AZ96" i="1"/>
  <c r="BS96" i="1" s="1"/>
  <c r="AT100" i="1"/>
  <c r="BO100" i="1" s="1"/>
  <c r="AM100" i="1"/>
  <c r="AX44" i="1"/>
  <c r="AU110" i="1"/>
  <c r="AZ110" i="1"/>
  <c r="BS110" i="1" s="1"/>
  <c r="AW110" i="1"/>
  <c r="BQ110" i="1" s="1"/>
  <c r="AM84" i="1"/>
  <c r="AT84" i="1"/>
  <c r="BO84" i="1" s="1"/>
  <c r="AM76" i="1"/>
  <c r="AT76" i="1"/>
  <c r="BO76" i="1" s="1"/>
  <c r="AL95" i="1"/>
  <c r="BI95" i="1" s="1"/>
  <c r="AT92" i="1"/>
  <c r="BO92" i="1" s="1"/>
  <c r="AM92" i="1"/>
  <c r="AU37" i="1"/>
  <c r="AW37" i="1"/>
  <c r="BQ37" i="1" s="1"/>
  <c r="AZ37" i="1"/>
  <c r="BS37" i="1" s="1"/>
  <c r="AZ99" i="1"/>
  <c r="BS99" i="1" s="1"/>
  <c r="AW99" i="1"/>
  <c r="BQ99" i="1" s="1"/>
  <c r="AU99" i="1"/>
  <c r="AM74" i="1"/>
  <c r="AT74" i="1"/>
  <c r="BO74" i="1" s="1"/>
  <c r="AU66" i="1"/>
  <c r="AZ66" i="1"/>
  <c r="BS66" i="1" s="1"/>
  <c r="AW66" i="1"/>
  <c r="BQ66" i="1" s="1"/>
  <c r="AU98" i="1"/>
  <c r="AW98" i="1"/>
  <c r="BQ98" i="1" s="1"/>
  <c r="AZ98" i="1"/>
  <c r="BS98" i="1" s="1"/>
  <c r="AT87" i="1"/>
  <c r="BO87" i="1" s="1"/>
  <c r="AM87" i="1"/>
  <c r="AW40" i="1"/>
  <c r="BQ40" i="1" s="1"/>
  <c r="AU40" i="1"/>
  <c r="AZ40" i="1"/>
  <c r="BS40" i="1" s="1"/>
  <c r="AU36" i="1"/>
  <c r="AZ36" i="1"/>
  <c r="BS36" i="1" s="1"/>
  <c r="AW36" i="1"/>
  <c r="BQ36" i="1" s="1"/>
  <c r="AU81" i="1"/>
  <c r="AW81" i="1"/>
  <c r="BQ81" i="1" s="1"/>
  <c r="AZ81" i="1"/>
  <c r="BS81" i="1" s="1"/>
  <c r="AZ56" i="1"/>
  <c r="BS56" i="1" s="1"/>
  <c r="AW56" i="1"/>
  <c r="BQ56" i="1" s="1"/>
  <c r="AU56" i="1"/>
  <c r="AT75" i="1"/>
  <c r="BO75" i="1" s="1"/>
  <c r="AM75" i="1"/>
  <c r="AM91" i="1"/>
  <c r="AT91" i="1"/>
  <c r="BO91" i="1" s="1"/>
  <c r="AX55" i="1" l="1"/>
  <c r="BA44" i="1"/>
  <c r="BA53" i="1"/>
  <c r="AX43" i="1"/>
  <c r="BA43" i="1"/>
  <c r="BS43" i="1"/>
  <c r="AX72" i="1"/>
  <c r="BQ72" i="1"/>
  <c r="BA72" i="1"/>
  <c r="BS72" i="1"/>
  <c r="AL196" i="1"/>
  <c r="AM196" i="1" s="1"/>
  <c r="AC196" i="1"/>
  <c r="AH200" i="1"/>
  <c r="BH196" i="1"/>
  <c r="AX53" i="1"/>
  <c r="AW91" i="1"/>
  <c r="BQ91" i="1" s="1"/>
  <c r="AZ91" i="1"/>
  <c r="BS91" i="1" s="1"/>
  <c r="AU91" i="1"/>
  <c r="BA67" i="1"/>
  <c r="BA38" i="1"/>
  <c r="BA45" i="1"/>
  <c r="BA54" i="1"/>
  <c r="AX60" i="1"/>
  <c r="AW77" i="1"/>
  <c r="BQ77" i="1" s="1"/>
  <c r="AU77" i="1"/>
  <c r="AZ77" i="1"/>
  <c r="BS77" i="1" s="1"/>
  <c r="AX46" i="1"/>
  <c r="AX36" i="1"/>
  <c r="AM95" i="1"/>
  <c r="AT95" i="1"/>
  <c r="BO95" i="1" s="1"/>
  <c r="AX90" i="1"/>
  <c r="BA71" i="1"/>
  <c r="AX54" i="1"/>
  <c r="AT93" i="1"/>
  <c r="BO93" i="1" s="1"/>
  <c r="AM93" i="1"/>
  <c r="BA41" i="1"/>
  <c r="BA81" i="1"/>
  <c r="AX81" i="1"/>
  <c r="AX110" i="1"/>
  <c r="AX62" i="1"/>
  <c r="BA103" i="1"/>
  <c r="BA42" i="1"/>
  <c r="BA60" i="1"/>
  <c r="AW101" i="1"/>
  <c r="BQ101" i="1" s="1"/>
  <c r="AU101" i="1"/>
  <c r="AZ101" i="1"/>
  <c r="BS101" i="1" s="1"/>
  <c r="AX57" i="1"/>
  <c r="AZ74" i="1"/>
  <c r="BS74" i="1" s="1"/>
  <c r="AU74" i="1"/>
  <c r="AW74" i="1"/>
  <c r="BQ74" i="1" s="1"/>
  <c r="AW92" i="1"/>
  <c r="BQ92" i="1" s="1"/>
  <c r="AU92" i="1"/>
  <c r="AZ92" i="1"/>
  <c r="BS92" i="1" s="1"/>
  <c r="BA110" i="1"/>
  <c r="AX38" i="1"/>
  <c r="BA64" i="1"/>
  <c r="AX103" i="1"/>
  <c r="AW79" i="1"/>
  <c r="BQ79" i="1" s="1"/>
  <c r="AU79" i="1"/>
  <c r="AZ79" i="1"/>
  <c r="BS79" i="1" s="1"/>
  <c r="AW102" i="1"/>
  <c r="BQ102" i="1" s="1"/>
  <c r="AZ102" i="1"/>
  <c r="BS102" i="1" s="1"/>
  <c r="AU102" i="1"/>
  <c r="BA58" i="1"/>
  <c r="AW87" i="1"/>
  <c r="BQ87" i="1" s="1"/>
  <c r="AZ87" i="1"/>
  <c r="BS87" i="1" s="1"/>
  <c r="AU87" i="1"/>
  <c r="AX67" i="1"/>
  <c r="AZ80" i="1"/>
  <c r="BS80" i="1" s="1"/>
  <c r="AU80" i="1"/>
  <c r="AW80" i="1"/>
  <c r="BQ80" i="1" s="1"/>
  <c r="AT94" i="1"/>
  <c r="BO94" i="1" s="1"/>
  <c r="AM94" i="1"/>
  <c r="BA39" i="1"/>
  <c r="BA48" i="1"/>
  <c r="BA46" i="1"/>
  <c r="AX96" i="1"/>
  <c r="AX45" i="1"/>
  <c r="BA36" i="1"/>
  <c r="BA98" i="1"/>
  <c r="AX99" i="1"/>
  <c r="BA90" i="1"/>
  <c r="AZ82" i="1"/>
  <c r="BS82" i="1" s="1"/>
  <c r="AU82" i="1"/>
  <c r="AW82" i="1"/>
  <c r="BQ82" i="1" s="1"/>
  <c r="BA49" i="1"/>
  <c r="AX71" i="1"/>
  <c r="BA50" i="1"/>
  <c r="AX52" i="1"/>
  <c r="AX39" i="1"/>
  <c r="AX48" i="1"/>
  <c r="AX61" i="1"/>
  <c r="AX58" i="1"/>
  <c r="AW88" i="1"/>
  <c r="BQ88" i="1" s="1"/>
  <c r="AZ88" i="1"/>
  <c r="BS88" i="1" s="1"/>
  <c r="AU88" i="1"/>
  <c r="AU75" i="1"/>
  <c r="AZ75" i="1"/>
  <c r="BS75" i="1" s="1"/>
  <c r="AW75" i="1"/>
  <c r="BQ75" i="1" s="1"/>
  <c r="AX98" i="1"/>
  <c r="BA99" i="1"/>
  <c r="AU76" i="1"/>
  <c r="AZ76" i="1"/>
  <c r="BS76" i="1" s="1"/>
  <c r="AW76" i="1"/>
  <c r="BQ76" i="1" s="1"/>
  <c r="AX51" i="1"/>
  <c r="AX49" i="1"/>
  <c r="BA65" i="1"/>
  <c r="AX50" i="1"/>
  <c r="AM86" i="1"/>
  <c r="AT86" i="1"/>
  <c r="BO86" i="1" s="1"/>
  <c r="AU104" i="1"/>
  <c r="AW104" i="1"/>
  <c r="BQ104" i="1" s="1"/>
  <c r="AZ104" i="1"/>
  <c r="BS104" i="1" s="1"/>
  <c r="AX70" i="1"/>
  <c r="AW100" i="1"/>
  <c r="BQ100" i="1" s="1"/>
  <c r="AU100" i="1"/>
  <c r="AZ100" i="1"/>
  <c r="BS100" i="1" s="1"/>
  <c r="BA51" i="1"/>
  <c r="BA47" i="1"/>
  <c r="AX65" i="1"/>
  <c r="BA52" i="1"/>
  <c r="BA61" i="1"/>
  <c r="BA70" i="1"/>
  <c r="BA69" i="1"/>
  <c r="AX56" i="1"/>
  <c r="BA40" i="1"/>
  <c r="AX59" i="1"/>
  <c r="AU78" i="1"/>
  <c r="AW78" i="1"/>
  <c r="BQ78" i="1" s="1"/>
  <c r="AZ78" i="1"/>
  <c r="BS78" i="1" s="1"/>
  <c r="BA68" i="1"/>
  <c r="AX69" i="1"/>
  <c r="BA109" i="1"/>
  <c r="AW108" i="1"/>
  <c r="BQ108" i="1" s="1"/>
  <c r="AU108" i="1"/>
  <c r="AZ108" i="1"/>
  <c r="BS108" i="1" s="1"/>
  <c r="AZ73" i="1"/>
  <c r="BS73" i="1" s="1"/>
  <c r="AW73" i="1"/>
  <c r="BQ73" i="1" s="1"/>
  <c r="AU73" i="1"/>
  <c r="AX63" i="1"/>
  <c r="BA63" i="1"/>
  <c r="AX66" i="1"/>
  <c r="BA37" i="1"/>
  <c r="AW84" i="1"/>
  <c r="BQ84" i="1" s="1"/>
  <c r="AZ84" i="1"/>
  <c r="BS84" i="1" s="1"/>
  <c r="AU84" i="1"/>
  <c r="BA96" i="1"/>
  <c r="BA97" i="1"/>
  <c r="BA59" i="1"/>
  <c r="AU85" i="1"/>
  <c r="AW85" i="1"/>
  <c r="BQ85" i="1" s="1"/>
  <c r="AZ85" i="1"/>
  <c r="BS85" i="1" s="1"/>
  <c r="AU107" i="1"/>
  <c r="AW107" i="1"/>
  <c r="BQ107" i="1" s="1"/>
  <c r="AZ107" i="1"/>
  <c r="BS107" i="1" s="1"/>
  <c r="AX40" i="1"/>
  <c r="AX106" i="1"/>
  <c r="AX64" i="1"/>
  <c r="AX41" i="1"/>
  <c r="BA56" i="1"/>
  <c r="BA66" i="1"/>
  <c r="AX37" i="1"/>
  <c r="BA106" i="1"/>
  <c r="AX97" i="1"/>
  <c r="BA62" i="1"/>
  <c r="AX47" i="1"/>
  <c r="AX42" i="1"/>
  <c r="AT89" i="1"/>
  <c r="BO89" i="1" s="1"/>
  <c r="AM89" i="1"/>
  <c r="AW83" i="1"/>
  <c r="BQ83" i="1" s="1"/>
  <c r="AU83" i="1"/>
  <c r="AZ83" i="1"/>
  <c r="BS83" i="1" s="1"/>
  <c r="AX68" i="1"/>
  <c r="AX109" i="1"/>
  <c r="AW105" i="1"/>
  <c r="BQ105" i="1" s="1"/>
  <c r="AU105" i="1"/>
  <c r="AZ105" i="1"/>
  <c r="BS105" i="1" s="1"/>
  <c r="BA57" i="1"/>
  <c r="AT196" i="1" l="1"/>
  <c r="BO196" i="1" s="1"/>
  <c r="BI196" i="1"/>
  <c r="AX82" i="1"/>
  <c r="AX92" i="1"/>
  <c r="BA107" i="1"/>
  <c r="BA104" i="1"/>
  <c r="AZ94" i="1"/>
  <c r="BS94" i="1" s="1"/>
  <c r="AU94" i="1"/>
  <c r="AW94" i="1"/>
  <c r="BQ94" i="1" s="1"/>
  <c r="AX74" i="1"/>
  <c r="AX77" i="1"/>
  <c r="AX107" i="1"/>
  <c r="AX104" i="1"/>
  <c r="BA75" i="1"/>
  <c r="BA82" i="1"/>
  <c r="AX80" i="1"/>
  <c r="AZ95" i="1"/>
  <c r="BS95" i="1" s="1"/>
  <c r="AU95" i="1"/>
  <c r="AW95" i="1"/>
  <c r="BQ95" i="1" s="1"/>
  <c r="BA91" i="1"/>
  <c r="BA83" i="1"/>
  <c r="BA84" i="1"/>
  <c r="AX76" i="1"/>
  <c r="BA74" i="1"/>
  <c r="AX91" i="1"/>
  <c r="BA85" i="1"/>
  <c r="AX73" i="1"/>
  <c r="BA78" i="1"/>
  <c r="BA100" i="1"/>
  <c r="AW86" i="1"/>
  <c r="BQ86" i="1" s="1"/>
  <c r="AU86" i="1"/>
  <c r="AZ86" i="1"/>
  <c r="BS86" i="1" s="1"/>
  <c r="BA76" i="1"/>
  <c r="BA88" i="1"/>
  <c r="BA80" i="1"/>
  <c r="AX85" i="1"/>
  <c r="AX84" i="1"/>
  <c r="BA73" i="1"/>
  <c r="BA102" i="1"/>
  <c r="AX83" i="1"/>
  <c r="AX78" i="1"/>
  <c r="AX88" i="1"/>
  <c r="AX102" i="1"/>
  <c r="AZ93" i="1"/>
  <c r="BS93" i="1" s="1"/>
  <c r="AW93" i="1"/>
  <c r="BQ93" i="1" s="1"/>
  <c r="AU93" i="1"/>
  <c r="BA108" i="1"/>
  <c r="AX100" i="1"/>
  <c r="BA101" i="1"/>
  <c r="BA105" i="1"/>
  <c r="BA79" i="1"/>
  <c r="BA92" i="1"/>
  <c r="AW89" i="1"/>
  <c r="BQ89" i="1" s="1"/>
  <c r="AZ89" i="1"/>
  <c r="BS89" i="1" s="1"/>
  <c r="AU89" i="1"/>
  <c r="AX108" i="1"/>
  <c r="BA87" i="1"/>
  <c r="AX105" i="1"/>
  <c r="AX87" i="1"/>
  <c r="AX79" i="1"/>
  <c r="AX101" i="1"/>
  <c r="BA77" i="1"/>
  <c r="AX75" i="1"/>
  <c r="AW196" i="1" l="1"/>
  <c r="AX196" i="1" s="1"/>
  <c r="AZ196" i="1"/>
  <c r="BS196" i="1" s="1"/>
  <c r="AU196" i="1"/>
  <c r="AX89" i="1"/>
  <c r="BA94" i="1"/>
  <c r="BA93" i="1"/>
  <c r="BA86" i="1"/>
  <c r="AX86" i="1"/>
  <c r="BA95" i="1"/>
  <c r="BA89" i="1"/>
  <c r="AX94" i="1"/>
  <c r="AX93" i="1"/>
  <c r="AX95" i="1"/>
  <c r="BQ196" i="1" l="1"/>
  <c r="BA19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tc={743F763D-BF14-4725-ABDD-766DB822D542}</author>
    <author>tc={820516E0-4AB1-49A7-845D-22E96737FF7A}</author>
    <author>tc={E72F7E13-0828-4E09-98D0-25D30BC24A04}</author>
    <author>Rodrigo Sebastian Martinez Montalvo (PFRO)</author>
    <author>tc={1E248A2B-787B-4DCE-94CB-52323DAFCCE3}</author>
    <author>tc={6B8ABF03-AD92-41AD-AA56-4CCF25614F6E}</author>
    <author>tc={ADC37C9E-FF1D-488C-95F1-FBB76ECE040E}</author>
  </authors>
  <commentList>
    <comment ref="P38" authorId="0" shapeId="0" xr:uid="{743F763D-BF14-4725-ABDD-766DB822D5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APLICADO SIMILAR A EEFF</t>
      </text>
    </comment>
    <comment ref="P39" authorId="1" shapeId="0" xr:uid="{820516E0-4AB1-49A7-845D-22E96737FF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SIMILAR A EEFF</t>
      </text>
    </comment>
    <comment ref="P46" authorId="2" shapeId="0" xr:uid="{E72F7E13-0828-4E09-98D0-25D30BC24A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SIMILAR A EEFF</t>
      </text>
    </comment>
    <comment ref="P50" authorId="3" shapeId="0" xr:uid="{5C8E066D-5766-4BDF-81F1-5145727BBF1B}">
      <text>
        <r>
          <rPr>
            <b/>
            <sz val="9"/>
            <color indexed="81"/>
            <rFont val="Tahoma"/>
            <family val="2"/>
          </rPr>
          <t>DESCUENTO SIMILAR A EEFF</t>
        </r>
      </text>
    </comment>
    <comment ref="P54" authorId="4" shapeId="0" xr:uid="{1E248A2B-787B-4DCE-94CB-52323DAFCC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APLICA DESCUENTO DE 4K SIMILAR A EEFF</t>
      </text>
    </comment>
    <comment ref="AD61" authorId="5" shapeId="0" xr:uid="{6B8ABF03-AD92-41AD-AA56-4CCF25614F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incrementó 25% costo materia prima a las 520 tm despachadas al final de mes</t>
      </text>
    </comment>
    <comment ref="P62" authorId="6" shapeId="0" xr:uid="{ADC37C9E-FF1D-488C-95F1-FBB76ECE04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SIMILAR A EEFF</t>
      </text>
    </comment>
  </commentList>
</comments>
</file>

<file path=xl/sharedStrings.xml><?xml version="1.0" encoding="utf-8"?>
<sst xmlns="http://schemas.openxmlformats.org/spreadsheetml/2006/main" count="4896" uniqueCount="927">
  <si>
    <t>ANÁLISIS DE RENTABILIDAD</t>
  </si>
  <si>
    <t>EEFF PERU FROST (USD)</t>
  </si>
  <si>
    <t>Etiquetas de columna</t>
  </si>
  <si>
    <t>ANÁLISIS UNITARIO</t>
  </si>
  <si>
    <t>ANÁLISIS VÉRTICAL</t>
  </si>
  <si>
    <t>Valores</t>
  </si>
  <si>
    <t>ENERO</t>
  </si>
  <si>
    <t>FEBRERO</t>
  </si>
  <si>
    <t>MARZO</t>
  </si>
  <si>
    <t>Total general</t>
  </si>
  <si>
    <t>NOMBRE</t>
  </si>
  <si>
    <t>TOTAL</t>
  </si>
  <si>
    <t xml:space="preserve">Suma de  Cantidad </t>
  </si>
  <si>
    <t>Suma de VALOR 
CFR</t>
  </si>
  <si>
    <t>Suma de COSTO 
VENTAS</t>
  </si>
  <si>
    <t>Suma de UTILIDAD 
BRUTA</t>
  </si>
  <si>
    <t>Suma de GASTO
VENTAS</t>
  </si>
  <si>
    <t>Suma de GASTO 
ADM</t>
  </si>
  <si>
    <t>Suma de DRAWBACK</t>
  </si>
  <si>
    <t>Suma de UTILIDAD 
OPERATIVA</t>
  </si>
  <si>
    <t>Suma de GASTO 
FINANCIERO</t>
  </si>
  <si>
    <t>Suma de UTILIDAD 
NETA</t>
  </si>
  <si>
    <t>Suma de DEPRECIACIÓN</t>
  </si>
  <si>
    <t>Suma de EBITDA</t>
  </si>
  <si>
    <t>ANÁLISIS POR PRODUCTO</t>
  </si>
  <si>
    <t>RANKING DE VENTAS (USD)</t>
  </si>
  <si>
    <t>UTILIDAD NETA (USD)</t>
  </si>
  <si>
    <t>EBITDA (USD)</t>
  </si>
  <si>
    <t>Etiquetas de fila</t>
  </si>
  <si>
    <t>%</t>
  </si>
  <si>
    <t>MG</t>
  </si>
  <si>
    <t>POTA REJOS CONGELADOS</t>
  </si>
  <si>
    <t>POTA ALAS CONGELADAS</t>
  </si>
  <si>
    <t>POTA FILETE CONGELADO</t>
  </si>
  <si>
    <t>POTA NUCAS</t>
  </si>
  <si>
    <t>POTA ALAS COCIDAS</t>
  </si>
  <si>
    <t>POTA REPRODUCTORES</t>
  </si>
  <si>
    <t>POTA CONOS</t>
  </si>
  <si>
    <t>POTA MEMBRANA PRECOCIDA</t>
  </si>
  <si>
    <t>POTA  TELILLA PRECOCIDA</t>
  </si>
  <si>
    <t>ANÁLISIS POR CLIENTE</t>
  </si>
  <si>
    <t>NETO</t>
  </si>
  <si>
    <t>EBITDA</t>
  </si>
  <si>
    <t>TSUJINO</t>
  </si>
  <si>
    <t>KULALIA</t>
  </si>
  <si>
    <t>AVANCE GROUP</t>
  </si>
  <si>
    <t>Pesciro Asia International LTD.</t>
  </si>
  <si>
    <t>LONGKOU JIABAO AQUATIC</t>
  </si>
  <si>
    <t>OVERSEA</t>
  </si>
  <si>
    <t>LONGKOU BOHAI</t>
  </si>
  <si>
    <t>DAIRECK S.A.</t>
  </si>
  <si>
    <t>Longkou Yunfeng Aquatic</t>
  </si>
  <si>
    <t>FOOD &amp; BEVERAGES TRADERS</t>
  </si>
  <si>
    <t>GLOBAL OCEAN</t>
  </si>
  <si>
    <t>SACRAMENTO CO., LTD</t>
  </si>
  <si>
    <t xml:space="preserve">Hunan Jinyueyang </t>
  </si>
  <si>
    <t>OCEANUS FISH</t>
  </si>
  <si>
    <t>Pesciro SL</t>
  </si>
  <si>
    <t>SHANDONG SHEENIER</t>
  </si>
  <si>
    <t>MES LINK</t>
  </si>
  <si>
    <t>MES 
EJERCICIO</t>
  </si>
  <si>
    <t>FP</t>
  </si>
  <si>
    <t>Emision</t>
  </si>
  <si>
    <t>Fecha Embarque</t>
  </si>
  <si>
    <t xml:space="preserve"> Cantidad </t>
  </si>
  <si>
    <t>Producto</t>
  </si>
  <si>
    <t>Corte</t>
  </si>
  <si>
    <t>Espec.</t>
  </si>
  <si>
    <t>País</t>
  </si>
  <si>
    <t xml:space="preserve">Puerto </t>
  </si>
  <si>
    <t>Cliente (Razón Social)</t>
  </si>
  <si>
    <t xml:space="preserve">Contacto </t>
  </si>
  <si>
    <t>Precio TM</t>
  </si>
  <si>
    <t>VALOR 
CFR</t>
  </si>
  <si>
    <t xml:space="preserve"> FOB / TM </t>
  </si>
  <si>
    <t>Costo Flete</t>
  </si>
  <si>
    <t>VALOR 
FOB</t>
  </si>
  <si>
    <t>Cantidad de FCL (Contenedores)</t>
  </si>
  <si>
    <t>M/V Nave</t>
  </si>
  <si>
    <t>Booking</t>
  </si>
  <si>
    <t xml:space="preserve"> Naviera </t>
  </si>
  <si>
    <t>Puerto</t>
  </si>
  <si>
    <t>CÓDIGO</t>
  </si>
  <si>
    <t>Categoría</t>
  </si>
  <si>
    <t>MATCH</t>
  </si>
  <si>
    <t>COSTO 
UNITARIO</t>
  </si>
  <si>
    <t>Materia Prima</t>
  </si>
  <si>
    <t>MOD</t>
  </si>
  <si>
    <t>Envases</t>
  </si>
  <si>
    <t>CIF</t>
  </si>
  <si>
    <t>COSTO 
VENTAS</t>
  </si>
  <si>
    <t>UTILIDAD 
BRUTA</t>
  </si>
  <si>
    <t>MARGEN 
BRUTO</t>
  </si>
  <si>
    <t>Flete</t>
  </si>
  <si>
    <t>SS Logístico</t>
  </si>
  <si>
    <t>GASTO
VENTAS</t>
  </si>
  <si>
    <t>GASTO 
ADM</t>
  </si>
  <si>
    <t>DRAWBACK</t>
  </si>
  <si>
    <t>UTILIDAD 
OPERATIVA</t>
  </si>
  <si>
    <t>MARGEN 
OPERATIVO</t>
  </si>
  <si>
    <t>GASTO 
FINANCIERO</t>
  </si>
  <si>
    <t>UTILIDAD 
NETA</t>
  </si>
  <si>
    <t>MARGEN 
NETO</t>
  </si>
  <si>
    <t>DEPRECIACIÓN</t>
  </si>
  <si>
    <t>MARGEN 
EBITDA</t>
  </si>
  <si>
    <t>PRECIO 
CFR</t>
  </si>
  <si>
    <t>127-2025</t>
  </si>
  <si>
    <t>Rejos</t>
  </si>
  <si>
    <t>España</t>
  </si>
  <si>
    <t>Valencia</t>
  </si>
  <si>
    <t>Ignacio / Ives</t>
  </si>
  <si>
    <t>MERSIN EXPRESS 603N</t>
  </si>
  <si>
    <t>HAPAG</t>
  </si>
  <si>
    <t>PAITA</t>
  </si>
  <si>
    <t>Compensación</t>
  </si>
  <si>
    <t>128-2025B</t>
  </si>
  <si>
    <t>Nucas</t>
  </si>
  <si>
    <t>1000-up</t>
  </si>
  <si>
    <t xml:space="preserve">Tailandia </t>
  </si>
  <si>
    <t>Lat Krabang</t>
  </si>
  <si>
    <t>Julieta</t>
  </si>
  <si>
    <t>ECO SIROCCO 26005S</t>
  </si>
  <si>
    <t>COSCO</t>
  </si>
  <si>
    <t>500 - 1 kg.</t>
  </si>
  <si>
    <t>1 - 2 kgs.</t>
  </si>
  <si>
    <t>129-2025</t>
  </si>
  <si>
    <t>Conos</t>
  </si>
  <si>
    <t>Tailandia</t>
  </si>
  <si>
    <t>Bangkok</t>
  </si>
  <si>
    <t>Jose</t>
  </si>
  <si>
    <t>ECO MARIN 26002S</t>
  </si>
  <si>
    <t>137-2025</t>
  </si>
  <si>
    <t>Filete</t>
  </si>
  <si>
    <t>2 - 4 kg</t>
  </si>
  <si>
    <t>Taiwan</t>
  </si>
  <si>
    <t>KAOHSIUNG</t>
  </si>
  <si>
    <t>ECO MARIN 25052N</t>
  </si>
  <si>
    <t>LIMF26385300</t>
  </si>
  <si>
    <t>ONE</t>
  </si>
  <si>
    <t>140-2025</t>
  </si>
  <si>
    <t>2-4kg</t>
  </si>
  <si>
    <t xml:space="preserve">Japón </t>
  </si>
  <si>
    <t>Sendai</t>
  </si>
  <si>
    <t>ECO SIROCCO 26003S</t>
  </si>
  <si>
    <t>LIMG00358300</t>
  </si>
  <si>
    <t>145-2025</t>
  </si>
  <si>
    <t>500-1 / 1-2</t>
  </si>
  <si>
    <t>Vigo</t>
  </si>
  <si>
    <t>Jorge</t>
  </si>
  <si>
    <t>IZMIT EXPRESS 604N</t>
  </si>
  <si>
    <t>146-2026</t>
  </si>
  <si>
    <t xml:space="preserve">10 cm - up </t>
  </si>
  <si>
    <t>ECO MARIN 26006S</t>
  </si>
  <si>
    <t>500-up</t>
  </si>
  <si>
    <t>147-2026</t>
  </si>
  <si>
    <t>Alas</t>
  </si>
  <si>
    <t>1 - 2 KGS.</t>
  </si>
  <si>
    <t>ECO MARIN 26004N</t>
  </si>
  <si>
    <t>LIMG01524600</t>
  </si>
  <si>
    <t>148-2026</t>
  </si>
  <si>
    <t>2-4 (B)</t>
  </si>
  <si>
    <t xml:space="preserve">España </t>
  </si>
  <si>
    <t>ODYSSEUS 606N</t>
  </si>
  <si>
    <t>149-2026</t>
  </si>
  <si>
    <t>Entradas</t>
  </si>
  <si>
    <t>150-2026A</t>
  </si>
  <si>
    <t>1-2 KG</t>
  </si>
  <si>
    <t>Avelino</t>
  </si>
  <si>
    <t xml:space="preserve">CAPE SPENCER 608N </t>
  </si>
  <si>
    <t>151-2025</t>
  </si>
  <si>
    <t>Membrana</t>
  </si>
  <si>
    <t xml:space="preserve">China </t>
  </si>
  <si>
    <t>Qingdao</t>
  </si>
  <si>
    <t>ECO SIROCCO 26009S</t>
  </si>
  <si>
    <t>Telilla</t>
  </si>
  <si>
    <t>152-2026</t>
  </si>
  <si>
    <t>2-UP KG</t>
  </si>
  <si>
    <t xml:space="preserve">GEMLIK EXPRESS 607N </t>
  </si>
  <si>
    <t>156-2026A</t>
  </si>
  <si>
    <t>2-4 kg 100%  blanco, No polyphosphate,no medicine</t>
  </si>
  <si>
    <t>CMA CGM IMAGINATION / 0DVITN1MA</t>
  </si>
  <si>
    <t>LMM0571149</t>
  </si>
  <si>
    <t>CMA CGM</t>
  </si>
  <si>
    <t>156-2026B</t>
  </si>
  <si>
    <t>CMA CGM EXCELLENCE 0DVNNN1MA</t>
  </si>
  <si>
    <t>LMM0571699</t>
  </si>
  <si>
    <t>157-2026</t>
  </si>
  <si>
    <t>ECO SIROCCO 26007S</t>
  </si>
  <si>
    <t>160-2026</t>
  </si>
  <si>
    <t>162-2026A</t>
  </si>
  <si>
    <t>1-2 kg</t>
  </si>
  <si>
    <t>James</t>
  </si>
  <si>
    <t>ECO SIROCCO 26007N</t>
  </si>
  <si>
    <t>LIMG02628500</t>
  </si>
  <si>
    <t>162-2026B</t>
  </si>
  <si>
    <t>Dalian</t>
  </si>
  <si>
    <t>LIMG02851300</t>
  </si>
  <si>
    <t>162-2026C</t>
  </si>
  <si>
    <t xml:space="preserve">Xiamen </t>
  </si>
  <si>
    <t>LIMG02630500</t>
  </si>
  <si>
    <t>164-2026</t>
  </si>
  <si>
    <t>Daruma</t>
  </si>
  <si>
    <t>Yantai</t>
  </si>
  <si>
    <t>julia</t>
  </si>
  <si>
    <t>168-2026A</t>
  </si>
  <si>
    <t xml:space="preserve">Filete </t>
  </si>
  <si>
    <t>2-4 AA</t>
  </si>
  <si>
    <t>ECO MARIN 26008N</t>
  </si>
  <si>
    <t>168-2026B</t>
  </si>
  <si>
    <t>shidao</t>
  </si>
  <si>
    <t>ECO MARIN 26008S</t>
  </si>
  <si>
    <t>168-2026C</t>
  </si>
  <si>
    <t>170-2026A</t>
  </si>
  <si>
    <t>9 FCL 1-2 / 1 FCL 2-UP</t>
  </si>
  <si>
    <t>Ramon</t>
  </si>
  <si>
    <t>CAPE SABLE 609N</t>
  </si>
  <si>
    <t>150-2026B</t>
  </si>
  <si>
    <t>LEONIDAS Z 610N</t>
  </si>
  <si>
    <t>Inventario final</t>
  </si>
  <si>
    <t>150-2026C</t>
  </si>
  <si>
    <t>159-2026A</t>
  </si>
  <si>
    <t>B</t>
  </si>
  <si>
    <t>ECO SIROCCO 26009N</t>
  </si>
  <si>
    <t>LIMG03265300</t>
  </si>
  <si>
    <t>161-2026A</t>
  </si>
  <si>
    <t>LIMG03094300</t>
  </si>
  <si>
    <t>ONE LINE</t>
  </si>
  <si>
    <t>163-2026</t>
  </si>
  <si>
    <t>1-up</t>
  </si>
  <si>
    <t>Busan</t>
  </si>
  <si>
    <t>ECO MARIN 26010S</t>
  </si>
  <si>
    <t>167-2026</t>
  </si>
  <si>
    <t>ECO SIROCCO 26011S</t>
  </si>
  <si>
    <t>169-2026A</t>
  </si>
  <si>
    <t>1-UP</t>
  </si>
  <si>
    <t>LIMG02789600</t>
  </si>
  <si>
    <t>169-2026B</t>
  </si>
  <si>
    <t>ECO MARIN 26010N</t>
  </si>
  <si>
    <t>LIMG03633900</t>
  </si>
  <si>
    <t>170-2026B</t>
  </si>
  <si>
    <t>CMA CGM BOLDNESS / 0DVODN1MA</t>
  </si>
  <si>
    <t>LMM0575562</t>
  </si>
  <si>
    <t>171-2026</t>
  </si>
  <si>
    <t>Shidao</t>
  </si>
  <si>
    <t>LIMG03093900</t>
  </si>
  <si>
    <t>172-2026A</t>
  </si>
  <si>
    <t xml:space="preserve">1-2 KG </t>
  </si>
  <si>
    <t>LMM0575536</t>
  </si>
  <si>
    <t>172-2026B</t>
  </si>
  <si>
    <t xml:space="preserve">0.3 - UP </t>
  </si>
  <si>
    <t>174-2026</t>
  </si>
  <si>
    <t>LIMG03595900</t>
  </si>
  <si>
    <t>175-2026</t>
  </si>
  <si>
    <t>Lituania</t>
  </si>
  <si>
    <t>CMA CGM VOLTAIRE / 0DVOFN1MA</t>
  </si>
  <si>
    <t>LMM0575667</t>
  </si>
  <si>
    <t>176-2026A</t>
  </si>
  <si>
    <t>161-2026B</t>
  </si>
  <si>
    <t>ECO SIROCCO 26013S</t>
  </si>
  <si>
    <t>165-2026</t>
  </si>
  <si>
    <t>CMA CGM BETTER WAYS 0DVOHN1MA</t>
  </si>
  <si>
    <t>LMM0577574</t>
  </si>
  <si>
    <t>ECO MARIN 26012S</t>
  </si>
  <si>
    <t xml:space="preserve"> 1-2 </t>
  </si>
  <si>
    <t>176-2026B</t>
  </si>
  <si>
    <t>LIMG04326900</t>
  </si>
  <si>
    <t>177-2026A</t>
  </si>
  <si>
    <t>LIMG04588500</t>
  </si>
  <si>
    <t>179-2026A</t>
  </si>
  <si>
    <t>Laem chabang</t>
  </si>
  <si>
    <t>ACER FOOD</t>
  </si>
  <si>
    <t>ECO MARIN 26012N</t>
  </si>
  <si>
    <t>LIMG03918800</t>
  </si>
  <si>
    <t>179-2026B1</t>
  </si>
  <si>
    <t>LIMG03924500</t>
  </si>
  <si>
    <t>179-2026B2</t>
  </si>
  <si>
    <t>LIMG03933500</t>
  </si>
  <si>
    <t>179-2026B3</t>
  </si>
  <si>
    <t>LIMG03937900</t>
  </si>
  <si>
    <t>179-2026B4</t>
  </si>
  <si>
    <t>LIMG03938300</t>
  </si>
  <si>
    <t>179-2026B5</t>
  </si>
  <si>
    <t>LIMG03940300</t>
  </si>
  <si>
    <t>179-2026C1</t>
  </si>
  <si>
    <t>KHUNRUNG</t>
  </si>
  <si>
    <t>179-2026C2</t>
  </si>
  <si>
    <t>181-2026</t>
  </si>
  <si>
    <t>500-1000</t>
  </si>
  <si>
    <t>LIMG04324700</t>
  </si>
  <si>
    <t>183-2026</t>
  </si>
  <si>
    <t xml:space="preserve">2- UP LIMPIOS </t>
  </si>
  <si>
    <t>184-2026</t>
  </si>
  <si>
    <t>China</t>
  </si>
  <si>
    <t>185-2026</t>
  </si>
  <si>
    <t xml:space="preserve">Daruma </t>
  </si>
  <si>
    <t>189-2026</t>
  </si>
  <si>
    <t>300-500</t>
  </si>
  <si>
    <t>MES</t>
  </si>
  <si>
    <t>PRODUCTO</t>
  </si>
  <si>
    <t>Cant.oper.</t>
  </si>
  <si>
    <t>Un.</t>
  </si>
  <si>
    <t>Val.prov.</t>
  </si>
  <si>
    <t>Dif.prec.</t>
  </si>
  <si>
    <t>DifTpoCam</t>
  </si>
  <si>
    <t>Valor real</t>
  </si>
  <si>
    <t>Precio</t>
  </si>
  <si>
    <t>Mater.Prim</t>
  </si>
  <si>
    <t>Envases y</t>
  </si>
  <si>
    <t>Servicio de Terceros</t>
  </si>
  <si>
    <t>CIF-Otros</t>
  </si>
  <si>
    <t>CIF-Gastos</t>
  </si>
  <si>
    <t>CIF-Manten</t>
  </si>
  <si>
    <t>CIF-Serv.</t>
  </si>
  <si>
    <t>CIF-Deprec</t>
  </si>
  <si>
    <t>CIF- Otros 2</t>
  </si>
  <si>
    <t>POTA ALAS FR C/P C/C (B) S/COD BL10 S20</t>
  </si>
  <si>
    <t>Inventario inicial</t>
  </si>
  <si>
    <t>KG</t>
  </si>
  <si>
    <t>Revalorización</t>
  </si>
  <si>
    <t>Inventario acumulado</t>
  </si>
  <si>
    <t>4,137.55-</t>
  </si>
  <si>
    <t>3,502.80-</t>
  </si>
  <si>
    <t>2,200.35-</t>
  </si>
  <si>
    <t>0.12-</t>
  </si>
  <si>
    <t>2,835.10-</t>
  </si>
  <si>
    <t>0.02-</t>
  </si>
  <si>
    <t>POTA ALAS FR C/P C/C 1-2 BL10 S20</t>
  </si>
  <si>
    <t>Inv. acumulado</t>
  </si>
  <si>
    <t>16,077.05-</t>
  </si>
  <si>
    <t>5,733.20-</t>
  </si>
  <si>
    <t>89,328.33-</t>
  </si>
  <si>
    <t>0.15-</t>
  </si>
  <si>
    <t>99,672.18-</t>
  </si>
  <si>
    <t>55,222.48-</t>
  </si>
  <si>
    <t>0.01-</t>
  </si>
  <si>
    <t>44,449.70-</t>
  </si>
  <si>
    <t>POTA ALAS FR C/P C/C 2-UP BL10 S20</t>
  </si>
  <si>
    <t>0.37-</t>
  </si>
  <si>
    <t>0.06-</t>
  </si>
  <si>
    <t>16,616.79-</t>
  </si>
  <si>
    <t>5,734.40-</t>
  </si>
  <si>
    <t>37,221.26-</t>
  </si>
  <si>
    <t>48,103.65-</t>
  </si>
  <si>
    <t>16,991.63-</t>
  </si>
  <si>
    <t>31,112.02-</t>
  </si>
  <si>
    <t>POTA FILETE C/M C/T FR 2-4 (B) BL10 S20</t>
  </si>
  <si>
    <t>140,352.17-</t>
  </si>
  <si>
    <t>163,134.40-</t>
  </si>
  <si>
    <t>83,798.54-</t>
  </si>
  <si>
    <t>61,016.31-</t>
  </si>
  <si>
    <t>41,351.43-</t>
  </si>
  <si>
    <t>19,664.88-</t>
  </si>
  <si>
    <t>POTA NUCAS FR ABIERTAS 0.5-1 BL10 S20</t>
  </si>
  <si>
    <t>31,211.16-</t>
  </si>
  <si>
    <t>23,140.00-</t>
  </si>
  <si>
    <t>30,434.64-</t>
  </si>
  <si>
    <t>0.16-</t>
  </si>
  <si>
    <t>38,505.80-</t>
  </si>
  <si>
    <t>0.17-</t>
  </si>
  <si>
    <t>9,918.74-</t>
  </si>
  <si>
    <t>0.04-</t>
  </si>
  <si>
    <t>28,587.06-</t>
  </si>
  <si>
    <t>0.13-</t>
  </si>
  <si>
    <t>POTA NUCAS FR ABIERTAS 1-2 BL10 S20</t>
  </si>
  <si>
    <t>2,656.74-</t>
  </si>
  <si>
    <t>0.03-</t>
  </si>
  <si>
    <t>1,723.20-</t>
  </si>
  <si>
    <t>14,186.06-</t>
  </si>
  <si>
    <t>18,566.00-</t>
  </si>
  <si>
    <t>0.05-</t>
  </si>
  <si>
    <t>POTA REJOS OR FR LIMPIOS S/COD BL10 S20</t>
  </si>
  <si>
    <t>1,678.37-</t>
  </si>
  <si>
    <t>558.00-</t>
  </si>
  <si>
    <t>19,787.46-</t>
  </si>
  <si>
    <t>22,023.83-</t>
  </si>
  <si>
    <t>POTA REJOS FR C/B S/U S/V S/OR 1-2 BL10</t>
  </si>
  <si>
    <t>50,436.61-</t>
  </si>
  <si>
    <t>38,615.60-</t>
  </si>
  <si>
    <t>58,618.42-</t>
  </si>
  <si>
    <t>70,439.43-</t>
  </si>
  <si>
    <t>28,019.51-</t>
  </si>
  <si>
    <t>42,419.92-</t>
  </si>
  <si>
    <t>POTA REJOS FR 2 UP</t>
  </si>
  <si>
    <t>5,017.38-</t>
  </si>
  <si>
    <t>1,419.00-</t>
  </si>
  <si>
    <t>19,306.03-</t>
  </si>
  <si>
    <t>25,742.41-</t>
  </si>
  <si>
    <t>9,355.17-</t>
  </si>
  <si>
    <t>16,387.24-</t>
  </si>
  <si>
    <t>POTA FILETE PRE COCIDO S/M S/T C/P S/COD</t>
  </si>
  <si>
    <t>600,280.66-</t>
  </si>
  <si>
    <t>313,588.80-</t>
  </si>
  <si>
    <t>647,203.81-</t>
  </si>
  <si>
    <t>933,895.67-</t>
  </si>
  <si>
    <t>0.11-</t>
  </si>
  <si>
    <t>78,172.07-</t>
  </si>
  <si>
    <t>855,723.60-</t>
  </si>
  <si>
    <t>0.10-</t>
  </si>
  <si>
    <t>PPTA RECORTES PRECOCIDA B10 S20</t>
  </si>
  <si>
    <t>13,761.55-</t>
  </si>
  <si>
    <t>2,700.20-</t>
  </si>
  <si>
    <t>15,739.71-</t>
  </si>
  <si>
    <t>26,801.06-</t>
  </si>
  <si>
    <t>POTA ALAS PRE COC 0.3 - UP BL9 S18</t>
  </si>
  <si>
    <t>37,945.18-</t>
  </si>
  <si>
    <t>99,139.19-</t>
  </si>
  <si>
    <t>137,084.37-</t>
  </si>
  <si>
    <t>POTA RECORTES LAM PRE COC (T) BL7.5 S15</t>
  </si>
  <si>
    <t>26,343.41-</t>
  </si>
  <si>
    <t>7,303.50-</t>
  </si>
  <si>
    <t>46,968.50-</t>
  </si>
  <si>
    <t>66,008.41-</t>
  </si>
  <si>
    <t>42,069.99-</t>
  </si>
  <si>
    <t>23,938.42-</t>
  </si>
  <si>
    <t>Cant</t>
  </si>
  <si>
    <t>C.U</t>
  </si>
  <si>
    <t>Cotos Vta</t>
  </si>
  <si>
    <t>RESIDUOS DE POTA</t>
  </si>
  <si>
    <t>Residuos</t>
  </si>
  <si>
    <t>PROVEEDORA DE PRODUCTOS MARINOS</t>
  </si>
  <si>
    <t>X</t>
  </si>
  <si>
    <t>2 - UP</t>
  </si>
  <si>
    <t>153-2026</t>
  </si>
  <si>
    <t>CAPE SKAGEN 614N</t>
  </si>
  <si>
    <t>POTA FILETE C/M C/T FR 0.5-1 BL10 S20</t>
  </si>
  <si>
    <t>POTA FILETE C/M C/T FR 1-2 BL10 S20</t>
  </si>
  <si>
    <t>POTA FILETE C/M C/T FR 2-4 BL10 S20</t>
  </si>
  <si>
    <t>POTA FILETE C/M C/T FR 2.0 - 4.0 AA BL10</t>
  </si>
  <si>
    <t>POTA NUCAS FR ABIERTAS 0.3-0.5 BL10 S20</t>
  </si>
  <si>
    <t>POTA ALAS FR C/P C/C &lt; 0.5 BL10 S20</t>
  </si>
  <si>
    <t>POTA ALAS FR C/P C/C 0.5-1 BL10 S20</t>
  </si>
  <si>
    <t>POTA RECORTES PRE COC BL10 S20</t>
  </si>
  <si>
    <t>POTA RECORTES FR BL10 S20</t>
  </si>
  <si>
    <t>POTA RECORTES LAM FR (T) BL10 S20</t>
  </si>
  <si>
    <t>POTA RECORTES LAM FR (M) BL10 S20</t>
  </si>
  <si>
    <t>POTA REJOS FR C/B S/U S/V S/OR 0.5-1 BL1</t>
  </si>
  <si>
    <t>POTA CONO FR S/COD BL10 S20</t>
  </si>
  <si>
    <t>POTA TUBO/ALETA EVISC. 0.5 - 1.0 BL10 S2</t>
  </si>
  <si>
    <t>POTA TUBO/ALETA EVISC. 1.0 - 2.0 BL10 S2</t>
  </si>
  <si>
    <t>POTA ALAS FR C/P C/C AA S/COD BL10 S20</t>
  </si>
  <si>
    <t>POTA NUCAS FR ABIERTAS 0.1 - 0.3 BL10 S2</t>
  </si>
  <si>
    <t>POTA REJOS FR S-S/POR C/UV 0.1 - 0.3 BL1</t>
  </si>
  <si>
    <t>POTA REJOS FR C/B S/U S/V S/OR 0.3 - 0.5</t>
  </si>
  <si>
    <t>POTA LABIOS FR S/COD BL10 S20</t>
  </si>
  <si>
    <t>BONITO ENT FR S/COD BL10 S20</t>
  </si>
  <si>
    <t>POTA ALAS PRE COC S/COD BL10 S20</t>
  </si>
  <si>
    <t>POTA FILETE PRE COCIDO S/M S/T 0.6 - 1.0</t>
  </si>
  <si>
    <t>POTA ALAS FR C/P C/C 0.3 - 0.5 BL10 S20</t>
  </si>
  <si>
    <t>POTA NUCAS CERRADAS 0.1 - 0.3 BL10 S20</t>
  </si>
  <si>
    <t>POTA FILETE S/M S/T FR 1.0-2.0 CM/ESP</t>
  </si>
  <si>
    <t>POTA ALAS PRE COC 0.3 - UP BL10 S20</t>
  </si>
  <si>
    <t>POTA ALAS PRE COC AA BL10 S20</t>
  </si>
  <si>
    <t>POTA ALAS PRE COC AA BL9 S18</t>
  </si>
  <si>
    <t>POTA VENTOSAS C/U FR BL10 S20</t>
  </si>
  <si>
    <t>POTA RECORTES LAM PRE COC (M) BL7.5 S15</t>
  </si>
  <si>
    <t>POTA REJOS FR C/B S/U S/V S/OR 2.0 - UP</t>
  </si>
  <si>
    <t>POTA FILETE S/M S/T FR 1.5-UP CM/ESP BL1</t>
  </si>
  <si>
    <t>LANGOSTINO COLA P&amp;D S/COD</t>
  </si>
  <si>
    <t>CONCHA ABANICO T/SOLO S/COD</t>
  </si>
  <si>
    <t>CABALLA ENTERA FR S/COD</t>
  </si>
  <si>
    <t>POTA FILETE PARA REPROCESO</t>
  </si>
  <si>
    <t>POTA REJOS FR C/B C/U C/V S/OR 1.0 - UP</t>
  </si>
  <si>
    <t>POTA REJOS FR S-S/POR C/UV 0.3 - 0.5 BL1</t>
  </si>
  <si>
    <t>ABRIL</t>
  </si>
  <si>
    <t>145-2025B</t>
  </si>
  <si>
    <t>POTA RECORTES  COCIDOS</t>
  </si>
  <si>
    <t xml:space="preserve">Recortes cocidos </t>
  </si>
  <si>
    <t>150-2026D</t>
  </si>
  <si>
    <t>s/t</t>
  </si>
  <si>
    <t>172-2026C</t>
  </si>
  <si>
    <t>2-4 kg  AA</t>
  </si>
  <si>
    <t>173-2026</t>
  </si>
  <si>
    <t>177-2026B</t>
  </si>
  <si>
    <t>178-2026A</t>
  </si>
  <si>
    <t>2-4 kg</t>
  </si>
  <si>
    <t>178-2026B</t>
  </si>
  <si>
    <t>178-2026C</t>
  </si>
  <si>
    <t>182-2026</t>
  </si>
  <si>
    <t>186-2026</t>
  </si>
  <si>
    <t>187-2026</t>
  </si>
  <si>
    <t>188-2026</t>
  </si>
  <si>
    <t xml:space="preserve">2-4 A </t>
  </si>
  <si>
    <t>Hakata</t>
  </si>
  <si>
    <t>190-2026</t>
  </si>
  <si>
    <t xml:space="preserve">Tokyo </t>
  </si>
  <si>
    <t>191-2026</t>
  </si>
  <si>
    <t>Alas Precocidas</t>
  </si>
  <si>
    <t xml:space="preserve">300-up skin-on </t>
  </si>
  <si>
    <t>YANTAI TAIXI FOODSTUFF</t>
  </si>
  <si>
    <t>Sasha</t>
  </si>
  <si>
    <t>192-2026</t>
  </si>
  <si>
    <t xml:space="preserve">1-up </t>
  </si>
  <si>
    <t>193-2026</t>
  </si>
  <si>
    <t>2-4 A  external skin removed, inner membranes on</t>
  </si>
  <si>
    <t>194-2026</t>
  </si>
  <si>
    <t>POTA FILETE DARUMA</t>
  </si>
  <si>
    <t>195-2026</t>
  </si>
  <si>
    <t>POTA SUCKERS CONGELADO</t>
  </si>
  <si>
    <t>Ventosas</t>
  </si>
  <si>
    <t>MAWEI FUZHOU</t>
  </si>
  <si>
    <t>196-2026</t>
  </si>
  <si>
    <t>Longkou Yunfeng Aquatic Food</t>
  </si>
  <si>
    <t xml:space="preserve">Nana </t>
  </si>
  <si>
    <t>197-2026A</t>
  </si>
  <si>
    <t xml:space="preserve">2-4 AA LIGERAMENTE ROSADO </t>
  </si>
  <si>
    <t>198-2026A</t>
  </si>
  <si>
    <t>198-2026B</t>
  </si>
  <si>
    <t>200-2026</t>
  </si>
  <si>
    <t>Qingdao Haiyujia</t>
  </si>
  <si>
    <t>Mark</t>
  </si>
  <si>
    <t>201-2026</t>
  </si>
  <si>
    <t>jack</t>
  </si>
  <si>
    <t>202-2026A</t>
  </si>
  <si>
    <t>202-2026B</t>
  </si>
  <si>
    <t>203-2026</t>
  </si>
  <si>
    <t>&lt;1000 DIRTY SUCKERS ON ,SEXUAL OFF</t>
  </si>
  <si>
    <t>SHIDAO</t>
  </si>
  <si>
    <t>204-2026</t>
  </si>
  <si>
    <t xml:space="preserve">1-2 A - AA  manto </t>
  </si>
  <si>
    <t>KOBE</t>
  </si>
  <si>
    <t>205-2026</t>
  </si>
  <si>
    <t>&gt;60 CM , SUCKERS OFF</t>
  </si>
  <si>
    <t>Manzanillo</t>
  </si>
  <si>
    <t xml:space="preserve">Mexico </t>
  </si>
  <si>
    <t>GOLDEN SEAFOOD</t>
  </si>
  <si>
    <t>alexander</t>
  </si>
  <si>
    <t>207-2026</t>
  </si>
  <si>
    <t>300-500 / 500-1000</t>
  </si>
  <si>
    <t>208-2026</t>
  </si>
  <si>
    <t xml:space="preserve">&lt;1000 </t>
  </si>
  <si>
    <t>Shenzhen Yueshi</t>
  </si>
  <si>
    <t>susan</t>
  </si>
  <si>
    <t>209-2026</t>
  </si>
  <si>
    <t>210-2026A</t>
  </si>
  <si>
    <t xml:space="preserve">&lt;1000 ENTERAS </t>
  </si>
  <si>
    <t>213-2026</t>
  </si>
  <si>
    <t>1-2 A - AA  manto</t>
  </si>
  <si>
    <t>214-2026</t>
  </si>
  <si>
    <t>2-4 A - AA</t>
  </si>
  <si>
    <t>SENDAI</t>
  </si>
  <si>
    <t>218-2026A</t>
  </si>
  <si>
    <t xml:space="preserve">1-2 LIMPIO </t>
  </si>
  <si>
    <t>218-2026B</t>
  </si>
  <si>
    <t>MSC CAROLE NX614R</t>
  </si>
  <si>
    <t>EBKG16377153</t>
  </si>
  <si>
    <t>MSC</t>
  </si>
  <si>
    <t>EBKG16377125</t>
  </si>
  <si>
    <t>ECO MARIN 26014N</t>
  </si>
  <si>
    <t>LIMG05144800</t>
  </si>
  <si>
    <t>LIMG05163900</t>
  </si>
  <si>
    <t>ECO MARIN 26016N</t>
  </si>
  <si>
    <t>LIMG05567300</t>
  </si>
  <si>
    <t>CAPE SABLE 617N</t>
  </si>
  <si>
    <t>LEONIDAS Z  618N</t>
  </si>
  <si>
    <t>LIMG05569500</t>
  </si>
  <si>
    <t>LIMG05575900</t>
  </si>
  <si>
    <t>LIMG05162800</t>
  </si>
  <si>
    <t>LIMG05576300</t>
  </si>
  <si>
    <t>ECO MARIN 26016S</t>
  </si>
  <si>
    <t>ECO SIROCCO 26015S</t>
  </si>
  <si>
    <t>CMA CGM EXCELLENCE 0DVOPN1MA</t>
  </si>
  <si>
    <t>LMM0581298</t>
  </si>
  <si>
    <t>LIMG05822400</t>
  </si>
  <si>
    <t>ECO SIROCCO 26017N</t>
  </si>
  <si>
    <t>ECO MARIN 26016N(</t>
  </si>
  <si>
    <t>LIMG05097800</t>
  </si>
  <si>
    <t>ECO SIROCCO 26017S</t>
  </si>
  <si>
    <t>LIMG06389600</t>
  </si>
  <si>
    <t>LEONIDAS Z 618N</t>
  </si>
  <si>
    <t>LIMG06456800</t>
  </si>
  <si>
    <t>LIMG06698900</t>
  </si>
  <si>
    <t>LIMG06699300</t>
  </si>
  <si>
    <t>3</t>
  </si>
  <si>
    <t>Total 3</t>
  </si>
  <si>
    <t>TM</t>
  </si>
  <si>
    <t>COSTO X TM</t>
  </si>
  <si>
    <t>MATERIA PRIMA</t>
  </si>
  <si>
    <t>MANO OBRA</t>
  </si>
  <si>
    <t>ENVASES</t>
  </si>
  <si>
    <t>DESPERDICIOS</t>
  </si>
  <si>
    <t>OTROS</t>
  </si>
  <si>
    <t>CIF DEPRECIACIÓN</t>
  </si>
  <si>
    <t>COSTOS DE PRODUCCIÓN DE MARZO 2025 EN USD</t>
  </si>
  <si>
    <t>ASIGNACIÓN DE COSTOS POR PORCENTAJE</t>
  </si>
  <si>
    <t>2</t>
  </si>
  <si>
    <t>Total 2</t>
  </si>
  <si>
    <t>COSTOS DE PRODUCCIÓN DE FEBRERO 2025 EN USD</t>
  </si>
  <si>
    <t>venta marzo</t>
  </si>
  <si>
    <t>% aplicado nuevo costo materia prima</t>
  </si>
  <si>
    <t>tm vendidas en marzo con nuevo costo materia prima</t>
  </si>
  <si>
    <t>incremento costo</t>
  </si>
  <si>
    <t>venta abril</t>
  </si>
  <si>
    <t>tm vendidas en abril con nuevo costo materia prima</t>
  </si>
  <si>
    <t>Budget</t>
  </si>
  <si>
    <t>Real</t>
  </si>
  <si>
    <t>Concepto</t>
  </si>
  <si>
    <t>Enero</t>
  </si>
  <si>
    <t>Febrero</t>
  </si>
  <si>
    <t>Marzo</t>
  </si>
  <si>
    <t>Abril</t>
  </si>
  <si>
    <t>Venta CFR</t>
  </si>
  <si>
    <t>Utilidad Neta</t>
  </si>
  <si>
    <t>Acum Abril venta y rentabilidad por producto</t>
  </si>
  <si>
    <t>Acum Abril venta y rentabilidad por cliente</t>
  </si>
  <si>
    <t>FILETE CONGELADO</t>
  </si>
  <si>
    <t>REJOS CONGELADOS</t>
  </si>
  <si>
    <t>ALAS CONGELADAS</t>
  </si>
  <si>
    <t>FILETE DARUMA</t>
  </si>
  <si>
    <t>REPRODUCTORES</t>
  </si>
  <si>
    <t>NUCAS</t>
  </si>
  <si>
    <t>ALAS COCIDAS</t>
  </si>
  <si>
    <t>Acum 2026</t>
  </si>
  <si>
    <t>TM Materia Prima</t>
  </si>
  <si>
    <t>TM Vendidas PT</t>
  </si>
  <si>
    <t>Venta</t>
  </si>
  <si>
    <t>Margen Neto %</t>
  </si>
  <si>
    <t>PERU FROST - RESUMEN RESULTADOS CONGELADOS 2026 (MILES US$)</t>
  </si>
  <si>
    <t>1. RESULTADOS INTERNOS</t>
  </si>
  <si>
    <t>PERU FROST</t>
  </si>
  <si>
    <t>NUCA</t>
  </si>
  <si>
    <t>REPRODUCTOR</t>
  </si>
  <si>
    <t>TENTACULO</t>
  </si>
  <si>
    <t>Top 15 Exportadores — Productos Congelados (Alas, Filete, Nuca, Tentáculo, Reproductor)</t>
  </si>
  <si>
    <t>KSL S.A.C.</t>
  </si>
  <si>
    <t>Resumen de Precios por TM Peru Frost vs Mercado</t>
  </si>
  <si>
    <t>INDUSTRIA PERUANA</t>
  </si>
  <si>
    <t>Nro</t>
  </si>
  <si>
    <t>Exportador</t>
  </si>
  <si>
    <t>Valor FOB (US$)</t>
  </si>
  <si>
    <t>Precio por TM</t>
  </si>
  <si>
    <t>Industrial Pesquera Santa Monica S.A.</t>
  </si>
  <si>
    <t>Pesquera Hermanos Cordova S.A.C.</t>
  </si>
  <si>
    <t>Oceano Seafood S.A.</t>
  </si>
  <si>
    <t>Productora Andina De Congelados S.R.L.</t>
  </si>
  <si>
    <t>Costa Mira Sociedad Anonima Cerrada</t>
  </si>
  <si>
    <t>Novaperu S.A.C.</t>
  </si>
  <si>
    <t>Peru Frost Sociedad Anonima Cerrada</t>
  </si>
  <si>
    <t>Esmeralda Corp S.A.C.</t>
  </si>
  <si>
    <t>Proveedora De Productos Marinos Sociedad</t>
  </si>
  <si>
    <t>Peruvian Sea Food S.A.</t>
  </si>
  <si>
    <t>Pesquera Supercetus S.A.C.</t>
  </si>
  <si>
    <t>Global Top Food Peru S.A.C.</t>
  </si>
  <si>
    <t>Seafrost S.A.C.</t>
  </si>
  <si>
    <t>Pacific Freezing Company S.A.C.</t>
  </si>
  <si>
    <t>Dexim Srl</t>
  </si>
  <si>
    <t>Inversiones Holding Peru Sociedad Anonim</t>
  </si>
  <si>
    <t>Mik Carpe S.A.C.</t>
  </si>
  <si>
    <t>Pesquera Exalmar S.A.A.</t>
  </si>
  <si>
    <t>Transmarina Del Peru S.A.C.</t>
  </si>
  <si>
    <t>Frigosa S.A.C.</t>
  </si>
  <si>
    <t>Frigosa Sociedad S.A.C.</t>
  </si>
  <si>
    <t>Corporacion Pesquera Del Mar Sociedad An</t>
  </si>
  <si>
    <t>Refrigerados Fisholg &amp; Hijos Sociedad An</t>
  </si>
  <si>
    <t>Top 15 Exportadores — Productos Cocidos (Alas Cocidas, Filete Daruma)</t>
  </si>
  <si>
    <t>2. BENCHMARK INDUSTRIA PERUANA DE CONGELADOS (VERITRADE)</t>
  </si>
  <si>
    <t>COSTOS DE PRODUCCIÓN DE ABRIL 2025 EN USD</t>
  </si>
  <si>
    <t>Total 4</t>
  </si>
  <si>
    <t>POTA ALAS FR C/P C/C 1.0-2.0 ENT BL10 S2</t>
  </si>
  <si>
    <t>POTA FILETE C/M C/T FR &lt; 0.5 AA BL10 S20</t>
  </si>
  <si>
    <t>POTA FILETE C/M C/T FR 0.5 - 1.0 AA BL10</t>
  </si>
  <si>
    <t>POTA FILETE C/M C/T FR 0.5 - 1.0 AAA BL1</t>
  </si>
  <si>
    <t>POTA FILETE C/M C/T FR 1.0 - 2.0 AA BL10</t>
  </si>
  <si>
    <t>POTA FILETE C/M C/T FR 1.0 - 2.0 AAA BL1</t>
  </si>
  <si>
    <t>POTA NUCAS CERRADAS &lt; 0.1 BL10 S20</t>
  </si>
  <si>
    <t>POTA REJOS FR S-S/POR C/UV 0.5 - 1.0 BL1</t>
  </si>
  <si>
    <t>POTA REJOS OR FR LIMPIOS &lt;60 CM BL10 S20</t>
  </si>
  <si>
    <t>POTA TUBO/ALETA EVISC. 1.0 - 1.5 BL10 S2</t>
  </si>
  <si>
    <t>Otros 
Gastos Ventas</t>
  </si>
  <si>
    <t xml:space="preserve">POTA TUBOALETA </t>
  </si>
  <si>
    <t>POTA LABIOS CONGELADOS</t>
  </si>
  <si>
    <t>197-2026B</t>
  </si>
  <si>
    <t>197-2026C</t>
  </si>
  <si>
    <t>197-2026D</t>
  </si>
  <si>
    <t>197-2026E</t>
  </si>
  <si>
    <t>198-2026C</t>
  </si>
  <si>
    <t>198-2026D</t>
  </si>
  <si>
    <t>198-2026E</t>
  </si>
  <si>
    <t>198-2026F</t>
  </si>
  <si>
    <t>199-2026</t>
  </si>
  <si>
    <t>206-2026</t>
  </si>
  <si>
    <t>210-2026B</t>
  </si>
  <si>
    <t>211-2026</t>
  </si>
  <si>
    <t>212-2026</t>
  </si>
  <si>
    <t>215-2026</t>
  </si>
  <si>
    <t>216-2026</t>
  </si>
  <si>
    <t>217-2026</t>
  </si>
  <si>
    <t>220-2026</t>
  </si>
  <si>
    <t>221-2026A</t>
  </si>
  <si>
    <t>222-2026A</t>
  </si>
  <si>
    <t>223-2026</t>
  </si>
  <si>
    <t>224-2026A</t>
  </si>
  <si>
    <t>225-2026</t>
  </si>
  <si>
    <t>227-2026A</t>
  </si>
  <si>
    <t>227-2026B</t>
  </si>
  <si>
    <t>228-2026</t>
  </si>
  <si>
    <t>229-2026A</t>
  </si>
  <si>
    <t>229-2026B</t>
  </si>
  <si>
    <t>229-2026C</t>
  </si>
  <si>
    <t>230-2026</t>
  </si>
  <si>
    <t>234-2026</t>
  </si>
  <si>
    <t>235-2026</t>
  </si>
  <si>
    <t>236-2026</t>
  </si>
  <si>
    <t>237-2026A</t>
  </si>
  <si>
    <t>237-2026B</t>
  </si>
  <si>
    <t>239-2026</t>
  </si>
  <si>
    <t>MAYO</t>
  </si>
  <si>
    <t>TUBOALETA</t>
  </si>
  <si>
    <t>Labios</t>
  </si>
  <si>
    <t xml:space="preserve">1-2 SIN CORTAR </t>
  </si>
  <si>
    <t>&lt;1.5</t>
  </si>
  <si>
    <t xml:space="preserve">GIANT OCEAN FOOD </t>
  </si>
  <si>
    <t>100-300</t>
  </si>
  <si>
    <t>500 - UP</t>
  </si>
  <si>
    <t xml:space="preserve">1-2 A - AA  </t>
  </si>
  <si>
    <t xml:space="preserve">1000 - up </t>
  </si>
  <si>
    <t>TT INTERBIZ</t>
  </si>
  <si>
    <t>Tar</t>
  </si>
  <si>
    <t xml:space="preserve">300-500 SUCIO </t>
  </si>
  <si>
    <t>YANTAI HONGCHANG</t>
  </si>
  <si>
    <t>LYNN</t>
  </si>
  <si>
    <t>300-500 SUCIO eyes off , neck off , beak off , sex leg off,</t>
  </si>
  <si>
    <t>NINGBO JUN TAO</t>
  </si>
  <si>
    <t>Cherry</t>
  </si>
  <si>
    <t>cut from Daruma,plate frozen</t>
  </si>
  <si>
    <t>YANTAI HIZEN INTERNATIONAL</t>
  </si>
  <si>
    <t>Alicia</t>
  </si>
  <si>
    <t xml:space="preserve">500-1000 SUCIO </t>
  </si>
  <si>
    <t>Mawei</t>
  </si>
  <si>
    <t>Xiamen</t>
  </si>
  <si>
    <t>1-2  A-AA</t>
  </si>
  <si>
    <t>Ningbo</t>
  </si>
  <si>
    <t>ZHOUSHAN EAST CHINA</t>
  </si>
  <si>
    <t>WANG</t>
  </si>
  <si>
    <t>1-2 / 0.5-1 AAA</t>
  </si>
  <si>
    <t>ZHEJIANG ZHOUFU</t>
  </si>
  <si>
    <t xml:space="preserve">LONGKOU SANMING </t>
  </si>
  <si>
    <t>Dolly</t>
  </si>
  <si>
    <t>ECO SIROCCO 26019N</t>
  </si>
  <si>
    <t>ECO MARIN 26020S</t>
  </si>
  <si>
    <t>ECO SIROCCO 26021S</t>
  </si>
  <si>
    <t>ECO MARIN 26022S</t>
  </si>
  <si>
    <t>ECO SIROCCO 26019S</t>
  </si>
  <si>
    <t>LIMG07571700</t>
  </si>
  <si>
    <t>LIMG07568600</t>
  </si>
  <si>
    <t>LIMG07572800</t>
  </si>
  <si>
    <t>IZMIT EXPRESS 621N</t>
  </si>
  <si>
    <t>LIMG07569700</t>
  </si>
  <si>
    <t>LIMG07120400</t>
  </si>
  <si>
    <t>ECO MARIN  260220S</t>
  </si>
  <si>
    <t>LIMG07124800</t>
  </si>
  <si>
    <t xml:space="preserve"> LIMG08114800</t>
  </si>
  <si>
    <t xml:space="preserve"> LIMG08415500</t>
  </si>
  <si>
    <t>LIMG08417700</t>
  </si>
  <si>
    <t>LIMG08416600</t>
  </si>
  <si>
    <t>ECO SIROCCO 26021N</t>
  </si>
  <si>
    <t>LIMG08350300</t>
  </si>
  <si>
    <t>CAPE SKAGEN 622N</t>
  </si>
  <si>
    <t>JUNIO</t>
  </si>
  <si>
    <t>159-2026B</t>
  </si>
  <si>
    <t>Vietnam</t>
  </si>
  <si>
    <t>Ho Chi Min</t>
  </si>
  <si>
    <t>ECO SIROCCO 26025N</t>
  </si>
  <si>
    <t>198-2026G</t>
  </si>
  <si>
    <t>ECO MARIN 26026S</t>
  </si>
  <si>
    <t>219-2026A</t>
  </si>
  <si>
    <t>ECO MARIN 26024S</t>
  </si>
  <si>
    <t>LIMG09468700</t>
  </si>
  <si>
    <t>222-2026B</t>
  </si>
  <si>
    <t xml:space="preserve"> 1-2  limpios</t>
  </si>
  <si>
    <t>CAPE SABLE 625N</t>
  </si>
  <si>
    <t>222-2026C</t>
  </si>
  <si>
    <t>CAUCEDO EXPRESS  626N</t>
  </si>
  <si>
    <t>224-2026B</t>
  </si>
  <si>
    <t>232-2026B</t>
  </si>
  <si>
    <t>Shenzhen Yueshi Supply</t>
  </si>
  <si>
    <t>BOB</t>
  </si>
  <si>
    <t>ECO SIROCCO 26025S</t>
  </si>
  <si>
    <t>237-2026C</t>
  </si>
  <si>
    <t>ECO SIROCCO 26023N</t>
  </si>
  <si>
    <t>LIMG09466500</t>
  </si>
  <si>
    <t>237-2026D</t>
  </si>
  <si>
    <t>237-2026E</t>
  </si>
  <si>
    <t>LIMG10399900</t>
  </si>
  <si>
    <t>238-2026</t>
  </si>
  <si>
    <t xml:space="preserve">GEMLIK EXPRESS  623N </t>
  </si>
  <si>
    <t>243-2026</t>
  </si>
  <si>
    <t xml:space="preserve"> 1 - up</t>
  </si>
  <si>
    <t>PELAGICS INTERNATIONAL</t>
  </si>
  <si>
    <t>osmelia</t>
  </si>
  <si>
    <t>LIMG09469800</t>
  </si>
  <si>
    <t>245-2026A</t>
  </si>
  <si>
    <t>245-2026B</t>
  </si>
  <si>
    <t>246-2026</t>
  </si>
  <si>
    <t>SERENE OCEAN</t>
  </si>
  <si>
    <t>Emily</t>
  </si>
  <si>
    <t>249-2026A</t>
  </si>
  <si>
    <t>249-2026B</t>
  </si>
  <si>
    <t>ECO MARIN 26026N</t>
  </si>
  <si>
    <t>251-2026</t>
  </si>
  <si>
    <t>Rejos Re</t>
  </si>
  <si>
    <t>+  60 CM , SUCKERS OFF</t>
  </si>
  <si>
    <t>252-2026A</t>
  </si>
  <si>
    <t>500-UP</t>
  </si>
  <si>
    <t>LIMG10338900</t>
  </si>
  <si>
    <t>254-2026</t>
  </si>
  <si>
    <t xml:space="preserve">500-1000 </t>
  </si>
  <si>
    <t>JULIO</t>
  </si>
  <si>
    <t>221-2026B</t>
  </si>
  <si>
    <t>ECO SIROCCO 26029N</t>
  </si>
  <si>
    <t>LIMG13281900</t>
  </si>
  <si>
    <t>242-2026A</t>
  </si>
  <si>
    <t>500-1 / 1- 2</t>
  </si>
  <si>
    <t>KS FROZEN COMPANY</t>
  </si>
  <si>
    <t>Pimsiri</t>
  </si>
  <si>
    <t>MEDKON ZOE 200S</t>
  </si>
  <si>
    <t>242-2026B</t>
  </si>
  <si>
    <t>500-1</t>
  </si>
  <si>
    <t>ECO MARIN 26030N</t>
  </si>
  <si>
    <t>244-2026</t>
  </si>
  <si>
    <t>|</t>
  </si>
  <si>
    <t>300 - 500</t>
  </si>
  <si>
    <t>Hachinohe</t>
  </si>
  <si>
    <t>LIMG13184400</t>
  </si>
  <si>
    <t>247-2026</t>
  </si>
  <si>
    <t>OPTIMIZE INTEGRATION</t>
  </si>
  <si>
    <t xml:space="preserve">Mark </t>
  </si>
  <si>
    <t>ECO SIROCCO 26027S</t>
  </si>
  <si>
    <t>248-2026</t>
  </si>
  <si>
    <t xml:space="preserve">IZMIT EXPRESS  629N </t>
  </si>
  <si>
    <t>250-2026</t>
  </si>
  <si>
    <t xml:space="preserve">grandes </t>
  </si>
  <si>
    <t>CAUCEDO EXPRESS626N</t>
  </si>
  <si>
    <t>252-2026B</t>
  </si>
  <si>
    <t>LIMG13089800</t>
  </si>
  <si>
    <t>253-2026</t>
  </si>
  <si>
    <t>255-2026</t>
  </si>
  <si>
    <t>QINGDAO OCEAN</t>
  </si>
  <si>
    <t>walton</t>
  </si>
  <si>
    <t>256A - 2026</t>
  </si>
  <si>
    <t>S/T</t>
  </si>
  <si>
    <t>CARIBBEAN TRADER 200S</t>
  </si>
  <si>
    <t xml:space="preserve">Alas </t>
  </si>
  <si>
    <t>500 - up</t>
  </si>
  <si>
    <t>256B-2026</t>
  </si>
  <si>
    <t>Membrana PC</t>
  </si>
  <si>
    <t>Yantian Shezhen</t>
  </si>
  <si>
    <t>256C-2026</t>
  </si>
  <si>
    <t xml:space="preserve"> 6507561120 //</t>
  </si>
  <si>
    <t>256D-2026</t>
  </si>
  <si>
    <t>Telilla PC</t>
  </si>
  <si>
    <t>CARIBBEAN TRADER 201S</t>
  </si>
  <si>
    <t>258-2026</t>
  </si>
  <si>
    <t xml:space="preserve">Membrana </t>
  </si>
  <si>
    <t xml:space="preserve">SHANDONG LONGKOU XINLONG </t>
  </si>
  <si>
    <t>aaron</t>
  </si>
  <si>
    <t>ECO MARIN 26030S</t>
  </si>
  <si>
    <t>261-2026</t>
  </si>
  <si>
    <t>263-2026</t>
  </si>
  <si>
    <t>LIMG13295700</t>
  </si>
  <si>
    <t>diferencia de tsujino</t>
  </si>
  <si>
    <t>toneladas</t>
  </si>
  <si>
    <t>Ajuste</t>
  </si>
  <si>
    <t>Total</t>
  </si>
  <si>
    <t>México</t>
  </si>
  <si>
    <t>Corea</t>
  </si>
  <si>
    <t>Tipo 
Producto</t>
  </si>
  <si>
    <t>Subproducto</t>
  </si>
  <si>
    <t>Fresco</t>
  </si>
  <si>
    <t>Cocido</t>
  </si>
  <si>
    <t>Residuo</t>
  </si>
  <si>
    <t>ANÁLISIS POR TIPO DE PRODUCTO</t>
  </si>
  <si>
    <t>Nro de Clientes</t>
  </si>
  <si>
    <t>FRESCO</t>
  </si>
  <si>
    <t>COCIDOS</t>
  </si>
  <si>
    <t>SUBPRODUCTOS</t>
  </si>
  <si>
    <t>TM de Materia Prima</t>
  </si>
  <si>
    <t>Precio de compra por tm (soles)</t>
  </si>
  <si>
    <t>Compra de Materia Prima</t>
  </si>
  <si>
    <t>Proyección</t>
  </si>
  <si>
    <t>Venta en toneladas</t>
  </si>
  <si>
    <t>POTA NUCAS CONGELADAS</t>
  </si>
  <si>
    <t>Cocidos</t>
  </si>
  <si>
    <t>VENTOSAS</t>
  </si>
  <si>
    <t>POTA RECORTES COCIDOS</t>
  </si>
  <si>
    <t>Inventario al cierre de julio</t>
  </si>
  <si>
    <t>Nueva Producción Septiembre y Octubre</t>
  </si>
  <si>
    <t>materia prima</t>
  </si>
  <si>
    <t>producto terminado</t>
  </si>
  <si>
    <t>Rendimiento</t>
  </si>
  <si>
    <t>Compra de materia prima septiembre - octubre</t>
  </si>
  <si>
    <t>Venta Ago</t>
  </si>
  <si>
    <t>Venta Sep</t>
  </si>
  <si>
    <t>Venta Oct</t>
  </si>
  <si>
    <t>Total tm</t>
  </si>
  <si>
    <t>Tipo Producto</t>
  </si>
  <si>
    <t>Venta Nov</t>
  </si>
  <si>
    <t>Precios de Venta por tonelada en dólares</t>
  </si>
  <si>
    <t>Ejecutado</t>
  </si>
  <si>
    <t>PPTO</t>
  </si>
  <si>
    <t>tm</t>
  </si>
  <si>
    <t>Ratio</t>
  </si>
  <si>
    <t>Variación</t>
  </si>
  <si>
    <t>Precio Venta</t>
  </si>
  <si>
    <t>Costo pota</t>
  </si>
  <si>
    <t>Toneladas</t>
  </si>
  <si>
    <t>Mix</t>
  </si>
  <si>
    <t>Precio de compra materia prima</t>
  </si>
  <si>
    <t>soles</t>
  </si>
  <si>
    <t>Precios Marcos</t>
  </si>
  <si>
    <t>Venta esperada</t>
  </si>
  <si>
    <t>rodrigo ago-dic pota</t>
  </si>
  <si>
    <t>kathy ago-dic pota</t>
  </si>
  <si>
    <t>modelo</t>
  </si>
  <si>
    <t>precio</t>
  </si>
  <si>
    <t>precio mayo</t>
  </si>
  <si>
    <t>variación</t>
  </si>
  <si>
    <t>valor adicional</t>
  </si>
  <si>
    <t>feb-mar actual</t>
  </si>
  <si>
    <t>feb-mar esperando</t>
  </si>
  <si>
    <t>venta</t>
  </si>
  <si>
    <t>utilidad</t>
  </si>
  <si>
    <t>margen neto</t>
  </si>
  <si>
    <t>ago-dic</t>
  </si>
  <si>
    <t>a julio</t>
  </si>
  <si>
    <t>total ago-dic</t>
  </si>
  <si>
    <t>inventario</t>
  </si>
  <si>
    <t>nueva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</si>
</sst>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0;[Red]#,##0.00"/>
    <numFmt numFmtId="165" formatCode="_-* #,##0_-;\-* #,##0_-;_-* &quot;-&quot;??_-;_-@_-"/>
    <numFmt numFmtId="166" formatCode="_-* #,##0.000_-;\-* #,##0.000_-;_-* &quot;-&quot;??_-;_-@_-"/>
    <numFmt numFmtId="167" formatCode="0.000"/>
    <numFmt numFmtId="168" formatCode="_-* #,##0.000_-;\-* #,##0.000_-;_-* &quot;-&quot;???_-;_-@_-"/>
  </numFmts>
  <fonts count="3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sz val="10"/>
      <color rgb="FF000000"/>
      <name val="Calibri"/>
      <family val="2"/>
    </font>
    <font>
      <sz val="11"/>
      <color rgb="FF000000"/>
      <name val="Aptos Narrow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000000"/>
      <name val="Inter"/>
    </font>
    <font>
      <sz val="11"/>
      <color rgb="FF242424"/>
      <name val="Aptos Narrow"/>
      <family val="2"/>
    </font>
    <font>
      <sz val="11"/>
      <color theme="1"/>
      <name val="Arial"/>
      <family val="2"/>
    </font>
    <font>
      <sz val="11"/>
      <color rgb="FF1F1F1F"/>
      <name val="Arial"/>
      <family val="2"/>
    </font>
    <font>
      <sz val="11"/>
      <color theme="0"/>
      <name val="Aptos Narrow"/>
      <family val="2"/>
      <scheme val="minor"/>
    </font>
    <font>
      <sz val="11"/>
      <color theme="0"/>
      <name val="Arial"/>
      <family val="2"/>
    </font>
    <font>
      <b/>
      <sz val="11"/>
      <name val="Arial"/>
      <family val="2"/>
    </font>
    <font>
      <sz val="10"/>
      <color theme="1"/>
      <name val="Calibri"/>
      <family val="2"/>
    </font>
    <font>
      <sz val="11"/>
      <color theme="1"/>
      <name val="Aptos Narrow"/>
      <family val="2"/>
    </font>
    <font>
      <sz val="12"/>
      <color rgb="FF242424"/>
      <name val="Segoe UI"/>
      <family val="2"/>
    </font>
    <font>
      <b/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rgb="FFFF0000"/>
      <name val="Arial"/>
      <family val="2"/>
    </font>
    <font>
      <b/>
      <i/>
      <sz val="11"/>
      <color rgb="FFFF0000"/>
      <name val="Aptos Narrow"/>
      <family val="2"/>
      <scheme val="minor"/>
    </font>
    <font>
      <sz val="10"/>
      <color rgb="FFFF0000"/>
      <name val="Calibri"/>
      <family val="2"/>
    </font>
    <font>
      <sz val="8"/>
      <name val="Aptos Narrow"/>
      <family val="2"/>
      <scheme val="minor"/>
    </font>
    <font>
      <sz val="11"/>
      <color rgb="FFFF0000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sz val="10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3" tint="0.249977111117893"/>
        <bgColor theme="9"/>
      </patternFill>
    </fill>
    <fill>
      <patternFill patternType="solid">
        <fgColor theme="9"/>
        <bgColor theme="9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theme="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1">
    <xf numFmtId="0" fontId="0" fillId="0" borderId="0" xfId="0"/>
    <xf numFmtId="0" fontId="0" fillId="0" borderId="0" xfId="0" applyAlignment="1">
      <alignment horizontal="left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/>
    <xf numFmtId="0" fontId="16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165" fontId="14" fillId="0" borderId="1" xfId="1" applyNumberFormat="1" applyFont="1" applyBorder="1" applyAlignment="1">
      <alignment vertical="center" wrapText="1"/>
    </xf>
    <xf numFmtId="165" fontId="15" fillId="0" borderId="1" xfId="1" applyNumberFormat="1" applyFont="1" applyBorder="1" applyAlignment="1">
      <alignment horizontal="left" vertical="center" wrapText="1" indent="1" readingOrder="1"/>
    </xf>
    <xf numFmtId="165" fontId="0" fillId="0" borderId="1" xfId="1" applyNumberFormat="1" applyFont="1" applyBorder="1"/>
    <xf numFmtId="165" fontId="14" fillId="0" borderId="1" xfId="1" applyNumberFormat="1" applyFont="1" applyBorder="1" applyAlignment="1">
      <alignment horizontal="right" vertical="center" wrapText="1"/>
    </xf>
    <xf numFmtId="165" fontId="15" fillId="0" borderId="1" xfId="1" applyNumberFormat="1" applyFont="1" applyBorder="1" applyAlignment="1">
      <alignment horizontal="right" vertical="center" wrapText="1" indent="1" readingOrder="1"/>
    </xf>
    <xf numFmtId="165" fontId="1" fillId="0" borderId="1" xfId="1" applyNumberFormat="1" applyFont="1" applyBorder="1" applyAlignment="1">
      <alignment horizontal="right"/>
    </xf>
    <xf numFmtId="165" fontId="15" fillId="0" borderId="1" xfId="1" applyNumberFormat="1" applyFont="1" applyBorder="1" applyAlignment="1">
      <alignment horizontal="right" vertical="center" wrapText="1" readingOrder="1"/>
    </xf>
    <xf numFmtId="165" fontId="0" fillId="0" borderId="1" xfId="1" applyNumberFormat="1" applyFont="1" applyBorder="1" applyAlignment="1">
      <alignment horizontal="right"/>
    </xf>
    <xf numFmtId="166" fontId="14" fillId="0" borderId="1" xfId="1" applyNumberFormat="1" applyFont="1" applyBorder="1" applyAlignment="1">
      <alignment horizontal="right" vertical="center" wrapText="1"/>
    </xf>
    <xf numFmtId="166" fontId="15" fillId="0" borderId="1" xfId="1" applyNumberFormat="1" applyFont="1" applyBorder="1" applyAlignment="1">
      <alignment horizontal="right" vertical="center" wrapText="1" indent="1" readingOrder="1"/>
    </xf>
    <xf numFmtId="0" fontId="0" fillId="0" borderId="2" xfId="0" applyBorder="1"/>
    <xf numFmtId="16" fontId="0" fillId="0" borderId="1" xfId="0" applyNumberFormat="1" applyBorder="1"/>
    <xf numFmtId="43" fontId="1" fillId="0" borderId="1" xfId="1" applyFont="1" applyFill="1" applyBorder="1"/>
    <xf numFmtId="0" fontId="0" fillId="0" borderId="1" xfId="0" applyBorder="1" applyAlignment="1">
      <alignment horizontal="center" vertical="center"/>
    </xf>
    <xf numFmtId="1" fontId="1" fillId="0" borderId="1" xfId="1" applyNumberFormat="1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43" fontId="0" fillId="0" borderId="1" xfId="1" applyFont="1" applyFill="1" applyBorder="1"/>
    <xf numFmtId="0" fontId="0" fillId="0" borderId="1" xfId="0" applyBorder="1" applyAlignment="1">
      <alignment horizontal="center"/>
    </xf>
    <xf numFmtId="0" fontId="1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1" applyFont="1" applyFill="1" applyBorder="1"/>
    <xf numFmtId="1" fontId="5" fillId="0" borderId="1" xfId="1" applyNumberFormat="1" applyFont="1" applyFill="1" applyBorder="1" applyAlignment="1">
      <alignment horizontal="right"/>
    </xf>
    <xf numFmtId="43" fontId="4" fillId="0" borderId="1" xfId="1" applyFont="1" applyFill="1" applyBorder="1"/>
    <xf numFmtId="43" fontId="2" fillId="3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18" fillId="5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165" fontId="0" fillId="0" borderId="1" xfId="1" applyNumberFormat="1" applyFont="1" applyFill="1" applyBorder="1"/>
    <xf numFmtId="165" fontId="4" fillId="0" borderId="1" xfId="1" applyNumberFormat="1" applyFont="1" applyFill="1" applyBorder="1"/>
    <xf numFmtId="165" fontId="1" fillId="0" borderId="1" xfId="1" applyNumberFormat="1" applyFont="1" applyFill="1" applyBorder="1"/>
    <xf numFmtId="43" fontId="2" fillId="2" borderId="1" xfId="1" applyFont="1" applyFill="1" applyBorder="1" applyAlignment="1">
      <alignment horizontal="center" vertical="center" wrapText="1"/>
    </xf>
    <xf numFmtId="4" fontId="4" fillId="0" borderId="1" xfId="1" applyNumberFormat="1" applyFont="1" applyFill="1" applyBorder="1"/>
    <xf numFmtId="0" fontId="0" fillId="0" borderId="3" xfId="0" applyBorder="1"/>
    <xf numFmtId="165" fontId="4" fillId="5" borderId="4" xfId="1" applyNumberFormat="1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65" fontId="4" fillId="0" borderId="1" xfId="0" applyNumberFormat="1" applyFont="1" applyBorder="1"/>
    <xf numFmtId="0" fontId="4" fillId="0" borderId="0" xfId="0" applyFont="1"/>
    <xf numFmtId="0" fontId="14" fillId="0" borderId="6" xfId="0" applyFont="1" applyBorder="1" applyAlignment="1">
      <alignment vertical="center" wrapText="1"/>
    </xf>
    <xf numFmtId="165" fontId="14" fillId="0" borderId="0" xfId="1" applyNumberFormat="1" applyFont="1" applyBorder="1" applyAlignment="1">
      <alignment horizontal="right" vertical="center" wrapText="1"/>
    </xf>
    <xf numFmtId="165" fontId="0" fillId="0" borderId="0" xfId="1" applyNumberFormat="1" applyFont="1"/>
    <xf numFmtId="165" fontId="15" fillId="0" borderId="0" xfId="1" applyNumberFormat="1" applyFont="1" applyBorder="1" applyAlignment="1">
      <alignment horizontal="right" vertical="center" wrapText="1" readingOrder="1"/>
    </xf>
    <xf numFmtId="165" fontId="0" fillId="0" borderId="0" xfId="0" applyNumberFormat="1"/>
    <xf numFmtId="0" fontId="7" fillId="0" borderId="1" xfId="0" applyFont="1" applyBorder="1"/>
    <xf numFmtId="1" fontId="0" fillId="0" borderId="1" xfId="0" applyNumberFormat="1" applyBorder="1"/>
    <xf numFmtId="164" fontId="4" fillId="0" borderId="1" xfId="0" applyNumberFormat="1" applyFont="1" applyBorder="1"/>
    <xf numFmtId="0" fontId="5" fillId="0" borderId="1" xfId="0" applyFont="1" applyBorder="1" applyAlignment="1">
      <alignment horizontal="left"/>
    </xf>
    <xf numFmtId="43" fontId="1" fillId="0" borderId="2" xfId="1" applyFont="1" applyFill="1" applyBorder="1"/>
    <xf numFmtId="165" fontId="1" fillId="0" borderId="2" xfId="1" applyNumberFormat="1" applyFont="1" applyFill="1" applyBorder="1"/>
    <xf numFmtId="1" fontId="5" fillId="0" borderId="1" xfId="0" applyNumberFormat="1" applyFont="1" applyBorder="1"/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" fontId="5" fillId="0" borderId="1" xfId="1" applyNumberFormat="1" applyFont="1" applyFill="1" applyBorder="1"/>
    <xf numFmtId="4" fontId="4" fillId="0" borderId="1" xfId="0" applyNumberFormat="1" applyFont="1" applyBorder="1"/>
    <xf numFmtId="0" fontId="8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9" fontId="0" fillId="0" borderId="0" xfId="2" applyFont="1"/>
    <xf numFmtId="9" fontId="0" fillId="0" borderId="0" xfId="2" applyFont="1" applyAlignment="1">
      <alignment horizontal="center"/>
    </xf>
    <xf numFmtId="43" fontId="2" fillId="6" borderId="1" xfId="1" applyFont="1" applyFill="1" applyBorder="1" applyAlignment="1">
      <alignment horizontal="center" vertical="center" wrapText="1"/>
    </xf>
    <xf numFmtId="43" fontId="2" fillId="6" borderId="1" xfId="1" applyFont="1" applyFill="1" applyBorder="1" applyAlignment="1">
      <alignment horizontal="center" vertical="center"/>
    </xf>
    <xf numFmtId="0" fontId="0" fillId="0" borderId="0" xfId="0" pivotButton="1"/>
    <xf numFmtId="0" fontId="4" fillId="0" borderId="0" xfId="0" applyFont="1" applyAlignment="1">
      <alignment horizontal="left"/>
    </xf>
    <xf numFmtId="165" fontId="4" fillId="0" borderId="0" xfId="0" applyNumberFormat="1" applyFont="1"/>
    <xf numFmtId="0" fontId="22" fillId="0" borderId="0" xfId="0" applyFont="1" applyAlignment="1">
      <alignment horizontal="left"/>
    </xf>
    <xf numFmtId="165" fontId="22" fillId="0" borderId="0" xfId="0" applyNumberFormat="1" applyFont="1"/>
    <xf numFmtId="0" fontId="4" fillId="7" borderId="8" xfId="0" applyFont="1" applyFill="1" applyBorder="1" applyAlignment="1">
      <alignment horizontal="center"/>
    </xf>
    <xf numFmtId="165" fontId="4" fillId="0" borderId="0" xfId="1" applyNumberFormat="1" applyFont="1"/>
    <xf numFmtId="9" fontId="4" fillId="0" borderId="0" xfId="2" applyFont="1"/>
    <xf numFmtId="9" fontId="4" fillId="0" borderId="0" xfId="2" applyFont="1" applyAlignment="1">
      <alignment horizontal="center"/>
    </xf>
    <xf numFmtId="0" fontId="0" fillId="5" borderId="0" xfId="0" applyFill="1"/>
    <xf numFmtId="0" fontId="4" fillId="5" borderId="0" xfId="0" applyFont="1" applyFill="1" applyAlignment="1">
      <alignment horizontal="center"/>
    </xf>
    <xf numFmtId="0" fontId="23" fillId="0" borderId="0" xfId="0" applyFont="1"/>
    <xf numFmtId="43" fontId="24" fillId="3" borderId="1" xfId="1" applyFont="1" applyFill="1" applyBorder="1" applyAlignment="1">
      <alignment horizontal="center" vertical="center" wrapText="1"/>
    </xf>
    <xf numFmtId="165" fontId="4" fillId="0" borderId="1" xfId="1" applyNumberFormat="1" applyFont="1" applyBorder="1"/>
    <xf numFmtId="9" fontId="22" fillId="0" borderId="3" xfId="2" applyFont="1" applyBorder="1" applyAlignment="1">
      <alignment horizontal="center"/>
    </xf>
    <xf numFmtId="9" fontId="22" fillId="0" borderId="1" xfId="2" applyFont="1" applyBorder="1" applyAlignment="1">
      <alignment horizontal="center"/>
    </xf>
    <xf numFmtId="9" fontId="22" fillId="0" borderId="2" xfId="2" applyFont="1" applyBorder="1" applyAlignment="1">
      <alignment horizontal="center"/>
    </xf>
    <xf numFmtId="9" fontId="22" fillId="0" borderId="1" xfId="2" applyFont="1" applyFill="1" applyBorder="1" applyAlignment="1">
      <alignment horizontal="center"/>
    </xf>
    <xf numFmtId="165" fontId="4" fillId="0" borderId="2" xfId="1" applyNumberFormat="1" applyFont="1" applyFill="1" applyBorder="1"/>
    <xf numFmtId="0" fontId="0" fillId="5" borderId="4" xfId="0" applyFill="1" applyBorder="1"/>
    <xf numFmtId="0" fontId="7" fillId="0" borderId="1" xfId="0" applyFont="1" applyBorder="1" applyAlignment="1">
      <alignment vertical="center"/>
    </xf>
    <xf numFmtId="9" fontId="22" fillId="0" borderId="7" xfId="2" applyFont="1" applyFill="1" applyBorder="1" applyAlignment="1">
      <alignment horizontal="center"/>
    </xf>
    <xf numFmtId="0" fontId="21" fillId="0" borderId="1" xfId="0" applyFont="1" applyBorder="1"/>
    <xf numFmtId="16" fontId="0" fillId="0" borderId="1" xfId="0" applyNumberFormat="1" applyBorder="1" applyAlignment="1">
      <alignment horizontal="center"/>
    </xf>
    <xf numFmtId="43" fontId="1" fillId="0" borderId="1" xfId="1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9" fontId="4" fillId="5" borderId="4" xfId="2" applyFont="1" applyFill="1" applyBorder="1" applyAlignment="1">
      <alignment horizontal="center"/>
    </xf>
    <xf numFmtId="43" fontId="2" fillId="9" borderId="1" xfId="1" applyFont="1" applyFill="1" applyBorder="1" applyAlignment="1">
      <alignment horizontal="center" vertical="center" wrapText="1"/>
    </xf>
    <xf numFmtId="43" fontId="0" fillId="0" borderId="0" xfId="0" applyNumberFormat="1"/>
    <xf numFmtId="165" fontId="0" fillId="8" borderId="1" xfId="1" applyNumberFormat="1" applyFont="1" applyFill="1" applyBorder="1"/>
    <xf numFmtId="43" fontId="0" fillId="0" borderId="0" xfId="1" applyFont="1"/>
    <xf numFmtId="165" fontId="0" fillId="0" borderId="9" xfId="1" applyNumberFormat="1" applyFont="1" applyFill="1" applyBorder="1" applyAlignment="1">
      <alignment vertical="top"/>
    </xf>
    <xf numFmtId="4" fontId="0" fillId="0" borderId="0" xfId="0" applyNumberFormat="1"/>
    <xf numFmtId="43" fontId="0" fillId="0" borderId="1" xfId="1" applyFont="1" applyBorder="1"/>
    <xf numFmtId="9" fontId="22" fillId="0" borderId="7" xfId="2" applyFont="1" applyBorder="1" applyAlignment="1">
      <alignment horizontal="center"/>
    </xf>
    <xf numFmtId="165" fontId="1" fillId="0" borderId="1" xfId="1" applyNumberFormat="1" applyFont="1" applyFill="1" applyBorder="1" applyAlignment="1">
      <alignment horizontal="center"/>
    </xf>
    <xf numFmtId="9" fontId="1" fillId="0" borderId="0" xfId="2" applyFont="1"/>
    <xf numFmtId="165" fontId="4" fillId="12" borderId="0" xfId="0" applyNumberFormat="1" applyFont="1" applyFill="1"/>
    <xf numFmtId="0" fontId="0" fillId="0" borderId="5" xfId="0" applyBorder="1"/>
    <xf numFmtId="43" fontId="0" fillId="0" borderId="5" xfId="0" applyNumberFormat="1" applyBorder="1"/>
    <xf numFmtId="0" fontId="25" fillId="0" borderId="0" xfId="0" applyFont="1" applyAlignment="1">
      <alignment horizontal="left" indent="2"/>
    </xf>
    <xf numFmtId="43" fontId="0" fillId="0" borderId="5" xfId="1" applyFont="1" applyBorder="1"/>
    <xf numFmtId="0" fontId="26" fillId="0" borderId="0" xfId="0" applyFont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vertical="center"/>
    </xf>
    <xf numFmtId="16" fontId="3" fillId="11" borderId="1" xfId="0" applyNumberFormat="1" applyFont="1" applyFill="1" applyBorder="1" applyAlignment="1">
      <alignment horizontal="center"/>
    </xf>
    <xf numFmtId="43" fontId="3" fillId="11" borderId="1" xfId="1" applyFont="1" applyFill="1" applyBorder="1" applyAlignment="1">
      <alignment horizontal="center"/>
    </xf>
    <xf numFmtId="2" fontId="27" fillId="11" borderId="1" xfId="0" applyNumberFormat="1" applyFont="1" applyFill="1" applyBorder="1" applyAlignment="1">
      <alignment horizontal="center"/>
    </xf>
    <xf numFmtId="0" fontId="3" fillId="11" borderId="1" xfId="0" applyFont="1" applyFill="1" applyBorder="1"/>
    <xf numFmtId="43" fontId="3" fillId="11" borderId="1" xfId="1" applyFont="1" applyFill="1" applyBorder="1"/>
    <xf numFmtId="164" fontId="26" fillId="11" borderId="1" xfId="0" applyNumberFormat="1" applyFont="1" applyFill="1" applyBorder="1"/>
    <xf numFmtId="43" fontId="26" fillId="11" borderId="1" xfId="1" applyFont="1" applyFill="1" applyBorder="1"/>
    <xf numFmtId="165" fontId="3" fillId="11" borderId="1" xfId="1" applyNumberFormat="1" applyFont="1" applyFill="1" applyBorder="1"/>
    <xf numFmtId="165" fontId="26" fillId="11" borderId="1" xfId="1" applyNumberFormat="1" applyFont="1" applyFill="1" applyBorder="1"/>
    <xf numFmtId="9" fontId="28" fillId="11" borderId="1" xfId="2" applyFont="1" applyFill="1" applyBorder="1" applyAlignment="1">
      <alignment horizontal="center"/>
    </xf>
    <xf numFmtId="165" fontId="0" fillId="0" borderId="4" xfId="1" applyNumberFormat="1" applyFont="1" applyBorder="1"/>
    <xf numFmtId="1" fontId="3" fillId="11" borderId="1" xfId="0" applyNumberFormat="1" applyFont="1" applyFill="1" applyBorder="1"/>
    <xf numFmtId="0" fontId="29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horizontal="left"/>
    </xf>
    <xf numFmtId="0" fontId="3" fillId="11" borderId="2" xfId="0" applyFont="1" applyFill="1" applyBorder="1"/>
    <xf numFmtId="0" fontId="7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right"/>
    </xf>
    <xf numFmtId="0" fontId="9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/>
    <xf numFmtId="43" fontId="0" fillId="0" borderId="1" xfId="1" applyFont="1" applyFill="1" applyBorder="1" applyAlignment="1">
      <alignment horizontal="center"/>
    </xf>
    <xf numFmtId="0" fontId="13" fillId="0" borderId="1" xfId="0" applyFont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164" fontId="0" fillId="0" borderId="1" xfId="0" applyNumberFormat="1" applyBorder="1"/>
    <xf numFmtId="43" fontId="3" fillId="11" borderId="2" xfId="1" applyFont="1" applyFill="1" applyBorder="1"/>
    <xf numFmtId="165" fontId="3" fillId="11" borderId="2" xfId="1" applyNumberFormat="1" applyFont="1" applyFill="1" applyBorder="1"/>
    <xf numFmtId="165" fontId="26" fillId="11" borderId="2" xfId="1" applyNumberFormat="1" applyFont="1" applyFill="1" applyBorder="1"/>
    <xf numFmtId="0" fontId="0" fillId="0" borderId="0" xfId="0" applyAlignment="1">
      <alignment vertical="top"/>
    </xf>
    <xf numFmtId="0" fontId="0" fillId="0" borderId="7" xfId="0" applyBorder="1"/>
    <xf numFmtId="0" fontId="31" fillId="5" borderId="1" xfId="0" applyFont="1" applyFill="1" applyBorder="1" applyAlignment="1">
      <alignment horizontal="center" vertical="center" wrapText="1"/>
    </xf>
    <xf numFmtId="43" fontId="14" fillId="0" borderId="1" xfId="1" applyFont="1" applyBorder="1" applyAlignment="1">
      <alignment horizontal="right" vertical="center" wrapText="1"/>
    </xf>
    <xf numFmtId="43" fontId="15" fillId="0" borderId="1" xfId="1" applyFont="1" applyBorder="1" applyAlignment="1">
      <alignment horizontal="right" vertical="center" wrapText="1" indent="1" readingOrder="1"/>
    </xf>
    <xf numFmtId="165" fontId="3" fillId="0" borderId="0" xfId="1" applyNumberFormat="1" applyFont="1"/>
    <xf numFmtId="16" fontId="0" fillId="0" borderId="5" xfId="0" applyNumberFormat="1" applyBorder="1" applyAlignment="1">
      <alignment horizontal="center"/>
    </xf>
    <xf numFmtId="43" fontId="1" fillId="0" borderId="5" xfId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43" fontId="1" fillId="0" borderId="5" xfId="1" applyFont="1" applyFill="1" applyBorder="1"/>
    <xf numFmtId="164" fontId="4" fillId="0" borderId="5" xfId="0" applyNumberFormat="1" applyFont="1" applyBorder="1"/>
    <xf numFmtId="43" fontId="5" fillId="0" borderId="5" xfId="1" applyFont="1" applyFill="1" applyBorder="1"/>
    <xf numFmtId="43" fontId="4" fillId="0" borderId="5" xfId="1" applyFont="1" applyFill="1" applyBorder="1"/>
    <xf numFmtId="1" fontId="5" fillId="0" borderId="5" xfId="0" applyNumberFormat="1" applyFont="1" applyBorder="1"/>
    <xf numFmtId="0" fontId="7" fillId="0" borderId="5" xfId="0" applyFont="1" applyBorder="1"/>
    <xf numFmtId="0" fontId="8" fillId="0" borderId="5" xfId="0" applyFont="1" applyBorder="1" applyAlignment="1">
      <alignment vertical="center"/>
    </xf>
    <xf numFmtId="0" fontId="5" fillId="0" borderId="5" xfId="0" applyFont="1" applyBorder="1" applyAlignment="1">
      <alignment horizontal="left"/>
    </xf>
    <xf numFmtId="0" fontId="5" fillId="0" borderId="5" xfId="0" applyFont="1" applyBorder="1"/>
    <xf numFmtId="43" fontId="1" fillId="0" borderId="0" xfId="1" applyFont="1" applyFill="1" applyBorder="1"/>
    <xf numFmtId="165" fontId="1" fillId="0" borderId="0" xfId="1" applyNumberFormat="1" applyFont="1" applyFill="1" applyBorder="1"/>
    <xf numFmtId="165" fontId="4" fillId="0" borderId="0" xfId="1" applyNumberFormat="1" applyFont="1" applyFill="1" applyBorder="1"/>
    <xf numFmtId="9" fontId="22" fillId="0" borderId="5" xfId="2" applyFont="1" applyFill="1" applyBorder="1" applyAlignment="1">
      <alignment horizontal="center"/>
    </xf>
    <xf numFmtId="165" fontId="0" fillId="0" borderId="5" xfId="1" applyNumberFormat="1" applyFont="1" applyFill="1" applyBorder="1"/>
    <xf numFmtId="165" fontId="4" fillId="0" borderId="5" xfId="1" applyNumberFormat="1" applyFont="1" applyFill="1" applyBorder="1"/>
    <xf numFmtId="0" fontId="11" fillId="11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0" fillId="0" borderId="1" xfId="1" applyNumberFormat="1" applyFont="1" applyBorder="1" applyAlignment="1">
      <alignment vertical="top"/>
    </xf>
    <xf numFmtId="165" fontId="0" fillId="10" borderId="0" xfId="1" applyNumberFormat="1" applyFont="1" applyFill="1" applyBorder="1" applyAlignment="1">
      <alignment vertical="top"/>
    </xf>
    <xf numFmtId="165" fontId="0" fillId="0" borderId="0" xfId="1" applyNumberFormat="1" applyFont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165" fontId="4" fillId="0" borderId="1" xfId="1" applyNumberFormat="1" applyFont="1" applyBorder="1" applyAlignment="1">
      <alignment vertical="top"/>
    </xf>
    <xf numFmtId="0" fontId="32" fillId="7" borderId="1" xfId="0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center" vertical="center"/>
    </xf>
    <xf numFmtId="165" fontId="0" fillId="0" borderId="1" xfId="0" applyNumberFormat="1" applyBorder="1"/>
    <xf numFmtId="0" fontId="4" fillId="0" borderId="0" xfId="0" applyFont="1" applyAlignment="1">
      <alignment horizontal="left" vertical="top"/>
    </xf>
    <xf numFmtId="9" fontId="0" fillId="0" borderId="1" xfId="2" applyFont="1" applyBorder="1" applyAlignment="1">
      <alignment horizontal="center" vertical="top"/>
    </xf>
    <xf numFmtId="9" fontId="0" fillId="0" borderId="1" xfId="2" applyFont="1" applyBorder="1" applyAlignment="1">
      <alignment horizontal="center"/>
    </xf>
    <xf numFmtId="9" fontId="4" fillId="0" borderId="1" xfId="2" applyFont="1" applyBorder="1" applyAlignment="1">
      <alignment horizontal="center" vertical="top"/>
    </xf>
    <xf numFmtId="9" fontId="4" fillId="0" borderId="1" xfId="2" applyFont="1" applyBorder="1" applyAlignment="1">
      <alignment horizontal="center"/>
    </xf>
    <xf numFmtId="0" fontId="0" fillId="17" borderId="1" xfId="0" applyFill="1" applyBorder="1" applyAlignment="1">
      <alignment horizontal="center" vertical="top"/>
    </xf>
    <xf numFmtId="0" fontId="0" fillId="14" borderId="1" xfId="0" applyFill="1" applyBorder="1" applyAlignment="1">
      <alignment horizontal="center" vertical="top"/>
    </xf>
    <xf numFmtId="0" fontId="0" fillId="15" borderId="1" xfId="0" applyFill="1" applyBorder="1" applyAlignment="1">
      <alignment horizontal="center" vertical="top"/>
    </xf>
    <xf numFmtId="0" fontId="0" fillId="16" borderId="1" xfId="0" applyFill="1" applyBorder="1" applyAlignment="1">
      <alignment horizontal="center" vertical="top"/>
    </xf>
    <xf numFmtId="0" fontId="0" fillId="12" borderId="1" xfId="0" applyFill="1" applyBorder="1" applyAlignment="1">
      <alignment horizontal="center" vertical="top"/>
    </xf>
    <xf numFmtId="0" fontId="0" fillId="18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4" fillId="0" borderId="1" xfId="0" applyFont="1" applyBorder="1"/>
    <xf numFmtId="0" fontId="0" fillId="11" borderId="1" xfId="0" applyFill="1" applyBorder="1" applyAlignment="1">
      <alignment horizontal="center" vertical="center"/>
    </xf>
    <xf numFmtId="164" fontId="26" fillId="5" borderId="1" xfId="0" applyNumberFormat="1" applyFont="1" applyFill="1" applyBorder="1"/>
    <xf numFmtId="43" fontId="4" fillId="7" borderId="10" xfId="0" applyNumberFormat="1" applyFont="1" applyFill="1" applyBorder="1"/>
    <xf numFmtId="4" fontId="26" fillId="5" borderId="1" xfId="0" applyNumberFormat="1" applyFont="1" applyFill="1" applyBorder="1"/>
    <xf numFmtId="165" fontId="26" fillId="5" borderId="1" xfId="1" applyNumberFormat="1" applyFont="1" applyFill="1" applyBorder="1"/>
    <xf numFmtId="165" fontId="26" fillId="5" borderId="2" xfId="1" applyNumberFormat="1" applyFont="1" applyFill="1" applyBorder="1"/>
    <xf numFmtId="9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34" fillId="0" borderId="0" xfId="2" applyFont="1" applyAlignment="1">
      <alignment horizontal="center"/>
    </xf>
    <xf numFmtId="9" fontId="3" fillId="0" borderId="0" xfId="0" applyNumberFormat="1" applyFont="1" applyAlignment="1">
      <alignment horizontal="center"/>
    </xf>
    <xf numFmtId="43" fontId="0" fillId="0" borderId="0" xfId="1" applyFont="1" applyAlignment="1">
      <alignment horizontal="center"/>
    </xf>
    <xf numFmtId="0" fontId="4" fillId="0" borderId="0" xfId="0" applyFont="1" applyAlignment="1">
      <alignment horizontal="right"/>
    </xf>
    <xf numFmtId="0" fontId="3" fillId="0" borderId="0" xfId="0" applyFont="1"/>
    <xf numFmtId="0" fontId="4" fillId="0" borderId="15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17" fontId="4" fillId="0" borderId="16" xfId="0" applyNumberFormat="1" applyFont="1" applyBorder="1" applyAlignment="1">
      <alignment horizontal="center"/>
    </xf>
    <xf numFmtId="0" fontId="23" fillId="0" borderId="0" xfId="0" applyFont="1" applyAlignment="1">
      <alignment horizontal="left"/>
    </xf>
    <xf numFmtId="10" fontId="0" fillId="0" borderId="0" xfId="0" applyNumberFormat="1"/>
    <xf numFmtId="0" fontId="2" fillId="19" borderId="1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165" fontId="4" fillId="0" borderId="0" xfId="1" applyNumberFormat="1" applyFont="1" applyBorder="1"/>
    <xf numFmtId="165" fontId="4" fillId="0" borderId="9" xfId="1" applyNumberFormat="1" applyFont="1" applyBorder="1"/>
    <xf numFmtId="3" fontId="4" fillId="0" borderId="0" xfId="1" applyNumberFormat="1" applyFont="1" applyBorder="1"/>
    <xf numFmtId="3" fontId="4" fillId="0" borderId="9" xfId="1" applyNumberFormat="1" applyFont="1" applyBorder="1"/>
    <xf numFmtId="0" fontId="4" fillId="0" borderId="12" xfId="0" applyFont="1" applyBorder="1" applyAlignment="1">
      <alignment horizontal="center"/>
    </xf>
    <xf numFmtId="9" fontId="4" fillId="0" borderId="13" xfId="2" applyFont="1" applyBorder="1" applyAlignment="1">
      <alignment horizontal="right"/>
    </xf>
    <xf numFmtId="9" fontId="4" fillId="0" borderId="14" xfId="2" applyFont="1" applyBorder="1" applyAlignment="1">
      <alignment horizontal="right"/>
    </xf>
    <xf numFmtId="0" fontId="4" fillId="20" borderId="1" xfId="0" applyFont="1" applyFill="1" applyBorder="1" applyAlignment="1">
      <alignment horizontal="center"/>
    </xf>
    <xf numFmtId="0" fontId="4" fillId="20" borderId="1" xfId="0" applyFont="1" applyFill="1" applyBorder="1"/>
    <xf numFmtId="165" fontId="4" fillId="20" borderId="1" xfId="1" applyNumberFormat="1" applyFont="1" applyFill="1" applyBorder="1"/>
    <xf numFmtId="0" fontId="0" fillId="0" borderId="0" xfId="0" applyAlignment="1">
      <alignment horizontal="left" vertical="top"/>
    </xf>
    <xf numFmtId="165" fontId="0" fillId="0" borderId="0" xfId="0" applyNumberFormat="1" applyAlignment="1">
      <alignment vertical="top"/>
    </xf>
    <xf numFmtId="0" fontId="4" fillId="7" borderId="10" xfId="0" applyFont="1" applyFill="1" applyBorder="1" applyAlignment="1">
      <alignment horizontal="left" vertical="top"/>
    </xf>
    <xf numFmtId="165" fontId="4" fillId="7" borderId="10" xfId="0" applyNumberFormat="1" applyFont="1" applyFill="1" applyBorder="1" applyAlignment="1">
      <alignment vertical="top"/>
    </xf>
    <xf numFmtId="0" fontId="32" fillId="7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left"/>
    </xf>
    <xf numFmtId="3" fontId="0" fillId="0" borderId="0" xfId="0" applyNumberFormat="1"/>
    <xf numFmtId="0" fontId="4" fillId="7" borderId="8" xfId="0" applyFont="1" applyFill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/>
    </xf>
    <xf numFmtId="165" fontId="4" fillId="7" borderId="10" xfId="0" applyNumberFormat="1" applyFont="1" applyFill="1" applyBorder="1"/>
    <xf numFmtId="0" fontId="5" fillId="0" borderId="2" xfId="0" applyFont="1" applyBorder="1"/>
    <xf numFmtId="0" fontId="5" fillId="0" borderId="0" xfId="0" applyFont="1"/>
    <xf numFmtId="165" fontId="5" fillId="0" borderId="1" xfId="1" applyNumberFormat="1" applyFont="1" applyFill="1" applyBorder="1"/>
    <xf numFmtId="164" fontId="5" fillId="0" borderId="1" xfId="0" applyNumberFormat="1" applyFont="1" applyBorder="1"/>
    <xf numFmtId="0" fontId="5" fillId="11" borderId="2" xfId="0" applyFont="1" applyFill="1" applyBorder="1"/>
    <xf numFmtId="0" fontId="5" fillId="11" borderId="1" xfId="0" applyFont="1" applyFill="1" applyBorder="1"/>
    <xf numFmtId="165" fontId="0" fillId="5" borderId="0" xfId="0" applyNumberFormat="1" applyFill="1"/>
    <xf numFmtId="43" fontId="3" fillId="0" borderId="1" xfId="1" applyFont="1" applyFill="1" applyBorder="1"/>
    <xf numFmtId="0" fontId="0" fillId="0" borderId="0" xfId="0" applyAlignment="1">
      <alignment horizontal="left" indent="1"/>
    </xf>
    <xf numFmtId="0" fontId="2" fillId="21" borderId="2" xfId="0" applyFont="1" applyFill="1" applyBorder="1" applyAlignment="1">
      <alignment horizontal="center"/>
    </xf>
    <xf numFmtId="17" fontId="2" fillId="21" borderId="2" xfId="0" applyNumberFormat="1" applyFont="1" applyFill="1" applyBorder="1" applyAlignment="1">
      <alignment horizontal="center"/>
    </xf>
    <xf numFmtId="0" fontId="4" fillId="0" borderId="18" xfId="0" applyFont="1" applyBorder="1" applyAlignment="1">
      <alignment horizontal="left"/>
    </xf>
    <xf numFmtId="165" fontId="4" fillId="0" borderId="19" xfId="0" applyNumberFormat="1" applyFont="1" applyBorder="1"/>
    <xf numFmtId="165" fontId="4" fillId="0" borderId="20" xfId="0" applyNumberFormat="1" applyFont="1" applyBorder="1"/>
    <xf numFmtId="0" fontId="0" fillId="0" borderId="21" xfId="0" applyBorder="1" applyAlignment="1">
      <alignment horizontal="left" indent="2"/>
    </xf>
    <xf numFmtId="165" fontId="0" fillId="0" borderId="22" xfId="0" applyNumberFormat="1" applyBorder="1"/>
    <xf numFmtId="0" fontId="0" fillId="0" borderId="23" xfId="0" applyBorder="1" applyAlignment="1">
      <alignment horizontal="left" indent="2"/>
    </xf>
    <xf numFmtId="165" fontId="0" fillId="0" borderId="5" xfId="0" applyNumberFormat="1" applyBorder="1"/>
    <xf numFmtId="165" fontId="0" fillId="0" borderId="24" xfId="0" applyNumberFormat="1" applyBorder="1"/>
    <xf numFmtId="0" fontId="4" fillId="0" borderId="23" xfId="0" applyFont="1" applyBorder="1" applyAlignment="1">
      <alignment horizontal="left"/>
    </xf>
    <xf numFmtId="165" fontId="4" fillId="0" borderId="5" xfId="0" applyNumberFormat="1" applyFont="1" applyBorder="1"/>
    <xf numFmtId="165" fontId="4" fillId="0" borderId="24" xfId="0" applyNumberFormat="1" applyFont="1" applyBorder="1"/>
    <xf numFmtId="17" fontId="0" fillId="0" borderId="1" xfId="0" applyNumberFormat="1" applyBorder="1" applyAlignment="1">
      <alignment horizontal="center"/>
    </xf>
    <xf numFmtId="165" fontId="4" fillId="5" borderId="19" xfId="0" applyNumberFormat="1" applyFont="1" applyFill="1" applyBorder="1"/>
    <xf numFmtId="165" fontId="0" fillId="5" borderId="5" xfId="0" applyNumberFormat="1" applyFill="1" applyBorder="1"/>
    <xf numFmtId="165" fontId="4" fillId="5" borderId="5" xfId="0" applyNumberFormat="1" applyFont="1" applyFill="1" applyBorder="1"/>
    <xf numFmtId="165" fontId="4" fillId="20" borderId="19" xfId="0" applyNumberFormat="1" applyFont="1" applyFill="1" applyBorder="1"/>
    <xf numFmtId="165" fontId="0" fillId="20" borderId="0" xfId="0" applyNumberFormat="1" applyFill="1"/>
    <xf numFmtId="165" fontId="0" fillId="20" borderId="5" xfId="0" applyNumberFormat="1" applyFill="1" applyBorder="1"/>
    <xf numFmtId="165" fontId="4" fillId="20" borderId="5" xfId="0" applyNumberFormat="1" applyFont="1" applyFill="1" applyBorder="1"/>
    <xf numFmtId="165" fontId="4" fillId="5" borderId="0" xfId="0" applyNumberFormat="1" applyFont="1" applyFill="1"/>
    <xf numFmtId="165" fontId="0" fillId="22" borderId="0" xfId="0" applyNumberFormat="1" applyFill="1"/>
    <xf numFmtId="165" fontId="4" fillId="22" borderId="0" xfId="0" applyNumberFormat="1" applyFont="1" applyFill="1"/>
    <xf numFmtId="0" fontId="0" fillId="22" borderId="0" xfId="0" applyFill="1" applyAlignment="1">
      <alignment horizontal="center"/>
    </xf>
    <xf numFmtId="0" fontId="4" fillId="22" borderId="25" xfId="0" applyFont="1" applyFill="1" applyBorder="1" applyAlignment="1">
      <alignment horizontal="center"/>
    </xf>
    <xf numFmtId="165" fontId="4" fillId="22" borderId="26" xfId="1" applyNumberFormat="1" applyFont="1" applyFill="1" applyBorder="1"/>
    <xf numFmtId="165" fontId="4" fillId="22" borderId="27" xfId="1" applyNumberFormat="1" applyFont="1" applyFill="1" applyBorder="1"/>
    <xf numFmtId="0" fontId="4" fillId="5" borderId="25" xfId="0" applyFont="1" applyFill="1" applyBorder="1" applyAlignment="1">
      <alignment horizontal="center"/>
    </xf>
    <xf numFmtId="165" fontId="4" fillId="5" borderId="26" xfId="1" applyNumberFormat="1" applyFont="1" applyFill="1" applyBorder="1"/>
    <xf numFmtId="165" fontId="4" fillId="5" borderId="27" xfId="1" applyNumberFormat="1" applyFont="1" applyFill="1" applyBorder="1"/>
    <xf numFmtId="165" fontId="0" fillId="0" borderId="5" xfId="1" applyNumberFormat="1" applyFont="1" applyBorder="1"/>
    <xf numFmtId="165" fontId="4" fillId="0" borderId="19" xfId="1" applyNumberFormat="1" applyFont="1" applyBorder="1"/>
    <xf numFmtId="165" fontId="0" fillId="22" borderId="1" xfId="1" applyNumberFormat="1" applyFont="1" applyFill="1" applyBorder="1"/>
    <xf numFmtId="0" fontId="23" fillId="22" borderId="0" xfId="0" applyFont="1" applyFill="1"/>
    <xf numFmtId="0" fontId="0" fillId="22" borderId="0" xfId="0" applyFill="1"/>
    <xf numFmtId="0" fontId="0" fillId="22" borderId="0" xfId="0" applyFill="1" applyAlignment="1">
      <alignment horizontal="right"/>
    </xf>
    <xf numFmtId="3" fontId="0" fillId="22" borderId="0" xfId="0" applyNumberFormat="1" applyFill="1"/>
    <xf numFmtId="9" fontId="0" fillId="22" borderId="0" xfId="2" applyFont="1" applyFill="1"/>
    <xf numFmtId="165" fontId="4" fillId="23" borderId="26" xfId="1" applyNumberFormat="1" applyFont="1" applyFill="1" applyBorder="1"/>
    <xf numFmtId="1" fontId="0" fillId="0" borderId="0" xfId="0" applyNumberFormat="1"/>
    <xf numFmtId="43" fontId="4" fillId="0" borderId="1" xfId="1" applyFont="1" applyBorder="1"/>
    <xf numFmtId="9" fontId="4" fillId="0" borderId="1" xfId="0" applyNumberFormat="1" applyFont="1" applyBorder="1" applyAlignment="1">
      <alignment horizontal="center"/>
    </xf>
    <xf numFmtId="165" fontId="0" fillId="20" borderId="1" xfId="1" applyNumberFormat="1" applyFont="1" applyFill="1" applyBorder="1"/>
    <xf numFmtId="9" fontId="0" fillId="0" borderId="1" xfId="2" applyFont="1" applyBorder="1"/>
    <xf numFmtId="9" fontId="0" fillId="0" borderId="1" xfId="0" applyNumberFormat="1" applyBorder="1"/>
    <xf numFmtId="0" fontId="0" fillId="0" borderId="0" xfId="0" applyAlignment="1">
      <alignment horizontal="left" indent="2"/>
    </xf>
    <xf numFmtId="165" fontId="0" fillId="0" borderId="0" xfId="1" applyNumberFormat="1" applyFont="1" applyFill="1" applyBorder="1"/>
    <xf numFmtId="167" fontId="0" fillId="0" borderId="0" xfId="0" applyNumberFormat="1"/>
    <xf numFmtId="14" fontId="4" fillId="0" borderId="0" xfId="0" applyNumberFormat="1" applyFont="1"/>
    <xf numFmtId="168" fontId="0" fillId="0" borderId="0" xfId="0" applyNumberFormat="1"/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58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5" formatCode="_-* #,##0_-;\-* #,##0_-;_-* &quot;-&quot;??_-;_-@_-"/>
    </dxf>
    <dxf>
      <numFmt numFmtId="165" formatCode="_-* #,##0_-;\-* #,##0_-;_-* &quot;-&quot;??_-;_-@_-"/>
    </dxf>
    <dxf>
      <font>
        <b val="0"/>
      </font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font>
        <b val="0"/>
      </font>
    </dxf>
    <dxf>
      <numFmt numFmtId="165" formatCode="_-* #,##0_-;\-* #,##0_-;_-* &quot;-&quot;??_-;_-@_-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ont>
        <b/>
      </font>
    </dxf>
    <dxf>
      <font>
        <b/>
      </font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5" formatCode="_-* #,##0_-;\-* #,##0_-;_-* &quot;-&quot;??_-;_-@_-"/>
    </dxf>
    <dxf>
      <font>
        <b val="0"/>
      </font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5" formatCode="_-* #,##0_-;\-* #,##0_-;_-* &quot;-&quot;??_-;_-@_-"/>
    </dxf>
    <dxf>
      <numFmt numFmtId="165" formatCode="_-* #,##0_-;\-* #,##0_-;_-* &quot;-&quot;??_-;_-@_-"/>
    </dxf>
    <dxf>
      <font>
        <b val="0"/>
      </font>
    </dxf>
    <dxf>
      <numFmt numFmtId="165" formatCode="_-* #,##0_-;\-* #,##0_-;_-* &quot;-&quot;??_-;_-@_-"/>
    </dxf>
    <dxf>
      <numFmt numFmtId="165" formatCode="_-* #,##0_-;\-* #,##0_-;_-* &quot;-&quot;??_-;_-@_-"/>
    </dxf>
    <dxf>
      <font>
        <b val="0"/>
      </font>
    </dxf>
    <dxf>
      <numFmt numFmtId="165" formatCode="_-* #,##0_-;\-* #,##0_-;_-* &quot;-&quot;??_-;_-@_-"/>
    </dxf>
    <dxf>
      <font>
        <b val="0"/>
      </font>
    </dxf>
    <dxf>
      <numFmt numFmtId="165" formatCode="_-* #,##0_-;\-* #,##0_-;_-* &quot;-&quot;??_-;_-@_-"/>
    </dxf>
    <dxf>
      <numFmt numFmtId="165" formatCode="_-* #,##0_-;\-* #,##0_-;_-* &quot;-&quot;??_-;_-@_-"/>
    </dxf>
    <dxf>
      <font>
        <b val="0"/>
      </font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/>
              <a:t>Ventas y Utilidad Neta</a:t>
            </a:r>
            <a:r>
              <a:rPr lang="es-PE" sz="1200" b="1" baseline="0"/>
              <a:t> </a:t>
            </a:r>
            <a:r>
              <a:rPr lang="es-PE" sz="1200" b="1"/>
              <a:t>Mensual 2026 </a:t>
            </a:r>
          </a:p>
          <a:p>
            <a:pPr>
              <a:defRPr sz="1200" b="1"/>
            </a:pPr>
            <a:r>
              <a:rPr lang="es-PE" sz="1200" b="1"/>
              <a:t>(Miles US$)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TD!$AL$5</c:f>
              <c:strCache>
                <c:ptCount val="1"/>
                <c:pt idx="0">
                  <c:v>Venta CFR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TD!$AM$4:$AP$4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TD!$AM$5:$AP$5</c:f>
              <c:numCache>
                <c:formatCode>_-* #,##0_-;\-* #,##0_-;_-* "-"??_-;_-@_-</c:formatCode>
                <c:ptCount val="4"/>
                <c:pt idx="0">
                  <c:v>564.61527999999998</c:v>
                </c:pt>
                <c:pt idx="1">
                  <c:v>2769.8245000000002</c:v>
                </c:pt>
                <c:pt idx="2">
                  <c:v>3894.1713100000002</c:v>
                </c:pt>
                <c:pt idx="3">
                  <c:v>4921.5385700000006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9-4F83-9151-46139AC6AEBF}"/>
            </c:ext>
          </c:extLst>
        </c:ser>
        <c:ser>
          <c:idx val="1"/>
          <c:order val="1"/>
          <c:tx>
            <c:strRef>
              <c:f>TD!$AL$6</c:f>
              <c:strCache>
                <c:ptCount val="1"/>
                <c:pt idx="0">
                  <c:v>Utilidad Neta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4.19847075886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C9-4F83-9151-46139AC6AEBF}"/>
                </c:ext>
              </c:extLst>
            </c:dLbl>
            <c:dLbl>
              <c:idx val="1"/>
              <c:layout>
                <c:manualLayout>
                  <c:x val="-9.0608520225989325E-17"/>
                  <c:y val="-2.29007495938272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C9-4F83-9151-46139AC6AEBF}"/>
                </c:ext>
              </c:extLst>
            </c:dLbl>
            <c:dLbl>
              <c:idx val="2"/>
              <c:layout>
                <c:manualLayout>
                  <c:x val="0"/>
                  <c:y val="-2.67175411927983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C9-4F83-9151-46139AC6AE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TD!$AM$4:$AP$4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</c:strCache>
            </c:strRef>
          </c:cat>
          <c:val>
            <c:numRef>
              <c:f>TD!$AM$6:$AP$6</c:f>
              <c:numCache>
                <c:formatCode>_-* #,##0_-;\-* #,##0_-;_-* "-"??_-;_-@_-</c:formatCode>
                <c:ptCount val="4"/>
                <c:pt idx="0">
                  <c:v>-92.104401765480134</c:v>
                </c:pt>
                <c:pt idx="1">
                  <c:v>-484.14616970636303</c:v>
                </c:pt>
                <c:pt idx="2">
                  <c:v>-490.40273299409438</c:v>
                </c:pt>
                <c:pt idx="3">
                  <c:v>-52.490241267002489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C9-4F83-9151-46139AC6A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267135"/>
        <c:axId val="531263775"/>
      </c:barChart>
      <c:catAx>
        <c:axId val="53126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31263775"/>
        <c:crosses val="autoZero"/>
        <c:auto val="1"/>
        <c:lblAlgn val="ctr"/>
        <c:lblOffset val="100"/>
        <c:noMultiLvlLbl val="0"/>
      </c:catAx>
      <c:valAx>
        <c:axId val="531263775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3126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/>
              <a:t>Venta y Utilidad Acumulada Abril por Producto</a:t>
            </a:r>
            <a:r>
              <a:rPr lang="es-PE" sz="1200" b="1" baseline="0"/>
              <a:t> (Miles US$)</a:t>
            </a:r>
            <a:endParaRPr lang="es-PE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TD!$AM$11</c:f>
              <c:strCache>
                <c:ptCount val="1"/>
                <c:pt idx="0">
                  <c:v>Venta CFR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TD!$AL$12:$AL$19</c:f>
              <c:strCache>
                <c:ptCount val="8"/>
                <c:pt idx="0">
                  <c:v>FILETE CONGELADO</c:v>
                </c:pt>
                <c:pt idx="1">
                  <c:v>REJOS CONGELADOS</c:v>
                </c:pt>
                <c:pt idx="2">
                  <c:v>ALAS CONGELADAS</c:v>
                </c:pt>
                <c:pt idx="3">
                  <c:v>FILETE DARUMA</c:v>
                </c:pt>
                <c:pt idx="4">
                  <c:v>REPRODUCTORES</c:v>
                </c:pt>
                <c:pt idx="5">
                  <c:v>NUCAS</c:v>
                </c:pt>
                <c:pt idx="6">
                  <c:v>ALAS COCIDAS</c:v>
                </c:pt>
                <c:pt idx="7">
                  <c:v>OTROS</c:v>
                </c:pt>
              </c:strCache>
            </c:strRef>
          </c:cat>
          <c:val>
            <c:numRef>
              <c:f>TD!$AM$12:$AM$19</c:f>
              <c:numCache>
                <c:formatCode>_-* #,##0_-;\-* #,##0_-;_-* "-"??_-;_-@_-</c:formatCode>
                <c:ptCount val="8"/>
                <c:pt idx="0">
                  <c:v>3148.23</c:v>
                </c:pt>
                <c:pt idx="1">
                  <c:v>2631.8490000000002</c:v>
                </c:pt>
                <c:pt idx="2">
                  <c:v>2273.4270000000001</c:v>
                </c:pt>
                <c:pt idx="3">
                  <c:v>1927.8</c:v>
                </c:pt>
                <c:pt idx="4">
                  <c:v>599.40499999999997</c:v>
                </c:pt>
                <c:pt idx="5">
                  <c:v>514.83000000000004</c:v>
                </c:pt>
                <c:pt idx="6">
                  <c:v>384.2577</c:v>
                </c:pt>
                <c:pt idx="7">
                  <c:v>322.51688999999999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2-4BBA-A0AE-E5E9AAB07A48}"/>
            </c:ext>
          </c:extLst>
        </c:ser>
        <c:ser>
          <c:idx val="1"/>
          <c:order val="1"/>
          <c:tx>
            <c:strRef>
              <c:f>TD!$AN$11</c:f>
              <c:strCache>
                <c:ptCount val="1"/>
                <c:pt idx="0">
                  <c:v>Utilidad Neta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TD!$AL$12:$AL$19</c:f>
              <c:strCache>
                <c:ptCount val="8"/>
                <c:pt idx="0">
                  <c:v>FILETE CONGELADO</c:v>
                </c:pt>
                <c:pt idx="1">
                  <c:v>REJOS CONGELADOS</c:v>
                </c:pt>
                <c:pt idx="2">
                  <c:v>ALAS CONGELADAS</c:v>
                </c:pt>
                <c:pt idx="3">
                  <c:v>FILETE DARUMA</c:v>
                </c:pt>
                <c:pt idx="4">
                  <c:v>REPRODUCTORES</c:v>
                </c:pt>
                <c:pt idx="5">
                  <c:v>NUCAS</c:v>
                </c:pt>
                <c:pt idx="6">
                  <c:v>ALAS COCIDAS</c:v>
                </c:pt>
                <c:pt idx="7">
                  <c:v>OTROS</c:v>
                </c:pt>
              </c:strCache>
            </c:strRef>
          </c:cat>
          <c:val>
            <c:numRef>
              <c:f>TD!$AN$12:$AN$19</c:f>
              <c:numCache>
                <c:formatCode>_-* #,##0_-;\-* #,##0_-;_-* "-"??_-;_-@_-</c:formatCode>
                <c:ptCount val="8"/>
                <c:pt idx="0">
                  <c:v>-1138.4306055680258</c:v>
                </c:pt>
                <c:pt idx="1">
                  <c:v>311.25594609437849</c:v>
                </c:pt>
                <c:pt idx="2">
                  <c:v>-451.32788288255074</c:v>
                </c:pt>
                <c:pt idx="3">
                  <c:v>513.07692735927731</c:v>
                </c:pt>
                <c:pt idx="4">
                  <c:v>126.98724667837696</c:v>
                </c:pt>
                <c:pt idx="5">
                  <c:v>-431.34411270209853</c:v>
                </c:pt>
                <c:pt idx="6">
                  <c:v>138.02446829659678</c:v>
                </c:pt>
                <c:pt idx="7">
                  <c:v>91.219794790482439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B2-4BBA-A0AE-E5E9AAB07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6552367"/>
        <c:axId val="2056556207"/>
      </c:barChart>
      <c:catAx>
        <c:axId val="205655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56556207"/>
        <c:crosses val="autoZero"/>
        <c:auto val="1"/>
        <c:lblAlgn val="ctr"/>
        <c:lblOffset val="100"/>
        <c:noMultiLvlLbl val="0"/>
      </c:catAx>
      <c:valAx>
        <c:axId val="2056556207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5655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/>
              <a:t>Venta y Utilidad Acumulada Abril por Cliente </a:t>
            </a:r>
            <a:r>
              <a:rPr lang="es-PE" sz="1200" b="1" baseline="0"/>
              <a:t>(Miles US$)</a:t>
            </a:r>
            <a:endParaRPr lang="es-PE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TD!$AM$11</c:f>
              <c:strCache>
                <c:ptCount val="1"/>
                <c:pt idx="0">
                  <c:v>Venta CFR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TD!$AL$26:$AL$33</c:f>
              <c:strCache>
                <c:ptCount val="8"/>
                <c:pt idx="0">
                  <c:v>TSUJINO</c:v>
                </c:pt>
                <c:pt idx="1">
                  <c:v>LONGKOU JIABAO AQUATIC</c:v>
                </c:pt>
                <c:pt idx="2">
                  <c:v>KULALIA</c:v>
                </c:pt>
                <c:pt idx="3">
                  <c:v>AVANCE GROUP</c:v>
                </c:pt>
                <c:pt idx="4">
                  <c:v>FOOD &amp; BEVERAGES TRADERS</c:v>
                </c:pt>
                <c:pt idx="5">
                  <c:v>Qingdao Haiyujia</c:v>
                </c:pt>
                <c:pt idx="6">
                  <c:v>Longkou Yunfeng Aquatic Food</c:v>
                </c:pt>
                <c:pt idx="7">
                  <c:v>OTROS</c:v>
                </c:pt>
              </c:strCache>
            </c:strRef>
          </c:cat>
          <c:val>
            <c:numRef>
              <c:f>TD!$AM$26:$AM$33</c:f>
              <c:numCache>
                <c:formatCode>_-* #,##0_-;\-* #,##0_-;_-* "-"??_-;_-@_-</c:formatCode>
                <c:ptCount val="8"/>
                <c:pt idx="0">
                  <c:v>2790.2730000000001</c:v>
                </c:pt>
                <c:pt idx="1">
                  <c:v>1406.7</c:v>
                </c:pt>
                <c:pt idx="2">
                  <c:v>1378.9216999999999</c:v>
                </c:pt>
                <c:pt idx="3">
                  <c:v>1097.2</c:v>
                </c:pt>
                <c:pt idx="4">
                  <c:v>935.40599999999995</c:v>
                </c:pt>
                <c:pt idx="5">
                  <c:v>595.78200000000004</c:v>
                </c:pt>
                <c:pt idx="6">
                  <c:v>575.1</c:v>
                </c:pt>
                <c:pt idx="7">
                  <c:v>2863.84539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C-4FDB-A770-1201F7530061}"/>
            </c:ext>
          </c:extLst>
        </c:ser>
        <c:ser>
          <c:idx val="1"/>
          <c:order val="1"/>
          <c:tx>
            <c:strRef>
              <c:f>TD!$AN$11</c:f>
              <c:strCache>
                <c:ptCount val="1"/>
                <c:pt idx="0">
                  <c:v>Utilidad Neta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3.3847987328256182E-2"/>
                  <c:y val="-4.43620608199860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BC-4FDB-A770-1201F7530061}"/>
                </c:ext>
              </c:extLst>
            </c:dLbl>
            <c:dLbl>
              <c:idx val="6"/>
              <c:layout>
                <c:manualLayout>
                  <c:x val="4.0973879397362745E-2"/>
                  <c:y val="-3.60441334815568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BC-4FDB-A770-1201F7530061}"/>
                </c:ext>
              </c:extLst>
            </c:dLbl>
            <c:dLbl>
              <c:idx val="7"/>
              <c:layout>
                <c:manualLayout>
                  <c:x val="3.384798732825605E-2"/>
                  <c:y val="-1.10905697845722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BC-4FDB-A770-1201F75300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TD!$AL$26:$AL$33</c:f>
              <c:strCache>
                <c:ptCount val="8"/>
                <c:pt idx="0">
                  <c:v>TSUJINO</c:v>
                </c:pt>
                <c:pt idx="1">
                  <c:v>LONGKOU JIABAO AQUATIC</c:v>
                </c:pt>
                <c:pt idx="2">
                  <c:v>KULALIA</c:v>
                </c:pt>
                <c:pt idx="3">
                  <c:v>AVANCE GROUP</c:v>
                </c:pt>
                <c:pt idx="4">
                  <c:v>FOOD &amp; BEVERAGES TRADERS</c:v>
                </c:pt>
                <c:pt idx="5">
                  <c:v>Qingdao Haiyujia</c:v>
                </c:pt>
                <c:pt idx="6">
                  <c:v>Longkou Yunfeng Aquatic Food</c:v>
                </c:pt>
                <c:pt idx="7">
                  <c:v>OTROS</c:v>
                </c:pt>
              </c:strCache>
            </c:strRef>
          </c:cat>
          <c:val>
            <c:numRef>
              <c:f>TD!$AN$26:$AN$33</c:f>
              <c:numCache>
                <c:formatCode>_-* #,##0_-;\-* #,##0_-;_-* "-"??_-;_-@_-</c:formatCode>
                <c:ptCount val="8"/>
                <c:pt idx="0">
                  <c:v>-709.04030084151225</c:v>
                </c:pt>
                <c:pt idx="1">
                  <c:v>394.79634341714831</c:v>
                </c:pt>
                <c:pt idx="2">
                  <c:v>101.00030128966993</c:v>
                </c:pt>
                <c:pt idx="3">
                  <c:v>-468.13754206169125</c:v>
                </c:pt>
                <c:pt idx="4">
                  <c:v>-74.238540516649905</c:v>
                </c:pt>
                <c:pt idx="5">
                  <c:v>101.96620977498908</c:v>
                </c:pt>
                <c:pt idx="6">
                  <c:v>-44.789183040265556</c:v>
                </c:pt>
                <c:pt idx="7">
                  <c:v>-19.037083757894287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BC-4FDB-A770-1201F7530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6552367"/>
        <c:axId val="2056556207"/>
      </c:barChart>
      <c:catAx>
        <c:axId val="205655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56556207"/>
        <c:crosses val="autoZero"/>
        <c:auto val="1"/>
        <c:lblAlgn val="ctr"/>
        <c:lblOffset val="100"/>
        <c:noMultiLvlLbl val="0"/>
      </c:catAx>
      <c:valAx>
        <c:axId val="2056556207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5655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/>
              <a:t>Ventas y Utilidad </a:t>
            </a:r>
            <a:r>
              <a:rPr lang="es-PE" sz="1200" b="1" baseline="0"/>
              <a:t>N</a:t>
            </a:r>
            <a:r>
              <a:rPr lang="es-PE" sz="1200" b="1"/>
              <a:t>eta</a:t>
            </a:r>
            <a:r>
              <a:rPr lang="es-PE" sz="1200" b="1" baseline="0"/>
              <a:t> </a:t>
            </a:r>
            <a:r>
              <a:rPr lang="es-PE" sz="1200" b="1"/>
              <a:t>Acum</a:t>
            </a:r>
            <a:r>
              <a:rPr lang="es-PE" sz="1200" b="1" baseline="0"/>
              <a:t>ulada Abril 2026</a:t>
            </a:r>
            <a:r>
              <a:rPr lang="es-PE" sz="1200" b="1"/>
              <a:t> </a:t>
            </a:r>
          </a:p>
          <a:p>
            <a:pPr>
              <a:defRPr sz="1200" b="1"/>
            </a:pPr>
            <a:r>
              <a:rPr lang="es-PE" sz="1200" b="1"/>
              <a:t>(Miles US$)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TD!$AL$5</c:f>
              <c:strCache>
                <c:ptCount val="1"/>
                <c:pt idx="0">
                  <c:v>Venta CFR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TD!$AQ$4:$AR$4</c:f>
              <c:strCache>
                <c:ptCount val="2"/>
                <c:pt idx="0">
                  <c:v>Real</c:v>
                </c:pt>
                <c:pt idx="1">
                  <c:v>Budget</c:v>
                </c:pt>
              </c:strCache>
            </c:strRef>
          </c:cat>
          <c:val>
            <c:numRef>
              <c:f>TD!$AQ$5:$AR$5</c:f>
              <c:numCache>
                <c:formatCode>_-* #,##0_-;\-* #,##0_-;_-* "-"??_-;_-@_-</c:formatCode>
                <c:ptCount val="2"/>
                <c:pt idx="0">
                  <c:v>5010.2047499999999</c:v>
                </c:pt>
                <c:pt idx="1">
                  <c:v>1589.3806099999999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C-4CEC-8A6C-FD1BAAD2451D}"/>
            </c:ext>
          </c:extLst>
        </c:ser>
        <c:ser>
          <c:idx val="1"/>
          <c:order val="1"/>
          <c:tx>
            <c:strRef>
              <c:f>TD!$AL$6</c:f>
              <c:strCache>
                <c:ptCount val="1"/>
                <c:pt idx="0">
                  <c:v>Utilidad Neta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TD!$AQ$4:$AR$4</c:f>
              <c:strCache>
                <c:ptCount val="2"/>
                <c:pt idx="0">
                  <c:v>Real</c:v>
                </c:pt>
                <c:pt idx="1">
                  <c:v>Budget</c:v>
                </c:pt>
              </c:strCache>
            </c:strRef>
          </c:cat>
          <c:val>
            <c:numRef>
              <c:f>TD!$AQ$6:$AR$6</c:f>
              <c:numCache>
                <c:formatCode>_-* #,##0_-;\-* #,##0_-;_-* "-"??_-;_-@_-</c:formatCode>
                <c:ptCount val="2"/>
                <c:pt idx="0">
                  <c:v>417.06574281805302</c:v>
                </c:pt>
                <c:pt idx="1">
                  <c:v>91.312258487215146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C-4CEC-8A6C-FD1BAAD24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267135"/>
        <c:axId val="531263775"/>
      </c:barChart>
      <c:catAx>
        <c:axId val="53126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31263775"/>
        <c:crosses val="autoZero"/>
        <c:auto val="1"/>
        <c:lblAlgn val="ctr"/>
        <c:lblOffset val="100"/>
        <c:noMultiLvlLbl val="0"/>
      </c:catAx>
      <c:valAx>
        <c:axId val="531263775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3126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/>
              <a:t>Precios US$</a:t>
            </a:r>
            <a:r>
              <a:rPr lang="es-PE" sz="1200" b="1" baseline="0"/>
              <a:t> </a:t>
            </a:r>
            <a:r>
              <a:rPr lang="es-PE" sz="1200" b="1"/>
              <a:t>por TM Peru Frost vs Industria Peruana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TD!$AU$11</c:f>
              <c:strCache>
                <c:ptCount val="1"/>
                <c:pt idx="0">
                  <c:v>PERU FROST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TD!$AT$12:$AT$18</c:f>
              <c:strCache>
                <c:ptCount val="7"/>
                <c:pt idx="0">
                  <c:v>FILETE CONGELADO</c:v>
                </c:pt>
                <c:pt idx="1">
                  <c:v>FILETE DARUMA</c:v>
                </c:pt>
                <c:pt idx="2">
                  <c:v>REPRODUCTOR</c:v>
                </c:pt>
                <c:pt idx="3">
                  <c:v>NUCA</c:v>
                </c:pt>
                <c:pt idx="4">
                  <c:v>ALAS COCIDAS</c:v>
                </c:pt>
                <c:pt idx="5">
                  <c:v>ALAS CONGELADAS</c:v>
                </c:pt>
                <c:pt idx="6">
                  <c:v>TENTACULO</c:v>
                </c:pt>
              </c:strCache>
            </c:strRef>
          </c:cat>
          <c:val>
            <c:numRef>
              <c:f>TD!$AU$12:$AU$18</c:f>
              <c:numCache>
                <c:formatCode>General</c:formatCode>
                <c:ptCount val="7"/>
                <c:pt idx="0">
                  <c:v>1323</c:v>
                </c:pt>
                <c:pt idx="1">
                  <c:v>3292</c:v>
                </c:pt>
                <c:pt idx="2">
                  <c:v>2724</c:v>
                </c:pt>
                <c:pt idx="3">
                  <c:v>1123</c:v>
                </c:pt>
                <c:pt idx="4">
                  <c:v>3240</c:v>
                </c:pt>
                <c:pt idx="5">
                  <c:v>1509</c:v>
                </c:pt>
                <c:pt idx="6">
                  <c:v>2290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39-486B-B8E3-2429AF1044D9}"/>
            </c:ext>
          </c:extLst>
        </c:ser>
        <c:ser>
          <c:idx val="1"/>
          <c:order val="1"/>
          <c:tx>
            <c:strRef>
              <c:f>TD!$AV$11</c:f>
              <c:strCache>
                <c:ptCount val="1"/>
                <c:pt idx="0">
                  <c:v>INDUSTRIA PERUANA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839-486B-B8E3-2429AF1044D9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39-486B-B8E3-2429AF1044D9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39-486B-B8E3-2429AF1044D9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39-486B-B8E3-2429AF1044D9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839-486B-B8E3-2429AF1044D9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39-486B-B8E3-2429AF1044D9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39-486B-B8E3-2429AF1044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TD!$AT$12:$AT$18</c:f>
              <c:strCache>
                <c:ptCount val="7"/>
                <c:pt idx="0">
                  <c:v>FILETE CONGELADO</c:v>
                </c:pt>
                <c:pt idx="1">
                  <c:v>FILETE DARUMA</c:v>
                </c:pt>
                <c:pt idx="2">
                  <c:v>REPRODUCTOR</c:v>
                </c:pt>
                <c:pt idx="3">
                  <c:v>NUCA</c:v>
                </c:pt>
                <c:pt idx="4">
                  <c:v>ALAS COCIDAS</c:v>
                </c:pt>
                <c:pt idx="5">
                  <c:v>ALAS CONGELADAS</c:v>
                </c:pt>
                <c:pt idx="6">
                  <c:v>TENTACULO</c:v>
                </c:pt>
              </c:strCache>
            </c:strRef>
          </c:cat>
          <c:val>
            <c:numRef>
              <c:f>TD!$AV$12:$AV$18</c:f>
              <c:numCache>
                <c:formatCode>General</c:formatCode>
                <c:ptCount val="7"/>
                <c:pt idx="0">
                  <c:v>1525</c:v>
                </c:pt>
                <c:pt idx="1">
                  <c:v>3417</c:v>
                </c:pt>
                <c:pt idx="2">
                  <c:v>2704</c:v>
                </c:pt>
                <c:pt idx="3">
                  <c:v>1171</c:v>
                </c:pt>
                <c:pt idx="4">
                  <c:v>3318</c:v>
                </c:pt>
                <c:pt idx="5">
                  <c:v>1579</c:v>
                </c:pt>
                <c:pt idx="6">
                  <c:v>2288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39-486B-B8E3-2429AF104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2179327"/>
        <c:axId val="1982180767"/>
      </c:barChart>
      <c:catAx>
        <c:axId val="198217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82180767"/>
        <c:crosses val="autoZero"/>
        <c:auto val="1"/>
        <c:lblAlgn val="ctr"/>
        <c:lblOffset val="100"/>
        <c:noMultiLvlLbl val="0"/>
      </c:catAx>
      <c:valAx>
        <c:axId val="1982180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8217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765174</xdr:colOff>
      <xdr:row>12</xdr:row>
      <xdr:rowOff>171450</xdr:rowOff>
    </xdr:from>
    <xdr:to>
      <xdr:col>5</xdr:col>
      <xdr:colOff>790575</xdr:colOff>
      <xdr:row>31</xdr:row>
      <xdr:rowOff>60327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AF6275-5BA0-42AA-B67C-3064B9ECB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762000</xdr:colOff>
      <xdr:row>33</xdr:row>
      <xdr:rowOff>130174</xdr:rowOff>
    </xdr:from>
    <xdr:to>
      <xdr:col>9</xdr:col>
      <xdr:colOff>211666</xdr:colOff>
      <xdr:row>59</xdr:row>
      <xdr:rowOff>5292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6A12C3-563A-40C3-AB58-35E64E9068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120651</xdr:colOff>
      <xdr:row>33</xdr:row>
      <xdr:rowOff>130175</xdr:rowOff>
    </xdr:from>
    <xdr:to>
      <xdr:col>19</xdr:col>
      <xdr:colOff>134408</xdr:colOff>
      <xdr:row>59</xdr:row>
      <xdr:rowOff>5293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57CEF57-E678-479C-9473-E81DDDE691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312208</xdr:colOff>
      <xdr:row>12</xdr:row>
      <xdr:rowOff>151342</xdr:rowOff>
    </xdr:from>
    <xdr:to>
      <xdr:col>11</xdr:col>
      <xdr:colOff>397933</xdr:colOff>
      <xdr:row>31</xdr:row>
      <xdr:rowOff>40219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A2D9502-3B31-43BD-A5D6-8D51A43A6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790574</xdr:colOff>
      <xdr:row>64</xdr:row>
      <xdr:rowOff>0</xdr:rowOff>
    </xdr:from>
    <xdr:to>
      <xdr:col>9</xdr:col>
      <xdr:colOff>209549</xdr:colOff>
      <xdr:row>82</xdr:row>
      <xdr:rowOff>133350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D710661-A024-4E44-AEB6-AE9F08E9D4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Inventario%20PT%20y%20Avance%20Comercial%20al%203-8-2026.xlsx" TargetMode="External"/><Relationship Id="rId1" Type="http://schemas.openxmlformats.org/officeDocument/2006/relationships/externalLinkPath" Target="Inventario%20PT%20y%20Avance%20Comercial%20al%203-8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gom\Documents\MATERIA%20PRIMA%202026%20ACTUALIZADO%20AL%204-5-2026.xlsx" TargetMode="External"/><Relationship Id="rId1" Type="http://schemas.openxmlformats.org/officeDocument/2006/relationships/externalLinkPath" Target="MATERIA%20PRIMA%202026%20ACTUALIZADO%20AL%204-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AL 3-8-2026"/>
      <sheetName val="TD"/>
      <sheetName val="Stock Libre"/>
    </sheetNames>
    <sheetDataSet>
      <sheetData sheetId="0">
        <row r="50">
          <cell r="P50">
            <v>7934656.4000000004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2 (2)"/>
      <sheetName val="Hoja2"/>
      <sheetName val="Hoja1"/>
      <sheetName val="Hoja8"/>
      <sheetName val="Ingreso M.P"/>
      <sheetName val="Datos e.p"/>
      <sheetName val="Datos Proveedor"/>
      <sheetName val="Hoja7"/>
      <sheetName val="Hoja6"/>
      <sheetName val="Hoja3"/>
      <sheetName val="Hoja4"/>
      <sheetName val="Hoja5"/>
      <sheetName val="REPORTE "/>
      <sheetName val="REPORTE POR DIA"/>
      <sheetName val="Resumen"/>
      <sheetName val="REPORTE DIARIO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">
          <cell r="D4">
            <v>1877.2149999999999</v>
          </cell>
        </row>
        <row r="5">
          <cell r="D5">
            <v>3149.7860000000001</v>
          </cell>
        </row>
        <row r="6">
          <cell r="D6">
            <v>2255.518</v>
          </cell>
        </row>
        <row r="7">
          <cell r="D7">
            <v>2853.1889999999999</v>
          </cell>
        </row>
      </sheetData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odrigo Sebastian Martinez Montalvo (PFRO)" id="{8CB64CF2-02A6-40B8-83A5-8B37A2DB3E5D}" userId="S::rodrigom@perufrost.com::75c07d1f-87b1-48a3-938c-bed2666ad39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239.397275347219" createdVersion="8" refreshedVersion="8" minRefreshableVersion="3" recordCount="191" xr:uid="{7DFA0FF9-EBE7-49A9-8F58-C97C9242293E}">
  <cacheSource type="worksheet">
    <worksheetSource ref="B3:AZ194" sheet="Resumen"/>
  </cacheSource>
  <cacheFields count="51">
    <cacheField name="MES LINK" numFmtId="0">
      <sharedItems containsBlank="1"/>
    </cacheField>
    <cacheField name="MES _x000a_EJERCICIO" numFmtId="0">
      <sharedItems count="7">
        <s v="ENERO"/>
        <s v="FEBRERO"/>
        <s v="MARZO"/>
        <s v="ABRIL"/>
        <s v="MAYO"/>
        <s v="JUNIO"/>
        <s v="JULIO"/>
      </sharedItems>
    </cacheField>
    <cacheField name="FP" numFmtId="0">
      <sharedItems containsBlank="1"/>
    </cacheField>
    <cacheField name="Emision" numFmtId="16">
      <sharedItems containsSemiMixedTypes="0" containsNonDate="0" containsDate="1" containsString="0" minDate="1900-01-14T00:00:00" maxDate="2026-07-31T00:00:00"/>
    </cacheField>
    <cacheField name="Fecha Embarque" numFmtId="16">
      <sharedItems containsSemiMixedTypes="0" containsNonDate="0" containsDate="1" containsString="0" minDate="2026-01-09T00:00:00" maxDate="2026-07-31T00:00:00"/>
    </cacheField>
    <cacheField name=" Cantidad " numFmtId="43">
      <sharedItems containsSemiMixedTypes="0" containsString="0" containsNumber="1" minValue="0" maxValue="351"/>
    </cacheField>
    <cacheField name="Producto" numFmtId="0">
      <sharedItems count="16">
        <s v="POTA REPRODUCTORES"/>
        <s v="POTA NUCAS"/>
        <s v="POTA REJOS CONGELADOS"/>
        <s v="POTA CONOS"/>
        <s v="POTA FILETE CONGELADO"/>
        <s v="POTA ALAS CONGELADAS"/>
        <s v="RESIDUOS DE POTA"/>
        <s v="POTA MEMBRANA PRECOCIDA"/>
        <s v="POTA  TELILLA PRECOCIDA"/>
        <s v="POTA FILETE DARUMA"/>
        <s v="POTA ALAS COCIDAS"/>
        <s v="POTA RECORTES  COCIDOS"/>
        <s v="POTA SUCKERS CONGELADO"/>
        <s v="POTA TUBOALETA "/>
        <s v="POTA LABIOS CONGELADOS"/>
        <s v="POTA  MEMBRANA PRECOCIDA" u="1"/>
      </sharedItems>
    </cacheField>
    <cacheField name="Corte" numFmtId="0">
      <sharedItems containsBlank="1"/>
    </cacheField>
    <cacheField name="Espec." numFmtId="0">
      <sharedItems containsBlank="1"/>
    </cacheField>
    <cacheField name="País" numFmtId="0">
      <sharedItems/>
    </cacheField>
    <cacheField name="Puerto " numFmtId="0">
      <sharedItems containsBlank="1"/>
    </cacheField>
    <cacheField name="Cliente (Razón Social)" numFmtId="0">
      <sharedItems count="38">
        <s v="OCEANUS FISH"/>
        <s v="DAIRECK S.A."/>
        <s v="TSUJINO"/>
        <s v="GLOBAL OCEAN"/>
        <s v="PROVEEDORA DE PRODUCTOS MARINOS"/>
        <s v="FOOD &amp; BEVERAGES TRADERS"/>
        <s v="OVERSEA"/>
        <s v="Hunan Jinyueyang "/>
        <s v="Longkou Yunfeng Aquatic"/>
        <s v="AVANCE GROUP"/>
        <s v="SACRAMENTO CO., LTD"/>
        <s v="KULALIA"/>
        <s v="Pesciro Asia International LTD."/>
        <s v="Pesciro SL"/>
        <s v="SHANDONG SHEENIER"/>
        <s v="LONGKOU JIABAO AQUATIC"/>
        <s v="LONGKOU BOHAI"/>
        <s v="YANTAI TAIXI FOODSTUFF"/>
        <s v="Longkou Yunfeng Aquatic Food"/>
        <s v="Qingdao Haiyujia"/>
        <s v="GOLDEN SEAFOOD"/>
        <s v="Shenzhen Yueshi"/>
        <s v="GIANT OCEAN FOOD "/>
        <s v="TT INTERBIZ"/>
        <s v="YANTAI HONGCHANG"/>
        <s v="NINGBO JUN TAO"/>
        <s v="YANTAI HIZEN INTERNATIONAL"/>
        <s v="ZHOUSHAN EAST CHINA"/>
        <s v="ZHEJIANG ZHOUFU"/>
        <s v="LONGKOU SANMING "/>
        <s v="Shenzhen Yueshi Supply"/>
        <s v="PELAGICS INTERNATIONAL"/>
        <s v="SERENE OCEAN"/>
        <s v="KS FROZEN COMPANY"/>
        <s v="OPTIMIZE INTEGRATION"/>
        <s v="QINGDAO OCEAN"/>
        <s v="SHANDONG LONGKOU XINLONG "/>
        <s v="TSUJINO " u="1"/>
      </sharedItems>
    </cacheField>
    <cacheField name="Contacto " numFmtId="0">
      <sharedItems containsBlank="1"/>
    </cacheField>
    <cacheField name="Precio TM" numFmtId="0">
      <sharedItems containsSemiMixedTypes="0" containsString="0" containsNumber="1" minValue="0" maxValue="4300"/>
    </cacheField>
    <cacheField name="VALOR _x000a_CFR" numFmtId="0">
      <sharedItems containsSemiMixedTypes="0" containsString="0" containsNumber="1" minValue="3510" maxValue="669600"/>
    </cacheField>
    <cacheField name=" FOB / TM " numFmtId="0">
      <sharedItems containsSemiMixedTypes="0" containsString="0" containsNumber="1" minValue="0" maxValue="4203.7037037037035"/>
    </cacheField>
    <cacheField name="Costo Flete" numFmtId="0">
      <sharedItems containsSemiMixedTypes="0" containsString="0" containsNumber="1" minValue="0" maxValue="40339"/>
    </cacheField>
    <cacheField name="VALOR _x000a_FOB" numFmtId="0">
      <sharedItems containsSemiMixedTypes="0" containsString="0" containsNumber="1" minValue="3375.1851851851848" maxValue="646400"/>
    </cacheField>
    <cacheField name="Cantidad de FCL (Contenedores)" numFmtId="0">
      <sharedItems containsString="0" containsBlank="1" containsNumber="1" containsInteger="1" minValue="0" maxValue="13"/>
    </cacheField>
    <cacheField name="M/V Nave" numFmtId="0">
      <sharedItems containsBlank="1"/>
    </cacheField>
    <cacheField name="Booking" numFmtId="0">
      <sharedItems containsBlank="1" containsMixedTypes="1" containsNumber="1" containsInteger="1" minValue="10367430" maxValue="6508576660"/>
    </cacheField>
    <cacheField name=" Naviera " numFmtId="0">
      <sharedItems containsBlank="1" containsMixedTypes="1" containsNumber="1" containsInteger="1" minValue="1" maxValue="1"/>
    </cacheField>
    <cacheField name="Puerto" numFmtId="0">
      <sharedItems containsBlank="1"/>
    </cacheField>
    <cacheField name="Tipo _x000a_Producto" numFmtId="0">
      <sharedItems count="4">
        <s v="Fresco"/>
        <s v="Subproducto"/>
        <s v="Residuo"/>
        <s v="Cocido"/>
      </sharedItems>
    </cacheField>
    <cacheField name="CÓDIGO" numFmtId="0">
      <sharedItems containsString="0" containsBlank="1" containsNumber="1" containsInteger="1" minValue="10005721" maxValue="10009332"/>
    </cacheField>
    <cacheField name="Categoría" numFmtId="0">
      <sharedItems containsBlank="1"/>
    </cacheField>
    <cacheField name="MATCH" numFmtId="0">
      <sharedItems containsBlank="1"/>
    </cacheField>
    <cacheField name="COSTO _x000a_UNITARIO" numFmtId="43">
      <sharedItems containsSemiMixedTypes="0" containsString="0" containsNumber="1" minValue="0" maxValue="3345.6816659973501"/>
    </cacheField>
    <cacheField name="Materia Prima" numFmtId="165">
      <sharedItems containsSemiMixedTypes="0" containsString="0" containsNumber="1" minValue="0" maxValue="386076.72521795018"/>
    </cacheField>
    <cacheField name="MOD" numFmtId="165">
      <sharedItems containsSemiMixedTypes="0" containsString="0" containsNumber="1" minValue="0" maxValue="151910.27411151075"/>
    </cacheField>
    <cacheField name="Envases" numFmtId="165">
      <sharedItems containsSemiMixedTypes="0" containsString="0" containsNumber="1" minValue="0" maxValue="6785.0865087733246"/>
    </cacheField>
    <cacheField name="CIF" numFmtId="165">
      <sharedItems containsSemiMixedTypes="0" containsString="0" containsNumber="1" minValue="-2023.6079910239948" maxValue="115805.54144118793"/>
    </cacheField>
    <cacheField name="COSTO _x000a_VENTAS" numFmtId="165">
      <sharedItems containsSemiMixedTypes="0" containsString="0" containsNumber="1" minValue="0" maxValue="636212.65676279878"/>
    </cacheField>
    <cacheField name="Cant" numFmtId="0">
      <sharedItems containsString="0" containsBlank="1" containsNumber="1" minValue="3" maxValue="351"/>
    </cacheField>
    <cacheField name="C.U" numFmtId="0">
      <sharedItems containsString="0" containsBlank="1" containsNumber="1" minValue="0" maxValue="3441.6816659973501"/>
    </cacheField>
    <cacheField name="Cotos Vta" numFmtId="165">
      <sharedItems containsString="0" containsBlank="1" containsNumber="1" minValue="5803.9692134831503" maxValue="586944.50729207729"/>
    </cacheField>
    <cacheField name="UTILIDAD _x000a_BRUTA" numFmtId="165">
      <sharedItems containsSemiMixedTypes="0" containsString="0" containsNumber="1" minValue="-179912.65676279878" maxValue="230431.42600182549"/>
    </cacheField>
    <cacheField name="MARGEN _x000a_BRUTO" numFmtId="9">
      <sharedItems containsSemiMixedTypes="0" containsString="0" containsNumber="1" minValue="-1.3265815125325344" maxValue="1"/>
    </cacheField>
    <cacheField name="Flete" numFmtId="165">
      <sharedItems containsSemiMixedTypes="0" containsString="0" containsNumber="1" minValue="0" maxValue="40339"/>
    </cacheField>
    <cacheField name="Otros _x000a_Gastos Ventas" numFmtId="165">
      <sharedItems containsSemiMixedTypes="0" containsString="0" containsNumber="1" minValue="0" maxValue="9201.6"/>
    </cacheField>
    <cacheField name="Ajuste" numFmtId="165">
      <sharedItems containsString="0" containsBlank="1" containsNumber="1" minValue="-2185.6255346220141" maxValue="25021.703436736967"/>
    </cacheField>
    <cacheField name="GASTO_x000a_VENTAS" numFmtId="165">
      <sharedItems containsSemiMixedTypes="0" containsString="0" containsNumber="1" minValue="0" maxValue="50952.356327395246"/>
    </cacheField>
    <cacheField name="GASTO _x000a_ADM" numFmtId="165">
      <sharedItems containsSemiMixedTypes="0" containsString="0" containsNumber="1" minValue="0" maxValue="14707.451612903227"/>
    </cacheField>
    <cacheField name="DRAWBACK" numFmtId="165">
      <sharedItems containsSemiMixedTypes="0" containsString="0" containsNumber="1" minValue="0" maxValue="19392"/>
    </cacheField>
    <cacheField name="UTILIDAD _x000a_OPERATIVA" numFmtId="165">
      <sharedItems containsSemiMixedTypes="0" containsString="0" containsNumber="1" minValue="-224687.71111838811" maxValue="205639.9737363038"/>
    </cacheField>
    <cacheField name="MARGEN _x000a_OPERATIVO" numFmtId="9">
      <sharedItems containsSemiMixedTypes="0" containsString="0" containsNumber="1" minValue="-1.684245847923153" maxValue="1"/>
    </cacheField>
    <cacheField name="GASTO _x000a_FINANCIERO" numFmtId="165">
      <sharedItems containsSemiMixedTypes="0" containsString="0" containsNumber="1" minValue="0" maxValue="38105.129032258068"/>
    </cacheField>
    <cacheField name="UTILIDAD _x000a_NETA" numFmtId="165">
      <sharedItems containsSemiMixedTypes="0" containsString="0" containsNumber="1" minValue="-256580.75278760429" maxValue="188620.49607874092"/>
    </cacheField>
    <cacheField name="MARGEN _x000a_NETO" numFmtId="9">
      <sharedItems containsSemiMixedTypes="0" containsString="0" containsNumber="1" minValue="-1.7792139926835917" maxValue="1"/>
    </cacheField>
    <cacheField name="DEPRECIACIÓN" numFmtId="0">
      <sharedItems containsSemiMixedTypes="0" containsString="0" containsNumber="1" minValue="0" maxValue="35954.791935483772"/>
    </cacheField>
    <cacheField name="EBITDA" numFmtId="165">
      <sharedItems containsSemiMixedTypes="0" containsString="0" containsNumber="1" minValue="-198089.56913099295" maxValue="215147.90171162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s v="ENERO"/>
    <x v="0"/>
    <s v="127-2025"/>
    <d v="1900-11-20T00:00:00"/>
    <d v="2026-01-11T00:00:00"/>
    <n v="26"/>
    <x v="0"/>
    <s v="Rejos"/>
    <m/>
    <s v="España"/>
    <s v="Valencia"/>
    <x v="0"/>
    <s v="Ignacio / Ives"/>
    <n v="2848.6153846153848"/>
    <n v="74064"/>
    <n v="2670.3846153846152"/>
    <n v="4634"/>
    <n v="69430"/>
    <n v="1"/>
    <s v="MERSIN EXPRESS 603N"/>
    <n v="26106924"/>
    <s v="HAPAG"/>
    <s v="PAITA"/>
    <x v="0"/>
    <n v="10007567"/>
    <s v="Compensación"/>
    <s v="ENERO10007567Compensación"/>
    <n v="1848.6442338709517"/>
    <n v="31139.44679335969"/>
    <n v="7653.46633392083"/>
    <n v="459.33890575206362"/>
    <n v="7628.3329918801965"/>
    <n v="46880.585024912776"/>
    <n v="22.658000000000001"/>
    <n v="1776.8136579060747"/>
    <n v="41460.14"/>
    <n v="27183.414975087224"/>
    <n v="0.36702601770208498"/>
    <n v="4634"/>
    <n v="670.34227423553716"/>
    <n v="0"/>
    <n v="5304.3422742355369"/>
    <n v="5311.0241935483873"/>
    <n v="2082.9"/>
    <n v="18650.948507303303"/>
    <n v="0.2518220526477547"/>
    <n v="13760.185483870968"/>
    <n v="4890.7630234323351"/>
    <n v="6.6034281478617618E-2"/>
    <n v="12983.674865591363"/>
    <n v="31634.623372894668"/>
  </r>
  <r>
    <s v="ENERO"/>
    <x v="0"/>
    <s v="128-2025B"/>
    <d v="1900-11-20T00:00:00"/>
    <d v="2026-01-31T00:00:00"/>
    <n v="17.04"/>
    <x v="1"/>
    <s v="Nucas"/>
    <s v="1000-up"/>
    <s v="Tailandia "/>
    <s v="Lat Krabang"/>
    <x v="1"/>
    <s v="Julieta"/>
    <n v="1850"/>
    <n v="31524"/>
    <n v="1656.3380281690143"/>
    <n v="2343"/>
    <n v="29181"/>
    <n v="1"/>
    <s v="ECO SIROCCO 26005S"/>
    <n v="6443191850"/>
    <s v="COSCO"/>
    <s v="PAITA"/>
    <x v="0"/>
    <n v="10005779"/>
    <s v="Compensación"/>
    <s v="ENERO10005779Compensación"/>
    <n v="1948.6442338709517"/>
    <n v="20410.224266722013"/>
    <n v="6891.7519435578752"/>
    <n v="247.66591579686943"/>
    <n v="4881.1166620952627"/>
    <n v="32430.758788172021"/>
    <n v="17.04"/>
    <n v="1876.9277777777766"/>
    <n v="33696.516935933098"/>
    <n v="-906.75878817202101"/>
    <n v="-2.8764077787464187E-2"/>
    <n v="2343"/>
    <n v="439.33201357590588"/>
    <n v="0"/>
    <n v="2782.3320135759059"/>
    <n v="3480.7635483870968"/>
    <n v="875.43"/>
    <n v="-6294.4243501350229"/>
    <n v="-0.19967086505947923"/>
    <n v="9018.213870967742"/>
    <n v="-15312.638221102765"/>
    <n v="-0.48574540734369892"/>
    <n v="8509.3007580644935"/>
    <n v="2214.8764079294706"/>
  </r>
  <r>
    <s v="ENERO"/>
    <x v="0"/>
    <s v="128-2025B"/>
    <d v="1900-11-20T00:00:00"/>
    <d v="2026-01-31T00:00:00"/>
    <n v="3"/>
    <x v="1"/>
    <s v="Nucas"/>
    <s v="500 - 1 kg."/>
    <s v="Tailandia "/>
    <s v="Lat Krabang"/>
    <x v="1"/>
    <s v="Julieta"/>
    <n v="1450"/>
    <n v="4350"/>
    <n v="1450"/>
    <n v="412.5"/>
    <n v="3937.5"/>
    <n v="0"/>
    <m/>
    <n v="6443191850"/>
    <s v="COSCO"/>
    <s v="PAITA"/>
    <x v="0"/>
    <n v="10005781"/>
    <s v="Compensación"/>
    <s v="ENERO10005781Compensación"/>
    <n v="1998.6442338709517"/>
    <n v="3611.312302913072"/>
    <n v="1180.1893803989926"/>
    <n v="48.013378515179028"/>
    <n v="870.1255698931825"/>
    <n v="5709.6406317204264"/>
    <n v="3"/>
    <n v="1876.9277777777766"/>
    <n v="5803.9692134831503"/>
    <n v="-1359.6406317204264"/>
    <n v="-0.31256106476331641"/>
    <n v="412.5"/>
    <n v="77.347185488715823"/>
    <n v="0"/>
    <n v="489.84718548871581"/>
    <n v="612.8104838709678"/>
    <n v="118.125"/>
    <n v="-2344.1733010801099"/>
    <n v="-0.53889041404140459"/>
    <n v="1587.7137096774195"/>
    <n v="-3931.8870107575294"/>
    <n v="-0.90388207143851251"/>
    <n v="1498.1163306451572"/>
    <n v="-846.05697043495275"/>
  </r>
  <r>
    <s v="ENERO"/>
    <x v="0"/>
    <s v="128-2025B"/>
    <d v="1900-11-20T00:00:00"/>
    <d v="2026-01-31T00:00:00"/>
    <n v="3.96"/>
    <x v="2"/>
    <s v="Rejos"/>
    <s v="1 - 2 kgs."/>
    <s v="Tailandia "/>
    <s v="Lat Krabang"/>
    <x v="1"/>
    <s v="Julieta"/>
    <n v="2234.3434343434342"/>
    <n v="8848"/>
    <n v="2800"/>
    <n v="544.5"/>
    <n v="8303.5"/>
    <n v="0"/>
    <m/>
    <n v="6443191850"/>
    <s v="COSCO"/>
    <s v="PAITA"/>
    <x v="0"/>
    <n v="10007162"/>
    <s v="Compensación"/>
    <s v="ENERO10007162Compensación"/>
    <n v="1808.6442338709517"/>
    <n v="4667.6909604667717"/>
    <n v="1231.524851830603"/>
    <n v="62.750792839333485"/>
    <n v="1223.9162870124035"/>
    <n v="7185.8828921491122"/>
    <n v="3.16"/>
    <n v="1788.3311258278143"/>
    <n v="5822.9226614836498"/>
    <n v="1662.1171078508878"/>
    <n v="0.18785229519110397"/>
    <n v="544.5"/>
    <n v="102.09828484510487"/>
    <n v="0"/>
    <n v="646.5982848451049"/>
    <n v="808.9098387096775"/>
    <n v="249.10499999999999"/>
    <n v="455.71398429610542"/>
    <n v="5.1504745060590579E-2"/>
    <n v="2095.7820967741936"/>
    <n v="-1640.0681124780881"/>
    <n v="-0.18536032012636619"/>
    <n v="1977.5135564516077"/>
    <n v="2433.2275407477132"/>
  </r>
  <r>
    <s v="ENERO"/>
    <x v="0"/>
    <s v="129-2025"/>
    <d v="2025-11-21T00:00:00"/>
    <d v="2026-01-09T00:00:00"/>
    <n v="24"/>
    <x v="3"/>
    <s v="Conos"/>
    <m/>
    <s v="Tailandia"/>
    <s v="Bangkok"/>
    <x v="2"/>
    <s v="Jose"/>
    <n v="2100"/>
    <n v="50400"/>
    <n v="1962.5"/>
    <n v="3300"/>
    <n v="47100"/>
    <n v="1"/>
    <s v="ECO MARIN 26002S"/>
    <n v="6440924270"/>
    <s v="COSCO"/>
    <s v="PAITA"/>
    <x v="1"/>
    <n v="10007969"/>
    <s v="Compensación"/>
    <s v="ENERO10007969Compensación"/>
    <n v="1658.6442338709517"/>
    <n v="30999.473296414719"/>
    <n v="5431.3037166482409"/>
    <n v="411.06065341800883"/>
    <n v="3252.6203299908061"/>
    <n v="40094.457996471778"/>
    <n v="24"/>
    <n v="1644.316650390625"/>
    <n v="39463.599609375"/>
    <n v="10305.542003528222"/>
    <n v="0.20447503975254408"/>
    <n v="3300"/>
    <n v="618.77748390972658"/>
    <n v="0"/>
    <n v="3918.7774839097265"/>
    <n v="4902.4838709677424"/>
    <n v="1413"/>
    <n v="2897.2806486507534"/>
    <n v="5.7485727155768919E-2"/>
    <n v="12701.709677419356"/>
    <n v="-9804.4290287686017"/>
    <n v="-0.19453232199937701"/>
    <n v="11984.930645161257"/>
    <n v="14882.211293812012"/>
  </r>
  <r>
    <s v="ENERO"/>
    <x v="0"/>
    <s v="137-2025"/>
    <d v="2025-12-09T00:00:00"/>
    <d v="2026-01-21T00:00:00"/>
    <n v="24"/>
    <x v="4"/>
    <s v="Filete"/>
    <s v="2 - 4 kg"/>
    <s v="Taiwan"/>
    <s v="KAOHSIUNG"/>
    <x v="2"/>
    <s v="Jose"/>
    <n v="1966.6666666666667"/>
    <n v="47200"/>
    <n v="1841.5416666666667"/>
    <n v="3003"/>
    <n v="44197"/>
    <n v="1"/>
    <s v="ECO MARIN 25052N"/>
    <s v="LIMF26385300"/>
    <s v="ONE"/>
    <s v="PAITA"/>
    <x v="0"/>
    <n v="10005721"/>
    <s v="Compensación"/>
    <s v="ENERO10005721Compensación"/>
    <n v="1878.6442338709517"/>
    <n v="27693.143425091585"/>
    <n v="10045.917326361083"/>
    <n v="437.14793766910833"/>
    <n v="7483.3566681030115"/>
    <n v="45659.56535722479"/>
    <n v="23.7"/>
    <n v="1876.1961237553337"/>
    <n v="44778.444670991703"/>
    <n v="1540.4346427752098"/>
    <n v="3.2636327177440888E-2"/>
    <n v="3003"/>
    <n v="618.77748390972658"/>
    <n v="0"/>
    <n v="3621.7774839097265"/>
    <n v="4902.4838709677424"/>
    <n v="1325.9099999999999"/>
    <n v="-5657.9167121022592"/>
    <n v="-0.11987111678182752"/>
    <n v="12701.709677419356"/>
    <n v="-18359.626389521614"/>
    <n v="-0.38897513537122064"/>
    <n v="11984.930645161257"/>
    <n v="6327.0139330589982"/>
  </r>
  <r>
    <s v="ENERO"/>
    <x v="0"/>
    <s v="140-2025"/>
    <d v="1900-12-12T00:00:00"/>
    <d v="2026-01-16T00:00:00"/>
    <n v="24"/>
    <x v="4"/>
    <s v="Filete"/>
    <s v="2-4kg"/>
    <s v="Japón "/>
    <s v="Sendai"/>
    <x v="2"/>
    <s v="Jose"/>
    <n v="1983.3333333333333"/>
    <n v="47600"/>
    <n v="1845.7083333333333"/>
    <n v="3303"/>
    <n v="44297"/>
    <n v="1"/>
    <s v="ECO SIROCCO 26003S"/>
    <s v="LIMG00358300"/>
    <s v="ONE"/>
    <s v="PAITA"/>
    <x v="0"/>
    <n v="10005721"/>
    <s v="Compensación"/>
    <s v="ENERO10005721Compensación"/>
    <n v="1878.6442338709517"/>
    <n v="27693.143425091585"/>
    <n v="10045.917326361083"/>
    <n v="437.14793766910833"/>
    <n v="7483.3566681030115"/>
    <n v="45659.56535722479"/>
    <n v="23.7"/>
    <n v="1876.1961237553337"/>
    <n v="44778.444670991703"/>
    <n v="1940.4346427752098"/>
    <n v="4.0765433671748105E-2"/>
    <n v="3303"/>
    <n v="618.77748390972658"/>
    <n v="0"/>
    <n v="3921.7774839097265"/>
    <n v="4902.4838709677424"/>
    <n v="1328.9099999999999"/>
    <n v="-5554.9167121022592"/>
    <n v="-0.11669993092651805"/>
    <n v="12701.709677419356"/>
    <n v="-18256.626389521614"/>
    <n v="-0.38354257120843727"/>
    <n v="11984.930645161257"/>
    <n v="6430.0139330589982"/>
  </r>
  <r>
    <s v="ENERO"/>
    <x v="0"/>
    <s v="145-2025"/>
    <d v="2025-12-29T00:00:00"/>
    <d v="2026-01-19T00:00:00"/>
    <n v="54"/>
    <x v="2"/>
    <s v="Rejos"/>
    <s v="500-1 / 1-2"/>
    <s v="España"/>
    <s v="Vigo"/>
    <x v="3"/>
    <s v="Jorge"/>
    <n v="2600"/>
    <n v="140400"/>
    <n v="2430.962962962963"/>
    <n v="9128"/>
    <n v="131272"/>
    <n v="2"/>
    <s v="IZMIT EXPRESS 604N"/>
    <n v="28952064"/>
    <s v="HAPAG"/>
    <s v="PAITA"/>
    <x v="0"/>
    <n v="10007162"/>
    <s v="Compensación"/>
    <s v="ENERO10007162Compensación"/>
    <n v="1808.6442338709517"/>
    <n v="63650.331279092345"/>
    <n v="16793.52070678095"/>
    <n v="855.69262962727475"/>
    <n v="16689.767550169137"/>
    <n v="97989.312165669704"/>
    <n v="54"/>
    <n v="1788.3311258278143"/>
    <n v="99505.640417758506"/>
    <n v="42410.687834330296"/>
    <n v="0.30207042617044372"/>
    <n v="9128"/>
    <n v="1392.2493387968848"/>
    <n v="0"/>
    <n v="10520.249338796884"/>
    <n v="11030.58870967742"/>
    <n v="3938.16"/>
    <n v="24798.009785855989"/>
    <n v="0.1766240013237606"/>
    <n v="28578.846774193549"/>
    <n v="-3780.8369883375599"/>
    <n v="-2.6929038378472648E-2"/>
    <n v="26966.093951612831"/>
    <n v="51764.103737468817"/>
  </r>
  <r>
    <s v="FEBRERO"/>
    <x v="1"/>
    <s v="146-2026"/>
    <d v="2026-01-05T00:00:00"/>
    <d v="2026-02-06T00:00:00"/>
    <n v="10"/>
    <x v="3"/>
    <s v="Conos"/>
    <s v="10 cm - up "/>
    <s v="Tailandia"/>
    <s v="Lat Krabang"/>
    <x v="2"/>
    <s v="Jose"/>
    <n v="2100"/>
    <n v="21000"/>
    <n v="2100"/>
    <n v="1458.3333333333335"/>
    <n v="19541.666666666668"/>
    <n v="1"/>
    <s v="ECO MARIN 26006S"/>
    <n v="6444023300"/>
    <s v="COSCO"/>
    <s v="PAITA"/>
    <x v="1"/>
    <n v="10007969"/>
    <s v="Compensación"/>
    <s v="FEBRERO10007969Compensación"/>
    <n v="1345.4439858348792"/>
    <n v="10882.579496105072"/>
    <n v="2048.5449624549919"/>
    <n v="160.64284664489719"/>
    <n v="362.67255314383135"/>
    <n v="13454.439858348793"/>
    <n v="10"/>
    <n v="1205.0788876276956"/>
    <n v="12050.788876276956"/>
    <n v="7545.5601416512072"/>
    <n v="0.35931238769767654"/>
    <n v="1458.3333333333335"/>
    <n v="197.82395162905274"/>
    <n v="-62.26853374991493"/>
    <n v="1593.8887512124713"/>
    <n v="346.35011931713882"/>
    <n v="586.25"/>
    <n v="6191.5712711215974"/>
    <n v="0.29483672719626652"/>
    <n v="908.63366578963473"/>
    <n v="5282.9376053319629"/>
    <n v="0.25156845739676015"/>
    <n v="757.78182300271067"/>
    <n v="6949.353094124308"/>
  </r>
  <r>
    <s v="FEBRERO"/>
    <x v="1"/>
    <s v="146-2026"/>
    <d v="2026-01-05T00:00:00"/>
    <d v="2026-02-06T00:00:00"/>
    <n v="14"/>
    <x v="1"/>
    <s v="Nucas"/>
    <s v="500-up"/>
    <s v="Tailandia "/>
    <s v="Lat Krabang"/>
    <x v="2"/>
    <s v="Jose"/>
    <n v="1700"/>
    <n v="23456"/>
    <n v="1700"/>
    <n v="2041.6666666666667"/>
    <n v="21414.333333333332"/>
    <n v="0"/>
    <m/>
    <m/>
    <m/>
    <m/>
    <x v="0"/>
    <n v="10005779"/>
    <s v="Compensación"/>
    <s v="FEBRERO10005779Compensación"/>
    <n v="1887.9650982071839"/>
    <n v="16088.612963648904"/>
    <n v="5819.4873826982048"/>
    <n v="192.80524545483794"/>
    <n v="4330.6057830986301"/>
    <n v="26431.511374900576"/>
    <n v="14.849"/>
    <n v="1747.6000000000004"/>
    <n v="25950.112400000005"/>
    <n v="-2975.5113749005759"/>
    <n v="-0.12685502109910368"/>
    <n v="2041.6666666666667"/>
    <n v="276.95353228067381"/>
    <n v="-87.175947249880906"/>
    <n v="2231.4442516974595"/>
    <n v="484.89016704399438"/>
    <n v="642.42999999999995"/>
    <n v="-5049.4157936420297"/>
    <n v="-0.21527181930602104"/>
    <n v="1272.0871321054888"/>
    <n v="-6321.502925747518"/>
    <n v="-0.26950472909905859"/>
    <n v="1060.894552203795"/>
    <n v="-3988.5212414382349"/>
  </r>
  <r>
    <s v="ENERO"/>
    <x v="0"/>
    <s v="147-2026"/>
    <d v="2026-01-10T00:00:00"/>
    <d v="2026-01-28T00:00:00"/>
    <n v="72"/>
    <x v="5"/>
    <s v="Alas"/>
    <s v="1 - 2 kgs."/>
    <s v="Tailandia "/>
    <s v="Bangkok"/>
    <x v="2"/>
    <s v="Jose"/>
    <n v="1887.7083333333333"/>
    <n v="135915"/>
    <n v="1754.25"/>
    <n v="9609"/>
    <n v="126306"/>
    <n v="3"/>
    <s v="ECO MARIN 26004N"/>
    <s v="LIMG01524600"/>
    <s v="ONE"/>
    <s v="PAITA"/>
    <x v="0"/>
    <n v="10006720"/>
    <s v="Compensación"/>
    <s v="ENERO10006720Compensación"/>
    <n v="1738.6442338709517"/>
    <n v="82959.134144578085"/>
    <n v="19195.713394762697"/>
    <n v="1203.1652916261742"/>
    <n v="22291.586720567262"/>
    <n v="125649.59955153422"/>
    <n v="69.7"/>
    <n v="1718.8475609756097"/>
    <n v="120156.942632387"/>
    <n v="10265.400448465778"/>
    <n v="7.5528090707175644E-2"/>
    <n v="9609"/>
    <n v="1856.3324517291799"/>
    <n v="0"/>
    <n v="11465.33245172918"/>
    <n v="14707.451612903227"/>
    <n v="3789.18"/>
    <n v="-12118.203616166629"/>
    <n v="-8.9160163456326602E-2"/>
    <n v="38105.129032258068"/>
    <n v="-50223.332648424694"/>
    <n v="-0.36952016075065075"/>
    <n v="35954.791935483772"/>
    <n v="23836.588319317143"/>
  </r>
  <r>
    <s v="ENERO"/>
    <x v="0"/>
    <m/>
    <d v="2026-01-31T00:00:00"/>
    <d v="2026-01-31T00:00:00"/>
    <n v="0"/>
    <x v="6"/>
    <s v="Residuos"/>
    <s v="Residuos"/>
    <s v="Residuos"/>
    <s v="Residuos"/>
    <x v="4"/>
    <m/>
    <n v="0"/>
    <n v="24314.28"/>
    <n v="0"/>
    <n v="0"/>
    <n v="24314.28"/>
    <m/>
    <m/>
    <m/>
    <m/>
    <m/>
    <x v="2"/>
    <m/>
    <m/>
    <m/>
    <n v="0"/>
    <n v="0"/>
    <n v="0"/>
    <n v="0"/>
    <n v="0"/>
    <n v="0"/>
    <m/>
    <m/>
    <m/>
    <n v="24314.28"/>
    <n v="1"/>
    <n v="0"/>
    <n v="0"/>
    <n v="0"/>
    <n v="0"/>
    <n v="0"/>
    <n v="0"/>
    <n v="24314.28"/>
    <n v="1"/>
    <n v="0"/>
    <n v="24314.28"/>
    <n v="1"/>
    <n v="0"/>
    <n v="24314.28"/>
  </r>
  <r>
    <s v="FEBRERO"/>
    <x v="1"/>
    <s v="148-2026"/>
    <d v="1900-01-14T00:00:00"/>
    <d v="2026-02-02T00:00:00"/>
    <n v="135"/>
    <x v="4"/>
    <s v="Filete"/>
    <s v="2-4 (B)"/>
    <s v="España "/>
    <s v="Vigo"/>
    <x v="5"/>
    <s v="Jorge"/>
    <n v="1650"/>
    <n v="222750"/>
    <n v="1480.962962962963"/>
    <n v="22820"/>
    <n v="199930"/>
    <n v="5"/>
    <s v="ODYSSEUS 606N"/>
    <n v="59582082"/>
    <s v="HAPAG"/>
    <s v="PAITA"/>
    <x v="0"/>
    <n v="10005721"/>
    <s v="Compensación"/>
    <s v="FEBRERO10005721Compensación"/>
    <n v="1812.5716716888853"/>
    <n v="148491.04816075007"/>
    <n v="49055.885998033576"/>
    <n v="2609.648657220509"/>
    <n v="44540.592861995356"/>
    <n v="244697.1756779995"/>
    <n v="135"/>
    <n v="1672.2065734817018"/>
    <n v="251295.39"/>
    <n v="-21947.175677999505"/>
    <n v="-9.8528285872051646E-2"/>
    <n v="22820"/>
    <n v="2670.6233469922122"/>
    <n v="-840.62520562385157"/>
    <n v="24649.99814136836"/>
    <n v="4675.7266107813739"/>
    <n v="5997.9"/>
    <n v="-45275.000430149237"/>
    <n v="-0.20325477185252183"/>
    <n v="12266.554488160069"/>
    <n v="-57541.55491830931"/>
    <n v="-0.25832347887007545"/>
    <n v="10230.054610536594"/>
    <n v="-35044.945819612643"/>
  </r>
  <r>
    <s v="FEBRERO"/>
    <x v="1"/>
    <s v="149-2026"/>
    <d v="1900-01-15T00:00:00"/>
    <d v="2026-02-02T00:00:00"/>
    <n v="27"/>
    <x v="0"/>
    <s v="Rejos"/>
    <m/>
    <s v="España "/>
    <s v="Vigo"/>
    <x v="3"/>
    <s v="Jorge"/>
    <n v="2873.5185185185187"/>
    <n v="77585"/>
    <n v="2711.8888888888887"/>
    <n v="4364"/>
    <n v="73221"/>
    <n v="1"/>
    <m/>
    <m/>
    <m/>
    <m/>
    <x v="0"/>
    <n v="10007567"/>
    <s v="Entradas"/>
    <s v="FEBRERO10007567Entradas"/>
    <n v="1792.6008737332941"/>
    <n v="29878.161299811578"/>
    <n v="8560.8113667292182"/>
    <n v="543.18307041687365"/>
    <n v="9418.0678538412667"/>
    <n v="48400.223590798938"/>
    <n v="26.302"/>
    <n v="1652.2357755261105"/>
    <n v="48129"/>
    <n v="29184.776409201062"/>
    <n v="0.37616519184379793"/>
    <n v="4364"/>
    <n v="534.12466939844239"/>
    <n v="-168.12504112477032"/>
    <n v="4729.999628273672"/>
    <n v="935.1453221562748"/>
    <n v="2196.63"/>
    <n v="25716.261458771118"/>
    <n v="0.33145919261160167"/>
    <n v="2453.3108976320141"/>
    <n v="23262.950561139103"/>
    <n v="0.29983824916077984"/>
    <n v="2046.0109221073189"/>
    <n v="27762.272380878436"/>
  </r>
  <r>
    <s v="FEBRERO"/>
    <x v="1"/>
    <s v="150-2026A"/>
    <d v="1900-11-20T00:00:00"/>
    <d v="2026-02-16T00:00:00"/>
    <n v="26"/>
    <x v="2"/>
    <s v="Rejos"/>
    <s v="1-2 KG"/>
    <s v="España "/>
    <s v="Vigo"/>
    <x v="6"/>
    <s v="Avelino"/>
    <n v="2600"/>
    <n v="67600"/>
    <n v="2432.1538461538462"/>
    <n v="4364"/>
    <n v="63236"/>
    <n v="1"/>
    <s v="CAPE SPENCER 608N "/>
    <n v="11400418"/>
    <s v="HAPAG"/>
    <s v="PAITA"/>
    <x v="0"/>
    <n v="10007162"/>
    <s v="Compensación"/>
    <s v="FEBRERO10007162Compensación"/>
    <n v="1806.2113098070079"/>
    <n v="29480.813338973145"/>
    <n v="8412.1138195304247"/>
    <n v="437.97410152228025"/>
    <n v="8630.5927949563466"/>
    <n v="46961.494054982206"/>
    <n v="26"/>
    <n v="1665.8462115998243"/>
    <n v="43312.001501595434"/>
    <n v="20638.505945017794"/>
    <n v="0.30530334238192003"/>
    <n v="4364"/>
    <n v="514.34227423553716"/>
    <n v="-161.89818774977883"/>
    <n v="4716.4440864857579"/>
    <n v="900.51031022456095"/>
    <n v="1897.08"/>
    <n v="16918.631548307476"/>
    <n v="0.25027561461993308"/>
    <n v="2362.4475310530506"/>
    <n v="14556.184017254425"/>
    <n v="0.21532816593571635"/>
    <n v="1970.2327398070479"/>
    <n v="18888.864288114524"/>
  </r>
  <r>
    <s v="FEBRERO"/>
    <x v="1"/>
    <s v="151-2025"/>
    <d v="1900-01-25T00:00:00"/>
    <d v="2026-02-27T00:00:00"/>
    <n v="27"/>
    <x v="7"/>
    <s v="Membrana"/>
    <m/>
    <s v="China "/>
    <s v="Qingdao"/>
    <x v="7"/>
    <m/>
    <n v="1429.8611111111111"/>
    <n v="38606.25"/>
    <n v="1322.4537037037037"/>
    <n v="2900"/>
    <n v="35706.25"/>
    <n v="1"/>
    <s v="ECO SIROCCO 26009S"/>
    <n v="6445502950"/>
    <s v="COSCO"/>
    <s v="PAITA"/>
    <x v="1"/>
    <n v="10009332"/>
    <s v="Entradas"/>
    <s v="FEBRERO10009332Entradas"/>
    <n v="1359.8748638321838"/>
    <n v="30449.139302967902"/>
    <n v="5571.9041088369377"/>
    <n v="562.81608449351199"/>
    <n v="132.76182717061306"/>
    <n v="36716.621323468964"/>
    <n v="26.625"/>
    <n v="1219.5097656250002"/>
    <n v="40733.759999999995"/>
    <n v="1889.628676531036"/>
    <n v="4.8946185566612559E-2"/>
    <n v="2900"/>
    <n v="534.12466939844239"/>
    <n v="-168.12504112477032"/>
    <n v="3265.999628273672"/>
    <n v="935.1453221562748"/>
    <n v="1071.1875"/>
    <n v="-1240.3287738989106"/>
    <n v="-3.2127667771381853E-2"/>
    <n v="2453.3108976320141"/>
    <n v="-3693.6396715309247"/>
    <n v="-9.5674655568228587E-2"/>
    <n v="2046.0109221073189"/>
    <n v="805.68214820840831"/>
  </r>
  <r>
    <s v="FEBRERO"/>
    <x v="1"/>
    <s v="151-2025"/>
    <d v="1900-01-25T00:00:00"/>
    <d v="2026-02-27T00:00:00"/>
    <n v="27"/>
    <x v="8"/>
    <s v="Telilla"/>
    <m/>
    <s v="China "/>
    <s v="Qingdao"/>
    <x v="7"/>
    <m/>
    <n v="1429.8611111111111"/>
    <n v="38606.25"/>
    <n v="1322.4537037037037"/>
    <n v="2900"/>
    <n v="35706.25"/>
    <n v="1"/>
    <s v="ECO SIROCCO 26009S"/>
    <n v="6445502950"/>
    <s v="COSCO"/>
    <s v="PAITA"/>
    <x v="1"/>
    <n v="10009332"/>
    <s v="Compensación"/>
    <s v="FEBRERO10009332Compensación"/>
    <n v="1359.8748638321838"/>
    <n v="29868.012594007254"/>
    <n v="5215.2620001346822"/>
    <n v="521.93542680914959"/>
    <n v="1111.4113025178781"/>
    <n v="36716.621323468964"/>
    <n v="26.625"/>
    <n v="1219.5097656250002"/>
    <n v="40354.030000000006"/>
    <n v="1889.628676531036"/>
    <n v="4.8946185566612559E-2"/>
    <n v="2900"/>
    <n v="534.12466939844239"/>
    <n v="-168.12504112477032"/>
    <n v="3265.999628273672"/>
    <n v="935.1453221562748"/>
    <n v="1071.1875"/>
    <n v="-1240.3287738989106"/>
    <n v="-3.2127667771381853E-2"/>
    <n v="2453.3108976320141"/>
    <n v="-3693.6396715309247"/>
    <n v="-9.5674655568228587E-2"/>
    <n v="2046.0109221073189"/>
    <n v="805.68214820840831"/>
  </r>
  <r>
    <s v="FEBRERO"/>
    <x v="1"/>
    <s v="152-2026"/>
    <d v="1900-01-25T00:00:00"/>
    <d v="2026-02-09T00:00:00"/>
    <n v="27"/>
    <x v="2"/>
    <s v="Rejos"/>
    <s v="2-UP KG"/>
    <s v="España "/>
    <s v="Vigo"/>
    <x v="6"/>
    <s v="Avelino"/>
    <n v="2781.2962962962961"/>
    <n v="75095"/>
    <n v="2619.6666666666665"/>
    <n v="4364"/>
    <n v="70731"/>
    <n v="1"/>
    <s v="GEMLIK EXPRESS 607N "/>
    <n v="24312444"/>
    <s v="HAPAG"/>
    <s v="PAITA"/>
    <x v="0"/>
    <n v="10007162"/>
    <s v="Compensación"/>
    <s v="FEBRERO10007162Compensación"/>
    <n v="1806.2113098070079"/>
    <n v="30614.690775087496"/>
    <n v="8735.6566587431316"/>
    <n v="454.81925927313716"/>
    <n v="8962.5386716854355"/>
    <n v="48767.70536478921"/>
    <n v="27"/>
    <n v="1665.8462115998243"/>
    <n v="44977.847713195253"/>
    <n v="26327.29463521079"/>
    <n v="0.35058651887889725"/>
    <n v="4364"/>
    <n v="534.12466939844239"/>
    <n v="-168.12504112477032"/>
    <n v="4729.999628273672"/>
    <n v="935.1453221562748"/>
    <n v="2121.9299999999998"/>
    <n v="22784.079684780845"/>
    <n v="0.30340341813410804"/>
    <n v="2453.3108976320141"/>
    <n v="20330.768787148831"/>
    <n v="0.27073398744455462"/>
    <n v="2046.0109221073189"/>
    <n v="24830.090606888163"/>
  </r>
  <r>
    <s v="FEBRERO"/>
    <x v="1"/>
    <s v="156-2026A"/>
    <d v="1900-01-26T00:00:00"/>
    <d v="2026-02-09T00:00:00"/>
    <n v="54"/>
    <x v="4"/>
    <s v="Filete"/>
    <s v="2-4 kg 100%  blanco, No polyphosphate,no medicine"/>
    <s v="China "/>
    <s v="Qingdao"/>
    <x v="8"/>
    <m/>
    <n v="1650"/>
    <n v="89100"/>
    <n v="1534.962962962963"/>
    <n v="6212"/>
    <n v="82888"/>
    <n v="2"/>
    <s v="CMA CGM IMAGINATION / 0DVITN1MA"/>
    <s v="LMM0571149"/>
    <s v="CMA CGM"/>
    <s v="PAITA"/>
    <x v="0"/>
    <n v="10005721"/>
    <s v="Compensación"/>
    <s v="FEBRERO10005721Compensación"/>
    <n v="1812.5716716888853"/>
    <n v="59396.419264300028"/>
    <n v="19622.354399213429"/>
    <n v="1043.8594628882038"/>
    <n v="17816.237144798142"/>
    <n v="97878.870271199805"/>
    <n v="54"/>
    <n v="1672.2065734817018"/>
    <n v="90299.154968011891"/>
    <n v="-8778.8702711998048"/>
    <n v="-9.8528285872051688E-2"/>
    <n v="6212"/>
    <n v="1068.2493387968848"/>
    <n v="-336.25008224954064"/>
    <n v="6943.999256547344"/>
    <n v="1870.2906443125496"/>
    <n v="2486.64"/>
    <n v="-15106.5201720597"/>
    <n v="-0.16954568094343098"/>
    <n v="4906.6217952640282"/>
    <n v="-20013.141967323729"/>
    <n v="-0.2246143879609846"/>
    <n v="4092.0218442146379"/>
    <n v="-11014.498327845062"/>
  </r>
  <r>
    <s v="FEBRERO"/>
    <x v="1"/>
    <s v="156-2026B"/>
    <d v="1900-01-26T00:00:00"/>
    <d v="2026-02-18T00:00:00"/>
    <n v="81"/>
    <x v="4"/>
    <s v="Filete"/>
    <s v="2-4 kg 100%  blanco, No polyphosphate,no medicine"/>
    <s v="China "/>
    <s v="Qingdao"/>
    <x v="8"/>
    <m/>
    <n v="1650"/>
    <n v="133650"/>
    <n v="1534.962962962963"/>
    <n v="9318"/>
    <n v="124332"/>
    <n v="3"/>
    <s v="CMA CGM EXCELLENCE 0DVNNN1MA"/>
    <s v="LMM0571699"/>
    <s v="CMA CGM"/>
    <s v="PAITA"/>
    <x v="0"/>
    <n v="10005721"/>
    <s v="Compensación"/>
    <s v="FEBRERO10005721Compensación"/>
    <n v="1812.5716716888853"/>
    <n v="89094.628896450042"/>
    <n v="29433.531598820147"/>
    <n v="1565.7891943323057"/>
    <n v="26724.355717197217"/>
    <n v="146818.30540679971"/>
    <n v="81"/>
    <n v="1672.2065734817018"/>
    <n v="135448.73245201784"/>
    <n v="-13168.305406799715"/>
    <n v="-9.852828587205173E-2"/>
    <n v="9318"/>
    <n v="1602.3740081953272"/>
    <n v="-504.37512337431093"/>
    <n v="10415.998884821016"/>
    <n v="2805.4359664688245"/>
    <n v="3729.96"/>
    <n v="-22659.780258089555"/>
    <n v="-0.169545680943431"/>
    <n v="7359.9326928960418"/>
    <n v="-30019.712950985595"/>
    <n v="-0.22461438796098462"/>
    <n v="6138.0327663219568"/>
    <n v="-16521.747491767597"/>
  </r>
  <r>
    <s v="FEBRERO"/>
    <x v="1"/>
    <s v="157-2026"/>
    <d v="1900-01-27T00:00:00"/>
    <d v="2026-02-13T00:00:00"/>
    <n v="24"/>
    <x v="3"/>
    <s v="Conos"/>
    <m/>
    <s v="Tailandia"/>
    <s v="Lat Krabang"/>
    <x v="2"/>
    <s v="Jose"/>
    <n v="2000"/>
    <n v="48000"/>
    <n v="1854.1666666666667"/>
    <n v="3500"/>
    <n v="44500"/>
    <n v="1"/>
    <s v="ECO SIROCCO 26007S"/>
    <n v="6445030580"/>
    <s v="COSCO"/>
    <s v="PAITA"/>
    <x v="1"/>
    <n v="10007969"/>
    <s v="Compensación"/>
    <s v="FEBRERO10007969Compensación"/>
    <n v="1345.4439858348792"/>
    <n v="26118.190790652174"/>
    <n v="4916.5079098919805"/>
    <n v="385.54283194775326"/>
    <n v="870.41412754519513"/>
    <n v="32290.6556600371"/>
    <n v="23.14"/>
    <n v="1205.0788876276956"/>
    <n v="27885.525459704877"/>
    <n v="15709.3443399629"/>
    <n v="0.32727800708256038"/>
    <n v="3500"/>
    <n v="474.77748390972658"/>
    <n v="-149.44448099979584"/>
    <n v="3825.3330029099307"/>
    <n v="831.24028636113326"/>
    <n v="1335"/>
    <n v="12387.771050691836"/>
    <n v="0.25807856355607989"/>
    <n v="2180.7207978951237"/>
    <n v="10207.050252796711"/>
    <n v="0.21264688026659814"/>
    <n v="1818.6763752065058"/>
    <n v="14206.447425898341"/>
  </r>
  <r>
    <s v="FEBRERO"/>
    <x v="1"/>
    <s v="160-2026"/>
    <d v="1900-01-29T00:00:00"/>
    <d v="2026-02-13T00:00:00"/>
    <n v="108"/>
    <x v="5"/>
    <s v="Alas"/>
    <m/>
    <s v="China "/>
    <s v="Qingdao"/>
    <x v="2"/>
    <s v="Jose"/>
    <n v="1600"/>
    <n v="172800"/>
    <n v="1492.5925925925926"/>
    <n v="11600"/>
    <n v="161200"/>
    <n v="4"/>
    <s v="ECO SIROCCO 26007S"/>
    <n v="6445031110"/>
    <s v="COSCO"/>
    <s v="PAITA"/>
    <x v="0"/>
    <n v="10006720"/>
    <s v="Compensación"/>
    <s v="FEBRERO10006720Compensación"/>
    <n v="1734.9284164208502"/>
    <n v="121464.06009178021"/>
    <n v="27793.265766813336"/>
    <n v="1820.4413272441018"/>
    <n v="36294.501787614201"/>
    <n v="187372.26897345184"/>
    <n v="108"/>
    <n v="1594.5633182136667"/>
    <n v="172212.83836707601"/>
    <n v="-14572.268973451835"/>
    <n v="-8.4330260263031448E-2"/>
    <n v="11600"/>
    <n v="2136.4986775937696"/>
    <n v="-672.50016449908128"/>
    <n v="13063.998513094688"/>
    <n v="3740.5812886250992"/>
    <n v="4836"/>
    <n v="-26540.848775171624"/>
    <n v="-0.15359287485631726"/>
    <n v="9813.2435905280563"/>
    <n v="-36354.092365699682"/>
    <n v="-0.21038247896816945"/>
    <n v="8184.0436884292758"/>
    <n v="-18356.805086742348"/>
  </r>
  <r>
    <s v="FEBRERO"/>
    <x v="1"/>
    <s v="160-2026"/>
    <d v="1900-01-29T00:00:00"/>
    <d v="2026-02-13T00:00:00"/>
    <n v="108"/>
    <x v="5"/>
    <s v="Alas"/>
    <m/>
    <s v="China "/>
    <s v="Qingdao"/>
    <x v="2"/>
    <s v="Jose"/>
    <n v="1600"/>
    <n v="172800"/>
    <n v="1492.5925925925926"/>
    <n v="11600"/>
    <n v="161200"/>
    <n v="4"/>
    <s v="ECO SIROCCO 26007S"/>
    <n v="6445031130"/>
    <s v="COSCO"/>
    <s v="PAITA"/>
    <x v="0"/>
    <n v="10006720"/>
    <s v="Compensación"/>
    <s v="FEBRERO10006720Compensación"/>
    <n v="1734.9284164208502"/>
    <n v="121464.06009178021"/>
    <n v="27793.265766813336"/>
    <n v="1820.4413272441018"/>
    <n v="36294.501787614201"/>
    <n v="187372.26897345184"/>
    <n v="108"/>
    <n v="1594.5633182136667"/>
    <n v="172212.83836707601"/>
    <n v="-14572.268973451835"/>
    <n v="-8.4330260263031448E-2"/>
    <n v="11600"/>
    <n v="2136.4986775937696"/>
    <n v="-672.50016449908128"/>
    <n v="13063.998513094688"/>
    <n v="3740.5812886250992"/>
    <n v="4836"/>
    <n v="-26540.848775171624"/>
    <n v="-0.15359287485631726"/>
    <n v="9813.2435905280563"/>
    <n v="-36354.092365699682"/>
    <n v="-0.21038247896816945"/>
    <n v="8184.0436884292758"/>
    <n v="-18356.805086742348"/>
  </r>
  <r>
    <s v="FEBRERO"/>
    <x v="1"/>
    <s v="162-2026A"/>
    <d v="1900-02-02T00:00:00"/>
    <d v="2026-02-17T00:00:00"/>
    <n v="115.5"/>
    <x v="5"/>
    <s v="Alas"/>
    <s v="1-2 KG"/>
    <s v="China "/>
    <s v="Qingdao"/>
    <x v="9"/>
    <s v="James"/>
    <n v="1500"/>
    <n v="173250"/>
    <n v="1382.987012987013"/>
    <n v="13515"/>
    <n v="159735"/>
    <n v="5"/>
    <s v="ECO SIROCCO 26007N"/>
    <s v="LIMG02628500"/>
    <s v="ONE"/>
    <s v="PAITA"/>
    <x v="0"/>
    <n v="10006720"/>
    <s v="Compensación"/>
    <s v="FEBRERO10006720Compensación"/>
    <n v="1734.9284164208502"/>
    <n v="129899.0642648205"/>
    <n v="29723.353667286483"/>
    <n v="1946.8608638582755"/>
    <n v="38814.953300642963"/>
    <n v="200384.2320966082"/>
    <n v="115.5"/>
    <n v="1594.5633182136667"/>
    <n v="184172.0632536785"/>
    <n v="-27134.232096608204"/>
    <n v="-0.15661894428056683"/>
    <n v="13515"/>
    <n v="2284.8666413155593"/>
    <n v="-719.20156481151741"/>
    <n v="15080.665076504041"/>
    <n v="4000.3438781129535"/>
    <n v="4792.05"/>
    <n v="-41423.191051225192"/>
    <n v="-0.23909489784256965"/>
    <n v="10494.718839870282"/>
    <n v="-51917.909891095478"/>
    <n v="-0.29967047556187865"/>
    <n v="8752.3800556813094"/>
    <n v="-32670.810995543885"/>
  </r>
  <r>
    <s v="FEBRERO"/>
    <x v="1"/>
    <s v="162-2026B"/>
    <d v="1900-02-02T00:00:00"/>
    <d v="2026-02-17T00:00:00"/>
    <n v="46.8"/>
    <x v="5"/>
    <s v="Alas"/>
    <s v="1-2 KG"/>
    <s v="China "/>
    <s v="Dalian"/>
    <x v="9"/>
    <s v="James"/>
    <n v="1500"/>
    <n v="70200"/>
    <n v="1380.2136752136753"/>
    <n v="5606"/>
    <n v="64594"/>
    <n v="2"/>
    <s v="ECO SIROCCO 26007N"/>
    <s v="LIMG02851300"/>
    <s v="ONE"/>
    <s v="PAITA"/>
    <x v="0"/>
    <n v="10006720"/>
    <s v="Compensación"/>
    <s v="FEBRERO10006720Compensación"/>
    <n v="1734.9284164208502"/>
    <n v="52634.426039771417"/>
    <n v="12043.748498952444"/>
    <n v="788.85790847244402"/>
    <n v="15727.617441299484"/>
    <n v="81194.649888495784"/>
    <n v="46.8"/>
    <n v="1594.5633182136667"/>
    <n v="74625.563292399602"/>
    <n v="-10994.649888495784"/>
    <n v="-0.15661894428056672"/>
    <n v="5606"/>
    <n v="925.81609362396682"/>
    <n v="-291.41673794960184"/>
    <n v="6240.3993556743644"/>
    <n v="1620.9185584042095"/>
    <n v="1937.82"/>
    <n v="-16918.14780257436"/>
    <n v="-0.24099925644692821"/>
    <n v="4252.4055558954906"/>
    <n v="-21170.55335846985"/>
    <n v="-0.30157483416623715"/>
    <n v="3546.4189316526858"/>
    <n v="-13371.728870921674"/>
  </r>
  <r>
    <s v="FEBRERO"/>
    <x v="1"/>
    <s v="162-2026C"/>
    <d v="1900-02-02T00:00:00"/>
    <d v="2026-02-17T00:00:00"/>
    <n v="81"/>
    <x v="5"/>
    <s v="Alas"/>
    <s v="1-2 KG"/>
    <s v="China "/>
    <s v="Xiamen "/>
    <x v="9"/>
    <s v="James"/>
    <n v="1500"/>
    <n v="121500"/>
    <n v="1385.0740740740741"/>
    <n v="9309"/>
    <n v="112191"/>
    <n v="3"/>
    <s v="ECO SIROCCO 26007N"/>
    <s v="LIMG02630500"/>
    <s v="ONE"/>
    <s v="PAITA"/>
    <x v="0"/>
    <n v="10006720"/>
    <s v="Compensación"/>
    <s v="FEBRERO10006720Compensación"/>
    <n v="1734.9284164208502"/>
    <n v="91098.045068835141"/>
    <n v="20844.949325109999"/>
    <n v="1365.3309954330762"/>
    <n v="27220.876340710645"/>
    <n v="140529.20173008885"/>
    <n v="81"/>
    <n v="1594.5633182136667"/>
    <n v="129159.62877530701"/>
    <n v="-19029.201730088855"/>
    <n v="-0.15661894428056672"/>
    <n v="9309"/>
    <n v="1602.3740081953272"/>
    <n v="-504.37512337431093"/>
    <n v="10406.998884821016"/>
    <n v="2805.4359664688245"/>
    <n v="3365.73"/>
    <n v="-28875.906581378695"/>
    <n v="-0.23766178256278761"/>
    <n v="7359.9326928960418"/>
    <n v="-36235.839274274738"/>
    <n v="-0.29823736028209663"/>
    <n v="6138.0327663219568"/>
    <n v="-22737.873815056737"/>
  </r>
  <r>
    <s v="FEBRERO"/>
    <x v="1"/>
    <s v="164-2026"/>
    <d v="1900-02-08T00:00:00"/>
    <d v="2026-02-27T00:00:00"/>
    <n v="27"/>
    <x v="9"/>
    <s v="Daruma"/>
    <m/>
    <s v="China "/>
    <s v="Yantai"/>
    <x v="10"/>
    <s v="julia"/>
    <n v="3400"/>
    <n v="91800"/>
    <n v="3292.5925925925926"/>
    <n v="2900"/>
    <n v="88900"/>
    <n v="1"/>
    <s v="ECO SIROCCO 26009S"/>
    <n v="6445569300"/>
    <s v="COSCO"/>
    <s v="PAITA"/>
    <x v="3"/>
    <n v="10009239"/>
    <s v="Compensación"/>
    <s v="FEBRERO10009239Compensación"/>
    <n v="2209.4137093182953"/>
    <n v="30346.048156744939"/>
    <n v="19824.185962178493"/>
    <n v="381.56023311289277"/>
    <n v="9102.3757995576543"/>
    <n v="59654.170151593971"/>
    <n v="27"/>
    <n v="2069.0486111111118"/>
    <n v="55864.312500000015"/>
    <n v="32145.829848406029"/>
    <n v="0.35017243843579554"/>
    <n v="2900"/>
    <n v="534.12466939844239"/>
    <n v="-168.12504112477032"/>
    <n v="3265.999628273672"/>
    <n v="935.1453221562748"/>
    <n v="2667"/>
    <n v="30611.684897976083"/>
    <n v="0.33346061980366104"/>
    <n v="2453.3108976320141"/>
    <n v="28158.374000344069"/>
    <n v="0.30673610022161296"/>
    <n v="2046.0109221073189"/>
    <n v="32657.695820083401"/>
  </r>
  <r>
    <s v="FEBRERO"/>
    <x v="1"/>
    <s v="168-2026A"/>
    <d v="1900-02-11T00:00:00"/>
    <d v="2026-02-24T00:00:00"/>
    <n v="351"/>
    <x v="4"/>
    <s v="Filete "/>
    <s v="2-4 AA"/>
    <s v="China "/>
    <s v="Qingdao"/>
    <x v="9"/>
    <s v="James"/>
    <n v="1300"/>
    <n v="456300"/>
    <n v="1300"/>
    <n v="40339"/>
    <n v="415961"/>
    <n v="13"/>
    <s v="ECO MARIN 26008N"/>
    <n v="6445505270"/>
    <s v="COSCO"/>
    <s v="PAITA"/>
    <x v="0"/>
    <n v="10005721"/>
    <s v="Compensación"/>
    <s v="FEBRERO10005721Compensación"/>
    <n v="1812.5716716888853"/>
    <n v="386076.72521795018"/>
    <n v="127545.30359488731"/>
    <n v="6785.0865087733246"/>
    <n v="115805.54144118793"/>
    <n v="636212.65676279878"/>
    <n v="351"/>
    <n v="1672.2065734817018"/>
    <n v="586944.50729207729"/>
    <n v="-179912.65676279878"/>
    <n v="-0.39428590129914265"/>
    <n v="40339"/>
    <n v="6943.6207021797509"/>
    <n v="-2185.6255346220141"/>
    <n v="45096.995167557739"/>
    <n v="12156.889188031573"/>
    <n v="12478.83"/>
    <n v="-224687.71111838811"/>
    <n v="-0.49241225316324372"/>
    <n v="31893.041669216182"/>
    <n v="-256580.75278760429"/>
    <n v="-0.56230715053167712"/>
    <n v="26598.141987395145"/>
    <n v="-198089.56913099295"/>
  </r>
  <r>
    <s v="FEBRERO"/>
    <x v="1"/>
    <s v="168-2026B"/>
    <d v="1900-02-11T00:00:00"/>
    <d v="2026-02-22T00:00:00"/>
    <n v="135"/>
    <x v="4"/>
    <s v="Filete "/>
    <s v="2-4 AA"/>
    <s v="China "/>
    <s v="shidao"/>
    <x v="9"/>
    <s v="James"/>
    <n v="1300"/>
    <n v="175500"/>
    <n v="1300"/>
    <n v="15515"/>
    <n v="159985"/>
    <n v="5"/>
    <s v="ECO MARIN 26008S"/>
    <n v="6445260920"/>
    <s v="COSCO"/>
    <s v="PAITA"/>
    <x v="0"/>
    <n v="10005721"/>
    <s v="Compensación"/>
    <s v="FEBRERO10005721Compensación"/>
    <n v="1812.5716716888853"/>
    <n v="148491.04816075007"/>
    <n v="49055.885998033576"/>
    <n v="2609.648657220509"/>
    <n v="44540.592861995356"/>
    <n v="244697.1756779995"/>
    <n v="135"/>
    <n v="1672.2065734817018"/>
    <n v="238110"/>
    <n v="-69197.175677999505"/>
    <n v="-0.39428590129914248"/>
    <n v="15515"/>
    <n v="2670.6233469922122"/>
    <n v="-840.62520562385157"/>
    <n v="17344.99814136836"/>
    <n v="4675.7266107813739"/>
    <n v="4799.55"/>
    <n v="-86418.350430149236"/>
    <n v="-0.4924122531632435"/>
    <n v="12266.554488160069"/>
    <n v="-98684.904918309301"/>
    <n v="-0.5623071505316769"/>
    <n v="10230.054610536594"/>
    <n v="-76188.295819612642"/>
  </r>
  <r>
    <s v="FEBRERO"/>
    <x v="1"/>
    <s v="168-2026C"/>
    <d v="1900-02-11T00:00:00"/>
    <d v="2026-02-22T00:00:00"/>
    <n v="54"/>
    <x v="4"/>
    <s v="Filete "/>
    <s v="2-4 AA"/>
    <s v="China "/>
    <s v="Xiamen "/>
    <x v="9"/>
    <s v="James"/>
    <n v="1300"/>
    <n v="70200"/>
    <n v="1300"/>
    <n v="6206"/>
    <n v="63994"/>
    <n v="2"/>
    <s v="ECO MARIN 26008S"/>
    <n v="6445502930"/>
    <s v="COSCO"/>
    <s v="PAITA"/>
    <x v="0"/>
    <n v="10005721"/>
    <s v="Compensación"/>
    <s v="FEBRERO10005721Compensación"/>
    <n v="1812.5716716888853"/>
    <n v="59396.419264300028"/>
    <n v="19622.354399213429"/>
    <n v="1043.8594628882038"/>
    <n v="17816.237144798142"/>
    <n v="97878.870271199805"/>
    <n v="54"/>
    <n v="1672.2065734817018"/>
    <n v="90299.154968011891"/>
    <n v="-27678.870271199805"/>
    <n v="-0.39428590129914254"/>
    <n v="6206"/>
    <n v="1068.2493387968848"/>
    <n v="-336.25008224954064"/>
    <n v="6937.999256547344"/>
    <n v="1870.2906443125496"/>
    <n v="1919.82"/>
    <n v="-34567.340172059696"/>
    <n v="-0.49241225316324355"/>
    <n v="4906.6217952640282"/>
    <n v="-39473.961967323725"/>
    <n v="-0.56230715053167701"/>
    <n v="4092.0218442146379"/>
    <n v="-30475.31832784506"/>
  </r>
  <r>
    <s v="FEBRERO"/>
    <x v="1"/>
    <s v="170-2026A"/>
    <d v="1900-02-11T00:00:00"/>
    <d v="2026-02-23T00:00:00"/>
    <n v="156"/>
    <x v="2"/>
    <s v="Rejos"/>
    <s v="9 FCL 1-2 / 1 FCL 2-UP"/>
    <s v="España "/>
    <s v="Vigo"/>
    <x v="11"/>
    <s v="Ramon"/>
    <n v="2500"/>
    <n v="390000"/>
    <n v="2337.2307692307691"/>
    <n v="25392"/>
    <n v="364608"/>
    <n v="4"/>
    <s v="CAPE SABLE 609N"/>
    <n v="11428031"/>
    <s v="HAPAG"/>
    <s v="PAITA"/>
    <x v="0"/>
    <n v="10007162"/>
    <s v="Compensación"/>
    <s v="FEBRERO10007162Compensación"/>
    <n v="1806.2113098070079"/>
    <n v="176884.88003383888"/>
    <n v="50472.682917182545"/>
    <n v="2627.8446091336818"/>
    <n v="51783.556769738076"/>
    <n v="281768.96432989324"/>
    <n v="156"/>
    <n v="1665.8462115998243"/>
    <n v="259872.00900957259"/>
    <n v="108231.03567010676"/>
    <n v="0.27751547607719684"/>
    <n v="25392"/>
    <n v="3086.053645413223"/>
    <n v="-971.38912649867291"/>
    <n v="27506.664518914549"/>
    <n v="5403.0618613473662"/>
    <n v="10938.24"/>
    <n v="86259.549289844857"/>
    <n v="0.22117833151242272"/>
    <n v="14174.685186318302"/>
    <n v="72084.864103526561"/>
    <n v="0.18483298488083733"/>
    <n v="11821.396438842286"/>
    <n v="98080.945728687147"/>
  </r>
  <r>
    <s v="FEBRERO"/>
    <x v="1"/>
    <m/>
    <d v="2026-02-27T00:00:00"/>
    <d v="2026-02-27T00:00:00"/>
    <n v="0"/>
    <x v="6"/>
    <s v="Residuos"/>
    <s v="Residuos"/>
    <s v="Residuos"/>
    <s v="Residuos"/>
    <x v="4"/>
    <m/>
    <n v="0"/>
    <n v="40026"/>
    <n v="0"/>
    <n v="0"/>
    <n v="40026"/>
    <m/>
    <m/>
    <m/>
    <m/>
    <m/>
    <x v="2"/>
    <m/>
    <m/>
    <m/>
    <n v="0"/>
    <n v="0"/>
    <n v="0"/>
    <n v="0"/>
    <n v="0"/>
    <n v="0"/>
    <m/>
    <m/>
    <m/>
    <n v="40026"/>
    <n v="1"/>
    <n v="0"/>
    <n v="0"/>
    <n v="0"/>
    <n v="0"/>
    <n v="0"/>
    <n v="0"/>
    <n v="40026"/>
    <n v="1"/>
    <n v="0"/>
    <n v="40026"/>
    <n v="1"/>
    <n v="0"/>
    <n v="40026"/>
  </r>
  <r>
    <s v="FEBRERO"/>
    <x v="2"/>
    <s v="150-2026B"/>
    <d v="1900-11-20T00:00:00"/>
    <d v="2026-03-03T00:00:00"/>
    <n v="26"/>
    <x v="2"/>
    <s v="Rejos"/>
    <s v="1-2 KG"/>
    <s v="España "/>
    <s v="Vigo"/>
    <x v="6"/>
    <s v="Avelino"/>
    <n v="2600"/>
    <n v="67600"/>
    <n v="2518.6153846153848"/>
    <n v="4232"/>
    <n v="63368"/>
    <n v="1"/>
    <s v="LEONIDAS Z 610N"/>
    <n v="51077247"/>
    <m/>
    <m/>
    <x v="0"/>
    <n v="10007162"/>
    <s v="Inventario final"/>
    <s v="FEBRERO10007162Inventario final"/>
    <n v="1814.1051345683702"/>
    <n v="28920.313392802869"/>
    <n v="8211.0537091591814"/>
    <n v="437.26345095377735"/>
    <n v="9598.1029458617959"/>
    <n v="47166.733498777627"/>
    <m/>
    <n v="2018.1792863359442"/>
    <m/>
    <n v="20433.266501222373"/>
    <n v="0.30226725593524223"/>
    <n v="4232"/>
    <n v="514.34227423553716"/>
    <n v="2771.1716049106699"/>
    <n v="7517.5138791462068"/>
    <n v="1023.6767211143401"/>
    <n v="1901.04"/>
    <n v="13793.115900961828"/>
    <n v="0.20404017604973118"/>
    <n v="2012.3749874736948"/>
    <n v="11780.740913488133"/>
    <n v="0.17427131528828599"/>
    <n v="1613.3637472024543"/>
    <n v="15406.479648164282"/>
  </r>
  <r>
    <s v="FEBRERO"/>
    <x v="2"/>
    <s v="150-2026C"/>
    <d v="1900-11-20T00:00:00"/>
    <d v="2026-03-03T00:00:00"/>
    <n v="26"/>
    <x v="2"/>
    <s v="Rejos"/>
    <s v="1-2 KG"/>
    <s v="España "/>
    <s v="Vigo"/>
    <x v="6"/>
    <s v="Avelino"/>
    <n v="2600"/>
    <n v="67600"/>
    <n v="2518.6153846153848"/>
    <n v="4232"/>
    <n v="63368"/>
    <n v="1"/>
    <s v="LEONIDAS Z 610N"/>
    <n v="37563181"/>
    <m/>
    <m/>
    <x v="0"/>
    <n v="10007162"/>
    <s v="Inventario final"/>
    <s v="FEBRERO10007162Inventario final"/>
    <n v="1814.1051345683702"/>
    <n v="28920.313392802869"/>
    <n v="8211.0537091591814"/>
    <n v="437.26345095377735"/>
    <n v="9598.1029458617959"/>
    <n v="47166.733498777627"/>
    <m/>
    <n v="2018.1792863359442"/>
    <m/>
    <n v="20433.266501222373"/>
    <n v="0.30226725593524223"/>
    <n v="4232"/>
    <n v="514.34227423553716"/>
    <n v="2771.1716049106699"/>
    <n v="7517.5138791462068"/>
    <n v="1023.6767211143401"/>
    <n v="1901.04"/>
    <n v="13793.115900961828"/>
    <n v="0.20404017604973118"/>
    <n v="2012.3749874736948"/>
    <n v="11780.740913488133"/>
    <n v="0.17427131528828599"/>
    <n v="1613.3637472024543"/>
    <n v="15406.479648164282"/>
  </r>
  <r>
    <s v="FEBRERO"/>
    <x v="2"/>
    <s v="159-2026A"/>
    <d v="1900-01-29T00:00:00"/>
    <d v="2026-03-03T00:00:00"/>
    <n v="24"/>
    <x v="4"/>
    <s v="Filete"/>
    <s v="B"/>
    <s v="Japón "/>
    <s v="Sendai"/>
    <x v="2"/>
    <s v="Jose"/>
    <n v="1700"/>
    <n v="39610"/>
    <n v="1562.375"/>
    <n v="3303"/>
    <n v="36307"/>
    <n v="1"/>
    <s v="ECO SIROCCO 26009N"/>
    <s v="LIMG03265300"/>
    <s v="ONE"/>
    <s v="PAITA"/>
    <x v="0"/>
    <n v="10005721"/>
    <s v="Inventario final"/>
    <s v="FEBRERO10005721Inventario final"/>
    <n v="1891.1947259243095"/>
    <n v="27565.036702589048"/>
    <n v="8077.1280357533742"/>
    <n v="494.82304420701223"/>
    <n v="9251.6856396339936"/>
    <n v="45388.673422183427"/>
    <m/>
    <n v="2095.2688776918835"/>
    <m/>
    <n v="-5778.6734221834267"/>
    <n v="-0.14588925579862225"/>
    <n v="3303"/>
    <n v="474.77748390972658"/>
    <n v="2558.0045583790798"/>
    <n v="6335.7820422888062"/>
    <n v="944.93235795169858"/>
    <n v="1089.21"/>
    <n v="-11970.177822423932"/>
    <n v="-0.30220090437828656"/>
    <n v="1857.5769115141798"/>
    <n v="-13827.754733938111"/>
    <n v="-0.34909756965256528"/>
    <n v="1489.2588435714963"/>
    <n v="-10480.918978852435"/>
  </r>
  <r>
    <s v="FEBRERO"/>
    <x v="2"/>
    <s v="161-2026A"/>
    <d v="1900-01-29T00:00:00"/>
    <d v="2026-03-04T00:00:00"/>
    <n v="72"/>
    <x v="1"/>
    <s v="Nucas"/>
    <s v="500-up"/>
    <s v="Tailandia "/>
    <s v="Lat Krabang"/>
    <x v="2"/>
    <s v="Jose"/>
    <n v="1400"/>
    <n v="94640"/>
    <n v="1266.5416666666667"/>
    <n v="9609"/>
    <n v="85031"/>
    <n v="3"/>
    <s v="ECO SIROCCO 26009N"/>
    <s v="LIMG03094300"/>
    <s v="ONE LINE"/>
    <s v="PAITA"/>
    <x v="0"/>
    <n v="10005779"/>
    <s v="Inventario final"/>
    <s v="FEBRERO10005779Inventario final"/>
    <n v="1896.1639327140158"/>
    <n v="79265.822872118224"/>
    <n v="30165.46880805774"/>
    <n v="872.01905408731295"/>
    <n v="26220.492421145864"/>
    <n v="136523.80315540914"/>
    <m/>
    <n v="2100.2380844815898"/>
    <m/>
    <n v="-41883.803155409143"/>
    <n v="-0.44255920493881173"/>
    <n v="9609"/>
    <n v="1424.3324517291799"/>
    <n v="7674.0136751372393"/>
    <n v="18707.346126866418"/>
    <n v="2834.7970738550957"/>
    <n v="2550.9299999999998"/>
    <n v="-60875.016356130654"/>
    <n v="-0.64322713816706101"/>
    <n v="5572.7307345425397"/>
    <n v="-66447.747090673191"/>
    <n v="-0.70211059901387562"/>
    <n v="4467.7765307144891"/>
    <n v="-56407.239825416167"/>
  </r>
  <r>
    <s v="FEBRERO"/>
    <x v="2"/>
    <s v="161-2026B"/>
    <d v="1900-01-29T00:00:00"/>
    <d v="2026-03-27T00:00:00"/>
    <n v="48"/>
    <x v="1"/>
    <s v="Nucas"/>
    <s v="500-up"/>
    <s v="Tailandia "/>
    <s v="Lat Krabang"/>
    <x v="2"/>
    <s v="Jose"/>
    <n v="1400"/>
    <n v="67200"/>
    <n v="1254.1666666666667"/>
    <n v="7000"/>
    <n v="60200"/>
    <n v="2"/>
    <s v="ECO SIROCCO 26013S"/>
    <n v="6446527790"/>
    <s v="COSCO"/>
    <s v="PAITA"/>
    <x v="0"/>
    <n v="10005779"/>
    <s v="Inventario final"/>
    <s v="FEBRERO10005779Inventario final"/>
    <n v="1896.1639327140158"/>
    <n v="52843.881914745478"/>
    <n v="20110.312538705159"/>
    <n v="581.34603605820871"/>
    <n v="17480.328280763908"/>
    <n v="91015.868770272747"/>
    <m/>
    <n v="2100.2380844815898"/>
    <m/>
    <n v="-23815.868770272747"/>
    <n v="-0.35440280908143967"/>
    <n v="7000"/>
    <n v="949.55496781945317"/>
    <n v="5116.0091167581595"/>
    <n v="13065.564084577612"/>
    <n v="1889.8647159033972"/>
    <n v="1806"/>
    <n v="-36965.297570753755"/>
    <n v="-0.55007883289812132"/>
    <n v="3715.1538230283595"/>
    <n v="-40680.451393782118"/>
    <n v="-0.60536386002651965"/>
    <n v="2978.5176871429926"/>
    <n v="-33986.779883610761"/>
  </r>
  <r>
    <s v="FEBRERO"/>
    <x v="2"/>
    <s v="163-2026"/>
    <d v="1900-02-02T00:00:00"/>
    <d v="2026-03-06T00:00:00"/>
    <n v="48"/>
    <x v="5"/>
    <s v="Alas"/>
    <s v="1-up"/>
    <s v="Corea"/>
    <s v="Busan"/>
    <x v="2"/>
    <s v="Jose"/>
    <n v="1600"/>
    <n v="76800"/>
    <n v="1479.1666666666667"/>
    <n v="5800"/>
    <n v="71000"/>
    <n v="2"/>
    <s v="ECO MARIN 26010S"/>
    <n v="6445718250"/>
    <s v="COSCO"/>
    <s v="PAITA"/>
    <x v="0"/>
    <n v="10006720"/>
    <s v="Inventario final"/>
    <s v="FEBRERO10006720Inventario final"/>
    <n v="1745.1239660454009"/>
    <n v="53752.026942212433"/>
    <n v="11306.0564801646"/>
    <n v="782.69655747068259"/>
    <n v="17925.170390331528"/>
    <n v="83765.950370179256"/>
    <m/>
    <n v="1949.1981178129749"/>
    <m/>
    <n v="-6965.9503701792564"/>
    <n v="-9.0702478778375728E-2"/>
    <n v="5800"/>
    <n v="949.55496781945317"/>
    <n v="5116.0091167581595"/>
    <n v="11865.564084577612"/>
    <n v="1889.8647159033972"/>
    <n v="2130"/>
    <n v="-18591.379170660268"/>
    <n v="-0.24207524961797225"/>
    <n v="3715.1538230283595"/>
    <n v="-22306.532993688626"/>
    <n v="-0.29044964835532067"/>
    <n v="2978.5176871429926"/>
    <n v="-15612.861483517276"/>
  </r>
  <r>
    <s v="FEBRERO"/>
    <x v="2"/>
    <s v="165-2026"/>
    <d v="1900-02-08T00:00:00"/>
    <d v="2026-03-24T00:00:00"/>
    <n v="27"/>
    <x v="7"/>
    <s v="Membrana"/>
    <m/>
    <s v="China "/>
    <s v="Qingdao"/>
    <x v="8"/>
    <m/>
    <n v="1400"/>
    <n v="35553"/>
    <n v="1271.6296296296296"/>
    <n v="3466"/>
    <n v="32087"/>
    <n v="1"/>
    <s v="CMA CGM BETTER WAYS 0DVOHN1MA"/>
    <s v="LMM0577574"/>
    <s v="CMA CGM"/>
    <s v="PAITA"/>
    <x v="1"/>
    <m/>
    <m/>
    <m/>
    <n v="0"/>
    <n v="0"/>
    <n v="0"/>
    <n v="0"/>
    <n v="0"/>
    <n v="0"/>
    <m/>
    <n v="0"/>
    <m/>
    <n v="35553"/>
    <n v="1"/>
    <n v="3466"/>
    <n v="534.12466939844239"/>
    <n v="2877.755128176465"/>
    <n v="6877.8797975749076"/>
    <n v="1063.0489026956609"/>
    <n v="962.61"/>
    <n v="28574.681299729433"/>
    <n v="0.80372067897869193"/>
    <n v="2089.7740254534524"/>
    <n v="26484.907274275982"/>
    <n v="0.74494155976361998"/>
    <n v="1675.4161990179332"/>
    <n v="30250.097498747367"/>
  </r>
  <r>
    <s v="FEBRERO"/>
    <x v="2"/>
    <s v="167-2026"/>
    <d v="1900-02-10T00:00:00"/>
    <d v="2026-03-23T00:00:00"/>
    <n v="48"/>
    <x v="3"/>
    <s v="Conos"/>
    <m/>
    <s v="Tailandia"/>
    <s v="Bangkok"/>
    <x v="2"/>
    <s v="Jose"/>
    <n v="1600"/>
    <n v="76800"/>
    <n v="1462.5"/>
    <n v="6600"/>
    <n v="70200"/>
    <n v="2"/>
    <s v="ECO MARIN 26012S"/>
    <n v="6446513180"/>
    <s v="COSCO"/>
    <s v="PAITA"/>
    <x v="1"/>
    <n v="10007969"/>
    <s v="Inventario final"/>
    <s v="FEBRERO10007969Inventario final"/>
    <n v="1391.3654793112407"/>
    <n v="56573.815263910001"/>
    <n v="11361.112087337802"/>
    <n v="874.22364671573814"/>
    <n v="-2023.6079910239948"/>
    <n v="66785.543006939552"/>
    <m/>
    <n v="1595.4396310788147"/>
    <m/>
    <n v="10014.456993060448"/>
    <n v="0.13039657543047459"/>
    <n v="6600"/>
    <n v="949.55496781945317"/>
    <n v="5116.0091167581595"/>
    <n v="12665.564084577612"/>
    <n v="1889.8647159033972"/>
    <n v="2106"/>
    <n v="-2434.9718074205612"/>
    <n v="-3.1705362075788557E-2"/>
    <n v="3715.1538230283595"/>
    <n v="-6150.1256304489207"/>
    <n v="-8.0079760813136988E-2"/>
    <n v="2978.5176871429926"/>
    <n v="543.54587972243144"/>
  </r>
  <r>
    <s v="FEBRERO"/>
    <x v="2"/>
    <s v="169-2026A"/>
    <d v="1900-02-11T00:00:00"/>
    <d v="2026-03-03T00:00:00"/>
    <n v="116.8"/>
    <x v="5"/>
    <s v="Alas"/>
    <s v="1-up"/>
    <s v="China "/>
    <s v="Qingdao"/>
    <x v="2"/>
    <s v="Jose"/>
    <n v="1600"/>
    <n v="186880"/>
    <n v="1484.2893835616439"/>
    <n v="13515"/>
    <n v="173365"/>
    <n v="5"/>
    <s v="ECO SIROCCO 26009N"/>
    <s v="LIMG02789600"/>
    <s v="ONE"/>
    <s v="PAITA"/>
    <x v="0"/>
    <n v="10006720"/>
    <s v="Inventario final"/>
    <s v="FEBRERO10006720Inventario final"/>
    <n v="1745.1239660454009"/>
    <n v="130796.59889271692"/>
    <n v="27511.40410173386"/>
    <n v="1904.5616231786607"/>
    <n v="43617.91461647339"/>
    <n v="203830.47923410285"/>
    <m/>
    <n v="1949.1981178129749"/>
    <m/>
    <n v="-16950.479234102851"/>
    <n v="-9.07024787783757E-2"/>
    <n v="13515"/>
    <n v="2310.5837550273359"/>
    <n v="12448.955517444854"/>
    <n v="28274.53927247219"/>
    <n v="4598.6708086982662"/>
    <n v="5200.95"/>
    <n v="-44622.739315273313"/>
    <n v="-0.23877750061683065"/>
    <n v="9040.207636035675"/>
    <n v="-53662.946951308986"/>
    <n v="-0.28715189935417906"/>
    <n v="7247.7263720479486"/>
    <n v="-37375.012943225367"/>
  </r>
  <r>
    <s v="FEBRERO"/>
    <x v="2"/>
    <s v="169-2026B"/>
    <d v="1900-02-11T00:00:00"/>
    <d v="2026-03-10T00:00:00"/>
    <n v="135"/>
    <x v="5"/>
    <s v="Alas"/>
    <s v="1-up"/>
    <s v="China "/>
    <s v="Qingdao"/>
    <x v="2"/>
    <s v="Jose"/>
    <n v="1600"/>
    <n v="216000"/>
    <n v="1519.911111111111"/>
    <n v="10812"/>
    <n v="205188"/>
    <n v="4"/>
    <s v="ECO MARIN 26010N"/>
    <s v="LIMG03633900"/>
    <s v="ONE"/>
    <s v="PAITA"/>
    <x v="0"/>
    <n v="10006720"/>
    <s v="Inventario final"/>
    <s v="FEBRERO10006720Inventario final"/>
    <n v="1745.1239660454009"/>
    <n v="151177.57577497247"/>
    <n v="31798.283850462936"/>
    <n v="2201.3340678862946"/>
    <n v="50414.541722807429"/>
    <n v="235591.73541612912"/>
    <m/>
    <n v="1949.1981178129749"/>
    <m/>
    <n v="-19591.735416129115"/>
    <n v="-9.0702478778375534E-2"/>
    <n v="10812"/>
    <n v="2670.6233469922122"/>
    <n v="14388.775640882324"/>
    <n v="27871.398987874534"/>
    <n v="5315.2445134783047"/>
    <n v="6155.6399999999994"/>
    <n v="-46622.738917481955"/>
    <n v="-0.21584601350686089"/>
    <n v="10448.870127267262"/>
    <n v="-57071.609044749217"/>
    <n v="-0.26422041224420934"/>
    <n v="8377.0809950896655"/>
    <n v="-38245.657922392289"/>
  </r>
  <r>
    <s v="FEBRERO"/>
    <x v="2"/>
    <s v="170-2026B"/>
    <d v="1900-02-11T00:00:00"/>
    <d v="2026-03-11T00:00:00"/>
    <n v="78"/>
    <x v="2"/>
    <s v="Rejos"/>
    <s v=" 1-2 "/>
    <s v="España "/>
    <s v="Vigo"/>
    <x v="11"/>
    <s v="Ramon"/>
    <n v="2400"/>
    <n v="171600"/>
    <n v="2243.0865384615386"/>
    <n v="12239.25"/>
    <n v="159360.75"/>
    <n v="3"/>
    <s v="CMA CGM BOLDNESS / 0DVODN1MA"/>
    <s v="LMM0575562"/>
    <s v="CMA CGM"/>
    <m/>
    <x v="0"/>
    <n v="10007162"/>
    <s v="Inventario final"/>
    <s v="FEBRERO10007162Inventario final"/>
    <n v="1814.1051345683702"/>
    <n v="86760.940178408608"/>
    <n v="24633.161127477546"/>
    <n v="1311.7903528613319"/>
    <n v="28794.308837585388"/>
    <n v="141500.20049633289"/>
    <m/>
    <n v="2018.1792863359442"/>
    <m/>
    <n v="30099.799503667105"/>
    <n v="0.17540675701437708"/>
    <n v="12239.25"/>
    <n v="1543.0268227066115"/>
    <n v="8313.5148147320087"/>
    <n v="22095.791637438619"/>
    <n v="3071.0301633430204"/>
    <n v="4780.8225000000002"/>
    <n v="9713.8002028854662"/>
    <n v="5.6607227289542345E-2"/>
    <n v="6037.124962421085"/>
    <n v="3676.6752404643812"/>
    <n v="2.1425846389652572E-2"/>
    <n v="4840.0912416073625"/>
    <n v="14553.891444492829"/>
  </r>
  <r>
    <s v="FEBRERO"/>
    <x v="2"/>
    <s v="171-2026"/>
    <d v="1900-02-12T00:00:00"/>
    <d v="2026-03-04T00:00:00"/>
    <n v="135"/>
    <x v="4"/>
    <s v="Filete "/>
    <s v="2-4 AA"/>
    <s v="China "/>
    <s v="shidao"/>
    <x v="12"/>
    <m/>
    <n v="1450"/>
    <n v="195750"/>
    <n v="1338.7777777777778"/>
    <n v="15015"/>
    <n v="180735"/>
    <n v="5"/>
    <s v="ECO SIROCCO 26009N"/>
    <s v="LIMG03093900"/>
    <s v="ONE"/>
    <s v="PAITA"/>
    <x v="0"/>
    <n v="10005721"/>
    <s v="Inventario final"/>
    <s v="FEBRERO10005721Inventario final"/>
    <n v="2193.6703213165929"/>
    <n v="179852.39000781204"/>
    <n v="52700.484214951342"/>
    <n v="3228.5502860663159"/>
    <n v="60364.068868910363"/>
    <n v="296145.49337774003"/>
    <m/>
    <n v="2397.7444730841671"/>
    <m/>
    <n v="-100395.49337774003"/>
    <n v="-0.51287608366661575"/>
    <n v="15015"/>
    <n v="2670.6233469922122"/>
    <n v="14388.775640882324"/>
    <n v="32074.398987874534"/>
    <n v="5315.2445134783047"/>
    <n v="5422.05"/>
    <n v="-132363.08687909288"/>
    <n v="-0.6761843518727606"/>
    <n v="10448.870127267262"/>
    <n v="-142811.95700636014"/>
    <n v="-0.72956299875535191"/>
    <n v="8377.0809950896655"/>
    <n v="-123986.00588400321"/>
  </r>
  <r>
    <s v="FEBRERO"/>
    <x v="2"/>
    <s v="172-2026A"/>
    <d v="1900-02-15T00:00:00"/>
    <d v="2026-03-11T00:00:00"/>
    <n v="150"/>
    <x v="2"/>
    <s v="Rejos"/>
    <s v="1-2 KG "/>
    <s v="España "/>
    <s v="Vigo"/>
    <x v="11"/>
    <s v="Ramon"/>
    <n v="2300"/>
    <n v="345000"/>
    <n v="2139.1"/>
    <n v="24135"/>
    <n v="320865"/>
    <n v="6"/>
    <s v="CMA CGM BOLDNESS / 0DVODN1MA"/>
    <s v="LMM0575536"/>
    <s v="CMA CGM"/>
    <m/>
    <x v="0"/>
    <n v="10007162"/>
    <s v="Inventario final"/>
    <s v="FEBRERO10007162Inventario final"/>
    <n v="1814.1051345683702"/>
    <n v="166847.96188155503"/>
    <n v="47371.463706687588"/>
    <n v="2522.6737555025616"/>
    <n v="55373.670841510364"/>
    <n v="272115.77018525556"/>
    <m/>
    <n v="2018.1792863359442"/>
    <m/>
    <n v="72884.229814744438"/>
    <n v="0.21125863714418677"/>
    <n v="24135"/>
    <n v="2967.3592744357911"/>
    <n v="15987.52848986925"/>
    <n v="43089.887764305044"/>
    <n v="5905.8272371981166"/>
    <n v="9625.9499999999989"/>
    <n v="33514.464813241277"/>
    <n v="9.7143376270264564E-2"/>
    <n v="11609.855696963625"/>
    <n v="21904.60911627765"/>
    <n v="6.3491620626891745E-2"/>
    <n v="9307.8677723218516"/>
    <n v="42822.332585563126"/>
  </r>
  <r>
    <s v="FEBRERO"/>
    <x v="2"/>
    <s v="172-2026A"/>
    <d v="1900-02-15T00:00:00"/>
    <d v="2026-03-11T00:00:00"/>
    <n v="25"/>
    <x v="0"/>
    <s v="Rejos"/>
    <m/>
    <s v="España "/>
    <s v="Vigo"/>
    <x v="11"/>
    <s v="Ramon"/>
    <n v="2500"/>
    <n v="62500"/>
    <n v="2336.7199999999998"/>
    <n v="4082"/>
    <n v="58418"/>
    <n v="1"/>
    <s v="CMA CGM BOLDNESS / 0DVODN1MA"/>
    <s v="LMM0575536"/>
    <s v="CMA CGM"/>
    <m/>
    <x v="0"/>
    <n v="10007567"/>
    <s v="Inventario final"/>
    <s v="FEBRERO10007567Inventario final"/>
    <n v="1815.4238104406516"/>
    <n v="28029.353479412443"/>
    <n v="7554.0300492556653"/>
    <n v="489.86383483871504"/>
    <n v="9312.347897509464"/>
    <n v="45385.595261016286"/>
    <m/>
    <n v="2019.4979622082255"/>
    <m/>
    <n v="17114.404738983714"/>
    <n v="0.27383047582373943"/>
    <n v="4082"/>
    <n v="494.55987907263187"/>
    <n v="2664.5880816448748"/>
    <n v="7241.1479607175061"/>
    <n v="984.30453953301935"/>
    <n v="1752.54"/>
    <n v="10641.49223873319"/>
    <n v="0.17026387581973104"/>
    <n v="1934.9759494939374"/>
    <n v="8706.5162892392527"/>
    <n v="0.13930426062782805"/>
    <n v="1551.3112953869752"/>
    <n v="12192.803534120165"/>
  </r>
  <r>
    <s v="FEBRERO"/>
    <x v="2"/>
    <s v="172-2026B"/>
    <d v="1900-02-15T00:00:00"/>
    <d v="2026-03-27T00:00:00"/>
    <n v="54"/>
    <x v="10"/>
    <s v="Alas"/>
    <s v="0.3 - UP "/>
    <s v="China "/>
    <s v="Qingdao"/>
    <x v="11"/>
    <s v="Ramon"/>
    <n v="3350"/>
    <n v="177221.7"/>
    <n v="3242.5925925925926"/>
    <n v="5800"/>
    <n v="171421.7"/>
    <n v="2"/>
    <s v="ECO SIROCCO 26013S"/>
    <n v="6446512380"/>
    <s v="COSCO"/>
    <s v="PAITA"/>
    <x v="3"/>
    <n v="10009331"/>
    <s v="Inventario final"/>
    <s v="FEBRERO10009331Inventario final"/>
    <n v="2241.3701024181182"/>
    <n v="69065.234280031611"/>
    <n v="27400.520778654496"/>
    <n v="1254.930819584165"/>
    <n v="23313.29965230812"/>
    <n v="121033.98553057839"/>
    <m/>
    <n v="2445.4442541856924"/>
    <m/>
    <n v="56187.714469421626"/>
    <n v="0.3170475989645829"/>
    <n v="5800"/>
    <n v="1068.2493387968848"/>
    <n v="5755.5102563529299"/>
    <n v="12623.759595149815"/>
    <n v="2126.0978053913218"/>
    <n v="5142.6509999999998"/>
    <n v="46580.508068880488"/>
    <n v="0.26283749715119809"/>
    <n v="4179.5480509069048"/>
    <n v="42400.960017973586"/>
    <n v="0.2392537709432512"/>
    <n v="3350.8323980358664"/>
    <n v="49931.340466916357"/>
  </r>
  <r>
    <s v="FEBRERO"/>
    <x v="2"/>
    <s v="174-2026"/>
    <d v="1900-02-17T00:00:00"/>
    <d v="2026-03-10T00:00:00"/>
    <n v="108"/>
    <x v="4"/>
    <s v="Filete "/>
    <s v="2-4 AA"/>
    <s v="China "/>
    <s v="shidao"/>
    <x v="12"/>
    <m/>
    <n v="1450"/>
    <n v="156600"/>
    <n v="1338.7777777777778"/>
    <n v="12012"/>
    <n v="144588"/>
    <n v="4"/>
    <s v="ECO MARIN 26010N"/>
    <s v="LIMG03595900"/>
    <m/>
    <m/>
    <x v="0"/>
    <n v="10005721"/>
    <s v="Inventario final"/>
    <s v="FEBRERO10005721Inventario final"/>
    <n v="1891.1947259243095"/>
    <n v="124042.66516165072"/>
    <n v="36347.076160890181"/>
    <n v="2226.7036989315548"/>
    <n v="41632.585378352975"/>
    <n v="204249.03039982542"/>
    <m/>
    <n v="2095.2688776918835"/>
    <m/>
    <n v="-47649.030399825424"/>
    <n v="-0.30427222477538585"/>
    <n v="12012"/>
    <n v="2136.4986775937696"/>
    <n v="11511.02051270586"/>
    <n v="25659.51919029963"/>
    <n v="4252.1956107826436"/>
    <n v="4337.6399999999994"/>
    <n v="-73223.105200907696"/>
    <n v="-0.46758049298153065"/>
    <n v="8359.0961018138096"/>
    <n v="-81582.2013027215"/>
    <n v="-0.52095913986412201"/>
    <n v="6701.6647960717328"/>
    <n v="-66521.440404835957"/>
  </r>
  <r>
    <s v="FEBRERO"/>
    <x v="2"/>
    <s v="175-2026"/>
    <d v="1900-02-17T00:00:00"/>
    <d v="2026-03-18T00:00:00"/>
    <n v="26"/>
    <x v="4"/>
    <s v="Filete "/>
    <s v="2-4 AA"/>
    <s v="Lituania"/>
    <s v="Lituania"/>
    <x v="13"/>
    <m/>
    <n v="1500"/>
    <n v="39000"/>
    <n v="1230.9615384615386"/>
    <n v="6995"/>
    <n v="32005"/>
    <n v="1"/>
    <s v="CMA CGM VOLTAIRE / 0DVOFN1MA"/>
    <s v="LMM0575667"/>
    <n v="1"/>
    <s v="CMA CGM"/>
    <x v="0"/>
    <n v="10005721"/>
    <s v="Inventario final"/>
    <s v="FEBRERO10005721Inventario final"/>
    <n v="1891.1947259243095"/>
    <n v="29862.12309447147"/>
    <n v="8750.2220387328216"/>
    <n v="536.05829789092991"/>
    <n v="10022.659442936827"/>
    <n v="49171.062874032046"/>
    <m/>
    <n v="2095.2688776918835"/>
    <m/>
    <n v="-10171.062874032046"/>
    <n v="-0.26079648394953964"/>
    <n v="6995"/>
    <n v="514.34227423553716"/>
    <n v="2771.1716049106699"/>
    <n v="10280.513879146207"/>
    <n v="1023.6767211143401"/>
    <n v="960.15"/>
    <n v="-20515.103474292595"/>
    <n v="-0.52602829421263064"/>
    <n v="2012.3749874736948"/>
    <n v="-22527.478461766288"/>
    <n v="-0.57762765286580231"/>
    <n v="1613.3637472024543"/>
    <n v="-18901.739727090142"/>
  </r>
  <r>
    <s v="FEBRERO"/>
    <x v="2"/>
    <s v="176-2026A"/>
    <d v="1900-02-17T00:00:00"/>
    <d v="2026-03-23T00:00:00"/>
    <n v="54"/>
    <x v="5"/>
    <s v="Alas"/>
    <s v="1-up"/>
    <s v="China "/>
    <s v="Qingdao"/>
    <x v="2"/>
    <s v="Jose"/>
    <n v="1600"/>
    <n v="86400"/>
    <n v="1492.5925925925926"/>
    <n v="5800"/>
    <n v="80600"/>
    <n v="2"/>
    <s v="ECO SIROCCO 26011S"/>
    <n v="6446527810"/>
    <s v="COSCO"/>
    <s v="PAITA"/>
    <x v="0"/>
    <n v="10006720"/>
    <s v="Inventario final"/>
    <s v="FEBRERO10006720Inventario final"/>
    <n v="1745.1239660454009"/>
    <n v="60471.030309988986"/>
    <n v="12719.313540185176"/>
    <n v="880.53362715451783"/>
    <n v="20165.81668912297"/>
    <n v="94236.694166451663"/>
    <m/>
    <n v="1949.1981178129749"/>
    <m/>
    <n v="-7836.6941664516635"/>
    <n v="-9.0702478778375728E-2"/>
    <n v="5800"/>
    <n v="1068.2493387968848"/>
    <n v="5755.5102563529299"/>
    <n v="12623.759595149815"/>
    <n v="2126.0978053913218"/>
    <n v="2418"/>
    <n v="-20168.551566992799"/>
    <n v="-0.23343230980315741"/>
    <n v="4179.5480509069048"/>
    <n v="-24348.099617899705"/>
    <n v="-0.28180670854050582"/>
    <n v="3350.8323980358664"/>
    <n v="-16817.719168956934"/>
  </r>
  <r>
    <s v="FEBRERO"/>
    <x v="2"/>
    <s v="176-2026B"/>
    <d v="1900-02-17T00:00:00"/>
    <d v="2026-03-27T00:00:00"/>
    <n v="81"/>
    <x v="5"/>
    <s v="Alas"/>
    <s v="1-up"/>
    <s v="China "/>
    <s v="Qingdao"/>
    <x v="2"/>
    <s v="Jose"/>
    <n v="1600"/>
    <n v="125600"/>
    <n v="1499.5185185185185"/>
    <n v="8139"/>
    <n v="117461"/>
    <n v="3"/>
    <s v="ECO SIROCCO 26013S"/>
    <s v="LIMG04326900"/>
    <s v="ONE LINE"/>
    <s v="PAITA"/>
    <x v="0"/>
    <n v="10006720"/>
    <s v="Inventario final"/>
    <s v="FEBRERO10006720Inventario final"/>
    <n v="1745.1239660454009"/>
    <n v="90706.545464983486"/>
    <n v="19078.970310277764"/>
    <n v="1320.8004407317767"/>
    <n v="30248.725033684455"/>
    <n v="141355.04124967748"/>
    <m/>
    <n v="1949.1981178129749"/>
    <m/>
    <n v="-15755.041249677481"/>
    <n v="-0.12543822651017103"/>
    <n v="8139"/>
    <n v="1602.3740081953272"/>
    <n v="8633.2653845293953"/>
    <n v="18374.639392724723"/>
    <n v="3189.1467080869825"/>
    <n v="3523.83"/>
    <n v="-33794.99735048919"/>
    <n v="-0.26906845024274834"/>
    <n v="6269.3220763603567"/>
    <n v="-40064.319426849543"/>
    <n v="-0.31898343492714604"/>
    <n v="5026.2485970538"/>
    <n v="-28768.74875343539"/>
  </r>
  <r>
    <s v="FEBRERO"/>
    <x v="2"/>
    <s v="177-2026A"/>
    <d v="1900-02-18T00:00:00"/>
    <d v="2026-03-27T00:00:00"/>
    <n v="48"/>
    <x v="5"/>
    <s v="Alas"/>
    <s v="1-up"/>
    <s v="Corea"/>
    <s v="Busan"/>
    <x v="2"/>
    <s v="Jose"/>
    <n v="1600"/>
    <n v="76800"/>
    <n v="1486.9583333333333"/>
    <n v="5426"/>
    <n v="71374"/>
    <n v="2"/>
    <s v="ECO SIROCCO 26013S"/>
    <s v="LIMG04588500"/>
    <s v="ONE LINE"/>
    <s v="PAITA"/>
    <x v="0"/>
    <n v="10006720"/>
    <s v="Inventario final"/>
    <s v="FEBRERO10006720Inventario final"/>
    <n v="1745.1239660454009"/>
    <n v="53752.026942212433"/>
    <n v="11306.0564801646"/>
    <n v="782.69655747068259"/>
    <n v="17925.170390331528"/>
    <n v="83765.950370179256"/>
    <m/>
    <n v="1949.1981178129749"/>
    <m/>
    <n v="-6965.9503701792564"/>
    <n v="-9.0702478778375728E-2"/>
    <n v="5426"/>
    <n v="949.55496781945317"/>
    <n v="5116.0091167581595"/>
    <n v="11491.564084577612"/>
    <n v="1889.8647159033972"/>
    <n v="2141.2199999999998"/>
    <n v="-18206.159170660267"/>
    <n v="-0.23705936420130555"/>
    <n v="3715.1538230283595"/>
    <n v="-21921.312993688625"/>
    <n v="-0.28543376293865397"/>
    <n v="2978.5176871429926"/>
    <n v="-15227.641483517275"/>
  </r>
  <r>
    <s v="FEBRERO"/>
    <x v="2"/>
    <s v="179-2026A"/>
    <d v="1900-02-22T00:00:00"/>
    <d v="2026-03-20T00:00:00"/>
    <n v="24"/>
    <x v="1"/>
    <s v="Nucas"/>
    <s v="500-up"/>
    <s v="Tailandia "/>
    <s v="Laem chabang"/>
    <x v="1"/>
    <s v="ACER FOOD"/>
    <n v="1100"/>
    <n v="26400"/>
    <n v="966.54166666666663"/>
    <n v="3203"/>
    <n v="23197"/>
    <n v="1"/>
    <s v="ECO MARIN 26012N"/>
    <s v="LIMG03918800"/>
    <s v="ONE LINE"/>
    <s v="PAITA"/>
    <x v="0"/>
    <n v="10005779"/>
    <s v="Inventario final"/>
    <s v="FEBRERO10005779Inventario final"/>
    <n v="1896.1639327140158"/>
    <n v="26421.940957372739"/>
    <n v="10055.156269352579"/>
    <n v="290.67301802910436"/>
    <n v="8740.164140381954"/>
    <n v="45507.934385136374"/>
    <m/>
    <n v="2100.2380844815898"/>
    <m/>
    <n v="-19107.934385136374"/>
    <n v="-0.72378539337637782"/>
    <n v="3203"/>
    <n v="474.77748390972658"/>
    <n v="2558.0045583790798"/>
    <n v="6235.7820422888062"/>
    <n v="944.93235795169858"/>
    <n v="695.91"/>
    <n v="-25592.738785376878"/>
    <n v="-0.96942192368851809"/>
    <n v="1857.5769115141798"/>
    <n v="-27450.315696891059"/>
    <n v="-1.0397846854882977"/>
    <n v="1489.2588435714963"/>
    <n v="-24103.479941805381"/>
  </r>
  <r>
    <s v="FEBRERO"/>
    <x v="2"/>
    <s v="179-2026B1"/>
    <d v="1900-02-22T00:00:00"/>
    <d v="2026-03-20T00:00:00"/>
    <n v="24"/>
    <x v="1"/>
    <s v="Nucas"/>
    <s v="500-up"/>
    <s v="Tailandia "/>
    <s v="Lat Krabang"/>
    <x v="1"/>
    <s v="Julieta"/>
    <n v="1100"/>
    <n v="26400"/>
    <n v="953.625"/>
    <n v="3513"/>
    <n v="22887"/>
    <n v="1"/>
    <s v="ECO MARIN 26012N"/>
    <s v="LIMG03924500"/>
    <s v="ONE LINE"/>
    <s v="PAITA"/>
    <x v="0"/>
    <n v="10005779"/>
    <s v="Inventario final"/>
    <s v="FEBRERO10005779Inventario final"/>
    <n v="1896.1639327140158"/>
    <n v="26421.940957372739"/>
    <n v="10055.156269352579"/>
    <n v="290.67301802910436"/>
    <n v="8740.164140381954"/>
    <n v="45507.934385136374"/>
    <m/>
    <n v="2100.2380844815898"/>
    <m/>
    <n v="-19107.934385136374"/>
    <n v="-0.72378539337637782"/>
    <n v="3513"/>
    <n v="474.77748390972658"/>
    <n v="2558.0045583790798"/>
    <n v="6545.7820422888062"/>
    <n v="944.93235795169858"/>
    <n v="686.61"/>
    <n v="-25912.038785376877"/>
    <n v="-0.98151662065821499"/>
    <n v="1857.5769115141798"/>
    <n v="-27769.615696891058"/>
    <n v="-1.0518793824579946"/>
    <n v="1489.2588435714963"/>
    <n v="-24422.77994180538"/>
  </r>
  <r>
    <s v="FEBRERO"/>
    <x v="2"/>
    <s v="179-2026B2"/>
    <d v="1900-02-22T00:00:00"/>
    <d v="2026-03-20T00:00:00"/>
    <n v="24"/>
    <x v="1"/>
    <s v="Nucas"/>
    <s v="500-up"/>
    <s v="Tailandia "/>
    <s v="Lat Krabang"/>
    <x v="1"/>
    <s v="Julieta"/>
    <n v="1100"/>
    <n v="26400"/>
    <n v="953.625"/>
    <n v="3513"/>
    <n v="22887"/>
    <n v="1"/>
    <s v="ECO MARIN 26012N"/>
    <s v="LIMG03933500"/>
    <s v="ONE LINE"/>
    <s v="PAITA"/>
    <x v="0"/>
    <n v="10005779"/>
    <s v="Inventario final"/>
    <s v="FEBRERO10005779Inventario final"/>
    <n v="1896.1639327140158"/>
    <n v="26421.940957372739"/>
    <n v="10055.156269352579"/>
    <n v="290.67301802910436"/>
    <n v="8740.164140381954"/>
    <n v="45507.934385136374"/>
    <m/>
    <n v="2100.2380844815898"/>
    <m/>
    <n v="-19107.934385136374"/>
    <n v="-0.72378539337637782"/>
    <n v="3513"/>
    <n v="474.77748390972658"/>
    <n v="2558.0045583790798"/>
    <n v="6545.7820422888062"/>
    <n v="944.93235795169858"/>
    <n v="686.61"/>
    <n v="-25912.038785376877"/>
    <n v="-0.98151662065821499"/>
    <n v="1857.5769115141798"/>
    <n v="-27769.615696891058"/>
    <n v="-1.0518793824579946"/>
    <n v="1489.2588435714963"/>
    <n v="-24422.77994180538"/>
  </r>
  <r>
    <s v="FEBRERO"/>
    <x v="2"/>
    <s v="179-2026B3"/>
    <d v="1900-02-22T00:00:00"/>
    <d v="2026-03-27T00:00:00"/>
    <n v="24"/>
    <x v="1"/>
    <s v="Nucas"/>
    <s v="500-up"/>
    <s v="Tailandia "/>
    <s v="Lat Krabang"/>
    <x v="1"/>
    <s v="Julieta"/>
    <n v="1100"/>
    <n v="26400"/>
    <n v="953.625"/>
    <n v="3513"/>
    <n v="22887"/>
    <n v="1"/>
    <s v="ECO SIROCCO 26013S"/>
    <s v="LIMG03937900"/>
    <s v="ONE LINE"/>
    <s v="PAITA"/>
    <x v="0"/>
    <n v="10005779"/>
    <s v="Inventario final"/>
    <s v="FEBRERO10005779Inventario final"/>
    <n v="1896.1639327140158"/>
    <n v="26421.940957372739"/>
    <n v="10055.156269352579"/>
    <n v="290.67301802910436"/>
    <n v="8740.164140381954"/>
    <n v="45507.934385136374"/>
    <m/>
    <n v="2100.2380844815898"/>
    <m/>
    <n v="-19107.934385136374"/>
    <n v="-0.72378539337637782"/>
    <n v="3513"/>
    <n v="474.77748390972658"/>
    <n v="2558.0045583790798"/>
    <n v="6545.7820422888062"/>
    <n v="944.93235795169858"/>
    <n v="686.61"/>
    <n v="-25912.038785376877"/>
    <n v="-0.98151662065821499"/>
    <n v="1857.5769115141798"/>
    <n v="-27769.615696891058"/>
    <n v="-1.0518793824579946"/>
    <n v="1489.2588435714963"/>
    <n v="-24422.77994180538"/>
  </r>
  <r>
    <s v="FEBRERO"/>
    <x v="2"/>
    <s v="179-2026B4"/>
    <d v="1900-02-22T00:00:00"/>
    <d v="2026-03-27T00:00:00"/>
    <n v="24"/>
    <x v="1"/>
    <s v="Nucas"/>
    <s v="500-up"/>
    <s v="Tailandia "/>
    <s v="Lat Krabang"/>
    <x v="1"/>
    <s v="Julieta"/>
    <n v="1100"/>
    <n v="26400"/>
    <n v="953.625"/>
    <n v="3513"/>
    <n v="22887"/>
    <n v="1"/>
    <s v="ECO SIROCCO 26013S"/>
    <s v="LIMG03938300"/>
    <s v="ONE LINE"/>
    <s v="PAITA"/>
    <x v="0"/>
    <n v="10005779"/>
    <s v="Inventario final"/>
    <s v="FEBRERO10005779Inventario final"/>
    <n v="1896.1639327140158"/>
    <n v="26421.940957372739"/>
    <n v="10055.156269352579"/>
    <n v="290.67301802910436"/>
    <n v="8740.164140381954"/>
    <n v="45507.934385136374"/>
    <m/>
    <n v="2100.2380844815898"/>
    <m/>
    <n v="-19107.934385136374"/>
    <n v="-0.72378539337637782"/>
    <n v="3513"/>
    <n v="474.77748390972658"/>
    <n v="2558.0045583790798"/>
    <n v="6545.7820422888062"/>
    <n v="944.93235795169858"/>
    <n v="686.61"/>
    <n v="-25912.038785376877"/>
    <n v="-0.98151662065821499"/>
    <n v="1857.5769115141798"/>
    <n v="-27769.615696891058"/>
    <n v="-1.0518793824579946"/>
    <n v="1489.2588435714963"/>
    <n v="-24422.77994180538"/>
  </r>
  <r>
    <s v="FEBRERO"/>
    <x v="2"/>
    <s v="179-2026B5"/>
    <d v="1900-02-22T00:00:00"/>
    <d v="2026-03-27T00:00:00"/>
    <n v="24"/>
    <x v="1"/>
    <s v="Nucas"/>
    <s v="500-up"/>
    <s v="Tailandia "/>
    <s v="Lat Krabang"/>
    <x v="1"/>
    <s v="Julieta"/>
    <n v="1100"/>
    <n v="26400"/>
    <n v="966.54166666666663"/>
    <n v="3203"/>
    <n v="23197"/>
    <n v="1"/>
    <s v="ECO SIROCCO 26013S"/>
    <s v="LIMG03940300"/>
    <s v="ONE LINE"/>
    <s v="PAITA"/>
    <x v="0"/>
    <n v="10005779"/>
    <s v="Inventario final"/>
    <s v="FEBRERO10005779Inventario final"/>
    <n v="1896.1639327140158"/>
    <n v="26421.940957372739"/>
    <n v="10055.156269352579"/>
    <n v="290.67301802910436"/>
    <n v="8740.164140381954"/>
    <n v="45507.934385136374"/>
    <m/>
    <n v="2100.2380844815898"/>
    <m/>
    <n v="-19107.934385136374"/>
    <n v="-0.72378539337637782"/>
    <n v="3203"/>
    <n v="474.77748390972658"/>
    <n v="2558.0045583790798"/>
    <n v="6235.7820422888062"/>
    <n v="944.93235795169858"/>
    <n v="695.91"/>
    <n v="-25592.738785376878"/>
    <n v="-0.96942192368851809"/>
    <n v="1857.5769115141798"/>
    <n v="-27450.315696891059"/>
    <n v="-1.0397846854882977"/>
    <n v="1489.2588435714963"/>
    <n v="-24103.479941805381"/>
  </r>
  <r>
    <s v="FEBRERO"/>
    <x v="2"/>
    <s v="179-2026C1"/>
    <d v="1900-02-22T00:00:00"/>
    <d v="2026-03-27T00:00:00"/>
    <n v="24"/>
    <x v="1"/>
    <s v="Nucas"/>
    <s v="1-2 KG "/>
    <s v="Tailandia "/>
    <s v="Lat Krabang"/>
    <x v="1"/>
    <s v="KHUNRUNG"/>
    <n v="1200"/>
    <n v="19560"/>
    <n v="1054.1666666666667"/>
    <n v="3500"/>
    <n v="16060"/>
    <n v="1"/>
    <s v="ECO SIROCCO 26013S"/>
    <n v="6447908140"/>
    <s v="COSCO"/>
    <s v="PAITA"/>
    <x v="0"/>
    <n v="10005779"/>
    <s v="Inventario final"/>
    <s v="FEBRERO10005779Inventario final"/>
    <n v="1896.1639327140158"/>
    <n v="26421.940957372739"/>
    <n v="10055.156269352579"/>
    <n v="290.67301802910436"/>
    <n v="8740.164140381954"/>
    <n v="45507.934385136374"/>
    <m/>
    <n v="2100.2380844815898"/>
    <m/>
    <n v="-25947.934385136374"/>
    <n v="-1.3265815125325344"/>
    <n v="3500"/>
    <n v="474.77748390972658"/>
    <n v="2558.0045583790798"/>
    <n v="6532.7820422888062"/>
    <n v="944.93235795169858"/>
    <n v="481.79999999999995"/>
    <n v="-32943.848785376875"/>
    <n v="-1.684245847923153"/>
    <n v="1857.5769115141798"/>
    <n v="-34801.425696891056"/>
    <n v="-1.7792139926835917"/>
    <n v="1489.2588435714963"/>
    <n v="-31454.589941805378"/>
  </r>
  <r>
    <s v="FEBRERO"/>
    <x v="2"/>
    <s v="179-2026C2"/>
    <d v="1900-02-22T00:00:00"/>
    <d v="2026-03-27T00:00:00"/>
    <n v="24"/>
    <x v="1"/>
    <s v="Nucas"/>
    <s v="1-2 KG "/>
    <s v="Tailandia "/>
    <s v="Lat Krabang"/>
    <x v="1"/>
    <s v="KHUNRUNG"/>
    <n v="1200"/>
    <n v="28800"/>
    <n v="1054.1666666666667"/>
    <n v="3500"/>
    <n v="25300"/>
    <n v="1"/>
    <s v="ECO SIROCCO 26013S"/>
    <n v="6447908120"/>
    <s v="COSCO"/>
    <s v="PAITA"/>
    <x v="0"/>
    <n v="10005779"/>
    <s v="Inventario final"/>
    <s v="FEBRERO10005779Inventario final"/>
    <n v="1896.1639327140158"/>
    <n v="26421.940957372739"/>
    <n v="10055.156269352579"/>
    <n v="290.67301802910436"/>
    <n v="8740.164140381954"/>
    <n v="45507.934385136374"/>
    <m/>
    <n v="2100.2380844815898"/>
    <m/>
    <n v="-16707.934385136374"/>
    <n v="-0.58013661059501298"/>
    <n v="3500"/>
    <n v="474.77748390972658"/>
    <n v="2558.0045583790798"/>
    <n v="6532.7820422888062"/>
    <n v="944.93235795169858"/>
    <n v="759"/>
    <n v="-23426.648785376878"/>
    <n v="-0.8134253050478083"/>
    <n v="1857.5769115141798"/>
    <n v="-25284.225696891059"/>
    <n v="-0.87792450336427286"/>
    <n v="1489.2588435714963"/>
    <n v="-21937.389941805381"/>
  </r>
  <r>
    <s v="FEBRERO"/>
    <x v="2"/>
    <s v="181-2026"/>
    <d v="2026-02-24T00:00:00"/>
    <d v="2026-03-27T00:00:00"/>
    <n v="48"/>
    <x v="1"/>
    <s v="Nucas"/>
    <s v="500-1000"/>
    <s v="Tailandia "/>
    <s v="Lat Krabang"/>
    <x v="2"/>
    <s v="Jose"/>
    <n v="1200"/>
    <n v="57600"/>
    <n v="1126.8125"/>
    <n v="3513"/>
    <n v="54087"/>
    <n v="1"/>
    <s v="ECO SIROCCO 26013S"/>
    <s v="LIMG04324700"/>
    <s v="ONE LINE"/>
    <s v="PAITA"/>
    <x v="0"/>
    <n v="10005779"/>
    <s v="Inventario final"/>
    <s v="FEBRERO10005779Inventario final"/>
    <n v="1896.1639327140158"/>
    <n v="52843.881914745478"/>
    <n v="20110.312538705159"/>
    <n v="581.34603605820871"/>
    <n v="17480.328280763908"/>
    <n v="91015.868770272747"/>
    <m/>
    <n v="2100.2380844815898"/>
    <m/>
    <n v="-33415.868770272747"/>
    <n v="-0.58013661059501298"/>
    <n v="3513"/>
    <n v="949.55496781945317"/>
    <n v="5116.0091167581595"/>
    <n v="9578.5640845776124"/>
    <n v="1889.8647159033972"/>
    <n v="1622.61"/>
    <n v="-43261.687570753755"/>
    <n v="-0.75107096477003044"/>
    <n v="3715.1538230283595"/>
    <n v="-46976.841393782117"/>
    <n v="-0.8155701630864951"/>
    <n v="2978.5176871429926"/>
    <n v="-40283.169883610761"/>
  </r>
  <r>
    <s v="FEBRERO"/>
    <x v="2"/>
    <s v="183-2026"/>
    <d v="1900-02-26T00:00:00"/>
    <d v="2026-03-27T00:00:00"/>
    <n v="27"/>
    <x v="2"/>
    <s v="Rejos"/>
    <s v="2- UP LIMPIOS "/>
    <s v="China "/>
    <s v="Yantai"/>
    <x v="14"/>
    <m/>
    <n v="2600"/>
    <n v="70200"/>
    <n v="2485.1851851851852"/>
    <n v="3100"/>
    <n v="67100"/>
    <n v="1"/>
    <s v="ECO SIROCCO 26013S"/>
    <n v="6447908790"/>
    <s v="COSCO"/>
    <s v="PAITA"/>
    <x v="0"/>
    <n v="10007162"/>
    <s v="Inventario final"/>
    <s v="FEBRERO10007162Inventario final"/>
    <n v="1814.1051345683702"/>
    <n v="30032.633138679903"/>
    <n v="8526.863467203766"/>
    <n v="454.08127599046105"/>
    <n v="9967.2607514718657"/>
    <n v="48980.838633345993"/>
    <m/>
    <n v="2018.1792863359442"/>
    <m/>
    <n v="21219.161366654007"/>
    <n v="0.30226725593524228"/>
    <n v="3100"/>
    <n v="534.12466939844239"/>
    <n v="2877.755128176465"/>
    <n v="6511.8797975749076"/>
    <n v="1063.0489026956609"/>
    <n v="2013"/>
    <n v="15657.232666383439"/>
    <n v="0.22303750237013445"/>
    <n v="2089.7740254534524"/>
    <n v="13567.458640929986"/>
    <n v="0.19326864160868926"/>
    <n v="1675.4161990179332"/>
    <n v="17332.648865401374"/>
  </r>
  <r>
    <s v="FEBRERO"/>
    <x v="2"/>
    <s v="184-2026"/>
    <d v="1900-02-27T00:00:00"/>
    <d v="2026-03-23T00:00:00"/>
    <n v="216"/>
    <x v="9"/>
    <s v="Daruma"/>
    <m/>
    <s v="China"/>
    <s v="Qingdao"/>
    <x v="15"/>
    <s v="James"/>
    <n v="3100"/>
    <n v="669600"/>
    <n v="2992.5925925925926"/>
    <n v="23200"/>
    <n v="646400"/>
    <n v="8"/>
    <s v="ECO MARIN 26012N"/>
    <n v="6447338820"/>
    <s v="COSCO"/>
    <s v="PAITA"/>
    <x v="3"/>
    <n v="10009239"/>
    <s v="Inventario final"/>
    <s v="FEBRERO10009239Inventario final"/>
    <n v="2193.6703213165929"/>
    <n v="233010.93393399011"/>
    <n v="151910.27411151075"/>
    <n v="2782.0065809356511"/>
    <n v="86129.574777947637"/>
    <n v="473832.78940438415"/>
    <m/>
    <n v="2397.7444730841671"/>
    <m/>
    <n v="195767.21059561585"/>
    <n v="0.2923644124785183"/>
    <n v="23200"/>
    <n v="4272.9973551875391"/>
    <n v="23022.04102541172"/>
    <n v="50495.038380599261"/>
    <n v="8504.3912215652872"/>
    <n v="19392"/>
    <n v="156159.78099345131"/>
    <n v="0.23321353194959873"/>
    <n v="16718.192203627619"/>
    <n v="139441.5887898237"/>
    <n v="0.20824610034322535"/>
    <n v="13403.329592143466"/>
    <n v="169563.11058559478"/>
  </r>
  <r>
    <s v="FEBRERO"/>
    <x v="2"/>
    <s v="185-2026"/>
    <d v="1900-02-27T00:00:00"/>
    <d v="2026-03-23T00:00:00"/>
    <n v="108"/>
    <x v="9"/>
    <s v="Daruma "/>
    <m/>
    <s v="China "/>
    <s v="Qingdao"/>
    <x v="16"/>
    <s v="James"/>
    <n v="3100"/>
    <n v="334800"/>
    <n v="2992.5925925925926"/>
    <n v="11600"/>
    <n v="323200"/>
    <n v="4"/>
    <s v="ECO MARIN 26012N"/>
    <n v="6447338860"/>
    <s v="COSCO"/>
    <s v="PAITA"/>
    <x v="3"/>
    <n v="10009239"/>
    <s v="Inventario final"/>
    <s v="FEBRERO10009239Inventario final"/>
    <n v="2193.6703213165929"/>
    <n v="116505.46696699505"/>
    <n v="75955.137055755375"/>
    <n v="1391.0032904678255"/>
    <n v="43064.787388973818"/>
    <n v="236916.39470219208"/>
    <m/>
    <n v="2397.7444730841671"/>
    <m/>
    <n v="97883.605297807924"/>
    <n v="0.2923644124785183"/>
    <n v="11600"/>
    <n v="2136.4986775937696"/>
    <n v="11511.02051270586"/>
    <n v="25247.51919029963"/>
    <n v="4252.1956107826436"/>
    <n v="9696"/>
    <n v="78079.890496725653"/>
    <n v="0.23321353194959873"/>
    <n v="8359.0961018138096"/>
    <n v="69720.794394911849"/>
    <n v="0.20824610034322535"/>
    <n v="6701.6647960717328"/>
    <n v="84781.555292797391"/>
  </r>
  <r>
    <s v="FEBRERO"/>
    <x v="2"/>
    <s v="189-2026"/>
    <d v="1900-03-08T00:00:00"/>
    <d v="2026-03-27T00:00:00"/>
    <n v="10"/>
    <x v="1"/>
    <s v="Nucas"/>
    <s v="300-500"/>
    <s v="Tailandia "/>
    <s v="Lat Krabang"/>
    <x v="1"/>
    <s v="Julieta"/>
    <n v="1130"/>
    <n v="11300"/>
    <n v="990"/>
    <n v="1400"/>
    <n v="9900"/>
    <n v="1"/>
    <s v="ECO SIROCCO 26013S"/>
    <n v="6447908000"/>
    <s v="COSCO"/>
    <s v="PAITA"/>
    <x v="0"/>
    <n v="10005779"/>
    <s v="Inventario final"/>
    <s v="FEBRERO10005779Inventario final"/>
    <n v="1896.1639327140158"/>
    <n v="11009.142065571976"/>
    <n v="4189.6484455635746"/>
    <n v="121.1137575121268"/>
    <n v="3641.7350584924811"/>
    <n v="18961.639327140158"/>
    <m/>
    <n v="2100.2380844815898"/>
    <m/>
    <n v="-7661.6393271401575"/>
    <n v="-0.67802117939293427"/>
    <n v="1400"/>
    <n v="197.82395162905274"/>
    <n v="1065.83523265795"/>
    <n v="2663.659184287003"/>
    <n v="393.72181581320774"/>
    <n v="297"/>
    <n v="-10422.020327240369"/>
    <n v="-0.92230268382658132"/>
    <n v="773.99037979757497"/>
    <n v="-11196.010707037944"/>
    <n v="-0.99079740770247293"/>
    <n v="620.52451815479014"/>
    <n v="-9801.495809085578"/>
  </r>
  <r>
    <s v="FEBRERO"/>
    <x v="2"/>
    <s v="189-2026"/>
    <d v="1900-03-08T00:00:00"/>
    <d v="2026-03-27T00:00:00"/>
    <n v="15"/>
    <x v="1"/>
    <s v="Nucas"/>
    <s v="500-1000"/>
    <s v="Tailandia "/>
    <s v="Lat Krabang"/>
    <x v="1"/>
    <s v="Julieta"/>
    <n v="1200"/>
    <n v="18000"/>
    <n v="1060"/>
    <n v="2100"/>
    <n v="15900"/>
    <n v="0"/>
    <s v="ECO SIROCCO 26013S"/>
    <n v="6447908000"/>
    <s v="COSCO"/>
    <s v="PAITA"/>
    <x v="0"/>
    <n v="10005779"/>
    <s v="Inventario final"/>
    <s v="FEBRERO10005779Inventario final"/>
    <n v="1896.1639327140158"/>
    <n v="16513.713098357963"/>
    <n v="6284.4726683453628"/>
    <n v="181.67063626819021"/>
    <n v="5462.6025877387219"/>
    <n v="28442.458990710238"/>
    <m/>
    <n v="2100.2380844815898"/>
    <m/>
    <n v="-10442.458990710238"/>
    <n v="-0.5801366105950132"/>
    <n v="2100"/>
    <n v="296.7359274435791"/>
    <n v="1598.7528489869248"/>
    <n v="3995.488776430504"/>
    <n v="590.58272371981161"/>
    <n v="477"/>
    <n v="-14551.530490860554"/>
    <n v="-0.80841836060336414"/>
    <n v="1160.9855696963625"/>
    <n v="-15712.516060556916"/>
    <n v="-0.8729175589198287"/>
    <n v="930.78677723218516"/>
    <n v="-13620.74371362837"/>
  </r>
  <r>
    <s v="FEBRERO"/>
    <x v="2"/>
    <s v="170-2026B"/>
    <d v="1900-02-11T00:00:00"/>
    <d v="2026-03-11T00:00:00"/>
    <n v="24"/>
    <x v="2"/>
    <s v="Rejos"/>
    <s v="2 - UP"/>
    <s v="España "/>
    <s v="Vigo"/>
    <x v="11"/>
    <s v="Ramon"/>
    <n v="2400"/>
    <n v="57600"/>
    <n v="2230.0104166666665"/>
    <n v="4079.75"/>
    <n v="53520.25"/>
    <n v="1"/>
    <s v="CMA CGM BOLDNESS / 0DVODN1MA"/>
    <s v="LMM0575562"/>
    <s v="CMA CGM"/>
    <m/>
    <x v="0"/>
    <n v="10007162"/>
    <s v="Inventario final"/>
    <s v="FEBRERO10007162Inventario final"/>
    <n v="1814.1051345683702"/>
    <n v="26695.673901048802"/>
    <n v="7579.4341930700139"/>
    <n v="403.62780088040984"/>
    <n v="8859.7873346416582"/>
    <n v="43538.523229640879"/>
    <m/>
    <n v="2018.1792863359442"/>
    <m/>
    <n v="14061.476770359121"/>
    <n v="0.2441228605965125"/>
    <n v="4079.75"/>
    <n v="474.77748390972658"/>
    <n v="2558.0045583790798"/>
    <n v="7112.5320422888062"/>
    <n v="944.93235795169858"/>
    <n v="1605.6074999999998"/>
    <n v="7609.6198701186158"/>
    <n v="0.13211145607844818"/>
    <n v="1857.5769115141798"/>
    <n v="5752.0429586044356"/>
    <n v="9.9861856920215902E-2"/>
    <n v="1489.2588435714963"/>
    <n v="9098.8787136901119"/>
  </r>
  <r>
    <s v="FEBRERO"/>
    <x v="2"/>
    <s v="153-2026"/>
    <d v="1900-01-25T00:00:00"/>
    <d v="2026-03-29T00:00:00"/>
    <n v="26"/>
    <x v="0"/>
    <s v="Rejos"/>
    <m/>
    <s v="España "/>
    <s v="Valencia"/>
    <x v="0"/>
    <s v="Ignacio / Ives"/>
    <n v="2950"/>
    <n v="76700"/>
    <n v="2793.0865384615386"/>
    <n v="4079.75"/>
    <n v="72620.25"/>
    <n v="1"/>
    <s v="CAPE SKAGEN 614N"/>
    <n v="19449468"/>
    <s v="HAPAG"/>
    <m/>
    <x v="0"/>
    <n v="10007567"/>
    <s v="Inventario final"/>
    <s v="FEBRERO10007567Inventario final"/>
    <n v="1815.4238104406516"/>
    <n v="29150.527618588938"/>
    <n v="7856.1912512258923"/>
    <n v="509.45838823226364"/>
    <n v="9684.8418134098429"/>
    <n v="47201.019071456933"/>
    <m/>
    <n v="2019.4979622082255"/>
    <m/>
    <n v="29498.980928543067"/>
    <n v="0.38460209815571145"/>
    <n v="4079.75"/>
    <n v="514.34227423553716"/>
    <n v="2771.1716049106699"/>
    <n v="7365.2638791462068"/>
    <n v="1023.6767211143401"/>
    <n v="2178.6075000000001"/>
    <n v="23288.647828282519"/>
    <n v="0.30363295734397028"/>
    <n v="2012.3749874736948"/>
    <n v="21276.272840808826"/>
    <n v="0.27739599531693382"/>
    <n v="1613.3637472024543"/>
    <n v="24902.011575484972"/>
  </r>
  <r>
    <s v="FEBRERO"/>
    <x v="2"/>
    <m/>
    <d v="2026-03-30T00:00:00"/>
    <d v="2026-03-30T00:00:00"/>
    <n v="0"/>
    <x v="6"/>
    <s v="Residuos"/>
    <s v="Residuos"/>
    <s v="Residuos"/>
    <s v="Residuos"/>
    <x v="4"/>
    <m/>
    <n v="0"/>
    <n v="26456.610000000008"/>
    <n v="0"/>
    <n v="0"/>
    <n v="26456.610000000008"/>
    <m/>
    <m/>
    <m/>
    <m/>
    <m/>
    <x v="2"/>
    <m/>
    <m/>
    <m/>
    <n v="0"/>
    <n v="0"/>
    <n v="0"/>
    <n v="0"/>
    <n v="0"/>
    <n v="0"/>
    <m/>
    <m/>
    <m/>
    <n v="26456.610000000008"/>
    <n v="1"/>
    <n v="0"/>
    <n v="0"/>
    <n v="0"/>
    <n v="0"/>
    <n v="0"/>
    <n v="0"/>
    <n v="26456.610000000008"/>
    <n v="1"/>
    <n v="0"/>
    <n v="26456.610000000008"/>
    <n v="1"/>
    <n v="0"/>
    <n v="26456.610000000008"/>
  </r>
  <r>
    <s v="MARZO"/>
    <x v="3"/>
    <s v="145-2025B"/>
    <d v="2025-12-29T00:00:00"/>
    <d v="2026-04-11T00:00:00"/>
    <n v="27"/>
    <x v="11"/>
    <s v="Recortes cocidos "/>
    <m/>
    <s v="España "/>
    <s v="Vigo"/>
    <x v="3"/>
    <s v="Jorge"/>
    <n v="2500"/>
    <n v="67500"/>
    <n v="2312.2896296296294"/>
    <n v="5068.18"/>
    <n v="62431.82"/>
    <n v="1"/>
    <s v="MSC CAROLE NX614R"/>
    <s v="EBKG16377153"/>
    <s v="MSC"/>
    <m/>
    <x v="1"/>
    <n v="10007050"/>
    <m/>
    <m/>
    <n v="1733.1883044112719"/>
    <n v="39137.599966242997"/>
    <n v="7182.8218294864691"/>
    <n v="682.36807380121456"/>
    <n v="-206.70565042633282"/>
    <n v="46796.084219104348"/>
    <m/>
    <n v="1788.1098445595856"/>
    <m/>
    <n v="20703.915780895652"/>
    <n v="0.30672467823549115"/>
    <n v="5068.18"/>
    <n v="534.12466939844239"/>
    <n v="2937.1013851674329"/>
    <n v="8539.4060545658758"/>
    <n v="832.68265635440798"/>
    <n v="1872.9546"/>
    <n v="13204.781669975368"/>
    <n v="0.1956263951107462"/>
    <n v="2836.5796095938122"/>
    <n v="10368.202060381554"/>
    <n v="0.15360299348713413"/>
    <n v="1584.6546625531328"/>
    <n v="14789.436332528501"/>
  </r>
  <r>
    <s v="MARZO"/>
    <x v="3"/>
    <s v="150-2026D"/>
    <d v="1900-11-20T00:00:00"/>
    <d v="2026-04-11T00:00:00"/>
    <n v="26"/>
    <x v="0"/>
    <s v="Rejos"/>
    <s v="s/t"/>
    <s v="España "/>
    <s v="Vigo"/>
    <x v="6"/>
    <s v="Avelino"/>
    <n v="2950"/>
    <n v="76700"/>
    <n v="2755.07"/>
    <n v="5068.18"/>
    <n v="71631.820000000007"/>
    <n v="1"/>
    <s v="MSC CAROLE NX614R"/>
    <s v="EBKG16377125"/>
    <s v="MSC"/>
    <m/>
    <x v="0"/>
    <n v="10007567"/>
    <m/>
    <m/>
    <n v="2049.5842427698358"/>
    <n v="32910.476182960687"/>
    <n v="8869.513390810087"/>
    <n v="575.17031497692847"/>
    <n v="10934.030423268028"/>
    <n v="53289.190312015729"/>
    <m/>
    <n v="2104.5057829181496"/>
    <m/>
    <n v="23410.809687984271"/>
    <n v="0.30522568041700482"/>
    <n v="5068.18"/>
    <n v="514.34227423553716"/>
    <n v="2828.319852383454"/>
    <n v="8410.8421266189907"/>
    <n v="801.84255797091134"/>
    <n v="2148.9546"/>
    <n v="16347.07960339437"/>
    <n v="0.21313011216941813"/>
    <n v="2731.5211055347822"/>
    <n v="13615.558497859587"/>
    <n v="0.17751705994601807"/>
    <n v="1525.9637491252388"/>
    <n v="17873.043352519609"/>
  </r>
  <r>
    <s v="MARZO"/>
    <x v="3"/>
    <s v="172-2026C"/>
    <d v="1900-02-15T00:00:00"/>
    <d v="2026-04-08T00:00:00"/>
    <n v="125"/>
    <x v="4"/>
    <s v="Filete "/>
    <s v="2-4 kg  AA"/>
    <s v="España"/>
    <s v="Vigo"/>
    <x v="11"/>
    <s v="Ramon"/>
    <n v="1400"/>
    <n v="175000"/>
    <n v="1143.1600000000001"/>
    <n v="32105"/>
    <n v="142895"/>
    <n v="5"/>
    <s v="ECO MARIN 26014N"/>
    <s v="LIMG05144800"/>
    <s v="ONE"/>
    <m/>
    <x v="0"/>
    <n v="10005721"/>
    <m/>
    <m/>
    <n v="2081.7652269777964"/>
    <n v="158034.8426193773"/>
    <n v="46307.489872739854"/>
    <n v="2836.9010627274615"/>
    <n v="53041.419817379916"/>
    <n v="260220.65337222454"/>
    <m/>
    <n v="2136.6867671261102"/>
    <m/>
    <n v="-85220.653372224537"/>
    <n v="-0.48697516212699737"/>
    <n v="32105"/>
    <n v="2472.7993953631594"/>
    <n v="13597.691597997375"/>
    <n v="48175.490993360538"/>
    <n v="3855.012297937074"/>
    <n v="4286.8499999999995"/>
    <n v="-132964.30666352212"/>
    <n v="-0.75979603807726925"/>
    <n v="13132.31300737876"/>
    <n v="-146096.61967090087"/>
    <n v="-0.83483782669086204"/>
    <n v="7336.3641784867259"/>
    <n v="-125627.9424850354"/>
  </r>
  <r>
    <s v="MARZO"/>
    <x v="3"/>
    <s v="173-2026"/>
    <d v="1900-02-16T00:00:00"/>
    <d v="2026-04-08T00:00:00"/>
    <n v="120"/>
    <x v="4"/>
    <s v="Filete "/>
    <s v="2-4 AA"/>
    <s v="Japón "/>
    <s v="Sendai"/>
    <x v="2"/>
    <s v="Jose"/>
    <n v="1500"/>
    <n v="180000"/>
    <n v="1371.2083333333333"/>
    <n v="15455"/>
    <n v="164545"/>
    <n v="5"/>
    <s v="ECO MARIN 26014N"/>
    <s v="LIMG05163900"/>
    <s v="ONE"/>
    <m/>
    <x v="0"/>
    <n v="10005721"/>
    <m/>
    <m/>
    <n v="2081.7652269777964"/>
    <n v="151713.44891460222"/>
    <n v="44455.190277830261"/>
    <n v="2723.425020218363"/>
    <n v="50919.763024684718"/>
    <n v="249811.82723733556"/>
    <m/>
    <n v="2136.6867671261102"/>
    <m/>
    <n v="-69811.827237335558"/>
    <n v="-0.38784348465186419"/>
    <n v="15455"/>
    <n v="2373.8874195486328"/>
    <n v="13053.783934077481"/>
    <n v="30882.671353626112"/>
    <n v="3700.8118060195911"/>
    <n v="4936.3499999999995"/>
    <n v="-99458.960396981245"/>
    <n v="-0.55254977998322918"/>
    <n v="12607.02048708361"/>
    <n v="-112065.98088406486"/>
    <n v="-0.62258878268924922"/>
    <n v="7042.9096113472569"/>
    <n v="-92416.050785633983"/>
  </r>
  <r>
    <s v="MARZO"/>
    <x v="3"/>
    <s v="177-2026B"/>
    <d v="1900-02-18T00:00:00"/>
    <d v="2026-04-20T00:00:00"/>
    <n v="68.819999999999993"/>
    <x v="5"/>
    <s v="Alas"/>
    <s v="1-up"/>
    <s v="Corea"/>
    <s v="Busan"/>
    <x v="2"/>
    <s v="Jose"/>
    <n v="1600"/>
    <n v="110111.99999999999"/>
    <n v="1482.258064516129"/>
    <n v="8103"/>
    <n v="102008.99999999999"/>
    <n v="3"/>
    <s v="ECO MARIN 26016N"/>
    <s v="LIMG05567300"/>
    <s v="ONE LINE"/>
    <m/>
    <x v="0"/>
    <n v="10006720"/>
    <m/>
    <m/>
    <n v="1981.722676654683"/>
    <n v="87515.478741615225"/>
    <n v="18407.769935914908"/>
    <n v="1274.3345290048619"/>
    <n v="29184.571400840287"/>
    <n v="136382.15460737527"/>
    <m/>
    <n v="2036.6442168029967"/>
    <m/>
    <n v="-26270.154607375283"/>
    <n v="-0.23857667290917689"/>
    <n v="8103"/>
    <n v="1361.4244351111408"/>
    <n v="7486.3450861934343"/>
    <n v="16950.769521304574"/>
    <n v="2122.4155707522355"/>
    <n v="3060.2699999999995"/>
    <n v="-42283.069699432097"/>
    <n v="-0.3840005603334069"/>
    <n v="7230.1262493424501"/>
    <n v="-49513.195948774548"/>
    <n v="-0.44966212537030076"/>
    <n v="4039.1086621076511"/>
    <n v="-38243.961037324443"/>
  </r>
  <r>
    <s v="MARZO"/>
    <x v="3"/>
    <s v="178-2026A"/>
    <d v="1900-02-18T00:00:00"/>
    <d v="2026-04-13T00:00:00"/>
    <n v="26"/>
    <x v="4"/>
    <s v="Filete"/>
    <s v="2-4 kg"/>
    <s v="España"/>
    <s v="Valencia"/>
    <x v="0"/>
    <s v="Ignacio / Ives"/>
    <n v="1400"/>
    <n v="36400"/>
    <n v="1213.4615384615386"/>
    <n v="4850"/>
    <n v="31550"/>
    <n v="1"/>
    <s v="CAPE SPENCER 608N "/>
    <n v="93351271"/>
    <s v="HAPAG"/>
    <m/>
    <x v="0"/>
    <n v="10005721"/>
    <m/>
    <m/>
    <n v="2081.7652269777964"/>
    <n v="32871.247264830483"/>
    <n v="9631.9578935298905"/>
    <n v="590.07542104731203"/>
    <n v="11032.615322015023"/>
    <n v="54125.895901422708"/>
    <m/>
    <n v="2136.6867671261102"/>
    <m/>
    <n v="-17725.895901422708"/>
    <n v="-0.48697516212699749"/>
    <n v="4850"/>
    <n v="514.34227423553716"/>
    <n v="2828.319852383454"/>
    <n v="8192.6621266189904"/>
    <n v="801.84255797091134"/>
    <n v="946.5"/>
    <n v="-25773.900586012609"/>
    <n v="-0.70807419192342336"/>
    <n v="2731.5211055347822"/>
    <n v="-28505.421691547392"/>
    <n v="-0.78311598053701625"/>
    <n v="1525.9637491252388"/>
    <n v="-24247.936836887369"/>
  </r>
  <r>
    <s v="MARZO"/>
    <x v="3"/>
    <s v="178-2026B"/>
    <d v="1900-02-18T00:00:00"/>
    <d v="2026-04-20T00:00:00"/>
    <n v="26"/>
    <x v="4"/>
    <s v="Filete"/>
    <s v="2-4 kg"/>
    <s v="España"/>
    <s v="Valencia"/>
    <x v="0"/>
    <s v="Ignacio / Ives"/>
    <n v="1400"/>
    <n v="36400"/>
    <n v="1213.4615384615386"/>
    <n v="4850"/>
    <n v="31550"/>
    <n v="1"/>
    <s v="CAPE SABLE 617N"/>
    <n v="10367430"/>
    <s v="HAPAG"/>
    <m/>
    <x v="0"/>
    <n v="10005721"/>
    <m/>
    <m/>
    <n v="2081.7652269777964"/>
    <n v="32871.247264830483"/>
    <n v="9631.9578935298905"/>
    <n v="590.07542104731203"/>
    <n v="11032.615322015023"/>
    <n v="54125.895901422708"/>
    <m/>
    <n v="2136.6867671261102"/>
    <m/>
    <n v="-17725.895901422708"/>
    <n v="-0.48697516212699749"/>
    <n v="4850"/>
    <n v="514.34227423553716"/>
    <n v="2828.319852383454"/>
    <n v="8192.6621266189904"/>
    <n v="801.84255797091134"/>
    <n v="946.5"/>
    <n v="-25773.900586012609"/>
    <n v="-0.70807419192342336"/>
    <n v="2731.5211055347822"/>
    <n v="-28505.421691547392"/>
    <n v="-0.78311598053701625"/>
    <n v="1525.9637491252388"/>
    <n v="-24247.936836887369"/>
  </r>
  <r>
    <s v="MARZO"/>
    <x v="3"/>
    <s v="178-2026C"/>
    <d v="1900-02-18T00:00:00"/>
    <d v="2026-04-27T00:00:00"/>
    <n v="26"/>
    <x v="4"/>
    <s v="Filete"/>
    <s v="2-4 kg"/>
    <s v="España"/>
    <s v="Valencia"/>
    <x v="0"/>
    <s v="Ignacio / Ives"/>
    <n v="1400"/>
    <n v="36400"/>
    <n v="1213.4615384615386"/>
    <n v="4850"/>
    <n v="31550"/>
    <n v="1"/>
    <s v="LEONIDAS Z  618N"/>
    <n v="92234213"/>
    <s v="HAPAG"/>
    <m/>
    <x v="0"/>
    <n v="10005721"/>
    <m/>
    <m/>
    <n v="2081.7652269777964"/>
    <n v="32871.247264830483"/>
    <n v="9631.9578935298905"/>
    <n v="590.07542104731203"/>
    <n v="11032.615322015023"/>
    <n v="54125.895901422708"/>
    <m/>
    <n v="2136.6867671261102"/>
    <m/>
    <n v="-17725.895901422708"/>
    <n v="-0.48697516212699749"/>
    <n v="4850"/>
    <n v="514.34227423553716"/>
    <n v="2828.319852383454"/>
    <n v="8192.6621266189904"/>
    <n v="801.84255797091134"/>
    <n v="946.5"/>
    <n v="-25773.900586012609"/>
    <n v="-0.70807419192342336"/>
    <n v="2731.5211055347822"/>
    <n v="-28505.421691547392"/>
    <n v="-0.78311598053701625"/>
    <n v="1525.9637491252388"/>
    <n v="-24247.936836887369"/>
  </r>
  <r>
    <s v="MARZO"/>
    <x v="3"/>
    <s v="182-2026"/>
    <d v="2026-02-24T00:00:00"/>
    <d v="2026-04-20T00:00:00"/>
    <n v="22.2"/>
    <x v="3"/>
    <s v="Conos"/>
    <m/>
    <s v="Tailandia"/>
    <s v="Lat Krabang"/>
    <x v="2"/>
    <s v="Jose"/>
    <n v="1600"/>
    <n v="35520"/>
    <n v="1442.2972972972973"/>
    <n v="3501"/>
    <n v="32019"/>
    <n v="1"/>
    <s v="ECO MARIN 26016N"/>
    <s v="LIMG05569500"/>
    <s v="ONE LINE"/>
    <m/>
    <x v="1"/>
    <n v="10007969"/>
    <m/>
    <m/>
    <n v="1682.6498884231146"/>
    <n v="31643.152340341763"/>
    <n v="6354.5546443756311"/>
    <n v="488.97518937886332"/>
    <n v="-1131.8546511031197"/>
    <n v="37354.827522993139"/>
    <m/>
    <n v="1737.5714285714282"/>
    <m/>
    <n v="-1834.8275229931387"/>
    <n v="-5.1656180264446475E-2"/>
    <n v="3501"/>
    <n v="439.16917261649706"/>
    <n v="2414.9500278043338"/>
    <n v="6355.1192004208315"/>
    <n v="684.65018411362428"/>
    <n v="960.56999999999994"/>
    <n v="-7914.0269075275955"/>
    <n v="-0.22280481158579943"/>
    <n v="2332.298790110468"/>
    <n v="-10246.325697638064"/>
    <n v="-0.28846637662269325"/>
    <n v="1302.9382780992423"/>
    <n v="-6611.0886294283537"/>
  </r>
  <r>
    <s v="MARZO"/>
    <x v="3"/>
    <s v="186-2026"/>
    <d v="1900-03-04T00:00:00"/>
    <d v="2026-04-13T00:00:00"/>
    <n v="26"/>
    <x v="0"/>
    <s v="Rejos"/>
    <m/>
    <s v="España"/>
    <s v="Valencia"/>
    <x v="0"/>
    <s v="Ignacio / Ives"/>
    <n v="3100"/>
    <n v="80600"/>
    <n v="2913.4615384615386"/>
    <n v="4850"/>
    <n v="75750"/>
    <n v="1"/>
    <s v="CAPE SPENCER 608N "/>
    <n v="32406022"/>
    <s v="HAPAG"/>
    <m/>
    <x v="0"/>
    <n v="10007567"/>
    <m/>
    <m/>
    <n v="2049.5842427698358"/>
    <n v="32910.476182960687"/>
    <n v="8869.513390810087"/>
    <n v="575.17031497692847"/>
    <n v="10934.030423268028"/>
    <n v="53289.190312015729"/>
    <m/>
    <n v="2104.5057829181496"/>
    <m/>
    <n v="27310.809687984271"/>
    <n v="0.33884379265489167"/>
    <n v="4850"/>
    <n v="514.34227423553716"/>
    <n v="2828.319852383454"/>
    <n v="8192.6621266189904"/>
    <n v="801.84255797091134"/>
    <n v="2272.5"/>
    <n v="20588.805003394369"/>
    <n v="0.25544423081134454"/>
    <n v="2731.5211055347822"/>
    <n v="17857.283897859586"/>
    <n v="0.22155439079230257"/>
    <n v="1525.9637491252388"/>
    <n v="22114.768752519609"/>
  </r>
  <r>
    <s v="MARZO"/>
    <x v="3"/>
    <s v="187-2026"/>
    <d v="1900-03-06T00:00:00"/>
    <d v="2026-04-20T00:00:00"/>
    <n v="115.8"/>
    <x v="5"/>
    <s v="Alas"/>
    <s v="1-up"/>
    <s v="Japón "/>
    <s v="Sendai"/>
    <x v="2"/>
    <s v="Jose"/>
    <n v="1650"/>
    <n v="191070"/>
    <n v="1507.4697754749568"/>
    <n v="16505"/>
    <n v="174565"/>
    <n v="5"/>
    <s v="ECO MARIN 26016N"/>
    <s v="LIMG05575900"/>
    <s v="ONE LINE"/>
    <m/>
    <x v="0"/>
    <n v="10006720"/>
    <m/>
    <m/>
    <n v="1981.722676654683"/>
    <n v="147257.95463933513"/>
    <n v="30973.841304547317"/>
    <n v="2144.2594951869082"/>
    <n v="49107.430517542947"/>
    <n v="229483.48595661233"/>
    <m/>
    <n v="2036.6442168029967"/>
    <m/>
    <n v="-38413.485956612334"/>
    <n v="-0.20104404645738386"/>
    <n v="16505"/>
    <n v="2290.8013598644307"/>
    <n v="12596.901496384768"/>
    <n v="31392.702856249198"/>
    <n v="3571.2833928089053"/>
    <n v="5236.95"/>
    <n v="-68140.522205670452"/>
    <n v="-0.35662596014900533"/>
    <n v="12165.774770035683"/>
    <n v="-80306.296975706136"/>
    <n v="-0.42029778079084179"/>
    <n v="6796.4077749501021"/>
    <n v="-61344.11443072035"/>
  </r>
  <r>
    <s v="MARZO"/>
    <x v="3"/>
    <s v="188-2026"/>
    <d v="1900-03-06T00:00:00"/>
    <d v="2026-04-08T00:00:00"/>
    <n v="46"/>
    <x v="4"/>
    <s v="Filete"/>
    <s v="2-4 A "/>
    <s v="Japón "/>
    <s v="Hakata"/>
    <x v="2"/>
    <s v="Jose"/>
    <n v="1700"/>
    <n v="78200"/>
    <n v="1547.7826086956522"/>
    <n v="7002"/>
    <n v="71198"/>
    <n v="2"/>
    <s v="ECO MARIN 26014N"/>
    <s v="LIMG05162800"/>
    <s v="ONE"/>
    <m/>
    <x v="0"/>
    <n v="10005721"/>
    <m/>
    <m/>
    <n v="2081.7652269777964"/>
    <n v="58156.822083930849"/>
    <n v="17041.156273168268"/>
    <n v="1043.9795910837058"/>
    <n v="19519.242492795809"/>
    <n v="95761.200440978631"/>
    <m/>
    <n v="2136.6867671261102"/>
    <m/>
    <n v="-17561.200440978631"/>
    <n v="-0.22456778057517432"/>
    <n v="7002"/>
    <n v="909.99017749364259"/>
    <n v="5003.9505080630342"/>
    <n v="12915.940685556678"/>
    <n v="1418.6445256408433"/>
    <n v="2135.94"/>
    <n v="-29759.845652176155"/>
    <n v="-0.38056068608920912"/>
    <n v="4832.691186715384"/>
    <n v="-34592.536838891538"/>
    <n v="-0.44235980612393272"/>
    <n v="2699.7820176831151"/>
    <n v="-27060.063634493039"/>
  </r>
  <r>
    <s v="MARZO"/>
    <x v="3"/>
    <s v="190-2026"/>
    <d v="1900-03-10T00:00:00"/>
    <d v="2026-04-20T00:00:00"/>
    <n v="24"/>
    <x v="4"/>
    <s v="Filete"/>
    <s v="2-4 A "/>
    <s v="Japón "/>
    <s v="Tokyo "/>
    <x v="2"/>
    <s v="Jose"/>
    <n v="1800"/>
    <n v="41760"/>
    <n v="1666.625"/>
    <n v="3201"/>
    <n v="39999"/>
    <n v="1"/>
    <s v="ECO MARIN 26016N"/>
    <s v="LIMG05576300"/>
    <s v="ONE LINE"/>
    <m/>
    <x v="0"/>
    <n v="10005721"/>
    <m/>
    <m/>
    <n v="2081.7652269777964"/>
    <n v="30342.689782920446"/>
    <n v="8891.0380555660522"/>
    <n v="544.68500404367262"/>
    <n v="10183.952604936945"/>
    <n v="49962.365447467113"/>
    <m/>
    <n v="2136.6867671261102"/>
    <m/>
    <n v="-8202.365447467113"/>
    <n v="-0.19641679711367607"/>
    <n v="3201"/>
    <n v="474.77748390972658"/>
    <n v="2610.7567868154961"/>
    <n v="6286.5342707252221"/>
    <n v="740.16236120391818"/>
    <n v="1199.97"/>
    <n v="-14029.092079396254"/>
    <n v="-0.33594569155642373"/>
    <n v="2521.4040974167219"/>
    <n v="-16550.496176812976"/>
    <n v="-0.39632414216506168"/>
    <n v="1408.5819222694513"/>
    <n v="-12620.510157126802"/>
  </r>
  <r>
    <s v="MARZO"/>
    <x v="3"/>
    <s v="191-2026"/>
    <d v="1900-03-12T00:00:00"/>
    <d v="2026-04-17T00:00:00"/>
    <n v="26.64"/>
    <x v="10"/>
    <s v="Alas Precocidas"/>
    <s v="300-up skin-on "/>
    <s v="China "/>
    <s v="Yantai"/>
    <x v="17"/>
    <s v="Sasha"/>
    <n v="3600"/>
    <n v="95904"/>
    <n v="3475.1876876876877"/>
    <n v="3325"/>
    <n v="92579"/>
    <n v="1"/>
    <s v="ECO MARIN 26016S"/>
    <n v="6450014810"/>
    <s v="COSCO"/>
    <m/>
    <x v="3"/>
    <n v="10009331"/>
    <m/>
    <m/>
    <n v="2997.7569176004231"/>
    <n v="45570.394604596389"/>
    <n v="18079.321054525735"/>
    <n v="828.02430551450777"/>
    <n v="15382.50432023865"/>
    <n v="79860.244284875283"/>
    <m/>
    <n v="3052.6784577487369"/>
    <m/>
    <n v="16043.755715124717"/>
    <n v="0.16728974511099345"/>
    <n v="3325"/>
    <n v="527.00300713979652"/>
    <n v="2897.9400333652006"/>
    <n v="6749.943040504997"/>
    <n v="821.58022093634918"/>
    <n v="2777.37"/>
    <n v="11249.602453683368"/>
    <n v="0.11730065955208717"/>
    <n v="2798.7585481325614"/>
    <n v="8450.8439055508061"/>
    <n v="8.8117741757912135E-2"/>
    <n v="1563.525933719091"/>
    <n v="12813.128387402459"/>
  </r>
  <r>
    <s v="MARZO"/>
    <x v="3"/>
    <s v="192-2026"/>
    <d v="1900-03-12T00:00:00"/>
    <d v="2026-04-10T00:00:00"/>
    <n v="27"/>
    <x v="5"/>
    <s v="Alas"/>
    <s v="1-up "/>
    <s v="China "/>
    <s v="Yantai"/>
    <x v="17"/>
    <s v="Sasha"/>
    <n v="1700"/>
    <n v="45900"/>
    <n v="1585.1851851851852"/>
    <n v="3100"/>
    <n v="42800"/>
    <n v="1"/>
    <s v="ECO SIROCCO 26015S"/>
    <n v="6448952470"/>
    <s v="COSCO"/>
    <m/>
    <x v="0"/>
    <n v="10006720"/>
    <m/>
    <m/>
    <n v="1981.722676654683"/>
    <n v="34334.75626305741"/>
    <n v="7221.880096915178"/>
    <n v="499.95687711611856"/>
    <n v="11449.919032587733"/>
    <n v="53506.512269676445"/>
    <m/>
    <n v="2036.6442168029967"/>
    <m/>
    <n v="-7606.5122696764447"/>
    <n v="-0.16571922156157831"/>
    <n v="3100"/>
    <n v="534.12466939844239"/>
    <n v="2937.1013851674329"/>
    <n v="6571.2260545658755"/>
    <n v="832.68265635440798"/>
    <n v="1284"/>
    <n v="-13726.420980596728"/>
    <n v="-0.2990505660260725"/>
    <n v="2836.5796095938122"/>
    <n v="-16563.000590190539"/>
    <n v="-0.36084968606079604"/>
    <n v="1584.6546625531328"/>
    <n v="-12141.766318043596"/>
  </r>
  <r>
    <s v="MARZO"/>
    <x v="3"/>
    <s v="193-2026"/>
    <d v="1900-03-12T00:00:00"/>
    <d v="2026-04-10T00:00:00"/>
    <n v="27"/>
    <x v="4"/>
    <s v="Filete"/>
    <s v="2-4 A  external skin removed, inner membranes on"/>
    <s v="China "/>
    <s v="Yantai"/>
    <x v="17"/>
    <s v="Sasha"/>
    <n v="1600"/>
    <n v="43200"/>
    <n v="1485.1851851851852"/>
    <n v="3100"/>
    <n v="40100"/>
    <n v="1"/>
    <s v="ECO SIROCCO 26015S"/>
    <n v="6448952410"/>
    <s v="COSCO"/>
    <m/>
    <x v="0"/>
    <n v="10005721"/>
    <m/>
    <m/>
    <n v="2081.7652269777964"/>
    <n v="34135.526005785498"/>
    <n v="10002.417812511809"/>
    <n v="612.77062954913174"/>
    <n v="11456.946680554061"/>
    <n v="56207.661128400505"/>
    <m/>
    <n v="2136.6867671261102"/>
    <m/>
    <n v="-13007.661128400505"/>
    <n v="-0.30110326686112282"/>
    <n v="3100"/>
    <n v="534.12466939844239"/>
    <n v="2937.1013851674329"/>
    <n v="6571.2260545658755"/>
    <n v="832.68265635440798"/>
    <n v="1203"/>
    <n v="-19208.569839320789"/>
    <n v="-0.44464282035464792"/>
    <n v="2836.5796095938122"/>
    <n v="-22045.149448914603"/>
    <n v="-0.51030438539154177"/>
    <n v="1584.6546625531328"/>
    <n v="-17623.915176767656"/>
  </r>
  <r>
    <s v="MARZO"/>
    <x v="3"/>
    <s v="194-2026"/>
    <d v="1900-03-12T00:00:00"/>
    <d v="2026-04-10T00:00:00"/>
    <n v="27"/>
    <x v="9"/>
    <s v="Daruma "/>
    <m/>
    <s v="China "/>
    <s v="Yantai"/>
    <x v="17"/>
    <s v="Sasha"/>
    <n v="3500"/>
    <n v="94500"/>
    <n v="3385.1851851851852"/>
    <n v="3100"/>
    <n v="91400"/>
    <n v="1"/>
    <s v="ECO SIROCCO 26015S"/>
    <n v="6448952450"/>
    <s v="COSCO"/>
    <m/>
    <x v="3"/>
    <n v="10009239"/>
    <m/>
    <m/>
    <n v="2477.5837901121881"/>
    <n v="32896.016052634943"/>
    <n v="21446.387649551692"/>
    <n v="392.75810623943141"/>
    <n v="12159.600524603025"/>
    <n v="66894.762333029095"/>
    <m/>
    <n v="2532.505330260502"/>
    <m/>
    <n v="27605.237666970905"/>
    <n v="0.29211891711080323"/>
    <n v="3100"/>
    <n v="534.12466939844239"/>
    <n v="2937.1013851674329"/>
    <n v="6571.2260545658755"/>
    <n v="832.68265635440798"/>
    <n v="2742"/>
    <n v="22943.32895605062"/>
    <n v="0.24278654979947745"/>
    <n v="2836.5796095938122"/>
    <n v="20106.749346456807"/>
    <n v="0.21276983435404029"/>
    <n v="1584.6546625531328"/>
    <n v="24527.983618603754"/>
  </r>
  <r>
    <s v="MARZO"/>
    <x v="3"/>
    <s v="195-2026"/>
    <d v="1900-03-16T00:00:00"/>
    <d v="2026-04-22T00:00:00"/>
    <n v="24.2"/>
    <x v="12"/>
    <s v="Ventosas"/>
    <m/>
    <s v="China "/>
    <s v="MAWEI FUZHOU"/>
    <x v="9"/>
    <s v="James"/>
    <n v="1250"/>
    <n v="30300"/>
    <n v="1108.0165289256199"/>
    <n v="3436"/>
    <n v="26814"/>
    <n v="1"/>
    <s v="CMA CGM EXCELLENCE 0DVOPN1MA"/>
    <s v="LMM0581298"/>
    <s v="CMA CGM"/>
    <m/>
    <x v="1"/>
    <m/>
    <m/>
    <m/>
    <n v="0"/>
    <n v="0"/>
    <n v="0"/>
    <n v="0"/>
    <n v="0"/>
    <n v="0"/>
    <m/>
    <n v="0"/>
    <m/>
    <n v="30300"/>
    <n v="1"/>
    <n v="3436"/>
    <n v="478.73396294230764"/>
    <n v="2632.5130933722917"/>
    <n v="6547.2470563145998"/>
    <n v="746.33038088061755"/>
    <n v="804.42"/>
    <n v="23810.842562804784"/>
    <n v="0.78583638821137902"/>
    <n v="2542.4157982285278"/>
    <n v="21268.426764576256"/>
    <n v="0.70192827605862229"/>
    <n v="1420.32010495503"/>
    <n v="25231.162667759814"/>
  </r>
  <r>
    <s v="MARZO"/>
    <x v="3"/>
    <s v="196-2026"/>
    <d v="1900-03-24T00:00:00"/>
    <d v="2026-04-20T00:00:00"/>
    <n v="81"/>
    <x v="4"/>
    <s v="Filete"/>
    <s v="2-4 AA"/>
    <s v="China "/>
    <s v="Qingdao"/>
    <x v="18"/>
    <s v="Nana "/>
    <n v="2200"/>
    <n v="178200"/>
    <n v="2099.962962962963"/>
    <n v="8103"/>
    <n v="170097"/>
    <n v="3"/>
    <s v="ECO MARIN 26016N"/>
    <s v="LIMG05822400"/>
    <m/>
    <m/>
    <x v="0"/>
    <n v="10005721"/>
    <m/>
    <m/>
    <n v="2081.7652269777964"/>
    <n v="102406.5780173565"/>
    <n v="30007.253437535426"/>
    <n v="1838.3118886473951"/>
    <n v="34370.840041662188"/>
    <n v="168622.98338520149"/>
    <m/>
    <n v="2136.6867671261102"/>
    <m/>
    <n v="9577.0166147985146"/>
    <n v="5.3743078646456312E-2"/>
    <n v="8103"/>
    <n v="1602.3740081953272"/>
    <n v="8811.3041555022992"/>
    <n v="18516.678163697627"/>
    <n v="2498.0479690632242"/>
    <n v="5102.91"/>
    <n v="-6334.7995179623358"/>
    <n v="-3.554881884378415E-2"/>
    <n v="8509.7388287814374"/>
    <n v="-14844.538346743773"/>
    <n v="-8.3302684325161469E-2"/>
    <n v="4753.9639876593983"/>
    <n v="-1580.8355303029375"/>
  </r>
  <r>
    <s v="MARZO"/>
    <x v="3"/>
    <s v="197-2026A"/>
    <d v="1900-03-27T00:00:00"/>
    <d v="2026-04-28T00:00:00"/>
    <n v="189"/>
    <x v="4"/>
    <s v="Filete"/>
    <s v="2-4 AA LIGERAMENTE ROSADO "/>
    <s v="China "/>
    <s v="Qingdao"/>
    <x v="18"/>
    <s v="Nana "/>
    <n v="2100"/>
    <n v="396900"/>
    <n v="2029.6296296296296"/>
    <n v="13300"/>
    <n v="383600"/>
    <n v="4"/>
    <s v="ECO SIROCCO 26017N"/>
    <n v="6450842530"/>
    <m/>
    <m/>
    <x v="0"/>
    <n v="10005721"/>
    <m/>
    <m/>
    <n v="2081.7652269777964"/>
    <n v="238948.6820404985"/>
    <n v="70016.924687582665"/>
    <n v="4289.3944068439223"/>
    <n v="80198.626763878434"/>
    <n v="393453.62789880356"/>
    <m/>
    <n v="2136.6867671261102"/>
    <m/>
    <n v="3446.3721011964371"/>
    <n v="8.6832252486682727E-3"/>
    <n v="13300"/>
    <n v="3738.872685789097"/>
    <n v="20559.709696172031"/>
    <n v="37598.582381961125"/>
    <n v="5828.7785944808556"/>
    <n v="11508"/>
    <n v="-28472.988875245544"/>
    <n v="-7.1738445137932844E-2"/>
    <n v="19856.057267156684"/>
    <n v="-48329.046142402229"/>
    <n v="-0.12176630421366144"/>
    <n v="11092.582637871928"/>
    <n v="-17380.406237373616"/>
  </r>
  <r>
    <s v="MARZO"/>
    <x v="3"/>
    <s v="198-2026A"/>
    <d v="1900-03-28T00:00:00"/>
    <d v="2026-04-17T00:00:00"/>
    <n v="162"/>
    <x v="9"/>
    <s v="Daruma"/>
    <m/>
    <s v="China"/>
    <s v="Qingdao"/>
    <x v="15"/>
    <s v="James"/>
    <n v="3900"/>
    <n v="631800"/>
    <n v="3792.5925925925926"/>
    <n v="17400"/>
    <n v="614400"/>
    <n v="6"/>
    <s v="ECO MARIN 26016S"/>
    <n v="6450013900"/>
    <m/>
    <m/>
    <x v="3"/>
    <n v="10009239"/>
    <m/>
    <m/>
    <n v="2477.5837901121881"/>
    <n v="197376.09631580964"/>
    <n v="128678.32589731015"/>
    <n v="2356.5486374365887"/>
    <n v="72957.603147618152"/>
    <n v="401368.57399817451"/>
    <m/>
    <n v="2532.505330260502"/>
    <m/>
    <n v="230431.42600182549"/>
    <n v="0.36472210509943886"/>
    <n v="17400"/>
    <n v="3204.7480163906544"/>
    <n v="17622.608311004598"/>
    <n v="38227.356327395253"/>
    <n v="4996.0959381264483"/>
    <n v="18432"/>
    <n v="205639.9737363038"/>
    <n v="0.32548270613533364"/>
    <n v="17019.477657562875"/>
    <n v="188620.49607874092"/>
    <n v="0.29854462817147975"/>
    <n v="9507.9279753187966"/>
    <n v="215147.9017116226"/>
  </r>
  <r>
    <s v="MARZO"/>
    <x v="3"/>
    <s v="198-2026B"/>
    <d v="1900-03-28T00:00:00"/>
    <d v="2026-04-22T00:00:00"/>
    <n v="27"/>
    <x v="9"/>
    <s v="Daruma"/>
    <m/>
    <s v="China"/>
    <s v="Qingdao"/>
    <x v="15"/>
    <s v="James"/>
    <n v="3900"/>
    <n v="105300"/>
    <n v="3799.962962962963"/>
    <n v="2701"/>
    <n v="102599"/>
    <n v="1"/>
    <s v="ECO MARIN 26016N("/>
    <s v="LIMG05097800"/>
    <m/>
    <m/>
    <x v="3"/>
    <n v="10009239"/>
    <m/>
    <m/>
    <n v="2477.5837901121881"/>
    <n v="32896.016052634943"/>
    <n v="21446.387649551692"/>
    <n v="392.75810623943141"/>
    <n v="12159.600524603025"/>
    <n v="66894.762333029095"/>
    <m/>
    <n v="2532.505330260502"/>
    <m/>
    <n v="38405.237666970905"/>
    <n v="0.36472210509943881"/>
    <n v="2701"/>
    <n v="534.12466939844239"/>
    <n v="2937.1013851674329"/>
    <n v="6172.2260545658755"/>
    <n v="832.68265635440798"/>
    <n v="3077.97"/>
    <n v="34478.298956050618"/>
    <n v="0.32742923984853389"/>
    <n v="2836.5796095938122"/>
    <n v="31641.719346456804"/>
    <n v="0.30049116188468"/>
    <n v="1584.6546625531328"/>
    <n v="36062.953618603751"/>
  </r>
  <r>
    <s v="MARZO"/>
    <x v="3"/>
    <s v="200-2026"/>
    <d v="1900-03-28T00:00:00"/>
    <d v="2026-04-24T00:00:00"/>
    <n v="26.46"/>
    <x v="10"/>
    <s v="Alas Precocidas"/>
    <m/>
    <s v="China "/>
    <s v="Qingdao"/>
    <x v="19"/>
    <s v="Mark"/>
    <n v="4200"/>
    <n v="111132"/>
    <n v="4074.3386243386244"/>
    <n v="3325"/>
    <n v="107807"/>
    <n v="1"/>
    <s v="ECO SIROCCO 26017S"/>
    <n v="6451450280"/>
    <s v="COSCO"/>
    <m/>
    <x v="3"/>
    <n v="10009331"/>
    <m/>
    <m/>
    <n v="2997.7569176004231"/>
    <n v="45262.486532943709"/>
    <n v="17957.163479832994"/>
    <n v="822.42954669346386"/>
    <n v="15278.568480237038"/>
    <n v="79320.648039707216"/>
    <m/>
    <n v="3052.6784577487369"/>
    <m/>
    <n v="31811.351960292784"/>
    <n v="0.28624835295228002"/>
    <n v="3325"/>
    <n v="523.44217601047353"/>
    <n v="2878.3593574640845"/>
    <n v="6726.8015334745578"/>
    <n v="816.02900322731989"/>
    <n v="3234.21"/>
    <n v="27502.731423590907"/>
    <n v="0.2474780569376139"/>
    <n v="2779.848017401936"/>
    <n v="24722.883406188972"/>
    <n v="0.22246412739974961"/>
    <n v="1552.9615693020701"/>
    <n v="29055.692992892979"/>
  </r>
  <r>
    <s v="MARZO"/>
    <x v="3"/>
    <s v="201-2026"/>
    <d v="1900-03-31T00:00:00"/>
    <d v="2026-04-24T00:00:00"/>
    <n v="54"/>
    <x v="2"/>
    <s v="Rejos"/>
    <s v="2- UP LIMPIOS "/>
    <s v="China "/>
    <s v="Yantai"/>
    <x v="14"/>
    <s v="jack"/>
    <n v="2700"/>
    <n v="145800"/>
    <n v="2576.8518518518517"/>
    <n v="6650"/>
    <n v="139150"/>
    <n v="2"/>
    <s v="ECO SIROCCO 26017S"/>
    <n v="6450494060"/>
    <s v="COSCO"/>
    <m/>
    <x v="0"/>
    <n v="10007162"/>
    <m/>
    <m/>
    <n v="1987.6114199724566"/>
    <n v="65810.082845596728"/>
    <n v="18684.79492286162"/>
    <n v="995.02185684408607"/>
    <n v="21841.117053210222"/>
    <n v="107331.01667851266"/>
    <m/>
    <n v="2042.5329601207702"/>
    <m/>
    <n v="38468.983321487336"/>
    <n v="0.26384762223242342"/>
    <n v="6650"/>
    <n v="1068.2493387968848"/>
    <n v="5874.2027703348658"/>
    <n v="13592.452109131751"/>
    <n v="1665.365312708816"/>
    <n v="4174.5"/>
    <n v="27385.66589964677"/>
    <n v="0.1878303559646555"/>
    <n v="5673.1592191876243"/>
    <n v="21712.506680459148"/>
    <n v="0.14891979890575546"/>
    <n v="3169.3093251062655"/>
    <n v="30554.975224753034"/>
  </r>
  <r>
    <s v="MARZO"/>
    <x v="3"/>
    <s v="202-2026A"/>
    <d v="1900-03-31T00:00:00"/>
    <d v="2026-04-24T00:00:00"/>
    <n v="26.1"/>
    <x v="8"/>
    <s v="Membrana"/>
    <m/>
    <s v="China "/>
    <s v="Qingdao"/>
    <x v="7"/>
    <m/>
    <n v="2000"/>
    <n v="52200"/>
    <n v="1880.2681992337164"/>
    <n v="3125"/>
    <n v="49075"/>
    <n v="1"/>
    <s v="ECO SIROCCO 26017S"/>
    <n v="6450494050"/>
    <s v="COSCO"/>
    <m/>
    <x v="1"/>
    <m/>
    <m/>
    <m/>
    <n v="0"/>
    <n v="0"/>
    <n v="0"/>
    <n v="0"/>
    <n v="0"/>
    <n v="0"/>
    <m/>
    <n v="0"/>
    <m/>
    <n v="52200"/>
    <n v="1"/>
    <n v="3125"/>
    <n v="516.32051375182766"/>
    <n v="2839.1980056618522"/>
    <n v="6480.5185194136793"/>
    <n v="804.92656780926109"/>
    <n v="1472.25"/>
    <n v="46386.804912777057"/>
    <n v="0.88863610944017346"/>
    <n v="2742.0269559406852"/>
    <n v="43644.777956836369"/>
    <n v="0.83610685741065838"/>
    <n v="1531.8328404680283"/>
    <n v="47918.637753245086"/>
  </r>
  <r>
    <s v="MARZO"/>
    <x v="3"/>
    <s v="202-2026B"/>
    <d v="1900-03-31T00:00:00"/>
    <d v="2026-04-28T00:00:00"/>
    <n v="26.25"/>
    <x v="7"/>
    <s v="Telilla"/>
    <m/>
    <s v="China "/>
    <s v="Qingdao"/>
    <x v="7"/>
    <m/>
    <n v="2000"/>
    <n v="52500"/>
    <n v="1880.952380952381"/>
    <n v="3125"/>
    <n v="49375"/>
    <n v="1"/>
    <s v="ECO SIROCCO 26017N"/>
    <n v="6451132960"/>
    <s v="COSCO"/>
    <m/>
    <x v="1"/>
    <m/>
    <m/>
    <m/>
    <n v="0"/>
    <n v="0"/>
    <n v="0"/>
    <n v="0"/>
    <n v="0"/>
    <n v="0"/>
    <m/>
    <n v="0"/>
    <m/>
    <n v="52500"/>
    <n v="1"/>
    <n v="3125"/>
    <n v="519.28787302626347"/>
    <n v="2855.5152355794489"/>
    <n v="6499.8031086057126"/>
    <n v="809.55258256678553"/>
    <n v="1481.25"/>
    <n v="46671.894308827497"/>
    <n v="0.88898846302528567"/>
    <n v="2757.7857315495398"/>
    <n v="43914.108577277955"/>
    <n v="0.83645921099577059"/>
    <n v="1540.6364774822123"/>
    <n v="48212.530786309711"/>
  </r>
  <r>
    <s v="MARZO"/>
    <x v="3"/>
    <s v="203-2026"/>
    <d v="1900-04-06T00:00:00"/>
    <d v="2026-04-28T00:00:00"/>
    <n v="54"/>
    <x v="2"/>
    <s v="Rejos"/>
    <s v="&lt;1000 DIRTY SUCKERS ON ,SEXUAL OFF"/>
    <s v="China "/>
    <s v="shidao"/>
    <x v="19"/>
    <s v="Mark"/>
    <n v="2850"/>
    <n v="153900"/>
    <n v="2726.8518518518517"/>
    <n v="6650"/>
    <n v="147250"/>
    <n v="2"/>
    <s v="ECO SIROCCO 26017S"/>
    <n v="6451277930"/>
    <s v="COSCO"/>
    <m/>
    <x v="0"/>
    <n v="10007162"/>
    <m/>
    <m/>
    <n v="1987.6114199724566"/>
    <n v="65810.082845596728"/>
    <n v="18684.79492286162"/>
    <n v="995.02185684408607"/>
    <n v="21841.117053210222"/>
    <n v="107331.01667851266"/>
    <m/>
    <n v="2042.5329601207702"/>
    <m/>
    <n v="46568.983321487336"/>
    <n v="0.30259248422019064"/>
    <n v="6650"/>
    <n v="1068.2493387968848"/>
    <n v="5874.2027703348658"/>
    <n v="13592.452109131751"/>
    <n v="1665.365312708816"/>
    <n v="4417.5"/>
    <n v="35728.665899646774"/>
    <n v="0.23215507407177891"/>
    <n v="5673.1592191876243"/>
    <n v="30055.506680459148"/>
    <n v="0.19529244106861043"/>
    <n v="3169.3093251062655"/>
    <n v="38897.975224753041"/>
  </r>
  <r>
    <s v="MARZO"/>
    <x v="3"/>
    <s v="204-2026"/>
    <d v="1900-04-07T00:00:00"/>
    <d v="2026-04-28T00:00:00"/>
    <n v="24"/>
    <x v="4"/>
    <s v="Filete"/>
    <s v="1-2 A - AA  manto "/>
    <s v="Japón "/>
    <s v="KOBE"/>
    <x v="2"/>
    <s v="Jose"/>
    <n v="2300"/>
    <n v="53360"/>
    <n v="2166.625"/>
    <n v="3201"/>
    <n v="51999"/>
    <n v="1"/>
    <s v="ECO SIROCCO 26017N"/>
    <s v="LIMG06389600"/>
    <s v="ONE"/>
    <m/>
    <x v="0"/>
    <n v="10005721"/>
    <m/>
    <m/>
    <n v="2081.7652269777964"/>
    <n v="30342.689782920446"/>
    <n v="8891.0380555660522"/>
    <n v="544.68500404367262"/>
    <n v="10183.952604936945"/>
    <n v="49962.365447467113"/>
    <m/>
    <n v="2136.6867671261102"/>
    <m/>
    <n v="3397.634552532887"/>
    <n v="6.3673810954514368E-2"/>
    <n v="3201"/>
    <n v="474.77748390972658"/>
    <n v="2610.7567868154961"/>
    <n v="6286.5342707252221"/>
    <n v="740.16236120391818"/>
    <n v="1559.97"/>
    <n v="-2069.0920793962532"/>
    <n v="-3.877608844445752E-2"/>
    <n v="2521.4040974167219"/>
    <n v="-4590.4961768129751"/>
    <n v="-8.6028788920782889E-2"/>
    <n v="1408.5819222694513"/>
    <n v="-660.51015712680191"/>
  </r>
  <r>
    <s v="MARZO"/>
    <x v="3"/>
    <s v="205-2026"/>
    <d v="1900-04-07T00:00:00"/>
    <d v="2026-04-28T00:00:00"/>
    <n v="25.8"/>
    <x v="0"/>
    <s v="Rejos"/>
    <s v="&gt;60 CM , SUCKERS OFF"/>
    <s v="México"/>
    <s v="Mexico "/>
    <x v="20"/>
    <s v="alexander"/>
    <n v="2920"/>
    <n v="75336"/>
    <n v="2815.4651162790697"/>
    <n v="2697"/>
    <n v="72639"/>
    <n v="1"/>
    <s v="LEONIDAS Z 618N"/>
    <n v="35835231"/>
    <s v="HAPAG"/>
    <m/>
    <x v="0"/>
    <n v="10007567"/>
    <m/>
    <m/>
    <n v="2049.5842427698358"/>
    <n v="32657.318673860987"/>
    <n v="8801.2863647269314"/>
    <n v="570.7459279386444"/>
    <n v="10849.922496935198"/>
    <n v="52879.273463461766"/>
    <m/>
    <n v="2104.5057829181496"/>
    <m/>
    <n v="22456.726536538234"/>
    <n v="0.29808758809252195"/>
    <n v="2697"/>
    <n v="510.3857952029561"/>
    <n v="2806.5635458266584"/>
    <n v="6013.9493410296145"/>
    <n v="795.67453829421208"/>
    <n v="2179.17"/>
    <n v="17826.272657214409"/>
    <n v="0.23662356187233738"/>
    <n v="2710.5094047229763"/>
    <n v="15115.763252491433"/>
    <n v="0.20064462212609421"/>
    <n v="1514.2255664396603"/>
    <n v="19340.498223654071"/>
  </r>
  <r>
    <s v="MARZO"/>
    <x v="3"/>
    <s v="207-2026"/>
    <d v="1900-03-06T00:00:00"/>
    <d v="2026-04-28T00:00:00"/>
    <n v="24"/>
    <x v="5"/>
    <s v="Alas"/>
    <s v="300-500 / 500-1000"/>
    <s v="Japón "/>
    <s v="Sendai"/>
    <x v="2"/>
    <s v="Jose"/>
    <n v="2400"/>
    <n v="55680"/>
    <n v="2262.4583333333335"/>
    <n v="3301"/>
    <n v="54299"/>
    <n v="1"/>
    <s v="ECO SIROCCO 26017N"/>
    <s v="LIMG06456800"/>
    <s v="COSCO"/>
    <m/>
    <x v="0"/>
    <n v="10006720"/>
    <m/>
    <m/>
    <n v="1981.722676654683"/>
    <n v="30519.783344939922"/>
    <n v="6419.4489750357134"/>
    <n v="444.40611299210536"/>
    <n v="10177.705806744652"/>
    <n v="47561.344239712387"/>
    <m/>
    <n v="2036.6442168029967"/>
    <m/>
    <n v="8118.6557602876128"/>
    <n v="0.14580919109711948"/>
    <n v="3301"/>
    <n v="474.77748390972658"/>
    <n v="2610.7567868154961"/>
    <n v="6386.5342707252221"/>
    <n v="740.16236120391818"/>
    <n v="1628.97"/>
    <n v="2620.9291283584726"/>
    <n v="4.7071284632874869E-2"/>
    <n v="2521.4040974167219"/>
    <n v="99.525030941750629"/>
    <n v="1.7874466763963834E-3"/>
    <n v="1408.5819222694513"/>
    <n v="4029.5110506279239"/>
  </r>
  <r>
    <s v="MARZO"/>
    <x v="3"/>
    <s v="208-2026"/>
    <d v="1900-04-10T00:00:00"/>
    <d v="2026-04-28T00:00:00"/>
    <n v="27"/>
    <x v="2"/>
    <s v="Rejos"/>
    <s v="&lt;1000 "/>
    <s v="China "/>
    <s v="shidao"/>
    <x v="21"/>
    <s v="susan"/>
    <n v="3000"/>
    <n v="81000"/>
    <n v="2880.9259259259261"/>
    <n v="3215"/>
    <n v="77785"/>
    <n v="1"/>
    <s v="ECO SIROCCO 26017N"/>
    <n v="6451442940"/>
    <s v="COSCO"/>
    <m/>
    <x v="0"/>
    <n v="10007162"/>
    <m/>
    <m/>
    <n v="1987.6114199724566"/>
    <n v="32905.041422798364"/>
    <n v="9342.3974614308099"/>
    <n v="497.51092842204304"/>
    <n v="10920.558526605111"/>
    <n v="53665.508339256332"/>
    <m/>
    <n v="2042.5329601207702"/>
    <m/>
    <n v="27334.491660743668"/>
    <n v="0.33746286000918108"/>
    <n v="3215"/>
    <n v="534.12466939844239"/>
    <n v="2937.1013851674329"/>
    <n v="6686.2260545658755"/>
    <n v="832.68265635440798"/>
    <n v="2333.5499999999997"/>
    <n v="22149.132949823383"/>
    <n v="0.27344608580028867"/>
    <n v="2836.5796095938122"/>
    <n v="19312.55334022957"/>
    <n v="0.23842658444727863"/>
    <n v="1584.6546625531328"/>
    <n v="23733.787612376516"/>
  </r>
  <r>
    <s v="MARZO"/>
    <x v="3"/>
    <s v="209-2026"/>
    <d v="1900-04-10T00:00:00"/>
    <d v="2026-04-28T00:00:00"/>
    <n v="26"/>
    <x v="0"/>
    <s v="Rejos"/>
    <s v="&gt;60 CM , SUCKERS OFF"/>
    <s v="México"/>
    <s v="Mexico "/>
    <x v="20"/>
    <s v="alexander"/>
    <n v="2920"/>
    <n v="75920"/>
    <n v="2816.2692307692309"/>
    <n v="2697"/>
    <n v="73223"/>
    <n v="1"/>
    <s v="LEONIDAS Z 618N"/>
    <n v="13060709"/>
    <s v="HAPAG"/>
    <m/>
    <x v="0"/>
    <n v="10007567"/>
    <m/>
    <m/>
    <n v="2049.5842427698358"/>
    <n v="32910.476182960687"/>
    <n v="8869.513390810087"/>
    <n v="575.17031497692847"/>
    <n v="10934.030423268028"/>
    <n v="53289.190312015729"/>
    <m/>
    <n v="2104.5057829181496"/>
    <m/>
    <n v="22630.809687984271"/>
    <n v="0.298087588092522"/>
    <n v="2697"/>
    <n v="514.34227423553716"/>
    <n v="2828.319852383454"/>
    <n v="6039.6621266189904"/>
    <n v="801.84255797091134"/>
    <n v="2196.69"/>
    <n v="17985.995003394368"/>
    <n v="0.23690720499729145"/>
    <n v="2731.5211055347822"/>
    <n v="15254.473897859585"/>
    <n v="0.20092826525104829"/>
    <n v="1525.9637491252388"/>
    <n v="19511.958752519608"/>
  </r>
  <r>
    <s v="MARZO"/>
    <x v="3"/>
    <s v="210-2026A"/>
    <d v="1900-04-13T00:00:00"/>
    <d v="2026-04-28T00:00:00"/>
    <n v="108"/>
    <x v="5"/>
    <s v="Alas"/>
    <s v="&lt;1000 ENTERAS "/>
    <s v="China "/>
    <s v="shidao"/>
    <x v="19"/>
    <s v="Mark"/>
    <n v="2350"/>
    <n v="253800"/>
    <n v="2319.212962962963"/>
    <n v="3325"/>
    <n v="250475"/>
    <n v="1"/>
    <s v="ECO SIROCCO 26017N"/>
    <n v="6451281130"/>
    <s v="COSCO"/>
    <m/>
    <x v="0"/>
    <n v="10006720"/>
    <m/>
    <m/>
    <n v="1981.722676654683"/>
    <n v="137339.02505222964"/>
    <n v="28887.520387660712"/>
    <n v="1999.8275084644742"/>
    <n v="45799.676130350934"/>
    <n v="214026.04907870578"/>
    <m/>
    <n v="2036.6442168029967"/>
    <m/>
    <n v="39773.950921294221"/>
    <n v="0.15671375461502846"/>
    <n v="3325"/>
    <n v="2136.4986775937696"/>
    <n v="11748.405540669732"/>
    <n v="17209.904218263502"/>
    <n v="3330.7306254176319"/>
    <n v="7514.25"/>
    <n v="26747.566077613086"/>
    <n v="0.10538836121990972"/>
    <n v="11346.318438375249"/>
    <n v="15401.247639237838"/>
    <n v="6.0682614811811808E-2"/>
    <n v="6338.6186502125311"/>
    <n v="33086.184727825617"/>
  </r>
  <r>
    <s v="MARZO"/>
    <x v="3"/>
    <s v="210-2026A"/>
    <d v="1900-04-13T00:00:00"/>
    <d v="2026-04-28T00:00:00"/>
    <n v="27"/>
    <x v="2"/>
    <s v="Rejos"/>
    <s v="&lt;1000 DIRTY SUCKERS ON ,SEXUAL OFF"/>
    <s v="China "/>
    <s v="shidao"/>
    <x v="19"/>
    <s v="Mark"/>
    <n v="2850"/>
    <n v="76950"/>
    <n v="2726.8518518518517"/>
    <n v="3325"/>
    <n v="73625"/>
    <n v="1"/>
    <s v="ECO SIROCCO 26017N"/>
    <n v="6451281130"/>
    <s v="COSCO"/>
    <m/>
    <x v="0"/>
    <n v="10007162"/>
    <m/>
    <m/>
    <n v="1987.6114199724566"/>
    <n v="32905.041422798364"/>
    <n v="9342.3974614308099"/>
    <n v="497.51092842204304"/>
    <n v="10920.558526605111"/>
    <n v="53665.508339256332"/>
    <m/>
    <n v="2042.5329601207702"/>
    <m/>
    <n v="23284.491660743668"/>
    <n v="0.30259248422019064"/>
    <n v="3325"/>
    <n v="534.12466939844239"/>
    <n v="2937.1013851674329"/>
    <n v="6796.2260545658755"/>
    <n v="832.68265635440798"/>
    <n v="2208.75"/>
    <n v="17864.332949823387"/>
    <n v="0.23215507407177891"/>
    <n v="2836.5796095938122"/>
    <n v="15027.753340229574"/>
    <n v="0.19529244106861043"/>
    <n v="1584.6546625531328"/>
    <n v="19448.987612376521"/>
  </r>
  <r>
    <s v="MARZO"/>
    <x v="3"/>
    <s v="213-2026"/>
    <d v="1900-04-15T00:00:00"/>
    <d v="2026-04-28T00:00:00"/>
    <n v="70.900000000000006"/>
    <x v="4"/>
    <s v="Filete"/>
    <s v="1-2 A - AA  manto"/>
    <s v="Japón "/>
    <s v="KOBE"/>
    <x v="2"/>
    <s v="Jose"/>
    <n v="2300"/>
    <n v="163070"/>
    <n v="2164.5557122708037"/>
    <n v="9603"/>
    <n v="153467"/>
    <n v="3"/>
    <s v="ECO SIROCCO 26017N"/>
    <s v="LIMG06698900"/>
    <s v="COSCO"/>
    <m/>
    <x v="0"/>
    <n v="10005721"/>
    <m/>
    <m/>
    <n v="2081.7652269777964"/>
    <n v="89637.362733710819"/>
    <n v="26265.60825581805"/>
    <n v="1609.0902827790164"/>
    <n v="30085.093320417891"/>
    <n v="147597.15459272577"/>
    <m/>
    <n v="2136.6867671261102"/>
    <m/>
    <n v="15472.845407274232"/>
    <n v="9.4884683922697194E-2"/>
    <n v="9603"/>
    <n v="1402.571817049984"/>
    <n v="7712.6106743841119"/>
    <n v="18718.182491434098"/>
    <n v="2186.5629753899084"/>
    <n v="4604.01"/>
    <n v="-827.89005954977438"/>
    <n v="-5.0768998561953414E-3"/>
    <n v="7448.6479377852338"/>
    <n v="-8276.5379973350082"/>
    <n v="-5.0754510316643207E-2"/>
    <n v="4161.1857620376713"/>
    <n v="3333.295702487897"/>
  </r>
  <r>
    <s v="MARZO"/>
    <x v="3"/>
    <s v="214-2026"/>
    <d v="1900-04-16T00:00:00"/>
    <d v="2026-04-28T00:00:00"/>
    <n v="24"/>
    <x v="4"/>
    <s v="Filete"/>
    <s v="2-4 A - AA"/>
    <s v="Japón "/>
    <s v="Sendai"/>
    <x v="2"/>
    <s v="Jose"/>
    <n v="2200"/>
    <n v="52800"/>
    <n v="2062.4583333333335"/>
    <n v="3301"/>
    <n v="49499"/>
    <n v="1"/>
    <s v="ECO SIROCCO 26017N"/>
    <s v="LIMG06699300"/>
    <s v="COSCO"/>
    <m/>
    <x v="0"/>
    <n v="10005721"/>
    <m/>
    <m/>
    <n v="2081.7652269777964"/>
    <n v="30342.689782920446"/>
    <n v="8891.0380555660522"/>
    <n v="544.68500404367262"/>
    <n v="10183.952604936945"/>
    <n v="49962.365447467113"/>
    <m/>
    <n v="2136.6867671261102"/>
    <m/>
    <n v="2837.634552532887"/>
    <n v="5.3743078646456194E-2"/>
    <n v="3301"/>
    <n v="474.77748390972658"/>
    <n v="2610.7567868154961"/>
    <n v="6386.5342707252221"/>
    <n v="740.16236120391818"/>
    <n v="1484.97"/>
    <n v="-2804.0920793962532"/>
    <n v="-5.3107804534019948E-2"/>
    <n v="2521.4040974167219"/>
    <n v="-5325.4961768129751"/>
    <n v="-0.10086167001539725"/>
    <n v="1408.5819222694513"/>
    <n v="-1395.5101571268019"/>
  </r>
  <r>
    <s v="MARZO"/>
    <x v="3"/>
    <s v="218-2026A"/>
    <d v="1900-04-17T00:00:00"/>
    <d v="2026-04-27T00:00:00"/>
    <n v="134.94"/>
    <x v="2"/>
    <s v="Rejos"/>
    <s v="1-2 LIMPIO "/>
    <s v="España "/>
    <s v="Vigo"/>
    <x v="5"/>
    <s v="Jorge"/>
    <n v="2400"/>
    <n v="323856"/>
    <n v="2213.9172965762564"/>
    <n v="25110"/>
    <n v="298746"/>
    <n v="5"/>
    <s v="LEONIDAS Z 618N"/>
    <n v="23616054"/>
    <s v="HAPAG"/>
    <m/>
    <x v="0"/>
    <n v="10007162"/>
    <m/>
    <m/>
    <n v="1987.6114199724566"/>
    <n v="164452.08479971893"/>
    <n v="46691.226423906424"/>
    <n v="2486.4490622692774"/>
    <n v="54578.524725188654"/>
    <n v="268208.2850110833"/>
    <m/>
    <n v="2042.5329601207702"/>
    <m/>
    <n v="55647.714988916705"/>
    <n v="0.17182857501147641"/>
    <n v="25110"/>
    <n v="2669.4364032824378"/>
    <n v="14678.980033870126"/>
    <n v="42458.416437152562"/>
    <n v="4161.56287586903"/>
    <n v="8962.3799999999992"/>
    <n v="17990.115675895111"/>
    <n v="5.5549737154460967E-2"/>
    <n v="14176.594537725519"/>
    <n v="3813.5211381695917"/>
    <n v="1.1775360463198433E-2"/>
    <n v="7919.75185795999"/>
    <n v="25909.8675338551"/>
  </r>
  <r>
    <s v="MARZO"/>
    <x v="3"/>
    <s v="218-2026B"/>
    <d v="1900-04-17T00:00:00"/>
    <d v="2026-04-27T00:00:00"/>
    <n v="162"/>
    <x v="2"/>
    <s v="Rejos"/>
    <s v="1-2 LIMPIO "/>
    <s v="España "/>
    <s v="Vigo"/>
    <x v="5"/>
    <s v="Jorge"/>
    <n v="2400"/>
    <n v="388800"/>
    <n v="2214.0432098765432"/>
    <n v="30125"/>
    <n v="358675"/>
    <n v="6"/>
    <s v="LEONIDAS Z 618N"/>
    <n v="16115713"/>
    <s v="HAPAG"/>
    <m/>
    <x v="0"/>
    <n v="10007162"/>
    <m/>
    <m/>
    <n v="1987.6114199724566"/>
    <n v="197430.24853679017"/>
    <n v="56054.38476858486"/>
    <n v="2985.0655705322583"/>
    <n v="65523.351159630663"/>
    <n v="321993.05003553792"/>
    <m/>
    <n v="2042.5329601207702"/>
    <m/>
    <n v="66806.949964462081"/>
    <n v="0.17182857501147655"/>
    <n v="30125"/>
    <n v="3204.7480163906544"/>
    <n v="17622.608311004598"/>
    <n v="50952.356327395246"/>
    <n v="4996.0959381264483"/>
    <n v="10760.25"/>
    <n v="21618.747698940388"/>
    <n v="5.5603774945834329E-2"/>
    <n v="17019.477657562875"/>
    <n v="4599.2700413775128"/>
    <n v="1.1829398254571792E-2"/>
    <n v="9507.9279753187966"/>
    <n v="31126.675674259182"/>
  </r>
  <r>
    <m/>
    <x v="4"/>
    <s v="197-2026B"/>
    <d v="1900-03-27T00:00:00"/>
    <d v="2026-05-12T00:00:00"/>
    <n v="54"/>
    <x v="4"/>
    <s v="Filete"/>
    <s v="2-4 AA LIGERAMENTE ROSADO "/>
    <s v="China "/>
    <s v="Qingdao"/>
    <x v="18"/>
    <s v="Nana "/>
    <n v="2100"/>
    <n v="113400"/>
    <n v="1984.2592592592594"/>
    <n v="6250"/>
    <n v="107150"/>
    <n v="2"/>
    <s v="ECO SIROCCO 26019N"/>
    <n v="6500110010"/>
    <m/>
    <m/>
    <x v="0"/>
    <n v="10005721"/>
    <m/>
    <m/>
    <n v="2040.6867833638698"/>
    <n v="66923.893108070552"/>
    <n v="19610.090097728302"/>
    <n v="1201.358259566902"/>
    <n v="22461.744836283215"/>
    <n v="110197.08630164896"/>
    <m/>
    <n v="2136.6867833638698"/>
    <m/>
    <n v="3202.9136983510398"/>
    <n v="2.8244388874347794E-2"/>
    <n v="6250"/>
    <n v="0"/>
    <n v="6255.4258591842417"/>
    <n v="12505.425859184241"/>
    <n v="1095.464914320376"/>
    <n v="3214.5"/>
    <n v="-7183.4770751535762"/>
    <n v="-6.3346358687421306E-2"/>
    <n v="4560.0748510107014"/>
    <n v="-11743.551926164277"/>
    <n v="-0.10355865896088427"/>
    <n v="3380.4225280918668"/>
    <n v="-3803.0545470617094"/>
  </r>
  <r>
    <m/>
    <x v="4"/>
    <s v="197-2026C"/>
    <d v="1900-03-27T00:00:00"/>
    <d v="2026-05-15T00:00:00"/>
    <n v="26.8"/>
    <x v="4"/>
    <s v="Filete"/>
    <s v="2-4 AA LIGERAMENTE ROSADO "/>
    <s v="China "/>
    <s v="Qingdao"/>
    <x v="18"/>
    <s v="Nana "/>
    <n v="2100"/>
    <n v="56700"/>
    <n v="1991.7910447761194"/>
    <n v="2900"/>
    <n v="53380"/>
    <n v="1"/>
    <s v="ECO MARIN 26020S"/>
    <n v="6500435850"/>
    <m/>
    <m/>
    <x v="0"/>
    <n v="10005721"/>
    <m/>
    <m/>
    <n v="2040.6867833638698"/>
    <n v="33214.080283264644"/>
    <n v="9732.4150855392327"/>
    <n v="596.22965474801799"/>
    <n v="11147.680770599816"/>
    <n v="54690.405794151709"/>
    <m/>
    <n v="2136.6867833638698"/>
    <m/>
    <n v="2009.5942058482906"/>
    <n v="3.5442578586389606E-2"/>
    <n v="2900"/>
    <n v="0"/>
    <n v="3104.5446856692165"/>
    <n v="6004.5446856692161"/>
    <n v="543.67517969974222"/>
    <n v="1601.3999999999999"/>
    <n v="-2937.2256595206682"/>
    <n v="-5.1802921684667866E-2"/>
    <n v="2263.1482593904962"/>
    <n v="-5200.3739189111639"/>
    <n v="-9.171735306721629E-2"/>
    <n v="1677.6911806085561"/>
    <n v="-1259.534478912112"/>
  </r>
  <r>
    <m/>
    <x v="4"/>
    <s v="197-2026D"/>
    <d v="1900-03-27T00:00:00"/>
    <d v="2026-05-22T00:00:00"/>
    <n v="54"/>
    <x v="5"/>
    <s v="Alas"/>
    <s v="1-2 SIN CORTAR "/>
    <s v="China "/>
    <s v="Qingdao"/>
    <x v="18"/>
    <s v="Nana "/>
    <n v="2100"/>
    <n v="113400"/>
    <n v="2046.2962962962963"/>
    <n v="2900"/>
    <n v="110500"/>
    <n v="2"/>
    <s v="ECO SIROCCO 26021S"/>
    <n v="6501056160"/>
    <m/>
    <m/>
    <x v="0"/>
    <n v="10006720"/>
    <m/>
    <m/>
    <n v="1939.7385678837302"/>
    <n v="67214.703375920551"/>
    <n v="14137.759558028478"/>
    <n v="978.72991841413716"/>
    <n v="22414.689813358262"/>
    <n v="104745.88266572142"/>
    <m/>
    <n v="2035.73856788373"/>
    <m/>
    <n v="8654.1173342785769"/>
    <n v="7.6314967674414258E-2"/>
    <n v="2900"/>
    <n v="0"/>
    <n v="6255.4258591842417"/>
    <n v="9155.4258591842408"/>
    <n v="1095.464914320376"/>
    <n v="3315"/>
    <n v="1718.22656077396"/>
    <n v="1.5151909707001412E-2"/>
    <n v="4560.0748510107014"/>
    <n v="-2841.8482902367414"/>
    <n v="-2.5060390566461564E-2"/>
    <n v="3380.4225280918668"/>
    <n v="5098.6490888658263"/>
  </r>
  <r>
    <m/>
    <x v="4"/>
    <s v="197-2026E"/>
    <d v="1900-03-27T00:00:00"/>
    <d v="2026-05-28T00:00:00"/>
    <n v="27"/>
    <x v="5"/>
    <s v="Alas"/>
    <s v="1-2 SIN CORTAR "/>
    <s v="China "/>
    <s v="Qingdao"/>
    <x v="18"/>
    <s v="Nana "/>
    <n v="2100"/>
    <n v="56700"/>
    <n v="1992.5925925925926"/>
    <n v="2900"/>
    <n v="53800"/>
    <n v="1"/>
    <s v="ECO MARIN 26022S"/>
    <n v="6501720390"/>
    <m/>
    <m/>
    <x v="0"/>
    <n v="10006720"/>
    <m/>
    <m/>
    <n v="1939.7385678837302"/>
    <n v="33607.351687960276"/>
    <n v="7068.8797790142389"/>
    <n v="489.36495920706858"/>
    <n v="11207.344906679131"/>
    <n v="52372.941332860712"/>
    <m/>
    <n v="2035.73856788373"/>
    <m/>
    <n v="4327.0586671392884"/>
    <n v="7.6314967674414258E-2"/>
    <n v="2900"/>
    <n v="0"/>
    <n v="3127.7129295921209"/>
    <n v="6027.7129295921204"/>
    <n v="547.73245716018801"/>
    <n v="1614"/>
    <n v="-634.38671961301998"/>
    <n v="-1.1188478300053262E-2"/>
    <n v="2280.0374255053507"/>
    <n v="-2914.4241451183707"/>
    <n v="-5.1400778573516236E-2"/>
    <n v="1690.2112640459334"/>
    <n v="1055.8245444329134"/>
  </r>
  <r>
    <m/>
    <x v="4"/>
    <s v="198-2026C"/>
    <d v="1900-03-28T00:00:00"/>
    <d v="2026-05-08T00:00:00"/>
    <n v="81"/>
    <x v="9"/>
    <s v="Daruma"/>
    <m/>
    <s v="China"/>
    <s v="Qingdao"/>
    <x v="15"/>
    <s v="James"/>
    <n v="3900"/>
    <n v="315900"/>
    <n v="3784.2592592592591"/>
    <n v="9375"/>
    <n v="306525"/>
    <n v="3"/>
    <s v="ECO SIROCCO 26019S"/>
    <n v="6452208610"/>
    <m/>
    <m/>
    <x v="3"/>
    <n v="10009239"/>
    <m/>
    <m/>
    <n v="3345.6816659973501"/>
    <n v="133266.4488251333"/>
    <n v="86882.372552649016"/>
    <n v="1591.1190577626483"/>
    <n v="49260.27451024043"/>
    <n v="271000.21494578541"/>
    <m/>
    <n v="3441.6816659973501"/>
    <m/>
    <n v="44899.78505421459"/>
    <n v="0.14213290615452545"/>
    <n v="9375"/>
    <n v="0"/>
    <n v="9383.1387887763631"/>
    <n v="18758.138788776363"/>
    <n v="1643.1973714805642"/>
    <n v="9195.75"/>
    <n v="33694.198893957662"/>
    <n v="0.10666096515972669"/>
    <n v="6840.1122765160526"/>
    <n v="26854.086617441608"/>
    <n v="8.5008188089400472E-2"/>
    <n v="5070.6337921377999"/>
    <n v="38764.832686095462"/>
  </r>
  <r>
    <m/>
    <x v="4"/>
    <s v="198-2026C"/>
    <d v="1900-03-28T00:00:00"/>
    <d v="2026-05-08T00:00:00"/>
    <n v="27"/>
    <x v="10"/>
    <s v="Alas Precocidas"/>
    <m/>
    <s v="China"/>
    <s v="Qingdao"/>
    <x v="15"/>
    <s v="James"/>
    <n v="3950"/>
    <n v="104517"/>
    <n v="3834.2592592592591"/>
    <n v="3125"/>
    <n v="103525"/>
    <n v="1"/>
    <s v="ECO SIROCCO 26019S"/>
    <n v="6452208610"/>
    <m/>
    <m/>
    <x v="3"/>
    <n v="10009331"/>
    <m/>
    <m/>
    <n v="2924.0740355810299"/>
    <n v="45050.984239881691"/>
    <n v="17873.253347098464"/>
    <n v="818.58650252307734"/>
    <n v="15207.174871184576"/>
    <n v="78949.998960687808"/>
    <m/>
    <n v="3020.0740355810299"/>
    <m/>
    <n v="25567.001039312192"/>
    <n v="0.24462050230404808"/>
    <n v="3125"/>
    <n v="0"/>
    <n v="3127.7129295921209"/>
    <n v="6252.7129295921204"/>
    <n v="547.73245716018801"/>
    <n v="3105.75"/>
    <n v="21872.305652559884"/>
    <n v="0.2092703163366714"/>
    <n v="2280.0374255053507"/>
    <n v="19592.268227054534"/>
    <n v="0.18745532522991029"/>
    <n v="1690.2112640459334"/>
    <n v="23562.516916605819"/>
  </r>
  <r>
    <m/>
    <x v="4"/>
    <s v="198-2026D"/>
    <d v="1900-03-28T00:00:00"/>
    <d v="2026-05-15T00:00:00"/>
    <n v="26.28"/>
    <x v="10"/>
    <s v="Alas Precocidas"/>
    <m/>
    <s v="China"/>
    <s v="Qingdao"/>
    <x v="15"/>
    <s v="James"/>
    <n v="3950"/>
    <n v="103806"/>
    <n v="3839.6499238964989"/>
    <n v="2900"/>
    <n v="100906"/>
    <n v="1"/>
    <s v="ECO MARIN 26020S"/>
    <n v="6500435810"/>
    <m/>
    <m/>
    <x v="3"/>
    <n v="10009331"/>
    <m/>
    <m/>
    <n v="2924.0740355810299"/>
    <n v="43849.624660151516"/>
    <n v="17396.633257842506"/>
    <n v="796.75752912246207"/>
    <n v="14801.650207952989"/>
    <n v="76844.665655069475"/>
    <m/>
    <n v="3020.0740355810299"/>
    <m/>
    <n v="26961.334344930525"/>
    <n v="0.259728092257967"/>
    <n v="2900"/>
    <n v="0"/>
    <n v="3044.3072514696646"/>
    <n v="5944.3072514696651"/>
    <n v="533.1262583025831"/>
    <n v="3027.18"/>
    <n v="23511.080835158278"/>
    <n v="0.22649057699129413"/>
    <n v="2219.236427491875"/>
    <n v="21291.844407666402"/>
    <n v="0.20511188570666822"/>
    <n v="1645.1389636713752"/>
    <n v="25156.219798829654"/>
  </r>
  <r>
    <m/>
    <x v="4"/>
    <s v="198-2026E"/>
    <d v="1900-03-28T00:00:00"/>
    <d v="2026-05-22T00:00:00"/>
    <n v="27"/>
    <x v="10"/>
    <s v="Alas Precocidas"/>
    <m/>
    <s v="China"/>
    <s v="Qingdao"/>
    <x v="15"/>
    <s v="James"/>
    <n v="3950"/>
    <n v="104873"/>
    <n v="3842.5925925925926"/>
    <n v="2900"/>
    <n v="103750"/>
    <n v="1"/>
    <s v="ECO SIROCCO 26021S"/>
    <n v="6501056150"/>
    <m/>
    <m/>
    <x v="3"/>
    <n v="10009331"/>
    <m/>
    <m/>
    <n v="2924.0740355810299"/>
    <n v="45050.984239881691"/>
    <n v="17873.253347098464"/>
    <n v="818.58650252307734"/>
    <n v="15207.174871184576"/>
    <n v="78949.998960687808"/>
    <m/>
    <n v="3020.0740355810299"/>
    <m/>
    <n v="25923.001039312192"/>
    <n v="0.24718469996388195"/>
    <n v="2900"/>
    <n v="0"/>
    <n v="3127.7129295921209"/>
    <n v="6027.7129295921204"/>
    <n v="547.73245716018801"/>
    <n v="3112.5"/>
    <n v="22460.055652559884"/>
    <n v="0.21416432878395664"/>
    <n v="2280.0374255053507"/>
    <n v="20180.018227054534"/>
    <n v="0.19242339045373483"/>
    <n v="1690.2112640459334"/>
    <n v="24150.266916605819"/>
  </r>
  <r>
    <m/>
    <x v="4"/>
    <s v="198-2026F"/>
    <d v="1900-03-28T00:00:00"/>
    <d v="2026-05-28T00:00:00"/>
    <n v="27"/>
    <x v="10"/>
    <s v="Alas Precocidas"/>
    <m/>
    <s v="China"/>
    <s v="Qingdao"/>
    <x v="15"/>
    <s v="James"/>
    <n v="3950"/>
    <n v="104162"/>
    <n v="3842.5925925925926"/>
    <n v="2900"/>
    <n v="103750"/>
    <n v="1"/>
    <s v="ECO MARIN 26022S"/>
    <n v="6501717020"/>
    <m/>
    <m/>
    <x v="3"/>
    <n v="10009331"/>
    <m/>
    <m/>
    <n v="2924.0740355810299"/>
    <n v="45050.984239881691"/>
    <n v="17873.253347098464"/>
    <n v="818.58650252307734"/>
    <n v="15207.174871184576"/>
    <n v="78949.998960687808"/>
    <m/>
    <n v="3020.0740355810299"/>
    <m/>
    <n v="25212.001039312192"/>
    <n v="0.24204605364060014"/>
    <n v="2900"/>
    <n v="0"/>
    <n v="3127.7129295921209"/>
    <n v="6027.7129295921204"/>
    <n v="547.73245716018801"/>
    <n v="3112.5"/>
    <n v="21749.055652559884"/>
    <n v="0.20880028851750046"/>
    <n v="2280.0374255053507"/>
    <n v="19469.018227054534"/>
    <n v="0.18691094859022037"/>
    <n v="1690.2112640459334"/>
    <n v="23439.266916605819"/>
  </r>
  <r>
    <m/>
    <x v="4"/>
    <s v="199-2026"/>
    <d v="1900-03-28T00:00:00"/>
    <d v="2026-05-12T00:00:00"/>
    <n v="81"/>
    <x v="9"/>
    <s v="Daruma"/>
    <m/>
    <s v="China"/>
    <s v="Qingdao"/>
    <x v="16"/>
    <s v="James"/>
    <n v="3700"/>
    <n v="299700"/>
    <n v="3584.2592592592591"/>
    <n v="9375"/>
    <n v="290325"/>
    <n v="3"/>
    <s v="ECO SIROCCO 26019N"/>
    <n v="6500110030"/>
    <m/>
    <m/>
    <x v="3"/>
    <n v="10009239"/>
    <m/>
    <m/>
    <n v="3345.6816659973501"/>
    <n v="133266.4488251333"/>
    <n v="86882.372552649016"/>
    <n v="1591.1190577626483"/>
    <n v="49260.27451024043"/>
    <n v="271000.21494578541"/>
    <m/>
    <n v="3441.6816659973501"/>
    <m/>
    <n v="28699.78505421459"/>
    <n v="9.5761711892607904E-2"/>
    <n v="9375"/>
    <n v="0"/>
    <n v="9383.1387887763631"/>
    <n v="18758.138788776363"/>
    <n v="1643.1973714805642"/>
    <n v="8709.75"/>
    <n v="17008.198893957662"/>
    <n v="5.675074706025246E-2"/>
    <n v="6840.1122765160526"/>
    <n v="10168.08661744161"/>
    <n v="3.3927549607746445E-2"/>
    <n v="5070.6337921377999"/>
    <n v="22078.832686095462"/>
  </r>
  <r>
    <m/>
    <x v="4"/>
    <s v="206-2026"/>
    <d v="1900-04-07T00:00:00"/>
    <d v="2026-05-18T00:00:00"/>
    <n v="26"/>
    <x v="0"/>
    <s v="Rejos"/>
    <m/>
    <s v="España"/>
    <s v="Valencia"/>
    <x v="0"/>
    <s v="Ignacio / Ives"/>
    <n v="3100"/>
    <n v="80600"/>
    <n v="2888.0769230769229"/>
    <n v="5510"/>
    <n v="75090"/>
    <m/>
    <m/>
    <m/>
    <m/>
    <m/>
    <x v="0"/>
    <n v="10007567"/>
    <m/>
    <m/>
    <n v="1725.2402425897003"/>
    <n v="27702.436781472541"/>
    <n v="7465.9246078777433"/>
    <n v="484.15037207749674"/>
    <n v="9203.7345459044245"/>
    <n v="44856.246307332207"/>
    <m/>
    <n v="1821.2402425897001"/>
    <m/>
    <n v="35743.753692667793"/>
    <n v="0.44347088948719349"/>
    <n v="5510"/>
    <n v="0"/>
    <n v="3011.8717099775981"/>
    <n v="8521.8717099775986"/>
    <n v="527.44606985795883"/>
    <n v="2252.6999999999998"/>
    <n v="28947.135912832236"/>
    <n v="0.35914560685896074"/>
    <n v="2195.5915949310784"/>
    <n v="26751.544317901156"/>
    <n v="0.33190501635113095"/>
    <n v="1627.6108468590469"/>
    <n v="30574.746759691283"/>
  </r>
  <r>
    <m/>
    <x v="4"/>
    <s v="210-2026B"/>
    <d v="1900-04-13T00:00:00"/>
    <d v="2026-05-12T00:00:00"/>
    <n v="81"/>
    <x v="2"/>
    <s v="Rejos"/>
    <s v="&lt;1000 DIRTY SUCKERS ON ,SEXUAL OFF"/>
    <s v="China "/>
    <s v="shidao"/>
    <x v="19"/>
    <s v="Mark"/>
    <n v="2850"/>
    <n v="230850"/>
    <n v="2726.8518518518517"/>
    <n v="9975"/>
    <n v="220875"/>
    <n v="3"/>
    <s v="ECO SIROCCO 26019N"/>
    <n v="6452208600"/>
    <m/>
    <m/>
    <x v="0"/>
    <n v="10007162"/>
    <m/>
    <m/>
    <n v="1786.1795185638503"/>
    <n v="88710.96803374977"/>
    <n v="25186.812923607369"/>
    <n v="1341.273985970739"/>
    <n v="29441.486060343988"/>
    <n v="144680.54100367188"/>
    <m/>
    <n v="1882.17951856385"/>
    <m/>
    <n v="86169.458996328118"/>
    <n v="0.37327034436356127"/>
    <n v="9975"/>
    <n v="0"/>
    <n v="9383.1387887763631"/>
    <n v="19358.138788776363"/>
    <n v="1643.1973714805642"/>
    <n v="6626.25"/>
    <n v="71794.372836071198"/>
    <n v="0.31100009892168595"/>
    <n v="6840.1122765160526"/>
    <n v="64954.260559555143"/>
    <n v="0.28136998293071319"/>
    <n v="5070.6337921377999"/>
    <n v="76865.006628208997"/>
  </r>
  <r>
    <m/>
    <x v="4"/>
    <s v="211-2026"/>
    <d v="1900-04-13T00:00:00"/>
    <d v="2026-05-12T00:00:00"/>
    <n v="27"/>
    <x v="13"/>
    <s v="TUBOALETA"/>
    <s v="&lt;1.5"/>
    <s v="China "/>
    <s v="shidao"/>
    <x v="22"/>
    <s v="Mark"/>
    <n v="2000"/>
    <n v="54080"/>
    <n v="1888.851851851852"/>
    <n v="3001"/>
    <n v="50999"/>
    <n v="1"/>
    <s v="ECO SIROCCO 26019N"/>
    <s v="LIMG07571700"/>
    <m/>
    <m/>
    <x v="0"/>
    <n v="10005721"/>
    <m/>
    <m/>
    <n v="2040.6867833638698"/>
    <n v="33461.946554035276"/>
    <n v="9805.0450488641509"/>
    <n v="600.679129783451"/>
    <n v="11230.872418141607"/>
    <n v="55098.54315082448"/>
    <m/>
    <n v="2136.6867833638698"/>
    <m/>
    <n v="-1018.5431508244801"/>
    <n v="-1.8834007966428996E-2"/>
    <n v="3001"/>
    <n v="0"/>
    <n v="3127.7129295921209"/>
    <n v="6128.7129295921204"/>
    <n v="547.73245716018801"/>
    <n v="1529.97"/>
    <n v="-6165.0185375767878"/>
    <n v="-0.11399812384572462"/>
    <n v="2280.0374255053507"/>
    <n v="-8445.055963082139"/>
    <n v="-0.15615857919900406"/>
    <n v="1690.2112640459334"/>
    <n v="-4474.8072735308542"/>
  </r>
  <r>
    <m/>
    <x v="4"/>
    <s v="212-2026"/>
    <d v="1900-04-15T00:00:00"/>
    <d v="2026-05-12T00:00:00"/>
    <n v="11.5"/>
    <x v="1"/>
    <s v="Nucas"/>
    <s v="100-300"/>
    <s v="Tailandia "/>
    <s v="Lat Krabang"/>
    <x v="1"/>
    <s v="Julieta"/>
    <n v="1200"/>
    <n v="13800"/>
    <n v="1047.7826086956522"/>
    <n v="1750.5"/>
    <n v="12049.5"/>
    <n v="1"/>
    <s v="ECO SIROCCO 26019N"/>
    <s v="LIMG07568600"/>
    <m/>
    <m/>
    <x v="0"/>
    <n v="10005779"/>
    <m/>
    <m/>
    <n v="1657.6934474995803"/>
    <n v="11068.267728494764"/>
    <n v="4212.1493580126962"/>
    <n v="121.76421066817863"/>
    <n v="3661.293349069535"/>
    <n v="19063.474646245173"/>
    <m/>
    <n v="1753.6934474995801"/>
    <m/>
    <n v="-5263.4746462451731"/>
    <n v="-0.38141120624965025"/>
    <n v="1750.5"/>
    <n v="0"/>
    <n v="1332.1740255670145"/>
    <n v="3082.6740255670147"/>
    <n v="233.29345397563566"/>
    <n v="361.48500000000001"/>
    <n v="-8217.9571257878233"/>
    <n v="-0.59550413954984227"/>
    <n v="971.12705160413088"/>
    <n v="-9189.0841773919547"/>
    <n v="-0.66587566502840256"/>
    <n v="719.90479764919382"/>
    <n v="-7498.0523281386295"/>
  </r>
  <r>
    <m/>
    <x v="4"/>
    <s v="212-2026"/>
    <d v="1900-04-15T00:00:00"/>
    <d v="2026-05-12T00:00:00"/>
    <n v="11"/>
    <x v="1"/>
    <s v="Nucas"/>
    <s v="300-500"/>
    <s v="Tailandia "/>
    <s v="Lat Krabang"/>
    <x v="1"/>
    <s v="Julieta"/>
    <n v="1300"/>
    <n v="14300"/>
    <n v="1140.8636363636363"/>
    <n v="1750.5"/>
    <n v="12549.5"/>
    <m/>
    <s v="ECO SIROCCO 26019N"/>
    <s v="LIMG07568600"/>
    <m/>
    <m/>
    <x v="0"/>
    <n v="10005779"/>
    <m/>
    <m/>
    <n v="1657.6934474995803"/>
    <n v="10587.038696821079"/>
    <n v="4029.0124294034486"/>
    <n v="116.47011455217087"/>
    <n v="3502.1066817186856"/>
    <n v="18234.627922495383"/>
    <m/>
    <n v="1753.6934474995801"/>
    <m/>
    <n v="-3934.6279224953832"/>
    <n v="-0.27514880576890793"/>
    <n v="1750.5"/>
    <n v="0"/>
    <n v="1274.2534157597529"/>
    <n v="3024.7534157597529"/>
    <n v="223.15026032452107"/>
    <n v="376.48500000000001"/>
    <n v="-6806.0465985796573"/>
    <n v="-0.47594731458599004"/>
    <n v="928.90413631699471"/>
    <n v="-7734.9507348966517"/>
    <n v="-0.54090564579696865"/>
    <n v="688.60458905575058"/>
    <n v="-6117.4420095239066"/>
  </r>
  <r>
    <m/>
    <x v="4"/>
    <s v="215-2026"/>
    <d v="1900-04-16T00:00:00"/>
    <d v="2026-05-12T00:00:00"/>
    <n v="26.25"/>
    <x v="8"/>
    <s v="Telilla"/>
    <m/>
    <s v="China "/>
    <s v="Qingdao"/>
    <x v="7"/>
    <m/>
    <n v="2050"/>
    <n v="53812.5"/>
    <n v="1947.104761904762"/>
    <n v="2701"/>
    <n v="51111.5"/>
    <n v="1"/>
    <s v="ECO SIROCCO 26019N"/>
    <s v="LIMG07572800"/>
    <m/>
    <m/>
    <x v="1"/>
    <m/>
    <m/>
    <m/>
    <n v="0"/>
    <n v="0"/>
    <n v="0"/>
    <n v="0"/>
    <n v="0"/>
    <n v="0"/>
    <m/>
    <m/>
    <m/>
    <n v="53812.5"/>
    <n v="1"/>
    <n v="2701"/>
    <n v="0"/>
    <n v="3040.8320148812286"/>
    <n v="5741.832014881229"/>
    <n v="532.51766668351615"/>
    <n v="1533.345"/>
    <n v="49071.495318435256"/>
    <n v="0.91189770626592814"/>
    <n v="2216.7030525746468"/>
    <n v="46854.792265860611"/>
    <n v="0.87070461818091727"/>
    <n v="1643.2609511557685"/>
    <n v="50714.756269591024"/>
  </r>
  <r>
    <m/>
    <x v="4"/>
    <s v="216-2026"/>
    <d v="2025-04-17T00:00:00"/>
    <d v="2026-05-18T00:00:00"/>
    <n v="27"/>
    <x v="11"/>
    <s v="Recortes cocidos "/>
    <m/>
    <s v="España "/>
    <s v="Vigo"/>
    <x v="3"/>
    <s v="Jorge"/>
    <n v="2350"/>
    <n v="60536"/>
    <n v="2162.962962962963"/>
    <n v="5050"/>
    <n v="58400"/>
    <n v="1"/>
    <s v="IZMIT EXPRESS 621N"/>
    <n v="24658732"/>
    <m/>
    <m/>
    <x v="1"/>
    <n v="10007050"/>
    <m/>
    <m/>
    <n v="0"/>
    <n v="0"/>
    <n v="0"/>
    <n v="0"/>
    <n v="0"/>
    <n v="0"/>
    <m/>
    <m/>
    <m/>
    <n v="60536"/>
    <n v="1"/>
    <n v="5050"/>
    <n v="0"/>
    <n v="3127.7129295921209"/>
    <n v="8177.7129295921204"/>
    <n v="547.73245716018801"/>
    <n v="1752"/>
    <n v="53562.554613247696"/>
    <n v="0.88480498568203536"/>
    <n v="2280.0374255053507"/>
    <n v="51282.517187742342"/>
    <n v="0.84714082839537375"/>
    <n v="1690.2112640459334"/>
    <n v="55252.765877293627"/>
  </r>
  <r>
    <m/>
    <x v="4"/>
    <s v="217-2026"/>
    <d v="1900-04-17T00:00:00"/>
    <d v="2026-05-12T00:00:00"/>
    <n v="22.5"/>
    <x v="1"/>
    <s v="Nucas"/>
    <s v="100-300"/>
    <s v="Tailandia "/>
    <s v="Lat Krabang"/>
    <x v="1"/>
    <s v="Julieta"/>
    <n v="1050"/>
    <n v="23675"/>
    <n v="894.4"/>
    <n v="3501"/>
    <n v="20124"/>
    <n v="1"/>
    <s v="ECO SIROCCO 26019N"/>
    <s v="LIMG07569700"/>
    <m/>
    <m/>
    <x v="0"/>
    <n v="10005779"/>
    <m/>
    <m/>
    <n v="1657.6934474995803"/>
    <n v="21655.306425315841"/>
    <n v="8241.1617874161457"/>
    <n v="238.23432522034949"/>
    <n v="7163.4000307882206"/>
    <n v="37298.102568740556"/>
    <m/>
    <n v="1753.6934474995801"/>
    <m/>
    <n v="-13623.102568740556"/>
    <n v="-0.57542143901755249"/>
    <n v="3501"/>
    <n v="0"/>
    <n v="2606.4274413267676"/>
    <n v="6107.4274413267676"/>
    <n v="456.44371430015673"/>
    <n v="603.72"/>
    <n v="-19583.253724367478"/>
    <n v="-0.82717016787191033"/>
    <n v="1900.0311879211256"/>
    <n v="-21483.284912288604"/>
    <n v="-0.90742491709772344"/>
    <n v="1408.5093867049443"/>
    <n v="-18174.744337662534"/>
  </r>
  <r>
    <m/>
    <x v="4"/>
    <s v="220-2026"/>
    <d v="1900-04-21T00:00:00"/>
    <d v="2026-05-12T00:00:00"/>
    <n v="112"/>
    <x v="1"/>
    <s v="Nucas"/>
    <s v="500 - UP"/>
    <s v="Tailandia "/>
    <s v="Lat Krabang"/>
    <x v="2"/>
    <s v="Jose"/>
    <n v="1250"/>
    <n v="140000"/>
    <n v="1093.7053571428571"/>
    <n v="17505"/>
    <n v="122495"/>
    <n v="5"/>
    <s v="ECO SIROCCO 26019N"/>
    <s v="LIMG07120400"/>
    <m/>
    <m/>
    <x v="0"/>
    <n v="10005779"/>
    <m/>
    <m/>
    <n v="1657.6934474995803"/>
    <n v="107795.30309490552"/>
    <n v="41022.672008471476"/>
    <n v="1185.8775299857398"/>
    <n v="35657.813486590254"/>
    <n v="185661.66611995301"/>
    <m/>
    <n v="1753.6934474995801"/>
    <m/>
    <n v="-45661.666119953006"/>
    <n v="-0.32615475799966431"/>
    <n v="17505"/>
    <n v="0"/>
    <n v="12974.216596826576"/>
    <n v="30479.216596826576"/>
    <n v="2272.0753778496692"/>
    <n v="3674.85"/>
    <n v="-74738.10809462925"/>
    <n v="-0.53384362924735174"/>
    <n v="9457.9330243184922"/>
    <n v="-84196.041118947745"/>
    <n v="-0.60140029370676962"/>
    <n v="7011.2467249312785"/>
    <n v="-67726.861369697974"/>
  </r>
  <r>
    <m/>
    <x v="4"/>
    <s v="221-2026A"/>
    <d v="1900-04-22T00:00:00"/>
    <d v="2026-05-15T00:00:00"/>
    <n v="48"/>
    <x v="4"/>
    <s v="Filete"/>
    <s v="1-2 A - AA  "/>
    <s v="Japón "/>
    <s v="KOBE"/>
    <x v="2"/>
    <s v="Jose"/>
    <n v="2300"/>
    <n v="107640"/>
    <n v="2166.625"/>
    <n v="6402"/>
    <n v="103998"/>
    <n v="2"/>
    <s v="ECO MARIN  260220S"/>
    <s v="LIMG07124800"/>
    <m/>
    <m/>
    <x v="0"/>
    <n v="10005721"/>
    <m/>
    <m/>
    <n v="2040.6867833638698"/>
    <n v="59487.904984951601"/>
    <n v="17431.191197980712"/>
    <n v="1067.8740085039128"/>
    <n v="19965.995410029522"/>
    <n v="97952.965601465752"/>
    <m/>
    <n v="2136.6867833638698"/>
    <m/>
    <n v="9687.0343985342479"/>
    <n v="8.9994745434171755E-2"/>
    <n v="6402"/>
    <n v="0"/>
    <n v="5560.3785414971044"/>
    <n v="11962.378541497104"/>
    <n v="973.74659050700097"/>
    <n v="3119.94"/>
    <n v="-129.15073346985764"/>
    <n v="-1.199839590020974E-3"/>
    <n v="4053.3998675650682"/>
    <n v="-4182.5506010349254"/>
    <n v="-3.8856843190588304E-2"/>
    <n v="3004.8200249705478"/>
    <n v="2875.6692915006902"/>
  </r>
  <r>
    <m/>
    <x v="4"/>
    <s v="222-2026A"/>
    <d v="1900-04-23T00:00:00"/>
    <d v="2026-05-18T00:00:00"/>
    <n v="26"/>
    <x v="14"/>
    <s v="Labios"/>
    <m/>
    <s v="España "/>
    <s v="Vigo"/>
    <x v="11"/>
    <s v="Ramon"/>
    <n v="1400"/>
    <n v="34720"/>
    <n v="1205.7692307692307"/>
    <n v="5050"/>
    <n v="31350"/>
    <n v="1"/>
    <s v="IZMIT EXPRESS 621N"/>
    <n v="91002009"/>
    <m/>
    <m/>
    <x v="1"/>
    <m/>
    <m/>
    <m/>
    <n v="0"/>
    <n v="0"/>
    <n v="0"/>
    <n v="0"/>
    <n v="0"/>
    <n v="0"/>
    <m/>
    <m/>
    <m/>
    <n v="34720"/>
    <n v="1"/>
    <n v="5050"/>
    <n v="0"/>
    <n v="3011.8717099775981"/>
    <n v="8061.8717099775986"/>
    <n v="527.44606985795883"/>
    <n v="940.5"/>
    <n v="27071.182220164443"/>
    <n v="0.77969994873745518"/>
    <n v="2195.5915949310784"/>
    <n v="24875.590625233366"/>
    <n v="0.71646286362999323"/>
    <n v="1627.6108468590469"/>
    <n v="28698.793067023489"/>
  </r>
  <r>
    <m/>
    <x v="4"/>
    <s v="223-2026"/>
    <d v="2025-04-24T00:00:00"/>
    <d v="2026-05-15T00:00:00"/>
    <n v="26"/>
    <x v="1"/>
    <s v="Nucas"/>
    <s v="1000 - up "/>
    <s v="Tailandia "/>
    <s v="Lat Krabang"/>
    <x v="23"/>
    <s v="Tar"/>
    <n v="1300"/>
    <n v="29250"/>
    <n v="1157.6923076923076"/>
    <n v="3700"/>
    <n v="30100"/>
    <n v="1"/>
    <s v="ECO MARIN 26020S"/>
    <n v="6500435880"/>
    <m/>
    <m/>
    <x v="0"/>
    <n v="10005779"/>
    <m/>
    <m/>
    <n v="1657.6934474995803"/>
    <n v="25023.90964703164"/>
    <n v="9523.1202876808784"/>
    <n v="275.29299803240389"/>
    <n v="8277.7067022441661"/>
    <n v="43100.029634989085"/>
    <m/>
    <n v="1753.6934474995801"/>
    <m/>
    <n v="-13850.029634989085"/>
    <n v="-0.47350528666629349"/>
    <n v="3700"/>
    <n v="0"/>
    <n v="3011.8717099775981"/>
    <n v="6711.8717099775986"/>
    <n v="527.44606985795883"/>
    <n v="903"/>
    <n v="-20186.347414824642"/>
    <n v="-0.69013153554956042"/>
    <n v="2195.5915949310784"/>
    <n v="-22381.939009755719"/>
    <n v="-0.76519449606002454"/>
    <n v="1627.6108468590469"/>
    <n v="-18558.736567965596"/>
  </r>
  <r>
    <m/>
    <x v="4"/>
    <s v="224-2026A"/>
    <d v="1900-04-29T00:00:00"/>
    <d v="2026-05-22T00:00:00"/>
    <n v="54"/>
    <x v="2"/>
    <s v="Rejos"/>
    <s v="300-500 SUCIO "/>
    <s v="China "/>
    <s v="Yantai"/>
    <x v="24"/>
    <s v="LYNN"/>
    <n v="3050"/>
    <n v="164700"/>
    <n v="2931.4444444444443"/>
    <n v="6402"/>
    <n v="158298"/>
    <n v="2"/>
    <s v="ECO SIROCCO 26021S"/>
    <s v=" LIMG08114800"/>
    <m/>
    <m/>
    <x v="0"/>
    <n v="10007162"/>
    <m/>
    <m/>
    <n v="1786.1795185638503"/>
    <n v="59140.645355833178"/>
    <n v="16791.208615738247"/>
    <n v="894.18265731382598"/>
    <n v="19627.657373562659"/>
    <n v="96453.694002447912"/>
    <m/>
    <n v="1882.17951856385"/>
    <m/>
    <n v="68246.305997552088"/>
    <n v="0.41436737096267207"/>
    <n v="6402"/>
    <n v="0"/>
    <n v="6255.4258591842417"/>
    <n v="12657.425859184241"/>
    <n v="1095.464914320376"/>
    <n v="4748.9399999999996"/>
    <n v="59242.355224047475"/>
    <n v="0.35969857452366411"/>
    <n v="4560.0748510107014"/>
    <n v="54682.280373036774"/>
    <n v="0.33201141695832892"/>
    <n v="3380.4225280918668"/>
    <n v="62622.777752139344"/>
  </r>
  <r>
    <m/>
    <x v="4"/>
    <s v="225-2026"/>
    <d v="1900-04-29T00:00:00"/>
    <d v="2026-05-28T00:00:00"/>
    <n v="27"/>
    <x v="2"/>
    <s v="Rejos"/>
    <s v="300-500 SUCIO eyes off , neck off , beak off , sex leg off,"/>
    <s v="China "/>
    <s v="shidao"/>
    <x v="25"/>
    <s v="Cherry"/>
    <n v="3100"/>
    <n v="83700"/>
    <n v="2981.4814814814813"/>
    <n v="3200"/>
    <n v="80500"/>
    <n v="1"/>
    <s v="ECO SIROCCO 26021S"/>
    <n v="6501720400"/>
    <m/>
    <m/>
    <x v="0"/>
    <n v="10007162"/>
    <m/>
    <m/>
    <n v="1786.1795185638503"/>
    <n v="29570.322677916589"/>
    <n v="8395.6043078691237"/>
    <n v="447.09132865691299"/>
    <n v="9813.8286867813295"/>
    <n v="48226.847001223956"/>
    <m/>
    <n v="1882.17951856385"/>
    <m/>
    <n v="35473.152998776044"/>
    <n v="0.42381305852779028"/>
    <n v="3200"/>
    <n v="0"/>
    <n v="3127.7129295921209"/>
    <n v="6327.7129295921204"/>
    <n v="547.73245716018801"/>
    <n v="2415"/>
    <n v="31012.707612023736"/>
    <n v="0.37052219369203987"/>
    <n v="2280.0374255053507"/>
    <n v="28732.670186518386"/>
    <n v="0.34328160318421008"/>
    <n v="1690.2112640459334"/>
    <n v="32702.918876069671"/>
  </r>
  <r>
    <m/>
    <x v="4"/>
    <s v="227-2026A"/>
    <d v="1900-05-01T00:00:00"/>
    <d v="2026-05-22T00:00:00"/>
    <n v="108"/>
    <x v="9"/>
    <s v="Daruma"/>
    <m/>
    <s v="China"/>
    <s v="Qingdao"/>
    <x v="15"/>
    <s v="James"/>
    <n v="3900"/>
    <n v="421200"/>
    <n v="3846.2962962962961"/>
    <n v="5800"/>
    <n v="415400"/>
    <n v="2"/>
    <s v="ECO SIROCCO 26021S"/>
    <n v="6452679230"/>
    <m/>
    <m/>
    <x v="3"/>
    <n v="10009239"/>
    <m/>
    <m/>
    <n v="3345.6816659973501"/>
    <n v="177688.59843351107"/>
    <n v="115843.16340353203"/>
    <n v="2121.4920770168642"/>
    <n v="65680.366013653911"/>
    <n v="361333.61992771388"/>
    <m/>
    <n v="3441.6816659973501"/>
    <m/>
    <n v="59866.38007228612"/>
    <n v="0.14213290615452545"/>
    <n v="5800"/>
    <n v="0"/>
    <n v="12510.851718368483"/>
    <n v="18310.851718368482"/>
    <n v="2190.929828640752"/>
    <n v="12462"/>
    <n v="51826.598525276888"/>
    <n v="0.12304510571053393"/>
    <n v="9120.1497020214028"/>
    <n v="42706.448823255487"/>
    <n v="0.10139232864020771"/>
    <n v="6760.8450561837335"/>
    <n v="58587.443581460619"/>
  </r>
  <r>
    <m/>
    <x v="4"/>
    <s v="227-2026B"/>
    <d v="1900-05-01T00:00:00"/>
    <d v="2026-05-28T00:00:00"/>
    <n v="27"/>
    <x v="9"/>
    <s v="Daruma"/>
    <m/>
    <s v="China"/>
    <s v="Qingdao"/>
    <x v="15"/>
    <s v="James"/>
    <n v="3900"/>
    <n v="105300"/>
    <n v="3792.5925925925926"/>
    <n v="2900"/>
    <n v="102400"/>
    <n v="1"/>
    <s v="ECO MARIN 26022S"/>
    <n v="6502035370"/>
    <m/>
    <m/>
    <x v="3"/>
    <n v="10009239"/>
    <m/>
    <m/>
    <n v="3345.6816659973501"/>
    <n v="44422.149608377767"/>
    <n v="28960.790850883008"/>
    <n v="530.37301925421605"/>
    <n v="16420.091503413478"/>
    <n v="90333.40498192847"/>
    <m/>
    <n v="3441.6816659973501"/>
    <m/>
    <n v="14966.59501807153"/>
    <n v="0.14213290615452545"/>
    <n v="2900"/>
    <n v="0"/>
    <n v="3127.7129295921209"/>
    <n v="6027.7129295921204"/>
    <n v="547.73245716018801"/>
    <n v="3072"/>
    <n v="11463.149631319222"/>
    <n v="0.10886181986058141"/>
    <n v="2280.0374255053507"/>
    <n v="9183.1122058138717"/>
    <n v="8.7209042790255195E-2"/>
    <n v="1690.2112640459334"/>
    <n v="13153.360895365155"/>
  </r>
  <r>
    <m/>
    <x v="4"/>
    <s v="228-2026"/>
    <d v="1900-05-05T00:00:00"/>
    <d v="2026-05-28T00:00:00"/>
    <n v="27"/>
    <x v="11"/>
    <s v="Recortes cocidos "/>
    <s v="cut from Daruma,plate frozen"/>
    <s v="China "/>
    <s v="Yantai"/>
    <x v="26"/>
    <s v="Alicia"/>
    <n v="2500"/>
    <n v="66250"/>
    <n v="2381.4814814814813"/>
    <n v="3200"/>
    <n v="64300"/>
    <n v="1"/>
    <s v="ECO MARIN 26022S"/>
    <n v="6502035350"/>
    <m/>
    <m/>
    <x v="1"/>
    <n v="10007050"/>
    <m/>
    <m/>
    <n v="0"/>
    <n v="0"/>
    <n v="0"/>
    <n v="0"/>
    <n v="0"/>
    <n v="0"/>
    <m/>
    <m/>
    <m/>
    <n v="66250"/>
    <n v="1"/>
    <n v="3200"/>
    <n v="0"/>
    <n v="3127.7129295921209"/>
    <n v="6327.7129295921204"/>
    <n v="547.73245716018801"/>
    <n v="1929"/>
    <n v="61303.554613247696"/>
    <n v="0.92533667340751236"/>
    <n v="2280.0374255053507"/>
    <n v="59023.517187742342"/>
    <n v="0.89092101415460134"/>
    <n v="1690.2112640459334"/>
    <n v="62993.765877293627"/>
  </r>
  <r>
    <m/>
    <x v="4"/>
    <s v="229-2026A"/>
    <d v="1900-05-07T00:00:00"/>
    <d v="2026-05-15T00:00:00"/>
    <n v="81"/>
    <x v="2"/>
    <s v="Rejos"/>
    <s v="500-1000 SUCIO "/>
    <s v="China "/>
    <s v="Mawei"/>
    <x v="9"/>
    <s v="James"/>
    <n v="2900"/>
    <n v="234900"/>
    <n v="2792.5925925925926"/>
    <n v="8700"/>
    <n v="226200"/>
    <n v="3"/>
    <s v="ECO MARIN  260220S"/>
    <n v="6500435910"/>
    <m/>
    <m/>
    <x v="0"/>
    <n v="10007162"/>
    <m/>
    <m/>
    <n v="1786.1795185638503"/>
    <n v="88710.96803374977"/>
    <n v="25186.812923607369"/>
    <n v="1341.273985970739"/>
    <n v="29441.486060343988"/>
    <n v="144680.54100367188"/>
    <m/>
    <n v="1882.17951856385"/>
    <m/>
    <n v="90219.458996328118"/>
    <n v="0.38407602808143088"/>
    <n v="8700"/>
    <n v="0"/>
    <n v="9383.1387887763631"/>
    <n v="18083.138788776363"/>
    <n v="1643.1973714805642"/>
    <n v="6786"/>
    <n v="77279.122836071198"/>
    <n v="0.32898732582405787"/>
    <n v="6840.1122765160526"/>
    <n v="70439.010559555143"/>
    <n v="0.29986807390189502"/>
    <n v="5070.6337921377999"/>
    <n v="82349.756628208997"/>
  </r>
  <r>
    <m/>
    <x v="4"/>
    <s v="229-2026B"/>
    <d v="1900-05-07T00:00:00"/>
    <d v="2026-05-22T00:00:00"/>
    <n v="54"/>
    <x v="2"/>
    <s v="Rejos"/>
    <s v="500-1000 SUCIO "/>
    <s v="China "/>
    <s v="shidao"/>
    <x v="9"/>
    <s v="James"/>
    <n v="2900"/>
    <n v="156600"/>
    <n v="2788.8518518518517"/>
    <n v="6002"/>
    <n v="150598"/>
    <n v="2"/>
    <s v="ECO SIROCCO 26021S"/>
    <s v=" LIMG08415500"/>
    <m/>
    <m/>
    <x v="0"/>
    <n v="10007162"/>
    <m/>
    <m/>
    <n v="1786.1795185638503"/>
    <n v="59140.645355833178"/>
    <n v="16791.208615738247"/>
    <n v="894.18265731382598"/>
    <n v="19627.657373562659"/>
    <n v="96453.694002447912"/>
    <m/>
    <n v="1882.17951856385"/>
    <m/>
    <n v="60146.305997552088"/>
    <n v="0.38407602808143099"/>
    <n v="6002"/>
    <n v="0"/>
    <n v="6255.4258591842417"/>
    <n v="12257.425859184241"/>
    <n v="1095.464914320376"/>
    <n v="4517.9399999999996"/>
    <n v="51311.355224047475"/>
    <n v="0.32765871790579487"/>
    <n v="4560.0748510107014"/>
    <n v="46751.280373036774"/>
    <n v="0.29853946598363201"/>
    <n v="3380.4225280918668"/>
    <n v="54691.777752139344"/>
  </r>
  <r>
    <m/>
    <x v="4"/>
    <s v="229-2026C"/>
    <d v="1900-05-07T00:00:00"/>
    <d v="2026-05-28T00:00:00"/>
    <n v="81"/>
    <x v="2"/>
    <s v="Rejos"/>
    <s v="500-1000 SUCIO "/>
    <s v="China "/>
    <s v="Xiamen"/>
    <x v="9"/>
    <s v="James"/>
    <n v="2900"/>
    <n v="234900"/>
    <n v="2828.3950617283949"/>
    <n v="5800"/>
    <n v="229100"/>
    <n v="2"/>
    <s v="ECO MARIN 26022S"/>
    <n v="6502035420"/>
    <m/>
    <m/>
    <x v="0"/>
    <n v="10007162"/>
    <m/>
    <m/>
    <n v="1786.1795185638503"/>
    <n v="88710.96803374977"/>
    <n v="25186.812923607369"/>
    <n v="1341.273985970739"/>
    <n v="29441.486060343988"/>
    <n v="144680.54100367188"/>
    <m/>
    <n v="1882.17951856385"/>
    <m/>
    <n v="90219.458996328118"/>
    <n v="0.38407602808143088"/>
    <n v="5800"/>
    <n v="0"/>
    <n v="9383.1387887763631"/>
    <n v="15183.138788776363"/>
    <n v="1643.1973714805642"/>
    <n v="6873"/>
    <n v="80266.122836071198"/>
    <n v="0.34170337520677396"/>
    <n v="6840.1122765160526"/>
    <n v="73426.010559555143"/>
    <n v="0.3125841232846111"/>
    <n v="5070.6337921377999"/>
    <n v="85336.756628208997"/>
  </r>
  <r>
    <m/>
    <x v="4"/>
    <s v="230-2026"/>
    <d v="1900-05-07T00:00:00"/>
    <d v="2026-05-28T00:00:00"/>
    <n v="216"/>
    <x v="5"/>
    <s v="Alas"/>
    <s v="500-1000"/>
    <s v="China "/>
    <m/>
    <x v="9"/>
    <s v="James"/>
    <n v="1950"/>
    <n v="421200"/>
    <n v="1842.5925925925926"/>
    <n v="23200"/>
    <n v="398000"/>
    <n v="8"/>
    <s v="ECO MARIN 26022S"/>
    <n v="6452679320"/>
    <m/>
    <m/>
    <x v="0"/>
    <n v="10006720"/>
    <m/>
    <m/>
    <n v="1939.7385678837302"/>
    <n v="268858.81350368221"/>
    <n v="56551.038232113911"/>
    <n v="3914.9196736565486"/>
    <n v="89658.759253433047"/>
    <n v="418983.53066288569"/>
    <m/>
    <n v="2035.73856788373"/>
    <m/>
    <n v="2216.4693371143076"/>
    <n v="5.2622728801384319E-3"/>
    <n v="23200"/>
    <n v="0"/>
    <n v="25021.703436736967"/>
    <n v="48221.703436736963"/>
    <n v="4381.859657281504"/>
    <n v="11940"/>
    <n v="-38447.093756904156"/>
    <n v="-9.1279899707749662E-2"/>
    <n v="18240.299404042806"/>
    <n v="-56687.393160946958"/>
    <n v="-0.13458545384840209"/>
    <n v="13521.690112367467"/>
    <n v="-24925.403644536687"/>
  </r>
  <r>
    <m/>
    <x v="4"/>
    <s v="234-2026"/>
    <d v="1900-05-08T00:00:00"/>
    <d v="2026-05-22T00:00:00"/>
    <n v="81"/>
    <x v="4"/>
    <s v="Filete"/>
    <s v="1-2  A-AA"/>
    <s v="China"/>
    <s v="Ningbo"/>
    <x v="27"/>
    <s v="WANG"/>
    <n v="2150"/>
    <n v="167700"/>
    <n v="2042.5555555555557"/>
    <n v="8703"/>
    <n v="165447"/>
    <n v="3"/>
    <s v="ECO SIROCCO 26021S"/>
    <s v="LIMG08417700"/>
    <m/>
    <m/>
    <x v="0"/>
    <n v="10005721"/>
    <m/>
    <m/>
    <n v="2040.6867833638698"/>
    <n v="100385.83966210583"/>
    <n v="29415.135146592453"/>
    <n v="1802.0373893503529"/>
    <n v="33692.617254424818"/>
    <n v="165295.62945247345"/>
    <m/>
    <n v="2136.6867833638698"/>
    <m/>
    <n v="2404.3705475265451"/>
    <n v="1.4337331827826745E-2"/>
    <n v="8703"/>
    <n v="0"/>
    <n v="9383.1387887763631"/>
    <n v="18086.138788776363"/>
    <n v="1643.1973714805642"/>
    <n v="4963.41"/>
    <n v="-12361.555612730383"/>
    <n v="-7.3712317309066092E-2"/>
    <n v="6840.1122765160526"/>
    <n v="-19201.667889246433"/>
    <n v="-0.11450010667409918"/>
    <n v="5070.6337921377999"/>
    <n v="-7290.9218205925827"/>
  </r>
  <r>
    <m/>
    <x v="4"/>
    <s v="235-2026"/>
    <d v="1900-05-09T00:00:00"/>
    <d v="2026-05-22T00:00:00"/>
    <n v="54"/>
    <x v="4"/>
    <s v="Filete"/>
    <s v="1-2 / 0.5-1 AAA"/>
    <s v="China"/>
    <s v="Ningbo"/>
    <x v="28"/>
    <s v="WANG"/>
    <n v="2030"/>
    <n v="105560"/>
    <n v="1922.5555555555557"/>
    <n v="5802"/>
    <n v="103818"/>
    <n v="2"/>
    <s v="ECO SIROCCO 26021S"/>
    <s v="LIMG08416600"/>
    <m/>
    <m/>
    <x v="0"/>
    <n v="10005721"/>
    <m/>
    <m/>
    <n v="2040.6867833638698"/>
    <n v="66923.893108070552"/>
    <n v="19610.090097728302"/>
    <n v="1201.358259566902"/>
    <n v="22461.744836283215"/>
    <n v="110197.08630164896"/>
    <m/>
    <n v="2136.6867833638698"/>
    <m/>
    <n v="-4637.0863016489602"/>
    <n v="-4.3928441660183407E-2"/>
    <n v="5802"/>
    <n v="0"/>
    <n v="6255.4258591842417"/>
    <n v="12057.425859184241"/>
    <n v="1095.464914320376"/>
    <n v="3114.54"/>
    <n v="-14675.437075153575"/>
    <n v="-0.13902460283396717"/>
    <n v="4560.0748510107014"/>
    <n v="-19235.511926164276"/>
    <n v="-0.18222349304816479"/>
    <n v="3380.4225280918668"/>
    <n v="-11295.014547061708"/>
  </r>
  <r>
    <m/>
    <x v="4"/>
    <s v="236-2026"/>
    <d v="2026-05-11T00:00:00"/>
    <d v="2026-05-29T00:00:00"/>
    <n v="24"/>
    <x v="3"/>
    <s v="Conos"/>
    <m/>
    <s v="Tailandia"/>
    <s v="Lat Krabang"/>
    <x v="2"/>
    <s v="Jose"/>
    <n v="1800"/>
    <n v="43200"/>
    <n v="1654.125"/>
    <n v="3501"/>
    <n v="39699"/>
    <n v="1"/>
    <s v="ECO SIROCCO 26021N"/>
    <s v="LIMG08350300"/>
    <m/>
    <m/>
    <x v="1"/>
    <n v="10007969"/>
    <m/>
    <m/>
    <n v="1398.6793794440903"/>
    <n v="28435.601573671644"/>
    <n v="5710.4166519851406"/>
    <n v="439.40956055953501"/>
    <n v="-1017.1226795581591"/>
    <n v="33568.305106658161"/>
    <m/>
    <n v="1494.67937944409"/>
    <m/>
    <n v="9631.6948933418389"/>
    <n v="0.22295590030883886"/>
    <n v="3501"/>
    <n v="0"/>
    <n v="2780.1892707485522"/>
    <n v="6281.1892707485522"/>
    <n v="486.87329525350049"/>
    <n v="1190.97"/>
    <n v="4054.6023273397859"/>
    <n v="9.3856535355087631E-2"/>
    <n v="2026.6999337825341"/>
    <n v="2027.9023935572518"/>
    <n v="4.6942185036047496E-2"/>
    <n v="1502.4100124852739"/>
    <n v="5557.0123398250598"/>
  </r>
  <r>
    <m/>
    <x v="4"/>
    <s v="237-2026A"/>
    <d v="2026-05-11T00:00:00"/>
    <d v="2026-05-22T00:00:00"/>
    <n v="216"/>
    <x v="4"/>
    <s v="Filete"/>
    <s v="1-2  A-AA"/>
    <s v="China "/>
    <s v="Yantai"/>
    <x v="29"/>
    <s v="Dolly"/>
    <n v="2020"/>
    <n v="436320"/>
    <n v="1912.5925925925926"/>
    <n v="23200"/>
    <n v="413120"/>
    <n v="8"/>
    <s v="ECO SIROCCO 26021S"/>
    <n v="6452679310"/>
    <m/>
    <m/>
    <x v="0"/>
    <n v="10005721"/>
    <m/>
    <m/>
    <n v="2040.6867833638698"/>
    <n v="267695.57243228221"/>
    <n v="78440.360390913207"/>
    <n v="4805.433038267608"/>
    <n v="89846.979345132859"/>
    <n v="440788.34520659584"/>
    <m/>
    <n v="2136.6867833638698"/>
    <m/>
    <n v="-4468.3452065958409"/>
    <n v="-1.02409818633018E-2"/>
    <n v="23200"/>
    <n v="0"/>
    <n v="25021.703436736967"/>
    <n v="48221.703436736963"/>
    <n v="4381.859657281504"/>
    <n v="12393.6"/>
    <n v="-44678.308300614306"/>
    <n v="-0.10239802965854031"/>
    <n v="18240.299404042806"/>
    <n v="-62918.607704657115"/>
    <n v="-0.14420289627946717"/>
    <n v="13521.690112367467"/>
    <n v="-31156.618188246837"/>
  </r>
  <r>
    <m/>
    <x v="4"/>
    <s v="237-2026B"/>
    <d v="2026-05-11T00:00:00"/>
    <d v="2026-05-28T00:00:00"/>
    <n v="27"/>
    <x v="4"/>
    <s v="Filete"/>
    <s v="1-2  A-AA"/>
    <s v="China "/>
    <s v="Yantai"/>
    <x v="29"/>
    <s v="Dolly"/>
    <n v="2020"/>
    <n v="54540"/>
    <n v="1912.5925925925926"/>
    <n v="2900"/>
    <n v="51640"/>
    <n v="1"/>
    <s v="ECO MARIN 26022S"/>
    <n v="6502206550"/>
    <m/>
    <m/>
    <x v="0"/>
    <n v="10005721"/>
    <m/>
    <m/>
    <n v="2040.6867833638698"/>
    <n v="33461.946554035276"/>
    <n v="9805.0450488641509"/>
    <n v="600.679129783451"/>
    <n v="11230.872418141607"/>
    <n v="55098.54315082448"/>
    <m/>
    <n v="2136.6867833638698"/>
    <m/>
    <n v="-558.54315082448011"/>
    <n v="-1.02409818633018E-2"/>
    <n v="2900"/>
    <n v="0"/>
    <n v="3127.7129295921209"/>
    <n v="6027.7129295921204"/>
    <n v="547.73245716018801"/>
    <n v="1549.2"/>
    <n v="-5584.7885375767883"/>
    <n v="-0.10239802965854031"/>
    <n v="2280.0374255053507"/>
    <n v="-7864.8259630821394"/>
    <n v="-0.14420289627946717"/>
    <n v="1690.2112640459334"/>
    <n v="-3894.5772735308547"/>
  </r>
  <r>
    <m/>
    <x v="4"/>
    <s v="239-2026"/>
    <d v="1900-05-12T00:00:00"/>
    <d v="2026-05-25T00:00:00"/>
    <n v="26"/>
    <x v="0"/>
    <s v="Rejos"/>
    <m/>
    <s v="España "/>
    <s v="Vigo"/>
    <x v="3"/>
    <s v="Jorge"/>
    <n v="2850"/>
    <n v="74100"/>
    <n v="2651.9230769230771"/>
    <n v="5150"/>
    <n v="68950"/>
    <n v="1"/>
    <s v="CAPE SKAGEN 622N"/>
    <n v="15593336"/>
    <m/>
    <m/>
    <x v="0"/>
    <n v="10007567"/>
    <m/>
    <m/>
    <n v="1725.2402425897003"/>
    <n v="27702.436781472541"/>
    <n v="7465.9246078777433"/>
    <n v="484.15037207749674"/>
    <n v="9203.7345459044245"/>
    <n v="44856.246307332207"/>
    <m/>
    <n v="1821.2402425897001"/>
    <m/>
    <n v="29243.753692667793"/>
    <n v="0.39465254645975428"/>
    <n v="5150"/>
    <n v="0"/>
    <n v="3011.8717099775981"/>
    <n v="8161.8717099775986"/>
    <n v="527.44606985795883"/>
    <n v="2068.5"/>
    <n v="22622.935912832236"/>
    <n v="0.30530277885063745"/>
    <n v="2195.5915949310784"/>
    <n v="20427.344317901159"/>
    <n v="0.27567266285966474"/>
    <n v="1627.6108468590469"/>
    <n v="24250.546759691282"/>
  </r>
  <r>
    <m/>
    <x v="3"/>
    <m/>
    <d v="2026-04-30T00:00:00"/>
    <d v="2026-04-30T00:00:00"/>
    <n v="0"/>
    <x v="6"/>
    <s v="Residuos"/>
    <s v="Residuos"/>
    <s v="Residuos"/>
    <s v="Residuos"/>
    <x v="4"/>
    <m/>
    <n v="0"/>
    <n v="37768.57"/>
    <n v="0"/>
    <n v="0"/>
    <n v="37768.57"/>
    <m/>
    <m/>
    <m/>
    <m/>
    <m/>
    <x v="2"/>
    <m/>
    <m/>
    <m/>
    <n v="0"/>
    <n v="0"/>
    <n v="0"/>
    <n v="0"/>
    <n v="0"/>
    <n v="0"/>
    <m/>
    <m/>
    <m/>
    <n v="37768.57"/>
    <n v="1"/>
    <n v="0"/>
    <n v="0"/>
    <n v="0"/>
    <n v="0"/>
    <n v="0"/>
    <n v="0"/>
    <n v="37768.57"/>
    <n v="1"/>
    <n v="0"/>
    <n v="37768.57"/>
    <n v="1"/>
    <n v="0"/>
    <n v="37768.57"/>
  </r>
  <r>
    <m/>
    <x v="4"/>
    <m/>
    <d v="2026-05-30T00:00:00"/>
    <d v="2026-05-30T00:00:00"/>
    <n v="0"/>
    <x v="6"/>
    <s v="Residuos"/>
    <s v="Residuos"/>
    <s v="Residuos"/>
    <s v="Residuos"/>
    <x v="4"/>
    <m/>
    <n v="0"/>
    <n v="23613.25"/>
    <n v="0"/>
    <n v="0"/>
    <n v="23613.25"/>
    <m/>
    <m/>
    <m/>
    <m/>
    <m/>
    <x v="2"/>
    <m/>
    <m/>
    <m/>
    <n v="0"/>
    <n v="0"/>
    <n v="0"/>
    <n v="0"/>
    <n v="0"/>
    <n v="0"/>
    <m/>
    <m/>
    <m/>
    <n v="23613.25"/>
    <n v="1"/>
    <n v="0"/>
    <n v="0"/>
    <n v="0"/>
    <n v="0"/>
    <n v="0"/>
    <n v="0"/>
    <n v="23613.25"/>
    <n v="1"/>
    <n v="0"/>
    <n v="23613.25"/>
    <n v="1"/>
    <n v="0"/>
    <n v="23613.25"/>
  </r>
  <r>
    <m/>
    <x v="5"/>
    <m/>
    <d v="2026-06-30T00:00:00"/>
    <d v="2026-06-30T00:00:00"/>
    <n v="0"/>
    <x v="6"/>
    <s v="Residuos"/>
    <s v="Residuos"/>
    <s v="Residuos"/>
    <s v="Residuos"/>
    <x v="4"/>
    <m/>
    <n v="0"/>
    <n v="42995.3"/>
    <n v="0"/>
    <n v="0"/>
    <n v="42995.3"/>
    <m/>
    <m/>
    <m/>
    <m/>
    <m/>
    <x v="2"/>
    <m/>
    <m/>
    <m/>
    <n v="0"/>
    <n v="0"/>
    <n v="0"/>
    <n v="0"/>
    <n v="0"/>
    <n v="0"/>
    <m/>
    <m/>
    <m/>
    <n v="42995.3"/>
    <n v="1"/>
    <n v="0"/>
    <n v="0"/>
    <n v="0"/>
    <n v="0"/>
    <n v="0"/>
    <n v="0"/>
    <n v="42995.3"/>
    <n v="1"/>
    <n v="0"/>
    <n v="42995.3"/>
    <n v="1"/>
    <n v="0"/>
    <n v="42995.3"/>
  </r>
  <r>
    <m/>
    <x v="6"/>
    <m/>
    <d v="2026-07-30T00:00:00"/>
    <d v="2026-07-30T00:00:00"/>
    <n v="0"/>
    <x v="6"/>
    <s v="Residuos"/>
    <s v="Residuos"/>
    <s v="Residuos"/>
    <s v="Residuos"/>
    <x v="4"/>
    <m/>
    <n v="0"/>
    <n v="26456.610000000008"/>
    <n v="0"/>
    <n v="0"/>
    <n v="26456.610000000008"/>
    <m/>
    <m/>
    <m/>
    <m/>
    <m/>
    <x v="2"/>
    <m/>
    <m/>
    <m/>
    <n v="0"/>
    <n v="0"/>
    <n v="0"/>
    <n v="0"/>
    <n v="0"/>
    <n v="0"/>
    <m/>
    <m/>
    <m/>
    <n v="26456.610000000008"/>
    <n v="1"/>
    <n v="0"/>
    <n v="0"/>
    <m/>
    <n v="0"/>
    <n v="0"/>
    <n v="0"/>
    <n v="26456.610000000008"/>
    <n v="1"/>
    <n v="0"/>
    <n v="26456.610000000008"/>
    <n v="1"/>
    <n v="0"/>
    <n v="26456.610000000008"/>
  </r>
  <r>
    <m/>
    <x v="5"/>
    <s v="159-2026B"/>
    <d v="1900-01-29T00:00:00"/>
    <d v="2026-06-23T00:00:00"/>
    <n v="48"/>
    <x v="4"/>
    <s v="Filete"/>
    <s v="B"/>
    <s v="Vietnam"/>
    <s v="Ho Chi Min"/>
    <x v="2"/>
    <s v="Jose"/>
    <n v="1700"/>
    <n v="81575"/>
    <n v="1570.8333333333333"/>
    <n v="6200"/>
    <n v="75375"/>
    <n v="2"/>
    <s v="ECO SIROCCO 26025N"/>
    <n v="6504769570"/>
    <m/>
    <m/>
    <x v="0"/>
    <n v="10005721"/>
    <m/>
    <m/>
    <n v="1856.5261732240999"/>
    <n v="54119.453066080161"/>
    <n v="15858.123330509392"/>
    <n v="971.50433013793304"/>
    <n v="18164.175588029306"/>
    <n v="89113.256314756785"/>
    <m/>
    <n v="1891.2061732241"/>
    <m/>
    <n v="-7538.2563147567853"/>
    <n v="-9.240890364396917E-2"/>
    <n v="6200"/>
    <n v="0"/>
    <n v="3181.2322536181973"/>
    <n v="9381.2322536181964"/>
    <n v="3720.8414356146955"/>
    <n v="2261.25"/>
    <n v="-18379.080003989679"/>
    <n v="-0.225302850186818"/>
    <n v="5147.2037321740981"/>
    <n v="-23526.283736163776"/>
    <n v="-0.28840065873323661"/>
    <n v="5252.3684815069928"/>
    <n v="-13126.711522482685"/>
  </r>
  <r>
    <m/>
    <x v="5"/>
    <s v="198-2026G"/>
    <d v="1900-03-28T00:00:00"/>
    <d v="2026-06-26T00:00:00"/>
    <n v="54"/>
    <x v="10"/>
    <s v="Alas Precocidas"/>
    <m/>
    <s v="China"/>
    <s v="Qingdao"/>
    <x v="15"/>
    <s v="James"/>
    <n v="3950"/>
    <n v="211167"/>
    <n v="3853.7037037037039"/>
    <n v="5200"/>
    <n v="205967"/>
    <n v="2"/>
    <s v="ECO MARIN 26026S"/>
    <n v="6504948770"/>
    <m/>
    <m/>
    <x v="3"/>
    <n v="10009331"/>
    <m/>
    <m/>
    <n v="2696.3685114873801"/>
    <n v="83085.485413705435"/>
    <n v="32962.829898646203"/>
    <n v="1509.6819317662905"/>
    <n v="28045.902376200607"/>
    <n v="145603.89962031852"/>
    <m/>
    <n v="2731.04851148738"/>
    <m/>
    <n v="65563.100379681477"/>
    <n v="0.31047985897266844"/>
    <n v="5200"/>
    <n v="0"/>
    <n v="3578.8862853204719"/>
    <n v="8778.8862853204719"/>
    <n v="4185.9466150665321"/>
    <n v="6179.01"/>
    <n v="58777.277479294477"/>
    <n v="0.2783449946217661"/>
    <n v="5790.6041986958598"/>
    <n v="52986.673280598618"/>
    <n v="0.25092307643049633"/>
    <n v="5908.914541695367"/>
    <n v="64686.192020989845"/>
  </r>
  <r>
    <m/>
    <x v="5"/>
    <s v="219-2026A"/>
    <d v="1900-04-21T00:00:00"/>
    <d v="2026-06-12T00:00:00"/>
    <n v="69"/>
    <x v="5"/>
    <s v="Alas"/>
    <s v="1-up"/>
    <s v="Corea"/>
    <s v="Busan"/>
    <x v="2"/>
    <s v="Jose"/>
    <n v="2100"/>
    <n v="132404"/>
    <n v="1993.4347826086957"/>
    <n v="7353"/>
    <n v="125051"/>
    <n v="3"/>
    <s v="ECO MARIN 26024S"/>
    <s v="LIMG09468700"/>
    <m/>
    <m/>
    <x v="0"/>
    <n v="10006720"/>
    <m/>
    <m/>
    <n v="1754.6123610599075"/>
    <n v="77688.65468217837"/>
    <n v="16340.822247484901"/>
    <n v="1131.2437136490025"/>
    <n v="25907.532269821339"/>
    <n v="121068.25291313362"/>
    <m/>
    <n v="1789.2923610599075"/>
    <m/>
    <n v="11335.74708686638"/>
    <n v="8.5614838576375182E-2"/>
    <n v="7353"/>
    <n v="0"/>
    <n v="4573.0213645761587"/>
    <n v="11926.021364576158"/>
    <n v="5348.7095636961249"/>
    <n v="3751.5299999999997"/>
    <n v="-2187.4538414059025"/>
    <n v="-1.6521055567852199E-2"/>
    <n v="7399.1053650002659"/>
    <n v="-9586.5592064061675"/>
    <n v="-7.2403848874702942E-2"/>
    <n v="7550.2796921663021"/>
    <n v="5362.8258507603996"/>
  </r>
  <r>
    <m/>
    <x v="5"/>
    <s v="222-2026B"/>
    <d v="1900-04-23T00:00:00"/>
    <d v="2026-06-15T00:00:00"/>
    <n v="26"/>
    <x v="2"/>
    <s v="Rejos"/>
    <s v=" 1-2  limpios"/>
    <s v="España "/>
    <s v="Vigo"/>
    <x v="11"/>
    <s v="Ramon"/>
    <n v="2600"/>
    <n v="67600"/>
    <n v="2421.1538461538462"/>
    <n v="4650"/>
    <n v="62950"/>
    <n v="1"/>
    <s v="CAPE SABLE 625N"/>
    <n v="28960236"/>
    <m/>
    <m/>
    <x v="0"/>
    <n v="10007162"/>
    <m/>
    <m/>
    <n v="1612.6377734802099"/>
    <n v="25708.537454316884"/>
    <n v="7299.1664700929359"/>
    <n v="388.70269673656378"/>
    <n v="8532.1754893390735"/>
    <n v="41928.582110485462"/>
    <m/>
    <n v="1647.31777348021"/>
    <m/>
    <n v="25671.417889514538"/>
    <n v="0.37975470250761151"/>
    <n v="4650"/>
    <n v="0"/>
    <n v="1723.1674707098568"/>
    <n v="6373.1674707098573"/>
    <n v="2015.4557776246268"/>
    <n v="1888.5"/>
    <n v="19171.294641180055"/>
    <n v="0.28359903315355112"/>
    <n v="2788.0686882609698"/>
    <n v="16383.225952919085"/>
    <n v="0.2423554135047202"/>
    <n v="2845.0329274829542"/>
    <n v="22016.327568663008"/>
  </r>
  <r>
    <m/>
    <x v="5"/>
    <s v="222-2026C"/>
    <d v="1900-04-23T00:00:00"/>
    <d v="2026-06-22T00:00:00"/>
    <n v="52"/>
    <x v="2"/>
    <s v="Rejos"/>
    <s v=" 1-2  limpios"/>
    <s v="España "/>
    <s v="Vigo"/>
    <x v="11"/>
    <s v="Ramon"/>
    <n v="2600"/>
    <n v="135200"/>
    <n v="2421.1538461538462"/>
    <n v="9300"/>
    <n v="125900"/>
    <n v="2"/>
    <s v="CAUCEDO EXPRESS  626N"/>
    <n v="45716065"/>
    <m/>
    <m/>
    <x v="0"/>
    <n v="10007162"/>
    <m/>
    <m/>
    <n v="1612.6377734802099"/>
    <n v="51417.074908633767"/>
    <n v="14598.332940185872"/>
    <n v="777.40539347312756"/>
    <n v="17064.350978678147"/>
    <n v="83857.164220970924"/>
    <m/>
    <n v="1647.31777348021"/>
    <m/>
    <n v="51342.835779029076"/>
    <n v="0.37975470250761151"/>
    <n v="9300"/>
    <n v="0"/>
    <n v="3446.3349414197137"/>
    <n v="12746.334941419715"/>
    <n v="4030.9115552492535"/>
    <n v="3777"/>
    <n v="38342.58928236011"/>
    <n v="0.28359903315355112"/>
    <n v="5576.1373765219396"/>
    <n v="32766.45190583817"/>
    <n v="0.2423554135047202"/>
    <n v="5690.0658549659083"/>
    <n v="44032.655137326015"/>
  </r>
  <r>
    <m/>
    <x v="5"/>
    <s v="224-2026B"/>
    <d v="1900-04-29T00:00:00"/>
    <d v="2026-06-12T00:00:00"/>
    <n v="27"/>
    <x v="2"/>
    <s v="Rejos"/>
    <s v="300-500 SUCIO "/>
    <s v="China "/>
    <s v="Yantai"/>
    <x v="24"/>
    <s v="LYNN"/>
    <n v="3050"/>
    <n v="82350"/>
    <n v="2946.2962962962961"/>
    <n v="2800"/>
    <n v="79550"/>
    <n v="1"/>
    <s v="ECO MARIN 26024S"/>
    <n v="6503786970"/>
    <m/>
    <m/>
    <x v="0"/>
    <n v="10007162"/>
    <m/>
    <m/>
    <n v="1612.6377734802099"/>
    <n v="26697.327356405993"/>
    <n v="7579.903642019588"/>
    <n v="403.65280045720084"/>
    <n v="8860.3360850828831"/>
    <n v="43541.21988396567"/>
    <m/>
    <n v="1647.31777348021"/>
    <m/>
    <n v="38808.78011603433"/>
    <n v="0.47126630377698031"/>
    <n v="2800"/>
    <n v="0"/>
    <n v="1789.4431426602359"/>
    <n v="4589.4431426602359"/>
    <n v="2092.9733075332661"/>
    <n v="2386.5"/>
    <n v="34512.863665840821"/>
    <n v="0.41909974093310043"/>
    <n v="2895.3020993479299"/>
    <n v="31617.561566492892"/>
    <n v="0.38394124549475278"/>
    <n v="2954.4572708476835"/>
    <n v="37467.320936688506"/>
  </r>
  <r>
    <m/>
    <x v="5"/>
    <s v="232-2026B"/>
    <d v="1900-05-07T00:00:00"/>
    <d v="2026-06-19T00:00:00"/>
    <n v="54"/>
    <x v="5"/>
    <s v="Alas"/>
    <s v="500-1000"/>
    <s v="China "/>
    <s v="Qingdao"/>
    <x v="30"/>
    <s v="BOB"/>
    <n v="2200"/>
    <n v="118800"/>
    <n v="2096.2962962962961"/>
    <n v="5600"/>
    <n v="113200"/>
    <n v="1"/>
    <s v="ECO SIROCCO 26025S"/>
    <n v="6504275640"/>
    <m/>
    <m/>
    <x v="0"/>
    <n v="10006720"/>
    <m/>
    <m/>
    <n v="1754.6123610599075"/>
    <n v="60799.816707791768"/>
    <n v="12788.469584988183"/>
    <n v="885.32116720356726"/>
    <n v="20275.460037251483"/>
    <n v="94749.06749723501"/>
    <m/>
    <n v="1789.2923610599075"/>
    <m/>
    <n v="24050.93250276499"/>
    <n v="0.20244892679095108"/>
    <n v="5600"/>
    <n v="0"/>
    <n v="3578.8862853204719"/>
    <n v="9178.8862853204719"/>
    <n v="4185.9466150665321"/>
    <n v="3396"/>
    <n v="14082.099602377986"/>
    <n v="0.11853619193920864"/>
    <n v="5790.6041986958598"/>
    <n v="8291.4954036821255"/>
    <n v="6.9793732354226645E-2"/>
    <n v="5908.914541695367"/>
    <n v="19991.014144073353"/>
  </r>
  <r>
    <m/>
    <x v="5"/>
    <s v="237-2026C"/>
    <d v="2026-05-11T00:00:00"/>
    <d v="2026-06-09T00:00:00"/>
    <n v="26.28"/>
    <x v="10"/>
    <s v="Alas Precocidas"/>
    <m/>
    <s v="China "/>
    <s v="Yantai"/>
    <x v="29"/>
    <s v="Dolly"/>
    <n v="4300"/>
    <n v="113004"/>
    <n v="4195.3196347031962"/>
    <n v="2751"/>
    <n v="110253"/>
    <n v="1"/>
    <s v="ECO SIROCCO 26023N"/>
    <s v="LIMG09466500"/>
    <m/>
    <m/>
    <x v="3"/>
    <n v="10009331"/>
    <m/>
    <m/>
    <n v="2696.3685114873801"/>
    <n v="40434.936234669978"/>
    <n v="16041.910550674487"/>
    <n v="734.7118734595947"/>
    <n v="13649.005823084295"/>
    <n v="70860.564481888359"/>
    <m/>
    <n v="2731.04851148738"/>
    <m/>
    <n v="42143.435518111641"/>
    <n v="0.37293755546805107"/>
    <n v="2751"/>
    <n v="0"/>
    <n v="1741.7246588559631"/>
    <n v="4492.7246588559628"/>
    <n v="2037.1606859990459"/>
    <n v="3307.5899999999997"/>
    <n v="38921.14017325663"/>
    <n v="0.34442267683671934"/>
    <n v="2818.0940433653186"/>
    <n v="36103.046129891314"/>
    <n v="0.31948467425835647"/>
    <n v="2875.6717436250788"/>
    <n v="41796.811916881707"/>
  </r>
  <r>
    <m/>
    <x v="5"/>
    <s v="237-2026D"/>
    <d v="2026-05-11T00:00:00"/>
    <d v="2026-06-19T00:00:00"/>
    <n v="54"/>
    <x v="10"/>
    <s v="Alas Precocidas"/>
    <m/>
    <s v="China "/>
    <s v="Yantai"/>
    <x v="29"/>
    <s v="Dolly"/>
    <n v="4300"/>
    <n v="229878"/>
    <n v="4203.7037037037035"/>
    <n v="5200"/>
    <n v="224678"/>
    <n v="2"/>
    <s v="ECO SIROCCO 26025S"/>
    <n v="6504275630"/>
    <m/>
    <m/>
    <x v="3"/>
    <n v="10009331"/>
    <m/>
    <m/>
    <n v="2696.3685114873801"/>
    <n v="83085.485413705435"/>
    <n v="32962.829898646203"/>
    <n v="1509.6819317662905"/>
    <n v="28045.902376200607"/>
    <n v="145603.89962031852"/>
    <m/>
    <n v="2731.04851148738"/>
    <m/>
    <n v="84274.100379681477"/>
    <n v="0.36660359138186982"/>
    <n v="5200"/>
    <n v="0"/>
    <n v="3578.8862853204719"/>
    <n v="8778.8862853204719"/>
    <n v="4185.9466150665321"/>
    <n v="6740.34"/>
    <n v="78049.607479294471"/>
    <n v="0.33952621598976185"/>
    <n v="5790.6041986958598"/>
    <n v="72259.003280598612"/>
    <n v="0.3143363143954559"/>
    <n v="5908.914541695367"/>
    <n v="83958.52202098984"/>
  </r>
  <r>
    <m/>
    <x v="5"/>
    <s v="237-2026D"/>
    <d v="2026-05-11T00:00:00"/>
    <d v="2026-06-19T00:00:00"/>
    <n v="54"/>
    <x v="4"/>
    <s v="Filete"/>
    <s v="1-2  A-AA"/>
    <s v="China "/>
    <s v="Yantai"/>
    <x v="29"/>
    <s v="Dolly"/>
    <n v="2020"/>
    <n v="109080"/>
    <n v="1923.7037037037037"/>
    <n v="5200"/>
    <n v="103880"/>
    <n v="2"/>
    <s v="ECO SIROCCO 26025S"/>
    <n v="6504275630"/>
    <m/>
    <m/>
    <x v="0"/>
    <n v="10005721"/>
    <m/>
    <m/>
    <n v="1856.5261732240999"/>
    <n v="60884.384699340182"/>
    <n v="17840.388746823068"/>
    <n v="1092.9423714051745"/>
    <n v="20434.697536532971"/>
    <n v="100252.4133541014"/>
    <m/>
    <n v="1891.2061732241"/>
    <m/>
    <n v="8827.5866458985984"/>
    <n v="8.0927637017772266E-2"/>
    <n v="5200"/>
    <n v="0"/>
    <n v="3578.8862853204719"/>
    <n v="8778.8862853204719"/>
    <n v="4185.9466150665321"/>
    <n v="3116.4"/>
    <n v="-1020.8462544884055"/>
    <n v="-9.3586932021305965E-3"/>
    <n v="5790.6041986958598"/>
    <n v="-6811.4504531842649"/>
    <n v="-6.2444540274883248E-2"/>
    <n v="5908.914541695367"/>
    <n v="4888.068287206961"/>
  </r>
  <r>
    <m/>
    <x v="5"/>
    <s v="237-2026E"/>
    <d v="2026-05-11T00:00:00"/>
    <d v="2026-06-23T00:00:00"/>
    <n v="27"/>
    <x v="10"/>
    <s v="Alas Precocidas"/>
    <m/>
    <s v="China "/>
    <s v="Yantai"/>
    <x v="29"/>
    <s v="Dolly"/>
    <n v="4300"/>
    <n v="114552"/>
    <n v="4198.1111111111113"/>
    <n v="2751"/>
    <n v="111801"/>
    <n v="1"/>
    <s v="ECO SIROCCO 26025N"/>
    <s v="LIMG10399900"/>
    <m/>
    <m/>
    <x v="3"/>
    <n v="10009331"/>
    <m/>
    <m/>
    <n v="2696.3685114873801"/>
    <n v="41542.742706852718"/>
    <n v="16481.414949323102"/>
    <n v="754.84096588314526"/>
    <n v="14022.951188100304"/>
    <n v="72801.949810159262"/>
    <m/>
    <n v="2731.04851148738"/>
    <m/>
    <n v="41750.050189840738"/>
    <n v="0.36446373865005183"/>
    <n v="2751"/>
    <n v="0"/>
    <n v="1789.4431426602359"/>
    <n v="4540.4431426602359"/>
    <n v="2092.9733075332661"/>
    <n v="3354.0299999999997"/>
    <n v="38470.663739647236"/>
    <n v="0.33583581028395171"/>
    <n v="2895.3020993479299"/>
    <n v="35575.361640299307"/>
    <n v="0.31056080767074612"/>
    <n v="2954.4572708476835"/>
    <n v="41425.12101049492"/>
  </r>
  <r>
    <m/>
    <x v="5"/>
    <s v="237-2026E"/>
    <d v="2026-05-11T00:00:00"/>
    <d v="2026-06-23T00:00:00"/>
    <n v="27"/>
    <x v="4"/>
    <s v="Filete"/>
    <s v="1-2  A-AA"/>
    <s v="China "/>
    <s v="Yantai"/>
    <x v="29"/>
    <s v="Dolly"/>
    <n v="2020"/>
    <n v="54540"/>
    <n v="1918.1111111111111"/>
    <n v="2751"/>
    <n v="51789"/>
    <n v="1"/>
    <s v="ECO SIROCCO 26025N"/>
    <s v="LIMG10399900"/>
    <m/>
    <m/>
    <x v="0"/>
    <n v="10005721"/>
    <m/>
    <m/>
    <n v="1856.5261732240999"/>
    <n v="30442.192349670091"/>
    <n v="8920.1943734115339"/>
    <n v="546.47118570258726"/>
    <n v="10217.348768266485"/>
    <n v="50126.206677050701"/>
    <m/>
    <n v="1891.2061732241"/>
    <m/>
    <n v="4413.7933229492992"/>
    <n v="8.0927637017772266E-2"/>
    <n v="2751"/>
    <n v="0"/>
    <n v="1789.4431426602359"/>
    <n v="4540.4431426602359"/>
    <n v="2092.9733075332661"/>
    <n v="1553.6699999999998"/>
    <n v="-665.95312724420296"/>
    <n v="-1.2210361702313953E-2"/>
    <n v="2895.3020993479299"/>
    <n v="-3561.2552265921331"/>
    <n v="-6.5296208775066616E-2"/>
    <n v="2954.4572708476835"/>
    <n v="2288.5041436034808"/>
  </r>
  <r>
    <m/>
    <x v="5"/>
    <s v="238-2026"/>
    <d v="1900-05-12T00:00:00"/>
    <d v="2026-06-01T00:00:00"/>
    <n v="26"/>
    <x v="14"/>
    <s v="Labios"/>
    <m/>
    <s v="España "/>
    <s v="Vigo"/>
    <x v="11"/>
    <s v="Ramon"/>
    <n v="1400"/>
    <n v="35224"/>
    <n v="1221.1538461538462"/>
    <n v="4650"/>
    <n v="30574"/>
    <n v="1"/>
    <s v="GEMLIK EXPRESS  623N "/>
    <n v="24047257"/>
    <m/>
    <m/>
    <x v="1"/>
    <m/>
    <m/>
    <m/>
    <n v="0"/>
    <n v="0"/>
    <n v="0"/>
    <n v="0"/>
    <n v="0"/>
    <n v="0"/>
    <m/>
    <m/>
    <m/>
    <n v="35224"/>
    <n v="1"/>
    <n v="4650"/>
    <n v="0"/>
    <n v="1723.1674707098568"/>
    <n v="6373.1674707098573"/>
    <n v="2015.4557776246268"/>
    <n v="917.21999999999991"/>
    <n v="27752.596751665518"/>
    <n v="0.78788884714017482"/>
    <n v="2788.0686882609698"/>
    <n v="24964.528063404548"/>
    <n v="0.70873631794811909"/>
    <n v="2845.0329274829542"/>
    <n v="30597.629679148471"/>
  </r>
  <r>
    <m/>
    <x v="5"/>
    <s v="243-2026"/>
    <d v="2026-05-21T00:00:00"/>
    <d v="2026-06-09T00:00:00"/>
    <n v="22.5"/>
    <x v="1"/>
    <s v="Nucas"/>
    <s v=" 1 - up"/>
    <s v="Tailandia"/>
    <s v="Lat Krabang"/>
    <x v="31"/>
    <s v="osmelia"/>
    <n v="1300"/>
    <n v="29250"/>
    <n v="1164.4000000000001"/>
    <n v="3051"/>
    <n v="26199"/>
    <n v="1"/>
    <s v="ECO SIROCCO 26023N"/>
    <s v="LIMG09469800"/>
    <m/>
    <m/>
    <x v="0"/>
    <n v="10005779"/>
    <m/>
    <m/>
    <n v="1493.9503956383498"/>
    <n v="19516.24629425248"/>
    <n v="7427.1192489787036"/>
    <n v="214.70210005017623"/>
    <n v="6455.8162585815126"/>
    <n v="33613.883901862871"/>
    <m/>
    <n v="1528.6303956383499"/>
    <m/>
    <n v="-4363.8839018628714"/>
    <n v="-0.14919261202949988"/>
    <n v="3051"/>
    <n v="0"/>
    <n v="1491.2026188835298"/>
    <n v="4542.2026188835298"/>
    <n v="1744.1444229443885"/>
    <n v="785.97"/>
    <n v="-9864.2609436907896"/>
    <n v="-0.33723969038259111"/>
    <n v="2412.7517494566082"/>
    <n v="-12277.012693147397"/>
    <n v="-0.41972692968025288"/>
    <n v="2462.0477257064026"/>
    <n v="-7402.2132179843866"/>
  </r>
  <r>
    <m/>
    <x v="5"/>
    <s v="245-2026A"/>
    <d v="1900-05-28T00:00:00"/>
    <d v="2026-06-12T00:00:00"/>
    <n v="108"/>
    <x v="9"/>
    <s v="Daruma"/>
    <m/>
    <s v="China"/>
    <s v="Qingdao"/>
    <x v="15"/>
    <s v="James"/>
    <n v="3900"/>
    <n v="421200"/>
    <n v="3803.7037037037039"/>
    <n v="10400"/>
    <n v="410800"/>
    <n v="4"/>
    <s v="ECO MARIN 26024S"/>
    <n v="6503786960"/>
    <m/>
    <m/>
    <x v="3"/>
    <n v="10009239"/>
    <m/>
    <m/>
    <n v="3126.8177446902505"/>
    <n v="166064.77186926806"/>
    <n v="108265.06975021426"/>
    <n v="1982.7107698420702"/>
    <n v="61383.764037222711"/>
    <n v="337696.31642654713"/>
    <m/>
    <n v="3161.4977446902503"/>
    <m/>
    <n v="83503.683573452872"/>
    <n v="0.19825186033583303"/>
    <n v="10400"/>
    <n v="0"/>
    <n v="7157.7725706409437"/>
    <n v="17557.772570640944"/>
    <n v="8371.8932301330642"/>
    <n v="12324"/>
    <n v="69898.017772678868"/>
    <n v="0.16594970981167823"/>
    <n v="11581.20839739172"/>
    <n v="58316.80937528715"/>
    <n v="0.1384539633791243"/>
    <n v="11817.829083390734"/>
    <n v="81715.846856069606"/>
  </r>
  <r>
    <m/>
    <x v="5"/>
    <s v="245-2026B"/>
    <d v="1900-05-28T00:00:00"/>
    <d v="2026-06-26T00:00:00"/>
    <n v="27"/>
    <x v="9"/>
    <s v="Daruma"/>
    <m/>
    <s v="China"/>
    <s v="Qingdao"/>
    <x v="15"/>
    <s v="James"/>
    <n v="3900"/>
    <n v="105300"/>
    <n v="3803.7037037037039"/>
    <n v="2600"/>
    <n v="102700"/>
    <n v="1"/>
    <s v="ECO MARIN 26026S"/>
    <n v="6504444070"/>
    <m/>
    <m/>
    <x v="3"/>
    <n v="10009239"/>
    <m/>
    <m/>
    <n v="3126.8177446902505"/>
    <n v="41516.192967317016"/>
    <n v="27066.267437553564"/>
    <n v="495.67769246051756"/>
    <n v="15345.941009305678"/>
    <n v="84424.079106636782"/>
    <m/>
    <n v="3161.4977446902503"/>
    <m/>
    <n v="20875.920893363218"/>
    <n v="0.19825186033583303"/>
    <n v="2600"/>
    <n v="0"/>
    <n v="1789.4431426602359"/>
    <n v="4389.4431426602359"/>
    <n v="2092.9733075332661"/>
    <n v="3081"/>
    <n v="17474.504443169717"/>
    <n v="0.16594970981167823"/>
    <n v="2895.3020993479299"/>
    <n v="14579.202343821788"/>
    <n v="0.1384539633791243"/>
    <n v="2954.4572708476835"/>
    <n v="20428.961714017401"/>
  </r>
  <r>
    <m/>
    <x v="5"/>
    <s v="246-2026"/>
    <d v="1900-05-29T00:00:00"/>
    <d v="2026-06-19T00:00:00"/>
    <n v="27"/>
    <x v="3"/>
    <s v="Conos"/>
    <m/>
    <s v="China"/>
    <s v="Qingdao"/>
    <x v="32"/>
    <s v="Emily"/>
    <n v="1730"/>
    <n v="46018"/>
    <n v="1633.7037037037037"/>
    <n v="2600"/>
    <n v="43418"/>
    <n v="1"/>
    <s v="ECO SIROCCO 26025S"/>
    <n v="6504275620"/>
    <m/>
    <m/>
    <x v="1"/>
    <n v="10007969"/>
    <m/>
    <m/>
    <n v="1240.4438142857143"/>
    <n v="28370.949354397482"/>
    <n v="5697.4332407295533"/>
    <n v="438.41050298071576"/>
    <n v="-1014.8101123934676"/>
    <n v="33491.982985714283"/>
    <m/>
    <n v="1275.1238142857144"/>
    <m/>
    <n v="12526.017014285717"/>
    <n v="0.27219820536063533"/>
    <n v="2600"/>
    <n v="0"/>
    <n v="1789.4431426602359"/>
    <n v="4389.4431426602359"/>
    <n v="2092.9733075332661"/>
    <n v="1302.54"/>
    <n v="7346.1405640922148"/>
    <n v="0.15963624155965525"/>
    <n v="2895.3020993479299"/>
    <n v="4450.8384647442854"/>
    <n v="9.6719511163985514E-2"/>
    <n v="2954.4572708476835"/>
    <n v="10300.597834939897"/>
  </r>
  <r>
    <m/>
    <x v="5"/>
    <s v="249-2026A"/>
    <d v="1900-06-05T00:00:00"/>
    <d v="2026-06-26T00:00:00"/>
    <n v="135"/>
    <x v="9"/>
    <s v="Daruma"/>
    <m/>
    <s v="China "/>
    <s v="Yantai"/>
    <x v="29"/>
    <s v="Dolly"/>
    <n v="3950"/>
    <n v="533250"/>
    <n v="3846.2962962962961"/>
    <n v="14000"/>
    <n v="519250"/>
    <n v="5"/>
    <s v="ECO SIROCCO 26025N"/>
    <n v="6504433340"/>
    <m/>
    <m/>
    <x v="3"/>
    <n v="10009239"/>
    <m/>
    <m/>
    <n v="3126.8177446902505"/>
    <n v="207580.96483658507"/>
    <n v="135331.33718776781"/>
    <n v="2478.3884623025879"/>
    <n v="76729.705046528397"/>
    <n v="422120.39553318382"/>
    <m/>
    <n v="3161.4977446902503"/>
    <m/>
    <n v="111129.60446681618"/>
    <n v="0.20840057096449355"/>
    <n v="14000"/>
    <n v="0"/>
    <n v="8947.2157133011788"/>
    <n v="22947.215713301179"/>
    <n v="10464.86653766633"/>
    <n v="15577.5"/>
    <n v="93295.022215848672"/>
    <n v="0.17495550345213065"/>
    <n v="14476.510496739651"/>
    <n v="78818.511719109025"/>
    <n v="0.14780780444277361"/>
    <n v="14772.286354238417"/>
    <n v="108067.30857008709"/>
  </r>
  <r>
    <m/>
    <x v="5"/>
    <s v="249-2026B"/>
    <d v="1900-06-05T00:00:00"/>
    <d v="2026-06-30T00:00:00"/>
    <n v="54"/>
    <x v="9"/>
    <s v="Daruma"/>
    <m/>
    <s v="China "/>
    <s v="Yantai"/>
    <x v="29"/>
    <s v="Dolly"/>
    <n v="3950"/>
    <n v="213300"/>
    <n v="3846.2962962962961"/>
    <n v="5600"/>
    <n v="207700"/>
    <n v="2"/>
    <s v="ECO MARIN 26026N"/>
    <n v="6504948570"/>
    <m/>
    <m/>
    <x v="3"/>
    <n v="10009239"/>
    <m/>
    <m/>
    <n v="3126.8177446902505"/>
    <n v="83032.385934634032"/>
    <n v="54132.534875107129"/>
    <n v="991.35538492103512"/>
    <n v="30691.882018611355"/>
    <n v="168848.15821327356"/>
    <m/>
    <n v="3161.4977446902503"/>
    <m/>
    <n v="44451.841786726436"/>
    <n v="0.20840057096449338"/>
    <n v="5600"/>
    <n v="0"/>
    <n v="3578.8862853204719"/>
    <n v="9178.8862853204719"/>
    <n v="4185.9466150665321"/>
    <n v="6231"/>
    <n v="37318.008886339434"/>
    <n v="0.17495550345213048"/>
    <n v="5790.6041986958598"/>
    <n v="31527.404687643575"/>
    <n v="0.14780780444277344"/>
    <n v="5908.914541695367"/>
    <n v="43226.923428034803"/>
  </r>
  <r>
    <m/>
    <x v="5"/>
    <s v="251-2026"/>
    <d v="1900-06-08T00:00:00"/>
    <d v="2026-06-22T00:00:00"/>
    <n v="26"/>
    <x v="0"/>
    <s v="Rejos Re"/>
    <s v="+  60 CM , SUCKERS OFF"/>
    <s v="México"/>
    <s v="Manzanillo"/>
    <x v="20"/>
    <s v="alexander"/>
    <n v="2730"/>
    <n v="70980"/>
    <n v="2618.5769230769229"/>
    <n v="2897"/>
    <n v="68083"/>
    <n v="1"/>
    <s v="CAUCEDO EXPRESS  626N"/>
    <n v="17438653"/>
    <m/>
    <m/>
    <x v="0"/>
    <n v="10007567"/>
    <m/>
    <m/>
    <n v="1554.59920704243"/>
    <n v="24962.42853051877"/>
    <n v="6727.4807233937145"/>
    <n v="436.26375384751134"/>
    <n v="8293.4063753431819"/>
    <n v="40419.579383103177"/>
    <m/>
    <n v="1589.27920704243"/>
    <m/>
    <n v="30560.420616896823"/>
    <n v="0.43054974101009896"/>
    <n v="2897"/>
    <n v="0"/>
    <n v="1723.1674707098568"/>
    <n v="4620.1674707098573"/>
    <n v="2015.4557776246268"/>
    <n v="2042.49"/>
    <n v="25967.287368562342"/>
    <n v="0.36583949518966385"/>
    <n v="2788.0686882609698"/>
    <n v="23179.218680301372"/>
    <n v="0.3265598574288725"/>
    <n v="2845.0329274829542"/>
    <n v="28812.320296045295"/>
  </r>
  <r>
    <m/>
    <x v="5"/>
    <s v="252-2026A"/>
    <d v="1900-06-08T00:00:00"/>
    <d v="2026-06-26T00:00:00"/>
    <n v="26"/>
    <x v="1"/>
    <s v="Nucas"/>
    <s v="500-up"/>
    <s v="Tailandia"/>
    <s v="Lat Krabang"/>
    <x v="2"/>
    <s v="Jose"/>
    <n v="1350"/>
    <n v="30375"/>
    <n v="1232.6538461538462"/>
    <n v="3051"/>
    <n v="27324"/>
    <n v="1"/>
    <s v="ECO MARIN 26026S"/>
    <s v="LIMG10338900"/>
    <m/>
    <m/>
    <x v="0"/>
    <n v="10005779"/>
    <m/>
    <m/>
    <n v="1493.9503956383498"/>
    <n v="22552.106828913977"/>
    <n v="8582.4489099309467"/>
    <n v="248.10020450242587"/>
    <n v="7460.0543432497479"/>
    <n v="38842.710286597096"/>
    <m/>
    <n v="1528.6303956383499"/>
    <m/>
    <n v="-8467.7102865970955"/>
    <n v="-0.27877235511430765"/>
    <n v="3051"/>
    <n v="0"/>
    <n v="1723.1674707098568"/>
    <n v="4774.1674707098573"/>
    <n v="2015.4557776246268"/>
    <n v="819.71999999999991"/>
    <n v="-14437.613534931581"/>
    <n v="-0.47531237975083396"/>
    <n v="2788.0686882609698"/>
    <n v="-17225.682223192551"/>
    <n v="-0.56710064932321158"/>
    <n v="2845.0329274829542"/>
    <n v="-11592.580607448626"/>
  </r>
  <r>
    <m/>
    <x v="5"/>
    <s v="254-2026"/>
    <d v="1900-06-19T00:00:00"/>
    <d v="2026-06-30T00:00:00"/>
    <n v="162"/>
    <x v="2"/>
    <s v="Rejos"/>
    <s v="500-1000 "/>
    <s v="China "/>
    <s v="Mawei"/>
    <x v="9"/>
    <s v="James"/>
    <n v="2700"/>
    <n v="437400"/>
    <n v="2594.4444444444443"/>
    <n v="17100"/>
    <n v="420300"/>
    <n v="6"/>
    <s v="ECO MARIN 26026N"/>
    <n v="6505533100"/>
    <m/>
    <m/>
    <x v="0"/>
    <n v="10007162"/>
    <m/>
    <m/>
    <n v="1612.6377734802099"/>
    <n v="160183.96413843596"/>
    <n v="45479.421852117528"/>
    <n v="2421.9168027432052"/>
    <n v="53162.016510497306"/>
    <n v="261247.31930379401"/>
    <m/>
    <n v="1647.31777348021"/>
    <m/>
    <n v="176152.68069620599"/>
    <n v="0.40272675056288521"/>
    <n v="17100"/>
    <n v="0"/>
    <n v="10736.658855961416"/>
    <n v="27836.658855961417"/>
    <n v="12557.839845199596"/>
    <n v="12609"/>
    <n v="148367.18199504499"/>
    <n v="0.33920251942168494"/>
    <n v="17371.81259608758"/>
    <n v="130995.36939895741"/>
    <n v="0.29948644124132923"/>
    <n v="17726.743625086099"/>
    <n v="166093.92562013108"/>
  </r>
  <r>
    <m/>
    <x v="6"/>
    <s v="221-2026B"/>
    <d v="1900-04-22T00:00:00"/>
    <d v="2026-07-21T00:00:00"/>
    <n v="24"/>
    <x v="4"/>
    <s v="Filete"/>
    <s v="1-2 A - AA  "/>
    <s v="Japón "/>
    <s v="KOBE"/>
    <x v="2"/>
    <s v="Jose"/>
    <n v="2000"/>
    <n v="48000"/>
    <n v="1866.625"/>
    <n v="3201"/>
    <n v="44799"/>
    <n v="1"/>
    <s v="ECO SIROCCO 26029N"/>
    <s v="LIMG13281900"/>
    <m/>
    <m/>
    <x v="0"/>
    <n v="10005721"/>
    <m/>
    <m/>
    <n v="1834.43100611569"/>
    <n v="26737.679266333853"/>
    <n v="7834.6951300377732"/>
    <n v="479.97105871277006"/>
    <n v="8973.9986916921607"/>
    <n v="44026.344146776559"/>
    <m/>
    <n v="1834.43100611569"/>
    <m/>
    <n v="3973.6558532234412"/>
    <n v="8.278449694215502E-2"/>
    <n v="3201"/>
    <n v="2044.8000000000002"/>
    <n v="44.016289817583356"/>
    <n v="5289.8162898175833"/>
    <n v="2415.0133498953137"/>
    <n v="1343.97"/>
    <n v="-2387.2037864894555"/>
    <n v="-4.9733412218530323E-2"/>
    <n v="4747.5070591173062"/>
    <n v="-7134.7108456067617"/>
    <n v="-0.1486398092834742"/>
    <n v="3806.1528217079976"/>
    <n v="1418.9490352185421"/>
  </r>
  <r>
    <m/>
    <x v="6"/>
    <s v="242-2026A"/>
    <d v="2026-05-21T00:00:00"/>
    <d v="2026-07-19T00:00:00"/>
    <n v="67.5"/>
    <x v="1"/>
    <s v="Nucas"/>
    <s v="500-1 / 1- 2"/>
    <s v="Tailandia"/>
    <s v="Lat Krabang"/>
    <x v="33"/>
    <s v="Pimsiri"/>
    <n v="1330"/>
    <n v="89775"/>
    <n v="1187.7777777777778"/>
    <n v="9600"/>
    <n v="80175"/>
    <n v="3"/>
    <s v="MEDKON ZOE 200S"/>
    <n v="6508132160"/>
    <m/>
    <m/>
    <x v="0"/>
    <n v="10005779"/>
    <m/>
    <m/>
    <n v="1483.42296852866"/>
    <n v="58136.163215752698"/>
    <n v="22124.34760103661"/>
    <n v="639.56747332902012"/>
    <n v="19230.972085566227"/>
    <n v="100131.05037568456"/>
    <m/>
    <n v="1483.42296852866"/>
    <m/>
    <n v="-10356.050375684557"/>
    <n v="-0.11535561543508278"/>
    <n v="9600"/>
    <n v="5751"/>
    <n v="123.79581511195319"/>
    <n v="15474.795815111953"/>
    <n v="6792.2250465805701"/>
    <n v="2405.25"/>
    <n v="-30217.82123737708"/>
    <n v="-0.33659505694655617"/>
    <n v="13352.363603767424"/>
    <n v="-43570.184841144503"/>
    <n v="-0.48532648110436649"/>
    <n v="10704.804811053742"/>
    <n v="-19513.016426323338"/>
  </r>
  <r>
    <m/>
    <x v="6"/>
    <s v="242-2026B"/>
    <d v="2026-05-21T00:00:00"/>
    <d v="2026-07-29T00:00:00"/>
    <n v="22.5"/>
    <x v="1"/>
    <s v="Nucas"/>
    <s v="500-1"/>
    <s v="Tailandia"/>
    <s v="Lat Krabang"/>
    <x v="33"/>
    <s v="Pimsiri"/>
    <n v="1330"/>
    <n v="29925"/>
    <n v="1187.7777777777778"/>
    <n v="3200"/>
    <n v="26725"/>
    <n v="1"/>
    <s v="ECO MARIN 26030N"/>
    <n v="6508576660"/>
    <m/>
    <m/>
    <x v="0"/>
    <n v="10005779"/>
    <m/>
    <m/>
    <n v="1483.42296852866"/>
    <n v="19378.721071917567"/>
    <n v="7374.7825336788701"/>
    <n v="213.18915777634004"/>
    <n v="6410.3240285220754"/>
    <n v="33377.016791894857"/>
    <m/>
    <n v="1483.42296852866"/>
    <m/>
    <n v="-3452.0167918948573"/>
    <n v="-0.11535561543508295"/>
    <n v="3200"/>
    <n v="1917"/>
    <n v="41.265271703984396"/>
    <n v="5158.2652717039846"/>
    <n v="2264.075015526857"/>
    <n v="801.75"/>
    <n v="-10072.607079125701"/>
    <n v="-0.33659505694655639"/>
    <n v="4450.787867922475"/>
    <n v="-14523.394947048175"/>
    <n v="-0.48532648110436677"/>
    <n v="3568.2682703512478"/>
    <n v="-6504.3388087744534"/>
  </r>
  <r>
    <m/>
    <x v="6"/>
    <s v="244-2026"/>
    <d v="2026-05-22T00:00:00"/>
    <d v="2026-07-21T00:00:00"/>
    <n v="10"/>
    <x v="1"/>
    <s v="|"/>
    <s v="300 - 500"/>
    <s v="Japón "/>
    <s v="Hachinohe"/>
    <x v="2"/>
    <s v="Jose"/>
    <n v="1400"/>
    <n v="14000"/>
    <n v="1400"/>
    <n v="3201"/>
    <n v="10799"/>
    <n v="1"/>
    <s v="ECO SIROCCO 26029N"/>
    <s v="LIMG13184400"/>
    <m/>
    <m/>
    <x v="0"/>
    <n v="10005779"/>
    <m/>
    <m/>
    <n v="1483.42296852866"/>
    <n v="8612.7649208522525"/>
    <n v="3277.6811260794975"/>
    <n v="94.750736789484463"/>
    <n v="2849.032901565367"/>
    <n v="14834.229685286602"/>
    <m/>
    <n v="1483.42296852866"/>
    <m/>
    <n v="-834.22968528660203"/>
    <n v="-5.9587834663328718E-2"/>
    <n v="3201"/>
    <n v="852"/>
    <n v="18.3401207573264"/>
    <n v="4071.3401207573265"/>
    <n v="1006.2555624563809"/>
    <n v="323.96999999999997"/>
    <n v="-5587.8553685003089"/>
    <n v="-0.39913252632145063"/>
    <n v="1978.1279412988779"/>
    <n v="-7565.9833097991868"/>
    <n v="-0.54042737927137052"/>
    <n v="1585.8970090449989"/>
    <n v="-4001.9583594553101"/>
  </r>
  <r>
    <m/>
    <x v="6"/>
    <s v="244-2026"/>
    <d v="2026-05-22T00:00:00"/>
    <d v="2026-07-21T00:00:00"/>
    <n v="14"/>
    <x v="4"/>
    <s v="Filete"/>
    <s v="1-2  A-AA"/>
    <s v="Japón "/>
    <s v="Hachinohe"/>
    <x v="2"/>
    <s v="Jose"/>
    <n v="2200"/>
    <n v="30800"/>
    <n v="2200"/>
    <n v="3201"/>
    <n v="27599"/>
    <n v="2"/>
    <s v="ECO SIROCCO 26029N"/>
    <s v="LIMG13184400"/>
    <m/>
    <m/>
    <x v="0"/>
    <n v="10005721"/>
    <m/>
    <m/>
    <n v="1834.43100611569"/>
    <n v="15596.979572028082"/>
    <n v="4570.2388258553683"/>
    <n v="279.98311758244921"/>
    <n v="5234.8325701537606"/>
    <n v="25682.03408561966"/>
    <m/>
    <n v="1834.43100611569"/>
    <m/>
    <n v="5117.9659143803401"/>
    <n v="0.16616772449286818"/>
    <n v="3201"/>
    <n v="1192.8"/>
    <n v="25.67616906025696"/>
    <n v="4419.4761690602572"/>
    <n v="1408.7577874389331"/>
    <n v="827.96999999999991"/>
    <n v="117.70195788114972"/>
    <n v="3.8214921389983676E-3"/>
    <n v="2769.3791178184288"/>
    <n v="-2651.6771599372792"/>
    <n v="-8.6093414283677894E-2"/>
    <n v="2220.2558126629983"/>
    <n v="2337.9577705441479"/>
  </r>
  <r>
    <m/>
    <x v="6"/>
    <s v="247-2026"/>
    <d v="2025-06-01T00:00:00"/>
    <d v="2026-07-03T00:00:00"/>
    <n v="27"/>
    <x v="11"/>
    <s v="Recortes cocidos "/>
    <m/>
    <s v="China"/>
    <s v="Qingdao"/>
    <x v="34"/>
    <s v="Mark "/>
    <n v="2550"/>
    <n v="68850"/>
    <n v="2453.7037037037039"/>
    <n v="2600"/>
    <n v="66250"/>
    <n v="1"/>
    <s v="ECO SIROCCO 26027S"/>
    <n v="6506232350"/>
    <m/>
    <m/>
    <x v="1"/>
    <n v="10007050"/>
    <m/>
    <m/>
    <n v="1308.2098231172592"/>
    <n v="29541.044443214407"/>
    <n v="5421.5909783831166"/>
    <n v="515.05114294639611"/>
    <n v="-156.02134037791413"/>
    <n v="35321.665224166005"/>
    <m/>
    <n v="1308.2098231172592"/>
    <m/>
    <n v="33528.334775833995"/>
    <n v="0.48697653995401591"/>
    <n v="2600"/>
    <n v="2300.4"/>
    <n v="49.518326044781276"/>
    <n v="4949.9183260447808"/>
    <n v="2716.890018632228"/>
    <n v="1987.5"/>
    <n v="27849.026431156984"/>
    <n v="0.40448840132399394"/>
    <n v="5340.9454415069704"/>
    <n v="22508.080989650014"/>
    <n v="0.32691475656717522"/>
    <n v="4281.9219244214974"/>
    <n v="32130.948355578483"/>
  </r>
  <r>
    <m/>
    <x v="6"/>
    <s v="248-2026"/>
    <d v="1900-06-02T00:00:00"/>
    <d v="2026-07-13T00:00:00"/>
    <n v="27"/>
    <x v="11"/>
    <s v="Recortes cocidos "/>
    <m/>
    <s v="España "/>
    <s v="Vigo"/>
    <x v="11"/>
    <s v="Ramon"/>
    <n v="2500"/>
    <n v="67500"/>
    <n v="2302.5185185185187"/>
    <n v="5332"/>
    <n v="62168"/>
    <n v="1"/>
    <s v="IZMIT EXPRESS  629N "/>
    <n v="11285965"/>
    <m/>
    <m/>
    <x v="1"/>
    <n v="10007050"/>
    <m/>
    <m/>
    <n v="1308.2098231172592"/>
    <n v="29541.044443214407"/>
    <n v="5421.5909783831166"/>
    <n v="515.05114294639611"/>
    <n v="-156.02134037791413"/>
    <n v="35321.665224166005"/>
    <m/>
    <n v="1308.2098231172592"/>
    <m/>
    <n v="32178.334775833995"/>
    <n v="0.47671607075309624"/>
    <n v="5332"/>
    <n v="2300.4"/>
    <n v="49.518326044781276"/>
    <n v="7681.9183260447808"/>
    <n v="2716.890018632228"/>
    <n v="1865.04"/>
    <n v="23644.566431156985"/>
    <n v="0.35028987305417758"/>
    <n v="5340.9454415069704"/>
    <n v="18303.620989650015"/>
    <n v="0.27116475540222246"/>
    <n v="4281.9219244214974"/>
    <n v="27926.488355578484"/>
  </r>
  <r>
    <m/>
    <x v="6"/>
    <s v="250-2026"/>
    <d v="1900-06-06T00:00:00"/>
    <d v="2026-07-06T00:00:00"/>
    <n v="26"/>
    <x v="0"/>
    <s v="Rejos Re"/>
    <s v="grandes "/>
    <s v="España"/>
    <s v="Valencia"/>
    <x v="0"/>
    <s v="Ignacio / Ives"/>
    <n v="2850"/>
    <n v="74100"/>
    <n v="2678.8461538461538"/>
    <n v="4450"/>
    <n v="69650"/>
    <n v="1"/>
    <s v="CAUCEDO EXPRESS626N"/>
    <n v="12601018"/>
    <m/>
    <m/>
    <x v="0"/>
    <n v="10007567"/>
    <m/>
    <m/>
    <n v="1540.1636690456899"/>
    <n v="24730.634969895029"/>
    <n v="6665.0113723449358"/>
    <n v="432.21274059165916"/>
    <n v="8216.3963123563135"/>
    <n v="40044.255395187938"/>
    <m/>
    <n v="1540.1636690456899"/>
    <m/>
    <n v="34055.744604812062"/>
    <n v="0.45959169507168773"/>
    <n v="4450"/>
    <n v="2215.2000000000003"/>
    <n v="47.684313969048638"/>
    <n v="6712.8843139690498"/>
    <n v="2616.2644623865899"/>
    <n v="2089.5"/>
    <n v="26816.095828456422"/>
    <n v="0.36189063196297466"/>
    <n v="5143.1326473770823"/>
    <n v="21672.96318107934"/>
    <n v="0.29248263402266317"/>
    <n v="4123.3322235169971"/>
    <n v="30939.42805197342"/>
  </r>
  <r>
    <m/>
    <x v="6"/>
    <s v="252-2026B"/>
    <d v="1900-06-08T00:00:00"/>
    <d v="2026-07-22T00:00:00"/>
    <n v="52"/>
    <x v="1"/>
    <s v="Nucas"/>
    <s v="300 - 500"/>
    <s v="Tailandia"/>
    <s v="Lat Krabang"/>
    <x v="2"/>
    <s v="Jose"/>
    <n v="1300"/>
    <n v="67600"/>
    <n v="1182.6538461538462"/>
    <n v="6102"/>
    <n v="61498"/>
    <n v="2"/>
    <s v="ECO SIROCCO 26029N"/>
    <s v="LIMG13089800"/>
    <m/>
    <m/>
    <x v="0"/>
    <n v="10005779"/>
    <m/>
    <m/>
    <n v="1483.42296852866"/>
    <n v="44786.377588431707"/>
    <n v="17043.94185561339"/>
    <n v="492.70383130531917"/>
    <n v="14814.971088139908"/>
    <n v="77137.994363490317"/>
    <m/>
    <n v="1483.42296852866"/>
    <m/>
    <n v="-9537.9943634903175"/>
    <n v="-0.14109459117589226"/>
    <n v="6102"/>
    <n v="4430.4000000000005"/>
    <n v="95.368627938097276"/>
    <n v="10627.7686279381"/>
    <n v="5232.5289247731798"/>
    <n v="1844.9399999999998"/>
    <n v="-23553.351916201598"/>
    <n v="-0.34842236562428397"/>
    <n v="10286.265294754165"/>
    <n v="-33839.617210955766"/>
    <n v="-0.50058605341650542"/>
    <n v="8246.6644470339943"/>
    <n v="-15306.687469167604"/>
  </r>
  <r>
    <m/>
    <x v="6"/>
    <s v="253-2026"/>
    <d v="1900-06-17T00:00:00"/>
    <d v="2026-07-13T00:00:00"/>
    <n v="26"/>
    <x v="0"/>
    <s v="Rejos Re"/>
    <s v="+  60 CM , SUCKERS OFF"/>
    <s v="México"/>
    <s v="Manzanillo"/>
    <x v="20"/>
    <s v="alexander"/>
    <n v="2730"/>
    <n v="70980"/>
    <n v="2597.2692307692309"/>
    <n v="3451"/>
    <n v="67529"/>
    <n v="1"/>
    <s v="IZMIT EXPRESS  629N "/>
    <n v="92999135"/>
    <m/>
    <m/>
    <x v="0"/>
    <n v="10007567"/>
    <m/>
    <m/>
    <n v="1540.1636690456899"/>
    <n v="24730.634969895029"/>
    <n v="6665.0113723449358"/>
    <n v="432.21274059165916"/>
    <n v="8216.3963123563135"/>
    <n v="40044.255395187938"/>
    <m/>
    <n v="1540.1636690456899"/>
    <m/>
    <n v="30935.744604812062"/>
    <n v="0.43583748386604765"/>
    <n v="3451"/>
    <n v="2215.2000000000003"/>
    <n v="47.684313969048638"/>
    <n v="5713.8843139690498"/>
    <n v="2616.2644623865899"/>
    <n v="2025.87"/>
    <n v="24631.465828456421"/>
    <n v="0.34701980597994392"/>
    <n v="5143.1326473770823"/>
    <n v="19488.333181079339"/>
    <n v="0.27456090703126712"/>
    <n v="4123.3322235169971"/>
    <n v="28754.798051973419"/>
  </r>
  <r>
    <m/>
    <x v="6"/>
    <s v="255-2026"/>
    <d v="2026-07-02T00:00:00"/>
    <d v="2026-07-19T00:00:00"/>
    <n v="25.7"/>
    <x v="2"/>
    <s v="Rejos"/>
    <s v="300-500"/>
    <s v="China "/>
    <s v="shidao"/>
    <x v="35"/>
    <s v="walton"/>
    <n v="3000"/>
    <n v="77100"/>
    <n v="2896.2962962962961"/>
    <n v="2665.1851851851925"/>
    <n v="74434.814814814803"/>
    <n v="1"/>
    <s v="MEDKON ZOE 200S"/>
    <n v="6508142260"/>
    <m/>
    <m/>
    <x v="0"/>
    <n v="10007162"/>
    <m/>
    <m/>
    <n v="1596.5588140091199"/>
    <n v="25158.528694513439"/>
    <n v="7143.0080147569024"/>
    <n v="380.38678656297935"/>
    <n v="8349.6380242010582"/>
    <n v="41031.561520034382"/>
    <m/>
    <n v="1596.5588140091199"/>
    <m/>
    <n v="36068.438479965618"/>
    <n v="0.46781372866362669"/>
    <n v="2665.1851851851925"/>
    <n v="2189.64"/>
    <n v="47.134110346328846"/>
    <n v="4901.959295531522"/>
    <n v="2586.0767955128986"/>
    <n v="2233.0444444444438"/>
    <n v="30813.44683336564"/>
    <n v="0.39965560095156472"/>
    <n v="5083.7888091381155"/>
    <n v="25729.658024227523"/>
    <n v="0.33371800290826881"/>
    <n v="4075.7553132456469"/>
    <n v="34889.202146611286"/>
  </r>
  <r>
    <m/>
    <x v="6"/>
    <s v="255-2026"/>
    <d v="2026-07-02T00:00:00"/>
    <d v="2026-07-19T00:00:00"/>
    <n v="1.3"/>
    <x v="2"/>
    <s v="Rejos"/>
    <s v="500-1000"/>
    <s v="China "/>
    <s v="shidao"/>
    <x v="35"/>
    <s v="walton"/>
    <n v="2700"/>
    <n v="3510"/>
    <n v="2596.2962962962961"/>
    <n v="134.81481481481521"/>
    <n v="3375.1851851851848"/>
    <n v="0"/>
    <s v="MEDKON ZOE 200S"/>
    <n v="6508142260"/>
    <m/>
    <m/>
    <x v="0"/>
    <n v="10007162"/>
    <m/>
    <m/>
    <n v="1596.5588140091199"/>
    <n v="1272.6104008897848"/>
    <n v="361.31947156357876"/>
    <n v="19.241354962329694"/>
    <n v="422.35523079616252"/>
    <n v="2075.5264582118562"/>
    <m/>
    <n v="1596.5588140091199"/>
    <m/>
    <n v="1434.4735417881438"/>
    <n v="0.40868192073736292"/>
    <n v="134.81481481481521"/>
    <n v="110.76"/>
    <n v="2.3842156984524321"/>
    <n v="247.95903051326766"/>
    <n v="130.81322311932951"/>
    <n v="101.25555555555555"/>
    <n v="1156.9568437111022"/>
    <n v="0.3296173343906274"/>
    <n v="257.1566323688541"/>
    <n v="899.80021134224808"/>
    <n v="0.25635333656474302"/>
    <n v="206.16661117584988"/>
    <n v="1363.123454886952"/>
  </r>
  <r>
    <m/>
    <x v="6"/>
    <s v="256A - 2026"/>
    <d v="2026-07-05T00:00:00"/>
    <d v="2026-07-12T00:00:00"/>
    <n v="54"/>
    <x v="3"/>
    <s v="Conos"/>
    <s v="s/t"/>
    <s v="China "/>
    <s v="shidao"/>
    <x v="9"/>
    <s v="James"/>
    <n v="1600"/>
    <n v="86400"/>
    <n v="1496.2962962962963"/>
    <n v="5600"/>
    <n v="80800"/>
    <n v="2"/>
    <s v="CARIBBEAN TRADER 200S"/>
    <n v="6507254090"/>
    <m/>
    <m/>
    <x v="1"/>
    <n v="10007969"/>
    <m/>
    <m/>
    <n v="1233.0367002593"/>
    <n v="56403.073435960403"/>
    <n v="11326.823838679245"/>
    <n v="871.58520801789348"/>
    <n v="-2017.50066865535"/>
    <n v="66583.981814002182"/>
    <m/>
    <n v="1233.0367002593"/>
    <m/>
    <n v="19816.018185997818"/>
    <n v="0.2293520623379377"/>
    <n v="5600"/>
    <n v="4600.8"/>
    <n v="99.036652089562551"/>
    <n v="10299.836652089562"/>
    <n v="5433.780037264456"/>
    <n v="2424"/>
    <n v="6506.4014966438008"/>
    <n v="7.5305572877821775E-2"/>
    <n v="10681.890883013941"/>
    <n v="-4175.48938637014"/>
    <n v="-4.8327423453358102E-2"/>
    <n v="8563.8438488429947"/>
    <n v="15070.245345486795"/>
  </r>
  <r>
    <m/>
    <x v="6"/>
    <s v="256A - 2026"/>
    <d v="2026-07-05T00:00:00"/>
    <d v="2026-07-12T00:00:00"/>
    <n v="108"/>
    <x v="2"/>
    <s v="Rejos"/>
    <s v="500-1000"/>
    <s v="China "/>
    <s v="shidao"/>
    <x v="9"/>
    <s v="James"/>
    <n v="2550"/>
    <n v="275400"/>
    <n v="2446.2962962962961"/>
    <n v="11200"/>
    <n v="264200"/>
    <n v="4"/>
    <s v="CARIBBEAN TRADER 200S"/>
    <n v="6507254090"/>
    <m/>
    <m/>
    <x v="0"/>
    <n v="10007162"/>
    <m/>
    <m/>
    <n v="1596.5588140091199"/>
    <n v="105724.5563816129"/>
    <n v="30017.309945281926"/>
    <n v="1598.5125661012362"/>
    <n v="35087.973019988887"/>
    <n v="172428.35191298494"/>
    <m/>
    <n v="1596.5588140091199"/>
    <m/>
    <n v="102971.64808701506"/>
    <n v="0.37389850431014909"/>
    <n v="11200"/>
    <n v="9201.6"/>
    <n v="198.0733041791251"/>
    <n v="20599.673304179123"/>
    <n v="10867.560074528912"/>
    <n v="7926"/>
    <n v="79430.414708307013"/>
    <n v="0.28841835406066452"/>
    <n v="21363.781766027882"/>
    <n v="58066.632942279131"/>
    <n v="0.2108447093038458"/>
    <n v="17127.687697685989"/>
    <n v="96558.102405993006"/>
  </r>
  <r>
    <m/>
    <x v="6"/>
    <s v="256A - 2026"/>
    <d v="2026-07-05T00:00:00"/>
    <d v="2026-07-12T00:00:00"/>
    <n v="54"/>
    <x v="5"/>
    <s v="Alas "/>
    <s v="500 - up"/>
    <s v="China "/>
    <s v="shidao"/>
    <x v="9"/>
    <s v="James"/>
    <n v="1750"/>
    <n v="94500"/>
    <n v="1646.2962962962963"/>
    <n v="5600"/>
    <n v="88900"/>
    <n v="2"/>
    <s v="CARIBBEAN TRADER 200S"/>
    <n v="6507254090"/>
    <m/>
    <m/>
    <x v="0"/>
    <n v="10006720"/>
    <m/>
    <m/>
    <n v="1731.9701269990101"/>
    <n v="60015.231057246201"/>
    <n v="12623.441953785896"/>
    <n v="873.89662151372545"/>
    <n v="20013.817225400722"/>
    <n v="93526.386857946534"/>
    <m/>
    <n v="1731.9701269990101"/>
    <m/>
    <n v="973.61314205346571"/>
    <n v="1.0302784571994347E-2"/>
    <n v="5600"/>
    <n v="4600.8"/>
    <n v="99.036652089562551"/>
    <n v="10299.836652089562"/>
    <n v="5433.780037264456"/>
    <n v="2667"/>
    <n v="-12093.003547300552"/>
    <n v="-0.12796829150582595"/>
    <n v="10681.890883013941"/>
    <n v="-22774.894430314493"/>
    <n v="-0.24100417386576184"/>
    <n v="8563.8438488429947"/>
    <n v="-3529.1596984575572"/>
  </r>
  <r>
    <m/>
    <x v="6"/>
    <s v="256B-2026"/>
    <d v="2026-07-05T00:00:00"/>
    <d v="2026-07-12T00:00:00"/>
    <n v="54"/>
    <x v="8"/>
    <s v="Membrana PC"/>
    <m/>
    <s v="China "/>
    <s v="Yantian Shezhen"/>
    <x v="9"/>
    <s v="James"/>
    <n v="1600"/>
    <n v="86400"/>
    <n v="1496.2962962962963"/>
    <n v="5600"/>
    <n v="80800"/>
    <n v="2"/>
    <s v="CARIBBEAN TRADER 200S"/>
    <n v="6507253990"/>
    <m/>
    <m/>
    <x v="1"/>
    <n v="10009207"/>
    <m/>
    <m/>
    <n v="1279.9702510293225"/>
    <n v="58320.128089838588"/>
    <n v="10230.756216166574"/>
    <n v="859.49178412853405"/>
    <n v="-291.98253455027793"/>
    <n v="69118.393555583418"/>
    <m/>
    <n v="1279.9702510293225"/>
    <m/>
    <n v="17281.606444416582"/>
    <n v="0.20001859310667341"/>
    <n v="5600"/>
    <n v="4600.8"/>
    <n v="99.036652089562551"/>
    <n v="10299.836652089562"/>
    <n v="5433.780037264456"/>
    <n v="2424"/>
    <n v="3971.9897550625647"/>
    <n v="4.5972103646557461E-2"/>
    <n v="10681.890883013941"/>
    <n v="-6709.9011279513761"/>
    <n v="-7.766089268462241E-2"/>
    <n v="8563.8438488429947"/>
    <n v="12535.833603905559"/>
  </r>
  <r>
    <m/>
    <x v="6"/>
    <s v="256C-2026"/>
    <d v="2026-07-05T00:00:00"/>
    <d v="2026-07-19T00:00:00"/>
    <n v="54"/>
    <x v="7"/>
    <m/>
    <m/>
    <s v="China "/>
    <s v="Yantian Shezhen"/>
    <x v="9"/>
    <s v="James"/>
    <n v="1600"/>
    <n v="86400"/>
    <n v="1496.2962962962963"/>
    <n v="5600"/>
    <n v="80800"/>
    <n v="2"/>
    <s v="MEDKON ZOE 200S"/>
    <s v=" 6507561120 //"/>
    <m/>
    <m/>
    <x v="1"/>
    <n v="10009207"/>
    <m/>
    <m/>
    <n v="1279.97025102932"/>
    <n v="58320.128089838472"/>
    <n v="10230.756216166554"/>
    <n v="859.49178412853223"/>
    <n v="-291.98253455027736"/>
    <n v="69118.393555583287"/>
    <m/>
    <n v="1279.97025102932"/>
    <m/>
    <n v="17281.606444416713"/>
    <n v="0.20001859310667491"/>
    <n v="5600"/>
    <n v="4600.8"/>
    <n v="99.036652089562551"/>
    <n v="10299.836652089562"/>
    <n v="5433.780037264456"/>
    <n v="2424"/>
    <n v="3971.9897550626956"/>
    <n v="4.597210364655898E-2"/>
    <n v="10681.890883013941"/>
    <n v="-6709.9011279512451"/>
    <n v="-7.7660892684620897E-2"/>
    <n v="8563.8438488429947"/>
    <n v="12535.83360390569"/>
  </r>
  <r>
    <m/>
    <x v="6"/>
    <s v="256D-2026"/>
    <d v="2026-07-05T00:00:00"/>
    <d v="2026-07-26T00:00:00"/>
    <n v="25.905000000000001"/>
    <x v="8"/>
    <s v="Telilla PC"/>
    <m/>
    <s v="China "/>
    <s v="Yantian Shezhen"/>
    <x v="9"/>
    <s v="James"/>
    <n v="1600"/>
    <n v="41448"/>
    <n v="1491.9127581547964"/>
    <n v="2800"/>
    <n v="38648"/>
    <n v="1"/>
    <s v="CARIBBEAN TRADER 201S"/>
    <n v="6508438580"/>
    <m/>
    <m/>
    <x v="1"/>
    <n v="10009207"/>
    <m/>
    <m/>
    <n v="1279.9702510293225"/>
    <n v="27977.461447542013"/>
    <n v="4907.9211070332431"/>
    <n v="412.31730866388284"/>
    <n v="-140.07051032453612"/>
    <n v="33157.629352914606"/>
    <m/>
    <n v="1279.9702510293225"/>
    <m/>
    <n v="8290.370647085394"/>
    <n v="0.20001859310667328"/>
    <n v="2800"/>
    <n v="2207.1060000000002"/>
    <n v="47.510082821854041"/>
    <n v="5054.6160828218535"/>
    <n v="2606.7050345432544"/>
    <n v="1159.44"/>
    <n v="1788.4895297202861"/>
    <n v="4.3150200967966755E-2"/>
    <n v="5124.3404319347428"/>
    <n v="-3335.8509022144567"/>
    <n v="-8.0482795363213108E-2"/>
    <n v="4108.2662019310701"/>
    <n v="5896.7557316513557"/>
  </r>
  <r>
    <m/>
    <x v="6"/>
    <s v="258-2026"/>
    <d v="2026-07-07T00:00:00"/>
    <d v="2026-07-16T00:00:00"/>
    <n v="54"/>
    <x v="7"/>
    <s v="Membrana "/>
    <m/>
    <s v="China"/>
    <s v="Qingdao"/>
    <x v="36"/>
    <s v="aaron"/>
    <n v="1850"/>
    <n v="99900"/>
    <n v="1753.7037037037037"/>
    <n v="5200"/>
    <n v="94700"/>
    <n v="2"/>
    <s v="ECO MARIN 26030S"/>
    <n v="6508142060"/>
    <m/>
    <m/>
    <x v="1"/>
    <n v="10009207"/>
    <m/>
    <m/>
    <n v="1279.97025102932"/>
    <n v="58320.128089838472"/>
    <n v="10230.756216166554"/>
    <n v="859.49178412853223"/>
    <n v="-291.98253455027736"/>
    <n v="69118.393555583287"/>
    <m/>
    <n v="1279.97025102932"/>
    <m/>
    <n v="30781.606444416713"/>
    <n v="0.30812418863279994"/>
    <n v="5200"/>
    <n v="4600.8"/>
    <n v="99.036652089562551"/>
    <n v="9899.8366520895615"/>
    <n v="5433.780037264456"/>
    <n v="2841"/>
    <n v="18288.989755062696"/>
    <n v="0.1830729705211481"/>
    <n v="10681.890883013941"/>
    <n v="7607.0988720487549"/>
    <n v="7.6147135856343889E-2"/>
    <n v="8563.8438488429947"/>
    <n v="26852.833603905689"/>
  </r>
  <r>
    <m/>
    <x v="6"/>
    <s v="261-2026"/>
    <d v="2026-07-12T00:00:00"/>
    <d v="2026-07-26T00:00:00"/>
    <n v="27"/>
    <x v="2"/>
    <s v="Rejos"/>
    <s v="300-500"/>
    <s v="China "/>
    <s v="shidao"/>
    <x v="35"/>
    <s v="walton"/>
    <n v="3000"/>
    <n v="81000"/>
    <n v="2896.2962962962961"/>
    <n v="2800"/>
    <n v="78200"/>
    <n v="1"/>
    <s v="CARIBBEAN TRADER 201S"/>
    <n v="6508569000"/>
    <m/>
    <m/>
    <x v="0"/>
    <n v="10007162"/>
    <m/>
    <m/>
    <n v="1596.5588140091199"/>
    <n v="26431.139095403225"/>
    <n v="7504.3274863204815"/>
    <n v="399.62814152530905"/>
    <n v="8771.9932549972218"/>
    <n v="43107.087978246236"/>
    <m/>
    <n v="1596.5588140091199"/>
    <m/>
    <n v="37892.912021753764"/>
    <n v="0.46781372866362669"/>
    <n v="2800"/>
    <n v="2300.4"/>
    <n v="49.518326044781276"/>
    <n v="5149.9183260447808"/>
    <n v="2716.890018632228"/>
    <n v="2346"/>
    <n v="32372.103677076753"/>
    <n v="0.39965560095156488"/>
    <n v="5340.9454415069704"/>
    <n v="27031.158235569783"/>
    <n v="0.33371800290826892"/>
    <n v="4281.9219244214974"/>
    <n v="36654.025601498251"/>
  </r>
  <r>
    <m/>
    <x v="6"/>
    <s v="263-2026"/>
    <d v="1900-07-16T00:00:00"/>
    <d v="2026-07-22T00:00:00"/>
    <n v="27"/>
    <x v="0"/>
    <s v="Rejos Re"/>
    <s v="+  60 CM , SUCKERS OFF"/>
    <s v="México"/>
    <s v="Manzanillo"/>
    <x v="20"/>
    <s v="alexander"/>
    <n v="2568"/>
    <n v="69336"/>
    <n v="2396.2962962962961"/>
    <n v="2800"/>
    <n v="66536"/>
    <n v="1"/>
    <s v="ECO SIROCCO 26029N"/>
    <s v="LIMG13295700"/>
    <m/>
    <m/>
    <x v="0"/>
    <n v="10007567"/>
    <m/>
    <m/>
    <n v="1540.1636690456899"/>
    <n v="25681.813237967912"/>
    <n v="6921.3579635889719"/>
    <n v="448.83630753749219"/>
    <n v="8532.4115551392479"/>
    <n v="41584.419064233625"/>
    <m/>
    <n v="1540.1636690456899"/>
    <m/>
    <n v="27751.580935766375"/>
    <n v="0.40024779242769087"/>
    <n v="2800"/>
    <n v="2300.4"/>
    <n v="49.518326044781276"/>
    <n v="5149.9183260447808"/>
    <n v="2716.890018632228"/>
    <n v="1996.08"/>
    <n v="21880.852591089366"/>
    <n v="0.31557708248369343"/>
    <n v="5340.9454415069704"/>
    <n v="16539.907149582396"/>
    <n v="0.23854717822750657"/>
    <n v="4281.9219244214974"/>
    <n v="26162.7745155108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64645-3F53-497D-8C98-E9D1025BC07E}" name="TablaDinámica9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L56:AT95" firstHeaderRow="1" firstDataRow="2" firstDataCol="1"/>
  <pivotFields count="51"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6" showAll="0"/>
    <pivotField numFmtId="16" showAll="0"/>
    <pivotField dataField="1" showAll="0"/>
    <pivotField showAll="0"/>
    <pivotField showAll="0"/>
    <pivotField showAll="0"/>
    <pivotField showAll="0"/>
    <pivotField showAll="0"/>
    <pivotField axis="axisRow" showAll="0">
      <items count="39">
        <item x="15"/>
        <item x="9"/>
        <item x="2"/>
        <item x="29"/>
        <item x="11"/>
        <item x="5"/>
        <item x="18"/>
        <item x="19"/>
        <item m="1" x="37"/>
        <item x="16"/>
        <item x="3"/>
        <item x="0"/>
        <item x="20"/>
        <item x="6"/>
        <item x="12"/>
        <item x="1"/>
        <item x="17"/>
        <item x="8"/>
        <item x="24"/>
        <item x="4"/>
        <item x="7"/>
        <item x="14"/>
        <item x="27"/>
        <item x="35"/>
        <item x="33"/>
        <item x="30"/>
        <item x="28"/>
        <item x="36"/>
        <item x="10"/>
        <item x="25"/>
        <item x="21"/>
        <item x="34"/>
        <item x="26"/>
        <item x="22"/>
        <item x="13"/>
        <item x="23"/>
        <item x="31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1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 Cantidad " fld="5" baseField="0" baseItem="0"/>
  </dataFields>
  <formats count="6">
    <format dxfId="5">
      <pivotArea outline="0" collapsedLevelsAreSubtotals="1" fieldPosition="0"/>
    </format>
    <format dxfId="4">
      <pivotArea collapsedLevelsAreSubtotals="1" fieldPosition="0">
        <references count="2">
          <reference field="1" count="1" selected="0">
            <x v="5"/>
          </reference>
          <reference field="11" count="2">
            <x v="36"/>
            <x v="37"/>
          </reference>
        </references>
      </pivotArea>
    </format>
    <format dxfId="3">
      <pivotArea collapsedLevelsAreSubtotals="1" fieldPosition="0">
        <references count="2">
          <reference field="1" count="1" selected="0">
            <x v="5"/>
          </reference>
          <reference field="11" count="1">
            <x v="25"/>
          </reference>
        </references>
      </pivotArea>
    </format>
    <format dxfId="2">
      <pivotArea collapsedLevelsAreSubtotals="1" fieldPosition="0">
        <references count="2">
          <reference field="1" count="1" selected="0">
            <x v="6"/>
          </reference>
          <reference field="11" count="1">
            <x v="27"/>
          </reference>
        </references>
      </pivotArea>
    </format>
    <format dxfId="1">
      <pivotArea collapsedLevelsAreSubtotals="1" fieldPosition="0">
        <references count="2">
          <reference field="1" count="1" selected="0">
            <x v="6"/>
          </reference>
          <reference field="11" count="1">
            <x v="31"/>
          </reference>
        </references>
      </pivotArea>
    </format>
    <format dxfId="0">
      <pivotArea collapsedLevelsAreSubtotals="1" fieldPosition="0">
        <references count="2">
          <reference field="1" count="1" selected="0">
            <x v="6"/>
          </reference>
          <reference field="11" count="2">
            <x v="23"/>
            <x v="2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AF350-7F0B-4104-9639-3DE84D876111}" name="TablaDinámica17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96:T102" firstHeaderRow="1" firstDataRow="2" firstDataCol="1"/>
  <pivotFields count="51"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6" showAll="0"/>
    <pivotField numFmtId="1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dataField="1" showAll="0"/>
    <pivotField numFmtId="9" showAll="0"/>
    <pivotField showAll="0"/>
    <pivotField showAll="0"/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UTILIDAD _x000a_NETA" fld="47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7E6A3-5C35-4101-9BEE-B08044372EE3}" name="TablaDinámica15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G25:BJ38" firstHeaderRow="1" firstDataRow="2" firstDataCol="1"/>
  <pivotFields count="51">
    <pivotField showAll="0"/>
    <pivotField axis="axisCol" showAll="0">
      <items count="8">
        <item h="1" x="0"/>
        <item x="1"/>
        <item x="2"/>
        <item h="1" x="3"/>
        <item h="1" x="4"/>
        <item h="1" x="5"/>
        <item h="1" x="6"/>
        <item t="default"/>
      </items>
    </pivotField>
    <pivotField showAll="0"/>
    <pivotField numFmtId="16" showAll="0"/>
    <pivotField numFmtId="16" showAll="0"/>
    <pivotField showAll="0"/>
    <pivotField axis="axisRow" showAll="0">
      <items count="17">
        <item x="2"/>
        <item x="4"/>
        <item x="9"/>
        <item x="5"/>
        <item x="10"/>
        <item x="0"/>
        <item x="1"/>
        <item x="3"/>
        <item x="11"/>
        <item x="8"/>
        <item x="7"/>
        <item m="1" x="15"/>
        <item x="14"/>
        <item x="13"/>
        <item x="1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5"/>
    </i>
    <i t="grand">
      <x/>
    </i>
  </rowItems>
  <colFields count="1">
    <field x="1"/>
  </colFields>
  <colItems count="3">
    <i>
      <x v="1"/>
    </i>
    <i>
      <x v="2"/>
    </i>
    <i t="grand">
      <x/>
    </i>
  </colItems>
  <dataFields count="1">
    <dataField name="Suma de VALOR _x000a_CFR" fld="14" baseField="0" baseItem="0"/>
  </dataFields>
  <formats count="2">
    <format dxfId="8">
      <pivotArea outline="0" collapsedLevelsAreSubtotals="1" fieldPosition="0"/>
    </format>
    <format dxfId="7">
      <pivotArea collapsedLevelsAreSubtotals="1" fieldPosition="0">
        <references count="2">
          <reference field="1" count="1" selected="0">
            <x v="2"/>
          </reference>
          <reference field="6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5E654-6D27-4EAA-9DFF-213693532DA0}" name="TablaDinámica16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96:I102" firstHeaderRow="1" firstDataRow="2" firstDataCol="1"/>
  <pivotFields count="51"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6" showAll="0"/>
    <pivotField numFmtId="1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VALOR _x000a_CFR" fld="14" baseField="0" baseItem="0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9FD57-35DC-4448-9A53-C5EBAD2BE818}" name="TablaDinámica20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J113:AR118" firstHeaderRow="1" firstDataRow="2" firstDataCol="1"/>
  <pivotFields count="51"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6" showAll="0"/>
    <pivotField numFmtId="16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h="1" x="2"/>
        <item t="default"/>
      </items>
    </pivotField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23"/>
  </rowFields>
  <rowItems count="4">
    <i>
      <x/>
    </i>
    <i>
      <x v="1"/>
    </i>
    <i>
      <x v="2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 Cantidad " fld="5" baseField="0" baseItem="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41099-9F2A-4BAB-BE41-F772FF918E42}" name="TablaDinámica8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12:I118" firstHeaderRow="1" firstDataRow="2" firstDataCol="1"/>
  <pivotFields count="51"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6" showAll="0"/>
    <pivotField numFmtId="16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 Cantidad " fld="5" baseField="0" baseItem="0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D8B03-FBDE-4B4B-9E80-11C6CA418804}" name="TablaDinámica1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20:I159" firstHeaderRow="1" firstDataRow="2" firstDataCol="1"/>
  <pivotFields count="51"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6" showAll="0"/>
    <pivotField numFmtId="16" showAll="0"/>
    <pivotField dataField="1" showAll="0"/>
    <pivotField showAll="0"/>
    <pivotField showAll="0"/>
    <pivotField showAll="0"/>
    <pivotField showAll="0"/>
    <pivotField showAll="0"/>
    <pivotField axis="axisRow" showAll="0">
      <items count="39">
        <item x="15"/>
        <item x="9"/>
        <item x="2"/>
        <item x="29"/>
        <item x="11"/>
        <item x="5"/>
        <item x="18"/>
        <item x="19"/>
        <item m="1" x="37"/>
        <item x="16"/>
        <item x="3"/>
        <item x="0"/>
        <item x="20"/>
        <item x="6"/>
        <item x="12"/>
        <item x="1"/>
        <item x="17"/>
        <item x="8"/>
        <item x="24"/>
        <item x="4"/>
        <item x="7"/>
        <item x="14"/>
        <item x="27"/>
        <item x="35"/>
        <item x="33"/>
        <item x="30"/>
        <item x="28"/>
        <item x="36"/>
        <item x="10"/>
        <item x="25"/>
        <item x="21"/>
        <item x="34"/>
        <item x="26"/>
        <item x="22"/>
        <item x="13"/>
        <item x="23"/>
        <item x="31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1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 Cantidad " fld="5" baseField="0" baseItem="0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0FD76-CD9C-4CDB-B02C-01D6182A916D}" name="TablaDinámica11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X25:AF42" firstHeaderRow="1" firstDataRow="2" firstDataCol="1"/>
  <pivotFields count="51"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6" showAll="0"/>
    <pivotField numFmtId="16" showAll="0"/>
    <pivotField showAll="0"/>
    <pivotField axis="axisRow" showAll="0">
      <items count="17">
        <item x="2"/>
        <item x="4"/>
        <item x="9"/>
        <item x="5"/>
        <item x="10"/>
        <item x="0"/>
        <item x="1"/>
        <item x="3"/>
        <item x="11"/>
        <item x="8"/>
        <item x="7"/>
        <item m="1" x="15"/>
        <item x="14"/>
        <item x="13"/>
        <item x="1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dataField="1" showAll="0"/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EBITDA" fld="50" baseField="0" baseItem="0"/>
  </dataFields>
  <formats count="2">
    <format dxfId="14">
      <pivotArea outline="0" collapsedLevelsAreSubtotals="1" fieldPosition="0"/>
    </format>
    <format dxfId="13">
      <pivotArea collapsedLevelsAreSubtotals="1" fieldPosition="0">
        <references count="2">
          <reference field="1" count="1" selected="0">
            <x v="2"/>
          </reference>
          <reference field="6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DB3E0-C3E4-426D-AFCD-1833C6009C5F}" name="TablaDinámica2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I18" firstHeaderRow="1" firstDataRow="2" firstDataCol="1"/>
  <pivotFields count="51"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6" showAll="0"/>
    <pivotField numFmtId="16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dataField="1" numFmtId="165" showAll="0"/>
    <pivotField showAll="0"/>
    <pivotField showAll="0"/>
    <pivotField showAll="0"/>
    <pivotField dataField="1" numFmtId="165" showAll="0"/>
    <pivotField numFmtId="9" showAll="0"/>
    <pivotField numFmtId="165" showAll="0"/>
    <pivotField numFmtId="165" showAll="0"/>
    <pivotField numFmtId="165" showAll="0"/>
    <pivotField dataField="1" numFmtId="165" showAll="0"/>
    <pivotField dataField="1" showAll="0"/>
    <pivotField dataField="1" numFmtId="165" showAll="0"/>
    <pivotField dataField="1" showAll="0"/>
    <pivotField showAll="0"/>
    <pivotField dataField="1" showAll="0"/>
    <pivotField dataField="1" showAll="0"/>
    <pivotField numFmtId="9" showAll="0"/>
    <pivotField dataField="1" showAll="0"/>
    <pivotField dataField="1" showAll="0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2">
    <dataField name="Suma de  Cantidad " fld="5" baseField="0" baseItem="0"/>
    <dataField name="Suma de VALOR _x000a_CFR" fld="14" baseField="0" baseItem="0"/>
    <dataField name="Suma de COSTO _x000a_VENTAS" fld="32" baseField="0" baseItem="0" numFmtId="165"/>
    <dataField name="Suma de UTILIDAD _x000a_BRUTA" fld="36" baseField="0" baseItem="0" numFmtId="165"/>
    <dataField name="Suma de GASTO_x000a_VENTAS" fld="41" baseField="0" baseItem="0" numFmtId="165"/>
    <dataField name="Suma de GASTO _x000a_ADM" fld="42" baseField="0" baseItem="0"/>
    <dataField name="Suma de DRAWBACK" fld="43" baseField="0" baseItem="0" numFmtId="165"/>
    <dataField name="Suma de UTILIDAD _x000a_OPERATIVA" fld="44" baseField="0" baseItem="0"/>
    <dataField name="Suma de GASTO _x000a_FINANCIERO" fld="46" baseField="0" baseItem="0"/>
    <dataField name="Suma de UTILIDAD _x000a_NETA" fld="47" baseField="0" baseItem="0"/>
    <dataField name="Suma de DEPRECIACIÓN" fld="49" baseField="0" baseItem="0"/>
    <dataField name="Suma de EBITDA" fld="50" baseField="0" baseItem="0"/>
  </dataFields>
  <formats count="20">
    <format dxfId="34">
      <pivotArea outline="0" collapsedLevelsAreSubtotals="1" fieldPosition="0"/>
    </format>
    <format dxfId="33">
      <pivotArea collapsedLevelsAreSubtotals="1" fieldPosition="0">
        <references count="1">
          <reference field="4294967294" count="1">
            <x v="3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1">
      <pivotArea collapsedLevelsAreSubtotals="1" fieldPosition="0">
        <references count="1">
          <reference field="4294967294" count="1">
            <x v="7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9">
      <pivotArea collapsedLevelsAreSubtotals="1" fieldPosition="0">
        <references count="1">
          <reference field="4294967294" count="1">
            <x v="9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27">
      <pivotArea collapsedLevelsAreSubtotals="1" fieldPosition="0">
        <references count="1">
          <reference field="4294967294" count="1">
            <x v="11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5">
      <pivotArea collapsedLevelsAreSubtotals="1" fieldPosition="0">
        <references count="1">
          <reference field="4294967294" count="1">
            <x v="0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">
      <pivotArea collapsedLevelsAreSubtotals="1" fieldPosition="0">
        <references count="1">
          <reference field="4294967294" count="1">
            <x v="0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">
      <pivotArea collapsedLevelsAreSubtotals="1" fieldPosition="0">
        <references count="2">
          <reference field="4294967294" count="1">
            <x v="9"/>
          </reference>
          <reference field="1" count="0" selected="0"/>
        </references>
      </pivotArea>
    </format>
    <format dxfId="20">
      <pivotArea field="1" grandCol="1" collapsedLevelsAreSubtotals="1" axis="axisCol" fieldPosition="0">
        <references count="1">
          <reference field="4294967294" count="1">
            <x v="9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8">
      <pivotArea collapsedLevelsAreSubtotals="1" fieldPosition="0">
        <references count="1">
          <reference field="4294967294" count="1">
            <x v="1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">
      <pivotArea collapsedLevelsAreSubtotals="1" fieldPosition="0">
        <references count="1">
          <reference field="4294967294" count="1">
            <x v="1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B10B1-98A9-4D99-A7E2-45FB23921AE9}" name="TablaDinámica14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B25:BE38" firstHeaderRow="1" firstDataRow="2" firstDataCol="1"/>
  <pivotFields count="51">
    <pivotField showAll="0"/>
    <pivotField axis="axisCol" showAll="0">
      <items count="8">
        <item h="1" x="0"/>
        <item x="1"/>
        <item x="2"/>
        <item h="1" x="3"/>
        <item h="1" x="4"/>
        <item h="1" x="5"/>
        <item h="1" x="6"/>
        <item t="default"/>
      </items>
    </pivotField>
    <pivotField showAll="0"/>
    <pivotField numFmtId="16" showAll="0"/>
    <pivotField numFmtId="16" showAll="0"/>
    <pivotField dataField="1" showAll="0"/>
    <pivotField axis="axisRow" showAll="0">
      <items count="17">
        <item x="2"/>
        <item x="4"/>
        <item x="9"/>
        <item x="5"/>
        <item x="10"/>
        <item x="0"/>
        <item x="1"/>
        <item x="3"/>
        <item x="11"/>
        <item x="8"/>
        <item x="7"/>
        <item m="1" x="15"/>
        <item x="14"/>
        <item x="13"/>
        <item x="1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5"/>
    </i>
    <i t="grand">
      <x/>
    </i>
  </rowItems>
  <colFields count="1">
    <field x="1"/>
  </colFields>
  <colItems count="3">
    <i>
      <x v="1"/>
    </i>
    <i>
      <x v="2"/>
    </i>
    <i t="grand">
      <x/>
    </i>
  </colItems>
  <dataFields count="1">
    <dataField name="Suma de  Cantidad " fld="5" baseField="0" baseItem="0"/>
  </dataFields>
  <formats count="2">
    <format dxfId="36">
      <pivotArea outline="0" collapsedLevelsAreSubtotals="1" fieldPosition="0"/>
    </format>
    <format dxfId="35">
      <pivotArea collapsedLevelsAreSubtotals="1" fieldPosition="0">
        <references count="2">
          <reference field="1" count="1" selected="0">
            <x v="2"/>
          </reference>
          <reference field="6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453D0-259B-4E63-932F-E19C9D28C7B4}" name="TablaDinámica6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31:I250" firstHeaderRow="1" firstDataRow="2" firstDataCol="1"/>
  <pivotFields count="51"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6" showAll="0"/>
    <pivotField numFmtId="16" showAll="0"/>
    <pivotField dataField="1" showAll="0"/>
    <pivotField axis="axisRow" showAll="0">
      <items count="17">
        <item x="4"/>
        <item x="9"/>
        <item x="5"/>
        <item x="2"/>
        <item x="10"/>
        <item x="0"/>
        <item x="1"/>
        <item x="3"/>
        <item x="11"/>
        <item x="8"/>
        <item x="7"/>
        <item m="1" x="15"/>
        <item x="14"/>
        <item x="13"/>
        <item x="1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h="1" x="2"/>
        <item t="default"/>
      </items>
    </pivotField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2">
    <field x="23"/>
    <field x="6"/>
  </rowFields>
  <rowItems count="18">
    <i>
      <x/>
    </i>
    <i r="1">
      <x/>
    </i>
    <i r="1">
      <x v="2"/>
    </i>
    <i r="1">
      <x v="3"/>
    </i>
    <i r="1">
      <x v="5"/>
    </i>
    <i r="1">
      <x v="6"/>
    </i>
    <i r="1">
      <x v="13"/>
    </i>
    <i>
      <x v="1"/>
    </i>
    <i r="1">
      <x v="1"/>
    </i>
    <i r="1">
      <x v="4"/>
    </i>
    <i>
      <x v="2"/>
    </i>
    <i r="1">
      <x v="7"/>
    </i>
    <i r="1">
      <x v="8"/>
    </i>
    <i r="1">
      <x v="9"/>
    </i>
    <i r="1">
      <x v="10"/>
    </i>
    <i r="1">
      <x v="12"/>
    </i>
    <i r="1">
      <x v="1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 Cantidad " fld="5" baseField="0" baseItem="0"/>
  </dataFields>
  <formats count="1">
    <format dxfId="3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59BF8-736A-45A4-9F47-D45ABC4B972F}" name="TablaDinámica19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J105:AR110" firstHeaderRow="1" firstDataRow="2" firstDataCol="1"/>
  <pivotFields count="51"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6" showAll="0"/>
    <pivotField numFmtId="1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h="1" x="2"/>
        <item t="default"/>
      </items>
    </pivotField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23"/>
  </rowFields>
  <rowItems count="4">
    <i>
      <x/>
    </i>
    <i>
      <x v="1"/>
    </i>
    <i>
      <x v="2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VALOR _x000a_CFR" fld="14" baseField="0" baseItem="0"/>
  </dataFields>
  <formats count="1"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EEA1C-C35E-4C68-A82E-6A12364697A1}" name="TablaDinámica4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0:I89" firstHeaderRow="1" firstDataRow="2" firstDataCol="1"/>
  <pivotFields count="51"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6" showAll="0"/>
    <pivotField numFmtId="16" showAll="0"/>
    <pivotField showAll="0"/>
    <pivotField showAll="0"/>
    <pivotField showAll="0"/>
    <pivotField showAll="0"/>
    <pivotField showAll="0"/>
    <pivotField showAll="0"/>
    <pivotField axis="axisRow" showAll="0">
      <items count="39">
        <item x="15"/>
        <item x="9"/>
        <item x="2"/>
        <item x="29"/>
        <item x="11"/>
        <item x="5"/>
        <item x="18"/>
        <item x="19"/>
        <item m="1" x="37"/>
        <item x="16"/>
        <item x="3"/>
        <item x="0"/>
        <item x="20"/>
        <item x="6"/>
        <item x="12"/>
        <item x="1"/>
        <item x="17"/>
        <item x="8"/>
        <item x="24"/>
        <item x="4"/>
        <item x="7"/>
        <item x="14"/>
        <item x="27"/>
        <item x="35"/>
        <item x="33"/>
        <item x="30"/>
        <item x="28"/>
        <item x="36"/>
        <item x="10"/>
        <item x="25"/>
        <item x="21"/>
        <item x="34"/>
        <item x="26"/>
        <item x="22"/>
        <item x="13"/>
        <item x="23"/>
        <item x="31"/>
        <item x="32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1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VALOR _x000a_CFR" fld="14" baseField="0" baseItem="0"/>
  </dataFields>
  <formats count="6">
    <format dxfId="44">
      <pivotArea outline="0" collapsedLevelsAreSubtotals="1" fieldPosition="0"/>
    </format>
    <format dxfId="43">
      <pivotArea collapsedLevelsAreSubtotals="1" fieldPosition="0">
        <references count="2">
          <reference field="1" count="1" selected="0">
            <x v="5"/>
          </reference>
          <reference field="11" count="2">
            <x v="36"/>
            <x v="37"/>
          </reference>
        </references>
      </pivotArea>
    </format>
    <format dxfId="42">
      <pivotArea collapsedLevelsAreSubtotals="1" fieldPosition="0">
        <references count="2">
          <reference field="1" count="1" selected="0">
            <x v="5"/>
          </reference>
          <reference field="11" count="1">
            <x v="25"/>
          </reference>
        </references>
      </pivotArea>
    </format>
    <format dxfId="41">
      <pivotArea collapsedLevelsAreSubtotals="1" fieldPosition="0">
        <references count="2">
          <reference field="1" count="1" selected="0">
            <x v="6"/>
          </reference>
          <reference field="11" count="1">
            <x v="27"/>
          </reference>
        </references>
      </pivotArea>
    </format>
    <format dxfId="40">
      <pivotArea collapsedLevelsAreSubtotals="1" fieldPosition="0">
        <references count="2">
          <reference field="1" count="1" selected="0">
            <x v="6"/>
          </reference>
          <reference field="11" count="1">
            <x v="31"/>
          </reference>
        </references>
      </pivotArea>
    </format>
    <format dxfId="39">
      <pivotArea collapsedLevelsAreSubtotals="1" fieldPosition="0">
        <references count="2">
          <reference field="1" count="1" selected="0">
            <x v="6"/>
          </reference>
          <reference field="11" count="2">
            <x v="23"/>
            <x v="2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6D1E2-4C44-4F78-A7AB-F75872E181BE}" name="TablaDinámica3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66:G198" firstHeaderRow="1" firstDataRow="2" firstDataCol="1"/>
  <pivotFields count="51">
    <pivotField showAll="0"/>
    <pivotField axis="axisCol" showAll="0">
      <items count="8">
        <item x="0"/>
        <item x="1"/>
        <item x="2"/>
        <item x="3"/>
        <item x="4"/>
        <item h="1" x="5"/>
        <item h="1" x="6"/>
        <item t="default"/>
      </items>
    </pivotField>
    <pivotField showAll="0"/>
    <pivotField numFmtId="16" showAll="0"/>
    <pivotField numFmtId="16" showAll="0"/>
    <pivotField showAll="0"/>
    <pivotField showAll="0"/>
    <pivotField showAll="0"/>
    <pivotField showAll="0"/>
    <pivotField showAll="0"/>
    <pivotField showAll="0"/>
    <pivotField axis="axisRow" showAll="0">
      <items count="39">
        <item x="15"/>
        <item x="9"/>
        <item x="2"/>
        <item x="29"/>
        <item x="11"/>
        <item x="5"/>
        <item x="18"/>
        <item x="19"/>
        <item m="1" x="37"/>
        <item x="16"/>
        <item x="3"/>
        <item x="0"/>
        <item x="20"/>
        <item x="6"/>
        <item x="12"/>
        <item x="1"/>
        <item x="17"/>
        <item x="8"/>
        <item x="24"/>
        <item x="4"/>
        <item x="7"/>
        <item x="14"/>
        <item x="27"/>
        <item x="35"/>
        <item x="33"/>
        <item x="30"/>
        <item x="28"/>
        <item x="36"/>
        <item x="10"/>
        <item x="25"/>
        <item x="21"/>
        <item x="34"/>
        <item x="26"/>
        <item x="22"/>
        <item x="13"/>
        <item x="23"/>
        <item x="31"/>
        <item x="32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1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6"/>
    </i>
    <i>
      <x v="28"/>
    </i>
    <i>
      <x v="29"/>
    </i>
    <i>
      <x v="30"/>
    </i>
    <i>
      <x v="32"/>
    </i>
    <i>
      <x v="33"/>
    </i>
    <i>
      <x v="34"/>
    </i>
    <i>
      <x v="3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VALOR _x000a_CFR" fld="14" baseField="0" baseItem="0"/>
  </dataFields>
  <formats count="1"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D823F-277C-480D-9645-2A3F80C735C8}" name="TablaDinámica7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5:I42" firstHeaderRow="1" firstDataRow="2" firstDataCol="1"/>
  <pivotFields count="51"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6" showAll="0"/>
    <pivotField numFmtId="16" showAll="0"/>
    <pivotField showAll="0"/>
    <pivotField axis="axisRow" showAll="0">
      <items count="17">
        <item x="2"/>
        <item x="4"/>
        <item x="9"/>
        <item x="5"/>
        <item x="10"/>
        <item x="0"/>
        <item x="1"/>
        <item x="3"/>
        <item x="11"/>
        <item x="8"/>
        <item x="7"/>
        <item m="1" x="15"/>
        <item x="14"/>
        <item x="13"/>
        <item x="1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VALOR _x000a_CFR" fld="14" baseField="0" baseItem="0"/>
  </dataFields>
  <formats count="2">
    <format dxfId="47">
      <pivotArea outline="0" collapsedLevelsAreSubtotals="1" fieldPosition="0"/>
    </format>
    <format dxfId="46">
      <pivotArea collapsedLevelsAreSubtotals="1" fieldPosition="0">
        <references count="2">
          <reference field="1" count="1" selected="0">
            <x v="2"/>
          </reference>
          <reference field="6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B665F-1301-4DE9-A9F4-F82F7A037568}" name="TablaDinámica18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X96:AF102" firstHeaderRow="1" firstDataRow="2" firstDataCol="1"/>
  <pivotFields count="51"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6" showAll="0"/>
    <pivotField numFmtId="1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dataField="1" showAll="0"/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EBITDA" fld="50" baseField="0" baseItem="0"/>
  </dataFields>
  <formats count="1">
    <format dxfId="4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957C5-9E59-4BF8-88AE-C213E6D152E1}" name="TablaDinámica22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B60:BE73" firstHeaderRow="1" firstDataRow="2" firstDataCol="1"/>
  <pivotFields count="51">
    <pivotField showAll="0"/>
    <pivotField axis="axisCol" showAll="0">
      <items count="8">
        <item h="1" x="0"/>
        <item x="1"/>
        <item x="2"/>
        <item h="1" x="3"/>
        <item h="1" x="4"/>
        <item h="1" x="5"/>
        <item h="1" x="6"/>
        <item t="default"/>
      </items>
    </pivotField>
    <pivotField showAll="0"/>
    <pivotField numFmtId="16" showAll="0"/>
    <pivotField numFmtId="16" showAll="0"/>
    <pivotField showAll="0"/>
    <pivotField axis="axisRow" showAll="0">
      <items count="17">
        <item x="2"/>
        <item x="4"/>
        <item x="9"/>
        <item x="5"/>
        <item x="10"/>
        <item x="0"/>
        <item x="1"/>
        <item x="3"/>
        <item x="11"/>
        <item x="8"/>
        <item x="7"/>
        <item m="1" x="15"/>
        <item x="14"/>
        <item x="13"/>
        <item x="1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dataField="1"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5"/>
    </i>
    <i t="grand">
      <x/>
    </i>
  </rowItems>
  <colFields count="1">
    <field x="1"/>
  </colFields>
  <colItems count="3">
    <i>
      <x v="1"/>
    </i>
    <i>
      <x v="2"/>
    </i>
    <i t="grand">
      <x/>
    </i>
  </colItems>
  <dataFields count="1">
    <dataField name="Suma de COSTO _x000a_VENTAS" fld="32" baseField="0" baseItem="0" numFmtId="165"/>
  </dataFields>
  <formats count="2">
    <format dxfId="50">
      <pivotArea outline="0" collapsedLevelsAreSubtotals="1" fieldPosition="0"/>
    </format>
    <format dxfId="49">
      <pivotArea collapsedLevelsAreSubtotals="1" fieldPosition="0">
        <references count="2">
          <reference field="1" count="1" selected="0">
            <x v="2"/>
          </reference>
          <reference field="6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12038-9C20-4E93-AB1B-4C74DEF5EC55}" name="TablaDinámica10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25:T42" firstHeaderRow="1" firstDataRow="2" firstDataCol="1"/>
  <pivotFields count="51"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6" showAll="0"/>
    <pivotField numFmtId="16" showAll="0"/>
    <pivotField showAll="0"/>
    <pivotField axis="axisRow" showAll="0">
      <items count="17">
        <item x="2"/>
        <item x="4"/>
        <item x="9"/>
        <item x="5"/>
        <item x="10"/>
        <item x="0"/>
        <item x="1"/>
        <item x="3"/>
        <item x="11"/>
        <item x="8"/>
        <item x="7"/>
        <item m="1" x="15"/>
        <item x="14"/>
        <item x="13"/>
        <item x="1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dataField="1" showAll="0"/>
    <pivotField numFmtId="9" showAll="0"/>
    <pivotField showAll="0"/>
    <pivotField showAll="0"/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UTILIDAD _x000a_NETA" fld="47" baseField="0" baseItem="0"/>
  </dataFields>
  <formats count="2">
    <format dxfId="52">
      <pivotArea outline="0" collapsedLevelsAreSubtotals="1" fieldPosition="0"/>
    </format>
    <format dxfId="51">
      <pivotArea collapsedLevelsAreSubtotals="1" fieldPosition="0">
        <references count="2">
          <reference field="1" count="1" selected="0">
            <x v="2"/>
          </reference>
          <reference field="6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AEA71-812C-4E4D-B84F-7141213A2A10}" name="TablaDinámica5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07:I226" firstHeaderRow="1" firstDataRow="2" firstDataCol="1"/>
  <pivotFields count="51"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6" showAll="0"/>
    <pivotField numFmtId="16" showAll="0"/>
    <pivotField showAll="0"/>
    <pivotField axis="axisRow" showAll="0">
      <items count="17">
        <item x="4"/>
        <item x="5"/>
        <item x="2"/>
        <item x="9"/>
        <item x="10"/>
        <item x="0"/>
        <item x="1"/>
        <item x="3"/>
        <item x="11"/>
        <item x="8"/>
        <item x="7"/>
        <item m="1" x="15"/>
        <item x="14"/>
        <item x="13"/>
        <item x="1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h="1" x="2"/>
        <item t="default"/>
      </items>
    </pivotField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showAll="0"/>
  </pivotFields>
  <rowFields count="2">
    <field x="23"/>
    <field x="6"/>
  </rowFields>
  <rowItems count="18">
    <i>
      <x/>
    </i>
    <i r="1">
      <x/>
    </i>
    <i r="1">
      <x v="1"/>
    </i>
    <i r="1">
      <x v="2"/>
    </i>
    <i r="1">
      <x v="5"/>
    </i>
    <i r="1">
      <x v="6"/>
    </i>
    <i r="1">
      <x v="13"/>
    </i>
    <i>
      <x v="1"/>
    </i>
    <i r="1">
      <x v="3"/>
    </i>
    <i r="1">
      <x v="4"/>
    </i>
    <i>
      <x v="2"/>
    </i>
    <i r="1">
      <x v="7"/>
    </i>
    <i r="1">
      <x v="8"/>
    </i>
    <i r="1">
      <x v="9"/>
    </i>
    <i r="1">
      <x v="10"/>
    </i>
    <i r="1">
      <x v="12"/>
    </i>
    <i r="1">
      <x v="1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VALOR _x000a_CFR" fld="14" baseField="0" baseItem="0"/>
  </dataFields>
  <formats count="1">
    <format dxfId="5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8FF51-38E5-4CEF-ACD9-525060C4D10A}" name="TablaDinámica21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B44:BE57" firstHeaderRow="1" firstDataRow="2" firstDataCol="1"/>
  <pivotFields count="51">
    <pivotField showAll="0"/>
    <pivotField axis="axisCol" showAll="0">
      <items count="8">
        <item h="1" x="0"/>
        <item x="1"/>
        <item x="2"/>
        <item h="1" x="3"/>
        <item h="1" x="4"/>
        <item h="1" x="5"/>
        <item h="1" x="6"/>
        <item t="default"/>
      </items>
    </pivotField>
    <pivotField showAll="0"/>
    <pivotField numFmtId="16" showAll="0"/>
    <pivotField numFmtId="16" showAll="0"/>
    <pivotField showAll="0"/>
    <pivotField axis="axisRow" showAll="0">
      <items count="17">
        <item x="2"/>
        <item x="4"/>
        <item x="9"/>
        <item x="5"/>
        <item x="10"/>
        <item x="0"/>
        <item x="1"/>
        <item x="3"/>
        <item x="11"/>
        <item x="8"/>
        <item x="7"/>
        <item m="1" x="15"/>
        <item x="14"/>
        <item x="13"/>
        <item x="1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dataField="1" showAll="0"/>
    <pivotField numFmtId="9" showAll="0"/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5"/>
    </i>
    <i t="grand">
      <x/>
    </i>
  </rowItems>
  <colFields count="1">
    <field x="1"/>
  </colFields>
  <colItems count="3">
    <i>
      <x v="1"/>
    </i>
    <i>
      <x v="2"/>
    </i>
    <i t="grand">
      <x/>
    </i>
  </colItems>
  <dataFields count="1">
    <dataField name="Suma de UTILIDAD _x000a_NETA" fld="47" baseField="0" baseItem="0"/>
  </dataFields>
  <formats count="2">
    <format dxfId="55">
      <pivotArea outline="0" collapsedLevelsAreSubtotals="1" fieldPosition="0"/>
    </format>
    <format dxfId="54">
      <pivotArea collapsedLevelsAreSubtotals="1" fieldPosition="0">
        <references count="2">
          <reference field="1" count="1" selected="0">
            <x v="2"/>
          </reference>
          <reference field="6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2EDD12-36DC-4940-8D4C-7682D53F845C}" name="TablaDinámica12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50:T89" firstHeaderRow="1" firstDataRow="2" firstDataCol="1"/>
  <pivotFields count="51"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6" showAll="0"/>
    <pivotField numFmtId="16" showAll="0"/>
    <pivotField showAll="0"/>
    <pivotField showAll="0"/>
    <pivotField showAll="0"/>
    <pivotField showAll="0"/>
    <pivotField showAll="0"/>
    <pivotField showAll="0"/>
    <pivotField axis="axisRow" showAll="0">
      <items count="39">
        <item x="15"/>
        <item x="9"/>
        <item x="2"/>
        <item x="29"/>
        <item x="11"/>
        <item x="5"/>
        <item x="18"/>
        <item x="19"/>
        <item m="1" x="37"/>
        <item x="16"/>
        <item x="3"/>
        <item x="0"/>
        <item x="20"/>
        <item x="6"/>
        <item x="12"/>
        <item x="1"/>
        <item x="17"/>
        <item x="8"/>
        <item x="24"/>
        <item x="4"/>
        <item x="7"/>
        <item x="14"/>
        <item x="27"/>
        <item x="35"/>
        <item x="33"/>
        <item x="30"/>
        <item x="28"/>
        <item x="36"/>
        <item x="10"/>
        <item x="25"/>
        <item x="21"/>
        <item x="34"/>
        <item x="26"/>
        <item x="22"/>
        <item x="13"/>
        <item x="23"/>
        <item x="31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dataField="1" showAll="0"/>
    <pivotField numFmtId="9" showAll="0"/>
    <pivotField showAll="0"/>
    <pivotField showAll="0"/>
  </pivotFields>
  <rowFields count="1">
    <field x="1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UTILIDAD _x000a_NETA" fld="47" baseField="0" baseItem="0"/>
  </dataFields>
  <formats count="1">
    <format dxfId="5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614AF-2117-4362-B9F2-991C08E4CDC5}" name="TablaDinámica13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X50:AF89" firstHeaderRow="1" firstDataRow="2" firstDataCol="1"/>
  <pivotFields count="51"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6" showAll="0"/>
    <pivotField numFmtId="16" showAll="0"/>
    <pivotField showAll="0"/>
    <pivotField showAll="0"/>
    <pivotField showAll="0"/>
    <pivotField showAll="0"/>
    <pivotField showAll="0"/>
    <pivotField showAll="0"/>
    <pivotField axis="axisRow" showAll="0">
      <items count="39">
        <item x="15"/>
        <item x="9"/>
        <item x="2"/>
        <item x="29"/>
        <item x="11"/>
        <item x="5"/>
        <item x="18"/>
        <item x="19"/>
        <item m="1" x="37"/>
        <item x="16"/>
        <item x="3"/>
        <item x="0"/>
        <item x="20"/>
        <item x="6"/>
        <item x="12"/>
        <item x="1"/>
        <item x="17"/>
        <item x="8"/>
        <item x="24"/>
        <item x="4"/>
        <item x="7"/>
        <item x="14"/>
        <item x="27"/>
        <item x="35"/>
        <item x="33"/>
        <item x="30"/>
        <item x="28"/>
        <item x="36"/>
        <item x="10"/>
        <item x="25"/>
        <item x="21"/>
        <item x="34"/>
        <item x="26"/>
        <item x="22"/>
        <item x="13"/>
        <item x="23"/>
        <item x="31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showAll="0"/>
    <pivotField numFmtId="165" showAll="0"/>
    <pivotField showAll="0"/>
    <pivotField showAll="0"/>
    <pivotField showAll="0"/>
    <pivotField showAll="0"/>
    <pivotField numFmtId="9" showAll="0"/>
    <pivotField showAll="0"/>
    <pivotField dataField="1" showAll="0"/>
  </pivotFields>
  <rowFields count="1">
    <field x="1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EBITDA" fld="50" baseField="0" baseItem="0"/>
  </dataFields>
  <formats count="1">
    <format dxfId="5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38" dT="2026-05-05T04:09:53.60" personId="{8CB64CF2-02A6-40B8-83A5-8B37A2DB3E5D}" id="{743F763D-BF14-4725-ABDD-766DB822D542}">
    <text>DESCUENTO APLICADO SIMILAR A EEFF</text>
  </threadedComment>
  <threadedComment ref="P39" dT="2026-05-05T04:10:30.46" personId="{8CB64CF2-02A6-40B8-83A5-8B37A2DB3E5D}" id="{820516E0-4AB1-49A7-845D-22E96737FF7A}">
    <text>DESCUENTO SIMILAR A EEFF</text>
  </threadedComment>
  <threadedComment ref="P46" dT="2026-05-05T04:14:35.51" personId="{8CB64CF2-02A6-40B8-83A5-8B37A2DB3E5D}" id="{E72F7E13-0828-4E09-98D0-25D30BC24A04}">
    <text>DESCUENTO SIMILAR A EEFF</text>
  </threadedComment>
  <threadedComment ref="P54" dT="2026-05-05T04:09:13.48" personId="{8CB64CF2-02A6-40B8-83A5-8B37A2DB3E5D}" id="{1E248A2B-787B-4DCE-94CB-52323DAFCCE3}">
    <text>SE APLICA DESCUENTO DE 4K SIMILAR A EEFF</text>
  </threadedComment>
  <threadedComment ref="AD61" dT="2026-05-05T04:46:45.59" personId="{8CB64CF2-02A6-40B8-83A5-8B37A2DB3E5D}" id="{6B8ABF03-AD92-41AD-AA56-4CCF25614F6E}">
    <text>Se incrementó 25% costo materia prima a las 520 tm despachadas al final de mes</text>
  </threadedComment>
  <threadedComment ref="P62" dT="2026-05-05T04:19:09.03" personId="{8CB64CF2-02A6-40B8-83A5-8B37A2DB3E5D}" id="{ADC37C9E-FF1D-488C-95F1-FBB76ECE040E}">
    <text>DESCUENTO SIMILAR A EEFF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rinterSettings" Target="../printerSettings/printerSettings1.bin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EFBE-6465-46C9-9661-E048167F5E68}">
  <dimension ref="B2:N104"/>
  <sheetViews>
    <sheetView showGridLines="0" zoomScale="90" zoomScaleNormal="90" workbookViewId="0">
      <selection activeCell="D6" sqref="D6"/>
    </sheetView>
  </sheetViews>
  <sheetFormatPr baseColWidth="10" defaultRowHeight="14.4"/>
  <cols>
    <col min="2" max="2" width="20.109375" customWidth="1"/>
    <col min="3" max="3" width="30.5546875" customWidth="1"/>
    <col min="4" max="6" width="17.21875" customWidth="1"/>
    <col min="7" max="7" width="13.77734375" customWidth="1"/>
    <col min="10" max="10" width="7.77734375" customWidth="1"/>
    <col min="11" max="11" width="38.5546875" customWidth="1"/>
    <col min="12" max="14" width="17.21875" customWidth="1"/>
  </cols>
  <sheetData>
    <row r="2" spans="2:7" ht="15" thickBot="1"/>
    <row r="3" spans="2:7" ht="15" thickBot="1">
      <c r="B3" s="316" t="s">
        <v>616</v>
      </c>
      <c r="C3" s="317"/>
      <c r="D3" s="317"/>
      <c r="E3" s="317"/>
      <c r="F3" s="317"/>
      <c r="G3" s="318"/>
    </row>
    <row r="4" spans="2:7" ht="15" thickBot="1">
      <c r="B4" s="225" t="s">
        <v>595</v>
      </c>
      <c r="C4" s="227">
        <v>46023</v>
      </c>
      <c r="D4" s="227">
        <v>46054</v>
      </c>
      <c r="E4" s="227">
        <v>46082</v>
      </c>
      <c r="F4" s="227">
        <v>46113</v>
      </c>
      <c r="G4" s="226" t="s">
        <v>611</v>
      </c>
    </row>
    <row r="5" spans="2:7">
      <c r="B5" s="231" t="s">
        <v>612</v>
      </c>
      <c r="C5" s="232">
        <f>[2]Resumen!$D$4</f>
        <v>1877.2149999999999</v>
      </c>
      <c r="D5" s="232">
        <f>[2]Resumen!$D$5</f>
        <v>3149.7860000000001</v>
      </c>
      <c r="E5" s="232">
        <f>[2]Resumen!$D$6</f>
        <v>2255.518</v>
      </c>
      <c r="F5" s="232">
        <f>[2]Resumen!$D$7</f>
        <v>2853.1889999999999</v>
      </c>
      <c r="G5" s="233">
        <f>SUM(C5:F5)</f>
        <v>10135.708000000001</v>
      </c>
    </row>
    <row r="6" spans="2:7">
      <c r="B6" s="231" t="s">
        <v>613</v>
      </c>
      <c r="C6" s="232">
        <f>TD!B7</f>
        <v>248</v>
      </c>
      <c r="D6" s="232">
        <f>TD!C7</f>
        <v>1634.3</v>
      </c>
      <c r="E6" s="232">
        <f>TD!D7</f>
        <v>1995.8</v>
      </c>
      <c r="F6" s="232">
        <f>TD!E7</f>
        <v>2110.1099999999997</v>
      </c>
      <c r="G6" s="233">
        <f>TD!F7</f>
        <v>1978.33</v>
      </c>
    </row>
    <row r="7" spans="2:7">
      <c r="B7" s="231" t="s">
        <v>614</v>
      </c>
      <c r="C7" s="234">
        <f>TD!B8</f>
        <v>564615.28</v>
      </c>
      <c r="D7" s="234">
        <f>TD!C8</f>
        <v>2769824.5</v>
      </c>
      <c r="E7" s="234">
        <f>TD!D8</f>
        <v>3894171.31</v>
      </c>
      <c r="F7" s="234">
        <f>TD!E8</f>
        <v>4921538.57</v>
      </c>
      <c r="G7" s="235">
        <f>TD!F8</f>
        <v>5010204.75</v>
      </c>
    </row>
    <row r="8" spans="2:7">
      <c r="B8" s="231" t="s">
        <v>601</v>
      </c>
      <c r="C8" s="234">
        <f>TD!B16</f>
        <v>-92104.401765480128</v>
      </c>
      <c r="D8" s="234">
        <f>TD!C16</f>
        <v>-484146.169706363</v>
      </c>
      <c r="E8" s="234">
        <f>TD!D16</f>
        <v>-490402.73299409437</v>
      </c>
      <c r="F8" s="234">
        <f>TD!E16</f>
        <v>-52490.241267002486</v>
      </c>
      <c r="G8" s="235">
        <f>TD!F16</f>
        <v>417065.742818053</v>
      </c>
    </row>
    <row r="9" spans="2:7" ht="15" thickBot="1">
      <c r="B9" s="236" t="s">
        <v>615</v>
      </c>
      <c r="C9" s="237">
        <f>C8/C7</f>
        <v>-0.16312771727587699</v>
      </c>
      <c r="D9" s="237">
        <f t="shared" ref="D9:G9" si="0">D8/D7</f>
        <v>-0.1747930851598587</v>
      </c>
      <c r="E9" s="237">
        <f t="shared" si="0"/>
        <v>-0.12593250115493618</v>
      </c>
      <c r="F9" s="237">
        <f t="shared" si="0"/>
        <v>-1.066541296393873E-2</v>
      </c>
      <c r="G9" s="238">
        <f t="shared" si="0"/>
        <v>8.3243253245898388E-2</v>
      </c>
    </row>
    <row r="12" spans="2:7">
      <c r="B12" s="228" t="s">
        <v>617</v>
      </c>
    </row>
    <row r="62" spans="2:2">
      <c r="B62" s="228" t="s">
        <v>654</v>
      </c>
    </row>
    <row r="87" spans="2:14" ht="15.6">
      <c r="B87" s="319" t="s">
        <v>622</v>
      </c>
      <c r="C87" s="319"/>
      <c r="D87" s="319"/>
      <c r="E87" s="319"/>
      <c r="F87" s="319"/>
      <c r="J87" s="319" t="s">
        <v>653</v>
      </c>
      <c r="K87" s="319"/>
      <c r="L87" s="319"/>
      <c r="M87" s="319"/>
      <c r="N87" s="319"/>
    </row>
    <row r="89" spans="2:14">
      <c r="B89" s="230" t="s">
        <v>626</v>
      </c>
      <c r="C89" s="230" t="s">
        <v>627</v>
      </c>
      <c r="D89" s="230" t="s">
        <v>628</v>
      </c>
      <c r="E89" s="230" t="s">
        <v>574</v>
      </c>
      <c r="F89" s="230" t="s">
        <v>629</v>
      </c>
      <c r="J89" s="230" t="s">
        <v>626</v>
      </c>
      <c r="K89" s="230" t="s">
        <v>627</v>
      </c>
      <c r="L89" s="230" t="s">
        <v>628</v>
      </c>
      <c r="M89" s="230" t="s">
        <v>574</v>
      </c>
      <c r="N89" s="230" t="s">
        <v>629</v>
      </c>
    </row>
    <row r="90" spans="2:14">
      <c r="B90" s="27">
        <v>1</v>
      </c>
      <c r="C90" s="7" t="s">
        <v>630</v>
      </c>
      <c r="D90" s="10">
        <v>12800672</v>
      </c>
      <c r="E90" s="10">
        <v>7371.2</v>
      </c>
      <c r="F90" s="10">
        <v>1737</v>
      </c>
      <c r="J90" s="27">
        <v>1</v>
      </c>
      <c r="K90" s="7" t="s">
        <v>634</v>
      </c>
      <c r="L90" s="10">
        <v>9211788</v>
      </c>
      <c r="M90" s="10">
        <v>2579.8000000000002</v>
      </c>
      <c r="N90" s="10">
        <v>3571</v>
      </c>
    </row>
    <row r="91" spans="2:14">
      <c r="B91" s="27">
        <v>2</v>
      </c>
      <c r="C91" s="7" t="s">
        <v>631</v>
      </c>
      <c r="D91" s="10">
        <v>11792528</v>
      </c>
      <c r="E91" s="10">
        <v>7242.6</v>
      </c>
      <c r="F91" s="10">
        <v>1628</v>
      </c>
      <c r="J91" s="27">
        <v>2</v>
      </c>
      <c r="K91" s="7" t="s">
        <v>623</v>
      </c>
      <c r="L91" s="10">
        <v>5319083</v>
      </c>
      <c r="M91" s="10">
        <v>1670.5</v>
      </c>
      <c r="N91" s="10">
        <v>3184</v>
      </c>
    </row>
    <row r="92" spans="2:14">
      <c r="B92" s="27">
        <v>3</v>
      </c>
      <c r="C92" s="7" t="s">
        <v>632</v>
      </c>
      <c r="D92" s="10">
        <v>11724680</v>
      </c>
      <c r="E92" s="10">
        <v>6746.5</v>
      </c>
      <c r="F92" s="10">
        <v>1738</v>
      </c>
      <c r="J92" s="27">
        <v>3</v>
      </c>
      <c r="K92" s="7" t="s">
        <v>643</v>
      </c>
      <c r="L92" s="10">
        <v>4286058</v>
      </c>
      <c r="M92" s="10">
        <v>1338</v>
      </c>
      <c r="N92" s="10">
        <v>3203</v>
      </c>
    </row>
    <row r="93" spans="2:14">
      <c r="B93" s="27">
        <v>4</v>
      </c>
      <c r="C93" s="7" t="s">
        <v>633</v>
      </c>
      <c r="D93" s="10">
        <v>8847640</v>
      </c>
      <c r="E93" s="10">
        <v>5227.2</v>
      </c>
      <c r="F93" s="10">
        <v>1693</v>
      </c>
      <c r="J93" s="27">
        <v>4</v>
      </c>
      <c r="K93" s="7" t="s">
        <v>632</v>
      </c>
      <c r="L93" s="10">
        <v>4050574</v>
      </c>
      <c r="M93" s="10">
        <v>1190.4000000000001</v>
      </c>
      <c r="N93" s="10">
        <v>3403</v>
      </c>
    </row>
    <row r="94" spans="2:14">
      <c r="B94" s="27">
        <v>5</v>
      </c>
      <c r="C94" s="7" t="s">
        <v>634</v>
      </c>
      <c r="D94" s="10">
        <v>8496998</v>
      </c>
      <c r="E94" s="10">
        <v>4421.2</v>
      </c>
      <c r="F94" s="10">
        <v>1922</v>
      </c>
      <c r="J94" s="27">
        <v>5</v>
      </c>
      <c r="K94" s="7" t="s">
        <v>650</v>
      </c>
      <c r="L94" s="10">
        <v>3921103</v>
      </c>
      <c r="M94" s="10">
        <v>1215</v>
      </c>
      <c r="N94" s="10">
        <v>3227</v>
      </c>
    </row>
    <row r="95" spans="2:14">
      <c r="B95" s="27">
        <v>6</v>
      </c>
      <c r="C95" s="7" t="s">
        <v>635</v>
      </c>
      <c r="D95" s="10">
        <v>6857126</v>
      </c>
      <c r="E95" s="10">
        <v>3973.8</v>
      </c>
      <c r="F95" s="10">
        <v>1726</v>
      </c>
      <c r="J95" s="27">
        <v>6</v>
      </c>
      <c r="K95" s="7" t="s">
        <v>644</v>
      </c>
      <c r="L95" s="10">
        <v>3883786</v>
      </c>
      <c r="M95" s="10">
        <v>1076.8</v>
      </c>
      <c r="N95" s="10">
        <v>3607</v>
      </c>
    </row>
    <row r="96" spans="2:14">
      <c r="B96" s="239">
        <v>7</v>
      </c>
      <c r="C96" s="240" t="s">
        <v>636</v>
      </c>
      <c r="D96" s="241">
        <v>6231879</v>
      </c>
      <c r="E96" s="241">
        <v>3981.4</v>
      </c>
      <c r="F96" s="241">
        <v>1565</v>
      </c>
      <c r="J96" s="27">
        <v>7</v>
      </c>
      <c r="K96" s="7" t="s">
        <v>645</v>
      </c>
      <c r="L96" s="10">
        <v>2905633</v>
      </c>
      <c r="M96" s="10">
        <v>847.7</v>
      </c>
      <c r="N96" s="10">
        <v>3428</v>
      </c>
    </row>
    <row r="97" spans="2:14">
      <c r="B97" s="27">
        <v>8</v>
      </c>
      <c r="C97" s="7" t="s">
        <v>637</v>
      </c>
      <c r="D97" s="10">
        <v>6229395</v>
      </c>
      <c r="E97" s="10">
        <v>3736</v>
      </c>
      <c r="F97" s="10">
        <v>1667</v>
      </c>
      <c r="J97" s="27">
        <v>8</v>
      </c>
      <c r="K97" s="7" t="s">
        <v>651</v>
      </c>
      <c r="L97" s="10">
        <v>2751416</v>
      </c>
      <c r="M97" s="10">
        <v>796</v>
      </c>
      <c r="N97" s="10">
        <v>3457</v>
      </c>
    </row>
    <row r="98" spans="2:14">
      <c r="B98" s="27">
        <v>9</v>
      </c>
      <c r="C98" s="7" t="s">
        <v>638</v>
      </c>
      <c r="D98" s="10">
        <v>6166547</v>
      </c>
      <c r="E98" s="10">
        <v>3730.3</v>
      </c>
      <c r="F98" s="10">
        <v>1653</v>
      </c>
      <c r="J98" s="27">
        <v>9</v>
      </c>
      <c r="K98" s="7" t="s">
        <v>646</v>
      </c>
      <c r="L98" s="10">
        <v>2475284</v>
      </c>
      <c r="M98" s="10">
        <v>735</v>
      </c>
      <c r="N98" s="10">
        <v>3368</v>
      </c>
    </row>
    <row r="99" spans="2:14">
      <c r="B99" s="27">
        <v>10</v>
      </c>
      <c r="C99" s="7" t="s">
        <v>639</v>
      </c>
      <c r="D99" s="10">
        <v>6164559</v>
      </c>
      <c r="E99" s="10">
        <v>3692.9</v>
      </c>
      <c r="F99" s="10">
        <v>1669</v>
      </c>
      <c r="J99" s="27">
        <v>10</v>
      </c>
      <c r="K99" s="7" t="s">
        <v>642</v>
      </c>
      <c r="L99" s="10">
        <v>2135285</v>
      </c>
      <c r="M99" s="10">
        <v>602.9</v>
      </c>
      <c r="N99" s="10">
        <v>3542</v>
      </c>
    </row>
    <row r="100" spans="2:14">
      <c r="B100" s="27">
        <v>11</v>
      </c>
      <c r="C100" s="7" t="s">
        <v>640</v>
      </c>
      <c r="D100" s="10">
        <v>5928869</v>
      </c>
      <c r="E100" s="10">
        <v>3562.1</v>
      </c>
      <c r="F100" s="10">
        <v>1664</v>
      </c>
      <c r="J100" s="27">
        <v>11</v>
      </c>
      <c r="K100" s="7" t="s">
        <v>647</v>
      </c>
      <c r="L100" s="10">
        <v>1926814</v>
      </c>
      <c r="M100" s="10">
        <v>563.20000000000005</v>
      </c>
      <c r="N100" s="10">
        <v>3421</v>
      </c>
    </row>
    <row r="101" spans="2:14">
      <c r="B101" s="27">
        <v>12</v>
      </c>
      <c r="C101" s="7" t="s">
        <v>648</v>
      </c>
      <c r="D101" s="10">
        <v>5879029</v>
      </c>
      <c r="E101" s="10">
        <v>3591.3</v>
      </c>
      <c r="F101" s="10">
        <v>1637</v>
      </c>
      <c r="J101" s="27">
        <v>12</v>
      </c>
      <c r="K101" s="7" t="s">
        <v>652</v>
      </c>
      <c r="L101" s="10">
        <v>1802223</v>
      </c>
      <c r="M101" s="10">
        <v>539.5</v>
      </c>
      <c r="N101" s="10">
        <v>3340</v>
      </c>
    </row>
    <row r="102" spans="2:14">
      <c r="B102" s="27">
        <v>13</v>
      </c>
      <c r="C102" s="7" t="s">
        <v>649</v>
      </c>
      <c r="D102" s="10">
        <v>5845822</v>
      </c>
      <c r="E102" s="10">
        <v>3191.4</v>
      </c>
      <c r="F102" s="10">
        <v>1832</v>
      </c>
      <c r="J102" s="239">
        <v>13</v>
      </c>
      <c r="K102" s="240" t="s">
        <v>636</v>
      </c>
      <c r="L102" s="241">
        <v>1682322</v>
      </c>
      <c r="M102" s="241">
        <v>511.9</v>
      </c>
      <c r="N102" s="241">
        <v>3286</v>
      </c>
    </row>
    <row r="103" spans="2:14">
      <c r="B103" s="27">
        <v>14</v>
      </c>
      <c r="C103" s="7" t="s">
        <v>641</v>
      </c>
      <c r="D103" s="10">
        <v>5592801</v>
      </c>
      <c r="E103" s="10">
        <v>3427.3</v>
      </c>
      <c r="F103" s="10">
        <v>1632</v>
      </c>
      <c r="J103" s="27">
        <v>14</v>
      </c>
      <c r="K103" s="7" t="s">
        <v>641</v>
      </c>
      <c r="L103" s="10">
        <v>1626116</v>
      </c>
      <c r="M103" s="10">
        <v>524.20000000000005</v>
      </c>
      <c r="N103" s="10">
        <v>3102</v>
      </c>
    </row>
    <row r="104" spans="2:14">
      <c r="B104" s="27">
        <v>15</v>
      </c>
      <c r="C104" s="7" t="s">
        <v>642</v>
      </c>
      <c r="D104" s="10">
        <v>5556358</v>
      </c>
      <c r="E104" s="10">
        <v>3119.3</v>
      </c>
      <c r="F104" s="10">
        <v>1781</v>
      </c>
      <c r="J104" s="27">
        <v>15</v>
      </c>
      <c r="K104" s="7" t="s">
        <v>630</v>
      </c>
      <c r="L104" s="10">
        <v>1603048</v>
      </c>
      <c r="M104" s="10">
        <v>475.7</v>
      </c>
      <c r="N104" s="10">
        <v>3370</v>
      </c>
    </row>
  </sheetData>
  <mergeCells count="3">
    <mergeCell ref="B3:G3"/>
    <mergeCell ref="B87:F87"/>
    <mergeCell ref="J87:N8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334C-21BE-48A2-AF1B-C2A868C004CD}">
  <dimension ref="A1:BS352"/>
  <sheetViews>
    <sheetView showGridLines="0" tabSelected="1" topLeftCell="A48" zoomScale="80" zoomScaleNormal="80" workbookViewId="0">
      <selection activeCell="K71" sqref="K71"/>
    </sheetView>
  </sheetViews>
  <sheetFormatPr baseColWidth="10" defaultColWidth="11.44140625" defaultRowHeight="14.4"/>
  <cols>
    <col min="1" max="1" width="26.109375" customWidth="1"/>
    <col min="2" max="2" width="22.6640625" bestFit="1" customWidth="1"/>
    <col min="3" max="3" width="11.5546875" bestFit="1" customWidth="1"/>
    <col min="4" max="4" width="10.109375" customWidth="1"/>
    <col min="5" max="5" width="12.6640625" bestFit="1" customWidth="1"/>
    <col min="6" max="6" width="11.5546875" bestFit="1" customWidth="1"/>
    <col min="7" max="7" width="12.6640625" bestFit="1" customWidth="1"/>
    <col min="8" max="8" width="12.44140625" bestFit="1" customWidth="1"/>
    <col min="9" max="9" width="14.88671875" bestFit="1" customWidth="1"/>
    <col min="10" max="11" width="14.33203125" customWidth="1"/>
    <col min="12" max="13" width="13.33203125" customWidth="1"/>
    <col min="14" max="14" width="9.6640625" bestFit="1" customWidth="1"/>
    <col min="15" max="15" width="16.6640625" customWidth="1"/>
    <col min="16" max="16" width="13" bestFit="1" customWidth="1"/>
    <col min="17" max="17" width="10.44140625" bestFit="1" customWidth="1"/>
    <col min="18" max="18" width="9.6640625" bestFit="1" customWidth="1"/>
    <col min="19" max="19" width="8.5546875" bestFit="1" customWidth="1"/>
    <col min="20" max="20" width="12.44140625" customWidth="1"/>
    <col min="21" max="21" width="12.109375" customWidth="1"/>
    <col min="22" max="23" width="7.109375" customWidth="1"/>
    <col min="24" max="24" width="36" bestFit="1" customWidth="1"/>
    <col min="25" max="25" width="22.44140625" bestFit="1" customWidth="1"/>
    <col min="26" max="31" width="9.6640625" bestFit="1" customWidth="1"/>
    <col min="32" max="32" width="12.44140625" customWidth="1"/>
    <col min="33" max="33" width="8.5546875" bestFit="1" customWidth="1"/>
    <col min="34" max="34" width="11.5546875" customWidth="1"/>
    <col min="35" max="35" width="36" bestFit="1" customWidth="1"/>
    <col min="36" max="36" width="17.5546875" bestFit="1" customWidth="1"/>
    <col min="37" max="37" width="22.44140625" bestFit="1" customWidth="1"/>
    <col min="38" max="38" width="9.21875" bestFit="1" customWidth="1"/>
    <col min="39" max="42" width="7.44140625" bestFit="1" customWidth="1"/>
    <col min="43" max="43" width="6.109375" bestFit="1" customWidth="1"/>
    <col min="44" max="44" width="12.44140625" bestFit="1" customWidth="1"/>
    <col min="45" max="45" width="6.109375" bestFit="1" customWidth="1"/>
    <col min="46" max="46" width="12.44140625" bestFit="1" customWidth="1"/>
    <col min="54" max="54" width="26.33203125" bestFit="1" customWidth="1"/>
    <col min="55" max="55" width="22.77734375" bestFit="1" customWidth="1"/>
    <col min="56" max="56" width="10.44140625" bestFit="1" customWidth="1"/>
    <col min="57" max="57" width="12.21875" bestFit="1" customWidth="1"/>
    <col min="58" max="58" width="6.88671875" bestFit="1" customWidth="1"/>
    <col min="59" max="59" width="26.33203125" bestFit="1" customWidth="1"/>
    <col min="60" max="60" width="22.77734375" bestFit="1" customWidth="1"/>
    <col min="61" max="61" width="10.44140625" bestFit="1" customWidth="1"/>
    <col min="62" max="62" width="12.21875" bestFit="1" customWidth="1"/>
    <col min="66" max="66" width="13" bestFit="1" customWidth="1"/>
    <col min="68" max="68" width="16.88671875" customWidth="1"/>
    <col min="69" max="69" width="11.5546875" bestFit="1" customWidth="1"/>
  </cols>
  <sheetData>
    <row r="1" spans="1:52">
      <c r="B1" s="54"/>
      <c r="C1" s="54"/>
      <c r="D1" s="54"/>
      <c r="I1" s="248">
        <v>20575797</v>
      </c>
      <c r="J1" s="253">
        <v>-20641652.170000002</v>
      </c>
      <c r="K1" s="56">
        <f>J1+I1</f>
        <v>-65855.170000001788</v>
      </c>
      <c r="L1" s="112" t="s">
        <v>859</v>
      </c>
      <c r="Q1" s="219"/>
      <c r="R1" s="219"/>
      <c r="S1" s="219"/>
      <c r="T1" s="219"/>
      <c r="U1" s="219"/>
      <c r="V1" s="219"/>
    </row>
    <row r="2" spans="1:52">
      <c r="A2" s="86" t="s">
        <v>0</v>
      </c>
      <c r="E2" s="54"/>
      <c r="F2" s="54"/>
      <c r="G2" s="54"/>
      <c r="K2">
        <v>72</v>
      </c>
      <c r="L2" t="s">
        <v>860</v>
      </c>
      <c r="P2" s="217"/>
      <c r="Q2" s="54"/>
      <c r="R2" s="54"/>
      <c r="S2" s="54"/>
      <c r="T2" s="54"/>
      <c r="V2" s="72"/>
      <c r="AJ2" s="56"/>
    </row>
    <row r="3" spans="1:52">
      <c r="E3" s="163"/>
      <c r="F3" s="163"/>
      <c r="G3" s="163"/>
      <c r="K3" s="108"/>
      <c r="P3" s="217"/>
      <c r="Q3" s="110"/>
      <c r="R3" s="110"/>
      <c r="S3" s="110"/>
      <c r="T3" s="110"/>
      <c r="U3" s="110"/>
      <c r="V3" s="72"/>
      <c r="AJ3" s="56"/>
    </row>
    <row r="4" spans="1:52">
      <c r="A4" s="314" t="s">
        <v>1</v>
      </c>
      <c r="B4" s="314"/>
      <c r="C4" s="314"/>
      <c r="D4" s="314"/>
      <c r="E4" s="314"/>
      <c r="F4" s="314"/>
      <c r="G4" s="314"/>
      <c r="H4" s="314"/>
      <c r="I4" s="314"/>
      <c r="J4" s="56"/>
      <c r="P4" s="217"/>
      <c r="Q4" s="110"/>
      <c r="R4" s="110"/>
      <c r="S4" s="110"/>
      <c r="T4" s="110"/>
      <c r="U4" s="110"/>
      <c r="V4" s="72"/>
      <c r="AJ4" s="56"/>
      <c r="AM4" s="219" t="s">
        <v>596</v>
      </c>
      <c r="AN4" s="219" t="s">
        <v>597</v>
      </c>
      <c r="AO4" s="219" t="s">
        <v>598</v>
      </c>
      <c r="AP4" s="219" t="s">
        <v>599</v>
      </c>
      <c r="AQ4" s="219" t="s">
        <v>594</v>
      </c>
      <c r="AR4" s="219" t="s">
        <v>593</v>
      </c>
    </row>
    <row r="5" spans="1:52">
      <c r="B5" s="75" t="s">
        <v>2</v>
      </c>
      <c r="J5" s="108"/>
      <c r="L5" s="314" t="s">
        <v>3</v>
      </c>
      <c r="M5" s="314"/>
      <c r="N5" s="314"/>
      <c r="O5" s="314"/>
      <c r="P5" s="314"/>
      <c r="Q5" s="314"/>
      <c r="R5" s="314"/>
      <c r="S5" s="314"/>
      <c r="T5" s="314"/>
      <c r="V5" s="221"/>
      <c r="X5" s="314" t="s">
        <v>4</v>
      </c>
      <c r="Y5" s="314"/>
      <c r="Z5" s="314"/>
      <c r="AA5" s="314"/>
      <c r="AB5" s="314"/>
      <c r="AC5" s="314"/>
      <c r="AD5" s="314"/>
      <c r="AE5" s="314"/>
      <c r="AF5" s="314"/>
      <c r="AL5" s="1" t="s">
        <v>600</v>
      </c>
      <c r="AM5" s="56">
        <f>B8/1000</f>
        <v>564.61527999999998</v>
      </c>
      <c r="AN5" s="56">
        <f>C8/1000</f>
        <v>2769.8245000000002</v>
      </c>
      <c r="AO5" s="56">
        <f>D8/1000</f>
        <v>3894.1713100000002</v>
      </c>
      <c r="AP5" s="56">
        <f>E8/1000</f>
        <v>4921.5385700000006</v>
      </c>
      <c r="AQ5" s="56">
        <f>F8/1000</f>
        <v>5010.2047499999999</v>
      </c>
      <c r="AR5" s="56">
        <f>H8/1000</f>
        <v>1589.3806099999999</v>
      </c>
    </row>
    <row r="6" spans="1:52">
      <c r="A6" s="75" t="s">
        <v>5</v>
      </c>
      <c r="B6" t="s">
        <v>6</v>
      </c>
      <c r="C6" t="s">
        <v>7</v>
      </c>
      <c r="D6" t="s">
        <v>8</v>
      </c>
      <c r="E6" t="s">
        <v>463</v>
      </c>
      <c r="F6" t="s">
        <v>705</v>
      </c>
      <c r="G6" t="s">
        <v>757</v>
      </c>
      <c r="H6" t="s">
        <v>806</v>
      </c>
      <c r="I6" t="s">
        <v>9</v>
      </c>
      <c r="K6" s="219"/>
      <c r="L6" s="80" t="s">
        <v>10</v>
      </c>
      <c r="M6" s="80" t="s">
        <v>6</v>
      </c>
      <c r="N6" s="80" t="s">
        <v>7</v>
      </c>
      <c r="O6" s="80" t="s">
        <v>8</v>
      </c>
      <c r="P6" s="80" t="s">
        <v>463</v>
      </c>
      <c r="Q6" s="80" t="s">
        <v>705</v>
      </c>
      <c r="R6" s="80" t="s">
        <v>757</v>
      </c>
      <c r="S6" s="80" t="s">
        <v>806</v>
      </c>
      <c r="T6" s="80" t="s">
        <v>11</v>
      </c>
      <c r="U6" s="219"/>
      <c r="V6" s="219"/>
      <c r="X6" s="80" t="s">
        <v>10</v>
      </c>
      <c r="Y6" s="80" t="s">
        <v>6</v>
      </c>
      <c r="Z6" s="80" t="s">
        <v>7</v>
      </c>
      <c r="AA6" s="80" t="s">
        <v>8</v>
      </c>
      <c r="AB6" s="80" t="s">
        <v>463</v>
      </c>
      <c r="AC6" s="80" t="s">
        <v>705</v>
      </c>
      <c r="AD6" s="80" t="s">
        <v>757</v>
      </c>
      <c r="AE6" s="80" t="s">
        <v>806</v>
      </c>
      <c r="AF6" s="80" t="s">
        <v>11</v>
      </c>
      <c r="AL6" s="1" t="s">
        <v>601</v>
      </c>
      <c r="AM6" s="56">
        <f>B16/1000</f>
        <v>-92.104401765480134</v>
      </c>
      <c r="AN6" s="56">
        <f>C16/1000</f>
        <v>-484.14616970636303</v>
      </c>
      <c r="AO6" s="56">
        <f>D16/1000</f>
        <v>-490.40273299409438</v>
      </c>
      <c r="AP6" s="56">
        <f>E16/1000</f>
        <v>-52.490241267002489</v>
      </c>
      <c r="AQ6" s="56">
        <f t="shared" ref="AQ6" si="0">F16/1000</f>
        <v>417.06574281805302</v>
      </c>
      <c r="AR6" s="56">
        <f t="shared" ref="AR6" si="1">H16/1000</f>
        <v>91.312258487215146</v>
      </c>
    </row>
    <row r="7" spans="1:52">
      <c r="A7" s="78" t="s">
        <v>12</v>
      </c>
      <c r="B7" s="79">
        <v>248</v>
      </c>
      <c r="C7" s="79">
        <v>1634.3</v>
      </c>
      <c r="D7" s="79">
        <v>1995.8</v>
      </c>
      <c r="E7" s="79">
        <v>2110.1099999999997</v>
      </c>
      <c r="F7" s="79">
        <v>1978.33</v>
      </c>
      <c r="G7" s="79">
        <v>1131.78</v>
      </c>
      <c r="H7" s="79">
        <v>780.90499999999997</v>
      </c>
      <c r="I7" s="79">
        <v>9879.2250000000004</v>
      </c>
      <c r="J7" s="79">
        <f>J8/GETPIVOTDATA("Suma de  Cantidad ",$A$5)</f>
        <v>2221.1809833261209</v>
      </c>
      <c r="K7" s="220"/>
      <c r="L7" s="78"/>
      <c r="X7" s="78"/>
      <c r="AK7" s="77"/>
      <c r="AZ7" s="224"/>
    </row>
    <row r="8" spans="1:52">
      <c r="A8" s="76" t="s">
        <v>13</v>
      </c>
      <c r="B8" s="77">
        <v>564615.28</v>
      </c>
      <c r="C8" s="77">
        <v>2769824.5</v>
      </c>
      <c r="D8" s="77">
        <v>3894171.31</v>
      </c>
      <c r="E8" s="77">
        <v>4921538.57</v>
      </c>
      <c r="F8" s="77">
        <v>5010204.75</v>
      </c>
      <c r="G8" s="77">
        <v>3415442.3</v>
      </c>
      <c r="H8" s="77">
        <v>1589380.6099999999</v>
      </c>
      <c r="I8" s="77">
        <v>22165177.32</v>
      </c>
      <c r="J8" s="56">
        <f>GETPIVOTDATA("Suma de VALOR 
CFR",$A$5)-GETPIVOTDATA("VALOR 
CFR",$A$25,"Producto","RESIDUOS DE POTA")</f>
        <v>21943546.699999999</v>
      </c>
      <c r="K8" s="220"/>
      <c r="L8" s="1" t="s">
        <v>13</v>
      </c>
      <c r="M8" s="54">
        <f t="shared" ref="M8:M18" si="2">B8/B$7</f>
        <v>2276.6745161290323</v>
      </c>
      <c r="N8" s="54">
        <f t="shared" ref="N8:N18" si="3">C8/C$7</f>
        <v>1694.8078688123355</v>
      </c>
      <c r="O8" s="54">
        <f t="shared" ref="O8:O18" si="4">D8/D$7</f>
        <v>1951.1831395931456</v>
      </c>
      <c r="P8" s="54">
        <f t="shared" ref="P8:P18" si="5">E8/E$7</f>
        <v>2332.361142310117</v>
      </c>
      <c r="Q8" s="54">
        <f t="shared" ref="Q8:T18" si="6">F8/F$7</f>
        <v>2532.5424726916135</v>
      </c>
      <c r="R8" s="54">
        <f t="shared" si="6"/>
        <v>3017.7616674618739</v>
      </c>
      <c r="S8" s="54">
        <f t="shared" si="6"/>
        <v>2035.3059719171986</v>
      </c>
      <c r="T8" s="54">
        <f t="shared" si="6"/>
        <v>2243.6149920666853</v>
      </c>
      <c r="U8" s="54"/>
      <c r="V8" s="72"/>
      <c r="X8" s="1" t="s">
        <v>13</v>
      </c>
      <c r="Y8" s="72">
        <f t="shared" ref="Y8:Y18" si="7">B8/B$8</f>
        <v>1</v>
      </c>
      <c r="Z8" s="72">
        <f t="shared" ref="Z8:Z18" si="8">C8/C$8</f>
        <v>1</v>
      </c>
      <c r="AA8" s="72">
        <f t="shared" ref="AA8:AA18" si="9">D8/D$8</f>
        <v>1</v>
      </c>
      <c r="AB8" s="72">
        <f t="shared" ref="AB8:AB18" si="10">E8/E$8</f>
        <v>1</v>
      </c>
      <c r="AC8" s="72">
        <f t="shared" ref="AC8:AC18" si="11">F8/F$8</f>
        <v>1</v>
      </c>
      <c r="AD8" s="72">
        <f t="shared" ref="AD8:AF18" si="12">G8/G$8</f>
        <v>1</v>
      </c>
      <c r="AE8" s="72">
        <f t="shared" si="12"/>
        <v>1</v>
      </c>
      <c r="AF8" s="72">
        <f t="shared" si="12"/>
        <v>1</v>
      </c>
      <c r="AG8" s="72"/>
      <c r="AJ8" s="56"/>
      <c r="AK8" s="77"/>
    </row>
    <row r="9" spans="1:52">
      <c r="A9" s="1" t="s">
        <v>14</v>
      </c>
      <c r="B9" s="56">
        <v>447259.3677650796</v>
      </c>
      <c r="C9" s="56">
        <v>2896198.0827623755</v>
      </c>
      <c r="D9" s="56">
        <v>3759147.3514940934</v>
      </c>
      <c r="E9" s="56">
        <v>4268330.5704670027</v>
      </c>
      <c r="F9" s="56">
        <v>4074597.633590329</v>
      </c>
      <c r="G9" s="56">
        <v>2480210.901645097</v>
      </c>
      <c r="H9" s="56">
        <v>1146770.6363127849</v>
      </c>
      <c r="I9" s="56">
        <v>19072514.544036765</v>
      </c>
      <c r="J9" s="56"/>
      <c r="K9" s="220"/>
      <c r="L9" s="1" t="s">
        <v>14</v>
      </c>
      <c r="M9" s="54">
        <f t="shared" si="2"/>
        <v>1803.4651926011275</v>
      </c>
      <c r="N9" s="54">
        <f t="shared" si="3"/>
        <v>1772.1336858363677</v>
      </c>
      <c r="O9" s="54">
        <f t="shared" si="4"/>
        <v>1883.5290868293885</v>
      </c>
      <c r="P9" s="54">
        <f t="shared" si="5"/>
        <v>2022.8000296036716</v>
      </c>
      <c r="Q9" s="54">
        <f t="shared" si="6"/>
        <v>2059.6147425304825</v>
      </c>
      <c r="R9" s="54">
        <f t="shared" si="6"/>
        <v>2191.4249250252674</v>
      </c>
      <c r="S9" s="54">
        <f t="shared" si="6"/>
        <v>1468.5149106649144</v>
      </c>
      <c r="T9" s="54">
        <f t="shared" si="6"/>
        <v>1930.5678880718644</v>
      </c>
      <c r="U9" s="54"/>
      <c r="V9" s="72"/>
      <c r="X9" s="1" t="s">
        <v>14</v>
      </c>
      <c r="Y9" s="72">
        <f t="shared" si="7"/>
        <v>0.79214889077227879</v>
      </c>
      <c r="Z9" s="72">
        <f t="shared" si="8"/>
        <v>1.0456251227333628</v>
      </c>
      <c r="AA9" s="72">
        <f t="shared" si="9"/>
        <v>0.96532665161412567</v>
      </c>
      <c r="AB9" s="72">
        <f t="shared" si="10"/>
        <v>0.86727565166008691</v>
      </c>
      <c r="AC9" s="72">
        <f t="shared" si="11"/>
        <v>0.81325970432452466</v>
      </c>
      <c r="AD9" s="72">
        <f t="shared" si="12"/>
        <v>0.72617561176340095</v>
      </c>
      <c r="AE9" s="72">
        <f t="shared" si="12"/>
        <v>0.72152046470026143</v>
      </c>
      <c r="AF9" s="72">
        <f t="shared" si="12"/>
        <v>0.86047200384123812</v>
      </c>
      <c r="AG9" s="72"/>
      <c r="AJ9" s="56"/>
      <c r="AK9" s="77"/>
      <c r="AT9" s="51" t="s">
        <v>624</v>
      </c>
    </row>
    <row r="10" spans="1:52">
      <c r="A10" s="76" t="s">
        <v>15</v>
      </c>
      <c r="B10" s="77">
        <v>117355.91223492038</v>
      </c>
      <c r="C10" s="77">
        <v>-126373.58276237559</v>
      </c>
      <c r="D10" s="77">
        <v>135023.95850590544</v>
      </c>
      <c r="E10" s="77">
        <v>653207.99953299726</v>
      </c>
      <c r="F10" s="77">
        <v>935607.11640967114</v>
      </c>
      <c r="G10" s="77">
        <v>935231.39835490286</v>
      </c>
      <c r="H10" s="77">
        <v>442609.97368721513</v>
      </c>
      <c r="I10" s="77">
        <v>3092662.7759632366</v>
      </c>
      <c r="K10" s="220"/>
      <c r="L10" s="76" t="s">
        <v>15</v>
      </c>
      <c r="M10" s="81">
        <f t="shared" si="2"/>
        <v>473.20932352790476</v>
      </c>
      <c r="N10" s="81">
        <f t="shared" si="3"/>
        <v>-77.325817024032062</v>
      </c>
      <c r="O10" s="81">
        <f t="shared" si="4"/>
        <v>67.65405276375661</v>
      </c>
      <c r="P10" s="81">
        <f t="shared" si="5"/>
        <v>309.56111270644533</v>
      </c>
      <c r="Q10" s="81">
        <f t="shared" si="6"/>
        <v>472.92773016113142</v>
      </c>
      <c r="R10" s="81">
        <f t="shared" si="6"/>
        <v>826.33674243660687</v>
      </c>
      <c r="S10" s="81">
        <f t="shared" si="6"/>
        <v>566.79106125228441</v>
      </c>
      <c r="T10" s="81">
        <f t="shared" si="6"/>
        <v>313.0471039948211</v>
      </c>
      <c r="U10" s="81"/>
      <c r="V10" s="72"/>
      <c r="X10" s="76" t="s">
        <v>15</v>
      </c>
      <c r="Y10" s="83">
        <f t="shared" si="7"/>
        <v>0.20785110922772118</v>
      </c>
      <c r="Z10" s="83">
        <f t="shared" si="8"/>
        <v>-4.5625122733362923E-2</v>
      </c>
      <c r="AA10" s="83">
        <f t="shared" si="9"/>
        <v>3.4673348385874027E-2</v>
      </c>
      <c r="AB10" s="83">
        <f t="shared" si="10"/>
        <v>0.13272434833991298</v>
      </c>
      <c r="AC10" s="83">
        <f t="shared" si="11"/>
        <v>0.18674029567547537</v>
      </c>
      <c r="AD10" s="83">
        <f t="shared" si="12"/>
        <v>0.2738243882365991</v>
      </c>
      <c r="AE10" s="83">
        <f t="shared" si="12"/>
        <v>0.27847953529973868</v>
      </c>
      <c r="AF10" s="83">
        <f t="shared" si="12"/>
        <v>0.13952799615876191</v>
      </c>
      <c r="AG10" s="83"/>
      <c r="AL10" s="77" t="s">
        <v>602</v>
      </c>
    </row>
    <row r="11" spans="1:52">
      <c r="A11" s="1" t="s">
        <v>16</v>
      </c>
      <c r="B11" s="56">
        <v>42671.034000400512</v>
      </c>
      <c r="C11" s="56">
        <v>228377.82194398745</v>
      </c>
      <c r="D11" s="56">
        <v>500943.84999999986</v>
      </c>
      <c r="E11" s="56">
        <v>557032.3899999999</v>
      </c>
      <c r="F11" s="56">
        <v>455053.15999999916</v>
      </c>
      <c r="G11" s="56">
        <v>200714.4800000001</v>
      </c>
      <c r="H11" s="56">
        <v>162303.29519999999</v>
      </c>
      <c r="I11" s="56">
        <v>2147096.0311443871</v>
      </c>
      <c r="K11" s="220"/>
      <c r="L11" s="1" t="s">
        <v>16</v>
      </c>
      <c r="M11" s="54">
        <f t="shared" si="2"/>
        <v>172.0606209693569</v>
      </c>
      <c r="N11" s="54">
        <f t="shared" si="3"/>
        <v>139.74045275897171</v>
      </c>
      <c r="O11" s="54">
        <f t="shared" si="4"/>
        <v>250.99902294819114</v>
      </c>
      <c r="P11" s="54">
        <f t="shared" si="5"/>
        <v>263.98263123723405</v>
      </c>
      <c r="Q11" s="54">
        <f t="shared" si="6"/>
        <v>230.01883406711679</v>
      </c>
      <c r="R11" s="54">
        <f t="shared" si="6"/>
        <v>177.34407747088665</v>
      </c>
      <c r="S11" s="54">
        <f t="shared" si="6"/>
        <v>207.84</v>
      </c>
      <c r="T11" s="54">
        <f t="shared" si="6"/>
        <v>217.33446005576218</v>
      </c>
      <c r="U11" s="54"/>
      <c r="X11" s="1" t="s">
        <v>16</v>
      </c>
      <c r="Y11" s="72">
        <f t="shared" si="7"/>
        <v>7.5575414821222181E-2</v>
      </c>
      <c r="Z11" s="72">
        <f t="shared" si="8"/>
        <v>8.2452091077968095E-2</v>
      </c>
      <c r="AA11" s="72">
        <f t="shared" si="9"/>
        <v>0.12863939722261469</v>
      </c>
      <c r="AB11" s="72">
        <f t="shared" si="10"/>
        <v>0.11318257127872106</v>
      </c>
      <c r="AC11" s="72">
        <f t="shared" si="11"/>
        <v>9.0825262181151209E-2</v>
      </c>
      <c r="AD11" s="72">
        <f t="shared" si="12"/>
        <v>5.8766760603743799E-2</v>
      </c>
      <c r="AE11" s="72">
        <f t="shared" si="12"/>
        <v>0.10211732430786355</v>
      </c>
      <c r="AF11" s="72">
        <f t="shared" si="12"/>
        <v>9.6867983510649722E-2</v>
      </c>
      <c r="AG11" s="72"/>
      <c r="AL11" s="56"/>
      <c r="AM11" s="219" t="s">
        <v>600</v>
      </c>
      <c r="AN11" s="219" t="s">
        <v>601</v>
      </c>
      <c r="AT11" t="s">
        <v>298</v>
      </c>
      <c r="AU11" t="s">
        <v>618</v>
      </c>
      <c r="AV11" t="s">
        <v>625</v>
      </c>
    </row>
    <row r="12" spans="1:52">
      <c r="A12" s="1" t="s">
        <v>17</v>
      </c>
      <c r="B12" s="56">
        <v>50659</v>
      </c>
      <c r="C12" s="56">
        <v>56603.999999999993</v>
      </c>
      <c r="D12" s="56">
        <v>78579</v>
      </c>
      <c r="E12" s="56">
        <v>65076</v>
      </c>
      <c r="F12" s="56">
        <v>40133.168591619062</v>
      </c>
      <c r="G12" s="56">
        <v>87732.789999999979</v>
      </c>
      <c r="H12" s="56">
        <v>78579</v>
      </c>
      <c r="I12" s="56">
        <v>457362.95859161904</v>
      </c>
      <c r="K12" s="220"/>
      <c r="L12" s="1" t="s">
        <v>17</v>
      </c>
      <c r="M12" s="54">
        <f t="shared" si="2"/>
        <v>204.27016129032259</v>
      </c>
      <c r="N12" s="54">
        <f t="shared" si="3"/>
        <v>34.635011931713883</v>
      </c>
      <c r="O12" s="54">
        <f t="shared" si="4"/>
        <v>39.372181581320774</v>
      </c>
      <c r="P12" s="54">
        <f t="shared" si="5"/>
        <v>30.840098383496599</v>
      </c>
      <c r="Q12" s="54">
        <f t="shared" si="6"/>
        <v>20.286387302229183</v>
      </c>
      <c r="R12" s="54">
        <f t="shared" si="6"/>
        <v>77.517529908639474</v>
      </c>
      <c r="S12" s="54">
        <f t="shared" si="6"/>
        <v>100.62555624563808</v>
      </c>
      <c r="T12" s="54">
        <f t="shared" si="6"/>
        <v>46.295428901722453</v>
      </c>
      <c r="U12" s="54"/>
      <c r="X12" s="1" t="s">
        <v>17</v>
      </c>
      <c r="Y12" s="72">
        <f t="shared" si="7"/>
        <v>8.9723041147593455E-2</v>
      </c>
      <c r="Z12" s="72">
        <f t="shared" si="8"/>
        <v>2.0435951808499057E-2</v>
      </c>
      <c r="AA12" s="72">
        <f t="shared" si="9"/>
        <v>2.0178619209230423E-2</v>
      </c>
      <c r="AB12" s="72">
        <f t="shared" si="10"/>
        <v>1.322269430065647E-2</v>
      </c>
      <c r="AC12" s="72">
        <f t="shared" si="11"/>
        <v>8.0102851268940775E-3</v>
      </c>
      <c r="AD12" s="72">
        <f t="shared" si="12"/>
        <v>2.5687094757829751E-2</v>
      </c>
      <c r="AE12" s="72">
        <f t="shared" si="12"/>
        <v>4.9440014245549405E-2</v>
      </c>
      <c r="AF12" s="72">
        <f t="shared" si="12"/>
        <v>2.063430181444716E-2</v>
      </c>
      <c r="AG12" s="72"/>
      <c r="AL12" s="76" t="s">
        <v>604</v>
      </c>
      <c r="AM12" s="77">
        <v>3148.23</v>
      </c>
      <c r="AN12" s="77">
        <v>-1138.4306055680258</v>
      </c>
      <c r="AO12" s="108"/>
      <c r="AP12" s="56"/>
      <c r="AT12" t="s">
        <v>604</v>
      </c>
      <c r="AU12">
        <v>1323</v>
      </c>
      <c r="AV12">
        <v>1525</v>
      </c>
    </row>
    <row r="13" spans="1:52">
      <c r="A13" s="1" t="s">
        <v>18</v>
      </c>
      <c r="B13" s="56">
        <v>15120.72</v>
      </c>
      <c r="C13" s="56">
        <v>75707.235000000015</v>
      </c>
      <c r="D13" s="56">
        <v>108569.15850000001</v>
      </c>
      <c r="E13" s="56">
        <v>138095.14920000001</v>
      </c>
      <c r="F13" s="56">
        <v>143706.67500000002</v>
      </c>
      <c r="G13" s="56">
        <v>97402.260000000009</v>
      </c>
      <c r="H13" s="56">
        <v>44057.58</v>
      </c>
      <c r="I13" s="56">
        <v>622658.77770000009</v>
      </c>
      <c r="K13" s="220"/>
      <c r="L13" s="1" t="s">
        <v>18</v>
      </c>
      <c r="M13" s="54">
        <f t="shared" si="2"/>
        <v>60.970645161290321</v>
      </c>
      <c r="N13" s="54">
        <f t="shared" si="3"/>
        <v>46.323952150767923</v>
      </c>
      <c r="O13" s="54">
        <f t="shared" si="4"/>
        <v>54.398816765206938</v>
      </c>
      <c r="P13" s="54">
        <f t="shared" si="5"/>
        <v>65.444526209534118</v>
      </c>
      <c r="Q13" s="54">
        <f t="shared" si="6"/>
        <v>72.64039619274844</v>
      </c>
      <c r="R13" s="54">
        <f t="shared" si="6"/>
        <v>86.061124953612904</v>
      </c>
      <c r="S13" s="54">
        <f t="shared" si="6"/>
        <v>56.418616861205912</v>
      </c>
      <c r="T13" s="54">
        <f t="shared" si="6"/>
        <v>63.027087418294457</v>
      </c>
      <c r="U13" s="54"/>
      <c r="X13" s="1" t="s">
        <v>18</v>
      </c>
      <c r="Y13" s="72">
        <f t="shared" si="7"/>
        <v>2.6780571719560969E-2</v>
      </c>
      <c r="Z13" s="72">
        <f t="shared" si="8"/>
        <v>2.7332863508139238E-2</v>
      </c>
      <c r="AA13" s="72">
        <f t="shared" si="9"/>
        <v>2.787991330047573E-2</v>
      </c>
      <c r="AB13" s="72">
        <f t="shared" si="10"/>
        <v>2.8059345108413934E-2</v>
      </c>
      <c r="AC13" s="72">
        <f t="shared" si="11"/>
        <v>2.8682794849851201E-2</v>
      </c>
      <c r="AD13" s="72">
        <f t="shared" si="12"/>
        <v>2.85181980676412E-2</v>
      </c>
      <c r="AE13" s="72">
        <f t="shared" si="12"/>
        <v>2.7719968220827864E-2</v>
      </c>
      <c r="AF13" s="72">
        <f t="shared" si="12"/>
        <v>2.8091757115706217E-2</v>
      </c>
      <c r="AG13" s="72"/>
      <c r="AL13" s="76" t="s">
        <v>605</v>
      </c>
      <c r="AM13" s="77">
        <v>2631.8490000000002</v>
      </c>
      <c r="AN13" s="77">
        <v>311.25594609437849</v>
      </c>
      <c r="AO13" s="56"/>
      <c r="AP13" s="56"/>
      <c r="AT13" t="s">
        <v>607</v>
      </c>
      <c r="AU13">
        <v>3292</v>
      </c>
      <c r="AV13">
        <v>3417</v>
      </c>
    </row>
    <row r="14" spans="1:52">
      <c r="A14" s="76" t="s">
        <v>19</v>
      </c>
      <c r="B14" s="77">
        <v>39146.598234519872</v>
      </c>
      <c r="C14" s="77">
        <v>-335648.16970636306</v>
      </c>
      <c r="D14" s="77">
        <v>-335929.73299409461</v>
      </c>
      <c r="E14" s="77">
        <v>169194.75873299749</v>
      </c>
      <c r="F14" s="77">
        <v>584127.46281805309</v>
      </c>
      <c r="G14" s="77">
        <v>744186.38835490285</v>
      </c>
      <c r="H14" s="77">
        <v>245785.25848721521</v>
      </c>
      <c r="I14" s="77">
        <v>1110862.5639272309</v>
      </c>
      <c r="K14" s="220"/>
      <c r="L14" s="76" t="s">
        <v>19</v>
      </c>
      <c r="M14" s="81">
        <f t="shared" si="2"/>
        <v>157.84918642951561</v>
      </c>
      <c r="N14" s="81">
        <f t="shared" si="3"/>
        <v>-205.37732956394976</v>
      </c>
      <c r="O14" s="81">
        <f t="shared" si="4"/>
        <v>-168.31833500054847</v>
      </c>
      <c r="P14" s="81">
        <f t="shared" si="5"/>
        <v>80.182909295248834</v>
      </c>
      <c r="Q14" s="81">
        <f t="shared" si="6"/>
        <v>295.26290498453398</v>
      </c>
      <c r="R14" s="81">
        <f t="shared" si="6"/>
        <v>657.5362600106937</v>
      </c>
      <c r="S14" s="81">
        <f t="shared" si="6"/>
        <v>314.7441218678523</v>
      </c>
      <c r="T14" s="81">
        <f t="shared" si="6"/>
        <v>112.44430245563096</v>
      </c>
      <c r="U14" s="81"/>
      <c r="X14" s="76" t="s">
        <v>19</v>
      </c>
      <c r="Y14" s="83">
        <f t="shared" si="7"/>
        <v>6.9333224978466529E-2</v>
      </c>
      <c r="Z14" s="83">
        <f t="shared" si="8"/>
        <v>-0.12118030211169085</v>
      </c>
      <c r="AA14" s="83">
        <f t="shared" si="9"/>
        <v>-8.6264754745495414E-2</v>
      </c>
      <c r="AB14" s="83">
        <f t="shared" si="10"/>
        <v>3.4378427868949422E-2</v>
      </c>
      <c r="AC14" s="83">
        <f t="shared" si="11"/>
        <v>0.11658754321728131</v>
      </c>
      <c r="AD14" s="83">
        <f t="shared" si="12"/>
        <v>0.21788873094266675</v>
      </c>
      <c r="AE14" s="83">
        <f t="shared" si="12"/>
        <v>0.15464216496715361</v>
      </c>
      <c r="AF14" s="83">
        <f t="shared" si="12"/>
        <v>5.0117467949371268E-2</v>
      </c>
      <c r="AG14" s="83"/>
      <c r="AL14" s="76" t="s">
        <v>606</v>
      </c>
      <c r="AM14" s="77">
        <v>2273.4270000000001</v>
      </c>
      <c r="AN14" s="77">
        <v>-451.32788288255074</v>
      </c>
      <c r="AO14" s="56"/>
      <c r="AP14" s="56"/>
      <c r="AT14" t="s">
        <v>620</v>
      </c>
      <c r="AU14">
        <v>2724</v>
      </c>
      <c r="AV14">
        <v>2704</v>
      </c>
    </row>
    <row r="15" spans="1:52">
      <c r="A15" s="1" t="s">
        <v>20</v>
      </c>
      <c r="B15" s="56">
        <v>131251</v>
      </c>
      <c r="C15" s="56">
        <v>148498</v>
      </c>
      <c r="D15" s="56">
        <v>154472.99999999994</v>
      </c>
      <c r="E15" s="56">
        <v>221685</v>
      </c>
      <c r="F15" s="56">
        <v>167061.72</v>
      </c>
      <c r="G15" s="56">
        <v>121364.63</v>
      </c>
      <c r="H15" s="56">
        <v>154473</v>
      </c>
      <c r="I15" s="56">
        <v>1098806.3500000001</v>
      </c>
      <c r="K15" s="220"/>
      <c r="L15" s="1" t="s">
        <v>20</v>
      </c>
      <c r="M15" s="54">
        <f t="shared" si="2"/>
        <v>529.23790322580646</v>
      </c>
      <c r="N15" s="54">
        <f t="shared" si="3"/>
        <v>90.863366578963479</v>
      </c>
      <c r="O15" s="54">
        <f t="shared" si="4"/>
        <v>77.399037979757466</v>
      </c>
      <c r="P15" s="54">
        <f t="shared" si="5"/>
        <v>105.05850405903011</v>
      </c>
      <c r="Q15" s="54">
        <f t="shared" si="6"/>
        <v>84.44583057427225</v>
      </c>
      <c r="R15" s="54">
        <f t="shared" si="6"/>
        <v>107.23341108696037</v>
      </c>
      <c r="S15" s="54">
        <f t="shared" si="6"/>
        <v>197.81279412988778</v>
      </c>
      <c r="T15" s="54">
        <f t="shared" si="6"/>
        <v>111.22394216145497</v>
      </c>
      <c r="U15" s="54"/>
      <c r="X15" s="1" t="s">
        <v>20</v>
      </c>
      <c r="Y15" s="72">
        <f t="shared" si="7"/>
        <v>0.23246094225434352</v>
      </c>
      <c r="Z15" s="72">
        <f t="shared" si="8"/>
        <v>5.3612783048167856E-2</v>
      </c>
      <c r="AA15" s="72">
        <f t="shared" si="9"/>
        <v>3.9667746409440818E-2</v>
      </c>
      <c r="AB15" s="72">
        <f t="shared" si="10"/>
        <v>4.5043840832888156E-2</v>
      </c>
      <c r="AC15" s="72">
        <f t="shared" si="11"/>
        <v>3.3344289971382904E-2</v>
      </c>
      <c r="AD15" s="72">
        <f t="shared" si="12"/>
        <v>3.5534088806009112E-2</v>
      </c>
      <c r="AE15" s="72">
        <f t="shared" si="12"/>
        <v>9.7190691158614312E-2</v>
      </c>
      <c r="AF15" s="72">
        <f t="shared" si="12"/>
        <v>4.9573542053666729E-2</v>
      </c>
      <c r="AG15" s="72"/>
      <c r="AL15" s="76" t="s">
        <v>607</v>
      </c>
      <c r="AM15" s="77">
        <v>1927.8</v>
      </c>
      <c r="AN15" s="77">
        <v>513.07692735927731</v>
      </c>
      <c r="AO15" s="56"/>
      <c r="AP15" s="56"/>
      <c r="AT15" t="s">
        <v>619</v>
      </c>
      <c r="AU15">
        <v>1123</v>
      </c>
      <c r="AV15">
        <v>1171</v>
      </c>
    </row>
    <row r="16" spans="1:52">
      <c r="A16" s="247" t="s">
        <v>21</v>
      </c>
      <c r="B16" s="117">
        <v>-92104.401765480128</v>
      </c>
      <c r="C16" s="117">
        <v>-484146.169706363</v>
      </c>
      <c r="D16" s="117">
        <v>-490402.73299409437</v>
      </c>
      <c r="E16" s="117">
        <v>-52490.241267002486</v>
      </c>
      <c r="F16" s="117">
        <v>417065.742818053</v>
      </c>
      <c r="G16" s="117">
        <v>622821.75835490297</v>
      </c>
      <c r="H16" s="117">
        <v>91312.258487215149</v>
      </c>
      <c r="I16" s="117">
        <v>12056.213927231263</v>
      </c>
      <c r="K16" s="220"/>
      <c r="L16" s="76" t="s">
        <v>21</v>
      </c>
      <c r="M16" s="81">
        <f t="shared" si="2"/>
        <v>-371.38871679629085</v>
      </c>
      <c r="N16" s="81">
        <f t="shared" si="3"/>
        <v>-296.24069614291318</v>
      </c>
      <c r="O16" s="81">
        <f t="shared" si="4"/>
        <v>-245.71737298030584</v>
      </c>
      <c r="P16" s="81">
        <f t="shared" si="5"/>
        <v>-24.875594763781269</v>
      </c>
      <c r="Q16" s="81">
        <f t="shared" si="6"/>
        <v>210.81707441026168</v>
      </c>
      <c r="R16" s="81">
        <f t="shared" si="6"/>
        <v>550.30284892373345</v>
      </c>
      <c r="S16" s="81">
        <f t="shared" si="6"/>
        <v>116.93132773796448</v>
      </c>
      <c r="T16" s="81">
        <f t="shared" si="6"/>
        <v>1.2203602941760374</v>
      </c>
      <c r="U16" s="81"/>
      <c r="X16" s="76" t="s">
        <v>21</v>
      </c>
      <c r="Y16" s="83">
        <f>B16/B$8</f>
        <v>-0.16312771727587699</v>
      </c>
      <c r="Z16" s="83">
        <f t="shared" si="8"/>
        <v>-0.1747930851598587</v>
      </c>
      <c r="AA16" s="83">
        <f t="shared" si="9"/>
        <v>-0.12593250115493618</v>
      </c>
      <c r="AB16" s="83">
        <f t="shared" si="10"/>
        <v>-1.066541296393873E-2</v>
      </c>
      <c r="AC16" s="83">
        <f t="shared" si="11"/>
        <v>8.3243253245898388E-2</v>
      </c>
      <c r="AD16" s="83">
        <f t="shared" si="12"/>
        <v>0.18235464213665767</v>
      </c>
      <c r="AE16" s="83">
        <f t="shared" si="12"/>
        <v>5.7451473808539266E-2</v>
      </c>
      <c r="AF16" s="83">
        <f t="shared" si="12"/>
        <v>5.4392589570455394E-4</v>
      </c>
      <c r="AG16" s="83"/>
      <c r="AL16" s="76" t="s">
        <v>608</v>
      </c>
      <c r="AM16" s="77">
        <v>599.40499999999997</v>
      </c>
      <c r="AN16" s="77">
        <v>126.98724667837696</v>
      </c>
      <c r="AO16" s="56"/>
      <c r="AP16" s="56"/>
      <c r="AT16" t="s">
        <v>610</v>
      </c>
      <c r="AU16">
        <v>3240</v>
      </c>
      <c r="AV16">
        <v>3318</v>
      </c>
    </row>
    <row r="17" spans="1:66">
      <c r="A17" s="1" t="s">
        <v>22</v>
      </c>
      <c r="B17" s="56">
        <v>123844.28333333301</v>
      </c>
      <c r="C17" s="56">
        <v>123844.28333333302</v>
      </c>
      <c r="D17" s="56">
        <v>123844.28333333305</v>
      </c>
      <c r="E17" s="56">
        <v>123844.28333333303</v>
      </c>
      <c r="F17" s="56">
        <v>123844.28333333299</v>
      </c>
      <c r="G17" s="56">
        <v>123844.28333333301</v>
      </c>
      <c r="H17" s="56">
        <v>123843.49038482849</v>
      </c>
      <c r="I17" s="56">
        <v>866909.19038482662</v>
      </c>
      <c r="K17" s="220"/>
      <c r="L17" s="1" t="s">
        <v>22</v>
      </c>
      <c r="M17" s="54">
        <f t="shared" si="2"/>
        <v>499.37211021505243</v>
      </c>
      <c r="N17" s="54">
        <f t="shared" si="3"/>
        <v>75.778182300271084</v>
      </c>
      <c r="O17" s="54">
        <f t="shared" si="4"/>
        <v>62.052451815479031</v>
      </c>
      <c r="P17" s="54">
        <f t="shared" si="5"/>
        <v>58.690913427893832</v>
      </c>
      <c r="Q17" s="54">
        <f t="shared" si="6"/>
        <v>62.600417186886411</v>
      </c>
      <c r="R17" s="54">
        <f t="shared" si="6"/>
        <v>109.42434336472901</v>
      </c>
      <c r="S17" s="54">
        <f t="shared" si="6"/>
        <v>158.58970090449989</v>
      </c>
      <c r="T17" s="54">
        <f t="shared" si="6"/>
        <v>87.750728461476143</v>
      </c>
      <c r="U17" s="54"/>
      <c r="X17" s="1" t="s">
        <v>22</v>
      </c>
      <c r="Y17" s="72">
        <f t="shared" si="7"/>
        <v>0.21934277679012334</v>
      </c>
      <c r="Z17" s="72">
        <f t="shared" si="8"/>
        <v>4.4711960390751482E-2</v>
      </c>
      <c r="AA17" s="72">
        <f t="shared" si="9"/>
        <v>3.1802474384038604E-2</v>
      </c>
      <c r="AB17" s="72">
        <f t="shared" si="10"/>
        <v>2.5163733164308623E-2</v>
      </c>
      <c r="AC17" s="72">
        <f t="shared" si="11"/>
        <v>2.4718407632608824E-2</v>
      </c>
      <c r="AD17" s="72">
        <f t="shared" si="12"/>
        <v>3.6260101168546457E-2</v>
      </c>
      <c r="AE17" s="72">
        <f t="shared" si="12"/>
        <v>7.7919341412393664E-2</v>
      </c>
      <c r="AF17" s="72">
        <f t="shared" si="12"/>
        <v>3.9111313113773305E-2</v>
      </c>
      <c r="AG17" s="72"/>
      <c r="AL17" s="76" t="s">
        <v>609</v>
      </c>
      <c r="AM17" s="77">
        <v>514.83000000000004</v>
      </c>
      <c r="AN17" s="77">
        <v>-431.34411270209853</v>
      </c>
      <c r="AO17" s="56"/>
      <c r="AP17" s="56"/>
      <c r="AT17" t="s">
        <v>606</v>
      </c>
      <c r="AU17">
        <v>1509</v>
      </c>
      <c r="AV17">
        <v>1579</v>
      </c>
    </row>
    <row r="18" spans="1:66">
      <c r="A18" s="247" t="s">
        <v>23</v>
      </c>
      <c r="B18" s="117">
        <v>162990.88156785286</v>
      </c>
      <c r="C18" s="117">
        <v>-211803.88637303002</v>
      </c>
      <c r="D18" s="117">
        <v>-212085.44966076151</v>
      </c>
      <c r="E18" s="117">
        <v>293039.04206633044</v>
      </c>
      <c r="F18" s="117">
        <v>707971.74615138583</v>
      </c>
      <c r="G18" s="117">
        <v>868030.67168823606</v>
      </c>
      <c r="H18" s="117">
        <v>369628.7488720438</v>
      </c>
      <c r="I18" s="117">
        <v>1977771.7543120575</v>
      </c>
      <c r="K18" s="220"/>
      <c r="L18" s="76" t="s">
        <v>23</v>
      </c>
      <c r="M18" s="81">
        <f t="shared" si="2"/>
        <v>657.22129664456804</v>
      </c>
      <c r="N18" s="81">
        <f t="shared" si="3"/>
        <v>-129.59914726367865</v>
      </c>
      <c r="O18" s="81">
        <f t="shared" si="4"/>
        <v>-106.2658831850694</v>
      </c>
      <c r="P18" s="81">
        <f t="shared" si="5"/>
        <v>138.87382272314264</v>
      </c>
      <c r="Q18" s="81">
        <f t="shared" si="6"/>
        <v>357.86332217142029</v>
      </c>
      <c r="R18" s="81">
        <f t="shared" si="6"/>
        <v>766.96060337542281</v>
      </c>
      <c r="S18" s="81">
        <f t="shared" si="6"/>
        <v>473.33382277235233</v>
      </c>
      <c r="T18" s="81">
        <f t="shared" si="6"/>
        <v>200.19503091710712</v>
      </c>
      <c r="U18" s="81"/>
      <c r="X18" s="76" t="s">
        <v>23</v>
      </c>
      <c r="Y18" s="83">
        <f t="shared" si="7"/>
        <v>0.28867600176858987</v>
      </c>
      <c r="Z18" s="83">
        <f t="shared" si="8"/>
        <v>-7.6468341720939373E-2</v>
      </c>
      <c r="AA18" s="83">
        <f t="shared" si="9"/>
        <v>-5.4462280361456804E-2</v>
      </c>
      <c r="AB18" s="83">
        <f t="shared" si="10"/>
        <v>5.9542161033258025E-2</v>
      </c>
      <c r="AC18" s="83">
        <f t="shared" si="11"/>
        <v>0.14130595084989009</v>
      </c>
      <c r="AD18" s="83">
        <f t="shared" si="12"/>
        <v>0.25414883211121325</v>
      </c>
      <c r="AE18" s="83">
        <f t="shared" si="12"/>
        <v>0.23256150637954734</v>
      </c>
      <c r="AF18" s="83">
        <f t="shared" si="12"/>
        <v>8.9228781063144566E-2</v>
      </c>
      <c r="AG18" s="83"/>
      <c r="AL18" s="76" t="s">
        <v>610</v>
      </c>
      <c r="AM18" s="77">
        <v>384.2577</v>
      </c>
      <c r="AN18" s="77">
        <v>138.02446829659678</v>
      </c>
      <c r="AO18" s="56"/>
      <c r="AP18" s="56"/>
      <c r="AT18" t="s">
        <v>621</v>
      </c>
      <c r="AU18">
        <v>2290</v>
      </c>
      <c r="AV18">
        <v>2288</v>
      </c>
    </row>
    <row r="19" spans="1:66">
      <c r="A19" s="76"/>
      <c r="B19" s="77"/>
      <c r="C19" s="77"/>
      <c r="D19" s="77"/>
      <c r="E19" s="77"/>
      <c r="F19" s="77"/>
      <c r="G19" s="77"/>
      <c r="H19" s="77"/>
      <c r="I19" s="77"/>
      <c r="K19" s="220"/>
      <c r="AL19" s="76" t="s">
        <v>580</v>
      </c>
      <c r="AM19" s="77">
        <f>SUM(AM20:AM22)</f>
        <v>322.51688999999999</v>
      </c>
      <c r="AN19" s="77">
        <f>SUM(AN20:AN22)</f>
        <v>91.219794790482439</v>
      </c>
    </row>
    <row r="20" spans="1:66">
      <c r="Q20" s="219"/>
      <c r="R20" s="219"/>
      <c r="S20" s="219"/>
      <c r="T20" s="219"/>
      <c r="U20" s="219"/>
      <c r="AL20" s="1" t="s">
        <v>37</v>
      </c>
      <c r="AM20" s="56">
        <v>231.72</v>
      </c>
      <c r="AN20" s="56">
        <v>0.42290479048241469</v>
      </c>
      <c r="AO20" s="56"/>
      <c r="AP20" s="56"/>
    </row>
    <row r="21" spans="1:66">
      <c r="Q21" s="219"/>
      <c r="R21" s="219"/>
      <c r="S21" s="219"/>
      <c r="T21" s="219"/>
      <c r="U21" s="219"/>
      <c r="AL21" s="1"/>
      <c r="AM21" s="56"/>
      <c r="AN21" s="56"/>
      <c r="AO21" s="56"/>
      <c r="AP21" s="56"/>
    </row>
    <row r="22" spans="1:66">
      <c r="A22" s="86" t="s">
        <v>24</v>
      </c>
      <c r="G22" s="54"/>
      <c r="AL22" s="1" t="s">
        <v>417</v>
      </c>
      <c r="AM22" s="56">
        <v>90.796890000000019</v>
      </c>
      <c r="AN22" s="56">
        <v>90.796890000000019</v>
      </c>
      <c r="AO22" s="56"/>
      <c r="AP22" s="56"/>
      <c r="AX22" s="229">
        <v>6.3399999999999998E-2</v>
      </c>
    </row>
    <row r="23" spans="1:66">
      <c r="G23" s="56"/>
      <c r="AX23" s="229">
        <v>4.7800000000000002E-2</v>
      </c>
    </row>
    <row r="24" spans="1:66">
      <c r="A24" s="314" t="s">
        <v>25</v>
      </c>
      <c r="B24" s="314"/>
      <c r="C24" s="314"/>
      <c r="D24" s="314"/>
      <c r="E24" s="314"/>
      <c r="F24" s="314"/>
      <c r="G24" s="314"/>
      <c r="H24" s="314"/>
      <c r="I24" s="314"/>
      <c r="L24" s="314" t="s">
        <v>26</v>
      </c>
      <c r="M24" s="314"/>
      <c r="N24" s="314"/>
      <c r="O24" s="314"/>
      <c r="P24" s="314"/>
      <c r="Q24" s="314"/>
      <c r="R24" s="314"/>
      <c r="S24" s="314"/>
      <c r="T24" s="314"/>
      <c r="X24" s="314" t="s">
        <v>27</v>
      </c>
      <c r="Y24" s="314"/>
      <c r="Z24" s="314"/>
      <c r="AA24" s="314"/>
      <c r="AB24" s="314"/>
      <c r="AC24" s="314"/>
      <c r="AD24" s="314"/>
      <c r="AE24" s="314"/>
      <c r="AF24" s="314"/>
      <c r="AI24" s="51"/>
      <c r="AJ24" s="51"/>
      <c r="AK24" s="51"/>
      <c r="AL24" s="77" t="s">
        <v>603</v>
      </c>
      <c r="AX24" s="229">
        <v>4.5900000000000003E-2</v>
      </c>
    </row>
    <row r="25" spans="1:66">
      <c r="A25" s="75" t="s">
        <v>13</v>
      </c>
      <c r="B25" s="75" t="s">
        <v>2</v>
      </c>
      <c r="J25" s="84"/>
      <c r="L25" s="75" t="s">
        <v>21</v>
      </c>
      <c r="M25" s="75" t="s">
        <v>2</v>
      </c>
      <c r="U25" s="84"/>
      <c r="X25" s="75" t="s">
        <v>23</v>
      </c>
      <c r="Y25" s="75" t="s">
        <v>2</v>
      </c>
      <c r="AG25" s="84"/>
      <c r="AL25" s="51"/>
      <c r="AM25" s="1" t="s">
        <v>600</v>
      </c>
      <c r="AN25" s="1" t="s">
        <v>601</v>
      </c>
      <c r="AX25" s="229">
        <v>3.7100000000000001E-2</v>
      </c>
      <c r="BB25" s="75" t="s">
        <v>12</v>
      </c>
      <c r="BC25" s="75" t="s">
        <v>2</v>
      </c>
      <c r="BG25" s="75" t="s">
        <v>13</v>
      </c>
      <c r="BH25" s="75" t="s">
        <v>2</v>
      </c>
    </row>
    <row r="26" spans="1:66">
      <c r="A26" s="75" t="s">
        <v>28</v>
      </c>
      <c r="B26" t="s">
        <v>6</v>
      </c>
      <c r="C26" t="s">
        <v>7</v>
      </c>
      <c r="D26" t="s">
        <v>8</v>
      </c>
      <c r="E26" t="s">
        <v>463</v>
      </c>
      <c r="F26" t="s">
        <v>705</v>
      </c>
      <c r="G26" t="s">
        <v>757</v>
      </c>
      <c r="H26" t="s">
        <v>806</v>
      </c>
      <c r="I26" t="s">
        <v>9</v>
      </c>
      <c r="J26" s="85" t="s">
        <v>29</v>
      </c>
      <c r="L26" s="75" t="s">
        <v>28</v>
      </c>
      <c r="M26" t="s">
        <v>6</v>
      </c>
      <c r="N26" t="s">
        <v>7</v>
      </c>
      <c r="O26" t="s">
        <v>8</v>
      </c>
      <c r="P26" t="s">
        <v>463</v>
      </c>
      <c r="Q26" t="s">
        <v>705</v>
      </c>
      <c r="R26" t="s">
        <v>757</v>
      </c>
      <c r="S26" t="s">
        <v>806</v>
      </c>
      <c r="T26" t="s">
        <v>9</v>
      </c>
      <c r="U26" s="85" t="s">
        <v>30</v>
      </c>
      <c r="X26" s="75" t="s">
        <v>28</v>
      </c>
      <c r="Y26" t="s">
        <v>6</v>
      </c>
      <c r="Z26" t="s">
        <v>7</v>
      </c>
      <c r="AA26" t="s">
        <v>8</v>
      </c>
      <c r="AB26" t="s">
        <v>463</v>
      </c>
      <c r="AC26" t="s">
        <v>705</v>
      </c>
      <c r="AD26" t="s">
        <v>757</v>
      </c>
      <c r="AE26" t="s">
        <v>806</v>
      </c>
      <c r="AF26" t="s">
        <v>9</v>
      </c>
      <c r="AG26" s="85" t="s">
        <v>30</v>
      </c>
      <c r="AJ26" s="1"/>
      <c r="AK26" s="56"/>
      <c r="AL26" s="76" t="s">
        <v>43</v>
      </c>
      <c r="AM26" s="77">
        <v>2790.2730000000001</v>
      </c>
      <c r="AN26" s="77">
        <v>-709.04030084151225</v>
      </c>
      <c r="AO26" s="1"/>
      <c r="AP26" s="56"/>
      <c r="AQ26" s="108"/>
      <c r="AX26" s="229">
        <v>3.3700000000000001E-2</v>
      </c>
      <c r="BB26" s="75" t="s">
        <v>28</v>
      </c>
      <c r="BC26" t="s">
        <v>7</v>
      </c>
      <c r="BD26" t="s">
        <v>8</v>
      </c>
      <c r="BE26" t="s">
        <v>9</v>
      </c>
      <c r="BG26" s="75" t="s">
        <v>28</v>
      </c>
      <c r="BH26" t="s">
        <v>7</v>
      </c>
      <c r="BI26" t="s">
        <v>8</v>
      </c>
      <c r="BJ26" t="s">
        <v>9</v>
      </c>
      <c r="BK26" t="s">
        <v>913</v>
      </c>
      <c r="BL26" t="s">
        <v>914</v>
      </c>
      <c r="BM26" t="s">
        <v>915</v>
      </c>
      <c r="BN26" t="s">
        <v>916</v>
      </c>
    </row>
    <row r="27" spans="1:66">
      <c r="A27" s="1" t="s">
        <v>31</v>
      </c>
      <c r="B27" s="56">
        <v>149248</v>
      </c>
      <c r="C27" s="56">
        <v>532695</v>
      </c>
      <c r="D27" s="56">
        <v>779600</v>
      </c>
      <c r="E27" s="56">
        <v>1170306</v>
      </c>
      <c r="F27" s="56">
        <v>1105650</v>
      </c>
      <c r="G27" s="56">
        <v>722550</v>
      </c>
      <c r="H27" s="56">
        <v>437010</v>
      </c>
      <c r="I27" s="56">
        <v>4897059</v>
      </c>
      <c r="J27" s="71" t="e">
        <f t="shared" ref="J27:J43" si="13">I27/$I$43</f>
        <v>#DIV/0!</v>
      </c>
      <c r="L27" s="1" t="s">
        <v>31</v>
      </c>
      <c r="M27" s="56">
        <v>-5420.9051008156475</v>
      </c>
      <c r="N27" s="56">
        <v>106971.81690792981</v>
      </c>
      <c r="O27" s="56">
        <v>68462.267783252726</v>
      </c>
      <c r="P27" s="56">
        <v>94521.111220924562</v>
      </c>
      <c r="Q27" s="56">
        <v>338985.51261125738</v>
      </c>
      <c r="R27" s="56">
        <v>211762.60882420756</v>
      </c>
      <c r="S27" s="56">
        <v>111727.24941341867</v>
      </c>
      <c r="T27" s="56">
        <v>927009.66166017507</v>
      </c>
      <c r="U27" s="71">
        <f t="shared" ref="U27:U43" si="14">T27/I27</f>
        <v>0.18929926342732956</v>
      </c>
      <c r="X27" s="1" t="s">
        <v>31</v>
      </c>
      <c r="Y27" s="56">
        <v>54197.33127821653</v>
      </c>
      <c r="Z27" s="56">
        <v>141799.90062368984</v>
      </c>
      <c r="AA27" s="56">
        <v>114620.71090547599</v>
      </c>
      <c r="AB27" s="56">
        <v>169672.26888237341</v>
      </c>
      <c r="AC27" s="56">
        <v>394568.99426497531</v>
      </c>
      <c r="AD27" s="56">
        <v>269610.22926280857</v>
      </c>
      <c r="AE27" s="56">
        <v>169464.45360898951</v>
      </c>
      <c r="AF27" s="56">
        <v>1313933.8888265293</v>
      </c>
      <c r="AG27" s="71">
        <f t="shared" ref="AG27:AG43" si="15">AF27/I27</f>
        <v>0.26831081447589855</v>
      </c>
      <c r="AJ27" s="1"/>
      <c r="AK27" s="56"/>
      <c r="AL27" s="76" t="s">
        <v>47</v>
      </c>
      <c r="AM27" s="77">
        <v>1406.7</v>
      </c>
      <c r="AN27" s="77">
        <v>394.79634341714831</v>
      </c>
      <c r="AO27" s="1"/>
      <c r="AP27" s="56"/>
      <c r="AQ27" s="56"/>
      <c r="AX27" s="229">
        <v>3.3700000000000001E-2</v>
      </c>
      <c r="BB27" s="1" t="s">
        <v>31</v>
      </c>
      <c r="BC27" s="56">
        <v>209</v>
      </c>
      <c r="BD27" s="56">
        <v>331</v>
      </c>
      <c r="BE27" s="56">
        <v>540</v>
      </c>
      <c r="BG27" s="1" t="s">
        <v>31</v>
      </c>
      <c r="BH27" s="56">
        <v>532695</v>
      </c>
      <c r="BI27" s="56">
        <v>779600</v>
      </c>
      <c r="BJ27" s="56">
        <v>1312295</v>
      </c>
      <c r="BK27" s="311">
        <f>BJ27/BE27</f>
        <v>2430.1759259259261</v>
      </c>
      <c r="BL27" s="56">
        <f>BL47</f>
        <v>2925</v>
      </c>
      <c r="BM27" s="108">
        <f t="shared" ref="BM27:BM36" si="16">BL27-BK27</f>
        <v>494.82407407407391</v>
      </c>
      <c r="BN27" s="54">
        <f t="shared" ref="BN27:BN36" si="17">BM27*BE27</f>
        <v>267204.99999999988</v>
      </c>
    </row>
    <row r="28" spans="1:66">
      <c r="A28" s="1" t="s">
        <v>33</v>
      </c>
      <c r="B28" s="56">
        <v>94800</v>
      </c>
      <c r="C28" s="56">
        <v>1147500</v>
      </c>
      <c r="D28" s="56">
        <v>430960</v>
      </c>
      <c r="E28" s="56">
        <v>1471690</v>
      </c>
      <c r="F28" s="56">
        <v>1041860</v>
      </c>
      <c r="G28" s="56">
        <v>245195</v>
      </c>
      <c r="H28" s="56">
        <v>78800</v>
      </c>
      <c r="I28" s="56">
        <v>4510805</v>
      </c>
      <c r="J28" s="71" t="e">
        <f t="shared" si="13"/>
        <v>#DIV/0!</v>
      </c>
      <c r="L28" s="1" t="s">
        <v>33</v>
      </c>
      <c r="M28" s="56">
        <v>-36616.252779043229</v>
      </c>
      <c r="N28" s="56">
        <v>-502314.02950985596</v>
      </c>
      <c r="O28" s="56">
        <v>-260749.39150478606</v>
      </c>
      <c r="P28" s="56">
        <v>-498233.16293433396</v>
      </c>
      <c r="Q28" s="56">
        <v>-130347.08992926034</v>
      </c>
      <c r="R28" s="56">
        <v>-33898.989415940174</v>
      </c>
      <c r="S28" s="56">
        <v>-9786.3880055440404</v>
      </c>
      <c r="T28" s="56">
        <v>-1471945.3040787636</v>
      </c>
      <c r="U28" s="71">
        <f t="shared" si="14"/>
        <v>-0.32631543684082187</v>
      </c>
      <c r="X28" s="1" t="s">
        <v>33</v>
      </c>
      <c r="Y28" s="56">
        <v>12757.027866117996</v>
      </c>
      <c r="Z28" s="56">
        <v>-367334.37491767597</v>
      </c>
      <c r="AA28" s="56">
        <v>-219890.10499478175</v>
      </c>
      <c r="AB28" s="56">
        <v>-365776.25912916136</v>
      </c>
      <c r="AC28" s="56">
        <v>-55824.051563905115</v>
      </c>
      <c r="AD28" s="56">
        <v>-5950.139091672243</v>
      </c>
      <c r="AE28" s="56">
        <v>3756.9068057626901</v>
      </c>
      <c r="AF28" s="56">
        <v>-998260.99502531579</v>
      </c>
      <c r="AG28" s="71">
        <f t="shared" si="15"/>
        <v>-0.22130440021799119</v>
      </c>
      <c r="AJ28" s="1"/>
      <c r="AK28" s="56"/>
      <c r="AL28" s="76" t="s">
        <v>44</v>
      </c>
      <c r="AM28" s="77">
        <v>1378.9216999999999</v>
      </c>
      <c r="AN28" s="77">
        <v>101.00030128966993</v>
      </c>
      <c r="AO28" s="1"/>
      <c r="AP28" s="56"/>
      <c r="AQ28" s="56"/>
      <c r="AX28" s="229">
        <v>3.3300000000000003E-2</v>
      </c>
      <c r="BB28" s="1" t="s">
        <v>33</v>
      </c>
      <c r="BC28" s="56">
        <v>810</v>
      </c>
      <c r="BD28" s="56">
        <v>293</v>
      </c>
      <c r="BE28" s="56">
        <v>1103</v>
      </c>
      <c r="BG28" s="1" t="s">
        <v>33</v>
      </c>
      <c r="BH28" s="56">
        <v>1147500</v>
      </c>
      <c r="BI28" s="56">
        <v>430960</v>
      </c>
      <c r="BJ28" s="56">
        <v>1578460</v>
      </c>
      <c r="BK28" s="311">
        <f t="shared" ref="BK28:BK38" si="18">BJ28/BE28</f>
        <v>1431.0607434270173</v>
      </c>
      <c r="BL28" s="56">
        <f>BL45</f>
        <v>2055.761641673244</v>
      </c>
      <c r="BM28" s="313">
        <f t="shared" si="16"/>
        <v>624.70089824622664</v>
      </c>
      <c r="BN28" s="54">
        <f t="shared" si="17"/>
        <v>689045.09076558799</v>
      </c>
    </row>
    <row r="29" spans="1:66">
      <c r="A29" s="1" t="s">
        <v>495</v>
      </c>
      <c r="B29" s="56"/>
      <c r="C29" s="56">
        <v>91800</v>
      </c>
      <c r="D29" s="56">
        <v>1004400</v>
      </c>
      <c r="E29" s="56">
        <v>831600</v>
      </c>
      <c r="F29" s="56">
        <v>1142100</v>
      </c>
      <c r="G29" s="56">
        <v>1273050</v>
      </c>
      <c r="H29" s="56"/>
      <c r="I29" s="56">
        <v>4342950</v>
      </c>
      <c r="J29" s="71" t="e">
        <f t="shared" si="13"/>
        <v>#DIV/0!</v>
      </c>
      <c r="L29" s="1" t="s">
        <v>495</v>
      </c>
      <c r="M29" s="56"/>
      <c r="N29" s="56">
        <v>28158.374000344069</v>
      </c>
      <c r="O29" s="56">
        <v>209162.38318473555</v>
      </c>
      <c r="P29" s="56">
        <v>240368.96477165454</v>
      </c>
      <c r="Q29" s="56">
        <v>88911.734263952574</v>
      </c>
      <c r="R29" s="56">
        <v>183241.92812586154</v>
      </c>
      <c r="S29" s="56"/>
      <c r="T29" s="56">
        <v>749843.38434654835</v>
      </c>
      <c r="U29" s="71">
        <f t="shared" si="14"/>
        <v>0.17265761391371034</v>
      </c>
      <c r="X29" s="1" t="s">
        <v>495</v>
      </c>
      <c r="Y29" s="56"/>
      <c r="Z29" s="56">
        <v>32657.695820083401</v>
      </c>
      <c r="AA29" s="56">
        <v>254344.66587839217</v>
      </c>
      <c r="AB29" s="56">
        <v>275738.83894883009</v>
      </c>
      <c r="AC29" s="56">
        <v>132584.46984901669</v>
      </c>
      <c r="AD29" s="56">
        <v>253439.0405682089</v>
      </c>
      <c r="AE29" s="56"/>
      <c r="AF29" s="56">
        <v>948764.71106453135</v>
      </c>
      <c r="AG29" s="71">
        <f t="shared" si="15"/>
        <v>0.21846088743009506</v>
      </c>
      <c r="AJ29" s="1"/>
      <c r="AK29" s="56"/>
      <c r="AL29" s="76" t="s">
        <v>45</v>
      </c>
      <c r="AM29" s="77">
        <v>1097.2</v>
      </c>
      <c r="AN29" s="77">
        <v>-468.13754206169125</v>
      </c>
      <c r="AO29" s="1"/>
      <c r="AP29" s="56"/>
      <c r="AQ29" s="56"/>
      <c r="AX29" s="229">
        <v>3.3300000000000003E-2</v>
      </c>
      <c r="BB29" s="1" t="s">
        <v>495</v>
      </c>
      <c r="BC29" s="56">
        <v>27</v>
      </c>
      <c r="BD29" s="56">
        <v>324</v>
      </c>
      <c r="BE29" s="56">
        <v>351</v>
      </c>
      <c r="BG29" s="1" t="s">
        <v>495</v>
      </c>
      <c r="BH29" s="56">
        <v>91800</v>
      </c>
      <c r="BI29" s="56">
        <v>1004400</v>
      </c>
      <c r="BJ29" s="56">
        <v>1096200</v>
      </c>
      <c r="BK29" s="311">
        <f t="shared" si="18"/>
        <v>3123.0769230769229</v>
      </c>
      <c r="BL29" s="56">
        <f>BL52</f>
        <v>3845.4545454545455</v>
      </c>
      <c r="BM29" s="313">
        <f t="shared" si="16"/>
        <v>722.37762237762263</v>
      </c>
      <c r="BN29" s="54">
        <f t="shared" si="17"/>
        <v>253554.54545454553</v>
      </c>
    </row>
    <row r="30" spans="1:66">
      <c r="A30" s="1" t="s">
        <v>32</v>
      </c>
      <c r="B30" s="56">
        <v>135915</v>
      </c>
      <c r="C30" s="56">
        <v>710550</v>
      </c>
      <c r="D30" s="56">
        <v>768480</v>
      </c>
      <c r="E30" s="56">
        <v>656562</v>
      </c>
      <c r="F30" s="56">
        <v>591300</v>
      </c>
      <c r="G30" s="56">
        <v>251204</v>
      </c>
      <c r="H30" s="56">
        <v>94500</v>
      </c>
      <c r="I30" s="56">
        <v>3208511</v>
      </c>
      <c r="J30" s="71" t="e">
        <f t="shared" si="13"/>
        <v>#DIV/0!</v>
      </c>
      <c r="L30" s="1" t="s">
        <v>32</v>
      </c>
      <c r="M30" s="56">
        <v>-50223.332648424694</v>
      </c>
      <c r="N30" s="56">
        <v>-182032.48725523942</v>
      </c>
      <c r="O30" s="56">
        <v>-219374.8210281847</v>
      </c>
      <c r="P30" s="56">
        <v>-130881.72084449162</v>
      </c>
      <c r="Q30" s="56">
        <v>-62443.665596302068</v>
      </c>
      <c r="R30" s="56">
        <v>-1295.063802724042</v>
      </c>
      <c r="S30" s="56">
        <v>-22774.894430314493</v>
      </c>
      <c r="T30" s="56">
        <v>-669025.98560568097</v>
      </c>
      <c r="U30" s="71">
        <f t="shared" si="14"/>
        <v>-0.20851603301521515</v>
      </c>
      <c r="X30" s="1" t="s">
        <v>32</v>
      </c>
      <c r="Y30" s="56">
        <v>23836.588319317143</v>
      </c>
      <c r="Z30" s="56">
        <v>-105494.02385500701</v>
      </c>
      <c r="AA30" s="56">
        <v>-152047.64175504455</v>
      </c>
      <c r="AB30" s="56">
        <v>-74614.14600763483</v>
      </c>
      <c r="AC30" s="56">
        <v>-18770.93001123795</v>
      </c>
      <c r="AD30" s="56">
        <v>25353.839994833754</v>
      </c>
      <c r="AE30" s="56">
        <v>-3529.1596984575572</v>
      </c>
      <c r="AF30" s="56">
        <v>-305265.47301323101</v>
      </c>
      <c r="AG30" s="71">
        <f t="shared" si="15"/>
        <v>-9.5142411234753754E-2</v>
      </c>
      <c r="AJ30" s="1"/>
      <c r="AK30" s="56"/>
      <c r="AL30" s="76" t="s">
        <v>52</v>
      </c>
      <c r="AM30" s="77">
        <v>935.40599999999995</v>
      </c>
      <c r="AN30" s="77">
        <v>-74.238540516649905</v>
      </c>
      <c r="AO30" s="1"/>
      <c r="AP30" s="56"/>
      <c r="AQ30" s="56"/>
      <c r="AX30" s="229">
        <v>3.2000000000000001E-2</v>
      </c>
      <c r="BB30" s="1" t="s">
        <v>32</v>
      </c>
      <c r="BC30" s="56">
        <v>459.3</v>
      </c>
      <c r="BD30" s="56">
        <v>482.8</v>
      </c>
      <c r="BE30" s="56">
        <v>942.1</v>
      </c>
      <c r="BG30" s="1" t="s">
        <v>32</v>
      </c>
      <c r="BH30" s="56">
        <v>710550</v>
      </c>
      <c r="BI30" s="56">
        <v>768480</v>
      </c>
      <c r="BJ30" s="56">
        <v>1479030</v>
      </c>
      <c r="BK30" s="311">
        <f t="shared" si="18"/>
        <v>1569.9288822842586</v>
      </c>
      <c r="BL30" s="56">
        <f>BL46</f>
        <v>1990.909090909091</v>
      </c>
      <c r="BM30" s="313">
        <f t="shared" si="16"/>
        <v>420.98020862483236</v>
      </c>
      <c r="BN30" s="54">
        <f t="shared" si="17"/>
        <v>396605.45454545459</v>
      </c>
    </row>
    <row r="31" spans="1:66">
      <c r="A31" s="1" t="s">
        <v>35</v>
      </c>
      <c r="B31" s="56"/>
      <c r="C31" s="56"/>
      <c r="D31" s="56">
        <v>177221.7</v>
      </c>
      <c r="E31" s="56">
        <v>207036</v>
      </c>
      <c r="F31" s="56">
        <v>417358</v>
      </c>
      <c r="G31" s="56">
        <v>668601</v>
      </c>
      <c r="H31" s="56"/>
      <c r="I31" s="56">
        <v>1470216.7</v>
      </c>
      <c r="J31" s="71" t="e">
        <f t="shared" si="13"/>
        <v>#DIV/0!</v>
      </c>
      <c r="L31" s="1" t="s">
        <v>35</v>
      </c>
      <c r="M31" s="56"/>
      <c r="N31" s="56"/>
      <c r="O31" s="56">
        <v>42400.960017973586</v>
      </c>
      <c r="P31" s="56">
        <v>33173.727311739778</v>
      </c>
      <c r="Q31" s="56">
        <v>80533.149088830003</v>
      </c>
      <c r="R31" s="56">
        <v>196924.08433138783</v>
      </c>
      <c r="S31" s="56"/>
      <c r="T31" s="56">
        <v>353031.92074993119</v>
      </c>
      <c r="U31" s="71">
        <f t="shared" si="14"/>
        <v>0.24012237158640029</v>
      </c>
      <c r="X31" s="1" t="s">
        <v>35</v>
      </c>
      <c r="Y31" s="56"/>
      <c r="Z31" s="56"/>
      <c r="AA31" s="56">
        <v>49931.340466916357</v>
      </c>
      <c r="AB31" s="56">
        <v>41868.821380295441</v>
      </c>
      <c r="AC31" s="56">
        <v>96308.27054864711</v>
      </c>
      <c r="AD31" s="56">
        <v>231866.64696935631</v>
      </c>
      <c r="AE31" s="56"/>
      <c r="AF31" s="56">
        <v>419975.07936521526</v>
      </c>
      <c r="AG31" s="71">
        <f t="shared" si="15"/>
        <v>0.28565522304651775</v>
      </c>
      <c r="AJ31" s="1"/>
      <c r="AK31" s="56"/>
      <c r="AL31" s="76" t="s">
        <v>508</v>
      </c>
      <c r="AM31" s="77">
        <v>595.78200000000004</v>
      </c>
      <c r="AN31" s="77">
        <v>101.96620977498908</v>
      </c>
      <c r="AO31" s="1"/>
      <c r="AP31" s="56"/>
      <c r="AQ31" s="56"/>
      <c r="AX31" s="229">
        <v>3.1800000000000002E-2</v>
      </c>
      <c r="BB31" s="1" t="s">
        <v>35</v>
      </c>
      <c r="BC31" s="56"/>
      <c r="BD31" s="56">
        <v>54</v>
      </c>
      <c r="BE31" s="56">
        <v>54</v>
      </c>
      <c r="BG31" s="1" t="s">
        <v>35</v>
      </c>
      <c r="BH31" s="56"/>
      <c r="BI31" s="56">
        <v>177221.7</v>
      </c>
      <c r="BJ31" s="56">
        <v>177221.7</v>
      </c>
      <c r="BK31" s="311">
        <f t="shared" si="18"/>
        <v>3281.8833333333337</v>
      </c>
      <c r="BL31" s="56">
        <f>BL53</f>
        <v>3890.3616703952275</v>
      </c>
      <c r="BM31" s="313">
        <f t="shared" si="16"/>
        <v>608.47833706189385</v>
      </c>
      <c r="BN31" s="54">
        <f t="shared" si="17"/>
        <v>32857.830201342265</v>
      </c>
    </row>
    <row r="32" spans="1:66">
      <c r="A32" s="1" t="s">
        <v>36</v>
      </c>
      <c r="B32" s="56">
        <v>74064</v>
      </c>
      <c r="C32" s="56">
        <v>77585</v>
      </c>
      <c r="D32" s="56">
        <v>139200</v>
      </c>
      <c r="E32" s="56">
        <v>308556</v>
      </c>
      <c r="F32" s="56">
        <v>154700</v>
      </c>
      <c r="G32" s="56">
        <v>70980</v>
      </c>
      <c r="H32" s="56">
        <v>214416</v>
      </c>
      <c r="I32" s="56">
        <v>1039501</v>
      </c>
      <c r="J32" s="71" t="e">
        <f t="shared" si="13"/>
        <v>#DIV/0!</v>
      </c>
      <c r="L32" s="1" t="s">
        <v>36</v>
      </c>
      <c r="M32" s="56">
        <v>4890.7630234323351</v>
      </c>
      <c r="N32" s="56">
        <v>23262.950561139103</v>
      </c>
      <c r="O32" s="56">
        <v>29982.789130048077</v>
      </c>
      <c r="P32" s="56">
        <v>61843.079546070192</v>
      </c>
      <c r="Q32" s="56">
        <v>47178.888635802316</v>
      </c>
      <c r="R32" s="56">
        <v>23179.218680301372</v>
      </c>
      <c r="S32" s="56">
        <v>57701.203511741078</v>
      </c>
      <c r="T32" s="56">
        <v>248038.89308853445</v>
      </c>
      <c r="U32" s="71">
        <f t="shared" si="14"/>
        <v>0.23861342421848025</v>
      </c>
      <c r="X32" s="1" t="s">
        <v>36</v>
      </c>
      <c r="Y32" s="56">
        <v>31634.623372894668</v>
      </c>
      <c r="Z32" s="56">
        <v>27762.272380878436</v>
      </c>
      <c r="AA32" s="56">
        <v>37094.815109605137</v>
      </c>
      <c r="AB32" s="56">
        <v>78840.2690812129</v>
      </c>
      <c r="AC32" s="56">
        <v>54825.293519382569</v>
      </c>
      <c r="AD32" s="56">
        <v>28812.320296045295</v>
      </c>
      <c r="AE32" s="56">
        <v>85857.000619457714</v>
      </c>
      <c r="AF32" s="56">
        <v>344826.59437947674</v>
      </c>
      <c r="AG32" s="71">
        <f t="shared" si="15"/>
        <v>0.33172319639853809</v>
      </c>
      <c r="AJ32" s="1"/>
      <c r="AK32" s="56"/>
      <c r="AL32" s="76" t="s">
        <v>501</v>
      </c>
      <c r="AM32" s="77">
        <v>575.1</v>
      </c>
      <c r="AN32" s="77">
        <v>-44.789183040265556</v>
      </c>
      <c r="AO32" s="1"/>
      <c r="AP32" s="56"/>
      <c r="AQ32" s="56"/>
      <c r="AX32" s="229">
        <v>3.1600000000000003E-2</v>
      </c>
      <c r="BB32" s="1" t="s">
        <v>36</v>
      </c>
      <c r="BC32" s="56">
        <v>27</v>
      </c>
      <c r="BD32" s="56">
        <v>51</v>
      </c>
      <c r="BE32" s="56">
        <v>78</v>
      </c>
      <c r="BG32" s="1" t="s">
        <v>36</v>
      </c>
      <c r="BH32" s="56">
        <v>77585</v>
      </c>
      <c r="BI32" s="56">
        <v>139200</v>
      </c>
      <c r="BJ32" s="56">
        <v>216785</v>
      </c>
      <c r="BK32" s="311">
        <f t="shared" si="18"/>
        <v>2779.2948717948716</v>
      </c>
      <c r="BL32" s="56">
        <f>BL48</f>
        <v>2975</v>
      </c>
      <c r="BM32" s="313">
        <f t="shared" si="16"/>
        <v>195.7051282051284</v>
      </c>
      <c r="BN32" s="54">
        <f t="shared" si="17"/>
        <v>15265.000000000015</v>
      </c>
    </row>
    <row r="33" spans="1:71">
      <c r="A33" s="1" t="s">
        <v>34</v>
      </c>
      <c r="B33" s="56">
        <v>35874</v>
      </c>
      <c r="C33" s="56">
        <v>23456</v>
      </c>
      <c r="D33" s="56">
        <v>455500</v>
      </c>
      <c r="E33" s="56"/>
      <c r="F33" s="56">
        <v>221025</v>
      </c>
      <c r="G33" s="56">
        <v>59625</v>
      </c>
      <c r="H33" s="56">
        <v>201300</v>
      </c>
      <c r="I33" s="56">
        <v>996780</v>
      </c>
      <c r="J33" s="71" t="e">
        <f t="shared" si="13"/>
        <v>#DIV/0!</v>
      </c>
      <c r="L33" s="1" t="s">
        <v>34</v>
      </c>
      <c r="M33" s="56">
        <v>-19244.525231860294</v>
      </c>
      <c r="N33" s="56">
        <v>-6321.502925747518</v>
      </c>
      <c r="O33" s="56">
        <v>-407078.3122209608</v>
      </c>
      <c r="P33" s="56"/>
      <c r="Q33" s="56">
        <v>-144985.29995328066</v>
      </c>
      <c r="R33" s="56">
        <v>-29502.694916339948</v>
      </c>
      <c r="S33" s="56">
        <v>-99499.180308947631</v>
      </c>
      <c r="T33" s="56">
        <v>-706631.51555713685</v>
      </c>
      <c r="U33" s="71">
        <f t="shared" si="14"/>
        <v>-0.70891421934342269</v>
      </c>
      <c r="X33" s="1" t="s">
        <v>34</v>
      </c>
      <c r="Y33" s="56">
        <v>1368.8194374945178</v>
      </c>
      <c r="Z33" s="56">
        <v>-3988.5212414382349</v>
      </c>
      <c r="AA33" s="56">
        <v>-353389.48864979466</v>
      </c>
      <c r="AB33" s="56"/>
      <c r="AC33" s="56">
        <v>-118075.83661298864</v>
      </c>
      <c r="AD33" s="56">
        <v>-18994.793825433015</v>
      </c>
      <c r="AE33" s="56">
        <v>-45326.001063720709</v>
      </c>
      <c r="AF33" s="56">
        <v>-538405.82195588073</v>
      </c>
      <c r="AG33" s="71">
        <f t="shared" si="15"/>
        <v>-0.54014508914292092</v>
      </c>
      <c r="AJ33" s="1"/>
      <c r="AK33" s="56"/>
      <c r="AL33" s="76" t="s">
        <v>580</v>
      </c>
      <c r="AM33" s="77">
        <f>SUM(AM34:AM51)</f>
        <v>2863.84539</v>
      </c>
      <c r="AN33" s="77">
        <f>SUM(AN34:AN51)</f>
        <v>-19.037083757894287</v>
      </c>
      <c r="AO33" s="1"/>
      <c r="AP33" s="56"/>
      <c r="AQ33" s="56"/>
      <c r="AX33" s="229">
        <v>3.0200000000000001E-2</v>
      </c>
      <c r="BB33" s="1" t="s">
        <v>34</v>
      </c>
      <c r="BC33" s="56">
        <v>14</v>
      </c>
      <c r="BD33" s="56">
        <v>385</v>
      </c>
      <c r="BE33" s="56">
        <v>399</v>
      </c>
      <c r="BG33" s="1" t="s">
        <v>34</v>
      </c>
      <c r="BH33" s="56">
        <v>23456</v>
      </c>
      <c r="BI33" s="56">
        <v>455500</v>
      </c>
      <c r="BJ33" s="56">
        <v>478956</v>
      </c>
      <c r="BK33" s="311">
        <f t="shared" si="18"/>
        <v>1200.390977443609</v>
      </c>
      <c r="BL33" s="56">
        <f>BL49</f>
        <v>1207.7868852459017</v>
      </c>
      <c r="BM33" s="313">
        <f t="shared" si="16"/>
        <v>7.3959078022926406</v>
      </c>
      <c r="BN33" s="54">
        <f t="shared" si="17"/>
        <v>2950.9672131147636</v>
      </c>
    </row>
    <row r="34" spans="1:71">
      <c r="A34" s="1" t="s">
        <v>37</v>
      </c>
      <c r="B34" s="56">
        <v>50400</v>
      </c>
      <c r="C34" s="56">
        <v>69000</v>
      </c>
      <c r="D34" s="56">
        <v>76800</v>
      </c>
      <c r="E34" s="56">
        <v>35520</v>
      </c>
      <c r="F34" s="56">
        <v>43200</v>
      </c>
      <c r="G34" s="56">
        <v>46018</v>
      </c>
      <c r="H34" s="56">
        <v>86400</v>
      </c>
      <c r="I34" s="56">
        <v>407338</v>
      </c>
      <c r="J34" s="71" t="e">
        <f t="shared" si="13"/>
        <v>#DIV/0!</v>
      </c>
      <c r="L34" s="1" t="s">
        <v>37</v>
      </c>
      <c r="M34" s="56">
        <v>-9804.4290287686017</v>
      </c>
      <c r="N34" s="56">
        <v>15489.987858128674</v>
      </c>
      <c r="O34" s="56">
        <v>-6150.1256304489207</v>
      </c>
      <c r="P34" s="56">
        <v>-10246.325697638064</v>
      </c>
      <c r="Q34" s="56">
        <v>2027.9023935572518</v>
      </c>
      <c r="R34" s="56">
        <v>4450.8384647442854</v>
      </c>
      <c r="S34" s="56">
        <v>-4175.48938637014</v>
      </c>
      <c r="T34" s="56">
        <v>-8407.6410267955162</v>
      </c>
      <c r="U34" s="71">
        <f t="shared" si="14"/>
        <v>-2.0640453448476488E-2</v>
      </c>
      <c r="X34" s="1" t="s">
        <v>37</v>
      </c>
      <c r="Y34" s="56">
        <v>14882.211293812012</v>
      </c>
      <c r="Z34" s="56">
        <v>21155.800520022647</v>
      </c>
      <c r="AA34" s="56">
        <v>543.54587972243144</v>
      </c>
      <c r="AB34" s="56">
        <v>-6611.0886294283537</v>
      </c>
      <c r="AC34" s="56">
        <v>5557.0123398250598</v>
      </c>
      <c r="AD34" s="56">
        <v>10300.597834939897</v>
      </c>
      <c r="AE34" s="56">
        <v>15070.245345486795</v>
      </c>
      <c r="AF34" s="56">
        <v>60898.324584380491</v>
      </c>
      <c r="AG34" s="71">
        <f t="shared" si="15"/>
        <v>0.14950317570268545</v>
      </c>
      <c r="AJ34" s="1"/>
      <c r="AK34" s="56"/>
      <c r="AL34" s="1" t="s">
        <v>48</v>
      </c>
      <c r="AM34" s="56">
        <v>354.59500000000003</v>
      </c>
      <c r="AN34" s="56">
        <v>86.215826509200753</v>
      </c>
      <c r="AO34" s="1"/>
      <c r="AP34" s="56"/>
      <c r="AQ34" s="56"/>
      <c r="AX34" s="229">
        <v>0.03</v>
      </c>
      <c r="BB34" s="1" t="s">
        <v>37</v>
      </c>
      <c r="BC34" s="56">
        <v>34</v>
      </c>
      <c r="BD34" s="56">
        <v>48</v>
      </c>
      <c r="BE34" s="56">
        <v>82</v>
      </c>
      <c r="BG34" s="1" t="s">
        <v>37</v>
      </c>
      <c r="BH34" s="56">
        <v>69000</v>
      </c>
      <c r="BI34" s="56">
        <v>76800</v>
      </c>
      <c r="BJ34" s="56">
        <v>145800</v>
      </c>
      <c r="BK34" s="311">
        <f t="shared" si="18"/>
        <v>1778.0487804878048</v>
      </c>
      <c r="BL34" s="56">
        <f>BL55</f>
        <v>1800</v>
      </c>
      <c r="BM34" s="313">
        <f t="shared" si="16"/>
        <v>21.951219512195166</v>
      </c>
      <c r="BN34" s="54">
        <f t="shared" si="17"/>
        <v>1800.0000000000036</v>
      </c>
    </row>
    <row r="35" spans="1:71">
      <c r="A35" s="1" t="s">
        <v>465</v>
      </c>
      <c r="B35" s="56"/>
      <c r="C35" s="56"/>
      <c r="D35" s="56"/>
      <c r="E35" s="56">
        <v>67500</v>
      </c>
      <c r="F35" s="56">
        <v>126786</v>
      </c>
      <c r="G35" s="56"/>
      <c r="H35" s="56">
        <v>136350</v>
      </c>
      <c r="I35" s="56">
        <v>330636</v>
      </c>
      <c r="J35" s="71" t="e">
        <f t="shared" si="13"/>
        <v>#DIV/0!</v>
      </c>
      <c r="L35" s="1" t="s">
        <v>465</v>
      </c>
      <c r="M35" s="56"/>
      <c r="N35" s="56"/>
      <c r="O35" s="56"/>
      <c r="P35" s="56">
        <v>10368.202060381554</v>
      </c>
      <c r="Q35" s="56">
        <v>110306.03437548468</v>
      </c>
      <c r="R35" s="56"/>
      <c r="S35" s="56">
        <v>40811.701979300029</v>
      </c>
      <c r="T35" s="56">
        <v>161485.93841516628</v>
      </c>
      <c r="U35" s="71">
        <f t="shared" si="14"/>
        <v>0.48841002920179982</v>
      </c>
      <c r="X35" s="1" t="s">
        <v>465</v>
      </c>
      <c r="Y35" s="56"/>
      <c r="Z35" s="56"/>
      <c r="AA35" s="56"/>
      <c r="AB35" s="56">
        <v>14789.436332528501</v>
      </c>
      <c r="AC35" s="56">
        <v>118246.53175458725</v>
      </c>
      <c r="AD35" s="56"/>
      <c r="AE35" s="56">
        <v>60057.436711156966</v>
      </c>
      <c r="AF35" s="56">
        <v>193093.40479827274</v>
      </c>
      <c r="AG35" s="71">
        <f t="shared" si="15"/>
        <v>0.58400599087296223</v>
      </c>
      <c r="AJ35" s="1"/>
      <c r="AK35" s="56"/>
      <c r="AL35" s="1" t="s">
        <v>46</v>
      </c>
      <c r="AM35" s="56">
        <v>352.35</v>
      </c>
      <c r="AN35" s="56">
        <v>-117.23252909401094</v>
      </c>
      <c r="AO35" s="1"/>
      <c r="AP35" s="56"/>
      <c r="AQ35" s="56"/>
      <c r="BB35" s="1" t="s">
        <v>39</v>
      </c>
      <c r="BC35" s="56">
        <v>27</v>
      </c>
      <c r="BD35" s="56"/>
      <c r="BE35" s="56">
        <v>27</v>
      </c>
      <c r="BG35" s="1" t="s">
        <v>39</v>
      </c>
      <c r="BH35" s="56">
        <v>38606.25</v>
      </c>
      <c r="BI35" s="56"/>
      <c r="BJ35" s="56">
        <v>38606.25</v>
      </c>
      <c r="BK35" s="311">
        <f t="shared" si="18"/>
        <v>1429.8611111111111</v>
      </c>
      <c r="BL35" s="56">
        <f>BL57</f>
        <v>2050</v>
      </c>
      <c r="BM35" s="313">
        <f t="shared" si="16"/>
        <v>620.13888888888891</v>
      </c>
      <c r="BN35" s="54">
        <f t="shared" si="17"/>
        <v>16743.75</v>
      </c>
    </row>
    <row r="36" spans="1:71">
      <c r="A36" s="1" t="s">
        <v>39</v>
      </c>
      <c r="B36" s="56"/>
      <c r="C36" s="56">
        <v>38606.25</v>
      </c>
      <c r="D36" s="56"/>
      <c r="E36" s="56">
        <v>52200</v>
      </c>
      <c r="F36" s="56">
        <v>53812.5</v>
      </c>
      <c r="G36" s="56"/>
      <c r="H36" s="56">
        <v>127848</v>
      </c>
      <c r="I36" s="56">
        <v>272466.75</v>
      </c>
      <c r="J36" s="71" t="e">
        <f t="shared" si="13"/>
        <v>#DIV/0!</v>
      </c>
      <c r="L36" s="1" t="s">
        <v>39</v>
      </c>
      <c r="M36" s="56"/>
      <c r="N36" s="56">
        <v>-3693.6396715309247</v>
      </c>
      <c r="O36" s="56"/>
      <c r="P36" s="56">
        <v>43644.777956836369</v>
      </c>
      <c r="Q36" s="56">
        <v>46854.792265860611</v>
      </c>
      <c r="R36" s="56"/>
      <c r="S36" s="56">
        <v>-10045.752030165833</v>
      </c>
      <c r="T36" s="56">
        <v>76760.178521000227</v>
      </c>
      <c r="U36" s="71">
        <f t="shared" si="14"/>
        <v>0.28172310390533972</v>
      </c>
      <c r="X36" s="1" t="s">
        <v>39</v>
      </c>
      <c r="Y36" s="56"/>
      <c r="Z36" s="56">
        <v>805.68214820840831</v>
      </c>
      <c r="AA36" s="56"/>
      <c r="AB36" s="56">
        <v>47918.637753245086</v>
      </c>
      <c r="AC36" s="56">
        <v>50714.756269591024</v>
      </c>
      <c r="AD36" s="56"/>
      <c r="AE36" s="56">
        <v>18432.589335556913</v>
      </c>
      <c r="AF36" s="56">
        <v>117871.66550660144</v>
      </c>
      <c r="AG36" s="71">
        <f t="shared" si="15"/>
        <v>0.43260935694576103</v>
      </c>
      <c r="AJ36" s="1"/>
      <c r="AK36" s="56"/>
      <c r="AL36" s="1" t="s">
        <v>56</v>
      </c>
      <c r="AM36" s="56">
        <v>340.56400000000002</v>
      </c>
      <c r="AN36" s="56">
        <v>-36.175426260934969</v>
      </c>
      <c r="AO36" s="1"/>
      <c r="AP36" s="56"/>
      <c r="AQ36" s="56"/>
      <c r="BB36" s="1" t="s">
        <v>38</v>
      </c>
      <c r="BC36" s="56">
        <v>27</v>
      </c>
      <c r="BD36" s="56">
        <v>27</v>
      </c>
      <c r="BE36" s="56">
        <v>54</v>
      </c>
      <c r="BG36" s="1" t="s">
        <v>38</v>
      </c>
      <c r="BH36" s="56">
        <v>38606.25</v>
      </c>
      <c r="BI36" s="56">
        <v>35553</v>
      </c>
      <c r="BJ36" s="56">
        <v>74159.25</v>
      </c>
      <c r="BK36" s="311">
        <f t="shared" si="18"/>
        <v>1373.3194444444443</v>
      </c>
      <c r="BL36" s="56">
        <f>BK58</f>
        <v>2000</v>
      </c>
      <c r="BM36" s="313">
        <f t="shared" si="16"/>
        <v>626.68055555555566</v>
      </c>
      <c r="BN36" s="54">
        <f t="shared" si="17"/>
        <v>33840.750000000007</v>
      </c>
      <c r="BQ36" t="s">
        <v>919</v>
      </c>
      <c r="BR36" t="s">
        <v>920</v>
      </c>
      <c r="BS36" t="s">
        <v>921</v>
      </c>
    </row>
    <row r="37" spans="1:71">
      <c r="A37" s="1" t="s">
        <v>38</v>
      </c>
      <c r="B37" s="56"/>
      <c r="C37" s="56">
        <v>38606.25</v>
      </c>
      <c r="D37" s="56">
        <v>35553</v>
      </c>
      <c r="E37" s="56">
        <v>52500</v>
      </c>
      <c r="F37" s="56"/>
      <c r="G37" s="56"/>
      <c r="H37" s="56">
        <v>186300</v>
      </c>
      <c r="I37" s="56">
        <v>312959.25</v>
      </c>
      <c r="J37" s="71" t="e">
        <f t="shared" si="13"/>
        <v>#DIV/0!</v>
      </c>
      <c r="L37" s="1" t="s">
        <v>38</v>
      </c>
      <c r="M37" s="56"/>
      <c r="N37" s="56">
        <v>-3693.6396715309247</v>
      </c>
      <c r="O37" s="56">
        <v>26484.907274275982</v>
      </c>
      <c r="P37" s="56">
        <v>43914.108577277955</v>
      </c>
      <c r="Q37" s="56"/>
      <c r="R37" s="56"/>
      <c r="S37" s="56">
        <v>897.19774409750971</v>
      </c>
      <c r="T37" s="56">
        <v>67602.573924120516</v>
      </c>
      <c r="U37" s="71">
        <f t="shared" si="14"/>
        <v>0.21601078710445695</v>
      </c>
      <c r="X37" s="1" t="s">
        <v>38</v>
      </c>
      <c r="Y37" s="56"/>
      <c r="Z37" s="56">
        <v>805.68214820840831</v>
      </c>
      <c r="AA37" s="56">
        <v>30250.097498747367</v>
      </c>
      <c r="AB37" s="56">
        <v>48212.530786309711</v>
      </c>
      <c r="AC37" s="56"/>
      <c r="AD37" s="56"/>
      <c r="AE37" s="56">
        <v>39388.667207811377</v>
      </c>
      <c r="AF37" s="56">
        <v>118656.97764107687</v>
      </c>
      <c r="AG37" s="71">
        <f t="shared" si="15"/>
        <v>0.37914513675846573</v>
      </c>
      <c r="AJ37" s="1"/>
      <c r="AK37" s="56"/>
      <c r="AL37" s="1" t="s">
        <v>49</v>
      </c>
      <c r="AM37" s="56">
        <v>334.8</v>
      </c>
      <c r="AN37" s="56">
        <v>61.759822004793016</v>
      </c>
      <c r="AO37" s="1"/>
      <c r="AP37" s="56"/>
      <c r="AQ37" s="56"/>
      <c r="BB37" s="1" t="s">
        <v>417</v>
      </c>
      <c r="BC37" s="56">
        <v>0</v>
      </c>
      <c r="BD37" s="56">
        <v>0</v>
      </c>
      <c r="BE37" s="56">
        <v>0</v>
      </c>
      <c r="BG37" s="1" t="s">
        <v>417</v>
      </c>
      <c r="BH37" s="56">
        <v>40026</v>
      </c>
      <c r="BI37" s="56">
        <v>26456.610000000008</v>
      </c>
      <c r="BJ37" s="56">
        <v>66482.610000000015</v>
      </c>
      <c r="BK37" s="311" t="e">
        <f t="shared" si="18"/>
        <v>#DIV/0!</v>
      </c>
      <c r="BN37" s="54"/>
      <c r="BP37" t="s">
        <v>917</v>
      </c>
      <c r="BQ37" s="54">
        <f>GETPIVOTDATA("VALOR 
CFR",$BG$25)</f>
        <v>6663995.8100000005</v>
      </c>
      <c r="BR37" s="54">
        <f>GETPIVOTDATA("UTILIDAD 
NETA",$BB$44)</f>
        <v>-974548.90270045772</v>
      </c>
      <c r="BS37" s="71">
        <f>BR37/BQ37</f>
        <v>-0.14624092368696398</v>
      </c>
    </row>
    <row r="38" spans="1:71">
      <c r="A38" s="1" t="s">
        <v>669</v>
      </c>
      <c r="B38" s="56"/>
      <c r="C38" s="56"/>
      <c r="D38" s="56"/>
      <c r="E38" s="56"/>
      <c r="F38" s="56">
        <v>34720</v>
      </c>
      <c r="G38" s="56">
        <v>35224</v>
      </c>
      <c r="H38" s="56"/>
      <c r="I38" s="56">
        <v>69944</v>
      </c>
      <c r="J38" s="71" t="e">
        <f t="shared" si="13"/>
        <v>#DIV/0!</v>
      </c>
      <c r="L38" s="1" t="s">
        <v>669</v>
      </c>
      <c r="M38" s="56"/>
      <c r="N38" s="56"/>
      <c r="O38" s="56"/>
      <c r="P38" s="56"/>
      <c r="Q38" s="56">
        <v>24875.590625233366</v>
      </c>
      <c r="R38" s="56">
        <v>24964.528063404548</v>
      </c>
      <c r="S38" s="56"/>
      <c r="T38" s="56">
        <v>49840.118688637915</v>
      </c>
      <c r="U38" s="71">
        <f t="shared" si="14"/>
        <v>0.71257175295433373</v>
      </c>
      <c r="X38" s="1" t="s">
        <v>669</v>
      </c>
      <c r="Y38" s="56"/>
      <c r="Z38" s="56"/>
      <c r="AA38" s="56"/>
      <c r="AB38" s="56"/>
      <c r="AC38" s="56">
        <v>28698.793067023489</v>
      </c>
      <c r="AD38" s="56">
        <v>30597.629679148471</v>
      </c>
      <c r="AE38" s="56"/>
      <c r="AF38" s="56">
        <v>59296.422746171957</v>
      </c>
      <c r="AG38" s="71">
        <f t="shared" si="15"/>
        <v>0.84776996949233607</v>
      </c>
      <c r="AJ38" s="1"/>
      <c r="AK38" s="56"/>
      <c r="AL38" s="1" t="s">
        <v>53</v>
      </c>
      <c r="AM38" s="56">
        <v>285.48500000000001</v>
      </c>
      <c r="AN38" s="56">
        <v>31.414281094170896</v>
      </c>
      <c r="AO38" s="1"/>
      <c r="AP38" s="56"/>
      <c r="AQ38" s="56"/>
      <c r="BB38" s="1" t="s">
        <v>9</v>
      </c>
      <c r="BC38" s="56">
        <v>1634.3</v>
      </c>
      <c r="BD38" s="56">
        <v>1995.8</v>
      </c>
      <c r="BE38" s="56">
        <v>3630.1</v>
      </c>
      <c r="BG38" s="1" t="s">
        <v>9</v>
      </c>
      <c r="BH38" s="56">
        <v>2769824.5</v>
      </c>
      <c r="BI38" s="56">
        <v>3894171.31</v>
      </c>
      <c r="BJ38" s="56">
        <v>6663995.8100000005</v>
      </c>
      <c r="BK38" s="311">
        <f t="shared" si="18"/>
        <v>1835.7609459794498</v>
      </c>
      <c r="BN38" s="54">
        <f>SUM(BN27:BN37)</f>
        <v>1709868.3881800449</v>
      </c>
      <c r="BP38" t="s">
        <v>918</v>
      </c>
      <c r="BQ38" s="54">
        <f>GETPIVOTDATA("VALOR 
CFR",$BG$25)+BN38</f>
        <v>8373864.1981800459</v>
      </c>
      <c r="BR38" s="54">
        <f>BN38+GETPIVOTDATA("UTILIDAD 
NETA",$BB$44)-BR41</f>
        <v>696496.63711309119</v>
      </c>
      <c r="BS38" s="71">
        <f>BR38/BQ38</f>
        <v>8.3175057611331454E-2</v>
      </c>
    </row>
    <row r="39" spans="1:71">
      <c r="A39" s="1" t="s">
        <v>668</v>
      </c>
      <c r="B39" s="56"/>
      <c r="C39" s="56"/>
      <c r="D39" s="56"/>
      <c r="E39" s="56"/>
      <c r="F39" s="56">
        <v>54080</v>
      </c>
      <c r="G39" s="56"/>
      <c r="H39" s="56"/>
      <c r="I39" s="56">
        <v>54080</v>
      </c>
      <c r="J39" s="71" t="e">
        <f t="shared" si="13"/>
        <v>#DIV/0!</v>
      </c>
      <c r="L39" s="1" t="s">
        <v>668</v>
      </c>
      <c r="M39" s="56"/>
      <c r="N39" s="56"/>
      <c r="O39" s="56"/>
      <c r="P39" s="56"/>
      <c r="Q39" s="56">
        <v>-8445.055963082139</v>
      </c>
      <c r="R39" s="56"/>
      <c r="S39" s="56"/>
      <c r="T39" s="56">
        <v>-8445.055963082139</v>
      </c>
      <c r="U39" s="71">
        <f t="shared" si="14"/>
        <v>-0.15615857919900406</v>
      </c>
      <c r="X39" s="1" t="s">
        <v>668</v>
      </c>
      <c r="Y39" s="56"/>
      <c r="Z39" s="56"/>
      <c r="AA39" s="56"/>
      <c r="AB39" s="56"/>
      <c r="AC39" s="56">
        <v>-4474.8072735308542</v>
      </c>
      <c r="AD39" s="56"/>
      <c r="AE39" s="56"/>
      <c r="AF39" s="56">
        <v>-4474.8072735308542</v>
      </c>
      <c r="AG39" s="71">
        <f t="shared" si="15"/>
        <v>-8.2744217335999529E-2</v>
      </c>
      <c r="AJ39" s="1"/>
      <c r="AK39" s="56"/>
      <c r="AL39" s="1" t="s">
        <v>50</v>
      </c>
      <c r="AM39" s="56">
        <v>280.78199999999998</v>
      </c>
      <c r="AN39" s="56">
        <v>-291.00909126768249</v>
      </c>
      <c r="AO39" s="1"/>
      <c r="AP39" s="56"/>
      <c r="AQ39" s="56"/>
      <c r="BQ39" s="77">
        <f>BQ38-BQ37</f>
        <v>1709868.3881800454</v>
      </c>
      <c r="BR39" s="77">
        <f t="shared" ref="BR39:BS39" si="19">BR38-BR37</f>
        <v>1671045.5398135488</v>
      </c>
      <c r="BS39" s="71">
        <f t="shared" si="19"/>
        <v>0.22941598129829543</v>
      </c>
    </row>
    <row r="40" spans="1:71">
      <c r="A40" s="1" t="s">
        <v>497</v>
      </c>
      <c r="B40" s="56"/>
      <c r="C40" s="56"/>
      <c r="D40" s="56"/>
      <c r="E40" s="56">
        <v>30300</v>
      </c>
      <c r="F40" s="56"/>
      <c r="G40" s="56"/>
      <c r="H40" s="56"/>
      <c r="I40" s="56">
        <v>30300</v>
      </c>
      <c r="J40" s="116" t="e">
        <f t="shared" si="13"/>
        <v>#DIV/0!</v>
      </c>
      <c r="L40" s="1" t="s">
        <v>497</v>
      </c>
      <c r="M40" s="56"/>
      <c r="N40" s="56"/>
      <c r="O40" s="56"/>
      <c r="P40" s="56">
        <v>21268.426764576256</v>
      </c>
      <c r="Q40" s="56"/>
      <c r="R40" s="56"/>
      <c r="S40" s="56"/>
      <c r="T40" s="56">
        <v>21268.426764576256</v>
      </c>
      <c r="U40" s="116">
        <f t="shared" si="14"/>
        <v>0.70192827605862229</v>
      </c>
      <c r="X40" s="1" t="s">
        <v>497</v>
      </c>
      <c r="Y40" s="56"/>
      <c r="Z40" s="56"/>
      <c r="AA40" s="56"/>
      <c r="AB40" s="56">
        <v>25231.162667759814</v>
      </c>
      <c r="AC40" s="56"/>
      <c r="AD40" s="56"/>
      <c r="AE40" s="56"/>
      <c r="AF40" s="56">
        <v>25231.162667759814</v>
      </c>
      <c r="AG40" s="116">
        <f t="shared" si="15"/>
        <v>0.83271163919999391</v>
      </c>
      <c r="AJ40" s="1"/>
      <c r="AK40" s="56"/>
      <c r="AL40" s="1" t="s">
        <v>488</v>
      </c>
      <c r="AM40" s="56">
        <v>279.50400000000002</v>
      </c>
      <c r="AN40" s="56">
        <v>19.044142804751697</v>
      </c>
      <c r="AO40" s="1"/>
      <c r="AP40" s="56"/>
      <c r="AQ40" s="56"/>
    </row>
    <row r="41" spans="1:71">
      <c r="A41" s="1" t="s">
        <v>417</v>
      </c>
      <c r="B41" s="56">
        <v>24314.28</v>
      </c>
      <c r="C41" s="56">
        <v>40026</v>
      </c>
      <c r="D41" s="56">
        <v>26456.610000000008</v>
      </c>
      <c r="E41" s="56">
        <v>37768.57</v>
      </c>
      <c r="F41" s="56">
        <v>23613.25</v>
      </c>
      <c r="G41" s="56">
        <v>42995.3</v>
      </c>
      <c r="H41" s="56">
        <v>26456.610000000008</v>
      </c>
      <c r="I41" s="56">
        <v>221630.62000000002</v>
      </c>
      <c r="J41" s="116" t="e">
        <f t="shared" si="13"/>
        <v>#DIV/0!</v>
      </c>
      <c r="L41" s="1" t="s">
        <v>417</v>
      </c>
      <c r="M41" s="56">
        <v>24314.28</v>
      </c>
      <c r="N41" s="56">
        <v>40026</v>
      </c>
      <c r="O41" s="56">
        <v>26456.610000000008</v>
      </c>
      <c r="P41" s="56">
        <v>37768.57</v>
      </c>
      <c r="Q41" s="56">
        <v>23613.25</v>
      </c>
      <c r="R41" s="56">
        <v>42995.3</v>
      </c>
      <c r="S41" s="56">
        <v>26456.610000000008</v>
      </c>
      <c r="T41" s="56">
        <v>221630.62000000002</v>
      </c>
      <c r="U41" s="116">
        <f t="shared" si="14"/>
        <v>1</v>
      </c>
      <c r="X41" s="1" t="s">
        <v>417</v>
      </c>
      <c r="Y41" s="56">
        <v>24314.28</v>
      </c>
      <c r="Z41" s="56">
        <v>40026</v>
      </c>
      <c r="AA41" s="56">
        <v>26456.610000000008</v>
      </c>
      <c r="AB41" s="56">
        <v>37768.57</v>
      </c>
      <c r="AC41" s="56">
        <v>23613.25</v>
      </c>
      <c r="AD41" s="56">
        <v>42995.3</v>
      </c>
      <c r="AE41" s="56">
        <v>26456.610000000008</v>
      </c>
      <c r="AF41" s="56">
        <v>221630.62000000002</v>
      </c>
      <c r="AG41" s="116">
        <f t="shared" si="15"/>
        <v>1</v>
      </c>
      <c r="AJ41" s="1"/>
      <c r="AK41" s="56"/>
      <c r="AL41" s="1"/>
      <c r="AM41" s="56"/>
      <c r="AN41" s="56"/>
      <c r="AO41" s="1"/>
      <c r="AP41" s="56"/>
      <c r="AQ41" s="56"/>
      <c r="BR41" s="54">
        <f>GETPIVOTDATA("COSTO 
VENTAS",$BB$60)*7%/12</f>
        <v>38822.848366496088</v>
      </c>
    </row>
    <row r="42" spans="1:71">
      <c r="A42" s="1" t="s">
        <v>9</v>
      </c>
      <c r="B42" s="56">
        <v>564615.28</v>
      </c>
      <c r="C42" s="56">
        <v>2769824.5</v>
      </c>
      <c r="D42" s="56">
        <v>3894171.31</v>
      </c>
      <c r="E42" s="56">
        <v>4921538.57</v>
      </c>
      <c r="F42" s="56">
        <v>5010204.75</v>
      </c>
      <c r="G42" s="56">
        <v>3415442.3</v>
      </c>
      <c r="H42" s="56">
        <v>1589380.61</v>
      </c>
      <c r="I42" s="56">
        <v>22165177.32</v>
      </c>
      <c r="J42" s="116" t="e">
        <f t="shared" si="13"/>
        <v>#DIV/0!</v>
      </c>
      <c r="L42" s="1" t="s">
        <v>9</v>
      </c>
      <c r="M42" s="56">
        <v>-92104.401765480128</v>
      </c>
      <c r="N42" s="56">
        <v>-484146.16970636306</v>
      </c>
      <c r="O42" s="56">
        <v>-490402.73299409455</v>
      </c>
      <c r="P42" s="56">
        <v>-52490.24126700237</v>
      </c>
      <c r="Q42" s="56">
        <v>417065.74281805294</v>
      </c>
      <c r="R42" s="56">
        <v>622821.75835490297</v>
      </c>
      <c r="S42" s="56">
        <v>91312.258487215149</v>
      </c>
      <c r="T42" s="56">
        <v>12056.213927231234</v>
      </c>
      <c r="U42" s="116">
        <f t="shared" si="14"/>
        <v>5.4392589570455253E-4</v>
      </c>
      <c r="X42" s="1" t="s">
        <v>9</v>
      </c>
      <c r="Y42" s="56">
        <v>162990.88156785286</v>
      </c>
      <c r="Z42" s="56">
        <v>-211803.88637303008</v>
      </c>
      <c r="AA42" s="56">
        <v>-212085.44966076146</v>
      </c>
      <c r="AB42" s="56">
        <v>293039.04206633038</v>
      </c>
      <c r="AC42" s="56">
        <v>707971.74615138606</v>
      </c>
      <c r="AD42" s="56">
        <v>868030.67168823606</v>
      </c>
      <c r="AE42" s="56">
        <v>369628.74887204368</v>
      </c>
      <c r="AF42" s="56">
        <v>1977771.7543120575</v>
      </c>
      <c r="AG42" s="116">
        <f t="shared" si="15"/>
        <v>8.9228781063144566E-2</v>
      </c>
      <c r="AJ42" s="1"/>
      <c r="AK42" s="56"/>
      <c r="AL42" s="1"/>
      <c r="AM42" s="56"/>
      <c r="AN42" s="56"/>
      <c r="AO42" s="1"/>
      <c r="AP42" s="56"/>
      <c r="AQ42" s="56"/>
    </row>
    <row r="43" spans="1:71">
      <c r="J43" s="82" t="e">
        <f t="shared" si="13"/>
        <v>#DIV/0!</v>
      </c>
      <c r="U43" s="82" t="e">
        <f t="shared" si="14"/>
        <v>#DIV/0!</v>
      </c>
      <c r="AG43" s="82" t="e">
        <f t="shared" si="15"/>
        <v>#DIV/0!</v>
      </c>
      <c r="AJ43" s="1"/>
      <c r="AK43" s="56"/>
      <c r="AL43" s="1"/>
      <c r="AM43" s="56"/>
      <c r="AN43" s="56"/>
      <c r="AO43" s="1"/>
      <c r="AP43" s="56"/>
      <c r="AQ43" s="56"/>
      <c r="BG43" s="51" t="s">
        <v>298</v>
      </c>
      <c r="BH43" s="312">
        <v>46023</v>
      </c>
      <c r="BI43" s="312">
        <v>46054</v>
      </c>
      <c r="BJ43" s="312">
        <v>46082</v>
      </c>
      <c r="BK43" s="312">
        <v>46113</v>
      </c>
      <c r="BL43" s="312">
        <v>46143</v>
      </c>
      <c r="BM43" s="312">
        <v>46174</v>
      </c>
      <c r="BN43" s="312">
        <v>46204</v>
      </c>
      <c r="BO43" t="s">
        <v>11</v>
      </c>
    </row>
    <row r="44" spans="1:71">
      <c r="A44" s="1"/>
      <c r="B44" s="56"/>
      <c r="C44" s="56"/>
      <c r="D44" s="56"/>
      <c r="E44" s="56"/>
      <c r="F44" s="56"/>
      <c r="G44" s="56"/>
      <c r="I44" s="82"/>
      <c r="J44" s="82"/>
      <c r="L44" s="1"/>
      <c r="M44" s="56"/>
      <c r="N44" s="56"/>
      <c r="O44" s="56"/>
      <c r="P44" s="56"/>
      <c r="Q44" s="56"/>
      <c r="R44" s="56"/>
      <c r="S44" s="56"/>
      <c r="T44" s="56"/>
      <c r="U44" s="82"/>
      <c r="X44" s="1"/>
      <c r="Y44" s="56"/>
      <c r="Z44" s="56"/>
      <c r="AA44" s="56"/>
      <c r="AB44" s="56"/>
      <c r="AC44" s="56"/>
      <c r="AD44" s="56"/>
      <c r="AE44" s="56"/>
      <c r="AF44" s="56"/>
      <c r="AG44" s="82"/>
      <c r="AJ44" s="1"/>
      <c r="AK44" s="56"/>
      <c r="AL44" s="1"/>
      <c r="AM44" s="56"/>
      <c r="AN44" s="56"/>
      <c r="AO44" s="1"/>
      <c r="AP44" s="56"/>
      <c r="AQ44" s="56"/>
      <c r="BB44" s="75" t="s">
        <v>21</v>
      </c>
      <c r="BC44" s="75" t="s">
        <v>2</v>
      </c>
      <c r="BG44" t="s">
        <v>872</v>
      </c>
      <c r="BH44" s="54">
        <v>2187.0580357142858</v>
      </c>
      <c r="BI44" s="54">
        <v>1640.0881985124729</v>
      </c>
      <c r="BJ44" s="54">
        <v>1668.2266009852217</v>
      </c>
      <c r="BK44" s="54">
        <v>2102.9546541049172</v>
      </c>
      <c r="BL44" s="54">
        <v>2194.6356836126888</v>
      </c>
      <c r="BM44" s="54">
        <v>2273.8904802021902</v>
      </c>
      <c r="BN44" s="54">
        <v>2115.5175257731958</v>
      </c>
      <c r="BO44">
        <v>1954.7316066914241</v>
      </c>
    </row>
    <row r="45" spans="1:71">
      <c r="A45" s="1"/>
      <c r="B45" s="56"/>
      <c r="C45" s="56"/>
      <c r="D45" s="56"/>
      <c r="E45" s="56"/>
      <c r="F45" s="56"/>
      <c r="G45" s="56"/>
      <c r="I45" s="82"/>
      <c r="J45" s="82"/>
      <c r="L45" s="1"/>
      <c r="M45" s="56"/>
      <c r="N45" s="56"/>
      <c r="O45" s="56"/>
      <c r="P45" s="56"/>
      <c r="Q45" s="56"/>
      <c r="R45" s="56"/>
      <c r="S45" s="56"/>
      <c r="T45" s="56"/>
      <c r="U45" s="82"/>
      <c r="X45" s="1"/>
      <c r="Y45" s="56"/>
      <c r="Z45" s="56"/>
      <c r="AA45" s="56"/>
      <c r="AB45" s="56"/>
      <c r="AC45" s="56"/>
      <c r="AD45" s="56"/>
      <c r="AE45" s="56"/>
      <c r="AF45" s="56"/>
      <c r="AG45" s="82"/>
      <c r="AJ45" s="1"/>
      <c r="AK45" s="56"/>
      <c r="AL45" s="1"/>
      <c r="AM45" s="56"/>
      <c r="AN45" s="56"/>
      <c r="AO45" s="1"/>
      <c r="AP45" s="56"/>
      <c r="AQ45" s="56"/>
      <c r="BB45" s="75" t="s">
        <v>28</v>
      </c>
      <c r="BC45" t="s">
        <v>7</v>
      </c>
      <c r="BD45" t="s">
        <v>8</v>
      </c>
      <c r="BE45" t="s">
        <v>9</v>
      </c>
      <c r="BG45" t="s">
        <v>33</v>
      </c>
      <c r="BH45" s="54">
        <v>1975</v>
      </c>
      <c r="BI45" s="54">
        <v>1416.6666666666667</v>
      </c>
      <c r="BJ45" s="54">
        <v>1470.8532423208192</v>
      </c>
      <c r="BK45" s="54">
        <v>1819.3719866485351</v>
      </c>
      <c r="BL45" s="54">
        <v>2055.761641673244</v>
      </c>
      <c r="BM45" s="54">
        <v>1900.7364341085272</v>
      </c>
      <c r="BN45" s="54">
        <v>2073.6842105263158</v>
      </c>
      <c r="BO45">
        <v>1712.7254432927059</v>
      </c>
    </row>
    <row r="46" spans="1:71">
      <c r="AJ46" s="1"/>
      <c r="AK46" s="56"/>
      <c r="AL46" s="1" t="s">
        <v>55</v>
      </c>
      <c r="AM46" s="56">
        <v>181.91249999999999</v>
      </c>
      <c r="AN46" s="56">
        <v>72.469655599165876</v>
      </c>
      <c r="AO46" s="1"/>
      <c r="AP46" s="56"/>
      <c r="AQ46" s="56"/>
      <c r="BB46" s="1" t="s">
        <v>31</v>
      </c>
      <c r="BC46" s="56">
        <v>106971.81690792981</v>
      </c>
      <c r="BD46" s="56">
        <v>68462.267783252726</v>
      </c>
      <c r="BE46" s="56">
        <v>175434.08469118254</v>
      </c>
      <c r="BG46" t="s">
        <v>32</v>
      </c>
      <c r="BH46" s="54">
        <v>1887.7083333333333</v>
      </c>
      <c r="BI46" s="54">
        <v>1547.028086218158</v>
      </c>
      <c r="BJ46" s="54">
        <v>1591.7149958574978</v>
      </c>
      <c r="BK46" s="54">
        <v>1910.7211454513706</v>
      </c>
      <c r="BL46" s="54">
        <v>1990.909090909091</v>
      </c>
      <c r="BM46" s="54">
        <v>2042.3089430894308</v>
      </c>
      <c r="BN46" s="54">
        <v>1750</v>
      </c>
      <c r="BO46">
        <v>1751.6383508396482</v>
      </c>
    </row>
    <row r="47" spans="1:71">
      <c r="A47" s="86" t="s">
        <v>40</v>
      </c>
      <c r="AJ47" s="1"/>
      <c r="AK47" s="56"/>
      <c r="AL47" s="1" t="s">
        <v>524</v>
      </c>
      <c r="AM47" s="56">
        <v>151.256</v>
      </c>
      <c r="AN47" s="56">
        <v>31.632905260534464</v>
      </c>
      <c r="AO47" s="1"/>
      <c r="AP47" s="56"/>
      <c r="AQ47" s="56"/>
      <c r="BB47" s="1" t="s">
        <v>33</v>
      </c>
      <c r="BC47" s="56">
        <v>-502314.02950985596</v>
      </c>
      <c r="BD47" s="56">
        <v>-260749.39150478606</v>
      </c>
      <c r="BE47" s="56">
        <v>-763063.42101464199</v>
      </c>
      <c r="BG47" t="s">
        <v>31</v>
      </c>
      <c r="BH47" s="54">
        <v>2575.017253278123</v>
      </c>
      <c r="BI47" s="54">
        <v>2548.77990430622</v>
      </c>
      <c r="BJ47" s="54">
        <v>2355.2870090634442</v>
      </c>
      <c r="BK47" s="54">
        <v>2550.019610406589</v>
      </c>
      <c r="BL47" s="54">
        <v>2925</v>
      </c>
      <c r="BM47" s="54">
        <v>2706.1797752808989</v>
      </c>
      <c r="BN47" s="54">
        <v>2697.5925925925926</v>
      </c>
      <c r="BO47">
        <v>2627.318525671978</v>
      </c>
    </row>
    <row r="48" spans="1:71">
      <c r="AJ48" s="1"/>
      <c r="AK48" s="56"/>
      <c r="AL48" s="1" t="s">
        <v>54</v>
      </c>
      <c r="AM48" s="56">
        <v>91.8</v>
      </c>
      <c r="AN48" s="56">
        <v>29.126229164827038</v>
      </c>
      <c r="AO48" s="1"/>
      <c r="AP48" s="56"/>
      <c r="AQ48" s="56"/>
      <c r="BB48" s="1" t="s">
        <v>495</v>
      </c>
      <c r="BC48" s="56">
        <v>28158.374000344069</v>
      </c>
      <c r="BD48" s="56">
        <v>209162.38318473555</v>
      </c>
      <c r="BE48" s="56">
        <v>237320.75718507962</v>
      </c>
      <c r="BG48" t="s">
        <v>36</v>
      </c>
      <c r="BH48" s="54">
        <v>2848.6153846153848</v>
      </c>
      <c r="BI48" s="54">
        <v>2873.5185185185187</v>
      </c>
      <c r="BJ48" s="54">
        <v>2729.4117647058824</v>
      </c>
      <c r="BK48" s="54">
        <v>2972.6011560693642</v>
      </c>
      <c r="BL48" s="54">
        <v>2975</v>
      </c>
      <c r="BM48" s="54">
        <v>2730</v>
      </c>
      <c r="BN48" s="54">
        <v>2714.1265822784812</v>
      </c>
      <c r="BO48">
        <v>2849.5093201754385</v>
      </c>
    </row>
    <row r="49" spans="1:67">
      <c r="A49" s="314" t="s">
        <v>25</v>
      </c>
      <c r="B49" s="314"/>
      <c r="C49" s="314"/>
      <c r="D49" s="314"/>
      <c r="E49" s="314"/>
      <c r="F49" s="314"/>
      <c r="G49" s="314"/>
      <c r="H49" s="314"/>
      <c r="I49" s="314"/>
      <c r="L49" s="314" t="s">
        <v>26</v>
      </c>
      <c r="M49" s="314"/>
      <c r="N49" s="314"/>
      <c r="O49" s="314"/>
      <c r="P49" s="314"/>
      <c r="Q49" s="314"/>
      <c r="R49" s="314"/>
      <c r="S49" s="314"/>
      <c r="T49" s="314"/>
      <c r="U49" s="314"/>
      <c r="X49" s="314" t="s">
        <v>27</v>
      </c>
      <c r="Y49" s="314"/>
      <c r="Z49" s="314"/>
      <c r="AA49" s="314"/>
      <c r="AB49" s="314"/>
      <c r="AC49" s="314"/>
      <c r="AD49" s="314"/>
      <c r="AE49" s="314"/>
      <c r="AF49" s="314"/>
      <c r="AI49" s="51"/>
      <c r="AJ49" s="1"/>
      <c r="AK49" s="56"/>
      <c r="AL49" s="1" t="s">
        <v>419</v>
      </c>
      <c r="AM49" s="56">
        <v>90.796890000000019</v>
      </c>
      <c r="AN49" s="56">
        <v>90.796890000000019</v>
      </c>
      <c r="AO49" s="1"/>
      <c r="AP49" s="56"/>
      <c r="AQ49" s="56"/>
      <c r="BB49" s="1" t="s">
        <v>32</v>
      </c>
      <c r="BC49" s="56">
        <v>-182032.48725523942</v>
      </c>
      <c r="BD49" s="56">
        <v>-219374.8210281847</v>
      </c>
      <c r="BE49" s="56">
        <v>-401407.30828342412</v>
      </c>
      <c r="BG49" t="s">
        <v>34</v>
      </c>
      <c r="BH49" s="54">
        <v>1790.119760479042</v>
      </c>
      <c r="BI49" s="54">
        <v>1675.4285714285713</v>
      </c>
      <c r="BJ49" s="54">
        <v>1183.1168831168832</v>
      </c>
      <c r="BK49" s="54">
        <v>0</v>
      </c>
      <c r="BL49" s="54">
        <v>1207.7868852459017</v>
      </c>
      <c r="BM49" s="54">
        <v>1229.3814432989691</v>
      </c>
      <c r="BN49" s="54">
        <v>1324.3421052631579</v>
      </c>
      <c r="BO49">
        <v>1242.0315498292921</v>
      </c>
    </row>
    <row r="50" spans="1:67">
      <c r="A50" s="75" t="s">
        <v>13</v>
      </c>
      <c r="B50" s="75" t="s">
        <v>2</v>
      </c>
      <c r="J50" s="84"/>
      <c r="L50" s="75" t="s">
        <v>21</v>
      </c>
      <c r="M50" s="75" t="s">
        <v>2</v>
      </c>
      <c r="U50" s="85" t="s">
        <v>30</v>
      </c>
      <c r="X50" s="75" t="s">
        <v>23</v>
      </c>
      <c r="Y50" s="75" t="s">
        <v>2</v>
      </c>
      <c r="AG50" s="85" t="s">
        <v>30</v>
      </c>
      <c r="AJ50" s="1"/>
      <c r="AK50" s="56"/>
      <c r="AL50" s="1" t="s">
        <v>530</v>
      </c>
      <c r="AM50" s="56">
        <v>81</v>
      </c>
      <c r="AN50" s="56">
        <v>18.351483046402617</v>
      </c>
      <c r="AO50" s="1"/>
      <c r="AP50" s="56"/>
      <c r="AQ50" s="56"/>
      <c r="BB50" s="1" t="s">
        <v>35</v>
      </c>
      <c r="BC50" s="56"/>
      <c r="BD50" s="56">
        <v>42400.960017973586</v>
      </c>
      <c r="BE50" s="56">
        <v>42400.960017973586</v>
      </c>
      <c r="BG50" t="s">
        <v>668</v>
      </c>
      <c r="BH50" s="54">
        <v>0</v>
      </c>
      <c r="BI50" s="54">
        <v>0</v>
      </c>
      <c r="BJ50" s="54">
        <v>0</v>
      </c>
      <c r="BK50" s="54">
        <v>0</v>
      </c>
      <c r="BL50" s="54">
        <v>2002.962962962963</v>
      </c>
      <c r="BM50" s="54">
        <v>0</v>
      </c>
      <c r="BN50" s="54">
        <v>0</v>
      </c>
      <c r="BO50">
        <v>2002.962962962963</v>
      </c>
    </row>
    <row r="51" spans="1:67">
      <c r="A51" s="75" t="s">
        <v>28</v>
      </c>
      <c r="B51" t="s">
        <v>6</v>
      </c>
      <c r="C51" t="s">
        <v>7</v>
      </c>
      <c r="D51" t="s">
        <v>8</v>
      </c>
      <c r="E51" t="s">
        <v>463</v>
      </c>
      <c r="F51" t="s">
        <v>705</v>
      </c>
      <c r="G51" t="s">
        <v>757</v>
      </c>
      <c r="H51" t="s">
        <v>806</v>
      </c>
      <c r="I51" t="s">
        <v>9</v>
      </c>
      <c r="J51" s="85" t="s">
        <v>29</v>
      </c>
      <c r="L51" s="75" t="s">
        <v>28</v>
      </c>
      <c r="M51" t="s">
        <v>6</v>
      </c>
      <c r="N51" t="s">
        <v>7</v>
      </c>
      <c r="O51" t="s">
        <v>8</v>
      </c>
      <c r="P51" t="s">
        <v>463</v>
      </c>
      <c r="Q51" t="s">
        <v>705</v>
      </c>
      <c r="R51" t="s">
        <v>757</v>
      </c>
      <c r="S51" t="s">
        <v>806</v>
      </c>
      <c r="T51" t="s">
        <v>9</v>
      </c>
      <c r="U51" s="85" t="s">
        <v>41</v>
      </c>
      <c r="W51" s="51"/>
      <c r="X51" s="75" t="s">
        <v>28</v>
      </c>
      <c r="Y51" t="s">
        <v>6</v>
      </c>
      <c r="Z51" t="s">
        <v>7</v>
      </c>
      <c r="AA51" t="s">
        <v>8</v>
      </c>
      <c r="AB51" t="s">
        <v>463</v>
      </c>
      <c r="AC51" t="s">
        <v>705</v>
      </c>
      <c r="AD51" t="s">
        <v>757</v>
      </c>
      <c r="AE51" t="s">
        <v>806</v>
      </c>
      <c r="AF51" t="s">
        <v>9</v>
      </c>
      <c r="AG51" s="85" t="s">
        <v>42</v>
      </c>
      <c r="AL51" s="1" t="s">
        <v>57</v>
      </c>
      <c r="AM51" s="56">
        <v>39</v>
      </c>
      <c r="AN51" s="56">
        <v>-15.43127261911228</v>
      </c>
      <c r="BB51" s="1" t="s">
        <v>36</v>
      </c>
      <c r="BC51" s="56">
        <v>23262.950561139103</v>
      </c>
      <c r="BD51" s="56">
        <v>29982.789130048077</v>
      </c>
      <c r="BE51" s="56">
        <v>53245.739691187177</v>
      </c>
      <c r="BG51" t="s">
        <v>873</v>
      </c>
      <c r="BH51" s="54">
        <v>0</v>
      </c>
      <c r="BI51" s="54">
        <v>3400</v>
      </c>
      <c r="BJ51" s="54">
        <v>3125.9833333333331</v>
      </c>
      <c r="BK51" s="54">
        <v>3859.6655518394646</v>
      </c>
      <c r="BL51" s="54">
        <v>3857.3711289205503</v>
      </c>
      <c r="BM51" s="54">
        <v>4001.094213649852</v>
      </c>
      <c r="BN51" s="54">
        <v>0</v>
      </c>
      <c r="BO51">
        <v>3717.6666922476757</v>
      </c>
    </row>
    <row r="52" spans="1:67">
      <c r="A52" s="1" t="s">
        <v>47</v>
      </c>
      <c r="B52" s="56"/>
      <c r="C52" s="56"/>
      <c r="D52" s="56">
        <v>669600</v>
      </c>
      <c r="E52" s="56">
        <v>737100</v>
      </c>
      <c r="F52" s="56">
        <v>1259758</v>
      </c>
      <c r="G52" s="56">
        <v>737667</v>
      </c>
      <c r="H52" s="56"/>
      <c r="I52" s="56">
        <v>3404125</v>
      </c>
      <c r="J52" s="71">
        <f t="shared" ref="J52:J89" si="20">I52/$I$89</f>
        <v>0.15357986768409032</v>
      </c>
      <c r="L52" s="1" t="s">
        <v>47</v>
      </c>
      <c r="M52" s="56"/>
      <c r="N52" s="56"/>
      <c r="O52" s="56">
        <v>139441.5887898237</v>
      </c>
      <c r="P52" s="56">
        <v>220262.21542519773</v>
      </c>
      <c r="Q52" s="56">
        <v>159276.79673534096</v>
      </c>
      <c r="R52" s="56">
        <v>125882.68499970756</v>
      </c>
      <c r="S52" s="56"/>
      <c r="T52" s="56">
        <v>644863.28595007001</v>
      </c>
      <c r="U52" s="71">
        <f t="shared" ref="U52:U89" si="21">T52/I52</f>
        <v>0.18943584208866301</v>
      </c>
      <c r="W52" s="71"/>
      <c r="X52" s="1" t="s">
        <v>47</v>
      </c>
      <c r="Y52" s="56"/>
      <c r="Z52" s="56"/>
      <c r="AA52" s="56">
        <v>169563.11058559478</v>
      </c>
      <c r="AB52" s="56">
        <v>251210.85533022636</v>
      </c>
      <c r="AC52" s="56">
        <v>206813.90771156835</v>
      </c>
      <c r="AD52" s="56">
        <v>166831.00059107685</v>
      </c>
      <c r="AE52" s="56"/>
      <c r="AF52" s="56">
        <v>794418.87421846646</v>
      </c>
      <c r="AG52" s="71">
        <f>AF52/I52</f>
        <v>0.23336947797700333</v>
      </c>
      <c r="BB52" s="1" t="s">
        <v>34</v>
      </c>
      <c r="BC52" s="56">
        <v>-6321.502925747518</v>
      </c>
      <c r="BD52" s="56">
        <v>-407078.31222096068</v>
      </c>
      <c r="BE52" s="56">
        <v>-413399.81514670822</v>
      </c>
      <c r="BG52" t="s">
        <v>495</v>
      </c>
      <c r="BH52" s="54">
        <v>0</v>
      </c>
      <c r="BI52" s="54">
        <v>3400</v>
      </c>
      <c r="BJ52" s="54">
        <v>3100</v>
      </c>
      <c r="BK52" s="54">
        <v>3850</v>
      </c>
      <c r="BL52" s="54">
        <v>3845.4545454545455</v>
      </c>
      <c r="BM52" s="54">
        <v>3929.1666666666665</v>
      </c>
      <c r="BN52" s="54">
        <v>0</v>
      </c>
      <c r="BO52">
        <v>3655.681818181818</v>
      </c>
    </row>
    <row r="53" spans="1:67">
      <c r="A53" s="1" t="s">
        <v>45</v>
      </c>
      <c r="B53" s="56"/>
      <c r="C53" s="56">
        <v>1066950</v>
      </c>
      <c r="D53" s="56"/>
      <c r="E53" s="56">
        <v>30300</v>
      </c>
      <c r="F53" s="56">
        <v>1047600</v>
      </c>
      <c r="G53" s="56">
        <v>437400</v>
      </c>
      <c r="H53" s="56">
        <v>670548</v>
      </c>
      <c r="I53" s="56">
        <v>3252798</v>
      </c>
      <c r="J53" s="71">
        <f t="shared" si="20"/>
        <v>0.14675262701665587</v>
      </c>
      <c r="L53" s="1" t="s">
        <v>45</v>
      </c>
      <c r="M53" s="56"/>
      <c r="N53" s="56">
        <v>-504063.92219707737</v>
      </c>
      <c r="O53" s="56"/>
      <c r="P53" s="56">
        <v>21268.426764576256</v>
      </c>
      <c r="Q53" s="56">
        <v>133928.9083312001</v>
      </c>
      <c r="R53" s="56">
        <v>130995.36939895741</v>
      </c>
      <c r="S53" s="56">
        <v>14360.595967477417</v>
      </c>
      <c r="T53" s="56">
        <v>-203510.62173486623</v>
      </c>
      <c r="U53" s="71">
        <f t="shared" si="21"/>
        <v>-6.2564789370525384E-2</v>
      </c>
      <c r="W53" s="71"/>
      <c r="X53" s="1" t="s">
        <v>45</v>
      </c>
      <c r="Y53" s="56"/>
      <c r="Z53" s="56">
        <v>-373533.59695997293</v>
      </c>
      <c r="AA53" s="56"/>
      <c r="AB53" s="56">
        <v>25231.162667759814</v>
      </c>
      <c r="AC53" s="56">
        <v>197452.88736402066</v>
      </c>
      <c r="AD53" s="56">
        <v>166093.92562013108</v>
      </c>
      <c r="AE53" s="56">
        <v>139067.61099248484</v>
      </c>
      <c r="AF53" s="56">
        <v>154311.98968442346</v>
      </c>
      <c r="AG53" s="71">
        <f t="shared" ref="AG53:AG89" si="22">AF53/I53</f>
        <v>4.7439770217647531E-2</v>
      </c>
      <c r="BB53" s="1" t="s">
        <v>37</v>
      </c>
      <c r="BC53" s="56">
        <v>15489.987858128674</v>
      </c>
      <c r="BD53" s="56">
        <v>-6150.1256304489207</v>
      </c>
      <c r="BE53" s="56">
        <v>9339.8622276797541</v>
      </c>
      <c r="BG53" t="s">
        <v>35</v>
      </c>
      <c r="BH53" s="54">
        <v>0</v>
      </c>
      <c r="BI53" s="54">
        <v>0</v>
      </c>
      <c r="BJ53" s="54">
        <v>3281.8833333333337</v>
      </c>
      <c r="BK53" s="54">
        <v>3898.9830508474574</v>
      </c>
      <c r="BL53" s="54">
        <v>3890.3616703952275</v>
      </c>
      <c r="BM53" s="54">
        <v>4145.5915178571431</v>
      </c>
      <c r="BN53" s="54">
        <v>0</v>
      </c>
      <c r="BO53">
        <v>3913.6897726667735</v>
      </c>
    </row>
    <row r="54" spans="1:67">
      <c r="A54" s="1" t="s">
        <v>43</v>
      </c>
      <c r="B54" s="56">
        <v>281115</v>
      </c>
      <c r="C54" s="56">
        <v>438056</v>
      </c>
      <c r="D54" s="56">
        <v>1104330</v>
      </c>
      <c r="E54" s="56">
        <v>961572</v>
      </c>
      <c r="F54" s="56">
        <v>290840</v>
      </c>
      <c r="G54" s="56">
        <v>244354</v>
      </c>
      <c r="H54" s="56">
        <v>160400</v>
      </c>
      <c r="I54" s="56">
        <v>3480667</v>
      </c>
      <c r="J54" s="71">
        <f t="shared" si="20"/>
        <v>0.15703312225972302</v>
      </c>
      <c r="L54" s="1" t="s">
        <v>43</v>
      </c>
      <c r="M54" s="56">
        <v>-96644.014456236531</v>
      </c>
      <c r="N54" s="56">
        <v>-63539.699799018206</v>
      </c>
      <c r="O54" s="56">
        <v>-393457.74127080914</v>
      </c>
      <c r="P54" s="56">
        <v>-321367.83784190734</v>
      </c>
      <c r="Q54" s="56">
        <v>-86350.689326425418</v>
      </c>
      <c r="R54" s="56">
        <v>-50338.52516576249</v>
      </c>
      <c r="S54" s="56">
        <v>-51191.988526298999</v>
      </c>
      <c r="T54" s="56">
        <v>-1062890.4963864582</v>
      </c>
      <c r="U54" s="71">
        <f t="shared" si="21"/>
        <v>-0.30536977435257617</v>
      </c>
      <c r="V54" s="71"/>
      <c r="W54" s="71"/>
      <c r="X54" s="1" t="s">
        <v>43</v>
      </c>
      <c r="Y54" s="56">
        <v>51475.827479247149</v>
      </c>
      <c r="Z54" s="56">
        <v>-19546.330894900282</v>
      </c>
      <c r="AA54" s="56">
        <v>-292662.20444681222</v>
      </c>
      <c r="AB54" s="56">
        <v>-232989.00223586473</v>
      </c>
      <c r="AC54" s="56">
        <v>-59294.179738372222</v>
      </c>
      <c r="AD54" s="56">
        <v>-19356.466279170912</v>
      </c>
      <c r="AE54" s="56">
        <v>-15551.739022860223</v>
      </c>
      <c r="AF54" s="56">
        <v>-587924.09513873339</v>
      </c>
      <c r="AG54" s="71">
        <f t="shared" si="22"/>
        <v>-0.16891133082789403</v>
      </c>
      <c r="BB54" s="1" t="s">
        <v>39</v>
      </c>
      <c r="BC54" s="56">
        <v>-3693.6396715309247</v>
      </c>
      <c r="BD54" s="56"/>
      <c r="BE54" s="56">
        <v>-3693.6396715309247</v>
      </c>
      <c r="BG54" t="s">
        <v>874</v>
      </c>
      <c r="BH54" s="54">
        <v>2100</v>
      </c>
      <c r="BI54" s="54">
        <v>1661.5056818181818</v>
      </c>
      <c r="BJ54" s="54">
        <v>1498.04</v>
      </c>
      <c r="BK54" s="54">
        <v>1892.8031809145127</v>
      </c>
      <c r="BL54" s="54">
        <v>1984.7869481765836</v>
      </c>
      <c r="BM54" s="54">
        <v>1532.867924528302</v>
      </c>
      <c r="BN54" s="54">
        <v>1814.4269275612107</v>
      </c>
      <c r="BO54">
        <v>1797.7459417480634</v>
      </c>
    </row>
    <row r="55" spans="1:67">
      <c r="A55" s="1" t="s">
        <v>735</v>
      </c>
      <c r="B55" s="56"/>
      <c r="C55" s="56"/>
      <c r="D55" s="56"/>
      <c r="E55" s="56"/>
      <c r="F55" s="56">
        <v>490860</v>
      </c>
      <c r="G55" s="56">
        <v>1367604</v>
      </c>
      <c r="H55" s="56"/>
      <c r="I55" s="56">
        <v>1858464</v>
      </c>
      <c r="J55" s="71">
        <f t="shared" si="20"/>
        <v>8.3846114703674299E-2</v>
      </c>
      <c r="L55" s="1" t="s">
        <v>735</v>
      </c>
      <c r="M55" s="56"/>
      <c r="N55" s="56"/>
      <c r="O55" s="56"/>
      <c r="P55" s="56"/>
      <c r="Q55" s="56">
        <v>-70783.433667739257</v>
      </c>
      <c r="R55" s="56">
        <v>243910.62177776545</v>
      </c>
      <c r="S55" s="56"/>
      <c r="T55" s="56">
        <v>173127.18811002618</v>
      </c>
      <c r="U55" s="71">
        <f t="shared" si="21"/>
        <v>9.3156062269716386E-2</v>
      </c>
      <c r="V55" s="71"/>
      <c r="W55" s="71"/>
      <c r="X55" s="1" t="s">
        <v>735</v>
      </c>
      <c r="Y55" s="56"/>
      <c r="Z55" s="56"/>
      <c r="AA55" s="56"/>
      <c r="AB55" s="56"/>
      <c r="AC55" s="56">
        <v>-35051.195461777694</v>
      </c>
      <c r="AD55" s="56">
        <v>325651.25937729882</v>
      </c>
      <c r="AE55" s="56"/>
      <c r="AF55" s="56">
        <v>290600.06391552114</v>
      </c>
      <c r="AG55" s="71">
        <f t="shared" si="22"/>
        <v>0.1563657213244492</v>
      </c>
      <c r="BB55" s="1" t="s">
        <v>38</v>
      </c>
      <c r="BC55" s="56">
        <v>-3693.6396715309247</v>
      </c>
      <c r="BD55" s="56">
        <v>26484.907274275982</v>
      </c>
      <c r="BE55" s="56">
        <v>22791.267602745058</v>
      </c>
      <c r="BG55" t="s">
        <v>37</v>
      </c>
      <c r="BH55" s="54">
        <v>2100</v>
      </c>
      <c r="BI55" s="54">
        <v>2029.4117647058824</v>
      </c>
      <c r="BJ55" s="54">
        <v>1600</v>
      </c>
      <c r="BK55" s="54">
        <v>1600</v>
      </c>
      <c r="BL55" s="54">
        <v>1800</v>
      </c>
      <c r="BM55" s="54">
        <v>1704.3703703703704</v>
      </c>
      <c r="BN55" s="54">
        <v>1600</v>
      </c>
      <c r="BO55">
        <v>1746.7324185248715</v>
      </c>
    </row>
    <row r="56" spans="1:67">
      <c r="A56" s="1" t="s">
        <v>44</v>
      </c>
      <c r="B56" s="56"/>
      <c r="C56" s="56">
        <v>390000</v>
      </c>
      <c r="D56" s="56">
        <v>813921.7</v>
      </c>
      <c r="E56" s="56">
        <v>175000</v>
      </c>
      <c r="F56" s="56">
        <v>34720</v>
      </c>
      <c r="G56" s="56">
        <v>238024</v>
      </c>
      <c r="H56" s="56">
        <v>67500</v>
      </c>
      <c r="I56" s="56">
        <v>1719165.7</v>
      </c>
      <c r="J56" s="71">
        <f t="shared" si="20"/>
        <v>7.7561558618742421E-2</v>
      </c>
      <c r="L56" s="1" t="s">
        <v>44</v>
      </c>
      <c r="M56" s="56"/>
      <c r="N56" s="56">
        <v>72084.864103526561</v>
      </c>
      <c r="O56" s="56">
        <v>82440.803622559295</v>
      </c>
      <c r="P56" s="56">
        <v>-146096.61967090087</v>
      </c>
      <c r="Q56" s="56">
        <v>24875.590625233366</v>
      </c>
      <c r="R56" s="56">
        <v>74114.205922161811</v>
      </c>
      <c r="S56" s="56">
        <v>18303.620989650015</v>
      </c>
      <c r="T56" s="56">
        <v>125722.4655922302</v>
      </c>
      <c r="U56" s="71">
        <f t="shared" si="21"/>
        <v>7.3129929006977165E-2</v>
      </c>
      <c r="V56" s="71"/>
      <c r="W56" s="71"/>
      <c r="X56" s="1" t="s">
        <v>44</v>
      </c>
      <c r="Y56" s="56"/>
      <c r="Z56" s="56">
        <v>98080.945728687147</v>
      </c>
      <c r="AA56" s="56">
        <v>128599.24674478259</v>
      </c>
      <c r="AB56" s="56">
        <v>-125627.9424850354</v>
      </c>
      <c r="AC56" s="56">
        <v>28698.793067023489</v>
      </c>
      <c r="AD56" s="56">
        <v>96646.612385137501</v>
      </c>
      <c r="AE56" s="56">
        <v>27926.488355578484</v>
      </c>
      <c r="AF56" s="56">
        <v>254324.14379617383</v>
      </c>
      <c r="AG56" s="71">
        <f t="shared" si="22"/>
        <v>0.14793463119708231</v>
      </c>
      <c r="AL56" s="75" t="s">
        <v>12</v>
      </c>
      <c r="AM56" s="75" t="s">
        <v>2</v>
      </c>
      <c r="BB56" s="1" t="s">
        <v>417</v>
      </c>
      <c r="BC56" s="56">
        <v>40026</v>
      </c>
      <c r="BD56" s="56">
        <v>26456.610000000008</v>
      </c>
      <c r="BE56" s="56">
        <v>66482.610000000015</v>
      </c>
      <c r="BG56" t="s">
        <v>465</v>
      </c>
      <c r="BH56" s="54">
        <v>0</v>
      </c>
      <c r="BI56" s="54">
        <v>0</v>
      </c>
      <c r="BJ56" s="54">
        <v>0</v>
      </c>
      <c r="BK56" s="54">
        <v>2500</v>
      </c>
      <c r="BL56" s="54">
        <v>2347.8888888888887</v>
      </c>
      <c r="BM56" s="54">
        <v>0</v>
      </c>
      <c r="BN56" s="54">
        <v>2525</v>
      </c>
      <c r="BO56">
        <v>2449.1555555555556</v>
      </c>
    </row>
    <row r="57" spans="1:67">
      <c r="A57" s="1" t="s">
        <v>52</v>
      </c>
      <c r="B57" s="56"/>
      <c r="C57" s="56">
        <v>222750</v>
      </c>
      <c r="D57" s="56"/>
      <c r="E57" s="56">
        <v>712656</v>
      </c>
      <c r="F57" s="56"/>
      <c r="G57" s="56"/>
      <c r="H57" s="56"/>
      <c r="I57" s="56">
        <v>935406</v>
      </c>
      <c r="J57" s="71">
        <f t="shared" si="20"/>
        <v>4.2201602382669318E-2</v>
      </c>
      <c r="L57" s="1" t="s">
        <v>52</v>
      </c>
      <c r="M57" s="56"/>
      <c r="N57" s="56">
        <v>-57541.55491830931</v>
      </c>
      <c r="O57" s="56"/>
      <c r="P57" s="56">
        <v>8412.7911795471045</v>
      </c>
      <c r="Q57" s="56"/>
      <c r="R57" s="56"/>
      <c r="S57" s="56"/>
      <c r="T57" s="56">
        <v>-49128.763738762209</v>
      </c>
      <c r="U57" s="71">
        <f t="shared" si="21"/>
        <v>-5.2521326289078976E-2</v>
      </c>
      <c r="V57" s="71"/>
      <c r="W57" s="71"/>
      <c r="X57" s="1" t="s">
        <v>52</v>
      </c>
      <c r="Y57" s="56"/>
      <c r="Z57" s="56">
        <v>-35044.945819612643</v>
      </c>
      <c r="AA57" s="56"/>
      <c r="AB57" s="56">
        <v>57036.543208114279</v>
      </c>
      <c r="AC57" s="56"/>
      <c r="AD57" s="56"/>
      <c r="AE57" s="56"/>
      <c r="AF57" s="56">
        <v>21991.597388501636</v>
      </c>
      <c r="AG57" s="71">
        <f t="shared" si="22"/>
        <v>2.3510216300196531E-2</v>
      </c>
      <c r="AL57" s="75" t="s">
        <v>28</v>
      </c>
      <c r="AM57" t="s">
        <v>6</v>
      </c>
      <c r="AN57" t="s">
        <v>7</v>
      </c>
      <c r="AO57" t="s">
        <v>8</v>
      </c>
      <c r="AP57" t="s">
        <v>463</v>
      </c>
      <c r="AQ57" t="s">
        <v>705</v>
      </c>
      <c r="AR57" t="s">
        <v>757</v>
      </c>
      <c r="AS57" t="s">
        <v>806</v>
      </c>
      <c r="AT57" t="s">
        <v>9</v>
      </c>
      <c r="BB57" s="1" t="s">
        <v>9</v>
      </c>
      <c r="BC57" s="56">
        <v>-484146.16970636306</v>
      </c>
      <c r="BD57" s="56">
        <v>-490402.73299409455</v>
      </c>
      <c r="BE57" s="56">
        <v>-974548.90270045772</v>
      </c>
      <c r="BG57" t="s">
        <v>39</v>
      </c>
      <c r="BH57" s="54">
        <v>0</v>
      </c>
      <c r="BI57" s="54">
        <v>1429.8611111111111</v>
      </c>
      <c r="BJ57" s="54">
        <v>0</v>
      </c>
      <c r="BK57" s="54">
        <v>2000</v>
      </c>
      <c r="BL57" s="54">
        <v>2050</v>
      </c>
      <c r="BM57" s="54">
        <v>0</v>
      </c>
      <c r="BN57" s="54">
        <v>1600</v>
      </c>
      <c r="BO57">
        <v>1710.8834887444664</v>
      </c>
    </row>
    <row r="58" spans="1:67">
      <c r="A58" s="1" t="s">
        <v>501</v>
      </c>
      <c r="B58" s="56"/>
      <c r="C58" s="56"/>
      <c r="D58" s="56"/>
      <c r="E58" s="56">
        <v>575100</v>
      </c>
      <c r="F58" s="56">
        <v>340200</v>
      </c>
      <c r="G58" s="56"/>
      <c r="H58" s="56"/>
      <c r="I58" s="56">
        <v>915300</v>
      </c>
      <c r="J58" s="71">
        <f t="shared" si="20"/>
        <v>4.1294503842029269E-2</v>
      </c>
      <c r="L58" s="1" t="s">
        <v>501</v>
      </c>
      <c r="M58" s="56"/>
      <c r="N58" s="56"/>
      <c r="O58" s="56"/>
      <c r="P58" s="56">
        <v>-63173.584489146</v>
      </c>
      <c r="Q58" s="56">
        <v>-22700.198280430552</v>
      </c>
      <c r="R58" s="56"/>
      <c r="S58" s="56"/>
      <c r="T58" s="56">
        <v>-85873.782769576559</v>
      </c>
      <c r="U58" s="71">
        <f t="shared" si="21"/>
        <v>-9.3820367933548088E-2</v>
      </c>
      <c r="V58" s="71"/>
      <c r="W58" s="71"/>
      <c r="X58" s="1" t="s">
        <v>501</v>
      </c>
      <c r="Y58" s="56"/>
      <c r="Z58" s="56"/>
      <c r="AA58" s="56"/>
      <c r="AB58" s="56">
        <v>-18961.241767676554</v>
      </c>
      <c r="AC58" s="56">
        <v>1091.8846073249181</v>
      </c>
      <c r="AD58" s="56"/>
      <c r="AE58" s="56"/>
      <c r="AF58" s="56">
        <v>-17869.357160351636</v>
      </c>
      <c r="AG58" s="71">
        <f t="shared" si="22"/>
        <v>-1.9522951120235589E-2</v>
      </c>
      <c r="AL58" s="1" t="s">
        <v>47</v>
      </c>
      <c r="AM58" s="56"/>
      <c r="AN58" s="56"/>
      <c r="AO58" s="56">
        <v>216</v>
      </c>
      <c r="AP58" s="56">
        <v>189</v>
      </c>
      <c r="AQ58" s="56">
        <v>323.27999999999997</v>
      </c>
      <c r="AR58" s="56">
        <v>189</v>
      </c>
      <c r="AS58" s="56"/>
      <c r="AT58" s="56">
        <v>917.28</v>
      </c>
      <c r="BG58" t="s">
        <v>38</v>
      </c>
      <c r="BH58" s="54">
        <v>0</v>
      </c>
      <c r="BI58" s="54">
        <v>1429.8611111111111</v>
      </c>
      <c r="BJ58" s="54">
        <v>1316.7777777777778</v>
      </c>
      <c r="BK58" s="54">
        <v>2000</v>
      </c>
      <c r="BL58" s="54">
        <v>0</v>
      </c>
      <c r="BM58" s="54">
        <v>0</v>
      </c>
      <c r="BN58" s="54">
        <v>1725</v>
      </c>
      <c r="BO58">
        <v>1662.4661354581674</v>
      </c>
    </row>
    <row r="59" spans="1:67">
      <c r="A59" s="1" t="s">
        <v>508</v>
      </c>
      <c r="B59" s="56"/>
      <c r="C59" s="56"/>
      <c r="D59" s="56"/>
      <c r="E59" s="56">
        <v>595782</v>
      </c>
      <c r="F59" s="56">
        <v>230850</v>
      </c>
      <c r="G59" s="56"/>
      <c r="H59" s="56"/>
      <c r="I59" s="56">
        <v>826632</v>
      </c>
      <c r="J59" s="71">
        <f t="shared" si="20"/>
        <v>3.7294174915267493E-2</v>
      </c>
      <c r="L59" s="1" t="s">
        <v>508</v>
      </c>
      <c r="M59" s="56"/>
      <c r="N59" s="56"/>
      <c r="O59" s="56"/>
      <c r="P59" s="56">
        <v>85207.391066115524</v>
      </c>
      <c r="Q59" s="56">
        <v>64954.260559555143</v>
      </c>
      <c r="R59" s="56"/>
      <c r="S59" s="56"/>
      <c r="T59" s="56">
        <v>150161.65162567067</v>
      </c>
      <c r="U59" s="71">
        <f t="shared" si="21"/>
        <v>0.18165477700557281</v>
      </c>
      <c r="V59" s="71"/>
      <c r="W59" s="71"/>
      <c r="X59" s="1" t="s">
        <v>508</v>
      </c>
      <c r="Y59" s="56"/>
      <c r="Z59" s="56"/>
      <c r="AA59" s="56"/>
      <c r="AB59" s="56">
        <v>120488.84055784816</v>
      </c>
      <c r="AC59" s="56">
        <v>76865.006628208997</v>
      </c>
      <c r="AD59" s="56"/>
      <c r="AE59" s="56"/>
      <c r="AF59" s="56">
        <v>197353.84718605716</v>
      </c>
      <c r="AG59" s="71">
        <f t="shared" si="22"/>
        <v>0.23874450443009362</v>
      </c>
      <c r="AL59" s="1" t="s">
        <v>45</v>
      </c>
      <c r="AM59" s="56"/>
      <c r="AN59" s="56">
        <v>783.3</v>
      </c>
      <c r="AO59" s="56"/>
      <c r="AP59" s="56">
        <v>24.2</v>
      </c>
      <c r="AQ59" s="56">
        <v>432</v>
      </c>
      <c r="AR59" s="56">
        <v>162</v>
      </c>
      <c r="AS59" s="56">
        <v>349.90499999999997</v>
      </c>
      <c r="AT59" s="56">
        <v>1751.405</v>
      </c>
      <c r="BG59" t="s">
        <v>669</v>
      </c>
      <c r="BH59" s="54">
        <v>0</v>
      </c>
      <c r="BI59" s="54">
        <v>0</v>
      </c>
      <c r="BJ59" s="54">
        <v>0</v>
      </c>
      <c r="BK59" s="54">
        <v>0</v>
      </c>
      <c r="BL59" s="54">
        <v>1335.3846153846155</v>
      </c>
      <c r="BM59" s="54">
        <v>1354.7692307692307</v>
      </c>
      <c r="BN59" s="54">
        <v>0</v>
      </c>
      <c r="BO59">
        <v>1345.0769230769231</v>
      </c>
    </row>
    <row r="60" spans="1:67">
      <c r="A60" s="1" t="s">
        <v>49</v>
      </c>
      <c r="B60" s="56"/>
      <c r="C60" s="56"/>
      <c r="D60" s="56">
        <v>334800</v>
      </c>
      <c r="E60" s="56"/>
      <c r="F60" s="56">
        <v>299700</v>
      </c>
      <c r="G60" s="56"/>
      <c r="H60" s="56"/>
      <c r="I60" s="56">
        <v>634500</v>
      </c>
      <c r="J60" s="71">
        <f t="shared" si="20"/>
        <v>2.8625983489312324E-2</v>
      </c>
      <c r="L60" s="1" t="s">
        <v>49</v>
      </c>
      <c r="M60" s="56"/>
      <c r="N60" s="56"/>
      <c r="O60" s="56">
        <v>69720.794394911849</v>
      </c>
      <c r="P60" s="56"/>
      <c r="Q60" s="56">
        <v>10168.08661744161</v>
      </c>
      <c r="R60" s="56"/>
      <c r="S60" s="56"/>
      <c r="T60" s="56">
        <v>79888.881012353464</v>
      </c>
      <c r="U60" s="71">
        <f t="shared" si="21"/>
        <v>0.12590840191072256</v>
      </c>
      <c r="V60" s="71"/>
      <c r="W60" s="71"/>
      <c r="X60" s="1" t="s">
        <v>49</v>
      </c>
      <c r="Y60" s="56"/>
      <c r="Z60" s="56"/>
      <c r="AA60" s="56">
        <v>84781.555292797391</v>
      </c>
      <c r="AB60" s="56"/>
      <c r="AC60" s="56">
        <v>22078.832686095462</v>
      </c>
      <c r="AD60" s="56"/>
      <c r="AE60" s="56"/>
      <c r="AF60" s="56">
        <v>106860.38797889286</v>
      </c>
      <c r="AG60" s="71">
        <f t="shared" si="22"/>
        <v>0.16841668712197455</v>
      </c>
      <c r="AL60" s="1" t="s">
        <v>43</v>
      </c>
      <c r="AM60" s="56">
        <v>144</v>
      </c>
      <c r="AN60" s="56">
        <v>264</v>
      </c>
      <c r="AO60" s="56">
        <v>722.8</v>
      </c>
      <c r="AP60" s="56">
        <v>539.72</v>
      </c>
      <c r="AQ60" s="56">
        <v>184</v>
      </c>
      <c r="AR60" s="56">
        <v>143</v>
      </c>
      <c r="AS60" s="56">
        <v>100</v>
      </c>
      <c r="AT60" s="56">
        <v>2097.52</v>
      </c>
      <c r="BB60" s="75" t="s">
        <v>14</v>
      </c>
      <c r="BC60" s="75" t="s">
        <v>2</v>
      </c>
      <c r="BG60" t="s">
        <v>497</v>
      </c>
      <c r="BH60" s="54">
        <v>0</v>
      </c>
      <c r="BI60" s="54">
        <v>0</v>
      </c>
      <c r="BJ60" s="54">
        <v>0</v>
      </c>
      <c r="BK60" s="54">
        <v>1252.0661157024795</v>
      </c>
      <c r="BL60" s="54">
        <v>0</v>
      </c>
      <c r="BM60" s="54">
        <v>0</v>
      </c>
      <c r="BN60" s="54">
        <v>0</v>
      </c>
      <c r="BO60">
        <v>1252.0661157024795</v>
      </c>
    </row>
    <row r="61" spans="1:67">
      <c r="A61" s="1" t="s">
        <v>53</v>
      </c>
      <c r="B61" s="56">
        <v>140400</v>
      </c>
      <c r="C61" s="56">
        <v>77585</v>
      </c>
      <c r="D61" s="56"/>
      <c r="E61" s="56">
        <v>67500</v>
      </c>
      <c r="F61" s="56">
        <v>134636</v>
      </c>
      <c r="G61" s="56"/>
      <c r="H61" s="56"/>
      <c r="I61" s="56">
        <v>420121</v>
      </c>
      <c r="J61" s="71">
        <f t="shared" si="20"/>
        <v>1.8954100566608956E-2</v>
      </c>
      <c r="L61" s="1" t="s">
        <v>53</v>
      </c>
      <c r="M61" s="56">
        <v>-3780.8369883375599</v>
      </c>
      <c r="N61" s="56">
        <v>23262.950561139103</v>
      </c>
      <c r="O61" s="56"/>
      <c r="P61" s="56">
        <v>10368.202060381554</v>
      </c>
      <c r="Q61" s="56">
        <v>71709.861505643494</v>
      </c>
      <c r="R61" s="56"/>
      <c r="S61" s="56"/>
      <c r="T61" s="56">
        <v>101560.17713882659</v>
      </c>
      <c r="U61" s="71">
        <f t="shared" si="21"/>
        <v>0.24174030133896326</v>
      </c>
      <c r="V61" s="71"/>
      <c r="W61" s="71"/>
      <c r="X61" s="1" t="s">
        <v>53</v>
      </c>
      <c r="Y61" s="56">
        <v>51764.103737468817</v>
      </c>
      <c r="Z61" s="56">
        <v>27762.272380878436</v>
      </c>
      <c r="AA61" s="56"/>
      <c r="AB61" s="56">
        <v>14789.436332528501</v>
      </c>
      <c r="AC61" s="56">
        <v>79503.312636984905</v>
      </c>
      <c r="AD61" s="56"/>
      <c r="AE61" s="56"/>
      <c r="AF61" s="56">
        <v>173819.12508786068</v>
      </c>
      <c r="AG61" s="71">
        <f t="shared" si="22"/>
        <v>0.41373586440063859</v>
      </c>
      <c r="AL61" s="1" t="s">
        <v>735</v>
      </c>
      <c r="AM61" s="56"/>
      <c r="AN61" s="56"/>
      <c r="AO61" s="56"/>
      <c r="AP61" s="56"/>
      <c r="AQ61" s="56">
        <v>243</v>
      </c>
      <c r="AR61" s="56">
        <v>377.28</v>
      </c>
      <c r="AS61" s="56"/>
      <c r="AT61" s="56">
        <v>620.28</v>
      </c>
      <c r="BB61" s="75" t="s">
        <v>28</v>
      </c>
      <c r="BC61" t="s">
        <v>7</v>
      </c>
      <c r="BD61" t="s">
        <v>8</v>
      </c>
      <c r="BE61" t="s">
        <v>9</v>
      </c>
      <c r="BG61" t="s">
        <v>11</v>
      </c>
      <c r="BH61" s="54">
        <v>2178.6330645161293</v>
      </c>
      <c r="BI61" s="54">
        <v>1670.3166493299884</v>
      </c>
      <c r="BJ61" s="54">
        <v>1937.9269966930556</v>
      </c>
      <c r="BK61" s="54">
        <v>2314.4622792176715</v>
      </c>
      <c r="BL61" s="54">
        <v>2520.6065216622101</v>
      </c>
      <c r="BM61" s="54">
        <v>2979.7725706409374</v>
      </c>
      <c r="BN61" s="54">
        <v>2001.4265499644644</v>
      </c>
      <c r="BO61">
        <v>2221.1809833261209</v>
      </c>
    </row>
    <row r="62" spans="1:67">
      <c r="A62" s="1" t="s">
        <v>56</v>
      </c>
      <c r="B62" s="56">
        <v>74064</v>
      </c>
      <c r="C62" s="56"/>
      <c r="D62" s="56">
        <v>76700</v>
      </c>
      <c r="E62" s="56">
        <v>189800</v>
      </c>
      <c r="F62" s="56">
        <v>80600</v>
      </c>
      <c r="G62" s="56"/>
      <c r="H62" s="56">
        <v>74100</v>
      </c>
      <c r="I62" s="56">
        <v>495264</v>
      </c>
      <c r="J62" s="71">
        <f t="shared" si="20"/>
        <v>2.2344238119544176E-2</v>
      </c>
      <c r="L62" s="1" t="s">
        <v>56</v>
      </c>
      <c r="M62" s="56">
        <v>4890.7630234323351</v>
      </c>
      <c r="N62" s="56"/>
      <c r="O62" s="56">
        <v>21276.272840808826</v>
      </c>
      <c r="P62" s="56">
        <v>-67658.981176782589</v>
      </c>
      <c r="Q62" s="56">
        <v>26751.544317901156</v>
      </c>
      <c r="R62" s="56"/>
      <c r="S62" s="56">
        <v>21672.96318107934</v>
      </c>
      <c r="T62" s="56">
        <v>6932.5621864390669</v>
      </c>
      <c r="U62" s="71">
        <f t="shared" si="21"/>
        <v>1.3997710688519793E-2</v>
      </c>
      <c r="V62" s="71"/>
      <c r="W62" s="71"/>
      <c r="X62" s="1" t="s">
        <v>56</v>
      </c>
      <c r="Y62" s="56">
        <v>31634.623372894668</v>
      </c>
      <c r="Z62" s="56"/>
      <c r="AA62" s="56">
        <v>24902.011575484972</v>
      </c>
      <c r="AB62" s="56">
        <v>-50629.041758142499</v>
      </c>
      <c r="AC62" s="56">
        <v>30574.746759691283</v>
      </c>
      <c r="AD62" s="56"/>
      <c r="AE62" s="56">
        <v>30939.42805197342</v>
      </c>
      <c r="AF62" s="56">
        <v>67421.768001901844</v>
      </c>
      <c r="AG62" s="71">
        <f t="shared" si="22"/>
        <v>0.13613298766294712</v>
      </c>
      <c r="AL62" s="1" t="s">
        <v>44</v>
      </c>
      <c r="AM62" s="56"/>
      <c r="AN62" s="56">
        <v>156</v>
      </c>
      <c r="AO62" s="56">
        <v>331</v>
      </c>
      <c r="AP62" s="56">
        <v>125</v>
      </c>
      <c r="AQ62" s="56">
        <v>26</v>
      </c>
      <c r="AR62" s="56">
        <v>104</v>
      </c>
      <c r="AS62" s="56">
        <v>27</v>
      </c>
      <c r="AT62" s="56">
        <v>769</v>
      </c>
      <c r="BB62" s="1" t="s">
        <v>31</v>
      </c>
      <c r="BC62" s="56">
        <v>377498.16374966467</v>
      </c>
      <c r="BD62" s="56">
        <v>600468.79954213055</v>
      </c>
      <c r="BE62" s="56">
        <v>977966.96329179523</v>
      </c>
    </row>
    <row r="63" spans="1:67">
      <c r="A63" s="1" t="s">
        <v>524</v>
      </c>
      <c r="B63" s="56"/>
      <c r="C63" s="56"/>
      <c r="D63" s="56"/>
      <c r="E63" s="56">
        <v>151256</v>
      </c>
      <c r="F63" s="56"/>
      <c r="G63" s="56">
        <v>70980</v>
      </c>
      <c r="H63" s="56">
        <v>140316</v>
      </c>
      <c r="I63" s="56">
        <v>362552</v>
      </c>
      <c r="J63" s="71">
        <f t="shared" si="20"/>
        <v>1.6356828315235872E-2</v>
      </c>
      <c r="L63" s="1" t="s">
        <v>524</v>
      </c>
      <c r="M63" s="56"/>
      <c r="N63" s="56"/>
      <c r="O63" s="56"/>
      <c r="P63" s="56">
        <v>30370.237150351018</v>
      </c>
      <c r="Q63" s="56"/>
      <c r="R63" s="56">
        <v>23179.218680301372</v>
      </c>
      <c r="S63" s="56">
        <v>36028.240330661734</v>
      </c>
      <c r="T63" s="56">
        <v>89577.696161314117</v>
      </c>
      <c r="U63" s="71">
        <f t="shared" si="21"/>
        <v>0.24707544341587998</v>
      </c>
      <c r="V63" s="71"/>
      <c r="W63" s="71"/>
      <c r="X63" s="1" t="s">
        <v>524</v>
      </c>
      <c r="Y63" s="56"/>
      <c r="Z63" s="56"/>
      <c r="AA63" s="56"/>
      <c r="AB63" s="56">
        <v>38852.456976173678</v>
      </c>
      <c r="AC63" s="56"/>
      <c r="AD63" s="56">
        <v>28812.320296045295</v>
      </c>
      <c r="AE63" s="56">
        <v>54917.572567484283</v>
      </c>
      <c r="AF63" s="56">
        <v>122582.34983970325</v>
      </c>
      <c r="AG63" s="71">
        <f t="shared" si="22"/>
        <v>0.33810970520009059</v>
      </c>
      <c r="AL63" s="1" t="s">
        <v>52</v>
      </c>
      <c r="AM63" s="56"/>
      <c r="AN63" s="56">
        <v>135</v>
      </c>
      <c r="AO63" s="56"/>
      <c r="AP63" s="56">
        <v>296.94</v>
      </c>
      <c r="AQ63" s="56"/>
      <c r="AR63" s="56"/>
      <c r="AS63" s="56"/>
      <c r="AT63" s="56">
        <v>431.94</v>
      </c>
      <c r="BB63" s="1" t="s">
        <v>33</v>
      </c>
      <c r="BC63" s="56">
        <v>1468183.0540679973</v>
      </c>
      <c r="BD63" s="56">
        <v>594954.2600737809</v>
      </c>
      <c r="BE63" s="56">
        <v>2063137.3141417783</v>
      </c>
    </row>
    <row r="64" spans="1:67">
      <c r="A64" s="1" t="s">
        <v>48</v>
      </c>
      <c r="B64" s="56"/>
      <c r="C64" s="56">
        <v>142695</v>
      </c>
      <c r="D64" s="56">
        <v>135200</v>
      </c>
      <c r="E64" s="56">
        <v>76700</v>
      </c>
      <c r="F64" s="56"/>
      <c r="G64" s="56"/>
      <c r="H64" s="56"/>
      <c r="I64" s="56">
        <v>354595</v>
      </c>
      <c r="J64" s="71">
        <f t="shared" si="20"/>
        <v>1.5997841789429004E-2</v>
      </c>
      <c r="L64" s="1" t="s">
        <v>48</v>
      </c>
      <c r="M64" s="56"/>
      <c r="N64" s="56">
        <v>34886.952804403256</v>
      </c>
      <c r="O64" s="56">
        <v>23561.481826976265</v>
      </c>
      <c r="P64" s="56">
        <v>13615.558497859587</v>
      </c>
      <c r="Q64" s="56"/>
      <c r="R64" s="56"/>
      <c r="S64" s="56"/>
      <c r="T64" s="56">
        <v>72063.993129239112</v>
      </c>
      <c r="U64" s="71">
        <f t="shared" si="21"/>
        <v>0.20322901656605172</v>
      </c>
      <c r="V64" s="71"/>
      <c r="W64" s="71"/>
      <c r="X64" s="1" t="s">
        <v>48</v>
      </c>
      <c r="Y64" s="56"/>
      <c r="Z64" s="56">
        <v>43718.954895002687</v>
      </c>
      <c r="AA64" s="56">
        <v>30812.959296328565</v>
      </c>
      <c r="AB64" s="56">
        <v>17873.043352519609</v>
      </c>
      <c r="AC64" s="56"/>
      <c r="AD64" s="56"/>
      <c r="AE64" s="56"/>
      <c r="AF64" s="56">
        <v>92404.957543850862</v>
      </c>
      <c r="AG64" s="71">
        <f t="shared" si="22"/>
        <v>0.26059295123690651</v>
      </c>
      <c r="AL64" s="1" t="s">
        <v>501</v>
      </c>
      <c r="AM64" s="56"/>
      <c r="AN64" s="56"/>
      <c r="AO64" s="56"/>
      <c r="AP64" s="56">
        <v>270</v>
      </c>
      <c r="AQ64" s="56">
        <v>161.80000000000001</v>
      </c>
      <c r="AR64" s="56"/>
      <c r="AS64" s="56"/>
      <c r="AT64" s="56">
        <v>431.8</v>
      </c>
      <c r="BB64" s="1" t="s">
        <v>495</v>
      </c>
      <c r="BC64" s="56">
        <v>59654.170151593971</v>
      </c>
      <c r="BD64" s="56">
        <v>710749.18410657626</v>
      </c>
      <c r="BE64" s="56">
        <v>770403.35425817023</v>
      </c>
    </row>
    <row r="65" spans="1:57">
      <c r="A65" s="1" t="s">
        <v>46</v>
      </c>
      <c r="B65" s="56"/>
      <c r="C65" s="56"/>
      <c r="D65" s="56">
        <v>352350</v>
      </c>
      <c r="E65" s="56"/>
      <c r="F65" s="56"/>
      <c r="G65" s="56"/>
      <c r="H65" s="56"/>
      <c r="I65" s="56">
        <v>352350</v>
      </c>
      <c r="J65" s="71">
        <f t="shared" si="20"/>
        <v>1.589655678874578E-2</v>
      </c>
      <c r="L65" s="1" t="s">
        <v>46</v>
      </c>
      <c r="M65" s="56"/>
      <c r="N65" s="56"/>
      <c r="O65" s="56">
        <v>-224394.15830908163</v>
      </c>
      <c r="P65" s="56"/>
      <c r="Q65" s="56"/>
      <c r="R65" s="56"/>
      <c r="S65" s="56"/>
      <c r="T65" s="56">
        <v>-224394.15830908163</v>
      </c>
      <c r="U65" s="71">
        <f t="shared" si="21"/>
        <v>-0.63685017258147192</v>
      </c>
      <c r="V65" s="71"/>
      <c r="W65" s="71"/>
      <c r="X65" s="1" t="s">
        <v>46</v>
      </c>
      <c r="Y65" s="56"/>
      <c r="Z65" s="56"/>
      <c r="AA65" s="56">
        <v>-190507.44628883916</v>
      </c>
      <c r="AB65" s="56"/>
      <c r="AC65" s="56"/>
      <c r="AD65" s="56"/>
      <c r="AE65" s="56"/>
      <c r="AF65" s="56">
        <v>-190507.44628883916</v>
      </c>
      <c r="AG65" s="71">
        <f t="shared" si="22"/>
        <v>-0.54067673134337779</v>
      </c>
      <c r="AL65" s="1" t="s">
        <v>508</v>
      </c>
      <c r="AM65" s="56"/>
      <c r="AN65" s="56"/>
      <c r="AO65" s="56"/>
      <c r="AP65" s="56">
        <v>215.46</v>
      </c>
      <c r="AQ65" s="56">
        <v>81</v>
      </c>
      <c r="AR65" s="56"/>
      <c r="AS65" s="56"/>
      <c r="AT65" s="56">
        <v>296.46000000000004</v>
      </c>
      <c r="BB65" s="1" t="s">
        <v>32</v>
      </c>
      <c r="BC65" s="56">
        <v>796852.62166209659</v>
      </c>
      <c r="BD65" s="56">
        <v>842545.85080671962</v>
      </c>
      <c r="BE65" s="56">
        <v>1639398.4724688162</v>
      </c>
    </row>
    <row r="66" spans="1:57">
      <c r="A66" s="1" t="s">
        <v>50</v>
      </c>
      <c r="B66" s="56">
        <v>44722</v>
      </c>
      <c r="C66" s="56"/>
      <c r="D66" s="56">
        <v>236060</v>
      </c>
      <c r="E66" s="56"/>
      <c r="F66" s="56">
        <v>51775</v>
      </c>
      <c r="G66" s="56"/>
      <c r="H66" s="56"/>
      <c r="I66" s="56">
        <v>332557</v>
      </c>
      <c r="J66" s="71">
        <f t="shared" si="20"/>
        <v>1.5003579497644189E-2</v>
      </c>
      <c r="L66" s="1" t="s">
        <v>50</v>
      </c>
      <c r="M66" s="56">
        <v>-20884.593344338384</v>
      </c>
      <c r="N66" s="56"/>
      <c r="O66" s="56">
        <v>-252973.27234272333</v>
      </c>
      <c r="P66" s="56"/>
      <c r="Q66" s="56">
        <v>-38407.319824577207</v>
      </c>
      <c r="R66" s="56"/>
      <c r="S66" s="56"/>
      <c r="T66" s="56">
        <v>-312265.18551163888</v>
      </c>
      <c r="U66" s="71">
        <f t="shared" si="21"/>
        <v>-0.93898244665317188</v>
      </c>
      <c r="V66" s="71"/>
      <c r="W66" s="71"/>
      <c r="X66" s="1" t="s">
        <v>50</v>
      </c>
      <c r="Y66" s="56">
        <v>3802.046978242231</v>
      </c>
      <c r="Z66" s="56"/>
      <c r="AA66" s="56">
        <v>-222712.29905715701</v>
      </c>
      <c r="AB66" s="56"/>
      <c r="AC66" s="56">
        <v>-31790.238675325068</v>
      </c>
      <c r="AD66" s="56"/>
      <c r="AE66" s="56"/>
      <c r="AF66" s="56">
        <v>-250700.49075423984</v>
      </c>
      <c r="AG66" s="71">
        <f t="shared" si="22"/>
        <v>-0.75385720569478265</v>
      </c>
      <c r="AL66" s="1" t="s">
        <v>49</v>
      </c>
      <c r="AM66" s="56"/>
      <c r="AN66" s="56"/>
      <c r="AO66" s="56">
        <v>108</v>
      </c>
      <c r="AP66" s="56"/>
      <c r="AQ66" s="56">
        <v>81</v>
      </c>
      <c r="AR66" s="56"/>
      <c r="AS66" s="56"/>
      <c r="AT66" s="56">
        <v>189</v>
      </c>
      <c r="BB66" s="1" t="s">
        <v>35</v>
      </c>
      <c r="BC66" s="56"/>
      <c r="BD66" s="56">
        <v>121033.98553057839</v>
      </c>
      <c r="BE66" s="56">
        <v>121033.98553057839</v>
      </c>
    </row>
    <row r="67" spans="1:57">
      <c r="A67" s="1" t="s">
        <v>488</v>
      </c>
      <c r="B67" s="56"/>
      <c r="C67" s="56"/>
      <c r="D67" s="56"/>
      <c r="E67" s="56">
        <v>279504</v>
      </c>
      <c r="F67" s="56"/>
      <c r="G67" s="56"/>
      <c r="H67" s="56"/>
      <c r="I67" s="56">
        <v>279504</v>
      </c>
      <c r="J67" s="71">
        <f t="shared" si="20"/>
        <v>1.2610050258781327E-2</v>
      </c>
      <c r="L67" s="1" t="s">
        <v>488</v>
      </c>
      <c r="M67" s="56"/>
      <c r="N67" s="56"/>
      <c r="O67" s="56"/>
      <c r="P67" s="56">
        <v>-10050.556787097528</v>
      </c>
      <c r="Q67" s="56"/>
      <c r="R67" s="56"/>
      <c r="S67" s="56"/>
      <c r="T67" s="56">
        <v>-10050.556787097528</v>
      </c>
      <c r="U67" s="71">
        <f t="shared" si="21"/>
        <v>-3.5958543659831442E-2</v>
      </c>
      <c r="V67" s="71"/>
      <c r="W67" s="71"/>
      <c r="X67" s="1" t="s">
        <v>488</v>
      </c>
      <c r="Y67" s="56"/>
      <c r="Z67" s="56"/>
      <c r="AA67" s="56"/>
      <c r="AB67" s="56">
        <v>7575.4305111949616</v>
      </c>
      <c r="AC67" s="56"/>
      <c r="AD67" s="56"/>
      <c r="AE67" s="56"/>
      <c r="AF67" s="56">
        <v>7575.4305111949616</v>
      </c>
      <c r="AG67" s="71">
        <f t="shared" si="22"/>
        <v>2.7103120210068412E-2</v>
      </c>
      <c r="AL67" s="1" t="s">
        <v>53</v>
      </c>
      <c r="AM67" s="56">
        <v>54</v>
      </c>
      <c r="AN67" s="56">
        <v>27</v>
      </c>
      <c r="AO67" s="56"/>
      <c r="AP67" s="56">
        <v>27</v>
      </c>
      <c r="AQ67" s="56">
        <v>53</v>
      </c>
      <c r="AR67" s="56"/>
      <c r="AS67" s="56"/>
      <c r="AT67" s="56">
        <v>161</v>
      </c>
      <c r="BB67" s="1" t="s">
        <v>36</v>
      </c>
      <c r="BC67" s="56">
        <v>48400.223590798938</v>
      </c>
      <c r="BD67" s="56">
        <v>92586.614332473226</v>
      </c>
      <c r="BE67" s="56">
        <v>140986.83792327216</v>
      </c>
    </row>
    <row r="68" spans="1:57">
      <c r="A68" s="1" t="s">
        <v>51</v>
      </c>
      <c r="B68" s="56"/>
      <c r="C68" s="56">
        <v>222750</v>
      </c>
      <c r="D68" s="56">
        <v>35553</v>
      </c>
      <c r="E68" s="56"/>
      <c r="F68" s="56"/>
      <c r="G68" s="56"/>
      <c r="H68" s="56"/>
      <c r="I68" s="56">
        <v>258303</v>
      </c>
      <c r="J68" s="71">
        <f t="shared" si="20"/>
        <v>1.1653549902663264E-2</v>
      </c>
      <c r="L68" s="1" t="s">
        <v>51</v>
      </c>
      <c r="M68" s="56"/>
      <c r="N68" s="56">
        <v>-50032.854918309327</v>
      </c>
      <c r="O68" s="56">
        <v>26484.907274275982</v>
      </c>
      <c r="P68" s="56"/>
      <c r="Q68" s="56"/>
      <c r="R68" s="56"/>
      <c r="S68" s="56"/>
      <c r="T68" s="56">
        <v>-23547.947644033346</v>
      </c>
      <c r="U68" s="71">
        <f t="shared" si="21"/>
        <v>-9.1164050142791012E-2</v>
      </c>
      <c r="V68" s="71"/>
      <c r="W68" s="82"/>
      <c r="X68" s="1" t="s">
        <v>51</v>
      </c>
      <c r="Y68" s="56"/>
      <c r="Z68" s="56">
        <v>-27536.245819612661</v>
      </c>
      <c r="AA68" s="56">
        <v>30250.097498747367</v>
      </c>
      <c r="AB68" s="56"/>
      <c r="AC68" s="56"/>
      <c r="AD68" s="56"/>
      <c r="AE68" s="56"/>
      <c r="AF68" s="56">
        <v>2713.8516791347065</v>
      </c>
      <c r="AG68" s="71">
        <f t="shared" si="22"/>
        <v>1.0506465968783586E-2</v>
      </c>
      <c r="AL68" s="1" t="s">
        <v>56</v>
      </c>
      <c r="AM68" s="56">
        <v>26</v>
      </c>
      <c r="AN68" s="56"/>
      <c r="AO68" s="56">
        <v>26</v>
      </c>
      <c r="AP68" s="56">
        <v>104</v>
      </c>
      <c r="AQ68" s="56">
        <v>26</v>
      </c>
      <c r="AR68" s="56"/>
      <c r="AS68" s="56">
        <v>26</v>
      </c>
      <c r="AT68" s="56">
        <v>208</v>
      </c>
      <c r="BB68" s="1" t="s">
        <v>34</v>
      </c>
      <c r="BC68" s="56">
        <v>26431.511374900576</v>
      </c>
      <c r="BD68" s="56">
        <v>730023.11409489589</v>
      </c>
      <c r="BE68" s="56">
        <v>756454.62546979648</v>
      </c>
    </row>
    <row r="69" spans="1:57">
      <c r="A69" s="1" t="s">
        <v>718</v>
      </c>
      <c r="B69" s="56"/>
      <c r="C69" s="56"/>
      <c r="D69" s="56"/>
      <c r="E69" s="56"/>
      <c r="F69" s="56">
        <v>164700</v>
      </c>
      <c r="G69" s="56">
        <v>82350</v>
      </c>
      <c r="H69" s="56"/>
      <c r="I69" s="56">
        <v>247050</v>
      </c>
      <c r="J69" s="71">
        <f t="shared" si="20"/>
        <v>1.1145861656476927E-2</v>
      </c>
      <c r="L69" s="1" t="s">
        <v>718</v>
      </c>
      <c r="M69" s="56"/>
      <c r="N69" s="56"/>
      <c r="O69" s="56"/>
      <c r="P69" s="56"/>
      <c r="Q69" s="56">
        <v>54682.280373036774</v>
      </c>
      <c r="R69" s="56">
        <v>31617.561566492892</v>
      </c>
      <c r="S69" s="56"/>
      <c r="T69" s="56">
        <v>86299.841939529666</v>
      </c>
      <c r="U69" s="71">
        <f t="shared" si="21"/>
        <v>0.34932135980380352</v>
      </c>
      <c r="V69" s="82"/>
      <c r="X69" s="1" t="s">
        <v>718</v>
      </c>
      <c r="Y69" s="56"/>
      <c r="Z69" s="56"/>
      <c r="AA69" s="56"/>
      <c r="AB69" s="56"/>
      <c r="AC69" s="56">
        <v>62622.777752139344</v>
      </c>
      <c r="AD69" s="56">
        <v>37467.320936688506</v>
      </c>
      <c r="AE69" s="56"/>
      <c r="AF69" s="56">
        <v>100090.09868882786</v>
      </c>
      <c r="AG69" s="71">
        <f t="shared" si="22"/>
        <v>0.40514105925451471</v>
      </c>
      <c r="AL69" s="1" t="s">
        <v>524</v>
      </c>
      <c r="AM69" s="56"/>
      <c r="AN69" s="56"/>
      <c r="AO69" s="56"/>
      <c r="AP69" s="56">
        <v>51.8</v>
      </c>
      <c r="AQ69" s="56"/>
      <c r="AR69" s="56">
        <v>26</v>
      </c>
      <c r="AS69" s="56">
        <v>53</v>
      </c>
      <c r="AT69" s="56">
        <v>130.80000000000001</v>
      </c>
      <c r="BB69" s="1" t="s">
        <v>37</v>
      </c>
      <c r="BC69" s="56">
        <v>45745.09551838589</v>
      </c>
      <c r="BD69" s="56">
        <v>66785.543006939552</v>
      </c>
      <c r="BE69" s="56">
        <v>112530.63852532544</v>
      </c>
    </row>
    <row r="70" spans="1:57">
      <c r="A70" s="1" t="s">
        <v>419</v>
      </c>
      <c r="B70" s="56">
        <v>24314.28</v>
      </c>
      <c r="C70" s="56">
        <v>40026</v>
      </c>
      <c r="D70" s="56">
        <v>26456.610000000008</v>
      </c>
      <c r="E70" s="56">
        <v>37768.57</v>
      </c>
      <c r="F70" s="56">
        <v>23613.25</v>
      </c>
      <c r="G70" s="56">
        <v>42995.3</v>
      </c>
      <c r="H70" s="56">
        <v>26456.610000000008</v>
      </c>
      <c r="I70" s="56">
        <v>221630.62000000002</v>
      </c>
      <c r="J70" s="71">
        <f t="shared" si="20"/>
        <v>9.9990456561797544E-3</v>
      </c>
      <c r="L70" s="1" t="s">
        <v>419</v>
      </c>
      <c r="M70" s="56">
        <v>24314.28</v>
      </c>
      <c r="N70" s="56">
        <v>40026</v>
      </c>
      <c r="O70" s="56">
        <v>26456.610000000008</v>
      </c>
      <c r="P70" s="56">
        <v>37768.57</v>
      </c>
      <c r="Q70" s="56">
        <v>23613.25</v>
      </c>
      <c r="R70" s="56">
        <v>42995.3</v>
      </c>
      <c r="S70" s="56">
        <v>26456.610000000008</v>
      </c>
      <c r="T70" s="56">
        <v>221630.62000000002</v>
      </c>
      <c r="U70" s="71">
        <f t="shared" si="21"/>
        <v>1</v>
      </c>
      <c r="X70" s="1" t="s">
        <v>419</v>
      </c>
      <c r="Y70" s="56">
        <v>24314.28</v>
      </c>
      <c r="Z70" s="56">
        <v>40026</v>
      </c>
      <c r="AA70" s="56">
        <v>26456.610000000008</v>
      </c>
      <c r="AB70" s="56">
        <v>37768.57</v>
      </c>
      <c r="AC70" s="56">
        <v>23613.25</v>
      </c>
      <c r="AD70" s="56">
        <v>42995.3</v>
      </c>
      <c r="AE70" s="56">
        <v>26456.610000000008</v>
      </c>
      <c r="AF70" s="56">
        <v>221630.62000000002</v>
      </c>
      <c r="AG70" s="71">
        <f t="shared" si="22"/>
        <v>1</v>
      </c>
      <c r="AL70" s="1" t="s">
        <v>48</v>
      </c>
      <c r="AM70" s="56"/>
      <c r="AN70" s="56">
        <v>53</v>
      </c>
      <c r="AO70" s="56">
        <v>52</v>
      </c>
      <c r="AP70" s="56">
        <v>26</v>
      </c>
      <c r="AQ70" s="56"/>
      <c r="AR70" s="56"/>
      <c r="AS70" s="56"/>
      <c r="AT70" s="56">
        <v>131</v>
      </c>
      <c r="BB70" s="1" t="s">
        <v>39</v>
      </c>
      <c r="BC70" s="56">
        <v>36716.621323468964</v>
      </c>
      <c r="BD70" s="56"/>
      <c r="BE70" s="56">
        <v>36716.621323468964</v>
      </c>
    </row>
    <row r="71" spans="1:57">
      <c r="A71" s="1" t="s">
        <v>55</v>
      </c>
      <c r="B71" s="56"/>
      <c r="C71" s="56">
        <v>77212.5</v>
      </c>
      <c r="D71" s="56"/>
      <c r="E71" s="56">
        <v>104700</v>
      </c>
      <c r="F71" s="56">
        <v>53812.5</v>
      </c>
      <c r="G71" s="56"/>
      <c r="H71" s="56"/>
      <c r="I71" s="56">
        <v>235725</v>
      </c>
      <c r="J71" s="71">
        <f t="shared" si="20"/>
        <v>1.063492507173861E-2</v>
      </c>
      <c r="L71" s="1" t="s">
        <v>55</v>
      </c>
      <c r="M71" s="56"/>
      <c r="N71" s="56">
        <v>-7387.2793430618494</v>
      </c>
      <c r="O71" s="56"/>
      <c r="P71" s="56">
        <v>87558.886534114325</v>
      </c>
      <c r="Q71" s="56">
        <v>46854.792265860611</v>
      </c>
      <c r="R71" s="56"/>
      <c r="S71" s="56"/>
      <c r="T71" s="56">
        <v>127026.39945691309</v>
      </c>
      <c r="U71" s="71">
        <f t="shared" si="21"/>
        <v>0.53887538214832154</v>
      </c>
      <c r="X71" s="1" t="s">
        <v>55</v>
      </c>
      <c r="Y71" s="56"/>
      <c r="Z71" s="56">
        <v>1611.3642964168166</v>
      </c>
      <c r="AA71" s="56"/>
      <c r="AB71" s="56">
        <v>96131.168539554797</v>
      </c>
      <c r="AC71" s="56">
        <v>50714.756269591024</v>
      </c>
      <c r="AD71" s="56"/>
      <c r="AE71" s="56"/>
      <c r="AF71" s="56">
        <v>148457.28910556264</v>
      </c>
      <c r="AG71" s="71">
        <f t="shared" si="22"/>
        <v>0.62979017543986693</v>
      </c>
      <c r="AL71" s="1" t="s">
        <v>46</v>
      </c>
      <c r="AM71" s="56"/>
      <c r="AN71" s="56"/>
      <c r="AO71" s="56">
        <v>243</v>
      </c>
      <c r="AP71" s="56"/>
      <c r="AQ71" s="56"/>
      <c r="AR71" s="56"/>
      <c r="AS71" s="56"/>
      <c r="AT71" s="56">
        <v>243</v>
      </c>
      <c r="BB71" s="1" t="s">
        <v>38</v>
      </c>
      <c r="BC71" s="56">
        <v>36716.621323468964</v>
      </c>
      <c r="BD71" s="56">
        <v>0</v>
      </c>
      <c r="BE71" s="56">
        <v>36716.621323468964</v>
      </c>
    </row>
    <row r="72" spans="1:57">
      <c r="A72" s="1" t="s">
        <v>58</v>
      </c>
      <c r="B72" s="56"/>
      <c r="C72" s="56"/>
      <c r="D72" s="56">
        <v>70200</v>
      </c>
      <c r="E72" s="56">
        <v>145800</v>
      </c>
      <c r="F72" s="56"/>
      <c r="G72" s="56"/>
      <c r="H72" s="56"/>
      <c r="I72" s="56">
        <v>216000</v>
      </c>
      <c r="J72" s="71">
        <f t="shared" si="20"/>
        <v>9.7450156559361102E-3</v>
      </c>
      <c r="L72" s="1" t="s">
        <v>58</v>
      </c>
      <c r="M72" s="56"/>
      <c r="N72" s="56"/>
      <c r="O72" s="56">
        <v>13567.458640929986</v>
      </c>
      <c r="P72" s="56">
        <v>21712.506680459148</v>
      </c>
      <c r="Q72" s="56"/>
      <c r="R72" s="56"/>
      <c r="S72" s="56"/>
      <c r="T72" s="56">
        <v>35279.965321389136</v>
      </c>
      <c r="U72" s="71">
        <f t="shared" si="21"/>
        <v>0.16333317278420897</v>
      </c>
      <c r="X72" s="1" t="s">
        <v>58</v>
      </c>
      <c r="Y72" s="56"/>
      <c r="Z72" s="56"/>
      <c r="AA72" s="56">
        <v>17332.648865401374</v>
      </c>
      <c r="AB72" s="56">
        <v>30554.975224753034</v>
      </c>
      <c r="AC72" s="56"/>
      <c r="AD72" s="56"/>
      <c r="AE72" s="56"/>
      <c r="AF72" s="56">
        <v>47887.624090154408</v>
      </c>
      <c r="AG72" s="71">
        <f t="shared" si="22"/>
        <v>0.22170196338034448</v>
      </c>
      <c r="AL72" s="1" t="s">
        <v>50</v>
      </c>
      <c r="AM72" s="56">
        <v>24</v>
      </c>
      <c r="AN72" s="56"/>
      <c r="AO72" s="56">
        <v>217</v>
      </c>
      <c r="AP72" s="56"/>
      <c r="AQ72" s="56">
        <v>45</v>
      </c>
      <c r="AR72" s="56"/>
      <c r="AS72" s="56"/>
      <c r="AT72" s="56">
        <v>286</v>
      </c>
      <c r="BB72" s="1" t="s">
        <v>417</v>
      </c>
      <c r="BC72" s="56">
        <v>0</v>
      </c>
      <c r="BD72" s="56">
        <v>0</v>
      </c>
      <c r="BE72" s="56">
        <v>0</v>
      </c>
    </row>
    <row r="73" spans="1:57">
      <c r="A73" s="1" t="s">
        <v>731</v>
      </c>
      <c r="B73" s="56"/>
      <c r="C73" s="56"/>
      <c r="D73" s="56"/>
      <c r="E73" s="56"/>
      <c r="F73" s="56">
        <v>167700</v>
      </c>
      <c r="G73" s="56"/>
      <c r="H73" s="56"/>
      <c r="I73" s="56">
        <v>167700</v>
      </c>
      <c r="J73" s="71">
        <f t="shared" si="20"/>
        <v>7.5659218773170634E-3</v>
      </c>
      <c r="L73" s="1" t="s">
        <v>731</v>
      </c>
      <c r="M73" s="56"/>
      <c r="N73" s="56"/>
      <c r="O73" s="56"/>
      <c r="P73" s="56"/>
      <c r="Q73" s="56">
        <v>-19201.667889246433</v>
      </c>
      <c r="R73" s="56"/>
      <c r="S73" s="56"/>
      <c r="T73" s="56">
        <v>-19201.667889246433</v>
      </c>
      <c r="U73" s="71">
        <f t="shared" si="21"/>
        <v>-0.11450010667409918</v>
      </c>
      <c r="X73" s="1" t="s">
        <v>731</v>
      </c>
      <c r="Y73" s="56"/>
      <c r="Z73" s="56"/>
      <c r="AA73" s="56"/>
      <c r="AB73" s="56"/>
      <c r="AC73" s="56">
        <v>-7290.9218205925827</v>
      </c>
      <c r="AD73" s="56"/>
      <c r="AE73" s="56"/>
      <c r="AF73" s="56">
        <v>-7290.9218205925827</v>
      </c>
      <c r="AG73" s="71">
        <f t="shared" si="22"/>
        <v>-4.3475979848494828E-2</v>
      </c>
      <c r="AL73" s="1" t="s">
        <v>488</v>
      </c>
      <c r="AM73" s="56"/>
      <c r="AN73" s="56"/>
      <c r="AO73" s="56"/>
      <c r="AP73" s="56">
        <v>107.64</v>
      </c>
      <c r="AQ73" s="56"/>
      <c r="AR73" s="56"/>
      <c r="AS73" s="56"/>
      <c r="AT73" s="56">
        <v>107.64</v>
      </c>
      <c r="BB73" s="1" t="s">
        <v>9</v>
      </c>
      <c r="BC73" s="56">
        <v>2896198.0827623764</v>
      </c>
      <c r="BD73" s="56">
        <v>3759147.3514940944</v>
      </c>
      <c r="BE73" s="56">
        <v>6655345.4342564717</v>
      </c>
    </row>
    <row r="74" spans="1:57">
      <c r="A74" s="1" t="s">
        <v>836</v>
      </c>
      <c r="B74" s="56"/>
      <c r="C74" s="56"/>
      <c r="D74" s="56"/>
      <c r="E74" s="56"/>
      <c r="F74" s="56"/>
      <c r="G74" s="56"/>
      <c r="H74" s="260">
        <v>161610</v>
      </c>
      <c r="I74" s="56">
        <v>161610</v>
      </c>
      <c r="J74" s="116">
        <f t="shared" si="20"/>
        <v>7.2911665747955315E-3</v>
      </c>
      <c r="L74" s="1" t="s">
        <v>836</v>
      </c>
      <c r="M74" s="56"/>
      <c r="N74" s="56"/>
      <c r="O74" s="56"/>
      <c r="P74" s="56"/>
      <c r="Q74" s="56"/>
      <c r="R74" s="56"/>
      <c r="S74" s="56">
        <v>53660.616471139554</v>
      </c>
      <c r="T74" s="56">
        <v>53660.616471139554</v>
      </c>
      <c r="U74" s="116">
        <f t="shared" si="21"/>
        <v>0.33203772335337883</v>
      </c>
      <c r="X74" s="1" t="s">
        <v>836</v>
      </c>
      <c r="Y74" s="56"/>
      <c r="Z74" s="56"/>
      <c r="AA74" s="56"/>
      <c r="AB74" s="56"/>
      <c r="AC74" s="56"/>
      <c r="AD74" s="56"/>
      <c r="AE74" s="56">
        <v>72906.351202996491</v>
      </c>
      <c r="AF74" s="56">
        <v>72906.351202996491</v>
      </c>
      <c r="AG74" s="71">
        <f t="shared" si="22"/>
        <v>0.45112524721859099</v>
      </c>
      <c r="AL74" s="1" t="s">
        <v>51</v>
      </c>
      <c r="AM74" s="56"/>
      <c r="AN74" s="56">
        <v>135</v>
      </c>
      <c r="AO74" s="56">
        <v>27</v>
      </c>
      <c r="AP74" s="56"/>
      <c r="AQ74" s="56"/>
      <c r="AR74" s="56"/>
      <c r="AS74" s="56"/>
      <c r="AT74" s="56">
        <v>162</v>
      </c>
    </row>
    <row r="75" spans="1:57">
      <c r="A75" s="1" t="s">
        <v>812</v>
      </c>
      <c r="B75" s="56"/>
      <c r="C75" s="56"/>
      <c r="D75" s="56"/>
      <c r="E75" s="56"/>
      <c r="F75" s="56"/>
      <c r="G75" s="56"/>
      <c r="H75" s="260">
        <v>119700</v>
      </c>
      <c r="I75" s="56">
        <v>119700</v>
      </c>
      <c r="J75" s="116">
        <f t="shared" si="20"/>
        <v>5.4003628426645949E-3</v>
      </c>
      <c r="L75" s="1" t="s">
        <v>812</v>
      </c>
      <c r="M75" s="56"/>
      <c r="N75" s="56"/>
      <c r="O75" s="56"/>
      <c r="P75" s="56"/>
      <c r="Q75" s="56"/>
      <c r="R75" s="56"/>
      <c r="S75" s="56">
        <v>-58093.579788192677</v>
      </c>
      <c r="T75" s="56">
        <v>-58093.579788192677</v>
      </c>
      <c r="U75" s="116">
        <f t="shared" si="21"/>
        <v>-0.48532648110436655</v>
      </c>
      <c r="X75" s="1" t="s">
        <v>812</v>
      </c>
      <c r="Y75" s="56"/>
      <c r="Z75" s="56"/>
      <c r="AA75" s="56"/>
      <c r="AB75" s="56"/>
      <c r="AC75" s="56"/>
      <c r="AD75" s="56"/>
      <c r="AE75" s="56">
        <v>-26017.355235097792</v>
      </c>
      <c r="AF75" s="56">
        <v>-26017.355235097792</v>
      </c>
      <c r="AG75" s="71">
        <f t="shared" si="22"/>
        <v>-0.21735468032663152</v>
      </c>
      <c r="AL75" s="1" t="s">
        <v>718</v>
      </c>
      <c r="AM75" s="56"/>
      <c r="AN75" s="56"/>
      <c r="AO75" s="56"/>
      <c r="AP75" s="56"/>
      <c r="AQ75" s="56">
        <v>54</v>
      </c>
      <c r="AR75" s="56">
        <v>27</v>
      </c>
      <c r="AS75" s="56"/>
      <c r="AT75" s="56">
        <v>81</v>
      </c>
    </row>
    <row r="76" spans="1:57">
      <c r="A76" s="1" t="s">
        <v>774</v>
      </c>
      <c r="B76" s="56"/>
      <c r="C76" s="56"/>
      <c r="D76" s="56"/>
      <c r="E76" s="56"/>
      <c r="F76" s="56"/>
      <c r="G76" s="260">
        <v>118800</v>
      </c>
      <c r="H76" s="56"/>
      <c r="I76" s="56">
        <v>118800</v>
      </c>
      <c r="J76" s="116">
        <f t="shared" si="20"/>
        <v>5.3597586107648606E-3</v>
      </c>
      <c r="L76" s="1" t="s">
        <v>774</v>
      </c>
      <c r="M76" s="56"/>
      <c r="N76" s="56"/>
      <c r="O76" s="56"/>
      <c r="P76" s="56"/>
      <c r="Q76" s="56"/>
      <c r="R76" s="56">
        <v>8291.4954036821255</v>
      </c>
      <c r="S76" s="56"/>
      <c r="T76" s="56">
        <v>8291.4954036821255</v>
      </c>
      <c r="U76" s="116">
        <f t="shared" si="21"/>
        <v>6.9793732354226645E-2</v>
      </c>
      <c r="X76" s="1" t="s">
        <v>774</v>
      </c>
      <c r="Y76" s="56"/>
      <c r="Z76" s="56"/>
      <c r="AA76" s="56"/>
      <c r="AB76" s="56"/>
      <c r="AC76" s="56"/>
      <c r="AD76" s="56">
        <v>19991.014144073353</v>
      </c>
      <c r="AE76" s="56"/>
      <c r="AF76" s="56">
        <v>19991.014144073353</v>
      </c>
      <c r="AG76" s="71">
        <f t="shared" si="22"/>
        <v>0.16827452983226729</v>
      </c>
      <c r="AL76" s="1" t="s">
        <v>419</v>
      </c>
      <c r="AM76" s="56">
        <v>0</v>
      </c>
      <c r="AN76" s="56">
        <v>0</v>
      </c>
      <c r="AO76" s="56">
        <v>0</v>
      </c>
      <c r="AP76" s="56">
        <v>0</v>
      </c>
      <c r="AQ76" s="56">
        <v>0</v>
      </c>
      <c r="AR76" s="56">
        <v>0</v>
      </c>
      <c r="AS76" s="56">
        <v>0</v>
      </c>
      <c r="AT76" s="56">
        <v>0</v>
      </c>
    </row>
    <row r="77" spans="1:57">
      <c r="A77" s="1" t="s">
        <v>734</v>
      </c>
      <c r="B77" s="56"/>
      <c r="C77" s="56"/>
      <c r="D77" s="56"/>
      <c r="E77" s="56"/>
      <c r="F77" s="56">
        <v>105560</v>
      </c>
      <c r="G77" s="56"/>
      <c r="H77" s="56"/>
      <c r="I77" s="56">
        <v>105560</v>
      </c>
      <c r="J77" s="116">
        <f t="shared" si="20"/>
        <v>4.7624252437065548E-3</v>
      </c>
      <c r="L77" s="1" t="s">
        <v>734</v>
      </c>
      <c r="M77" s="56"/>
      <c r="N77" s="56"/>
      <c r="O77" s="56"/>
      <c r="P77" s="56"/>
      <c r="Q77" s="56">
        <v>-19235.511926164276</v>
      </c>
      <c r="R77" s="56"/>
      <c r="S77" s="56"/>
      <c r="T77" s="56">
        <v>-19235.511926164276</v>
      </c>
      <c r="U77" s="116">
        <f t="shared" si="21"/>
        <v>-0.18222349304816479</v>
      </c>
      <c r="X77" s="1" t="s">
        <v>734</v>
      </c>
      <c r="Y77" s="56"/>
      <c r="Z77" s="56"/>
      <c r="AA77" s="56"/>
      <c r="AB77" s="56"/>
      <c r="AC77" s="56">
        <v>-11295.014547061708</v>
      </c>
      <c r="AD77" s="56"/>
      <c r="AE77" s="56"/>
      <c r="AF77" s="56">
        <v>-11295.014547061708</v>
      </c>
      <c r="AG77" s="71">
        <f t="shared" si="22"/>
        <v>-0.10700089567129319</v>
      </c>
      <c r="AL77" s="1" t="s">
        <v>55</v>
      </c>
      <c r="AM77" s="56"/>
      <c r="AN77" s="56">
        <v>54</v>
      </c>
      <c r="AO77" s="56"/>
      <c r="AP77" s="56">
        <v>52.35</v>
      </c>
      <c r="AQ77" s="56">
        <v>26.25</v>
      </c>
      <c r="AR77" s="56"/>
      <c r="AS77" s="56"/>
      <c r="AT77" s="56">
        <v>132.6</v>
      </c>
    </row>
    <row r="78" spans="1:57">
      <c r="A78" s="1" t="s">
        <v>853</v>
      </c>
      <c r="B78" s="56"/>
      <c r="C78" s="56"/>
      <c r="D78" s="56"/>
      <c r="E78" s="56"/>
      <c r="F78" s="56"/>
      <c r="G78" s="56"/>
      <c r="H78" s="260">
        <v>99900</v>
      </c>
      <c r="I78" s="56">
        <v>99900</v>
      </c>
      <c r="J78" s="116">
        <f t="shared" si="20"/>
        <v>4.5070697408704508E-3</v>
      </c>
      <c r="L78" s="1" t="s">
        <v>853</v>
      </c>
      <c r="M78" s="56"/>
      <c r="N78" s="56"/>
      <c r="O78" s="56"/>
      <c r="P78" s="56"/>
      <c r="Q78" s="56"/>
      <c r="R78" s="56"/>
      <c r="S78" s="56">
        <v>7607.0988720487549</v>
      </c>
      <c r="T78" s="56">
        <v>7607.0988720487549</v>
      </c>
      <c r="U78" s="71">
        <f t="shared" si="21"/>
        <v>7.6147135856343889E-2</v>
      </c>
      <c r="X78" s="1" t="s">
        <v>853</v>
      </c>
      <c r="Y78" s="56"/>
      <c r="Z78" s="56"/>
      <c r="AA78" s="56"/>
      <c r="AB78" s="56"/>
      <c r="AC78" s="56"/>
      <c r="AD78" s="56"/>
      <c r="AE78" s="56">
        <v>26852.833603905689</v>
      </c>
      <c r="AF78" s="56">
        <v>26852.833603905689</v>
      </c>
      <c r="AG78" s="71">
        <f t="shared" si="22"/>
        <v>0.26879713317222914</v>
      </c>
      <c r="AL78" s="1" t="s">
        <v>58</v>
      </c>
      <c r="AM78" s="56"/>
      <c r="AN78" s="56"/>
      <c r="AO78" s="56">
        <v>27</v>
      </c>
      <c r="AP78" s="56">
        <v>54</v>
      </c>
      <c r="AQ78" s="56"/>
      <c r="AR78" s="56"/>
      <c r="AS78" s="56"/>
      <c r="AT78" s="56">
        <v>81</v>
      </c>
    </row>
    <row r="79" spans="1:57">
      <c r="A79" s="1" t="s">
        <v>54</v>
      </c>
      <c r="B79" s="56"/>
      <c r="C79" s="56">
        <v>91800</v>
      </c>
      <c r="D79" s="56"/>
      <c r="E79" s="56"/>
      <c r="F79" s="56"/>
      <c r="G79" s="56"/>
      <c r="H79" s="56"/>
      <c r="I79" s="56">
        <v>91800</v>
      </c>
      <c r="J79" s="116">
        <f t="shared" si="20"/>
        <v>4.1416316537728473E-3</v>
      </c>
      <c r="L79" s="1" t="s">
        <v>54</v>
      </c>
      <c r="M79" s="56"/>
      <c r="N79" s="56">
        <v>28158.374000344069</v>
      </c>
      <c r="O79" s="56"/>
      <c r="P79" s="56"/>
      <c r="Q79" s="56"/>
      <c r="R79" s="56"/>
      <c r="S79" s="56"/>
      <c r="T79" s="56">
        <v>28158.374000344069</v>
      </c>
      <c r="U79" s="71">
        <f t="shared" si="21"/>
        <v>0.30673610022161296</v>
      </c>
      <c r="X79" s="1" t="s">
        <v>54</v>
      </c>
      <c r="Y79" s="56"/>
      <c r="Z79" s="56">
        <v>32657.695820083401</v>
      </c>
      <c r="AA79" s="56"/>
      <c r="AB79" s="56"/>
      <c r="AC79" s="56"/>
      <c r="AD79" s="56"/>
      <c r="AE79" s="56"/>
      <c r="AF79" s="56">
        <v>32657.695820083401</v>
      </c>
      <c r="AG79" s="71">
        <f t="shared" si="22"/>
        <v>0.35574832048021132</v>
      </c>
      <c r="AL79" s="1" t="s">
        <v>731</v>
      </c>
      <c r="AM79" s="56"/>
      <c r="AN79" s="56"/>
      <c r="AO79" s="56"/>
      <c r="AP79" s="56"/>
      <c r="AQ79" s="56">
        <v>81</v>
      </c>
      <c r="AR79" s="56"/>
      <c r="AS79" s="56"/>
      <c r="AT79" s="56">
        <v>81</v>
      </c>
    </row>
    <row r="80" spans="1:57">
      <c r="A80" s="1" t="s">
        <v>721</v>
      </c>
      <c r="B80" s="56"/>
      <c r="C80" s="56"/>
      <c r="D80" s="56"/>
      <c r="E80" s="56"/>
      <c r="F80" s="56">
        <v>83700</v>
      </c>
      <c r="G80" s="56"/>
      <c r="H80" s="56"/>
      <c r="I80" s="56">
        <v>83700</v>
      </c>
      <c r="J80" s="116">
        <f t="shared" si="20"/>
        <v>3.7761935666752429E-3</v>
      </c>
      <c r="L80" s="1" t="s">
        <v>721</v>
      </c>
      <c r="M80" s="56"/>
      <c r="N80" s="56"/>
      <c r="O80" s="56"/>
      <c r="P80" s="56"/>
      <c r="Q80" s="56">
        <v>28732.670186518386</v>
      </c>
      <c r="R80" s="56"/>
      <c r="S80" s="56"/>
      <c r="T80" s="56">
        <v>28732.670186518386</v>
      </c>
      <c r="U80" s="71">
        <f t="shared" si="21"/>
        <v>0.34328160318421008</v>
      </c>
      <c r="X80" s="1" t="s">
        <v>721</v>
      </c>
      <c r="Y80" s="56"/>
      <c r="Z80" s="56"/>
      <c r="AA80" s="56"/>
      <c r="AB80" s="56"/>
      <c r="AC80" s="56">
        <v>32702.918876069671</v>
      </c>
      <c r="AD80" s="56"/>
      <c r="AE80" s="56"/>
      <c r="AF80" s="56">
        <v>32702.918876069671</v>
      </c>
      <c r="AG80" s="71">
        <f t="shared" si="22"/>
        <v>0.39071587665555163</v>
      </c>
      <c r="AL80" s="1" t="s">
        <v>836</v>
      </c>
      <c r="AM80" s="56"/>
      <c r="AN80" s="56"/>
      <c r="AO80" s="56"/>
      <c r="AP80" s="56"/>
      <c r="AQ80" s="56"/>
      <c r="AR80" s="56"/>
      <c r="AS80" s="260">
        <v>54</v>
      </c>
      <c r="AT80" s="56">
        <v>54</v>
      </c>
    </row>
    <row r="81" spans="1:46">
      <c r="A81" s="1" t="s">
        <v>530</v>
      </c>
      <c r="B81" s="56"/>
      <c r="C81" s="56"/>
      <c r="D81" s="56"/>
      <c r="E81" s="56">
        <v>81000</v>
      </c>
      <c r="F81" s="56"/>
      <c r="G81" s="56"/>
      <c r="H81" s="56"/>
      <c r="I81" s="56">
        <v>81000</v>
      </c>
      <c r="J81" s="116">
        <f t="shared" si="20"/>
        <v>3.6543808709760413E-3</v>
      </c>
      <c r="L81" s="1" t="s">
        <v>530</v>
      </c>
      <c r="M81" s="56"/>
      <c r="N81" s="56"/>
      <c r="O81" s="56"/>
      <c r="P81" s="56">
        <v>19312.55334022957</v>
      </c>
      <c r="Q81" s="56"/>
      <c r="R81" s="56"/>
      <c r="S81" s="56"/>
      <c r="T81" s="56">
        <v>19312.55334022957</v>
      </c>
      <c r="U81" s="71">
        <f t="shared" si="21"/>
        <v>0.23842658444727863</v>
      </c>
      <c r="X81" s="1" t="s">
        <v>530</v>
      </c>
      <c r="Y81" s="56"/>
      <c r="Z81" s="56"/>
      <c r="AA81" s="56"/>
      <c r="AB81" s="56">
        <v>23733.787612376516</v>
      </c>
      <c r="AC81" s="56"/>
      <c r="AD81" s="56"/>
      <c r="AE81" s="56"/>
      <c r="AF81" s="56">
        <v>23733.787612376516</v>
      </c>
      <c r="AG81" s="71">
        <f t="shared" si="22"/>
        <v>0.2930097236095866</v>
      </c>
      <c r="AL81" s="1" t="s">
        <v>812</v>
      </c>
      <c r="AM81" s="56"/>
      <c r="AN81" s="56"/>
      <c r="AO81" s="56"/>
      <c r="AP81" s="56"/>
      <c r="AQ81" s="56"/>
      <c r="AR81" s="56"/>
      <c r="AS81" s="260">
        <v>90</v>
      </c>
      <c r="AT81" s="56">
        <v>90</v>
      </c>
    </row>
    <row r="82" spans="1:46">
      <c r="A82" s="1" t="s">
        <v>824</v>
      </c>
      <c r="B82" s="56"/>
      <c r="C82" s="56"/>
      <c r="D82" s="56"/>
      <c r="E82" s="56"/>
      <c r="F82" s="56"/>
      <c r="G82" s="56"/>
      <c r="H82" s="260">
        <v>68850</v>
      </c>
      <c r="I82" s="56">
        <v>68850</v>
      </c>
      <c r="J82" s="116">
        <f t="shared" si="20"/>
        <v>3.1062237403296352E-3</v>
      </c>
      <c r="L82" s="1" t="s">
        <v>824</v>
      </c>
      <c r="M82" s="56"/>
      <c r="N82" s="56"/>
      <c r="O82" s="56"/>
      <c r="P82" s="56"/>
      <c r="Q82" s="56"/>
      <c r="R82" s="56"/>
      <c r="S82" s="56">
        <v>22508.080989650014</v>
      </c>
      <c r="T82" s="56">
        <v>22508.080989650014</v>
      </c>
      <c r="U82" s="71">
        <f t="shared" si="21"/>
        <v>0.32691475656717522</v>
      </c>
      <c r="X82" s="1" t="s">
        <v>824</v>
      </c>
      <c r="Y82" s="56"/>
      <c r="Z82" s="56"/>
      <c r="AA82" s="56"/>
      <c r="AB82" s="56"/>
      <c r="AC82" s="56"/>
      <c r="AD82" s="56"/>
      <c r="AE82" s="56">
        <v>32130.948355578483</v>
      </c>
      <c r="AF82" s="56">
        <v>32130.948355578483</v>
      </c>
      <c r="AG82" s="71">
        <f t="shared" si="22"/>
        <v>0.46668044089438609</v>
      </c>
      <c r="AL82" s="1" t="s">
        <v>774</v>
      </c>
      <c r="AM82" s="56"/>
      <c r="AN82" s="56"/>
      <c r="AO82" s="56"/>
      <c r="AP82" s="56"/>
      <c r="AQ82" s="56"/>
      <c r="AR82" s="260">
        <v>54</v>
      </c>
      <c r="AS82" s="56"/>
      <c r="AT82" s="56">
        <v>54</v>
      </c>
    </row>
    <row r="83" spans="1:46">
      <c r="A83" s="1" t="s">
        <v>724</v>
      </c>
      <c r="B83" s="56"/>
      <c r="C83" s="56"/>
      <c r="D83" s="56"/>
      <c r="E83" s="56"/>
      <c r="F83" s="56">
        <v>66250</v>
      </c>
      <c r="G83" s="56"/>
      <c r="H83" s="56"/>
      <c r="I83" s="56">
        <v>66250</v>
      </c>
      <c r="J83" s="116">
        <f t="shared" si="20"/>
        <v>2.9889226259526263E-3</v>
      </c>
      <c r="L83" s="1" t="s">
        <v>724</v>
      </c>
      <c r="M83" s="56"/>
      <c r="N83" s="56"/>
      <c r="O83" s="56"/>
      <c r="P83" s="56"/>
      <c r="Q83" s="56">
        <v>59023.517187742342</v>
      </c>
      <c r="R83" s="56"/>
      <c r="S83" s="56"/>
      <c r="T83" s="56">
        <v>59023.517187742342</v>
      </c>
      <c r="U83" s="71">
        <f t="shared" si="21"/>
        <v>0.89092101415460134</v>
      </c>
      <c r="X83" s="1" t="s">
        <v>724</v>
      </c>
      <c r="Y83" s="56"/>
      <c r="Z83" s="56"/>
      <c r="AA83" s="56"/>
      <c r="AB83" s="56"/>
      <c r="AC83" s="56">
        <v>62993.765877293627</v>
      </c>
      <c r="AD83" s="56"/>
      <c r="AE83" s="56"/>
      <c r="AF83" s="56">
        <v>62993.765877293627</v>
      </c>
      <c r="AG83" s="71">
        <f t="shared" si="22"/>
        <v>0.95084929626103587</v>
      </c>
      <c r="AL83" s="1" t="s">
        <v>734</v>
      </c>
      <c r="AM83" s="56"/>
      <c r="AN83" s="56"/>
      <c r="AO83" s="56"/>
      <c r="AP83" s="56"/>
      <c r="AQ83" s="56">
        <v>54</v>
      </c>
      <c r="AR83" s="56"/>
      <c r="AS83" s="56"/>
      <c r="AT83" s="56">
        <v>54</v>
      </c>
    </row>
    <row r="84" spans="1:46">
      <c r="A84" s="1" t="s">
        <v>710</v>
      </c>
      <c r="B84" s="56"/>
      <c r="C84" s="56"/>
      <c r="D84" s="56"/>
      <c r="E84" s="56"/>
      <c r="F84" s="56">
        <v>54080</v>
      </c>
      <c r="G84" s="56"/>
      <c r="H84" s="56"/>
      <c r="I84" s="56">
        <v>54080</v>
      </c>
      <c r="J84" s="116">
        <f t="shared" si="20"/>
        <v>2.4398631790417818E-3</v>
      </c>
      <c r="L84" s="1" t="s">
        <v>710</v>
      </c>
      <c r="M84" s="56"/>
      <c r="N84" s="56"/>
      <c r="O84" s="56"/>
      <c r="P84" s="56"/>
      <c r="Q84" s="56">
        <v>-8445.055963082139</v>
      </c>
      <c r="R84" s="56"/>
      <c r="S84" s="56"/>
      <c r="T84" s="56">
        <v>-8445.055963082139</v>
      </c>
      <c r="U84" s="71">
        <f t="shared" si="21"/>
        <v>-0.15615857919900406</v>
      </c>
      <c r="X84" s="1" t="s">
        <v>710</v>
      </c>
      <c r="Y84" s="56"/>
      <c r="Z84" s="56"/>
      <c r="AA84" s="56"/>
      <c r="AB84" s="56"/>
      <c r="AC84" s="56">
        <v>-4474.8072735308542</v>
      </c>
      <c r="AD84" s="56"/>
      <c r="AE84" s="56"/>
      <c r="AF84" s="56">
        <v>-4474.8072735308542</v>
      </c>
      <c r="AG84" s="71">
        <f t="shared" si="22"/>
        <v>-8.2744217335999529E-2</v>
      </c>
      <c r="AL84" s="1" t="s">
        <v>853</v>
      </c>
      <c r="AM84" s="56"/>
      <c r="AN84" s="56"/>
      <c r="AO84" s="56"/>
      <c r="AP84" s="56"/>
      <c r="AQ84" s="56"/>
      <c r="AR84" s="56"/>
      <c r="AS84" s="260">
        <v>54</v>
      </c>
      <c r="AT84" s="56">
        <v>54</v>
      </c>
    </row>
    <row r="85" spans="1:46">
      <c r="A85" s="1" t="s">
        <v>57</v>
      </c>
      <c r="B85" s="56"/>
      <c r="C85" s="56"/>
      <c r="D85" s="56">
        <v>39000</v>
      </c>
      <c r="E85" s="56"/>
      <c r="F85" s="56"/>
      <c r="G85" s="56"/>
      <c r="H85" s="56"/>
      <c r="I85" s="56">
        <v>39000</v>
      </c>
      <c r="J85" s="116">
        <f t="shared" si="20"/>
        <v>1.7595167156551311E-3</v>
      </c>
      <c r="L85" s="1" t="s">
        <v>57</v>
      </c>
      <c r="M85" s="56"/>
      <c r="N85" s="56"/>
      <c r="O85" s="56">
        <v>-22527.478461766288</v>
      </c>
      <c r="P85" s="56"/>
      <c r="Q85" s="56"/>
      <c r="R85" s="56"/>
      <c r="S85" s="56"/>
      <c r="T85" s="56">
        <v>-22527.478461766288</v>
      </c>
      <c r="U85" s="71">
        <f t="shared" si="21"/>
        <v>-0.57762765286580231</v>
      </c>
      <c r="X85" s="1" t="s">
        <v>57</v>
      </c>
      <c r="Y85" s="56"/>
      <c r="Z85" s="56"/>
      <c r="AA85" s="56">
        <v>-18901.739727090142</v>
      </c>
      <c r="AB85" s="56"/>
      <c r="AC85" s="56"/>
      <c r="AD85" s="56"/>
      <c r="AE85" s="56"/>
      <c r="AF85" s="56">
        <v>-18901.739727090142</v>
      </c>
      <c r="AG85" s="71">
        <f t="shared" si="22"/>
        <v>-0.48465999300231133</v>
      </c>
      <c r="AL85" s="1" t="s">
        <v>54</v>
      </c>
      <c r="AM85" s="56"/>
      <c r="AN85" s="56">
        <v>27</v>
      </c>
      <c r="AO85" s="56"/>
      <c r="AP85" s="56"/>
      <c r="AQ85" s="56"/>
      <c r="AR85" s="56"/>
      <c r="AS85" s="56"/>
      <c r="AT85" s="56">
        <v>27</v>
      </c>
    </row>
    <row r="86" spans="1:46">
      <c r="A86" s="1" t="s">
        <v>715</v>
      </c>
      <c r="B86" s="56"/>
      <c r="C86" s="56"/>
      <c r="D86" s="56"/>
      <c r="E86" s="56"/>
      <c r="F86" s="56">
        <v>29250</v>
      </c>
      <c r="G86" s="56"/>
      <c r="H86" s="56"/>
      <c r="I86" s="56">
        <v>29250</v>
      </c>
      <c r="J86" s="116">
        <f t="shared" si="20"/>
        <v>1.3196375367413482E-3</v>
      </c>
      <c r="L86" s="1" t="s">
        <v>715</v>
      </c>
      <c r="M86" s="56"/>
      <c r="N86" s="56"/>
      <c r="O86" s="56"/>
      <c r="P86" s="56"/>
      <c r="Q86" s="56">
        <v>-22381.939009755719</v>
      </c>
      <c r="R86" s="56"/>
      <c r="S86" s="56"/>
      <c r="T86" s="56">
        <v>-22381.939009755719</v>
      </c>
      <c r="U86" s="71">
        <f t="shared" si="21"/>
        <v>-0.76519449606002454</v>
      </c>
      <c r="X86" s="1" t="s">
        <v>715</v>
      </c>
      <c r="Y86" s="56"/>
      <c r="Z86" s="56"/>
      <c r="AA86" s="56"/>
      <c r="AB86" s="56"/>
      <c r="AC86" s="56">
        <v>-18558.736567965596</v>
      </c>
      <c r="AD86" s="56"/>
      <c r="AE86" s="56"/>
      <c r="AF86" s="56">
        <v>-18558.736567965596</v>
      </c>
      <c r="AG86" s="71">
        <f t="shared" si="22"/>
        <v>-0.63448672027232811</v>
      </c>
      <c r="AL86" s="1" t="s">
        <v>721</v>
      </c>
      <c r="AM86" s="56"/>
      <c r="AN86" s="56"/>
      <c r="AO86" s="56"/>
      <c r="AP86" s="56"/>
      <c r="AQ86" s="56">
        <v>27</v>
      </c>
      <c r="AR86" s="56"/>
      <c r="AS86" s="56"/>
      <c r="AT86" s="56">
        <v>27</v>
      </c>
    </row>
    <row r="87" spans="1:46">
      <c r="A87" s="1" t="s">
        <v>787</v>
      </c>
      <c r="B87" s="56"/>
      <c r="C87" s="56"/>
      <c r="D87" s="56"/>
      <c r="E87" s="56"/>
      <c r="F87" s="56"/>
      <c r="G87" s="260">
        <v>29250</v>
      </c>
      <c r="H87" s="56"/>
      <c r="I87" s="56">
        <v>29250</v>
      </c>
      <c r="J87" s="116">
        <f t="shared" si="20"/>
        <v>1.3196375367413482E-3</v>
      </c>
      <c r="L87" s="1" t="s">
        <v>787</v>
      </c>
      <c r="M87" s="56"/>
      <c r="N87" s="56"/>
      <c r="O87" s="56"/>
      <c r="P87" s="56"/>
      <c r="Q87" s="56"/>
      <c r="R87" s="56">
        <v>-12277.012693147397</v>
      </c>
      <c r="S87" s="56"/>
      <c r="T87" s="56">
        <v>-12277.012693147397</v>
      </c>
      <c r="U87" s="71">
        <f t="shared" si="21"/>
        <v>-0.41972692968025288</v>
      </c>
      <c r="X87" s="1" t="s">
        <v>787</v>
      </c>
      <c r="Y87" s="56"/>
      <c r="Z87" s="56"/>
      <c r="AA87" s="56"/>
      <c r="AB87" s="56"/>
      <c r="AC87" s="56"/>
      <c r="AD87" s="56">
        <v>-7402.2132179843866</v>
      </c>
      <c r="AE87" s="56"/>
      <c r="AF87" s="56">
        <v>-7402.2132179843866</v>
      </c>
      <c r="AG87" s="71">
        <f t="shared" si="22"/>
        <v>-0.25306711856356878</v>
      </c>
      <c r="AL87" s="1" t="s">
        <v>530</v>
      </c>
      <c r="AM87" s="56"/>
      <c r="AN87" s="56"/>
      <c r="AO87" s="56"/>
      <c r="AP87" s="56">
        <v>27</v>
      </c>
      <c r="AQ87" s="56"/>
      <c r="AR87" s="56"/>
      <c r="AS87" s="56"/>
      <c r="AT87" s="56">
        <v>27</v>
      </c>
    </row>
    <row r="88" spans="1:46">
      <c r="A88" s="1" t="s">
        <v>793</v>
      </c>
      <c r="B88" s="56"/>
      <c r="C88" s="56"/>
      <c r="D88" s="56"/>
      <c r="E88" s="56"/>
      <c r="F88" s="56"/>
      <c r="G88" s="260">
        <v>46018</v>
      </c>
      <c r="H88" s="56"/>
      <c r="I88" s="56">
        <v>46018</v>
      </c>
      <c r="J88" s="116">
        <f t="shared" si="20"/>
        <v>2.0761394928466106E-3</v>
      </c>
      <c r="L88" s="1" t="s">
        <v>793</v>
      </c>
      <c r="M88" s="56"/>
      <c r="N88" s="56"/>
      <c r="O88" s="56"/>
      <c r="P88" s="56"/>
      <c r="Q88" s="56"/>
      <c r="R88" s="56">
        <v>4450.8384647442854</v>
      </c>
      <c r="S88" s="56"/>
      <c r="T88" s="56">
        <v>4450.8384647442854</v>
      </c>
      <c r="U88" s="71">
        <f t="shared" si="21"/>
        <v>9.6719511163985514E-2</v>
      </c>
      <c r="X88" s="1" t="s">
        <v>793</v>
      </c>
      <c r="Y88" s="56"/>
      <c r="Z88" s="56"/>
      <c r="AA88" s="56"/>
      <c r="AB88" s="56"/>
      <c r="AC88" s="56"/>
      <c r="AD88" s="56">
        <v>10300.597834939897</v>
      </c>
      <c r="AE88" s="56"/>
      <c r="AF88" s="56">
        <v>10300.597834939897</v>
      </c>
      <c r="AG88" s="71">
        <f t="shared" si="22"/>
        <v>0.22383845093093785</v>
      </c>
      <c r="AL88" s="1" t="s">
        <v>824</v>
      </c>
      <c r="AM88" s="56"/>
      <c r="AN88" s="56"/>
      <c r="AO88" s="56"/>
      <c r="AP88" s="56"/>
      <c r="AQ88" s="56"/>
      <c r="AR88" s="56"/>
      <c r="AS88" s="260">
        <v>27</v>
      </c>
      <c r="AT88" s="56">
        <v>27</v>
      </c>
    </row>
    <row r="89" spans="1:46">
      <c r="A89" s="1" t="s">
        <v>9</v>
      </c>
      <c r="B89" s="56">
        <v>564615.28</v>
      </c>
      <c r="C89" s="56">
        <v>2769824.5</v>
      </c>
      <c r="D89" s="56">
        <v>3894171.31</v>
      </c>
      <c r="E89" s="56">
        <v>4921538.57</v>
      </c>
      <c r="F89" s="56">
        <v>5010204.75</v>
      </c>
      <c r="G89" s="56">
        <v>3415442.3</v>
      </c>
      <c r="H89" s="56">
        <v>1589380.61</v>
      </c>
      <c r="I89" s="56">
        <v>22165177.32</v>
      </c>
      <c r="J89" s="82">
        <f t="shared" si="20"/>
        <v>1</v>
      </c>
      <c r="L89" s="1" t="s">
        <v>9</v>
      </c>
      <c r="M89" s="56">
        <v>-92104.401765480143</v>
      </c>
      <c r="N89" s="56">
        <v>-484146.169706363</v>
      </c>
      <c r="O89" s="56">
        <v>-490402.73299409455</v>
      </c>
      <c r="P89" s="56">
        <v>-52490.241267002493</v>
      </c>
      <c r="Q89" s="56">
        <v>417065.74281805294</v>
      </c>
      <c r="R89" s="56">
        <v>622821.75835490297</v>
      </c>
      <c r="S89" s="56">
        <v>91312.258487215164</v>
      </c>
      <c r="T89" s="56">
        <v>12056.213927231003</v>
      </c>
      <c r="U89" s="82">
        <f t="shared" si="21"/>
        <v>5.4392589570454212E-4</v>
      </c>
      <c r="X89" s="1" t="s">
        <v>9</v>
      </c>
      <c r="Y89" s="56">
        <v>162990.88156785286</v>
      </c>
      <c r="Z89" s="56">
        <v>-211803.88637303005</v>
      </c>
      <c r="AA89" s="56">
        <v>-212085.44966076146</v>
      </c>
      <c r="AB89" s="56">
        <v>293039.04206633056</v>
      </c>
      <c r="AC89" s="56">
        <v>707971.74615138606</v>
      </c>
      <c r="AD89" s="56">
        <v>868030.67168823595</v>
      </c>
      <c r="AE89" s="56">
        <v>369628.74887204368</v>
      </c>
      <c r="AF89" s="56">
        <v>1977771.7543120577</v>
      </c>
      <c r="AG89" s="82">
        <f t="shared" si="22"/>
        <v>8.922878106314458E-2</v>
      </c>
      <c r="AL89" s="1" t="s">
        <v>724</v>
      </c>
      <c r="AM89" s="56"/>
      <c r="AN89" s="56"/>
      <c r="AO89" s="56"/>
      <c r="AP89" s="56"/>
      <c r="AQ89" s="56">
        <v>27</v>
      </c>
      <c r="AR89" s="56"/>
      <c r="AS89" s="56"/>
      <c r="AT89" s="56">
        <v>27</v>
      </c>
    </row>
    <row r="90" spans="1:46">
      <c r="A90" s="76" t="s">
        <v>871</v>
      </c>
      <c r="B90" s="51">
        <f>COUNT(B52:B88)</f>
        <v>5</v>
      </c>
      <c r="C90" s="51">
        <f t="shared" ref="C90:I90" si="23">COUNT(C52:C88)</f>
        <v>10</v>
      </c>
      <c r="D90" s="51">
        <f t="shared" si="23"/>
        <v>12</v>
      </c>
      <c r="E90" s="51">
        <f t="shared" si="23"/>
        <v>16</v>
      </c>
      <c r="F90" s="51">
        <f t="shared" si="23"/>
        <v>20</v>
      </c>
      <c r="G90" s="51">
        <f t="shared" si="23"/>
        <v>11</v>
      </c>
      <c r="H90" s="51">
        <f t="shared" si="23"/>
        <v>10</v>
      </c>
      <c r="I90" s="51">
        <f t="shared" si="23"/>
        <v>37</v>
      </c>
      <c r="J90" s="82"/>
      <c r="AL90" s="1" t="s">
        <v>710</v>
      </c>
      <c r="AM90" s="56"/>
      <c r="AN90" s="56"/>
      <c r="AO90" s="56"/>
      <c r="AP90" s="56"/>
      <c r="AQ90" s="56">
        <v>27</v>
      </c>
      <c r="AR90" s="56"/>
      <c r="AS90" s="56"/>
      <c r="AT90" s="56">
        <v>27</v>
      </c>
    </row>
    <row r="91" spans="1:46">
      <c r="AL91" s="1" t="s">
        <v>57</v>
      </c>
      <c r="AM91" s="56"/>
      <c r="AN91" s="56"/>
      <c r="AO91" s="56">
        <v>26</v>
      </c>
      <c r="AP91" s="56"/>
      <c r="AQ91" s="56"/>
      <c r="AR91" s="56"/>
      <c r="AS91" s="56"/>
      <c r="AT91" s="56">
        <v>26</v>
      </c>
    </row>
    <row r="92" spans="1:46">
      <c r="G92" s="248">
        <v>5004823</v>
      </c>
      <c r="H92" s="248">
        <v>644128</v>
      </c>
      <c r="I92" s="71">
        <f>H92/G92</f>
        <v>0.12870145457691512</v>
      </c>
      <c r="AL92" s="1" t="s">
        <v>715</v>
      </c>
      <c r="AM92" s="56"/>
      <c r="AN92" s="56"/>
      <c r="AO92" s="56"/>
      <c r="AP92" s="56"/>
      <c r="AQ92" s="56">
        <v>26</v>
      </c>
      <c r="AR92" s="56"/>
      <c r="AS92" s="56"/>
      <c r="AT92" s="56">
        <v>26</v>
      </c>
    </row>
    <row r="93" spans="1:46">
      <c r="A93" s="86" t="s">
        <v>870</v>
      </c>
      <c r="AL93" s="1" t="s">
        <v>787</v>
      </c>
      <c r="AM93" s="56"/>
      <c r="AN93" s="56"/>
      <c r="AO93" s="56"/>
      <c r="AP93" s="56"/>
      <c r="AQ93" s="56"/>
      <c r="AR93" s="260">
        <v>22.5</v>
      </c>
      <c r="AS93" s="56"/>
      <c r="AT93" s="56">
        <v>22.5</v>
      </c>
    </row>
    <row r="94" spans="1:46">
      <c r="H94" s="218"/>
      <c r="I94" s="218"/>
      <c r="J94" s="218"/>
      <c r="AL94" s="1" t="s">
        <v>793</v>
      </c>
      <c r="AM94" s="56"/>
      <c r="AN94" s="56"/>
      <c r="AO94" s="56"/>
      <c r="AP94" s="56"/>
      <c r="AQ94" s="56"/>
      <c r="AR94" s="260">
        <v>27</v>
      </c>
      <c r="AS94" s="56"/>
      <c r="AT94" s="56">
        <v>27</v>
      </c>
    </row>
    <row r="95" spans="1:46">
      <c r="A95" s="314" t="s">
        <v>25</v>
      </c>
      <c r="B95" s="314"/>
      <c r="C95" s="314"/>
      <c r="D95" s="314"/>
      <c r="E95" s="314"/>
      <c r="F95" s="314"/>
      <c r="G95" s="314"/>
      <c r="H95" s="314"/>
      <c r="I95" s="314"/>
      <c r="L95" s="314" t="s">
        <v>26</v>
      </c>
      <c r="M95" s="314"/>
      <c r="N95" s="314"/>
      <c r="O95" s="314"/>
      <c r="P95" s="314"/>
      <c r="Q95" s="314"/>
      <c r="R95" s="314"/>
      <c r="S95" s="314"/>
      <c r="T95" s="314"/>
      <c r="U95" s="314"/>
      <c r="X95" s="314" t="s">
        <v>27</v>
      </c>
      <c r="Y95" s="314"/>
      <c r="Z95" s="314"/>
      <c r="AA95" s="314"/>
      <c r="AB95" s="314"/>
      <c r="AC95" s="314"/>
      <c r="AD95" s="314"/>
      <c r="AE95" s="314"/>
      <c r="AF95" s="314"/>
      <c r="AL95" s="1" t="s">
        <v>9</v>
      </c>
      <c r="AM95" s="56">
        <v>248</v>
      </c>
      <c r="AN95" s="56">
        <v>1634.3</v>
      </c>
      <c r="AO95" s="56">
        <v>1995.8</v>
      </c>
      <c r="AP95" s="56">
        <v>2110.11</v>
      </c>
      <c r="AQ95" s="56">
        <v>1978.33</v>
      </c>
      <c r="AR95" s="56">
        <v>1131.78</v>
      </c>
      <c r="AS95" s="56">
        <v>780.90499999999997</v>
      </c>
      <c r="AT95" s="56">
        <v>9879.2250000000004</v>
      </c>
    </row>
    <row r="96" spans="1:46">
      <c r="A96" s="75" t="s">
        <v>13</v>
      </c>
      <c r="B96" s="75" t="s">
        <v>2</v>
      </c>
      <c r="J96" s="84"/>
      <c r="L96" s="75" t="s">
        <v>21</v>
      </c>
      <c r="M96" s="75" t="s">
        <v>2</v>
      </c>
      <c r="U96" s="85" t="s">
        <v>30</v>
      </c>
      <c r="X96" s="75" t="s">
        <v>23</v>
      </c>
      <c r="Y96" s="75" t="s">
        <v>2</v>
      </c>
      <c r="AG96" s="85" t="s">
        <v>30</v>
      </c>
    </row>
    <row r="97" spans="1:44">
      <c r="A97" s="75" t="s">
        <v>28</v>
      </c>
      <c r="B97" t="s">
        <v>6</v>
      </c>
      <c r="C97" t="s">
        <v>7</v>
      </c>
      <c r="D97" t="s">
        <v>8</v>
      </c>
      <c r="E97" t="s">
        <v>463</v>
      </c>
      <c r="F97" t="s">
        <v>705</v>
      </c>
      <c r="G97" t="s">
        <v>757</v>
      </c>
      <c r="H97" t="s">
        <v>806</v>
      </c>
      <c r="I97" t="s">
        <v>9</v>
      </c>
      <c r="J97" s="85" t="s">
        <v>29</v>
      </c>
      <c r="K97" s="223"/>
      <c r="L97" s="75" t="s">
        <v>28</v>
      </c>
      <c r="M97" t="s">
        <v>6</v>
      </c>
      <c r="N97" t="s">
        <v>7</v>
      </c>
      <c r="O97" t="s">
        <v>8</v>
      </c>
      <c r="P97" t="s">
        <v>463</v>
      </c>
      <c r="Q97" t="s">
        <v>705</v>
      </c>
      <c r="R97" t="s">
        <v>757</v>
      </c>
      <c r="S97" t="s">
        <v>806</v>
      </c>
      <c r="T97" t="s">
        <v>9</v>
      </c>
      <c r="U97" s="85" t="s">
        <v>41</v>
      </c>
      <c r="X97" s="75" t="s">
        <v>28</v>
      </c>
      <c r="Y97" t="s">
        <v>6</v>
      </c>
      <c r="Z97" t="s">
        <v>7</v>
      </c>
      <c r="AA97" t="s">
        <v>8</v>
      </c>
      <c r="AB97" t="s">
        <v>463</v>
      </c>
      <c r="AC97" t="s">
        <v>705</v>
      </c>
      <c r="AD97" t="s">
        <v>757</v>
      </c>
      <c r="AE97" t="s">
        <v>806</v>
      </c>
      <c r="AF97" t="s">
        <v>9</v>
      </c>
      <c r="AG97" s="85" t="s">
        <v>42</v>
      </c>
    </row>
    <row r="98" spans="1:44">
      <c r="A98" s="1" t="s">
        <v>867</v>
      </c>
      <c r="B98" s="56">
        <v>489901</v>
      </c>
      <c r="C98" s="56">
        <v>2491786</v>
      </c>
      <c r="D98" s="56">
        <v>2573740</v>
      </c>
      <c r="E98" s="56">
        <v>3607114</v>
      </c>
      <c r="F98" s="56">
        <v>3168615</v>
      </c>
      <c r="G98" s="56">
        <v>1349554</v>
      </c>
      <c r="H98" s="56">
        <v>1026026</v>
      </c>
      <c r="I98" s="56">
        <v>14706736</v>
      </c>
      <c r="J98" s="71">
        <f>I98/$I$102</f>
        <v>0.66350635448018147</v>
      </c>
      <c r="K98" s="223"/>
      <c r="L98" s="1" t="s">
        <v>867</v>
      </c>
      <c r="M98" s="56">
        <v>-106614.25273671153</v>
      </c>
      <c r="N98" s="56">
        <v>-560433.25222177384</v>
      </c>
      <c r="O98" s="56">
        <v>-788757.46784063068</v>
      </c>
      <c r="P98" s="56">
        <v>-472750.69301183103</v>
      </c>
      <c r="Q98" s="56">
        <v>39943.289805134489</v>
      </c>
      <c r="R98" s="56">
        <v>170245.07936950476</v>
      </c>
      <c r="S98" s="56">
        <v>37367.990180353605</v>
      </c>
      <c r="T98" s="56">
        <v>-1680999.3064559542</v>
      </c>
      <c r="U98" s="71">
        <f t="shared" ref="U98:U102" si="24">T98/I98</f>
        <v>-0.11430131787610481</v>
      </c>
      <c r="X98" s="1" t="s">
        <v>867</v>
      </c>
      <c r="Y98" s="56">
        <v>123794.39027404085</v>
      </c>
      <c r="Z98" s="56">
        <v>-307254.7470095529</v>
      </c>
      <c r="AA98" s="56">
        <v>-573611.70938453975</v>
      </c>
      <c r="AB98" s="56">
        <v>-191877.86717320984</v>
      </c>
      <c r="AC98" s="56">
        <v>252248.66232269537</v>
      </c>
      <c r="AD98" s="56">
        <v>298831.45663658238</v>
      </c>
      <c r="AE98" s="56">
        <v>210223.20027203165</v>
      </c>
      <c r="AF98" s="56">
        <v>-187646.61406195216</v>
      </c>
      <c r="AG98" s="71">
        <f>AF98/I98</f>
        <v>-1.2759229108481459E-2</v>
      </c>
    </row>
    <row r="99" spans="1:44">
      <c r="A99" s="1" t="s">
        <v>868</v>
      </c>
      <c r="B99" s="56"/>
      <c r="C99" s="56">
        <v>91800</v>
      </c>
      <c r="D99" s="56">
        <v>1181621.7</v>
      </c>
      <c r="E99" s="56">
        <v>1038636</v>
      </c>
      <c r="F99" s="56">
        <v>1559458</v>
      </c>
      <c r="G99" s="56">
        <v>1941651</v>
      </c>
      <c r="H99" s="56"/>
      <c r="I99" s="56">
        <v>5813166.7000000002</v>
      </c>
      <c r="J99" s="71">
        <f t="shared" ref="J99:J102" si="25">I99/$I$102</f>
        <v>0.26226574306512246</v>
      </c>
      <c r="K99" s="223"/>
      <c r="L99" s="1" t="s">
        <v>868</v>
      </c>
      <c r="M99" s="56"/>
      <c r="N99" s="56">
        <v>28158.374000344069</v>
      </c>
      <c r="O99" s="56">
        <v>251563.34320270913</v>
      </c>
      <c r="P99" s="56">
        <v>273542.69208339433</v>
      </c>
      <c r="Q99" s="56">
        <v>169444.88335278258</v>
      </c>
      <c r="R99" s="56">
        <v>380166.0124572494</v>
      </c>
      <c r="S99" s="56"/>
      <c r="T99" s="56">
        <v>1102875.3050964796</v>
      </c>
      <c r="U99" s="71">
        <f t="shared" si="24"/>
        <v>0.18972022685956685</v>
      </c>
      <c r="X99" s="1" t="s">
        <v>868</v>
      </c>
      <c r="Y99" s="56"/>
      <c r="Z99" s="56">
        <v>32657.695820083401</v>
      </c>
      <c r="AA99" s="56">
        <v>304276.0063453085</v>
      </c>
      <c r="AB99" s="56">
        <v>317607.66032912553</v>
      </c>
      <c r="AC99" s="56">
        <v>228892.74039766382</v>
      </c>
      <c r="AD99" s="56">
        <v>485305.68753756519</v>
      </c>
      <c r="AE99" s="56"/>
      <c r="AF99" s="56">
        <v>1368739.7904297463</v>
      </c>
      <c r="AG99" s="71">
        <f>AF99/I99</f>
        <v>0.23545510752852591</v>
      </c>
    </row>
    <row r="100" spans="1:44">
      <c r="A100" s="1" t="s">
        <v>866</v>
      </c>
      <c r="B100" s="56">
        <v>50400</v>
      </c>
      <c r="C100" s="56">
        <v>146212.5</v>
      </c>
      <c r="D100" s="56">
        <v>112353</v>
      </c>
      <c r="E100" s="56">
        <v>238020</v>
      </c>
      <c r="F100" s="56">
        <v>258518.5</v>
      </c>
      <c r="G100" s="56">
        <v>81242</v>
      </c>
      <c r="H100" s="56">
        <v>536898</v>
      </c>
      <c r="I100" s="56">
        <v>1423644</v>
      </c>
      <c r="J100" s="71">
        <f t="shared" si="25"/>
        <v>6.422885679851624E-2</v>
      </c>
      <c r="K100" s="223"/>
      <c r="L100" s="1" t="s">
        <v>866</v>
      </c>
      <c r="M100" s="56">
        <v>-9804.4290287686017</v>
      </c>
      <c r="N100" s="56">
        <v>8102.7085150668245</v>
      </c>
      <c r="O100" s="56">
        <v>20334.78164382706</v>
      </c>
      <c r="P100" s="56">
        <v>108949.18966143407</v>
      </c>
      <c r="Q100" s="56">
        <v>184064.31966013589</v>
      </c>
      <c r="R100" s="56">
        <v>29415.366528148836</v>
      </c>
      <c r="S100" s="56">
        <v>27487.658306861569</v>
      </c>
      <c r="T100" s="56">
        <v>368549.59528670565</v>
      </c>
      <c r="U100" s="71">
        <f t="shared" si="24"/>
        <v>0.25887763744777881</v>
      </c>
      <c r="X100" s="1" t="s">
        <v>866</v>
      </c>
      <c r="Y100" s="56">
        <v>14882.211293812012</v>
      </c>
      <c r="Z100" s="56">
        <v>22767.164816439465</v>
      </c>
      <c r="AA100" s="56">
        <v>30793.643378469798</v>
      </c>
      <c r="AB100" s="56">
        <v>129540.67891041476</v>
      </c>
      <c r="AC100" s="56">
        <v>203217.09343102682</v>
      </c>
      <c r="AD100" s="56">
        <v>40898.227514088372</v>
      </c>
      <c r="AE100" s="56">
        <v>132948.93860001204</v>
      </c>
      <c r="AF100" s="56">
        <v>575047.95794426324</v>
      </c>
      <c r="AG100" s="71">
        <f>AF100/I100</f>
        <v>0.40392679486182165</v>
      </c>
    </row>
    <row r="101" spans="1:44">
      <c r="A101" s="1" t="s">
        <v>869</v>
      </c>
      <c r="B101" s="56">
        <v>24314.28</v>
      </c>
      <c r="C101" s="56">
        <v>40026</v>
      </c>
      <c r="D101" s="56">
        <v>26456.610000000008</v>
      </c>
      <c r="E101" s="56">
        <v>37768.57</v>
      </c>
      <c r="F101" s="56">
        <v>23613.25</v>
      </c>
      <c r="G101" s="56">
        <v>42995.3</v>
      </c>
      <c r="H101" s="56">
        <v>26456.610000000008</v>
      </c>
      <c r="I101" s="56">
        <v>221630.62000000002</v>
      </c>
      <c r="J101" s="71">
        <f t="shared" si="25"/>
        <v>9.9990456561797544E-3</v>
      </c>
      <c r="K101" s="223"/>
      <c r="L101" s="1" t="s">
        <v>869</v>
      </c>
      <c r="M101" s="56">
        <v>24314.28</v>
      </c>
      <c r="N101" s="56">
        <v>40026</v>
      </c>
      <c r="O101" s="56">
        <v>26456.610000000008</v>
      </c>
      <c r="P101" s="56">
        <v>37768.57</v>
      </c>
      <c r="Q101" s="56">
        <v>23613.25</v>
      </c>
      <c r="R101" s="56">
        <v>42995.3</v>
      </c>
      <c r="S101" s="56">
        <v>26456.610000000008</v>
      </c>
      <c r="T101" s="56">
        <v>221630.62000000002</v>
      </c>
      <c r="U101" s="71">
        <f t="shared" si="24"/>
        <v>1</v>
      </c>
      <c r="X101" s="1" t="s">
        <v>869</v>
      </c>
      <c r="Y101" s="56">
        <v>24314.28</v>
      </c>
      <c r="Z101" s="56">
        <v>40026</v>
      </c>
      <c r="AA101" s="56">
        <v>26456.610000000008</v>
      </c>
      <c r="AB101" s="56">
        <v>37768.57</v>
      </c>
      <c r="AC101" s="56">
        <v>23613.25</v>
      </c>
      <c r="AD101" s="56">
        <v>42995.3</v>
      </c>
      <c r="AE101" s="56">
        <v>26456.610000000008</v>
      </c>
      <c r="AF101" s="56">
        <v>221630.62000000002</v>
      </c>
      <c r="AG101" s="71">
        <f>AF101/I101</f>
        <v>1</v>
      </c>
    </row>
    <row r="102" spans="1:44">
      <c r="A102" s="1" t="s">
        <v>9</v>
      </c>
      <c r="B102" s="56">
        <v>564615.28</v>
      </c>
      <c r="C102" s="56">
        <v>2769824.5</v>
      </c>
      <c r="D102" s="56">
        <v>3894171.31</v>
      </c>
      <c r="E102" s="56">
        <v>4921538.57</v>
      </c>
      <c r="F102" s="56">
        <v>5010204.75</v>
      </c>
      <c r="G102" s="56">
        <v>3415442.3</v>
      </c>
      <c r="H102" s="56">
        <v>1589380.61</v>
      </c>
      <c r="I102" s="56">
        <v>22165177.32</v>
      </c>
      <c r="J102" s="82">
        <f t="shared" si="25"/>
        <v>1</v>
      </c>
      <c r="L102" s="1" t="s">
        <v>9</v>
      </c>
      <c r="M102" s="56">
        <v>-92104.401765480128</v>
      </c>
      <c r="N102" s="56">
        <v>-484146.16970636294</v>
      </c>
      <c r="O102" s="56">
        <v>-490402.73299409455</v>
      </c>
      <c r="P102" s="56">
        <v>-52490.241267002632</v>
      </c>
      <c r="Q102" s="56">
        <v>417065.742818053</v>
      </c>
      <c r="R102" s="56">
        <v>622821.75835490308</v>
      </c>
      <c r="S102" s="56">
        <v>91312.258487215178</v>
      </c>
      <c r="T102" s="56">
        <v>12056.21392723106</v>
      </c>
      <c r="U102" s="82">
        <f t="shared" si="24"/>
        <v>5.4392589570454472E-4</v>
      </c>
      <c r="X102" s="1" t="s">
        <v>9</v>
      </c>
      <c r="Y102" s="56">
        <v>162990.88156785286</v>
      </c>
      <c r="Z102" s="56">
        <v>-211803.88637303005</v>
      </c>
      <c r="AA102" s="56">
        <v>-212085.44966076143</v>
      </c>
      <c r="AB102" s="56">
        <v>293039.04206633044</v>
      </c>
      <c r="AC102" s="56">
        <v>707971.74615138595</v>
      </c>
      <c r="AD102" s="56">
        <v>868030.67168823606</v>
      </c>
      <c r="AE102" s="56">
        <v>369628.74887204368</v>
      </c>
      <c r="AF102" s="56">
        <v>1977771.7543120575</v>
      </c>
      <c r="AG102" s="82">
        <f>AF102/I102</f>
        <v>8.9228781063144566E-2</v>
      </c>
    </row>
    <row r="103" spans="1:44">
      <c r="A103" s="1"/>
      <c r="B103" s="56"/>
      <c r="C103" s="56"/>
      <c r="D103" s="56"/>
      <c r="E103" s="56"/>
      <c r="F103" s="56"/>
      <c r="G103" s="56"/>
      <c r="H103" s="56"/>
      <c r="I103" s="56"/>
      <c r="J103" s="82"/>
      <c r="L103" s="1"/>
      <c r="M103" s="56"/>
      <c r="N103" s="56"/>
      <c r="O103" s="56"/>
      <c r="P103" s="56"/>
      <c r="Q103" s="56"/>
      <c r="R103" s="56"/>
      <c r="S103" s="56"/>
      <c r="T103" s="56"/>
      <c r="U103" s="82"/>
      <c r="X103" s="1"/>
      <c r="Y103" s="56"/>
      <c r="Z103" s="56"/>
      <c r="AA103" s="56"/>
      <c r="AB103" s="56"/>
      <c r="AC103" s="56"/>
      <c r="AD103" s="56"/>
      <c r="AE103" s="56"/>
      <c r="AF103" s="56"/>
      <c r="AG103" s="82"/>
    </row>
    <row r="105" spans="1:44">
      <c r="B105" s="249" t="s">
        <v>6</v>
      </c>
      <c r="C105" s="249" t="s">
        <v>7</v>
      </c>
      <c r="D105" s="249" t="s">
        <v>8</v>
      </c>
      <c r="E105" s="249" t="s">
        <v>463</v>
      </c>
      <c r="F105" s="249" t="s">
        <v>705</v>
      </c>
      <c r="G105" s="249" t="s">
        <v>757</v>
      </c>
      <c r="H105" s="249" t="s">
        <v>806</v>
      </c>
      <c r="I105" s="249" t="s">
        <v>9</v>
      </c>
      <c r="M105" s="249" t="s">
        <v>6</v>
      </c>
      <c r="N105" s="249" t="s">
        <v>7</v>
      </c>
      <c r="O105" s="249" t="s">
        <v>8</v>
      </c>
      <c r="P105" s="249" t="s">
        <v>463</v>
      </c>
      <c r="Q105" s="249" t="s">
        <v>705</v>
      </c>
      <c r="R105" s="249" t="s">
        <v>757</v>
      </c>
      <c r="S105" s="249" t="s">
        <v>806</v>
      </c>
      <c r="T105" s="249" t="s">
        <v>9</v>
      </c>
      <c r="Y105" s="249" t="s">
        <v>6</v>
      </c>
      <c r="Z105" s="249" t="s">
        <v>7</v>
      </c>
      <c r="AA105" s="249" t="s">
        <v>8</v>
      </c>
      <c r="AB105" s="249" t="s">
        <v>463</v>
      </c>
      <c r="AC105" s="249" t="s">
        <v>705</v>
      </c>
      <c r="AD105" s="249" t="s">
        <v>757</v>
      </c>
      <c r="AE105" s="249" t="s">
        <v>806</v>
      </c>
      <c r="AF105" s="249" t="s">
        <v>9</v>
      </c>
      <c r="AJ105" s="75" t="s">
        <v>13</v>
      </c>
      <c r="AK105" s="75" t="s">
        <v>2</v>
      </c>
    </row>
    <row r="106" spans="1:44">
      <c r="A106" s="1" t="s">
        <v>867</v>
      </c>
      <c r="B106" s="71">
        <f t="shared" ref="B106:I110" si="26">B98/B$102</f>
        <v>0.86767223161229357</v>
      </c>
      <c r="C106" s="71">
        <f t="shared" si="26"/>
        <v>0.89961873035638174</v>
      </c>
      <c r="D106" s="71">
        <f t="shared" si="26"/>
        <v>0.66092110364810841</v>
      </c>
      <c r="E106" s="71">
        <f t="shared" si="26"/>
        <v>0.73292405386960113</v>
      </c>
      <c r="F106" s="71">
        <f t="shared" si="26"/>
        <v>0.63243223742502741</v>
      </c>
      <c r="G106" s="71">
        <f t="shared" si="26"/>
        <v>0.39513301103051868</v>
      </c>
      <c r="H106" s="71">
        <f t="shared" si="26"/>
        <v>0.6455508476349161</v>
      </c>
      <c r="I106" s="71">
        <f t="shared" si="26"/>
        <v>0.66350635448018147</v>
      </c>
      <c r="L106" s="1" t="s">
        <v>867</v>
      </c>
      <c r="M106" s="71">
        <f t="shared" ref="M106:T106" si="27">M98/M$102</f>
        <v>1.1575369981575576</v>
      </c>
      <c r="N106" s="71">
        <f t="shared" si="27"/>
        <v>1.157570352279518</v>
      </c>
      <c r="O106" s="71">
        <f t="shared" si="27"/>
        <v>1.6083871780749821</v>
      </c>
      <c r="P106" s="71">
        <f t="shared" si="27"/>
        <v>9.0064492294307694</v>
      </c>
      <c r="Q106" s="71">
        <f t="shared" si="27"/>
        <v>9.577216660194493E-2</v>
      </c>
      <c r="R106" s="71">
        <f t="shared" si="27"/>
        <v>0.27334478458039652</v>
      </c>
      <c r="S106" s="71">
        <f t="shared" si="27"/>
        <v>0.40923300769726967</v>
      </c>
      <c r="T106" s="71">
        <f t="shared" si="27"/>
        <v>-139.43011600508552</v>
      </c>
      <c r="X106" s="1" t="s">
        <v>867</v>
      </c>
      <c r="Y106" s="71">
        <f t="shared" ref="Y106:AF106" si="28">Y98/Y$102</f>
        <v>0.75951727534221247</v>
      </c>
      <c r="Z106" s="71">
        <f t="shared" si="28"/>
        <v>1.4506567951657616</v>
      </c>
      <c r="AA106" s="71">
        <f t="shared" si="28"/>
        <v>2.7046254719597833</v>
      </c>
      <c r="AB106" s="71">
        <f t="shared" si="28"/>
        <v>-0.65478601697646011</v>
      </c>
      <c r="AC106" s="71">
        <f t="shared" si="28"/>
        <v>0.35629763997496716</v>
      </c>
      <c r="AD106" s="71">
        <f t="shared" si="28"/>
        <v>0.34426370678283058</v>
      </c>
      <c r="AE106" s="71">
        <f t="shared" si="28"/>
        <v>0.5687414761799432</v>
      </c>
      <c r="AF106" s="71">
        <f t="shared" si="28"/>
        <v>-9.4877790449192978E-2</v>
      </c>
      <c r="AJ106" s="75" t="s">
        <v>28</v>
      </c>
      <c r="AK106" t="s">
        <v>6</v>
      </c>
      <c r="AL106" t="s">
        <v>7</v>
      </c>
      <c r="AM106" t="s">
        <v>8</v>
      </c>
      <c r="AN106" t="s">
        <v>463</v>
      </c>
      <c r="AO106" t="s">
        <v>705</v>
      </c>
      <c r="AP106" t="s">
        <v>757</v>
      </c>
      <c r="AQ106" t="s">
        <v>806</v>
      </c>
      <c r="AR106" t="s">
        <v>9</v>
      </c>
    </row>
    <row r="107" spans="1:44">
      <c r="A107" s="1" t="s">
        <v>868</v>
      </c>
      <c r="B107" s="71">
        <f t="shared" si="26"/>
        <v>0</v>
      </c>
      <c r="C107" s="71">
        <f t="shared" si="26"/>
        <v>3.3142894071447486E-2</v>
      </c>
      <c r="D107" s="71">
        <f t="shared" si="26"/>
        <v>0.30343341520843364</v>
      </c>
      <c r="E107" s="71">
        <f t="shared" si="26"/>
        <v>0.21103888250133127</v>
      </c>
      <c r="F107" s="71">
        <f t="shared" si="26"/>
        <v>0.31125634137008074</v>
      </c>
      <c r="G107" s="71">
        <f t="shared" si="26"/>
        <v>0.56849181729698672</v>
      </c>
      <c r="H107" s="71">
        <f t="shared" si="26"/>
        <v>0</v>
      </c>
      <c r="I107" s="71">
        <f t="shared" si="26"/>
        <v>0.26226574306512246</v>
      </c>
      <c r="L107" s="1" t="s">
        <v>868</v>
      </c>
      <c r="M107" s="71">
        <f t="shared" ref="M107:T107" si="29">M99/M$102</f>
        <v>0</v>
      </c>
      <c r="N107" s="71">
        <f t="shared" si="29"/>
        <v>-5.8160893883395307E-2</v>
      </c>
      <c r="O107" s="71">
        <f t="shared" si="29"/>
        <v>-0.5129729633985104</v>
      </c>
      <c r="P107" s="71">
        <f t="shared" si="29"/>
        <v>-5.2113056728385381</v>
      </c>
      <c r="Q107" s="71">
        <f t="shared" si="29"/>
        <v>0.40627859341279859</v>
      </c>
      <c r="R107" s="71">
        <f t="shared" si="29"/>
        <v>0.61039295329277665</v>
      </c>
      <c r="S107" s="71">
        <f t="shared" si="29"/>
        <v>0</v>
      </c>
      <c r="T107" s="71">
        <f t="shared" si="29"/>
        <v>91.477748466742412</v>
      </c>
      <c r="X107" s="1" t="s">
        <v>868</v>
      </c>
      <c r="Y107" s="71">
        <f t="shared" ref="Y107:AF107" si="30">Y99/Y$102</f>
        <v>0</v>
      </c>
      <c r="Z107" s="71">
        <f t="shared" si="30"/>
        <v>-0.15418836915280443</v>
      </c>
      <c r="AA107" s="71">
        <f t="shared" si="30"/>
        <v>-1.4346859100047142</v>
      </c>
      <c r="AB107" s="71">
        <f t="shared" si="30"/>
        <v>1.0838407677337203</v>
      </c>
      <c r="AC107" s="71">
        <f t="shared" si="30"/>
        <v>0.3233077331714867</v>
      </c>
      <c r="AD107" s="71">
        <f t="shared" si="30"/>
        <v>0.55908817898530283</v>
      </c>
      <c r="AE107" s="71">
        <f t="shared" si="30"/>
        <v>0</v>
      </c>
      <c r="AF107" s="71">
        <f t="shared" si="30"/>
        <v>0.69206155232298017</v>
      </c>
      <c r="AJ107" s="1" t="s">
        <v>867</v>
      </c>
      <c r="AK107" s="56">
        <v>489901</v>
      </c>
      <c r="AL107" s="56">
        <v>2491786</v>
      </c>
      <c r="AM107" s="56">
        <v>2573740</v>
      </c>
      <c r="AN107" s="56">
        <v>3607114</v>
      </c>
      <c r="AO107" s="56">
        <v>3168615</v>
      </c>
      <c r="AP107" s="56">
        <v>1349554</v>
      </c>
      <c r="AQ107" s="56">
        <v>1026026</v>
      </c>
      <c r="AR107" s="56">
        <v>14706736</v>
      </c>
    </row>
    <row r="108" spans="1:44">
      <c r="A108" s="1" t="s">
        <v>866</v>
      </c>
      <c r="B108" s="71">
        <f t="shared" si="26"/>
        <v>8.9264321716550063E-2</v>
      </c>
      <c r="C108" s="71">
        <f t="shared" si="26"/>
        <v>5.2787640516574245E-2</v>
      </c>
      <c r="D108" s="71">
        <f t="shared" si="26"/>
        <v>2.8851581262355919E-2</v>
      </c>
      <c r="E108" s="71">
        <f t="shared" si="26"/>
        <v>4.8362924848519472E-2</v>
      </c>
      <c r="F108" s="71">
        <f t="shared" si="26"/>
        <v>5.1598390265387858E-2</v>
      </c>
      <c r="G108" s="71">
        <f t="shared" si="26"/>
        <v>2.3786670323782077E-2</v>
      </c>
      <c r="H108" s="71">
        <f t="shared" si="26"/>
        <v>0.33780329055354463</v>
      </c>
      <c r="I108" s="71">
        <f t="shared" si="26"/>
        <v>6.422885679851624E-2</v>
      </c>
      <c r="L108" s="1" t="s">
        <v>866</v>
      </c>
      <c r="M108" s="71">
        <f t="shared" ref="M108:T108" si="31">M100/M$102</f>
        <v>0.1064490821376054</v>
      </c>
      <c r="N108" s="71">
        <f t="shared" si="31"/>
        <v>-1.6736078940748737E-2</v>
      </c>
      <c r="O108" s="71">
        <f t="shared" si="31"/>
        <v>-4.1465473733548572E-2</v>
      </c>
      <c r="P108" s="71">
        <f t="shared" si="31"/>
        <v>-2.0756084756258053</v>
      </c>
      <c r="Q108" s="71">
        <f t="shared" si="31"/>
        <v>0.44133166732045614</v>
      </c>
      <c r="R108" s="71">
        <f t="shared" si="31"/>
        <v>4.7229188983129666E-2</v>
      </c>
      <c r="S108" s="71">
        <f t="shared" si="31"/>
        <v>0.30102922392079673</v>
      </c>
      <c r="T108" s="71">
        <f t="shared" si="31"/>
        <v>30.569264738598591</v>
      </c>
      <c r="X108" s="1" t="s">
        <v>866</v>
      </c>
      <c r="Y108" s="71">
        <f t="shared" ref="Y108:AF108" si="32">Y100/Y$102</f>
        <v>9.130701761139054E-2</v>
      </c>
      <c r="Z108" s="71">
        <f t="shared" si="32"/>
        <v>-0.10749172362371964</v>
      </c>
      <c r="AA108" s="71">
        <f t="shared" si="32"/>
        <v>-0.14519451205976355</v>
      </c>
      <c r="AB108" s="71">
        <f t="shared" si="32"/>
        <v>0.44205945391089818</v>
      </c>
      <c r="AC108" s="71">
        <f t="shared" si="32"/>
        <v>0.28704124781213064</v>
      </c>
      <c r="AD108" s="71">
        <f t="shared" si="32"/>
        <v>4.7116108736739978E-2</v>
      </c>
      <c r="AE108" s="71">
        <f t="shared" si="32"/>
        <v>0.35968235426956918</v>
      </c>
      <c r="AF108" s="71">
        <f t="shared" si="32"/>
        <v>0.2907554709943192</v>
      </c>
      <c r="AJ108" s="1" t="s">
        <v>868</v>
      </c>
      <c r="AK108" s="56"/>
      <c r="AL108" s="56">
        <v>91800</v>
      </c>
      <c r="AM108" s="56">
        <v>1181621.7</v>
      </c>
      <c r="AN108" s="56">
        <v>1038636</v>
      </c>
      <c r="AO108" s="56">
        <v>1559458</v>
      </c>
      <c r="AP108" s="56">
        <v>1941651</v>
      </c>
      <c r="AQ108" s="56"/>
      <c r="AR108" s="56">
        <v>5813166.7000000002</v>
      </c>
    </row>
    <row r="109" spans="1:44">
      <c r="A109" s="1" t="s">
        <v>869</v>
      </c>
      <c r="B109" s="71">
        <f t="shared" si="26"/>
        <v>4.306344667115633E-2</v>
      </c>
      <c r="C109" s="71">
        <f t="shared" si="26"/>
        <v>1.4450735055596483E-2</v>
      </c>
      <c r="D109" s="71">
        <f t="shared" si="26"/>
        <v>6.793899881102048E-3</v>
      </c>
      <c r="E109" s="71">
        <f t="shared" si="26"/>
        <v>7.6741387805480512E-3</v>
      </c>
      <c r="F109" s="71">
        <f t="shared" si="26"/>
        <v>4.7130309395040188E-3</v>
      </c>
      <c r="G109" s="71">
        <f t="shared" si="26"/>
        <v>1.2588501348712583E-2</v>
      </c>
      <c r="H109" s="71">
        <f t="shared" si="26"/>
        <v>1.6645861811539282E-2</v>
      </c>
      <c r="I109" s="71">
        <f t="shared" si="26"/>
        <v>9.9990456561797544E-3</v>
      </c>
      <c r="L109" s="1" t="s">
        <v>869</v>
      </c>
      <c r="M109" s="71">
        <f t="shared" ref="M109:T109" si="33">M101/M$102</f>
        <v>-0.26398608029516307</v>
      </c>
      <c r="N109" s="71">
        <f t="shared" si="33"/>
        <v>-8.2673379455373924E-2</v>
      </c>
      <c r="O109" s="71">
        <f t="shared" si="33"/>
        <v>-5.3948740942923332E-2</v>
      </c>
      <c r="P109" s="71">
        <f t="shared" si="33"/>
        <v>-0.71953508096642649</v>
      </c>
      <c r="Q109" s="71">
        <f t="shared" si="33"/>
        <v>5.6617572664800227E-2</v>
      </c>
      <c r="R109" s="71">
        <f t="shared" si="33"/>
        <v>6.9033073143696999E-2</v>
      </c>
      <c r="S109" s="71">
        <f t="shared" si="33"/>
        <v>0.28973776838193366</v>
      </c>
      <c r="T109" s="71">
        <f t="shared" si="33"/>
        <v>18.38310279974451</v>
      </c>
      <c r="X109" s="1" t="s">
        <v>869</v>
      </c>
      <c r="Y109" s="71">
        <f t="shared" ref="Y109:AF109" si="34">Y101/Y$102</f>
        <v>0.14917570704639696</v>
      </c>
      <c r="Z109" s="71">
        <f t="shared" si="34"/>
        <v>-0.18897670238923761</v>
      </c>
      <c r="AA109" s="71">
        <f t="shared" si="34"/>
        <v>-0.1247450498953056</v>
      </c>
      <c r="AB109" s="71">
        <f t="shared" si="34"/>
        <v>0.12888579533184163</v>
      </c>
      <c r="AC109" s="71">
        <f t="shared" si="34"/>
        <v>3.335337904141554E-2</v>
      </c>
      <c r="AD109" s="71">
        <f t="shared" si="34"/>
        <v>4.9532005495126437E-2</v>
      </c>
      <c r="AE109" s="71">
        <f t="shared" si="34"/>
        <v>7.1576169550487623E-2</v>
      </c>
      <c r="AF109" s="71">
        <f t="shared" si="34"/>
        <v>0.11206076713189353</v>
      </c>
      <c r="AJ109" s="1" t="s">
        <v>866</v>
      </c>
      <c r="AK109" s="56">
        <v>50400</v>
      </c>
      <c r="AL109" s="56">
        <v>146212.5</v>
      </c>
      <c r="AM109" s="56">
        <v>112353</v>
      </c>
      <c r="AN109" s="56">
        <v>238020</v>
      </c>
      <c r="AO109" s="56">
        <v>258518.5</v>
      </c>
      <c r="AP109" s="56">
        <v>81242</v>
      </c>
      <c r="AQ109" s="56">
        <v>536898</v>
      </c>
      <c r="AR109" s="56">
        <v>1423644</v>
      </c>
    </row>
    <row r="110" spans="1:44">
      <c r="A110" s="76" t="s">
        <v>862</v>
      </c>
      <c r="B110" s="82">
        <f t="shared" si="26"/>
        <v>1</v>
      </c>
      <c r="C110" s="82">
        <f t="shared" si="26"/>
        <v>1</v>
      </c>
      <c r="D110" s="82">
        <f t="shared" si="26"/>
        <v>1</v>
      </c>
      <c r="E110" s="82">
        <f t="shared" si="26"/>
        <v>1</v>
      </c>
      <c r="F110" s="82">
        <f t="shared" si="26"/>
        <v>1</v>
      </c>
      <c r="G110" s="82">
        <f t="shared" si="26"/>
        <v>1</v>
      </c>
      <c r="H110" s="82">
        <f t="shared" si="26"/>
        <v>1</v>
      </c>
      <c r="I110" s="82">
        <f t="shared" si="26"/>
        <v>1</v>
      </c>
      <c r="L110" s="76" t="s">
        <v>862</v>
      </c>
      <c r="M110" s="82">
        <f t="shared" ref="M110:T110" si="35">M102/M$102</f>
        <v>1</v>
      </c>
      <c r="N110" s="82">
        <f t="shared" si="35"/>
        <v>1</v>
      </c>
      <c r="O110" s="82">
        <f t="shared" si="35"/>
        <v>1</v>
      </c>
      <c r="P110" s="82">
        <f t="shared" si="35"/>
        <v>1</v>
      </c>
      <c r="Q110" s="82">
        <f t="shared" si="35"/>
        <v>1</v>
      </c>
      <c r="R110" s="82">
        <f t="shared" si="35"/>
        <v>1</v>
      </c>
      <c r="S110" s="82">
        <f t="shared" si="35"/>
        <v>1</v>
      </c>
      <c r="T110" s="82">
        <f t="shared" si="35"/>
        <v>1</v>
      </c>
      <c r="X110" s="76" t="s">
        <v>862</v>
      </c>
      <c r="Y110" s="82">
        <f t="shared" ref="Y110:AF110" si="36">Y102/Y$102</f>
        <v>1</v>
      </c>
      <c r="Z110" s="82">
        <f t="shared" si="36"/>
        <v>1</v>
      </c>
      <c r="AA110" s="82">
        <f t="shared" si="36"/>
        <v>1</v>
      </c>
      <c r="AB110" s="82">
        <f t="shared" si="36"/>
        <v>1</v>
      </c>
      <c r="AC110" s="82">
        <f t="shared" si="36"/>
        <v>1</v>
      </c>
      <c r="AD110" s="82">
        <f t="shared" si="36"/>
        <v>1</v>
      </c>
      <c r="AE110" s="82">
        <f t="shared" si="36"/>
        <v>1</v>
      </c>
      <c r="AF110" s="82">
        <f t="shared" si="36"/>
        <v>1</v>
      </c>
      <c r="AJ110" s="1" t="s">
        <v>9</v>
      </c>
      <c r="AK110" s="56">
        <v>540301</v>
      </c>
      <c r="AL110" s="56">
        <v>2729798.5</v>
      </c>
      <c r="AM110" s="56">
        <v>3867714.7</v>
      </c>
      <c r="AN110" s="56">
        <v>4883770</v>
      </c>
      <c r="AO110" s="56">
        <v>4986591.5</v>
      </c>
      <c r="AP110" s="56">
        <v>3372447</v>
      </c>
      <c r="AQ110" s="56">
        <v>1562924</v>
      </c>
      <c r="AR110" s="56">
        <v>21943546.699999999</v>
      </c>
    </row>
    <row r="112" spans="1:44">
      <c r="A112" s="75" t="s">
        <v>12</v>
      </c>
      <c r="B112" s="75" t="s">
        <v>2</v>
      </c>
    </row>
    <row r="113" spans="1:44">
      <c r="A113" s="75" t="s">
        <v>28</v>
      </c>
      <c r="B113" t="s">
        <v>6</v>
      </c>
      <c r="C113" t="s">
        <v>7</v>
      </c>
      <c r="D113" t="s">
        <v>8</v>
      </c>
      <c r="E113" t="s">
        <v>463</v>
      </c>
      <c r="F113" t="s">
        <v>705</v>
      </c>
      <c r="G113" t="s">
        <v>757</v>
      </c>
      <c r="H113" t="s">
        <v>806</v>
      </c>
      <c r="I113" t="s">
        <v>9</v>
      </c>
      <c r="AJ113" s="75" t="s">
        <v>12</v>
      </c>
      <c r="AK113" s="75" t="s">
        <v>2</v>
      </c>
    </row>
    <row r="114" spans="1:44">
      <c r="A114" s="1" t="s">
        <v>867</v>
      </c>
      <c r="B114" s="56">
        <v>224</v>
      </c>
      <c r="C114" s="56">
        <v>1519.3</v>
      </c>
      <c r="D114" s="56">
        <v>1542.8</v>
      </c>
      <c r="E114" s="56">
        <v>1715.26</v>
      </c>
      <c r="F114" s="56">
        <v>1443.8</v>
      </c>
      <c r="G114" s="56">
        <v>593.5</v>
      </c>
      <c r="H114" s="56">
        <v>485</v>
      </c>
      <c r="I114" s="56">
        <v>7523.66</v>
      </c>
      <c r="AJ114" s="75" t="s">
        <v>28</v>
      </c>
      <c r="AK114" t="s">
        <v>6</v>
      </c>
      <c r="AL114" t="s">
        <v>7</v>
      </c>
      <c r="AM114" t="s">
        <v>8</v>
      </c>
      <c r="AN114" t="s">
        <v>463</v>
      </c>
      <c r="AO114" t="s">
        <v>705</v>
      </c>
      <c r="AP114" t="s">
        <v>757</v>
      </c>
      <c r="AQ114" t="s">
        <v>806</v>
      </c>
      <c r="AR114" t="s">
        <v>9</v>
      </c>
    </row>
    <row r="115" spans="1:44">
      <c r="A115" s="1" t="s">
        <v>868</v>
      </c>
      <c r="B115" s="56"/>
      <c r="C115" s="56">
        <v>27</v>
      </c>
      <c r="D115" s="56">
        <v>378</v>
      </c>
      <c r="E115" s="56">
        <v>269.09999999999997</v>
      </c>
      <c r="F115" s="56">
        <v>404.28</v>
      </c>
      <c r="G115" s="56">
        <v>485.28</v>
      </c>
      <c r="H115" s="56"/>
      <c r="I115" s="56">
        <v>1563.6599999999999</v>
      </c>
      <c r="AJ115" s="1" t="s">
        <v>867</v>
      </c>
      <c r="AK115" s="56">
        <v>224</v>
      </c>
      <c r="AL115" s="56">
        <v>1519.3</v>
      </c>
      <c r="AM115" s="56">
        <v>1542.8</v>
      </c>
      <c r="AN115" s="56">
        <v>1715.26</v>
      </c>
      <c r="AO115" s="56">
        <v>1443.8</v>
      </c>
      <c r="AP115" s="56">
        <v>593.5</v>
      </c>
      <c r="AQ115" s="56">
        <v>485</v>
      </c>
      <c r="AR115" s="56">
        <v>7523.66</v>
      </c>
    </row>
    <row r="116" spans="1:44">
      <c r="A116" s="1" t="s">
        <v>866</v>
      </c>
      <c r="B116" s="56">
        <v>24</v>
      </c>
      <c r="C116" s="56">
        <v>88</v>
      </c>
      <c r="D116" s="56">
        <v>75</v>
      </c>
      <c r="E116" s="56">
        <v>125.75</v>
      </c>
      <c r="F116" s="56">
        <v>130.25</v>
      </c>
      <c r="G116" s="56">
        <v>53</v>
      </c>
      <c r="H116" s="56">
        <v>295.90499999999997</v>
      </c>
      <c r="I116" s="56">
        <v>791.90499999999997</v>
      </c>
      <c r="AJ116" s="1" t="s">
        <v>868</v>
      </c>
      <c r="AK116" s="56"/>
      <c r="AL116" s="56">
        <v>27</v>
      </c>
      <c r="AM116" s="56">
        <v>378</v>
      </c>
      <c r="AN116" s="56">
        <v>269.09999999999997</v>
      </c>
      <c r="AO116" s="56">
        <v>404.28</v>
      </c>
      <c r="AP116" s="56">
        <v>485.28</v>
      </c>
      <c r="AQ116" s="56"/>
      <c r="AR116" s="56">
        <v>1563.6599999999999</v>
      </c>
    </row>
    <row r="117" spans="1:44">
      <c r="A117" s="1" t="s">
        <v>869</v>
      </c>
      <c r="B117" s="56">
        <v>0</v>
      </c>
      <c r="C117" s="56">
        <v>0</v>
      </c>
      <c r="D117" s="56">
        <v>0</v>
      </c>
      <c r="E117" s="56">
        <v>0</v>
      </c>
      <c r="F117" s="56">
        <v>0</v>
      </c>
      <c r="G117" s="56">
        <v>0</v>
      </c>
      <c r="H117" s="56">
        <v>0</v>
      </c>
      <c r="I117" s="56">
        <v>0</v>
      </c>
      <c r="AJ117" s="1" t="s">
        <v>866</v>
      </c>
      <c r="AK117" s="56">
        <v>24</v>
      </c>
      <c r="AL117" s="56">
        <v>88</v>
      </c>
      <c r="AM117" s="56">
        <v>75</v>
      </c>
      <c r="AN117" s="56">
        <v>125.75</v>
      </c>
      <c r="AO117" s="56">
        <v>130.25</v>
      </c>
      <c r="AP117" s="56">
        <v>53</v>
      </c>
      <c r="AQ117" s="56">
        <v>295.90499999999997</v>
      </c>
      <c r="AR117" s="56">
        <v>791.90499999999997</v>
      </c>
    </row>
    <row r="118" spans="1:44">
      <c r="A118" s="1" t="s">
        <v>9</v>
      </c>
      <c r="B118" s="56">
        <v>248</v>
      </c>
      <c r="C118" s="56">
        <v>1634.3</v>
      </c>
      <c r="D118" s="56">
        <v>1995.8</v>
      </c>
      <c r="E118" s="56">
        <v>2110.1099999999997</v>
      </c>
      <c r="F118" s="56">
        <v>1978.33</v>
      </c>
      <c r="G118" s="56">
        <v>1131.78</v>
      </c>
      <c r="H118" s="56">
        <v>780.90499999999997</v>
      </c>
      <c r="I118" s="56">
        <v>9879.2250000000004</v>
      </c>
      <c r="AJ118" s="1" t="s">
        <v>9</v>
      </c>
      <c r="AK118" s="56">
        <v>248</v>
      </c>
      <c r="AL118" s="56">
        <v>1634.3</v>
      </c>
      <c r="AM118" s="56">
        <v>1995.8</v>
      </c>
      <c r="AN118" s="56">
        <v>2110.1099999999997</v>
      </c>
      <c r="AO118" s="56">
        <v>1978.33</v>
      </c>
      <c r="AP118" s="56">
        <v>1131.78</v>
      </c>
      <c r="AQ118" s="56">
        <v>780.90499999999997</v>
      </c>
      <c r="AR118" s="56">
        <v>9879.2250000000004</v>
      </c>
    </row>
    <row r="120" spans="1:44">
      <c r="A120" s="75" t="s">
        <v>12</v>
      </c>
      <c r="B120" s="75" t="s">
        <v>2</v>
      </c>
    </row>
    <row r="121" spans="1:44">
      <c r="A121" s="75" t="s">
        <v>28</v>
      </c>
      <c r="B121" t="s">
        <v>6</v>
      </c>
      <c r="C121" t="s">
        <v>7</v>
      </c>
      <c r="D121" t="s">
        <v>8</v>
      </c>
      <c r="E121" t="s">
        <v>463</v>
      </c>
      <c r="F121" t="s">
        <v>705</v>
      </c>
      <c r="G121" t="s">
        <v>757</v>
      </c>
      <c r="H121" t="s">
        <v>806</v>
      </c>
      <c r="I121" t="s">
        <v>9</v>
      </c>
      <c r="AJ121" s="1" t="s">
        <v>867</v>
      </c>
      <c r="AR121" s="54">
        <f t="shared" ref="AR121" si="37">AR107/AR115</f>
        <v>1954.7316066914241</v>
      </c>
    </row>
    <row r="122" spans="1:44">
      <c r="A122" s="1" t="s">
        <v>47</v>
      </c>
      <c r="B122" s="56"/>
      <c r="C122" s="56"/>
      <c r="D122" s="56">
        <v>216</v>
      </c>
      <c r="E122" s="56">
        <v>189</v>
      </c>
      <c r="F122" s="56">
        <v>323.27999999999997</v>
      </c>
      <c r="G122" s="56">
        <v>189</v>
      </c>
      <c r="H122" s="56"/>
      <c r="I122" s="56">
        <v>917.28</v>
      </c>
      <c r="AJ122" s="1" t="s">
        <v>868</v>
      </c>
      <c r="AR122" s="54">
        <f>AR108/AR116</f>
        <v>3717.6666922476757</v>
      </c>
    </row>
    <row r="123" spans="1:44">
      <c r="A123" s="1" t="s">
        <v>45</v>
      </c>
      <c r="B123" s="56"/>
      <c r="C123" s="56">
        <v>783.3</v>
      </c>
      <c r="D123" s="56"/>
      <c r="E123" s="56">
        <v>24.2</v>
      </c>
      <c r="F123" s="56">
        <v>432</v>
      </c>
      <c r="G123" s="56">
        <v>162</v>
      </c>
      <c r="H123" s="56">
        <v>349.90499999999997</v>
      </c>
      <c r="I123" s="56">
        <v>1751.405</v>
      </c>
      <c r="AJ123" s="1" t="s">
        <v>862</v>
      </c>
      <c r="AR123" s="54">
        <f>AR110/AR118</f>
        <v>2221.1809833261209</v>
      </c>
    </row>
    <row r="124" spans="1:44">
      <c r="A124" s="1" t="s">
        <v>43</v>
      </c>
      <c r="B124" s="56">
        <v>144</v>
      </c>
      <c r="C124" s="56">
        <v>264</v>
      </c>
      <c r="D124" s="56">
        <v>722.8</v>
      </c>
      <c r="E124" s="56">
        <v>539.72</v>
      </c>
      <c r="F124" s="56">
        <v>184</v>
      </c>
      <c r="G124" s="56">
        <v>143</v>
      </c>
      <c r="H124" s="56">
        <v>100</v>
      </c>
      <c r="I124" s="56">
        <v>2097.52</v>
      </c>
    </row>
    <row r="125" spans="1:44">
      <c r="A125" s="1" t="s">
        <v>735</v>
      </c>
      <c r="B125" s="56"/>
      <c r="C125" s="56"/>
      <c r="D125" s="56"/>
      <c r="E125" s="56"/>
      <c r="F125" s="56">
        <v>243</v>
      </c>
      <c r="G125" s="56">
        <v>377.28</v>
      </c>
      <c r="H125" s="56"/>
      <c r="I125" s="56">
        <v>620.28</v>
      </c>
    </row>
    <row r="126" spans="1:44">
      <c r="A126" s="1" t="s">
        <v>44</v>
      </c>
      <c r="B126" s="56"/>
      <c r="C126" s="56">
        <v>156</v>
      </c>
      <c r="D126" s="56">
        <v>331</v>
      </c>
      <c r="E126" s="56">
        <v>125</v>
      </c>
      <c r="F126" s="56">
        <v>26</v>
      </c>
      <c r="G126" s="56">
        <v>104</v>
      </c>
      <c r="H126" s="56">
        <v>27</v>
      </c>
      <c r="I126" s="56">
        <v>769</v>
      </c>
    </row>
    <row r="127" spans="1:44">
      <c r="A127" s="1" t="s">
        <v>52</v>
      </c>
      <c r="B127" s="56"/>
      <c r="C127" s="56">
        <v>135</v>
      </c>
      <c r="D127" s="56"/>
      <c r="E127" s="56">
        <v>296.94</v>
      </c>
      <c r="F127" s="56"/>
      <c r="G127" s="56"/>
      <c r="H127" s="56"/>
      <c r="I127" s="56">
        <v>431.94</v>
      </c>
    </row>
    <row r="128" spans="1:44">
      <c r="A128" s="1" t="s">
        <v>501</v>
      </c>
      <c r="B128" s="56"/>
      <c r="C128" s="56"/>
      <c r="D128" s="56"/>
      <c r="E128" s="56">
        <v>270</v>
      </c>
      <c r="F128" s="56">
        <v>161.80000000000001</v>
      </c>
      <c r="G128" s="56"/>
      <c r="H128" s="56"/>
      <c r="I128" s="56">
        <v>431.8</v>
      </c>
    </row>
    <row r="129" spans="1:9">
      <c r="A129" s="1" t="s">
        <v>508</v>
      </c>
      <c r="B129" s="56"/>
      <c r="C129" s="56"/>
      <c r="D129" s="56"/>
      <c r="E129" s="56">
        <v>215.46</v>
      </c>
      <c r="F129" s="56">
        <v>81</v>
      </c>
      <c r="G129" s="56"/>
      <c r="H129" s="56"/>
      <c r="I129" s="56">
        <v>296.46000000000004</v>
      </c>
    </row>
    <row r="130" spans="1:9">
      <c r="A130" s="1" t="s">
        <v>49</v>
      </c>
      <c r="B130" s="56"/>
      <c r="C130" s="56"/>
      <c r="D130" s="56">
        <v>108</v>
      </c>
      <c r="E130" s="56"/>
      <c r="F130" s="56">
        <v>81</v>
      </c>
      <c r="G130" s="56"/>
      <c r="H130" s="56"/>
      <c r="I130" s="56">
        <v>189</v>
      </c>
    </row>
    <row r="131" spans="1:9">
      <c r="A131" s="1" t="s">
        <v>53</v>
      </c>
      <c r="B131" s="56">
        <v>54</v>
      </c>
      <c r="C131" s="56">
        <v>27</v>
      </c>
      <c r="D131" s="56"/>
      <c r="E131" s="56">
        <v>27</v>
      </c>
      <c r="F131" s="56">
        <v>53</v>
      </c>
      <c r="G131" s="56"/>
      <c r="H131" s="56"/>
      <c r="I131" s="56">
        <v>161</v>
      </c>
    </row>
    <row r="132" spans="1:9">
      <c r="A132" s="1" t="s">
        <v>56</v>
      </c>
      <c r="B132" s="56">
        <v>26</v>
      </c>
      <c r="C132" s="56"/>
      <c r="D132" s="56">
        <v>26</v>
      </c>
      <c r="E132" s="56">
        <v>104</v>
      </c>
      <c r="F132" s="56">
        <v>26</v>
      </c>
      <c r="G132" s="56"/>
      <c r="H132" s="56">
        <v>26</v>
      </c>
      <c r="I132" s="56">
        <v>208</v>
      </c>
    </row>
    <row r="133" spans="1:9">
      <c r="A133" s="1" t="s">
        <v>524</v>
      </c>
      <c r="B133" s="56"/>
      <c r="C133" s="56"/>
      <c r="D133" s="56"/>
      <c r="E133" s="56">
        <v>51.8</v>
      </c>
      <c r="F133" s="56"/>
      <c r="G133" s="56">
        <v>26</v>
      </c>
      <c r="H133" s="56">
        <v>53</v>
      </c>
      <c r="I133" s="56">
        <v>130.80000000000001</v>
      </c>
    </row>
    <row r="134" spans="1:9">
      <c r="A134" s="1" t="s">
        <v>48</v>
      </c>
      <c r="B134" s="56"/>
      <c r="C134" s="56">
        <v>53</v>
      </c>
      <c r="D134" s="56">
        <v>52</v>
      </c>
      <c r="E134" s="56">
        <v>26</v>
      </c>
      <c r="F134" s="56"/>
      <c r="G134" s="56"/>
      <c r="H134" s="56"/>
      <c r="I134" s="56">
        <v>131</v>
      </c>
    </row>
    <row r="135" spans="1:9">
      <c r="A135" s="1" t="s">
        <v>46</v>
      </c>
      <c r="B135" s="56"/>
      <c r="C135" s="56"/>
      <c r="D135" s="56">
        <v>243</v>
      </c>
      <c r="E135" s="56"/>
      <c r="F135" s="56"/>
      <c r="G135" s="56"/>
      <c r="H135" s="56"/>
      <c r="I135" s="56">
        <v>243</v>
      </c>
    </row>
    <row r="136" spans="1:9">
      <c r="A136" s="1" t="s">
        <v>50</v>
      </c>
      <c r="B136" s="56">
        <v>24</v>
      </c>
      <c r="C136" s="56"/>
      <c r="D136" s="56">
        <v>217</v>
      </c>
      <c r="E136" s="56"/>
      <c r="F136" s="56">
        <v>45</v>
      </c>
      <c r="G136" s="56"/>
      <c r="H136" s="56"/>
      <c r="I136" s="56">
        <v>286</v>
      </c>
    </row>
    <row r="137" spans="1:9">
      <c r="A137" s="1" t="s">
        <v>488</v>
      </c>
      <c r="B137" s="56"/>
      <c r="C137" s="56"/>
      <c r="D137" s="56"/>
      <c r="E137" s="56">
        <v>107.64</v>
      </c>
      <c r="F137" s="56"/>
      <c r="G137" s="56"/>
      <c r="H137" s="56"/>
      <c r="I137" s="56">
        <v>107.64</v>
      </c>
    </row>
    <row r="138" spans="1:9">
      <c r="A138" s="1" t="s">
        <v>51</v>
      </c>
      <c r="B138" s="56"/>
      <c r="C138" s="56">
        <v>135</v>
      </c>
      <c r="D138" s="56">
        <v>27</v>
      </c>
      <c r="E138" s="56"/>
      <c r="F138" s="56"/>
      <c r="G138" s="56"/>
      <c r="H138" s="56"/>
      <c r="I138" s="56">
        <v>162</v>
      </c>
    </row>
    <row r="139" spans="1:9">
      <c r="A139" s="1" t="s">
        <v>718</v>
      </c>
      <c r="B139" s="56"/>
      <c r="C139" s="56"/>
      <c r="D139" s="56"/>
      <c r="E139" s="56"/>
      <c r="F139" s="56">
        <v>54</v>
      </c>
      <c r="G139" s="56">
        <v>27</v>
      </c>
      <c r="H139" s="56"/>
      <c r="I139" s="56">
        <v>81</v>
      </c>
    </row>
    <row r="140" spans="1:9">
      <c r="A140" s="1" t="s">
        <v>419</v>
      </c>
      <c r="B140" s="56">
        <v>0</v>
      </c>
      <c r="C140" s="56">
        <v>0</v>
      </c>
      <c r="D140" s="56">
        <v>0</v>
      </c>
      <c r="E140" s="56">
        <v>0</v>
      </c>
      <c r="F140" s="56">
        <v>0</v>
      </c>
      <c r="G140" s="56">
        <v>0</v>
      </c>
      <c r="H140" s="56">
        <v>0</v>
      </c>
      <c r="I140" s="56">
        <v>0</v>
      </c>
    </row>
    <row r="141" spans="1:9">
      <c r="A141" s="1" t="s">
        <v>55</v>
      </c>
      <c r="B141" s="56"/>
      <c r="C141" s="56">
        <v>54</v>
      </c>
      <c r="D141" s="56"/>
      <c r="E141" s="56">
        <v>52.35</v>
      </c>
      <c r="F141" s="56">
        <v>26.25</v>
      </c>
      <c r="G141" s="56"/>
      <c r="H141" s="56"/>
      <c r="I141" s="56">
        <v>132.6</v>
      </c>
    </row>
    <row r="142" spans="1:9">
      <c r="A142" s="1" t="s">
        <v>58</v>
      </c>
      <c r="B142" s="56"/>
      <c r="C142" s="56"/>
      <c r="D142" s="56">
        <v>27</v>
      </c>
      <c r="E142" s="56">
        <v>54</v>
      </c>
      <c r="F142" s="56"/>
      <c r="G142" s="56"/>
      <c r="H142" s="56"/>
      <c r="I142" s="56">
        <v>81</v>
      </c>
    </row>
    <row r="143" spans="1:9">
      <c r="A143" s="1" t="s">
        <v>731</v>
      </c>
      <c r="B143" s="56"/>
      <c r="C143" s="56"/>
      <c r="D143" s="56"/>
      <c r="E143" s="56"/>
      <c r="F143" s="56">
        <v>81</v>
      </c>
      <c r="G143" s="56"/>
      <c r="H143" s="56"/>
      <c r="I143" s="56">
        <v>81</v>
      </c>
    </row>
    <row r="144" spans="1:9">
      <c r="A144" s="1" t="s">
        <v>836</v>
      </c>
      <c r="B144" s="56"/>
      <c r="C144" s="56"/>
      <c r="D144" s="56"/>
      <c r="E144" s="56"/>
      <c r="F144" s="56"/>
      <c r="G144" s="56"/>
      <c r="H144" s="56">
        <v>54</v>
      </c>
      <c r="I144" s="56">
        <v>54</v>
      </c>
    </row>
    <row r="145" spans="1:11">
      <c r="A145" s="1" t="s">
        <v>812</v>
      </c>
      <c r="B145" s="56"/>
      <c r="C145" s="56"/>
      <c r="D145" s="56"/>
      <c r="E145" s="56"/>
      <c r="F145" s="56"/>
      <c r="G145" s="56"/>
      <c r="H145" s="56">
        <v>90</v>
      </c>
      <c r="I145" s="56">
        <v>90</v>
      </c>
    </row>
    <row r="146" spans="1:11">
      <c r="A146" s="1" t="s">
        <v>774</v>
      </c>
      <c r="B146" s="56"/>
      <c r="C146" s="56"/>
      <c r="D146" s="56"/>
      <c r="E146" s="56"/>
      <c r="F146" s="56"/>
      <c r="G146" s="56">
        <v>54</v>
      </c>
      <c r="H146" s="56"/>
      <c r="I146" s="56">
        <v>54</v>
      </c>
    </row>
    <row r="147" spans="1:11">
      <c r="A147" s="1" t="s">
        <v>734</v>
      </c>
      <c r="B147" s="56"/>
      <c r="C147" s="56"/>
      <c r="D147" s="56"/>
      <c r="E147" s="56"/>
      <c r="F147" s="56">
        <v>54</v>
      </c>
      <c r="G147" s="56"/>
      <c r="H147" s="56"/>
      <c r="I147" s="56">
        <v>54</v>
      </c>
    </row>
    <row r="148" spans="1:11">
      <c r="A148" s="1" t="s">
        <v>853</v>
      </c>
      <c r="B148" s="56"/>
      <c r="C148" s="56"/>
      <c r="D148" s="56"/>
      <c r="E148" s="56"/>
      <c r="F148" s="56"/>
      <c r="G148" s="56"/>
      <c r="H148" s="56">
        <v>54</v>
      </c>
      <c r="I148" s="56">
        <v>54</v>
      </c>
    </row>
    <row r="149" spans="1:11">
      <c r="A149" s="1" t="s">
        <v>54</v>
      </c>
      <c r="B149" s="56"/>
      <c r="C149" s="56">
        <v>27</v>
      </c>
      <c r="D149" s="56"/>
      <c r="E149" s="56"/>
      <c r="F149" s="56"/>
      <c r="G149" s="56"/>
      <c r="H149" s="56"/>
      <c r="I149" s="56">
        <v>27</v>
      </c>
    </row>
    <row r="150" spans="1:11">
      <c r="A150" s="1" t="s">
        <v>721</v>
      </c>
      <c r="B150" s="56"/>
      <c r="C150" s="56"/>
      <c r="D150" s="56"/>
      <c r="E150" s="56"/>
      <c r="F150" s="56">
        <v>27</v>
      </c>
      <c r="G150" s="56"/>
      <c r="H150" s="56"/>
      <c r="I150" s="56">
        <v>27</v>
      </c>
    </row>
    <row r="151" spans="1:11">
      <c r="A151" s="1" t="s">
        <v>530</v>
      </c>
      <c r="B151" s="56"/>
      <c r="C151" s="56"/>
      <c r="D151" s="56"/>
      <c r="E151" s="56">
        <v>27</v>
      </c>
      <c r="F151" s="56"/>
      <c r="G151" s="56"/>
      <c r="H151" s="56"/>
      <c r="I151" s="56">
        <v>27</v>
      </c>
    </row>
    <row r="152" spans="1:11">
      <c r="A152" s="1" t="s">
        <v>824</v>
      </c>
      <c r="B152" s="56"/>
      <c r="C152" s="56"/>
      <c r="D152" s="56"/>
      <c r="E152" s="56"/>
      <c r="F152" s="56"/>
      <c r="G152" s="56"/>
      <c r="H152" s="56">
        <v>27</v>
      </c>
      <c r="I152" s="56">
        <v>27</v>
      </c>
    </row>
    <row r="153" spans="1:11">
      <c r="A153" s="1" t="s">
        <v>724</v>
      </c>
      <c r="B153" s="56"/>
      <c r="C153" s="56"/>
      <c r="D153" s="56"/>
      <c r="E153" s="56"/>
      <c r="F153" s="56">
        <v>27</v>
      </c>
      <c r="G153" s="56"/>
      <c r="H153" s="56"/>
      <c r="I153" s="56">
        <v>27</v>
      </c>
    </row>
    <row r="154" spans="1:11">
      <c r="A154" s="1" t="s">
        <v>710</v>
      </c>
      <c r="B154" s="56"/>
      <c r="C154" s="56"/>
      <c r="D154" s="56"/>
      <c r="E154" s="56"/>
      <c r="F154" s="56">
        <v>27</v>
      </c>
      <c r="G154" s="56"/>
      <c r="H154" s="56"/>
      <c r="I154" s="56">
        <v>27</v>
      </c>
    </row>
    <row r="155" spans="1:11">
      <c r="A155" s="1" t="s">
        <v>57</v>
      </c>
      <c r="B155" s="56"/>
      <c r="C155" s="56"/>
      <c r="D155" s="56">
        <v>26</v>
      </c>
      <c r="E155" s="56"/>
      <c r="F155" s="56"/>
      <c r="G155" s="56"/>
      <c r="H155" s="56"/>
      <c r="I155" s="56">
        <v>26</v>
      </c>
    </row>
    <row r="156" spans="1:11">
      <c r="A156" s="1" t="s">
        <v>715</v>
      </c>
      <c r="B156" s="56"/>
      <c r="C156" s="56"/>
      <c r="D156" s="56"/>
      <c r="E156" s="56"/>
      <c r="F156" s="56">
        <v>26</v>
      </c>
      <c r="G156" s="56"/>
      <c r="H156" s="56"/>
      <c r="I156" s="56">
        <v>26</v>
      </c>
    </row>
    <row r="157" spans="1:11">
      <c r="A157" s="1" t="s">
        <v>787</v>
      </c>
      <c r="B157" s="56"/>
      <c r="C157" s="56"/>
      <c r="D157" s="56"/>
      <c r="E157" s="56"/>
      <c r="F157" s="56"/>
      <c r="G157" s="56">
        <v>22.5</v>
      </c>
      <c r="H157" s="56"/>
      <c r="I157" s="56">
        <v>22.5</v>
      </c>
    </row>
    <row r="158" spans="1:11">
      <c r="A158" s="1" t="s">
        <v>793</v>
      </c>
      <c r="B158" s="56"/>
      <c r="C158" s="56"/>
      <c r="D158" s="56"/>
      <c r="E158" s="56"/>
      <c r="F158" s="56"/>
      <c r="G158" s="56">
        <v>27</v>
      </c>
      <c r="H158" s="56"/>
      <c r="I158" s="56">
        <v>27</v>
      </c>
    </row>
    <row r="159" spans="1:11">
      <c r="A159" s="1" t="s">
        <v>9</v>
      </c>
      <c r="B159" s="56">
        <v>248</v>
      </c>
      <c r="C159" s="56">
        <v>1634.3</v>
      </c>
      <c r="D159" s="56">
        <v>1995.8</v>
      </c>
      <c r="E159" s="56">
        <v>2110.11</v>
      </c>
      <c r="F159" s="56">
        <v>1978.33</v>
      </c>
      <c r="G159" s="56">
        <v>1131.78</v>
      </c>
      <c r="H159" s="56">
        <v>780.90499999999997</v>
      </c>
      <c r="I159" s="56">
        <v>9879.2250000000004</v>
      </c>
      <c r="J159" s="248">
        <v>2669</v>
      </c>
      <c r="K159" s="71">
        <f>J159/GETPIVOTDATA(" Cantidad ",$A$120)</f>
        <v>0.27016289233214141</v>
      </c>
    </row>
    <row r="166" spans="1:8">
      <c r="A166" s="75" t="s">
        <v>13</v>
      </c>
      <c r="B166" s="75" t="s">
        <v>2</v>
      </c>
      <c r="H166" s="84"/>
    </row>
    <row r="167" spans="1:8">
      <c r="A167" s="75" t="s">
        <v>28</v>
      </c>
      <c r="B167" t="s">
        <v>6</v>
      </c>
      <c r="C167" t="s">
        <v>7</v>
      </c>
      <c r="D167" t="s">
        <v>8</v>
      </c>
      <c r="E167" t="s">
        <v>463</v>
      </c>
      <c r="F167" t="s">
        <v>705</v>
      </c>
      <c r="G167" t="s">
        <v>9</v>
      </c>
      <c r="H167" s="85" t="s">
        <v>29</v>
      </c>
    </row>
    <row r="168" spans="1:8">
      <c r="A168" s="1" t="s">
        <v>47</v>
      </c>
      <c r="B168" s="56"/>
      <c r="C168" s="56"/>
      <c r="D168" s="56">
        <v>669600</v>
      </c>
      <c r="E168" s="56">
        <v>737100</v>
      </c>
      <c r="F168" s="56">
        <v>1259758</v>
      </c>
      <c r="G168" s="56">
        <v>2666458</v>
      </c>
      <c r="H168" s="71">
        <f t="shared" ref="H168:H199" si="38">G168/$G$198</f>
        <v>0.15538478613507842</v>
      </c>
    </row>
    <row r="169" spans="1:8">
      <c r="A169" s="1" t="s">
        <v>45</v>
      </c>
      <c r="B169" s="56"/>
      <c r="C169" s="56">
        <v>1066950</v>
      </c>
      <c r="D169" s="56"/>
      <c r="E169" s="56">
        <v>30300</v>
      </c>
      <c r="F169" s="56">
        <v>1047600</v>
      </c>
      <c r="G169" s="56">
        <v>2144850</v>
      </c>
      <c r="H169" s="71">
        <f t="shared" si="38"/>
        <v>0.12498867731718369</v>
      </c>
    </row>
    <row r="170" spans="1:8">
      <c r="A170" s="1" t="s">
        <v>43</v>
      </c>
      <c r="B170" s="56">
        <v>281115</v>
      </c>
      <c r="C170" s="56">
        <v>438056</v>
      </c>
      <c r="D170" s="56">
        <v>1104330</v>
      </c>
      <c r="E170" s="56">
        <v>961572</v>
      </c>
      <c r="F170" s="56">
        <v>290840</v>
      </c>
      <c r="G170" s="56">
        <v>3075913</v>
      </c>
      <c r="H170" s="71">
        <f t="shared" si="38"/>
        <v>0.17924530732346336</v>
      </c>
    </row>
    <row r="171" spans="1:8">
      <c r="A171" s="1" t="s">
        <v>735</v>
      </c>
      <c r="B171" s="56"/>
      <c r="C171" s="56"/>
      <c r="D171" s="56"/>
      <c r="E171" s="56"/>
      <c r="F171" s="56">
        <v>490860</v>
      </c>
      <c r="G171" s="56">
        <v>490860</v>
      </c>
      <c r="H171" s="71">
        <f t="shared" si="38"/>
        <v>2.8604304332663255E-2</v>
      </c>
    </row>
    <row r="172" spans="1:8">
      <c r="A172" s="1" t="s">
        <v>44</v>
      </c>
      <c r="B172" s="56"/>
      <c r="C172" s="56">
        <v>390000</v>
      </c>
      <c r="D172" s="56">
        <v>813921.7</v>
      </c>
      <c r="E172" s="56">
        <v>175000</v>
      </c>
      <c r="F172" s="56">
        <v>34720</v>
      </c>
      <c r="G172" s="56">
        <v>1413641.7</v>
      </c>
      <c r="H172" s="71">
        <f t="shared" si="38"/>
        <v>8.2378351065769156E-2</v>
      </c>
    </row>
    <row r="173" spans="1:8">
      <c r="A173" s="1" t="s">
        <v>52</v>
      </c>
      <c r="B173" s="56"/>
      <c r="C173" s="56">
        <v>222750</v>
      </c>
      <c r="D173" s="56"/>
      <c r="E173" s="56">
        <v>712656</v>
      </c>
      <c r="F173" s="56"/>
      <c r="G173" s="56">
        <v>935406</v>
      </c>
      <c r="H173" s="71">
        <f t="shared" si="38"/>
        <v>5.4509713357371155E-2</v>
      </c>
    </row>
    <row r="174" spans="1:8">
      <c r="A174" s="1" t="s">
        <v>501</v>
      </c>
      <c r="B174" s="56"/>
      <c r="C174" s="56"/>
      <c r="D174" s="56"/>
      <c r="E174" s="56">
        <v>575100</v>
      </c>
      <c r="F174" s="56">
        <v>340200</v>
      </c>
      <c r="G174" s="56">
        <v>915300</v>
      </c>
      <c r="H174" s="71">
        <f t="shared" si="38"/>
        <v>5.3338059234174055E-2</v>
      </c>
    </row>
    <row r="175" spans="1:8">
      <c r="A175" s="1" t="s">
        <v>508</v>
      </c>
      <c r="B175" s="56"/>
      <c r="C175" s="56"/>
      <c r="D175" s="56"/>
      <c r="E175" s="56">
        <v>595782</v>
      </c>
      <c r="F175" s="56">
        <v>230850</v>
      </c>
      <c r="G175" s="56">
        <v>826632</v>
      </c>
      <c r="H175" s="71">
        <f t="shared" si="38"/>
        <v>4.8171033082993302E-2</v>
      </c>
    </row>
    <row r="176" spans="1:8">
      <c r="A176" s="1" t="s">
        <v>49</v>
      </c>
      <c r="B176" s="56"/>
      <c r="C176" s="56"/>
      <c r="D176" s="56">
        <v>334800</v>
      </c>
      <c r="E176" s="56"/>
      <c r="F176" s="56">
        <v>299700</v>
      </c>
      <c r="G176" s="56">
        <v>634500</v>
      </c>
      <c r="H176" s="71">
        <f t="shared" si="38"/>
        <v>3.6974760826049863E-2</v>
      </c>
    </row>
    <row r="177" spans="1:8">
      <c r="A177" s="1" t="s">
        <v>53</v>
      </c>
      <c r="B177" s="56">
        <v>140400</v>
      </c>
      <c r="C177" s="56">
        <v>77585</v>
      </c>
      <c r="D177" s="56"/>
      <c r="E177" s="56">
        <v>67500</v>
      </c>
      <c r="F177" s="56">
        <v>134636</v>
      </c>
      <c r="G177" s="56">
        <v>420121</v>
      </c>
      <c r="H177" s="71">
        <f t="shared" si="38"/>
        <v>2.448207012293285E-2</v>
      </c>
    </row>
    <row r="178" spans="1:8">
      <c r="A178" s="1" t="s">
        <v>56</v>
      </c>
      <c r="B178" s="56">
        <v>74064</v>
      </c>
      <c r="C178" s="56"/>
      <c r="D178" s="56">
        <v>76700</v>
      </c>
      <c r="E178" s="56">
        <v>189800</v>
      </c>
      <c r="F178" s="56">
        <v>80600</v>
      </c>
      <c r="G178" s="56">
        <v>421164</v>
      </c>
      <c r="H178" s="71">
        <f t="shared" si="38"/>
        <v>2.4542849753416019E-2</v>
      </c>
    </row>
    <row r="179" spans="1:8">
      <c r="A179" s="1" t="s">
        <v>524</v>
      </c>
      <c r="B179" s="56"/>
      <c r="C179" s="56"/>
      <c r="D179" s="56"/>
      <c r="E179" s="56">
        <v>151256</v>
      </c>
      <c r="F179" s="56"/>
      <c r="G179" s="56">
        <v>151256</v>
      </c>
      <c r="H179" s="71">
        <f t="shared" si="38"/>
        <v>8.8142701710086646E-3</v>
      </c>
    </row>
    <row r="180" spans="1:8">
      <c r="A180" s="1" t="s">
        <v>48</v>
      </c>
      <c r="B180" s="56"/>
      <c r="C180" s="56">
        <v>142695</v>
      </c>
      <c r="D180" s="56">
        <v>135200</v>
      </c>
      <c r="E180" s="56">
        <v>76700</v>
      </c>
      <c r="F180" s="56"/>
      <c r="G180" s="56">
        <v>354595</v>
      </c>
      <c r="H180" s="71">
        <f t="shared" si="38"/>
        <v>2.0663617517908826E-2</v>
      </c>
    </row>
    <row r="181" spans="1:8">
      <c r="A181" s="1" t="s">
        <v>46</v>
      </c>
      <c r="B181" s="56"/>
      <c r="C181" s="56"/>
      <c r="D181" s="56">
        <v>352350</v>
      </c>
      <c r="E181" s="56"/>
      <c r="F181" s="56"/>
      <c r="G181" s="56">
        <v>352350</v>
      </c>
      <c r="H181" s="71">
        <f t="shared" si="38"/>
        <v>2.0532792714040456E-2</v>
      </c>
    </row>
    <row r="182" spans="1:8">
      <c r="A182" s="1" t="s">
        <v>50</v>
      </c>
      <c r="B182" s="56">
        <v>44722</v>
      </c>
      <c r="C182" s="56"/>
      <c r="D182" s="56">
        <v>236060</v>
      </c>
      <c r="E182" s="56"/>
      <c r="F182" s="56">
        <v>51775</v>
      </c>
      <c r="G182" s="56">
        <v>332557</v>
      </c>
      <c r="H182" s="71">
        <f t="shared" si="38"/>
        <v>1.9379378307373782E-2</v>
      </c>
    </row>
    <row r="183" spans="1:8">
      <c r="A183" s="1" t="s">
        <v>488</v>
      </c>
      <c r="B183" s="56"/>
      <c r="C183" s="56"/>
      <c r="D183" s="56"/>
      <c r="E183" s="56">
        <v>279504</v>
      </c>
      <c r="F183" s="56"/>
      <c r="G183" s="56">
        <v>279504</v>
      </c>
      <c r="H183" s="71">
        <f t="shared" si="38"/>
        <v>1.628777549239439E-2</v>
      </c>
    </row>
    <row r="184" spans="1:8">
      <c r="A184" s="1" t="s">
        <v>51</v>
      </c>
      <c r="B184" s="56"/>
      <c r="C184" s="56">
        <v>222750</v>
      </c>
      <c r="D184" s="56">
        <v>35553</v>
      </c>
      <c r="E184" s="56"/>
      <c r="F184" s="56"/>
      <c r="G184" s="56">
        <v>258303</v>
      </c>
      <c r="H184" s="71">
        <f t="shared" si="38"/>
        <v>1.5052311498268175E-2</v>
      </c>
    </row>
    <row r="185" spans="1:8">
      <c r="A185" s="1" t="s">
        <v>718</v>
      </c>
      <c r="B185" s="56"/>
      <c r="C185" s="56"/>
      <c r="D185" s="56"/>
      <c r="E185" s="56"/>
      <c r="F185" s="56">
        <v>164700</v>
      </c>
      <c r="G185" s="56">
        <v>164700</v>
      </c>
      <c r="H185" s="71">
        <f t="shared" si="38"/>
        <v>9.5977038739959216E-3</v>
      </c>
    </row>
    <row r="186" spans="1:8">
      <c r="A186" s="1" t="s">
        <v>419</v>
      </c>
      <c r="B186" s="56">
        <v>24314.28</v>
      </c>
      <c r="C186" s="56">
        <v>40026</v>
      </c>
      <c r="D186" s="56">
        <v>26456.610000000008</v>
      </c>
      <c r="E186" s="56">
        <v>37768.57</v>
      </c>
      <c r="F186" s="56">
        <v>23613.25</v>
      </c>
      <c r="G186" s="56">
        <v>152178.71000000002</v>
      </c>
      <c r="H186" s="71">
        <f t="shared" si="38"/>
        <v>8.8680400395063884E-3</v>
      </c>
    </row>
    <row r="187" spans="1:8">
      <c r="A187" s="1" t="s">
        <v>55</v>
      </c>
      <c r="B187" s="56"/>
      <c r="C187" s="56">
        <v>77212.5</v>
      </c>
      <c r="D187" s="56"/>
      <c r="E187" s="56">
        <v>104700</v>
      </c>
      <c r="F187" s="56">
        <v>53812.5</v>
      </c>
      <c r="G187" s="56">
        <v>235725</v>
      </c>
      <c r="H187" s="71">
        <f t="shared" si="38"/>
        <v>1.3736604406179045E-2</v>
      </c>
    </row>
    <row r="188" spans="1:8">
      <c r="A188" s="1" t="s">
        <v>58</v>
      </c>
      <c r="B188" s="56"/>
      <c r="C188" s="56"/>
      <c r="D188" s="56">
        <v>70200</v>
      </c>
      <c r="E188" s="56">
        <v>145800</v>
      </c>
      <c r="F188" s="56"/>
      <c r="G188" s="56">
        <v>216000</v>
      </c>
      <c r="H188" s="71">
        <f t="shared" si="38"/>
        <v>1.2587152621633995E-2</v>
      </c>
    </row>
    <row r="189" spans="1:8">
      <c r="A189" s="1" t="s">
        <v>731</v>
      </c>
      <c r="B189" s="56"/>
      <c r="C189" s="56"/>
      <c r="D189" s="56"/>
      <c r="E189" s="56"/>
      <c r="F189" s="56">
        <v>167700</v>
      </c>
      <c r="G189" s="56">
        <v>167700</v>
      </c>
      <c r="H189" s="71">
        <f t="shared" si="38"/>
        <v>9.7725254381852821E-3</v>
      </c>
    </row>
    <row r="190" spans="1:8">
      <c r="A190" s="1" t="s">
        <v>734</v>
      </c>
      <c r="B190" s="56"/>
      <c r="C190" s="56"/>
      <c r="D190" s="56"/>
      <c r="E190" s="56"/>
      <c r="F190" s="56">
        <v>105560</v>
      </c>
      <c r="G190" s="56">
        <v>105560</v>
      </c>
      <c r="H190" s="116">
        <f t="shared" si="38"/>
        <v>6.1513881052763179E-3</v>
      </c>
    </row>
    <row r="191" spans="1:8">
      <c r="A191" s="1" t="s">
        <v>54</v>
      </c>
      <c r="B191" s="56"/>
      <c r="C191" s="56">
        <v>91800</v>
      </c>
      <c r="D191" s="56"/>
      <c r="E191" s="56"/>
      <c r="F191" s="56"/>
      <c r="G191" s="56">
        <v>91800</v>
      </c>
      <c r="H191" s="116">
        <f t="shared" si="38"/>
        <v>5.3495398641944482E-3</v>
      </c>
    </row>
    <row r="192" spans="1:8">
      <c r="A192" s="1" t="s">
        <v>721</v>
      </c>
      <c r="B192" s="56"/>
      <c r="C192" s="56"/>
      <c r="D192" s="56"/>
      <c r="E192" s="56"/>
      <c r="F192" s="56">
        <v>83700</v>
      </c>
      <c r="G192" s="56">
        <v>83700</v>
      </c>
      <c r="H192" s="116">
        <f t="shared" si="38"/>
        <v>4.877521640883173E-3</v>
      </c>
    </row>
    <row r="193" spans="1:10">
      <c r="A193" s="1" t="s">
        <v>530</v>
      </c>
      <c r="B193" s="56"/>
      <c r="C193" s="56"/>
      <c r="D193" s="56"/>
      <c r="E193" s="56">
        <v>81000</v>
      </c>
      <c r="F193" s="56"/>
      <c r="G193" s="56">
        <v>81000</v>
      </c>
      <c r="H193" s="116">
        <f t="shared" si="38"/>
        <v>4.7201822331127486E-3</v>
      </c>
    </row>
    <row r="194" spans="1:10">
      <c r="A194" s="1" t="s">
        <v>724</v>
      </c>
      <c r="B194" s="56"/>
      <c r="C194" s="56"/>
      <c r="D194" s="56"/>
      <c r="E194" s="56"/>
      <c r="F194" s="56">
        <v>66250</v>
      </c>
      <c r="G194" s="56">
        <v>66250</v>
      </c>
      <c r="H194" s="116">
        <f t="shared" si="38"/>
        <v>3.86064287584839E-3</v>
      </c>
    </row>
    <row r="195" spans="1:10">
      <c r="A195" s="1" t="s">
        <v>710</v>
      </c>
      <c r="B195" s="56"/>
      <c r="C195" s="56"/>
      <c r="D195" s="56"/>
      <c r="E195" s="56"/>
      <c r="F195" s="56">
        <v>54080</v>
      </c>
      <c r="G195" s="56">
        <v>54080</v>
      </c>
      <c r="H195" s="116">
        <f t="shared" si="38"/>
        <v>3.1514500637868817E-3</v>
      </c>
    </row>
    <row r="196" spans="1:10">
      <c r="A196" s="1" t="s">
        <v>57</v>
      </c>
      <c r="B196" s="56"/>
      <c r="C196" s="56"/>
      <c r="D196" s="56">
        <v>39000</v>
      </c>
      <c r="E196" s="56"/>
      <c r="F196" s="56"/>
      <c r="G196" s="56">
        <v>39000</v>
      </c>
      <c r="H196" s="116">
        <f t="shared" si="38"/>
        <v>2.2726803344616936E-3</v>
      </c>
    </row>
    <row r="197" spans="1:10">
      <c r="A197" s="1" t="s">
        <v>715</v>
      </c>
      <c r="B197" s="56"/>
      <c r="C197" s="56"/>
      <c r="D197" s="56"/>
      <c r="E197" s="56"/>
      <c r="F197" s="56">
        <v>29250</v>
      </c>
      <c r="G197" s="56">
        <v>29250</v>
      </c>
      <c r="H197" s="116">
        <f t="shared" si="38"/>
        <v>1.7045102508462702E-3</v>
      </c>
    </row>
    <row r="198" spans="1:10">
      <c r="A198" s="1" t="s">
        <v>9</v>
      </c>
      <c r="B198" s="56">
        <v>564615.28</v>
      </c>
      <c r="C198" s="56">
        <v>2769824.5</v>
      </c>
      <c r="D198" s="56">
        <v>3894171.31</v>
      </c>
      <c r="E198" s="56">
        <v>4921538.57</v>
      </c>
      <c r="F198" s="56">
        <v>5010204.75</v>
      </c>
      <c r="G198" s="56">
        <v>17160354.41</v>
      </c>
      <c r="H198" s="116">
        <f t="shared" si="38"/>
        <v>1</v>
      </c>
    </row>
    <row r="199" spans="1:10">
      <c r="G199" s="56">
        <v>30</v>
      </c>
      <c r="H199" s="116">
        <f t="shared" si="38"/>
        <v>1.7482156418936106E-6</v>
      </c>
      <c r="J199" s="116"/>
    </row>
    <row r="200" spans="1:10">
      <c r="J200" s="116"/>
    </row>
    <row r="201" spans="1:10">
      <c r="J201" s="116"/>
    </row>
    <row r="202" spans="1:10">
      <c r="J202" s="116"/>
    </row>
    <row r="203" spans="1:10">
      <c r="J203" s="116"/>
    </row>
    <row r="204" spans="1:10">
      <c r="J204" s="116"/>
    </row>
    <row r="205" spans="1:10">
      <c r="J205" s="82"/>
    </row>
    <row r="207" spans="1:10">
      <c r="A207" s="75" t="s">
        <v>13</v>
      </c>
      <c r="B207" s="75" t="s">
        <v>2</v>
      </c>
    </row>
    <row r="208" spans="1:10">
      <c r="A208" s="75" t="s">
        <v>28</v>
      </c>
      <c r="B208" t="s">
        <v>6</v>
      </c>
      <c r="C208" t="s">
        <v>7</v>
      </c>
      <c r="D208" t="s">
        <v>8</v>
      </c>
      <c r="E208" t="s">
        <v>463</v>
      </c>
      <c r="F208" t="s">
        <v>705</v>
      </c>
      <c r="G208" t="s">
        <v>757</v>
      </c>
      <c r="H208" t="s">
        <v>806</v>
      </c>
      <c r="I208" t="s">
        <v>9</v>
      </c>
    </row>
    <row r="209" spans="1:9">
      <c r="A209" s="1" t="s">
        <v>867</v>
      </c>
      <c r="B209" s="56">
        <v>489901</v>
      </c>
      <c r="C209" s="56">
        <v>2491786</v>
      </c>
      <c r="D209" s="56">
        <v>2573740</v>
      </c>
      <c r="E209" s="56">
        <v>3607114</v>
      </c>
      <c r="F209" s="56">
        <v>3168615</v>
      </c>
      <c r="G209" s="56">
        <v>1349554</v>
      </c>
      <c r="H209" s="56">
        <v>1026026</v>
      </c>
      <c r="I209" s="56">
        <v>14706736</v>
      </c>
    </row>
    <row r="210" spans="1:9">
      <c r="A210" s="262" t="s">
        <v>33</v>
      </c>
      <c r="B210" s="56">
        <v>94800</v>
      </c>
      <c r="C210" s="56">
        <v>1147500</v>
      </c>
      <c r="D210" s="56">
        <v>430960</v>
      </c>
      <c r="E210" s="56">
        <v>1471690</v>
      </c>
      <c r="F210" s="56">
        <v>1041860</v>
      </c>
      <c r="G210" s="56">
        <v>245195</v>
      </c>
      <c r="H210" s="56">
        <v>78800</v>
      </c>
      <c r="I210" s="56">
        <v>4510805</v>
      </c>
    </row>
    <row r="211" spans="1:9">
      <c r="A211" s="262" t="s">
        <v>32</v>
      </c>
      <c r="B211" s="56">
        <v>135915</v>
      </c>
      <c r="C211" s="56">
        <v>710550</v>
      </c>
      <c r="D211" s="56">
        <v>768480</v>
      </c>
      <c r="E211" s="56">
        <v>656562</v>
      </c>
      <c r="F211" s="56">
        <v>591300</v>
      </c>
      <c r="G211" s="56">
        <v>251204</v>
      </c>
      <c r="H211" s="56">
        <v>94500</v>
      </c>
      <c r="I211" s="56">
        <v>3208511</v>
      </c>
    </row>
    <row r="212" spans="1:9">
      <c r="A212" s="262" t="s">
        <v>31</v>
      </c>
      <c r="B212" s="56">
        <v>149248</v>
      </c>
      <c r="C212" s="56">
        <v>532695</v>
      </c>
      <c r="D212" s="56">
        <v>779600</v>
      </c>
      <c r="E212" s="56">
        <v>1170306</v>
      </c>
      <c r="F212" s="56">
        <v>1105650</v>
      </c>
      <c r="G212" s="56">
        <v>722550</v>
      </c>
      <c r="H212" s="56">
        <v>437010</v>
      </c>
      <c r="I212" s="56">
        <v>4897059</v>
      </c>
    </row>
    <row r="213" spans="1:9">
      <c r="A213" s="262" t="s">
        <v>36</v>
      </c>
      <c r="B213" s="56">
        <v>74064</v>
      </c>
      <c r="C213" s="56">
        <v>77585</v>
      </c>
      <c r="D213" s="56">
        <v>139200</v>
      </c>
      <c r="E213" s="56">
        <v>308556</v>
      </c>
      <c r="F213" s="56">
        <v>154700</v>
      </c>
      <c r="G213" s="56">
        <v>70980</v>
      </c>
      <c r="H213" s="56">
        <v>214416</v>
      </c>
      <c r="I213" s="56">
        <v>1039501</v>
      </c>
    </row>
    <row r="214" spans="1:9">
      <c r="A214" s="262" t="s">
        <v>34</v>
      </c>
      <c r="B214" s="56">
        <v>35874</v>
      </c>
      <c r="C214" s="56">
        <v>23456</v>
      </c>
      <c r="D214" s="56">
        <v>455500</v>
      </c>
      <c r="E214" s="56"/>
      <c r="F214" s="56">
        <v>221025</v>
      </c>
      <c r="G214" s="56">
        <v>59625</v>
      </c>
      <c r="H214" s="56">
        <v>201300</v>
      </c>
      <c r="I214" s="56">
        <v>996780</v>
      </c>
    </row>
    <row r="215" spans="1:9">
      <c r="A215" s="262" t="s">
        <v>668</v>
      </c>
      <c r="B215" s="56"/>
      <c r="C215" s="56"/>
      <c r="D215" s="56"/>
      <c r="E215" s="56"/>
      <c r="F215" s="56">
        <v>54080</v>
      </c>
      <c r="G215" s="56"/>
      <c r="H215" s="56"/>
      <c r="I215" s="56">
        <v>54080</v>
      </c>
    </row>
    <row r="216" spans="1:9">
      <c r="A216" s="1" t="s">
        <v>868</v>
      </c>
      <c r="B216" s="56"/>
      <c r="C216" s="56">
        <v>91800</v>
      </c>
      <c r="D216" s="56">
        <v>1181621.7</v>
      </c>
      <c r="E216" s="56">
        <v>1038636</v>
      </c>
      <c r="F216" s="56">
        <v>1559458</v>
      </c>
      <c r="G216" s="56">
        <v>1941651</v>
      </c>
      <c r="H216" s="56"/>
      <c r="I216" s="56">
        <v>5813166.7000000002</v>
      </c>
    </row>
    <row r="217" spans="1:9">
      <c r="A217" s="262" t="s">
        <v>495</v>
      </c>
      <c r="B217" s="56"/>
      <c r="C217" s="56">
        <v>91800</v>
      </c>
      <c r="D217" s="56">
        <v>1004400</v>
      </c>
      <c r="E217" s="56">
        <v>831600</v>
      </c>
      <c r="F217" s="56">
        <v>1142100</v>
      </c>
      <c r="G217" s="56">
        <v>1273050</v>
      </c>
      <c r="H217" s="56"/>
      <c r="I217" s="56">
        <v>4342950</v>
      </c>
    </row>
    <row r="218" spans="1:9">
      <c r="A218" s="262" t="s">
        <v>35</v>
      </c>
      <c r="B218" s="56"/>
      <c r="C218" s="56"/>
      <c r="D218" s="56">
        <v>177221.7</v>
      </c>
      <c r="E218" s="56">
        <v>207036</v>
      </c>
      <c r="F218" s="56">
        <v>417358</v>
      </c>
      <c r="G218" s="56">
        <v>668601</v>
      </c>
      <c r="H218" s="56"/>
      <c r="I218" s="56">
        <v>1470216.7</v>
      </c>
    </row>
    <row r="219" spans="1:9">
      <c r="A219" s="1" t="s">
        <v>866</v>
      </c>
      <c r="B219" s="56">
        <v>50400</v>
      </c>
      <c r="C219" s="56">
        <v>146212.5</v>
      </c>
      <c r="D219" s="56">
        <v>112353</v>
      </c>
      <c r="E219" s="56">
        <v>238020</v>
      </c>
      <c r="F219" s="56">
        <v>258518.5</v>
      </c>
      <c r="G219" s="56">
        <v>81242</v>
      </c>
      <c r="H219" s="56">
        <v>536898</v>
      </c>
      <c r="I219" s="56">
        <v>1423644</v>
      </c>
    </row>
    <row r="220" spans="1:9">
      <c r="A220" s="262" t="s">
        <v>37</v>
      </c>
      <c r="B220" s="56">
        <v>50400</v>
      </c>
      <c r="C220" s="56">
        <v>69000</v>
      </c>
      <c r="D220" s="56">
        <v>76800</v>
      </c>
      <c r="E220" s="56">
        <v>35520</v>
      </c>
      <c r="F220" s="56">
        <v>43200</v>
      </c>
      <c r="G220" s="56">
        <v>46018</v>
      </c>
      <c r="H220" s="56">
        <v>86400</v>
      </c>
      <c r="I220" s="56">
        <v>407338</v>
      </c>
    </row>
    <row r="221" spans="1:9">
      <c r="A221" s="262" t="s">
        <v>465</v>
      </c>
      <c r="B221" s="56"/>
      <c r="C221" s="56"/>
      <c r="D221" s="56"/>
      <c r="E221" s="56">
        <v>67500</v>
      </c>
      <c r="F221" s="56">
        <v>126786</v>
      </c>
      <c r="G221" s="56"/>
      <c r="H221" s="56">
        <v>136350</v>
      </c>
      <c r="I221" s="56">
        <v>330636</v>
      </c>
    </row>
    <row r="222" spans="1:9">
      <c r="A222" s="262" t="s">
        <v>39</v>
      </c>
      <c r="B222" s="56"/>
      <c r="C222" s="56">
        <v>38606.25</v>
      </c>
      <c r="D222" s="56"/>
      <c r="E222" s="56">
        <v>52200</v>
      </c>
      <c r="F222" s="56">
        <v>53812.5</v>
      </c>
      <c r="G222" s="56"/>
      <c r="H222" s="56">
        <v>127848</v>
      </c>
      <c r="I222" s="56">
        <v>272466.75</v>
      </c>
    </row>
    <row r="223" spans="1:9">
      <c r="A223" s="262" t="s">
        <v>38</v>
      </c>
      <c r="B223" s="56"/>
      <c r="C223" s="56">
        <v>38606.25</v>
      </c>
      <c r="D223" s="56">
        <v>35553</v>
      </c>
      <c r="E223" s="56">
        <v>52500</v>
      </c>
      <c r="F223" s="56"/>
      <c r="G223" s="56"/>
      <c r="H223" s="56">
        <v>186300</v>
      </c>
      <c r="I223" s="56">
        <v>312959.25</v>
      </c>
    </row>
    <row r="224" spans="1:9">
      <c r="A224" s="262" t="s">
        <v>669</v>
      </c>
      <c r="B224" s="56"/>
      <c r="C224" s="56"/>
      <c r="D224" s="56"/>
      <c r="E224" s="56"/>
      <c r="F224" s="56">
        <v>34720</v>
      </c>
      <c r="G224" s="56">
        <v>35224</v>
      </c>
      <c r="H224" s="56"/>
      <c r="I224" s="56">
        <v>69944</v>
      </c>
    </row>
    <row r="225" spans="1:9">
      <c r="A225" s="262" t="s">
        <v>497</v>
      </c>
      <c r="B225" s="56"/>
      <c r="C225" s="56"/>
      <c r="D225" s="56"/>
      <c r="E225" s="56">
        <v>30300</v>
      </c>
      <c r="F225" s="56"/>
      <c r="G225" s="56"/>
      <c r="H225" s="56"/>
      <c r="I225" s="56">
        <v>30300</v>
      </c>
    </row>
    <row r="226" spans="1:9">
      <c r="A226" s="1" t="s">
        <v>9</v>
      </c>
      <c r="B226" s="56">
        <v>540301</v>
      </c>
      <c r="C226" s="56">
        <v>2729798.5</v>
      </c>
      <c r="D226" s="56">
        <v>3867714.7</v>
      </c>
      <c r="E226" s="56">
        <v>4883770</v>
      </c>
      <c r="F226" s="56">
        <v>4986591.5</v>
      </c>
      <c r="G226" s="56">
        <v>3372447</v>
      </c>
      <c r="H226" s="56">
        <v>1562924</v>
      </c>
      <c r="I226" s="56">
        <v>21943546.699999999</v>
      </c>
    </row>
    <row r="231" spans="1:9">
      <c r="A231" s="75" t="s">
        <v>12</v>
      </c>
      <c r="B231" s="75" t="s">
        <v>2</v>
      </c>
    </row>
    <row r="232" spans="1:9">
      <c r="A232" s="75" t="s">
        <v>28</v>
      </c>
      <c r="B232" t="s">
        <v>6</v>
      </c>
      <c r="C232" t="s">
        <v>7</v>
      </c>
      <c r="D232" t="s">
        <v>8</v>
      </c>
      <c r="E232" t="s">
        <v>463</v>
      </c>
      <c r="F232" t="s">
        <v>705</v>
      </c>
      <c r="G232" t="s">
        <v>757</v>
      </c>
      <c r="H232" t="s">
        <v>806</v>
      </c>
      <c r="I232" t="s">
        <v>9</v>
      </c>
    </row>
    <row r="233" spans="1:9">
      <c r="A233" s="1" t="s">
        <v>867</v>
      </c>
      <c r="B233" s="56">
        <v>224</v>
      </c>
      <c r="C233" s="56">
        <v>1519.3</v>
      </c>
      <c r="D233" s="56">
        <v>1542.8</v>
      </c>
      <c r="E233" s="56">
        <v>1715.26</v>
      </c>
      <c r="F233" s="56">
        <v>1443.8</v>
      </c>
      <c r="G233" s="56">
        <v>593.5</v>
      </c>
      <c r="H233" s="56">
        <v>485</v>
      </c>
      <c r="I233" s="56">
        <v>7523.66</v>
      </c>
    </row>
    <row r="234" spans="1:9">
      <c r="A234" s="262" t="s">
        <v>33</v>
      </c>
      <c r="B234" s="56">
        <v>48</v>
      </c>
      <c r="C234" s="56">
        <v>810</v>
      </c>
      <c r="D234" s="56">
        <v>293</v>
      </c>
      <c r="E234" s="56">
        <v>808.9</v>
      </c>
      <c r="F234" s="56">
        <v>506.8</v>
      </c>
      <c r="G234" s="56">
        <v>129</v>
      </c>
      <c r="H234" s="56">
        <v>38</v>
      </c>
      <c r="I234" s="56">
        <v>2633.7000000000003</v>
      </c>
    </row>
    <row r="235" spans="1:9">
      <c r="A235" s="262" t="s">
        <v>32</v>
      </c>
      <c r="B235" s="56">
        <v>72</v>
      </c>
      <c r="C235" s="56">
        <v>459.3</v>
      </c>
      <c r="D235" s="56">
        <v>482.8</v>
      </c>
      <c r="E235" s="56">
        <v>343.62</v>
      </c>
      <c r="F235" s="56">
        <v>297</v>
      </c>
      <c r="G235" s="56">
        <v>123</v>
      </c>
      <c r="H235" s="56">
        <v>54</v>
      </c>
      <c r="I235" s="56">
        <v>1831.7199999999998</v>
      </c>
    </row>
    <row r="236" spans="1:9">
      <c r="A236" s="262" t="s">
        <v>31</v>
      </c>
      <c r="B236" s="56">
        <v>57.96</v>
      </c>
      <c r="C236" s="56">
        <v>209</v>
      </c>
      <c r="D236" s="56">
        <v>331</v>
      </c>
      <c r="E236" s="56">
        <v>458.94</v>
      </c>
      <c r="F236" s="56">
        <v>378</v>
      </c>
      <c r="G236" s="56">
        <v>267</v>
      </c>
      <c r="H236" s="56">
        <v>162</v>
      </c>
      <c r="I236" s="56">
        <v>1863.9</v>
      </c>
    </row>
    <row r="237" spans="1:9">
      <c r="A237" s="262" t="s">
        <v>36</v>
      </c>
      <c r="B237" s="56">
        <v>26</v>
      </c>
      <c r="C237" s="56">
        <v>27</v>
      </c>
      <c r="D237" s="56">
        <v>51</v>
      </c>
      <c r="E237" s="56">
        <v>103.8</v>
      </c>
      <c r="F237" s="56">
        <v>52</v>
      </c>
      <c r="G237" s="56">
        <v>26</v>
      </c>
      <c r="H237" s="56">
        <v>79</v>
      </c>
      <c r="I237" s="56">
        <v>364.8</v>
      </c>
    </row>
    <row r="238" spans="1:9">
      <c r="A238" s="262" t="s">
        <v>34</v>
      </c>
      <c r="B238" s="56">
        <v>20.04</v>
      </c>
      <c r="C238" s="56">
        <v>14</v>
      </c>
      <c r="D238" s="56">
        <v>385</v>
      </c>
      <c r="E238" s="56"/>
      <c r="F238" s="56">
        <v>183</v>
      </c>
      <c r="G238" s="56">
        <v>48.5</v>
      </c>
      <c r="H238" s="56">
        <v>152</v>
      </c>
      <c r="I238" s="56">
        <v>802.54</v>
      </c>
    </row>
    <row r="239" spans="1:9">
      <c r="A239" s="262" t="s">
        <v>668</v>
      </c>
      <c r="B239" s="56"/>
      <c r="C239" s="56"/>
      <c r="D239" s="56"/>
      <c r="E239" s="56"/>
      <c r="F239" s="56">
        <v>27</v>
      </c>
      <c r="G239" s="56"/>
      <c r="H239" s="56"/>
      <c r="I239" s="56">
        <v>27</v>
      </c>
    </row>
    <row r="240" spans="1:9">
      <c r="A240" s="1" t="s">
        <v>868</v>
      </c>
      <c r="B240" s="56"/>
      <c r="C240" s="56">
        <v>27</v>
      </c>
      <c r="D240" s="56">
        <v>378</v>
      </c>
      <c r="E240" s="56">
        <v>269.10000000000002</v>
      </c>
      <c r="F240" s="56">
        <v>404.28</v>
      </c>
      <c r="G240" s="56">
        <v>485.28</v>
      </c>
      <c r="H240" s="56"/>
      <c r="I240" s="56">
        <v>1563.6599999999999</v>
      </c>
    </row>
    <row r="241" spans="1:9">
      <c r="A241" s="262" t="s">
        <v>495</v>
      </c>
      <c r="B241" s="56"/>
      <c r="C241" s="56">
        <v>27</v>
      </c>
      <c r="D241" s="56">
        <v>324</v>
      </c>
      <c r="E241" s="56">
        <v>216</v>
      </c>
      <c r="F241" s="56">
        <v>297</v>
      </c>
      <c r="G241" s="56">
        <v>324</v>
      </c>
      <c r="H241" s="56"/>
      <c r="I241" s="56">
        <v>1188</v>
      </c>
    </row>
    <row r="242" spans="1:9">
      <c r="A242" s="262" t="s">
        <v>35</v>
      </c>
      <c r="B242" s="56"/>
      <c r="C242" s="56"/>
      <c r="D242" s="56">
        <v>54</v>
      </c>
      <c r="E242" s="56">
        <v>53.1</v>
      </c>
      <c r="F242" s="56">
        <v>107.28</v>
      </c>
      <c r="G242" s="56">
        <v>161.28</v>
      </c>
      <c r="H242" s="56"/>
      <c r="I242" s="56">
        <v>375.65999999999997</v>
      </c>
    </row>
    <row r="243" spans="1:9">
      <c r="A243" s="1" t="s">
        <v>866</v>
      </c>
      <c r="B243" s="56">
        <v>24</v>
      </c>
      <c r="C243" s="56">
        <v>88</v>
      </c>
      <c r="D243" s="56">
        <v>75</v>
      </c>
      <c r="E243" s="56">
        <v>125.75000000000001</v>
      </c>
      <c r="F243" s="56">
        <v>130.25</v>
      </c>
      <c r="G243" s="56">
        <v>53</v>
      </c>
      <c r="H243" s="56">
        <v>295.90499999999997</v>
      </c>
      <c r="I243" s="56">
        <v>791.90499999999997</v>
      </c>
    </row>
    <row r="244" spans="1:9">
      <c r="A244" s="262" t="s">
        <v>37</v>
      </c>
      <c r="B244" s="56">
        <v>24</v>
      </c>
      <c r="C244" s="56">
        <v>34</v>
      </c>
      <c r="D244" s="56">
        <v>48</v>
      </c>
      <c r="E244" s="56">
        <v>22.2</v>
      </c>
      <c r="F244" s="56">
        <v>24</v>
      </c>
      <c r="G244" s="56">
        <v>27</v>
      </c>
      <c r="H244" s="56">
        <v>54</v>
      </c>
      <c r="I244" s="56">
        <v>233.2</v>
      </c>
    </row>
    <row r="245" spans="1:9">
      <c r="A245" s="262" t="s">
        <v>465</v>
      </c>
      <c r="B245" s="56"/>
      <c r="C245" s="56"/>
      <c r="D245" s="56"/>
      <c r="E245" s="56">
        <v>27</v>
      </c>
      <c r="F245" s="56">
        <v>54</v>
      </c>
      <c r="G245" s="56"/>
      <c r="H245" s="56">
        <v>54</v>
      </c>
      <c r="I245" s="56">
        <v>135</v>
      </c>
    </row>
    <row r="246" spans="1:9">
      <c r="A246" s="262" t="s">
        <v>39</v>
      </c>
      <c r="B246" s="56"/>
      <c r="C246" s="56">
        <v>27</v>
      </c>
      <c r="D246" s="56"/>
      <c r="E246" s="56">
        <v>26.1</v>
      </c>
      <c r="F246" s="56">
        <v>26.25</v>
      </c>
      <c r="G246" s="56"/>
      <c r="H246" s="56">
        <v>79.905000000000001</v>
      </c>
      <c r="I246" s="56">
        <v>159.255</v>
      </c>
    </row>
    <row r="247" spans="1:9">
      <c r="A247" s="262" t="s">
        <v>38</v>
      </c>
      <c r="B247" s="56"/>
      <c r="C247" s="56">
        <v>27</v>
      </c>
      <c r="D247" s="56">
        <v>27</v>
      </c>
      <c r="E247" s="56">
        <v>26.25</v>
      </c>
      <c r="F247" s="56"/>
      <c r="G247" s="56"/>
      <c r="H247" s="56">
        <v>108</v>
      </c>
      <c r="I247" s="56">
        <v>188.25</v>
      </c>
    </row>
    <row r="248" spans="1:9">
      <c r="A248" s="262" t="s">
        <v>669</v>
      </c>
      <c r="B248" s="56"/>
      <c r="C248" s="56"/>
      <c r="D248" s="56"/>
      <c r="E248" s="56"/>
      <c r="F248" s="56">
        <v>26</v>
      </c>
      <c r="G248" s="56">
        <v>26</v>
      </c>
      <c r="H248" s="56"/>
      <c r="I248" s="56">
        <v>52</v>
      </c>
    </row>
    <row r="249" spans="1:9">
      <c r="A249" s="262" t="s">
        <v>497</v>
      </c>
      <c r="B249" s="56"/>
      <c r="C249" s="56"/>
      <c r="D249" s="56"/>
      <c r="E249" s="56">
        <v>24.2</v>
      </c>
      <c r="F249" s="56"/>
      <c r="G249" s="56"/>
      <c r="H249" s="56"/>
      <c r="I249" s="56">
        <v>24.2</v>
      </c>
    </row>
    <row r="250" spans="1:9">
      <c r="A250" s="1" t="s">
        <v>9</v>
      </c>
      <c r="B250" s="56">
        <v>248</v>
      </c>
      <c r="C250" s="56">
        <v>1634.3</v>
      </c>
      <c r="D250" s="56">
        <v>1995.8</v>
      </c>
      <c r="E250" s="56">
        <v>2110.1099999999997</v>
      </c>
      <c r="F250" s="56">
        <v>1978.33</v>
      </c>
      <c r="G250" s="56">
        <v>1131.78</v>
      </c>
      <c r="H250" s="56">
        <v>780.90499999999997</v>
      </c>
      <c r="I250" s="56">
        <v>9879.2250000000004</v>
      </c>
    </row>
    <row r="254" spans="1:9">
      <c r="A254" s="263" t="s">
        <v>298</v>
      </c>
      <c r="B254" s="264">
        <v>46023</v>
      </c>
      <c r="C254" s="264">
        <v>46054</v>
      </c>
      <c r="D254" s="264">
        <v>46082</v>
      </c>
      <c r="E254" s="264">
        <v>46113</v>
      </c>
      <c r="F254" s="264">
        <v>46143</v>
      </c>
      <c r="G254" s="264">
        <v>46174</v>
      </c>
      <c r="H254" s="264">
        <v>46204</v>
      </c>
      <c r="I254" s="264" t="s">
        <v>11</v>
      </c>
    </row>
    <row r="255" spans="1:9">
      <c r="A255" s="265" t="s">
        <v>872</v>
      </c>
      <c r="B255" s="266">
        <f t="shared" ref="B255:I264" si="39">IFERROR(B209/B233,0)</f>
        <v>2187.0580357142858</v>
      </c>
      <c r="C255" s="266">
        <f t="shared" si="39"/>
        <v>1640.0881985124729</v>
      </c>
      <c r="D255" s="266">
        <f t="shared" si="39"/>
        <v>1668.2266009852217</v>
      </c>
      <c r="E255" s="266">
        <f t="shared" si="39"/>
        <v>2102.9546541049172</v>
      </c>
      <c r="F255" s="266">
        <f t="shared" si="39"/>
        <v>2194.6356836126888</v>
      </c>
      <c r="G255" s="266">
        <f t="shared" si="39"/>
        <v>2273.8904802021902</v>
      </c>
      <c r="H255" s="266">
        <f t="shared" si="39"/>
        <v>2115.5175257731958</v>
      </c>
      <c r="I255" s="267">
        <f t="shared" si="39"/>
        <v>1954.7316066914241</v>
      </c>
    </row>
    <row r="256" spans="1:9">
      <c r="A256" s="268" t="s">
        <v>33</v>
      </c>
      <c r="B256" s="56">
        <f t="shared" si="39"/>
        <v>1975</v>
      </c>
      <c r="C256" s="56">
        <f t="shared" si="39"/>
        <v>1416.6666666666667</v>
      </c>
      <c r="D256" s="56">
        <f t="shared" si="39"/>
        <v>1470.8532423208192</v>
      </c>
      <c r="E256" s="56">
        <f t="shared" si="39"/>
        <v>1819.3719866485351</v>
      </c>
      <c r="F256" s="56">
        <f t="shared" si="39"/>
        <v>2055.761641673244</v>
      </c>
      <c r="G256" s="56">
        <f t="shared" si="39"/>
        <v>1900.7364341085272</v>
      </c>
      <c r="H256" s="56">
        <f t="shared" si="39"/>
        <v>2073.6842105263158</v>
      </c>
      <c r="I256" s="269">
        <f t="shared" si="39"/>
        <v>1712.7254432927059</v>
      </c>
    </row>
    <row r="257" spans="1:9">
      <c r="A257" s="268" t="s">
        <v>32</v>
      </c>
      <c r="B257" s="56">
        <f t="shared" si="39"/>
        <v>1887.7083333333333</v>
      </c>
      <c r="C257" s="56">
        <f t="shared" si="39"/>
        <v>1547.028086218158</v>
      </c>
      <c r="D257" s="56">
        <f t="shared" si="39"/>
        <v>1591.7149958574978</v>
      </c>
      <c r="E257" s="56">
        <f t="shared" si="39"/>
        <v>1910.7211454513706</v>
      </c>
      <c r="F257" s="56">
        <f t="shared" si="39"/>
        <v>1990.909090909091</v>
      </c>
      <c r="G257" s="56">
        <f t="shared" si="39"/>
        <v>2042.3089430894308</v>
      </c>
      <c r="H257" s="56">
        <f t="shared" si="39"/>
        <v>1750</v>
      </c>
      <c r="I257" s="269">
        <f t="shared" si="39"/>
        <v>1751.6383508396482</v>
      </c>
    </row>
    <row r="258" spans="1:9">
      <c r="A258" s="268" t="s">
        <v>31</v>
      </c>
      <c r="B258" s="56">
        <f t="shared" si="39"/>
        <v>2575.017253278123</v>
      </c>
      <c r="C258" s="56">
        <f t="shared" si="39"/>
        <v>2548.77990430622</v>
      </c>
      <c r="D258" s="56">
        <f t="shared" si="39"/>
        <v>2355.2870090634442</v>
      </c>
      <c r="E258" s="56">
        <f t="shared" si="39"/>
        <v>2550.019610406589</v>
      </c>
      <c r="F258" s="56">
        <f t="shared" si="39"/>
        <v>2925</v>
      </c>
      <c r="G258" s="56">
        <f t="shared" si="39"/>
        <v>2706.1797752808989</v>
      </c>
      <c r="H258" s="56">
        <f t="shared" si="39"/>
        <v>2697.5925925925926</v>
      </c>
      <c r="I258" s="269">
        <f t="shared" si="39"/>
        <v>2627.318525671978</v>
      </c>
    </row>
    <row r="259" spans="1:9">
      <c r="A259" s="268" t="s">
        <v>36</v>
      </c>
      <c r="B259" s="56">
        <f t="shared" si="39"/>
        <v>2848.6153846153848</v>
      </c>
      <c r="C259" s="56">
        <f t="shared" si="39"/>
        <v>2873.5185185185187</v>
      </c>
      <c r="D259" s="56">
        <f t="shared" si="39"/>
        <v>2729.4117647058824</v>
      </c>
      <c r="E259" s="56">
        <f t="shared" si="39"/>
        <v>2972.6011560693642</v>
      </c>
      <c r="F259" s="56">
        <f t="shared" si="39"/>
        <v>2975</v>
      </c>
      <c r="G259" s="56">
        <f t="shared" si="39"/>
        <v>2730</v>
      </c>
      <c r="H259" s="56">
        <f t="shared" si="39"/>
        <v>2714.1265822784812</v>
      </c>
      <c r="I259" s="269">
        <f t="shared" si="39"/>
        <v>2849.5093201754385</v>
      </c>
    </row>
    <row r="260" spans="1:9">
      <c r="A260" s="268" t="s">
        <v>34</v>
      </c>
      <c r="B260" s="56">
        <f t="shared" si="39"/>
        <v>1790.119760479042</v>
      </c>
      <c r="C260" s="56">
        <f t="shared" si="39"/>
        <v>1675.4285714285713</v>
      </c>
      <c r="D260" s="56">
        <f t="shared" si="39"/>
        <v>1183.1168831168832</v>
      </c>
      <c r="E260" s="56">
        <f t="shared" si="39"/>
        <v>0</v>
      </c>
      <c r="F260" s="56">
        <f t="shared" si="39"/>
        <v>1207.7868852459017</v>
      </c>
      <c r="G260" s="56">
        <f t="shared" si="39"/>
        <v>1229.3814432989691</v>
      </c>
      <c r="H260" s="56">
        <f t="shared" si="39"/>
        <v>1324.3421052631579</v>
      </c>
      <c r="I260" s="269">
        <f t="shared" si="39"/>
        <v>1242.0315498292921</v>
      </c>
    </row>
    <row r="261" spans="1:9">
      <c r="A261" s="270" t="s">
        <v>668</v>
      </c>
      <c r="B261" s="271">
        <f t="shared" si="39"/>
        <v>0</v>
      </c>
      <c r="C261" s="271">
        <f t="shared" si="39"/>
        <v>0</v>
      </c>
      <c r="D261" s="271">
        <f t="shared" si="39"/>
        <v>0</v>
      </c>
      <c r="E261" s="271">
        <f t="shared" si="39"/>
        <v>0</v>
      </c>
      <c r="F261" s="271">
        <f t="shared" si="39"/>
        <v>2002.962962962963</v>
      </c>
      <c r="G261" s="271">
        <f t="shared" si="39"/>
        <v>0</v>
      </c>
      <c r="H261" s="271">
        <f t="shared" si="39"/>
        <v>0</v>
      </c>
      <c r="I261" s="272">
        <f t="shared" si="39"/>
        <v>2002.962962962963</v>
      </c>
    </row>
    <row r="262" spans="1:9">
      <c r="A262" s="265" t="s">
        <v>873</v>
      </c>
      <c r="B262" s="266">
        <f t="shared" si="39"/>
        <v>0</v>
      </c>
      <c r="C262" s="266">
        <f t="shared" si="39"/>
        <v>3400</v>
      </c>
      <c r="D262" s="266">
        <f t="shared" si="39"/>
        <v>3125.9833333333331</v>
      </c>
      <c r="E262" s="266">
        <f t="shared" si="39"/>
        <v>3859.6655518394646</v>
      </c>
      <c r="F262" s="266">
        <f t="shared" si="39"/>
        <v>3857.3711289205503</v>
      </c>
      <c r="G262" s="266">
        <f t="shared" si="39"/>
        <v>4001.094213649852</v>
      </c>
      <c r="H262" s="266">
        <f t="shared" si="39"/>
        <v>0</v>
      </c>
      <c r="I262" s="267">
        <f t="shared" si="39"/>
        <v>3717.6666922476757</v>
      </c>
    </row>
    <row r="263" spans="1:9">
      <c r="A263" s="268" t="s">
        <v>495</v>
      </c>
      <c r="B263" s="56">
        <f t="shared" si="39"/>
        <v>0</v>
      </c>
      <c r="C263" s="56">
        <f t="shared" si="39"/>
        <v>3400</v>
      </c>
      <c r="D263" s="56">
        <f t="shared" si="39"/>
        <v>3100</v>
      </c>
      <c r="E263" s="56">
        <f t="shared" si="39"/>
        <v>3850</v>
      </c>
      <c r="F263" s="56">
        <f t="shared" si="39"/>
        <v>3845.4545454545455</v>
      </c>
      <c r="G263" s="56">
        <f t="shared" si="39"/>
        <v>3929.1666666666665</v>
      </c>
      <c r="H263" s="56">
        <f t="shared" si="39"/>
        <v>0</v>
      </c>
      <c r="I263" s="269">
        <f t="shared" si="39"/>
        <v>3655.681818181818</v>
      </c>
    </row>
    <row r="264" spans="1:9">
      <c r="A264" s="270" t="s">
        <v>35</v>
      </c>
      <c r="B264" s="271">
        <f t="shared" si="39"/>
        <v>0</v>
      </c>
      <c r="C264" s="271">
        <f t="shared" si="39"/>
        <v>0</v>
      </c>
      <c r="D264" s="271">
        <f t="shared" si="39"/>
        <v>3281.8833333333337</v>
      </c>
      <c r="E264" s="271">
        <f t="shared" si="39"/>
        <v>3898.9830508474574</v>
      </c>
      <c r="F264" s="271">
        <f t="shared" si="39"/>
        <v>3890.3616703952275</v>
      </c>
      <c r="G264" s="271">
        <f t="shared" si="39"/>
        <v>4145.5915178571431</v>
      </c>
      <c r="H264" s="271">
        <f t="shared" si="39"/>
        <v>0</v>
      </c>
      <c r="I264" s="272">
        <f t="shared" si="39"/>
        <v>3913.6897726667735</v>
      </c>
    </row>
    <row r="265" spans="1:9">
      <c r="A265" s="265" t="s">
        <v>874</v>
      </c>
      <c r="B265" s="266">
        <f t="shared" ref="B265:I272" si="40">IFERROR(B219/B243,0)</f>
        <v>2100</v>
      </c>
      <c r="C265" s="266">
        <f t="shared" si="40"/>
        <v>1661.5056818181818</v>
      </c>
      <c r="D265" s="266">
        <f t="shared" si="40"/>
        <v>1498.04</v>
      </c>
      <c r="E265" s="266">
        <f t="shared" si="40"/>
        <v>1892.8031809145127</v>
      </c>
      <c r="F265" s="266">
        <f t="shared" si="40"/>
        <v>1984.7869481765836</v>
      </c>
      <c r="G265" s="266">
        <f t="shared" si="40"/>
        <v>1532.867924528302</v>
      </c>
      <c r="H265" s="266">
        <f t="shared" si="40"/>
        <v>1814.4269275612107</v>
      </c>
      <c r="I265" s="267">
        <f t="shared" si="40"/>
        <v>1797.7459417480634</v>
      </c>
    </row>
    <row r="266" spans="1:9">
      <c r="A266" s="268" t="s">
        <v>37</v>
      </c>
      <c r="B266" s="56">
        <f t="shared" si="40"/>
        <v>2100</v>
      </c>
      <c r="C266" s="56">
        <f t="shared" si="40"/>
        <v>2029.4117647058824</v>
      </c>
      <c r="D266" s="56">
        <f t="shared" si="40"/>
        <v>1600</v>
      </c>
      <c r="E266" s="56">
        <f t="shared" si="40"/>
        <v>1600</v>
      </c>
      <c r="F266" s="56">
        <f t="shared" si="40"/>
        <v>1800</v>
      </c>
      <c r="G266" s="56">
        <f t="shared" si="40"/>
        <v>1704.3703703703704</v>
      </c>
      <c r="H266" s="56">
        <f t="shared" si="40"/>
        <v>1600</v>
      </c>
      <c r="I266" s="269">
        <f t="shared" si="40"/>
        <v>1746.7324185248715</v>
      </c>
    </row>
    <row r="267" spans="1:9">
      <c r="A267" s="268" t="s">
        <v>465</v>
      </c>
      <c r="B267" s="56">
        <f t="shared" si="40"/>
        <v>0</v>
      </c>
      <c r="C267" s="56">
        <f t="shared" si="40"/>
        <v>0</v>
      </c>
      <c r="D267" s="56">
        <f t="shared" si="40"/>
        <v>0</v>
      </c>
      <c r="E267" s="56">
        <f t="shared" si="40"/>
        <v>2500</v>
      </c>
      <c r="F267" s="56">
        <f t="shared" si="40"/>
        <v>2347.8888888888887</v>
      </c>
      <c r="G267" s="56">
        <f t="shared" si="40"/>
        <v>0</v>
      </c>
      <c r="H267" s="56">
        <f t="shared" si="40"/>
        <v>2525</v>
      </c>
      <c r="I267" s="269">
        <f t="shared" si="40"/>
        <v>2449.1555555555556</v>
      </c>
    </row>
    <row r="268" spans="1:9">
      <c r="A268" s="268" t="s">
        <v>39</v>
      </c>
      <c r="B268" s="56">
        <f t="shared" si="40"/>
        <v>0</v>
      </c>
      <c r="C268" s="56">
        <f t="shared" si="40"/>
        <v>1429.8611111111111</v>
      </c>
      <c r="D268" s="56">
        <f t="shared" si="40"/>
        <v>0</v>
      </c>
      <c r="E268" s="56">
        <f t="shared" si="40"/>
        <v>2000</v>
      </c>
      <c r="F268" s="56">
        <f t="shared" si="40"/>
        <v>2050</v>
      </c>
      <c r="G268" s="56">
        <f t="shared" si="40"/>
        <v>0</v>
      </c>
      <c r="H268" s="56">
        <f t="shared" si="40"/>
        <v>1600</v>
      </c>
      <c r="I268" s="269">
        <f t="shared" si="40"/>
        <v>1710.8834887444664</v>
      </c>
    </row>
    <row r="269" spans="1:9">
      <c r="A269" s="268" t="s">
        <v>38</v>
      </c>
      <c r="B269" s="56">
        <f t="shared" si="40"/>
        <v>0</v>
      </c>
      <c r="C269" s="56">
        <f t="shared" si="40"/>
        <v>1429.8611111111111</v>
      </c>
      <c r="D269" s="56">
        <f t="shared" si="40"/>
        <v>1316.7777777777778</v>
      </c>
      <c r="E269" s="56">
        <f t="shared" si="40"/>
        <v>2000</v>
      </c>
      <c r="F269" s="56">
        <f t="shared" si="40"/>
        <v>0</v>
      </c>
      <c r="G269" s="56">
        <f t="shared" si="40"/>
        <v>0</v>
      </c>
      <c r="H269" s="56">
        <f t="shared" si="40"/>
        <v>1725</v>
      </c>
      <c r="I269" s="269">
        <f t="shared" si="40"/>
        <v>1662.4661354581674</v>
      </c>
    </row>
    <row r="270" spans="1:9">
      <c r="A270" s="268" t="s">
        <v>669</v>
      </c>
      <c r="B270" s="56">
        <f t="shared" si="40"/>
        <v>0</v>
      </c>
      <c r="C270" s="56">
        <f t="shared" si="40"/>
        <v>0</v>
      </c>
      <c r="D270" s="56">
        <f t="shared" si="40"/>
        <v>0</v>
      </c>
      <c r="E270" s="56">
        <f t="shared" si="40"/>
        <v>0</v>
      </c>
      <c r="F270" s="56">
        <f t="shared" si="40"/>
        <v>1335.3846153846155</v>
      </c>
      <c r="G270" s="56">
        <f t="shared" si="40"/>
        <v>1354.7692307692307</v>
      </c>
      <c r="H270" s="56">
        <f t="shared" si="40"/>
        <v>0</v>
      </c>
      <c r="I270" s="269">
        <f t="shared" si="40"/>
        <v>1345.0769230769231</v>
      </c>
    </row>
    <row r="271" spans="1:9">
      <c r="A271" s="270" t="s">
        <v>497</v>
      </c>
      <c r="B271" s="271">
        <f t="shared" si="40"/>
        <v>0</v>
      </c>
      <c r="C271" s="271">
        <f t="shared" si="40"/>
        <v>0</v>
      </c>
      <c r="D271" s="271">
        <f t="shared" si="40"/>
        <v>0</v>
      </c>
      <c r="E271" s="271">
        <f t="shared" si="40"/>
        <v>1252.0661157024795</v>
      </c>
      <c r="F271" s="271">
        <f t="shared" si="40"/>
        <v>0</v>
      </c>
      <c r="G271" s="271">
        <f t="shared" si="40"/>
        <v>0</v>
      </c>
      <c r="H271" s="271">
        <f t="shared" si="40"/>
        <v>0</v>
      </c>
      <c r="I271" s="272">
        <f t="shared" si="40"/>
        <v>1252.0661157024795</v>
      </c>
    </row>
    <row r="272" spans="1:9">
      <c r="A272" s="273" t="s">
        <v>11</v>
      </c>
      <c r="B272" s="274">
        <f t="shared" si="40"/>
        <v>2178.6330645161293</v>
      </c>
      <c r="C272" s="274">
        <f t="shared" si="40"/>
        <v>1670.3166493299884</v>
      </c>
      <c r="D272" s="274">
        <f t="shared" si="40"/>
        <v>1937.9269966930556</v>
      </c>
      <c r="E272" s="274">
        <f t="shared" si="40"/>
        <v>2314.4622792176715</v>
      </c>
      <c r="F272" s="274">
        <f t="shared" si="40"/>
        <v>2520.6065216622101</v>
      </c>
      <c r="G272" s="274">
        <f t="shared" si="40"/>
        <v>2979.7725706409374</v>
      </c>
      <c r="H272" s="274">
        <f t="shared" si="40"/>
        <v>2001.4265499644644</v>
      </c>
      <c r="I272" s="275">
        <f t="shared" si="40"/>
        <v>2221.1809833261209</v>
      </c>
    </row>
    <row r="277" spans="1:15">
      <c r="A277" s="86" t="s">
        <v>877</v>
      </c>
    </row>
    <row r="278" spans="1:15">
      <c r="B278" s="315" t="s">
        <v>594</v>
      </c>
      <c r="C278" s="315"/>
      <c r="D278" s="315"/>
      <c r="E278" s="315"/>
      <c r="F278" s="315"/>
      <c r="G278" s="315"/>
      <c r="H278" s="315"/>
      <c r="I278" s="315" t="s">
        <v>878</v>
      </c>
      <c r="J278" s="315"/>
      <c r="K278" s="315"/>
      <c r="L278" s="315"/>
      <c r="M278" s="315"/>
      <c r="N278" s="315"/>
    </row>
    <row r="279" spans="1:15">
      <c r="A279" s="7"/>
      <c r="B279" s="276">
        <v>46023</v>
      </c>
      <c r="C279" s="276">
        <v>46054</v>
      </c>
      <c r="D279" s="276">
        <v>46082</v>
      </c>
      <c r="E279" s="276">
        <v>46113</v>
      </c>
      <c r="F279" s="276">
        <v>46143</v>
      </c>
      <c r="G279" s="276">
        <v>46174</v>
      </c>
      <c r="H279" s="276">
        <v>46204</v>
      </c>
      <c r="I279" s="276">
        <v>46235</v>
      </c>
      <c r="J279" s="276">
        <v>46266</v>
      </c>
      <c r="K279" s="276">
        <v>46296</v>
      </c>
      <c r="L279" s="276">
        <v>46327</v>
      </c>
      <c r="M279" s="276">
        <v>46357</v>
      </c>
      <c r="N279" s="7" t="s">
        <v>862</v>
      </c>
    </row>
    <row r="280" spans="1:15">
      <c r="A280" s="7" t="s">
        <v>875</v>
      </c>
      <c r="B280" s="10">
        <v>1877.2149999999999</v>
      </c>
      <c r="C280" s="10">
        <v>3149.7860000000001</v>
      </c>
      <c r="D280" s="10">
        <v>2255.518</v>
      </c>
      <c r="E280" s="10">
        <v>2853.1889999999999</v>
      </c>
      <c r="F280" s="10">
        <v>1873.587</v>
      </c>
      <c r="G280" s="10">
        <v>3644.6869999999999</v>
      </c>
      <c r="H280" s="10">
        <v>3218.3710000000001</v>
      </c>
      <c r="I280" s="10">
        <v>0</v>
      </c>
      <c r="J280" s="296">
        <f>23*150</f>
        <v>3450</v>
      </c>
      <c r="K280" s="296">
        <v>178</v>
      </c>
      <c r="L280" s="10">
        <v>0</v>
      </c>
      <c r="M280" s="10">
        <v>0</v>
      </c>
      <c r="N280" s="196">
        <f>SUM(B280:M280)</f>
        <v>22500.352999999999</v>
      </c>
    </row>
    <row r="281" spans="1:15">
      <c r="A281" s="7" t="s">
        <v>876</v>
      </c>
      <c r="B281" s="10">
        <v>2658.9591245541928</v>
      </c>
      <c r="C281" s="10">
        <v>2614.3435465139551</v>
      </c>
      <c r="D281" s="10">
        <f>3.34727272727273*1000</f>
        <v>3347.2727272727298</v>
      </c>
      <c r="E281" s="10">
        <v>3519.9531475131862</v>
      </c>
      <c r="F281" s="10">
        <v>3597.3147209070089</v>
      </c>
      <c r="G281" s="10">
        <v>3300.9199667900134</v>
      </c>
      <c r="H281" s="10">
        <v>2633.1223053526141</v>
      </c>
      <c r="I281" s="7"/>
      <c r="J281" s="296">
        <v>3000</v>
      </c>
      <c r="K281" s="296">
        <v>3000</v>
      </c>
      <c r="L281" s="7"/>
      <c r="M281" s="7"/>
      <c r="N281" s="10">
        <f>SUMPRODUCT(B280:M280,B281:M281)/N280</f>
        <v>3064.3098264846212</v>
      </c>
    </row>
    <row r="282" spans="1:15">
      <c r="B282" s="303">
        <f t="shared" ref="B282:H282" si="41">B281*B280</f>
        <v>4991437.9529999988</v>
      </c>
      <c r="C282" s="303">
        <f t="shared" si="41"/>
        <v>8234622.7020000042</v>
      </c>
      <c r="D282" s="303">
        <f t="shared" si="41"/>
        <v>7549833.8872727333</v>
      </c>
      <c r="E282" s="303">
        <f t="shared" si="41"/>
        <v>10043091.601</v>
      </c>
      <c r="F282" s="303">
        <f t="shared" si="41"/>
        <v>6739882.0959999999</v>
      </c>
      <c r="G282" s="303">
        <f t="shared" si="41"/>
        <v>12030820.090999993</v>
      </c>
      <c r="H282" s="303">
        <f t="shared" si="41"/>
        <v>8474364.4669999983</v>
      </c>
      <c r="I282" s="54">
        <f>SUM(B282:G282)</f>
        <v>49589688.330272727</v>
      </c>
    </row>
    <row r="283" spans="1:15">
      <c r="G283" t="s">
        <v>899</v>
      </c>
      <c r="H283" s="56">
        <f>SUM(B280:G280)</f>
        <v>15653.982</v>
      </c>
      <c r="I283" s="110">
        <f>I282/H283</f>
        <v>3167.8641466607492</v>
      </c>
    </row>
    <row r="284" spans="1:15">
      <c r="A284" s="86" t="s">
        <v>879</v>
      </c>
      <c r="H284" s="108">
        <f>H283/SUM(B280:H280)</f>
        <v>0.8294663627794584</v>
      </c>
    </row>
    <row r="285" spans="1:15">
      <c r="A285" s="86"/>
    </row>
    <row r="286" spans="1:15">
      <c r="A286" s="263" t="s">
        <v>298</v>
      </c>
      <c r="B286" s="264">
        <v>46023</v>
      </c>
      <c r="C286" s="264">
        <v>46054</v>
      </c>
      <c r="D286" s="264">
        <v>46082</v>
      </c>
      <c r="E286" s="264">
        <v>46113</v>
      </c>
      <c r="F286" s="264">
        <v>46143</v>
      </c>
      <c r="G286" s="264">
        <v>46174</v>
      </c>
      <c r="H286" s="264">
        <v>46204</v>
      </c>
      <c r="I286" s="264">
        <v>46235</v>
      </c>
      <c r="J286" s="264">
        <v>46266</v>
      </c>
      <c r="K286" s="264">
        <v>46296</v>
      </c>
      <c r="L286" s="264">
        <v>46327</v>
      </c>
      <c r="M286" s="264">
        <v>46357</v>
      </c>
      <c r="N286" s="264" t="s">
        <v>862</v>
      </c>
    </row>
    <row r="287" spans="1:15">
      <c r="A287" s="265" t="s">
        <v>867</v>
      </c>
      <c r="B287" s="266">
        <v>224</v>
      </c>
      <c r="C287" s="266">
        <v>1519.3</v>
      </c>
      <c r="D287" s="266">
        <v>1542.8</v>
      </c>
      <c r="E287" s="266">
        <v>1715.26</v>
      </c>
      <c r="F287" s="266">
        <v>1443.8</v>
      </c>
      <c r="G287" s="266">
        <v>593.5</v>
      </c>
      <c r="H287" s="266">
        <v>485</v>
      </c>
      <c r="I287" s="277">
        <f>SUM(I288:I293)</f>
        <v>551.56666666666672</v>
      </c>
      <c r="J287" s="277">
        <f t="shared" ref="J287:K304" si="42">I287</f>
        <v>551.56666666666672</v>
      </c>
      <c r="K287" s="277">
        <f t="shared" si="42"/>
        <v>551.56666666666672</v>
      </c>
      <c r="L287" s="280">
        <f>SUM(L288:L293)</f>
        <v>362.8</v>
      </c>
      <c r="M287" s="280">
        <f t="shared" ref="M287:M304" si="43">L287</f>
        <v>362.8</v>
      </c>
      <c r="N287" s="266">
        <f t="shared" ref="N287:N304" si="44">SUM(B287:M287)</f>
        <v>9903.9599999999991</v>
      </c>
    </row>
    <row r="288" spans="1:15">
      <c r="A288" s="268" t="s">
        <v>33</v>
      </c>
      <c r="B288" s="56">
        <v>48</v>
      </c>
      <c r="C288" s="56">
        <v>810</v>
      </c>
      <c r="D288" s="56">
        <v>293</v>
      </c>
      <c r="E288" s="56">
        <v>808.9</v>
      </c>
      <c r="F288" s="56">
        <v>506.8</v>
      </c>
      <c r="G288" s="56">
        <v>129</v>
      </c>
      <c r="H288" s="56">
        <v>38</v>
      </c>
      <c r="I288" s="260">
        <f>E313</f>
        <v>211.20000000000002</v>
      </c>
      <c r="J288" s="260">
        <f t="shared" si="42"/>
        <v>211.20000000000002</v>
      </c>
      <c r="K288" s="260">
        <f t="shared" si="42"/>
        <v>211.20000000000002</v>
      </c>
      <c r="L288" s="281">
        <f>M313</f>
        <v>0</v>
      </c>
      <c r="M288" s="281">
        <f t="shared" si="43"/>
        <v>0</v>
      </c>
      <c r="N288" s="56">
        <f t="shared" si="44"/>
        <v>3267.2999999999997</v>
      </c>
      <c r="O288">
        <v>2100</v>
      </c>
    </row>
    <row r="289" spans="1:15">
      <c r="A289" s="268" t="s">
        <v>32</v>
      </c>
      <c r="B289" s="56">
        <v>72</v>
      </c>
      <c r="C289" s="56">
        <v>459.3</v>
      </c>
      <c r="D289" s="56">
        <v>482.8</v>
      </c>
      <c r="E289" s="56">
        <v>343.62</v>
      </c>
      <c r="F289" s="56">
        <v>297</v>
      </c>
      <c r="G289" s="56">
        <v>123</v>
      </c>
      <c r="H289" s="56">
        <v>54</v>
      </c>
      <c r="I289" s="260">
        <f>E315</f>
        <v>23.033333333333331</v>
      </c>
      <c r="J289" s="260">
        <f t="shared" si="42"/>
        <v>23.033333333333331</v>
      </c>
      <c r="K289" s="260">
        <f t="shared" si="42"/>
        <v>23.033333333333331</v>
      </c>
      <c r="L289" s="281">
        <f>M315</f>
        <v>0</v>
      </c>
      <c r="M289" s="281">
        <f t="shared" si="43"/>
        <v>0</v>
      </c>
      <c r="N289" s="56">
        <f t="shared" si="44"/>
        <v>1900.8199999999997</v>
      </c>
      <c r="O289">
        <v>2900</v>
      </c>
    </row>
    <row r="290" spans="1:15">
      <c r="A290" s="268" t="s">
        <v>31</v>
      </c>
      <c r="B290" s="56">
        <v>57.96</v>
      </c>
      <c r="C290" s="56">
        <v>209</v>
      </c>
      <c r="D290" s="56">
        <v>331</v>
      </c>
      <c r="E290" s="56">
        <v>458.94</v>
      </c>
      <c r="F290" s="56">
        <v>378</v>
      </c>
      <c r="G290" s="56">
        <v>267</v>
      </c>
      <c r="H290" s="56">
        <v>162</v>
      </c>
      <c r="I290" s="260">
        <f>E316</f>
        <v>126.78666666666668</v>
      </c>
      <c r="J290" s="260">
        <f t="shared" si="42"/>
        <v>126.78666666666668</v>
      </c>
      <c r="K290" s="260">
        <f t="shared" si="42"/>
        <v>126.78666666666668</v>
      </c>
      <c r="L290" s="281">
        <f>M316</f>
        <v>253.96000000000004</v>
      </c>
      <c r="M290" s="281">
        <f t="shared" si="43"/>
        <v>253.96000000000004</v>
      </c>
      <c r="N290" s="56">
        <f t="shared" si="44"/>
        <v>2752.1800000000003</v>
      </c>
      <c r="O290">
        <v>2600</v>
      </c>
    </row>
    <row r="291" spans="1:15">
      <c r="A291" s="268" t="s">
        <v>36</v>
      </c>
      <c r="B291" s="56">
        <v>26</v>
      </c>
      <c r="C291" s="56">
        <v>27</v>
      </c>
      <c r="D291" s="56">
        <v>51</v>
      </c>
      <c r="E291" s="56">
        <v>103.8</v>
      </c>
      <c r="F291" s="56">
        <v>52</v>
      </c>
      <c r="G291" s="56">
        <v>26</v>
      </c>
      <c r="H291" s="56">
        <v>79</v>
      </c>
      <c r="I291" s="260">
        <f>E317</f>
        <v>44.126666666666665</v>
      </c>
      <c r="J291" s="260">
        <f t="shared" si="42"/>
        <v>44.126666666666665</v>
      </c>
      <c r="K291" s="260">
        <f t="shared" si="42"/>
        <v>44.126666666666665</v>
      </c>
      <c r="L291" s="281">
        <f>M317</f>
        <v>0</v>
      </c>
      <c r="M291" s="281">
        <f t="shared" si="43"/>
        <v>0</v>
      </c>
      <c r="N291" s="56">
        <f t="shared" si="44"/>
        <v>497.18</v>
      </c>
      <c r="O291">
        <v>2600</v>
      </c>
    </row>
    <row r="292" spans="1:15">
      <c r="A292" s="268" t="s">
        <v>34</v>
      </c>
      <c r="B292" s="56">
        <v>20.04</v>
      </c>
      <c r="C292" s="56">
        <v>14</v>
      </c>
      <c r="D292" s="56">
        <v>385</v>
      </c>
      <c r="E292" s="56"/>
      <c r="F292" s="56">
        <v>183</v>
      </c>
      <c r="G292" s="56">
        <v>48.5</v>
      </c>
      <c r="H292" s="56">
        <v>152</v>
      </c>
      <c r="I292" s="260">
        <f>E314</f>
        <v>146.41999999999999</v>
      </c>
      <c r="J292" s="260">
        <f t="shared" si="42"/>
        <v>146.41999999999999</v>
      </c>
      <c r="K292" s="260">
        <f t="shared" si="42"/>
        <v>146.41999999999999</v>
      </c>
      <c r="L292" s="281">
        <f>M314</f>
        <v>108.83999999999999</v>
      </c>
      <c r="M292" s="281">
        <f t="shared" si="43"/>
        <v>108.83999999999999</v>
      </c>
      <c r="N292" s="56">
        <f t="shared" si="44"/>
        <v>1459.4799999999998</v>
      </c>
      <c r="O292">
        <v>2400</v>
      </c>
    </row>
    <row r="293" spans="1:15">
      <c r="A293" s="270" t="s">
        <v>668</v>
      </c>
      <c r="B293" s="271"/>
      <c r="C293" s="271"/>
      <c r="D293" s="271"/>
      <c r="E293" s="271"/>
      <c r="F293" s="271">
        <v>27</v>
      </c>
      <c r="G293" s="271"/>
      <c r="H293" s="271"/>
      <c r="I293" s="278"/>
      <c r="J293" s="278">
        <f t="shared" si="42"/>
        <v>0</v>
      </c>
      <c r="K293" s="278">
        <f t="shared" si="42"/>
        <v>0</v>
      </c>
      <c r="L293" s="282"/>
      <c r="M293" s="282">
        <f t="shared" si="43"/>
        <v>0</v>
      </c>
      <c r="N293" s="271">
        <f t="shared" si="44"/>
        <v>27</v>
      </c>
    </row>
    <row r="294" spans="1:15">
      <c r="A294" s="265" t="s">
        <v>868</v>
      </c>
      <c r="B294" s="266">
        <v>0</v>
      </c>
      <c r="C294" s="266">
        <v>27</v>
      </c>
      <c r="D294" s="266">
        <v>378</v>
      </c>
      <c r="E294" s="266">
        <v>269.10000000000002</v>
      </c>
      <c r="F294" s="266">
        <v>404.28</v>
      </c>
      <c r="G294" s="266">
        <v>485.28</v>
      </c>
      <c r="H294" s="266">
        <v>0</v>
      </c>
      <c r="I294" s="277">
        <f>SUM(I295:I296)</f>
        <v>345.82533333333333</v>
      </c>
      <c r="J294" s="277">
        <f t="shared" si="42"/>
        <v>345.82533333333333</v>
      </c>
      <c r="K294" s="277">
        <f t="shared" si="42"/>
        <v>345.82533333333333</v>
      </c>
      <c r="L294" s="280">
        <f>SUM(L295:L296)</f>
        <v>489.78000000000003</v>
      </c>
      <c r="M294" s="280">
        <f t="shared" si="43"/>
        <v>489.78000000000003</v>
      </c>
      <c r="N294" s="266">
        <f t="shared" si="44"/>
        <v>3580.6960000000004</v>
      </c>
    </row>
    <row r="295" spans="1:15">
      <c r="A295" s="268" t="s">
        <v>495</v>
      </c>
      <c r="B295" s="56"/>
      <c r="C295" s="56">
        <v>27</v>
      </c>
      <c r="D295" s="56">
        <v>324</v>
      </c>
      <c r="E295" s="56">
        <v>216</v>
      </c>
      <c r="F295" s="56">
        <v>297</v>
      </c>
      <c r="G295" s="56">
        <v>324</v>
      </c>
      <c r="H295" s="56"/>
      <c r="I295" s="260">
        <f>E318</f>
        <v>219.38333333333333</v>
      </c>
      <c r="J295" s="260">
        <f t="shared" si="42"/>
        <v>219.38333333333333</v>
      </c>
      <c r="K295" s="260">
        <f t="shared" si="42"/>
        <v>219.38333333333333</v>
      </c>
      <c r="L295" s="281">
        <f>M318</f>
        <v>344.66</v>
      </c>
      <c r="M295" s="281">
        <f t="shared" si="43"/>
        <v>344.66</v>
      </c>
      <c r="N295" s="56">
        <f t="shared" si="44"/>
        <v>2535.4699999999993</v>
      </c>
      <c r="O295">
        <v>3900</v>
      </c>
    </row>
    <row r="296" spans="1:15">
      <c r="A296" s="270" t="s">
        <v>35</v>
      </c>
      <c r="B296" s="271"/>
      <c r="C296" s="271"/>
      <c r="D296" s="271">
        <v>54</v>
      </c>
      <c r="E296" s="271">
        <v>53.1</v>
      </c>
      <c r="F296" s="271">
        <v>107.28</v>
      </c>
      <c r="G296" s="271">
        <v>161.28</v>
      </c>
      <c r="H296" s="271"/>
      <c r="I296" s="278">
        <f>E319</f>
        <v>126.44200000000001</v>
      </c>
      <c r="J296" s="278">
        <f t="shared" si="42"/>
        <v>126.44200000000001</v>
      </c>
      <c r="K296" s="278">
        <f t="shared" si="42"/>
        <v>126.44200000000001</v>
      </c>
      <c r="L296" s="282">
        <f>M319</f>
        <v>145.12</v>
      </c>
      <c r="M296" s="282">
        <f t="shared" si="43"/>
        <v>145.12</v>
      </c>
      <c r="N296" s="271">
        <f t="shared" si="44"/>
        <v>1045.2260000000001</v>
      </c>
      <c r="O296">
        <v>3900</v>
      </c>
    </row>
    <row r="297" spans="1:15">
      <c r="A297" s="265" t="s">
        <v>866</v>
      </c>
      <c r="B297" s="266">
        <v>24</v>
      </c>
      <c r="C297" s="266">
        <v>88</v>
      </c>
      <c r="D297" s="266">
        <v>75</v>
      </c>
      <c r="E297" s="266">
        <v>125.75000000000001</v>
      </c>
      <c r="F297" s="266">
        <v>130.25</v>
      </c>
      <c r="G297" s="266">
        <v>53</v>
      </c>
      <c r="H297" s="266">
        <v>295.90499999999997</v>
      </c>
      <c r="I297" s="277">
        <f>SUM(I298:I303)</f>
        <v>51.833333333333336</v>
      </c>
      <c r="J297" s="277">
        <f t="shared" si="42"/>
        <v>51.833333333333336</v>
      </c>
      <c r="K297" s="277">
        <f t="shared" si="42"/>
        <v>51.833333333333336</v>
      </c>
      <c r="L297" s="280">
        <f>SUM(L298:L303)</f>
        <v>96.141999999999996</v>
      </c>
      <c r="M297" s="280">
        <f t="shared" si="43"/>
        <v>96.141999999999996</v>
      </c>
      <c r="N297" s="266">
        <f t="shared" si="44"/>
        <v>1139.6890000000001</v>
      </c>
    </row>
    <row r="298" spans="1:15">
      <c r="A298" s="268" t="s">
        <v>37</v>
      </c>
      <c r="B298" s="56">
        <v>24</v>
      </c>
      <c r="C298" s="56">
        <v>34</v>
      </c>
      <c r="D298" s="56">
        <v>48</v>
      </c>
      <c r="E298" s="56">
        <v>22.2</v>
      </c>
      <c r="F298" s="56">
        <v>24</v>
      </c>
      <c r="G298" s="56">
        <v>27</v>
      </c>
      <c r="H298" s="56">
        <v>54</v>
      </c>
      <c r="I298" s="260">
        <f>E322</f>
        <v>6.4466666666666663</v>
      </c>
      <c r="J298" s="260">
        <f t="shared" si="42"/>
        <v>6.4466666666666663</v>
      </c>
      <c r="K298" s="260">
        <f t="shared" si="42"/>
        <v>6.4466666666666663</v>
      </c>
      <c r="L298" s="281">
        <f>M322</f>
        <v>0</v>
      </c>
      <c r="M298" s="281">
        <f t="shared" si="43"/>
        <v>0</v>
      </c>
      <c r="N298" s="56">
        <f t="shared" si="44"/>
        <v>252.53999999999996</v>
      </c>
      <c r="O298">
        <v>1800</v>
      </c>
    </row>
    <row r="299" spans="1:15">
      <c r="A299" s="268" t="s">
        <v>465</v>
      </c>
      <c r="B299" s="56"/>
      <c r="C299" s="56"/>
      <c r="D299" s="56"/>
      <c r="E299" s="56">
        <v>27</v>
      </c>
      <c r="F299" s="56">
        <v>54</v>
      </c>
      <c r="G299" s="56"/>
      <c r="H299" s="56">
        <v>54</v>
      </c>
      <c r="I299" s="260">
        <f>E323</f>
        <v>28.086666666666662</v>
      </c>
      <c r="J299" s="260">
        <f t="shared" si="42"/>
        <v>28.086666666666662</v>
      </c>
      <c r="K299" s="260">
        <f t="shared" si="42"/>
        <v>28.086666666666662</v>
      </c>
      <c r="L299" s="281">
        <f>M323</f>
        <v>32.652000000000001</v>
      </c>
      <c r="M299" s="281">
        <f t="shared" si="43"/>
        <v>32.652000000000001</v>
      </c>
      <c r="N299" s="56">
        <f t="shared" si="44"/>
        <v>284.56400000000002</v>
      </c>
      <c r="O299">
        <v>2500</v>
      </c>
    </row>
    <row r="300" spans="1:15">
      <c r="A300" s="268" t="s">
        <v>39</v>
      </c>
      <c r="B300" s="56"/>
      <c r="C300" s="56">
        <v>27</v>
      </c>
      <c r="D300" s="56"/>
      <c r="E300" s="56">
        <v>26.1</v>
      </c>
      <c r="F300" s="56">
        <v>26.25</v>
      </c>
      <c r="G300" s="56"/>
      <c r="H300" s="56">
        <v>79.905000000000001</v>
      </c>
      <c r="I300" s="260">
        <f>E321</f>
        <v>10.193333333333333</v>
      </c>
      <c r="J300" s="260">
        <f t="shared" si="42"/>
        <v>10.193333333333333</v>
      </c>
      <c r="K300" s="260">
        <f t="shared" si="42"/>
        <v>10.193333333333333</v>
      </c>
      <c r="L300" s="281">
        <f>M321</f>
        <v>54.42</v>
      </c>
      <c r="M300" s="281">
        <f t="shared" si="43"/>
        <v>54.42</v>
      </c>
      <c r="N300" s="56">
        <f t="shared" si="44"/>
        <v>298.67500000000001</v>
      </c>
      <c r="O300">
        <v>2500</v>
      </c>
    </row>
    <row r="301" spans="1:15">
      <c r="A301" s="268" t="s">
        <v>38</v>
      </c>
      <c r="B301" s="56"/>
      <c r="C301" s="56">
        <v>27</v>
      </c>
      <c r="D301" s="56">
        <v>27</v>
      </c>
      <c r="E301" s="56">
        <v>26.25</v>
      </c>
      <c r="F301" s="56"/>
      <c r="G301" s="56"/>
      <c r="H301" s="56">
        <v>108</v>
      </c>
      <c r="I301" s="260">
        <f>E320</f>
        <v>7.1066666666666665</v>
      </c>
      <c r="J301" s="260">
        <f t="shared" si="42"/>
        <v>7.1066666666666665</v>
      </c>
      <c r="K301" s="260">
        <f t="shared" si="42"/>
        <v>7.1066666666666665</v>
      </c>
      <c r="L301" s="281">
        <f>M320</f>
        <v>9.07</v>
      </c>
      <c r="M301" s="281">
        <f t="shared" si="43"/>
        <v>9.07</v>
      </c>
      <c r="N301" s="56">
        <f t="shared" si="44"/>
        <v>227.70999999999995</v>
      </c>
      <c r="O301">
        <v>2500</v>
      </c>
    </row>
    <row r="302" spans="1:15">
      <c r="A302" s="268" t="s">
        <v>669</v>
      </c>
      <c r="B302" s="56"/>
      <c r="C302" s="56"/>
      <c r="D302" s="56"/>
      <c r="E302" s="56"/>
      <c r="F302" s="56">
        <v>26</v>
      </c>
      <c r="G302" s="56">
        <v>26</v>
      </c>
      <c r="H302" s="56"/>
      <c r="I302" s="260"/>
      <c r="J302" s="260">
        <f t="shared" si="42"/>
        <v>0</v>
      </c>
      <c r="K302" s="260">
        <f t="shared" si="42"/>
        <v>0</v>
      </c>
      <c r="L302" s="281">
        <v>0</v>
      </c>
      <c r="M302" s="281">
        <f t="shared" si="43"/>
        <v>0</v>
      </c>
      <c r="N302" s="56">
        <f t="shared" si="44"/>
        <v>52</v>
      </c>
      <c r="O302">
        <v>2000</v>
      </c>
    </row>
    <row r="303" spans="1:15">
      <c r="A303" s="270" t="s">
        <v>497</v>
      </c>
      <c r="B303" s="271"/>
      <c r="C303" s="271"/>
      <c r="D303" s="271"/>
      <c r="E303" s="271">
        <v>24.2</v>
      </c>
      <c r="F303" s="271"/>
      <c r="G303" s="271"/>
      <c r="H303" s="271"/>
      <c r="I303" s="278"/>
      <c r="J303" s="278">
        <f t="shared" si="42"/>
        <v>0</v>
      </c>
      <c r="K303" s="278">
        <f t="shared" si="42"/>
        <v>0</v>
      </c>
      <c r="L303" s="282">
        <v>0</v>
      </c>
      <c r="M303" s="282">
        <f t="shared" si="43"/>
        <v>0</v>
      </c>
      <c r="N303" s="271">
        <f t="shared" si="44"/>
        <v>24.2</v>
      </c>
    </row>
    <row r="304" spans="1:15">
      <c r="A304" s="273" t="s">
        <v>9</v>
      </c>
      <c r="B304" s="274">
        <v>248</v>
      </c>
      <c r="C304" s="274">
        <v>1634.3</v>
      </c>
      <c r="D304" s="274">
        <v>1995.8</v>
      </c>
      <c r="E304" s="274">
        <v>2110.1099999999997</v>
      </c>
      <c r="F304" s="274">
        <v>1978.33</v>
      </c>
      <c r="G304" s="274">
        <v>1131.78</v>
      </c>
      <c r="H304" s="274">
        <v>780.90499999999997</v>
      </c>
      <c r="I304" s="279">
        <f>I297+I294+I287</f>
        <v>949.22533333333331</v>
      </c>
      <c r="J304" s="279">
        <f t="shared" si="42"/>
        <v>949.22533333333331</v>
      </c>
      <c r="K304" s="279">
        <f t="shared" si="42"/>
        <v>949.22533333333331</v>
      </c>
      <c r="L304" s="283">
        <f>L297+L294+L287</f>
        <v>948.72199999999998</v>
      </c>
      <c r="M304" s="283">
        <f t="shared" si="43"/>
        <v>948.72199999999998</v>
      </c>
      <c r="N304" s="274">
        <f t="shared" si="44"/>
        <v>14624.345000000001</v>
      </c>
    </row>
    <row r="306" spans="1:20">
      <c r="I306" s="297" t="s">
        <v>889</v>
      </c>
      <c r="J306" s="298"/>
      <c r="K306" s="298"/>
    </row>
    <row r="307" spans="1:20">
      <c r="I307" s="299" t="s">
        <v>886</v>
      </c>
      <c r="J307" s="300">
        <v>3628</v>
      </c>
      <c r="K307" s="298"/>
    </row>
    <row r="308" spans="1:20">
      <c r="I308" s="299" t="s">
        <v>887</v>
      </c>
      <c r="J308" s="300">
        <f>L324</f>
        <v>1897.4440000000002</v>
      </c>
      <c r="K308" s="298"/>
    </row>
    <row r="309" spans="1:20">
      <c r="I309" s="299" t="s">
        <v>888</v>
      </c>
      <c r="J309" s="301">
        <f>J308/J307</f>
        <v>0.52300000000000002</v>
      </c>
      <c r="K309" s="298"/>
    </row>
    <row r="311" spans="1:20" ht="15" thickBot="1">
      <c r="A311" s="86" t="s">
        <v>884</v>
      </c>
      <c r="I311" s="86" t="s">
        <v>885</v>
      </c>
    </row>
    <row r="312" spans="1:20">
      <c r="A312" s="51" t="s">
        <v>894</v>
      </c>
      <c r="B312" s="51" t="s">
        <v>65</v>
      </c>
      <c r="C312" t="s">
        <v>912</v>
      </c>
      <c r="D312" s="291" t="s">
        <v>893</v>
      </c>
      <c r="E312" s="85" t="s">
        <v>890</v>
      </c>
      <c r="F312" s="85" t="s">
        <v>891</v>
      </c>
      <c r="G312" s="85" t="s">
        <v>892</v>
      </c>
      <c r="I312" s="51" t="s">
        <v>894</v>
      </c>
      <c r="J312" s="51" t="s">
        <v>65</v>
      </c>
      <c r="L312" s="288" t="s">
        <v>893</v>
      </c>
      <c r="M312" s="287" t="s">
        <v>892</v>
      </c>
      <c r="N312" s="287" t="s">
        <v>895</v>
      </c>
      <c r="O312" s="54" t="s">
        <v>908</v>
      </c>
      <c r="P312" t="s">
        <v>909</v>
      </c>
    </row>
    <row r="313" spans="1:20">
      <c r="A313" t="s">
        <v>867</v>
      </c>
      <c r="B313" t="s">
        <v>33</v>
      </c>
      <c r="D313" s="292">
        <v>633.6</v>
      </c>
      <c r="E313" s="260">
        <f t="shared" ref="E313:E323" si="45">D313/3</f>
        <v>211.20000000000002</v>
      </c>
      <c r="F313" s="260">
        <f t="shared" ref="F313:G324" si="46">E313</f>
        <v>211.20000000000002</v>
      </c>
      <c r="G313" s="260">
        <f t="shared" si="46"/>
        <v>211.20000000000002</v>
      </c>
      <c r="I313" t="s">
        <v>867</v>
      </c>
      <c r="J313" t="s">
        <v>33</v>
      </c>
      <c r="L313" s="289">
        <v>0</v>
      </c>
      <c r="M313" s="285">
        <f t="shared" ref="M313:M324" si="47">L313/2</f>
        <v>0</v>
      </c>
      <c r="N313" s="285">
        <f t="shared" ref="N313:N324" si="48">M313</f>
        <v>0</v>
      </c>
      <c r="O313" s="54">
        <f>B330</f>
        <v>2200</v>
      </c>
      <c r="P313" s="54">
        <f t="shared" ref="P313:P323" si="49">O313*L313</f>
        <v>0</v>
      </c>
      <c r="R313" t="s">
        <v>33</v>
      </c>
      <c r="T313" s="56">
        <f t="shared" ref="T313:T323" si="50">L313+D313</f>
        <v>633.6</v>
      </c>
    </row>
    <row r="314" spans="1:20">
      <c r="A314" t="s">
        <v>867</v>
      </c>
      <c r="B314" t="s">
        <v>880</v>
      </c>
      <c r="D314" s="292">
        <v>439.26</v>
      </c>
      <c r="E314" s="260">
        <f t="shared" si="45"/>
        <v>146.41999999999999</v>
      </c>
      <c r="F314" s="260">
        <f t="shared" si="46"/>
        <v>146.41999999999999</v>
      </c>
      <c r="G314" s="260">
        <f t="shared" si="46"/>
        <v>146.41999999999999</v>
      </c>
      <c r="I314" t="s">
        <v>867</v>
      </c>
      <c r="J314" t="s">
        <v>880</v>
      </c>
      <c r="L314" s="289">
        <v>217.67999999999998</v>
      </c>
      <c r="M314" s="285">
        <f t="shared" si="47"/>
        <v>108.83999999999999</v>
      </c>
      <c r="N314" s="285">
        <f t="shared" si="48"/>
        <v>108.83999999999999</v>
      </c>
      <c r="O314" s="54">
        <f>B334</f>
        <v>1400</v>
      </c>
      <c r="P314" s="54">
        <f t="shared" si="49"/>
        <v>304751.99999999994</v>
      </c>
      <c r="R314" t="s">
        <v>880</v>
      </c>
      <c r="T314" s="56">
        <f t="shared" si="50"/>
        <v>656.93999999999994</v>
      </c>
    </row>
    <row r="315" spans="1:20">
      <c r="A315" t="s">
        <v>867</v>
      </c>
      <c r="B315" t="s">
        <v>32</v>
      </c>
      <c r="D315" s="292">
        <v>69.099999999999994</v>
      </c>
      <c r="E315" s="260">
        <f t="shared" si="45"/>
        <v>23.033333333333331</v>
      </c>
      <c r="F315" s="260">
        <f t="shared" si="46"/>
        <v>23.033333333333331</v>
      </c>
      <c r="G315" s="260">
        <f t="shared" si="46"/>
        <v>23.033333333333331</v>
      </c>
      <c r="I315" t="s">
        <v>867</v>
      </c>
      <c r="J315" t="s">
        <v>32</v>
      </c>
      <c r="L315" s="289">
        <v>0</v>
      </c>
      <c r="M315" s="285">
        <f t="shared" si="47"/>
        <v>0</v>
      </c>
      <c r="N315" s="285">
        <f t="shared" si="48"/>
        <v>0</v>
      </c>
      <c r="O315" s="54">
        <f>B331</f>
        <v>2700</v>
      </c>
      <c r="P315" s="54">
        <f t="shared" si="49"/>
        <v>0</v>
      </c>
      <c r="R315" t="s">
        <v>32</v>
      </c>
      <c r="T315" s="56">
        <f t="shared" si="50"/>
        <v>69.099999999999994</v>
      </c>
    </row>
    <row r="316" spans="1:20">
      <c r="A316" t="s">
        <v>867</v>
      </c>
      <c r="B316" t="s">
        <v>31</v>
      </c>
      <c r="D316" s="292">
        <v>380.36</v>
      </c>
      <c r="E316" s="260">
        <f t="shared" si="45"/>
        <v>126.78666666666668</v>
      </c>
      <c r="F316" s="260">
        <f t="shared" si="46"/>
        <v>126.78666666666668</v>
      </c>
      <c r="G316" s="260">
        <f t="shared" si="46"/>
        <v>126.78666666666668</v>
      </c>
      <c r="I316" t="s">
        <v>867</v>
      </c>
      <c r="J316" t="s">
        <v>31</v>
      </c>
      <c r="L316" s="289">
        <v>507.92000000000007</v>
      </c>
      <c r="M316" s="285">
        <f t="shared" si="47"/>
        <v>253.96000000000004</v>
      </c>
      <c r="N316" s="285">
        <f t="shared" si="48"/>
        <v>253.96000000000004</v>
      </c>
      <c r="O316" s="54">
        <f>B332</f>
        <v>2600</v>
      </c>
      <c r="P316" s="54">
        <f t="shared" si="49"/>
        <v>1320592.0000000002</v>
      </c>
      <c r="R316" t="s">
        <v>31</v>
      </c>
      <c r="T316" s="56">
        <f t="shared" si="50"/>
        <v>888.28000000000009</v>
      </c>
    </row>
    <row r="317" spans="1:20">
      <c r="A317" t="s">
        <v>867</v>
      </c>
      <c r="B317" t="s">
        <v>36</v>
      </c>
      <c r="D317" s="292">
        <v>132.38</v>
      </c>
      <c r="E317" s="260">
        <f t="shared" si="45"/>
        <v>44.126666666666665</v>
      </c>
      <c r="F317" s="260">
        <f t="shared" si="46"/>
        <v>44.126666666666665</v>
      </c>
      <c r="G317" s="260">
        <f t="shared" si="46"/>
        <v>44.126666666666665</v>
      </c>
      <c r="I317" t="s">
        <v>867</v>
      </c>
      <c r="J317" t="s">
        <v>36</v>
      </c>
      <c r="L317" s="289">
        <v>0</v>
      </c>
      <c r="M317" s="285">
        <f t="shared" si="47"/>
        <v>0</v>
      </c>
      <c r="N317" s="285">
        <f t="shared" si="48"/>
        <v>0</v>
      </c>
      <c r="O317" s="54">
        <f>B334</f>
        <v>1400</v>
      </c>
      <c r="P317" s="54">
        <f t="shared" si="49"/>
        <v>0</v>
      </c>
      <c r="R317" t="s">
        <v>36</v>
      </c>
      <c r="T317" s="56">
        <f t="shared" si="50"/>
        <v>132.38</v>
      </c>
    </row>
    <row r="318" spans="1:20">
      <c r="A318" t="s">
        <v>881</v>
      </c>
      <c r="B318" t="s">
        <v>495</v>
      </c>
      <c r="D318" s="302">
        <v>658.15</v>
      </c>
      <c r="E318" s="260">
        <f t="shared" si="45"/>
        <v>219.38333333333333</v>
      </c>
      <c r="F318" s="260">
        <f t="shared" si="46"/>
        <v>219.38333333333333</v>
      </c>
      <c r="G318" s="260">
        <f t="shared" si="46"/>
        <v>219.38333333333333</v>
      </c>
      <c r="I318" t="s">
        <v>881</v>
      </c>
      <c r="J318" t="s">
        <v>495</v>
      </c>
      <c r="L318" s="289">
        <v>689.32</v>
      </c>
      <c r="M318" s="285">
        <f t="shared" si="47"/>
        <v>344.66</v>
      </c>
      <c r="N318" s="285">
        <f t="shared" si="48"/>
        <v>344.66</v>
      </c>
      <c r="O318" s="54">
        <f>B337</f>
        <v>3900</v>
      </c>
      <c r="P318" s="54">
        <f t="shared" si="49"/>
        <v>2688348</v>
      </c>
      <c r="R318" t="s">
        <v>495</v>
      </c>
      <c r="T318" s="56">
        <f t="shared" si="50"/>
        <v>1347.47</v>
      </c>
    </row>
    <row r="319" spans="1:20">
      <c r="A319" t="s">
        <v>881</v>
      </c>
      <c r="B319" t="s">
        <v>35</v>
      </c>
      <c r="D319" s="302">
        <v>379.32600000000002</v>
      </c>
      <c r="E319" s="260">
        <f t="shared" si="45"/>
        <v>126.44200000000001</v>
      </c>
      <c r="F319" s="260">
        <f t="shared" si="46"/>
        <v>126.44200000000001</v>
      </c>
      <c r="G319" s="260">
        <f t="shared" si="46"/>
        <v>126.44200000000001</v>
      </c>
      <c r="I319" t="s">
        <v>881</v>
      </c>
      <c r="J319" t="s">
        <v>35</v>
      </c>
      <c r="L319" s="289">
        <v>290.24</v>
      </c>
      <c r="M319" s="285">
        <f t="shared" si="47"/>
        <v>145.12</v>
      </c>
      <c r="N319" s="285">
        <f t="shared" si="48"/>
        <v>145.12</v>
      </c>
      <c r="O319" s="54">
        <f>B338</f>
        <v>3900</v>
      </c>
      <c r="P319" s="54">
        <f t="shared" si="49"/>
        <v>1131936</v>
      </c>
      <c r="R319" t="s">
        <v>35</v>
      </c>
      <c r="T319" s="56">
        <f t="shared" si="50"/>
        <v>669.56600000000003</v>
      </c>
    </row>
    <row r="320" spans="1:20">
      <c r="A320" t="s">
        <v>866</v>
      </c>
      <c r="B320" t="s">
        <v>882</v>
      </c>
      <c r="D320" s="292">
        <v>21.32</v>
      </c>
      <c r="E320" s="260">
        <f t="shared" si="45"/>
        <v>7.1066666666666665</v>
      </c>
      <c r="F320" s="260">
        <f t="shared" si="46"/>
        <v>7.1066666666666665</v>
      </c>
      <c r="G320" s="260">
        <f t="shared" si="46"/>
        <v>7.1066666666666665</v>
      </c>
      <c r="I320" t="s">
        <v>866</v>
      </c>
      <c r="J320" t="s">
        <v>882</v>
      </c>
      <c r="L320" s="289">
        <v>18.14</v>
      </c>
      <c r="M320" s="285">
        <f t="shared" si="47"/>
        <v>9.07</v>
      </c>
      <c r="N320" s="285">
        <f t="shared" si="48"/>
        <v>9.07</v>
      </c>
      <c r="O320" s="54">
        <f>B342</f>
        <v>2500</v>
      </c>
      <c r="P320" s="54">
        <f t="shared" si="49"/>
        <v>45350</v>
      </c>
      <c r="R320" t="s">
        <v>882</v>
      </c>
      <c r="T320" s="56">
        <f t="shared" si="50"/>
        <v>39.46</v>
      </c>
    </row>
    <row r="321" spans="1:20">
      <c r="A321" t="s">
        <v>866</v>
      </c>
      <c r="B321" t="s">
        <v>580</v>
      </c>
      <c r="D321" s="292">
        <v>30.58</v>
      </c>
      <c r="E321" s="260">
        <f t="shared" si="45"/>
        <v>10.193333333333333</v>
      </c>
      <c r="F321" s="260">
        <f t="shared" si="46"/>
        <v>10.193333333333333</v>
      </c>
      <c r="G321" s="260">
        <f t="shared" si="46"/>
        <v>10.193333333333333</v>
      </c>
      <c r="I321" t="s">
        <v>866</v>
      </c>
      <c r="J321" t="s">
        <v>580</v>
      </c>
      <c r="L321" s="289">
        <v>108.84</v>
      </c>
      <c r="M321" s="285">
        <f t="shared" si="47"/>
        <v>54.42</v>
      </c>
      <c r="N321" s="285">
        <f t="shared" si="48"/>
        <v>54.42</v>
      </c>
      <c r="O321" s="54">
        <f>B344</f>
        <v>2000</v>
      </c>
      <c r="P321" s="54">
        <f t="shared" si="49"/>
        <v>217680</v>
      </c>
      <c r="R321" t="s">
        <v>580</v>
      </c>
      <c r="T321" s="56">
        <f t="shared" si="50"/>
        <v>139.42000000000002</v>
      </c>
    </row>
    <row r="322" spans="1:20">
      <c r="A322" t="s">
        <v>866</v>
      </c>
      <c r="B322" t="s">
        <v>37</v>
      </c>
      <c r="D322" s="292">
        <v>19.34</v>
      </c>
      <c r="E322" s="260">
        <f t="shared" si="45"/>
        <v>6.4466666666666663</v>
      </c>
      <c r="F322" s="260">
        <f t="shared" si="46"/>
        <v>6.4466666666666663</v>
      </c>
      <c r="G322" s="260">
        <f t="shared" si="46"/>
        <v>6.4466666666666663</v>
      </c>
      <c r="I322" t="s">
        <v>866</v>
      </c>
      <c r="J322" t="s">
        <v>37</v>
      </c>
      <c r="L322" s="289">
        <v>0</v>
      </c>
      <c r="M322" s="285">
        <f t="shared" si="47"/>
        <v>0</v>
      </c>
      <c r="N322" s="285">
        <f t="shared" si="48"/>
        <v>0</v>
      </c>
      <c r="O322" s="54">
        <f>B340</f>
        <v>1800</v>
      </c>
      <c r="P322" s="54">
        <f t="shared" si="49"/>
        <v>0</v>
      </c>
      <c r="R322" t="s">
        <v>37</v>
      </c>
      <c r="T322" s="56">
        <f t="shared" si="50"/>
        <v>19.34</v>
      </c>
    </row>
    <row r="323" spans="1:20">
      <c r="A323" t="s">
        <v>866</v>
      </c>
      <c r="B323" t="s">
        <v>883</v>
      </c>
      <c r="D323" s="292">
        <v>84.259999999999991</v>
      </c>
      <c r="E323" s="260">
        <f t="shared" si="45"/>
        <v>28.086666666666662</v>
      </c>
      <c r="F323" s="260">
        <f t="shared" si="46"/>
        <v>28.086666666666662</v>
      </c>
      <c r="G323" s="260">
        <f t="shared" si="46"/>
        <v>28.086666666666662</v>
      </c>
      <c r="I323" t="s">
        <v>866</v>
      </c>
      <c r="J323" t="s">
        <v>883</v>
      </c>
      <c r="L323" s="289">
        <v>65.304000000000002</v>
      </c>
      <c r="M323" s="285">
        <f t="shared" si="47"/>
        <v>32.652000000000001</v>
      </c>
      <c r="N323" s="285">
        <f t="shared" si="48"/>
        <v>32.652000000000001</v>
      </c>
      <c r="O323" s="54">
        <f>B341</f>
        <v>2500</v>
      </c>
      <c r="P323" s="54">
        <f t="shared" si="49"/>
        <v>163260</v>
      </c>
      <c r="R323" t="s">
        <v>883</v>
      </c>
      <c r="T323" s="56">
        <f t="shared" si="50"/>
        <v>149.56399999999999</v>
      </c>
    </row>
    <row r="324" spans="1:20" ht="15" thickBot="1">
      <c r="B324" s="51" t="s">
        <v>11</v>
      </c>
      <c r="D324" s="293">
        <f>SUM(D313:D323)</f>
        <v>2847.6760000000004</v>
      </c>
      <c r="E324" s="284">
        <f>D324/3</f>
        <v>949.22533333333342</v>
      </c>
      <c r="F324" s="284">
        <f t="shared" si="46"/>
        <v>949.22533333333342</v>
      </c>
      <c r="G324" s="284">
        <f t="shared" si="46"/>
        <v>949.22533333333342</v>
      </c>
      <c r="J324" s="51" t="s">
        <v>11</v>
      </c>
      <c r="L324" s="290">
        <f>SUM(L313:L323)</f>
        <v>1897.4440000000002</v>
      </c>
      <c r="M324" s="286">
        <f t="shared" si="47"/>
        <v>948.72200000000009</v>
      </c>
      <c r="N324" s="286">
        <f t="shared" si="48"/>
        <v>948.72200000000009</v>
      </c>
      <c r="O324" s="81">
        <f>P324/L324</f>
        <v>3094.6462715105158</v>
      </c>
      <c r="P324" s="81">
        <f>SUM(P313:P323)</f>
        <v>5871918</v>
      </c>
    </row>
    <row r="325" spans="1:20">
      <c r="O325" t="s">
        <v>910</v>
      </c>
      <c r="P325" s="56">
        <f>P324+'[1]RESUMEN AL 3-8-2026'!$P$50</f>
        <v>13806574.4</v>
      </c>
      <c r="Q325" s="56"/>
    </row>
    <row r="326" spans="1:20">
      <c r="K326" t="s">
        <v>899</v>
      </c>
      <c r="L326" s="56">
        <f>L324+D324</f>
        <v>4745.1200000000008</v>
      </c>
      <c r="O326" t="s">
        <v>911</v>
      </c>
      <c r="P326" s="248">
        <f>13637*1000</f>
        <v>13637000</v>
      </c>
    </row>
    <row r="327" spans="1:20">
      <c r="A327" s="86" t="s">
        <v>896</v>
      </c>
      <c r="K327" t="s">
        <v>925</v>
      </c>
      <c r="L327" t="s">
        <v>926</v>
      </c>
      <c r="M327" s="56" t="s">
        <v>924</v>
      </c>
      <c r="P327" s="56">
        <f>P325-P326</f>
        <v>169574.40000000037</v>
      </c>
    </row>
    <row r="328" spans="1:20">
      <c r="K328" s="71">
        <f>(D318+D319)/D324</f>
        <v>0.36432375031429137</v>
      </c>
      <c r="L328" s="71">
        <f>(L318+L319)/L324</f>
        <v>0.51625239005736134</v>
      </c>
      <c r="M328" s="71">
        <f>(D318+D319+L318+L319)/L326</f>
        <v>0.42507586741747311</v>
      </c>
      <c r="Q328" t="s">
        <v>913</v>
      </c>
    </row>
    <row r="329" spans="1:20">
      <c r="A329" s="265" t="s">
        <v>867</v>
      </c>
      <c r="B329" s="266"/>
      <c r="P329" t="s">
        <v>922</v>
      </c>
      <c r="Q329" s="54">
        <f>P326/L326</f>
        <v>2873.8999224466393</v>
      </c>
    </row>
    <row r="330" spans="1:20">
      <c r="A330" s="268" t="s">
        <v>33</v>
      </c>
      <c r="B330" s="54">
        <v>2200</v>
      </c>
      <c r="C330" s="56"/>
      <c r="D330" s="54"/>
      <c r="I330" t="s">
        <v>897</v>
      </c>
      <c r="J330" t="s">
        <v>898</v>
      </c>
      <c r="P330" t="s">
        <v>923</v>
      </c>
      <c r="Q330" s="54">
        <v>2243</v>
      </c>
      <c r="R330" s="56">
        <f>AVERAGE(Q329:Q330)</f>
        <v>2558.4499612233194</v>
      </c>
    </row>
    <row r="331" spans="1:20">
      <c r="A331" s="268" t="s">
        <v>32</v>
      </c>
      <c r="B331" s="54">
        <v>2700</v>
      </c>
      <c r="C331" s="56"/>
      <c r="D331" s="54"/>
      <c r="H331" t="s">
        <v>614</v>
      </c>
      <c r="I331" s="248"/>
      <c r="J331">
        <v>24503.655999999999</v>
      </c>
      <c r="Q331" s="108">
        <f>Q329-Q330</f>
        <v>630.89992244663927</v>
      </c>
    </row>
    <row r="332" spans="1:20">
      <c r="A332" s="268" t="s">
        <v>31</v>
      </c>
      <c r="B332" s="54">
        <v>2600</v>
      </c>
      <c r="C332" s="56"/>
      <c r="D332" s="54"/>
      <c r="H332" t="s">
        <v>899</v>
      </c>
      <c r="I332">
        <v>9879</v>
      </c>
      <c r="J332">
        <v>9242</v>
      </c>
    </row>
    <row r="333" spans="1:20">
      <c r="A333" s="268" t="s">
        <v>36</v>
      </c>
      <c r="B333" s="54">
        <v>2600</v>
      </c>
      <c r="C333" s="56"/>
      <c r="D333" s="54"/>
    </row>
    <row r="334" spans="1:20">
      <c r="A334" s="268" t="s">
        <v>34</v>
      </c>
      <c r="B334" s="54">
        <v>1400</v>
      </c>
      <c r="C334" s="56"/>
      <c r="D334" s="54"/>
      <c r="I334" s="27" t="s">
        <v>897</v>
      </c>
      <c r="J334" s="27" t="s">
        <v>898</v>
      </c>
      <c r="K334" s="27" t="s">
        <v>901</v>
      </c>
      <c r="L334" s="27"/>
    </row>
    <row r="335" spans="1:20">
      <c r="A335" s="270" t="s">
        <v>668</v>
      </c>
      <c r="B335" s="294"/>
      <c r="C335" s="56"/>
      <c r="D335" s="54"/>
      <c r="H335" s="7" t="s">
        <v>902</v>
      </c>
      <c r="I335" s="306">
        <f>I342</f>
        <v>2258.0807872948239</v>
      </c>
      <c r="J335" s="306">
        <f>J342</f>
        <v>2881.7449747446112</v>
      </c>
      <c r="K335" s="199">
        <f>I335/J335-1</f>
        <v>-0.21641893814877156</v>
      </c>
    </row>
    <row r="336" spans="1:20">
      <c r="A336" s="265" t="s">
        <v>868</v>
      </c>
      <c r="B336" s="295"/>
      <c r="C336" s="56"/>
      <c r="D336" s="54"/>
      <c r="H336" s="7" t="s">
        <v>903</v>
      </c>
      <c r="I336" s="10">
        <f>I283/3.4</f>
        <v>931.72474901786745</v>
      </c>
      <c r="J336" s="10">
        <v>1104</v>
      </c>
      <c r="K336" s="199">
        <f>I336/J336-1</f>
        <v>-0.15604642299106208</v>
      </c>
    </row>
    <row r="337" spans="1:11">
      <c r="A337" s="268" t="s">
        <v>495</v>
      </c>
      <c r="B337" s="54">
        <v>3900</v>
      </c>
      <c r="C337" s="56"/>
      <c r="D337" s="54"/>
      <c r="H337" s="209" t="s">
        <v>900</v>
      </c>
      <c r="I337" s="304">
        <f>I335/I336</f>
        <v>2.423549218452199</v>
      </c>
      <c r="J337" s="304">
        <f>J335/J336</f>
        <v>2.6102762452396839</v>
      </c>
      <c r="K337" s="305">
        <f>I337/J337-1</f>
        <v>-7.1535350761443683E-2</v>
      </c>
    </row>
    <row r="338" spans="1:11">
      <c r="A338" s="270" t="s">
        <v>35</v>
      </c>
      <c r="B338" s="294">
        <v>3900</v>
      </c>
      <c r="C338" s="56"/>
      <c r="D338" s="54"/>
    </row>
    <row r="339" spans="1:11">
      <c r="A339" s="265" t="s">
        <v>866</v>
      </c>
      <c r="B339" s="295"/>
      <c r="C339" s="56"/>
      <c r="D339" s="54"/>
      <c r="H339" s="7" t="s">
        <v>305</v>
      </c>
      <c r="I339" s="27" t="s">
        <v>897</v>
      </c>
      <c r="J339" s="27" t="s">
        <v>898</v>
      </c>
      <c r="K339" s="27" t="s">
        <v>901</v>
      </c>
    </row>
    <row r="340" spans="1:11">
      <c r="A340" s="268" t="s">
        <v>37</v>
      </c>
      <c r="B340" s="54">
        <v>1800</v>
      </c>
      <c r="C340" s="56"/>
      <c r="D340" s="54"/>
      <c r="H340" s="7" t="s">
        <v>867</v>
      </c>
      <c r="I340" s="196">
        <f t="shared" ref="I340:I341" si="51">AR121</f>
        <v>1954.7316066914241</v>
      </c>
      <c r="J340" s="10">
        <v>2321.64</v>
      </c>
      <c r="K340" s="199">
        <f>I340/J340-1</f>
        <v>-0.15803845269231054</v>
      </c>
    </row>
    <row r="341" spans="1:11">
      <c r="A341" s="268" t="s">
        <v>465</v>
      </c>
      <c r="B341" s="54">
        <v>2500</v>
      </c>
      <c r="C341" s="56"/>
      <c r="D341" s="54"/>
      <c r="H341" s="7" t="s">
        <v>868</v>
      </c>
      <c r="I341" s="196">
        <f t="shared" si="51"/>
        <v>3717.6666922476757</v>
      </c>
      <c r="J341" s="10">
        <v>5075.37</v>
      </c>
      <c r="K341" s="199">
        <f>I341/J341-1</f>
        <v>-0.26750824230594505</v>
      </c>
    </row>
    <row r="342" spans="1:11">
      <c r="A342" s="268" t="s">
        <v>39</v>
      </c>
      <c r="B342" s="54">
        <v>2500</v>
      </c>
      <c r="C342" s="56"/>
      <c r="D342" s="54"/>
      <c r="H342" s="7" t="s">
        <v>862</v>
      </c>
      <c r="I342" s="306">
        <f>(I340*I345+I341*I346)/I347</f>
        <v>2258.0807872948239</v>
      </c>
      <c r="J342" s="306">
        <f>(J340*J345+J341*J346)/J347</f>
        <v>2881.7449747446112</v>
      </c>
      <c r="K342" s="199">
        <f>I342/J342-1</f>
        <v>-0.21641893814877156</v>
      </c>
    </row>
    <row r="343" spans="1:11">
      <c r="A343" s="268" t="s">
        <v>38</v>
      </c>
      <c r="B343" s="54">
        <v>2500</v>
      </c>
      <c r="C343" s="56"/>
      <c r="D343" s="54"/>
    </row>
    <row r="344" spans="1:11">
      <c r="A344" s="268" t="s">
        <v>669</v>
      </c>
      <c r="B344" s="54">
        <v>2000</v>
      </c>
      <c r="C344" s="56"/>
      <c r="D344" s="54"/>
      <c r="H344" s="7" t="s">
        <v>904</v>
      </c>
      <c r="I344" s="27" t="s">
        <v>897</v>
      </c>
      <c r="J344" s="27" t="s">
        <v>898</v>
      </c>
      <c r="K344" s="27" t="s">
        <v>901</v>
      </c>
    </row>
    <row r="345" spans="1:11">
      <c r="A345" s="270" t="s">
        <v>497</v>
      </c>
      <c r="B345" s="294">
        <v>0</v>
      </c>
      <c r="C345" s="56"/>
      <c r="D345" s="54"/>
      <c r="H345" s="7" t="s">
        <v>867</v>
      </c>
      <c r="I345" s="10">
        <f t="shared" ref="I345:I346" si="52">AR115</f>
        <v>7523.66</v>
      </c>
      <c r="J345" s="10">
        <v>7727.75</v>
      </c>
      <c r="K345" s="7"/>
    </row>
    <row r="346" spans="1:11">
      <c r="C346" s="56"/>
      <c r="D346" s="56"/>
      <c r="H346" s="7" t="s">
        <v>868</v>
      </c>
      <c r="I346" s="10">
        <f t="shared" si="52"/>
        <v>1563.6599999999999</v>
      </c>
      <c r="J346" s="10">
        <v>1973.15</v>
      </c>
      <c r="K346" s="7"/>
    </row>
    <row r="347" spans="1:11">
      <c r="D347" s="54"/>
      <c r="H347" s="7" t="s">
        <v>862</v>
      </c>
      <c r="I347" s="10">
        <f>SUM(I345:I346)</f>
        <v>9087.32</v>
      </c>
      <c r="J347" s="10">
        <f>SUM(J345:J346)</f>
        <v>9700.9</v>
      </c>
      <c r="K347" s="7"/>
    </row>
    <row r="348" spans="1:11">
      <c r="A348" s="309" t="s">
        <v>906</v>
      </c>
      <c r="B348" s="310">
        <v>3000</v>
      </c>
      <c r="C348" t="s">
        <v>907</v>
      </c>
      <c r="D348" s="54"/>
    </row>
    <row r="349" spans="1:11">
      <c r="H349" s="7" t="s">
        <v>905</v>
      </c>
      <c r="I349" s="27" t="s">
        <v>897</v>
      </c>
      <c r="J349" s="27" t="s">
        <v>898</v>
      </c>
      <c r="K349" s="27" t="s">
        <v>901</v>
      </c>
    </row>
    <row r="350" spans="1:11">
      <c r="H350" s="7" t="s">
        <v>867</v>
      </c>
      <c r="I350" s="307">
        <f t="shared" ref="I350:J352" si="53">I345/I$347</f>
        <v>0.82792946655339528</v>
      </c>
      <c r="J350" s="307">
        <f t="shared" si="53"/>
        <v>0.7966013462668412</v>
      </c>
      <c r="K350" s="308">
        <f t="shared" ref="K350:K352" si="54">I350-J350</f>
        <v>3.1328120286554073E-2</v>
      </c>
    </row>
    <row r="351" spans="1:11">
      <c r="H351" s="7" t="s">
        <v>868</v>
      </c>
      <c r="I351" s="307">
        <f t="shared" si="53"/>
        <v>0.1720705334466047</v>
      </c>
      <c r="J351" s="307">
        <f t="shared" si="53"/>
        <v>0.2033986537331588</v>
      </c>
      <c r="K351" s="308">
        <f t="shared" si="54"/>
        <v>-3.1328120286554101E-2</v>
      </c>
    </row>
    <row r="352" spans="1:11">
      <c r="H352" s="7" t="s">
        <v>862</v>
      </c>
      <c r="I352" s="307">
        <f t="shared" si="53"/>
        <v>1</v>
      </c>
      <c r="J352" s="307">
        <f t="shared" si="53"/>
        <v>1</v>
      </c>
      <c r="K352" s="308">
        <f t="shared" si="54"/>
        <v>0</v>
      </c>
    </row>
  </sheetData>
  <mergeCells count="14">
    <mergeCell ref="B278:H278"/>
    <mergeCell ref="I278:N278"/>
    <mergeCell ref="X49:AF49"/>
    <mergeCell ref="A95:I95"/>
    <mergeCell ref="L95:U95"/>
    <mergeCell ref="X95:AF95"/>
    <mergeCell ref="L49:U49"/>
    <mergeCell ref="A49:I49"/>
    <mergeCell ref="A4:I4"/>
    <mergeCell ref="L5:T5"/>
    <mergeCell ref="X5:AF5"/>
    <mergeCell ref="A24:I24"/>
    <mergeCell ref="L24:T24"/>
    <mergeCell ref="X24:AF24"/>
  </mergeCells>
  <phoneticPr fontId="30" type="noConversion"/>
  <pageMargins left="0.7" right="0.7" top="0.75" bottom="0.75" header="0.3" footer="0.3"/>
  <pageSetup orientation="portrait" r:id="rId2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DF5D-4B52-4DC0-B796-EF7D4CAE41BF}">
  <sheetPr filterMode="1"/>
  <dimension ref="B2:BS213"/>
  <sheetViews>
    <sheetView showGridLines="0" zoomScale="70" zoomScaleNormal="70" workbookViewId="0">
      <pane xSplit="8" ySplit="3" topLeftCell="N12" activePane="bottomRight" state="frozen"/>
      <selection pane="topRight" activeCell="I1" sqref="I1"/>
      <selection pane="bottomLeft" activeCell="A4" sqref="A4"/>
      <selection pane="bottomRight" activeCell="P12" sqref="P12:P72"/>
    </sheetView>
  </sheetViews>
  <sheetFormatPr baseColWidth="10" defaultColWidth="11.44140625" defaultRowHeight="14.4" outlineLevelCol="1"/>
  <cols>
    <col min="2" max="2" width="11.5546875" hidden="1" customWidth="1" outlineLevel="1"/>
    <col min="3" max="3" width="11.5546875" collapsed="1"/>
    <col min="7" max="7" width="15.77734375" bestFit="1" customWidth="1"/>
    <col min="8" max="8" width="36" customWidth="1"/>
    <col min="10" max="12" width="11.5546875" customWidth="1" outlineLevel="1"/>
    <col min="13" max="13" width="26.77734375" customWidth="1" outlineLevel="1"/>
    <col min="14" max="15" width="11.5546875" customWidth="1" outlineLevel="1"/>
    <col min="16" max="16" width="13.33203125" customWidth="1"/>
    <col min="17" max="18" width="11.5546875" customWidth="1" outlineLevel="1"/>
    <col min="19" max="19" width="14.44140625" customWidth="1"/>
    <col min="20" max="24" width="11.5546875" customWidth="1" outlineLevel="1"/>
    <col min="25" max="25" width="13.88671875" bestFit="1" customWidth="1" outlineLevel="1"/>
    <col min="26" max="27" width="16.33203125" customWidth="1" outlineLevel="1"/>
    <col min="28" max="28" width="32.109375" customWidth="1" outlineLevel="1"/>
    <col min="29" max="29" width="12.109375" customWidth="1"/>
    <col min="30" max="33" width="12.109375" customWidth="1" outlineLevel="1"/>
    <col min="34" max="34" width="14" bestFit="1" customWidth="1"/>
    <col min="35" max="36" width="12.21875" customWidth="1" outlineLevel="1"/>
    <col min="37" max="37" width="13.21875" customWidth="1" outlineLevel="1"/>
    <col min="38" max="39" width="11.33203125" customWidth="1"/>
    <col min="40" max="42" width="12.109375" customWidth="1" outlineLevel="1"/>
    <col min="43" max="50" width="12.109375" customWidth="1"/>
    <col min="51" max="51" width="15.33203125" customWidth="1"/>
    <col min="52" max="52" width="12.109375" customWidth="1"/>
  </cols>
  <sheetData>
    <row r="2" spans="2:71">
      <c r="G2" s="122" t="s">
        <v>420</v>
      </c>
      <c r="H2" s="122" t="s">
        <v>420</v>
      </c>
      <c r="M2" s="122" t="s">
        <v>420</v>
      </c>
      <c r="P2" s="122" t="s">
        <v>420</v>
      </c>
      <c r="AW2" s="122" t="s">
        <v>420</v>
      </c>
      <c r="AX2" s="122" t="s">
        <v>420</v>
      </c>
      <c r="BC2" s="320" t="s">
        <v>3</v>
      </c>
      <c r="BD2" s="320"/>
      <c r="BE2" s="320"/>
      <c r="BF2" s="320"/>
      <c r="BG2" s="320"/>
      <c r="BH2" s="320"/>
      <c r="BI2" s="320"/>
      <c r="BJ2" s="320"/>
      <c r="BK2" s="320"/>
      <c r="BL2" s="320"/>
      <c r="BM2" s="320"/>
      <c r="BN2" s="320"/>
      <c r="BO2" s="320"/>
      <c r="BP2" s="320"/>
      <c r="BQ2" s="320"/>
      <c r="BR2" s="320"/>
      <c r="BS2" s="320"/>
    </row>
    <row r="3" spans="2:71" ht="43.2">
      <c r="B3" s="33" t="s">
        <v>59</v>
      </c>
      <c r="C3" s="37" t="s">
        <v>60</v>
      </c>
      <c r="D3" s="34" t="s">
        <v>61</v>
      </c>
      <c r="E3" s="34" t="s">
        <v>62</v>
      </c>
      <c r="F3" s="35" t="s">
        <v>63</v>
      </c>
      <c r="G3" s="36" t="s">
        <v>64</v>
      </c>
      <c r="H3" s="37" t="s">
        <v>65</v>
      </c>
      <c r="I3" s="37" t="s">
        <v>66</v>
      </c>
      <c r="J3" s="37" t="s">
        <v>67</v>
      </c>
      <c r="K3" s="34" t="s">
        <v>68</v>
      </c>
      <c r="L3" s="34" t="s">
        <v>69</v>
      </c>
      <c r="M3" s="34" t="s">
        <v>70</v>
      </c>
      <c r="N3" s="34" t="s">
        <v>71</v>
      </c>
      <c r="O3" s="36" t="s">
        <v>72</v>
      </c>
      <c r="P3" s="45" t="s">
        <v>73</v>
      </c>
      <c r="Q3" s="36" t="s">
        <v>74</v>
      </c>
      <c r="R3" s="36" t="s">
        <v>75</v>
      </c>
      <c r="S3" s="45" t="s">
        <v>76</v>
      </c>
      <c r="T3" s="38" t="s">
        <v>77</v>
      </c>
      <c r="U3" s="34" t="s">
        <v>78</v>
      </c>
      <c r="V3" s="39" t="s">
        <v>79</v>
      </c>
      <c r="W3" s="34" t="s">
        <v>80</v>
      </c>
      <c r="X3" s="34" t="s">
        <v>81</v>
      </c>
      <c r="Y3" s="37" t="s">
        <v>865</v>
      </c>
      <c r="Z3" s="33" t="s">
        <v>82</v>
      </c>
      <c r="AA3" s="6" t="s">
        <v>83</v>
      </c>
      <c r="AB3" s="40" t="s">
        <v>84</v>
      </c>
      <c r="AC3" s="41" t="s">
        <v>85</v>
      </c>
      <c r="AD3" s="73" t="s">
        <v>86</v>
      </c>
      <c r="AE3" s="73" t="s">
        <v>87</v>
      </c>
      <c r="AF3" s="73" t="s">
        <v>88</v>
      </c>
      <c r="AG3" s="73" t="s">
        <v>89</v>
      </c>
      <c r="AH3" s="41" t="s">
        <v>90</v>
      </c>
      <c r="AI3" s="107" t="s">
        <v>414</v>
      </c>
      <c r="AJ3" s="107" t="s">
        <v>415</v>
      </c>
      <c r="AK3" s="107" t="s">
        <v>416</v>
      </c>
      <c r="AL3" s="41" t="s">
        <v>91</v>
      </c>
      <c r="AM3" s="87" t="s">
        <v>92</v>
      </c>
      <c r="AN3" s="74" t="s">
        <v>93</v>
      </c>
      <c r="AO3" s="73" t="s">
        <v>667</v>
      </c>
      <c r="AP3" s="74" t="s">
        <v>861</v>
      </c>
      <c r="AQ3" s="41" t="s">
        <v>95</v>
      </c>
      <c r="AR3" s="41" t="s">
        <v>96</v>
      </c>
      <c r="AS3" s="33" t="s">
        <v>97</v>
      </c>
      <c r="AT3" s="41" t="s">
        <v>98</v>
      </c>
      <c r="AU3" s="87" t="s">
        <v>99</v>
      </c>
      <c r="AV3" s="41" t="s">
        <v>100</v>
      </c>
      <c r="AW3" s="41" t="s">
        <v>101</v>
      </c>
      <c r="AX3" s="87" t="s">
        <v>102</v>
      </c>
      <c r="AY3" s="33" t="s">
        <v>103</v>
      </c>
      <c r="AZ3" s="33" t="s">
        <v>42</v>
      </c>
      <c r="BA3" s="87" t="s">
        <v>104</v>
      </c>
      <c r="BC3" s="41" t="s">
        <v>105</v>
      </c>
      <c r="BD3" s="73" t="s">
        <v>86</v>
      </c>
      <c r="BE3" s="73" t="s">
        <v>87</v>
      </c>
      <c r="BF3" s="73" t="s">
        <v>88</v>
      </c>
      <c r="BG3" s="73" t="s">
        <v>89</v>
      </c>
      <c r="BH3" s="41" t="s">
        <v>90</v>
      </c>
      <c r="BI3" s="41" t="s">
        <v>91</v>
      </c>
      <c r="BJ3" s="74" t="s">
        <v>93</v>
      </c>
      <c r="BK3" s="74" t="s">
        <v>94</v>
      </c>
      <c r="BL3" s="41" t="s">
        <v>95</v>
      </c>
      <c r="BM3" s="41" t="s">
        <v>96</v>
      </c>
      <c r="BN3" s="33" t="s">
        <v>97</v>
      </c>
      <c r="BO3" s="41" t="s">
        <v>98</v>
      </c>
      <c r="BP3" s="41" t="s">
        <v>100</v>
      </c>
      <c r="BQ3" s="41" t="s">
        <v>101</v>
      </c>
      <c r="BR3" s="33" t="s">
        <v>103</v>
      </c>
      <c r="BS3" s="33" t="s">
        <v>42</v>
      </c>
    </row>
    <row r="4" spans="2:71" hidden="1">
      <c r="B4" s="4" t="s">
        <v>6</v>
      </c>
      <c r="C4" s="27" t="str">
        <f t="shared" ref="C4:C35" si="0">B4</f>
        <v>ENERO</v>
      </c>
      <c r="D4" s="25" t="s">
        <v>106</v>
      </c>
      <c r="E4" s="98">
        <v>325</v>
      </c>
      <c r="F4" s="98">
        <v>46033</v>
      </c>
      <c r="G4" s="99">
        <v>26</v>
      </c>
      <c r="H4" s="100" t="s">
        <v>36</v>
      </c>
      <c r="I4" s="27" t="s">
        <v>107</v>
      </c>
      <c r="J4" s="7"/>
      <c r="K4" s="7" t="s">
        <v>108</v>
      </c>
      <c r="L4" s="7" t="s">
        <v>109</v>
      </c>
      <c r="M4" s="21" t="s">
        <v>56</v>
      </c>
      <c r="N4" s="7" t="s">
        <v>110</v>
      </c>
      <c r="O4" s="44">
        <f>P4/G4</f>
        <v>2848.6153846153848</v>
      </c>
      <c r="P4" s="50">
        <f>78000*0+74064</f>
        <v>74064</v>
      </c>
      <c r="Q4" s="44">
        <f>S4/G4</f>
        <v>2670.3846153846152</v>
      </c>
      <c r="R4" s="44">
        <v>4634</v>
      </c>
      <c r="S4" s="43">
        <f t="shared" ref="S4:S35" si="1">P4-R4</f>
        <v>69430</v>
      </c>
      <c r="T4" s="22">
        <v>1</v>
      </c>
      <c r="U4" s="23" t="s">
        <v>111</v>
      </c>
      <c r="V4" s="24">
        <v>26106924</v>
      </c>
      <c r="W4" s="25" t="s">
        <v>112</v>
      </c>
      <c r="X4" s="4" t="s">
        <v>113</v>
      </c>
      <c r="Y4" s="4" t="s">
        <v>867</v>
      </c>
      <c r="Z4" s="7">
        <v>10007567</v>
      </c>
      <c r="AA4" s="3" t="s">
        <v>114</v>
      </c>
      <c r="AB4" s="7" t="str">
        <f t="shared" ref="AB4:AB14" si="2">B4&amp;Z4&amp;AA4</f>
        <v>ENERO10007567Compensación</v>
      </c>
      <c r="AC4" s="26">
        <f>INDEX('Detalle Costos'!$L$5:$L$158,MATCH(Resumen!AB4,'Detalle Costos'!$C$5:$C$158,0))*1000+4623.769999996/248</f>
        <v>1848.6442338709517</v>
      </c>
      <c r="AD4" s="42">
        <f>IFERROR(INDEX('Detalle Costos'!$X$5:$X$158,MATCH(Resumen!AB4,'Detalle Costos'!$C$5:$C$158,0))*AH4,0)</f>
        <v>31139.44679335969</v>
      </c>
      <c r="AE4" s="42">
        <f>IFERROR(INDEX('Detalle Costos'!$Z$5:$Z$158,MATCH(Resumen!AB4,'Detalle Costos'!$C$5:$C$158,0))*AH4,0)</f>
        <v>7653.46633392083</v>
      </c>
      <c r="AF4" s="42">
        <f>IFERROR(INDEX('Detalle Costos'!$Y$5:$Y$158,MATCH(Resumen!AB4,'Detalle Costos'!$C$5:$C$158,0))*AH4,0)</f>
        <v>459.33890575206362</v>
      </c>
      <c r="AG4" s="42">
        <f>IFERROR(INDEX('Detalle Costos'!$AA$5:$AA$158,MATCH(Resumen!AB4,'Detalle Costos'!$C$5:$C$158,0))*AH4,0)</f>
        <v>7628.3329918801965</v>
      </c>
      <c r="AH4" s="42">
        <f t="shared" ref="AH4:AH11" si="3">AJ4*G4+6518.87/248*G4</f>
        <v>46880.585024912776</v>
      </c>
      <c r="AI4" s="115">
        <f>48.96-AI17</f>
        <v>22.658000000000001</v>
      </c>
      <c r="AJ4" s="26">
        <v>1776.8136579060747</v>
      </c>
      <c r="AK4" s="42">
        <f>89589.14-AK17</f>
        <v>41460.14</v>
      </c>
      <c r="AL4" s="88">
        <f t="shared" ref="AL4:AL35" si="4">P4-AH4</f>
        <v>27183.414975087224</v>
      </c>
      <c r="AM4" s="89">
        <f t="shared" ref="AM4:AM35" si="5">AL4/P4</f>
        <v>0.36702601770208498</v>
      </c>
      <c r="AN4" s="10">
        <f t="shared" ref="AN4:AN35" si="6">R4</f>
        <v>4634</v>
      </c>
      <c r="AO4" s="10">
        <f t="shared" ref="AO4:AO11" si="7">118461.136538461/5988.21*G4+6*G4</f>
        <v>670.34227423553716</v>
      </c>
      <c r="AP4" s="10">
        <v>0</v>
      </c>
      <c r="AQ4" s="10">
        <f t="shared" ref="AQ4:AQ35" si="8">SUM(AN4:AP4)</f>
        <v>5304.3422742355369</v>
      </c>
      <c r="AR4" s="10">
        <f t="shared" ref="AR4:AR11" si="9">50659/248*G4</f>
        <v>5311.0241935483873</v>
      </c>
      <c r="AS4" s="10">
        <f t="shared" ref="AS4:AS14" si="10">S4*0.03</f>
        <v>2082.9</v>
      </c>
      <c r="AT4" s="88">
        <f t="shared" ref="AT4:AT35" si="11">AL4-AQ4-AR4+AS4</f>
        <v>18650.948507303303</v>
      </c>
      <c r="AU4" s="89">
        <f t="shared" ref="AU4:AU35" si="12">AT4/P4</f>
        <v>0.2518220526477547</v>
      </c>
      <c r="AV4" s="10">
        <f t="shared" ref="AV4:AV11" si="13">131251/248*G4</f>
        <v>13760.185483870968</v>
      </c>
      <c r="AW4" s="88">
        <f t="shared" ref="AW4:AW35" si="14">AT4-AV4</f>
        <v>4890.7630234323351</v>
      </c>
      <c r="AX4" s="89">
        <f t="shared" ref="AX4:AX35" si="15">AW4/P4</f>
        <v>6.6034281478617618E-2</v>
      </c>
      <c r="AY4" s="110">
        <f t="shared" ref="AY4:AY11" si="16">123844.283333333/248*G4</f>
        <v>12983.674865591363</v>
      </c>
      <c r="AZ4" s="88">
        <f t="shared" ref="AZ4:AZ35" si="17">AT4+AY4</f>
        <v>31634.623372894668</v>
      </c>
      <c r="BA4" s="89">
        <f t="shared" ref="BA4:BA35" si="18">AZ4/P4</f>
        <v>0.42712550460270399</v>
      </c>
      <c r="BC4" s="10">
        <f t="shared" ref="BC4" si="19">P4/$G4</f>
        <v>2848.6153846153848</v>
      </c>
      <c r="BD4" s="10">
        <f t="shared" ref="BD4" si="20">-AD4/$G4</f>
        <v>-1197.6710305138342</v>
      </c>
      <c r="BE4" s="10">
        <f t="shared" ref="BE4" si="21">-AE4/$G4</f>
        <v>-294.36408976618577</v>
      </c>
      <c r="BF4" s="10">
        <f t="shared" ref="BF4" si="22">-AF4/$G4</f>
        <v>-17.666880990463987</v>
      </c>
      <c r="BG4" s="10">
        <f t="shared" ref="BG4" si="23">-AG4/$G4</f>
        <v>-293.39742276462295</v>
      </c>
      <c r="BH4" s="10">
        <f t="shared" ref="BH4" si="24">-AH4/$G4</f>
        <v>-1803.0994240351067</v>
      </c>
      <c r="BI4" s="10">
        <f t="shared" ref="BI4" si="25">AL4/$G4</f>
        <v>1045.5159605802778</v>
      </c>
      <c r="BJ4" s="10">
        <f t="shared" ref="BJ4" si="26">-AN4/$G4</f>
        <v>-178.23076923076923</v>
      </c>
      <c r="BK4" s="10">
        <f t="shared" ref="BK4" si="27">-AP4/$G4</f>
        <v>0</v>
      </c>
      <c r="BL4" s="10">
        <f t="shared" ref="BL4" si="28">-AQ4/$G4</f>
        <v>-204.01316439367449</v>
      </c>
      <c r="BM4" s="10">
        <f t="shared" ref="BM4" si="29">-AR4/$G4</f>
        <v>-204.27016129032259</v>
      </c>
      <c r="BN4" s="10">
        <f t="shared" ref="BN4" si="30">AS4/$G4</f>
        <v>80.111538461538458</v>
      </c>
      <c r="BO4" s="10">
        <f t="shared" ref="BO4" si="31">AT4/$G4</f>
        <v>717.34417335781939</v>
      </c>
      <c r="BP4" s="10">
        <f t="shared" ref="BP4" si="32">-AV4/$G4</f>
        <v>-529.23790322580646</v>
      </c>
      <c r="BQ4" s="10">
        <f t="shared" ref="BQ4" si="33">AW4/$G4</f>
        <v>188.1062701320129</v>
      </c>
      <c r="BR4" s="10">
        <f t="shared" ref="BR4" si="34">AY4/$G4</f>
        <v>499.37211021505243</v>
      </c>
      <c r="BS4" s="10">
        <f t="shared" ref="BS4" si="35">AZ4/$G4</f>
        <v>1216.7162835728718</v>
      </c>
    </row>
    <row r="5" spans="2:71" hidden="1">
      <c r="B5" s="4" t="s">
        <v>6</v>
      </c>
      <c r="C5" s="27" t="str">
        <f t="shared" si="0"/>
        <v>ENERO</v>
      </c>
      <c r="D5" s="25" t="s">
        <v>115</v>
      </c>
      <c r="E5" s="98">
        <v>325</v>
      </c>
      <c r="F5" s="98">
        <v>46053</v>
      </c>
      <c r="G5" s="99">
        <v>17.04</v>
      </c>
      <c r="H5" s="100" t="s">
        <v>34</v>
      </c>
      <c r="I5" s="27" t="s">
        <v>116</v>
      </c>
      <c r="J5" s="19" t="s">
        <v>117</v>
      </c>
      <c r="K5" s="7" t="s">
        <v>118</v>
      </c>
      <c r="L5" s="7" t="s">
        <v>119</v>
      </c>
      <c r="M5" s="21" t="s">
        <v>50</v>
      </c>
      <c r="N5" s="7" t="s">
        <v>120</v>
      </c>
      <c r="O5" s="44">
        <v>1850</v>
      </c>
      <c r="P5" s="50">
        <v>31524</v>
      </c>
      <c r="Q5" s="44">
        <v>1656.3380281690143</v>
      </c>
      <c r="R5" s="44">
        <f>3300/24*G5</f>
        <v>2343</v>
      </c>
      <c r="S5" s="43">
        <f t="shared" si="1"/>
        <v>29181</v>
      </c>
      <c r="T5" s="22">
        <v>1</v>
      </c>
      <c r="U5" s="27" t="s">
        <v>121</v>
      </c>
      <c r="V5" s="24">
        <v>6443191850</v>
      </c>
      <c r="W5" s="25" t="s">
        <v>122</v>
      </c>
      <c r="X5" s="4" t="s">
        <v>113</v>
      </c>
      <c r="Y5" s="4" t="s">
        <v>867</v>
      </c>
      <c r="Z5" s="7">
        <v>10005779</v>
      </c>
      <c r="AA5" s="28" t="s">
        <v>114</v>
      </c>
      <c r="AB5" s="7" t="str">
        <f t="shared" si="2"/>
        <v>ENERO10005779Compensación</v>
      </c>
      <c r="AC5" s="26">
        <f>INDEX('Detalle Costos'!$L$5:$L$158,MATCH(Resumen!AB5,'Detalle Costos'!$C$5:$C$158,0))*1000+4623.769999996/248</f>
        <v>1948.6442338709517</v>
      </c>
      <c r="AD5" s="42">
        <f>IFERROR(INDEX('Detalle Costos'!$X$5:$X$158,MATCH(Resumen!AB5,'Detalle Costos'!$C$5:$C$158,0))*AH5,0)</f>
        <v>20410.224266722013</v>
      </c>
      <c r="AE5" s="42">
        <f>IFERROR(INDEX('Detalle Costos'!$Z$5:$Z$158,MATCH(Resumen!AB5,'Detalle Costos'!$C$5:$C$158,0))*AH5,0)</f>
        <v>6891.7519435578752</v>
      </c>
      <c r="AF5" s="42">
        <f>IFERROR(INDEX('Detalle Costos'!$Y$5:$Y$158,MATCH(Resumen!AB5,'Detalle Costos'!$C$5:$C$158,0))*AH5,0)</f>
        <v>247.66591579686943</v>
      </c>
      <c r="AG5" s="42">
        <f>IFERROR(INDEX('Detalle Costos'!$AA$5:$AA$158,MATCH(Resumen!AB5,'Detalle Costos'!$C$5:$C$158,0))*AH5,0)</f>
        <v>4881.1166620952627</v>
      </c>
      <c r="AH5" s="42">
        <f t="shared" si="3"/>
        <v>32430.758788172021</v>
      </c>
      <c r="AI5" s="42">
        <v>17.04</v>
      </c>
      <c r="AJ5" s="26">
        <v>1876.9277777777766</v>
      </c>
      <c r="AK5" s="42">
        <v>33696.516935933098</v>
      </c>
      <c r="AL5" s="88">
        <f t="shared" si="4"/>
        <v>-906.75878817202101</v>
      </c>
      <c r="AM5" s="90">
        <f t="shared" si="5"/>
        <v>-2.8764077787464187E-2</v>
      </c>
      <c r="AN5" s="10">
        <f t="shared" si="6"/>
        <v>2343</v>
      </c>
      <c r="AO5" s="10">
        <f t="shared" si="7"/>
        <v>439.33201357590588</v>
      </c>
      <c r="AP5" s="10">
        <v>0</v>
      </c>
      <c r="AQ5" s="10">
        <f t="shared" si="8"/>
        <v>2782.3320135759059</v>
      </c>
      <c r="AR5" s="10">
        <f t="shared" si="9"/>
        <v>3480.7635483870968</v>
      </c>
      <c r="AS5" s="10">
        <f t="shared" si="10"/>
        <v>875.43</v>
      </c>
      <c r="AT5" s="88">
        <f t="shared" si="11"/>
        <v>-6294.4243501350229</v>
      </c>
      <c r="AU5" s="90">
        <f t="shared" si="12"/>
        <v>-0.19967086505947923</v>
      </c>
      <c r="AV5" s="10">
        <f t="shared" si="13"/>
        <v>9018.213870967742</v>
      </c>
      <c r="AW5" s="88">
        <f t="shared" si="14"/>
        <v>-15312.638221102765</v>
      </c>
      <c r="AX5" s="90">
        <f t="shared" si="15"/>
        <v>-0.48574540734369892</v>
      </c>
      <c r="AY5" s="10">
        <f t="shared" si="16"/>
        <v>8509.3007580644935</v>
      </c>
      <c r="AZ5" s="88">
        <f t="shared" si="17"/>
        <v>2214.8764079294706</v>
      </c>
      <c r="BA5" s="90">
        <f t="shared" si="18"/>
        <v>7.0260005327035607E-2</v>
      </c>
      <c r="BC5" s="10">
        <f t="shared" ref="BC5:BC68" si="36">P5/$G5</f>
        <v>1850</v>
      </c>
      <c r="BD5" s="10">
        <f t="shared" ref="BD5:BD68" si="37">-AD5/$G5</f>
        <v>-1197.7831142442496</v>
      </c>
      <c r="BE5" s="10">
        <f t="shared" ref="BE5:BE68" si="38">-AE5/$G5</f>
        <v>-404.44553659377203</v>
      </c>
      <c r="BF5" s="10">
        <f t="shared" ref="BF5:BF68" si="39">-AF5/$G5</f>
        <v>-14.53438472986323</v>
      </c>
      <c r="BG5" s="10">
        <f t="shared" ref="BG5:BG68" si="40">-AG5/$G5</f>
        <v>-286.4505083389239</v>
      </c>
      <c r="BH5" s="10">
        <f t="shared" ref="BH5:BH68" si="41">-AH5/$G5</f>
        <v>-1903.2135439068088</v>
      </c>
      <c r="BI5" s="10">
        <f t="shared" ref="BI5:BI68" si="42">AL5/$G5</f>
        <v>-53.213543906808745</v>
      </c>
      <c r="BJ5" s="10">
        <f t="shared" ref="BJ5:BJ68" si="43">-AN5/$G5</f>
        <v>-137.5</v>
      </c>
      <c r="BK5" s="10">
        <f t="shared" ref="BK5:BK68" si="44">-AP5/$G5</f>
        <v>0</v>
      </c>
      <c r="BL5" s="10">
        <f t="shared" ref="BL5:BL68" si="45">-AQ5/$G5</f>
        <v>-163.28239516290529</v>
      </c>
      <c r="BM5" s="10">
        <f t="shared" ref="BM5:BM68" si="46">-AR5/$G5</f>
        <v>-204.27016129032259</v>
      </c>
      <c r="BN5" s="10">
        <f t="shared" ref="BN5:BN68" si="47">AS5/$G5</f>
        <v>51.375</v>
      </c>
      <c r="BO5" s="10">
        <f t="shared" ref="BO5:BO68" si="48">AT5/$G5</f>
        <v>-369.39110036003655</v>
      </c>
      <c r="BP5" s="10">
        <f t="shared" ref="BP5:BP68" si="49">-AV5/$G5</f>
        <v>-529.23790322580646</v>
      </c>
      <c r="BQ5" s="10">
        <f t="shared" ref="BQ5:BQ68" si="50">AW5/$G5</f>
        <v>-898.62900358584307</v>
      </c>
      <c r="BR5" s="10">
        <f t="shared" ref="BR5:BR68" si="51">AY5/$G5</f>
        <v>499.37211021505249</v>
      </c>
      <c r="BS5" s="10">
        <f t="shared" ref="BS5:BS68" si="52">AZ5/$G5</f>
        <v>129.98100985501588</v>
      </c>
    </row>
    <row r="6" spans="2:71" hidden="1">
      <c r="B6" s="4" t="s">
        <v>6</v>
      </c>
      <c r="C6" s="27" t="str">
        <f t="shared" si="0"/>
        <v>ENERO</v>
      </c>
      <c r="D6" s="25" t="s">
        <v>115</v>
      </c>
      <c r="E6" s="98">
        <v>325</v>
      </c>
      <c r="F6" s="98">
        <v>46053</v>
      </c>
      <c r="G6" s="99">
        <v>3</v>
      </c>
      <c r="H6" s="100" t="s">
        <v>34</v>
      </c>
      <c r="I6" s="27" t="s">
        <v>116</v>
      </c>
      <c r="J6" s="7" t="s">
        <v>123</v>
      </c>
      <c r="K6" s="7" t="s">
        <v>118</v>
      </c>
      <c r="L6" s="7" t="s">
        <v>119</v>
      </c>
      <c r="M6" s="21" t="s">
        <v>50</v>
      </c>
      <c r="N6" s="7" t="s">
        <v>120</v>
      </c>
      <c r="O6" s="44">
        <v>1450</v>
      </c>
      <c r="P6" s="50">
        <v>4350</v>
      </c>
      <c r="Q6" s="44">
        <v>1450</v>
      </c>
      <c r="R6" s="44">
        <f>3300/24*G6</f>
        <v>412.5</v>
      </c>
      <c r="S6" s="43">
        <f t="shared" si="1"/>
        <v>3937.5</v>
      </c>
      <c r="T6" s="22">
        <v>0</v>
      </c>
      <c r="U6" s="27"/>
      <c r="V6" s="24">
        <v>6443191850</v>
      </c>
      <c r="W6" s="25" t="s">
        <v>122</v>
      </c>
      <c r="X6" s="4" t="s">
        <v>113</v>
      </c>
      <c r="Y6" s="4" t="s">
        <v>867</v>
      </c>
      <c r="Z6" s="7">
        <v>10005781</v>
      </c>
      <c r="AA6" s="28" t="s">
        <v>114</v>
      </c>
      <c r="AB6" s="7" t="str">
        <f t="shared" si="2"/>
        <v>ENERO10005781Compensación</v>
      </c>
      <c r="AC6" s="26">
        <f>INDEX('Detalle Costos'!$L$5:$L$158,MATCH(Resumen!AB6,'Detalle Costos'!$C$5:$C$158,0))*1000+4623.769999996/248</f>
        <v>1998.6442338709517</v>
      </c>
      <c r="AD6" s="42">
        <f>IFERROR(INDEX('Detalle Costos'!$X$5:$X$158,MATCH(Resumen!AB6,'Detalle Costos'!$C$5:$C$158,0))*AH6,0)</f>
        <v>3611.312302913072</v>
      </c>
      <c r="AE6" s="42">
        <f>IFERROR(INDEX('Detalle Costos'!$Z$5:$Z$158,MATCH(Resumen!AB6,'Detalle Costos'!$C$5:$C$158,0))*AH6,0)</f>
        <v>1180.1893803989926</v>
      </c>
      <c r="AF6" s="42">
        <f>IFERROR(INDEX('Detalle Costos'!$Y$5:$Y$158,MATCH(Resumen!AB6,'Detalle Costos'!$C$5:$C$158,0))*AH6,0)</f>
        <v>48.013378515179028</v>
      </c>
      <c r="AG6" s="42">
        <f>IFERROR(INDEX('Detalle Costos'!$AA$5:$AA$158,MATCH(Resumen!AB6,'Detalle Costos'!$C$5:$C$158,0))*AH6,0)</f>
        <v>870.1255698931825</v>
      </c>
      <c r="AH6" s="42">
        <f t="shared" si="3"/>
        <v>5709.6406317204264</v>
      </c>
      <c r="AI6" s="187">
        <v>3</v>
      </c>
      <c r="AJ6" s="26">
        <v>1876.9277777777766</v>
      </c>
      <c r="AK6" s="42">
        <v>5803.9692134831503</v>
      </c>
      <c r="AL6" s="88">
        <f t="shared" si="4"/>
        <v>-1359.6406317204264</v>
      </c>
      <c r="AM6" s="90">
        <f t="shared" si="5"/>
        <v>-0.31256106476331641</v>
      </c>
      <c r="AN6" s="10">
        <f t="shared" si="6"/>
        <v>412.5</v>
      </c>
      <c r="AO6" s="10">
        <f t="shared" si="7"/>
        <v>77.347185488715823</v>
      </c>
      <c r="AP6" s="10">
        <v>0</v>
      </c>
      <c r="AQ6" s="10">
        <f t="shared" si="8"/>
        <v>489.84718548871581</v>
      </c>
      <c r="AR6" s="10">
        <f t="shared" si="9"/>
        <v>612.8104838709678</v>
      </c>
      <c r="AS6" s="10">
        <f t="shared" si="10"/>
        <v>118.125</v>
      </c>
      <c r="AT6" s="88">
        <f t="shared" si="11"/>
        <v>-2344.1733010801099</v>
      </c>
      <c r="AU6" s="90">
        <f t="shared" si="12"/>
        <v>-0.53889041404140459</v>
      </c>
      <c r="AV6" s="10">
        <f t="shared" si="13"/>
        <v>1587.7137096774195</v>
      </c>
      <c r="AW6" s="88">
        <f t="shared" si="14"/>
        <v>-3931.8870107575294</v>
      </c>
      <c r="AX6" s="90">
        <f t="shared" si="15"/>
        <v>-0.90388207143851251</v>
      </c>
      <c r="AY6" s="10">
        <f t="shared" si="16"/>
        <v>1498.1163306451572</v>
      </c>
      <c r="AZ6" s="88">
        <f t="shared" si="17"/>
        <v>-846.05697043495275</v>
      </c>
      <c r="BA6" s="90">
        <f t="shared" si="18"/>
        <v>-0.19449585527240293</v>
      </c>
      <c r="BC6" s="10">
        <f t="shared" si="36"/>
        <v>1450</v>
      </c>
      <c r="BD6" s="10">
        <f t="shared" si="37"/>
        <v>-1203.7707676376906</v>
      </c>
      <c r="BE6" s="10">
        <f t="shared" si="38"/>
        <v>-393.39646013299756</v>
      </c>
      <c r="BF6" s="10">
        <f t="shared" si="39"/>
        <v>-16.004459505059675</v>
      </c>
      <c r="BG6" s="10">
        <f t="shared" si="40"/>
        <v>-290.04185663106085</v>
      </c>
      <c r="BH6" s="10">
        <f t="shared" si="41"/>
        <v>-1903.2135439068088</v>
      </c>
      <c r="BI6" s="10">
        <f t="shared" si="42"/>
        <v>-453.21354390680881</v>
      </c>
      <c r="BJ6" s="10">
        <f t="shared" si="43"/>
        <v>-137.5</v>
      </c>
      <c r="BK6" s="10">
        <f t="shared" si="44"/>
        <v>0</v>
      </c>
      <c r="BL6" s="10">
        <f t="shared" si="45"/>
        <v>-163.28239516290526</v>
      </c>
      <c r="BM6" s="10">
        <f t="shared" si="46"/>
        <v>-204.27016129032259</v>
      </c>
      <c r="BN6" s="10">
        <f t="shared" si="47"/>
        <v>39.375</v>
      </c>
      <c r="BO6" s="10">
        <f t="shared" si="48"/>
        <v>-781.3911003600366</v>
      </c>
      <c r="BP6" s="10">
        <f t="shared" si="49"/>
        <v>-529.23790322580646</v>
      </c>
      <c r="BQ6" s="10">
        <f t="shared" si="50"/>
        <v>-1310.6290035858431</v>
      </c>
      <c r="BR6" s="10">
        <f t="shared" si="51"/>
        <v>499.37211021505237</v>
      </c>
      <c r="BS6" s="10">
        <f t="shared" si="52"/>
        <v>-282.01899014498423</v>
      </c>
    </row>
    <row r="7" spans="2:71" hidden="1">
      <c r="B7" s="4" t="s">
        <v>6</v>
      </c>
      <c r="C7" s="27" t="str">
        <f t="shared" si="0"/>
        <v>ENERO</v>
      </c>
      <c r="D7" s="25" t="s">
        <v>115</v>
      </c>
      <c r="E7" s="98">
        <v>325</v>
      </c>
      <c r="F7" s="98">
        <v>46053</v>
      </c>
      <c r="G7" s="99">
        <v>3.96</v>
      </c>
      <c r="H7" s="100" t="s">
        <v>31</v>
      </c>
      <c r="I7" s="27" t="s">
        <v>107</v>
      </c>
      <c r="J7" s="7" t="s">
        <v>124</v>
      </c>
      <c r="K7" s="7" t="s">
        <v>118</v>
      </c>
      <c r="L7" s="7" t="s">
        <v>119</v>
      </c>
      <c r="M7" s="21" t="s">
        <v>50</v>
      </c>
      <c r="N7" s="7" t="s">
        <v>120</v>
      </c>
      <c r="O7" s="44">
        <f>P7/G7</f>
        <v>2234.3434343434342</v>
      </c>
      <c r="P7" s="50">
        <v>8848</v>
      </c>
      <c r="Q7" s="44">
        <v>2800</v>
      </c>
      <c r="R7" s="44">
        <f>3300/24*G7</f>
        <v>544.5</v>
      </c>
      <c r="S7" s="43">
        <f t="shared" si="1"/>
        <v>8303.5</v>
      </c>
      <c r="T7" s="22">
        <v>0</v>
      </c>
      <c r="U7" s="27"/>
      <c r="V7" s="24">
        <v>6443191850</v>
      </c>
      <c r="W7" s="25" t="s">
        <v>122</v>
      </c>
      <c r="X7" s="4" t="s">
        <v>113</v>
      </c>
      <c r="Y7" s="4" t="s">
        <v>867</v>
      </c>
      <c r="Z7" s="7">
        <v>10007162</v>
      </c>
      <c r="AA7" s="28" t="s">
        <v>114</v>
      </c>
      <c r="AB7" s="7" t="str">
        <f t="shared" si="2"/>
        <v>ENERO10007162Compensación</v>
      </c>
      <c r="AC7" s="26">
        <f>INDEX('Detalle Costos'!$L$5:$L$158,MATCH(Resumen!AB7,'Detalle Costos'!$C$5:$C$158,0))*1000+4623.769999996/248</f>
        <v>1808.6442338709517</v>
      </c>
      <c r="AD7" s="42">
        <f>IFERROR(INDEX('Detalle Costos'!$X$5:$X$158,MATCH(Resumen!AB7,'Detalle Costos'!$C$5:$C$158,0))*AH7,0)</f>
        <v>4667.6909604667717</v>
      </c>
      <c r="AE7" s="42">
        <f>IFERROR(INDEX('Detalle Costos'!$Z$5:$Z$158,MATCH(Resumen!AB7,'Detalle Costos'!$C$5:$C$158,0))*AH7,0)</f>
        <v>1231.524851830603</v>
      </c>
      <c r="AF7" s="42">
        <f>IFERROR(INDEX('Detalle Costos'!$Y$5:$Y$158,MATCH(Resumen!AB7,'Detalle Costos'!$C$5:$C$158,0))*AH7,0)</f>
        <v>62.750792839333485</v>
      </c>
      <c r="AG7" s="42">
        <f>IFERROR(INDEX('Detalle Costos'!$AA$5:$AA$158,MATCH(Resumen!AB7,'Detalle Costos'!$C$5:$C$158,0))*AH7,0)</f>
        <v>1223.9162870124035</v>
      </c>
      <c r="AH7" s="42">
        <f t="shared" si="3"/>
        <v>7185.8828921491122</v>
      </c>
      <c r="AI7" s="42">
        <v>3.16</v>
      </c>
      <c r="AJ7" s="26">
        <v>1788.3311258278143</v>
      </c>
      <c r="AK7" s="42">
        <v>5822.9226614836498</v>
      </c>
      <c r="AL7" s="88">
        <f t="shared" si="4"/>
        <v>1662.1171078508878</v>
      </c>
      <c r="AM7" s="90">
        <f t="shared" si="5"/>
        <v>0.18785229519110397</v>
      </c>
      <c r="AN7" s="10">
        <f t="shared" si="6"/>
        <v>544.5</v>
      </c>
      <c r="AO7" s="10">
        <f t="shared" si="7"/>
        <v>102.09828484510487</v>
      </c>
      <c r="AP7" s="10">
        <v>0</v>
      </c>
      <c r="AQ7" s="10">
        <f t="shared" si="8"/>
        <v>646.5982848451049</v>
      </c>
      <c r="AR7" s="10">
        <f t="shared" si="9"/>
        <v>808.9098387096775</v>
      </c>
      <c r="AS7" s="10">
        <f t="shared" si="10"/>
        <v>249.10499999999999</v>
      </c>
      <c r="AT7" s="88">
        <f t="shared" si="11"/>
        <v>455.71398429610542</v>
      </c>
      <c r="AU7" s="90">
        <f t="shared" si="12"/>
        <v>5.1504745060590579E-2</v>
      </c>
      <c r="AV7" s="10">
        <f t="shared" si="13"/>
        <v>2095.7820967741936</v>
      </c>
      <c r="AW7" s="88">
        <f t="shared" si="14"/>
        <v>-1640.0681124780881</v>
      </c>
      <c r="AX7" s="90">
        <f t="shared" si="15"/>
        <v>-0.18536032012636619</v>
      </c>
      <c r="AY7" s="10">
        <f t="shared" si="16"/>
        <v>1977.5135564516077</v>
      </c>
      <c r="AZ7" s="88">
        <f t="shared" si="17"/>
        <v>2433.2275407477132</v>
      </c>
      <c r="BA7" s="90">
        <f t="shared" si="18"/>
        <v>0.27500311265231842</v>
      </c>
      <c r="BC7" s="10">
        <f t="shared" si="36"/>
        <v>2234.3434343434342</v>
      </c>
      <c r="BD7" s="10">
        <f t="shared" si="37"/>
        <v>-1178.70983850171</v>
      </c>
      <c r="BE7" s="10">
        <f t="shared" si="38"/>
        <v>-310.99112419964723</v>
      </c>
      <c r="BF7" s="10">
        <f t="shared" si="39"/>
        <v>-15.846159807912496</v>
      </c>
      <c r="BG7" s="10">
        <f t="shared" si="40"/>
        <v>-309.06976944757662</v>
      </c>
      <c r="BH7" s="10">
        <f t="shared" si="41"/>
        <v>-1814.6168919568465</v>
      </c>
      <c r="BI7" s="10">
        <f t="shared" si="42"/>
        <v>419.72654238658782</v>
      </c>
      <c r="BJ7" s="10">
        <f t="shared" si="43"/>
        <v>-137.5</v>
      </c>
      <c r="BK7" s="10">
        <f t="shared" si="44"/>
        <v>0</v>
      </c>
      <c r="BL7" s="10">
        <f t="shared" si="45"/>
        <v>-163.28239516290529</v>
      </c>
      <c r="BM7" s="10">
        <f t="shared" si="46"/>
        <v>-204.27016129032259</v>
      </c>
      <c r="BN7" s="10">
        <f t="shared" si="47"/>
        <v>62.905303030303031</v>
      </c>
      <c r="BO7" s="10">
        <f t="shared" si="48"/>
        <v>115.07928896366299</v>
      </c>
      <c r="BP7" s="10">
        <f t="shared" si="49"/>
        <v>-529.23790322580646</v>
      </c>
      <c r="BQ7" s="10">
        <f t="shared" si="50"/>
        <v>-414.15861426214349</v>
      </c>
      <c r="BR7" s="10">
        <f t="shared" si="51"/>
        <v>499.37211021505243</v>
      </c>
      <c r="BS7" s="10">
        <f t="shared" si="52"/>
        <v>614.45139917871541</v>
      </c>
    </row>
    <row r="8" spans="2:71" hidden="1">
      <c r="B8" s="4" t="s">
        <v>6</v>
      </c>
      <c r="C8" s="27" t="str">
        <f t="shared" si="0"/>
        <v>ENERO</v>
      </c>
      <c r="D8" s="25" t="s">
        <v>125</v>
      </c>
      <c r="E8" s="98">
        <v>45982</v>
      </c>
      <c r="F8" s="98">
        <v>46031</v>
      </c>
      <c r="G8" s="99">
        <v>24</v>
      </c>
      <c r="H8" s="100" t="s">
        <v>37</v>
      </c>
      <c r="I8" s="27" t="s">
        <v>126</v>
      </c>
      <c r="J8" s="19"/>
      <c r="K8" s="7" t="s">
        <v>127</v>
      </c>
      <c r="L8" s="7" t="s">
        <v>128</v>
      </c>
      <c r="M8" s="21" t="s">
        <v>43</v>
      </c>
      <c r="N8" s="7" t="s">
        <v>129</v>
      </c>
      <c r="O8" s="44">
        <v>2100</v>
      </c>
      <c r="P8" s="50">
        <v>50400</v>
      </c>
      <c r="Q8" s="44">
        <v>1962.5</v>
      </c>
      <c r="R8" s="44">
        <v>3300</v>
      </c>
      <c r="S8" s="43">
        <f t="shared" si="1"/>
        <v>47100</v>
      </c>
      <c r="T8" s="22">
        <v>1</v>
      </c>
      <c r="U8" s="27" t="s">
        <v>130</v>
      </c>
      <c r="V8" s="24">
        <v>6440924270</v>
      </c>
      <c r="W8" s="25" t="s">
        <v>122</v>
      </c>
      <c r="X8" s="4" t="s">
        <v>113</v>
      </c>
      <c r="Y8" s="4" t="s">
        <v>866</v>
      </c>
      <c r="Z8" s="7">
        <v>10007969</v>
      </c>
      <c r="AA8" s="28" t="s">
        <v>114</v>
      </c>
      <c r="AB8" s="7" t="str">
        <f t="shared" si="2"/>
        <v>ENERO10007969Compensación</v>
      </c>
      <c r="AC8" s="26">
        <f>INDEX('Detalle Costos'!$L$5:$L$158,MATCH(Resumen!AB8,'Detalle Costos'!$C$5:$C$158,0))*1000+4623.769999996/248</f>
        <v>1658.6442338709517</v>
      </c>
      <c r="AD8" s="42">
        <f>IFERROR(INDEX('Detalle Costos'!$X$5:$X$158,MATCH(Resumen!AB8,'Detalle Costos'!$C$5:$C$158,0))*AH8,0)</f>
        <v>30999.473296414719</v>
      </c>
      <c r="AE8" s="42">
        <f>IFERROR(INDEX('Detalle Costos'!$Z$5:$Z$158,MATCH(Resumen!AB8,'Detalle Costos'!$C$5:$C$158,0))*AH8,0)</f>
        <v>5431.3037166482409</v>
      </c>
      <c r="AF8" s="42">
        <f>IFERROR(INDEX('Detalle Costos'!$Y$5:$Y$158,MATCH(Resumen!AB8,'Detalle Costos'!$C$5:$C$158,0))*AH8,0)</f>
        <v>411.06065341800883</v>
      </c>
      <c r="AG8" s="42">
        <f>IFERROR(INDEX('Detalle Costos'!$AA$5:$AA$158,MATCH(Resumen!AB8,'Detalle Costos'!$C$5:$C$158,0))*AH8,0)</f>
        <v>3252.6203299908061</v>
      </c>
      <c r="AH8" s="42">
        <f t="shared" si="3"/>
        <v>40094.457996471778</v>
      </c>
      <c r="AI8" s="188">
        <v>24</v>
      </c>
      <c r="AJ8" s="26">
        <f t="shared" ref="AJ8" si="53">+AK8/AI8</f>
        <v>1644.316650390625</v>
      </c>
      <c r="AK8" s="42">
        <v>39463.599609375</v>
      </c>
      <c r="AL8" s="88">
        <f t="shared" si="4"/>
        <v>10305.542003528222</v>
      </c>
      <c r="AM8" s="90">
        <f t="shared" si="5"/>
        <v>0.20447503975254408</v>
      </c>
      <c r="AN8" s="10">
        <f t="shared" si="6"/>
        <v>3300</v>
      </c>
      <c r="AO8" s="10">
        <f t="shared" si="7"/>
        <v>618.77748390972658</v>
      </c>
      <c r="AP8" s="10">
        <v>0</v>
      </c>
      <c r="AQ8" s="10">
        <f t="shared" si="8"/>
        <v>3918.7774839097265</v>
      </c>
      <c r="AR8" s="10">
        <f t="shared" si="9"/>
        <v>4902.4838709677424</v>
      </c>
      <c r="AS8" s="10">
        <f t="shared" si="10"/>
        <v>1413</v>
      </c>
      <c r="AT8" s="88">
        <f t="shared" si="11"/>
        <v>2897.2806486507534</v>
      </c>
      <c r="AU8" s="90">
        <f t="shared" si="12"/>
        <v>5.7485727155768919E-2</v>
      </c>
      <c r="AV8" s="10">
        <f t="shared" si="13"/>
        <v>12701.709677419356</v>
      </c>
      <c r="AW8" s="88">
        <f t="shared" si="14"/>
        <v>-9804.4290287686017</v>
      </c>
      <c r="AX8" s="90">
        <f t="shared" si="15"/>
        <v>-0.19453232199937701</v>
      </c>
      <c r="AY8" s="10">
        <f t="shared" si="16"/>
        <v>11984.930645161257</v>
      </c>
      <c r="AZ8" s="88">
        <f t="shared" si="17"/>
        <v>14882.211293812012</v>
      </c>
      <c r="BA8" s="90">
        <f t="shared" si="18"/>
        <v>0.2952819701153177</v>
      </c>
      <c r="BC8" s="10">
        <f t="shared" si="36"/>
        <v>2100</v>
      </c>
      <c r="BD8" s="10">
        <f t="shared" si="37"/>
        <v>-1291.6447206839466</v>
      </c>
      <c r="BE8" s="10">
        <f t="shared" si="38"/>
        <v>-226.30432152701005</v>
      </c>
      <c r="BF8" s="10">
        <f t="shared" si="39"/>
        <v>-17.127527225750367</v>
      </c>
      <c r="BG8" s="10">
        <f t="shared" si="40"/>
        <v>-135.52584708295026</v>
      </c>
      <c r="BH8" s="10">
        <f t="shared" si="41"/>
        <v>-1670.6024165196575</v>
      </c>
      <c r="BI8" s="10">
        <f t="shared" si="42"/>
        <v>429.39758348034258</v>
      </c>
      <c r="BJ8" s="10">
        <f t="shared" si="43"/>
        <v>-137.5</v>
      </c>
      <c r="BK8" s="10">
        <f t="shared" si="44"/>
        <v>0</v>
      </c>
      <c r="BL8" s="10">
        <f t="shared" si="45"/>
        <v>-163.28239516290526</v>
      </c>
      <c r="BM8" s="10">
        <f t="shared" si="46"/>
        <v>-204.27016129032259</v>
      </c>
      <c r="BN8" s="10">
        <f t="shared" si="47"/>
        <v>58.875</v>
      </c>
      <c r="BO8" s="10">
        <f t="shared" si="48"/>
        <v>120.72002702711472</v>
      </c>
      <c r="BP8" s="10">
        <f t="shared" si="49"/>
        <v>-529.23790322580646</v>
      </c>
      <c r="BQ8" s="10">
        <f t="shared" si="50"/>
        <v>-408.51787619869174</v>
      </c>
      <c r="BR8" s="10">
        <f t="shared" si="51"/>
        <v>499.37211021505237</v>
      </c>
      <c r="BS8" s="10">
        <f t="shared" si="52"/>
        <v>620.09213724216715</v>
      </c>
    </row>
    <row r="9" spans="2:71" hidden="1">
      <c r="B9" s="4" t="s">
        <v>6</v>
      </c>
      <c r="C9" s="27" t="str">
        <f t="shared" si="0"/>
        <v>ENERO</v>
      </c>
      <c r="D9" s="25" t="s">
        <v>131</v>
      </c>
      <c r="E9" s="98">
        <v>46000</v>
      </c>
      <c r="F9" s="98">
        <v>46043</v>
      </c>
      <c r="G9" s="99">
        <v>24</v>
      </c>
      <c r="H9" s="100" t="s">
        <v>33</v>
      </c>
      <c r="I9" s="27" t="s">
        <v>132</v>
      </c>
      <c r="J9" s="7" t="s">
        <v>133</v>
      </c>
      <c r="K9" s="7" t="s">
        <v>134</v>
      </c>
      <c r="L9" s="7" t="s">
        <v>135</v>
      </c>
      <c r="M9" s="21" t="s">
        <v>43</v>
      </c>
      <c r="N9" s="7" t="s">
        <v>129</v>
      </c>
      <c r="O9" s="44">
        <f>P9/G9</f>
        <v>1966.6666666666667</v>
      </c>
      <c r="P9" s="50">
        <f>48000*0+47200</f>
        <v>47200</v>
      </c>
      <c r="Q9" s="44">
        <f>S9/G9</f>
        <v>1841.5416666666667</v>
      </c>
      <c r="R9" s="44">
        <v>3003</v>
      </c>
      <c r="S9" s="43">
        <f t="shared" si="1"/>
        <v>44197</v>
      </c>
      <c r="T9" s="22">
        <v>1</v>
      </c>
      <c r="U9" s="27" t="s">
        <v>136</v>
      </c>
      <c r="V9" s="24" t="s">
        <v>137</v>
      </c>
      <c r="W9" s="25" t="s">
        <v>138</v>
      </c>
      <c r="X9" s="4" t="s">
        <v>113</v>
      </c>
      <c r="Y9" s="4" t="s">
        <v>867</v>
      </c>
      <c r="Z9" s="7">
        <v>10005721</v>
      </c>
      <c r="AA9" s="28" t="s">
        <v>114</v>
      </c>
      <c r="AB9" s="7" t="str">
        <f t="shared" si="2"/>
        <v>ENERO10005721Compensación</v>
      </c>
      <c r="AC9" s="26">
        <f>INDEX('Detalle Costos'!$L$5:$L$158,MATCH(Resumen!AB9,'Detalle Costos'!$C$5:$C$158,0))*1000+4623.769999996/248</f>
        <v>1878.6442338709517</v>
      </c>
      <c r="AD9" s="42">
        <f>IFERROR(INDEX('Detalle Costos'!$X$5:$X$158,MATCH(Resumen!AB9,'Detalle Costos'!$C$5:$C$158,0))*AH9,0)</f>
        <v>27693.143425091585</v>
      </c>
      <c r="AE9" s="42">
        <f>IFERROR(INDEX('Detalle Costos'!$Z$5:$Z$158,MATCH(Resumen!AB9,'Detalle Costos'!$C$5:$C$158,0))*AH9,0)</f>
        <v>10045.917326361083</v>
      </c>
      <c r="AF9" s="42">
        <f>IFERROR(INDEX('Detalle Costos'!$Y$5:$Y$158,MATCH(Resumen!AB9,'Detalle Costos'!$C$5:$C$158,0))*AH9,0)</f>
        <v>437.14793766910833</v>
      </c>
      <c r="AG9" s="42">
        <f>IFERROR(INDEX('Detalle Costos'!$AA$5:$AA$158,MATCH(Resumen!AB9,'Detalle Costos'!$C$5:$C$158,0))*AH9,0)</f>
        <v>7483.3566681030115</v>
      </c>
      <c r="AH9" s="42">
        <f t="shared" si="3"/>
        <v>45659.56535722479</v>
      </c>
      <c r="AI9" s="42">
        <v>23.7</v>
      </c>
      <c r="AJ9" s="26">
        <v>1876.1961237553337</v>
      </c>
      <c r="AK9" s="42">
        <v>44778.444670991703</v>
      </c>
      <c r="AL9" s="88">
        <f t="shared" si="4"/>
        <v>1540.4346427752098</v>
      </c>
      <c r="AM9" s="90">
        <f t="shared" si="5"/>
        <v>3.2636327177440888E-2</v>
      </c>
      <c r="AN9" s="10">
        <f t="shared" si="6"/>
        <v>3003</v>
      </c>
      <c r="AO9" s="10">
        <f t="shared" si="7"/>
        <v>618.77748390972658</v>
      </c>
      <c r="AP9" s="10">
        <v>0</v>
      </c>
      <c r="AQ9" s="10">
        <f t="shared" si="8"/>
        <v>3621.7774839097265</v>
      </c>
      <c r="AR9" s="10">
        <f t="shared" si="9"/>
        <v>4902.4838709677424</v>
      </c>
      <c r="AS9" s="10">
        <f t="shared" si="10"/>
        <v>1325.9099999999999</v>
      </c>
      <c r="AT9" s="88">
        <f t="shared" si="11"/>
        <v>-5657.9167121022592</v>
      </c>
      <c r="AU9" s="90">
        <f t="shared" si="12"/>
        <v>-0.11987111678182752</v>
      </c>
      <c r="AV9" s="10">
        <f t="shared" si="13"/>
        <v>12701.709677419356</v>
      </c>
      <c r="AW9" s="88">
        <f t="shared" si="14"/>
        <v>-18359.626389521614</v>
      </c>
      <c r="AX9" s="90">
        <f t="shared" si="15"/>
        <v>-0.38897513537122064</v>
      </c>
      <c r="AY9" s="10">
        <f t="shared" si="16"/>
        <v>11984.930645161257</v>
      </c>
      <c r="AZ9" s="88">
        <f t="shared" si="17"/>
        <v>6327.0139330589982</v>
      </c>
      <c r="BA9" s="90">
        <f t="shared" si="18"/>
        <v>0.13404690536141944</v>
      </c>
      <c r="BC9" s="10">
        <f t="shared" si="36"/>
        <v>1966.6666666666667</v>
      </c>
      <c r="BD9" s="10">
        <f t="shared" si="37"/>
        <v>-1153.8809760454826</v>
      </c>
      <c r="BE9" s="10">
        <f t="shared" si="38"/>
        <v>-418.57988859837843</v>
      </c>
      <c r="BF9" s="10">
        <f t="shared" si="39"/>
        <v>-18.214497402879513</v>
      </c>
      <c r="BG9" s="10">
        <f t="shared" si="40"/>
        <v>-311.80652783762548</v>
      </c>
      <c r="BH9" s="10">
        <f t="shared" si="41"/>
        <v>-1902.4818898843662</v>
      </c>
      <c r="BI9" s="10">
        <f t="shared" si="42"/>
        <v>64.184776782300403</v>
      </c>
      <c r="BJ9" s="10">
        <f t="shared" si="43"/>
        <v>-125.125</v>
      </c>
      <c r="BK9" s="10">
        <f t="shared" si="44"/>
        <v>0</v>
      </c>
      <c r="BL9" s="10">
        <f t="shared" si="45"/>
        <v>-150.90739516290526</v>
      </c>
      <c r="BM9" s="10">
        <f t="shared" si="46"/>
        <v>-204.27016129032259</v>
      </c>
      <c r="BN9" s="10">
        <f t="shared" si="47"/>
        <v>55.246249999999996</v>
      </c>
      <c r="BO9" s="10">
        <f t="shared" si="48"/>
        <v>-235.74652967092746</v>
      </c>
      <c r="BP9" s="10">
        <f t="shared" si="49"/>
        <v>-529.23790322580646</v>
      </c>
      <c r="BQ9" s="10">
        <f t="shared" si="50"/>
        <v>-764.98443289673389</v>
      </c>
      <c r="BR9" s="10">
        <f t="shared" si="51"/>
        <v>499.37211021505237</v>
      </c>
      <c r="BS9" s="10">
        <f t="shared" si="52"/>
        <v>263.62558054412494</v>
      </c>
    </row>
    <row r="10" spans="2:71" hidden="1">
      <c r="B10" s="4" t="s">
        <v>6</v>
      </c>
      <c r="C10" s="27" t="str">
        <f t="shared" si="0"/>
        <v>ENERO</v>
      </c>
      <c r="D10" s="25" t="s">
        <v>139</v>
      </c>
      <c r="E10" s="98">
        <v>347</v>
      </c>
      <c r="F10" s="98">
        <v>46038</v>
      </c>
      <c r="G10" s="99">
        <v>24</v>
      </c>
      <c r="H10" s="100" t="s">
        <v>33</v>
      </c>
      <c r="I10" s="27" t="s">
        <v>132</v>
      </c>
      <c r="J10" s="7" t="s">
        <v>140</v>
      </c>
      <c r="K10" s="7" t="s">
        <v>141</v>
      </c>
      <c r="L10" s="7" t="s">
        <v>142</v>
      </c>
      <c r="M10" s="21" t="s">
        <v>43</v>
      </c>
      <c r="N10" s="7" t="s">
        <v>129</v>
      </c>
      <c r="O10" s="44">
        <f>P10/G10</f>
        <v>1983.3333333333333</v>
      </c>
      <c r="P10" s="50">
        <f>48000*0+47600</f>
        <v>47600</v>
      </c>
      <c r="Q10" s="44">
        <f>S10/G10</f>
        <v>1845.7083333333333</v>
      </c>
      <c r="R10" s="44">
        <v>3303</v>
      </c>
      <c r="S10" s="43">
        <f t="shared" si="1"/>
        <v>44297</v>
      </c>
      <c r="T10" s="22">
        <v>1</v>
      </c>
      <c r="U10" s="27" t="s">
        <v>143</v>
      </c>
      <c r="V10" s="24" t="s">
        <v>144</v>
      </c>
      <c r="W10" s="25" t="s">
        <v>138</v>
      </c>
      <c r="X10" s="4" t="s">
        <v>113</v>
      </c>
      <c r="Y10" s="4" t="s">
        <v>867</v>
      </c>
      <c r="Z10" s="7">
        <v>10005721</v>
      </c>
      <c r="AA10" s="28" t="s">
        <v>114</v>
      </c>
      <c r="AB10" s="7" t="str">
        <f t="shared" si="2"/>
        <v>ENERO10005721Compensación</v>
      </c>
      <c r="AC10" s="26">
        <f>INDEX('Detalle Costos'!$L$5:$L$158,MATCH(Resumen!AB10,'Detalle Costos'!$C$5:$C$158,0))*1000+4623.769999996/248</f>
        <v>1878.6442338709517</v>
      </c>
      <c r="AD10" s="42">
        <f>IFERROR(INDEX('Detalle Costos'!$X$5:$X$158,MATCH(Resumen!AB10,'Detalle Costos'!$C$5:$C$158,0))*AH10,0)</f>
        <v>27693.143425091585</v>
      </c>
      <c r="AE10" s="42">
        <f>IFERROR(INDEX('Detalle Costos'!$Z$5:$Z$158,MATCH(Resumen!AB10,'Detalle Costos'!$C$5:$C$158,0))*AH10,0)</f>
        <v>10045.917326361083</v>
      </c>
      <c r="AF10" s="42">
        <f>IFERROR(INDEX('Detalle Costos'!$Y$5:$Y$158,MATCH(Resumen!AB10,'Detalle Costos'!$C$5:$C$158,0))*AH10,0)</f>
        <v>437.14793766910833</v>
      </c>
      <c r="AG10" s="42">
        <f>IFERROR(INDEX('Detalle Costos'!$AA$5:$AA$158,MATCH(Resumen!AB10,'Detalle Costos'!$C$5:$C$158,0))*AH10,0)</f>
        <v>7483.3566681030115</v>
      </c>
      <c r="AH10" s="42">
        <f t="shared" si="3"/>
        <v>45659.56535722479</v>
      </c>
      <c r="AI10" s="42">
        <v>23.7</v>
      </c>
      <c r="AJ10" s="26">
        <v>1876.1961237553337</v>
      </c>
      <c r="AK10" s="42">
        <v>44778.444670991703</v>
      </c>
      <c r="AL10" s="88">
        <f t="shared" si="4"/>
        <v>1940.4346427752098</v>
      </c>
      <c r="AM10" s="90">
        <f t="shared" si="5"/>
        <v>4.0765433671748105E-2</v>
      </c>
      <c r="AN10" s="10">
        <f t="shared" si="6"/>
        <v>3303</v>
      </c>
      <c r="AO10" s="10">
        <f t="shared" si="7"/>
        <v>618.77748390972658</v>
      </c>
      <c r="AP10" s="10">
        <v>0</v>
      </c>
      <c r="AQ10" s="10">
        <f t="shared" si="8"/>
        <v>3921.7774839097265</v>
      </c>
      <c r="AR10" s="10">
        <f t="shared" si="9"/>
        <v>4902.4838709677424</v>
      </c>
      <c r="AS10" s="10">
        <f t="shared" si="10"/>
        <v>1328.9099999999999</v>
      </c>
      <c r="AT10" s="88">
        <f t="shared" si="11"/>
        <v>-5554.9167121022592</v>
      </c>
      <c r="AU10" s="90">
        <f t="shared" si="12"/>
        <v>-0.11669993092651805</v>
      </c>
      <c r="AV10" s="10">
        <f t="shared" si="13"/>
        <v>12701.709677419356</v>
      </c>
      <c r="AW10" s="88">
        <f t="shared" si="14"/>
        <v>-18256.626389521614</v>
      </c>
      <c r="AX10" s="90">
        <f t="shared" si="15"/>
        <v>-0.38354257120843727</v>
      </c>
      <c r="AY10" s="10">
        <f t="shared" si="16"/>
        <v>11984.930645161257</v>
      </c>
      <c r="AZ10" s="88">
        <f t="shared" si="17"/>
        <v>6430.0139330589982</v>
      </c>
      <c r="BA10" s="90">
        <f t="shared" si="18"/>
        <v>0.13508432632476888</v>
      </c>
      <c r="BC10" s="10">
        <f t="shared" si="36"/>
        <v>1983.3333333333333</v>
      </c>
      <c r="BD10" s="10">
        <f t="shared" si="37"/>
        <v>-1153.8809760454826</v>
      </c>
      <c r="BE10" s="10">
        <f t="shared" si="38"/>
        <v>-418.57988859837843</v>
      </c>
      <c r="BF10" s="10">
        <f t="shared" si="39"/>
        <v>-18.214497402879513</v>
      </c>
      <c r="BG10" s="10">
        <f t="shared" si="40"/>
        <v>-311.80652783762548</v>
      </c>
      <c r="BH10" s="10">
        <f t="shared" si="41"/>
        <v>-1902.4818898843662</v>
      </c>
      <c r="BI10" s="10">
        <f t="shared" si="42"/>
        <v>80.851443448967075</v>
      </c>
      <c r="BJ10" s="10">
        <f t="shared" si="43"/>
        <v>-137.625</v>
      </c>
      <c r="BK10" s="10">
        <f t="shared" si="44"/>
        <v>0</v>
      </c>
      <c r="BL10" s="10">
        <f t="shared" si="45"/>
        <v>-163.40739516290526</v>
      </c>
      <c r="BM10" s="10">
        <f t="shared" si="46"/>
        <v>-204.27016129032259</v>
      </c>
      <c r="BN10" s="10">
        <f t="shared" si="47"/>
        <v>55.371249999999996</v>
      </c>
      <c r="BO10" s="10">
        <f t="shared" si="48"/>
        <v>-231.4548630042608</v>
      </c>
      <c r="BP10" s="10">
        <f t="shared" si="49"/>
        <v>-529.23790322580646</v>
      </c>
      <c r="BQ10" s="10">
        <f t="shared" si="50"/>
        <v>-760.69276623006726</v>
      </c>
      <c r="BR10" s="10">
        <f t="shared" si="51"/>
        <v>499.37211021505237</v>
      </c>
      <c r="BS10" s="10">
        <f t="shared" si="52"/>
        <v>267.91724721079157</v>
      </c>
    </row>
    <row r="11" spans="2:71" hidden="1">
      <c r="B11" s="4" t="s">
        <v>6</v>
      </c>
      <c r="C11" s="27" t="str">
        <f t="shared" si="0"/>
        <v>ENERO</v>
      </c>
      <c r="D11" s="25" t="s">
        <v>145</v>
      </c>
      <c r="E11" s="98">
        <v>46020</v>
      </c>
      <c r="F11" s="98">
        <v>46041</v>
      </c>
      <c r="G11" s="99">
        <v>54</v>
      </c>
      <c r="H11" s="100" t="s">
        <v>31</v>
      </c>
      <c r="I11" s="27" t="s">
        <v>107</v>
      </c>
      <c r="J11" s="19" t="s">
        <v>146</v>
      </c>
      <c r="K11" s="7" t="s">
        <v>108</v>
      </c>
      <c r="L11" s="4" t="s">
        <v>147</v>
      </c>
      <c r="M11" s="29" t="s">
        <v>53</v>
      </c>
      <c r="N11" s="4" t="s">
        <v>148</v>
      </c>
      <c r="O11" s="44">
        <v>2600</v>
      </c>
      <c r="P11" s="50">
        <v>140400</v>
      </c>
      <c r="Q11" s="44">
        <v>2430.962962962963</v>
      </c>
      <c r="R11" s="44">
        <v>9128</v>
      </c>
      <c r="S11" s="43">
        <f t="shared" si="1"/>
        <v>131272</v>
      </c>
      <c r="T11" s="22">
        <v>2</v>
      </c>
      <c r="U11" s="27" t="s">
        <v>149</v>
      </c>
      <c r="V11" s="24">
        <v>28952064</v>
      </c>
      <c r="W11" s="25" t="s">
        <v>112</v>
      </c>
      <c r="X11" s="4" t="s">
        <v>113</v>
      </c>
      <c r="Y11" s="4" t="s">
        <v>867</v>
      </c>
      <c r="Z11" s="7">
        <v>10007162</v>
      </c>
      <c r="AA11" s="28" t="s">
        <v>114</v>
      </c>
      <c r="AB11" s="7" t="str">
        <f t="shared" si="2"/>
        <v>ENERO10007162Compensación</v>
      </c>
      <c r="AC11" s="26">
        <f>INDEX('Detalle Costos'!$L$5:$L$158,MATCH(Resumen!AB11,'Detalle Costos'!$C$5:$C$158,0))*1000+4623.769999996/248</f>
        <v>1808.6442338709517</v>
      </c>
      <c r="AD11" s="42">
        <f>IFERROR(INDEX('Detalle Costos'!$X$5:$X$158,MATCH(Resumen!AB11,'Detalle Costos'!$C$5:$C$158,0))*AH11,0)</f>
        <v>63650.331279092345</v>
      </c>
      <c r="AE11" s="42">
        <f>IFERROR(INDEX('Detalle Costos'!$Z$5:$Z$158,MATCH(Resumen!AB11,'Detalle Costos'!$C$5:$C$158,0))*AH11,0)</f>
        <v>16793.52070678095</v>
      </c>
      <c r="AF11" s="42">
        <f>IFERROR(INDEX('Detalle Costos'!$Y$5:$Y$158,MATCH(Resumen!AB11,'Detalle Costos'!$C$5:$C$158,0))*AH11,0)</f>
        <v>855.69262962727475</v>
      </c>
      <c r="AG11" s="42">
        <f>IFERROR(INDEX('Detalle Costos'!$AA$5:$AA$158,MATCH(Resumen!AB11,'Detalle Costos'!$C$5:$C$158,0))*AH11,0)</f>
        <v>16689.767550169137</v>
      </c>
      <c r="AH11" s="42">
        <f t="shared" si="3"/>
        <v>97989.312165669704</v>
      </c>
      <c r="AI11" s="42">
        <v>54</v>
      </c>
      <c r="AJ11" s="26">
        <v>1788.3311258278143</v>
      </c>
      <c r="AK11" s="42">
        <v>99505.640417758506</v>
      </c>
      <c r="AL11" s="88">
        <f t="shared" si="4"/>
        <v>42410.687834330296</v>
      </c>
      <c r="AM11" s="91">
        <f t="shared" si="5"/>
        <v>0.30207042617044372</v>
      </c>
      <c r="AN11" s="10">
        <f t="shared" si="6"/>
        <v>9128</v>
      </c>
      <c r="AO11" s="10">
        <f t="shared" si="7"/>
        <v>1392.2493387968848</v>
      </c>
      <c r="AP11" s="10">
        <v>0</v>
      </c>
      <c r="AQ11" s="10">
        <f t="shared" si="8"/>
        <v>10520.249338796884</v>
      </c>
      <c r="AR11" s="10">
        <f t="shared" si="9"/>
        <v>11030.58870967742</v>
      </c>
      <c r="AS11" s="10">
        <f t="shared" si="10"/>
        <v>3938.16</v>
      </c>
      <c r="AT11" s="88">
        <f t="shared" si="11"/>
        <v>24798.009785855989</v>
      </c>
      <c r="AU11" s="91">
        <f t="shared" si="12"/>
        <v>0.1766240013237606</v>
      </c>
      <c r="AV11" s="10">
        <f t="shared" si="13"/>
        <v>28578.846774193549</v>
      </c>
      <c r="AW11" s="88">
        <f t="shared" si="14"/>
        <v>-3780.8369883375599</v>
      </c>
      <c r="AX11" s="91">
        <f t="shared" si="15"/>
        <v>-2.6929038378472648E-2</v>
      </c>
      <c r="AY11" s="10">
        <f t="shared" si="16"/>
        <v>26966.093951612831</v>
      </c>
      <c r="AZ11" s="88">
        <f t="shared" si="17"/>
        <v>51764.103737468817</v>
      </c>
      <c r="BA11" s="91">
        <f t="shared" si="18"/>
        <v>0.36869019756031923</v>
      </c>
      <c r="BC11" s="10">
        <f t="shared" si="36"/>
        <v>2600</v>
      </c>
      <c r="BD11" s="10">
        <f t="shared" si="37"/>
        <v>-1178.70983850171</v>
      </c>
      <c r="BE11" s="10">
        <f t="shared" si="38"/>
        <v>-310.99112419964723</v>
      </c>
      <c r="BF11" s="10">
        <f t="shared" si="39"/>
        <v>-15.846159807912496</v>
      </c>
      <c r="BG11" s="10">
        <f t="shared" si="40"/>
        <v>-309.06976944757662</v>
      </c>
      <c r="BH11" s="10">
        <f t="shared" si="41"/>
        <v>-1814.6168919568463</v>
      </c>
      <c r="BI11" s="10">
        <f t="shared" si="42"/>
        <v>785.38310804315358</v>
      </c>
      <c r="BJ11" s="10">
        <f t="shared" si="43"/>
        <v>-169.03703703703704</v>
      </c>
      <c r="BK11" s="10">
        <f t="shared" si="44"/>
        <v>0</v>
      </c>
      <c r="BL11" s="10">
        <f t="shared" si="45"/>
        <v>-194.8194321999423</v>
      </c>
      <c r="BM11" s="10">
        <f t="shared" si="46"/>
        <v>-204.27016129032259</v>
      </c>
      <c r="BN11" s="10">
        <f t="shared" si="47"/>
        <v>72.928888888888892</v>
      </c>
      <c r="BO11" s="10">
        <f t="shared" si="48"/>
        <v>459.2224034417776</v>
      </c>
      <c r="BP11" s="10">
        <f t="shared" si="49"/>
        <v>-529.23790322580646</v>
      </c>
      <c r="BQ11" s="10">
        <f t="shared" si="50"/>
        <v>-70.01549978402889</v>
      </c>
      <c r="BR11" s="10">
        <f t="shared" si="51"/>
        <v>499.37211021505243</v>
      </c>
      <c r="BS11" s="10">
        <f t="shared" si="52"/>
        <v>958.59451365682992</v>
      </c>
    </row>
    <row r="12" spans="2:71">
      <c r="B12" s="4" t="s">
        <v>7</v>
      </c>
      <c r="C12" s="27" t="str">
        <f t="shared" si="0"/>
        <v>FEBRERO</v>
      </c>
      <c r="D12" s="25" t="s">
        <v>150</v>
      </c>
      <c r="E12" s="98">
        <v>46027</v>
      </c>
      <c r="F12" s="98">
        <v>46059</v>
      </c>
      <c r="G12" s="99">
        <v>10</v>
      </c>
      <c r="H12" s="100" t="s">
        <v>37</v>
      </c>
      <c r="I12" s="27" t="s">
        <v>126</v>
      </c>
      <c r="J12" s="7" t="s">
        <v>151</v>
      </c>
      <c r="K12" s="7" t="s">
        <v>127</v>
      </c>
      <c r="L12" s="7" t="s">
        <v>119</v>
      </c>
      <c r="M12" s="21" t="s">
        <v>43</v>
      </c>
      <c r="N12" s="7" t="s">
        <v>129</v>
      </c>
      <c r="O12" s="20">
        <v>2100</v>
      </c>
      <c r="P12" s="59">
        <v>21000</v>
      </c>
      <c r="Q12" s="20">
        <v>2100</v>
      </c>
      <c r="R12" s="30">
        <f>3500/24*G12</f>
        <v>1458.3333333333335</v>
      </c>
      <c r="S12" s="32">
        <f t="shared" si="1"/>
        <v>19541.666666666668</v>
      </c>
      <c r="T12" s="22">
        <v>1</v>
      </c>
      <c r="U12" s="27" t="s">
        <v>152</v>
      </c>
      <c r="V12" s="24">
        <v>6444023300</v>
      </c>
      <c r="W12" s="25" t="s">
        <v>122</v>
      </c>
      <c r="X12" s="4" t="s">
        <v>113</v>
      </c>
      <c r="Y12" s="4" t="s">
        <v>866</v>
      </c>
      <c r="Z12" s="7">
        <v>10007969</v>
      </c>
      <c r="AA12" s="7" t="s">
        <v>114</v>
      </c>
      <c r="AB12" s="7" t="str">
        <f t="shared" si="2"/>
        <v>FEBRERO10007969Compensación</v>
      </c>
      <c r="AC12" s="26">
        <f>INDEX('Detalle Costos'!$L$5:$L$158,MATCH(Resumen!AB12,'Detalle Costos'!$C$5:$C$158,0))*1000*0+AJ12+229398.68/1634.3</f>
        <v>1345.4439858348792</v>
      </c>
      <c r="AD12" s="42">
        <f>IFERROR(INDEX('Detalle Costos'!$X$5:$X$158,MATCH(Resumen!AB12,'Detalle Costos'!$C$5:$C$158,0))*AH12,0)</f>
        <v>10882.579496105072</v>
      </c>
      <c r="AE12" s="42">
        <f>IFERROR(INDEX('Detalle Costos'!$Z$5:$Z$158,MATCH(Resumen!AB12,'Detalle Costos'!$C$5:$C$158,0))*AH12,0)</f>
        <v>2048.5449624549919</v>
      </c>
      <c r="AF12" s="42">
        <f>IFERROR(INDEX('Detalle Costos'!$Y$5:$Y$158,MATCH(Resumen!AB12,'Detalle Costos'!$C$5:$C$158,0))*AH12,0)</f>
        <v>160.64284664489719</v>
      </c>
      <c r="AG12" s="42">
        <f>IFERROR(INDEX('Detalle Costos'!$AA$5:$AA$158,MATCH(Resumen!AB12,'Detalle Costos'!$C$5:$C$158,0))*AH12,0)</f>
        <v>362.67255314383135</v>
      </c>
      <c r="AH12" s="42">
        <f t="shared" ref="AH12:AH35" si="54">AC12*G12</f>
        <v>13454.439858348793</v>
      </c>
      <c r="AI12" s="26">
        <f>+G12</f>
        <v>10</v>
      </c>
      <c r="AJ12" s="43">
        <v>1205.0788876276956</v>
      </c>
      <c r="AK12" s="42">
        <f>+AJ12*AI12</f>
        <v>12050.788876276956</v>
      </c>
      <c r="AL12" s="43">
        <f t="shared" si="4"/>
        <v>7545.5601416512072</v>
      </c>
      <c r="AM12" s="92">
        <f t="shared" si="5"/>
        <v>0.35931238769767654</v>
      </c>
      <c r="AN12" s="42">
        <f t="shared" si="6"/>
        <v>1458.3333333333335</v>
      </c>
      <c r="AO12" s="42">
        <f t="shared" ref="AO12:AO35" si="55">118461.136538461/5988.21*G12</f>
        <v>197.82395162905274</v>
      </c>
      <c r="AP12" s="42">
        <f t="shared" ref="AP12:AP13" si="56">-10174.6784147361/1634*G12</f>
        <v>-62.26853374991493</v>
      </c>
      <c r="AQ12" s="42">
        <f t="shared" si="8"/>
        <v>1593.8887512124713</v>
      </c>
      <c r="AR12" s="42">
        <f>56604/1634.3*G12</f>
        <v>346.35011931713882</v>
      </c>
      <c r="AS12" s="42">
        <f t="shared" si="10"/>
        <v>586.25</v>
      </c>
      <c r="AT12" s="43">
        <f t="shared" si="11"/>
        <v>6191.5712711215974</v>
      </c>
      <c r="AU12" s="92">
        <f t="shared" si="12"/>
        <v>0.29483672719626652</v>
      </c>
      <c r="AV12" s="42">
        <f>148498/1634.3*G12</f>
        <v>908.63366578963473</v>
      </c>
      <c r="AW12" s="43">
        <f t="shared" si="14"/>
        <v>5282.9376053319629</v>
      </c>
      <c r="AX12" s="92">
        <f t="shared" si="15"/>
        <v>0.25156845739676015</v>
      </c>
      <c r="AY12" s="110">
        <f t="shared" ref="AY12:AY13" si="57">123844.283333333/1634.3*G12</f>
        <v>757.78182300271067</v>
      </c>
      <c r="AZ12" s="43">
        <f t="shared" si="17"/>
        <v>6949.353094124308</v>
      </c>
      <c r="BA12" s="92">
        <f t="shared" si="18"/>
        <v>0.33092157591068133</v>
      </c>
      <c r="BC12" s="10">
        <f t="shared" si="36"/>
        <v>2100</v>
      </c>
      <c r="BD12" s="10">
        <f t="shared" si="37"/>
        <v>-1088.2579496105072</v>
      </c>
      <c r="BE12" s="10">
        <f t="shared" si="38"/>
        <v>-204.85449624549921</v>
      </c>
      <c r="BF12" s="10">
        <f t="shared" si="39"/>
        <v>-16.064284664489719</v>
      </c>
      <c r="BG12" s="10">
        <f t="shared" si="40"/>
        <v>-36.267255314383135</v>
      </c>
      <c r="BH12" s="10">
        <f t="shared" si="41"/>
        <v>-1345.4439858348792</v>
      </c>
      <c r="BI12" s="10">
        <f t="shared" si="42"/>
        <v>754.5560141651207</v>
      </c>
      <c r="BJ12" s="10">
        <f t="shared" si="43"/>
        <v>-145.83333333333334</v>
      </c>
      <c r="BK12" s="10">
        <f t="shared" si="44"/>
        <v>6.2268533749914932</v>
      </c>
      <c r="BL12" s="10">
        <f t="shared" si="45"/>
        <v>-159.38887512124714</v>
      </c>
      <c r="BM12" s="10">
        <f t="shared" si="46"/>
        <v>-34.635011931713883</v>
      </c>
      <c r="BN12" s="10">
        <f t="shared" si="47"/>
        <v>58.625</v>
      </c>
      <c r="BO12" s="10">
        <f t="shared" si="48"/>
        <v>619.15712711215974</v>
      </c>
      <c r="BP12" s="10">
        <f t="shared" si="49"/>
        <v>-90.863366578963479</v>
      </c>
      <c r="BQ12" s="10">
        <f t="shared" si="50"/>
        <v>528.29376053319629</v>
      </c>
      <c r="BR12" s="10">
        <f t="shared" si="51"/>
        <v>75.778182300271069</v>
      </c>
      <c r="BS12" s="10">
        <f t="shared" si="52"/>
        <v>694.9353094124308</v>
      </c>
    </row>
    <row r="13" spans="2:71">
      <c r="B13" s="4" t="s">
        <v>7</v>
      </c>
      <c r="C13" s="123" t="str">
        <f t="shared" si="0"/>
        <v>FEBRERO</v>
      </c>
      <c r="D13" s="124" t="s">
        <v>150</v>
      </c>
      <c r="E13" s="125">
        <v>46027</v>
      </c>
      <c r="F13" s="125">
        <v>46059</v>
      </c>
      <c r="G13" s="126">
        <v>14</v>
      </c>
      <c r="H13" s="127" t="s">
        <v>34</v>
      </c>
      <c r="I13" s="123" t="s">
        <v>116</v>
      </c>
      <c r="J13" s="128" t="s">
        <v>153</v>
      </c>
      <c r="K13" s="128" t="s">
        <v>118</v>
      </c>
      <c r="L13" s="128" t="s">
        <v>119</v>
      </c>
      <c r="M13" s="210" t="s">
        <v>43</v>
      </c>
      <c r="N13" s="128" t="s">
        <v>129</v>
      </c>
      <c r="O13" s="129">
        <v>1700</v>
      </c>
      <c r="P13" s="130">
        <f>23800-344</f>
        <v>23456</v>
      </c>
      <c r="Q13" s="20">
        <v>1700</v>
      </c>
      <c r="R13" s="30">
        <f>3500/24*G13</f>
        <v>2041.6666666666667</v>
      </c>
      <c r="S13" s="131">
        <f t="shared" si="1"/>
        <v>21414.333333333332</v>
      </c>
      <c r="T13" s="22">
        <v>0</v>
      </c>
      <c r="U13" s="27"/>
      <c r="V13" s="24"/>
      <c r="W13" s="25"/>
      <c r="X13" s="4"/>
      <c r="Y13" s="4" t="s">
        <v>867</v>
      </c>
      <c r="Z13" s="7">
        <v>10005779</v>
      </c>
      <c r="AA13" s="7" t="s">
        <v>114</v>
      </c>
      <c r="AB13" s="7" t="str">
        <f t="shared" si="2"/>
        <v>FEBRERO10005779Compensación</v>
      </c>
      <c r="AC13" s="129">
        <f>INDEX('Detalle Costos'!$L$5:$L$158,MATCH(Resumen!AB13,'Detalle Costos'!$C$5:$C$158,0))*1000*0+AJ13+229398.68/1634.3</f>
        <v>1887.9650982071839</v>
      </c>
      <c r="AD13" s="42">
        <f>IFERROR(INDEX('Detalle Costos'!$X$5:$X$158,MATCH(Resumen!AB13,'Detalle Costos'!$C$5:$C$158,0))*AH13,0)</f>
        <v>16088.612963648904</v>
      </c>
      <c r="AE13" s="42">
        <f>IFERROR(INDEX('Detalle Costos'!$Z$5:$Z$158,MATCH(Resumen!AB13,'Detalle Costos'!$C$5:$C$158,0))*AH13,0)</f>
        <v>5819.4873826982048</v>
      </c>
      <c r="AF13" s="42">
        <f>IFERROR(INDEX('Detalle Costos'!$Y$5:$Y$158,MATCH(Resumen!AB13,'Detalle Costos'!$C$5:$C$158,0))*AH13,0)</f>
        <v>192.80524545483794</v>
      </c>
      <c r="AG13" s="42">
        <f>IFERROR(INDEX('Detalle Costos'!$AA$5:$AA$158,MATCH(Resumen!AB13,'Detalle Costos'!$C$5:$C$158,0))*AH13,0)</f>
        <v>4330.6057830986301</v>
      </c>
      <c r="AH13" s="132">
        <f t="shared" si="54"/>
        <v>26431.511374900576</v>
      </c>
      <c r="AI13" s="26">
        <v>14.849</v>
      </c>
      <c r="AJ13" s="43">
        <v>1747.6000000000004</v>
      </c>
      <c r="AK13" s="42">
        <f>AJ13*AI13</f>
        <v>25950.112400000005</v>
      </c>
      <c r="AL13" s="133">
        <f t="shared" si="4"/>
        <v>-2975.5113749005759</v>
      </c>
      <c r="AM13" s="134">
        <f t="shared" si="5"/>
        <v>-0.12685502109910368</v>
      </c>
      <c r="AN13" s="42">
        <f t="shared" si="6"/>
        <v>2041.6666666666667</v>
      </c>
      <c r="AO13" s="42">
        <f t="shared" si="55"/>
        <v>276.95353228067381</v>
      </c>
      <c r="AP13" s="42">
        <f t="shared" si="56"/>
        <v>-87.175947249880906</v>
      </c>
      <c r="AQ13" s="132">
        <f t="shared" si="8"/>
        <v>2231.4442516974595</v>
      </c>
      <c r="AR13" s="132">
        <f>56604/1634.3*G13</f>
        <v>484.89016704399438</v>
      </c>
      <c r="AS13" s="132">
        <f t="shared" si="10"/>
        <v>642.42999999999995</v>
      </c>
      <c r="AT13" s="133">
        <f t="shared" si="11"/>
        <v>-5049.4157936420297</v>
      </c>
      <c r="AU13" s="134">
        <f t="shared" si="12"/>
        <v>-0.21527181930602104</v>
      </c>
      <c r="AV13" s="132">
        <f>148498/1634.3*G13</f>
        <v>1272.0871321054888</v>
      </c>
      <c r="AW13" s="133">
        <f t="shared" si="14"/>
        <v>-6321.502925747518</v>
      </c>
      <c r="AX13" s="134">
        <f t="shared" si="15"/>
        <v>-0.26950472909905859</v>
      </c>
      <c r="AY13" s="132">
        <f t="shared" si="57"/>
        <v>1060.894552203795</v>
      </c>
      <c r="AZ13" s="133">
        <f t="shared" si="17"/>
        <v>-3988.5212414382349</v>
      </c>
      <c r="BA13" s="134">
        <f t="shared" si="18"/>
        <v>-0.17004268594126173</v>
      </c>
      <c r="BC13" s="10">
        <f t="shared" si="36"/>
        <v>1675.4285714285713</v>
      </c>
      <c r="BD13" s="10">
        <f t="shared" si="37"/>
        <v>-1149.1866402606361</v>
      </c>
      <c r="BE13" s="10">
        <f t="shared" si="38"/>
        <v>-415.6776701927289</v>
      </c>
      <c r="BF13" s="10">
        <f t="shared" si="39"/>
        <v>-13.771803246774139</v>
      </c>
      <c r="BG13" s="10">
        <f t="shared" si="40"/>
        <v>-309.32898450704499</v>
      </c>
      <c r="BH13" s="10">
        <f t="shared" si="41"/>
        <v>-1887.9650982071839</v>
      </c>
      <c r="BI13" s="10">
        <f t="shared" si="42"/>
        <v>-212.53652677861257</v>
      </c>
      <c r="BJ13" s="10">
        <f t="shared" si="43"/>
        <v>-145.83333333333334</v>
      </c>
      <c r="BK13" s="10">
        <f t="shared" si="44"/>
        <v>6.2268533749914932</v>
      </c>
      <c r="BL13" s="10">
        <f t="shared" si="45"/>
        <v>-159.38887512124711</v>
      </c>
      <c r="BM13" s="10">
        <f t="shared" si="46"/>
        <v>-34.635011931713883</v>
      </c>
      <c r="BN13" s="10">
        <f t="shared" si="47"/>
        <v>45.887857142857136</v>
      </c>
      <c r="BO13" s="10">
        <f t="shared" si="48"/>
        <v>-360.67255668871638</v>
      </c>
      <c r="BP13" s="10">
        <f t="shared" si="49"/>
        <v>-90.863366578963479</v>
      </c>
      <c r="BQ13" s="10">
        <f t="shared" si="50"/>
        <v>-451.53592326767983</v>
      </c>
      <c r="BR13" s="10">
        <f t="shared" si="51"/>
        <v>75.778182300271069</v>
      </c>
      <c r="BS13" s="10">
        <f t="shared" si="52"/>
        <v>-284.89437438844533</v>
      </c>
    </row>
    <row r="14" spans="2:71" hidden="1">
      <c r="B14" s="4" t="s">
        <v>6</v>
      </c>
      <c r="C14" s="27" t="str">
        <f t="shared" si="0"/>
        <v>ENERO</v>
      </c>
      <c r="D14" s="27" t="s">
        <v>154</v>
      </c>
      <c r="E14" s="98">
        <v>46032</v>
      </c>
      <c r="F14" s="98">
        <v>46050</v>
      </c>
      <c r="G14" s="99">
        <v>72</v>
      </c>
      <c r="H14" s="100" t="s">
        <v>32</v>
      </c>
      <c r="I14" s="27" t="s">
        <v>155</v>
      </c>
      <c r="J14" s="19" t="s">
        <v>156</v>
      </c>
      <c r="K14" s="7" t="s">
        <v>118</v>
      </c>
      <c r="L14" s="7" t="s">
        <v>128</v>
      </c>
      <c r="M14" s="21" t="s">
        <v>43</v>
      </c>
      <c r="N14" s="7" t="s">
        <v>129</v>
      </c>
      <c r="O14" s="44">
        <f>P14/G14</f>
        <v>1887.7083333333333</v>
      </c>
      <c r="P14" s="50">
        <f>140400*0+135915</f>
        <v>135915</v>
      </c>
      <c r="Q14" s="44">
        <f>S14/G14</f>
        <v>1754.25</v>
      </c>
      <c r="R14" s="44">
        <v>9609</v>
      </c>
      <c r="S14" s="43">
        <f t="shared" si="1"/>
        <v>126306</v>
      </c>
      <c r="T14" s="58">
        <v>3</v>
      </c>
      <c r="U14" s="95" t="s">
        <v>157</v>
      </c>
      <c r="V14" s="57" t="s">
        <v>158</v>
      </c>
      <c r="W14" s="25" t="s">
        <v>138</v>
      </c>
      <c r="X14" s="4" t="s">
        <v>113</v>
      </c>
      <c r="Y14" s="4" t="s">
        <v>867</v>
      </c>
      <c r="Z14" s="7">
        <v>10006720</v>
      </c>
      <c r="AA14" s="7" t="s">
        <v>114</v>
      </c>
      <c r="AB14" s="7" t="str">
        <f t="shared" si="2"/>
        <v>ENERO10006720Compensación</v>
      </c>
      <c r="AC14" s="26">
        <f>INDEX('Detalle Costos'!$L$5:$L$158,MATCH(Resumen!AB14,'Detalle Costos'!$C$5:$C$158,0))*1000+4623.769999996/248</f>
        <v>1738.6442338709517</v>
      </c>
      <c r="AD14" s="42">
        <f>IFERROR(INDEX('Detalle Costos'!$X$5:$X$158,MATCH(Resumen!AB14,'Detalle Costos'!$C$5:$C$158,0))*AH14,0)</f>
        <v>82959.134144578085</v>
      </c>
      <c r="AE14" s="42">
        <f>IFERROR(INDEX('Detalle Costos'!$Z$5:$Z$158,MATCH(Resumen!AB14,'Detalle Costos'!$C$5:$C$158,0))*AH14,0)</f>
        <v>19195.713394762697</v>
      </c>
      <c r="AF14" s="42">
        <f>IFERROR(INDEX('Detalle Costos'!$Y$5:$Y$158,MATCH(Resumen!AB14,'Detalle Costos'!$C$5:$C$158,0))*AH14,0)</f>
        <v>1203.1652916261742</v>
      </c>
      <c r="AG14" s="42">
        <f>IFERROR(INDEX('Detalle Costos'!$AA$5:$AA$158,MATCH(Resumen!AB14,'Detalle Costos'!$C$5:$C$158,0))*AH14,0)</f>
        <v>22291.586720567262</v>
      </c>
      <c r="AH14" s="42">
        <f>AJ14*G14+6518.87/248*G14</f>
        <v>125649.59955153422</v>
      </c>
      <c r="AI14" s="42">
        <v>69.7</v>
      </c>
      <c r="AJ14" s="26">
        <v>1718.8475609756097</v>
      </c>
      <c r="AK14" s="42">
        <v>120156.942632387</v>
      </c>
      <c r="AL14" s="43">
        <f t="shared" si="4"/>
        <v>10265.400448465778</v>
      </c>
      <c r="AM14" s="96">
        <f t="shared" si="5"/>
        <v>7.5528090707175644E-2</v>
      </c>
      <c r="AN14" s="42">
        <f t="shared" si="6"/>
        <v>9609</v>
      </c>
      <c r="AO14" s="10">
        <f>118461.136538461/5988.21*G14+6*G14</f>
        <v>1856.3324517291799</v>
      </c>
      <c r="AP14" s="42">
        <v>0</v>
      </c>
      <c r="AQ14" s="42">
        <f t="shared" si="8"/>
        <v>11465.33245172918</v>
      </c>
      <c r="AR14" s="42">
        <f>50659/248*G14</f>
        <v>14707.451612903227</v>
      </c>
      <c r="AS14" s="42">
        <f t="shared" si="10"/>
        <v>3789.18</v>
      </c>
      <c r="AT14" s="43">
        <f t="shared" si="11"/>
        <v>-12118.203616166629</v>
      </c>
      <c r="AU14" s="96">
        <f t="shared" si="12"/>
        <v>-8.9160163456326602E-2</v>
      </c>
      <c r="AV14" s="42">
        <f>131251/248*G14</f>
        <v>38105.129032258068</v>
      </c>
      <c r="AW14" s="43">
        <f t="shared" si="14"/>
        <v>-50223.332648424694</v>
      </c>
      <c r="AX14" s="96">
        <f t="shared" si="15"/>
        <v>-0.36952016075065075</v>
      </c>
      <c r="AY14" s="42">
        <f t="shared" ref="AY14:AY15" si="58">123844.283333333/248*G14</f>
        <v>35954.791935483772</v>
      </c>
      <c r="AZ14" s="43">
        <f t="shared" si="17"/>
        <v>23836.588319317143</v>
      </c>
      <c r="BA14" s="96">
        <f t="shared" si="18"/>
        <v>0.17537864341181725</v>
      </c>
      <c r="BC14" s="10">
        <f t="shared" si="36"/>
        <v>1887.7083333333333</v>
      </c>
      <c r="BD14" s="10">
        <f t="shared" si="37"/>
        <v>-1152.2101964524734</v>
      </c>
      <c r="BE14" s="10">
        <f t="shared" si="38"/>
        <v>-266.60713048281525</v>
      </c>
      <c r="BF14" s="10">
        <f t="shared" si="39"/>
        <v>-16.710629050363529</v>
      </c>
      <c r="BG14" s="10">
        <f t="shared" si="40"/>
        <v>-309.60537111898975</v>
      </c>
      <c r="BH14" s="10">
        <f t="shared" si="41"/>
        <v>-1745.1333271046419</v>
      </c>
      <c r="BI14" s="10">
        <f t="shared" si="42"/>
        <v>142.57500622869136</v>
      </c>
      <c r="BJ14" s="10">
        <f t="shared" si="43"/>
        <v>-133.45833333333334</v>
      </c>
      <c r="BK14" s="10">
        <f t="shared" si="44"/>
        <v>0</v>
      </c>
      <c r="BL14" s="10">
        <f t="shared" si="45"/>
        <v>-159.2407284962386</v>
      </c>
      <c r="BM14" s="10">
        <f t="shared" si="46"/>
        <v>-204.27016129032259</v>
      </c>
      <c r="BN14" s="10">
        <f t="shared" si="47"/>
        <v>52.627499999999998</v>
      </c>
      <c r="BO14" s="10">
        <f t="shared" si="48"/>
        <v>-168.30838355786986</v>
      </c>
      <c r="BP14" s="10">
        <f t="shared" si="49"/>
        <v>-529.23790322580646</v>
      </c>
      <c r="BQ14" s="10">
        <f t="shared" si="50"/>
        <v>-697.54628678367635</v>
      </c>
      <c r="BR14" s="10">
        <f t="shared" si="51"/>
        <v>499.37211021505237</v>
      </c>
      <c r="BS14" s="10">
        <f t="shared" si="52"/>
        <v>331.06372665718254</v>
      </c>
    </row>
    <row r="15" spans="2:71" hidden="1">
      <c r="B15" s="4" t="s">
        <v>6</v>
      </c>
      <c r="C15" s="27" t="str">
        <f t="shared" si="0"/>
        <v>ENERO</v>
      </c>
      <c r="D15" s="27"/>
      <c r="E15" s="98">
        <v>46053</v>
      </c>
      <c r="F15" s="98">
        <v>46053</v>
      </c>
      <c r="G15" s="99">
        <v>0</v>
      </c>
      <c r="H15" s="100" t="s">
        <v>417</v>
      </c>
      <c r="I15" s="27" t="s">
        <v>418</v>
      </c>
      <c r="J15" s="27" t="s">
        <v>418</v>
      </c>
      <c r="K15" s="27" t="s">
        <v>418</v>
      </c>
      <c r="L15" s="27" t="s">
        <v>418</v>
      </c>
      <c r="M15" s="27" t="s">
        <v>419</v>
      </c>
      <c r="N15" s="7"/>
      <c r="O15" s="44">
        <v>0</v>
      </c>
      <c r="P15" s="50">
        <v>24314.28</v>
      </c>
      <c r="Q15" s="44">
        <v>0</v>
      </c>
      <c r="R15" s="44">
        <v>0</v>
      </c>
      <c r="S15" s="43">
        <f t="shared" si="1"/>
        <v>24314.28</v>
      </c>
      <c r="T15" s="58"/>
      <c r="U15" s="95"/>
      <c r="V15" s="57"/>
      <c r="W15" s="25"/>
      <c r="X15" s="4"/>
      <c r="Y15" s="4" t="s">
        <v>869</v>
      </c>
      <c r="Z15" s="7"/>
      <c r="AA15" s="7"/>
      <c r="AB15" s="7"/>
      <c r="AC15" s="26">
        <v>0</v>
      </c>
      <c r="AD15" s="42">
        <f>IFERROR(INDEX('Detalle Costos'!$X$5:$X$158,MATCH(Resumen!AB15,'Detalle Costos'!$C$5:$C$158,0))*AH15,0)</f>
        <v>0</v>
      </c>
      <c r="AE15" s="42">
        <f>IFERROR(INDEX('Detalle Costos'!$Z$5:$Z$158,MATCH(Resumen!AB15,'Detalle Costos'!$C$5:$C$158,0))*AH15,0)</f>
        <v>0</v>
      </c>
      <c r="AF15" s="42">
        <f>IFERROR(INDEX('Detalle Costos'!$Y$5:$Y$158,MATCH(Resumen!AB15,'Detalle Costos'!$C$5:$C$158,0))*AH15,0)</f>
        <v>0</v>
      </c>
      <c r="AG15" s="42">
        <f>IFERROR(INDEX('Detalle Costos'!$AA$5:$AA$158,MATCH(Resumen!AB15,'Detalle Costos'!$C$5:$C$158,0))*AH15,0)</f>
        <v>0</v>
      </c>
      <c r="AH15" s="42">
        <f t="shared" ref="AH15" si="59">AJ15*G15</f>
        <v>0</v>
      </c>
      <c r="AI15" s="42"/>
      <c r="AJ15" s="26"/>
      <c r="AK15" s="10"/>
      <c r="AL15" s="43">
        <f t="shared" si="4"/>
        <v>24314.28</v>
      </c>
      <c r="AM15" s="96">
        <f t="shared" si="5"/>
        <v>1</v>
      </c>
      <c r="AN15" s="42">
        <f t="shared" si="6"/>
        <v>0</v>
      </c>
      <c r="AO15" s="42">
        <f t="shared" si="55"/>
        <v>0</v>
      </c>
      <c r="AP15" s="42">
        <v>0</v>
      </c>
      <c r="AQ15" s="42">
        <f t="shared" si="8"/>
        <v>0</v>
      </c>
      <c r="AR15" s="42">
        <f>50659/248*G15</f>
        <v>0</v>
      </c>
      <c r="AS15" s="42">
        <v>0</v>
      </c>
      <c r="AT15" s="43">
        <f t="shared" si="11"/>
        <v>24314.28</v>
      </c>
      <c r="AU15" s="96">
        <f t="shared" si="12"/>
        <v>1</v>
      </c>
      <c r="AV15" s="42">
        <f>131251/248*G15</f>
        <v>0</v>
      </c>
      <c r="AW15" s="43">
        <f t="shared" si="14"/>
        <v>24314.28</v>
      </c>
      <c r="AX15" s="96">
        <f t="shared" si="15"/>
        <v>1</v>
      </c>
      <c r="AY15" s="42">
        <f t="shared" si="58"/>
        <v>0</v>
      </c>
      <c r="AZ15" s="43">
        <f t="shared" si="17"/>
        <v>24314.28</v>
      </c>
      <c r="BA15" s="96">
        <f t="shared" si="18"/>
        <v>1</v>
      </c>
      <c r="BC15" s="10" t="e">
        <f t="shared" si="36"/>
        <v>#DIV/0!</v>
      </c>
      <c r="BD15" s="10" t="e">
        <f t="shared" si="37"/>
        <v>#DIV/0!</v>
      </c>
      <c r="BE15" s="10" t="e">
        <f t="shared" si="38"/>
        <v>#DIV/0!</v>
      </c>
      <c r="BF15" s="10" t="e">
        <f t="shared" si="39"/>
        <v>#DIV/0!</v>
      </c>
      <c r="BG15" s="10" t="e">
        <f t="shared" si="40"/>
        <v>#DIV/0!</v>
      </c>
      <c r="BH15" s="10" t="e">
        <f t="shared" si="41"/>
        <v>#DIV/0!</v>
      </c>
      <c r="BI15" s="10" t="e">
        <f t="shared" si="42"/>
        <v>#DIV/0!</v>
      </c>
      <c r="BJ15" s="10" t="e">
        <f t="shared" si="43"/>
        <v>#DIV/0!</v>
      </c>
      <c r="BK15" s="10" t="e">
        <f t="shared" si="44"/>
        <v>#DIV/0!</v>
      </c>
      <c r="BL15" s="10" t="e">
        <f t="shared" si="45"/>
        <v>#DIV/0!</v>
      </c>
      <c r="BM15" s="10" t="e">
        <f t="shared" si="46"/>
        <v>#DIV/0!</v>
      </c>
      <c r="BN15" s="10" t="e">
        <f t="shared" si="47"/>
        <v>#DIV/0!</v>
      </c>
      <c r="BO15" s="10" t="e">
        <f t="shared" si="48"/>
        <v>#DIV/0!</v>
      </c>
      <c r="BP15" s="10" t="e">
        <f t="shared" si="49"/>
        <v>#DIV/0!</v>
      </c>
      <c r="BQ15" s="10" t="e">
        <f t="shared" si="50"/>
        <v>#DIV/0!</v>
      </c>
      <c r="BR15" s="10" t="e">
        <f t="shared" si="51"/>
        <v>#DIV/0!</v>
      </c>
      <c r="BS15" s="10" t="e">
        <f t="shared" si="52"/>
        <v>#DIV/0!</v>
      </c>
    </row>
    <row r="16" spans="2:71">
      <c r="B16" s="4" t="s">
        <v>7</v>
      </c>
      <c r="C16" s="27" t="str">
        <f t="shared" si="0"/>
        <v>FEBRERO</v>
      </c>
      <c r="D16" s="29" t="s">
        <v>159</v>
      </c>
      <c r="E16" s="98">
        <v>15</v>
      </c>
      <c r="F16" s="98">
        <v>46055</v>
      </c>
      <c r="G16" s="99">
        <v>135</v>
      </c>
      <c r="H16" s="100" t="s">
        <v>33</v>
      </c>
      <c r="I16" s="27" t="s">
        <v>132</v>
      </c>
      <c r="J16" s="7" t="s">
        <v>160</v>
      </c>
      <c r="K16" s="7" t="s">
        <v>161</v>
      </c>
      <c r="L16" s="7" t="s">
        <v>147</v>
      </c>
      <c r="M16" s="21" t="s">
        <v>52</v>
      </c>
      <c r="N16" s="4" t="s">
        <v>148</v>
      </c>
      <c r="O16" s="20">
        <v>1650</v>
      </c>
      <c r="P16" s="46">
        <v>222750</v>
      </c>
      <c r="Q16" s="20">
        <v>1480.962962962963</v>
      </c>
      <c r="R16" s="30">
        <v>22820</v>
      </c>
      <c r="S16" s="32">
        <f t="shared" si="1"/>
        <v>199930</v>
      </c>
      <c r="T16" s="58">
        <v>5</v>
      </c>
      <c r="U16" s="57" t="s">
        <v>162</v>
      </c>
      <c r="V16" s="140">
        <v>59582082</v>
      </c>
      <c r="W16" s="25" t="s">
        <v>112</v>
      </c>
      <c r="X16" s="60" t="s">
        <v>113</v>
      </c>
      <c r="Y16" s="60" t="s">
        <v>867</v>
      </c>
      <c r="Z16" s="7">
        <v>10005721</v>
      </c>
      <c r="AA16" s="7" t="s">
        <v>114</v>
      </c>
      <c r="AB16" s="7" t="str">
        <f t="shared" ref="AB16:AB34" si="60">B16&amp;Z16&amp;AA16</f>
        <v>FEBRERO10005721Compensación</v>
      </c>
      <c r="AC16" s="26">
        <f>INDEX('Detalle Costos'!$L$5:$L$158,MATCH(Resumen!AB16,'Detalle Costos'!$C$5:$C$158,0))*1000*0+AJ16+229398.68/1634.3</f>
        <v>1812.5716716888853</v>
      </c>
      <c r="AD16" s="42">
        <f>IFERROR(INDEX('Detalle Costos'!$X$5:$X$158,MATCH(Resumen!AB16,'Detalle Costos'!$C$5:$C$158,0))*AH16,0)</f>
        <v>148491.04816075007</v>
      </c>
      <c r="AE16" s="42">
        <f>IFERROR(INDEX('Detalle Costos'!$Z$5:$Z$158,MATCH(Resumen!AB16,'Detalle Costos'!$C$5:$C$158,0))*AH16,0)</f>
        <v>49055.885998033576</v>
      </c>
      <c r="AF16" s="42">
        <f>IFERROR(INDEX('Detalle Costos'!$Y$5:$Y$158,MATCH(Resumen!AB16,'Detalle Costos'!$C$5:$C$158,0))*AH16,0)</f>
        <v>2609.648657220509</v>
      </c>
      <c r="AG16" s="42">
        <f>IFERROR(INDEX('Detalle Costos'!$AA$5:$AA$158,MATCH(Resumen!AB16,'Detalle Costos'!$C$5:$C$158,0))*AH16,0)</f>
        <v>44540.592861995356</v>
      </c>
      <c r="AH16" s="42">
        <f t="shared" si="54"/>
        <v>244697.1756779995</v>
      </c>
      <c r="AI16" s="26">
        <f>+G16</f>
        <v>135</v>
      </c>
      <c r="AJ16" s="43">
        <v>1672.2065734817018</v>
      </c>
      <c r="AK16" s="111">
        <v>251295.39</v>
      </c>
      <c r="AL16" s="43">
        <f t="shared" si="4"/>
        <v>-21947.175677999505</v>
      </c>
      <c r="AM16" s="92">
        <f t="shared" si="5"/>
        <v>-9.8528285872051646E-2</v>
      </c>
      <c r="AN16" s="42">
        <f t="shared" si="6"/>
        <v>22820</v>
      </c>
      <c r="AO16" s="42">
        <f t="shared" si="55"/>
        <v>2670.6233469922122</v>
      </c>
      <c r="AP16" s="42">
        <f t="shared" ref="AP16:AP34" si="61">-10174.6784147361/1634*G16</f>
        <v>-840.62520562385157</v>
      </c>
      <c r="AQ16" s="42">
        <f t="shared" si="8"/>
        <v>24649.99814136836</v>
      </c>
      <c r="AR16" s="42">
        <f t="shared" ref="AR16:AR35" si="62">56604/1634.3*G16</f>
        <v>4675.7266107813739</v>
      </c>
      <c r="AS16" s="42">
        <f t="shared" ref="AS16:AS34" si="63">S16*0.03</f>
        <v>5997.9</v>
      </c>
      <c r="AT16" s="43">
        <f t="shared" si="11"/>
        <v>-45275.000430149237</v>
      </c>
      <c r="AU16" s="92">
        <f t="shared" si="12"/>
        <v>-0.20325477185252183</v>
      </c>
      <c r="AV16" s="42">
        <f t="shared" ref="AV16:AV34" si="64">148498/1634.3*G16</f>
        <v>12266.554488160069</v>
      </c>
      <c r="AW16" s="43">
        <f t="shared" si="14"/>
        <v>-57541.55491830931</v>
      </c>
      <c r="AX16" s="92">
        <f t="shared" si="15"/>
        <v>-0.25832347887007545</v>
      </c>
      <c r="AY16" s="42">
        <f t="shared" ref="AY16:AY35" si="65">123844.283333333/1634.3*G16</f>
        <v>10230.054610536594</v>
      </c>
      <c r="AZ16" s="43">
        <f t="shared" si="17"/>
        <v>-35044.945819612643</v>
      </c>
      <c r="BA16" s="92">
        <f t="shared" si="18"/>
        <v>-0.15732860076144844</v>
      </c>
      <c r="BC16" s="10">
        <f t="shared" si="36"/>
        <v>1650</v>
      </c>
      <c r="BD16" s="10">
        <f t="shared" si="37"/>
        <v>-1099.9336900796302</v>
      </c>
      <c r="BE16" s="10">
        <f t="shared" si="38"/>
        <v>-363.37693331876721</v>
      </c>
      <c r="BF16" s="10">
        <f t="shared" si="39"/>
        <v>-19.330730794225992</v>
      </c>
      <c r="BG16" s="10">
        <f t="shared" si="40"/>
        <v>-329.93031749626192</v>
      </c>
      <c r="BH16" s="10">
        <f t="shared" si="41"/>
        <v>-1812.5716716888853</v>
      </c>
      <c r="BI16" s="10">
        <f t="shared" si="42"/>
        <v>-162.57167168888523</v>
      </c>
      <c r="BJ16" s="10">
        <f t="shared" si="43"/>
        <v>-169.03703703703704</v>
      </c>
      <c r="BK16" s="10">
        <f t="shared" si="44"/>
        <v>6.2268533749914932</v>
      </c>
      <c r="BL16" s="10">
        <f t="shared" si="45"/>
        <v>-182.59257882495081</v>
      </c>
      <c r="BM16" s="10">
        <f t="shared" si="46"/>
        <v>-34.635011931713883</v>
      </c>
      <c r="BN16" s="10">
        <f t="shared" si="47"/>
        <v>44.428888888888885</v>
      </c>
      <c r="BO16" s="10">
        <f t="shared" si="48"/>
        <v>-335.37037355666104</v>
      </c>
      <c r="BP16" s="10">
        <f t="shared" si="49"/>
        <v>-90.863366578963479</v>
      </c>
      <c r="BQ16" s="10">
        <f t="shared" si="50"/>
        <v>-426.23374013562454</v>
      </c>
      <c r="BR16" s="10">
        <f t="shared" si="51"/>
        <v>75.778182300271069</v>
      </c>
      <c r="BS16" s="10">
        <f t="shared" si="52"/>
        <v>-259.59219125638992</v>
      </c>
    </row>
    <row r="17" spans="2:71">
      <c r="B17" s="4" t="s">
        <v>7</v>
      </c>
      <c r="C17" s="27" t="str">
        <f t="shared" si="0"/>
        <v>FEBRERO</v>
      </c>
      <c r="D17" s="29" t="s">
        <v>163</v>
      </c>
      <c r="E17" s="98">
        <v>16</v>
      </c>
      <c r="F17" s="98">
        <v>46055</v>
      </c>
      <c r="G17" s="99">
        <v>27</v>
      </c>
      <c r="H17" s="100" t="s">
        <v>36</v>
      </c>
      <c r="I17" s="27" t="s">
        <v>107</v>
      </c>
      <c r="J17" s="7"/>
      <c r="K17" s="7" t="s">
        <v>161</v>
      </c>
      <c r="L17" s="7" t="s">
        <v>147</v>
      </c>
      <c r="M17" s="29" t="s">
        <v>53</v>
      </c>
      <c r="N17" s="4" t="s">
        <v>148</v>
      </c>
      <c r="O17" s="20">
        <f>P17/G17</f>
        <v>2873.5185185185187</v>
      </c>
      <c r="P17" s="46">
        <f>79650*0+77585</f>
        <v>77585</v>
      </c>
      <c r="Q17" s="20">
        <f>S17/G17</f>
        <v>2711.8888888888887</v>
      </c>
      <c r="R17" s="30">
        <v>4364</v>
      </c>
      <c r="S17" s="32">
        <f t="shared" si="1"/>
        <v>73221</v>
      </c>
      <c r="T17" s="58">
        <v>1</v>
      </c>
      <c r="U17" s="7"/>
      <c r="V17" s="7"/>
      <c r="W17" s="4"/>
      <c r="X17" s="4"/>
      <c r="Y17" s="4" t="s">
        <v>867</v>
      </c>
      <c r="Z17" s="7">
        <v>10007567</v>
      </c>
      <c r="AA17" s="7" t="s">
        <v>164</v>
      </c>
      <c r="AB17" s="7" t="str">
        <f t="shared" si="60"/>
        <v>FEBRERO10007567Entradas</v>
      </c>
      <c r="AC17" s="26">
        <f>INDEX('Detalle Costos'!$L$5:$L$158,MATCH(Resumen!AB17,'Detalle Costos'!$C$5:$C$158,0))*1000*0+AJ17+229398.68/1634.3</f>
        <v>1792.6008737332941</v>
      </c>
      <c r="AD17" s="42">
        <f>IFERROR(INDEX('Detalle Costos'!$X$5:$X$158,MATCH(Resumen!AB17,'Detalle Costos'!$C$5:$C$158,0))*AH17,0)</f>
        <v>29878.161299811578</v>
      </c>
      <c r="AE17" s="42">
        <f>IFERROR(INDEX('Detalle Costos'!$Z$5:$Z$158,MATCH(Resumen!AB17,'Detalle Costos'!$C$5:$C$158,0))*AH17,0)</f>
        <v>8560.8113667292182</v>
      </c>
      <c r="AF17" s="42">
        <f>IFERROR(INDEX('Detalle Costos'!$Y$5:$Y$158,MATCH(Resumen!AB17,'Detalle Costos'!$C$5:$C$158,0))*AH17,0)</f>
        <v>543.18307041687365</v>
      </c>
      <c r="AG17" s="42">
        <f>IFERROR(INDEX('Detalle Costos'!$AA$5:$AA$158,MATCH(Resumen!AB17,'Detalle Costos'!$C$5:$C$158,0))*AH17,0)</f>
        <v>9418.0678538412667</v>
      </c>
      <c r="AH17" s="42">
        <f t="shared" si="54"/>
        <v>48400.223590798938</v>
      </c>
      <c r="AI17" s="99">
        <v>26.302</v>
      </c>
      <c r="AJ17" s="43">
        <v>1652.2357755261105</v>
      </c>
      <c r="AK17" s="42">
        <v>48129</v>
      </c>
      <c r="AL17" s="43">
        <f t="shared" si="4"/>
        <v>29184.776409201062</v>
      </c>
      <c r="AM17" s="92">
        <f t="shared" si="5"/>
        <v>0.37616519184379793</v>
      </c>
      <c r="AN17" s="42">
        <f t="shared" si="6"/>
        <v>4364</v>
      </c>
      <c r="AO17" s="42">
        <f t="shared" si="55"/>
        <v>534.12466939844239</v>
      </c>
      <c r="AP17" s="42">
        <f t="shared" si="61"/>
        <v>-168.12504112477032</v>
      </c>
      <c r="AQ17" s="42">
        <f t="shared" si="8"/>
        <v>4729.999628273672</v>
      </c>
      <c r="AR17" s="42">
        <f t="shared" si="62"/>
        <v>935.1453221562748</v>
      </c>
      <c r="AS17" s="42">
        <f t="shared" si="63"/>
        <v>2196.63</v>
      </c>
      <c r="AT17" s="43">
        <f t="shared" si="11"/>
        <v>25716.261458771118</v>
      </c>
      <c r="AU17" s="92">
        <f t="shared" si="12"/>
        <v>0.33145919261160167</v>
      </c>
      <c r="AV17" s="42">
        <f t="shared" si="64"/>
        <v>2453.3108976320141</v>
      </c>
      <c r="AW17" s="43">
        <f t="shared" si="14"/>
        <v>23262.950561139103</v>
      </c>
      <c r="AX17" s="92">
        <f t="shared" si="15"/>
        <v>0.29983824916077984</v>
      </c>
      <c r="AY17" s="42">
        <f t="shared" si="65"/>
        <v>2046.0109221073189</v>
      </c>
      <c r="AZ17" s="43">
        <f t="shared" si="17"/>
        <v>27762.272380878436</v>
      </c>
      <c r="BA17" s="92">
        <f t="shared" si="18"/>
        <v>0.3578304102710374</v>
      </c>
      <c r="BC17" s="10">
        <f t="shared" si="36"/>
        <v>2873.5185185185187</v>
      </c>
      <c r="BD17" s="10">
        <f t="shared" si="37"/>
        <v>-1106.598566659688</v>
      </c>
      <c r="BE17" s="10">
        <f t="shared" si="38"/>
        <v>-317.06708765663774</v>
      </c>
      <c r="BF17" s="10">
        <f t="shared" si="39"/>
        <v>-20.117891496921246</v>
      </c>
      <c r="BG17" s="10">
        <f t="shared" si="40"/>
        <v>-348.81732792004692</v>
      </c>
      <c r="BH17" s="10">
        <f t="shared" si="41"/>
        <v>-1792.6008737332941</v>
      </c>
      <c r="BI17" s="10">
        <f t="shared" si="42"/>
        <v>1080.9176447852244</v>
      </c>
      <c r="BJ17" s="10">
        <f t="shared" si="43"/>
        <v>-161.62962962962962</v>
      </c>
      <c r="BK17" s="10">
        <f t="shared" si="44"/>
        <v>6.2268533749914932</v>
      </c>
      <c r="BL17" s="10">
        <f t="shared" si="45"/>
        <v>-175.18517141754342</v>
      </c>
      <c r="BM17" s="10">
        <f t="shared" si="46"/>
        <v>-34.635011931713883</v>
      </c>
      <c r="BN17" s="10">
        <f t="shared" si="47"/>
        <v>81.356666666666669</v>
      </c>
      <c r="BO17" s="10">
        <f t="shared" si="48"/>
        <v>952.45412810263394</v>
      </c>
      <c r="BP17" s="10">
        <f t="shared" si="49"/>
        <v>-90.863366578963479</v>
      </c>
      <c r="BQ17" s="10">
        <f t="shared" si="50"/>
        <v>861.59076152367049</v>
      </c>
      <c r="BR17" s="10">
        <f t="shared" si="51"/>
        <v>75.778182300271069</v>
      </c>
      <c r="BS17" s="10">
        <f t="shared" si="52"/>
        <v>1028.2323104029051</v>
      </c>
    </row>
    <row r="18" spans="2:71">
      <c r="B18" s="4" t="s">
        <v>7</v>
      </c>
      <c r="C18" s="27" t="str">
        <f t="shared" si="0"/>
        <v>FEBRERO</v>
      </c>
      <c r="D18" s="25" t="s">
        <v>165</v>
      </c>
      <c r="E18" s="98">
        <v>325</v>
      </c>
      <c r="F18" s="98">
        <v>46069</v>
      </c>
      <c r="G18" s="99">
        <v>26</v>
      </c>
      <c r="H18" s="100" t="s">
        <v>31</v>
      </c>
      <c r="I18" s="27" t="s">
        <v>107</v>
      </c>
      <c r="J18" s="19" t="s">
        <v>166</v>
      </c>
      <c r="K18" s="7" t="s">
        <v>161</v>
      </c>
      <c r="L18" s="7" t="s">
        <v>147</v>
      </c>
      <c r="M18" s="21" t="s">
        <v>48</v>
      </c>
      <c r="N18" s="7" t="s">
        <v>167</v>
      </c>
      <c r="O18" s="20">
        <v>2600</v>
      </c>
      <c r="P18" s="59">
        <v>67600</v>
      </c>
      <c r="Q18" s="20">
        <v>2432.1538461538462</v>
      </c>
      <c r="R18" s="30">
        <v>4364</v>
      </c>
      <c r="S18" s="32">
        <f t="shared" si="1"/>
        <v>63236</v>
      </c>
      <c r="T18" s="58">
        <v>1</v>
      </c>
      <c r="U18" s="7" t="s">
        <v>168</v>
      </c>
      <c r="V18" s="7">
        <v>11400418</v>
      </c>
      <c r="W18" s="4" t="s">
        <v>112</v>
      </c>
      <c r="X18" s="4" t="s">
        <v>113</v>
      </c>
      <c r="Y18" s="4" t="s">
        <v>867</v>
      </c>
      <c r="Z18" s="7">
        <v>10007162</v>
      </c>
      <c r="AA18" s="7" t="s">
        <v>114</v>
      </c>
      <c r="AB18" s="7" t="str">
        <f t="shared" si="60"/>
        <v>FEBRERO10007162Compensación</v>
      </c>
      <c r="AC18" s="26">
        <f>INDEX('Detalle Costos'!$L$5:$L$158,MATCH(Resumen!AB18,'Detalle Costos'!$C$5:$C$158,0))*1000*0+AJ18+229398.68/1634.3</f>
        <v>1806.2113098070079</v>
      </c>
      <c r="AD18" s="42">
        <f>IFERROR(INDEX('Detalle Costos'!$X$5:$X$158,MATCH(Resumen!AB18,'Detalle Costos'!$C$5:$C$158,0))*AH18,0)</f>
        <v>29480.813338973145</v>
      </c>
      <c r="AE18" s="42">
        <f>IFERROR(INDEX('Detalle Costos'!$Z$5:$Z$158,MATCH(Resumen!AB18,'Detalle Costos'!$C$5:$C$158,0))*AH18,0)</f>
        <v>8412.1138195304247</v>
      </c>
      <c r="AF18" s="42">
        <f>IFERROR(INDEX('Detalle Costos'!$Y$5:$Y$158,MATCH(Resumen!AB18,'Detalle Costos'!$C$5:$C$158,0))*AH18,0)</f>
        <v>437.97410152228025</v>
      </c>
      <c r="AG18" s="42">
        <f>IFERROR(INDEX('Detalle Costos'!$AA$5:$AA$158,MATCH(Resumen!AB18,'Detalle Costos'!$C$5:$C$158,0))*AH18,0)</f>
        <v>8630.5927949563466</v>
      </c>
      <c r="AH18" s="42">
        <f t="shared" si="54"/>
        <v>46961.494054982206</v>
      </c>
      <c r="AI18" s="26">
        <f>+G18</f>
        <v>26</v>
      </c>
      <c r="AJ18" s="43">
        <v>1665.8462115998243</v>
      </c>
      <c r="AK18" s="42">
        <f>AJ18*AI18</f>
        <v>43312.001501595434</v>
      </c>
      <c r="AL18" s="43">
        <f t="shared" si="4"/>
        <v>20638.505945017794</v>
      </c>
      <c r="AM18" s="92">
        <f t="shared" si="5"/>
        <v>0.30530334238192003</v>
      </c>
      <c r="AN18" s="42">
        <f t="shared" si="6"/>
        <v>4364</v>
      </c>
      <c r="AO18" s="42">
        <f t="shared" si="55"/>
        <v>514.34227423553716</v>
      </c>
      <c r="AP18" s="42">
        <f t="shared" si="61"/>
        <v>-161.89818774977883</v>
      </c>
      <c r="AQ18" s="42">
        <f t="shared" si="8"/>
        <v>4716.4440864857579</v>
      </c>
      <c r="AR18" s="42">
        <f t="shared" si="62"/>
        <v>900.51031022456095</v>
      </c>
      <c r="AS18" s="42">
        <f t="shared" si="63"/>
        <v>1897.08</v>
      </c>
      <c r="AT18" s="43">
        <f t="shared" si="11"/>
        <v>16918.631548307476</v>
      </c>
      <c r="AU18" s="92">
        <f t="shared" si="12"/>
        <v>0.25027561461993308</v>
      </c>
      <c r="AV18" s="42">
        <f t="shared" si="64"/>
        <v>2362.4475310530506</v>
      </c>
      <c r="AW18" s="43">
        <f t="shared" si="14"/>
        <v>14556.184017254425</v>
      </c>
      <c r="AX18" s="92">
        <f t="shared" si="15"/>
        <v>0.21532816593571635</v>
      </c>
      <c r="AY18" s="42">
        <f t="shared" si="65"/>
        <v>1970.2327398070479</v>
      </c>
      <c r="AZ18" s="43">
        <f t="shared" si="17"/>
        <v>18888.864288114524</v>
      </c>
      <c r="BA18" s="92">
        <f t="shared" si="18"/>
        <v>0.27942106935080657</v>
      </c>
      <c r="BC18" s="10">
        <f t="shared" si="36"/>
        <v>2600</v>
      </c>
      <c r="BD18" s="10">
        <f t="shared" si="37"/>
        <v>-1133.8774361143517</v>
      </c>
      <c r="BE18" s="10">
        <f t="shared" si="38"/>
        <v>-323.54283921270866</v>
      </c>
      <c r="BF18" s="10">
        <f t="shared" si="39"/>
        <v>-16.845157750856934</v>
      </c>
      <c r="BG18" s="10">
        <f t="shared" si="40"/>
        <v>-331.94587672909023</v>
      </c>
      <c r="BH18" s="10">
        <f t="shared" si="41"/>
        <v>-1806.2113098070079</v>
      </c>
      <c r="BI18" s="10">
        <f t="shared" si="42"/>
        <v>793.78869019299214</v>
      </c>
      <c r="BJ18" s="10">
        <f t="shared" si="43"/>
        <v>-167.84615384615384</v>
      </c>
      <c r="BK18" s="10">
        <f t="shared" si="44"/>
        <v>6.2268533749914932</v>
      </c>
      <c r="BL18" s="10">
        <f t="shared" si="45"/>
        <v>-181.40169563406761</v>
      </c>
      <c r="BM18" s="10">
        <f t="shared" si="46"/>
        <v>-34.635011931713883</v>
      </c>
      <c r="BN18" s="10">
        <f t="shared" si="47"/>
        <v>72.964615384615385</v>
      </c>
      <c r="BO18" s="10">
        <f t="shared" si="48"/>
        <v>650.71659801182602</v>
      </c>
      <c r="BP18" s="10">
        <f t="shared" si="49"/>
        <v>-90.863366578963479</v>
      </c>
      <c r="BQ18" s="10">
        <f t="shared" si="50"/>
        <v>559.85323143286246</v>
      </c>
      <c r="BR18" s="10">
        <f t="shared" si="51"/>
        <v>75.778182300271069</v>
      </c>
      <c r="BS18" s="10">
        <f t="shared" si="52"/>
        <v>726.49478031209708</v>
      </c>
    </row>
    <row r="19" spans="2:71">
      <c r="B19" s="4" t="s">
        <v>7</v>
      </c>
      <c r="C19" s="27" t="str">
        <f t="shared" si="0"/>
        <v>FEBRERO</v>
      </c>
      <c r="D19" s="25" t="s">
        <v>169</v>
      </c>
      <c r="E19" s="98">
        <v>26</v>
      </c>
      <c r="F19" s="98">
        <v>46080</v>
      </c>
      <c r="G19" s="99">
        <v>27</v>
      </c>
      <c r="H19" s="100" t="s">
        <v>38</v>
      </c>
      <c r="I19" s="27" t="s">
        <v>170</v>
      </c>
      <c r="J19" s="7"/>
      <c r="K19" s="7" t="s">
        <v>171</v>
      </c>
      <c r="L19" s="7" t="s">
        <v>172</v>
      </c>
      <c r="M19" s="21" t="s">
        <v>55</v>
      </c>
      <c r="N19" s="7"/>
      <c r="O19" s="20">
        <f>P19/G19</f>
        <v>1429.8611111111111</v>
      </c>
      <c r="P19" s="59">
        <f>39150*0+38606.25</f>
        <v>38606.25</v>
      </c>
      <c r="Q19" s="20">
        <f>S19/G19</f>
        <v>1322.4537037037037</v>
      </c>
      <c r="R19" s="30">
        <v>2900</v>
      </c>
      <c r="S19" s="32">
        <f t="shared" si="1"/>
        <v>35706.25</v>
      </c>
      <c r="T19" s="58">
        <v>1</v>
      </c>
      <c r="U19" s="7" t="s">
        <v>173</v>
      </c>
      <c r="V19" s="7">
        <v>6445502950</v>
      </c>
      <c r="W19" s="4" t="s">
        <v>122</v>
      </c>
      <c r="X19" s="4" t="s">
        <v>113</v>
      </c>
      <c r="Y19" s="4" t="s">
        <v>866</v>
      </c>
      <c r="Z19" s="7">
        <v>10009332</v>
      </c>
      <c r="AA19" s="7" t="s">
        <v>164</v>
      </c>
      <c r="AB19" s="7" t="str">
        <f t="shared" si="60"/>
        <v>FEBRERO10009332Entradas</v>
      </c>
      <c r="AC19" s="26">
        <f>INDEX('Detalle Costos'!$L$5:$L$158,MATCH(Resumen!AB19,'Detalle Costos'!$C$5:$C$158,0))*1000*0+AJ19+229398.68/1634.3</f>
        <v>1359.8748638321838</v>
      </c>
      <c r="AD19" s="42">
        <f>IFERROR(INDEX('Detalle Costos'!$X$5:$X$158,MATCH(Resumen!AB19,'Detalle Costos'!$C$5:$C$158,0))*AH19,0)</f>
        <v>30449.139302967902</v>
      </c>
      <c r="AE19" s="42">
        <f>IFERROR(INDEX('Detalle Costos'!$Z$5:$Z$158,MATCH(Resumen!AB19,'Detalle Costos'!$C$5:$C$158,0))*AH19,0)</f>
        <v>5571.9041088369377</v>
      </c>
      <c r="AF19" s="42">
        <f>IFERROR(INDEX('Detalle Costos'!$Y$5:$Y$158,MATCH(Resumen!AB19,'Detalle Costos'!$C$5:$C$158,0))*AH19,0)</f>
        <v>562.81608449351199</v>
      </c>
      <c r="AG19" s="42">
        <f>IFERROR(INDEX('Detalle Costos'!$AA$5:$AA$158,MATCH(Resumen!AB19,'Detalle Costos'!$C$5:$C$158,0))*AH19,0)</f>
        <v>132.76182717061306</v>
      </c>
      <c r="AH19" s="42">
        <f t="shared" si="54"/>
        <v>36716.621323468964</v>
      </c>
      <c r="AI19" s="26">
        <v>26.625</v>
      </c>
      <c r="AJ19" s="43">
        <v>1219.5097656250002</v>
      </c>
      <c r="AK19" s="42">
        <v>40733.759999999995</v>
      </c>
      <c r="AL19" s="43">
        <f t="shared" si="4"/>
        <v>1889.628676531036</v>
      </c>
      <c r="AM19" s="92">
        <f t="shared" si="5"/>
        <v>4.8946185566612559E-2</v>
      </c>
      <c r="AN19" s="42">
        <f t="shared" si="6"/>
        <v>2900</v>
      </c>
      <c r="AO19" s="42">
        <f t="shared" si="55"/>
        <v>534.12466939844239</v>
      </c>
      <c r="AP19" s="42">
        <f t="shared" si="61"/>
        <v>-168.12504112477032</v>
      </c>
      <c r="AQ19" s="42">
        <f t="shared" si="8"/>
        <v>3265.999628273672</v>
      </c>
      <c r="AR19" s="42">
        <f t="shared" si="62"/>
        <v>935.1453221562748</v>
      </c>
      <c r="AS19" s="42">
        <f t="shared" si="63"/>
        <v>1071.1875</v>
      </c>
      <c r="AT19" s="43">
        <f t="shared" si="11"/>
        <v>-1240.3287738989106</v>
      </c>
      <c r="AU19" s="92">
        <f t="shared" si="12"/>
        <v>-3.2127667771381853E-2</v>
      </c>
      <c r="AV19" s="42">
        <f t="shared" si="64"/>
        <v>2453.3108976320141</v>
      </c>
      <c r="AW19" s="43">
        <f t="shared" si="14"/>
        <v>-3693.6396715309247</v>
      </c>
      <c r="AX19" s="92">
        <f t="shared" si="15"/>
        <v>-9.5674655568228587E-2</v>
      </c>
      <c r="AY19" s="42">
        <f t="shared" si="65"/>
        <v>2046.0109221073189</v>
      </c>
      <c r="AZ19" s="43">
        <f t="shared" si="17"/>
        <v>805.68214820840831</v>
      </c>
      <c r="BA19" s="92">
        <f t="shared" si="18"/>
        <v>2.0869215430361878E-2</v>
      </c>
      <c r="BC19" s="10">
        <f t="shared" si="36"/>
        <v>1429.8611111111111</v>
      </c>
      <c r="BD19" s="10">
        <f t="shared" si="37"/>
        <v>-1127.7459001099223</v>
      </c>
      <c r="BE19" s="10">
        <f t="shared" si="38"/>
        <v>-206.3668188458125</v>
      </c>
      <c r="BF19" s="10">
        <f t="shared" si="39"/>
        <v>-20.845040166426369</v>
      </c>
      <c r="BG19" s="10">
        <f t="shared" si="40"/>
        <v>-4.9171047100227057</v>
      </c>
      <c r="BH19" s="10">
        <f t="shared" si="41"/>
        <v>-1359.8748638321838</v>
      </c>
      <c r="BI19" s="10">
        <f t="shared" si="42"/>
        <v>69.986247278927266</v>
      </c>
      <c r="BJ19" s="10">
        <f t="shared" si="43"/>
        <v>-107.4074074074074</v>
      </c>
      <c r="BK19" s="10">
        <f t="shared" si="44"/>
        <v>6.2268533749914932</v>
      </c>
      <c r="BL19" s="10">
        <f t="shared" si="45"/>
        <v>-120.96294919532119</v>
      </c>
      <c r="BM19" s="10">
        <f t="shared" si="46"/>
        <v>-34.635011931713883</v>
      </c>
      <c r="BN19" s="10">
        <f t="shared" si="47"/>
        <v>39.673611111111114</v>
      </c>
      <c r="BO19" s="10">
        <f t="shared" si="48"/>
        <v>-45.93810273699669</v>
      </c>
      <c r="BP19" s="10">
        <f t="shared" si="49"/>
        <v>-90.863366578963479</v>
      </c>
      <c r="BQ19" s="10">
        <f t="shared" si="50"/>
        <v>-136.80146931596016</v>
      </c>
      <c r="BR19" s="10">
        <f t="shared" si="51"/>
        <v>75.778182300271069</v>
      </c>
      <c r="BS19" s="10">
        <f t="shared" si="52"/>
        <v>29.840079563274383</v>
      </c>
    </row>
    <row r="20" spans="2:71">
      <c r="B20" s="4" t="s">
        <v>7</v>
      </c>
      <c r="C20" s="27" t="str">
        <f t="shared" si="0"/>
        <v>FEBRERO</v>
      </c>
      <c r="D20" s="25" t="s">
        <v>169</v>
      </c>
      <c r="E20" s="98">
        <v>26</v>
      </c>
      <c r="F20" s="98">
        <v>46080</v>
      </c>
      <c r="G20" s="99">
        <v>27</v>
      </c>
      <c r="H20" s="100" t="s">
        <v>39</v>
      </c>
      <c r="I20" s="27" t="s">
        <v>174</v>
      </c>
      <c r="J20" s="7"/>
      <c r="K20" s="7" t="s">
        <v>171</v>
      </c>
      <c r="L20" s="7" t="s">
        <v>172</v>
      </c>
      <c r="M20" s="21" t="s">
        <v>55</v>
      </c>
      <c r="N20" s="7"/>
      <c r="O20" s="20">
        <f>P20/G20</f>
        <v>1429.8611111111111</v>
      </c>
      <c r="P20" s="59">
        <f>39150*0+38606.25</f>
        <v>38606.25</v>
      </c>
      <c r="Q20" s="20">
        <f>S20/G20</f>
        <v>1322.4537037037037</v>
      </c>
      <c r="R20" s="30">
        <v>2900</v>
      </c>
      <c r="S20" s="32">
        <f t="shared" si="1"/>
        <v>35706.25</v>
      </c>
      <c r="T20" s="58">
        <v>1</v>
      </c>
      <c r="U20" s="7" t="s">
        <v>173</v>
      </c>
      <c r="V20" s="7">
        <v>6445502950</v>
      </c>
      <c r="W20" s="4" t="s">
        <v>122</v>
      </c>
      <c r="X20" s="4" t="s">
        <v>113</v>
      </c>
      <c r="Y20" s="4" t="s">
        <v>866</v>
      </c>
      <c r="Z20" s="7">
        <v>10009332</v>
      </c>
      <c r="AA20" s="7" t="s">
        <v>114</v>
      </c>
      <c r="AB20" s="7" t="str">
        <f t="shared" si="60"/>
        <v>FEBRERO10009332Compensación</v>
      </c>
      <c r="AC20" s="26">
        <f>INDEX('Detalle Costos'!$L$5:$L$158,MATCH(Resumen!AB20,'Detalle Costos'!$C$5:$C$158,0))*1000*0+AJ20+229398.68/1634.3</f>
        <v>1359.8748638321838</v>
      </c>
      <c r="AD20" s="42">
        <f>IFERROR(INDEX('Detalle Costos'!$X$5:$X$158,MATCH(Resumen!AB20,'Detalle Costos'!$C$5:$C$158,0))*AH20,0)</f>
        <v>29868.012594007254</v>
      </c>
      <c r="AE20" s="42">
        <f>IFERROR(INDEX('Detalle Costos'!$Z$5:$Z$158,MATCH(Resumen!AB20,'Detalle Costos'!$C$5:$C$158,0))*AH20,0)</f>
        <v>5215.2620001346822</v>
      </c>
      <c r="AF20" s="42">
        <f>IFERROR(INDEX('Detalle Costos'!$Y$5:$Y$158,MATCH(Resumen!AB20,'Detalle Costos'!$C$5:$C$158,0))*AH20,0)</f>
        <v>521.93542680914959</v>
      </c>
      <c r="AG20" s="42">
        <f>IFERROR(INDEX('Detalle Costos'!$AA$5:$AA$158,MATCH(Resumen!AB20,'Detalle Costos'!$C$5:$C$158,0))*AH20,0)</f>
        <v>1111.4113025178781</v>
      </c>
      <c r="AH20" s="42">
        <f t="shared" si="54"/>
        <v>36716.621323468964</v>
      </c>
      <c r="AI20" s="26">
        <v>26.625</v>
      </c>
      <c r="AJ20" s="43">
        <v>1219.5097656250002</v>
      </c>
      <c r="AK20" s="42">
        <v>40354.030000000006</v>
      </c>
      <c r="AL20" s="43">
        <f t="shared" si="4"/>
        <v>1889.628676531036</v>
      </c>
      <c r="AM20" s="92">
        <f t="shared" si="5"/>
        <v>4.8946185566612559E-2</v>
      </c>
      <c r="AN20" s="42">
        <f t="shared" si="6"/>
        <v>2900</v>
      </c>
      <c r="AO20" s="42">
        <f t="shared" si="55"/>
        <v>534.12466939844239</v>
      </c>
      <c r="AP20" s="42">
        <f t="shared" si="61"/>
        <v>-168.12504112477032</v>
      </c>
      <c r="AQ20" s="42">
        <f t="shared" si="8"/>
        <v>3265.999628273672</v>
      </c>
      <c r="AR20" s="42">
        <f t="shared" si="62"/>
        <v>935.1453221562748</v>
      </c>
      <c r="AS20" s="42">
        <f t="shared" si="63"/>
        <v>1071.1875</v>
      </c>
      <c r="AT20" s="43">
        <f t="shared" si="11"/>
        <v>-1240.3287738989106</v>
      </c>
      <c r="AU20" s="92">
        <f t="shared" si="12"/>
        <v>-3.2127667771381853E-2</v>
      </c>
      <c r="AV20" s="42">
        <f t="shared" si="64"/>
        <v>2453.3108976320141</v>
      </c>
      <c r="AW20" s="43">
        <f t="shared" si="14"/>
        <v>-3693.6396715309247</v>
      </c>
      <c r="AX20" s="92">
        <f t="shared" si="15"/>
        <v>-9.5674655568228587E-2</v>
      </c>
      <c r="AY20" s="42">
        <f t="shared" si="65"/>
        <v>2046.0109221073189</v>
      </c>
      <c r="AZ20" s="43">
        <f t="shared" si="17"/>
        <v>805.68214820840831</v>
      </c>
      <c r="BA20" s="92">
        <f t="shared" si="18"/>
        <v>2.0869215430361878E-2</v>
      </c>
      <c r="BC20" s="10">
        <f t="shared" si="36"/>
        <v>1429.8611111111111</v>
      </c>
      <c r="BD20" s="10">
        <f t="shared" si="37"/>
        <v>-1106.2226886669353</v>
      </c>
      <c r="BE20" s="10">
        <f t="shared" si="38"/>
        <v>-193.1578518568401</v>
      </c>
      <c r="BF20" s="10">
        <f t="shared" si="39"/>
        <v>-19.330941733672208</v>
      </c>
      <c r="BG20" s="10">
        <f t="shared" si="40"/>
        <v>-41.163381574736228</v>
      </c>
      <c r="BH20" s="10">
        <f t="shared" si="41"/>
        <v>-1359.8748638321838</v>
      </c>
      <c r="BI20" s="10">
        <f t="shared" si="42"/>
        <v>69.986247278927266</v>
      </c>
      <c r="BJ20" s="10">
        <f t="shared" si="43"/>
        <v>-107.4074074074074</v>
      </c>
      <c r="BK20" s="10">
        <f t="shared" si="44"/>
        <v>6.2268533749914932</v>
      </c>
      <c r="BL20" s="10">
        <f t="shared" si="45"/>
        <v>-120.96294919532119</v>
      </c>
      <c r="BM20" s="10">
        <f t="shared" si="46"/>
        <v>-34.635011931713883</v>
      </c>
      <c r="BN20" s="10">
        <f t="shared" si="47"/>
        <v>39.673611111111114</v>
      </c>
      <c r="BO20" s="10">
        <f t="shared" si="48"/>
        <v>-45.93810273699669</v>
      </c>
      <c r="BP20" s="10">
        <f t="shared" si="49"/>
        <v>-90.863366578963479</v>
      </c>
      <c r="BQ20" s="10">
        <f t="shared" si="50"/>
        <v>-136.80146931596016</v>
      </c>
      <c r="BR20" s="10">
        <f t="shared" si="51"/>
        <v>75.778182300271069</v>
      </c>
      <c r="BS20" s="10">
        <f t="shared" si="52"/>
        <v>29.840079563274383</v>
      </c>
    </row>
    <row r="21" spans="2:71">
      <c r="B21" s="4" t="s">
        <v>7</v>
      </c>
      <c r="C21" s="27" t="str">
        <f t="shared" si="0"/>
        <v>FEBRERO</v>
      </c>
      <c r="D21" s="25" t="s">
        <v>175</v>
      </c>
      <c r="E21" s="98">
        <v>26</v>
      </c>
      <c r="F21" s="98">
        <v>46062</v>
      </c>
      <c r="G21" s="99">
        <v>27</v>
      </c>
      <c r="H21" s="100" t="s">
        <v>31</v>
      </c>
      <c r="I21" s="27" t="s">
        <v>107</v>
      </c>
      <c r="J21" s="19" t="s">
        <v>176</v>
      </c>
      <c r="K21" s="7" t="s">
        <v>161</v>
      </c>
      <c r="L21" s="7" t="s">
        <v>147</v>
      </c>
      <c r="M21" s="21" t="s">
        <v>48</v>
      </c>
      <c r="N21" s="7" t="s">
        <v>167</v>
      </c>
      <c r="O21" s="20">
        <f>P21/G21</f>
        <v>2781.2962962962961</v>
      </c>
      <c r="P21" s="59">
        <f>75600*0+75095</f>
        <v>75095</v>
      </c>
      <c r="Q21" s="20">
        <f>S21/G21</f>
        <v>2619.6666666666665</v>
      </c>
      <c r="R21" s="30">
        <v>4364</v>
      </c>
      <c r="S21" s="32">
        <f t="shared" si="1"/>
        <v>70731</v>
      </c>
      <c r="T21" s="58">
        <v>1</v>
      </c>
      <c r="U21" s="7" t="s">
        <v>177</v>
      </c>
      <c r="V21" s="7">
        <v>24312444</v>
      </c>
      <c r="W21" s="25" t="s">
        <v>112</v>
      </c>
      <c r="X21" s="60" t="s">
        <v>113</v>
      </c>
      <c r="Y21" s="60" t="s">
        <v>867</v>
      </c>
      <c r="Z21" s="7">
        <v>10007162</v>
      </c>
      <c r="AA21" s="7" t="s">
        <v>114</v>
      </c>
      <c r="AB21" s="7" t="str">
        <f t="shared" si="60"/>
        <v>FEBRERO10007162Compensación</v>
      </c>
      <c r="AC21" s="26">
        <f>INDEX('Detalle Costos'!$L$5:$L$158,MATCH(Resumen!AB21,'Detalle Costos'!$C$5:$C$158,0))*1000*0+AJ21+229398.68/1634.3</f>
        <v>1806.2113098070079</v>
      </c>
      <c r="AD21" s="42">
        <f>IFERROR(INDEX('Detalle Costos'!$X$5:$X$158,MATCH(Resumen!AB21,'Detalle Costos'!$C$5:$C$158,0))*AH21,0)</f>
        <v>30614.690775087496</v>
      </c>
      <c r="AE21" s="42">
        <f>IFERROR(INDEX('Detalle Costos'!$Z$5:$Z$158,MATCH(Resumen!AB21,'Detalle Costos'!$C$5:$C$158,0))*AH21,0)</f>
        <v>8735.6566587431316</v>
      </c>
      <c r="AF21" s="42">
        <f>IFERROR(INDEX('Detalle Costos'!$Y$5:$Y$158,MATCH(Resumen!AB21,'Detalle Costos'!$C$5:$C$158,0))*AH21,0)</f>
        <v>454.81925927313716</v>
      </c>
      <c r="AG21" s="42">
        <f>IFERROR(INDEX('Detalle Costos'!$AA$5:$AA$158,MATCH(Resumen!AB21,'Detalle Costos'!$C$5:$C$158,0))*AH21,0)</f>
        <v>8962.5386716854355</v>
      </c>
      <c r="AH21" s="42">
        <f t="shared" si="54"/>
        <v>48767.70536478921</v>
      </c>
      <c r="AI21" s="26">
        <f>+G21</f>
        <v>27</v>
      </c>
      <c r="AJ21" s="43">
        <v>1665.8462115998243</v>
      </c>
      <c r="AK21" s="42">
        <f>AJ21*AI21</f>
        <v>44977.847713195253</v>
      </c>
      <c r="AL21" s="43">
        <f t="shared" si="4"/>
        <v>26327.29463521079</v>
      </c>
      <c r="AM21" s="92">
        <f t="shared" si="5"/>
        <v>0.35058651887889725</v>
      </c>
      <c r="AN21" s="42">
        <f t="shared" si="6"/>
        <v>4364</v>
      </c>
      <c r="AO21" s="42">
        <f t="shared" si="55"/>
        <v>534.12466939844239</v>
      </c>
      <c r="AP21" s="42">
        <f t="shared" si="61"/>
        <v>-168.12504112477032</v>
      </c>
      <c r="AQ21" s="42">
        <f t="shared" si="8"/>
        <v>4729.999628273672</v>
      </c>
      <c r="AR21" s="42">
        <f t="shared" si="62"/>
        <v>935.1453221562748</v>
      </c>
      <c r="AS21" s="42">
        <f t="shared" si="63"/>
        <v>2121.9299999999998</v>
      </c>
      <c r="AT21" s="43">
        <f t="shared" si="11"/>
        <v>22784.079684780845</v>
      </c>
      <c r="AU21" s="92">
        <f t="shared" si="12"/>
        <v>0.30340341813410804</v>
      </c>
      <c r="AV21" s="42">
        <f t="shared" si="64"/>
        <v>2453.3108976320141</v>
      </c>
      <c r="AW21" s="43">
        <f t="shared" si="14"/>
        <v>20330.768787148831</v>
      </c>
      <c r="AX21" s="92">
        <f t="shared" si="15"/>
        <v>0.27073398744455462</v>
      </c>
      <c r="AY21" s="42">
        <f t="shared" si="65"/>
        <v>2046.0109221073189</v>
      </c>
      <c r="AZ21" s="43">
        <f t="shared" si="17"/>
        <v>24830.090606888163</v>
      </c>
      <c r="BA21" s="92">
        <f t="shared" si="18"/>
        <v>0.33064905262518363</v>
      </c>
      <c r="BC21" s="10">
        <f t="shared" si="36"/>
        <v>2781.2962962962961</v>
      </c>
      <c r="BD21" s="10">
        <f t="shared" si="37"/>
        <v>-1133.8774361143517</v>
      </c>
      <c r="BE21" s="10">
        <f t="shared" si="38"/>
        <v>-323.5428392127086</v>
      </c>
      <c r="BF21" s="10">
        <f t="shared" si="39"/>
        <v>-16.845157750856931</v>
      </c>
      <c r="BG21" s="10">
        <f t="shared" si="40"/>
        <v>-331.94587672909023</v>
      </c>
      <c r="BH21" s="10">
        <f t="shared" si="41"/>
        <v>-1806.2113098070079</v>
      </c>
      <c r="BI21" s="10">
        <f t="shared" si="42"/>
        <v>975.08498648928855</v>
      </c>
      <c r="BJ21" s="10">
        <f t="shared" si="43"/>
        <v>-161.62962962962962</v>
      </c>
      <c r="BK21" s="10">
        <f t="shared" si="44"/>
        <v>6.2268533749914932</v>
      </c>
      <c r="BL21" s="10">
        <f t="shared" si="45"/>
        <v>-175.18517141754342</v>
      </c>
      <c r="BM21" s="10">
        <f t="shared" si="46"/>
        <v>-34.635011931713883</v>
      </c>
      <c r="BN21" s="10">
        <f t="shared" si="47"/>
        <v>78.589999999999989</v>
      </c>
      <c r="BO21" s="10">
        <f t="shared" si="48"/>
        <v>843.85480314003132</v>
      </c>
      <c r="BP21" s="10">
        <f t="shared" si="49"/>
        <v>-90.863366578963479</v>
      </c>
      <c r="BQ21" s="10">
        <f t="shared" si="50"/>
        <v>752.99143656106776</v>
      </c>
      <c r="BR21" s="10">
        <f t="shared" si="51"/>
        <v>75.778182300271069</v>
      </c>
      <c r="BS21" s="10">
        <f t="shared" si="52"/>
        <v>919.63298544030238</v>
      </c>
    </row>
    <row r="22" spans="2:71">
      <c r="B22" s="4" t="s">
        <v>7</v>
      </c>
      <c r="C22" s="27" t="str">
        <f t="shared" si="0"/>
        <v>FEBRERO</v>
      </c>
      <c r="D22" s="25" t="s">
        <v>178</v>
      </c>
      <c r="E22" s="98">
        <v>27</v>
      </c>
      <c r="F22" s="98">
        <v>46062</v>
      </c>
      <c r="G22" s="101">
        <v>54</v>
      </c>
      <c r="H22" s="100" t="s">
        <v>33</v>
      </c>
      <c r="I22" s="27" t="s">
        <v>132</v>
      </c>
      <c r="J22" s="19" t="s">
        <v>179</v>
      </c>
      <c r="K22" s="7" t="s">
        <v>171</v>
      </c>
      <c r="L22" s="7" t="s">
        <v>172</v>
      </c>
      <c r="M22" s="21" t="s">
        <v>51</v>
      </c>
      <c r="N22" s="7"/>
      <c r="O22" s="20">
        <v>1650</v>
      </c>
      <c r="P22" s="59">
        <v>89100</v>
      </c>
      <c r="Q22" s="20">
        <v>1534.962962962963</v>
      </c>
      <c r="R22" s="30">
        <v>6212</v>
      </c>
      <c r="S22" s="32">
        <f t="shared" si="1"/>
        <v>82888</v>
      </c>
      <c r="T22" s="58">
        <v>2</v>
      </c>
      <c r="U22" s="7" t="s">
        <v>180</v>
      </c>
      <c r="V22" s="7" t="s">
        <v>181</v>
      </c>
      <c r="W22" s="4" t="s">
        <v>182</v>
      </c>
      <c r="X22" s="4" t="s">
        <v>113</v>
      </c>
      <c r="Y22" s="4" t="s">
        <v>867</v>
      </c>
      <c r="Z22" s="7">
        <v>10005721</v>
      </c>
      <c r="AA22" s="7" t="s">
        <v>114</v>
      </c>
      <c r="AB22" s="7" t="str">
        <f t="shared" si="60"/>
        <v>FEBRERO10005721Compensación</v>
      </c>
      <c r="AC22" s="26">
        <f>INDEX('Detalle Costos'!$L$5:$L$158,MATCH(Resumen!AB22,'Detalle Costos'!$C$5:$C$158,0))*1000*0+AJ22+229398.68/1634.3</f>
        <v>1812.5716716888853</v>
      </c>
      <c r="AD22" s="42">
        <f>IFERROR(INDEX('Detalle Costos'!$X$5:$X$158,MATCH(Resumen!AB22,'Detalle Costos'!$C$5:$C$158,0))*AH22,0)</f>
        <v>59396.419264300028</v>
      </c>
      <c r="AE22" s="42">
        <f>IFERROR(INDEX('Detalle Costos'!$Z$5:$Z$158,MATCH(Resumen!AB22,'Detalle Costos'!$C$5:$C$158,0))*AH22,0)</f>
        <v>19622.354399213429</v>
      </c>
      <c r="AF22" s="42">
        <f>IFERROR(INDEX('Detalle Costos'!$Y$5:$Y$158,MATCH(Resumen!AB22,'Detalle Costos'!$C$5:$C$158,0))*AH22,0)</f>
        <v>1043.8594628882038</v>
      </c>
      <c r="AG22" s="42">
        <f>IFERROR(INDEX('Detalle Costos'!$AA$5:$AA$158,MATCH(Resumen!AB22,'Detalle Costos'!$C$5:$C$158,0))*AH22,0)</f>
        <v>17816.237144798142</v>
      </c>
      <c r="AH22" s="42">
        <f t="shared" si="54"/>
        <v>97878.870271199805</v>
      </c>
      <c r="AI22" s="26">
        <f>+G22</f>
        <v>54</v>
      </c>
      <c r="AJ22" s="43">
        <v>1672.2065734817018</v>
      </c>
      <c r="AK22" s="42">
        <f t="shared" ref="AK22:AK29" si="66">+AJ22*AI22</f>
        <v>90299.154968011891</v>
      </c>
      <c r="AL22" s="43">
        <f t="shared" si="4"/>
        <v>-8778.8702711998048</v>
      </c>
      <c r="AM22" s="92">
        <f t="shared" si="5"/>
        <v>-9.8528285872051688E-2</v>
      </c>
      <c r="AN22" s="42">
        <f t="shared" si="6"/>
        <v>6212</v>
      </c>
      <c r="AO22" s="42">
        <f t="shared" si="55"/>
        <v>1068.2493387968848</v>
      </c>
      <c r="AP22" s="42">
        <f t="shared" si="61"/>
        <v>-336.25008224954064</v>
      </c>
      <c r="AQ22" s="42">
        <f t="shared" si="8"/>
        <v>6943.999256547344</v>
      </c>
      <c r="AR22" s="42">
        <f t="shared" si="62"/>
        <v>1870.2906443125496</v>
      </c>
      <c r="AS22" s="42">
        <f t="shared" si="63"/>
        <v>2486.64</v>
      </c>
      <c r="AT22" s="43">
        <f t="shared" si="11"/>
        <v>-15106.5201720597</v>
      </c>
      <c r="AU22" s="92">
        <f t="shared" si="12"/>
        <v>-0.16954568094343098</v>
      </c>
      <c r="AV22" s="42">
        <f t="shared" si="64"/>
        <v>4906.6217952640282</v>
      </c>
      <c r="AW22" s="43">
        <f t="shared" si="14"/>
        <v>-20013.141967323729</v>
      </c>
      <c r="AX22" s="92">
        <f t="shared" si="15"/>
        <v>-0.2246143879609846</v>
      </c>
      <c r="AY22" s="42">
        <f t="shared" si="65"/>
        <v>4092.0218442146379</v>
      </c>
      <c r="AZ22" s="43">
        <f t="shared" si="17"/>
        <v>-11014.498327845062</v>
      </c>
      <c r="BA22" s="92">
        <f t="shared" si="18"/>
        <v>-0.12361950985235759</v>
      </c>
      <c r="BC22" s="10">
        <f t="shared" si="36"/>
        <v>1650</v>
      </c>
      <c r="BD22" s="10">
        <f t="shared" si="37"/>
        <v>-1099.9336900796302</v>
      </c>
      <c r="BE22" s="10">
        <f t="shared" si="38"/>
        <v>-363.37693331876721</v>
      </c>
      <c r="BF22" s="10">
        <f t="shared" si="39"/>
        <v>-19.330730794225996</v>
      </c>
      <c r="BG22" s="10">
        <f t="shared" si="40"/>
        <v>-329.93031749626192</v>
      </c>
      <c r="BH22" s="10">
        <f t="shared" si="41"/>
        <v>-1812.5716716888853</v>
      </c>
      <c r="BI22" s="10">
        <f t="shared" si="42"/>
        <v>-162.57167168888529</v>
      </c>
      <c r="BJ22" s="10">
        <f t="shared" si="43"/>
        <v>-115.03703703703704</v>
      </c>
      <c r="BK22" s="10">
        <f t="shared" si="44"/>
        <v>6.2268533749914932</v>
      </c>
      <c r="BL22" s="10">
        <f t="shared" si="45"/>
        <v>-128.59257882495081</v>
      </c>
      <c r="BM22" s="10">
        <f t="shared" si="46"/>
        <v>-34.635011931713883</v>
      </c>
      <c r="BN22" s="10">
        <f t="shared" si="47"/>
        <v>46.048888888888889</v>
      </c>
      <c r="BO22" s="10">
        <f t="shared" si="48"/>
        <v>-279.75037355666109</v>
      </c>
      <c r="BP22" s="10">
        <f t="shared" si="49"/>
        <v>-90.863366578963479</v>
      </c>
      <c r="BQ22" s="10">
        <f t="shared" si="50"/>
        <v>-370.6137401356246</v>
      </c>
      <c r="BR22" s="10">
        <f t="shared" si="51"/>
        <v>75.778182300271069</v>
      </c>
      <c r="BS22" s="10">
        <f t="shared" si="52"/>
        <v>-203.97219125639003</v>
      </c>
    </row>
    <row r="23" spans="2:71">
      <c r="B23" s="4" t="s">
        <v>7</v>
      </c>
      <c r="C23" s="27" t="str">
        <f t="shared" si="0"/>
        <v>FEBRERO</v>
      </c>
      <c r="D23" s="25" t="s">
        <v>183</v>
      </c>
      <c r="E23" s="98">
        <v>27</v>
      </c>
      <c r="F23" s="98">
        <v>46071</v>
      </c>
      <c r="G23" s="101">
        <v>81</v>
      </c>
      <c r="H23" s="100" t="s">
        <v>33</v>
      </c>
      <c r="I23" s="27" t="s">
        <v>132</v>
      </c>
      <c r="J23" s="19" t="s">
        <v>179</v>
      </c>
      <c r="K23" s="7" t="s">
        <v>171</v>
      </c>
      <c r="L23" s="7" t="s">
        <v>172</v>
      </c>
      <c r="M23" s="21" t="s">
        <v>51</v>
      </c>
      <c r="N23" s="7"/>
      <c r="O23" s="20">
        <v>1650</v>
      </c>
      <c r="P23" s="59">
        <v>133650</v>
      </c>
      <c r="Q23" s="20">
        <v>1534.962962962963</v>
      </c>
      <c r="R23" s="30">
        <v>9318</v>
      </c>
      <c r="S23" s="32">
        <f t="shared" si="1"/>
        <v>124332</v>
      </c>
      <c r="T23" s="58">
        <v>3</v>
      </c>
      <c r="U23" s="141" t="s">
        <v>184</v>
      </c>
      <c r="V23" s="142" t="s">
        <v>185</v>
      </c>
      <c r="W23" s="4" t="s">
        <v>182</v>
      </c>
      <c r="X23" s="4" t="s">
        <v>113</v>
      </c>
      <c r="Y23" s="4" t="s">
        <v>867</v>
      </c>
      <c r="Z23" s="7">
        <v>10005721</v>
      </c>
      <c r="AA23" s="7" t="s">
        <v>114</v>
      </c>
      <c r="AB23" s="7" t="str">
        <f t="shared" si="60"/>
        <v>FEBRERO10005721Compensación</v>
      </c>
      <c r="AC23" s="26">
        <f>INDEX('Detalle Costos'!$L$5:$L$158,MATCH(Resumen!AB23,'Detalle Costos'!$C$5:$C$158,0))*1000*0+AJ23+229398.68/1634.3</f>
        <v>1812.5716716888853</v>
      </c>
      <c r="AD23" s="42">
        <f>IFERROR(INDEX('Detalle Costos'!$X$5:$X$158,MATCH(Resumen!AB23,'Detalle Costos'!$C$5:$C$158,0))*AH23,0)</f>
        <v>89094.628896450042</v>
      </c>
      <c r="AE23" s="42">
        <f>IFERROR(INDEX('Detalle Costos'!$Z$5:$Z$158,MATCH(Resumen!AB23,'Detalle Costos'!$C$5:$C$158,0))*AH23,0)</f>
        <v>29433.531598820147</v>
      </c>
      <c r="AF23" s="42">
        <f>IFERROR(INDEX('Detalle Costos'!$Y$5:$Y$158,MATCH(Resumen!AB23,'Detalle Costos'!$C$5:$C$158,0))*AH23,0)</f>
        <v>1565.7891943323057</v>
      </c>
      <c r="AG23" s="42">
        <f>IFERROR(INDEX('Detalle Costos'!$AA$5:$AA$158,MATCH(Resumen!AB23,'Detalle Costos'!$C$5:$C$158,0))*AH23,0)</f>
        <v>26724.355717197217</v>
      </c>
      <c r="AH23" s="42">
        <f t="shared" si="54"/>
        <v>146818.30540679971</v>
      </c>
      <c r="AI23" s="26">
        <f>+G23</f>
        <v>81</v>
      </c>
      <c r="AJ23" s="43">
        <v>1672.2065734817018</v>
      </c>
      <c r="AK23" s="42">
        <f t="shared" si="66"/>
        <v>135448.73245201784</v>
      </c>
      <c r="AL23" s="43">
        <f t="shared" si="4"/>
        <v>-13168.305406799715</v>
      </c>
      <c r="AM23" s="92">
        <f t="shared" si="5"/>
        <v>-9.852828587205173E-2</v>
      </c>
      <c r="AN23" s="42">
        <f t="shared" si="6"/>
        <v>9318</v>
      </c>
      <c r="AO23" s="42">
        <f t="shared" si="55"/>
        <v>1602.3740081953272</v>
      </c>
      <c r="AP23" s="42">
        <f t="shared" si="61"/>
        <v>-504.37512337431093</v>
      </c>
      <c r="AQ23" s="42">
        <f t="shared" si="8"/>
        <v>10415.998884821016</v>
      </c>
      <c r="AR23" s="42">
        <f t="shared" si="62"/>
        <v>2805.4359664688245</v>
      </c>
      <c r="AS23" s="42">
        <f t="shared" si="63"/>
        <v>3729.96</v>
      </c>
      <c r="AT23" s="43">
        <f t="shared" si="11"/>
        <v>-22659.780258089555</v>
      </c>
      <c r="AU23" s="92">
        <f t="shared" si="12"/>
        <v>-0.169545680943431</v>
      </c>
      <c r="AV23" s="42">
        <f t="shared" si="64"/>
        <v>7359.9326928960418</v>
      </c>
      <c r="AW23" s="43">
        <f t="shared" si="14"/>
        <v>-30019.712950985595</v>
      </c>
      <c r="AX23" s="92">
        <f t="shared" si="15"/>
        <v>-0.22461438796098462</v>
      </c>
      <c r="AY23" s="42">
        <f t="shared" si="65"/>
        <v>6138.0327663219568</v>
      </c>
      <c r="AZ23" s="43">
        <f t="shared" si="17"/>
        <v>-16521.747491767597</v>
      </c>
      <c r="BA23" s="92">
        <f t="shared" si="18"/>
        <v>-0.12361950985235763</v>
      </c>
      <c r="BC23" s="10">
        <f t="shared" si="36"/>
        <v>1650</v>
      </c>
      <c r="BD23" s="10">
        <f t="shared" si="37"/>
        <v>-1099.9336900796302</v>
      </c>
      <c r="BE23" s="10">
        <f t="shared" si="38"/>
        <v>-363.37693331876727</v>
      </c>
      <c r="BF23" s="10">
        <f t="shared" si="39"/>
        <v>-19.330730794225996</v>
      </c>
      <c r="BG23" s="10">
        <f t="shared" si="40"/>
        <v>-329.93031749626192</v>
      </c>
      <c r="BH23" s="10">
        <f t="shared" si="41"/>
        <v>-1812.5716716888853</v>
      </c>
      <c r="BI23" s="10">
        <f t="shared" si="42"/>
        <v>-162.57167168888537</v>
      </c>
      <c r="BJ23" s="10">
        <f t="shared" si="43"/>
        <v>-115.03703703703704</v>
      </c>
      <c r="BK23" s="10">
        <f t="shared" si="44"/>
        <v>6.2268533749914932</v>
      </c>
      <c r="BL23" s="10">
        <f t="shared" si="45"/>
        <v>-128.59257882495081</v>
      </c>
      <c r="BM23" s="10">
        <f t="shared" si="46"/>
        <v>-34.635011931713883</v>
      </c>
      <c r="BN23" s="10">
        <f t="shared" si="47"/>
        <v>46.048888888888889</v>
      </c>
      <c r="BO23" s="10">
        <f t="shared" si="48"/>
        <v>-279.75037355666115</v>
      </c>
      <c r="BP23" s="10">
        <f t="shared" si="49"/>
        <v>-90.863366578963479</v>
      </c>
      <c r="BQ23" s="10">
        <f t="shared" si="50"/>
        <v>-370.61374013562465</v>
      </c>
      <c r="BR23" s="10">
        <f t="shared" si="51"/>
        <v>75.778182300271069</v>
      </c>
      <c r="BS23" s="10">
        <f t="shared" si="52"/>
        <v>-203.97219125639009</v>
      </c>
    </row>
    <row r="24" spans="2:71">
      <c r="B24" s="4" t="s">
        <v>7</v>
      </c>
      <c r="C24" s="27" t="str">
        <f t="shared" si="0"/>
        <v>FEBRERO</v>
      </c>
      <c r="D24" s="25" t="s">
        <v>186</v>
      </c>
      <c r="E24" s="98">
        <v>28</v>
      </c>
      <c r="F24" s="98">
        <v>46066</v>
      </c>
      <c r="G24" s="99">
        <v>24</v>
      </c>
      <c r="H24" s="100" t="s">
        <v>37</v>
      </c>
      <c r="I24" s="27" t="s">
        <v>126</v>
      </c>
      <c r="J24" s="19"/>
      <c r="K24" s="7" t="s">
        <v>127</v>
      </c>
      <c r="L24" s="7" t="s">
        <v>119</v>
      </c>
      <c r="M24" s="21" t="s">
        <v>43</v>
      </c>
      <c r="N24" s="7" t="s">
        <v>129</v>
      </c>
      <c r="O24" s="20">
        <v>2000</v>
      </c>
      <c r="P24" s="59">
        <v>48000</v>
      </c>
      <c r="Q24" s="20">
        <v>1854.1666666666667</v>
      </c>
      <c r="R24" s="30">
        <v>3500</v>
      </c>
      <c r="S24" s="32">
        <f t="shared" si="1"/>
        <v>44500</v>
      </c>
      <c r="T24" s="26">
        <v>1</v>
      </c>
      <c r="U24" s="42" t="s">
        <v>187</v>
      </c>
      <c r="V24" s="42">
        <v>6445030580</v>
      </c>
      <c r="W24" s="42" t="s">
        <v>122</v>
      </c>
      <c r="X24" s="42" t="s">
        <v>113</v>
      </c>
      <c r="Y24" s="256" t="s">
        <v>866</v>
      </c>
      <c r="Z24" s="7">
        <v>10007969</v>
      </c>
      <c r="AA24" s="7" t="s">
        <v>114</v>
      </c>
      <c r="AB24" s="7" t="str">
        <f t="shared" si="60"/>
        <v>FEBRERO10007969Compensación</v>
      </c>
      <c r="AC24" s="26">
        <f>INDEX('Detalle Costos'!$L$5:$L$158,MATCH(Resumen!AB24,'Detalle Costos'!$C$5:$C$158,0))*1000*0+AJ24+229398.68/1634.3</f>
        <v>1345.4439858348792</v>
      </c>
      <c r="AD24" s="109">
        <f>IFERROR(INDEX('Detalle Costos'!$X$5:$X$158,MATCH(Resumen!AB24,'Detalle Costos'!$C$5:$C$158,0))*AH24,0)</f>
        <v>26118.190790652174</v>
      </c>
      <c r="AE24" s="109">
        <f>IFERROR(INDEX('Detalle Costos'!$Z$5:$Z$158,MATCH(Resumen!AB24,'Detalle Costos'!$C$5:$C$158,0))*AH24,0)</f>
        <v>4916.5079098919805</v>
      </c>
      <c r="AF24" s="109">
        <f>IFERROR(INDEX('Detalle Costos'!$Y$5:$Y$158,MATCH(Resumen!AB24,'Detalle Costos'!$C$5:$C$158,0))*AH24,0)</f>
        <v>385.54283194775326</v>
      </c>
      <c r="AG24" s="109">
        <f>IFERROR(INDEX('Detalle Costos'!$AA$5:$AA$158,MATCH(Resumen!AB24,'Detalle Costos'!$C$5:$C$158,0))*AH24,0)</f>
        <v>870.41412754519513</v>
      </c>
      <c r="AH24" s="42">
        <f t="shared" si="54"/>
        <v>32290.6556600371</v>
      </c>
      <c r="AI24" s="26">
        <v>23.14</v>
      </c>
      <c r="AJ24" s="43">
        <v>1205.0788876276956</v>
      </c>
      <c r="AK24" s="42">
        <f t="shared" si="66"/>
        <v>27885.525459704877</v>
      </c>
      <c r="AL24" s="43">
        <f t="shared" si="4"/>
        <v>15709.3443399629</v>
      </c>
      <c r="AM24" s="92">
        <f t="shared" si="5"/>
        <v>0.32727800708256038</v>
      </c>
      <c r="AN24" s="42">
        <f t="shared" si="6"/>
        <v>3500</v>
      </c>
      <c r="AO24" s="42">
        <f t="shared" si="55"/>
        <v>474.77748390972658</v>
      </c>
      <c r="AP24" s="42">
        <f t="shared" si="61"/>
        <v>-149.44448099979584</v>
      </c>
      <c r="AQ24" s="42">
        <f t="shared" si="8"/>
        <v>3825.3330029099307</v>
      </c>
      <c r="AR24" s="42">
        <f t="shared" si="62"/>
        <v>831.24028636113326</v>
      </c>
      <c r="AS24" s="42">
        <f t="shared" si="63"/>
        <v>1335</v>
      </c>
      <c r="AT24" s="43">
        <f t="shared" si="11"/>
        <v>12387.771050691836</v>
      </c>
      <c r="AU24" s="92">
        <f t="shared" si="12"/>
        <v>0.25807856355607989</v>
      </c>
      <c r="AV24" s="42">
        <f t="shared" si="64"/>
        <v>2180.7207978951237</v>
      </c>
      <c r="AW24" s="43">
        <f t="shared" si="14"/>
        <v>10207.050252796711</v>
      </c>
      <c r="AX24" s="92">
        <f t="shared" si="15"/>
        <v>0.21264688026659814</v>
      </c>
      <c r="AY24" s="42">
        <f t="shared" si="65"/>
        <v>1818.6763752065058</v>
      </c>
      <c r="AZ24" s="43">
        <f t="shared" si="17"/>
        <v>14206.447425898341</v>
      </c>
      <c r="BA24" s="92">
        <f t="shared" si="18"/>
        <v>0.29596765470621544</v>
      </c>
      <c r="BC24" s="10">
        <f t="shared" si="36"/>
        <v>2000</v>
      </c>
      <c r="BD24" s="10">
        <f t="shared" si="37"/>
        <v>-1088.2579496105072</v>
      </c>
      <c r="BE24" s="10">
        <f t="shared" si="38"/>
        <v>-204.85449624549918</v>
      </c>
      <c r="BF24" s="10">
        <f t="shared" si="39"/>
        <v>-16.064284664489719</v>
      </c>
      <c r="BG24" s="10">
        <f t="shared" si="40"/>
        <v>-36.267255314383128</v>
      </c>
      <c r="BH24" s="10">
        <f t="shared" si="41"/>
        <v>-1345.4439858348792</v>
      </c>
      <c r="BI24" s="10">
        <f t="shared" si="42"/>
        <v>654.55601416512081</v>
      </c>
      <c r="BJ24" s="10">
        <f t="shared" si="43"/>
        <v>-145.83333333333334</v>
      </c>
      <c r="BK24" s="10">
        <f t="shared" si="44"/>
        <v>6.2268533749914932</v>
      </c>
      <c r="BL24" s="10">
        <f t="shared" si="45"/>
        <v>-159.38887512124711</v>
      </c>
      <c r="BM24" s="10">
        <f t="shared" si="46"/>
        <v>-34.635011931713883</v>
      </c>
      <c r="BN24" s="10">
        <f t="shared" si="47"/>
        <v>55.625</v>
      </c>
      <c r="BO24" s="10">
        <f t="shared" si="48"/>
        <v>516.15712711215986</v>
      </c>
      <c r="BP24" s="10">
        <f t="shared" si="49"/>
        <v>-90.863366578963493</v>
      </c>
      <c r="BQ24" s="10">
        <f t="shared" si="50"/>
        <v>425.29376053319629</v>
      </c>
      <c r="BR24" s="10">
        <f t="shared" si="51"/>
        <v>75.778182300271069</v>
      </c>
      <c r="BS24" s="10">
        <f t="shared" si="52"/>
        <v>591.93530941243091</v>
      </c>
    </row>
    <row r="25" spans="2:71">
      <c r="B25" s="4" t="s">
        <v>7</v>
      </c>
      <c r="C25" s="27" t="str">
        <f t="shared" si="0"/>
        <v>FEBRERO</v>
      </c>
      <c r="D25" s="27" t="s">
        <v>188</v>
      </c>
      <c r="E25" s="98">
        <v>30</v>
      </c>
      <c r="F25" s="98">
        <v>46066</v>
      </c>
      <c r="G25" s="99">
        <v>108</v>
      </c>
      <c r="H25" s="100" t="s">
        <v>32</v>
      </c>
      <c r="I25" s="27" t="s">
        <v>155</v>
      </c>
      <c r="J25" s="19"/>
      <c r="K25" s="7" t="s">
        <v>171</v>
      </c>
      <c r="L25" s="7" t="s">
        <v>172</v>
      </c>
      <c r="M25" s="21" t="s">
        <v>43</v>
      </c>
      <c r="N25" s="7" t="s">
        <v>129</v>
      </c>
      <c r="O25" s="20">
        <v>1600</v>
      </c>
      <c r="P25" s="59">
        <v>172800</v>
      </c>
      <c r="Q25" s="20">
        <v>1492.5925925925926</v>
      </c>
      <c r="R25" s="30">
        <v>11600</v>
      </c>
      <c r="S25" s="32">
        <f t="shared" si="1"/>
        <v>161200</v>
      </c>
      <c r="T25" s="58">
        <v>4</v>
      </c>
      <c r="U25" s="7" t="s">
        <v>187</v>
      </c>
      <c r="V25" s="7">
        <v>6445031110</v>
      </c>
      <c r="W25" s="4" t="s">
        <v>122</v>
      </c>
      <c r="X25" s="4" t="s">
        <v>113</v>
      </c>
      <c r="Y25" s="4" t="s">
        <v>867</v>
      </c>
      <c r="Z25" s="7">
        <v>10006720</v>
      </c>
      <c r="AA25" s="7" t="s">
        <v>114</v>
      </c>
      <c r="AB25" s="7" t="str">
        <f t="shared" si="60"/>
        <v>FEBRERO10006720Compensación</v>
      </c>
      <c r="AC25" s="26">
        <f>INDEX('Detalle Costos'!$L$5:$L$158,MATCH(Resumen!AB25,'Detalle Costos'!$C$5:$C$158,0))*1000*0+AJ25+229398.68/1634.3</f>
        <v>1734.9284164208502</v>
      </c>
      <c r="AD25" s="42">
        <f>IFERROR(INDEX('Detalle Costos'!$X$5:$X$158,MATCH(Resumen!AB25,'Detalle Costos'!$C$5:$C$158,0))*AH25,0)</f>
        <v>121464.06009178021</v>
      </c>
      <c r="AE25" s="42">
        <f>IFERROR(INDEX('Detalle Costos'!$Z$5:$Z$158,MATCH(Resumen!AB25,'Detalle Costos'!$C$5:$C$158,0))*AH25,0)</f>
        <v>27793.265766813336</v>
      </c>
      <c r="AF25" s="42">
        <f>IFERROR(INDEX('Detalle Costos'!$Y$5:$Y$158,MATCH(Resumen!AB25,'Detalle Costos'!$C$5:$C$158,0))*AH25,0)</f>
        <v>1820.4413272441018</v>
      </c>
      <c r="AG25" s="42">
        <f>IFERROR(INDEX('Detalle Costos'!$AA$5:$AA$158,MATCH(Resumen!AB25,'Detalle Costos'!$C$5:$C$158,0))*AH25,0)</f>
        <v>36294.501787614201</v>
      </c>
      <c r="AH25" s="42">
        <f t="shared" si="54"/>
        <v>187372.26897345184</v>
      </c>
      <c r="AI25" s="26">
        <f>+G25</f>
        <v>108</v>
      </c>
      <c r="AJ25" s="43">
        <v>1594.5633182136667</v>
      </c>
      <c r="AK25" s="42">
        <f t="shared" si="66"/>
        <v>172212.83836707601</v>
      </c>
      <c r="AL25" s="43">
        <f t="shared" si="4"/>
        <v>-14572.268973451835</v>
      </c>
      <c r="AM25" s="92">
        <f t="shared" si="5"/>
        <v>-8.4330260263031448E-2</v>
      </c>
      <c r="AN25" s="42">
        <f t="shared" si="6"/>
        <v>11600</v>
      </c>
      <c r="AO25" s="42">
        <f t="shared" si="55"/>
        <v>2136.4986775937696</v>
      </c>
      <c r="AP25" s="42">
        <f t="shared" si="61"/>
        <v>-672.50016449908128</v>
      </c>
      <c r="AQ25" s="42">
        <f t="shared" si="8"/>
        <v>13063.998513094688</v>
      </c>
      <c r="AR25" s="42">
        <f t="shared" si="62"/>
        <v>3740.5812886250992</v>
      </c>
      <c r="AS25" s="42">
        <f t="shared" si="63"/>
        <v>4836</v>
      </c>
      <c r="AT25" s="43">
        <f t="shared" si="11"/>
        <v>-26540.848775171624</v>
      </c>
      <c r="AU25" s="92">
        <f t="shared" si="12"/>
        <v>-0.15359287485631726</v>
      </c>
      <c r="AV25" s="42">
        <f t="shared" si="64"/>
        <v>9813.2435905280563</v>
      </c>
      <c r="AW25" s="43">
        <f t="shared" si="14"/>
        <v>-36354.092365699682</v>
      </c>
      <c r="AX25" s="92">
        <f t="shared" si="15"/>
        <v>-0.21038247896816945</v>
      </c>
      <c r="AY25" s="42">
        <f t="shared" si="65"/>
        <v>8184.0436884292758</v>
      </c>
      <c r="AZ25" s="43">
        <f t="shared" si="17"/>
        <v>-18356.805086742348</v>
      </c>
      <c r="BA25" s="92">
        <f t="shared" si="18"/>
        <v>-0.10623151091864785</v>
      </c>
      <c r="BC25" s="10">
        <f t="shared" si="36"/>
        <v>1600</v>
      </c>
      <c r="BD25" s="10">
        <f t="shared" si="37"/>
        <v>-1124.667223072039</v>
      </c>
      <c r="BE25" s="10">
        <f t="shared" si="38"/>
        <v>-257.34505339641976</v>
      </c>
      <c r="BF25" s="10">
        <f t="shared" si="39"/>
        <v>-16.855938215223166</v>
      </c>
      <c r="BG25" s="10">
        <f t="shared" si="40"/>
        <v>-336.06020173716854</v>
      </c>
      <c r="BH25" s="10">
        <f t="shared" si="41"/>
        <v>-1734.9284164208502</v>
      </c>
      <c r="BI25" s="10">
        <f t="shared" si="42"/>
        <v>-134.92841642085034</v>
      </c>
      <c r="BJ25" s="10">
        <f t="shared" si="43"/>
        <v>-107.4074074074074</v>
      </c>
      <c r="BK25" s="10">
        <f t="shared" si="44"/>
        <v>6.2268533749914932</v>
      </c>
      <c r="BL25" s="10">
        <f t="shared" si="45"/>
        <v>-120.96294919532119</v>
      </c>
      <c r="BM25" s="10">
        <f t="shared" si="46"/>
        <v>-34.635011931713883</v>
      </c>
      <c r="BN25" s="10">
        <f t="shared" si="47"/>
        <v>44.777777777777779</v>
      </c>
      <c r="BO25" s="10">
        <f t="shared" si="48"/>
        <v>-245.74859977010763</v>
      </c>
      <c r="BP25" s="10">
        <f t="shared" si="49"/>
        <v>-90.863366578963479</v>
      </c>
      <c r="BQ25" s="10">
        <f t="shared" si="50"/>
        <v>-336.61196634907111</v>
      </c>
      <c r="BR25" s="10">
        <f t="shared" si="51"/>
        <v>75.778182300271069</v>
      </c>
      <c r="BS25" s="10">
        <f t="shared" si="52"/>
        <v>-169.97041746983655</v>
      </c>
    </row>
    <row r="26" spans="2:71">
      <c r="B26" s="4" t="s">
        <v>7</v>
      </c>
      <c r="C26" s="27" t="str">
        <f t="shared" si="0"/>
        <v>FEBRERO</v>
      </c>
      <c r="D26" s="27" t="s">
        <v>188</v>
      </c>
      <c r="E26" s="98">
        <v>30</v>
      </c>
      <c r="F26" s="98">
        <v>46066</v>
      </c>
      <c r="G26" s="99">
        <v>108</v>
      </c>
      <c r="H26" s="100" t="s">
        <v>32</v>
      </c>
      <c r="I26" s="27" t="s">
        <v>155</v>
      </c>
      <c r="J26" s="19"/>
      <c r="K26" s="7" t="s">
        <v>171</v>
      </c>
      <c r="L26" s="7" t="s">
        <v>172</v>
      </c>
      <c r="M26" s="21" t="s">
        <v>43</v>
      </c>
      <c r="N26" s="7" t="s">
        <v>129</v>
      </c>
      <c r="O26" s="20">
        <v>1600</v>
      </c>
      <c r="P26" s="59">
        <v>172800</v>
      </c>
      <c r="Q26" s="20">
        <v>1492.5925925925926</v>
      </c>
      <c r="R26" s="30">
        <v>11600</v>
      </c>
      <c r="S26" s="32">
        <f t="shared" si="1"/>
        <v>161200</v>
      </c>
      <c r="T26" s="58">
        <v>4</v>
      </c>
      <c r="U26" s="7" t="s">
        <v>187</v>
      </c>
      <c r="V26" s="7">
        <v>6445031130</v>
      </c>
      <c r="W26" s="4" t="s">
        <v>122</v>
      </c>
      <c r="X26" s="4" t="s">
        <v>113</v>
      </c>
      <c r="Y26" s="4" t="s">
        <v>867</v>
      </c>
      <c r="Z26" s="7">
        <v>10006720</v>
      </c>
      <c r="AA26" s="7" t="s">
        <v>114</v>
      </c>
      <c r="AB26" s="7" t="str">
        <f t="shared" si="60"/>
        <v>FEBRERO10006720Compensación</v>
      </c>
      <c r="AC26" s="26">
        <f>INDEX('Detalle Costos'!$L$5:$L$158,MATCH(Resumen!AB26,'Detalle Costos'!$C$5:$C$158,0))*1000*0+AJ26+229398.68/1634.3</f>
        <v>1734.9284164208502</v>
      </c>
      <c r="AD26" s="42">
        <f>IFERROR(INDEX('Detalle Costos'!$X$5:$X$158,MATCH(Resumen!AB26,'Detalle Costos'!$C$5:$C$158,0))*AH26,0)</f>
        <v>121464.06009178021</v>
      </c>
      <c r="AE26" s="42">
        <f>IFERROR(INDEX('Detalle Costos'!$Z$5:$Z$158,MATCH(Resumen!AB26,'Detalle Costos'!$C$5:$C$158,0))*AH26,0)</f>
        <v>27793.265766813336</v>
      </c>
      <c r="AF26" s="42">
        <f>IFERROR(INDEX('Detalle Costos'!$Y$5:$Y$158,MATCH(Resumen!AB26,'Detalle Costos'!$C$5:$C$158,0))*AH26,0)</f>
        <v>1820.4413272441018</v>
      </c>
      <c r="AG26" s="42">
        <f>IFERROR(INDEX('Detalle Costos'!$AA$5:$AA$158,MATCH(Resumen!AB26,'Detalle Costos'!$C$5:$C$158,0))*AH26,0)</f>
        <v>36294.501787614201</v>
      </c>
      <c r="AH26" s="42">
        <f t="shared" si="54"/>
        <v>187372.26897345184</v>
      </c>
      <c r="AI26" s="26">
        <f>+G26</f>
        <v>108</v>
      </c>
      <c r="AJ26" s="43">
        <v>1594.5633182136667</v>
      </c>
      <c r="AK26" s="42">
        <f t="shared" si="66"/>
        <v>172212.83836707601</v>
      </c>
      <c r="AL26" s="43">
        <f t="shared" si="4"/>
        <v>-14572.268973451835</v>
      </c>
      <c r="AM26" s="92">
        <f t="shared" si="5"/>
        <v>-8.4330260263031448E-2</v>
      </c>
      <c r="AN26" s="42">
        <f t="shared" si="6"/>
        <v>11600</v>
      </c>
      <c r="AO26" s="42">
        <f t="shared" si="55"/>
        <v>2136.4986775937696</v>
      </c>
      <c r="AP26" s="42">
        <f t="shared" si="61"/>
        <v>-672.50016449908128</v>
      </c>
      <c r="AQ26" s="42">
        <f t="shared" si="8"/>
        <v>13063.998513094688</v>
      </c>
      <c r="AR26" s="42">
        <f t="shared" si="62"/>
        <v>3740.5812886250992</v>
      </c>
      <c r="AS26" s="42">
        <f t="shared" si="63"/>
        <v>4836</v>
      </c>
      <c r="AT26" s="43">
        <f t="shared" si="11"/>
        <v>-26540.848775171624</v>
      </c>
      <c r="AU26" s="92">
        <f t="shared" si="12"/>
        <v>-0.15359287485631726</v>
      </c>
      <c r="AV26" s="42">
        <f t="shared" si="64"/>
        <v>9813.2435905280563</v>
      </c>
      <c r="AW26" s="43">
        <f t="shared" si="14"/>
        <v>-36354.092365699682</v>
      </c>
      <c r="AX26" s="92">
        <f t="shared" si="15"/>
        <v>-0.21038247896816945</v>
      </c>
      <c r="AY26" s="42">
        <f t="shared" si="65"/>
        <v>8184.0436884292758</v>
      </c>
      <c r="AZ26" s="43">
        <f t="shared" si="17"/>
        <v>-18356.805086742348</v>
      </c>
      <c r="BA26" s="92">
        <f t="shared" si="18"/>
        <v>-0.10623151091864785</v>
      </c>
      <c r="BC26" s="10">
        <f t="shared" si="36"/>
        <v>1600</v>
      </c>
      <c r="BD26" s="10">
        <f t="shared" si="37"/>
        <v>-1124.667223072039</v>
      </c>
      <c r="BE26" s="10">
        <f t="shared" si="38"/>
        <v>-257.34505339641976</v>
      </c>
      <c r="BF26" s="10">
        <f t="shared" si="39"/>
        <v>-16.855938215223166</v>
      </c>
      <c r="BG26" s="10">
        <f t="shared" si="40"/>
        <v>-336.06020173716854</v>
      </c>
      <c r="BH26" s="10">
        <f t="shared" si="41"/>
        <v>-1734.9284164208502</v>
      </c>
      <c r="BI26" s="10">
        <f t="shared" si="42"/>
        <v>-134.92841642085034</v>
      </c>
      <c r="BJ26" s="10">
        <f t="shared" si="43"/>
        <v>-107.4074074074074</v>
      </c>
      <c r="BK26" s="10">
        <f t="shared" si="44"/>
        <v>6.2268533749914932</v>
      </c>
      <c r="BL26" s="10">
        <f t="shared" si="45"/>
        <v>-120.96294919532119</v>
      </c>
      <c r="BM26" s="10">
        <f t="shared" si="46"/>
        <v>-34.635011931713883</v>
      </c>
      <c r="BN26" s="10">
        <f t="shared" si="47"/>
        <v>44.777777777777779</v>
      </c>
      <c r="BO26" s="10">
        <f t="shared" si="48"/>
        <v>-245.74859977010763</v>
      </c>
      <c r="BP26" s="10">
        <f t="shared" si="49"/>
        <v>-90.863366578963479</v>
      </c>
      <c r="BQ26" s="10">
        <f t="shared" si="50"/>
        <v>-336.61196634907111</v>
      </c>
      <c r="BR26" s="10">
        <f t="shared" si="51"/>
        <v>75.778182300271069</v>
      </c>
      <c r="BS26" s="10">
        <f t="shared" si="52"/>
        <v>-169.97041746983655</v>
      </c>
    </row>
    <row r="27" spans="2:71">
      <c r="B27" s="4" t="s">
        <v>7</v>
      </c>
      <c r="C27" s="27" t="str">
        <f t="shared" si="0"/>
        <v>FEBRERO</v>
      </c>
      <c r="D27" s="27" t="s">
        <v>189</v>
      </c>
      <c r="E27" s="98">
        <v>34</v>
      </c>
      <c r="F27" s="98">
        <v>46070</v>
      </c>
      <c r="G27" s="99">
        <v>115.5</v>
      </c>
      <c r="H27" s="100" t="s">
        <v>32</v>
      </c>
      <c r="I27" s="27" t="s">
        <v>155</v>
      </c>
      <c r="J27" s="4" t="s">
        <v>190</v>
      </c>
      <c r="K27" s="7" t="s">
        <v>171</v>
      </c>
      <c r="L27" s="7" t="s">
        <v>172</v>
      </c>
      <c r="M27" s="21" t="s">
        <v>45</v>
      </c>
      <c r="N27" s="7" t="s">
        <v>191</v>
      </c>
      <c r="O27" s="20">
        <v>1500</v>
      </c>
      <c r="P27" s="59">
        <v>173250</v>
      </c>
      <c r="Q27" s="20">
        <v>1382.987012987013</v>
      </c>
      <c r="R27" s="30">
        <v>13515</v>
      </c>
      <c r="S27" s="32">
        <f t="shared" si="1"/>
        <v>159735</v>
      </c>
      <c r="T27" s="58">
        <v>5</v>
      </c>
      <c r="U27" s="7" t="s">
        <v>192</v>
      </c>
      <c r="V27" s="7" t="s">
        <v>193</v>
      </c>
      <c r="W27" s="4" t="s">
        <v>138</v>
      </c>
      <c r="X27" s="4" t="s">
        <v>113</v>
      </c>
      <c r="Y27" s="4" t="s">
        <v>867</v>
      </c>
      <c r="Z27" s="7">
        <v>10006720</v>
      </c>
      <c r="AA27" s="7" t="s">
        <v>114</v>
      </c>
      <c r="AB27" s="7" t="str">
        <f t="shared" si="60"/>
        <v>FEBRERO10006720Compensación</v>
      </c>
      <c r="AC27" s="26">
        <f>INDEX('Detalle Costos'!$L$5:$L$158,MATCH(Resumen!AB27,'Detalle Costos'!$C$5:$C$158,0))*1000*0+AJ27+229398.68/1634.3</f>
        <v>1734.9284164208502</v>
      </c>
      <c r="AD27" s="42">
        <f>IFERROR(INDEX('Detalle Costos'!$X$5:$X$158,MATCH(Resumen!AB27,'Detalle Costos'!$C$5:$C$158,0))*AH27,0)</f>
        <v>129899.0642648205</v>
      </c>
      <c r="AE27" s="42">
        <f>IFERROR(INDEX('Detalle Costos'!$Z$5:$Z$158,MATCH(Resumen!AB27,'Detalle Costos'!$C$5:$C$158,0))*AH27,0)</f>
        <v>29723.353667286483</v>
      </c>
      <c r="AF27" s="42">
        <f>IFERROR(INDEX('Detalle Costos'!$Y$5:$Y$158,MATCH(Resumen!AB27,'Detalle Costos'!$C$5:$C$158,0))*AH27,0)</f>
        <v>1946.8608638582755</v>
      </c>
      <c r="AG27" s="42">
        <f>IFERROR(INDEX('Detalle Costos'!$AA$5:$AA$158,MATCH(Resumen!AB27,'Detalle Costos'!$C$5:$C$158,0))*AH27,0)</f>
        <v>38814.953300642963</v>
      </c>
      <c r="AH27" s="42">
        <f t="shared" si="54"/>
        <v>200384.2320966082</v>
      </c>
      <c r="AI27" s="26">
        <f>+G27</f>
        <v>115.5</v>
      </c>
      <c r="AJ27" s="43">
        <v>1594.5633182136667</v>
      </c>
      <c r="AK27" s="42">
        <f t="shared" si="66"/>
        <v>184172.0632536785</v>
      </c>
      <c r="AL27" s="43">
        <f t="shared" si="4"/>
        <v>-27134.232096608204</v>
      </c>
      <c r="AM27" s="92">
        <f t="shared" si="5"/>
        <v>-0.15661894428056683</v>
      </c>
      <c r="AN27" s="42">
        <f t="shared" si="6"/>
        <v>13515</v>
      </c>
      <c r="AO27" s="42">
        <f t="shared" si="55"/>
        <v>2284.8666413155593</v>
      </c>
      <c r="AP27" s="42">
        <f t="shared" si="61"/>
        <v>-719.20156481151741</v>
      </c>
      <c r="AQ27" s="42">
        <f t="shared" si="8"/>
        <v>15080.665076504041</v>
      </c>
      <c r="AR27" s="42">
        <f t="shared" si="62"/>
        <v>4000.3438781129535</v>
      </c>
      <c r="AS27" s="42">
        <f t="shared" si="63"/>
        <v>4792.05</v>
      </c>
      <c r="AT27" s="43">
        <f t="shared" si="11"/>
        <v>-41423.191051225192</v>
      </c>
      <c r="AU27" s="92">
        <f t="shared" si="12"/>
        <v>-0.23909489784256965</v>
      </c>
      <c r="AV27" s="42">
        <f t="shared" si="64"/>
        <v>10494.718839870282</v>
      </c>
      <c r="AW27" s="43">
        <f t="shared" si="14"/>
        <v>-51917.909891095478</v>
      </c>
      <c r="AX27" s="92">
        <f t="shared" si="15"/>
        <v>-0.29967047556187865</v>
      </c>
      <c r="AY27" s="42">
        <f t="shared" si="65"/>
        <v>8752.3800556813094</v>
      </c>
      <c r="AZ27" s="43">
        <f t="shared" si="17"/>
        <v>-32670.810995543885</v>
      </c>
      <c r="BA27" s="92">
        <f t="shared" si="18"/>
        <v>-0.18857610964238894</v>
      </c>
      <c r="BC27" s="10">
        <f t="shared" si="36"/>
        <v>1500</v>
      </c>
      <c r="BD27" s="10">
        <f t="shared" si="37"/>
        <v>-1124.667223072039</v>
      </c>
      <c r="BE27" s="10">
        <f t="shared" si="38"/>
        <v>-257.34505339641976</v>
      </c>
      <c r="BF27" s="10">
        <f t="shared" si="39"/>
        <v>-16.855938215223166</v>
      </c>
      <c r="BG27" s="10">
        <f t="shared" si="40"/>
        <v>-336.06020173716848</v>
      </c>
      <c r="BH27" s="10">
        <f t="shared" si="41"/>
        <v>-1734.9284164208502</v>
      </c>
      <c r="BI27" s="10">
        <f t="shared" si="42"/>
        <v>-234.92841642085025</v>
      </c>
      <c r="BJ27" s="10">
        <f t="shared" si="43"/>
        <v>-117.01298701298701</v>
      </c>
      <c r="BK27" s="10">
        <f t="shared" si="44"/>
        <v>6.2268533749914932</v>
      </c>
      <c r="BL27" s="10">
        <f t="shared" si="45"/>
        <v>-130.56852880090079</v>
      </c>
      <c r="BM27" s="10">
        <f t="shared" si="46"/>
        <v>-34.635011931713883</v>
      </c>
      <c r="BN27" s="10">
        <f t="shared" si="47"/>
        <v>41.489610389610391</v>
      </c>
      <c r="BO27" s="10">
        <f t="shared" si="48"/>
        <v>-358.6423467638545</v>
      </c>
      <c r="BP27" s="10">
        <f t="shared" si="49"/>
        <v>-90.863366578963479</v>
      </c>
      <c r="BQ27" s="10">
        <f t="shared" si="50"/>
        <v>-449.50571334281801</v>
      </c>
      <c r="BR27" s="10">
        <f t="shared" si="51"/>
        <v>75.778182300271084</v>
      </c>
      <c r="BS27" s="10">
        <f t="shared" si="52"/>
        <v>-282.86416446358339</v>
      </c>
    </row>
    <row r="28" spans="2:71">
      <c r="B28" s="4" t="s">
        <v>7</v>
      </c>
      <c r="C28" s="27" t="str">
        <f t="shared" si="0"/>
        <v>FEBRERO</v>
      </c>
      <c r="D28" s="27" t="s">
        <v>194</v>
      </c>
      <c r="E28" s="98">
        <v>34</v>
      </c>
      <c r="F28" s="98">
        <v>46070</v>
      </c>
      <c r="G28" s="99">
        <v>46.8</v>
      </c>
      <c r="H28" s="100" t="s">
        <v>32</v>
      </c>
      <c r="I28" s="27" t="s">
        <v>155</v>
      </c>
      <c r="J28" s="4" t="s">
        <v>190</v>
      </c>
      <c r="K28" s="7" t="s">
        <v>171</v>
      </c>
      <c r="L28" s="7" t="s">
        <v>195</v>
      </c>
      <c r="M28" s="21" t="s">
        <v>45</v>
      </c>
      <c r="N28" s="7" t="s">
        <v>191</v>
      </c>
      <c r="O28" s="20">
        <v>1500</v>
      </c>
      <c r="P28" s="59">
        <v>70200</v>
      </c>
      <c r="Q28" s="20">
        <v>1380.2136752136753</v>
      </c>
      <c r="R28" s="30">
        <v>5606</v>
      </c>
      <c r="S28" s="32">
        <f t="shared" si="1"/>
        <v>64594</v>
      </c>
      <c r="T28" s="58">
        <v>2</v>
      </c>
      <c r="U28" s="7" t="s">
        <v>192</v>
      </c>
      <c r="V28" s="7" t="s">
        <v>196</v>
      </c>
      <c r="W28" s="4" t="s">
        <v>138</v>
      </c>
      <c r="X28" s="4" t="s">
        <v>113</v>
      </c>
      <c r="Y28" s="4" t="s">
        <v>867</v>
      </c>
      <c r="Z28" s="7">
        <v>10006720</v>
      </c>
      <c r="AA28" s="7" t="s">
        <v>114</v>
      </c>
      <c r="AB28" s="7" t="str">
        <f t="shared" si="60"/>
        <v>FEBRERO10006720Compensación</v>
      </c>
      <c r="AC28" s="26">
        <f>INDEX('Detalle Costos'!$L$5:$L$158,MATCH(Resumen!AB28,'Detalle Costos'!$C$5:$C$158,0))*1000*0+AJ28+229398.68/1634.3</f>
        <v>1734.9284164208502</v>
      </c>
      <c r="AD28" s="42">
        <f>IFERROR(INDEX('Detalle Costos'!$X$5:$X$158,MATCH(Resumen!AB28,'Detalle Costos'!$C$5:$C$158,0))*AH28,0)</f>
        <v>52634.426039771417</v>
      </c>
      <c r="AE28" s="42">
        <f>IFERROR(INDEX('Detalle Costos'!$Z$5:$Z$158,MATCH(Resumen!AB28,'Detalle Costos'!$C$5:$C$158,0))*AH28,0)</f>
        <v>12043.748498952444</v>
      </c>
      <c r="AF28" s="42">
        <f>IFERROR(INDEX('Detalle Costos'!$Y$5:$Y$158,MATCH(Resumen!AB28,'Detalle Costos'!$C$5:$C$158,0))*AH28,0)</f>
        <v>788.85790847244402</v>
      </c>
      <c r="AG28" s="42">
        <f>IFERROR(INDEX('Detalle Costos'!$AA$5:$AA$158,MATCH(Resumen!AB28,'Detalle Costos'!$C$5:$C$158,0))*AH28,0)</f>
        <v>15727.617441299484</v>
      </c>
      <c r="AH28" s="42">
        <f t="shared" si="54"/>
        <v>81194.649888495784</v>
      </c>
      <c r="AI28" s="26">
        <f>+G28</f>
        <v>46.8</v>
      </c>
      <c r="AJ28" s="43">
        <v>1594.5633182136667</v>
      </c>
      <c r="AK28" s="42">
        <f t="shared" si="66"/>
        <v>74625.563292399602</v>
      </c>
      <c r="AL28" s="43">
        <f t="shared" si="4"/>
        <v>-10994.649888495784</v>
      </c>
      <c r="AM28" s="92">
        <f t="shared" si="5"/>
        <v>-0.15661894428056672</v>
      </c>
      <c r="AN28" s="42">
        <f t="shared" si="6"/>
        <v>5606</v>
      </c>
      <c r="AO28" s="42">
        <f t="shared" si="55"/>
        <v>925.81609362396682</v>
      </c>
      <c r="AP28" s="42">
        <f t="shared" si="61"/>
        <v>-291.41673794960184</v>
      </c>
      <c r="AQ28" s="42">
        <f t="shared" si="8"/>
        <v>6240.3993556743644</v>
      </c>
      <c r="AR28" s="42">
        <f t="shared" si="62"/>
        <v>1620.9185584042095</v>
      </c>
      <c r="AS28" s="42">
        <f t="shared" si="63"/>
        <v>1937.82</v>
      </c>
      <c r="AT28" s="43">
        <f t="shared" si="11"/>
        <v>-16918.14780257436</v>
      </c>
      <c r="AU28" s="92">
        <f t="shared" si="12"/>
        <v>-0.24099925644692821</v>
      </c>
      <c r="AV28" s="42">
        <f t="shared" si="64"/>
        <v>4252.4055558954906</v>
      </c>
      <c r="AW28" s="43">
        <f t="shared" si="14"/>
        <v>-21170.55335846985</v>
      </c>
      <c r="AX28" s="92">
        <f t="shared" si="15"/>
        <v>-0.30157483416623715</v>
      </c>
      <c r="AY28" s="42">
        <f t="shared" si="65"/>
        <v>3546.4189316526858</v>
      </c>
      <c r="AZ28" s="43">
        <f t="shared" si="17"/>
        <v>-13371.728870921674</v>
      </c>
      <c r="BA28" s="92">
        <f t="shared" si="18"/>
        <v>-0.1904804682467475</v>
      </c>
      <c r="BC28" s="10">
        <f t="shared" si="36"/>
        <v>1500</v>
      </c>
      <c r="BD28" s="10">
        <f t="shared" si="37"/>
        <v>-1124.667223072039</v>
      </c>
      <c r="BE28" s="10">
        <f t="shared" si="38"/>
        <v>-257.34505339641976</v>
      </c>
      <c r="BF28" s="10">
        <f t="shared" si="39"/>
        <v>-16.855938215223166</v>
      </c>
      <c r="BG28" s="10">
        <f t="shared" si="40"/>
        <v>-336.06020173716848</v>
      </c>
      <c r="BH28" s="10">
        <f t="shared" si="41"/>
        <v>-1734.9284164208502</v>
      </c>
      <c r="BI28" s="10">
        <f t="shared" si="42"/>
        <v>-234.92841642085008</v>
      </c>
      <c r="BJ28" s="10">
        <f t="shared" si="43"/>
        <v>-119.7863247863248</v>
      </c>
      <c r="BK28" s="10">
        <f t="shared" si="44"/>
        <v>6.2268533749914923</v>
      </c>
      <c r="BL28" s="10">
        <f t="shared" si="45"/>
        <v>-133.34186657423857</v>
      </c>
      <c r="BM28" s="10">
        <f t="shared" si="46"/>
        <v>-34.635011931713883</v>
      </c>
      <c r="BN28" s="10">
        <f t="shared" si="47"/>
        <v>41.406410256410254</v>
      </c>
      <c r="BO28" s="10">
        <f t="shared" si="48"/>
        <v>-361.49888467039233</v>
      </c>
      <c r="BP28" s="10">
        <f t="shared" si="49"/>
        <v>-90.863366578963479</v>
      </c>
      <c r="BQ28" s="10">
        <f t="shared" si="50"/>
        <v>-452.36225124935578</v>
      </c>
      <c r="BR28" s="10">
        <f t="shared" si="51"/>
        <v>75.778182300271069</v>
      </c>
      <c r="BS28" s="10">
        <f t="shared" si="52"/>
        <v>-285.72070237012127</v>
      </c>
    </row>
    <row r="29" spans="2:71">
      <c r="B29" s="4" t="s">
        <v>7</v>
      </c>
      <c r="C29" s="27" t="str">
        <f t="shared" si="0"/>
        <v>FEBRERO</v>
      </c>
      <c r="D29" s="27" t="s">
        <v>197</v>
      </c>
      <c r="E29" s="98">
        <v>34</v>
      </c>
      <c r="F29" s="98">
        <v>46070</v>
      </c>
      <c r="G29" s="99">
        <v>81</v>
      </c>
      <c r="H29" s="100" t="s">
        <v>32</v>
      </c>
      <c r="I29" s="27" t="s">
        <v>155</v>
      </c>
      <c r="J29" s="4" t="s">
        <v>190</v>
      </c>
      <c r="K29" s="7" t="s">
        <v>171</v>
      </c>
      <c r="L29" s="7" t="s">
        <v>198</v>
      </c>
      <c r="M29" s="21" t="s">
        <v>45</v>
      </c>
      <c r="N29" s="7" t="s">
        <v>191</v>
      </c>
      <c r="O29" s="20">
        <v>1500</v>
      </c>
      <c r="P29" s="59">
        <v>121500</v>
      </c>
      <c r="Q29" s="20">
        <v>1385.0740740740741</v>
      </c>
      <c r="R29" s="30">
        <v>9309</v>
      </c>
      <c r="S29" s="32">
        <f t="shared" si="1"/>
        <v>112191</v>
      </c>
      <c r="T29" s="58">
        <v>3</v>
      </c>
      <c r="U29" s="7" t="s">
        <v>192</v>
      </c>
      <c r="V29" s="7" t="s">
        <v>199</v>
      </c>
      <c r="W29" s="4" t="s">
        <v>138</v>
      </c>
      <c r="X29" s="4" t="s">
        <v>113</v>
      </c>
      <c r="Y29" s="4" t="s">
        <v>867</v>
      </c>
      <c r="Z29" s="7">
        <v>10006720</v>
      </c>
      <c r="AA29" s="7" t="s">
        <v>114</v>
      </c>
      <c r="AB29" s="7" t="str">
        <f t="shared" si="60"/>
        <v>FEBRERO10006720Compensación</v>
      </c>
      <c r="AC29" s="26">
        <f>INDEX('Detalle Costos'!$L$5:$L$158,MATCH(Resumen!AB29,'Detalle Costos'!$C$5:$C$158,0))*1000*0+AJ29+229398.68/1634.3</f>
        <v>1734.9284164208502</v>
      </c>
      <c r="AD29" s="42">
        <f>IFERROR(INDEX('Detalle Costos'!$X$5:$X$158,MATCH(Resumen!AB29,'Detalle Costos'!$C$5:$C$158,0))*AH29,0)</f>
        <v>91098.045068835141</v>
      </c>
      <c r="AE29" s="42">
        <f>IFERROR(INDEX('Detalle Costos'!$Z$5:$Z$158,MATCH(Resumen!AB29,'Detalle Costos'!$C$5:$C$158,0))*AH29,0)</f>
        <v>20844.949325109999</v>
      </c>
      <c r="AF29" s="42">
        <f>IFERROR(INDEX('Detalle Costos'!$Y$5:$Y$158,MATCH(Resumen!AB29,'Detalle Costos'!$C$5:$C$158,0))*AH29,0)</f>
        <v>1365.3309954330762</v>
      </c>
      <c r="AG29" s="42">
        <f>IFERROR(INDEX('Detalle Costos'!$AA$5:$AA$158,MATCH(Resumen!AB29,'Detalle Costos'!$C$5:$C$158,0))*AH29,0)</f>
        <v>27220.876340710645</v>
      </c>
      <c r="AH29" s="42">
        <f t="shared" si="54"/>
        <v>140529.20173008885</v>
      </c>
      <c r="AI29" s="26">
        <f>+G29</f>
        <v>81</v>
      </c>
      <c r="AJ29" s="43">
        <v>1594.5633182136667</v>
      </c>
      <c r="AK29" s="42">
        <f t="shared" si="66"/>
        <v>129159.62877530701</v>
      </c>
      <c r="AL29" s="43">
        <f t="shared" si="4"/>
        <v>-19029.201730088855</v>
      </c>
      <c r="AM29" s="92">
        <f t="shared" si="5"/>
        <v>-0.15661894428056672</v>
      </c>
      <c r="AN29" s="42">
        <f t="shared" si="6"/>
        <v>9309</v>
      </c>
      <c r="AO29" s="42">
        <f t="shared" si="55"/>
        <v>1602.3740081953272</v>
      </c>
      <c r="AP29" s="42">
        <f t="shared" si="61"/>
        <v>-504.37512337431093</v>
      </c>
      <c r="AQ29" s="42">
        <f t="shared" si="8"/>
        <v>10406.998884821016</v>
      </c>
      <c r="AR29" s="42">
        <f t="shared" si="62"/>
        <v>2805.4359664688245</v>
      </c>
      <c r="AS29" s="42">
        <f t="shared" si="63"/>
        <v>3365.73</v>
      </c>
      <c r="AT29" s="43">
        <f t="shared" si="11"/>
        <v>-28875.906581378695</v>
      </c>
      <c r="AU29" s="92">
        <f t="shared" si="12"/>
        <v>-0.23766178256278761</v>
      </c>
      <c r="AV29" s="42">
        <f t="shared" si="64"/>
        <v>7359.9326928960418</v>
      </c>
      <c r="AW29" s="43">
        <f t="shared" si="14"/>
        <v>-36235.839274274738</v>
      </c>
      <c r="AX29" s="92">
        <f t="shared" si="15"/>
        <v>-0.29823736028209663</v>
      </c>
      <c r="AY29" s="42">
        <f t="shared" si="65"/>
        <v>6138.0327663219568</v>
      </c>
      <c r="AZ29" s="43">
        <f t="shared" si="17"/>
        <v>-22737.873815056737</v>
      </c>
      <c r="BA29" s="92">
        <f t="shared" si="18"/>
        <v>-0.1871429943626069</v>
      </c>
      <c r="BC29" s="10">
        <f t="shared" si="36"/>
        <v>1500</v>
      </c>
      <c r="BD29" s="10">
        <f t="shared" si="37"/>
        <v>-1124.6672230720387</v>
      </c>
      <c r="BE29" s="10">
        <f t="shared" si="38"/>
        <v>-257.34505339641976</v>
      </c>
      <c r="BF29" s="10">
        <f t="shared" si="39"/>
        <v>-16.855938215223162</v>
      </c>
      <c r="BG29" s="10">
        <f t="shared" si="40"/>
        <v>-336.06020173716848</v>
      </c>
      <c r="BH29" s="10">
        <f t="shared" si="41"/>
        <v>-1734.92841642085</v>
      </c>
      <c r="BI29" s="10">
        <f t="shared" si="42"/>
        <v>-234.92841642085006</v>
      </c>
      <c r="BJ29" s="10">
        <f t="shared" si="43"/>
        <v>-114.92592592592592</v>
      </c>
      <c r="BK29" s="10">
        <f t="shared" si="44"/>
        <v>6.2268533749914932</v>
      </c>
      <c r="BL29" s="10">
        <f t="shared" si="45"/>
        <v>-128.48146771383969</v>
      </c>
      <c r="BM29" s="10">
        <f t="shared" si="46"/>
        <v>-34.635011931713883</v>
      </c>
      <c r="BN29" s="10">
        <f t="shared" si="47"/>
        <v>41.55222222222222</v>
      </c>
      <c r="BO29" s="10">
        <f t="shared" si="48"/>
        <v>-356.49267384418141</v>
      </c>
      <c r="BP29" s="10">
        <f t="shared" si="49"/>
        <v>-90.863366578963479</v>
      </c>
      <c r="BQ29" s="10">
        <f t="shared" si="50"/>
        <v>-447.35604042314492</v>
      </c>
      <c r="BR29" s="10">
        <f t="shared" si="51"/>
        <v>75.778182300271069</v>
      </c>
      <c r="BS29" s="10">
        <f t="shared" si="52"/>
        <v>-280.71449154391036</v>
      </c>
    </row>
    <row r="30" spans="2:71">
      <c r="B30" s="4" t="s">
        <v>7</v>
      </c>
      <c r="C30" s="27" t="str">
        <f t="shared" si="0"/>
        <v>FEBRERO</v>
      </c>
      <c r="D30" s="27" t="s">
        <v>200</v>
      </c>
      <c r="E30" s="98">
        <v>40</v>
      </c>
      <c r="F30" s="98">
        <v>46080</v>
      </c>
      <c r="G30" s="101">
        <v>27</v>
      </c>
      <c r="H30" s="27" t="s">
        <v>495</v>
      </c>
      <c r="I30" s="27" t="s">
        <v>201</v>
      </c>
      <c r="J30" s="7"/>
      <c r="K30" s="7" t="s">
        <v>171</v>
      </c>
      <c r="L30" s="7" t="s">
        <v>202</v>
      </c>
      <c r="M30" s="21" t="s">
        <v>54</v>
      </c>
      <c r="N30" s="7" t="s">
        <v>203</v>
      </c>
      <c r="O30" s="20">
        <v>3400</v>
      </c>
      <c r="P30" s="59">
        <v>91800</v>
      </c>
      <c r="Q30" s="20">
        <v>3292.5925925925926</v>
      </c>
      <c r="R30" s="30">
        <v>2900</v>
      </c>
      <c r="S30" s="32">
        <f t="shared" si="1"/>
        <v>88900</v>
      </c>
      <c r="T30" s="58">
        <v>1</v>
      </c>
      <c r="U30" s="143" t="s">
        <v>173</v>
      </c>
      <c r="V30" s="143">
        <v>6445569300</v>
      </c>
      <c r="W30" s="4" t="s">
        <v>122</v>
      </c>
      <c r="X30" s="4" t="s">
        <v>113</v>
      </c>
      <c r="Y30" s="4" t="s">
        <v>868</v>
      </c>
      <c r="Z30" s="7">
        <v>10009239</v>
      </c>
      <c r="AA30" s="7" t="s">
        <v>114</v>
      </c>
      <c r="AB30" s="7" t="str">
        <f t="shared" si="60"/>
        <v>FEBRERO10009239Compensación</v>
      </c>
      <c r="AC30" s="26">
        <f>INDEX('Detalle Costos'!$L$5:$L$158,MATCH(Resumen!AB30,'Detalle Costos'!$C$5:$C$158,0))*1000*0+AJ30+229398.68/1634.3</f>
        <v>2209.4137093182953</v>
      </c>
      <c r="AD30" s="42">
        <f>IFERROR(INDEX('Detalle Costos'!$X$5:$X$158,MATCH(Resumen!AB30,'Detalle Costos'!$C$5:$C$158,0))*AH30,0)</f>
        <v>30346.048156744939</v>
      </c>
      <c r="AE30" s="42">
        <f>IFERROR(INDEX('Detalle Costos'!$Z$5:$Z$158,MATCH(Resumen!AB30,'Detalle Costos'!$C$5:$C$158,0))*AH30,0)</f>
        <v>19824.185962178493</v>
      </c>
      <c r="AF30" s="42">
        <f>IFERROR(INDEX('Detalle Costos'!$Y$5:$Y$158,MATCH(Resumen!AB30,'Detalle Costos'!$C$5:$C$158,0))*AH30,0)</f>
        <v>381.56023311289277</v>
      </c>
      <c r="AG30" s="42">
        <f>IFERROR(INDEX('Detalle Costos'!$AA$5:$AA$158,MATCH(Resumen!AB30,'Detalle Costos'!$C$5:$C$158,0))*AH30,0)</f>
        <v>9102.3757995576543</v>
      </c>
      <c r="AH30" s="42">
        <f t="shared" si="54"/>
        <v>59654.170151593971</v>
      </c>
      <c r="AI30" s="26">
        <v>27</v>
      </c>
      <c r="AJ30" s="43">
        <v>2069.0486111111118</v>
      </c>
      <c r="AK30" s="42">
        <f>AJ30*AI30</f>
        <v>55864.312500000015</v>
      </c>
      <c r="AL30" s="43">
        <f t="shared" si="4"/>
        <v>32145.829848406029</v>
      </c>
      <c r="AM30" s="92">
        <f t="shared" si="5"/>
        <v>0.35017243843579554</v>
      </c>
      <c r="AN30" s="42">
        <f t="shared" si="6"/>
        <v>2900</v>
      </c>
      <c r="AO30" s="42">
        <f t="shared" si="55"/>
        <v>534.12466939844239</v>
      </c>
      <c r="AP30" s="42">
        <f t="shared" si="61"/>
        <v>-168.12504112477032</v>
      </c>
      <c r="AQ30" s="42">
        <f t="shared" si="8"/>
        <v>3265.999628273672</v>
      </c>
      <c r="AR30" s="42">
        <f t="shared" si="62"/>
        <v>935.1453221562748</v>
      </c>
      <c r="AS30" s="42">
        <f t="shared" si="63"/>
        <v>2667</v>
      </c>
      <c r="AT30" s="43">
        <f t="shared" si="11"/>
        <v>30611.684897976083</v>
      </c>
      <c r="AU30" s="92">
        <f t="shared" si="12"/>
        <v>0.33346061980366104</v>
      </c>
      <c r="AV30" s="42">
        <f t="shared" si="64"/>
        <v>2453.3108976320141</v>
      </c>
      <c r="AW30" s="43">
        <f t="shared" si="14"/>
        <v>28158.374000344069</v>
      </c>
      <c r="AX30" s="92">
        <f t="shared" si="15"/>
        <v>0.30673610022161296</v>
      </c>
      <c r="AY30" s="42">
        <f t="shared" si="65"/>
        <v>2046.0109221073189</v>
      </c>
      <c r="AZ30" s="43">
        <f t="shared" si="17"/>
        <v>32657.695820083401</v>
      </c>
      <c r="BA30" s="92">
        <f t="shared" si="18"/>
        <v>0.35574832048021132</v>
      </c>
      <c r="BC30" s="10">
        <f t="shared" si="36"/>
        <v>3400</v>
      </c>
      <c r="BD30" s="10">
        <f t="shared" si="37"/>
        <v>-1123.9277095090717</v>
      </c>
      <c r="BE30" s="10">
        <f t="shared" si="38"/>
        <v>-734.22910971031456</v>
      </c>
      <c r="BF30" s="10">
        <f t="shared" si="39"/>
        <v>-14.131860485662695</v>
      </c>
      <c r="BG30" s="10">
        <f t="shared" si="40"/>
        <v>-337.12502961324645</v>
      </c>
      <c r="BH30" s="10">
        <f t="shared" si="41"/>
        <v>-2209.4137093182953</v>
      </c>
      <c r="BI30" s="10">
        <f t="shared" si="42"/>
        <v>1190.5862906817047</v>
      </c>
      <c r="BJ30" s="10">
        <f t="shared" si="43"/>
        <v>-107.4074074074074</v>
      </c>
      <c r="BK30" s="10">
        <f t="shared" si="44"/>
        <v>6.2268533749914932</v>
      </c>
      <c r="BL30" s="10">
        <f t="shared" si="45"/>
        <v>-120.96294919532119</v>
      </c>
      <c r="BM30" s="10">
        <f t="shared" si="46"/>
        <v>-34.635011931713883</v>
      </c>
      <c r="BN30" s="10">
        <f t="shared" si="47"/>
        <v>98.777777777777771</v>
      </c>
      <c r="BO30" s="10">
        <f t="shared" si="48"/>
        <v>1133.7661073324475</v>
      </c>
      <c r="BP30" s="10">
        <f t="shared" si="49"/>
        <v>-90.863366578963479</v>
      </c>
      <c r="BQ30" s="10">
        <f t="shared" si="50"/>
        <v>1042.9027407534841</v>
      </c>
      <c r="BR30" s="10">
        <f t="shared" si="51"/>
        <v>75.778182300271069</v>
      </c>
      <c r="BS30" s="10">
        <f t="shared" si="52"/>
        <v>1209.5442896327186</v>
      </c>
    </row>
    <row r="31" spans="2:71">
      <c r="B31" s="4" t="s">
        <v>7</v>
      </c>
      <c r="C31" s="27" t="str">
        <f t="shared" si="0"/>
        <v>FEBRERO</v>
      </c>
      <c r="D31" s="27" t="s">
        <v>204</v>
      </c>
      <c r="E31" s="98">
        <v>43</v>
      </c>
      <c r="F31" s="98">
        <v>46077</v>
      </c>
      <c r="G31" s="99">
        <v>351</v>
      </c>
      <c r="H31" s="144" t="s">
        <v>33</v>
      </c>
      <c r="I31" s="27" t="s">
        <v>205</v>
      </c>
      <c r="J31" s="4" t="s">
        <v>206</v>
      </c>
      <c r="K31" s="7" t="s">
        <v>171</v>
      </c>
      <c r="L31" s="7" t="s">
        <v>172</v>
      </c>
      <c r="M31" s="21" t="s">
        <v>45</v>
      </c>
      <c r="N31" s="7" t="s">
        <v>191</v>
      </c>
      <c r="O31" s="20">
        <v>1300</v>
      </c>
      <c r="P31" s="59">
        <v>456300</v>
      </c>
      <c r="Q31" s="20">
        <v>1300</v>
      </c>
      <c r="R31" s="30">
        <f>3103*T31</f>
        <v>40339</v>
      </c>
      <c r="S31" s="32">
        <f t="shared" si="1"/>
        <v>415961</v>
      </c>
      <c r="T31" s="145">
        <v>13</v>
      </c>
      <c r="U31" s="143" t="s">
        <v>207</v>
      </c>
      <c r="V31" s="143">
        <v>6445505270</v>
      </c>
      <c r="W31" s="146" t="s">
        <v>122</v>
      </c>
      <c r="X31" s="4" t="s">
        <v>113</v>
      </c>
      <c r="Y31" s="4" t="s">
        <v>867</v>
      </c>
      <c r="Z31" s="7">
        <v>10005721</v>
      </c>
      <c r="AA31" s="7" t="s">
        <v>114</v>
      </c>
      <c r="AB31" s="7" t="str">
        <f t="shared" si="60"/>
        <v>FEBRERO10005721Compensación</v>
      </c>
      <c r="AC31" s="26">
        <f>INDEX('Detalle Costos'!$L$5:$L$158,MATCH(Resumen!AB31,'Detalle Costos'!$C$5:$C$158,0))*1000*0+AJ31+229398.68/1634.3</f>
        <v>1812.5716716888853</v>
      </c>
      <c r="AD31" s="42">
        <f>IFERROR(INDEX('Detalle Costos'!$X$5:$X$158,MATCH(Resumen!AB31,'Detalle Costos'!$C$5:$C$158,0))*AH31,0)</f>
        <v>386076.72521795018</v>
      </c>
      <c r="AE31" s="42">
        <f>IFERROR(INDEX('Detalle Costos'!$Z$5:$Z$158,MATCH(Resumen!AB31,'Detalle Costos'!$C$5:$C$158,0))*AH31,0)</f>
        <v>127545.30359488731</v>
      </c>
      <c r="AF31" s="42">
        <f>IFERROR(INDEX('Detalle Costos'!$Y$5:$Y$158,MATCH(Resumen!AB31,'Detalle Costos'!$C$5:$C$158,0))*AH31,0)</f>
        <v>6785.0865087733246</v>
      </c>
      <c r="AG31" s="42">
        <f>IFERROR(INDEX('Detalle Costos'!$AA$5:$AA$158,MATCH(Resumen!AB31,'Detalle Costos'!$C$5:$C$158,0))*AH31,0)</f>
        <v>115805.54144118793</v>
      </c>
      <c r="AH31" s="42">
        <f t="shared" si="54"/>
        <v>636212.65676279878</v>
      </c>
      <c r="AI31" s="26">
        <f>+G31</f>
        <v>351</v>
      </c>
      <c r="AJ31" s="43">
        <v>1672.2065734817018</v>
      </c>
      <c r="AK31" s="42">
        <f>+AJ31*AI31</f>
        <v>586944.50729207729</v>
      </c>
      <c r="AL31" s="43">
        <f t="shared" si="4"/>
        <v>-179912.65676279878</v>
      </c>
      <c r="AM31" s="92">
        <f t="shared" si="5"/>
        <v>-0.39428590129914265</v>
      </c>
      <c r="AN31" s="42">
        <f t="shared" si="6"/>
        <v>40339</v>
      </c>
      <c r="AO31" s="42">
        <f t="shared" si="55"/>
        <v>6943.6207021797509</v>
      </c>
      <c r="AP31" s="42">
        <f t="shared" si="61"/>
        <v>-2185.6255346220141</v>
      </c>
      <c r="AQ31" s="42">
        <f t="shared" si="8"/>
        <v>45096.995167557739</v>
      </c>
      <c r="AR31" s="42">
        <f t="shared" si="62"/>
        <v>12156.889188031573</v>
      </c>
      <c r="AS31" s="42">
        <f t="shared" si="63"/>
        <v>12478.83</v>
      </c>
      <c r="AT31" s="43">
        <f t="shared" si="11"/>
        <v>-224687.71111838811</v>
      </c>
      <c r="AU31" s="92">
        <f t="shared" si="12"/>
        <v>-0.49241225316324372</v>
      </c>
      <c r="AV31" s="42">
        <f t="shared" si="64"/>
        <v>31893.041669216182</v>
      </c>
      <c r="AW31" s="43">
        <f t="shared" si="14"/>
        <v>-256580.75278760429</v>
      </c>
      <c r="AX31" s="92">
        <f t="shared" si="15"/>
        <v>-0.56230715053167712</v>
      </c>
      <c r="AY31" s="42">
        <f t="shared" si="65"/>
        <v>26598.141987395145</v>
      </c>
      <c r="AZ31" s="43">
        <f t="shared" si="17"/>
        <v>-198089.56913099295</v>
      </c>
      <c r="BA31" s="92">
        <f t="shared" si="18"/>
        <v>-0.43412134370149674</v>
      </c>
      <c r="BC31" s="10">
        <f t="shared" si="36"/>
        <v>1300</v>
      </c>
      <c r="BD31" s="10">
        <f t="shared" si="37"/>
        <v>-1099.9336900796302</v>
      </c>
      <c r="BE31" s="10">
        <f t="shared" si="38"/>
        <v>-363.37693331876727</v>
      </c>
      <c r="BF31" s="10">
        <f t="shared" si="39"/>
        <v>-19.330730794225996</v>
      </c>
      <c r="BG31" s="10">
        <f t="shared" si="40"/>
        <v>-329.93031749626192</v>
      </c>
      <c r="BH31" s="10">
        <f t="shared" si="41"/>
        <v>-1812.5716716888853</v>
      </c>
      <c r="BI31" s="10">
        <f t="shared" si="42"/>
        <v>-512.57167168888543</v>
      </c>
      <c r="BJ31" s="10">
        <f t="shared" si="43"/>
        <v>-114.92592592592592</v>
      </c>
      <c r="BK31" s="10">
        <f t="shared" si="44"/>
        <v>6.2268533749914932</v>
      </c>
      <c r="BL31" s="10">
        <f t="shared" si="45"/>
        <v>-128.48146771383972</v>
      </c>
      <c r="BM31" s="10">
        <f t="shared" si="46"/>
        <v>-34.635011931713883</v>
      </c>
      <c r="BN31" s="10">
        <f t="shared" si="47"/>
        <v>35.55222222222222</v>
      </c>
      <c r="BO31" s="10">
        <f t="shared" si="48"/>
        <v>-640.13592911221679</v>
      </c>
      <c r="BP31" s="10">
        <f t="shared" si="49"/>
        <v>-90.863366578963479</v>
      </c>
      <c r="BQ31" s="10">
        <f t="shared" si="50"/>
        <v>-730.99929569118035</v>
      </c>
      <c r="BR31" s="10">
        <f t="shared" si="51"/>
        <v>75.778182300271069</v>
      </c>
      <c r="BS31" s="10">
        <f t="shared" si="52"/>
        <v>-564.35774681194573</v>
      </c>
    </row>
    <row r="32" spans="2:71">
      <c r="B32" s="4" t="s">
        <v>7</v>
      </c>
      <c r="C32" s="27" t="str">
        <f t="shared" si="0"/>
        <v>FEBRERO</v>
      </c>
      <c r="D32" s="27" t="s">
        <v>208</v>
      </c>
      <c r="E32" s="98">
        <v>43</v>
      </c>
      <c r="F32" s="98">
        <v>46075</v>
      </c>
      <c r="G32" s="99">
        <v>135</v>
      </c>
      <c r="H32" s="144" t="s">
        <v>33</v>
      </c>
      <c r="I32" s="27" t="s">
        <v>205</v>
      </c>
      <c r="J32" s="4" t="s">
        <v>206</v>
      </c>
      <c r="K32" s="7" t="s">
        <v>171</v>
      </c>
      <c r="L32" s="7" t="s">
        <v>209</v>
      </c>
      <c r="M32" s="21" t="s">
        <v>45</v>
      </c>
      <c r="N32" s="7" t="s">
        <v>191</v>
      </c>
      <c r="O32" s="20">
        <v>1300</v>
      </c>
      <c r="P32" s="59">
        <v>175500</v>
      </c>
      <c r="Q32" s="20">
        <v>1300</v>
      </c>
      <c r="R32" s="30">
        <f>3103*T32</f>
        <v>15515</v>
      </c>
      <c r="S32" s="32">
        <f t="shared" si="1"/>
        <v>159985</v>
      </c>
      <c r="T32" s="145">
        <v>5</v>
      </c>
      <c r="U32" s="143" t="s">
        <v>210</v>
      </c>
      <c r="V32" s="143">
        <v>6445260920</v>
      </c>
      <c r="W32" s="146" t="s">
        <v>122</v>
      </c>
      <c r="X32" s="4" t="s">
        <v>113</v>
      </c>
      <c r="Y32" s="4" t="s">
        <v>867</v>
      </c>
      <c r="Z32" s="7">
        <v>10005721</v>
      </c>
      <c r="AA32" s="7" t="s">
        <v>114</v>
      </c>
      <c r="AB32" s="7" t="str">
        <f t="shared" si="60"/>
        <v>FEBRERO10005721Compensación</v>
      </c>
      <c r="AC32" s="26">
        <f>INDEX('Detalle Costos'!$L$5:$L$158,MATCH(Resumen!AB32,'Detalle Costos'!$C$5:$C$158,0))*1000*0+AJ32+229398.68/1634.3</f>
        <v>1812.5716716888853</v>
      </c>
      <c r="AD32" s="42">
        <f>IFERROR(INDEX('Detalle Costos'!$X$5:$X$158,MATCH(Resumen!AB32,'Detalle Costos'!$C$5:$C$158,0))*AH32,0)</f>
        <v>148491.04816075007</v>
      </c>
      <c r="AE32" s="42">
        <f>IFERROR(INDEX('Detalle Costos'!$Z$5:$Z$158,MATCH(Resumen!AB32,'Detalle Costos'!$C$5:$C$158,0))*AH32,0)</f>
        <v>49055.885998033576</v>
      </c>
      <c r="AF32" s="42">
        <f>IFERROR(INDEX('Detalle Costos'!$Y$5:$Y$158,MATCH(Resumen!AB32,'Detalle Costos'!$C$5:$C$158,0))*AH32,0)</f>
        <v>2609.648657220509</v>
      </c>
      <c r="AG32" s="42">
        <f>IFERROR(INDEX('Detalle Costos'!$AA$5:$AA$158,MATCH(Resumen!AB32,'Detalle Costos'!$C$5:$C$158,0))*AH32,0)</f>
        <v>44540.592861995356</v>
      </c>
      <c r="AH32" s="42">
        <f t="shared" si="54"/>
        <v>244697.1756779995</v>
      </c>
      <c r="AI32" s="26">
        <f>+G32</f>
        <v>135</v>
      </c>
      <c r="AJ32" s="43">
        <v>1672.2065734817018</v>
      </c>
      <c r="AK32" s="42">
        <v>238110</v>
      </c>
      <c r="AL32" s="43">
        <f t="shared" si="4"/>
        <v>-69197.175677999505</v>
      </c>
      <c r="AM32" s="92">
        <f t="shared" si="5"/>
        <v>-0.39428590129914248</v>
      </c>
      <c r="AN32" s="42">
        <f t="shared" si="6"/>
        <v>15515</v>
      </c>
      <c r="AO32" s="42">
        <f t="shared" si="55"/>
        <v>2670.6233469922122</v>
      </c>
      <c r="AP32" s="42">
        <f t="shared" si="61"/>
        <v>-840.62520562385157</v>
      </c>
      <c r="AQ32" s="42">
        <f t="shared" si="8"/>
        <v>17344.99814136836</v>
      </c>
      <c r="AR32" s="42">
        <f t="shared" si="62"/>
        <v>4675.7266107813739</v>
      </c>
      <c r="AS32" s="42">
        <f t="shared" si="63"/>
        <v>4799.55</v>
      </c>
      <c r="AT32" s="43">
        <f t="shared" si="11"/>
        <v>-86418.350430149236</v>
      </c>
      <c r="AU32" s="92">
        <f t="shared" si="12"/>
        <v>-0.4924122531632435</v>
      </c>
      <c r="AV32" s="42">
        <f t="shared" si="64"/>
        <v>12266.554488160069</v>
      </c>
      <c r="AW32" s="43">
        <f t="shared" si="14"/>
        <v>-98684.904918309301</v>
      </c>
      <c r="AX32" s="92">
        <f t="shared" si="15"/>
        <v>-0.5623071505316769</v>
      </c>
      <c r="AY32" s="42">
        <f t="shared" si="65"/>
        <v>10230.054610536594</v>
      </c>
      <c r="AZ32" s="43">
        <f t="shared" si="17"/>
        <v>-76188.295819612642</v>
      </c>
      <c r="BA32" s="92">
        <f t="shared" si="18"/>
        <v>-0.43412134370149652</v>
      </c>
      <c r="BC32" s="10">
        <f t="shared" si="36"/>
        <v>1300</v>
      </c>
      <c r="BD32" s="10">
        <f t="shared" si="37"/>
        <v>-1099.9336900796302</v>
      </c>
      <c r="BE32" s="10">
        <f t="shared" si="38"/>
        <v>-363.37693331876721</v>
      </c>
      <c r="BF32" s="10">
        <f t="shared" si="39"/>
        <v>-19.330730794225992</v>
      </c>
      <c r="BG32" s="10">
        <f t="shared" si="40"/>
        <v>-329.93031749626192</v>
      </c>
      <c r="BH32" s="10">
        <f t="shared" si="41"/>
        <v>-1812.5716716888853</v>
      </c>
      <c r="BI32" s="10">
        <f t="shared" si="42"/>
        <v>-512.5716716888852</v>
      </c>
      <c r="BJ32" s="10">
        <f t="shared" si="43"/>
        <v>-114.92592592592592</v>
      </c>
      <c r="BK32" s="10">
        <f t="shared" si="44"/>
        <v>6.2268533749914932</v>
      </c>
      <c r="BL32" s="10">
        <f t="shared" si="45"/>
        <v>-128.48146771383969</v>
      </c>
      <c r="BM32" s="10">
        <f t="shared" si="46"/>
        <v>-34.635011931713883</v>
      </c>
      <c r="BN32" s="10">
        <f t="shared" si="47"/>
        <v>35.552222222222227</v>
      </c>
      <c r="BO32" s="10">
        <f t="shared" si="48"/>
        <v>-640.13592911221656</v>
      </c>
      <c r="BP32" s="10">
        <f t="shared" si="49"/>
        <v>-90.863366578963479</v>
      </c>
      <c r="BQ32" s="10">
        <f t="shared" si="50"/>
        <v>-730.99929569118001</v>
      </c>
      <c r="BR32" s="10">
        <f t="shared" si="51"/>
        <v>75.778182300271069</v>
      </c>
      <c r="BS32" s="10">
        <f t="shared" si="52"/>
        <v>-564.3577468119455</v>
      </c>
    </row>
    <row r="33" spans="2:71">
      <c r="B33" s="4" t="s">
        <v>7</v>
      </c>
      <c r="C33" s="27" t="str">
        <f t="shared" si="0"/>
        <v>FEBRERO</v>
      </c>
      <c r="D33" s="27" t="s">
        <v>211</v>
      </c>
      <c r="E33" s="98">
        <v>43</v>
      </c>
      <c r="F33" s="98">
        <v>46075</v>
      </c>
      <c r="G33" s="99">
        <v>54</v>
      </c>
      <c r="H33" s="144" t="s">
        <v>33</v>
      </c>
      <c r="I33" s="27" t="s">
        <v>205</v>
      </c>
      <c r="J33" s="4" t="s">
        <v>206</v>
      </c>
      <c r="K33" s="7" t="s">
        <v>171</v>
      </c>
      <c r="L33" s="7" t="s">
        <v>198</v>
      </c>
      <c r="M33" s="21" t="s">
        <v>45</v>
      </c>
      <c r="N33" s="7" t="s">
        <v>191</v>
      </c>
      <c r="O33" s="20">
        <v>1300</v>
      </c>
      <c r="P33" s="59">
        <v>70200</v>
      </c>
      <c r="Q33" s="20">
        <v>1300</v>
      </c>
      <c r="R33" s="30">
        <f>3103*T33</f>
        <v>6206</v>
      </c>
      <c r="S33" s="32">
        <f t="shared" si="1"/>
        <v>63994</v>
      </c>
      <c r="T33" s="31">
        <v>2</v>
      </c>
      <c r="U33" s="143" t="s">
        <v>210</v>
      </c>
      <c r="V33" s="143">
        <v>6445502930</v>
      </c>
      <c r="W33" s="146" t="s">
        <v>122</v>
      </c>
      <c r="X33" s="4" t="s">
        <v>113</v>
      </c>
      <c r="Y33" s="4" t="s">
        <v>867</v>
      </c>
      <c r="Z33" s="7">
        <v>10005721</v>
      </c>
      <c r="AA33" s="7" t="s">
        <v>114</v>
      </c>
      <c r="AB33" s="7" t="str">
        <f t="shared" si="60"/>
        <v>FEBRERO10005721Compensación</v>
      </c>
      <c r="AC33" s="26">
        <f>INDEX('Detalle Costos'!$L$5:$L$158,MATCH(Resumen!AB33,'Detalle Costos'!$C$5:$C$158,0))*1000*0+AJ33+229398.68/1634.3</f>
        <v>1812.5716716888853</v>
      </c>
      <c r="AD33" s="42">
        <f>IFERROR(INDEX('Detalle Costos'!$X$5:$X$158,MATCH(Resumen!AB33,'Detalle Costos'!$C$5:$C$158,0))*AH33,0)</f>
        <v>59396.419264300028</v>
      </c>
      <c r="AE33" s="42">
        <f>IFERROR(INDEX('Detalle Costos'!$Z$5:$Z$158,MATCH(Resumen!AB33,'Detalle Costos'!$C$5:$C$158,0))*AH33,0)</f>
        <v>19622.354399213429</v>
      </c>
      <c r="AF33" s="42">
        <f>IFERROR(INDEX('Detalle Costos'!$Y$5:$Y$158,MATCH(Resumen!AB33,'Detalle Costos'!$C$5:$C$158,0))*AH33,0)</f>
        <v>1043.8594628882038</v>
      </c>
      <c r="AG33" s="42">
        <f>IFERROR(INDEX('Detalle Costos'!$AA$5:$AA$158,MATCH(Resumen!AB33,'Detalle Costos'!$C$5:$C$158,0))*AH33,0)</f>
        <v>17816.237144798142</v>
      </c>
      <c r="AH33" s="42">
        <f t="shared" si="54"/>
        <v>97878.870271199805</v>
      </c>
      <c r="AI33" s="26">
        <f>+G33</f>
        <v>54</v>
      </c>
      <c r="AJ33" s="43">
        <v>1672.2065734817018</v>
      </c>
      <c r="AK33" s="42">
        <f>+AJ33*AI33</f>
        <v>90299.154968011891</v>
      </c>
      <c r="AL33" s="43">
        <f t="shared" si="4"/>
        <v>-27678.870271199805</v>
      </c>
      <c r="AM33" s="92">
        <f t="shared" si="5"/>
        <v>-0.39428590129914254</v>
      </c>
      <c r="AN33" s="42">
        <f t="shared" si="6"/>
        <v>6206</v>
      </c>
      <c r="AO33" s="42">
        <f t="shared" si="55"/>
        <v>1068.2493387968848</v>
      </c>
      <c r="AP33" s="42">
        <f t="shared" si="61"/>
        <v>-336.25008224954064</v>
      </c>
      <c r="AQ33" s="42">
        <f t="shared" si="8"/>
        <v>6937.999256547344</v>
      </c>
      <c r="AR33" s="42">
        <f t="shared" si="62"/>
        <v>1870.2906443125496</v>
      </c>
      <c r="AS33" s="42">
        <f t="shared" si="63"/>
        <v>1919.82</v>
      </c>
      <c r="AT33" s="43">
        <f t="shared" si="11"/>
        <v>-34567.340172059696</v>
      </c>
      <c r="AU33" s="92">
        <f t="shared" si="12"/>
        <v>-0.49241225316324355</v>
      </c>
      <c r="AV33" s="42">
        <f t="shared" si="64"/>
        <v>4906.6217952640282</v>
      </c>
      <c r="AW33" s="43">
        <f t="shared" si="14"/>
        <v>-39473.961967323725</v>
      </c>
      <c r="AX33" s="92">
        <f t="shared" si="15"/>
        <v>-0.56230715053167701</v>
      </c>
      <c r="AY33" s="42">
        <f t="shared" si="65"/>
        <v>4092.0218442146379</v>
      </c>
      <c r="AZ33" s="43">
        <f t="shared" si="17"/>
        <v>-30475.31832784506</v>
      </c>
      <c r="BA33" s="92">
        <f t="shared" si="18"/>
        <v>-0.43412134370149658</v>
      </c>
      <c r="BC33" s="10">
        <f t="shared" si="36"/>
        <v>1300</v>
      </c>
      <c r="BD33" s="10">
        <f t="shared" si="37"/>
        <v>-1099.9336900796302</v>
      </c>
      <c r="BE33" s="10">
        <f t="shared" si="38"/>
        <v>-363.37693331876721</v>
      </c>
      <c r="BF33" s="10">
        <f t="shared" si="39"/>
        <v>-19.330730794225996</v>
      </c>
      <c r="BG33" s="10">
        <f t="shared" si="40"/>
        <v>-329.93031749626192</v>
      </c>
      <c r="BH33" s="10">
        <f t="shared" si="41"/>
        <v>-1812.5716716888853</v>
      </c>
      <c r="BI33" s="10">
        <f t="shared" si="42"/>
        <v>-512.57167168888532</v>
      </c>
      <c r="BJ33" s="10">
        <f t="shared" si="43"/>
        <v>-114.92592592592592</v>
      </c>
      <c r="BK33" s="10">
        <f t="shared" si="44"/>
        <v>6.2268533749914932</v>
      </c>
      <c r="BL33" s="10">
        <f t="shared" si="45"/>
        <v>-128.48146771383969</v>
      </c>
      <c r="BM33" s="10">
        <f t="shared" si="46"/>
        <v>-34.635011931713883</v>
      </c>
      <c r="BN33" s="10">
        <f t="shared" si="47"/>
        <v>35.55222222222222</v>
      </c>
      <c r="BO33" s="10">
        <f t="shared" si="48"/>
        <v>-640.13592911221656</v>
      </c>
      <c r="BP33" s="10">
        <f t="shared" si="49"/>
        <v>-90.863366578963479</v>
      </c>
      <c r="BQ33" s="10">
        <f t="shared" si="50"/>
        <v>-730.99929569118012</v>
      </c>
      <c r="BR33" s="10">
        <f t="shared" si="51"/>
        <v>75.778182300271069</v>
      </c>
      <c r="BS33" s="10">
        <f t="shared" si="52"/>
        <v>-564.3577468119455</v>
      </c>
    </row>
    <row r="34" spans="2:71">
      <c r="B34" s="7" t="s">
        <v>7</v>
      </c>
      <c r="C34" s="27" t="str">
        <f t="shared" si="0"/>
        <v>FEBRERO</v>
      </c>
      <c r="D34" s="25" t="s">
        <v>212</v>
      </c>
      <c r="E34" s="98">
        <v>43</v>
      </c>
      <c r="F34" s="98">
        <v>46076</v>
      </c>
      <c r="G34" s="99">
        <v>156</v>
      </c>
      <c r="H34" s="102" t="s">
        <v>31</v>
      </c>
      <c r="I34" s="103" t="s">
        <v>107</v>
      </c>
      <c r="J34" s="7" t="s">
        <v>213</v>
      </c>
      <c r="K34" s="7" t="s">
        <v>161</v>
      </c>
      <c r="L34" s="7" t="s">
        <v>147</v>
      </c>
      <c r="M34" s="21" t="s">
        <v>44</v>
      </c>
      <c r="N34" s="7" t="s">
        <v>214</v>
      </c>
      <c r="O34" s="20">
        <v>2500</v>
      </c>
      <c r="P34" s="59">
        <v>390000</v>
      </c>
      <c r="Q34" s="30">
        <v>2337.2307692307691</v>
      </c>
      <c r="R34" s="30">
        <v>25392</v>
      </c>
      <c r="S34" s="32">
        <f t="shared" si="1"/>
        <v>364608</v>
      </c>
      <c r="T34" s="31">
        <v>4</v>
      </c>
      <c r="U34" s="29" t="s">
        <v>215</v>
      </c>
      <c r="V34" s="147">
        <v>11428031</v>
      </c>
      <c r="W34" s="25" t="s">
        <v>112</v>
      </c>
      <c r="X34" s="4" t="s">
        <v>113</v>
      </c>
      <c r="Y34" s="4" t="s">
        <v>867</v>
      </c>
      <c r="Z34" s="7">
        <v>10007162</v>
      </c>
      <c r="AA34" s="7" t="s">
        <v>114</v>
      </c>
      <c r="AB34" s="7" t="str">
        <f t="shared" si="60"/>
        <v>FEBRERO10007162Compensación</v>
      </c>
      <c r="AC34" s="26">
        <f>INDEX('Detalle Costos'!$L$5:$L$158,MATCH(Resumen!AB34,'Detalle Costos'!$C$5:$C$158,0))*1000*0+AJ34+229398.68/1634.3</f>
        <v>1806.2113098070079</v>
      </c>
      <c r="AD34" s="42">
        <f>IFERROR(INDEX('Detalle Costos'!$X$5:$X$158,MATCH(Resumen!AB34,'Detalle Costos'!$C$5:$C$158,0))*AH34,0)</f>
        <v>176884.88003383888</v>
      </c>
      <c r="AE34" s="42">
        <f>IFERROR(INDEX('Detalle Costos'!$Z$5:$Z$158,MATCH(Resumen!AB34,'Detalle Costos'!$C$5:$C$158,0))*AH34,0)</f>
        <v>50472.682917182545</v>
      </c>
      <c r="AF34" s="42">
        <f>IFERROR(INDEX('Detalle Costos'!$Y$5:$Y$158,MATCH(Resumen!AB34,'Detalle Costos'!$C$5:$C$158,0))*AH34,0)</f>
        <v>2627.8446091336818</v>
      </c>
      <c r="AG34" s="42">
        <f>IFERROR(INDEX('Detalle Costos'!$AA$5:$AA$158,MATCH(Resumen!AB34,'Detalle Costos'!$C$5:$C$158,0))*AH34,0)</f>
        <v>51783.556769738076</v>
      </c>
      <c r="AH34" s="42">
        <f t="shared" si="54"/>
        <v>281768.96432989324</v>
      </c>
      <c r="AI34" s="26">
        <f>+G34</f>
        <v>156</v>
      </c>
      <c r="AJ34" s="43">
        <v>1665.8462115998243</v>
      </c>
      <c r="AK34" s="42">
        <f>AJ34*AI34</f>
        <v>259872.00900957259</v>
      </c>
      <c r="AL34" s="43">
        <f t="shared" si="4"/>
        <v>108231.03567010676</v>
      </c>
      <c r="AM34" s="92">
        <f t="shared" si="5"/>
        <v>0.27751547607719684</v>
      </c>
      <c r="AN34" s="42">
        <f t="shared" si="6"/>
        <v>25392</v>
      </c>
      <c r="AO34" s="42">
        <f t="shared" si="55"/>
        <v>3086.053645413223</v>
      </c>
      <c r="AP34" s="42">
        <f t="shared" si="61"/>
        <v>-971.38912649867291</v>
      </c>
      <c r="AQ34" s="42">
        <f t="shared" si="8"/>
        <v>27506.664518914549</v>
      </c>
      <c r="AR34" s="42">
        <f t="shared" si="62"/>
        <v>5403.0618613473662</v>
      </c>
      <c r="AS34" s="42">
        <f t="shared" si="63"/>
        <v>10938.24</v>
      </c>
      <c r="AT34" s="43">
        <f t="shared" si="11"/>
        <v>86259.549289844857</v>
      </c>
      <c r="AU34" s="92">
        <f t="shared" si="12"/>
        <v>0.22117833151242272</v>
      </c>
      <c r="AV34" s="42">
        <f t="shared" si="64"/>
        <v>14174.685186318302</v>
      </c>
      <c r="AW34" s="43">
        <f t="shared" si="14"/>
        <v>72084.864103526561</v>
      </c>
      <c r="AX34" s="92">
        <f t="shared" si="15"/>
        <v>0.18483298488083733</v>
      </c>
      <c r="AY34" s="42">
        <f t="shared" si="65"/>
        <v>11821.396438842286</v>
      </c>
      <c r="AZ34" s="43">
        <f t="shared" si="17"/>
        <v>98080.945728687147</v>
      </c>
      <c r="BA34" s="92">
        <f t="shared" si="18"/>
        <v>0.25148960443253116</v>
      </c>
      <c r="BC34" s="10">
        <f t="shared" si="36"/>
        <v>2500</v>
      </c>
      <c r="BD34" s="10">
        <f t="shared" si="37"/>
        <v>-1133.8774361143519</v>
      </c>
      <c r="BE34" s="10">
        <f t="shared" si="38"/>
        <v>-323.5428392127086</v>
      </c>
      <c r="BF34" s="10">
        <f t="shared" si="39"/>
        <v>-16.845157750856934</v>
      </c>
      <c r="BG34" s="10">
        <f t="shared" si="40"/>
        <v>-331.94587672909023</v>
      </c>
      <c r="BH34" s="10">
        <f t="shared" si="41"/>
        <v>-1806.2113098070079</v>
      </c>
      <c r="BI34" s="10">
        <f t="shared" si="42"/>
        <v>693.78869019299214</v>
      </c>
      <c r="BJ34" s="10">
        <f t="shared" si="43"/>
        <v>-162.76923076923077</v>
      </c>
      <c r="BK34" s="10">
        <f t="shared" si="44"/>
        <v>6.2268533749914932</v>
      </c>
      <c r="BL34" s="10">
        <f t="shared" si="45"/>
        <v>-176.32477255714454</v>
      </c>
      <c r="BM34" s="10">
        <f t="shared" si="46"/>
        <v>-34.635011931713883</v>
      </c>
      <c r="BN34" s="10">
        <f t="shared" si="47"/>
        <v>70.116923076923072</v>
      </c>
      <c r="BO34" s="10">
        <f t="shared" si="48"/>
        <v>552.94582878105678</v>
      </c>
      <c r="BP34" s="10">
        <f t="shared" si="49"/>
        <v>-90.863366578963479</v>
      </c>
      <c r="BQ34" s="10">
        <f t="shared" si="50"/>
        <v>462.08246220209332</v>
      </c>
      <c r="BR34" s="10">
        <f t="shared" si="51"/>
        <v>75.778182300271069</v>
      </c>
      <c r="BS34" s="10">
        <f t="shared" si="52"/>
        <v>628.72401108132783</v>
      </c>
    </row>
    <row r="35" spans="2:71">
      <c r="B35" s="7" t="s">
        <v>7</v>
      </c>
      <c r="C35" s="27" t="str">
        <f t="shared" si="0"/>
        <v>FEBRERO</v>
      </c>
      <c r="D35" s="27"/>
      <c r="E35" s="98">
        <v>46080</v>
      </c>
      <c r="F35" s="98">
        <v>46080</v>
      </c>
      <c r="G35" s="148">
        <v>0</v>
      </c>
      <c r="H35" s="100" t="s">
        <v>417</v>
      </c>
      <c r="I35" s="27" t="s">
        <v>418</v>
      </c>
      <c r="J35" s="27" t="s">
        <v>418</v>
      </c>
      <c r="K35" s="27" t="s">
        <v>418</v>
      </c>
      <c r="L35" s="27" t="s">
        <v>418</v>
      </c>
      <c r="M35" s="27" t="s">
        <v>419</v>
      </c>
      <c r="N35" s="7"/>
      <c r="O35" s="42">
        <v>0</v>
      </c>
      <c r="P35" s="50">
        <v>40026</v>
      </c>
      <c r="Q35" s="42">
        <v>0</v>
      </c>
      <c r="R35" s="42">
        <v>0</v>
      </c>
      <c r="S35" s="43">
        <f t="shared" si="1"/>
        <v>40026</v>
      </c>
      <c r="T35" s="58"/>
      <c r="U35" s="95"/>
      <c r="V35" s="57"/>
      <c r="W35" s="25"/>
      <c r="X35" s="4"/>
      <c r="Y35" s="4" t="s">
        <v>869</v>
      </c>
      <c r="Z35" s="7"/>
      <c r="AA35" s="7"/>
      <c r="AB35" s="7"/>
      <c r="AC35" s="26">
        <v>0</v>
      </c>
      <c r="AD35" s="42">
        <f>IFERROR(INDEX('Detalle Costos'!$X$5:$X$158,MATCH(Resumen!AB35,'Detalle Costos'!$C$5:$C$158,0))*AH35,0)</f>
        <v>0</v>
      </c>
      <c r="AE35" s="42">
        <f>IFERROR(INDEX('Detalle Costos'!$Z$5:$Z$158,MATCH(Resumen!AB35,'Detalle Costos'!$C$5:$C$158,0))*AH35,0)</f>
        <v>0</v>
      </c>
      <c r="AF35" s="42">
        <f>IFERROR(INDEX('Detalle Costos'!$Y$5:$Y$158,MATCH(Resumen!AB35,'Detalle Costos'!$C$5:$C$158,0))*AH35,0)</f>
        <v>0</v>
      </c>
      <c r="AG35" s="42">
        <f>IFERROR(INDEX('Detalle Costos'!$AA$5:$AA$158,MATCH(Resumen!AB35,'Detalle Costos'!$C$5:$C$158,0))*AH35,0)</f>
        <v>0</v>
      </c>
      <c r="AH35" s="42">
        <f t="shared" si="54"/>
        <v>0</v>
      </c>
      <c r="AI35" s="42"/>
      <c r="AJ35" s="113"/>
      <c r="AK35" s="42"/>
      <c r="AL35" s="43">
        <f t="shared" si="4"/>
        <v>40026</v>
      </c>
      <c r="AM35" s="114">
        <f t="shared" si="5"/>
        <v>1</v>
      </c>
      <c r="AN35" s="42">
        <f t="shared" si="6"/>
        <v>0</v>
      </c>
      <c r="AO35" s="42">
        <f t="shared" si="55"/>
        <v>0</v>
      </c>
      <c r="AP35" s="42">
        <v>0</v>
      </c>
      <c r="AQ35" s="42">
        <f t="shared" si="8"/>
        <v>0</v>
      </c>
      <c r="AR35" s="42">
        <f t="shared" si="62"/>
        <v>0</v>
      </c>
      <c r="AS35" s="42">
        <v>0</v>
      </c>
      <c r="AT35" s="43">
        <f t="shared" si="11"/>
        <v>40026</v>
      </c>
      <c r="AU35" s="114">
        <f t="shared" si="12"/>
        <v>1</v>
      </c>
      <c r="AV35" s="42">
        <f>131251/248*G35</f>
        <v>0</v>
      </c>
      <c r="AW35" s="43">
        <f t="shared" si="14"/>
        <v>40026</v>
      </c>
      <c r="AX35" s="114">
        <f t="shared" si="15"/>
        <v>1</v>
      </c>
      <c r="AY35" s="42">
        <f t="shared" si="65"/>
        <v>0</v>
      </c>
      <c r="AZ35" s="43">
        <f t="shared" si="17"/>
        <v>40026</v>
      </c>
      <c r="BA35" s="114">
        <f t="shared" si="18"/>
        <v>1</v>
      </c>
      <c r="BC35" s="10" t="e">
        <f t="shared" si="36"/>
        <v>#DIV/0!</v>
      </c>
      <c r="BD35" s="10" t="e">
        <f t="shared" si="37"/>
        <v>#DIV/0!</v>
      </c>
      <c r="BE35" s="10" t="e">
        <f t="shared" si="38"/>
        <v>#DIV/0!</v>
      </c>
      <c r="BF35" s="10" t="e">
        <f t="shared" si="39"/>
        <v>#DIV/0!</v>
      </c>
      <c r="BG35" s="10" t="e">
        <f t="shared" si="40"/>
        <v>#DIV/0!</v>
      </c>
      <c r="BH35" s="10" t="e">
        <f t="shared" si="41"/>
        <v>#DIV/0!</v>
      </c>
      <c r="BI35" s="10" t="e">
        <f t="shared" si="42"/>
        <v>#DIV/0!</v>
      </c>
      <c r="BJ35" s="10" t="e">
        <f t="shared" si="43"/>
        <v>#DIV/0!</v>
      </c>
      <c r="BK35" s="10" t="e">
        <f t="shared" si="44"/>
        <v>#DIV/0!</v>
      </c>
      <c r="BL35" s="10" t="e">
        <f t="shared" si="45"/>
        <v>#DIV/0!</v>
      </c>
      <c r="BM35" s="10" t="e">
        <f t="shared" si="46"/>
        <v>#DIV/0!</v>
      </c>
      <c r="BN35" s="10" t="e">
        <f t="shared" si="47"/>
        <v>#DIV/0!</v>
      </c>
      <c r="BO35" s="10" t="e">
        <f t="shared" si="48"/>
        <v>#DIV/0!</v>
      </c>
      <c r="BP35" s="10" t="e">
        <f t="shared" si="49"/>
        <v>#DIV/0!</v>
      </c>
      <c r="BQ35" s="10" t="e">
        <f t="shared" si="50"/>
        <v>#DIV/0!</v>
      </c>
      <c r="BR35" s="10" t="e">
        <f t="shared" si="51"/>
        <v>#DIV/0!</v>
      </c>
      <c r="BS35" s="10" t="e">
        <f t="shared" si="52"/>
        <v>#DIV/0!</v>
      </c>
    </row>
    <row r="36" spans="2:71">
      <c r="B36" s="7" t="s">
        <v>7</v>
      </c>
      <c r="C36" s="123" t="s">
        <v>8</v>
      </c>
      <c r="D36" s="124" t="s">
        <v>216</v>
      </c>
      <c r="E36" s="125">
        <v>325</v>
      </c>
      <c r="F36" s="125">
        <v>46084</v>
      </c>
      <c r="G36" s="126">
        <v>26</v>
      </c>
      <c r="H36" s="127" t="s">
        <v>31</v>
      </c>
      <c r="I36" s="123" t="s">
        <v>107</v>
      </c>
      <c r="J36" s="19" t="s">
        <v>166</v>
      </c>
      <c r="K36" s="7" t="s">
        <v>161</v>
      </c>
      <c r="L36" s="7" t="s">
        <v>147</v>
      </c>
      <c r="M36" s="21" t="s">
        <v>48</v>
      </c>
      <c r="N36" s="7" t="s">
        <v>167</v>
      </c>
      <c r="O36" s="20">
        <v>2600</v>
      </c>
      <c r="P36" s="130">
        <v>67600</v>
      </c>
      <c r="Q36" s="129">
        <v>2518.6153846153848</v>
      </c>
      <c r="R36" s="129">
        <v>4232</v>
      </c>
      <c r="S36" s="131">
        <f t="shared" ref="S36:S67" si="67">P36-R36</f>
        <v>63368</v>
      </c>
      <c r="T36" s="63">
        <v>1</v>
      </c>
      <c r="U36" s="7" t="s">
        <v>217</v>
      </c>
      <c r="V36" s="7">
        <v>51077247</v>
      </c>
      <c r="W36" s="4"/>
      <c r="X36" s="4"/>
      <c r="Y36" s="4" t="s">
        <v>867</v>
      </c>
      <c r="Z36" s="7">
        <v>10007162</v>
      </c>
      <c r="AA36" s="7" t="s">
        <v>218</v>
      </c>
      <c r="AB36" s="7" t="str">
        <f t="shared" ref="AB36:AB41" si="68">B36&amp;Z36&amp;AA36</f>
        <v>FEBRERO10007162Inventario final</v>
      </c>
      <c r="AC36" s="129">
        <f t="shared" ref="AC36:AC41" si="69">AJ36-616968.19/1968.8+215187/1968.8</f>
        <v>1814.1051345683702</v>
      </c>
      <c r="AD36" s="44">
        <f>IFERROR(INDEX('Costos Producción Febrero'!$G$34:$G$57,MATCH(Resumen!Z36,'Costos Producción Febrero'!$B$34:$B$57,0))*AC36*G36,0)</f>
        <v>28920.313392802869</v>
      </c>
      <c r="AE36" s="44">
        <f>IFERROR(INDEX('Costos Producción Febrero'!$H$34:$H$57,MATCH(Resumen!Z36,'Costos Producción Febrero'!$B$34:$B$57,0))*AC36*G36,0)</f>
        <v>8211.0537091591814</v>
      </c>
      <c r="AF36" s="44">
        <f>IFERROR(INDEX('Costos Producción Febrero'!$I$34:$I$57,MATCH(Resumen!Z36,'Costos Producción Febrero'!$B$34:$B$57,0))*AC36*G36,0)</f>
        <v>437.26345095377735</v>
      </c>
      <c r="AG36" s="44">
        <f>IFERROR(INDEX('Costos Producción Febrero'!$J$34:$J$57,MATCH(Resumen!Z36,'Costos Producción Febrero'!$B$34:$B$57,0))*AC36*G36,0)</f>
        <v>9598.1029458617959</v>
      </c>
      <c r="AH36" s="132">
        <f>SUM(AD36:AG36)</f>
        <v>47166.733498777627</v>
      </c>
      <c r="AI36" s="44"/>
      <c r="AJ36" s="43">
        <v>2018.1792863359442</v>
      </c>
      <c r="AK36" s="44"/>
      <c r="AL36" s="133">
        <f t="shared" ref="AL36:AL67" si="70">P36-AH36</f>
        <v>20433.266501222373</v>
      </c>
      <c r="AM36" s="134">
        <f t="shared" ref="AM36:AM67" si="71">AL36/P36</f>
        <v>0.30226725593524223</v>
      </c>
      <c r="AN36" s="42">
        <f t="shared" ref="AN36:AN67" si="72">R36</f>
        <v>4232</v>
      </c>
      <c r="AO36" s="42">
        <f t="shared" ref="AO36:AO67" si="73">118461.136538461/5988.21*G36</f>
        <v>514.34227423553716</v>
      </c>
      <c r="AP36" s="42">
        <f t="shared" ref="AP36:AP71" si="74">106.583523265795*G36</f>
        <v>2771.1716049106699</v>
      </c>
      <c r="AQ36" s="132">
        <f t="shared" ref="AQ36:AQ67" si="75">SUM(AN36:AP36)</f>
        <v>7517.5138791462068</v>
      </c>
      <c r="AR36" s="132">
        <f t="shared" ref="AR36:AR71" si="76">78579/1995.8*G36</f>
        <v>1023.6767211143401</v>
      </c>
      <c r="AS36" s="132">
        <f t="shared" ref="AS36:AS71" si="77">S36*0.03</f>
        <v>1901.04</v>
      </c>
      <c r="AT36" s="133">
        <f t="shared" ref="AT36:AT67" si="78">AL36-AQ36-AR36+AS36</f>
        <v>13793.115900961828</v>
      </c>
      <c r="AU36" s="134">
        <f t="shared" ref="AU36:AU67" si="79">AT36/P36</f>
        <v>0.20404017604973118</v>
      </c>
      <c r="AV36" s="132">
        <f t="shared" ref="AV36:AV71" si="80">154473/1995.8*G36</f>
        <v>2012.3749874736948</v>
      </c>
      <c r="AW36" s="133">
        <f t="shared" ref="AW36:AW67" si="81">AT36-AV36</f>
        <v>11780.740913488133</v>
      </c>
      <c r="AX36" s="134">
        <f t="shared" ref="AX36:AX67" si="82">AW36/P36</f>
        <v>0.17427131528828599</v>
      </c>
      <c r="AY36" s="110">
        <f t="shared" ref="AY36:AY72" si="83">123844.283333333/1995.8*G36</f>
        <v>1613.3637472024543</v>
      </c>
      <c r="AZ36" s="133">
        <f t="shared" ref="AZ36:AZ67" si="84">AT36+AY36</f>
        <v>15406.479648164282</v>
      </c>
      <c r="BA36" s="134">
        <f t="shared" ref="BA36:BA67" si="85">AZ36/P36</f>
        <v>0.22790650367106927</v>
      </c>
      <c r="BC36" s="10">
        <f t="shared" si="36"/>
        <v>2600</v>
      </c>
      <c r="BD36" s="10">
        <f t="shared" si="37"/>
        <v>-1112.3197458770335</v>
      </c>
      <c r="BE36" s="10">
        <f t="shared" si="38"/>
        <v>-315.80975804458387</v>
      </c>
      <c r="BF36" s="10">
        <f t="shared" si="39"/>
        <v>-16.817825036683743</v>
      </c>
      <c r="BG36" s="10">
        <f t="shared" si="40"/>
        <v>-369.15780561006909</v>
      </c>
      <c r="BH36" s="10">
        <f t="shared" si="41"/>
        <v>-1814.1051345683702</v>
      </c>
      <c r="BI36" s="10">
        <f t="shared" si="42"/>
        <v>785.8948654316298</v>
      </c>
      <c r="BJ36" s="10">
        <f t="shared" si="43"/>
        <v>-162.76923076923077</v>
      </c>
      <c r="BK36" s="10">
        <f t="shared" si="44"/>
        <v>-106.58352326579499</v>
      </c>
      <c r="BL36" s="10">
        <f t="shared" si="45"/>
        <v>-289.13514919793101</v>
      </c>
      <c r="BM36" s="10">
        <f t="shared" si="46"/>
        <v>-39.372181581320774</v>
      </c>
      <c r="BN36" s="10">
        <f t="shared" si="47"/>
        <v>73.116923076923072</v>
      </c>
      <c r="BO36" s="10">
        <f t="shared" si="48"/>
        <v>530.50445772930107</v>
      </c>
      <c r="BP36" s="10">
        <f t="shared" si="49"/>
        <v>-77.399037979757495</v>
      </c>
      <c r="BQ36" s="10">
        <f t="shared" si="50"/>
        <v>453.10541974954356</v>
      </c>
      <c r="BR36" s="10">
        <f t="shared" si="51"/>
        <v>62.05245181547901</v>
      </c>
      <c r="BS36" s="10">
        <f t="shared" si="52"/>
        <v>592.55690954478007</v>
      </c>
    </row>
    <row r="37" spans="2:71">
      <c r="B37" s="7" t="s">
        <v>7</v>
      </c>
      <c r="C37" s="123" t="s">
        <v>8</v>
      </c>
      <c r="D37" s="124" t="s">
        <v>219</v>
      </c>
      <c r="E37" s="125">
        <v>325</v>
      </c>
      <c r="F37" s="125">
        <v>46084</v>
      </c>
      <c r="G37" s="126">
        <v>26</v>
      </c>
      <c r="H37" s="127" t="s">
        <v>31</v>
      </c>
      <c r="I37" s="123" t="s">
        <v>107</v>
      </c>
      <c r="J37" s="19" t="s">
        <v>166</v>
      </c>
      <c r="K37" s="7" t="s">
        <v>161</v>
      </c>
      <c r="L37" s="7" t="s">
        <v>147</v>
      </c>
      <c r="M37" s="21" t="s">
        <v>48</v>
      </c>
      <c r="N37" s="7" t="s">
        <v>167</v>
      </c>
      <c r="O37" s="20">
        <v>2600</v>
      </c>
      <c r="P37" s="130">
        <v>67600</v>
      </c>
      <c r="Q37" s="129">
        <v>2518.6153846153848</v>
      </c>
      <c r="R37" s="129">
        <v>4232</v>
      </c>
      <c r="S37" s="131">
        <f t="shared" si="67"/>
        <v>63368</v>
      </c>
      <c r="T37" s="63">
        <v>1</v>
      </c>
      <c r="U37" s="7" t="s">
        <v>217</v>
      </c>
      <c r="V37" s="7">
        <v>37563181</v>
      </c>
      <c r="W37" s="4"/>
      <c r="X37" s="4"/>
      <c r="Y37" s="4" t="s">
        <v>867</v>
      </c>
      <c r="Z37" s="7">
        <v>10007162</v>
      </c>
      <c r="AA37" s="7" t="s">
        <v>218</v>
      </c>
      <c r="AB37" s="7" t="str">
        <f t="shared" si="68"/>
        <v>FEBRERO10007162Inventario final</v>
      </c>
      <c r="AC37" s="129">
        <f t="shared" si="69"/>
        <v>1814.1051345683702</v>
      </c>
      <c r="AD37" s="44">
        <f>IFERROR(INDEX('Costos Producción Febrero'!$G$34:$G$57,MATCH(Resumen!Z37,'Costos Producción Febrero'!$B$34:$B$57,0))*AC37*G37,0)</f>
        <v>28920.313392802869</v>
      </c>
      <c r="AE37" s="44">
        <f>IFERROR(INDEX('Costos Producción Febrero'!$H$34:$H$57,MATCH(Resumen!Z37,'Costos Producción Febrero'!$B$34:$B$57,0))*AC37*G37,0)</f>
        <v>8211.0537091591814</v>
      </c>
      <c r="AF37" s="44">
        <f>IFERROR(INDEX('Costos Producción Febrero'!$I$34:$I$57,MATCH(Resumen!Z37,'Costos Producción Febrero'!$B$34:$B$57,0))*AC37*G37,0)</f>
        <v>437.26345095377735</v>
      </c>
      <c r="AG37" s="44">
        <f>IFERROR(INDEX('Costos Producción Febrero'!$J$34:$J$57,MATCH(Resumen!Z37,'Costos Producción Febrero'!$B$34:$B$57,0))*AC37*G37,0)</f>
        <v>9598.1029458617959</v>
      </c>
      <c r="AH37" s="132">
        <f t="shared" ref="AH37:AH67" si="86">SUM(AD37:AG37)</f>
        <v>47166.733498777627</v>
      </c>
      <c r="AI37" s="44"/>
      <c r="AJ37" s="43">
        <v>2018.1792863359442</v>
      </c>
      <c r="AK37" s="44"/>
      <c r="AL37" s="133">
        <f t="shared" si="70"/>
        <v>20433.266501222373</v>
      </c>
      <c r="AM37" s="134">
        <f t="shared" si="71"/>
        <v>0.30226725593524223</v>
      </c>
      <c r="AN37" s="42">
        <f t="shared" si="72"/>
        <v>4232</v>
      </c>
      <c r="AO37" s="42">
        <f t="shared" si="73"/>
        <v>514.34227423553716</v>
      </c>
      <c r="AP37" s="42">
        <f t="shared" si="74"/>
        <v>2771.1716049106699</v>
      </c>
      <c r="AQ37" s="132">
        <f t="shared" si="75"/>
        <v>7517.5138791462068</v>
      </c>
      <c r="AR37" s="132">
        <f t="shared" si="76"/>
        <v>1023.6767211143401</v>
      </c>
      <c r="AS37" s="132">
        <f t="shared" si="77"/>
        <v>1901.04</v>
      </c>
      <c r="AT37" s="133">
        <f t="shared" si="78"/>
        <v>13793.115900961828</v>
      </c>
      <c r="AU37" s="134">
        <f t="shared" si="79"/>
        <v>0.20404017604973118</v>
      </c>
      <c r="AV37" s="132">
        <f t="shared" si="80"/>
        <v>2012.3749874736948</v>
      </c>
      <c r="AW37" s="133">
        <f t="shared" si="81"/>
        <v>11780.740913488133</v>
      </c>
      <c r="AX37" s="134">
        <f t="shared" si="82"/>
        <v>0.17427131528828599</v>
      </c>
      <c r="AY37" s="132">
        <f t="shared" si="83"/>
        <v>1613.3637472024543</v>
      </c>
      <c r="AZ37" s="133">
        <f t="shared" si="84"/>
        <v>15406.479648164282</v>
      </c>
      <c r="BA37" s="134">
        <f t="shared" si="85"/>
        <v>0.22790650367106927</v>
      </c>
      <c r="BC37" s="10">
        <f t="shared" si="36"/>
        <v>2600</v>
      </c>
      <c r="BD37" s="10">
        <f t="shared" si="37"/>
        <v>-1112.3197458770335</v>
      </c>
      <c r="BE37" s="10">
        <f t="shared" si="38"/>
        <v>-315.80975804458387</v>
      </c>
      <c r="BF37" s="10">
        <f t="shared" si="39"/>
        <v>-16.817825036683743</v>
      </c>
      <c r="BG37" s="10">
        <f t="shared" si="40"/>
        <v>-369.15780561006909</v>
      </c>
      <c r="BH37" s="10">
        <f t="shared" si="41"/>
        <v>-1814.1051345683702</v>
      </c>
      <c r="BI37" s="10">
        <f t="shared" si="42"/>
        <v>785.8948654316298</v>
      </c>
      <c r="BJ37" s="10">
        <f t="shared" si="43"/>
        <v>-162.76923076923077</v>
      </c>
      <c r="BK37" s="10">
        <f t="shared" si="44"/>
        <v>-106.58352326579499</v>
      </c>
      <c r="BL37" s="10">
        <f t="shared" si="45"/>
        <v>-289.13514919793101</v>
      </c>
      <c r="BM37" s="10">
        <f t="shared" si="46"/>
        <v>-39.372181581320774</v>
      </c>
      <c r="BN37" s="10">
        <f t="shared" si="47"/>
        <v>73.116923076923072</v>
      </c>
      <c r="BO37" s="10">
        <f t="shared" si="48"/>
        <v>530.50445772930107</v>
      </c>
      <c r="BP37" s="10">
        <f t="shared" si="49"/>
        <v>-77.399037979757495</v>
      </c>
      <c r="BQ37" s="10">
        <f t="shared" si="50"/>
        <v>453.10541974954356</v>
      </c>
      <c r="BR37" s="10">
        <f t="shared" si="51"/>
        <v>62.05245181547901</v>
      </c>
      <c r="BS37" s="10">
        <f t="shared" si="52"/>
        <v>592.55690954478007</v>
      </c>
    </row>
    <row r="38" spans="2:71">
      <c r="B38" s="7" t="s">
        <v>7</v>
      </c>
      <c r="C38" s="29" t="s">
        <v>8</v>
      </c>
      <c r="D38" s="27" t="s">
        <v>220</v>
      </c>
      <c r="E38" s="98">
        <v>30</v>
      </c>
      <c r="F38" s="98">
        <v>46084</v>
      </c>
      <c r="G38" s="99">
        <v>24</v>
      </c>
      <c r="H38" s="144" t="s">
        <v>33</v>
      </c>
      <c r="I38" s="27" t="s">
        <v>132</v>
      </c>
      <c r="J38" s="19" t="s">
        <v>221</v>
      </c>
      <c r="K38" s="7" t="s">
        <v>141</v>
      </c>
      <c r="L38" s="7" t="s">
        <v>142</v>
      </c>
      <c r="M38" s="21" t="s">
        <v>43</v>
      </c>
      <c r="N38" s="7" t="s">
        <v>129</v>
      </c>
      <c r="O38" s="20">
        <v>1700</v>
      </c>
      <c r="P38" s="211">
        <f>40800-1190</f>
        <v>39610</v>
      </c>
      <c r="Q38" s="20">
        <v>1562.375</v>
      </c>
      <c r="R38" s="30">
        <v>3303</v>
      </c>
      <c r="S38" s="32">
        <f t="shared" si="67"/>
        <v>36307</v>
      </c>
      <c r="T38" s="63">
        <v>1</v>
      </c>
      <c r="U38" s="23" t="s">
        <v>222</v>
      </c>
      <c r="V38" s="143" t="s">
        <v>223</v>
      </c>
      <c r="W38" s="60" t="s">
        <v>138</v>
      </c>
      <c r="X38" s="4" t="s">
        <v>113</v>
      </c>
      <c r="Y38" s="4" t="s">
        <v>867</v>
      </c>
      <c r="Z38" s="7">
        <v>10005721</v>
      </c>
      <c r="AA38" s="7" t="s">
        <v>218</v>
      </c>
      <c r="AB38" s="7" t="str">
        <f t="shared" si="68"/>
        <v>FEBRERO10005721Inventario final</v>
      </c>
      <c r="AC38" s="20">
        <f t="shared" si="69"/>
        <v>1891.1947259243095</v>
      </c>
      <c r="AD38" s="44">
        <f>IFERROR(INDEX('Costos Producción Febrero'!$G$34:$G$57,MATCH(Resumen!Z38,'Costos Producción Febrero'!$B$34:$B$57,0))*AC38*G38,0)</f>
        <v>27565.036702589048</v>
      </c>
      <c r="AE38" s="44">
        <f>IFERROR(INDEX('Costos Producción Febrero'!$H$34:$H$57,MATCH(Resumen!Z38,'Costos Producción Febrero'!$B$34:$B$57,0))*AC38*G38,0)</f>
        <v>8077.1280357533742</v>
      </c>
      <c r="AF38" s="44">
        <f>IFERROR(INDEX('Costos Producción Febrero'!$I$34:$I$57,MATCH(Resumen!Z38,'Costos Producción Febrero'!$B$34:$B$57,0))*AC38*G38,0)</f>
        <v>494.82304420701223</v>
      </c>
      <c r="AG38" s="44">
        <f>IFERROR(INDEX('Costos Producción Febrero'!$J$34:$J$57,MATCH(Resumen!Z38,'Costos Producción Febrero'!$B$34:$B$57,0))*AC38*G38,0)</f>
        <v>9251.6856396339936</v>
      </c>
      <c r="AH38" s="44">
        <f t="shared" si="86"/>
        <v>45388.673422183427</v>
      </c>
      <c r="AI38" s="44"/>
      <c r="AJ38" s="43">
        <v>2095.2688776918835</v>
      </c>
      <c r="AK38" s="44"/>
      <c r="AL38" s="43">
        <f t="shared" si="70"/>
        <v>-5778.6734221834267</v>
      </c>
      <c r="AM38" s="92">
        <f t="shared" si="71"/>
        <v>-0.14588925579862225</v>
      </c>
      <c r="AN38" s="42">
        <f t="shared" si="72"/>
        <v>3303</v>
      </c>
      <c r="AO38" s="42">
        <f t="shared" si="73"/>
        <v>474.77748390972658</v>
      </c>
      <c r="AP38" s="42">
        <f t="shared" si="74"/>
        <v>2558.0045583790798</v>
      </c>
      <c r="AQ38" s="42">
        <f t="shared" si="75"/>
        <v>6335.7820422888062</v>
      </c>
      <c r="AR38" s="42">
        <f t="shared" si="76"/>
        <v>944.93235795169858</v>
      </c>
      <c r="AS38" s="42">
        <f t="shared" si="77"/>
        <v>1089.21</v>
      </c>
      <c r="AT38" s="43">
        <f t="shared" si="78"/>
        <v>-11970.177822423932</v>
      </c>
      <c r="AU38" s="92">
        <f t="shared" si="79"/>
        <v>-0.30220090437828656</v>
      </c>
      <c r="AV38" s="42">
        <f t="shared" si="80"/>
        <v>1857.5769115141798</v>
      </c>
      <c r="AW38" s="43">
        <f t="shared" si="81"/>
        <v>-13827.754733938111</v>
      </c>
      <c r="AX38" s="92">
        <f t="shared" si="82"/>
        <v>-0.34909756965256528</v>
      </c>
      <c r="AY38" s="42">
        <f t="shared" si="83"/>
        <v>1489.2588435714963</v>
      </c>
      <c r="AZ38" s="43">
        <f t="shared" si="84"/>
        <v>-10480.918978852435</v>
      </c>
      <c r="BA38" s="92">
        <f t="shared" si="85"/>
        <v>-0.26460285228105113</v>
      </c>
      <c r="BC38" s="10">
        <f t="shared" si="36"/>
        <v>1650.4166666666667</v>
      </c>
      <c r="BD38" s="10">
        <f t="shared" si="37"/>
        <v>-1148.5431959412103</v>
      </c>
      <c r="BE38" s="10">
        <f t="shared" si="38"/>
        <v>-336.54700148972393</v>
      </c>
      <c r="BF38" s="10">
        <f t="shared" si="39"/>
        <v>-20.617626841958842</v>
      </c>
      <c r="BG38" s="10">
        <f t="shared" si="40"/>
        <v>-385.48690165141642</v>
      </c>
      <c r="BH38" s="10">
        <f t="shared" si="41"/>
        <v>-1891.1947259243095</v>
      </c>
      <c r="BI38" s="10">
        <f t="shared" si="42"/>
        <v>-240.77805925764278</v>
      </c>
      <c r="BJ38" s="10">
        <f t="shared" si="43"/>
        <v>-137.625</v>
      </c>
      <c r="BK38" s="10">
        <f t="shared" si="44"/>
        <v>-106.58352326579499</v>
      </c>
      <c r="BL38" s="10">
        <f t="shared" si="45"/>
        <v>-263.99091842870024</v>
      </c>
      <c r="BM38" s="10">
        <f t="shared" si="46"/>
        <v>-39.372181581320774</v>
      </c>
      <c r="BN38" s="10">
        <f t="shared" si="47"/>
        <v>45.383749999999999</v>
      </c>
      <c r="BO38" s="10">
        <f t="shared" si="48"/>
        <v>-498.75740926766383</v>
      </c>
      <c r="BP38" s="10">
        <f t="shared" si="49"/>
        <v>-77.399037979757495</v>
      </c>
      <c r="BQ38" s="10">
        <f t="shared" si="50"/>
        <v>-576.15644724742128</v>
      </c>
      <c r="BR38" s="10">
        <f t="shared" si="51"/>
        <v>62.05245181547901</v>
      </c>
      <c r="BS38" s="10">
        <f t="shared" si="52"/>
        <v>-436.70495745218477</v>
      </c>
    </row>
    <row r="39" spans="2:71">
      <c r="B39" s="7" t="s">
        <v>7</v>
      </c>
      <c r="C39" s="29" t="s">
        <v>8</v>
      </c>
      <c r="D39" s="25" t="s">
        <v>224</v>
      </c>
      <c r="E39" s="98">
        <v>30</v>
      </c>
      <c r="F39" s="98">
        <v>46085</v>
      </c>
      <c r="G39" s="101">
        <v>72</v>
      </c>
      <c r="H39" s="100" t="s">
        <v>34</v>
      </c>
      <c r="I39" s="27" t="s">
        <v>116</v>
      </c>
      <c r="J39" s="7" t="s">
        <v>153</v>
      </c>
      <c r="K39" s="7" t="s">
        <v>118</v>
      </c>
      <c r="L39" s="7" t="s">
        <v>119</v>
      </c>
      <c r="M39" s="21" t="s">
        <v>43</v>
      </c>
      <c r="N39" s="7" t="s">
        <v>129</v>
      </c>
      <c r="O39" s="20">
        <v>1400</v>
      </c>
      <c r="P39" s="211">
        <f>100800-6160</f>
        <v>94640</v>
      </c>
      <c r="Q39" s="20">
        <v>1266.5416666666667</v>
      </c>
      <c r="R39" s="30">
        <v>9609</v>
      </c>
      <c r="S39" s="32">
        <f t="shared" si="67"/>
        <v>85031</v>
      </c>
      <c r="T39" s="63">
        <v>3</v>
      </c>
      <c r="U39" s="64" t="s">
        <v>222</v>
      </c>
      <c r="V39" s="65" t="s">
        <v>225</v>
      </c>
      <c r="W39" s="64" t="s">
        <v>226</v>
      </c>
      <c r="X39" s="4" t="s">
        <v>113</v>
      </c>
      <c r="Y39" s="4" t="s">
        <v>867</v>
      </c>
      <c r="Z39" s="7">
        <v>10005779</v>
      </c>
      <c r="AA39" s="7" t="s">
        <v>218</v>
      </c>
      <c r="AB39" s="7" t="str">
        <f t="shared" si="68"/>
        <v>FEBRERO10005779Inventario final</v>
      </c>
      <c r="AC39" s="20">
        <f t="shared" si="69"/>
        <v>1896.1639327140158</v>
      </c>
      <c r="AD39" s="44">
        <f>IFERROR(INDEX('Costos Producción Febrero'!$G$34:$G$57,MATCH(Resumen!Z39,'Costos Producción Febrero'!$B$34:$B$57,0))*AC39*G39,0)</f>
        <v>79265.822872118224</v>
      </c>
      <c r="AE39" s="44">
        <f>IFERROR(INDEX('Costos Producción Febrero'!$H$34:$H$57,MATCH(Resumen!Z39,'Costos Producción Febrero'!$B$34:$B$57,0))*AC39*G39,0)</f>
        <v>30165.46880805774</v>
      </c>
      <c r="AF39" s="44">
        <f>IFERROR(INDEX('Costos Producción Febrero'!$I$34:$I$57,MATCH(Resumen!Z39,'Costos Producción Febrero'!$B$34:$B$57,0))*AC39*G39,0)</f>
        <v>872.01905408731295</v>
      </c>
      <c r="AG39" s="44">
        <f>IFERROR(INDEX('Costos Producción Febrero'!$J$34:$J$57,MATCH(Resumen!Z39,'Costos Producción Febrero'!$B$34:$B$57,0))*AC39*G39,0)</f>
        <v>26220.492421145864</v>
      </c>
      <c r="AH39" s="44">
        <f t="shared" si="86"/>
        <v>136523.80315540914</v>
      </c>
      <c r="AI39" s="44"/>
      <c r="AJ39" s="43">
        <v>2100.2380844815898</v>
      </c>
      <c r="AK39" s="44"/>
      <c r="AL39" s="43">
        <f t="shared" si="70"/>
        <v>-41883.803155409143</v>
      </c>
      <c r="AM39" s="92">
        <f t="shared" si="71"/>
        <v>-0.44255920493881173</v>
      </c>
      <c r="AN39" s="42">
        <f t="shared" si="72"/>
        <v>9609</v>
      </c>
      <c r="AO39" s="42">
        <f t="shared" si="73"/>
        <v>1424.3324517291799</v>
      </c>
      <c r="AP39" s="42">
        <f t="shared" si="74"/>
        <v>7674.0136751372393</v>
      </c>
      <c r="AQ39" s="42">
        <f t="shared" si="75"/>
        <v>18707.346126866418</v>
      </c>
      <c r="AR39" s="42">
        <f t="shared" si="76"/>
        <v>2834.7970738550957</v>
      </c>
      <c r="AS39" s="42">
        <f t="shared" si="77"/>
        <v>2550.9299999999998</v>
      </c>
      <c r="AT39" s="43">
        <f t="shared" si="78"/>
        <v>-60875.016356130654</v>
      </c>
      <c r="AU39" s="92">
        <f t="shared" si="79"/>
        <v>-0.64322713816706101</v>
      </c>
      <c r="AV39" s="42">
        <f t="shared" si="80"/>
        <v>5572.7307345425397</v>
      </c>
      <c r="AW39" s="43">
        <f t="shared" si="81"/>
        <v>-66447.747090673191</v>
      </c>
      <c r="AX39" s="92">
        <f t="shared" si="82"/>
        <v>-0.70211059901387562</v>
      </c>
      <c r="AY39" s="42">
        <f t="shared" si="83"/>
        <v>4467.7765307144891</v>
      </c>
      <c r="AZ39" s="43">
        <f t="shared" si="84"/>
        <v>-56407.239825416167</v>
      </c>
      <c r="BA39" s="92">
        <f t="shared" si="85"/>
        <v>-0.5960190175973813</v>
      </c>
      <c r="BC39" s="10">
        <f t="shared" si="36"/>
        <v>1314.4444444444443</v>
      </c>
      <c r="BD39" s="10">
        <f t="shared" si="37"/>
        <v>-1100.9142065571975</v>
      </c>
      <c r="BE39" s="10">
        <f t="shared" si="38"/>
        <v>-418.96484455635749</v>
      </c>
      <c r="BF39" s="10">
        <f t="shared" si="39"/>
        <v>-12.11137575121268</v>
      </c>
      <c r="BG39" s="10">
        <f t="shared" si="40"/>
        <v>-364.1735058492481</v>
      </c>
      <c r="BH39" s="10">
        <f t="shared" si="41"/>
        <v>-1896.1639327140158</v>
      </c>
      <c r="BI39" s="10">
        <f t="shared" si="42"/>
        <v>-581.71948826957146</v>
      </c>
      <c r="BJ39" s="10">
        <f t="shared" si="43"/>
        <v>-133.45833333333334</v>
      </c>
      <c r="BK39" s="10">
        <f t="shared" si="44"/>
        <v>-106.58352326579499</v>
      </c>
      <c r="BL39" s="10">
        <f t="shared" si="45"/>
        <v>-259.82425176203355</v>
      </c>
      <c r="BM39" s="10">
        <f t="shared" si="46"/>
        <v>-39.372181581320774</v>
      </c>
      <c r="BN39" s="10">
        <f t="shared" si="47"/>
        <v>35.429583333333333</v>
      </c>
      <c r="BO39" s="10">
        <f t="shared" si="48"/>
        <v>-845.48633827959247</v>
      </c>
      <c r="BP39" s="10">
        <f t="shared" si="49"/>
        <v>-77.399037979757495</v>
      </c>
      <c r="BQ39" s="10">
        <f t="shared" si="50"/>
        <v>-922.88537625934987</v>
      </c>
      <c r="BR39" s="10">
        <f t="shared" si="51"/>
        <v>62.052451815479017</v>
      </c>
      <c r="BS39" s="10">
        <f t="shared" si="52"/>
        <v>-783.43388646411347</v>
      </c>
    </row>
    <row r="40" spans="2:71">
      <c r="B40" s="7" t="s">
        <v>7</v>
      </c>
      <c r="C40" s="29" t="s">
        <v>8</v>
      </c>
      <c r="D40" s="25" t="s">
        <v>257</v>
      </c>
      <c r="E40" s="98">
        <v>30</v>
      </c>
      <c r="F40" s="98">
        <v>46108</v>
      </c>
      <c r="G40" s="101">
        <v>48</v>
      </c>
      <c r="H40" s="100" t="s">
        <v>34</v>
      </c>
      <c r="I40" s="27" t="s">
        <v>116</v>
      </c>
      <c r="J40" s="7" t="s">
        <v>153</v>
      </c>
      <c r="K40" s="7" t="s">
        <v>118</v>
      </c>
      <c r="L40" s="7" t="s">
        <v>119</v>
      </c>
      <c r="M40" s="21" t="s">
        <v>43</v>
      </c>
      <c r="N40" s="7" t="s">
        <v>129</v>
      </c>
      <c r="O40" s="20">
        <v>1400</v>
      </c>
      <c r="P40" s="59">
        <v>67200</v>
      </c>
      <c r="Q40" s="20">
        <v>1254.1666666666667</v>
      </c>
      <c r="R40" s="30">
        <v>7000</v>
      </c>
      <c r="S40" s="32">
        <f t="shared" si="67"/>
        <v>60200</v>
      </c>
      <c r="T40" s="63">
        <v>2</v>
      </c>
      <c r="U40" s="57" t="s">
        <v>258</v>
      </c>
      <c r="V40" s="27">
        <v>6446527790</v>
      </c>
      <c r="W40" s="60" t="s">
        <v>122</v>
      </c>
      <c r="X40" s="4" t="s">
        <v>113</v>
      </c>
      <c r="Y40" s="4" t="s">
        <v>867</v>
      </c>
      <c r="Z40" s="7">
        <v>10005779</v>
      </c>
      <c r="AA40" s="7" t="s">
        <v>218</v>
      </c>
      <c r="AB40" s="7" t="str">
        <f t="shared" si="68"/>
        <v>FEBRERO10005779Inventario final</v>
      </c>
      <c r="AC40" s="20">
        <f t="shared" si="69"/>
        <v>1896.1639327140158</v>
      </c>
      <c r="AD40" s="44">
        <f>IFERROR(INDEX('Costos Producción Febrero'!$G$34:$G$57,MATCH(Resumen!Z40,'Costos Producción Febrero'!$B$34:$B$57,0))*AC40*G40,0)</f>
        <v>52843.881914745478</v>
      </c>
      <c r="AE40" s="44">
        <f>IFERROR(INDEX('Costos Producción Febrero'!$H$34:$H$57,MATCH(Resumen!Z40,'Costos Producción Febrero'!$B$34:$B$57,0))*AC40*G40,0)</f>
        <v>20110.312538705159</v>
      </c>
      <c r="AF40" s="44">
        <f>IFERROR(INDEX('Costos Producción Febrero'!$I$34:$I$57,MATCH(Resumen!Z40,'Costos Producción Febrero'!$B$34:$B$57,0))*AC40*G40,0)</f>
        <v>581.34603605820871</v>
      </c>
      <c r="AG40" s="44">
        <f>IFERROR(INDEX('Costos Producción Febrero'!$J$34:$J$57,MATCH(Resumen!Z40,'Costos Producción Febrero'!$B$34:$B$57,0))*AC40*G40,0)</f>
        <v>17480.328280763908</v>
      </c>
      <c r="AH40" s="44">
        <f t="shared" si="86"/>
        <v>91015.868770272747</v>
      </c>
      <c r="AI40" s="44"/>
      <c r="AJ40" s="43">
        <v>2100.2380844815898</v>
      </c>
      <c r="AK40" s="44"/>
      <c r="AL40" s="43">
        <f t="shared" si="70"/>
        <v>-23815.868770272747</v>
      </c>
      <c r="AM40" s="92">
        <f t="shared" si="71"/>
        <v>-0.35440280908143967</v>
      </c>
      <c r="AN40" s="42">
        <f t="shared" si="72"/>
        <v>7000</v>
      </c>
      <c r="AO40" s="42">
        <f t="shared" si="73"/>
        <v>949.55496781945317</v>
      </c>
      <c r="AP40" s="42">
        <f t="shared" si="74"/>
        <v>5116.0091167581595</v>
      </c>
      <c r="AQ40" s="42">
        <f t="shared" si="75"/>
        <v>13065.564084577612</v>
      </c>
      <c r="AR40" s="42">
        <f t="shared" si="76"/>
        <v>1889.8647159033972</v>
      </c>
      <c r="AS40" s="42">
        <f t="shared" si="77"/>
        <v>1806</v>
      </c>
      <c r="AT40" s="43">
        <f t="shared" si="78"/>
        <v>-36965.297570753755</v>
      </c>
      <c r="AU40" s="92">
        <f t="shared" si="79"/>
        <v>-0.55007883289812132</v>
      </c>
      <c r="AV40" s="42">
        <f t="shared" si="80"/>
        <v>3715.1538230283595</v>
      </c>
      <c r="AW40" s="43">
        <f t="shared" si="81"/>
        <v>-40680.451393782118</v>
      </c>
      <c r="AX40" s="92">
        <f t="shared" si="82"/>
        <v>-0.60536386002651965</v>
      </c>
      <c r="AY40" s="42">
        <f t="shared" si="83"/>
        <v>2978.5176871429926</v>
      </c>
      <c r="AZ40" s="43">
        <f t="shared" si="84"/>
        <v>-33986.779883610761</v>
      </c>
      <c r="BA40" s="92">
        <f t="shared" si="85"/>
        <v>-0.50575565302992209</v>
      </c>
      <c r="BC40" s="10">
        <f t="shared" si="36"/>
        <v>1400</v>
      </c>
      <c r="BD40" s="10">
        <f t="shared" si="37"/>
        <v>-1100.9142065571975</v>
      </c>
      <c r="BE40" s="10">
        <f t="shared" si="38"/>
        <v>-418.96484455635749</v>
      </c>
      <c r="BF40" s="10">
        <f t="shared" si="39"/>
        <v>-12.111375751212682</v>
      </c>
      <c r="BG40" s="10">
        <f t="shared" si="40"/>
        <v>-364.1735058492481</v>
      </c>
      <c r="BH40" s="10">
        <f t="shared" si="41"/>
        <v>-1896.1639327140156</v>
      </c>
      <c r="BI40" s="10">
        <f t="shared" si="42"/>
        <v>-496.16393271401557</v>
      </c>
      <c r="BJ40" s="10">
        <f t="shared" si="43"/>
        <v>-145.83333333333334</v>
      </c>
      <c r="BK40" s="10">
        <f t="shared" si="44"/>
        <v>-106.58352326579499</v>
      </c>
      <c r="BL40" s="10">
        <f t="shared" si="45"/>
        <v>-272.19925176203361</v>
      </c>
      <c r="BM40" s="10">
        <f t="shared" si="46"/>
        <v>-39.372181581320774</v>
      </c>
      <c r="BN40" s="10">
        <f t="shared" si="47"/>
        <v>37.625</v>
      </c>
      <c r="BO40" s="10">
        <f t="shared" si="48"/>
        <v>-770.1103660573699</v>
      </c>
      <c r="BP40" s="10">
        <f t="shared" si="49"/>
        <v>-77.399037979757495</v>
      </c>
      <c r="BQ40" s="10">
        <f t="shared" si="50"/>
        <v>-847.50940403712741</v>
      </c>
      <c r="BR40" s="10">
        <f t="shared" si="51"/>
        <v>62.05245181547901</v>
      </c>
      <c r="BS40" s="10">
        <f t="shared" si="52"/>
        <v>-708.0579142418909</v>
      </c>
    </row>
    <row r="41" spans="2:71">
      <c r="B41" s="7" t="s">
        <v>7</v>
      </c>
      <c r="C41" s="29" t="s">
        <v>8</v>
      </c>
      <c r="D41" s="25" t="s">
        <v>227</v>
      </c>
      <c r="E41" s="98">
        <v>34</v>
      </c>
      <c r="F41" s="98">
        <v>46087</v>
      </c>
      <c r="G41" s="101">
        <v>48</v>
      </c>
      <c r="H41" s="100" t="s">
        <v>32</v>
      </c>
      <c r="I41" s="27" t="s">
        <v>155</v>
      </c>
      <c r="J41" s="7" t="s">
        <v>228</v>
      </c>
      <c r="K41" s="7" t="s">
        <v>864</v>
      </c>
      <c r="L41" s="7" t="s">
        <v>229</v>
      </c>
      <c r="M41" s="21" t="s">
        <v>43</v>
      </c>
      <c r="N41" s="7" t="s">
        <v>129</v>
      </c>
      <c r="O41" s="20">
        <v>1600</v>
      </c>
      <c r="P41" s="59">
        <v>76800</v>
      </c>
      <c r="Q41" s="20">
        <v>1479.1666666666667</v>
      </c>
      <c r="R41" s="30">
        <v>5800</v>
      </c>
      <c r="S41" s="32">
        <f t="shared" si="67"/>
        <v>71000</v>
      </c>
      <c r="T41" s="63">
        <v>2</v>
      </c>
      <c r="U41" s="23" t="s">
        <v>230</v>
      </c>
      <c r="V41" s="27">
        <v>6445718250</v>
      </c>
      <c r="W41" s="60" t="s">
        <v>122</v>
      </c>
      <c r="X41" s="4" t="s">
        <v>113</v>
      </c>
      <c r="Y41" s="4" t="s">
        <v>867</v>
      </c>
      <c r="Z41" s="7">
        <v>10006720</v>
      </c>
      <c r="AA41" s="7" t="s">
        <v>218</v>
      </c>
      <c r="AB41" s="7" t="str">
        <f t="shared" si="68"/>
        <v>FEBRERO10006720Inventario final</v>
      </c>
      <c r="AC41" s="20">
        <f t="shared" si="69"/>
        <v>1745.1239660454009</v>
      </c>
      <c r="AD41" s="44">
        <f>IFERROR(INDEX('Costos Producción Febrero'!$G$34:$G$57,MATCH(Resumen!Z41,'Costos Producción Febrero'!$B$34:$B$57,0))*AC41*G41,0)</f>
        <v>53752.026942212433</v>
      </c>
      <c r="AE41" s="44">
        <f>IFERROR(INDEX('Costos Producción Febrero'!$H$34:$H$57,MATCH(Resumen!Z41,'Costos Producción Febrero'!$B$34:$B$57,0))*AC41*G41,0)</f>
        <v>11306.0564801646</v>
      </c>
      <c r="AF41" s="44">
        <f>IFERROR(INDEX('Costos Producción Febrero'!$I$34:$I$57,MATCH(Resumen!Z41,'Costos Producción Febrero'!$B$34:$B$57,0))*AC41*G41,0)</f>
        <v>782.69655747068259</v>
      </c>
      <c r="AG41" s="44">
        <f>IFERROR(INDEX('Costos Producción Febrero'!$J$34:$J$57,MATCH(Resumen!Z41,'Costos Producción Febrero'!$B$34:$B$57,0))*AC41*G41,0)</f>
        <v>17925.170390331528</v>
      </c>
      <c r="AH41" s="44">
        <f t="shared" si="86"/>
        <v>83765.950370179256</v>
      </c>
      <c r="AI41" s="44"/>
      <c r="AJ41" s="43">
        <v>1949.1981178129749</v>
      </c>
      <c r="AK41" s="44"/>
      <c r="AL41" s="43">
        <f t="shared" si="70"/>
        <v>-6965.9503701792564</v>
      </c>
      <c r="AM41" s="92">
        <f t="shared" si="71"/>
        <v>-9.0702478778375728E-2</v>
      </c>
      <c r="AN41" s="42">
        <f t="shared" si="72"/>
        <v>5800</v>
      </c>
      <c r="AO41" s="42">
        <f t="shared" si="73"/>
        <v>949.55496781945317</v>
      </c>
      <c r="AP41" s="42">
        <f t="shared" si="74"/>
        <v>5116.0091167581595</v>
      </c>
      <c r="AQ41" s="42">
        <f t="shared" si="75"/>
        <v>11865.564084577612</v>
      </c>
      <c r="AR41" s="42">
        <f t="shared" si="76"/>
        <v>1889.8647159033972</v>
      </c>
      <c r="AS41" s="42">
        <f t="shared" si="77"/>
        <v>2130</v>
      </c>
      <c r="AT41" s="43">
        <f t="shared" si="78"/>
        <v>-18591.379170660268</v>
      </c>
      <c r="AU41" s="92">
        <f t="shared" si="79"/>
        <v>-0.24207524961797225</v>
      </c>
      <c r="AV41" s="42">
        <f t="shared" si="80"/>
        <v>3715.1538230283595</v>
      </c>
      <c r="AW41" s="43">
        <f t="shared" si="81"/>
        <v>-22306.532993688626</v>
      </c>
      <c r="AX41" s="92">
        <f t="shared" si="82"/>
        <v>-0.29044964835532067</v>
      </c>
      <c r="AY41" s="42">
        <f t="shared" si="83"/>
        <v>2978.5176871429926</v>
      </c>
      <c r="AZ41" s="43">
        <f t="shared" si="84"/>
        <v>-15612.861483517276</v>
      </c>
      <c r="BA41" s="92">
        <f t="shared" si="85"/>
        <v>-0.20329246723329786</v>
      </c>
      <c r="BC41" s="10">
        <f t="shared" si="36"/>
        <v>1600</v>
      </c>
      <c r="BD41" s="10">
        <f t="shared" si="37"/>
        <v>-1119.8338946294257</v>
      </c>
      <c r="BE41" s="10">
        <f t="shared" si="38"/>
        <v>-235.5428433367625</v>
      </c>
      <c r="BF41" s="10">
        <f t="shared" si="39"/>
        <v>-16.306178280639219</v>
      </c>
      <c r="BG41" s="10">
        <f t="shared" si="40"/>
        <v>-373.44104979857349</v>
      </c>
      <c r="BH41" s="10">
        <f t="shared" si="41"/>
        <v>-1745.1239660454012</v>
      </c>
      <c r="BI41" s="10">
        <f t="shared" si="42"/>
        <v>-145.12396604540118</v>
      </c>
      <c r="BJ41" s="10">
        <f t="shared" si="43"/>
        <v>-120.83333333333333</v>
      </c>
      <c r="BK41" s="10">
        <f t="shared" si="44"/>
        <v>-106.58352326579499</v>
      </c>
      <c r="BL41" s="10">
        <f t="shared" si="45"/>
        <v>-247.19925176203358</v>
      </c>
      <c r="BM41" s="10">
        <f t="shared" si="46"/>
        <v>-39.372181581320774</v>
      </c>
      <c r="BN41" s="10">
        <f t="shared" si="47"/>
        <v>44.375</v>
      </c>
      <c r="BO41" s="10">
        <f t="shared" si="48"/>
        <v>-387.32039938875556</v>
      </c>
      <c r="BP41" s="10">
        <f t="shared" si="49"/>
        <v>-77.399037979757495</v>
      </c>
      <c r="BQ41" s="10">
        <f t="shared" si="50"/>
        <v>-464.71943736851307</v>
      </c>
      <c r="BR41" s="10">
        <f t="shared" si="51"/>
        <v>62.05245181547901</v>
      </c>
      <c r="BS41" s="10">
        <f t="shared" si="52"/>
        <v>-325.26794757327656</v>
      </c>
    </row>
    <row r="42" spans="2:71">
      <c r="B42" s="7" t="s">
        <v>7</v>
      </c>
      <c r="C42" s="29" t="s">
        <v>8</v>
      </c>
      <c r="D42" s="25" t="s">
        <v>259</v>
      </c>
      <c r="E42" s="98">
        <v>40</v>
      </c>
      <c r="F42" s="98">
        <v>46105</v>
      </c>
      <c r="G42" s="101">
        <v>27</v>
      </c>
      <c r="H42" s="100" t="s">
        <v>38</v>
      </c>
      <c r="I42" s="27" t="s">
        <v>170</v>
      </c>
      <c r="J42" s="7"/>
      <c r="K42" s="7" t="s">
        <v>171</v>
      </c>
      <c r="L42" s="7" t="s">
        <v>172</v>
      </c>
      <c r="M42" s="21" t="s">
        <v>51</v>
      </c>
      <c r="N42" s="7"/>
      <c r="O42" s="20">
        <v>1400</v>
      </c>
      <c r="P42" s="59">
        <v>35553</v>
      </c>
      <c r="Q42" s="20">
        <v>1271.6296296296296</v>
      </c>
      <c r="R42" s="30">
        <v>3466</v>
      </c>
      <c r="S42" s="32">
        <f t="shared" si="67"/>
        <v>32087</v>
      </c>
      <c r="T42" s="63">
        <v>1</v>
      </c>
      <c r="U42" s="149" t="s">
        <v>260</v>
      </c>
      <c r="V42" s="150" t="s">
        <v>261</v>
      </c>
      <c r="W42" s="151" t="s">
        <v>182</v>
      </c>
      <c r="X42" s="4" t="s">
        <v>113</v>
      </c>
      <c r="Y42" s="4" t="s">
        <v>866</v>
      </c>
      <c r="Z42" s="7"/>
      <c r="AA42" s="7"/>
      <c r="AB42" s="7"/>
      <c r="AC42" s="20">
        <v>0</v>
      </c>
      <c r="AD42" s="44">
        <f>IFERROR(INDEX('Costos Producción Febrero'!$G$34:$G$57,MATCH(Resumen!Z42,'Costos Producción Febrero'!$B$34:$B$57,0))*AC42*G42,0)</f>
        <v>0</v>
      </c>
      <c r="AE42" s="44">
        <f>IFERROR(INDEX('Costos Producción Febrero'!$H$34:$H$57,MATCH(Resumen!Z42,'Costos Producción Febrero'!$B$34:$B$57,0))*AC42*G42,0)</f>
        <v>0</v>
      </c>
      <c r="AF42" s="44">
        <f>IFERROR(INDEX('Costos Producción Febrero'!$I$34:$I$57,MATCH(Resumen!Z42,'Costos Producción Febrero'!$B$34:$B$57,0))*AC42*G42,0)</f>
        <v>0</v>
      </c>
      <c r="AG42" s="44">
        <f>IFERROR(INDEX('Costos Producción Febrero'!$J$34:$J$57,MATCH(Resumen!Z42,'Costos Producción Febrero'!$B$34:$B$57,0))*AC42*G42,0)</f>
        <v>0</v>
      </c>
      <c r="AH42" s="44">
        <f t="shared" si="86"/>
        <v>0</v>
      </c>
      <c r="AI42" s="44"/>
      <c r="AJ42" s="44">
        <v>0</v>
      </c>
      <c r="AK42" s="44"/>
      <c r="AL42" s="43">
        <f t="shared" si="70"/>
        <v>35553</v>
      </c>
      <c r="AM42" s="92">
        <f t="shared" si="71"/>
        <v>1</v>
      </c>
      <c r="AN42" s="42">
        <f t="shared" si="72"/>
        <v>3466</v>
      </c>
      <c r="AO42" s="42">
        <f t="shared" si="73"/>
        <v>534.12466939844239</v>
      </c>
      <c r="AP42" s="42">
        <f t="shared" si="74"/>
        <v>2877.755128176465</v>
      </c>
      <c r="AQ42" s="42">
        <f t="shared" si="75"/>
        <v>6877.8797975749076</v>
      </c>
      <c r="AR42" s="42">
        <f t="shared" si="76"/>
        <v>1063.0489026956609</v>
      </c>
      <c r="AS42" s="42">
        <f t="shared" si="77"/>
        <v>962.61</v>
      </c>
      <c r="AT42" s="43">
        <f t="shared" si="78"/>
        <v>28574.681299729433</v>
      </c>
      <c r="AU42" s="92">
        <f t="shared" si="79"/>
        <v>0.80372067897869193</v>
      </c>
      <c r="AV42" s="42">
        <f t="shared" si="80"/>
        <v>2089.7740254534524</v>
      </c>
      <c r="AW42" s="43">
        <f t="shared" si="81"/>
        <v>26484.907274275982</v>
      </c>
      <c r="AX42" s="92">
        <f t="shared" si="82"/>
        <v>0.74494155976361998</v>
      </c>
      <c r="AY42" s="42">
        <f t="shared" si="83"/>
        <v>1675.4161990179332</v>
      </c>
      <c r="AZ42" s="43">
        <f t="shared" si="84"/>
        <v>30250.097498747367</v>
      </c>
      <c r="BA42" s="92">
        <f t="shared" si="85"/>
        <v>0.85084514664718502</v>
      </c>
      <c r="BC42" s="10">
        <f t="shared" si="36"/>
        <v>1316.7777777777778</v>
      </c>
      <c r="BD42" s="10">
        <f t="shared" si="37"/>
        <v>0</v>
      </c>
      <c r="BE42" s="10">
        <f t="shared" si="38"/>
        <v>0</v>
      </c>
      <c r="BF42" s="10">
        <f t="shared" si="39"/>
        <v>0</v>
      </c>
      <c r="BG42" s="10">
        <f t="shared" si="40"/>
        <v>0</v>
      </c>
      <c r="BH42" s="10">
        <f t="shared" si="41"/>
        <v>0</v>
      </c>
      <c r="BI42" s="10">
        <f t="shared" si="42"/>
        <v>1316.7777777777778</v>
      </c>
      <c r="BJ42" s="10">
        <f t="shared" si="43"/>
        <v>-128.37037037037038</v>
      </c>
      <c r="BK42" s="10">
        <f t="shared" si="44"/>
        <v>-106.58352326579499</v>
      </c>
      <c r="BL42" s="10">
        <f t="shared" si="45"/>
        <v>-254.73628879907065</v>
      </c>
      <c r="BM42" s="10">
        <f t="shared" si="46"/>
        <v>-39.372181581320774</v>
      </c>
      <c r="BN42" s="10">
        <f t="shared" si="47"/>
        <v>35.652222222222221</v>
      </c>
      <c r="BO42" s="10">
        <f t="shared" si="48"/>
        <v>1058.3215296196086</v>
      </c>
      <c r="BP42" s="10">
        <f t="shared" si="49"/>
        <v>-77.399037979757495</v>
      </c>
      <c r="BQ42" s="10">
        <f t="shared" si="50"/>
        <v>980.92249163985116</v>
      </c>
      <c r="BR42" s="10">
        <f t="shared" si="51"/>
        <v>62.05245181547901</v>
      </c>
      <c r="BS42" s="10">
        <f t="shared" si="52"/>
        <v>1120.3739814350877</v>
      </c>
    </row>
    <row r="43" spans="2:71">
      <c r="B43" s="7" t="s">
        <v>7</v>
      </c>
      <c r="C43" s="29" t="s">
        <v>8</v>
      </c>
      <c r="D43" s="25" t="s">
        <v>231</v>
      </c>
      <c r="E43" s="98">
        <v>42</v>
      </c>
      <c r="F43" s="98">
        <v>46104</v>
      </c>
      <c r="G43" s="99">
        <v>48</v>
      </c>
      <c r="H43" s="100" t="s">
        <v>37</v>
      </c>
      <c r="I43" s="27" t="s">
        <v>126</v>
      </c>
      <c r="J43" s="7"/>
      <c r="K43" s="7" t="s">
        <v>127</v>
      </c>
      <c r="L43" s="7" t="s">
        <v>128</v>
      </c>
      <c r="M43" s="21" t="s">
        <v>43</v>
      </c>
      <c r="N43" s="7" t="s">
        <v>129</v>
      </c>
      <c r="O43" s="20">
        <v>1600</v>
      </c>
      <c r="P43" s="59">
        <v>76800</v>
      </c>
      <c r="Q43" s="20">
        <v>1462.5</v>
      </c>
      <c r="R43" s="30">
        <v>6600</v>
      </c>
      <c r="S43" s="32">
        <f t="shared" si="67"/>
        <v>70200</v>
      </c>
      <c r="T43" s="63">
        <v>2</v>
      </c>
      <c r="U43" s="23" t="s">
        <v>262</v>
      </c>
      <c r="V43" s="27">
        <v>6446513180</v>
      </c>
      <c r="W43" s="60" t="s">
        <v>122</v>
      </c>
      <c r="X43" s="4" t="s">
        <v>113</v>
      </c>
      <c r="Y43" s="4" t="s">
        <v>866</v>
      </c>
      <c r="Z43" s="7">
        <v>10007969</v>
      </c>
      <c r="AA43" s="7" t="s">
        <v>218</v>
      </c>
      <c r="AB43" s="7" t="str">
        <f t="shared" ref="AB43:AB71" si="87">B43&amp;Z43&amp;AA43</f>
        <v>FEBRERO10007969Inventario final</v>
      </c>
      <c r="AC43" s="20">
        <f t="shared" ref="AC43:AC71" si="88">AJ43-616968.19/1968.8+215187/1968.8</f>
        <v>1391.3654793112407</v>
      </c>
      <c r="AD43" s="44">
        <f>IFERROR(INDEX('Costos Producción Febrero'!$G$34:$G$57,MATCH(Resumen!Z43,'Costos Producción Febrero'!$B$34:$B$57,0))*AC43*G43,0)</f>
        <v>56573.815263910001</v>
      </c>
      <c r="AE43" s="44">
        <f>IFERROR(INDEX('Costos Producción Febrero'!$H$34:$H$57,MATCH(Resumen!Z43,'Costos Producción Febrero'!$B$34:$B$57,0))*AC43*G43,0)</f>
        <v>11361.112087337802</v>
      </c>
      <c r="AF43" s="44">
        <f>IFERROR(INDEX('Costos Producción Febrero'!$I$34:$I$57,MATCH(Resumen!Z43,'Costos Producción Febrero'!$B$34:$B$57,0))*AC43*G43,0)</f>
        <v>874.22364671573814</v>
      </c>
      <c r="AG43" s="44">
        <f>IFERROR(INDEX('Costos Producción Febrero'!$J$34:$J$57,MATCH(Resumen!Z43,'Costos Producción Febrero'!$B$34:$B$57,0))*AC43*G43,0)</f>
        <v>-2023.6079910239948</v>
      </c>
      <c r="AH43" s="44">
        <f t="shared" si="86"/>
        <v>66785.543006939552</v>
      </c>
      <c r="AI43" s="44"/>
      <c r="AJ43" s="43">
        <v>1595.4396310788147</v>
      </c>
      <c r="AK43" s="44"/>
      <c r="AL43" s="43">
        <f t="shared" si="70"/>
        <v>10014.456993060448</v>
      </c>
      <c r="AM43" s="92">
        <f t="shared" si="71"/>
        <v>0.13039657543047459</v>
      </c>
      <c r="AN43" s="42">
        <f t="shared" si="72"/>
        <v>6600</v>
      </c>
      <c r="AO43" s="42">
        <f t="shared" si="73"/>
        <v>949.55496781945317</v>
      </c>
      <c r="AP43" s="42">
        <f t="shared" si="74"/>
        <v>5116.0091167581595</v>
      </c>
      <c r="AQ43" s="42">
        <f t="shared" si="75"/>
        <v>12665.564084577612</v>
      </c>
      <c r="AR43" s="42">
        <f t="shared" si="76"/>
        <v>1889.8647159033972</v>
      </c>
      <c r="AS43" s="42">
        <f t="shared" si="77"/>
        <v>2106</v>
      </c>
      <c r="AT43" s="43">
        <f t="shared" si="78"/>
        <v>-2434.9718074205612</v>
      </c>
      <c r="AU43" s="92">
        <f t="shared" si="79"/>
        <v>-3.1705362075788557E-2</v>
      </c>
      <c r="AV43" s="42">
        <f t="shared" si="80"/>
        <v>3715.1538230283595</v>
      </c>
      <c r="AW43" s="43">
        <f t="shared" si="81"/>
        <v>-6150.1256304489207</v>
      </c>
      <c r="AX43" s="92">
        <f t="shared" si="82"/>
        <v>-8.0079760813136988E-2</v>
      </c>
      <c r="AY43" s="42">
        <f t="shared" si="83"/>
        <v>2978.5176871429926</v>
      </c>
      <c r="AZ43" s="43">
        <f t="shared" si="84"/>
        <v>543.54587972243144</v>
      </c>
      <c r="BA43" s="92">
        <f t="shared" si="85"/>
        <v>7.0774203088858258E-3</v>
      </c>
      <c r="BC43" s="10">
        <f t="shared" si="36"/>
        <v>1600</v>
      </c>
      <c r="BD43" s="10">
        <f t="shared" si="37"/>
        <v>-1178.6211513314583</v>
      </c>
      <c r="BE43" s="10">
        <f t="shared" si="38"/>
        <v>-236.68983515287087</v>
      </c>
      <c r="BF43" s="10">
        <f t="shared" si="39"/>
        <v>-18.21299263991121</v>
      </c>
      <c r="BG43" s="10">
        <f t="shared" si="40"/>
        <v>42.158499812999892</v>
      </c>
      <c r="BH43" s="10">
        <f t="shared" si="41"/>
        <v>-1391.3654793112407</v>
      </c>
      <c r="BI43" s="10">
        <f t="shared" si="42"/>
        <v>208.63452068875935</v>
      </c>
      <c r="BJ43" s="10">
        <f t="shared" si="43"/>
        <v>-137.5</v>
      </c>
      <c r="BK43" s="10">
        <f t="shared" si="44"/>
        <v>-106.58352326579499</v>
      </c>
      <c r="BL43" s="10">
        <f t="shared" si="45"/>
        <v>-263.86591842870024</v>
      </c>
      <c r="BM43" s="10">
        <f t="shared" si="46"/>
        <v>-39.372181581320774</v>
      </c>
      <c r="BN43" s="10">
        <f t="shared" si="47"/>
        <v>43.875</v>
      </c>
      <c r="BO43" s="10">
        <f t="shared" si="48"/>
        <v>-50.728579321261691</v>
      </c>
      <c r="BP43" s="10">
        <f t="shared" si="49"/>
        <v>-77.399037979757495</v>
      </c>
      <c r="BQ43" s="10">
        <f t="shared" si="50"/>
        <v>-128.12761730101917</v>
      </c>
      <c r="BR43" s="10">
        <f t="shared" si="51"/>
        <v>62.05245181547901</v>
      </c>
      <c r="BS43" s="10">
        <f t="shared" si="52"/>
        <v>11.323872494217321</v>
      </c>
    </row>
    <row r="44" spans="2:71">
      <c r="B44" s="7" t="s">
        <v>7</v>
      </c>
      <c r="C44" s="29" t="s">
        <v>8</v>
      </c>
      <c r="D44" s="25" t="s">
        <v>233</v>
      </c>
      <c r="E44" s="98">
        <v>43</v>
      </c>
      <c r="F44" s="98">
        <v>46084</v>
      </c>
      <c r="G44" s="101">
        <v>116.8</v>
      </c>
      <c r="H44" s="100" t="s">
        <v>32</v>
      </c>
      <c r="I44" s="27" t="s">
        <v>155</v>
      </c>
      <c r="J44" s="4" t="s">
        <v>234</v>
      </c>
      <c r="K44" s="7" t="s">
        <v>171</v>
      </c>
      <c r="L44" s="7" t="s">
        <v>172</v>
      </c>
      <c r="M44" s="21" t="s">
        <v>43</v>
      </c>
      <c r="N44" s="7" t="s">
        <v>129</v>
      </c>
      <c r="O44" s="20">
        <v>1600</v>
      </c>
      <c r="P44" s="59">
        <v>186880</v>
      </c>
      <c r="Q44" s="20">
        <v>1484.2893835616439</v>
      </c>
      <c r="R44" s="30">
        <v>13515</v>
      </c>
      <c r="S44" s="32">
        <f t="shared" si="67"/>
        <v>173365</v>
      </c>
      <c r="T44" s="31">
        <v>5</v>
      </c>
      <c r="U44" s="64" t="s">
        <v>222</v>
      </c>
      <c r="V44" s="29" t="s">
        <v>235</v>
      </c>
      <c r="W44" s="152" t="s">
        <v>138</v>
      </c>
      <c r="X44" s="4" t="s">
        <v>113</v>
      </c>
      <c r="Y44" s="4" t="s">
        <v>867</v>
      </c>
      <c r="Z44" s="7">
        <v>10006720</v>
      </c>
      <c r="AA44" s="7" t="s">
        <v>218</v>
      </c>
      <c r="AB44" s="7" t="str">
        <f t="shared" si="87"/>
        <v>FEBRERO10006720Inventario final</v>
      </c>
      <c r="AC44" s="20">
        <f t="shared" si="88"/>
        <v>1745.1239660454009</v>
      </c>
      <c r="AD44" s="44">
        <f>IFERROR(INDEX('Costos Producción Febrero'!$G$34:$G$57,MATCH(Resumen!Z44,'Costos Producción Febrero'!$B$34:$B$57,0))*AC44*G44,0)</f>
        <v>130796.59889271692</v>
      </c>
      <c r="AE44" s="44">
        <f>IFERROR(INDEX('Costos Producción Febrero'!$H$34:$H$57,MATCH(Resumen!Z44,'Costos Producción Febrero'!$B$34:$B$57,0))*AC44*G44,0)</f>
        <v>27511.40410173386</v>
      </c>
      <c r="AF44" s="44">
        <f>IFERROR(INDEX('Costos Producción Febrero'!$I$34:$I$57,MATCH(Resumen!Z44,'Costos Producción Febrero'!$B$34:$B$57,0))*AC44*G44,0)</f>
        <v>1904.5616231786607</v>
      </c>
      <c r="AG44" s="44">
        <f>IFERROR(INDEX('Costos Producción Febrero'!$J$34:$J$57,MATCH(Resumen!Z44,'Costos Producción Febrero'!$B$34:$B$57,0))*AC44*G44,0)</f>
        <v>43617.91461647339</v>
      </c>
      <c r="AH44" s="44">
        <f t="shared" si="86"/>
        <v>203830.47923410285</v>
      </c>
      <c r="AI44" s="44"/>
      <c r="AJ44" s="43">
        <v>1949.1981178129749</v>
      </c>
      <c r="AK44" s="44"/>
      <c r="AL44" s="43">
        <f t="shared" si="70"/>
        <v>-16950.479234102851</v>
      </c>
      <c r="AM44" s="92">
        <f t="shared" si="71"/>
        <v>-9.07024787783757E-2</v>
      </c>
      <c r="AN44" s="42">
        <f t="shared" si="72"/>
        <v>13515</v>
      </c>
      <c r="AO44" s="42">
        <f t="shared" si="73"/>
        <v>2310.5837550273359</v>
      </c>
      <c r="AP44" s="42">
        <f t="shared" si="74"/>
        <v>12448.955517444854</v>
      </c>
      <c r="AQ44" s="42">
        <f t="shared" si="75"/>
        <v>28274.53927247219</v>
      </c>
      <c r="AR44" s="42">
        <f t="shared" si="76"/>
        <v>4598.6708086982662</v>
      </c>
      <c r="AS44" s="42">
        <f t="shared" si="77"/>
        <v>5200.95</v>
      </c>
      <c r="AT44" s="43">
        <f t="shared" si="78"/>
        <v>-44622.739315273313</v>
      </c>
      <c r="AU44" s="92">
        <f t="shared" si="79"/>
        <v>-0.23877750061683065</v>
      </c>
      <c r="AV44" s="42">
        <f t="shared" si="80"/>
        <v>9040.207636035675</v>
      </c>
      <c r="AW44" s="43">
        <f t="shared" si="81"/>
        <v>-53662.946951308986</v>
      </c>
      <c r="AX44" s="92">
        <f t="shared" si="82"/>
        <v>-0.28715189935417906</v>
      </c>
      <c r="AY44" s="42">
        <f t="shared" si="83"/>
        <v>7247.7263720479486</v>
      </c>
      <c r="AZ44" s="43">
        <f t="shared" si="84"/>
        <v>-37375.012943225367</v>
      </c>
      <c r="BA44" s="92">
        <f t="shared" si="85"/>
        <v>-0.19999471823215628</v>
      </c>
      <c r="BC44" s="10">
        <f t="shared" si="36"/>
        <v>1600</v>
      </c>
      <c r="BD44" s="10">
        <f t="shared" si="37"/>
        <v>-1119.8338946294257</v>
      </c>
      <c r="BE44" s="10">
        <f t="shared" si="38"/>
        <v>-235.5428433367625</v>
      </c>
      <c r="BF44" s="10">
        <f t="shared" si="39"/>
        <v>-16.306178280639219</v>
      </c>
      <c r="BG44" s="10">
        <f t="shared" si="40"/>
        <v>-373.44104979857354</v>
      </c>
      <c r="BH44" s="10">
        <f t="shared" si="41"/>
        <v>-1745.1239660454012</v>
      </c>
      <c r="BI44" s="10">
        <f t="shared" si="42"/>
        <v>-145.12396604540112</v>
      </c>
      <c r="BJ44" s="10">
        <f t="shared" si="43"/>
        <v>-115.71061643835617</v>
      </c>
      <c r="BK44" s="10">
        <f t="shared" si="44"/>
        <v>-106.58352326579498</v>
      </c>
      <c r="BL44" s="10">
        <f t="shared" si="45"/>
        <v>-242.07653486705644</v>
      </c>
      <c r="BM44" s="10">
        <f t="shared" si="46"/>
        <v>-39.372181581320774</v>
      </c>
      <c r="BN44" s="10">
        <f t="shared" si="47"/>
        <v>44.528681506849317</v>
      </c>
      <c r="BO44" s="10">
        <f t="shared" si="48"/>
        <v>-382.04400098692906</v>
      </c>
      <c r="BP44" s="10">
        <f t="shared" si="49"/>
        <v>-77.399037979757495</v>
      </c>
      <c r="BQ44" s="10">
        <f t="shared" si="50"/>
        <v>-459.44303896668652</v>
      </c>
      <c r="BR44" s="10">
        <f t="shared" si="51"/>
        <v>62.052451815479017</v>
      </c>
      <c r="BS44" s="10">
        <f t="shared" si="52"/>
        <v>-319.99154917145006</v>
      </c>
    </row>
    <row r="45" spans="2:71">
      <c r="B45" s="7" t="s">
        <v>7</v>
      </c>
      <c r="C45" s="29" t="s">
        <v>8</v>
      </c>
      <c r="D45" s="25" t="s">
        <v>236</v>
      </c>
      <c r="E45" s="98">
        <v>43</v>
      </c>
      <c r="F45" s="98">
        <v>46091</v>
      </c>
      <c r="G45" s="101">
        <v>135</v>
      </c>
      <c r="H45" s="100" t="s">
        <v>32</v>
      </c>
      <c r="I45" s="27" t="s">
        <v>155</v>
      </c>
      <c r="J45" s="4" t="s">
        <v>234</v>
      </c>
      <c r="K45" s="7" t="s">
        <v>171</v>
      </c>
      <c r="L45" s="7" t="s">
        <v>172</v>
      </c>
      <c r="M45" s="21" t="s">
        <v>43</v>
      </c>
      <c r="N45" s="7" t="s">
        <v>129</v>
      </c>
      <c r="O45" s="20">
        <v>1600</v>
      </c>
      <c r="P45" s="59">
        <v>216000</v>
      </c>
      <c r="Q45" s="20">
        <v>1519.911111111111</v>
      </c>
      <c r="R45" s="30">
        <v>10812</v>
      </c>
      <c r="S45" s="32">
        <f t="shared" si="67"/>
        <v>205188</v>
      </c>
      <c r="T45" s="31">
        <v>4</v>
      </c>
      <c r="U45" s="64" t="s">
        <v>237</v>
      </c>
      <c r="V45" s="65" t="s">
        <v>238</v>
      </c>
      <c r="W45" s="152" t="s">
        <v>138</v>
      </c>
      <c r="X45" s="4" t="s">
        <v>113</v>
      </c>
      <c r="Y45" s="4" t="s">
        <v>867</v>
      </c>
      <c r="Z45" s="7">
        <v>10006720</v>
      </c>
      <c r="AA45" s="7" t="s">
        <v>218</v>
      </c>
      <c r="AB45" s="7" t="str">
        <f t="shared" si="87"/>
        <v>FEBRERO10006720Inventario final</v>
      </c>
      <c r="AC45" s="20">
        <f t="shared" si="88"/>
        <v>1745.1239660454009</v>
      </c>
      <c r="AD45" s="44">
        <f>IFERROR(INDEX('Costos Producción Febrero'!$G$34:$G$57,MATCH(Resumen!Z45,'Costos Producción Febrero'!$B$34:$B$57,0))*AC45*G45,0)</f>
        <v>151177.57577497247</v>
      </c>
      <c r="AE45" s="44">
        <f>IFERROR(INDEX('Costos Producción Febrero'!$H$34:$H$57,MATCH(Resumen!Z45,'Costos Producción Febrero'!$B$34:$B$57,0))*AC45*G45,0)</f>
        <v>31798.283850462936</v>
      </c>
      <c r="AF45" s="44">
        <f>IFERROR(INDEX('Costos Producción Febrero'!$I$34:$I$57,MATCH(Resumen!Z45,'Costos Producción Febrero'!$B$34:$B$57,0))*AC45*G45,0)</f>
        <v>2201.3340678862946</v>
      </c>
      <c r="AG45" s="44">
        <f>IFERROR(INDEX('Costos Producción Febrero'!$J$34:$J$57,MATCH(Resumen!Z45,'Costos Producción Febrero'!$B$34:$B$57,0))*AC45*G45,0)</f>
        <v>50414.541722807429</v>
      </c>
      <c r="AH45" s="44">
        <f t="shared" si="86"/>
        <v>235591.73541612912</v>
      </c>
      <c r="AI45" s="44"/>
      <c r="AJ45" s="43">
        <v>1949.1981178129749</v>
      </c>
      <c r="AK45" s="44"/>
      <c r="AL45" s="43">
        <f t="shared" si="70"/>
        <v>-19591.735416129115</v>
      </c>
      <c r="AM45" s="92">
        <f t="shared" si="71"/>
        <v>-9.0702478778375534E-2</v>
      </c>
      <c r="AN45" s="42">
        <f t="shared" si="72"/>
        <v>10812</v>
      </c>
      <c r="AO45" s="42">
        <f t="shared" si="73"/>
        <v>2670.6233469922122</v>
      </c>
      <c r="AP45" s="42">
        <f t="shared" si="74"/>
        <v>14388.775640882324</v>
      </c>
      <c r="AQ45" s="42">
        <f t="shared" si="75"/>
        <v>27871.398987874534</v>
      </c>
      <c r="AR45" s="42">
        <f t="shared" si="76"/>
        <v>5315.2445134783047</v>
      </c>
      <c r="AS45" s="42">
        <f t="shared" si="77"/>
        <v>6155.6399999999994</v>
      </c>
      <c r="AT45" s="43">
        <f t="shared" si="78"/>
        <v>-46622.738917481955</v>
      </c>
      <c r="AU45" s="92">
        <f t="shared" si="79"/>
        <v>-0.21584601350686089</v>
      </c>
      <c r="AV45" s="42">
        <f t="shared" si="80"/>
        <v>10448.870127267262</v>
      </c>
      <c r="AW45" s="43">
        <f t="shared" si="81"/>
        <v>-57071.609044749217</v>
      </c>
      <c r="AX45" s="92">
        <f t="shared" si="82"/>
        <v>-0.26422041224420934</v>
      </c>
      <c r="AY45" s="42">
        <f t="shared" si="83"/>
        <v>8377.0809950896655</v>
      </c>
      <c r="AZ45" s="43">
        <f t="shared" si="84"/>
        <v>-38245.657922392289</v>
      </c>
      <c r="BA45" s="92">
        <f t="shared" si="85"/>
        <v>-0.17706323112218653</v>
      </c>
      <c r="BC45" s="10">
        <f t="shared" si="36"/>
        <v>1600</v>
      </c>
      <c r="BD45" s="10">
        <f t="shared" si="37"/>
        <v>-1119.8338946294257</v>
      </c>
      <c r="BE45" s="10">
        <f t="shared" si="38"/>
        <v>-235.5428433367625</v>
      </c>
      <c r="BF45" s="10">
        <f t="shared" si="39"/>
        <v>-16.306178280639219</v>
      </c>
      <c r="BG45" s="10">
        <f t="shared" si="40"/>
        <v>-373.44104979857354</v>
      </c>
      <c r="BH45" s="10">
        <f t="shared" si="41"/>
        <v>-1745.1239660454009</v>
      </c>
      <c r="BI45" s="10">
        <f t="shared" si="42"/>
        <v>-145.12396604540086</v>
      </c>
      <c r="BJ45" s="10">
        <f t="shared" si="43"/>
        <v>-80.088888888888889</v>
      </c>
      <c r="BK45" s="10">
        <f t="shared" si="44"/>
        <v>-106.58352326579499</v>
      </c>
      <c r="BL45" s="10">
        <f t="shared" si="45"/>
        <v>-206.45480731758914</v>
      </c>
      <c r="BM45" s="10">
        <f t="shared" si="46"/>
        <v>-39.372181581320774</v>
      </c>
      <c r="BN45" s="10">
        <f t="shared" si="47"/>
        <v>45.597333333333331</v>
      </c>
      <c r="BO45" s="10">
        <f t="shared" si="48"/>
        <v>-345.35362161097743</v>
      </c>
      <c r="BP45" s="10">
        <f t="shared" si="49"/>
        <v>-77.399037979757495</v>
      </c>
      <c r="BQ45" s="10">
        <f t="shared" si="50"/>
        <v>-422.75265959073494</v>
      </c>
      <c r="BR45" s="10">
        <f t="shared" si="51"/>
        <v>62.052451815479003</v>
      </c>
      <c r="BS45" s="10">
        <f t="shared" si="52"/>
        <v>-283.30116979549842</v>
      </c>
    </row>
    <row r="46" spans="2:71">
      <c r="B46" s="7" t="s">
        <v>7</v>
      </c>
      <c r="C46" s="29" t="s">
        <v>8</v>
      </c>
      <c r="D46" s="25" t="s">
        <v>239</v>
      </c>
      <c r="E46" s="98">
        <v>43</v>
      </c>
      <c r="F46" s="98">
        <v>46092</v>
      </c>
      <c r="G46" s="99">
        <v>78</v>
      </c>
      <c r="H46" s="102" t="s">
        <v>31</v>
      </c>
      <c r="I46" s="103" t="s">
        <v>107</v>
      </c>
      <c r="J46" s="7" t="s">
        <v>263</v>
      </c>
      <c r="K46" s="7" t="s">
        <v>161</v>
      </c>
      <c r="L46" s="7" t="s">
        <v>147</v>
      </c>
      <c r="M46" s="21" t="s">
        <v>44</v>
      </c>
      <c r="N46" s="7" t="s">
        <v>214</v>
      </c>
      <c r="O46" s="20">
        <v>2400</v>
      </c>
      <c r="P46" s="211">
        <f>187200-15600</f>
        <v>171600</v>
      </c>
      <c r="Q46" s="20">
        <v>2243.0865384615386</v>
      </c>
      <c r="R46" s="30">
        <v>12239.25</v>
      </c>
      <c r="S46" s="32">
        <f t="shared" si="67"/>
        <v>159360.75</v>
      </c>
      <c r="T46" s="66">
        <v>3</v>
      </c>
      <c r="U46" s="57" t="s">
        <v>240</v>
      </c>
      <c r="V46" s="141" t="s">
        <v>241</v>
      </c>
      <c r="W46" s="151" t="s">
        <v>182</v>
      </c>
      <c r="X46" s="4"/>
      <c r="Y46" s="4" t="s">
        <v>867</v>
      </c>
      <c r="Z46" s="7">
        <v>10007162</v>
      </c>
      <c r="AA46" s="7" t="s">
        <v>218</v>
      </c>
      <c r="AB46" s="7" t="str">
        <f t="shared" si="87"/>
        <v>FEBRERO10007162Inventario final</v>
      </c>
      <c r="AC46" s="20">
        <f t="shared" si="88"/>
        <v>1814.1051345683702</v>
      </c>
      <c r="AD46" s="44">
        <f>IFERROR(INDEX('Costos Producción Febrero'!$G$34:$G$57,MATCH(Resumen!Z46,'Costos Producción Febrero'!$B$34:$B$57,0))*AC46*G46,0)</f>
        <v>86760.940178408608</v>
      </c>
      <c r="AE46" s="44">
        <f>IFERROR(INDEX('Costos Producción Febrero'!$H$34:$H$57,MATCH(Resumen!Z46,'Costos Producción Febrero'!$B$34:$B$57,0))*AC46*G46,0)</f>
        <v>24633.161127477546</v>
      </c>
      <c r="AF46" s="44">
        <f>IFERROR(INDEX('Costos Producción Febrero'!$I$34:$I$57,MATCH(Resumen!Z46,'Costos Producción Febrero'!$B$34:$B$57,0))*AC46*G46,0)</f>
        <v>1311.7903528613319</v>
      </c>
      <c r="AG46" s="44">
        <f>IFERROR(INDEX('Costos Producción Febrero'!$J$34:$J$57,MATCH(Resumen!Z46,'Costos Producción Febrero'!$B$34:$B$57,0))*AC46*G46,0)</f>
        <v>28794.308837585388</v>
      </c>
      <c r="AH46" s="44">
        <f t="shared" si="86"/>
        <v>141500.20049633289</v>
      </c>
      <c r="AI46" s="44"/>
      <c r="AJ46" s="43">
        <v>2018.1792863359442</v>
      </c>
      <c r="AK46" s="44"/>
      <c r="AL46" s="43">
        <f t="shared" si="70"/>
        <v>30099.799503667105</v>
      </c>
      <c r="AM46" s="92">
        <f t="shared" si="71"/>
        <v>0.17540675701437708</v>
      </c>
      <c r="AN46" s="42">
        <f t="shared" si="72"/>
        <v>12239.25</v>
      </c>
      <c r="AO46" s="42">
        <f t="shared" si="73"/>
        <v>1543.0268227066115</v>
      </c>
      <c r="AP46" s="42">
        <f t="shared" si="74"/>
        <v>8313.5148147320087</v>
      </c>
      <c r="AQ46" s="42">
        <f t="shared" si="75"/>
        <v>22095.791637438619</v>
      </c>
      <c r="AR46" s="42">
        <f t="shared" si="76"/>
        <v>3071.0301633430204</v>
      </c>
      <c r="AS46" s="42">
        <f t="shared" si="77"/>
        <v>4780.8225000000002</v>
      </c>
      <c r="AT46" s="43">
        <f t="shared" si="78"/>
        <v>9713.8002028854662</v>
      </c>
      <c r="AU46" s="92">
        <f t="shared" si="79"/>
        <v>5.6607227289542345E-2</v>
      </c>
      <c r="AV46" s="42">
        <f t="shared" si="80"/>
        <v>6037.124962421085</v>
      </c>
      <c r="AW46" s="43">
        <f t="shared" si="81"/>
        <v>3676.6752404643812</v>
      </c>
      <c r="AX46" s="92">
        <f t="shared" si="82"/>
        <v>2.1425846389652572E-2</v>
      </c>
      <c r="AY46" s="42">
        <f t="shared" si="83"/>
        <v>4840.0912416073625</v>
      </c>
      <c r="AZ46" s="43">
        <f t="shared" si="84"/>
        <v>14553.891444492829</v>
      </c>
      <c r="BA46" s="92">
        <f t="shared" si="85"/>
        <v>8.4812887205669166E-2</v>
      </c>
      <c r="BC46" s="10">
        <f t="shared" si="36"/>
        <v>2200</v>
      </c>
      <c r="BD46" s="10">
        <f t="shared" si="37"/>
        <v>-1112.3197458770335</v>
      </c>
      <c r="BE46" s="10">
        <f t="shared" si="38"/>
        <v>-315.80975804458393</v>
      </c>
      <c r="BF46" s="10">
        <f t="shared" si="39"/>
        <v>-16.817825036683743</v>
      </c>
      <c r="BG46" s="10">
        <f t="shared" si="40"/>
        <v>-369.15780561006909</v>
      </c>
      <c r="BH46" s="10">
        <f t="shared" si="41"/>
        <v>-1814.1051345683704</v>
      </c>
      <c r="BI46" s="10">
        <f t="shared" si="42"/>
        <v>385.89486543162957</v>
      </c>
      <c r="BJ46" s="10">
        <f t="shared" si="43"/>
        <v>-156.91346153846155</v>
      </c>
      <c r="BK46" s="10">
        <f t="shared" si="44"/>
        <v>-106.58352326579498</v>
      </c>
      <c r="BL46" s="10">
        <f t="shared" si="45"/>
        <v>-283.27937996716179</v>
      </c>
      <c r="BM46" s="10">
        <f t="shared" si="46"/>
        <v>-39.372181581320774</v>
      </c>
      <c r="BN46" s="10">
        <f t="shared" si="47"/>
        <v>61.292596153846155</v>
      </c>
      <c r="BO46" s="10">
        <f t="shared" si="48"/>
        <v>124.53590003699316</v>
      </c>
      <c r="BP46" s="10">
        <f t="shared" si="49"/>
        <v>-77.399037979757495</v>
      </c>
      <c r="BQ46" s="10">
        <f t="shared" si="50"/>
        <v>47.136862057235653</v>
      </c>
      <c r="BR46" s="10">
        <f t="shared" si="51"/>
        <v>62.052451815479003</v>
      </c>
      <c r="BS46" s="10">
        <f t="shared" si="52"/>
        <v>186.58835185247216</v>
      </c>
    </row>
    <row r="47" spans="2:71">
      <c r="B47" s="7" t="s">
        <v>7</v>
      </c>
      <c r="C47" s="29" t="s">
        <v>8</v>
      </c>
      <c r="D47" s="27" t="s">
        <v>242</v>
      </c>
      <c r="E47" s="98">
        <v>44</v>
      </c>
      <c r="F47" s="98">
        <v>46085</v>
      </c>
      <c r="G47" s="99">
        <v>135</v>
      </c>
      <c r="H47" s="144" t="s">
        <v>33</v>
      </c>
      <c r="I47" s="27" t="s">
        <v>205</v>
      </c>
      <c r="J47" s="4" t="s">
        <v>206</v>
      </c>
      <c r="K47" s="7" t="s">
        <v>171</v>
      </c>
      <c r="L47" s="7" t="s">
        <v>243</v>
      </c>
      <c r="M47" s="21" t="s">
        <v>46</v>
      </c>
      <c r="N47" s="7"/>
      <c r="O47" s="20">
        <v>1450</v>
      </c>
      <c r="P47" s="59">
        <v>195750</v>
      </c>
      <c r="Q47" s="20">
        <v>1338.7777777777778</v>
      </c>
      <c r="R47" s="30">
        <v>15015</v>
      </c>
      <c r="S47" s="32">
        <f t="shared" si="67"/>
        <v>180735</v>
      </c>
      <c r="T47" s="66">
        <v>5</v>
      </c>
      <c r="U47" s="151" t="s">
        <v>222</v>
      </c>
      <c r="V47" s="141" t="s">
        <v>244</v>
      </c>
      <c r="W47" s="25" t="s">
        <v>138</v>
      </c>
      <c r="X47" s="4" t="s">
        <v>113</v>
      </c>
      <c r="Y47" s="4" t="s">
        <v>867</v>
      </c>
      <c r="Z47" s="7">
        <v>10005721</v>
      </c>
      <c r="AA47" s="7" t="s">
        <v>218</v>
      </c>
      <c r="AB47" s="7" t="str">
        <f t="shared" si="87"/>
        <v>FEBRERO10005721Inventario final</v>
      </c>
      <c r="AC47" s="20">
        <f t="shared" si="88"/>
        <v>2193.6703213165929</v>
      </c>
      <c r="AD47" s="44">
        <f>IFERROR(INDEX('Costos Producción Febrero'!$G$34:$G$57,MATCH(Resumen!Z47,'Costos Producción Febrero'!$B$34:$B$57,0))*AC47*G47,0)</f>
        <v>179852.39000781204</v>
      </c>
      <c r="AE47" s="44">
        <f>IFERROR(INDEX('Costos Producción Febrero'!$H$34:$H$57,MATCH(Resumen!Z47,'Costos Producción Febrero'!$B$34:$B$57,0))*AC47*G47,0)</f>
        <v>52700.484214951342</v>
      </c>
      <c r="AF47" s="44">
        <f>IFERROR(INDEX('Costos Producción Febrero'!$I$34:$I$57,MATCH(Resumen!Z47,'Costos Producción Febrero'!$B$34:$B$57,0))*AC47*G47,0)</f>
        <v>3228.5502860663159</v>
      </c>
      <c r="AG47" s="44">
        <f>IFERROR(INDEX('Costos Producción Febrero'!$J$34:$J$57,MATCH(Resumen!Z47,'Costos Producción Febrero'!$B$34:$B$57,0))*AC47*G47,0)</f>
        <v>60364.068868910363</v>
      </c>
      <c r="AH47" s="44">
        <f t="shared" si="86"/>
        <v>296145.49337774003</v>
      </c>
      <c r="AI47" s="44"/>
      <c r="AJ47" s="43">
        <v>2397.7444730841671</v>
      </c>
      <c r="AK47" s="44"/>
      <c r="AL47" s="43">
        <f t="shared" si="70"/>
        <v>-100395.49337774003</v>
      </c>
      <c r="AM47" s="92">
        <f t="shared" si="71"/>
        <v>-0.51287608366661575</v>
      </c>
      <c r="AN47" s="42">
        <f t="shared" si="72"/>
        <v>15015</v>
      </c>
      <c r="AO47" s="42">
        <f t="shared" si="73"/>
        <v>2670.6233469922122</v>
      </c>
      <c r="AP47" s="42">
        <f t="shared" si="74"/>
        <v>14388.775640882324</v>
      </c>
      <c r="AQ47" s="42">
        <f t="shared" si="75"/>
        <v>32074.398987874534</v>
      </c>
      <c r="AR47" s="42">
        <f t="shared" si="76"/>
        <v>5315.2445134783047</v>
      </c>
      <c r="AS47" s="42">
        <f t="shared" si="77"/>
        <v>5422.05</v>
      </c>
      <c r="AT47" s="43">
        <f t="shared" si="78"/>
        <v>-132363.08687909288</v>
      </c>
      <c r="AU47" s="92">
        <f t="shared" si="79"/>
        <v>-0.6761843518727606</v>
      </c>
      <c r="AV47" s="42">
        <f t="shared" si="80"/>
        <v>10448.870127267262</v>
      </c>
      <c r="AW47" s="43">
        <f t="shared" si="81"/>
        <v>-142811.95700636014</v>
      </c>
      <c r="AX47" s="92">
        <f t="shared" si="82"/>
        <v>-0.72956299875535191</v>
      </c>
      <c r="AY47" s="42">
        <f t="shared" si="83"/>
        <v>8377.0809950896655</v>
      </c>
      <c r="AZ47" s="43">
        <f t="shared" si="84"/>
        <v>-123986.00588400321</v>
      </c>
      <c r="BA47" s="92">
        <f t="shared" si="85"/>
        <v>-0.63338955751725778</v>
      </c>
      <c r="BC47" s="10">
        <f t="shared" si="36"/>
        <v>1450</v>
      </c>
      <c r="BD47" s="10">
        <f t="shared" si="37"/>
        <v>-1332.2399259837928</v>
      </c>
      <c r="BE47" s="10">
        <f t="shared" si="38"/>
        <v>-390.37395714778773</v>
      </c>
      <c r="BF47" s="10">
        <f t="shared" si="39"/>
        <v>-23.915187304194934</v>
      </c>
      <c r="BG47" s="10">
        <f t="shared" si="40"/>
        <v>-447.14125088081749</v>
      </c>
      <c r="BH47" s="10">
        <f t="shared" si="41"/>
        <v>-2193.6703213165929</v>
      </c>
      <c r="BI47" s="10">
        <f t="shared" si="42"/>
        <v>-743.67032131659278</v>
      </c>
      <c r="BJ47" s="10">
        <f t="shared" si="43"/>
        <v>-111.22222222222223</v>
      </c>
      <c r="BK47" s="10">
        <f t="shared" si="44"/>
        <v>-106.58352326579499</v>
      </c>
      <c r="BL47" s="10">
        <f t="shared" si="45"/>
        <v>-237.58814065092247</v>
      </c>
      <c r="BM47" s="10">
        <f t="shared" si="46"/>
        <v>-39.372181581320774</v>
      </c>
      <c r="BN47" s="10">
        <f t="shared" si="47"/>
        <v>40.163333333333334</v>
      </c>
      <c r="BO47" s="10">
        <f t="shared" si="48"/>
        <v>-980.46731021550283</v>
      </c>
      <c r="BP47" s="10">
        <f t="shared" si="49"/>
        <v>-77.399037979757495</v>
      </c>
      <c r="BQ47" s="10">
        <f t="shared" si="50"/>
        <v>-1057.8663481952603</v>
      </c>
      <c r="BR47" s="10">
        <f t="shared" si="51"/>
        <v>62.052451815479003</v>
      </c>
      <c r="BS47" s="10">
        <f t="shared" si="52"/>
        <v>-918.41485840002383</v>
      </c>
    </row>
    <row r="48" spans="2:71">
      <c r="B48" s="7" t="s">
        <v>7</v>
      </c>
      <c r="C48" s="29" t="s">
        <v>8</v>
      </c>
      <c r="D48" s="25" t="s">
        <v>245</v>
      </c>
      <c r="E48" s="98">
        <v>47</v>
      </c>
      <c r="F48" s="98">
        <v>46092</v>
      </c>
      <c r="G48" s="99">
        <v>150</v>
      </c>
      <c r="H48" s="102" t="s">
        <v>31</v>
      </c>
      <c r="I48" s="103" t="s">
        <v>107</v>
      </c>
      <c r="J48" s="7" t="s">
        <v>246</v>
      </c>
      <c r="K48" s="7" t="s">
        <v>161</v>
      </c>
      <c r="L48" s="7" t="s">
        <v>147</v>
      </c>
      <c r="M48" s="21" t="s">
        <v>44</v>
      </c>
      <c r="N48" s="7" t="s">
        <v>214</v>
      </c>
      <c r="O48" s="20">
        <v>2300</v>
      </c>
      <c r="P48" s="59">
        <v>345000</v>
      </c>
      <c r="Q48" s="20">
        <v>2139.1</v>
      </c>
      <c r="R48" s="30">
        <v>24135</v>
      </c>
      <c r="S48" s="32">
        <f t="shared" si="67"/>
        <v>320865</v>
      </c>
      <c r="T48" s="66">
        <v>6</v>
      </c>
      <c r="U48" s="57" t="s">
        <v>240</v>
      </c>
      <c r="V48" s="141" t="s">
        <v>247</v>
      </c>
      <c r="W48" s="143" t="s">
        <v>182</v>
      </c>
      <c r="X48" s="153"/>
      <c r="Y48" s="4" t="s">
        <v>867</v>
      </c>
      <c r="Z48" s="7">
        <v>10007162</v>
      </c>
      <c r="AA48" s="7" t="s">
        <v>218</v>
      </c>
      <c r="AB48" s="7" t="str">
        <f t="shared" si="87"/>
        <v>FEBRERO10007162Inventario final</v>
      </c>
      <c r="AC48" s="20">
        <f t="shared" si="88"/>
        <v>1814.1051345683702</v>
      </c>
      <c r="AD48" s="44">
        <f>IFERROR(INDEX('Costos Producción Febrero'!$G$34:$G$57,MATCH(Resumen!Z48,'Costos Producción Febrero'!$B$34:$B$57,0))*AC48*G48,0)</f>
        <v>166847.96188155503</v>
      </c>
      <c r="AE48" s="44">
        <f>IFERROR(INDEX('Costos Producción Febrero'!$H$34:$H$57,MATCH(Resumen!Z48,'Costos Producción Febrero'!$B$34:$B$57,0))*AC48*G48,0)</f>
        <v>47371.463706687588</v>
      </c>
      <c r="AF48" s="44">
        <f>IFERROR(INDEX('Costos Producción Febrero'!$I$34:$I$57,MATCH(Resumen!Z48,'Costos Producción Febrero'!$B$34:$B$57,0))*AC48*G48,0)</f>
        <v>2522.6737555025616</v>
      </c>
      <c r="AG48" s="44">
        <f>IFERROR(INDEX('Costos Producción Febrero'!$J$34:$J$57,MATCH(Resumen!Z48,'Costos Producción Febrero'!$B$34:$B$57,0))*AC48*G48,0)</f>
        <v>55373.670841510364</v>
      </c>
      <c r="AH48" s="44">
        <f t="shared" si="86"/>
        <v>272115.77018525556</v>
      </c>
      <c r="AI48" s="44"/>
      <c r="AJ48" s="43">
        <v>2018.1792863359442</v>
      </c>
      <c r="AK48" s="44"/>
      <c r="AL48" s="43">
        <f t="shared" si="70"/>
        <v>72884.229814744438</v>
      </c>
      <c r="AM48" s="92">
        <f t="shared" si="71"/>
        <v>0.21125863714418677</v>
      </c>
      <c r="AN48" s="42">
        <f t="shared" si="72"/>
        <v>24135</v>
      </c>
      <c r="AO48" s="42">
        <f t="shared" si="73"/>
        <v>2967.3592744357911</v>
      </c>
      <c r="AP48" s="42">
        <f t="shared" si="74"/>
        <v>15987.52848986925</v>
      </c>
      <c r="AQ48" s="42">
        <f t="shared" si="75"/>
        <v>43089.887764305044</v>
      </c>
      <c r="AR48" s="42">
        <f t="shared" si="76"/>
        <v>5905.8272371981166</v>
      </c>
      <c r="AS48" s="42">
        <f t="shared" si="77"/>
        <v>9625.9499999999989</v>
      </c>
      <c r="AT48" s="43">
        <f t="shared" si="78"/>
        <v>33514.464813241277</v>
      </c>
      <c r="AU48" s="92">
        <f t="shared" si="79"/>
        <v>9.7143376270264564E-2</v>
      </c>
      <c r="AV48" s="42">
        <f t="shared" si="80"/>
        <v>11609.855696963625</v>
      </c>
      <c r="AW48" s="43">
        <f t="shared" si="81"/>
        <v>21904.60911627765</v>
      </c>
      <c r="AX48" s="92">
        <f t="shared" si="82"/>
        <v>6.3491620626891745E-2</v>
      </c>
      <c r="AY48" s="42">
        <f t="shared" si="83"/>
        <v>9307.8677723218516</v>
      </c>
      <c r="AZ48" s="43">
        <f t="shared" si="84"/>
        <v>42822.332585563126</v>
      </c>
      <c r="BA48" s="92">
        <f t="shared" si="85"/>
        <v>0.12412270314655979</v>
      </c>
      <c r="BC48" s="10">
        <f t="shared" si="36"/>
        <v>2300</v>
      </c>
      <c r="BD48" s="10">
        <f t="shared" si="37"/>
        <v>-1112.3197458770335</v>
      </c>
      <c r="BE48" s="10">
        <f t="shared" si="38"/>
        <v>-315.80975804458393</v>
      </c>
      <c r="BF48" s="10">
        <f t="shared" si="39"/>
        <v>-16.817825036683743</v>
      </c>
      <c r="BG48" s="10">
        <f t="shared" si="40"/>
        <v>-369.15780561006909</v>
      </c>
      <c r="BH48" s="10">
        <f t="shared" si="41"/>
        <v>-1814.1051345683704</v>
      </c>
      <c r="BI48" s="10">
        <f t="shared" si="42"/>
        <v>485.89486543162957</v>
      </c>
      <c r="BJ48" s="10">
        <f t="shared" si="43"/>
        <v>-160.9</v>
      </c>
      <c r="BK48" s="10">
        <f t="shared" si="44"/>
        <v>-106.58352326579499</v>
      </c>
      <c r="BL48" s="10">
        <f t="shared" si="45"/>
        <v>-287.26591842870027</v>
      </c>
      <c r="BM48" s="10">
        <f t="shared" si="46"/>
        <v>-39.372181581320774</v>
      </c>
      <c r="BN48" s="10">
        <f t="shared" si="47"/>
        <v>64.172999999999988</v>
      </c>
      <c r="BO48" s="10">
        <f t="shared" si="48"/>
        <v>223.42976542160852</v>
      </c>
      <c r="BP48" s="10">
        <f t="shared" si="49"/>
        <v>-77.399037979757495</v>
      </c>
      <c r="BQ48" s="10">
        <f t="shared" si="50"/>
        <v>146.03072744185101</v>
      </c>
      <c r="BR48" s="10">
        <f t="shared" si="51"/>
        <v>62.05245181547901</v>
      </c>
      <c r="BS48" s="10">
        <f t="shared" si="52"/>
        <v>285.48221723708753</v>
      </c>
    </row>
    <row r="49" spans="2:71">
      <c r="B49" s="7" t="s">
        <v>7</v>
      </c>
      <c r="C49" s="29" t="s">
        <v>8</v>
      </c>
      <c r="D49" s="25" t="s">
        <v>245</v>
      </c>
      <c r="E49" s="98">
        <v>47</v>
      </c>
      <c r="F49" s="98">
        <v>46092</v>
      </c>
      <c r="G49" s="99">
        <v>25</v>
      </c>
      <c r="H49" s="102" t="s">
        <v>36</v>
      </c>
      <c r="I49" s="103" t="s">
        <v>107</v>
      </c>
      <c r="J49" s="7"/>
      <c r="K49" s="7" t="s">
        <v>161</v>
      </c>
      <c r="L49" s="7" t="s">
        <v>147</v>
      </c>
      <c r="M49" s="21" t="s">
        <v>44</v>
      </c>
      <c r="N49" s="7" t="s">
        <v>214</v>
      </c>
      <c r="O49" s="20">
        <v>2500</v>
      </c>
      <c r="P49" s="59">
        <v>62500</v>
      </c>
      <c r="Q49" s="20">
        <v>2336.7199999999998</v>
      </c>
      <c r="R49" s="30">
        <v>4082</v>
      </c>
      <c r="S49" s="32">
        <f t="shared" si="67"/>
        <v>58418</v>
      </c>
      <c r="T49" s="63">
        <v>1</v>
      </c>
      <c r="U49" s="57" t="s">
        <v>240</v>
      </c>
      <c r="V49" s="141" t="s">
        <v>247</v>
      </c>
      <c r="W49" s="143" t="s">
        <v>182</v>
      </c>
      <c r="X49" s="153"/>
      <c r="Y49" s="4" t="s">
        <v>867</v>
      </c>
      <c r="Z49" s="7">
        <v>10007567</v>
      </c>
      <c r="AA49" s="7" t="s">
        <v>218</v>
      </c>
      <c r="AB49" s="7" t="str">
        <f t="shared" si="87"/>
        <v>FEBRERO10007567Inventario final</v>
      </c>
      <c r="AC49" s="20">
        <f t="shared" si="88"/>
        <v>1815.4238104406516</v>
      </c>
      <c r="AD49" s="44">
        <f>IFERROR(INDEX('Costos Producción Febrero'!$G$34:$G$57,MATCH(Resumen!Z49,'Costos Producción Febrero'!$B$34:$B$57,0))*AC49*G49,0)</f>
        <v>28029.353479412443</v>
      </c>
      <c r="AE49" s="44">
        <f>IFERROR(INDEX('Costos Producción Febrero'!$H$34:$H$57,MATCH(Resumen!Z49,'Costos Producción Febrero'!$B$34:$B$57,0))*AC49*G49,0)</f>
        <v>7554.0300492556653</v>
      </c>
      <c r="AF49" s="44">
        <f>IFERROR(INDEX('Costos Producción Febrero'!$I$34:$I$57,MATCH(Resumen!Z49,'Costos Producción Febrero'!$B$34:$B$57,0))*AC49*G49,0)</f>
        <v>489.86383483871504</v>
      </c>
      <c r="AG49" s="44">
        <f>IFERROR(INDEX('Costos Producción Febrero'!$J$34:$J$57,MATCH(Resumen!Z49,'Costos Producción Febrero'!$B$34:$B$57,0))*AC49*G49,0)</f>
        <v>9312.347897509464</v>
      </c>
      <c r="AH49" s="44">
        <f t="shared" si="86"/>
        <v>45385.595261016286</v>
      </c>
      <c r="AI49" s="44"/>
      <c r="AJ49" s="43">
        <v>2019.4979622082255</v>
      </c>
      <c r="AK49" s="44"/>
      <c r="AL49" s="43">
        <f t="shared" si="70"/>
        <v>17114.404738983714</v>
      </c>
      <c r="AM49" s="92">
        <f t="shared" si="71"/>
        <v>0.27383047582373943</v>
      </c>
      <c r="AN49" s="42">
        <f t="shared" si="72"/>
        <v>4082</v>
      </c>
      <c r="AO49" s="42">
        <f t="shared" si="73"/>
        <v>494.55987907263187</v>
      </c>
      <c r="AP49" s="42">
        <f t="shared" si="74"/>
        <v>2664.5880816448748</v>
      </c>
      <c r="AQ49" s="42">
        <f t="shared" si="75"/>
        <v>7241.1479607175061</v>
      </c>
      <c r="AR49" s="42">
        <f t="shared" si="76"/>
        <v>984.30453953301935</v>
      </c>
      <c r="AS49" s="42">
        <f t="shared" si="77"/>
        <v>1752.54</v>
      </c>
      <c r="AT49" s="43">
        <f t="shared" si="78"/>
        <v>10641.49223873319</v>
      </c>
      <c r="AU49" s="92">
        <f t="shared" si="79"/>
        <v>0.17026387581973104</v>
      </c>
      <c r="AV49" s="42">
        <f t="shared" si="80"/>
        <v>1934.9759494939374</v>
      </c>
      <c r="AW49" s="43">
        <f t="shared" si="81"/>
        <v>8706.5162892392527</v>
      </c>
      <c r="AX49" s="92">
        <f t="shared" si="82"/>
        <v>0.13930426062782805</v>
      </c>
      <c r="AY49" s="42">
        <f t="shared" si="83"/>
        <v>1551.3112953869752</v>
      </c>
      <c r="AZ49" s="43">
        <f t="shared" si="84"/>
        <v>12192.803534120165</v>
      </c>
      <c r="BA49" s="92">
        <f t="shared" si="85"/>
        <v>0.19508485654592264</v>
      </c>
      <c r="BC49" s="10">
        <f t="shared" si="36"/>
        <v>2500</v>
      </c>
      <c r="BD49" s="10">
        <f t="shared" si="37"/>
        <v>-1121.1741391764976</v>
      </c>
      <c r="BE49" s="10">
        <f t="shared" si="38"/>
        <v>-302.16120197022661</v>
      </c>
      <c r="BF49" s="10">
        <f t="shared" si="39"/>
        <v>-19.594553393548601</v>
      </c>
      <c r="BG49" s="10">
        <f t="shared" si="40"/>
        <v>-372.49391590037857</v>
      </c>
      <c r="BH49" s="10">
        <f t="shared" si="41"/>
        <v>-1815.4238104406513</v>
      </c>
      <c r="BI49" s="10">
        <f t="shared" si="42"/>
        <v>684.57618955934856</v>
      </c>
      <c r="BJ49" s="10">
        <f t="shared" si="43"/>
        <v>-163.28</v>
      </c>
      <c r="BK49" s="10">
        <f t="shared" si="44"/>
        <v>-106.58352326579499</v>
      </c>
      <c r="BL49" s="10">
        <f t="shared" si="45"/>
        <v>-289.64591842870027</v>
      </c>
      <c r="BM49" s="10">
        <f t="shared" si="46"/>
        <v>-39.372181581320774</v>
      </c>
      <c r="BN49" s="10">
        <f t="shared" si="47"/>
        <v>70.101600000000005</v>
      </c>
      <c r="BO49" s="10">
        <f t="shared" si="48"/>
        <v>425.6596895493276</v>
      </c>
      <c r="BP49" s="10">
        <f t="shared" si="49"/>
        <v>-77.399037979757495</v>
      </c>
      <c r="BQ49" s="10">
        <f t="shared" si="50"/>
        <v>348.26065156957009</v>
      </c>
      <c r="BR49" s="10">
        <f t="shared" si="51"/>
        <v>62.05245181547901</v>
      </c>
      <c r="BS49" s="10">
        <f t="shared" si="52"/>
        <v>487.7121413648066</v>
      </c>
    </row>
    <row r="50" spans="2:71">
      <c r="B50" s="7" t="s">
        <v>7</v>
      </c>
      <c r="C50" s="29" t="s">
        <v>8</v>
      </c>
      <c r="D50" s="25" t="s">
        <v>248</v>
      </c>
      <c r="E50" s="98">
        <v>47</v>
      </c>
      <c r="F50" s="98">
        <v>46108</v>
      </c>
      <c r="G50" s="99">
        <v>54</v>
      </c>
      <c r="H50" s="27" t="s">
        <v>35</v>
      </c>
      <c r="I50" s="27" t="s">
        <v>155</v>
      </c>
      <c r="J50" s="7" t="s">
        <v>249</v>
      </c>
      <c r="K50" s="7" t="s">
        <v>171</v>
      </c>
      <c r="L50" s="7" t="s">
        <v>172</v>
      </c>
      <c r="M50" s="21" t="s">
        <v>44</v>
      </c>
      <c r="N50" s="7" t="s">
        <v>214</v>
      </c>
      <c r="O50" s="20">
        <v>3350</v>
      </c>
      <c r="P50" s="211">
        <f>180900-3678.3</f>
        <v>177221.7</v>
      </c>
      <c r="Q50" s="20">
        <v>3242.5925925925926</v>
      </c>
      <c r="R50" s="30">
        <v>5800</v>
      </c>
      <c r="S50" s="32">
        <f t="shared" si="67"/>
        <v>171421.7</v>
      </c>
      <c r="T50" s="63">
        <v>2</v>
      </c>
      <c r="U50" s="57" t="s">
        <v>258</v>
      </c>
      <c r="V50" s="141">
        <v>6446512380</v>
      </c>
      <c r="W50" s="60" t="s">
        <v>122</v>
      </c>
      <c r="X50" s="4" t="s">
        <v>113</v>
      </c>
      <c r="Y50" s="254" t="s">
        <v>868</v>
      </c>
      <c r="Z50" s="18">
        <v>10009331</v>
      </c>
      <c r="AA50" s="7" t="s">
        <v>218</v>
      </c>
      <c r="AB50" s="18" t="str">
        <f t="shared" si="87"/>
        <v>FEBRERO10009331Inventario final</v>
      </c>
      <c r="AC50" s="61">
        <f t="shared" si="88"/>
        <v>2241.3701024181182</v>
      </c>
      <c r="AD50" s="62">
        <f>IFERROR(INDEX('Costos Producción Febrero'!$G$34:$G$57,MATCH(Resumen!Z50,'Costos Producción Febrero'!$B$34:$B$57,0))*AC50*G50,0)</f>
        <v>69065.234280031611</v>
      </c>
      <c r="AE50" s="62">
        <f>IFERROR(INDEX('Costos Producción Febrero'!$H$34:$H$57,MATCH(Resumen!Z50,'Costos Producción Febrero'!$B$34:$B$57,0))*AC50*G50,0)</f>
        <v>27400.520778654496</v>
      </c>
      <c r="AF50" s="62">
        <f>IFERROR(INDEX('Costos Producción Febrero'!$I$34:$I$57,MATCH(Resumen!Z50,'Costos Producción Febrero'!$B$34:$B$57,0))*AC50*G50,0)</f>
        <v>1254.930819584165</v>
      </c>
      <c r="AG50" s="62">
        <f>IFERROR(INDEX('Costos Producción Febrero'!$J$34:$J$57,MATCH(Resumen!Z50,'Costos Producción Febrero'!$B$34:$B$57,0))*AC50*G50,0)</f>
        <v>23313.29965230812</v>
      </c>
      <c r="AH50" s="62">
        <f t="shared" si="86"/>
        <v>121033.98553057839</v>
      </c>
      <c r="AI50" s="62"/>
      <c r="AJ50" s="93">
        <v>2445.4442541856924</v>
      </c>
      <c r="AK50" s="62"/>
      <c r="AL50" s="93">
        <f t="shared" si="70"/>
        <v>56187.714469421626</v>
      </c>
      <c r="AM50" s="92">
        <f t="shared" si="71"/>
        <v>0.3170475989645829</v>
      </c>
      <c r="AN50" s="42">
        <f t="shared" si="72"/>
        <v>5800</v>
      </c>
      <c r="AO50" s="42">
        <f t="shared" si="73"/>
        <v>1068.2493387968848</v>
      </c>
      <c r="AP50" s="42">
        <f t="shared" si="74"/>
        <v>5755.5102563529299</v>
      </c>
      <c r="AQ50" s="42">
        <f t="shared" si="75"/>
        <v>12623.759595149815</v>
      </c>
      <c r="AR50" s="42">
        <f t="shared" si="76"/>
        <v>2126.0978053913218</v>
      </c>
      <c r="AS50" s="42">
        <f t="shared" si="77"/>
        <v>5142.6509999999998</v>
      </c>
      <c r="AT50" s="43">
        <f t="shared" si="78"/>
        <v>46580.508068880488</v>
      </c>
      <c r="AU50" s="92">
        <f t="shared" si="79"/>
        <v>0.26283749715119809</v>
      </c>
      <c r="AV50" s="42">
        <f t="shared" si="80"/>
        <v>4179.5480509069048</v>
      </c>
      <c r="AW50" s="43">
        <f t="shared" si="81"/>
        <v>42400.960017973586</v>
      </c>
      <c r="AX50" s="92">
        <f t="shared" si="82"/>
        <v>0.2392537709432512</v>
      </c>
      <c r="AY50" s="42">
        <f t="shared" si="83"/>
        <v>3350.8323980358664</v>
      </c>
      <c r="AZ50" s="43">
        <f t="shared" si="84"/>
        <v>49931.340466916357</v>
      </c>
      <c r="BA50" s="92">
        <f t="shared" si="85"/>
        <v>0.28174507109973751</v>
      </c>
      <c r="BC50" s="10">
        <f t="shared" si="36"/>
        <v>3281.8833333333337</v>
      </c>
      <c r="BD50" s="10">
        <f t="shared" si="37"/>
        <v>-1278.9858200005854</v>
      </c>
      <c r="BE50" s="10">
        <f t="shared" si="38"/>
        <v>-507.41705145656476</v>
      </c>
      <c r="BF50" s="10">
        <f t="shared" si="39"/>
        <v>-23.23945962192898</v>
      </c>
      <c r="BG50" s="10">
        <f t="shared" si="40"/>
        <v>-431.72777133903924</v>
      </c>
      <c r="BH50" s="10">
        <f t="shared" si="41"/>
        <v>-2241.3701024181182</v>
      </c>
      <c r="BI50" s="10">
        <f t="shared" si="42"/>
        <v>1040.5132309152152</v>
      </c>
      <c r="BJ50" s="10">
        <f t="shared" si="43"/>
        <v>-107.4074074074074</v>
      </c>
      <c r="BK50" s="10">
        <f t="shared" si="44"/>
        <v>-106.58352326579499</v>
      </c>
      <c r="BL50" s="10">
        <f t="shared" si="45"/>
        <v>-233.77332583610769</v>
      </c>
      <c r="BM50" s="10">
        <f t="shared" si="46"/>
        <v>-39.372181581320774</v>
      </c>
      <c r="BN50" s="10">
        <f t="shared" si="47"/>
        <v>95.234277777777777</v>
      </c>
      <c r="BO50" s="10">
        <f t="shared" si="48"/>
        <v>862.60200127556459</v>
      </c>
      <c r="BP50" s="10">
        <f t="shared" si="49"/>
        <v>-77.399037979757495</v>
      </c>
      <c r="BQ50" s="10">
        <f t="shared" si="50"/>
        <v>785.20296329580719</v>
      </c>
      <c r="BR50" s="10">
        <f t="shared" si="51"/>
        <v>62.05245181547901</v>
      </c>
      <c r="BS50" s="10">
        <f t="shared" si="52"/>
        <v>924.65445309104371</v>
      </c>
    </row>
    <row r="51" spans="2:71">
      <c r="B51" s="7" t="s">
        <v>7</v>
      </c>
      <c r="C51" s="29" t="s">
        <v>8</v>
      </c>
      <c r="D51" s="27" t="s">
        <v>250</v>
      </c>
      <c r="E51" s="98">
        <v>49</v>
      </c>
      <c r="F51" s="98">
        <v>46091</v>
      </c>
      <c r="G51" s="99">
        <v>108</v>
      </c>
      <c r="H51" s="144" t="s">
        <v>33</v>
      </c>
      <c r="I51" s="27" t="s">
        <v>205</v>
      </c>
      <c r="J51" s="4" t="s">
        <v>206</v>
      </c>
      <c r="K51" s="7" t="s">
        <v>171</v>
      </c>
      <c r="L51" s="7" t="s">
        <v>209</v>
      </c>
      <c r="M51" s="21" t="s">
        <v>46</v>
      </c>
      <c r="N51" s="7"/>
      <c r="O51" s="20">
        <v>1450</v>
      </c>
      <c r="P51" s="59">
        <v>156600</v>
      </c>
      <c r="Q51" s="20">
        <v>1338.7777777777778</v>
      </c>
      <c r="R51" s="30">
        <v>12012</v>
      </c>
      <c r="S51" s="32">
        <f t="shared" si="67"/>
        <v>144588</v>
      </c>
      <c r="T51" s="63">
        <v>4</v>
      </c>
      <c r="U51" s="7" t="s">
        <v>237</v>
      </c>
      <c r="V51" s="7" t="s">
        <v>251</v>
      </c>
      <c r="W51" s="4"/>
      <c r="X51" s="4"/>
      <c r="Y51" s="4" t="s">
        <v>867</v>
      </c>
      <c r="Z51" s="7">
        <v>10005721</v>
      </c>
      <c r="AA51" s="7" t="s">
        <v>218</v>
      </c>
      <c r="AB51" s="7" t="str">
        <f t="shared" si="87"/>
        <v>FEBRERO10005721Inventario final</v>
      </c>
      <c r="AC51" s="20">
        <f t="shared" si="88"/>
        <v>1891.1947259243095</v>
      </c>
      <c r="AD51" s="44">
        <f>IFERROR(INDEX('Costos Producción Febrero'!$G$34:$G$57,MATCH(Resumen!Z51,'Costos Producción Febrero'!$B$34:$B$57,0))*AC51*G51,0)</f>
        <v>124042.66516165072</v>
      </c>
      <c r="AE51" s="44">
        <f>IFERROR(INDEX('Costos Producción Febrero'!$H$34:$H$57,MATCH(Resumen!Z51,'Costos Producción Febrero'!$B$34:$B$57,0))*AC51*G51,0)</f>
        <v>36347.076160890181</v>
      </c>
      <c r="AF51" s="44">
        <f>IFERROR(INDEX('Costos Producción Febrero'!$I$34:$I$57,MATCH(Resumen!Z51,'Costos Producción Febrero'!$B$34:$B$57,0))*AC51*G51,0)</f>
        <v>2226.7036989315548</v>
      </c>
      <c r="AG51" s="44">
        <f>IFERROR(INDEX('Costos Producción Febrero'!$J$34:$J$57,MATCH(Resumen!Z51,'Costos Producción Febrero'!$B$34:$B$57,0))*AC51*G51,0)</f>
        <v>41632.585378352975</v>
      </c>
      <c r="AH51" s="44">
        <f t="shared" si="86"/>
        <v>204249.03039982542</v>
      </c>
      <c r="AI51" s="44"/>
      <c r="AJ51" s="43">
        <v>2095.2688776918835</v>
      </c>
      <c r="AK51" s="44"/>
      <c r="AL51" s="43">
        <f t="shared" si="70"/>
        <v>-47649.030399825424</v>
      </c>
      <c r="AM51" s="92">
        <f t="shared" si="71"/>
        <v>-0.30427222477538585</v>
      </c>
      <c r="AN51" s="42">
        <f t="shared" si="72"/>
        <v>12012</v>
      </c>
      <c r="AO51" s="42">
        <f t="shared" si="73"/>
        <v>2136.4986775937696</v>
      </c>
      <c r="AP51" s="42">
        <f t="shared" si="74"/>
        <v>11511.02051270586</v>
      </c>
      <c r="AQ51" s="42">
        <f t="shared" si="75"/>
        <v>25659.51919029963</v>
      </c>
      <c r="AR51" s="42">
        <f t="shared" si="76"/>
        <v>4252.1956107826436</v>
      </c>
      <c r="AS51" s="42">
        <f t="shared" si="77"/>
        <v>4337.6399999999994</v>
      </c>
      <c r="AT51" s="43">
        <f t="shared" si="78"/>
        <v>-73223.105200907696</v>
      </c>
      <c r="AU51" s="92">
        <f t="shared" si="79"/>
        <v>-0.46758049298153065</v>
      </c>
      <c r="AV51" s="42">
        <f t="shared" si="80"/>
        <v>8359.0961018138096</v>
      </c>
      <c r="AW51" s="43">
        <f t="shared" si="81"/>
        <v>-81582.2013027215</v>
      </c>
      <c r="AX51" s="92">
        <f t="shared" si="82"/>
        <v>-0.52095913986412201</v>
      </c>
      <c r="AY51" s="42">
        <f t="shared" si="83"/>
        <v>6701.6647960717328</v>
      </c>
      <c r="AZ51" s="43">
        <f t="shared" si="84"/>
        <v>-66521.440404835957</v>
      </c>
      <c r="BA51" s="92">
        <f t="shared" si="85"/>
        <v>-0.42478569862602783</v>
      </c>
      <c r="BC51" s="10">
        <f t="shared" si="36"/>
        <v>1450</v>
      </c>
      <c r="BD51" s="10">
        <f t="shared" si="37"/>
        <v>-1148.5431959412103</v>
      </c>
      <c r="BE51" s="10">
        <f t="shared" si="38"/>
        <v>-336.54700148972393</v>
      </c>
      <c r="BF51" s="10">
        <f t="shared" si="39"/>
        <v>-20.617626841958842</v>
      </c>
      <c r="BG51" s="10">
        <f t="shared" si="40"/>
        <v>-385.48690165141642</v>
      </c>
      <c r="BH51" s="10">
        <f t="shared" si="41"/>
        <v>-1891.1947259243095</v>
      </c>
      <c r="BI51" s="10">
        <f t="shared" si="42"/>
        <v>-441.19472592430947</v>
      </c>
      <c r="BJ51" s="10">
        <f t="shared" si="43"/>
        <v>-111.22222222222223</v>
      </c>
      <c r="BK51" s="10">
        <f t="shared" si="44"/>
        <v>-106.58352326579499</v>
      </c>
      <c r="BL51" s="10">
        <f t="shared" si="45"/>
        <v>-237.5881406509225</v>
      </c>
      <c r="BM51" s="10">
        <f t="shared" si="46"/>
        <v>-39.372181581320774</v>
      </c>
      <c r="BN51" s="10">
        <f t="shared" si="47"/>
        <v>40.163333333333327</v>
      </c>
      <c r="BO51" s="10">
        <f t="shared" si="48"/>
        <v>-677.99171482321935</v>
      </c>
      <c r="BP51" s="10">
        <f t="shared" si="49"/>
        <v>-77.399037979757495</v>
      </c>
      <c r="BQ51" s="10">
        <f t="shared" si="50"/>
        <v>-755.39075280297686</v>
      </c>
      <c r="BR51" s="10">
        <f t="shared" si="51"/>
        <v>62.05245181547901</v>
      </c>
      <c r="BS51" s="10">
        <f t="shared" si="52"/>
        <v>-615.93926300774035</v>
      </c>
    </row>
    <row r="52" spans="2:71">
      <c r="B52" s="7" t="s">
        <v>7</v>
      </c>
      <c r="C52" s="29" t="s">
        <v>8</v>
      </c>
      <c r="D52" s="27" t="s">
        <v>252</v>
      </c>
      <c r="E52" s="98">
        <v>49</v>
      </c>
      <c r="F52" s="98">
        <v>46099</v>
      </c>
      <c r="G52" s="99">
        <v>26</v>
      </c>
      <c r="H52" s="144" t="s">
        <v>33</v>
      </c>
      <c r="I52" s="27" t="s">
        <v>205</v>
      </c>
      <c r="J52" s="4" t="s">
        <v>206</v>
      </c>
      <c r="K52" s="7" t="s">
        <v>253</v>
      </c>
      <c r="L52" s="7" t="s">
        <v>253</v>
      </c>
      <c r="M52" s="21" t="s">
        <v>57</v>
      </c>
      <c r="N52" s="7"/>
      <c r="O52" s="20">
        <v>1500</v>
      </c>
      <c r="P52" s="59">
        <v>39000</v>
      </c>
      <c r="Q52" s="20">
        <v>1230.9615384615386</v>
      </c>
      <c r="R52" s="30">
        <v>6995</v>
      </c>
      <c r="S52" s="32">
        <f t="shared" si="67"/>
        <v>32005</v>
      </c>
      <c r="T52" s="63">
        <v>1</v>
      </c>
      <c r="U52" s="57" t="s">
        <v>254</v>
      </c>
      <c r="V52" s="149" t="s">
        <v>255</v>
      </c>
      <c r="W52" s="44">
        <v>1</v>
      </c>
      <c r="X52" s="154" t="s">
        <v>182</v>
      </c>
      <c r="Y52" s="257" t="s">
        <v>867</v>
      </c>
      <c r="Z52" s="7">
        <v>10005721</v>
      </c>
      <c r="AA52" s="7" t="s">
        <v>218</v>
      </c>
      <c r="AB52" s="7" t="str">
        <f t="shared" si="87"/>
        <v>FEBRERO10005721Inventario final</v>
      </c>
      <c r="AC52" s="20">
        <f t="shared" si="88"/>
        <v>1891.1947259243095</v>
      </c>
      <c r="AD52" s="44">
        <f>IFERROR(INDEX('Costos Producción Febrero'!$G$34:$G$57,MATCH(Resumen!Z52,'Costos Producción Febrero'!$B$34:$B$57,0))*AC52*G52,0)</f>
        <v>29862.12309447147</v>
      </c>
      <c r="AE52" s="44">
        <f>IFERROR(INDEX('Costos Producción Febrero'!$H$34:$H$57,MATCH(Resumen!Z52,'Costos Producción Febrero'!$B$34:$B$57,0))*AC52*G52,0)</f>
        <v>8750.2220387328216</v>
      </c>
      <c r="AF52" s="44">
        <f>IFERROR(INDEX('Costos Producción Febrero'!$I$34:$I$57,MATCH(Resumen!Z52,'Costos Producción Febrero'!$B$34:$B$57,0))*AC52*G52,0)</f>
        <v>536.05829789092991</v>
      </c>
      <c r="AG52" s="44">
        <f>IFERROR(INDEX('Costos Producción Febrero'!$J$34:$J$57,MATCH(Resumen!Z52,'Costos Producción Febrero'!$B$34:$B$57,0))*AC52*G52,0)</f>
        <v>10022.659442936827</v>
      </c>
      <c r="AH52" s="44">
        <f t="shared" si="86"/>
        <v>49171.062874032046</v>
      </c>
      <c r="AI52" s="44"/>
      <c r="AJ52" s="43">
        <v>2095.2688776918835</v>
      </c>
      <c r="AK52" s="44"/>
      <c r="AL52" s="43">
        <f t="shared" si="70"/>
        <v>-10171.062874032046</v>
      </c>
      <c r="AM52" s="92">
        <f t="shared" si="71"/>
        <v>-0.26079648394953964</v>
      </c>
      <c r="AN52" s="42">
        <f t="shared" si="72"/>
        <v>6995</v>
      </c>
      <c r="AO52" s="42">
        <f t="shared" si="73"/>
        <v>514.34227423553716</v>
      </c>
      <c r="AP52" s="42">
        <f t="shared" si="74"/>
        <v>2771.1716049106699</v>
      </c>
      <c r="AQ52" s="42">
        <f t="shared" si="75"/>
        <v>10280.513879146207</v>
      </c>
      <c r="AR52" s="42">
        <f t="shared" si="76"/>
        <v>1023.6767211143401</v>
      </c>
      <c r="AS52" s="42">
        <f t="shared" si="77"/>
        <v>960.15</v>
      </c>
      <c r="AT52" s="43">
        <f t="shared" si="78"/>
        <v>-20515.103474292595</v>
      </c>
      <c r="AU52" s="92">
        <f t="shared" si="79"/>
        <v>-0.52602829421263064</v>
      </c>
      <c r="AV52" s="42">
        <f t="shared" si="80"/>
        <v>2012.3749874736948</v>
      </c>
      <c r="AW52" s="43">
        <f t="shared" si="81"/>
        <v>-22527.478461766288</v>
      </c>
      <c r="AX52" s="92">
        <f t="shared" si="82"/>
        <v>-0.57762765286580231</v>
      </c>
      <c r="AY52" s="42">
        <f t="shared" si="83"/>
        <v>1613.3637472024543</v>
      </c>
      <c r="AZ52" s="43">
        <f t="shared" si="84"/>
        <v>-18901.739727090142</v>
      </c>
      <c r="BA52" s="92">
        <f t="shared" si="85"/>
        <v>-0.48465999300231133</v>
      </c>
      <c r="BC52" s="10">
        <f t="shared" si="36"/>
        <v>1500</v>
      </c>
      <c r="BD52" s="10">
        <f t="shared" si="37"/>
        <v>-1148.5431959412103</v>
      </c>
      <c r="BE52" s="10">
        <f t="shared" si="38"/>
        <v>-336.54700148972393</v>
      </c>
      <c r="BF52" s="10">
        <f t="shared" si="39"/>
        <v>-20.617626841958842</v>
      </c>
      <c r="BG52" s="10">
        <f t="shared" si="40"/>
        <v>-385.48690165141642</v>
      </c>
      <c r="BH52" s="10">
        <f t="shared" si="41"/>
        <v>-1891.1947259243095</v>
      </c>
      <c r="BI52" s="10">
        <f t="shared" si="42"/>
        <v>-391.19472592430947</v>
      </c>
      <c r="BJ52" s="10">
        <f t="shared" si="43"/>
        <v>-269.03846153846155</v>
      </c>
      <c r="BK52" s="10">
        <f t="shared" si="44"/>
        <v>-106.58352326579499</v>
      </c>
      <c r="BL52" s="10">
        <f t="shared" si="45"/>
        <v>-395.40437996716179</v>
      </c>
      <c r="BM52" s="10">
        <f t="shared" si="46"/>
        <v>-39.372181581320774</v>
      </c>
      <c r="BN52" s="10">
        <f t="shared" si="47"/>
        <v>36.928846153846152</v>
      </c>
      <c r="BO52" s="10">
        <f t="shared" si="48"/>
        <v>-789.04244131894598</v>
      </c>
      <c r="BP52" s="10">
        <f t="shared" si="49"/>
        <v>-77.399037979757495</v>
      </c>
      <c r="BQ52" s="10">
        <f t="shared" si="50"/>
        <v>-866.44147929870337</v>
      </c>
      <c r="BR52" s="10">
        <f t="shared" si="51"/>
        <v>62.05245181547901</v>
      </c>
      <c r="BS52" s="10">
        <f t="shared" si="52"/>
        <v>-726.98998950346697</v>
      </c>
    </row>
    <row r="53" spans="2:71">
      <c r="B53" s="7" t="s">
        <v>7</v>
      </c>
      <c r="C53" s="29" t="s">
        <v>8</v>
      </c>
      <c r="D53" s="25" t="s">
        <v>256</v>
      </c>
      <c r="E53" s="98">
        <v>49</v>
      </c>
      <c r="F53" s="98">
        <v>46104</v>
      </c>
      <c r="G53" s="101">
        <v>54</v>
      </c>
      <c r="H53" s="100" t="s">
        <v>32</v>
      </c>
      <c r="I53" s="27" t="s">
        <v>155</v>
      </c>
      <c r="J53" s="7" t="s">
        <v>228</v>
      </c>
      <c r="K53" s="7" t="s">
        <v>171</v>
      </c>
      <c r="L53" s="7" t="s">
        <v>172</v>
      </c>
      <c r="M53" s="21" t="s">
        <v>43</v>
      </c>
      <c r="N53" s="7" t="s">
        <v>129</v>
      </c>
      <c r="O53" s="20">
        <v>1600</v>
      </c>
      <c r="P53" s="59">
        <v>86400</v>
      </c>
      <c r="Q53" s="20">
        <v>1492.5925925925926</v>
      </c>
      <c r="R53" s="30">
        <v>5800</v>
      </c>
      <c r="S53" s="32">
        <f t="shared" si="67"/>
        <v>80600</v>
      </c>
      <c r="T53" s="63">
        <v>2</v>
      </c>
      <c r="U53" s="23" t="s">
        <v>232</v>
      </c>
      <c r="V53" s="27">
        <v>6446527810</v>
      </c>
      <c r="W53" s="60" t="s">
        <v>122</v>
      </c>
      <c r="X53" s="4" t="s">
        <v>113</v>
      </c>
      <c r="Y53" s="4" t="s">
        <v>867</v>
      </c>
      <c r="Z53" s="7">
        <v>10006720</v>
      </c>
      <c r="AA53" s="7" t="s">
        <v>218</v>
      </c>
      <c r="AB53" s="7" t="str">
        <f t="shared" si="87"/>
        <v>FEBRERO10006720Inventario final</v>
      </c>
      <c r="AC53" s="20">
        <f t="shared" si="88"/>
        <v>1745.1239660454009</v>
      </c>
      <c r="AD53" s="44">
        <f>IFERROR(INDEX('Costos Producción Febrero'!$G$34:$G$57,MATCH(Resumen!Z53,'Costos Producción Febrero'!$B$34:$B$57,0))*AC53*G53,0)</f>
        <v>60471.030309988986</v>
      </c>
      <c r="AE53" s="44">
        <f>IFERROR(INDEX('Costos Producción Febrero'!$H$34:$H$57,MATCH(Resumen!Z53,'Costos Producción Febrero'!$B$34:$B$57,0))*AC53*G53,0)</f>
        <v>12719.313540185176</v>
      </c>
      <c r="AF53" s="44">
        <f>IFERROR(INDEX('Costos Producción Febrero'!$I$34:$I$57,MATCH(Resumen!Z53,'Costos Producción Febrero'!$B$34:$B$57,0))*AC53*G53,0)</f>
        <v>880.53362715451783</v>
      </c>
      <c r="AG53" s="44">
        <f>IFERROR(INDEX('Costos Producción Febrero'!$J$34:$J$57,MATCH(Resumen!Z53,'Costos Producción Febrero'!$B$34:$B$57,0))*AC53*G53,0)</f>
        <v>20165.81668912297</v>
      </c>
      <c r="AH53" s="44">
        <f t="shared" si="86"/>
        <v>94236.694166451663</v>
      </c>
      <c r="AI53" s="44"/>
      <c r="AJ53" s="43">
        <v>1949.1981178129749</v>
      </c>
      <c r="AK53" s="44"/>
      <c r="AL53" s="43">
        <f t="shared" si="70"/>
        <v>-7836.6941664516635</v>
      </c>
      <c r="AM53" s="92">
        <f t="shared" si="71"/>
        <v>-9.0702478778375728E-2</v>
      </c>
      <c r="AN53" s="42">
        <f t="shared" si="72"/>
        <v>5800</v>
      </c>
      <c r="AO53" s="42">
        <f t="shared" si="73"/>
        <v>1068.2493387968848</v>
      </c>
      <c r="AP53" s="42">
        <f t="shared" si="74"/>
        <v>5755.5102563529299</v>
      </c>
      <c r="AQ53" s="42">
        <f t="shared" si="75"/>
        <v>12623.759595149815</v>
      </c>
      <c r="AR53" s="42">
        <f t="shared" si="76"/>
        <v>2126.0978053913218</v>
      </c>
      <c r="AS53" s="42">
        <f t="shared" si="77"/>
        <v>2418</v>
      </c>
      <c r="AT53" s="43">
        <f t="shared" si="78"/>
        <v>-20168.551566992799</v>
      </c>
      <c r="AU53" s="92">
        <f t="shared" si="79"/>
        <v>-0.23343230980315741</v>
      </c>
      <c r="AV53" s="42">
        <f t="shared" si="80"/>
        <v>4179.5480509069048</v>
      </c>
      <c r="AW53" s="43">
        <f t="shared" si="81"/>
        <v>-24348.099617899705</v>
      </c>
      <c r="AX53" s="92">
        <f t="shared" si="82"/>
        <v>-0.28180670854050582</v>
      </c>
      <c r="AY53" s="42">
        <f t="shared" si="83"/>
        <v>3350.8323980358664</v>
      </c>
      <c r="AZ53" s="43">
        <f t="shared" si="84"/>
        <v>-16817.719168956934</v>
      </c>
      <c r="BA53" s="92">
        <f t="shared" si="85"/>
        <v>-0.19464952741848301</v>
      </c>
      <c r="BC53" s="10">
        <f t="shared" si="36"/>
        <v>1600</v>
      </c>
      <c r="BD53" s="10">
        <f t="shared" si="37"/>
        <v>-1119.8338946294257</v>
      </c>
      <c r="BE53" s="10">
        <f t="shared" si="38"/>
        <v>-235.54284333676253</v>
      </c>
      <c r="BF53" s="10">
        <f t="shared" si="39"/>
        <v>-16.306178280639219</v>
      </c>
      <c r="BG53" s="10">
        <f t="shared" si="40"/>
        <v>-373.44104979857354</v>
      </c>
      <c r="BH53" s="10">
        <f t="shared" si="41"/>
        <v>-1745.1239660454012</v>
      </c>
      <c r="BI53" s="10">
        <f t="shared" si="42"/>
        <v>-145.12396604540118</v>
      </c>
      <c r="BJ53" s="10">
        <f t="shared" si="43"/>
        <v>-107.4074074074074</v>
      </c>
      <c r="BK53" s="10">
        <f t="shared" si="44"/>
        <v>-106.58352326579499</v>
      </c>
      <c r="BL53" s="10">
        <f t="shared" si="45"/>
        <v>-233.77332583610769</v>
      </c>
      <c r="BM53" s="10">
        <f t="shared" si="46"/>
        <v>-39.372181581320774</v>
      </c>
      <c r="BN53" s="10">
        <f t="shared" si="47"/>
        <v>44.777777777777779</v>
      </c>
      <c r="BO53" s="10">
        <f t="shared" si="48"/>
        <v>-373.49169568505181</v>
      </c>
      <c r="BP53" s="10">
        <f t="shared" si="49"/>
        <v>-77.399037979757495</v>
      </c>
      <c r="BQ53" s="10">
        <f t="shared" si="50"/>
        <v>-450.89073366480937</v>
      </c>
      <c r="BR53" s="10">
        <f t="shared" si="51"/>
        <v>62.05245181547901</v>
      </c>
      <c r="BS53" s="10">
        <f t="shared" si="52"/>
        <v>-311.43924386957286</v>
      </c>
    </row>
    <row r="54" spans="2:71">
      <c r="B54" s="7" t="s">
        <v>7</v>
      </c>
      <c r="C54" s="29" t="s">
        <v>8</v>
      </c>
      <c r="D54" s="25" t="s">
        <v>264</v>
      </c>
      <c r="E54" s="98">
        <v>49</v>
      </c>
      <c r="F54" s="98">
        <v>46108</v>
      </c>
      <c r="G54" s="101">
        <v>81</v>
      </c>
      <c r="H54" s="100" t="s">
        <v>32</v>
      </c>
      <c r="I54" s="27" t="s">
        <v>155</v>
      </c>
      <c r="J54" s="7" t="s">
        <v>228</v>
      </c>
      <c r="K54" s="7" t="s">
        <v>171</v>
      </c>
      <c r="L54" s="7" t="s">
        <v>172</v>
      </c>
      <c r="M54" s="21" t="s">
        <v>43</v>
      </c>
      <c r="N54" s="7" t="s">
        <v>129</v>
      </c>
      <c r="O54" s="20">
        <v>1600</v>
      </c>
      <c r="P54" s="211">
        <f>129600-4000</f>
        <v>125600</v>
      </c>
      <c r="Q54" s="20">
        <v>1499.5185185185185</v>
      </c>
      <c r="R54" s="30">
        <v>8139</v>
      </c>
      <c r="S54" s="32">
        <f t="shared" si="67"/>
        <v>117461</v>
      </c>
      <c r="T54" s="63">
        <v>3</v>
      </c>
      <c r="U54" s="57" t="s">
        <v>258</v>
      </c>
      <c r="V54" s="65" t="s">
        <v>265</v>
      </c>
      <c r="W54" s="64" t="s">
        <v>226</v>
      </c>
      <c r="X54" s="4" t="s">
        <v>113</v>
      </c>
      <c r="Y54" s="4" t="s">
        <v>867</v>
      </c>
      <c r="Z54" s="7">
        <v>10006720</v>
      </c>
      <c r="AA54" s="7" t="s">
        <v>218</v>
      </c>
      <c r="AB54" s="7" t="str">
        <f t="shared" si="87"/>
        <v>FEBRERO10006720Inventario final</v>
      </c>
      <c r="AC54" s="20">
        <f t="shared" si="88"/>
        <v>1745.1239660454009</v>
      </c>
      <c r="AD54" s="44">
        <f>IFERROR(INDEX('Costos Producción Febrero'!$G$34:$G$57,MATCH(Resumen!Z54,'Costos Producción Febrero'!$B$34:$B$57,0))*AC54*G54,0)</f>
        <v>90706.545464983486</v>
      </c>
      <c r="AE54" s="44">
        <f>IFERROR(INDEX('Costos Producción Febrero'!$H$34:$H$57,MATCH(Resumen!Z54,'Costos Producción Febrero'!$B$34:$B$57,0))*AC54*G54,0)</f>
        <v>19078.970310277764</v>
      </c>
      <c r="AF54" s="44">
        <f>IFERROR(INDEX('Costos Producción Febrero'!$I$34:$I$57,MATCH(Resumen!Z54,'Costos Producción Febrero'!$B$34:$B$57,0))*AC54*G54,0)</f>
        <v>1320.8004407317767</v>
      </c>
      <c r="AG54" s="44">
        <f>IFERROR(INDEX('Costos Producción Febrero'!$J$34:$J$57,MATCH(Resumen!Z54,'Costos Producción Febrero'!$B$34:$B$57,0))*AC54*G54,0)</f>
        <v>30248.725033684455</v>
      </c>
      <c r="AH54" s="44">
        <f t="shared" si="86"/>
        <v>141355.04124967748</v>
      </c>
      <c r="AI54" s="44"/>
      <c r="AJ54" s="43">
        <v>1949.1981178129749</v>
      </c>
      <c r="AK54" s="44"/>
      <c r="AL54" s="43">
        <f t="shared" si="70"/>
        <v>-15755.041249677481</v>
      </c>
      <c r="AM54" s="92">
        <f t="shared" si="71"/>
        <v>-0.12543822651017103</v>
      </c>
      <c r="AN54" s="42">
        <f t="shared" si="72"/>
        <v>8139</v>
      </c>
      <c r="AO54" s="42">
        <f t="shared" si="73"/>
        <v>1602.3740081953272</v>
      </c>
      <c r="AP54" s="42">
        <f t="shared" si="74"/>
        <v>8633.2653845293953</v>
      </c>
      <c r="AQ54" s="42">
        <f t="shared" si="75"/>
        <v>18374.639392724723</v>
      </c>
      <c r="AR54" s="42">
        <f t="shared" si="76"/>
        <v>3189.1467080869825</v>
      </c>
      <c r="AS54" s="42">
        <f t="shared" si="77"/>
        <v>3523.83</v>
      </c>
      <c r="AT54" s="43">
        <f t="shared" si="78"/>
        <v>-33794.99735048919</v>
      </c>
      <c r="AU54" s="92">
        <f t="shared" si="79"/>
        <v>-0.26906845024274834</v>
      </c>
      <c r="AV54" s="42">
        <f t="shared" si="80"/>
        <v>6269.3220763603567</v>
      </c>
      <c r="AW54" s="43">
        <f t="shared" si="81"/>
        <v>-40064.319426849543</v>
      </c>
      <c r="AX54" s="92">
        <f t="shared" si="82"/>
        <v>-0.31898343492714604</v>
      </c>
      <c r="AY54" s="42">
        <f t="shared" si="83"/>
        <v>5026.2485970538</v>
      </c>
      <c r="AZ54" s="43">
        <f t="shared" si="84"/>
        <v>-28768.74875343539</v>
      </c>
      <c r="BA54" s="92">
        <f t="shared" si="85"/>
        <v>-0.22905054739996331</v>
      </c>
      <c r="BC54" s="10">
        <f t="shared" si="36"/>
        <v>1550.6172839506173</v>
      </c>
      <c r="BD54" s="10">
        <f t="shared" si="37"/>
        <v>-1119.8338946294257</v>
      </c>
      <c r="BE54" s="10">
        <f t="shared" si="38"/>
        <v>-235.54284333676253</v>
      </c>
      <c r="BF54" s="10">
        <f t="shared" si="39"/>
        <v>-16.306178280639219</v>
      </c>
      <c r="BG54" s="10">
        <f t="shared" si="40"/>
        <v>-373.44104979857354</v>
      </c>
      <c r="BH54" s="10">
        <f t="shared" si="41"/>
        <v>-1745.1239660454009</v>
      </c>
      <c r="BI54" s="10">
        <f t="shared" si="42"/>
        <v>-194.50668209478371</v>
      </c>
      <c r="BJ54" s="10">
        <f t="shared" si="43"/>
        <v>-100.48148148148148</v>
      </c>
      <c r="BK54" s="10">
        <f t="shared" si="44"/>
        <v>-106.58352326579501</v>
      </c>
      <c r="BL54" s="10">
        <f t="shared" si="45"/>
        <v>-226.84739991018176</v>
      </c>
      <c r="BM54" s="10">
        <f t="shared" si="46"/>
        <v>-39.372181581320774</v>
      </c>
      <c r="BN54" s="10">
        <f t="shared" si="47"/>
        <v>43.504074074074076</v>
      </c>
      <c r="BO54" s="10">
        <f t="shared" si="48"/>
        <v>-417.2221895122122</v>
      </c>
      <c r="BP54" s="10">
        <f t="shared" si="49"/>
        <v>-77.399037979757495</v>
      </c>
      <c r="BQ54" s="10">
        <f t="shared" si="50"/>
        <v>-494.62122749196965</v>
      </c>
      <c r="BR54" s="10">
        <f t="shared" si="51"/>
        <v>62.05245181547901</v>
      </c>
      <c r="BS54" s="10">
        <f t="shared" si="52"/>
        <v>-355.16973769673319</v>
      </c>
    </row>
    <row r="55" spans="2:71">
      <c r="B55" s="7" t="s">
        <v>7</v>
      </c>
      <c r="C55" s="29" t="s">
        <v>8</v>
      </c>
      <c r="D55" s="25" t="s">
        <v>266</v>
      </c>
      <c r="E55" s="98">
        <v>50</v>
      </c>
      <c r="F55" s="98">
        <v>46108</v>
      </c>
      <c r="G55" s="101">
        <v>48</v>
      </c>
      <c r="H55" s="100" t="s">
        <v>32</v>
      </c>
      <c r="I55" s="27" t="s">
        <v>155</v>
      </c>
      <c r="J55" s="7" t="s">
        <v>228</v>
      </c>
      <c r="K55" s="7" t="s">
        <v>864</v>
      </c>
      <c r="L55" s="7" t="s">
        <v>229</v>
      </c>
      <c r="M55" s="21" t="s">
        <v>43</v>
      </c>
      <c r="N55" s="7" t="s">
        <v>129</v>
      </c>
      <c r="O55" s="20">
        <v>1600</v>
      </c>
      <c r="P55" s="59">
        <v>76800</v>
      </c>
      <c r="Q55" s="20">
        <v>1486.9583333333333</v>
      </c>
      <c r="R55" s="30">
        <v>5426</v>
      </c>
      <c r="S55" s="32">
        <f t="shared" si="67"/>
        <v>71374</v>
      </c>
      <c r="T55" s="63">
        <v>2</v>
      </c>
      <c r="U55" s="57" t="s">
        <v>258</v>
      </c>
      <c r="V55" s="150" t="s">
        <v>267</v>
      </c>
      <c r="W55" s="151" t="s">
        <v>226</v>
      </c>
      <c r="X55" s="4" t="s">
        <v>113</v>
      </c>
      <c r="Y55" s="4" t="s">
        <v>867</v>
      </c>
      <c r="Z55" s="7">
        <v>10006720</v>
      </c>
      <c r="AA55" s="7" t="s">
        <v>218</v>
      </c>
      <c r="AB55" s="7" t="str">
        <f t="shared" si="87"/>
        <v>FEBRERO10006720Inventario final</v>
      </c>
      <c r="AC55" s="20">
        <f t="shared" si="88"/>
        <v>1745.1239660454009</v>
      </c>
      <c r="AD55" s="214">
        <f>IFERROR(INDEX('Costos Producción Febrero'!$G$34:$G$57,MATCH(Resumen!Z55,'Costos Producción Febrero'!$B$34:$B$57,0))*AC55*G55,0)</f>
        <v>53752.026942212433</v>
      </c>
      <c r="AE55" s="44">
        <f>IFERROR(INDEX('Costos Producción Febrero'!$H$34:$H$57,MATCH(Resumen!Z55,'Costos Producción Febrero'!$B$34:$B$57,0))*AC55*G55,0)</f>
        <v>11306.0564801646</v>
      </c>
      <c r="AF55" s="44">
        <f>IFERROR(INDEX('Costos Producción Febrero'!$I$34:$I$57,MATCH(Resumen!Z55,'Costos Producción Febrero'!$B$34:$B$57,0))*AC55*G55,0)</f>
        <v>782.69655747068259</v>
      </c>
      <c r="AG55" s="44">
        <f>IFERROR(INDEX('Costos Producción Febrero'!$J$34:$J$57,MATCH(Resumen!Z55,'Costos Producción Febrero'!$B$34:$B$57,0))*AC55*G55,0)</f>
        <v>17925.170390331528</v>
      </c>
      <c r="AH55" s="44">
        <f t="shared" si="86"/>
        <v>83765.950370179256</v>
      </c>
      <c r="AI55" s="44"/>
      <c r="AJ55" s="43">
        <v>1949.1981178129749</v>
      </c>
      <c r="AK55" s="44"/>
      <c r="AL55" s="43">
        <f t="shared" si="70"/>
        <v>-6965.9503701792564</v>
      </c>
      <c r="AM55" s="92">
        <f t="shared" si="71"/>
        <v>-9.0702478778375728E-2</v>
      </c>
      <c r="AN55" s="42">
        <f t="shared" si="72"/>
        <v>5426</v>
      </c>
      <c r="AO55" s="42">
        <f t="shared" si="73"/>
        <v>949.55496781945317</v>
      </c>
      <c r="AP55" s="42">
        <f t="shared" si="74"/>
        <v>5116.0091167581595</v>
      </c>
      <c r="AQ55" s="42">
        <f t="shared" si="75"/>
        <v>11491.564084577612</v>
      </c>
      <c r="AR55" s="42">
        <f t="shared" si="76"/>
        <v>1889.8647159033972</v>
      </c>
      <c r="AS55" s="42">
        <f t="shared" si="77"/>
        <v>2141.2199999999998</v>
      </c>
      <c r="AT55" s="43">
        <f t="shared" si="78"/>
        <v>-18206.159170660267</v>
      </c>
      <c r="AU55" s="92">
        <f t="shared" si="79"/>
        <v>-0.23705936420130555</v>
      </c>
      <c r="AV55" s="42">
        <f t="shared" si="80"/>
        <v>3715.1538230283595</v>
      </c>
      <c r="AW55" s="43">
        <f t="shared" si="81"/>
        <v>-21921.312993688625</v>
      </c>
      <c r="AX55" s="92">
        <f t="shared" si="82"/>
        <v>-0.28543376293865397</v>
      </c>
      <c r="AY55" s="42">
        <f t="shared" si="83"/>
        <v>2978.5176871429926</v>
      </c>
      <c r="AZ55" s="43">
        <f t="shared" si="84"/>
        <v>-15227.641483517275</v>
      </c>
      <c r="BA55" s="92">
        <f t="shared" si="85"/>
        <v>-0.19827658181663119</v>
      </c>
      <c r="BC55" s="10">
        <f t="shared" si="36"/>
        <v>1600</v>
      </c>
      <c r="BD55" s="10">
        <f t="shared" si="37"/>
        <v>-1119.8338946294257</v>
      </c>
      <c r="BE55" s="10">
        <f t="shared" si="38"/>
        <v>-235.5428433367625</v>
      </c>
      <c r="BF55" s="10">
        <f t="shared" si="39"/>
        <v>-16.306178280639219</v>
      </c>
      <c r="BG55" s="10">
        <f t="shared" si="40"/>
        <v>-373.44104979857349</v>
      </c>
      <c r="BH55" s="10">
        <f t="shared" si="41"/>
        <v>-1745.1239660454012</v>
      </c>
      <c r="BI55" s="10">
        <f t="shared" si="42"/>
        <v>-145.12396604540118</v>
      </c>
      <c r="BJ55" s="10">
        <f t="shared" si="43"/>
        <v>-113.04166666666667</v>
      </c>
      <c r="BK55" s="10">
        <f t="shared" si="44"/>
        <v>-106.58352326579499</v>
      </c>
      <c r="BL55" s="10">
        <f t="shared" si="45"/>
        <v>-239.40758509536693</v>
      </c>
      <c r="BM55" s="10">
        <f t="shared" si="46"/>
        <v>-39.372181581320774</v>
      </c>
      <c r="BN55" s="10">
        <f t="shared" si="47"/>
        <v>44.608749999999993</v>
      </c>
      <c r="BO55" s="10">
        <f t="shared" si="48"/>
        <v>-379.29498272208889</v>
      </c>
      <c r="BP55" s="10">
        <f t="shared" si="49"/>
        <v>-77.399037979757495</v>
      </c>
      <c r="BQ55" s="10">
        <f t="shared" si="50"/>
        <v>-456.69402070184634</v>
      </c>
      <c r="BR55" s="10">
        <f t="shared" si="51"/>
        <v>62.05245181547901</v>
      </c>
      <c r="BS55" s="10">
        <f t="shared" si="52"/>
        <v>-317.24253090660989</v>
      </c>
    </row>
    <row r="56" spans="2:71">
      <c r="B56" s="7" t="s">
        <v>7</v>
      </c>
      <c r="C56" s="29" t="s">
        <v>8</v>
      </c>
      <c r="D56" s="25" t="s">
        <v>268</v>
      </c>
      <c r="E56" s="98">
        <v>54</v>
      </c>
      <c r="F56" s="104">
        <v>46101</v>
      </c>
      <c r="G56" s="99">
        <v>24</v>
      </c>
      <c r="H56" s="100" t="s">
        <v>34</v>
      </c>
      <c r="I56" s="27" t="s">
        <v>116</v>
      </c>
      <c r="J56" s="7" t="s">
        <v>153</v>
      </c>
      <c r="K56" s="7" t="s">
        <v>118</v>
      </c>
      <c r="L56" s="7" t="s">
        <v>269</v>
      </c>
      <c r="M56" s="21" t="s">
        <v>50</v>
      </c>
      <c r="N56" s="7" t="s">
        <v>270</v>
      </c>
      <c r="O56" s="20">
        <v>1100</v>
      </c>
      <c r="P56" s="67">
        <v>26400</v>
      </c>
      <c r="Q56" s="20">
        <v>966.54166666666663</v>
      </c>
      <c r="R56" s="30">
        <v>3203</v>
      </c>
      <c r="S56" s="32">
        <f t="shared" si="67"/>
        <v>23197</v>
      </c>
      <c r="T56" s="63">
        <v>1</v>
      </c>
      <c r="U56" s="64" t="s">
        <v>271</v>
      </c>
      <c r="V56" s="68" t="s">
        <v>272</v>
      </c>
      <c r="W56" s="64" t="s">
        <v>226</v>
      </c>
      <c r="X56" s="4" t="s">
        <v>113</v>
      </c>
      <c r="Y56" s="4" t="s">
        <v>867</v>
      </c>
      <c r="Z56" s="7">
        <v>10005779</v>
      </c>
      <c r="AA56" s="7" t="s">
        <v>218</v>
      </c>
      <c r="AB56" s="7" t="str">
        <f t="shared" si="87"/>
        <v>FEBRERO10005779Inventario final</v>
      </c>
      <c r="AC56" s="20">
        <f t="shared" si="88"/>
        <v>1896.1639327140158</v>
      </c>
      <c r="AD56" s="214">
        <f>IFERROR(INDEX('Costos Producción Febrero'!$G$34:$G$57,MATCH(Resumen!Z56,'Costos Producción Febrero'!$B$34:$B$57,0))*AC56*G56,0)</f>
        <v>26421.940957372739</v>
      </c>
      <c r="AE56" s="44">
        <f>IFERROR(INDEX('Costos Producción Febrero'!$H$34:$H$57,MATCH(Resumen!Z56,'Costos Producción Febrero'!$B$34:$B$57,0))*AC56*G56,0)</f>
        <v>10055.156269352579</v>
      </c>
      <c r="AF56" s="44">
        <f>IFERROR(INDEX('Costos Producción Febrero'!$I$34:$I$57,MATCH(Resumen!Z56,'Costos Producción Febrero'!$B$34:$B$57,0))*AC56*G56,0)</f>
        <v>290.67301802910436</v>
      </c>
      <c r="AG56" s="44">
        <f>IFERROR(INDEX('Costos Producción Febrero'!$J$34:$J$57,MATCH(Resumen!Z56,'Costos Producción Febrero'!$B$34:$B$57,0))*AC56*G56,0)</f>
        <v>8740.164140381954</v>
      </c>
      <c r="AH56" s="44">
        <f t="shared" si="86"/>
        <v>45507.934385136374</v>
      </c>
      <c r="AI56" s="44"/>
      <c r="AJ56" s="43">
        <v>2100.2380844815898</v>
      </c>
      <c r="AK56" s="44"/>
      <c r="AL56" s="43">
        <f t="shared" si="70"/>
        <v>-19107.934385136374</v>
      </c>
      <c r="AM56" s="92">
        <f t="shared" si="71"/>
        <v>-0.72378539337637782</v>
      </c>
      <c r="AN56" s="42">
        <f t="shared" si="72"/>
        <v>3203</v>
      </c>
      <c r="AO56" s="42">
        <f t="shared" si="73"/>
        <v>474.77748390972658</v>
      </c>
      <c r="AP56" s="42">
        <f t="shared" si="74"/>
        <v>2558.0045583790798</v>
      </c>
      <c r="AQ56" s="42">
        <f t="shared" si="75"/>
        <v>6235.7820422888062</v>
      </c>
      <c r="AR56" s="42">
        <f t="shared" si="76"/>
        <v>944.93235795169858</v>
      </c>
      <c r="AS56" s="42">
        <f t="shared" si="77"/>
        <v>695.91</v>
      </c>
      <c r="AT56" s="43">
        <f t="shared" si="78"/>
        <v>-25592.738785376878</v>
      </c>
      <c r="AU56" s="92">
        <f t="shared" si="79"/>
        <v>-0.96942192368851809</v>
      </c>
      <c r="AV56" s="42">
        <f t="shared" si="80"/>
        <v>1857.5769115141798</v>
      </c>
      <c r="AW56" s="43">
        <f t="shared" si="81"/>
        <v>-27450.315696891059</v>
      </c>
      <c r="AX56" s="92">
        <f t="shared" si="82"/>
        <v>-1.0397846854882977</v>
      </c>
      <c r="AY56" s="42">
        <f t="shared" si="83"/>
        <v>1489.2588435714963</v>
      </c>
      <c r="AZ56" s="43">
        <f t="shared" si="84"/>
        <v>-24103.479941805381</v>
      </c>
      <c r="BA56" s="92">
        <f t="shared" si="85"/>
        <v>-0.91301060385626442</v>
      </c>
      <c r="BC56" s="10">
        <f t="shared" si="36"/>
        <v>1100</v>
      </c>
      <c r="BD56" s="10">
        <f t="shared" si="37"/>
        <v>-1100.9142065571975</v>
      </c>
      <c r="BE56" s="10">
        <f t="shared" si="38"/>
        <v>-418.96484455635749</v>
      </c>
      <c r="BF56" s="10">
        <f t="shared" si="39"/>
        <v>-12.111375751212682</v>
      </c>
      <c r="BG56" s="10">
        <f t="shared" si="40"/>
        <v>-364.1735058492481</v>
      </c>
      <c r="BH56" s="10">
        <f t="shared" si="41"/>
        <v>-1896.1639327140156</v>
      </c>
      <c r="BI56" s="10">
        <f t="shared" si="42"/>
        <v>-796.16393271401557</v>
      </c>
      <c r="BJ56" s="10">
        <f t="shared" si="43"/>
        <v>-133.45833333333334</v>
      </c>
      <c r="BK56" s="10">
        <f t="shared" si="44"/>
        <v>-106.58352326579499</v>
      </c>
      <c r="BL56" s="10">
        <f t="shared" si="45"/>
        <v>-259.82425176203361</v>
      </c>
      <c r="BM56" s="10">
        <f t="shared" si="46"/>
        <v>-39.372181581320774</v>
      </c>
      <c r="BN56" s="10">
        <f t="shared" si="47"/>
        <v>28.99625</v>
      </c>
      <c r="BO56" s="10">
        <f t="shared" si="48"/>
        <v>-1066.36411605737</v>
      </c>
      <c r="BP56" s="10">
        <f t="shared" si="49"/>
        <v>-77.399037979757495</v>
      </c>
      <c r="BQ56" s="10">
        <f t="shared" si="50"/>
        <v>-1143.7631540371274</v>
      </c>
      <c r="BR56" s="10">
        <f t="shared" si="51"/>
        <v>62.05245181547901</v>
      </c>
      <c r="BS56" s="10">
        <f t="shared" si="52"/>
        <v>-1004.3116642418909</v>
      </c>
    </row>
    <row r="57" spans="2:71">
      <c r="B57" s="7" t="s">
        <v>7</v>
      </c>
      <c r="C57" s="29" t="s">
        <v>8</v>
      </c>
      <c r="D57" s="25" t="s">
        <v>273</v>
      </c>
      <c r="E57" s="98">
        <v>54</v>
      </c>
      <c r="F57" s="104">
        <v>46101</v>
      </c>
      <c r="G57" s="99">
        <v>24</v>
      </c>
      <c r="H57" s="100" t="s">
        <v>34</v>
      </c>
      <c r="I57" s="27" t="s">
        <v>116</v>
      </c>
      <c r="J57" s="7" t="s">
        <v>153</v>
      </c>
      <c r="K57" s="7" t="s">
        <v>118</v>
      </c>
      <c r="L57" s="7" t="s">
        <v>119</v>
      </c>
      <c r="M57" s="21" t="s">
        <v>50</v>
      </c>
      <c r="N57" s="7" t="s">
        <v>120</v>
      </c>
      <c r="O57" s="20">
        <v>1100</v>
      </c>
      <c r="P57" s="67">
        <v>26400</v>
      </c>
      <c r="Q57" s="20">
        <v>953.625</v>
      </c>
      <c r="R57" s="30">
        <v>3513</v>
      </c>
      <c r="S57" s="32">
        <f t="shared" si="67"/>
        <v>22887</v>
      </c>
      <c r="T57" s="63">
        <v>1</v>
      </c>
      <c r="U57" s="64" t="s">
        <v>271</v>
      </c>
      <c r="V57" s="68" t="s">
        <v>274</v>
      </c>
      <c r="W57" s="64" t="s">
        <v>226</v>
      </c>
      <c r="X57" s="4" t="s">
        <v>113</v>
      </c>
      <c r="Y57" s="4" t="s">
        <v>867</v>
      </c>
      <c r="Z57" s="7">
        <v>10005779</v>
      </c>
      <c r="AA57" s="7" t="s">
        <v>218</v>
      </c>
      <c r="AB57" s="7" t="str">
        <f t="shared" si="87"/>
        <v>FEBRERO10005779Inventario final</v>
      </c>
      <c r="AC57" s="20">
        <f t="shared" si="88"/>
        <v>1896.1639327140158</v>
      </c>
      <c r="AD57" s="214">
        <f>IFERROR(INDEX('Costos Producción Febrero'!$G$34:$G$57,MATCH(Resumen!Z57,'Costos Producción Febrero'!$B$34:$B$57,0))*AC57*G57,0)</f>
        <v>26421.940957372739</v>
      </c>
      <c r="AE57" s="44">
        <f>IFERROR(INDEX('Costos Producción Febrero'!$H$34:$H$57,MATCH(Resumen!Z57,'Costos Producción Febrero'!$B$34:$B$57,0))*AC57*G57,0)</f>
        <v>10055.156269352579</v>
      </c>
      <c r="AF57" s="44">
        <f>IFERROR(INDEX('Costos Producción Febrero'!$I$34:$I$57,MATCH(Resumen!Z57,'Costos Producción Febrero'!$B$34:$B$57,0))*AC57*G57,0)</f>
        <v>290.67301802910436</v>
      </c>
      <c r="AG57" s="44">
        <f>IFERROR(INDEX('Costos Producción Febrero'!$J$34:$J$57,MATCH(Resumen!Z57,'Costos Producción Febrero'!$B$34:$B$57,0))*AC57*G57,0)</f>
        <v>8740.164140381954</v>
      </c>
      <c r="AH57" s="44">
        <f t="shared" si="86"/>
        <v>45507.934385136374</v>
      </c>
      <c r="AI57" s="44"/>
      <c r="AJ57" s="43">
        <v>2100.2380844815898</v>
      </c>
      <c r="AK57" s="44"/>
      <c r="AL57" s="43">
        <f t="shared" si="70"/>
        <v>-19107.934385136374</v>
      </c>
      <c r="AM57" s="92">
        <f t="shared" si="71"/>
        <v>-0.72378539337637782</v>
      </c>
      <c r="AN57" s="42">
        <f t="shared" si="72"/>
        <v>3513</v>
      </c>
      <c r="AO57" s="42">
        <f t="shared" si="73"/>
        <v>474.77748390972658</v>
      </c>
      <c r="AP57" s="42">
        <f t="shared" si="74"/>
        <v>2558.0045583790798</v>
      </c>
      <c r="AQ57" s="42">
        <f t="shared" si="75"/>
        <v>6545.7820422888062</v>
      </c>
      <c r="AR57" s="42">
        <f t="shared" si="76"/>
        <v>944.93235795169858</v>
      </c>
      <c r="AS57" s="42">
        <f t="shared" si="77"/>
        <v>686.61</v>
      </c>
      <c r="AT57" s="43">
        <f t="shared" si="78"/>
        <v>-25912.038785376877</v>
      </c>
      <c r="AU57" s="92">
        <f t="shared" si="79"/>
        <v>-0.98151662065821499</v>
      </c>
      <c r="AV57" s="42">
        <f t="shared" si="80"/>
        <v>1857.5769115141798</v>
      </c>
      <c r="AW57" s="43">
        <f t="shared" si="81"/>
        <v>-27769.615696891058</v>
      </c>
      <c r="AX57" s="92">
        <f t="shared" si="82"/>
        <v>-1.0518793824579946</v>
      </c>
      <c r="AY57" s="42">
        <f t="shared" si="83"/>
        <v>1489.2588435714963</v>
      </c>
      <c r="AZ57" s="43">
        <f t="shared" si="84"/>
        <v>-24422.77994180538</v>
      </c>
      <c r="BA57" s="92">
        <f t="shared" si="85"/>
        <v>-0.92510530082596132</v>
      </c>
      <c r="BC57" s="10">
        <f t="shared" si="36"/>
        <v>1100</v>
      </c>
      <c r="BD57" s="10">
        <f t="shared" si="37"/>
        <v>-1100.9142065571975</v>
      </c>
      <c r="BE57" s="10">
        <f t="shared" si="38"/>
        <v>-418.96484455635749</v>
      </c>
      <c r="BF57" s="10">
        <f t="shared" si="39"/>
        <v>-12.111375751212682</v>
      </c>
      <c r="BG57" s="10">
        <f t="shared" si="40"/>
        <v>-364.1735058492481</v>
      </c>
      <c r="BH57" s="10">
        <f t="shared" si="41"/>
        <v>-1896.1639327140156</v>
      </c>
      <c r="BI57" s="10">
        <f t="shared" si="42"/>
        <v>-796.16393271401557</v>
      </c>
      <c r="BJ57" s="10">
        <f t="shared" si="43"/>
        <v>-146.375</v>
      </c>
      <c r="BK57" s="10">
        <f t="shared" si="44"/>
        <v>-106.58352326579499</v>
      </c>
      <c r="BL57" s="10">
        <f t="shared" si="45"/>
        <v>-272.74091842870024</v>
      </c>
      <c r="BM57" s="10">
        <f t="shared" si="46"/>
        <v>-39.372181581320774</v>
      </c>
      <c r="BN57" s="10">
        <f t="shared" si="47"/>
        <v>28.608750000000001</v>
      </c>
      <c r="BO57" s="10">
        <f t="shared" si="48"/>
        <v>-1079.6682827240365</v>
      </c>
      <c r="BP57" s="10">
        <f t="shared" si="49"/>
        <v>-77.399037979757495</v>
      </c>
      <c r="BQ57" s="10">
        <f t="shared" si="50"/>
        <v>-1157.0673207037942</v>
      </c>
      <c r="BR57" s="10">
        <f t="shared" si="51"/>
        <v>62.05245181547901</v>
      </c>
      <c r="BS57" s="10">
        <f t="shared" si="52"/>
        <v>-1017.6158309085575</v>
      </c>
    </row>
    <row r="58" spans="2:71">
      <c r="B58" s="7" t="s">
        <v>7</v>
      </c>
      <c r="C58" s="29" t="s">
        <v>8</v>
      </c>
      <c r="D58" s="25" t="s">
        <v>275</v>
      </c>
      <c r="E58" s="98">
        <v>54</v>
      </c>
      <c r="F58" s="104">
        <v>46101</v>
      </c>
      <c r="G58" s="99">
        <v>24</v>
      </c>
      <c r="H58" s="100" t="s">
        <v>34</v>
      </c>
      <c r="I58" s="27" t="s">
        <v>116</v>
      </c>
      <c r="J58" s="7" t="s">
        <v>153</v>
      </c>
      <c r="K58" s="7" t="s">
        <v>118</v>
      </c>
      <c r="L58" s="7" t="s">
        <v>119</v>
      </c>
      <c r="M58" s="21" t="s">
        <v>50</v>
      </c>
      <c r="N58" s="7" t="s">
        <v>120</v>
      </c>
      <c r="O58" s="20">
        <v>1100</v>
      </c>
      <c r="P58" s="67">
        <v>26400</v>
      </c>
      <c r="Q58" s="20">
        <v>953.625</v>
      </c>
      <c r="R58" s="30">
        <v>3513</v>
      </c>
      <c r="S58" s="32">
        <f t="shared" si="67"/>
        <v>22887</v>
      </c>
      <c r="T58" s="63">
        <v>1</v>
      </c>
      <c r="U58" s="64" t="s">
        <v>271</v>
      </c>
      <c r="V58" s="68" t="s">
        <v>276</v>
      </c>
      <c r="W58" s="64" t="s">
        <v>226</v>
      </c>
      <c r="X58" s="4" t="s">
        <v>113</v>
      </c>
      <c r="Y58" s="4" t="s">
        <v>867</v>
      </c>
      <c r="Z58" s="7">
        <v>10005779</v>
      </c>
      <c r="AA58" s="7" t="s">
        <v>218</v>
      </c>
      <c r="AB58" s="7" t="str">
        <f t="shared" si="87"/>
        <v>FEBRERO10005779Inventario final</v>
      </c>
      <c r="AC58" s="20">
        <f t="shared" si="88"/>
        <v>1896.1639327140158</v>
      </c>
      <c r="AD58" s="214">
        <f>IFERROR(INDEX('Costos Producción Febrero'!$G$34:$G$57,MATCH(Resumen!Z58,'Costos Producción Febrero'!$B$34:$B$57,0))*AC58*G58,0)</f>
        <v>26421.940957372739</v>
      </c>
      <c r="AE58" s="44">
        <f>IFERROR(INDEX('Costos Producción Febrero'!$H$34:$H$57,MATCH(Resumen!Z58,'Costos Producción Febrero'!$B$34:$B$57,0))*AC58*G58,0)</f>
        <v>10055.156269352579</v>
      </c>
      <c r="AF58" s="44">
        <f>IFERROR(INDEX('Costos Producción Febrero'!$I$34:$I$57,MATCH(Resumen!Z58,'Costos Producción Febrero'!$B$34:$B$57,0))*AC58*G58,0)</f>
        <v>290.67301802910436</v>
      </c>
      <c r="AG58" s="44">
        <f>IFERROR(INDEX('Costos Producción Febrero'!$J$34:$J$57,MATCH(Resumen!Z58,'Costos Producción Febrero'!$B$34:$B$57,0))*AC58*G58,0)</f>
        <v>8740.164140381954</v>
      </c>
      <c r="AH58" s="44">
        <f t="shared" si="86"/>
        <v>45507.934385136374</v>
      </c>
      <c r="AI58" s="44"/>
      <c r="AJ58" s="43">
        <v>2100.2380844815898</v>
      </c>
      <c r="AK58" s="44"/>
      <c r="AL58" s="43">
        <f t="shared" si="70"/>
        <v>-19107.934385136374</v>
      </c>
      <c r="AM58" s="92">
        <f t="shared" si="71"/>
        <v>-0.72378539337637782</v>
      </c>
      <c r="AN58" s="42">
        <f t="shared" si="72"/>
        <v>3513</v>
      </c>
      <c r="AO58" s="42">
        <f t="shared" si="73"/>
        <v>474.77748390972658</v>
      </c>
      <c r="AP58" s="42">
        <f t="shared" si="74"/>
        <v>2558.0045583790798</v>
      </c>
      <c r="AQ58" s="42">
        <f t="shared" si="75"/>
        <v>6545.7820422888062</v>
      </c>
      <c r="AR58" s="42">
        <f t="shared" si="76"/>
        <v>944.93235795169858</v>
      </c>
      <c r="AS58" s="42">
        <f t="shared" si="77"/>
        <v>686.61</v>
      </c>
      <c r="AT58" s="43">
        <f t="shared" si="78"/>
        <v>-25912.038785376877</v>
      </c>
      <c r="AU58" s="92">
        <f t="shared" si="79"/>
        <v>-0.98151662065821499</v>
      </c>
      <c r="AV58" s="42">
        <f t="shared" si="80"/>
        <v>1857.5769115141798</v>
      </c>
      <c r="AW58" s="43">
        <f t="shared" si="81"/>
        <v>-27769.615696891058</v>
      </c>
      <c r="AX58" s="92">
        <f t="shared" si="82"/>
        <v>-1.0518793824579946</v>
      </c>
      <c r="AY58" s="42">
        <f t="shared" si="83"/>
        <v>1489.2588435714963</v>
      </c>
      <c r="AZ58" s="43">
        <f t="shared" si="84"/>
        <v>-24422.77994180538</v>
      </c>
      <c r="BA58" s="92">
        <f t="shared" si="85"/>
        <v>-0.92510530082596132</v>
      </c>
      <c r="BC58" s="10">
        <f t="shared" si="36"/>
        <v>1100</v>
      </c>
      <c r="BD58" s="10">
        <f t="shared" si="37"/>
        <v>-1100.9142065571975</v>
      </c>
      <c r="BE58" s="10">
        <f t="shared" si="38"/>
        <v>-418.96484455635749</v>
      </c>
      <c r="BF58" s="10">
        <f t="shared" si="39"/>
        <v>-12.111375751212682</v>
      </c>
      <c r="BG58" s="10">
        <f t="shared" si="40"/>
        <v>-364.1735058492481</v>
      </c>
      <c r="BH58" s="10">
        <f t="shared" si="41"/>
        <v>-1896.1639327140156</v>
      </c>
      <c r="BI58" s="10">
        <f t="shared" si="42"/>
        <v>-796.16393271401557</v>
      </c>
      <c r="BJ58" s="10">
        <f t="shared" si="43"/>
        <v>-146.375</v>
      </c>
      <c r="BK58" s="10">
        <f t="shared" si="44"/>
        <v>-106.58352326579499</v>
      </c>
      <c r="BL58" s="10">
        <f t="shared" si="45"/>
        <v>-272.74091842870024</v>
      </c>
      <c r="BM58" s="10">
        <f t="shared" si="46"/>
        <v>-39.372181581320774</v>
      </c>
      <c r="BN58" s="10">
        <f t="shared" si="47"/>
        <v>28.608750000000001</v>
      </c>
      <c r="BO58" s="10">
        <f t="shared" si="48"/>
        <v>-1079.6682827240365</v>
      </c>
      <c r="BP58" s="10">
        <f t="shared" si="49"/>
        <v>-77.399037979757495</v>
      </c>
      <c r="BQ58" s="10">
        <f t="shared" si="50"/>
        <v>-1157.0673207037942</v>
      </c>
      <c r="BR58" s="10">
        <f t="shared" si="51"/>
        <v>62.05245181547901</v>
      </c>
      <c r="BS58" s="10">
        <f t="shared" si="52"/>
        <v>-1017.6158309085575</v>
      </c>
    </row>
    <row r="59" spans="2:71">
      <c r="B59" s="7" t="s">
        <v>7</v>
      </c>
      <c r="C59" s="29" t="s">
        <v>8</v>
      </c>
      <c r="D59" s="25" t="s">
        <v>277</v>
      </c>
      <c r="E59" s="98">
        <v>54</v>
      </c>
      <c r="F59" s="104">
        <v>46108</v>
      </c>
      <c r="G59" s="99">
        <v>24</v>
      </c>
      <c r="H59" s="100" t="s">
        <v>34</v>
      </c>
      <c r="I59" s="27" t="s">
        <v>116</v>
      </c>
      <c r="J59" s="7" t="s">
        <v>153</v>
      </c>
      <c r="K59" s="7" t="s">
        <v>118</v>
      </c>
      <c r="L59" s="7" t="s">
        <v>119</v>
      </c>
      <c r="M59" s="21" t="s">
        <v>50</v>
      </c>
      <c r="N59" s="7" t="s">
        <v>120</v>
      </c>
      <c r="O59" s="20">
        <v>1100</v>
      </c>
      <c r="P59" s="67">
        <v>26400</v>
      </c>
      <c r="Q59" s="20">
        <v>953.625</v>
      </c>
      <c r="R59" s="30">
        <v>3513</v>
      </c>
      <c r="S59" s="32">
        <f t="shared" si="67"/>
        <v>22887</v>
      </c>
      <c r="T59" s="63">
        <v>1</v>
      </c>
      <c r="U59" s="57" t="s">
        <v>258</v>
      </c>
      <c r="V59" s="65" t="s">
        <v>278</v>
      </c>
      <c r="W59" s="64" t="s">
        <v>226</v>
      </c>
      <c r="X59" s="4" t="s">
        <v>113</v>
      </c>
      <c r="Y59" s="4" t="s">
        <v>867</v>
      </c>
      <c r="Z59" s="7">
        <v>10005779</v>
      </c>
      <c r="AA59" s="7" t="s">
        <v>218</v>
      </c>
      <c r="AB59" s="7" t="str">
        <f t="shared" si="87"/>
        <v>FEBRERO10005779Inventario final</v>
      </c>
      <c r="AC59" s="20">
        <f t="shared" si="88"/>
        <v>1896.1639327140158</v>
      </c>
      <c r="AD59" s="214">
        <f>IFERROR(INDEX('Costos Producción Febrero'!$G$34:$G$57,MATCH(Resumen!Z59,'Costos Producción Febrero'!$B$34:$B$57,0))*AC59*G59,0)</f>
        <v>26421.940957372739</v>
      </c>
      <c r="AE59" s="44">
        <f>IFERROR(INDEX('Costos Producción Febrero'!$H$34:$H$57,MATCH(Resumen!Z59,'Costos Producción Febrero'!$B$34:$B$57,0))*AC59*G59,0)</f>
        <v>10055.156269352579</v>
      </c>
      <c r="AF59" s="44">
        <f>IFERROR(INDEX('Costos Producción Febrero'!$I$34:$I$57,MATCH(Resumen!Z59,'Costos Producción Febrero'!$B$34:$B$57,0))*AC59*G59,0)</f>
        <v>290.67301802910436</v>
      </c>
      <c r="AG59" s="44">
        <f>IFERROR(INDEX('Costos Producción Febrero'!$J$34:$J$57,MATCH(Resumen!Z59,'Costos Producción Febrero'!$B$34:$B$57,0))*AC59*G59,0)</f>
        <v>8740.164140381954</v>
      </c>
      <c r="AH59" s="44">
        <f t="shared" si="86"/>
        <v>45507.934385136374</v>
      </c>
      <c r="AI59" s="44"/>
      <c r="AJ59" s="43">
        <v>2100.2380844815898</v>
      </c>
      <c r="AK59" s="44"/>
      <c r="AL59" s="43">
        <f t="shared" si="70"/>
        <v>-19107.934385136374</v>
      </c>
      <c r="AM59" s="92">
        <f t="shared" si="71"/>
        <v>-0.72378539337637782</v>
      </c>
      <c r="AN59" s="42">
        <f t="shared" si="72"/>
        <v>3513</v>
      </c>
      <c r="AO59" s="42">
        <f t="shared" si="73"/>
        <v>474.77748390972658</v>
      </c>
      <c r="AP59" s="42">
        <f t="shared" si="74"/>
        <v>2558.0045583790798</v>
      </c>
      <c r="AQ59" s="42">
        <f t="shared" si="75"/>
        <v>6545.7820422888062</v>
      </c>
      <c r="AR59" s="42">
        <f t="shared" si="76"/>
        <v>944.93235795169858</v>
      </c>
      <c r="AS59" s="42">
        <f t="shared" si="77"/>
        <v>686.61</v>
      </c>
      <c r="AT59" s="43">
        <f t="shared" si="78"/>
        <v>-25912.038785376877</v>
      </c>
      <c r="AU59" s="92">
        <f t="shared" si="79"/>
        <v>-0.98151662065821499</v>
      </c>
      <c r="AV59" s="42">
        <f t="shared" si="80"/>
        <v>1857.5769115141798</v>
      </c>
      <c r="AW59" s="43">
        <f t="shared" si="81"/>
        <v>-27769.615696891058</v>
      </c>
      <c r="AX59" s="92">
        <f t="shared" si="82"/>
        <v>-1.0518793824579946</v>
      </c>
      <c r="AY59" s="42">
        <f t="shared" si="83"/>
        <v>1489.2588435714963</v>
      </c>
      <c r="AZ59" s="43">
        <f t="shared" si="84"/>
        <v>-24422.77994180538</v>
      </c>
      <c r="BA59" s="92">
        <f t="shared" si="85"/>
        <v>-0.92510530082596132</v>
      </c>
      <c r="BC59" s="10">
        <f t="shared" si="36"/>
        <v>1100</v>
      </c>
      <c r="BD59" s="10">
        <f t="shared" si="37"/>
        <v>-1100.9142065571975</v>
      </c>
      <c r="BE59" s="10">
        <f t="shared" si="38"/>
        <v>-418.96484455635749</v>
      </c>
      <c r="BF59" s="10">
        <f t="shared" si="39"/>
        <v>-12.111375751212682</v>
      </c>
      <c r="BG59" s="10">
        <f t="shared" si="40"/>
        <v>-364.1735058492481</v>
      </c>
      <c r="BH59" s="10">
        <f t="shared" si="41"/>
        <v>-1896.1639327140156</v>
      </c>
      <c r="BI59" s="10">
        <f t="shared" si="42"/>
        <v>-796.16393271401557</v>
      </c>
      <c r="BJ59" s="10">
        <f t="shared" si="43"/>
        <v>-146.375</v>
      </c>
      <c r="BK59" s="10">
        <f t="shared" si="44"/>
        <v>-106.58352326579499</v>
      </c>
      <c r="BL59" s="10">
        <f t="shared" si="45"/>
        <v>-272.74091842870024</v>
      </c>
      <c r="BM59" s="10">
        <f t="shared" si="46"/>
        <v>-39.372181581320774</v>
      </c>
      <c r="BN59" s="10">
        <f t="shared" si="47"/>
        <v>28.608750000000001</v>
      </c>
      <c r="BO59" s="10">
        <f t="shared" si="48"/>
        <v>-1079.6682827240365</v>
      </c>
      <c r="BP59" s="10">
        <f t="shared" si="49"/>
        <v>-77.399037979757495</v>
      </c>
      <c r="BQ59" s="10">
        <f t="shared" si="50"/>
        <v>-1157.0673207037942</v>
      </c>
      <c r="BR59" s="10">
        <f t="shared" si="51"/>
        <v>62.05245181547901</v>
      </c>
      <c r="BS59" s="10">
        <f t="shared" si="52"/>
        <v>-1017.6158309085575</v>
      </c>
    </row>
    <row r="60" spans="2:71">
      <c r="B60" s="7" t="s">
        <v>7</v>
      </c>
      <c r="C60" s="29" t="s">
        <v>8</v>
      </c>
      <c r="D60" s="25" t="s">
        <v>279</v>
      </c>
      <c r="E60" s="98">
        <v>54</v>
      </c>
      <c r="F60" s="104">
        <v>46108</v>
      </c>
      <c r="G60" s="99">
        <v>24</v>
      </c>
      <c r="H60" s="100" t="s">
        <v>34</v>
      </c>
      <c r="I60" s="27" t="s">
        <v>116</v>
      </c>
      <c r="J60" s="7" t="s">
        <v>153</v>
      </c>
      <c r="K60" s="7" t="s">
        <v>118</v>
      </c>
      <c r="L60" s="7" t="s">
        <v>119</v>
      </c>
      <c r="M60" s="21" t="s">
        <v>50</v>
      </c>
      <c r="N60" s="7" t="s">
        <v>120</v>
      </c>
      <c r="O60" s="20">
        <v>1100</v>
      </c>
      <c r="P60" s="67">
        <v>26400</v>
      </c>
      <c r="Q60" s="20">
        <v>953.625</v>
      </c>
      <c r="R60" s="30">
        <v>3513</v>
      </c>
      <c r="S60" s="32">
        <f t="shared" si="67"/>
        <v>22887</v>
      </c>
      <c r="T60" s="63">
        <v>1</v>
      </c>
      <c r="U60" s="57" t="s">
        <v>258</v>
      </c>
      <c r="V60" s="65" t="s">
        <v>280</v>
      </c>
      <c r="W60" s="64" t="s">
        <v>226</v>
      </c>
      <c r="X60" s="4" t="s">
        <v>113</v>
      </c>
      <c r="Y60" s="4" t="s">
        <v>867</v>
      </c>
      <c r="Z60" s="7">
        <v>10005779</v>
      </c>
      <c r="AA60" s="7" t="s">
        <v>218</v>
      </c>
      <c r="AB60" s="7" t="str">
        <f t="shared" si="87"/>
        <v>FEBRERO10005779Inventario final</v>
      </c>
      <c r="AC60" s="20">
        <f t="shared" si="88"/>
        <v>1896.1639327140158</v>
      </c>
      <c r="AD60" s="214">
        <f>IFERROR(INDEX('Costos Producción Febrero'!$G$34:$G$57,MATCH(Resumen!Z60,'Costos Producción Febrero'!$B$34:$B$57,0))*AC60*G60,0)</f>
        <v>26421.940957372739</v>
      </c>
      <c r="AE60" s="44">
        <f>IFERROR(INDEX('Costos Producción Febrero'!$H$34:$H$57,MATCH(Resumen!Z60,'Costos Producción Febrero'!$B$34:$B$57,0))*AC60*G60,0)</f>
        <v>10055.156269352579</v>
      </c>
      <c r="AF60" s="44">
        <f>IFERROR(INDEX('Costos Producción Febrero'!$I$34:$I$57,MATCH(Resumen!Z60,'Costos Producción Febrero'!$B$34:$B$57,0))*AC60*G60,0)</f>
        <v>290.67301802910436</v>
      </c>
      <c r="AG60" s="44">
        <f>IFERROR(INDEX('Costos Producción Febrero'!$J$34:$J$57,MATCH(Resumen!Z60,'Costos Producción Febrero'!$B$34:$B$57,0))*AC60*G60,0)</f>
        <v>8740.164140381954</v>
      </c>
      <c r="AH60" s="44">
        <f t="shared" si="86"/>
        <v>45507.934385136374</v>
      </c>
      <c r="AI60" s="44"/>
      <c r="AJ60" s="43">
        <v>2100.2380844815898</v>
      </c>
      <c r="AK60" s="44"/>
      <c r="AL60" s="43">
        <f t="shared" si="70"/>
        <v>-19107.934385136374</v>
      </c>
      <c r="AM60" s="92">
        <f t="shared" si="71"/>
        <v>-0.72378539337637782</v>
      </c>
      <c r="AN60" s="42">
        <f t="shared" si="72"/>
        <v>3513</v>
      </c>
      <c r="AO60" s="42">
        <f t="shared" si="73"/>
        <v>474.77748390972658</v>
      </c>
      <c r="AP60" s="42">
        <f t="shared" si="74"/>
        <v>2558.0045583790798</v>
      </c>
      <c r="AQ60" s="42">
        <f t="shared" si="75"/>
        <v>6545.7820422888062</v>
      </c>
      <c r="AR60" s="42">
        <f t="shared" si="76"/>
        <v>944.93235795169858</v>
      </c>
      <c r="AS60" s="42">
        <f t="shared" si="77"/>
        <v>686.61</v>
      </c>
      <c r="AT60" s="43">
        <f t="shared" si="78"/>
        <v>-25912.038785376877</v>
      </c>
      <c r="AU60" s="92">
        <f t="shared" si="79"/>
        <v>-0.98151662065821499</v>
      </c>
      <c r="AV60" s="42">
        <f t="shared" si="80"/>
        <v>1857.5769115141798</v>
      </c>
      <c r="AW60" s="43">
        <f t="shared" si="81"/>
        <v>-27769.615696891058</v>
      </c>
      <c r="AX60" s="92">
        <f t="shared" si="82"/>
        <v>-1.0518793824579946</v>
      </c>
      <c r="AY60" s="42">
        <f t="shared" si="83"/>
        <v>1489.2588435714963</v>
      </c>
      <c r="AZ60" s="43">
        <f t="shared" si="84"/>
        <v>-24422.77994180538</v>
      </c>
      <c r="BA60" s="92">
        <f t="shared" si="85"/>
        <v>-0.92510530082596132</v>
      </c>
      <c r="BC60" s="10">
        <f t="shared" si="36"/>
        <v>1100</v>
      </c>
      <c r="BD60" s="10">
        <f t="shared" si="37"/>
        <v>-1100.9142065571975</v>
      </c>
      <c r="BE60" s="10">
        <f t="shared" si="38"/>
        <v>-418.96484455635749</v>
      </c>
      <c r="BF60" s="10">
        <f t="shared" si="39"/>
        <v>-12.111375751212682</v>
      </c>
      <c r="BG60" s="10">
        <f t="shared" si="40"/>
        <v>-364.1735058492481</v>
      </c>
      <c r="BH60" s="10">
        <f t="shared" si="41"/>
        <v>-1896.1639327140156</v>
      </c>
      <c r="BI60" s="10">
        <f t="shared" si="42"/>
        <v>-796.16393271401557</v>
      </c>
      <c r="BJ60" s="10">
        <f t="shared" si="43"/>
        <v>-146.375</v>
      </c>
      <c r="BK60" s="10">
        <f t="shared" si="44"/>
        <v>-106.58352326579499</v>
      </c>
      <c r="BL60" s="10">
        <f t="shared" si="45"/>
        <v>-272.74091842870024</v>
      </c>
      <c r="BM60" s="10">
        <f t="shared" si="46"/>
        <v>-39.372181581320774</v>
      </c>
      <c r="BN60" s="10">
        <f t="shared" si="47"/>
        <v>28.608750000000001</v>
      </c>
      <c r="BO60" s="10">
        <f t="shared" si="48"/>
        <v>-1079.6682827240365</v>
      </c>
      <c r="BP60" s="10">
        <f t="shared" si="49"/>
        <v>-77.399037979757495</v>
      </c>
      <c r="BQ60" s="10">
        <f t="shared" si="50"/>
        <v>-1157.0673207037942</v>
      </c>
      <c r="BR60" s="10">
        <f t="shared" si="51"/>
        <v>62.05245181547901</v>
      </c>
      <c r="BS60" s="10">
        <f t="shared" si="52"/>
        <v>-1017.6158309085575</v>
      </c>
    </row>
    <row r="61" spans="2:71">
      <c r="B61" s="7" t="s">
        <v>7</v>
      </c>
      <c r="C61" s="29" t="s">
        <v>8</v>
      </c>
      <c r="D61" s="25" t="s">
        <v>281</v>
      </c>
      <c r="E61" s="98">
        <v>54</v>
      </c>
      <c r="F61" s="104">
        <v>46108</v>
      </c>
      <c r="G61" s="99">
        <v>24</v>
      </c>
      <c r="H61" s="100" t="s">
        <v>34</v>
      </c>
      <c r="I61" s="27" t="s">
        <v>116</v>
      </c>
      <c r="J61" s="7" t="s">
        <v>153</v>
      </c>
      <c r="K61" s="7" t="s">
        <v>118</v>
      </c>
      <c r="L61" s="7" t="s">
        <v>119</v>
      </c>
      <c r="M61" s="21" t="s">
        <v>50</v>
      </c>
      <c r="N61" s="7" t="s">
        <v>120</v>
      </c>
      <c r="O61" s="20">
        <v>1100</v>
      </c>
      <c r="P61" s="67">
        <v>26400</v>
      </c>
      <c r="Q61" s="20">
        <v>966.54166666666663</v>
      </c>
      <c r="R61" s="30">
        <v>3203</v>
      </c>
      <c r="S61" s="32">
        <f t="shared" si="67"/>
        <v>23197</v>
      </c>
      <c r="T61" s="63">
        <v>1</v>
      </c>
      <c r="U61" s="57" t="s">
        <v>258</v>
      </c>
      <c r="V61" s="65" t="s">
        <v>282</v>
      </c>
      <c r="W61" s="64" t="s">
        <v>226</v>
      </c>
      <c r="X61" s="4" t="s">
        <v>113</v>
      </c>
      <c r="Y61" s="4" t="s">
        <v>867</v>
      </c>
      <c r="Z61" s="7">
        <v>10005779</v>
      </c>
      <c r="AA61" s="7" t="s">
        <v>218</v>
      </c>
      <c r="AB61" s="7" t="str">
        <f t="shared" si="87"/>
        <v>FEBRERO10005779Inventario final</v>
      </c>
      <c r="AC61" s="20">
        <f t="shared" si="88"/>
        <v>1896.1639327140158</v>
      </c>
      <c r="AD61" s="214">
        <f>IFERROR(INDEX('Costos Producción Febrero'!$G$34:$G$57,MATCH(Resumen!Z61,'Costos Producción Febrero'!$B$34:$B$57,0))*AC61*G61,0)</f>
        <v>26421.940957372739</v>
      </c>
      <c r="AE61" s="44">
        <f>IFERROR(INDEX('Costos Producción Febrero'!$H$34:$H$57,MATCH(Resumen!Z61,'Costos Producción Febrero'!$B$34:$B$57,0))*AC61*G61,0)</f>
        <v>10055.156269352579</v>
      </c>
      <c r="AF61" s="44">
        <f>IFERROR(INDEX('Costos Producción Febrero'!$I$34:$I$57,MATCH(Resumen!Z61,'Costos Producción Febrero'!$B$34:$B$57,0))*AC61*G61,0)</f>
        <v>290.67301802910436</v>
      </c>
      <c r="AG61" s="44">
        <f>IFERROR(INDEX('Costos Producción Febrero'!$J$34:$J$57,MATCH(Resumen!Z61,'Costos Producción Febrero'!$B$34:$B$57,0))*AC61*G61,0)</f>
        <v>8740.164140381954</v>
      </c>
      <c r="AH61" s="44">
        <f t="shared" si="86"/>
        <v>45507.934385136374</v>
      </c>
      <c r="AI61" s="44"/>
      <c r="AJ61" s="43">
        <v>2100.2380844815898</v>
      </c>
      <c r="AK61" s="44"/>
      <c r="AL61" s="43">
        <f t="shared" si="70"/>
        <v>-19107.934385136374</v>
      </c>
      <c r="AM61" s="92">
        <f t="shared" si="71"/>
        <v>-0.72378539337637782</v>
      </c>
      <c r="AN61" s="42">
        <f t="shared" si="72"/>
        <v>3203</v>
      </c>
      <c r="AO61" s="42">
        <f t="shared" si="73"/>
        <v>474.77748390972658</v>
      </c>
      <c r="AP61" s="42">
        <f t="shared" si="74"/>
        <v>2558.0045583790798</v>
      </c>
      <c r="AQ61" s="42">
        <f t="shared" si="75"/>
        <v>6235.7820422888062</v>
      </c>
      <c r="AR61" s="42">
        <f t="shared" si="76"/>
        <v>944.93235795169858</v>
      </c>
      <c r="AS61" s="42">
        <f t="shared" si="77"/>
        <v>695.91</v>
      </c>
      <c r="AT61" s="43">
        <f t="shared" si="78"/>
        <v>-25592.738785376878</v>
      </c>
      <c r="AU61" s="92">
        <f t="shared" si="79"/>
        <v>-0.96942192368851809</v>
      </c>
      <c r="AV61" s="42">
        <f t="shared" si="80"/>
        <v>1857.5769115141798</v>
      </c>
      <c r="AW61" s="43">
        <f t="shared" si="81"/>
        <v>-27450.315696891059</v>
      </c>
      <c r="AX61" s="92">
        <f t="shared" si="82"/>
        <v>-1.0397846854882977</v>
      </c>
      <c r="AY61" s="42">
        <f t="shared" si="83"/>
        <v>1489.2588435714963</v>
      </c>
      <c r="AZ61" s="43">
        <f t="shared" si="84"/>
        <v>-24103.479941805381</v>
      </c>
      <c r="BA61" s="92">
        <f t="shared" si="85"/>
        <v>-0.91301060385626442</v>
      </c>
      <c r="BC61" s="10">
        <f t="shared" si="36"/>
        <v>1100</v>
      </c>
      <c r="BD61" s="10">
        <f t="shared" si="37"/>
        <v>-1100.9142065571975</v>
      </c>
      <c r="BE61" s="10">
        <f t="shared" si="38"/>
        <v>-418.96484455635749</v>
      </c>
      <c r="BF61" s="10">
        <f t="shared" si="39"/>
        <v>-12.111375751212682</v>
      </c>
      <c r="BG61" s="10">
        <f t="shared" si="40"/>
        <v>-364.1735058492481</v>
      </c>
      <c r="BH61" s="10">
        <f t="shared" si="41"/>
        <v>-1896.1639327140156</v>
      </c>
      <c r="BI61" s="10">
        <f t="shared" si="42"/>
        <v>-796.16393271401557</v>
      </c>
      <c r="BJ61" s="10">
        <f t="shared" si="43"/>
        <v>-133.45833333333334</v>
      </c>
      <c r="BK61" s="10">
        <f t="shared" si="44"/>
        <v>-106.58352326579499</v>
      </c>
      <c r="BL61" s="10">
        <f t="shared" si="45"/>
        <v>-259.82425176203361</v>
      </c>
      <c r="BM61" s="10">
        <f t="shared" si="46"/>
        <v>-39.372181581320774</v>
      </c>
      <c r="BN61" s="10">
        <f t="shared" si="47"/>
        <v>28.99625</v>
      </c>
      <c r="BO61" s="10">
        <f t="shared" si="48"/>
        <v>-1066.36411605737</v>
      </c>
      <c r="BP61" s="10">
        <f t="shared" si="49"/>
        <v>-77.399037979757495</v>
      </c>
      <c r="BQ61" s="10">
        <f t="shared" si="50"/>
        <v>-1143.7631540371274</v>
      </c>
      <c r="BR61" s="10">
        <f t="shared" si="51"/>
        <v>62.05245181547901</v>
      </c>
      <c r="BS61" s="10">
        <f t="shared" si="52"/>
        <v>-1004.3116642418909</v>
      </c>
    </row>
    <row r="62" spans="2:71">
      <c r="B62" s="7" t="s">
        <v>7</v>
      </c>
      <c r="C62" s="29" t="s">
        <v>8</v>
      </c>
      <c r="D62" s="25" t="s">
        <v>283</v>
      </c>
      <c r="E62" s="98">
        <v>54</v>
      </c>
      <c r="F62" s="104">
        <v>46108</v>
      </c>
      <c r="G62" s="99">
        <v>24</v>
      </c>
      <c r="H62" s="100" t="s">
        <v>34</v>
      </c>
      <c r="I62" s="27" t="s">
        <v>116</v>
      </c>
      <c r="J62" s="7" t="s">
        <v>246</v>
      </c>
      <c r="K62" s="7" t="s">
        <v>118</v>
      </c>
      <c r="L62" s="7" t="s">
        <v>119</v>
      </c>
      <c r="M62" s="21" t="s">
        <v>50</v>
      </c>
      <c r="N62" s="7" t="s">
        <v>284</v>
      </c>
      <c r="O62" s="20">
        <v>1200</v>
      </c>
      <c r="P62" s="213">
        <f>28800-9240</f>
        <v>19560</v>
      </c>
      <c r="Q62" s="20">
        <v>1054.1666666666667</v>
      </c>
      <c r="R62" s="30">
        <v>3500</v>
      </c>
      <c r="S62" s="32">
        <f t="shared" si="67"/>
        <v>16060</v>
      </c>
      <c r="T62" s="63">
        <v>1</v>
      </c>
      <c r="U62" s="57" t="s">
        <v>258</v>
      </c>
      <c r="V62" s="27">
        <v>6447908140</v>
      </c>
      <c r="W62" s="25" t="s">
        <v>122</v>
      </c>
      <c r="X62" s="4" t="s">
        <v>113</v>
      </c>
      <c r="Y62" s="4" t="s">
        <v>867</v>
      </c>
      <c r="Z62" s="7">
        <v>10005779</v>
      </c>
      <c r="AA62" s="7" t="s">
        <v>218</v>
      </c>
      <c r="AB62" s="7" t="str">
        <f t="shared" si="87"/>
        <v>FEBRERO10005779Inventario final</v>
      </c>
      <c r="AC62" s="20">
        <f t="shared" si="88"/>
        <v>1896.1639327140158</v>
      </c>
      <c r="AD62" s="214">
        <f>IFERROR(INDEX('Costos Producción Febrero'!$G$34:$G$57,MATCH(Resumen!Z62,'Costos Producción Febrero'!$B$34:$B$57,0))*AC62*G62,0)</f>
        <v>26421.940957372739</v>
      </c>
      <c r="AE62" s="44">
        <f>IFERROR(INDEX('Costos Producción Febrero'!$H$34:$H$57,MATCH(Resumen!Z62,'Costos Producción Febrero'!$B$34:$B$57,0))*AC62*G62,0)</f>
        <v>10055.156269352579</v>
      </c>
      <c r="AF62" s="44">
        <f>IFERROR(INDEX('Costos Producción Febrero'!$I$34:$I$57,MATCH(Resumen!Z62,'Costos Producción Febrero'!$B$34:$B$57,0))*AC62*G62,0)</f>
        <v>290.67301802910436</v>
      </c>
      <c r="AG62" s="44">
        <f>IFERROR(INDEX('Costos Producción Febrero'!$J$34:$J$57,MATCH(Resumen!Z62,'Costos Producción Febrero'!$B$34:$B$57,0))*AC62*G62,0)</f>
        <v>8740.164140381954</v>
      </c>
      <c r="AH62" s="44">
        <f t="shared" si="86"/>
        <v>45507.934385136374</v>
      </c>
      <c r="AI62" s="44"/>
      <c r="AJ62" s="43">
        <v>2100.2380844815898</v>
      </c>
      <c r="AK62" s="44"/>
      <c r="AL62" s="43">
        <f t="shared" si="70"/>
        <v>-25947.934385136374</v>
      </c>
      <c r="AM62" s="92">
        <f t="shared" si="71"/>
        <v>-1.3265815125325344</v>
      </c>
      <c r="AN62" s="42">
        <f t="shared" si="72"/>
        <v>3500</v>
      </c>
      <c r="AO62" s="42">
        <f t="shared" si="73"/>
        <v>474.77748390972658</v>
      </c>
      <c r="AP62" s="42">
        <f t="shared" si="74"/>
        <v>2558.0045583790798</v>
      </c>
      <c r="AQ62" s="42">
        <f t="shared" si="75"/>
        <v>6532.7820422888062</v>
      </c>
      <c r="AR62" s="42">
        <f t="shared" si="76"/>
        <v>944.93235795169858</v>
      </c>
      <c r="AS62" s="42">
        <f t="shared" si="77"/>
        <v>481.79999999999995</v>
      </c>
      <c r="AT62" s="43">
        <f t="shared" si="78"/>
        <v>-32943.848785376875</v>
      </c>
      <c r="AU62" s="92">
        <f t="shared" si="79"/>
        <v>-1.684245847923153</v>
      </c>
      <c r="AV62" s="42">
        <f t="shared" si="80"/>
        <v>1857.5769115141798</v>
      </c>
      <c r="AW62" s="43">
        <f t="shared" si="81"/>
        <v>-34801.425696891056</v>
      </c>
      <c r="AX62" s="92">
        <f t="shared" si="82"/>
        <v>-1.7792139926835917</v>
      </c>
      <c r="AY62" s="42">
        <f t="shared" si="83"/>
        <v>1489.2588435714963</v>
      </c>
      <c r="AZ62" s="43">
        <f t="shared" si="84"/>
        <v>-31454.589941805378</v>
      </c>
      <c r="BA62" s="92">
        <f t="shared" si="85"/>
        <v>-1.6081078702354488</v>
      </c>
      <c r="BC62" s="10">
        <f t="shared" si="36"/>
        <v>815</v>
      </c>
      <c r="BD62" s="10">
        <f t="shared" si="37"/>
        <v>-1100.9142065571975</v>
      </c>
      <c r="BE62" s="10">
        <f t="shared" si="38"/>
        <v>-418.96484455635749</v>
      </c>
      <c r="BF62" s="10">
        <f t="shared" si="39"/>
        <v>-12.111375751212682</v>
      </c>
      <c r="BG62" s="10">
        <f t="shared" si="40"/>
        <v>-364.1735058492481</v>
      </c>
      <c r="BH62" s="10">
        <f t="shared" si="41"/>
        <v>-1896.1639327140156</v>
      </c>
      <c r="BI62" s="10">
        <f t="shared" si="42"/>
        <v>-1081.1639327140156</v>
      </c>
      <c r="BJ62" s="10">
        <f t="shared" si="43"/>
        <v>-145.83333333333334</v>
      </c>
      <c r="BK62" s="10">
        <f t="shared" si="44"/>
        <v>-106.58352326579499</v>
      </c>
      <c r="BL62" s="10">
        <f t="shared" si="45"/>
        <v>-272.19925176203361</v>
      </c>
      <c r="BM62" s="10">
        <f t="shared" si="46"/>
        <v>-39.372181581320774</v>
      </c>
      <c r="BN62" s="10">
        <f t="shared" si="47"/>
        <v>20.074999999999999</v>
      </c>
      <c r="BO62" s="10">
        <f t="shared" si="48"/>
        <v>-1372.6603660573699</v>
      </c>
      <c r="BP62" s="10">
        <f t="shared" si="49"/>
        <v>-77.399037979757495</v>
      </c>
      <c r="BQ62" s="10">
        <f t="shared" si="50"/>
        <v>-1450.0594040371273</v>
      </c>
      <c r="BR62" s="10">
        <f t="shared" si="51"/>
        <v>62.05245181547901</v>
      </c>
      <c r="BS62" s="10">
        <f t="shared" si="52"/>
        <v>-1310.6079142418907</v>
      </c>
    </row>
    <row r="63" spans="2:71">
      <c r="B63" s="7" t="s">
        <v>7</v>
      </c>
      <c r="C63" s="29" t="s">
        <v>8</v>
      </c>
      <c r="D63" s="25" t="s">
        <v>285</v>
      </c>
      <c r="E63" s="98">
        <v>54</v>
      </c>
      <c r="F63" s="104">
        <v>46108</v>
      </c>
      <c r="G63" s="99">
        <v>24</v>
      </c>
      <c r="H63" s="100" t="s">
        <v>34</v>
      </c>
      <c r="I63" s="27" t="s">
        <v>116</v>
      </c>
      <c r="J63" s="7" t="s">
        <v>246</v>
      </c>
      <c r="K63" s="7" t="s">
        <v>118</v>
      </c>
      <c r="L63" s="7" t="s">
        <v>119</v>
      </c>
      <c r="M63" s="21" t="s">
        <v>50</v>
      </c>
      <c r="N63" s="7" t="s">
        <v>284</v>
      </c>
      <c r="O63" s="20">
        <v>1200</v>
      </c>
      <c r="P63" s="67">
        <v>28800</v>
      </c>
      <c r="Q63" s="20">
        <v>1054.1666666666667</v>
      </c>
      <c r="R63" s="30">
        <v>3500</v>
      </c>
      <c r="S63" s="32">
        <f t="shared" si="67"/>
        <v>25300</v>
      </c>
      <c r="T63" s="63">
        <v>1</v>
      </c>
      <c r="U63" s="57" t="s">
        <v>258</v>
      </c>
      <c r="V63" s="27">
        <v>6447908120</v>
      </c>
      <c r="W63" s="25" t="s">
        <v>122</v>
      </c>
      <c r="X63" s="4" t="s">
        <v>113</v>
      </c>
      <c r="Y63" s="4" t="s">
        <v>867</v>
      </c>
      <c r="Z63" s="7">
        <v>10005779</v>
      </c>
      <c r="AA63" s="7" t="s">
        <v>218</v>
      </c>
      <c r="AB63" s="7" t="str">
        <f t="shared" si="87"/>
        <v>FEBRERO10005779Inventario final</v>
      </c>
      <c r="AC63" s="20">
        <f t="shared" si="88"/>
        <v>1896.1639327140158</v>
      </c>
      <c r="AD63" s="214">
        <f>IFERROR(INDEX('Costos Producción Febrero'!$G$34:$G$57,MATCH(Resumen!Z63,'Costos Producción Febrero'!$B$34:$B$57,0))*AC63*G63,0)</f>
        <v>26421.940957372739</v>
      </c>
      <c r="AE63" s="44">
        <f>IFERROR(INDEX('Costos Producción Febrero'!$H$34:$H$57,MATCH(Resumen!Z63,'Costos Producción Febrero'!$B$34:$B$57,0))*AC63*G63,0)</f>
        <v>10055.156269352579</v>
      </c>
      <c r="AF63" s="44">
        <f>IFERROR(INDEX('Costos Producción Febrero'!$I$34:$I$57,MATCH(Resumen!Z63,'Costos Producción Febrero'!$B$34:$B$57,0))*AC63*G63,0)</f>
        <v>290.67301802910436</v>
      </c>
      <c r="AG63" s="44">
        <f>IFERROR(INDEX('Costos Producción Febrero'!$J$34:$J$57,MATCH(Resumen!Z63,'Costos Producción Febrero'!$B$34:$B$57,0))*AC63*G63,0)</f>
        <v>8740.164140381954</v>
      </c>
      <c r="AH63" s="44">
        <f t="shared" si="86"/>
        <v>45507.934385136374</v>
      </c>
      <c r="AI63" s="44"/>
      <c r="AJ63" s="43">
        <v>2100.2380844815898</v>
      </c>
      <c r="AK63" s="44"/>
      <c r="AL63" s="43">
        <f t="shared" si="70"/>
        <v>-16707.934385136374</v>
      </c>
      <c r="AM63" s="92">
        <f t="shared" si="71"/>
        <v>-0.58013661059501298</v>
      </c>
      <c r="AN63" s="42">
        <f t="shared" si="72"/>
        <v>3500</v>
      </c>
      <c r="AO63" s="42">
        <f t="shared" si="73"/>
        <v>474.77748390972658</v>
      </c>
      <c r="AP63" s="42">
        <f t="shared" si="74"/>
        <v>2558.0045583790798</v>
      </c>
      <c r="AQ63" s="42">
        <f t="shared" si="75"/>
        <v>6532.7820422888062</v>
      </c>
      <c r="AR63" s="42">
        <f t="shared" si="76"/>
        <v>944.93235795169858</v>
      </c>
      <c r="AS63" s="42">
        <f t="shared" si="77"/>
        <v>759</v>
      </c>
      <c r="AT63" s="43">
        <f t="shared" si="78"/>
        <v>-23426.648785376878</v>
      </c>
      <c r="AU63" s="92">
        <f t="shared" si="79"/>
        <v>-0.8134253050478083</v>
      </c>
      <c r="AV63" s="42">
        <f t="shared" si="80"/>
        <v>1857.5769115141798</v>
      </c>
      <c r="AW63" s="43">
        <f t="shared" si="81"/>
        <v>-25284.225696891059</v>
      </c>
      <c r="AX63" s="92">
        <f t="shared" si="82"/>
        <v>-0.87792450336427286</v>
      </c>
      <c r="AY63" s="42">
        <f t="shared" si="83"/>
        <v>1489.2588435714963</v>
      </c>
      <c r="AZ63" s="43">
        <f t="shared" si="84"/>
        <v>-21937.389941805381</v>
      </c>
      <c r="BA63" s="92">
        <f t="shared" si="85"/>
        <v>-0.76171492853490907</v>
      </c>
      <c r="BC63" s="10">
        <f t="shared" si="36"/>
        <v>1200</v>
      </c>
      <c r="BD63" s="10">
        <f t="shared" si="37"/>
        <v>-1100.9142065571975</v>
      </c>
      <c r="BE63" s="10">
        <f t="shared" si="38"/>
        <v>-418.96484455635749</v>
      </c>
      <c r="BF63" s="10">
        <f t="shared" si="39"/>
        <v>-12.111375751212682</v>
      </c>
      <c r="BG63" s="10">
        <f t="shared" si="40"/>
        <v>-364.1735058492481</v>
      </c>
      <c r="BH63" s="10">
        <f t="shared" si="41"/>
        <v>-1896.1639327140156</v>
      </c>
      <c r="BI63" s="10">
        <f t="shared" si="42"/>
        <v>-696.16393271401557</v>
      </c>
      <c r="BJ63" s="10">
        <f t="shared" si="43"/>
        <v>-145.83333333333334</v>
      </c>
      <c r="BK63" s="10">
        <f t="shared" si="44"/>
        <v>-106.58352326579499</v>
      </c>
      <c r="BL63" s="10">
        <f t="shared" si="45"/>
        <v>-272.19925176203361</v>
      </c>
      <c r="BM63" s="10">
        <f t="shared" si="46"/>
        <v>-39.372181581320774</v>
      </c>
      <c r="BN63" s="10">
        <f t="shared" si="47"/>
        <v>31.625</v>
      </c>
      <c r="BO63" s="10">
        <f t="shared" si="48"/>
        <v>-976.1103660573699</v>
      </c>
      <c r="BP63" s="10">
        <f t="shared" si="49"/>
        <v>-77.399037979757495</v>
      </c>
      <c r="BQ63" s="10">
        <f t="shared" si="50"/>
        <v>-1053.5094040371275</v>
      </c>
      <c r="BR63" s="10">
        <f t="shared" si="51"/>
        <v>62.05245181547901</v>
      </c>
      <c r="BS63" s="10">
        <f t="shared" si="52"/>
        <v>-914.0579142418909</v>
      </c>
    </row>
    <row r="64" spans="2:71">
      <c r="B64" s="7" t="s">
        <v>7</v>
      </c>
      <c r="C64" s="29" t="s">
        <v>8</v>
      </c>
      <c r="D64" s="21" t="s">
        <v>286</v>
      </c>
      <c r="E64" s="98">
        <v>46077</v>
      </c>
      <c r="F64" s="98">
        <v>46108</v>
      </c>
      <c r="G64" s="99">
        <v>48</v>
      </c>
      <c r="H64" s="100" t="s">
        <v>34</v>
      </c>
      <c r="I64" s="27" t="s">
        <v>116</v>
      </c>
      <c r="J64" s="7" t="s">
        <v>287</v>
      </c>
      <c r="K64" s="7" t="s">
        <v>118</v>
      </c>
      <c r="L64" s="7" t="s">
        <v>119</v>
      </c>
      <c r="M64" s="21" t="s">
        <v>43</v>
      </c>
      <c r="N64" s="7" t="s">
        <v>129</v>
      </c>
      <c r="O64" s="20">
        <v>1200</v>
      </c>
      <c r="P64" s="59">
        <v>57600</v>
      </c>
      <c r="Q64" s="20">
        <v>1126.8125</v>
      </c>
      <c r="R64" s="20">
        <v>3513</v>
      </c>
      <c r="S64" s="32">
        <f t="shared" si="67"/>
        <v>54087</v>
      </c>
      <c r="T64" s="63">
        <v>1</v>
      </c>
      <c r="U64" s="57" t="s">
        <v>258</v>
      </c>
      <c r="V64" s="69" t="s">
        <v>288</v>
      </c>
      <c r="W64" s="70" t="s">
        <v>226</v>
      </c>
      <c r="X64" s="4" t="s">
        <v>113</v>
      </c>
      <c r="Y64" s="4" t="s">
        <v>867</v>
      </c>
      <c r="Z64" s="7">
        <v>10005779</v>
      </c>
      <c r="AA64" s="7" t="s">
        <v>218</v>
      </c>
      <c r="AB64" s="7" t="str">
        <f t="shared" si="87"/>
        <v>FEBRERO10005779Inventario final</v>
      </c>
      <c r="AC64" s="20">
        <f t="shared" si="88"/>
        <v>1896.1639327140158</v>
      </c>
      <c r="AD64" s="214">
        <f>IFERROR(INDEX('Costos Producción Febrero'!$G$34:$G$57,MATCH(Resumen!Z64,'Costos Producción Febrero'!$B$34:$B$57,0))*AC64*G64,0)</f>
        <v>52843.881914745478</v>
      </c>
      <c r="AE64" s="44">
        <f>IFERROR(INDEX('Costos Producción Febrero'!$H$34:$H$57,MATCH(Resumen!Z64,'Costos Producción Febrero'!$B$34:$B$57,0))*AC64*G64,0)</f>
        <v>20110.312538705159</v>
      </c>
      <c r="AF64" s="44">
        <f>IFERROR(INDEX('Costos Producción Febrero'!$I$34:$I$57,MATCH(Resumen!Z64,'Costos Producción Febrero'!$B$34:$B$57,0))*AC64*G64,0)</f>
        <v>581.34603605820871</v>
      </c>
      <c r="AG64" s="44">
        <f>IFERROR(INDEX('Costos Producción Febrero'!$J$34:$J$57,MATCH(Resumen!Z64,'Costos Producción Febrero'!$B$34:$B$57,0))*AC64*G64,0)</f>
        <v>17480.328280763908</v>
      </c>
      <c r="AH64" s="44">
        <f t="shared" si="86"/>
        <v>91015.868770272747</v>
      </c>
      <c r="AI64" s="44"/>
      <c r="AJ64" s="43">
        <v>2100.2380844815898</v>
      </c>
      <c r="AK64" s="44"/>
      <c r="AL64" s="43">
        <f t="shared" si="70"/>
        <v>-33415.868770272747</v>
      </c>
      <c r="AM64" s="92">
        <f t="shared" si="71"/>
        <v>-0.58013661059501298</v>
      </c>
      <c r="AN64" s="42">
        <f t="shared" si="72"/>
        <v>3513</v>
      </c>
      <c r="AO64" s="42">
        <f t="shared" si="73"/>
        <v>949.55496781945317</v>
      </c>
      <c r="AP64" s="42">
        <f t="shared" si="74"/>
        <v>5116.0091167581595</v>
      </c>
      <c r="AQ64" s="42">
        <f t="shared" si="75"/>
        <v>9578.5640845776124</v>
      </c>
      <c r="AR64" s="42">
        <f t="shared" si="76"/>
        <v>1889.8647159033972</v>
      </c>
      <c r="AS64" s="42">
        <f t="shared" si="77"/>
        <v>1622.61</v>
      </c>
      <c r="AT64" s="43">
        <f t="shared" si="78"/>
        <v>-43261.687570753755</v>
      </c>
      <c r="AU64" s="92">
        <f t="shared" si="79"/>
        <v>-0.75107096477003044</v>
      </c>
      <c r="AV64" s="42">
        <f t="shared" si="80"/>
        <v>3715.1538230283595</v>
      </c>
      <c r="AW64" s="43">
        <f t="shared" si="81"/>
        <v>-46976.841393782117</v>
      </c>
      <c r="AX64" s="92">
        <f t="shared" si="82"/>
        <v>-0.8155701630864951</v>
      </c>
      <c r="AY64" s="42">
        <f t="shared" si="83"/>
        <v>2978.5176871429926</v>
      </c>
      <c r="AZ64" s="43">
        <f t="shared" si="84"/>
        <v>-40283.169883610761</v>
      </c>
      <c r="BA64" s="92">
        <f t="shared" si="85"/>
        <v>-0.69936058825713121</v>
      </c>
      <c r="BC64" s="10">
        <f t="shared" si="36"/>
        <v>1200</v>
      </c>
      <c r="BD64" s="10">
        <f t="shared" si="37"/>
        <v>-1100.9142065571975</v>
      </c>
      <c r="BE64" s="10">
        <f t="shared" si="38"/>
        <v>-418.96484455635749</v>
      </c>
      <c r="BF64" s="10">
        <f t="shared" si="39"/>
        <v>-12.111375751212682</v>
      </c>
      <c r="BG64" s="10">
        <f t="shared" si="40"/>
        <v>-364.1735058492481</v>
      </c>
      <c r="BH64" s="10">
        <f t="shared" si="41"/>
        <v>-1896.1639327140156</v>
      </c>
      <c r="BI64" s="10">
        <f t="shared" si="42"/>
        <v>-696.16393271401557</v>
      </c>
      <c r="BJ64" s="10">
        <f t="shared" si="43"/>
        <v>-73.1875</v>
      </c>
      <c r="BK64" s="10">
        <f t="shared" si="44"/>
        <v>-106.58352326579499</v>
      </c>
      <c r="BL64" s="10">
        <f t="shared" si="45"/>
        <v>-199.55341842870027</v>
      </c>
      <c r="BM64" s="10">
        <f t="shared" si="46"/>
        <v>-39.372181581320774</v>
      </c>
      <c r="BN64" s="10">
        <f t="shared" si="47"/>
        <v>33.804375</v>
      </c>
      <c r="BO64" s="10">
        <f t="shared" si="48"/>
        <v>-901.28515772403659</v>
      </c>
      <c r="BP64" s="10">
        <f t="shared" si="49"/>
        <v>-77.399037979757495</v>
      </c>
      <c r="BQ64" s="10">
        <f t="shared" si="50"/>
        <v>-978.6841957037941</v>
      </c>
      <c r="BR64" s="10">
        <f t="shared" si="51"/>
        <v>62.05245181547901</v>
      </c>
      <c r="BS64" s="10">
        <f t="shared" si="52"/>
        <v>-839.23270590855748</v>
      </c>
    </row>
    <row r="65" spans="2:71" ht="19.2">
      <c r="B65" s="7" t="s">
        <v>7</v>
      </c>
      <c r="C65" s="29" t="s">
        <v>8</v>
      </c>
      <c r="D65" s="25" t="s">
        <v>289</v>
      </c>
      <c r="E65" s="98">
        <v>58</v>
      </c>
      <c r="F65" s="98">
        <v>46108</v>
      </c>
      <c r="G65" s="99">
        <v>27</v>
      </c>
      <c r="H65" s="102" t="s">
        <v>31</v>
      </c>
      <c r="I65" s="103" t="s">
        <v>107</v>
      </c>
      <c r="J65" s="7" t="s">
        <v>290</v>
      </c>
      <c r="K65" s="7" t="s">
        <v>171</v>
      </c>
      <c r="L65" s="7" t="s">
        <v>202</v>
      </c>
      <c r="M65" s="97" t="s">
        <v>58</v>
      </c>
      <c r="N65" s="7"/>
      <c r="O65" s="20">
        <v>2600</v>
      </c>
      <c r="P65" s="59">
        <v>70200</v>
      </c>
      <c r="Q65" s="20">
        <v>2485.1851851851852</v>
      </c>
      <c r="R65" s="30">
        <v>3100</v>
      </c>
      <c r="S65" s="32">
        <f t="shared" si="67"/>
        <v>67100</v>
      </c>
      <c r="T65" s="63">
        <v>1</v>
      </c>
      <c r="U65" s="7" t="s">
        <v>258</v>
      </c>
      <c r="V65" s="27">
        <v>6447908790</v>
      </c>
      <c r="W65" s="60" t="s">
        <v>122</v>
      </c>
      <c r="X65" s="4" t="s">
        <v>113</v>
      </c>
      <c r="Y65" s="4" t="s">
        <v>867</v>
      </c>
      <c r="Z65" s="7">
        <v>10007162</v>
      </c>
      <c r="AA65" s="7" t="s">
        <v>218</v>
      </c>
      <c r="AB65" s="7" t="str">
        <f t="shared" si="87"/>
        <v>FEBRERO10007162Inventario final</v>
      </c>
      <c r="AC65" s="20">
        <f t="shared" si="88"/>
        <v>1814.1051345683702</v>
      </c>
      <c r="AD65" s="214">
        <f>IFERROR(INDEX('Costos Producción Febrero'!$G$34:$G$57,MATCH(Resumen!Z65,'Costos Producción Febrero'!$B$34:$B$57,0))*AC65*G65,0)</f>
        <v>30032.633138679903</v>
      </c>
      <c r="AE65" s="44">
        <f>IFERROR(INDEX('Costos Producción Febrero'!$H$34:$H$57,MATCH(Resumen!Z65,'Costos Producción Febrero'!$B$34:$B$57,0))*AC65*G65,0)</f>
        <v>8526.863467203766</v>
      </c>
      <c r="AF65" s="44">
        <f>IFERROR(INDEX('Costos Producción Febrero'!$I$34:$I$57,MATCH(Resumen!Z65,'Costos Producción Febrero'!$B$34:$B$57,0))*AC65*G65,0)</f>
        <v>454.08127599046105</v>
      </c>
      <c r="AG65" s="44">
        <f>IFERROR(INDEX('Costos Producción Febrero'!$J$34:$J$57,MATCH(Resumen!Z65,'Costos Producción Febrero'!$B$34:$B$57,0))*AC65*G65,0)</f>
        <v>9967.2607514718657</v>
      </c>
      <c r="AH65" s="44">
        <f t="shared" si="86"/>
        <v>48980.838633345993</v>
      </c>
      <c r="AI65" s="44"/>
      <c r="AJ65" s="43">
        <v>2018.1792863359442</v>
      </c>
      <c r="AK65" s="44"/>
      <c r="AL65" s="43">
        <f t="shared" si="70"/>
        <v>21219.161366654007</v>
      </c>
      <c r="AM65" s="92">
        <f t="shared" si="71"/>
        <v>0.30226725593524228</v>
      </c>
      <c r="AN65" s="42">
        <f t="shared" si="72"/>
        <v>3100</v>
      </c>
      <c r="AO65" s="42">
        <f t="shared" si="73"/>
        <v>534.12466939844239</v>
      </c>
      <c r="AP65" s="42">
        <f t="shared" si="74"/>
        <v>2877.755128176465</v>
      </c>
      <c r="AQ65" s="42">
        <f t="shared" si="75"/>
        <v>6511.8797975749076</v>
      </c>
      <c r="AR65" s="42">
        <f t="shared" si="76"/>
        <v>1063.0489026956609</v>
      </c>
      <c r="AS65" s="42">
        <f t="shared" si="77"/>
        <v>2013</v>
      </c>
      <c r="AT65" s="43">
        <f t="shared" si="78"/>
        <v>15657.232666383439</v>
      </c>
      <c r="AU65" s="92">
        <f t="shared" si="79"/>
        <v>0.22303750237013445</v>
      </c>
      <c r="AV65" s="42">
        <f t="shared" si="80"/>
        <v>2089.7740254534524</v>
      </c>
      <c r="AW65" s="43">
        <f t="shared" si="81"/>
        <v>13567.458640929986</v>
      </c>
      <c r="AX65" s="92">
        <f t="shared" si="82"/>
        <v>0.19326864160868926</v>
      </c>
      <c r="AY65" s="42">
        <f t="shared" si="83"/>
        <v>1675.4161990179332</v>
      </c>
      <c r="AZ65" s="43">
        <f t="shared" si="84"/>
        <v>17332.648865401374</v>
      </c>
      <c r="BA65" s="92">
        <f t="shared" si="85"/>
        <v>0.24690382999147256</v>
      </c>
      <c r="BC65" s="10">
        <f t="shared" si="36"/>
        <v>2600</v>
      </c>
      <c r="BD65" s="10">
        <f t="shared" si="37"/>
        <v>-1112.3197458770335</v>
      </c>
      <c r="BE65" s="10">
        <f t="shared" si="38"/>
        <v>-315.80975804458393</v>
      </c>
      <c r="BF65" s="10">
        <f t="shared" si="39"/>
        <v>-16.817825036683743</v>
      </c>
      <c r="BG65" s="10">
        <f t="shared" si="40"/>
        <v>-369.15780561006909</v>
      </c>
      <c r="BH65" s="10">
        <f t="shared" si="41"/>
        <v>-1814.1051345683702</v>
      </c>
      <c r="BI65" s="10">
        <f t="shared" si="42"/>
        <v>785.89486543162991</v>
      </c>
      <c r="BJ65" s="10">
        <f t="shared" si="43"/>
        <v>-114.81481481481481</v>
      </c>
      <c r="BK65" s="10">
        <f t="shared" si="44"/>
        <v>-106.58352326579499</v>
      </c>
      <c r="BL65" s="10">
        <f t="shared" si="45"/>
        <v>-241.18073324351511</v>
      </c>
      <c r="BM65" s="10">
        <f t="shared" si="46"/>
        <v>-39.372181581320774</v>
      </c>
      <c r="BN65" s="10">
        <f t="shared" si="47"/>
        <v>74.555555555555557</v>
      </c>
      <c r="BO65" s="10">
        <f t="shared" si="48"/>
        <v>579.8975061623496</v>
      </c>
      <c r="BP65" s="10">
        <f t="shared" si="49"/>
        <v>-77.399037979757495</v>
      </c>
      <c r="BQ65" s="10">
        <f t="shared" si="50"/>
        <v>502.49846818259209</v>
      </c>
      <c r="BR65" s="10">
        <f t="shared" si="51"/>
        <v>62.05245181547901</v>
      </c>
      <c r="BS65" s="10">
        <f t="shared" si="52"/>
        <v>641.9499579778286</v>
      </c>
    </row>
    <row r="66" spans="2:71">
      <c r="B66" s="7" t="s">
        <v>7</v>
      </c>
      <c r="C66" s="29" t="s">
        <v>8</v>
      </c>
      <c r="D66" s="27" t="s">
        <v>291</v>
      </c>
      <c r="E66" s="98">
        <v>59</v>
      </c>
      <c r="F66" s="98">
        <v>46104</v>
      </c>
      <c r="G66" s="99">
        <v>216</v>
      </c>
      <c r="H66" s="27" t="s">
        <v>495</v>
      </c>
      <c r="I66" s="27" t="s">
        <v>201</v>
      </c>
      <c r="J66" s="7"/>
      <c r="K66" s="7" t="s">
        <v>292</v>
      </c>
      <c r="L66" s="7" t="s">
        <v>172</v>
      </c>
      <c r="M66" s="21" t="s">
        <v>47</v>
      </c>
      <c r="N66" s="7" t="s">
        <v>191</v>
      </c>
      <c r="O66" s="20">
        <v>3100</v>
      </c>
      <c r="P66" s="32">
        <v>669600</v>
      </c>
      <c r="Q66" s="20">
        <v>2992.5925925925926</v>
      </c>
      <c r="R66" s="30">
        <v>23200</v>
      </c>
      <c r="S66" s="32">
        <f t="shared" si="67"/>
        <v>646400</v>
      </c>
      <c r="T66" s="63">
        <v>8</v>
      </c>
      <c r="U66" s="23" t="s">
        <v>271</v>
      </c>
      <c r="V66" s="27">
        <v>6447338820</v>
      </c>
      <c r="W66" s="60" t="s">
        <v>122</v>
      </c>
      <c r="X66" s="4" t="s">
        <v>113</v>
      </c>
      <c r="Y66" s="4" t="s">
        <v>868</v>
      </c>
      <c r="Z66" s="7">
        <v>10009239</v>
      </c>
      <c r="AA66" s="7" t="s">
        <v>218</v>
      </c>
      <c r="AB66" s="7" t="str">
        <f t="shared" si="87"/>
        <v>FEBRERO10009239Inventario final</v>
      </c>
      <c r="AC66" s="20">
        <f t="shared" si="88"/>
        <v>2193.6703213165929</v>
      </c>
      <c r="AD66" s="214">
        <f>IFERROR(INDEX('Costos Producción Febrero'!$G$34:$G$57,MATCH(Resumen!Z66,'Costos Producción Febrero'!$B$34:$B$57,0))*AC66*G66,0)</f>
        <v>233010.93393399011</v>
      </c>
      <c r="AE66" s="44">
        <f>IFERROR(INDEX('Costos Producción Febrero'!$H$34:$H$57,MATCH(Resumen!Z66,'Costos Producción Febrero'!$B$34:$B$57,0))*AC66*G66,0)</f>
        <v>151910.27411151075</v>
      </c>
      <c r="AF66" s="44">
        <f>IFERROR(INDEX('Costos Producción Febrero'!$I$34:$I$57,MATCH(Resumen!Z66,'Costos Producción Febrero'!$B$34:$B$57,0))*AC66*G66,0)</f>
        <v>2782.0065809356511</v>
      </c>
      <c r="AG66" s="44">
        <f>IFERROR(INDEX('Costos Producción Febrero'!$J$34:$J$57,MATCH(Resumen!Z66,'Costos Producción Febrero'!$B$34:$B$57,0))*AC66*G66,0)</f>
        <v>86129.574777947637</v>
      </c>
      <c r="AH66" s="44">
        <f t="shared" si="86"/>
        <v>473832.78940438415</v>
      </c>
      <c r="AI66" s="44"/>
      <c r="AJ66" s="43">
        <v>2397.7444730841671</v>
      </c>
      <c r="AK66" s="44"/>
      <c r="AL66" s="43">
        <f t="shared" si="70"/>
        <v>195767.21059561585</v>
      </c>
      <c r="AM66" s="92">
        <f t="shared" si="71"/>
        <v>0.2923644124785183</v>
      </c>
      <c r="AN66" s="42">
        <f t="shared" si="72"/>
        <v>23200</v>
      </c>
      <c r="AO66" s="42">
        <f t="shared" si="73"/>
        <v>4272.9973551875391</v>
      </c>
      <c r="AP66" s="42">
        <f t="shared" si="74"/>
        <v>23022.04102541172</v>
      </c>
      <c r="AQ66" s="42">
        <f t="shared" si="75"/>
        <v>50495.038380599261</v>
      </c>
      <c r="AR66" s="42">
        <f t="shared" si="76"/>
        <v>8504.3912215652872</v>
      </c>
      <c r="AS66" s="42">
        <f t="shared" si="77"/>
        <v>19392</v>
      </c>
      <c r="AT66" s="43">
        <f t="shared" si="78"/>
        <v>156159.78099345131</v>
      </c>
      <c r="AU66" s="92">
        <f t="shared" si="79"/>
        <v>0.23321353194959873</v>
      </c>
      <c r="AV66" s="42">
        <f t="shared" si="80"/>
        <v>16718.192203627619</v>
      </c>
      <c r="AW66" s="43">
        <f t="shared" si="81"/>
        <v>139441.5887898237</v>
      </c>
      <c r="AX66" s="92">
        <f t="shared" si="82"/>
        <v>0.20824610034322535</v>
      </c>
      <c r="AY66" s="42">
        <f t="shared" si="83"/>
        <v>13403.329592143466</v>
      </c>
      <c r="AZ66" s="43">
        <f t="shared" si="84"/>
        <v>169563.11058559478</v>
      </c>
      <c r="BA66" s="92">
        <f t="shared" si="85"/>
        <v>0.25323045189007581</v>
      </c>
      <c r="BC66" s="10">
        <f t="shared" si="36"/>
        <v>3100</v>
      </c>
      <c r="BD66" s="10">
        <f t="shared" si="37"/>
        <v>-1078.7543237684727</v>
      </c>
      <c r="BE66" s="10">
        <f t="shared" si="38"/>
        <v>-703.28830607180907</v>
      </c>
      <c r="BF66" s="10">
        <f t="shared" si="39"/>
        <v>-12.87966009692431</v>
      </c>
      <c r="BG66" s="10">
        <f t="shared" si="40"/>
        <v>-398.74803137938721</v>
      </c>
      <c r="BH66" s="10">
        <f t="shared" si="41"/>
        <v>-2193.6703213165933</v>
      </c>
      <c r="BI66" s="10">
        <f t="shared" si="42"/>
        <v>906.32967868340666</v>
      </c>
      <c r="BJ66" s="10">
        <f t="shared" si="43"/>
        <v>-107.4074074074074</v>
      </c>
      <c r="BK66" s="10">
        <f t="shared" si="44"/>
        <v>-106.58352326579499</v>
      </c>
      <c r="BL66" s="10">
        <f t="shared" si="45"/>
        <v>-233.77332583610769</v>
      </c>
      <c r="BM66" s="10">
        <f t="shared" si="46"/>
        <v>-39.372181581320774</v>
      </c>
      <c r="BN66" s="10">
        <f t="shared" si="47"/>
        <v>89.777777777777771</v>
      </c>
      <c r="BO66" s="10">
        <f t="shared" si="48"/>
        <v>722.96194904375602</v>
      </c>
      <c r="BP66" s="10">
        <f t="shared" si="49"/>
        <v>-77.399037979757495</v>
      </c>
      <c r="BQ66" s="10">
        <f t="shared" si="50"/>
        <v>645.56291106399863</v>
      </c>
      <c r="BR66" s="10">
        <f t="shared" si="51"/>
        <v>62.05245181547901</v>
      </c>
      <c r="BS66" s="10">
        <f t="shared" si="52"/>
        <v>785.01440085923514</v>
      </c>
    </row>
    <row r="67" spans="2:71">
      <c r="B67" s="7" t="s">
        <v>7</v>
      </c>
      <c r="C67" s="29" t="s">
        <v>8</v>
      </c>
      <c r="D67" s="27" t="s">
        <v>293</v>
      </c>
      <c r="E67" s="98">
        <v>59</v>
      </c>
      <c r="F67" s="98">
        <v>46104</v>
      </c>
      <c r="G67" s="99">
        <v>108</v>
      </c>
      <c r="H67" s="27" t="s">
        <v>495</v>
      </c>
      <c r="I67" s="27" t="s">
        <v>294</v>
      </c>
      <c r="J67" s="7"/>
      <c r="K67" s="7" t="s">
        <v>171</v>
      </c>
      <c r="L67" s="7" t="s">
        <v>172</v>
      </c>
      <c r="M67" s="21" t="s">
        <v>49</v>
      </c>
      <c r="N67" s="7" t="s">
        <v>191</v>
      </c>
      <c r="O67" s="20">
        <v>3100</v>
      </c>
      <c r="P67" s="59">
        <v>334800</v>
      </c>
      <c r="Q67" s="20">
        <v>2992.5925925925926</v>
      </c>
      <c r="R67" s="30">
        <v>11600</v>
      </c>
      <c r="S67" s="32">
        <f t="shared" si="67"/>
        <v>323200</v>
      </c>
      <c r="T67" s="63">
        <v>4</v>
      </c>
      <c r="U67" s="23" t="s">
        <v>271</v>
      </c>
      <c r="V67" s="27">
        <v>6447338860</v>
      </c>
      <c r="W67" s="60" t="s">
        <v>122</v>
      </c>
      <c r="X67" s="4" t="s">
        <v>113</v>
      </c>
      <c r="Y67" s="4" t="s">
        <v>868</v>
      </c>
      <c r="Z67" s="7">
        <v>10009239</v>
      </c>
      <c r="AA67" s="7" t="s">
        <v>218</v>
      </c>
      <c r="AB67" s="7" t="str">
        <f t="shared" si="87"/>
        <v>FEBRERO10009239Inventario final</v>
      </c>
      <c r="AC67" s="20">
        <f t="shared" si="88"/>
        <v>2193.6703213165929</v>
      </c>
      <c r="AD67" s="214">
        <f>IFERROR(INDEX('Costos Producción Febrero'!$G$34:$G$57,MATCH(Resumen!Z67,'Costos Producción Febrero'!$B$34:$B$57,0))*AC67*G67,0)</f>
        <v>116505.46696699505</v>
      </c>
      <c r="AE67" s="44">
        <f>IFERROR(INDEX('Costos Producción Febrero'!$H$34:$H$57,MATCH(Resumen!Z67,'Costos Producción Febrero'!$B$34:$B$57,0))*AC67*G67,0)</f>
        <v>75955.137055755375</v>
      </c>
      <c r="AF67" s="44">
        <f>IFERROR(INDEX('Costos Producción Febrero'!$I$34:$I$57,MATCH(Resumen!Z67,'Costos Producción Febrero'!$B$34:$B$57,0))*AC67*G67,0)</f>
        <v>1391.0032904678255</v>
      </c>
      <c r="AG67" s="44">
        <f>IFERROR(INDEX('Costos Producción Febrero'!$J$34:$J$57,MATCH(Resumen!Z67,'Costos Producción Febrero'!$B$34:$B$57,0))*AC67*G67,0)</f>
        <v>43064.787388973818</v>
      </c>
      <c r="AH67" s="44">
        <f t="shared" si="86"/>
        <v>236916.39470219208</v>
      </c>
      <c r="AI67" s="44"/>
      <c r="AJ67" s="43">
        <v>2397.7444730841671</v>
      </c>
      <c r="AK67" s="44"/>
      <c r="AL67" s="43">
        <f t="shared" si="70"/>
        <v>97883.605297807924</v>
      </c>
      <c r="AM67" s="92">
        <f t="shared" si="71"/>
        <v>0.2923644124785183</v>
      </c>
      <c r="AN67" s="42">
        <f t="shared" si="72"/>
        <v>11600</v>
      </c>
      <c r="AO67" s="42">
        <f t="shared" si="73"/>
        <v>2136.4986775937696</v>
      </c>
      <c r="AP67" s="42">
        <f t="shared" si="74"/>
        <v>11511.02051270586</v>
      </c>
      <c r="AQ67" s="42">
        <f t="shared" si="75"/>
        <v>25247.51919029963</v>
      </c>
      <c r="AR67" s="42">
        <f t="shared" si="76"/>
        <v>4252.1956107826436</v>
      </c>
      <c r="AS67" s="42">
        <f t="shared" si="77"/>
        <v>9696</v>
      </c>
      <c r="AT67" s="43">
        <f t="shared" si="78"/>
        <v>78079.890496725653</v>
      </c>
      <c r="AU67" s="92">
        <f t="shared" si="79"/>
        <v>0.23321353194959873</v>
      </c>
      <c r="AV67" s="42">
        <f t="shared" si="80"/>
        <v>8359.0961018138096</v>
      </c>
      <c r="AW67" s="43">
        <f t="shared" si="81"/>
        <v>69720.794394911849</v>
      </c>
      <c r="AX67" s="92">
        <f t="shared" si="82"/>
        <v>0.20824610034322535</v>
      </c>
      <c r="AY67" s="42">
        <f t="shared" si="83"/>
        <v>6701.6647960717328</v>
      </c>
      <c r="AZ67" s="43">
        <f t="shared" si="84"/>
        <v>84781.555292797391</v>
      </c>
      <c r="BA67" s="92">
        <f t="shared" si="85"/>
        <v>0.25323045189007581</v>
      </c>
      <c r="BC67" s="10">
        <f t="shared" si="36"/>
        <v>3100</v>
      </c>
      <c r="BD67" s="10">
        <f t="shared" si="37"/>
        <v>-1078.7543237684727</v>
      </c>
      <c r="BE67" s="10">
        <f t="shared" si="38"/>
        <v>-703.28830607180907</v>
      </c>
      <c r="BF67" s="10">
        <f t="shared" si="39"/>
        <v>-12.87966009692431</v>
      </c>
      <c r="BG67" s="10">
        <f t="shared" si="40"/>
        <v>-398.74803137938721</v>
      </c>
      <c r="BH67" s="10">
        <f t="shared" si="41"/>
        <v>-2193.6703213165933</v>
      </c>
      <c r="BI67" s="10">
        <f t="shared" si="42"/>
        <v>906.32967868340666</v>
      </c>
      <c r="BJ67" s="10">
        <f t="shared" si="43"/>
        <v>-107.4074074074074</v>
      </c>
      <c r="BK67" s="10">
        <f t="shared" si="44"/>
        <v>-106.58352326579499</v>
      </c>
      <c r="BL67" s="10">
        <f t="shared" si="45"/>
        <v>-233.77332583610769</v>
      </c>
      <c r="BM67" s="10">
        <f t="shared" si="46"/>
        <v>-39.372181581320774</v>
      </c>
      <c r="BN67" s="10">
        <f t="shared" si="47"/>
        <v>89.777777777777771</v>
      </c>
      <c r="BO67" s="10">
        <f t="shared" si="48"/>
        <v>722.96194904375602</v>
      </c>
      <c r="BP67" s="10">
        <f t="shared" si="49"/>
        <v>-77.399037979757495</v>
      </c>
      <c r="BQ67" s="10">
        <f t="shared" si="50"/>
        <v>645.56291106399863</v>
      </c>
      <c r="BR67" s="10">
        <f t="shared" si="51"/>
        <v>62.05245181547901</v>
      </c>
      <c r="BS67" s="10">
        <f t="shared" si="52"/>
        <v>785.01440085923514</v>
      </c>
    </row>
    <row r="68" spans="2:71">
      <c r="B68" s="7" t="s">
        <v>7</v>
      </c>
      <c r="C68" s="29" t="s">
        <v>8</v>
      </c>
      <c r="D68" s="25" t="s">
        <v>295</v>
      </c>
      <c r="E68" s="98">
        <v>68</v>
      </c>
      <c r="F68" s="98">
        <v>46108</v>
      </c>
      <c r="G68" s="99">
        <v>10</v>
      </c>
      <c r="H68" s="100" t="s">
        <v>34</v>
      </c>
      <c r="I68" s="27" t="s">
        <v>116</v>
      </c>
      <c r="J68" s="7" t="s">
        <v>296</v>
      </c>
      <c r="K68" s="7" t="s">
        <v>118</v>
      </c>
      <c r="L68" s="7" t="s">
        <v>119</v>
      </c>
      <c r="M68" s="21" t="s">
        <v>50</v>
      </c>
      <c r="N68" s="7" t="s">
        <v>120</v>
      </c>
      <c r="O68" s="20">
        <v>1130</v>
      </c>
      <c r="P68" s="67">
        <v>11300</v>
      </c>
      <c r="Q68" s="20">
        <v>990</v>
      </c>
      <c r="R68" s="30">
        <v>1400</v>
      </c>
      <c r="S68" s="32">
        <f t="shared" ref="S68:S72" si="89">P68-R68</f>
        <v>9900</v>
      </c>
      <c r="T68" s="63">
        <v>1</v>
      </c>
      <c r="U68" s="57" t="s">
        <v>258</v>
      </c>
      <c r="V68" s="27">
        <v>6447908000</v>
      </c>
      <c r="W68" s="25" t="s">
        <v>122</v>
      </c>
      <c r="X68" s="4" t="s">
        <v>113</v>
      </c>
      <c r="Y68" s="4" t="s">
        <v>867</v>
      </c>
      <c r="Z68" s="7">
        <v>10005779</v>
      </c>
      <c r="AA68" s="7" t="s">
        <v>218</v>
      </c>
      <c r="AB68" s="7" t="str">
        <f t="shared" si="87"/>
        <v>FEBRERO10005779Inventario final</v>
      </c>
      <c r="AC68" s="20">
        <f t="shared" si="88"/>
        <v>1896.1639327140158</v>
      </c>
      <c r="AD68" s="214">
        <f>IFERROR(INDEX('Costos Producción Febrero'!$G$34:$G$57,MATCH(Resumen!Z68,'Costos Producción Febrero'!$B$34:$B$57,0))*AC68*G68,0)</f>
        <v>11009.142065571976</v>
      </c>
      <c r="AE68" s="44">
        <f>IFERROR(INDEX('Costos Producción Febrero'!$H$34:$H$57,MATCH(Resumen!Z68,'Costos Producción Febrero'!$B$34:$B$57,0))*AC68*G68,0)</f>
        <v>4189.6484455635746</v>
      </c>
      <c r="AF68" s="44">
        <f>IFERROR(INDEX('Costos Producción Febrero'!$I$34:$I$57,MATCH(Resumen!Z68,'Costos Producción Febrero'!$B$34:$B$57,0))*AC68*G68,0)</f>
        <v>121.1137575121268</v>
      </c>
      <c r="AG68" s="44">
        <f>IFERROR(INDEX('Costos Producción Febrero'!$J$34:$J$57,MATCH(Resumen!Z68,'Costos Producción Febrero'!$B$34:$B$57,0))*AC68*G68,0)</f>
        <v>3641.7350584924811</v>
      </c>
      <c r="AH68" s="44">
        <f t="shared" ref="AH68:AH99" si="90">SUM(AD68:AG68)</f>
        <v>18961.639327140158</v>
      </c>
      <c r="AI68" s="44"/>
      <c r="AJ68" s="43">
        <v>2100.2380844815898</v>
      </c>
      <c r="AK68" s="44"/>
      <c r="AL68" s="43">
        <f t="shared" ref="AL68:AL99" si="91">P68-AH68</f>
        <v>-7661.6393271401575</v>
      </c>
      <c r="AM68" s="92">
        <f t="shared" ref="AM68:AM99" si="92">AL68/P68</f>
        <v>-0.67802117939293427</v>
      </c>
      <c r="AN68" s="42">
        <f t="shared" ref="AN68:AN99" si="93">R68</f>
        <v>1400</v>
      </c>
      <c r="AO68" s="42">
        <f t="shared" ref="AO68:AO99" si="94">118461.136538461/5988.21*G68</f>
        <v>197.82395162905274</v>
      </c>
      <c r="AP68" s="42">
        <f t="shared" si="74"/>
        <v>1065.83523265795</v>
      </c>
      <c r="AQ68" s="42">
        <f t="shared" ref="AQ68:AQ70" si="95">SUM(AN68:AP68)</f>
        <v>2663.659184287003</v>
      </c>
      <c r="AR68" s="42">
        <f t="shared" si="76"/>
        <v>393.72181581320774</v>
      </c>
      <c r="AS68" s="42">
        <f t="shared" si="77"/>
        <v>297</v>
      </c>
      <c r="AT68" s="43">
        <f t="shared" ref="AT68:AT73" si="96">AL68-AQ68-AR68+AS68</f>
        <v>-10422.020327240369</v>
      </c>
      <c r="AU68" s="92">
        <f t="shared" ref="AU68:AU99" si="97">AT68/P68</f>
        <v>-0.92230268382658132</v>
      </c>
      <c r="AV68" s="42">
        <f t="shared" si="80"/>
        <v>773.99037979757497</v>
      </c>
      <c r="AW68" s="43">
        <f t="shared" ref="AW68:AW73" si="98">AT68-AV68</f>
        <v>-11196.010707037944</v>
      </c>
      <c r="AX68" s="92">
        <f t="shared" ref="AX68:AX99" si="99">AW68/P68</f>
        <v>-0.99079740770247293</v>
      </c>
      <c r="AY68" s="42">
        <f t="shared" si="83"/>
        <v>620.52451815479014</v>
      </c>
      <c r="AZ68" s="43">
        <f t="shared" ref="AZ68:AZ73" si="100">AT68+AY68</f>
        <v>-9801.495809085578</v>
      </c>
      <c r="BA68" s="92">
        <f t="shared" ref="BA68:BA99" si="101">AZ68/P68</f>
        <v>-0.867389009653591</v>
      </c>
      <c r="BC68" s="10">
        <f t="shared" si="36"/>
        <v>1130</v>
      </c>
      <c r="BD68" s="10">
        <f t="shared" si="37"/>
        <v>-1100.9142065571975</v>
      </c>
      <c r="BE68" s="10">
        <f t="shared" si="38"/>
        <v>-418.96484455635743</v>
      </c>
      <c r="BF68" s="10">
        <f t="shared" si="39"/>
        <v>-12.11137575121268</v>
      </c>
      <c r="BG68" s="10">
        <f t="shared" si="40"/>
        <v>-364.1735058492481</v>
      </c>
      <c r="BH68" s="10">
        <f t="shared" si="41"/>
        <v>-1896.1639327140158</v>
      </c>
      <c r="BI68" s="10">
        <f t="shared" si="42"/>
        <v>-766.1639327140158</v>
      </c>
      <c r="BJ68" s="10">
        <f t="shared" si="43"/>
        <v>-140</v>
      </c>
      <c r="BK68" s="10">
        <f t="shared" si="44"/>
        <v>-106.58352326579499</v>
      </c>
      <c r="BL68" s="10">
        <f t="shared" si="45"/>
        <v>-266.3659184287003</v>
      </c>
      <c r="BM68" s="10">
        <f t="shared" si="46"/>
        <v>-39.372181581320774</v>
      </c>
      <c r="BN68" s="10">
        <f t="shared" si="47"/>
        <v>29.7</v>
      </c>
      <c r="BO68" s="10">
        <f t="shared" si="48"/>
        <v>-1042.2020327240368</v>
      </c>
      <c r="BP68" s="10">
        <f t="shared" si="49"/>
        <v>-77.399037979757495</v>
      </c>
      <c r="BQ68" s="10">
        <f t="shared" si="50"/>
        <v>-1119.6010707037944</v>
      </c>
      <c r="BR68" s="10">
        <f t="shared" si="51"/>
        <v>62.052451815479017</v>
      </c>
      <c r="BS68" s="10">
        <f t="shared" si="52"/>
        <v>-980.14958090855782</v>
      </c>
    </row>
    <row r="69" spans="2:71">
      <c r="B69" s="7" t="s">
        <v>7</v>
      </c>
      <c r="C69" s="29" t="s">
        <v>8</v>
      </c>
      <c r="D69" s="25" t="s">
        <v>295</v>
      </c>
      <c r="E69" s="98">
        <v>68</v>
      </c>
      <c r="F69" s="98">
        <v>46108</v>
      </c>
      <c r="G69" s="99">
        <v>15</v>
      </c>
      <c r="H69" s="100" t="s">
        <v>34</v>
      </c>
      <c r="I69" s="27" t="s">
        <v>116</v>
      </c>
      <c r="J69" s="7" t="s">
        <v>287</v>
      </c>
      <c r="K69" s="7" t="s">
        <v>118</v>
      </c>
      <c r="L69" s="7" t="s">
        <v>119</v>
      </c>
      <c r="M69" s="21" t="s">
        <v>50</v>
      </c>
      <c r="N69" s="7" t="s">
        <v>120</v>
      </c>
      <c r="O69" s="20">
        <v>1200</v>
      </c>
      <c r="P69" s="67">
        <v>18000</v>
      </c>
      <c r="Q69" s="20">
        <v>1060</v>
      </c>
      <c r="R69" s="30">
        <v>2100</v>
      </c>
      <c r="S69" s="32">
        <f t="shared" si="89"/>
        <v>15900</v>
      </c>
      <c r="T69" s="63">
        <v>0</v>
      </c>
      <c r="U69" s="57" t="s">
        <v>258</v>
      </c>
      <c r="V69" s="27">
        <v>6447908000</v>
      </c>
      <c r="W69" s="25" t="s">
        <v>122</v>
      </c>
      <c r="X69" s="4" t="s">
        <v>113</v>
      </c>
      <c r="Y69" s="4" t="s">
        <v>867</v>
      </c>
      <c r="Z69" s="7">
        <v>10005779</v>
      </c>
      <c r="AA69" s="7" t="s">
        <v>218</v>
      </c>
      <c r="AB69" s="7" t="str">
        <f t="shared" si="87"/>
        <v>FEBRERO10005779Inventario final</v>
      </c>
      <c r="AC69" s="20">
        <f t="shared" si="88"/>
        <v>1896.1639327140158</v>
      </c>
      <c r="AD69" s="214">
        <f>IFERROR(INDEX('Costos Producción Febrero'!$G$34:$G$57,MATCH(Resumen!Z69,'Costos Producción Febrero'!$B$34:$B$57,0))*AC69*G69,0)</f>
        <v>16513.713098357963</v>
      </c>
      <c r="AE69" s="44">
        <f>IFERROR(INDEX('Costos Producción Febrero'!$H$34:$H$57,MATCH(Resumen!Z69,'Costos Producción Febrero'!$B$34:$B$57,0))*AC69*G69,0)</f>
        <v>6284.4726683453628</v>
      </c>
      <c r="AF69" s="44">
        <f>IFERROR(INDEX('Costos Producción Febrero'!$I$34:$I$57,MATCH(Resumen!Z69,'Costos Producción Febrero'!$B$34:$B$57,0))*AC69*G69,0)</f>
        <v>181.67063626819021</v>
      </c>
      <c r="AG69" s="44">
        <f>IFERROR(INDEX('Costos Producción Febrero'!$J$34:$J$57,MATCH(Resumen!Z69,'Costos Producción Febrero'!$B$34:$B$57,0))*AC69*G69,0)</f>
        <v>5462.6025877387219</v>
      </c>
      <c r="AH69" s="44">
        <f t="shared" si="90"/>
        <v>28442.458990710238</v>
      </c>
      <c r="AI69" s="44"/>
      <c r="AJ69" s="43">
        <v>2100.2380844815898</v>
      </c>
      <c r="AK69" s="44"/>
      <c r="AL69" s="43">
        <f t="shared" si="91"/>
        <v>-10442.458990710238</v>
      </c>
      <c r="AM69" s="92">
        <f t="shared" si="92"/>
        <v>-0.5801366105950132</v>
      </c>
      <c r="AN69" s="42">
        <f t="shared" si="93"/>
        <v>2100</v>
      </c>
      <c r="AO69" s="42">
        <f t="shared" si="94"/>
        <v>296.7359274435791</v>
      </c>
      <c r="AP69" s="42">
        <f t="shared" si="74"/>
        <v>1598.7528489869248</v>
      </c>
      <c r="AQ69" s="42">
        <f t="shared" si="95"/>
        <v>3995.488776430504</v>
      </c>
      <c r="AR69" s="42">
        <f t="shared" si="76"/>
        <v>590.58272371981161</v>
      </c>
      <c r="AS69" s="42">
        <f t="shared" si="77"/>
        <v>477</v>
      </c>
      <c r="AT69" s="43">
        <f t="shared" si="96"/>
        <v>-14551.530490860554</v>
      </c>
      <c r="AU69" s="92">
        <f t="shared" si="97"/>
        <v>-0.80841836060336414</v>
      </c>
      <c r="AV69" s="42">
        <f t="shared" si="80"/>
        <v>1160.9855696963625</v>
      </c>
      <c r="AW69" s="43">
        <f t="shared" si="98"/>
        <v>-15712.516060556916</v>
      </c>
      <c r="AX69" s="92">
        <f t="shared" si="99"/>
        <v>-0.8729175589198287</v>
      </c>
      <c r="AY69" s="42">
        <f t="shared" si="83"/>
        <v>930.78677723218516</v>
      </c>
      <c r="AZ69" s="43">
        <f t="shared" si="100"/>
        <v>-13620.74371362837</v>
      </c>
      <c r="BA69" s="92">
        <f t="shared" si="101"/>
        <v>-0.75670798409046502</v>
      </c>
      <c r="BC69" s="10">
        <f t="shared" ref="BC69:BC132" si="102">P69/$G69</f>
        <v>1200</v>
      </c>
      <c r="BD69" s="10">
        <f t="shared" ref="BD69:BD132" si="103">-AD69/$G69</f>
        <v>-1100.9142065571975</v>
      </c>
      <c r="BE69" s="10">
        <f t="shared" ref="BE69:BE132" si="104">-AE69/$G69</f>
        <v>-418.96484455635749</v>
      </c>
      <c r="BF69" s="10">
        <f t="shared" ref="BF69:BF132" si="105">-AF69/$G69</f>
        <v>-12.11137575121268</v>
      </c>
      <c r="BG69" s="10">
        <f t="shared" ref="BG69:BG132" si="106">-AG69/$G69</f>
        <v>-364.1735058492481</v>
      </c>
      <c r="BH69" s="10">
        <f t="shared" ref="BH69:BH132" si="107">-AH69/$G69</f>
        <v>-1896.1639327140158</v>
      </c>
      <c r="BI69" s="10">
        <f t="shared" ref="BI69:BI132" si="108">AL69/$G69</f>
        <v>-696.16393271401591</v>
      </c>
      <c r="BJ69" s="10">
        <f t="shared" ref="BJ69:BJ132" si="109">-AN69/$G69</f>
        <v>-140</v>
      </c>
      <c r="BK69" s="10">
        <f t="shared" ref="BK69:BK132" si="110">-AP69/$G69</f>
        <v>-106.58352326579499</v>
      </c>
      <c r="BL69" s="10">
        <f t="shared" ref="BL69:BL132" si="111">-AQ69/$G69</f>
        <v>-266.36591842870024</v>
      </c>
      <c r="BM69" s="10">
        <f t="shared" ref="BM69:BM132" si="112">-AR69/$G69</f>
        <v>-39.372181581320774</v>
      </c>
      <c r="BN69" s="10">
        <f t="shared" ref="BN69:BN132" si="113">AS69/$G69</f>
        <v>31.8</v>
      </c>
      <c r="BO69" s="10">
        <f t="shared" ref="BO69:BO132" si="114">AT69/$G69</f>
        <v>-970.10203272403692</v>
      </c>
      <c r="BP69" s="10">
        <f t="shared" ref="BP69:BP132" si="115">-AV69/$G69</f>
        <v>-77.399037979757495</v>
      </c>
      <c r="BQ69" s="10">
        <f t="shared" ref="BQ69:BQ132" si="116">AW69/$G69</f>
        <v>-1047.5010707037943</v>
      </c>
      <c r="BR69" s="10">
        <f t="shared" ref="BR69:BR132" si="117">AY69/$G69</f>
        <v>62.05245181547901</v>
      </c>
      <c r="BS69" s="10">
        <f t="shared" ref="BS69:BS132" si="118">AZ69/$G69</f>
        <v>-908.04958090855803</v>
      </c>
    </row>
    <row r="70" spans="2:71">
      <c r="B70" s="7" t="s">
        <v>7</v>
      </c>
      <c r="C70" s="123" t="s">
        <v>8</v>
      </c>
      <c r="D70" s="124" t="s">
        <v>239</v>
      </c>
      <c r="E70" s="125">
        <v>43</v>
      </c>
      <c r="F70" s="125">
        <v>46092</v>
      </c>
      <c r="G70" s="126">
        <v>24</v>
      </c>
      <c r="H70" s="183" t="s">
        <v>31</v>
      </c>
      <c r="I70" s="123" t="s">
        <v>107</v>
      </c>
      <c r="J70" s="128" t="s">
        <v>421</v>
      </c>
      <c r="K70" s="128" t="s">
        <v>161</v>
      </c>
      <c r="L70" s="128" t="s">
        <v>147</v>
      </c>
      <c r="M70" s="124" t="s">
        <v>44</v>
      </c>
      <c r="N70" s="128" t="s">
        <v>214</v>
      </c>
      <c r="O70" s="129">
        <v>2400</v>
      </c>
      <c r="P70" s="130">
        <f>O70*G70</f>
        <v>57600</v>
      </c>
      <c r="Q70" s="129">
        <f>+S70/G70</f>
        <v>2230.0104166666665</v>
      </c>
      <c r="R70" s="129">
        <f>4079.75</f>
        <v>4079.75</v>
      </c>
      <c r="S70" s="131">
        <f t="shared" si="89"/>
        <v>53520.25</v>
      </c>
      <c r="T70" s="136">
        <v>1</v>
      </c>
      <c r="U70" s="128" t="s">
        <v>240</v>
      </c>
      <c r="V70" s="137" t="s">
        <v>241</v>
      </c>
      <c r="W70" s="138" t="s">
        <v>182</v>
      </c>
      <c r="X70" s="128"/>
      <c r="Y70" s="258" t="s">
        <v>867</v>
      </c>
      <c r="Z70" s="139">
        <v>10007162</v>
      </c>
      <c r="AA70" s="7" t="s">
        <v>218</v>
      </c>
      <c r="AB70" s="18" t="str">
        <f t="shared" si="87"/>
        <v>FEBRERO10007162Inventario final</v>
      </c>
      <c r="AC70" s="155">
        <f t="shared" si="88"/>
        <v>1814.1051345683702</v>
      </c>
      <c r="AD70" s="215">
        <f>IFERROR(INDEX('Costos Producción Febrero'!$G$34:$G$57,MATCH(Resumen!Z70,'Costos Producción Febrero'!$B$34:$B$57,0))*AC70*G70,0)</f>
        <v>26695.673901048802</v>
      </c>
      <c r="AE70" s="156">
        <f>IFERROR(INDEX('Costos Producción Febrero'!$H$34:$H$57,MATCH(Resumen!Z70,'Costos Producción Febrero'!$B$34:$B$57,0))*AC70*G70,0)</f>
        <v>7579.4341930700139</v>
      </c>
      <c r="AF70" s="156">
        <f>IFERROR(INDEX('Costos Producción Febrero'!$I$34:$I$57,MATCH(Resumen!Z70,'Costos Producción Febrero'!$B$34:$B$57,0))*AC70*G70,0)</f>
        <v>403.62780088040984</v>
      </c>
      <c r="AG70" s="156">
        <f>IFERROR(INDEX('Costos Producción Febrero'!$J$34:$J$57,MATCH(Resumen!Z70,'Costos Producción Febrero'!$B$34:$B$57,0))*AC70*G70,0)</f>
        <v>8859.7873346416582</v>
      </c>
      <c r="AH70" s="156">
        <f t="shared" si="90"/>
        <v>43538.523229640879</v>
      </c>
      <c r="AI70" s="156"/>
      <c r="AJ70" s="43">
        <v>2018.1792863359442</v>
      </c>
      <c r="AK70" s="156"/>
      <c r="AL70" s="157">
        <f t="shared" si="91"/>
        <v>14061.476770359121</v>
      </c>
      <c r="AM70" s="134">
        <f t="shared" si="92"/>
        <v>0.2441228605965125</v>
      </c>
      <c r="AN70" s="132">
        <f t="shared" si="93"/>
        <v>4079.75</v>
      </c>
      <c r="AO70" s="132">
        <f t="shared" si="94"/>
        <v>474.77748390972658</v>
      </c>
      <c r="AP70" s="132">
        <f t="shared" si="74"/>
        <v>2558.0045583790798</v>
      </c>
      <c r="AQ70" s="132">
        <f t="shared" si="95"/>
        <v>7112.5320422888062</v>
      </c>
      <c r="AR70" s="132">
        <f t="shared" si="76"/>
        <v>944.93235795169858</v>
      </c>
      <c r="AS70" s="132">
        <f t="shared" si="77"/>
        <v>1605.6074999999998</v>
      </c>
      <c r="AT70" s="133">
        <f t="shared" si="96"/>
        <v>7609.6198701186158</v>
      </c>
      <c r="AU70" s="134">
        <f t="shared" si="97"/>
        <v>0.13211145607844818</v>
      </c>
      <c r="AV70" s="132">
        <f t="shared" si="80"/>
        <v>1857.5769115141798</v>
      </c>
      <c r="AW70" s="133">
        <f t="shared" si="98"/>
        <v>5752.0429586044356</v>
      </c>
      <c r="AX70" s="134">
        <f t="shared" si="99"/>
        <v>9.9861856920215902E-2</v>
      </c>
      <c r="AY70" s="132">
        <f t="shared" si="83"/>
        <v>1489.2588435714963</v>
      </c>
      <c r="AZ70" s="133">
        <f t="shared" si="100"/>
        <v>9098.8787136901119</v>
      </c>
      <c r="BA70" s="134">
        <f t="shared" si="101"/>
        <v>0.15796664433489777</v>
      </c>
      <c r="BC70" s="10">
        <f t="shared" si="102"/>
        <v>2400</v>
      </c>
      <c r="BD70" s="10">
        <f t="shared" si="103"/>
        <v>-1112.3197458770335</v>
      </c>
      <c r="BE70" s="10">
        <f t="shared" si="104"/>
        <v>-315.80975804458393</v>
      </c>
      <c r="BF70" s="10">
        <f t="shared" si="105"/>
        <v>-16.817825036683743</v>
      </c>
      <c r="BG70" s="10">
        <f t="shared" si="106"/>
        <v>-369.15780561006909</v>
      </c>
      <c r="BH70" s="10">
        <f t="shared" si="107"/>
        <v>-1814.10513456837</v>
      </c>
      <c r="BI70" s="10">
        <f t="shared" si="108"/>
        <v>585.89486543163002</v>
      </c>
      <c r="BJ70" s="10">
        <f t="shared" si="109"/>
        <v>-169.98958333333334</v>
      </c>
      <c r="BK70" s="10">
        <f t="shared" si="110"/>
        <v>-106.58352326579499</v>
      </c>
      <c r="BL70" s="10">
        <f t="shared" si="111"/>
        <v>-296.35550176203361</v>
      </c>
      <c r="BM70" s="10">
        <f t="shared" si="112"/>
        <v>-39.372181581320774</v>
      </c>
      <c r="BN70" s="10">
        <f t="shared" si="113"/>
        <v>66.900312499999998</v>
      </c>
      <c r="BO70" s="10">
        <f t="shared" si="114"/>
        <v>317.06749458827568</v>
      </c>
      <c r="BP70" s="10">
        <f t="shared" si="115"/>
        <v>-77.399037979757495</v>
      </c>
      <c r="BQ70" s="10">
        <f t="shared" si="116"/>
        <v>239.66845660851814</v>
      </c>
      <c r="BR70" s="10">
        <f t="shared" si="117"/>
        <v>62.05245181547901</v>
      </c>
      <c r="BS70" s="10">
        <f t="shared" si="118"/>
        <v>379.11994640375468</v>
      </c>
    </row>
    <row r="71" spans="2:71">
      <c r="B71" s="7" t="s">
        <v>7</v>
      </c>
      <c r="C71" s="123" t="s">
        <v>8</v>
      </c>
      <c r="D71" s="124" t="s">
        <v>422</v>
      </c>
      <c r="E71" s="125">
        <v>26</v>
      </c>
      <c r="F71" s="125">
        <v>46110</v>
      </c>
      <c r="G71" s="126">
        <f>26*1</f>
        <v>26</v>
      </c>
      <c r="H71" s="123" t="s">
        <v>36</v>
      </c>
      <c r="I71" s="123" t="s">
        <v>107</v>
      </c>
      <c r="J71" s="128"/>
      <c r="K71" s="128" t="s">
        <v>161</v>
      </c>
      <c r="L71" s="128" t="s">
        <v>109</v>
      </c>
      <c r="M71" s="124" t="s">
        <v>56</v>
      </c>
      <c r="N71" s="128" t="s">
        <v>110</v>
      </c>
      <c r="O71" s="129">
        <v>2950</v>
      </c>
      <c r="P71" s="130">
        <f>+G71*O71</f>
        <v>76700</v>
      </c>
      <c r="Q71" s="129">
        <f>+S71/G71</f>
        <v>2793.0865384615386</v>
      </c>
      <c r="R71" s="129">
        <f>4079.75</f>
        <v>4079.75</v>
      </c>
      <c r="S71" s="131">
        <f t="shared" si="89"/>
        <v>72620.25</v>
      </c>
      <c r="T71" s="136">
        <v>1</v>
      </c>
      <c r="U71" s="128" t="s">
        <v>423</v>
      </c>
      <c r="V71" s="137">
        <v>19449468</v>
      </c>
      <c r="W71" s="138" t="s">
        <v>112</v>
      </c>
      <c r="X71" s="128"/>
      <c r="Y71" s="259" t="s">
        <v>867</v>
      </c>
      <c r="Z71" s="7">
        <v>10007567</v>
      </c>
      <c r="AA71" s="7" t="s">
        <v>218</v>
      </c>
      <c r="AB71" s="18" t="str">
        <f t="shared" si="87"/>
        <v>FEBRERO10007567Inventario final</v>
      </c>
      <c r="AC71" s="155">
        <f t="shared" si="88"/>
        <v>1815.4238104406516</v>
      </c>
      <c r="AD71" s="215">
        <f>IFERROR(INDEX('Costos Producción Febrero'!$G$34:$G$57,MATCH(Resumen!Z71,'Costos Producción Febrero'!$B$34:$B$57,0))*AC71*G71,0)</f>
        <v>29150.527618588938</v>
      </c>
      <c r="AE71" s="156">
        <f>IFERROR(INDEX('Costos Producción Febrero'!$H$34:$H$57,MATCH(Resumen!Z71,'Costos Producción Febrero'!$B$34:$B$57,0))*AC71*G71,0)</f>
        <v>7856.1912512258923</v>
      </c>
      <c r="AF71" s="156">
        <f>IFERROR(INDEX('Costos Producción Febrero'!$I$34:$I$57,MATCH(Resumen!Z71,'Costos Producción Febrero'!$B$34:$B$57,0))*AC71*G71,0)</f>
        <v>509.45838823226364</v>
      </c>
      <c r="AG71" s="156">
        <f>IFERROR(INDEX('Costos Producción Febrero'!$J$34:$J$57,MATCH(Resumen!Z71,'Costos Producción Febrero'!$B$34:$B$57,0))*AC71*G71,0)</f>
        <v>9684.8418134098429</v>
      </c>
      <c r="AH71" s="156">
        <f t="shared" si="90"/>
        <v>47201.019071456933</v>
      </c>
      <c r="AI71" s="156"/>
      <c r="AJ71" s="43">
        <v>2019.4979622082255</v>
      </c>
      <c r="AK71" s="156"/>
      <c r="AL71" s="157">
        <f t="shared" si="91"/>
        <v>29498.980928543067</v>
      </c>
      <c r="AM71" s="134">
        <f t="shared" si="92"/>
        <v>0.38460209815571145</v>
      </c>
      <c r="AN71" s="132">
        <f t="shared" si="93"/>
        <v>4079.75</v>
      </c>
      <c r="AO71" s="132">
        <f t="shared" si="94"/>
        <v>514.34227423553716</v>
      </c>
      <c r="AP71" s="132">
        <f t="shared" si="74"/>
        <v>2771.1716049106699</v>
      </c>
      <c r="AQ71" s="132">
        <f t="shared" ref="AQ71:AQ109" si="119">SUM(AN71:AP71)</f>
        <v>7365.2638791462068</v>
      </c>
      <c r="AR71" s="132">
        <f t="shared" si="76"/>
        <v>1023.6767211143401</v>
      </c>
      <c r="AS71" s="132">
        <f t="shared" si="77"/>
        <v>2178.6075000000001</v>
      </c>
      <c r="AT71" s="133">
        <f t="shared" si="96"/>
        <v>23288.647828282519</v>
      </c>
      <c r="AU71" s="134">
        <f t="shared" si="97"/>
        <v>0.30363295734397028</v>
      </c>
      <c r="AV71" s="132">
        <f t="shared" si="80"/>
        <v>2012.3749874736948</v>
      </c>
      <c r="AW71" s="133">
        <f t="shared" si="98"/>
        <v>21276.272840808826</v>
      </c>
      <c r="AX71" s="134">
        <f t="shared" si="99"/>
        <v>0.27739599531693382</v>
      </c>
      <c r="AY71" s="132">
        <f t="shared" si="83"/>
        <v>1613.3637472024543</v>
      </c>
      <c r="AZ71" s="133">
        <f t="shared" si="100"/>
        <v>24902.011575484972</v>
      </c>
      <c r="BA71" s="134">
        <f t="shared" si="101"/>
        <v>0.32466768677294616</v>
      </c>
      <c r="BC71" s="10">
        <f t="shared" si="102"/>
        <v>2950</v>
      </c>
      <c r="BD71" s="10">
        <f t="shared" si="103"/>
        <v>-1121.1741391764976</v>
      </c>
      <c r="BE71" s="10">
        <f t="shared" si="104"/>
        <v>-302.16120197022661</v>
      </c>
      <c r="BF71" s="10">
        <f t="shared" si="105"/>
        <v>-19.594553393548601</v>
      </c>
      <c r="BG71" s="10">
        <f t="shared" si="106"/>
        <v>-372.49391590037857</v>
      </c>
      <c r="BH71" s="10">
        <f t="shared" si="107"/>
        <v>-1815.4238104406513</v>
      </c>
      <c r="BI71" s="10">
        <f t="shared" si="108"/>
        <v>1134.5761895593487</v>
      </c>
      <c r="BJ71" s="10">
        <f t="shared" si="109"/>
        <v>-156.91346153846155</v>
      </c>
      <c r="BK71" s="10">
        <f t="shared" si="110"/>
        <v>-106.58352326579499</v>
      </c>
      <c r="BL71" s="10">
        <f t="shared" si="111"/>
        <v>-283.27937996716179</v>
      </c>
      <c r="BM71" s="10">
        <f t="shared" si="112"/>
        <v>-39.372181581320774</v>
      </c>
      <c r="BN71" s="10">
        <f t="shared" si="113"/>
        <v>83.792596153846162</v>
      </c>
      <c r="BO71" s="10">
        <f t="shared" si="114"/>
        <v>895.71722416471232</v>
      </c>
      <c r="BP71" s="10">
        <f t="shared" si="115"/>
        <v>-77.399037979757495</v>
      </c>
      <c r="BQ71" s="10">
        <f t="shared" si="116"/>
        <v>818.31818618495481</v>
      </c>
      <c r="BR71" s="10">
        <f t="shared" si="117"/>
        <v>62.05245181547901</v>
      </c>
      <c r="BS71" s="10">
        <f t="shared" si="118"/>
        <v>957.76967598019121</v>
      </c>
    </row>
    <row r="72" spans="2:71">
      <c r="B72" s="7" t="s">
        <v>7</v>
      </c>
      <c r="C72" s="123" t="s">
        <v>8</v>
      </c>
      <c r="D72" s="124"/>
      <c r="E72" s="125">
        <v>46111</v>
      </c>
      <c r="F72" s="125">
        <v>46111</v>
      </c>
      <c r="G72" s="148">
        <v>0</v>
      </c>
      <c r="H72" s="100" t="s">
        <v>417</v>
      </c>
      <c r="I72" s="27" t="s">
        <v>418</v>
      </c>
      <c r="J72" s="27" t="s">
        <v>418</v>
      </c>
      <c r="K72" s="27" t="s">
        <v>418</v>
      </c>
      <c r="L72" s="27" t="s">
        <v>418</v>
      </c>
      <c r="M72" s="27" t="s">
        <v>419</v>
      </c>
      <c r="N72" s="7"/>
      <c r="O72" s="42">
        <v>0</v>
      </c>
      <c r="P72" s="50">
        <v>26456.610000000008</v>
      </c>
      <c r="Q72" s="42">
        <v>0</v>
      </c>
      <c r="R72" s="42">
        <v>0</v>
      </c>
      <c r="S72" s="43">
        <f t="shared" si="89"/>
        <v>26456.610000000008</v>
      </c>
      <c r="T72" s="58"/>
      <c r="U72" s="95"/>
      <c r="V72" s="57"/>
      <c r="W72" s="25"/>
      <c r="X72" s="4"/>
      <c r="Y72" s="4" t="s">
        <v>869</v>
      </c>
      <c r="Z72" s="7"/>
      <c r="AA72" s="7"/>
      <c r="AB72" s="7"/>
      <c r="AC72" s="26">
        <f t="shared" ref="AC72" si="120">IFERROR(AH72/G72,0)</f>
        <v>0</v>
      </c>
      <c r="AD72" s="42">
        <f>IFERROR(INDEX('Costos Producción Febrero'!$G$34:$G$57,MATCH(Resumen!Z72,'Costos Producción Febrero'!$B$34:$B$57,0))*AJ72*G72,0)*1.25</f>
        <v>0</v>
      </c>
      <c r="AE72" s="42">
        <f>IFERROR(INDEX('Costos Producción Febrero'!$H$34:$H$57,MATCH(Resumen!Z72,'Costos Producción Febrero'!$B$34:$B$57,0))*AJ72*G72,0)</f>
        <v>0</v>
      </c>
      <c r="AF72" s="42">
        <f>IFERROR(INDEX('Costos Producción Febrero'!$I$34:$I$57,MATCH(Resumen!Z72,'Costos Producción Febrero'!$B$34:$B$57,0))*AJ72*G72,0)</f>
        <v>0</v>
      </c>
      <c r="AG72" s="42">
        <f>IFERROR(INDEX('Costos Producción Febrero'!$J$34:$J$57,MATCH(Resumen!Z72,'Costos Producción Febrero'!$B$34:$B$57,0))*AJ72*G72,0)</f>
        <v>0</v>
      </c>
      <c r="AH72" s="42">
        <f t="shared" si="90"/>
        <v>0</v>
      </c>
      <c r="AI72" s="42"/>
      <c r="AJ72" s="113"/>
      <c r="AK72" s="42"/>
      <c r="AL72" s="43">
        <f t="shared" si="91"/>
        <v>26456.610000000008</v>
      </c>
      <c r="AM72" s="114">
        <f t="shared" si="92"/>
        <v>1</v>
      </c>
      <c r="AN72" s="42">
        <f t="shared" si="93"/>
        <v>0</v>
      </c>
      <c r="AO72" s="42">
        <f t="shared" si="94"/>
        <v>0</v>
      </c>
      <c r="AP72" s="42">
        <f>1882/26*G72</f>
        <v>0</v>
      </c>
      <c r="AQ72" s="42">
        <f>SUM(AN72:AP72)</f>
        <v>0</v>
      </c>
      <c r="AR72" s="42">
        <f>56604/1634.3*G72</f>
        <v>0</v>
      </c>
      <c r="AS72" s="42">
        <v>0</v>
      </c>
      <c r="AT72" s="43">
        <f t="shared" si="96"/>
        <v>26456.610000000008</v>
      </c>
      <c r="AU72" s="114">
        <f t="shared" si="97"/>
        <v>1</v>
      </c>
      <c r="AV72" s="42">
        <f>131251/248*G72</f>
        <v>0</v>
      </c>
      <c r="AW72" s="43">
        <f t="shared" si="98"/>
        <v>26456.610000000008</v>
      </c>
      <c r="AX72" s="114">
        <f t="shared" si="99"/>
        <v>1</v>
      </c>
      <c r="AY72" s="42">
        <f t="shared" si="83"/>
        <v>0</v>
      </c>
      <c r="AZ72" s="43">
        <f t="shared" si="100"/>
        <v>26456.610000000008</v>
      </c>
      <c r="BA72" s="114">
        <f t="shared" si="101"/>
        <v>1</v>
      </c>
      <c r="BC72" s="10" t="e">
        <f t="shared" si="102"/>
        <v>#DIV/0!</v>
      </c>
      <c r="BD72" s="10" t="e">
        <f t="shared" si="103"/>
        <v>#DIV/0!</v>
      </c>
      <c r="BE72" s="10" t="e">
        <f t="shared" si="104"/>
        <v>#DIV/0!</v>
      </c>
      <c r="BF72" s="10" t="e">
        <f t="shared" si="105"/>
        <v>#DIV/0!</v>
      </c>
      <c r="BG72" s="10" t="e">
        <f t="shared" si="106"/>
        <v>#DIV/0!</v>
      </c>
      <c r="BH72" s="10" t="e">
        <f t="shared" si="107"/>
        <v>#DIV/0!</v>
      </c>
      <c r="BI72" s="10" t="e">
        <f t="shared" si="108"/>
        <v>#DIV/0!</v>
      </c>
      <c r="BJ72" s="10" t="e">
        <f t="shared" si="109"/>
        <v>#DIV/0!</v>
      </c>
      <c r="BK72" s="10" t="e">
        <f t="shared" si="110"/>
        <v>#DIV/0!</v>
      </c>
      <c r="BL72" s="10" t="e">
        <f t="shared" si="111"/>
        <v>#DIV/0!</v>
      </c>
      <c r="BM72" s="10" t="e">
        <f t="shared" si="112"/>
        <v>#DIV/0!</v>
      </c>
      <c r="BN72" s="10" t="e">
        <f t="shared" si="113"/>
        <v>#DIV/0!</v>
      </c>
      <c r="BO72" s="10" t="e">
        <f t="shared" si="114"/>
        <v>#DIV/0!</v>
      </c>
      <c r="BP72" s="10" t="e">
        <f t="shared" si="115"/>
        <v>#DIV/0!</v>
      </c>
      <c r="BQ72" s="10" t="e">
        <f t="shared" si="116"/>
        <v>#DIV/0!</v>
      </c>
      <c r="BR72" s="10" t="e">
        <f t="shared" si="117"/>
        <v>#DIV/0!</v>
      </c>
      <c r="BS72" s="10" t="e">
        <f t="shared" si="118"/>
        <v>#DIV/0!</v>
      </c>
    </row>
    <row r="73" spans="2:71" hidden="1">
      <c r="B73" s="29" t="s">
        <v>8</v>
      </c>
      <c r="C73" s="29" t="s">
        <v>463</v>
      </c>
      <c r="D73" s="25" t="s">
        <v>464</v>
      </c>
      <c r="E73" s="98">
        <v>46020</v>
      </c>
      <c r="F73" s="98">
        <v>46123</v>
      </c>
      <c r="G73" s="99">
        <v>27</v>
      </c>
      <c r="H73" s="27" t="s">
        <v>465</v>
      </c>
      <c r="I73" s="27" t="s">
        <v>466</v>
      </c>
      <c r="J73" s="7"/>
      <c r="K73" s="7" t="s">
        <v>161</v>
      </c>
      <c r="L73" s="7" t="s">
        <v>147</v>
      </c>
      <c r="M73" s="21" t="s">
        <v>53</v>
      </c>
      <c r="N73" s="7" t="s">
        <v>148</v>
      </c>
      <c r="O73" s="20">
        <v>2500</v>
      </c>
      <c r="P73" s="59">
        <v>67500</v>
      </c>
      <c r="Q73" s="20">
        <v>2312.2896296296294</v>
      </c>
      <c r="R73" s="30">
        <v>5068.18</v>
      </c>
      <c r="S73" s="32">
        <v>62431.82</v>
      </c>
      <c r="T73" s="63">
        <v>1</v>
      </c>
      <c r="U73" s="57" t="s">
        <v>543</v>
      </c>
      <c r="V73" s="141" t="s">
        <v>544</v>
      </c>
      <c r="W73" s="60" t="s">
        <v>545</v>
      </c>
      <c r="X73" s="4"/>
      <c r="Y73" s="4" t="s">
        <v>866</v>
      </c>
      <c r="Z73" s="7">
        <v>10007050</v>
      </c>
      <c r="AA73" s="7"/>
      <c r="AB73" s="7"/>
      <c r="AC73" s="20">
        <f t="shared" ref="AC73:AC89" si="121">AJ73-111688.22/2006.56+0.74</f>
        <v>1733.1883044112719</v>
      </c>
      <c r="AD73" s="44">
        <f>IFERROR(INDEX('Costos Producción Febrero'!$G$34:$G$57,MATCH(Resumen!Z73,'Costos Producción Febrero'!$B$34:$B$57,0))*AC73*G73,0)</f>
        <v>39137.599966242997</v>
      </c>
      <c r="AE73" s="44">
        <f>IFERROR(INDEX('Costos Producción Febrero'!$H$34:$H$57,MATCH(Resumen!Z73,'Costos Producción Febrero'!$B$34:$B$57,0))*AC73*G73,0)</f>
        <v>7182.8218294864691</v>
      </c>
      <c r="AF73" s="44">
        <f>IFERROR(INDEX('Costos Producción Febrero'!$I$34:$I$57,MATCH(Resumen!Z73,'Costos Producción Febrero'!$B$34:$B$57,0))*AC73*G73,0)</f>
        <v>682.36807380121456</v>
      </c>
      <c r="AG73" s="44">
        <f>IFERROR(INDEX('Costos Producción Febrero'!$J$34:$J$57,MATCH(Resumen!Z73,'Costos Producción Febrero'!$B$34:$B$57,0))*AC73*G73,0)</f>
        <v>-206.70565042633282</v>
      </c>
      <c r="AH73" s="44">
        <f t="shared" si="90"/>
        <v>46796.084219104348</v>
      </c>
      <c r="AI73" s="44"/>
      <c r="AJ73" s="43">
        <v>1788.1098445595856</v>
      </c>
      <c r="AK73" s="44"/>
      <c r="AL73" s="43">
        <f t="shared" si="91"/>
        <v>20703.915780895652</v>
      </c>
      <c r="AM73" s="92">
        <f t="shared" si="92"/>
        <v>0.30672467823549115</v>
      </c>
      <c r="AN73" s="42">
        <f t="shared" si="93"/>
        <v>5068.18</v>
      </c>
      <c r="AO73" s="42">
        <f t="shared" si="94"/>
        <v>534.12466939844239</v>
      </c>
      <c r="AP73" s="42">
        <f t="shared" ref="AP73:AP110" si="122">108.781532783979*G73</f>
        <v>2937.1013851674329</v>
      </c>
      <c r="AQ73" s="42">
        <f t="shared" si="119"/>
        <v>8539.4060545658758</v>
      </c>
      <c r="AR73" s="42">
        <f t="shared" ref="AR73:AR110" si="123">65076/2110.11*G73</f>
        <v>832.68265635440798</v>
      </c>
      <c r="AS73" s="42">
        <f t="shared" ref="AS73:AS109" si="124">S73*0.03</f>
        <v>1872.9546</v>
      </c>
      <c r="AT73" s="43">
        <f t="shared" si="96"/>
        <v>13204.781669975368</v>
      </c>
      <c r="AU73" s="92">
        <f t="shared" si="97"/>
        <v>0.1956263951107462</v>
      </c>
      <c r="AV73" s="42">
        <f t="shared" ref="AV73:AV110" si="125">221685/2110.11*G73</f>
        <v>2836.5796095938122</v>
      </c>
      <c r="AW73" s="43">
        <f t="shared" si="98"/>
        <v>10368.202060381554</v>
      </c>
      <c r="AX73" s="92">
        <f t="shared" si="99"/>
        <v>0.15360299348713413</v>
      </c>
      <c r="AY73" s="42">
        <f t="shared" ref="AY73:AY110" si="126">123844.283333333/2110.11*G73</f>
        <v>1584.6546625531328</v>
      </c>
      <c r="AZ73" s="43">
        <f t="shared" si="100"/>
        <v>14789.436332528501</v>
      </c>
      <c r="BA73" s="92">
        <f t="shared" si="101"/>
        <v>0.21910276048190372</v>
      </c>
      <c r="BC73" s="10">
        <f t="shared" si="102"/>
        <v>2500</v>
      </c>
      <c r="BD73" s="10">
        <f t="shared" si="103"/>
        <v>-1449.5407394904814</v>
      </c>
      <c r="BE73" s="10">
        <f t="shared" si="104"/>
        <v>-266.03043812912847</v>
      </c>
      <c r="BF73" s="10">
        <f t="shared" si="105"/>
        <v>-25.272891622267206</v>
      </c>
      <c r="BG73" s="10">
        <f t="shared" si="106"/>
        <v>7.6557648306049195</v>
      </c>
      <c r="BH73" s="10">
        <f t="shared" si="107"/>
        <v>-1733.1883044112722</v>
      </c>
      <c r="BI73" s="10">
        <f t="shared" si="108"/>
        <v>766.81169558872784</v>
      </c>
      <c r="BJ73" s="10">
        <f t="shared" si="109"/>
        <v>-187.71037037037038</v>
      </c>
      <c r="BK73" s="10">
        <f t="shared" si="110"/>
        <v>-108.781532783979</v>
      </c>
      <c r="BL73" s="10">
        <f t="shared" si="111"/>
        <v>-316.27429831725465</v>
      </c>
      <c r="BM73" s="10">
        <f t="shared" si="112"/>
        <v>-30.840098383496592</v>
      </c>
      <c r="BN73" s="10">
        <f t="shared" si="113"/>
        <v>69.368688888888883</v>
      </c>
      <c r="BO73" s="10">
        <f t="shared" si="114"/>
        <v>489.06598777686548</v>
      </c>
      <c r="BP73" s="10">
        <f t="shared" si="115"/>
        <v>-105.05850405903008</v>
      </c>
      <c r="BQ73" s="10">
        <f t="shared" si="116"/>
        <v>384.00748371783533</v>
      </c>
      <c r="BR73" s="10">
        <f t="shared" si="117"/>
        <v>58.690913427893804</v>
      </c>
      <c r="BS73" s="10">
        <f t="shared" si="118"/>
        <v>547.75690120475929</v>
      </c>
    </row>
    <row r="74" spans="2:71" hidden="1">
      <c r="B74" s="29" t="s">
        <v>8</v>
      </c>
      <c r="C74" s="29" t="s">
        <v>463</v>
      </c>
      <c r="D74" s="25" t="s">
        <v>467</v>
      </c>
      <c r="E74" s="98">
        <v>325</v>
      </c>
      <c r="F74" s="98">
        <v>46123</v>
      </c>
      <c r="G74" s="99">
        <v>26</v>
      </c>
      <c r="H74" s="27" t="s">
        <v>36</v>
      </c>
      <c r="I74" s="27" t="s">
        <v>107</v>
      </c>
      <c r="J74" s="7" t="s">
        <v>468</v>
      </c>
      <c r="K74" s="7" t="s">
        <v>161</v>
      </c>
      <c r="L74" s="7" t="s">
        <v>147</v>
      </c>
      <c r="M74" s="21" t="s">
        <v>48</v>
      </c>
      <c r="N74" s="7" t="s">
        <v>167</v>
      </c>
      <c r="O74" s="20">
        <v>2950</v>
      </c>
      <c r="P74" s="59">
        <v>76700</v>
      </c>
      <c r="Q74" s="20">
        <v>2755.07</v>
      </c>
      <c r="R74" s="30">
        <v>5068.18</v>
      </c>
      <c r="S74" s="32">
        <v>71631.820000000007</v>
      </c>
      <c r="T74" s="63">
        <v>1</v>
      </c>
      <c r="U74" s="57" t="s">
        <v>543</v>
      </c>
      <c r="V74" s="141" t="s">
        <v>546</v>
      </c>
      <c r="W74" s="60" t="s">
        <v>545</v>
      </c>
      <c r="X74" s="4"/>
      <c r="Y74" s="4" t="s">
        <v>867</v>
      </c>
      <c r="Z74" s="7">
        <v>10007567</v>
      </c>
      <c r="AA74" s="7"/>
      <c r="AB74" s="7"/>
      <c r="AC74" s="20">
        <f t="shared" si="121"/>
        <v>2049.5842427698358</v>
      </c>
      <c r="AD74" s="44">
        <f>IFERROR(INDEX('Costos Producción Febrero'!$G$34:$G$57,MATCH(Resumen!Z74,'Costos Producción Febrero'!$B$34:$B$57,0))*AC74*G74,0)</f>
        <v>32910.476182960687</v>
      </c>
      <c r="AE74" s="44">
        <f>IFERROR(INDEX('Costos Producción Febrero'!$H$34:$H$57,MATCH(Resumen!Z74,'Costos Producción Febrero'!$B$34:$B$57,0))*AC74*G74,0)</f>
        <v>8869.513390810087</v>
      </c>
      <c r="AF74" s="44">
        <f>IFERROR(INDEX('Costos Producción Febrero'!$I$34:$I$57,MATCH(Resumen!Z74,'Costos Producción Febrero'!$B$34:$B$57,0))*AC74*G74,0)</f>
        <v>575.17031497692847</v>
      </c>
      <c r="AG74" s="44">
        <f>IFERROR(INDEX('Costos Producción Febrero'!$J$34:$J$57,MATCH(Resumen!Z74,'Costos Producción Febrero'!$B$34:$B$57,0))*AC74*G74,0)</f>
        <v>10934.030423268028</v>
      </c>
      <c r="AH74" s="44">
        <f t="shared" si="90"/>
        <v>53289.190312015729</v>
      </c>
      <c r="AI74" s="44"/>
      <c r="AJ74" s="43">
        <v>2104.5057829181496</v>
      </c>
      <c r="AK74" s="44"/>
      <c r="AL74" s="43">
        <f t="shared" si="91"/>
        <v>23410.809687984271</v>
      </c>
      <c r="AM74" s="92">
        <f t="shared" si="92"/>
        <v>0.30522568041700482</v>
      </c>
      <c r="AN74" s="42">
        <f t="shared" si="93"/>
        <v>5068.18</v>
      </c>
      <c r="AO74" s="42">
        <f t="shared" si="94"/>
        <v>514.34227423553716</v>
      </c>
      <c r="AP74" s="42">
        <f t="shared" si="122"/>
        <v>2828.319852383454</v>
      </c>
      <c r="AQ74" s="42">
        <f t="shared" si="119"/>
        <v>8410.8421266189907</v>
      </c>
      <c r="AR74" s="42">
        <f t="shared" si="123"/>
        <v>801.84255797091134</v>
      </c>
      <c r="AS74" s="42">
        <f t="shared" si="124"/>
        <v>2148.9546</v>
      </c>
      <c r="AT74" s="43">
        <f t="shared" ref="AT74:AT110" si="127">AL74-AQ74-AR74+AS74</f>
        <v>16347.07960339437</v>
      </c>
      <c r="AU74" s="92">
        <f t="shared" si="97"/>
        <v>0.21313011216941813</v>
      </c>
      <c r="AV74" s="42">
        <f t="shared" si="125"/>
        <v>2731.5211055347822</v>
      </c>
      <c r="AW74" s="43">
        <f t="shared" ref="AW74:AW137" si="128">AT74-AV74</f>
        <v>13615.558497859587</v>
      </c>
      <c r="AX74" s="92">
        <f t="shared" si="99"/>
        <v>0.17751705994601807</v>
      </c>
      <c r="AY74" s="42">
        <f t="shared" si="126"/>
        <v>1525.9637491252388</v>
      </c>
      <c r="AZ74" s="43">
        <f t="shared" ref="AZ74:AZ137" si="129">AT74+AY74</f>
        <v>17873.043352519609</v>
      </c>
      <c r="BA74" s="92">
        <f t="shared" si="101"/>
        <v>0.2330253370602296</v>
      </c>
      <c r="BC74" s="10">
        <f t="shared" si="102"/>
        <v>2950</v>
      </c>
      <c r="BD74" s="10">
        <f t="shared" si="103"/>
        <v>-1265.787545498488</v>
      </c>
      <c r="BE74" s="10">
        <f t="shared" si="104"/>
        <v>-341.13513041577255</v>
      </c>
      <c r="BF74" s="10">
        <f t="shared" si="105"/>
        <v>-22.121935191420327</v>
      </c>
      <c r="BG74" s="10">
        <f t="shared" si="106"/>
        <v>-420.53963166415491</v>
      </c>
      <c r="BH74" s="10">
        <f t="shared" si="107"/>
        <v>-2049.5842427698358</v>
      </c>
      <c r="BI74" s="10">
        <f t="shared" si="108"/>
        <v>900.41575723016422</v>
      </c>
      <c r="BJ74" s="10">
        <f t="shared" si="109"/>
        <v>-194.93</v>
      </c>
      <c r="BK74" s="10">
        <f t="shared" si="110"/>
        <v>-108.781532783979</v>
      </c>
      <c r="BL74" s="10">
        <f t="shared" si="111"/>
        <v>-323.49392794688424</v>
      </c>
      <c r="BM74" s="10">
        <f t="shared" si="112"/>
        <v>-30.840098383496588</v>
      </c>
      <c r="BN74" s="10">
        <f t="shared" si="113"/>
        <v>82.652100000000004</v>
      </c>
      <c r="BO74" s="10">
        <f t="shared" si="114"/>
        <v>628.73383089978347</v>
      </c>
      <c r="BP74" s="10">
        <f t="shared" si="115"/>
        <v>-105.05850405903008</v>
      </c>
      <c r="BQ74" s="10">
        <f t="shared" si="116"/>
        <v>523.67532684075331</v>
      </c>
      <c r="BR74" s="10">
        <f t="shared" si="117"/>
        <v>58.690913427893797</v>
      </c>
      <c r="BS74" s="10">
        <f t="shared" si="118"/>
        <v>687.42474432767733</v>
      </c>
    </row>
    <row r="75" spans="2:71" hidden="1">
      <c r="B75" s="29" t="s">
        <v>8</v>
      </c>
      <c r="C75" s="29" t="s">
        <v>463</v>
      </c>
      <c r="D75" s="25" t="s">
        <v>469</v>
      </c>
      <c r="E75" s="98">
        <v>47</v>
      </c>
      <c r="F75" s="98">
        <v>46120</v>
      </c>
      <c r="G75" s="99">
        <v>125</v>
      </c>
      <c r="H75" s="185" t="s">
        <v>33</v>
      </c>
      <c r="I75" s="27" t="s">
        <v>205</v>
      </c>
      <c r="J75" s="7" t="s">
        <v>470</v>
      </c>
      <c r="K75" s="7" t="s">
        <v>108</v>
      </c>
      <c r="L75" s="7" t="s">
        <v>147</v>
      </c>
      <c r="M75" s="21" t="s">
        <v>44</v>
      </c>
      <c r="N75" s="7" t="s">
        <v>214</v>
      </c>
      <c r="O75" s="20">
        <v>1400</v>
      </c>
      <c r="P75" s="59">
        <v>175000</v>
      </c>
      <c r="Q75" s="20">
        <v>1143.1600000000001</v>
      </c>
      <c r="R75" s="30">
        <v>32105</v>
      </c>
      <c r="S75" s="32">
        <v>142895</v>
      </c>
      <c r="T75" s="63">
        <v>5</v>
      </c>
      <c r="U75" s="57" t="s">
        <v>547</v>
      </c>
      <c r="V75" s="141" t="s">
        <v>548</v>
      </c>
      <c r="W75" s="60" t="s">
        <v>138</v>
      </c>
      <c r="X75" s="4"/>
      <c r="Y75" s="4" t="s">
        <v>867</v>
      </c>
      <c r="Z75" s="7">
        <v>10005721</v>
      </c>
      <c r="AA75" s="7"/>
      <c r="AB75" s="7"/>
      <c r="AC75" s="20">
        <f t="shared" si="121"/>
        <v>2081.7652269777964</v>
      </c>
      <c r="AD75" s="44">
        <f>IFERROR(INDEX('Costos Producción Febrero'!$G$34:$G$57,MATCH(Resumen!Z75,'Costos Producción Febrero'!$B$34:$B$57,0))*AC75*G75,0)</f>
        <v>158034.8426193773</v>
      </c>
      <c r="AE75" s="44">
        <f>IFERROR(INDEX('Costos Producción Febrero'!$H$34:$H$57,MATCH(Resumen!Z75,'Costos Producción Febrero'!$B$34:$B$57,0))*AC75*G75,0)</f>
        <v>46307.489872739854</v>
      </c>
      <c r="AF75" s="44">
        <f>IFERROR(INDEX('Costos Producción Febrero'!$I$34:$I$57,MATCH(Resumen!Z75,'Costos Producción Febrero'!$B$34:$B$57,0))*AC75*G75,0)</f>
        <v>2836.9010627274615</v>
      </c>
      <c r="AG75" s="44">
        <f>IFERROR(INDEX('Costos Producción Febrero'!$J$34:$J$57,MATCH(Resumen!Z75,'Costos Producción Febrero'!$B$34:$B$57,0))*AC75*G75,0)</f>
        <v>53041.419817379916</v>
      </c>
      <c r="AH75" s="44">
        <f t="shared" si="90"/>
        <v>260220.65337222454</v>
      </c>
      <c r="AI75" s="44"/>
      <c r="AJ75" s="43">
        <v>2136.6867671261102</v>
      </c>
      <c r="AK75" s="44"/>
      <c r="AL75" s="43">
        <f t="shared" si="91"/>
        <v>-85220.653372224537</v>
      </c>
      <c r="AM75" s="92">
        <f t="shared" si="92"/>
        <v>-0.48697516212699737</v>
      </c>
      <c r="AN75" s="42">
        <f t="shared" si="93"/>
        <v>32105</v>
      </c>
      <c r="AO75" s="42">
        <f t="shared" si="94"/>
        <v>2472.7993953631594</v>
      </c>
      <c r="AP75" s="42">
        <f t="shared" si="122"/>
        <v>13597.691597997375</v>
      </c>
      <c r="AQ75" s="42">
        <f t="shared" si="119"/>
        <v>48175.490993360538</v>
      </c>
      <c r="AR75" s="42">
        <f t="shared" si="123"/>
        <v>3855.012297937074</v>
      </c>
      <c r="AS75" s="42">
        <f t="shared" si="124"/>
        <v>4286.8499999999995</v>
      </c>
      <c r="AT75" s="43">
        <f t="shared" si="127"/>
        <v>-132964.30666352212</v>
      </c>
      <c r="AU75" s="92">
        <f t="shared" si="97"/>
        <v>-0.75979603807726925</v>
      </c>
      <c r="AV75" s="42">
        <f t="shared" si="125"/>
        <v>13132.31300737876</v>
      </c>
      <c r="AW75" s="43">
        <f t="shared" si="128"/>
        <v>-146096.61967090087</v>
      </c>
      <c r="AX75" s="92">
        <f t="shared" si="99"/>
        <v>-0.83483782669086204</v>
      </c>
      <c r="AY75" s="42">
        <f t="shared" si="126"/>
        <v>7336.3641784867259</v>
      </c>
      <c r="AZ75" s="43">
        <f t="shared" si="129"/>
        <v>-125627.9424850354</v>
      </c>
      <c r="BA75" s="92">
        <f t="shared" si="101"/>
        <v>-0.71787395705734514</v>
      </c>
      <c r="BC75" s="10">
        <f t="shared" si="102"/>
        <v>1400</v>
      </c>
      <c r="BD75" s="10">
        <f t="shared" si="103"/>
        <v>-1264.2787409550185</v>
      </c>
      <c r="BE75" s="10">
        <f t="shared" si="104"/>
        <v>-370.4599189819188</v>
      </c>
      <c r="BF75" s="10">
        <f t="shared" si="105"/>
        <v>-22.695208501819693</v>
      </c>
      <c r="BG75" s="10">
        <f t="shared" si="106"/>
        <v>-424.33135853903934</v>
      </c>
      <c r="BH75" s="10">
        <f t="shared" si="107"/>
        <v>-2081.7652269777964</v>
      </c>
      <c r="BI75" s="10">
        <f t="shared" si="108"/>
        <v>-681.76522697779626</v>
      </c>
      <c r="BJ75" s="10">
        <f t="shared" si="109"/>
        <v>-256.83999999999997</v>
      </c>
      <c r="BK75" s="10">
        <f t="shared" si="110"/>
        <v>-108.781532783979</v>
      </c>
      <c r="BL75" s="10">
        <f t="shared" si="111"/>
        <v>-385.40392794688432</v>
      </c>
      <c r="BM75" s="10">
        <f t="shared" si="112"/>
        <v>-30.840098383496592</v>
      </c>
      <c r="BN75" s="10">
        <f t="shared" si="113"/>
        <v>34.294799999999995</v>
      </c>
      <c r="BO75" s="10">
        <f t="shared" si="114"/>
        <v>-1063.7144533081769</v>
      </c>
      <c r="BP75" s="10">
        <f t="shared" si="115"/>
        <v>-105.05850405903007</v>
      </c>
      <c r="BQ75" s="10">
        <f t="shared" si="116"/>
        <v>-1168.772957367207</v>
      </c>
      <c r="BR75" s="10">
        <f t="shared" si="117"/>
        <v>58.690913427893804</v>
      </c>
      <c r="BS75" s="10">
        <f t="shared" si="118"/>
        <v>-1005.0235398802831</v>
      </c>
    </row>
    <row r="76" spans="2:71" hidden="1">
      <c r="B76" s="29" t="s">
        <v>8</v>
      </c>
      <c r="C76" s="29" t="s">
        <v>463</v>
      </c>
      <c r="D76" s="25" t="s">
        <v>471</v>
      </c>
      <c r="E76" s="98">
        <v>48</v>
      </c>
      <c r="F76" s="98">
        <v>46120</v>
      </c>
      <c r="G76" s="99">
        <v>120</v>
      </c>
      <c r="H76" s="185" t="s">
        <v>33</v>
      </c>
      <c r="I76" s="27" t="s">
        <v>205</v>
      </c>
      <c r="J76" s="7" t="s">
        <v>206</v>
      </c>
      <c r="K76" s="7" t="s">
        <v>141</v>
      </c>
      <c r="L76" s="7" t="s">
        <v>142</v>
      </c>
      <c r="M76" s="21" t="s">
        <v>43</v>
      </c>
      <c r="N76" s="7" t="s">
        <v>129</v>
      </c>
      <c r="O76" s="20">
        <v>1500</v>
      </c>
      <c r="P76" s="59">
        <v>180000</v>
      </c>
      <c r="Q76" s="20">
        <v>1371.2083333333333</v>
      </c>
      <c r="R76" s="30">
        <v>15455</v>
      </c>
      <c r="S76" s="32">
        <v>164545</v>
      </c>
      <c r="T76" s="63">
        <v>5</v>
      </c>
      <c r="U76" s="57" t="s">
        <v>547</v>
      </c>
      <c r="V76" s="141" t="s">
        <v>549</v>
      </c>
      <c r="W76" s="60" t="s">
        <v>138</v>
      </c>
      <c r="X76" s="4"/>
      <c r="Y76" s="4" t="s">
        <v>867</v>
      </c>
      <c r="Z76" s="7">
        <v>10005721</v>
      </c>
      <c r="AA76" s="7"/>
      <c r="AB76" s="7"/>
      <c r="AC76" s="20">
        <f t="shared" si="121"/>
        <v>2081.7652269777964</v>
      </c>
      <c r="AD76" s="44">
        <f>IFERROR(INDEX('Costos Producción Febrero'!$G$34:$G$57,MATCH(Resumen!Z76,'Costos Producción Febrero'!$B$34:$B$57,0))*AC76*G76,0)</f>
        <v>151713.44891460222</v>
      </c>
      <c r="AE76" s="44">
        <f>IFERROR(INDEX('Costos Producción Febrero'!$H$34:$H$57,MATCH(Resumen!Z76,'Costos Producción Febrero'!$B$34:$B$57,0))*AC76*G76,0)</f>
        <v>44455.190277830261</v>
      </c>
      <c r="AF76" s="44">
        <f>IFERROR(INDEX('Costos Producción Febrero'!$I$34:$I$57,MATCH(Resumen!Z76,'Costos Producción Febrero'!$B$34:$B$57,0))*AC76*G76,0)</f>
        <v>2723.425020218363</v>
      </c>
      <c r="AG76" s="44">
        <f>IFERROR(INDEX('Costos Producción Febrero'!$J$34:$J$57,MATCH(Resumen!Z76,'Costos Producción Febrero'!$B$34:$B$57,0))*AC76*G76,0)</f>
        <v>50919.763024684718</v>
      </c>
      <c r="AH76" s="44">
        <f t="shared" si="90"/>
        <v>249811.82723733556</v>
      </c>
      <c r="AI76" s="44"/>
      <c r="AJ76" s="43">
        <v>2136.6867671261102</v>
      </c>
      <c r="AK76" s="44"/>
      <c r="AL76" s="43">
        <f t="shared" si="91"/>
        <v>-69811.827237335558</v>
      </c>
      <c r="AM76" s="92">
        <f t="shared" si="92"/>
        <v>-0.38784348465186419</v>
      </c>
      <c r="AN76" s="42">
        <f t="shared" si="93"/>
        <v>15455</v>
      </c>
      <c r="AO76" s="42">
        <f t="shared" si="94"/>
        <v>2373.8874195486328</v>
      </c>
      <c r="AP76" s="42">
        <f t="shared" si="122"/>
        <v>13053.783934077481</v>
      </c>
      <c r="AQ76" s="42">
        <f t="shared" si="119"/>
        <v>30882.671353626112</v>
      </c>
      <c r="AR76" s="42">
        <f t="shared" si="123"/>
        <v>3700.8118060195911</v>
      </c>
      <c r="AS76" s="42">
        <f t="shared" si="124"/>
        <v>4936.3499999999995</v>
      </c>
      <c r="AT76" s="43">
        <f t="shared" si="127"/>
        <v>-99458.960396981245</v>
      </c>
      <c r="AU76" s="92">
        <f t="shared" si="97"/>
        <v>-0.55254977998322918</v>
      </c>
      <c r="AV76" s="42">
        <f t="shared" si="125"/>
        <v>12607.02048708361</v>
      </c>
      <c r="AW76" s="43">
        <f t="shared" si="128"/>
        <v>-112065.98088406486</v>
      </c>
      <c r="AX76" s="92">
        <f t="shared" si="99"/>
        <v>-0.62258878268924922</v>
      </c>
      <c r="AY76" s="42">
        <f t="shared" si="126"/>
        <v>7042.9096113472569</v>
      </c>
      <c r="AZ76" s="43">
        <f t="shared" si="129"/>
        <v>-92416.050785633983</v>
      </c>
      <c r="BA76" s="92">
        <f t="shared" si="101"/>
        <v>-0.51342250436463321</v>
      </c>
      <c r="BC76" s="10">
        <f t="shared" si="102"/>
        <v>1500</v>
      </c>
      <c r="BD76" s="10">
        <f t="shared" si="103"/>
        <v>-1264.2787409550185</v>
      </c>
      <c r="BE76" s="10">
        <f t="shared" si="104"/>
        <v>-370.45991898191886</v>
      </c>
      <c r="BF76" s="10">
        <f t="shared" si="105"/>
        <v>-22.695208501819693</v>
      </c>
      <c r="BG76" s="10">
        <f t="shared" si="106"/>
        <v>-424.33135853903934</v>
      </c>
      <c r="BH76" s="10">
        <f t="shared" si="107"/>
        <v>-2081.7652269777964</v>
      </c>
      <c r="BI76" s="10">
        <f t="shared" si="108"/>
        <v>-581.76522697779626</v>
      </c>
      <c r="BJ76" s="10">
        <f t="shared" si="109"/>
        <v>-128.79166666666666</v>
      </c>
      <c r="BK76" s="10">
        <f t="shared" si="110"/>
        <v>-108.781532783979</v>
      </c>
      <c r="BL76" s="10">
        <f t="shared" si="111"/>
        <v>-257.35559461355092</v>
      </c>
      <c r="BM76" s="10">
        <f t="shared" si="112"/>
        <v>-30.840098383496592</v>
      </c>
      <c r="BN76" s="10">
        <f t="shared" si="113"/>
        <v>41.136249999999997</v>
      </c>
      <c r="BO76" s="10">
        <f t="shared" si="114"/>
        <v>-828.82466997484369</v>
      </c>
      <c r="BP76" s="10">
        <f t="shared" si="115"/>
        <v>-105.05850405903008</v>
      </c>
      <c r="BQ76" s="10">
        <f t="shared" si="116"/>
        <v>-933.88317403387384</v>
      </c>
      <c r="BR76" s="10">
        <f t="shared" si="117"/>
        <v>58.690913427893811</v>
      </c>
      <c r="BS76" s="10">
        <f t="shared" si="118"/>
        <v>-770.13375654694983</v>
      </c>
    </row>
    <row r="77" spans="2:71" hidden="1">
      <c r="B77" s="29" t="s">
        <v>8</v>
      </c>
      <c r="C77" s="29" t="s">
        <v>463</v>
      </c>
      <c r="D77" s="25" t="s">
        <v>472</v>
      </c>
      <c r="E77" s="98">
        <v>50</v>
      </c>
      <c r="F77" s="98">
        <v>46132</v>
      </c>
      <c r="G77" s="99">
        <v>68.819999999999993</v>
      </c>
      <c r="H77" s="185" t="s">
        <v>32</v>
      </c>
      <c r="I77" s="27" t="s">
        <v>155</v>
      </c>
      <c r="J77" s="7" t="s">
        <v>228</v>
      </c>
      <c r="K77" s="7" t="s">
        <v>864</v>
      </c>
      <c r="L77" s="7" t="s">
        <v>229</v>
      </c>
      <c r="M77" s="21" t="s">
        <v>43</v>
      </c>
      <c r="N77" s="7" t="s">
        <v>129</v>
      </c>
      <c r="O77" s="20">
        <v>1600</v>
      </c>
      <c r="P77" s="59">
        <v>110111.99999999999</v>
      </c>
      <c r="Q77" s="20">
        <v>1482.258064516129</v>
      </c>
      <c r="R77" s="30">
        <v>8103</v>
      </c>
      <c r="S77" s="32">
        <v>102008.99999999999</v>
      </c>
      <c r="T77" s="63">
        <v>3</v>
      </c>
      <c r="U77" s="57" t="s">
        <v>550</v>
      </c>
      <c r="V77" s="141" t="s">
        <v>551</v>
      </c>
      <c r="W77" s="60" t="s">
        <v>226</v>
      </c>
      <c r="X77" s="4"/>
      <c r="Y77" s="4" t="s">
        <v>867</v>
      </c>
      <c r="Z77" s="7">
        <v>10006720</v>
      </c>
      <c r="AA77" s="7"/>
      <c r="AB77" s="7"/>
      <c r="AC77" s="20">
        <f t="shared" si="121"/>
        <v>1981.722676654683</v>
      </c>
      <c r="AD77" s="44">
        <f>IFERROR(INDEX('Costos Producción Febrero'!$G$34:$G$57,MATCH(Resumen!Z77,'Costos Producción Febrero'!$B$34:$B$57,0))*AC77*G77,0)</f>
        <v>87515.478741615225</v>
      </c>
      <c r="AE77" s="44">
        <f>IFERROR(INDEX('Costos Producción Febrero'!$H$34:$H$57,MATCH(Resumen!Z77,'Costos Producción Febrero'!$B$34:$B$57,0))*AC77*G77,0)</f>
        <v>18407.769935914908</v>
      </c>
      <c r="AF77" s="44">
        <f>IFERROR(INDEX('Costos Producción Febrero'!$I$34:$I$57,MATCH(Resumen!Z77,'Costos Producción Febrero'!$B$34:$B$57,0))*AC77*G77,0)</f>
        <v>1274.3345290048619</v>
      </c>
      <c r="AG77" s="44">
        <f>IFERROR(INDEX('Costos Producción Febrero'!$J$34:$J$57,MATCH(Resumen!Z77,'Costos Producción Febrero'!$B$34:$B$57,0))*AC77*G77,0)</f>
        <v>29184.571400840287</v>
      </c>
      <c r="AH77" s="44">
        <f t="shared" si="90"/>
        <v>136382.15460737527</v>
      </c>
      <c r="AI77" s="44"/>
      <c r="AJ77" s="43">
        <v>2036.6442168029967</v>
      </c>
      <c r="AK77" s="44"/>
      <c r="AL77" s="43">
        <f t="shared" si="91"/>
        <v>-26270.154607375283</v>
      </c>
      <c r="AM77" s="92">
        <f t="shared" si="92"/>
        <v>-0.23857667290917689</v>
      </c>
      <c r="AN77" s="42">
        <f t="shared" si="93"/>
        <v>8103</v>
      </c>
      <c r="AO77" s="42">
        <f t="shared" si="94"/>
        <v>1361.4244351111408</v>
      </c>
      <c r="AP77" s="42">
        <f t="shared" si="122"/>
        <v>7486.3450861934343</v>
      </c>
      <c r="AQ77" s="42">
        <f t="shared" si="119"/>
        <v>16950.769521304574</v>
      </c>
      <c r="AR77" s="42">
        <f t="shared" si="123"/>
        <v>2122.4155707522355</v>
      </c>
      <c r="AS77" s="42">
        <f t="shared" si="124"/>
        <v>3060.2699999999995</v>
      </c>
      <c r="AT77" s="43">
        <f t="shared" si="127"/>
        <v>-42283.069699432097</v>
      </c>
      <c r="AU77" s="92">
        <f t="shared" si="97"/>
        <v>-0.3840005603334069</v>
      </c>
      <c r="AV77" s="42">
        <f t="shared" si="125"/>
        <v>7230.1262493424501</v>
      </c>
      <c r="AW77" s="43">
        <f t="shared" si="128"/>
        <v>-49513.195948774548</v>
      </c>
      <c r="AX77" s="92">
        <f t="shared" si="99"/>
        <v>-0.44966212537030076</v>
      </c>
      <c r="AY77" s="42">
        <f t="shared" si="126"/>
        <v>4039.1086621076511</v>
      </c>
      <c r="AZ77" s="43">
        <f t="shared" si="129"/>
        <v>-38243.961037324443</v>
      </c>
      <c r="BA77" s="92">
        <f t="shared" si="101"/>
        <v>-0.34731873944097325</v>
      </c>
      <c r="BC77" s="10">
        <f t="shared" si="102"/>
        <v>1600</v>
      </c>
      <c r="BD77" s="10">
        <f t="shared" si="103"/>
        <v>-1271.6576393724968</v>
      </c>
      <c r="BE77" s="10">
        <f t="shared" si="104"/>
        <v>-267.47704062648808</v>
      </c>
      <c r="BF77" s="10">
        <f t="shared" si="105"/>
        <v>-18.516921374671057</v>
      </c>
      <c r="BG77" s="10">
        <f t="shared" si="106"/>
        <v>-424.07107528102716</v>
      </c>
      <c r="BH77" s="10">
        <f t="shared" si="107"/>
        <v>-1981.722676654683</v>
      </c>
      <c r="BI77" s="10">
        <f t="shared" si="108"/>
        <v>-381.72267665468303</v>
      </c>
      <c r="BJ77" s="10">
        <f t="shared" si="109"/>
        <v>-117.74193548387098</v>
      </c>
      <c r="BK77" s="10">
        <f t="shared" si="110"/>
        <v>-108.781532783979</v>
      </c>
      <c r="BL77" s="10">
        <f t="shared" si="111"/>
        <v>-246.30586343075524</v>
      </c>
      <c r="BM77" s="10">
        <f t="shared" si="112"/>
        <v>-30.840098383496596</v>
      </c>
      <c r="BN77" s="10">
        <f t="shared" si="113"/>
        <v>44.467741935483872</v>
      </c>
      <c r="BO77" s="10">
        <f t="shared" si="114"/>
        <v>-614.40089653345103</v>
      </c>
      <c r="BP77" s="10">
        <f t="shared" si="115"/>
        <v>-105.05850405903008</v>
      </c>
      <c r="BQ77" s="10">
        <f t="shared" si="116"/>
        <v>-719.45940059248119</v>
      </c>
      <c r="BR77" s="10">
        <f t="shared" si="117"/>
        <v>58.690913427893804</v>
      </c>
      <c r="BS77" s="10">
        <f t="shared" si="118"/>
        <v>-555.70998310555717</v>
      </c>
    </row>
    <row r="78" spans="2:71" hidden="1">
      <c r="B78" s="29" t="s">
        <v>8</v>
      </c>
      <c r="C78" s="29" t="s">
        <v>463</v>
      </c>
      <c r="D78" s="25" t="s">
        <v>473</v>
      </c>
      <c r="E78" s="98">
        <v>50</v>
      </c>
      <c r="F78" s="98">
        <v>46125</v>
      </c>
      <c r="G78" s="99">
        <v>26</v>
      </c>
      <c r="H78" s="185" t="s">
        <v>33</v>
      </c>
      <c r="I78" s="27" t="s">
        <v>132</v>
      </c>
      <c r="J78" s="7" t="s">
        <v>474</v>
      </c>
      <c r="K78" s="7" t="s">
        <v>108</v>
      </c>
      <c r="L78" s="7" t="s">
        <v>109</v>
      </c>
      <c r="M78" s="21" t="s">
        <v>56</v>
      </c>
      <c r="N78" s="7" t="s">
        <v>110</v>
      </c>
      <c r="O78" s="20">
        <v>1400</v>
      </c>
      <c r="P78" s="59">
        <v>36400</v>
      </c>
      <c r="Q78" s="20">
        <v>1213.4615384615386</v>
      </c>
      <c r="R78" s="30">
        <v>4850</v>
      </c>
      <c r="S78" s="32">
        <v>31550</v>
      </c>
      <c r="T78" s="63">
        <v>1</v>
      </c>
      <c r="U78" s="57" t="s">
        <v>168</v>
      </c>
      <c r="V78" s="141">
        <v>93351271</v>
      </c>
      <c r="W78" s="60" t="s">
        <v>112</v>
      </c>
      <c r="X78" s="4"/>
      <c r="Y78" s="4" t="s">
        <v>867</v>
      </c>
      <c r="Z78" s="7">
        <v>10005721</v>
      </c>
      <c r="AA78" s="7"/>
      <c r="AB78" s="7"/>
      <c r="AC78" s="20">
        <f t="shared" si="121"/>
        <v>2081.7652269777964</v>
      </c>
      <c r="AD78" s="44">
        <f>IFERROR(INDEX('Costos Producción Febrero'!$G$34:$G$57,MATCH(Resumen!Z78,'Costos Producción Febrero'!$B$34:$B$57,0))*AC78*G78,0)</f>
        <v>32871.247264830483</v>
      </c>
      <c r="AE78" s="44">
        <f>IFERROR(INDEX('Costos Producción Febrero'!$H$34:$H$57,MATCH(Resumen!Z78,'Costos Producción Febrero'!$B$34:$B$57,0))*AC78*G78,0)</f>
        <v>9631.9578935298905</v>
      </c>
      <c r="AF78" s="44">
        <f>IFERROR(INDEX('Costos Producción Febrero'!$I$34:$I$57,MATCH(Resumen!Z78,'Costos Producción Febrero'!$B$34:$B$57,0))*AC78*G78,0)</f>
        <v>590.07542104731203</v>
      </c>
      <c r="AG78" s="44">
        <f>IFERROR(INDEX('Costos Producción Febrero'!$J$34:$J$57,MATCH(Resumen!Z78,'Costos Producción Febrero'!$B$34:$B$57,0))*AC78*G78,0)</f>
        <v>11032.615322015023</v>
      </c>
      <c r="AH78" s="44">
        <f t="shared" si="90"/>
        <v>54125.895901422708</v>
      </c>
      <c r="AI78" s="44"/>
      <c r="AJ78" s="43">
        <v>2136.6867671261102</v>
      </c>
      <c r="AK78" s="44"/>
      <c r="AL78" s="43">
        <f t="shared" si="91"/>
        <v>-17725.895901422708</v>
      </c>
      <c r="AM78" s="92">
        <f t="shared" si="92"/>
        <v>-0.48697516212699749</v>
      </c>
      <c r="AN78" s="42">
        <f t="shared" si="93"/>
        <v>4850</v>
      </c>
      <c r="AO78" s="42">
        <f t="shared" si="94"/>
        <v>514.34227423553716</v>
      </c>
      <c r="AP78" s="42">
        <f t="shared" si="122"/>
        <v>2828.319852383454</v>
      </c>
      <c r="AQ78" s="42">
        <f t="shared" si="119"/>
        <v>8192.6621266189904</v>
      </c>
      <c r="AR78" s="42">
        <f t="shared" si="123"/>
        <v>801.84255797091134</v>
      </c>
      <c r="AS78" s="42">
        <f t="shared" si="124"/>
        <v>946.5</v>
      </c>
      <c r="AT78" s="43">
        <f t="shared" si="127"/>
        <v>-25773.900586012609</v>
      </c>
      <c r="AU78" s="92">
        <f t="shared" si="97"/>
        <v>-0.70807419192342336</v>
      </c>
      <c r="AV78" s="42">
        <f t="shared" si="125"/>
        <v>2731.5211055347822</v>
      </c>
      <c r="AW78" s="43">
        <f t="shared" si="128"/>
        <v>-28505.421691547392</v>
      </c>
      <c r="AX78" s="92">
        <f t="shared" si="99"/>
        <v>-0.78311598053701625</v>
      </c>
      <c r="AY78" s="42">
        <f t="shared" si="126"/>
        <v>1525.9637491252388</v>
      </c>
      <c r="AZ78" s="43">
        <f t="shared" si="129"/>
        <v>-24247.936836887369</v>
      </c>
      <c r="BA78" s="92">
        <f t="shared" si="101"/>
        <v>-0.66615211090349913</v>
      </c>
      <c r="BC78" s="10">
        <f t="shared" si="102"/>
        <v>1400</v>
      </c>
      <c r="BD78" s="10">
        <f t="shared" si="103"/>
        <v>-1264.2787409550185</v>
      </c>
      <c r="BE78" s="10">
        <f t="shared" si="104"/>
        <v>-370.45991898191886</v>
      </c>
      <c r="BF78" s="10">
        <f t="shared" si="105"/>
        <v>-22.695208501819693</v>
      </c>
      <c r="BG78" s="10">
        <f t="shared" si="106"/>
        <v>-424.33135853903934</v>
      </c>
      <c r="BH78" s="10">
        <f t="shared" si="107"/>
        <v>-2081.7652269777964</v>
      </c>
      <c r="BI78" s="10">
        <f t="shared" si="108"/>
        <v>-681.76522697779649</v>
      </c>
      <c r="BJ78" s="10">
        <f t="shared" si="109"/>
        <v>-186.53846153846155</v>
      </c>
      <c r="BK78" s="10">
        <f t="shared" si="110"/>
        <v>-108.781532783979</v>
      </c>
      <c r="BL78" s="10">
        <f t="shared" si="111"/>
        <v>-315.10238948534578</v>
      </c>
      <c r="BM78" s="10">
        <f t="shared" si="112"/>
        <v>-30.840098383496588</v>
      </c>
      <c r="BN78" s="10">
        <f t="shared" si="113"/>
        <v>36.403846153846153</v>
      </c>
      <c r="BO78" s="10">
        <f t="shared" si="114"/>
        <v>-991.30386869279266</v>
      </c>
      <c r="BP78" s="10">
        <f t="shared" si="115"/>
        <v>-105.05850405903008</v>
      </c>
      <c r="BQ78" s="10">
        <f t="shared" si="116"/>
        <v>-1096.3623727518227</v>
      </c>
      <c r="BR78" s="10">
        <f t="shared" si="117"/>
        <v>58.690913427893797</v>
      </c>
      <c r="BS78" s="10">
        <f t="shared" si="118"/>
        <v>-932.6129552648988</v>
      </c>
    </row>
    <row r="79" spans="2:71" hidden="1">
      <c r="B79" s="29" t="s">
        <v>8</v>
      </c>
      <c r="C79" s="29" t="s">
        <v>463</v>
      </c>
      <c r="D79" s="25" t="s">
        <v>475</v>
      </c>
      <c r="E79" s="98">
        <v>50</v>
      </c>
      <c r="F79" s="98">
        <v>46132</v>
      </c>
      <c r="G79" s="99">
        <v>26</v>
      </c>
      <c r="H79" s="185" t="s">
        <v>33</v>
      </c>
      <c r="I79" s="27" t="s">
        <v>132</v>
      </c>
      <c r="J79" s="7" t="s">
        <v>474</v>
      </c>
      <c r="K79" s="7" t="s">
        <v>108</v>
      </c>
      <c r="L79" s="7" t="s">
        <v>109</v>
      </c>
      <c r="M79" s="21" t="s">
        <v>56</v>
      </c>
      <c r="N79" s="7" t="s">
        <v>110</v>
      </c>
      <c r="O79" s="20">
        <v>1400</v>
      </c>
      <c r="P79" s="59">
        <v>36400</v>
      </c>
      <c r="Q79" s="20">
        <v>1213.4615384615386</v>
      </c>
      <c r="R79" s="30">
        <v>4850</v>
      </c>
      <c r="S79" s="32">
        <v>31550</v>
      </c>
      <c r="T79" s="63">
        <v>1</v>
      </c>
      <c r="U79" s="57" t="s">
        <v>552</v>
      </c>
      <c r="V79" s="141">
        <v>10367430</v>
      </c>
      <c r="W79" s="60" t="s">
        <v>112</v>
      </c>
      <c r="X79" s="4"/>
      <c r="Y79" s="4" t="s">
        <v>867</v>
      </c>
      <c r="Z79" s="7">
        <v>10005721</v>
      </c>
      <c r="AA79" s="7"/>
      <c r="AB79" s="7"/>
      <c r="AC79" s="20">
        <f t="shared" si="121"/>
        <v>2081.7652269777964</v>
      </c>
      <c r="AD79" s="44">
        <f>IFERROR(INDEX('Costos Producción Febrero'!$G$34:$G$57,MATCH(Resumen!Z79,'Costos Producción Febrero'!$B$34:$B$57,0))*AC79*G79,0)</f>
        <v>32871.247264830483</v>
      </c>
      <c r="AE79" s="44">
        <f>IFERROR(INDEX('Costos Producción Febrero'!$H$34:$H$57,MATCH(Resumen!Z79,'Costos Producción Febrero'!$B$34:$B$57,0))*AC79*G79,0)</f>
        <v>9631.9578935298905</v>
      </c>
      <c r="AF79" s="44">
        <f>IFERROR(INDEX('Costos Producción Febrero'!$I$34:$I$57,MATCH(Resumen!Z79,'Costos Producción Febrero'!$B$34:$B$57,0))*AC79*G79,0)</f>
        <v>590.07542104731203</v>
      </c>
      <c r="AG79" s="44">
        <f>IFERROR(INDEX('Costos Producción Febrero'!$J$34:$J$57,MATCH(Resumen!Z79,'Costos Producción Febrero'!$B$34:$B$57,0))*AC79*G79,0)</f>
        <v>11032.615322015023</v>
      </c>
      <c r="AH79" s="44">
        <f t="shared" si="90"/>
        <v>54125.895901422708</v>
      </c>
      <c r="AI79" s="44"/>
      <c r="AJ79" s="43">
        <v>2136.6867671261102</v>
      </c>
      <c r="AK79" s="44"/>
      <c r="AL79" s="43">
        <f t="shared" si="91"/>
        <v>-17725.895901422708</v>
      </c>
      <c r="AM79" s="92">
        <f t="shared" si="92"/>
        <v>-0.48697516212699749</v>
      </c>
      <c r="AN79" s="42">
        <f t="shared" si="93"/>
        <v>4850</v>
      </c>
      <c r="AO79" s="42">
        <f t="shared" si="94"/>
        <v>514.34227423553716</v>
      </c>
      <c r="AP79" s="42">
        <f t="shared" si="122"/>
        <v>2828.319852383454</v>
      </c>
      <c r="AQ79" s="42">
        <f t="shared" si="119"/>
        <v>8192.6621266189904</v>
      </c>
      <c r="AR79" s="42">
        <f t="shared" si="123"/>
        <v>801.84255797091134</v>
      </c>
      <c r="AS79" s="42">
        <f t="shared" si="124"/>
        <v>946.5</v>
      </c>
      <c r="AT79" s="43">
        <f t="shared" si="127"/>
        <v>-25773.900586012609</v>
      </c>
      <c r="AU79" s="92">
        <f t="shared" si="97"/>
        <v>-0.70807419192342336</v>
      </c>
      <c r="AV79" s="42">
        <f t="shared" si="125"/>
        <v>2731.5211055347822</v>
      </c>
      <c r="AW79" s="43">
        <f t="shared" si="128"/>
        <v>-28505.421691547392</v>
      </c>
      <c r="AX79" s="92">
        <f t="shared" si="99"/>
        <v>-0.78311598053701625</v>
      </c>
      <c r="AY79" s="42">
        <f t="shared" si="126"/>
        <v>1525.9637491252388</v>
      </c>
      <c r="AZ79" s="43">
        <f t="shared" si="129"/>
        <v>-24247.936836887369</v>
      </c>
      <c r="BA79" s="92">
        <f t="shared" si="101"/>
        <v>-0.66615211090349913</v>
      </c>
      <c r="BC79" s="10">
        <f t="shared" si="102"/>
        <v>1400</v>
      </c>
      <c r="BD79" s="10">
        <f t="shared" si="103"/>
        <v>-1264.2787409550185</v>
      </c>
      <c r="BE79" s="10">
        <f t="shared" si="104"/>
        <v>-370.45991898191886</v>
      </c>
      <c r="BF79" s="10">
        <f t="shared" si="105"/>
        <v>-22.695208501819693</v>
      </c>
      <c r="BG79" s="10">
        <f t="shared" si="106"/>
        <v>-424.33135853903934</v>
      </c>
      <c r="BH79" s="10">
        <f t="shared" si="107"/>
        <v>-2081.7652269777964</v>
      </c>
      <c r="BI79" s="10">
        <f t="shared" si="108"/>
        <v>-681.76522697779649</v>
      </c>
      <c r="BJ79" s="10">
        <f t="shared" si="109"/>
        <v>-186.53846153846155</v>
      </c>
      <c r="BK79" s="10">
        <f t="shared" si="110"/>
        <v>-108.781532783979</v>
      </c>
      <c r="BL79" s="10">
        <f t="shared" si="111"/>
        <v>-315.10238948534578</v>
      </c>
      <c r="BM79" s="10">
        <f t="shared" si="112"/>
        <v>-30.840098383496588</v>
      </c>
      <c r="BN79" s="10">
        <f t="shared" si="113"/>
        <v>36.403846153846153</v>
      </c>
      <c r="BO79" s="10">
        <f t="shared" si="114"/>
        <v>-991.30386869279266</v>
      </c>
      <c r="BP79" s="10">
        <f t="shared" si="115"/>
        <v>-105.05850405903008</v>
      </c>
      <c r="BQ79" s="10">
        <f t="shared" si="116"/>
        <v>-1096.3623727518227</v>
      </c>
      <c r="BR79" s="10">
        <f t="shared" si="117"/>
        <v>58.690913427893797</v>
      </c>
      <c r="BS79" s="10">
        <f t="shared" si="118"/>
        <v>-932.6129552648988</v>
      </c>
    </row>
    <row r="80" spans="2:71" hidden="1">
      <c r="B80" s="29" t="s">
        <v>8</v>
      </c>
      <c r="C80" s="29" t="s">
        <v>463</v>
      </c>
      <c r="D80" s="25" t="s">
        <v>476</v>
      </c>
      <c r="E80" s="98">
        <v>50</v>
      </c>
      <c r="F80" s="98">
        <v>46139</v>
      </c>
      <c r="G80" s="99">
        <v>26</v>
      </c>
      <c r="H80" s="185" t="s">
        <v>33</v>
      </c>
      <c r="I80" s="27" t="s">
        <v>132</v>
      </c>
      <c r="J80" s="7" t="s">
        <v>474</v>
      </c>
      <c r="K80" s="7" t="s">
        <v>108</v>
      </c>
      <c r="L80" s="7" t="s">
        <v>109</v>
      </c>
      <c r="M80" s="21" t="s">
        <v>56</v>
      </c>
      <c r="N80" s="7" t="s">
        <v>110</v>
      </c>
      <c r="O80" s="20">
        <v>1400</v>
      </c>
      <c r="P80" s="59">
        <v>36400</v>
      </c>
      <c r="Q80" s="20">
        <v>1213.4615384615386</v>
      </c>
      <c r="R80" s="30">
        <v>4850</v>
      </c>
      <c r="S80" s="32">
        <v>31550</v>
      </c>
      <c r="T80" s="63">
        <v>1</v>
      </c>
      <c r="U80" s="57" t="s">
        <v>553</v>
      </c>
      <c r="V80" s="141">
        <v>92234213</v>
      </c>
      <c r="W80" s="60" t="s">
        <v>112</v>
      </c>
      <c r="X80" s="4"/>
      <c r="Y80" s="4" t="s">
        <v>867</v>
      </c>
      <c r="Z80" s="7">
        <v>10005721</v>
      </c>
      <c r="AA80" s="7"/>
      <c r="AB80" s="7"/>
      <c r="AC80" s="20">
        <f t="shared" si="121"/>
        <v>2081.7652269777964</v>
      </c>
      <c r="AD80" s="44">
        <f>IFERROR(INDEX('Costos Producción Febrero'!$G$34:$G$57,MATCH(Resumen!Z80,'Costos Producción Febrero'!$B$34:$B$57,0))*AC80*G80,0)</f>
        <v>32871.247264830483</v>
      </c>
      <c r="AE80" s="44">
        <f>IFERROR(INDEX('Costos Producción Febrero'!$H$34:$H$57,MATCH(Resumen!Z80,'Costos Producción Febrero'!$B$34:$B$57,0))*AC80*G80,0)</f>
        <v>9631.9578935298905</v>
      </c>
      <c r="AF80" s="44">
        <f>IFERROR(INDEX('Costos Producción Febrero'!$I$34:$I$57,MATCH(Resumen!Z80,'Costos Producción Febrero'!$B$34:$B$57,0))*AC80*G80,0)</f>
        <v>590.07542104731203</v>
      </c>
      <c r="AG80" s="44">
        <f>IFERROR(INDEX('Costos Producción Febrero'!$J$34:$J$57,MATCH(Resumen!Z80,'Costos Producción Febrero'!$B$34:$B$57,0))*AC80*G80,0)</f>
        <v>11032.615322015023</v>
      </c>
      <c r="AH80" s="44">
        <f t="shared" si="90"/>
        <v>54125.895901422708</v>
      </c>
      <c r="AI80" s="44"/>
      <c r="AJ80" s="43">
        <v>2136.6867671261102</v>
      </c>
      <c r="AK80" s="44"/>
      <c r="AL80" s="43">
        <f t="shared" si="91"/>
        <v>-17725.895901422708</v>
      </c>
      <c r="AM80" s="92">
        <f t="shared" si="92"/>
        <v>-0.48697516212699749</v>
      </c>
      <c r="AN80" s="42">
        <f t="shared" si="93"/>
        <v>4850</v>
      </c>
      <c r="AO80" s="42">
        <f t="shared" si="94"/>
        <v>514.34227423553716</v>
      </c>
      <c r="AP80" s="42">
        <f t="shared" si="122"/>
        <v>2828.319852383454</v>
      </c>
      <c r="AQ80" s="42">
        <f t="shared" si="119"/>
        <v>8192.6621266189904</v>
      </c>
      <c r="AR80" s="42">
        <f t="shared" si="123"/>
        <v>801.84255797091134</v>
      </c>
      <c r="AS80" s="42">
        <f t="shared" si="124"/>
        <v>946.5</v>
      </c>
      <c r="AT80" s="43">
        <f t="shared" si="127"/>
        <v>-25773.900586012609</v>
      </c>
      <c r="AU80" s="92">
        <f t="shared" si="97"/>
        <v>-0.70807419192342336</v>
      </c>
      <c r="AV80" s="42">
        <f t="shared" si="125"/>
        <v>2731.5211055347822</v>
      </c>
      <c r="AW80" s="43">
        <f t="shared" si="128"/>
        <v>-28505.421691547392</v>
      </c>
      <c r="AX80" s="92">
        <f t="shared" si="99"/>
        <v>-0.78311598053701625</v>
      </c>
      <c r="AY80" s="42">
        <f t="shared" si="126"/>
        <v>1525.9637491252388</v>
      </c>
      <c r="AZ80" s="43">
        <f t="shared" si="129"/>
        <v>-24247.936836887369</v>
      </c>
      <c r="BA80" s="92">
        <f t="shared" si="101"/>
        <v>-0.66615211090349913</v>
      </c>
      <c r="BC80" s="10">
        <f t="shared" si="102"/>
        <v>1400</v>
      </c>
      <c r="BD80" s="10">
        <f t="shared" si="103"/>
        <v>-1264.2787409550185</v>
      </c>
      <c r="BE80" s="10">
        <f t="shared" si="104"/>
        <v>-370.45991898191886</v>
      </c>
      <c r="BF80" s="10">
        <f t="shared" si="105"/>
        <v>-22.695208501819693</v>
      </c>
      <c r="BG80" s="10">
        <f t="shared" si="106"/>
        <v>-424.33135853903934</v>
      </c>
      <c r="BH80" s="10">
        <f t="shared" si="107"/>
        <v>-2081.7652269777964</v>
      </c>
      <c r="BI80" s="10">
        <f t="shared" si="108"/>
        <v>-681.76522697779649</v>
      </c>
      <c r="BJ80" s="10">
        <f t="shared" si="109"/>
        <v>-186.53846153846155</v>
      </c>
      <c r="BK80" s="10">
        <f t="shared" si="110"/>
        <v>-108.781532783979</v>
      </c>
      <c r="BL80" s="10">
        <f t="shared" si="111"/>
        <v>-315.10238948534578</v>
      </c>
      <c r="BM80" s="10">
        <f t="shared" si="112"/>
        <v>-30.840098383496588</v>
      </c>
      <c r="BN80" s="10">
        <f t="shared" si="113"/>
        <v>36.403846153846153</v>
      </c>
      <c r="BO80" s="10">
        <f t="shared" si="114"/>
        <v>-991.30386869279266</v>
      </c>
      <c r="BP80" s="10">
        <f t="shared" si="115"/>
        <v>-105.05850405903008</v>
      </c>
      <c r="BQ80" s="10">
        <f t="shared" si="116"/>
        <v>-1096.3623727518227</v>
      </c>
      <c r="BR80" s="10">
        <f t="shared" si="117"/>
        <v>58.690913427893797</v>
      </c>
      <c r="BS80" s="10">
        <f t="shared" si="118"/>
        <v>-932.6129552648988</v>
      </c>
    </row>
    <row r="81" spans="2:71" hidden="1">
      <c r="B81" s="29" t="s">
        <v>8</v>
      </c>
      <c r="C81" s="29" t="s">
        <v>463</v>
      </c>
      <c r="D81" s="25" t="s">
        <v>477</v>
      </c>
      <c r="E81" s="98">
        <v>46077</v>
      </c>
      <c r="F81" s="98">
        <v>46132</v>
      </c>
      <c r="G81" s="99">
        <v>22.2</v>
      </c>
      <c r="H81" s="100" t="s">
        <v>37</v>
      </c>
      <c r="I81" s="27" t="s">
        <v>126</v>
      </c>
      <c r="J81" s="7"/>
      <c r="K81" s="7" t="s">
        <v>127</v>
      </c>
      <c r="L81" s="7" t="s">
        <v>119</v>
      </c>
      <c r="M81" s="21" t="s">
        <v>43</v>
      </c>
      <c r="N81" s="7" t="s">
        <v>129</v>
      </c>
      <c r="O81" s="20">
        <v>1600</v>
      </c>
      <c r="P81" s="59">
        <v>35520</v>
      </c>
      <c r="Q81" s="20">
        <v>1442.2972972972973</v>
      </c>
      <c r="R81" s="30">
        <v>3501</v>
      </c>
      <c r="S81" s="32">
        <v>32019</v>
      </c>
      <c r="T81" s="63">
        <v>1</v>
      </c>
      <c r="U81" s="57" t="s">
        <v>550</v>
      </c>
      <c r="V81" s="141" t="s">
        <v>554</v>
      </c>
      <c r="W81" s="60" t="s">
        <v>226</v>
      </c>
      <c r="X81" s="4"/>
      <c r="Y81" s="4" t="s">
        <v>866</v>
      </c>
      <c r="Z81" s="7">
        <v>10007969</v>
      </c>
      <c r="AA81" s="7"/>
      <c r="AB81" s="7"/>
      <c r="AC81" s="20">
        <f t="shared" si="121"/>
        <v>1682.6498884231146</v>
      </c>
      <c r="AD81" s="44">
        <f>IFERROR(INDEX('Costos Producción Febrero'!$G$34:$G$57,MATCH(Resumen!Z81,'Costos Producción Febrero'!$B$34:$B$57,0))*AC81*G81,0)</f>
        <v>31643.152340341763</v>
      </c>
      <c r="AE81" s="44">
        <f>IFERROR(INDEX('Costos Producción Febrero'!$H$34:$H$57,MATCH(Resumen!Z81,'Costos Producción Febrero'!$B$34:$B$57,0))*AC81*G81,0)</f>
        <v>6354.5546443756311</v>
      </c>
      <c r="AF81" s="44">
        <f>IFERROR(INDEX('Costos Producción Febrero'!$I$34:$I$57,MATCH(Resumen!Z81,'Costos Producción Febrero'!$B$34:$B$57,0))*AC81*G81,0)</f>
        <v>488.97518937886332</v>
      </c>
      <c r="AG81" s="44">
        <f>IFERROR(INDEX('Costos Producción Febrero'!$J$34:$J$57,MATCH(Resumen!Z81,'Costos Producción Febrero'!$B$34:$B$57,0))*AC81*G81,0)</f>
        <v>-1131.8546511031197</v>
      </c>
      <c r="AH81" s="44">
        <f t="shared" si="90"/>
        <v>37354.827522993139</v>
      </c>
      <c r="AI81" s="44"/>
      <c r="AJ81" s="43">
        <v>1737.5714285714282</v>
      </c>
      <c r="AK81" s="44"/>
      <c r="AL81" s="43">
        <f t="shared" si="91"/>
        <v>-1834.8275229931387</v>
      </c>
      <c r="AM81" s="92">
        <f t="shared" si="92"/>
        <v>-5.1656180264446475E-2</v>
      </c>
      <c r="AN81" s="42">
        <f t="shared" si="93"/>
        <v>3501</v>
      </c>
      <c r="AO81" s="42">
        <f t="shared" si="94"/>
        <v>439.16917261649706</v>
      </c>
      <c r="AP81" s="42">
        <f t="shared" si="122"/>
        <v>2414.9500278043338</v>
      </c>
      <c r="AQ81" s="42">
        <f t="shared" si="119"/>
        <v>6355.1192004208315</v>
      </c>
      <c r="AR81" s="42">
        <f t="shared" si="123"/>
        <v>684.65018411362428</v>
      </c>
      <c r="AS81" s="42">
        <f t="shared" si="124"/>
        <v>960.56999999999994</v>
      </c>
      <c r="AT81" s="43">
        <f t="shared" si="127"/>
        <v>-7914.0269075275955</v>
      </c>
      <c r="AU81" s="92">
        <f t="shared" si="97"/>
        <v>-0.22280481158579943</v>
      </c>
      <c r="AV81" s="42">
        <f t="shared" si="125"/>
        <v>2332.298790110468</v>
      </c>
      <c r="AW81" s="43">
        <f t="shared" si="128"/>
        <v>-10246.325697638064</v>
      </c>
      <c r="AX81" s="92">
        <f t="shared" si="99"/>
        <v>-0.28846637662269325</v>
      </c>
      <c r="AY81" s="42">
        <f t="shared" si="126"/>
        <v>1302.9382780992423</v>
      </c>
      <c r="AZ81" s="43">
        <f t="shared" si="129"/>
        <v>-6611.0886294283537</v>
      </c>
      <c r="BA81" s="92">
        <f t="shared" si="101"/>
        <v>-0.18612299069336583</v>
      </c>
      <c r="BC81" s="10">
        <f t="shared" si="102"/>
        <v>1600</v>
      </c>
      <c r="BD81" s="10">
        <f t="shared" si="103"/>
        <v>-1425.3672225379173</v>
      </c>
      <c r="BE81" s="10">
        <f t="shared" si="104"/>
        <v>-286.24120019710051</v>
      </c>
      <c r="BF81" s="10">
        <f t="shared" si="105"/>
        <v>-22.025909431480329</v>
      </c>
      <c r="BG81" s="10">
        <f t="shared" si="106"/>
        <v>50.984443743383771</v>
      </c>
      <c r="BH81" s="10">
        <f t="shared" si="107"/>
        <v>-1682.6498884231144</v>
      </c>
      <c r="BI81" s="10">
        <f t="shared" si="108"/>
        <v>-82.649888423114362</v>
      </c>
      <c r="BJ81" s="10">
        <f t="shared" si="109"/>
        <v>-157.70270270270271</v>
      </c>
      <c r="BK81" s="10">
        <f t="shared" si="110"/>
        <v>-108.781532783979</v>
      </c>
      <c r="BL81" s="10">
        <f t="shared" si="111"/>
        <v>-286.266630649587</v>
      </c>
      <c r="BM81" s="10">
        <f t="shared" si="112"/>
        <v>-30.840098383496588</v>
      </c>
      <c r="BN81" s="10">
        <f t="shared" si="113"/>
        <v>43.268918918918921</v>
      </c>
      <c r="BO81" s="10">
        <f t="shared" si="114"/>
        <v>-356.48769853727907</v>
      </c>
      <c r="BP81" s="10">
        <f t="shared" si="115"/>
        <v>-105.05850405903008</v>
      </c>
      <c r="BQ81" s="10">
        <f t="shared" si="116"/>
        <v>-461.54620259630917</v>
      </c>
      <c r="BR81" s="10">
        <f t="shared" si="117"/>
        <v>58.690913427893797</v>
      </c>
      <c r="BS81" s="10">
        <f t="shared" si="118"/>
        <v>-297.79678510938533</v>
      </c>
    </row>
    <row r="82" spans="2:71" hidden="1">
      <c r="B82" s="29" t="s">
        <v>8</v>
      </c>
      <c r="C82" s="29" t="s">
        <v>463</v>
      </c>
      <c r="D82" s="25" t="s">
        <v>478</v>
      </c>
      <c r="E82" s="98">
        <v>64</v>
      </c>
      <c r="F82" s="98">
        <v>46125</v>
      </c>
      <c r="G82" s="99">
        <v>26</v>
      </c>
      <c r="H82" s="27" t="s">
        <v>36</v>
      </c>
      <c r="I82" s="27" t="s">
        <v>107</v>
      </c>
      <c r="J82" s="7"/>
      <c r="K82" s="7" t="s">
        <v>108</v>
      </c>
      <c r="L82" s="7" t="s">
        <v>109</v>
      </c>
      <c r="M82" s="21" t="s">
        <v>56</v>
      </c>
      <c r="N82" s="7" t="s">
        <v>110</v>
      </c>
      <c r="O82" s="20">
        <v>3100</v>
      </c>
      <c r="P82" s="59">
        <v>80600</v>
      </c>
      <c r="Q82" s="20">
        <v>2913.4615384615386</v>
      </c>
      <c r="R82" s="30">
        <v>4850</v>
      </c>
      <c r="S82" s="32">
        <v>75750</v>
      </c>
      <c r="T82" s="63">
        <v>1</v>
      </c>
      <c r="U82" s="57" t="s">
        <v>168</v>
      </c>
      <c r="V82" s="141">
        <v>32406022</v>
      </c>
      <c r="W82" s="60" t="s">
        <v>112</v>
      </c>
      <c r="X82" s="4"/>
      <c r="Y82" s="4" t="s">
        <v>867</v>
      </c>
      <c r="Z82" s="7">
        <v>10007567</v>
      </c>
      <c r="AA82" s="7"/>
      <c r="AB82" s="7"/>
      <c r="AC82" s="20">
        <f t="shared" si="121"/>
        <v>2049.5842427698358</v>
      </c>
      <c r="AD82" s="44">
        <f>IFERROR(INDEX('Costos Producción Febrero'!$G$34:$G$57,MATCH(Resumen!Z82,'Costos Producción Febrero'!$B$34:$B$57,0))*AC82*G82,0)</f>
        <v>32910.476182960687</v>
      </c>
      <c r="AE82" s="44">
        <f>IFERROR(INDEX('Costos Producción Febrero'!$H$34:$H$57,MATCH(Resumen!Z82,'Costos Producción Febrero'!$B$34:$B$57,0))*AC82*G82,0)</f>
        <v>8869.513390810087</v>
      </c>
      <c r="AF82" s="44">
        <f>IFERROR(INDEX('Costos Producción Febrero'!$I$34:$I$57,MATCH(Resumen!Z82,'Costos Producción Febrero'!$B$34:$B$57,0))*AC82*G82,0)</f>
        <v>575.17031497692847</v>
      </c>
      <c r="AG82" s="44">
        <f>IFERROR(INDEX('Costos Producción Febrero'!$J$34:$J$57,MATCH(Resumen!Z82,'Costos Producción Febrero'!$B$34:$B$57,0))*AC82*G82,0)</f>
        <v>10934.030423268028</v>
      </c>
      <c r="AH82" s="44">
        <f t="shared" si="90"/>
        <v>53289.190312015729</v>
      </c>
      <c r="AI82" s="44"/>
      <c r="AJ82" s="43">
        <v>2104.5057829181496</v>
      </c>
      <c r="AK82" s="44"/>
      <c r="AL82" s="43">
        <f t="shared" si="91"/>
        <v>27310.809687984271</v>
      </c>
      <c r="AM82" s="92">
        <f t="shared" si="92"/>
        <v>0.33884379265489167</v>
      </c>
      <c r="AN82" s="42">
        <f t="shared" si="93"/>
        <v>4850</v>
      </c>
      <c r="AO82" s="42">
        <f t="shared" si="94"/>
        <v>514.34227423553716</v>
      </c>
      <c r="AP82" s="42">
        <f t="shared" si="122"/>
        <v>2828.319852383454</v>
      </c>
      <c r="AQ82" s="42">
        <f t="shared" si="119"/>
        <v>8192.6621266189904</v>
      </c>
      <c r="AR82" s="42">
        <f t="shared" si="123"/>
        <v>801.84255797091134</v>
      </c>
      <c r="AS82" s="42">
        <f t="shared" si="124"/>
        <v>2272.5</v>
      </c>
      <c r="AT82" s="43">
        <f t="shared" si="127"/>
        <v>20588.805003394369</v>
      </c>
      <c r="AU82" s="92">
        <f t="shared" si="97"/>
        <v>0.25544423081134454</v>
      </c>
      <c r="AV82" s="42">
        <f t="shared" si="125"/>
        <v>2731.5211055347822</v>
      </c>
      <c r="AW82" s="43">
        <f t="shared" si="128"/>
        <v>17857.283897859586</v>
      </c>
      <c r="AX82" s="92">
        <f t="shared" si="99"/>
        <v>0.22155439079230257</v>
      </c>
      <c r="AY82" s="42">
        <f t="shared" si="126"/>
        <v>1525.9637491252388</v>
      </c>
      <c r="AZ82" s="43">
        <f t="shared" si="129"/>
        <v>22114.768752519609</v>
      </c>
      <c r="BA82" s="92">
        <f t="shared" si="101"/>
        <v>0.27437678353001999</v>
      </c>
      <c r="BC82" s="10">
        <f t="shared" si="102"/>
        <v>3100</v>
      </c>
      <c r="BD82" s="10">
        <f t="shared" si="103"/>
        <v>-1265.787545498488</v>
      </c>
      <c r="BE82" s="10">
        <f t="shared" si="104"/>
        <v>-341.13513041577255</v>
      </c>
      <c r="BF82" s="10">
        <f t="shared" si="105"/>
        <v>-22.121935191420327</v>
      </c>
      <c r="BG82" s="10">
        <f t="shared" si="106"/>
        <v>-420.53963166415491</v>
      </c>
      <c r="BH82" s="10">
        <f t="shared" si="107"/>
        <v>-2049.5842427698358</v>
      </c>
      <c r="BI82" s="10">
        <f t="shared" si="108"/>
        <v>1050.4157572301642</v>
      </c>
      <c r="BJ82" s="10">
        <f t="shared" si="109"/>
        <v>-186.53846153846155</v>
      </c>
      <c r="BK82" s="10">
        <f t="shared" si="110"/>
        <v>-108.781532783979</v>
      </c>
      <c r="BL82" s="10">
        <f t="shared" si="111"/>
        <v>-315.10238948534578</v>
      </c>
      <c r="BM82" s="10">
        <f t="shared" si="112"/>
        <v>-30.840098383496588</v>
      </c>
      <c r="BN82" s="10">
        <f t="shared" si="113"/>
        <v>87.40384615384616</v>
      </c>
      <c r="BO82" s="10">
        <f t="shared" si="114"/>
        <v>791.87711551516804</v>
      </c>
      <c r="BP82" s="10">
        <f t="shared" si="115"/>
        <v>-105.05850405903008</v>
      </c>
      <c r="BQ82" s="10">
        <f t="shared" si="116"/>
        <v>686.81861145613789</v>
      </c>
      <c r="BR82" s="10">
        <f t="shared" si="117"/>
        <v>58.690913427893797</v>
      </c>
      <c r="BS82" s="10">
        <f t="shared" si="118"/>
        <v>850.5680289430619</v>
      </c>
    </row>
    <row r="83" spans="2:71" hidden="1">
      <c r="B83" s="29" t="s">
        <v>8</v>
      </c>
      <c r="C83" s="29" t="s">
        <v>463</v>
      </c>
      <c r="D83" s="25" t="s">
        <v>479</v>
      </c>
      <c r="E83" s="98">
        <v>66</v>
      </c>
      <c r="F83" s="98">
        <v>46132</v>
      </c>
      <c r="G83" s="99">
        <v>115.8</v>
      </c>
      <c r="H83" s="185" t="s">
        <v>32</v>
      </c>
      <c r="I83" s="27" t="s">
        <v>155</v>
      </c>
      <c r="J83" s="7" t="s">
        <v>228</v>
      </c>
      <c r="K83" s="7" t="s">
        <v>141</v>
      </c>
      <c r="L83" s="7" t="s">
        <v>142</v>
      </c>
      <c r="M83" s="21" t="s">
        <v>43</v>
      </c>
      <c r="N83" s="7" t="s">
        <v>129</v>
      </c>
      <c r="O83" s="20">
        <v>1650</v>
      </c>
      <c r="P83" s="59">
        <v>191070</v>
      </c>
      <c r="Q83" s="20">
        <v>1507.4697754749568</v>
      </c>
      <c r="R83" s="30">
        <v>16505</v>
      </c>
      <c r="S83" s="32">
        <v>174565</v>
      </c>
      <c r="T83" s="63">
        <v>5</v>
      </c>
      <c r="U83" s="57" t="s">
        <v>550</v>
      </c>
      <c r="V83" s="141" t="s">
        <v>555</v>
      </c>
      <c r="W83" s="60" t="s">
        <v>226</v>
      </c>
      <c r="X83" s="4"/>
      <c r="Y83" s="4" t="s">
        <v>867</v>
      </c>
      <c r="Z83" s="7">
        <v>10006720</v>
      </c>
      <c r="AA83" s="7"/>
      <c r="AB83" s="7"/>
      <c r="AC83" s="20">
        <f t="shared" si="121"/>
        <v>1981.722676654683</v>
      </c>
      <c r="AD83" s="44">
        <f>IFERROR(INDEX('Costos Producción Febrero'!$G$34:$G$57,MATCH(Resumen!Z83,'Costos Producción Febrero'!$B$34:$B$57,0))*AC83*G83,0)</f>
        <v>147257.95463933513</v>
      </c>
      <c r="AE83" s="44">
        <f>IFERROR(INDEX('Costos Producción Febrero'!$H$34:$H$57,MATCH(Resumen!Z83,'Costos Producción Febrero'!$B$34:$B$57,0))*AC83*G83,0)</f>
        <v>30973.841304547317</v>
      </c>
      <c r="AF83" s="44">
        <f>IFERROR(INDEX('Costos Producción Febrero'!$I$34:$I$57,MATCH(Resumen!Z83,'Costos Producción Febrero'!$B$34:$B$57,0))*AC83*G83,0)</f>
        <v>2144.2594951869082</v>
      </c>
      <c r="AG83" s="44">
        <f>IFERROR(INDEX('Costos Producción Febrero'!$J$34:$J$57,MATCH(Resumen!Z83,'Costos Producción Febrero'!$B$34:$B$57,0))*AC83*G83,0)</f>
        <v>49107.430517542947</v>
      </c>
      <c r="AH83" s="44">
        <f t="shared" si="90"/>
        <v>229483.48595661233</v>
      </c>
      <c r="AI83" s="44"/>
      <c r="AJ83" s="43">
        <v>2036.6442168029967</v>
      </c>
      <c r="AK83" s="44"/>
      <c r="AL83" s="43">
        <f t="shared" si="91"/>
        <v>-38413.485956612334</v>
      </c>
      <c r="AM83" s="92">
        <f t="shared" si="92"/>
        <v>-0.20104404645738386</v>
      </c>
      <c r="AN83" s="42">
        <f t="shared" si="93"/>
        <v>16505</v>
      </c>
      <c r="AO83" s="42">
        <f t="shared" si="94"/>
        <v>2290.8013598644307</v>
      </c>
      <c r="AP83" s="42">
        <f t="shared" si="122"/>
        <v>12596.901496384768</v>
      </c>
      <c r="AQ83" s="42">
        <f t="shared" si="119"/>
        <v>31392.702856249198</v>
      </c>
      <c r="AR83" s="42">
        <f t="shared" si="123"/>
        <v>3571.2833928089053</v>
      </c>
      <c r="AS83" s="42">
        <f t="shared" si="124"/>
        <v>5236.95</v>
      </c>
      <c r="AT83" s="43">
        <f t="shared" si="127"/>
        <v>-68140.522205670452</v>
      </c>
      <c r="AU83" s="92">
        <f t="shared" si="97"/>
        <v>-0.35662596014900533</v>
      </c>
      <c r="AV83" s="42">
        <f t="shared" si="125"/>
        <v>12165.774770035683</v>
      </c>
      <c r="AW83" s="43">
        <f t="shared" si="128"/>
        <v>-80306.296975706136</v>
      </c>
      <c r="AX83" s="92">
        <f t="shared" si="99"/>
        <v>-0.42029778079084179</v>
      </c>
      <c r="AY83" s="42">
        <f t="shared" si="126"/>
        <v>6796.4077749501021</v>
      </c>
      <c r="AZ83" s="43">
        <f t="shared" si="129"/>
        <v>-61344.11443072035</v>
      </c>
      <c r="BA83" s="92">
        <f t="shared" si="101"/>
        <v>-0.32105570958664548</v>
      </c>
      <c r="BC83" s="10">
        <f t="shared" si="102"/>
        <v>1650</v>
      </c>
      <c r="BD83" s="10">
        <f t="shared" si="103"/>
        <v>-1271.6576393724968</v>
      </c>
      <c r="BE83" s="10">
        <f t="shared" si="104"/>
        <v>-267.47704062648808</v>
      </c>
      <c r="BF83" s="10">
        <f t="shared" si="105"/>
        <v>-18.516921374671057</v>
      </c>
      <c r="BG83" s="10">
        <f t="shared" si="106"/>
        <v>-424.07107528102716</v>
      </c>
      <c r="BH83" s="10">
        <f t="shared" si="107"/>
        <v>-1981.7226766546835</v>
      </c>
      <c r="BI83" s="10">
        <f t="shared" si="108"/>
        <v>-331.72267665468337</v>
      </c>
      <c r="BJ83" s="10">
        <f t="shared" si="109"/>
        <v>-142.5302245250432</v>
      </c>
      <c r="BK83" s="10">
        <f t="shared" si="110"/>
        <v>-108.781532783979</v>
      </c>
      <c r="BL83" s="10">
        <f t="shared" si="111"/>
        <v>-271.09415247192743</v>
      </c>
      <c r="BM83" s="10">
        <f t="shared" si="112"/>
        <v>-30.840098383496592</v>
      </c>
      <c r="BN83" s="10">
        <f t="shared" si="113"/>
        <v>45.224093264248701</v>
      </c>
      <c r="BO83" s="10">
        <f t="shared" si="114"/>
        <v>-588.43283424585888</v>
      </c>
      <c r="BP83" s="10">
        <f t="shared" si="115"/>
        <v>-105.05850405903008</v>
      </c>
      <c r="BQ83" s="10">
        <f t="shared" si="116"/>
        <v>-693.49133830488893</v>
      </c>
      <c r="BR83" s="10">
        <f t="shared" si="117"/>
        <v>58.690913427893804</v>
      </c>
      <c r="BS83" s="10">
        <f t="shared" si="118"/>
        <v>-529.74192081796502</v>
      </c>
    </row>
    <row r="84" spans="2:71" hidden="1">
      <c r="B84" s="29" t="s">
        <v>8</v>
      </c>
      <c r="C84" s="29" t="s">
        <v>463</v>
      </c>
      <c r="D84" s="25" t="s">
        <v>480</v>
      </c>
      <c r="E84" s="98">
        <v>66</v>
      </c>
      <c r="F84" s="98">
        <v>46120</v>
      </c>
      <c r="G84" s="99">
        <v>46</v>
      </c>
      <c r="H84" s="185" t="s">
        <v>33</v>
      </c>
      <c r="I84" s="27" t="s">
        <v>132</v>
      </c>
      <c r="J84" s="7" t="s">
        <v>481</v>
      </c>
      <c r="K84" s="7" t="s">
        <v>141</v>
      </c>
      <c r="L84" s="7" t="s">
        <v>482</v>
      </c>
      <c r="M84" s="21" t="s">
        <v>43</v>
      </c>
      <c r="N84" s="7" t="s">
        <v>129</v>
      </c>
      <c r="O84" s="20">
        <v>1700</v>
      </c>
      <c r="P84" s="59">
        <v>78200</v>
      </c>
      <c r="Q84" s="20">
        <v>1547.7826086956522</v>
      </c>
      <c r="R84" s="30">
        <v>7002</v>
      </c>
      <c r="S84" s="32">
        <v>71198</v>
      </c>
      <c r="T84" s="63">
        <v>2</v>
      </c>
      <c r="U84" s="57" t="s">
        <v>547</v>
      </c>
      <c r="V84" s="141" t="s">
        <v>556</v>
      </c>
      <c r="W84" s="60" t="s">
        <v>138</v>
      </c>
      <c r="X84" s="4"/>
      <c r="Y84" s="4" t="s">
        <v>867</v>
      </c>
      <c r="Z84" s="7">
        <v>10005721</v>
      </c>
      <c r="AA84" s="7"/>
      <c r="AB84" s="7"/>
      <c r="AC84" s="20">
        <f t="shared" si="121"/>
        <v>2081.7652269777964</v>
      </c>
      <c r="AD84" s="44">
        <f>IFERROR(INDEX('Costos Producción Febrero'!$G$34:$G$57,MATCH(Resumen!Z84,'Costos Producción Febrero'!$B$34:$B$57,0))*AC84*G84,0)</f>
        <v>58156.822083930849</v>
      </c>
      <c r="AE84" s="44">
        <f>IFERROR(INDEX('Costos Producción Febrero'!$H$34:$H$57,MATCH(Resumen!Z84,'Costos Producción Febrero'!$B$34:$B$57,0))*AC84*G84,0)</f>
        <v>17041.156273168268</v>
      </c>
      <c r="AF84" s="44">
        <f>IFERROR(INDEX('Costos Producción Febrero'!$I$34:$I$57,MATCH(Resumen!Z84,'Costos Producción Febrero'!$B$34:$B$57,0))*AC84*G84,0)</f>
        <v>1043.9795910837058</v>
      </c>
      <c r="AG84" s="44">
        <f>IFERROR(INDEX('Costos Producción Febrero'!$J$34:$J$57,MATCH(Resumen!Z84,'Costos Producción Febrero'!$B$34:$B$57,0))*AC84*G84,0)</f>
        <v>19519.242492795809</v>
      </c>
      <c r="AH84" s="44">
        <f t="shared" si="90"/>
        <v>95761.200440978631</v>
      </c>
      <c r="AI84" s="44"/>
      <c r="AJ84" s="43">
        <v>2136.6867671261102</v>
      </c>
      <c r="AK84" s="44"/>
      <c r="AL84" s="43">
        <f t="shared" si="91"/>
        <v>-17561.200440978631</v>
      </c>
      <c r="AM84" s="92">
        <f t="shared" si="92"/>
        <v>-0.22456778057517432</v>
      </c>
      <c r="AN84" s="42">
        <f t="shared" si="93"/>
        <v>7002</v>
      </c>
      <c r="AO84" s="42">
        <f t="shared" si="94"/>
        <v>909.99017749364259</v>
      </c>
      <c r="AP84" s="42">
        <f t="shared" si="122"/>
        <v>5003.9505080630342</v>
      </c>
      <c r="AQ84" s="42">
        <f t="shared" si="119"/>
        <v>12915.940685556678</v>
      </c>
      <c r="AR84" s="42">
        <f t="shared" si="123"/>
        <v>1418.6445256408433</v>
      </c>
      <c r="AS84" s="42">
        <f t="shared" si="124"/>
        <v>2135.94</v>
      </c>
      <c r="AT84" s="43">
        <f t="shared" si="127"/>
        <v>-29759.845652176155</v>
      </c>
      <c r="AU84" s="92">
        <f t="shared" si="97"/>
        <v>-0.38056068608920912</v>
      </c>
      <c r="AV84" s="42">
        <f t="shared" si="125"/>
        <v>4832.691186715384</v>
      </c>
      <c r="AW84" s="43">
        <f t="shared" si="128"/>
        <v>-34592.536838891538</v>
      </c>
      <c r="AX84" s="92">
        <f t="shared" si="99"/>
        <v>-0.44235980612393272</v>
      </c>
      <c r="AY84" s="42">
        <f t="shared" si="126"/>
        <v>2699.7820176831151</v>
      </c>
      <c r="AZ84" s="43">
        <f t="shared" si="129"/>
        <v>-27060.063634493039</v>
      </c>
      <c r="BA84" s="92">
        <f t="shared" si="101"/>
        <v>-0.34603661936691865</v>
      </c>
      <c r="BC84" s="10">
        <f t="shared" si="102"/>
        <v>1700</v>
      </c>
      <c r="BD84" s="10">
        <f t="shared" si="103"/>
        <v>-1264.2787409550185</v>
      </c>
      <c r="BE84" s="10">
        <f t="shared" si="104"/>
        <v>-370.45991898191886</v>
      </c>
      <c r="BF84" s="10">
        <f t="shared" si="105"/>
        <v>-22.695208501819693</v>
      </c>
      <c r="BG84" s="10">
        <f t="shared" si="106"/>
        <v>-424.33135853903934</v>
      </c>
      <c r="BH84" s="10">
        <f t="shared" si="107"/>
        <v>-2081.7652269777964</v>
      </c>
      <c r="BI84" s="10">
        <f t="shared" si="108"/>
        <v>-381.76522697779632</v>
      </c>
      <c r="BJ84" s="10">
        <f t="shared" si="109"/>
        <v>-152.21739130434781</v>
      </c>
      <c r="BK84" s="10">
        <f t="shared" si="110"/>
        <v>-108.781532783979</v>
      </c>
      <c r="BL84" s="10">
        <f t="shared" si="111"/>
        <v>-280.78131925123211</v>
      </c>
      <c r="BM84" s="10">
        <f t="shared" si="112"/>
        <v>-30.840098383496592</v>
      </c>
      <c r="BN84" s="10">
        <f t="shared" si="113"/>
        <v>46.433478260869563</v>
      </c>
      <c r="BO84" s="10">
        <f t="shared" si="114"/>
        <v>-646.95316635165557</v>
      </c>
      <c r="BP84" s="10">
        <f t="shared" si="115"/>
        <v>-105.05850405903008</v>
      </c>
      <c r="BQ84" s="10">
        <f t="shared" si="116"/>
        <v>-752.01167041068561</v>
      </c>
      <c r="BR84" s="10">
        <f t="shared" si="117"/>
        <v>58.690913427893804</v>
      </c>
      <c r="BS84" s="10">
        <f t="shared" si="118"/>
        <v>-588.26225292376171</v>
      </c>
    </row>
    <row r="85" spans="2:71" hidden="1">
      <c r="B85" s="29" t="s">
        <v>8</v>
      </c>
      <c r="C85" s="29" t="s">
        <v>463</v>
      </c>
      <c r="D85" s="25" t="s">
        <v>483</v>
      </c>
      <c r="E85" s="98">
        <v>70</v>
      </c>
      <c r="F85" s="98">
        <v>46132</v>
      </c>
      <c r="G85" s="99">
        <v>24</v>
      </c>
      <c r="H85" s="185" t="s">
        <v>33</v>
      </c>
      <c r="I85" s="27" t="s">
        <v>132</v>
      </c>
      <c r="J85" s="7" t="s">
        <v>481</v>
      </c>
      <c r="K85" s="7" t="s">
        <v>141</v>
      </c>
      <c r="L85" s="7" t="s">
        <v>484</v>
      </c>
      <c r="M85" s="21" t="s">
        <v>43</v>
      </c>
      <c r="N85" s="7" t="s">
        <v>129</v>
      </c>
      <c r="O85" s="20">
        <v>1800</v>
      </c>
      <c r="P85" s="59">
        <v>41760</v>
      </c>
      <c r="Q85" s="20">
        <v>1666.625</v>
      </c>
      <c r="R85" s="30">
        <v>3201</v>
      </c>
      <c r="S85" s="32">
        <v>39999</v>
      </c>
      <c r="T85" s="63">
        <v>1</v>
      </c>
      <c r="U85" s="57" t="s">
        <v>550</v>
      </c>
      <c r="V85" s="141" t="s">
        <v>557</v>
      </c>
      <c r="W85" s="60" t="s">
        <v>226</v>
      </c>
      <c r="X85" s="4"/>
      <c r="Y85" s="4" t="s">
        <v>867</v>
      </c>
      <c r="Z85" s="7">
        <v>10005721</v>
      </c>
      <c r="AA85" s="7"/>
      <c r="AB85" s="7"/>
      <c r="AC85" s="20">
        <f t="shared" si="121"/>
        <v>2081.7652269777964</v>
      </c>
      <c r="AD85" s="44">
        <f>IFERROR(INDEX('Costos Producción Febrero'!$G$34:$G$57,MATCH(Resumen!Z85,'Costos Producción Febrero'!$B$34:$B$57,0))*AC85*G85,0)</f>
        <v>30342.689782920446</v>
      </c>
      <c r="AE85" s="44">
        <f>IFERROR(INDEX('Costos Producción Febrero'!$H$34:$H$57,MATCH(Resumen!Z85,'Costos Producción Febrero'!$B$34:$B$57,0))*AC85*G85,0)</f>
        <v>8891.0380555660522</v>
      </c>
      <c r="AF85" s="44">
        <f>IFERROR(INDEX('Costos Producción Febrero'!$I$34:$I$57,MATCH(Resumen!Z85,'Costos Producción Febrero'!$B$34:$B$57,0))*AC85*G85,0)</f>
        <v>544.68500404367262</v>
      </c>
      <c r="AG85" s="44">
        <f>IFERROR(INDEX('Costos Producción Febrero'!$J$34:$J$57,MATCH(Resumen!Z85,'Costos Producción Febrero'!$B$34:$B$57,0))*AC85*G85,0)</f>
        <v>10183.952604936945</v>
      </c>
      <c r="AH85" s="44">
        <f t="shared" si="90"/>
        <v>49962.365447467113</v>
      </c>
      <c r="AI85" s="44"/>
      <c r="AJ85" s="43">
        <v>2136.6867671261102</v>
      </c>
      <c r="AK85" s="44"/>
      <c r="AL85" s="43">
        <f t="shared" si="91"/>
        <v>-8202.365447467113</v>
      </c>
      <c r="AM85" s="92">
        <f t="shared" si="92"/>
        <v>-0.19641679711367607</v>
      </c>
      <c r="AN85" s="42">
        <f t="shared" si="93"/>
        <v>3201</v>
      </c>
      <c r="AO85" s="42">
        <f t="shared" si="94"/>
        <v>474.77748390972658</v>
      </c>
      <c r="AP85" s="42">
        <f t="shared" si="122"/>
        <v>2610.7567868154961</v>
      </c>
      <c r="AQ85" s="42">
        <f t="shared" si="119"/>
        <v>6286.5342707252221</v>
      </c>
      <c r="AR85" s="42">
        <f t="shared" si="123"/>
        <v>740.16236120391818</v>
      </c>
      <c r="AS85" s="42">
        <f t="shared" si="124"/>
        <v>1199.97</v>
      </c>
      <c r="AT85" s="43">
        <f t="shared" si="127"/>
        <v>-14029.092079396254</v>
      </c>
      <c r="AU85" s="92">
        <f t="shared" si="97"/>
        <v>-0.33594569155642373</v>
      </c>
      <c r="AV85" s="42">
        <f t="shared" si="125"/>
        <v>2521.4040974167219</v>
      </c>
      <c r="AW85" s="43">
        <f t="shared" si="128"/>
        <v>-16550.496176812976</v>
      </c>
      <c r="AX85" s="92">
        <f t="shared" si="99"/>
        <v>-0.39632414216506168</v>
      </c>
      <c r="AY85" s="42">
        <f t="shared" si="126"/>
        <v>1408.5819222694513</v>
      </c>
      <c r="AZ85" s="43">
        <f t="shared" si="129"/>
        <v>-12620.510157126802</v>
      </c>
      <c r="BA85" s="92">
        <f t="shared" si="101"/>
        <v>-0.30221528154039279</v>
      </c>
      <c r="BC85" s="10">
        <f t="shared" si="102"/>
        <v>1740</v>
      </c>
      <c r="BD85" s="10">
        <f t="shared" si="103"/>
        <v>-1264.2787409550185</v>
      </c>
      <c r="BE85" s="10">
        <f t="shared" si="104"/>
        <v>-370.45991898191886</v>
      </c>
      <c r="BF85" s="10">
        <f t="shared" si="105"/>
        <v>-22.695208501819693</v>
      </c>
      <c r="BG85" s="10">
        <f t="shared" si="106"/>
        <v>-424.3313585390394</v>
      </c>
      <c r="BH85" s="10">
        <f t="shared" si="107"/>
        <v>-2081.7652269777964</v>
      </c>
      <c r="BI85" s="10">
        <f t="shared" si="108"/>
        <v>-341.76522697779637</v>
      </c>
      <c r="BJ85" s="10">
        <f t="shared" si="109"/>
        <v>-133.375</v>
      </c>
      <c r="BK85" s="10">
        <f t="shared" si="110"/>
        <v>-108.781532783979</v>
      </c>
      <c r="BL85" s="10">
        <f t="shared" si="111"/>
        <v>-261.93892794688423</v>
      </c>
      <c r="BM85" s="10">
        <f t="shared" si="112"/>
        <v>-30.840098383496592</v>
      </c>
      <c r="BN85" s="10">
        <f t="shared" si="113"/>
        <v>49.998750000000001</v>
      </c>
      <c r="BO85" s="10">
        <f t="shared" si="114"/>
        <v>-584.54550330817722</v>
      </c>
      <c r="BP85" s="10">
        <f t="shared" si="115"/>
        <v>-105.05850405903008</v>
      </c>
      <c r="BQ85" s="10">
        <f t="shared" si="116"/>
        <v>-689.60400736720737</v>
      </c>
      <c r="BR85" s="10">
        <f t="shared" si="117"/>
        <v>58.690913427893804</v>
      </c>
      <c r="BS85" s="10">
        <f t="shared" si="118"/>
        <v>-525.85458988028347</v>
      </c>
    </row>
    <row r="86" spans="2:71" hidden="1">
      <c r="B86" s="29" t="s">
        <v>8</v>
      </c>
      <c r="C86" s="29" t="s">
        <v>463</v>
      </c>
      <c r="D86" s="25" t="s">
        <v>485</v>
      </c>
      <c r="E86" s="98">
        <v>72</v>
      </c>
      <c r="F86" s="98">
        <v>46129</v>
      </c>
      <c r="G86" s="99">
        <v>26.64</v>
      </c>
      <c r="H86" s="27" t="s">
        <v>35</v>
      </c>
      <c r="I86" s="27" t="s">
        <v>486</v>
      </c>
      <c r="J86" s="7" t="s">
        <v>487</v>
      </c>
      <c r="K86" s="7" t="s">
        <v>171</v>
      </c>
      <c r="L86" s="7" t="s">
        <v>202</v>
      </c>
      <c r="M86" s="21" t="s">
        <v>488</v>
      </c>
      <c r="N86" s="7" t="s">
        <v>489</v>
      </c>
      <c r="O86" s="20">
        <v>3600</v>
      </c>
      <c r="P86" s="59">
        <v>95904</v>
      </c>
      <c r="Q86" s="20">
        <v>3475.1876876876877</v>
      </c>
      <c r="R86" s="30">
        <v>3325</v>
      </c>
      <c r="S86" s="32">
        <v>92579</v>
      </c>
      <c r="T86" s="63">
        <v>1</v>
      </c>
      <c r="U86" s="57" t="s">
        <v>558</v>
      </c>
      <c r="V86" s="141">
        <v>6450014810</v>
      </c>
      <c r="W86" s="60" t="s">
        <v>122</v>
      </c>
      <c r="X86" s="4"/>
      <c r="Y86" s="4" t="s">
        <v>868</v>
      </c>
      <c r="Z86" s="7">
        <v>10009331</v>
      </c>
      <c r="AA86" s="7"/>
      <c r="AB86" s="7"/>
      <c r="AC86" s="20">
        <f t="shared" si="121"/>
        <v>2997.7569176004231</v>
      </c>
      <c r="AD86" s="44">
        <f>IFERROR(INDEX('Costos Producción Febrero'!$G$34:$G$57,MATCH(Resumen!Z86,'Costos Producción Febrero'!$B$34:$B$57,0))*AC86*G86,0)</f>
        <v>45570.394604596389</v>
      </c>
      <c r="AE86" s="44">
        <f>IFERROR(INDEX('Costos Producción Febrero'!$H$34:$H$57,MATCH(Resumen!Z86,'Costos Producción Febrero'!$B$34:$B$57,0))*AC86*G86,0)</f>
        <v>18079.321054525735</v>
      </c>
      <c r="AF86" s="44">
        <f>IFERROR(INDEX('Costos Producción Febrero'!$I$34:$I$57,MATCH(Resumen!Z86,'Costos Producción Febrero'!$B$34:$B$57,0))*AC86*G86,0)</f>
        <v>828.02430551450777</v>
      </c>
      <c r="AG86" s="44">
        <f>IFERROR(INDEX('Costos Producción Febrero'!$J$34:$J$57,MATCH(Resumen!Z86,'Costos Producción Febrero'!$B$34:$B$57,0))*AC86*G86,0)</f>
        <v>15382.50432023865</v>
      </c>
      <c r="AH86" s="44">
        <f t="shared" si="90"/>
        <v>79860.244284875283</v>
      </c>
      <c r="AI86" s="44"/>
      <c r="AJ86" s="43">
        <v>3052.6784577487369</v>
      </c>
      <c r="AK86" s="44"/>
      <c r="AL86" s="43">
        <f t="shared" si="91"/>
        <v>16043.755715124717</v>
      </c>
      <c r="AM86" s="92">
        <f t="shared" si="92"/>
        <v>0.16728974511099345</v>
      </c>
      <c r="AN86" s="42">
        <f t="shared" si="93"/>
        <v>3325</v>
      </c>
      <c r="AO86" s="42">
        <f t="shared" si="94"/>
        <v>527.00300713979652</v>
      </c>
      <c r="AP86" s="42">
        <f t="shared" si="122"/>
        <v>2897.9400333652006</v>
      </c>
      <c r="AQ86" s="42">
        <f t="shared" si="119"/>
        <v>6749.943040504997</v>
      </c>
      <c r="AR86" s="42">
        <f t="shared" si="123"/>
        <v>821.58022093634918</v>
      </c>
      <c r="AS86" s="42">
        <f t="shared" si="124"/>
        <v>2777.37</v>
      </c>
      <c r="AT86" s="43">
        <f t="shared" si="127"/>
        <v>11249.602453683368</v>
      </c>
      <c r="AU86" s="92">
        <f t="shared" si="97"/>
        <v>0.11730065955208717</v>
      </c>
      <c r="AV86" s="42">
        <f t="shared" si="125"/>
        <v>2798.7585481325614</v>
      </c>
      <c r="AW86" s="43">
        <f t="shared" si="128"/>
        <v>8450.8439055508061</v>
      </c>
      <c r="AX86" s="92">
        <f t="shared" si="99"/>
        <v>8.8117741757912135E-2</v>
      </c>
      <c r="AY86" s="42">
        <f t="shared" si="126"/>
        <v>1563.525933719091</v>
      </c>
      <c r="AZ86" s="43">
        <f t="shared" si="129"/>
        <v>12813.128387402459</v>
      </c>
      <c r="BA86" s="92">
        <f t="shared" si="101"/>
        <v>0.13360369105983547</v>
      </c>
      <c r="BC86" s="10">
        <f t="shared" si="102"/>
        <v>3600</v>
      </c>
      <c r="BD86" s="10">
        <f t="shared" si="103"/>
        <v>-1710.6003980704349</v>
      </c>
      <c r="BE86" s="10">
        <f t="shared" si="104"/>
        <v>-678.65319273745251</v>
      </c>
      <c r="BF86" s="10">
        <f t="shared" si="105"/>
        <v>-31.081993450244283</v>
      </c>
      <c r="BG86" s="10">
        <f t="shared" si="106"/>
        <v>-577.42133334229163</v>
      </c>
      <c r="BH86" s="10">
        <f t="shared" si="107"/>
        <v>-2997.7569176004235</v>
      </c>
      <c r="BI86" s="10">
        <f t="shared" si="108"/>
        <v>602.24308239957645</v>
      </c>
      <c r="BJ86" s="10">
        <f t="shared" si="109"/>
        <v>-124.81231231231232</v>
      </c>
      <c r="BK86" s="10">
        <f t="shared" si="110"/>
        <v>-108.781532783979</v>
      </c>
      <c r="BL86" s="10">
        <f t="shared" si="111"/>
        <v>-253.37624025919658</v>
      </c>
      <c r="BM86" s="10">
        <f t="shared" si="112"/>
        <v>-30.840098383496588</v>
      </c>
      <c r="BN86" s="10">
        <f t="shared" si="113"/>
        <v>104.25563063063062</v>
      </c>
      <c r="BO86" s="10">
        <f t="shared" si="114"/>
        <v>422.28237438751381</v>
      </c>
      <c r="BP86" s="10">
        <f t="shared" si="115"/>
        <v>-105.05850405903008</v>
      </c>
      <c r="BQ86" s="10">
        <f t="shared" si="116"/>
        <v>317.22387032848371</v>
      </c>
      <c r="BR86" s="10">
        <f t="shared" si="117"/>
        <v>58.690913427893804</v>
      </c>
      <c r="BS86" s="10">
        <f t="shared" si="118"/>
        <v>480.97328781540762</v>
      </c>
    </row>
    <row r="87" spans="2:71" hidden="1">
      <c r="B87" s="29" t="s">
        <v>8</v>
      </c>
      <c r="C87" s="29" t="s">
        <v>463</v>
      </c>
      <c r="D87" s="25" t="s">
        <v>490</v>
      </c>
      <c r="E87" s="98">
        <v>72</v>
      </c>
      <c r="F87" s="98">
        <v>46122</v>
      </c>
      <c r="G87" s="99">
        <v>27</v>
      </c>
      <c r="H87" s="185" t="s">
        <v>32</v>
      </c>
      <c r="I87" s="27" t="s">
        <v>155</v>
      </c>
      <c r="J87" s="7" t="s">
        <v>491</v>
      </c>
      <c r="K87" s="7" t="s">
        <v>171</v>
      </c>
      <c r="L87" s="7" t="s">
        <v>202</v>
      </c>
      <c r="M87" s="21" t="s">
        <v>488</v>
      </c>
      <c r="N87" s="7" t="s">
        <v>489</v>
      </c>
      <c r="O87" s="20">
        <v>1700</v>
      </c>
      <c r="P87" s="59">
        <v>45900</v>
      </c>
      <c r="Q87" s="20">
        <v>1585.1851851851852</v>
      </c>
      <c r="R87" s="30">
        <v>3100</v>
      </c>
      <c r="S87" s="32">
        <v>42800</v>
      </c>
      <c r="T87" s="63">
        <v>1</v>
      </c>
      <c r="U87" s="57" t="s">
        <v>559</v>
      </c>
      <c r="V87" s="141">
        <v>6448952470</v>
      </c>
      <c r="W87" s="60" t="s">
        <v>122</v>
      </c>
      <c r="X87" s="4"/>
      <c r="Y87" s="4" t="s">
        <v>867</v>
      </c>
      <c r="Z87" s="7">
        <v>10006720</v>
      </c>
      <c r="AA87" s="7"/>
      <c r="AB87" s="7"/>
      <c r="AC87" s="20">
        <f t="shared" si="121"/>
        <v>1981.722676654683</v>
      </c>
      <c r="AD87" s="44">
        <f>IFERROR(INDEX('Costos Producción Febrero'!$G$34:$G$57,MATCH(Resumen!Z87,'Costos Producción Febrero'!$B$34:$B$57,0))*AC87*G87,0)</f>
        <v>34334.75626305741</v>
      </c>
      <c r="AE87" s="44">
        <f>IFERROR(INDEX('Costos Producción Febrero'!$H$34:$H$57,MATCH(Resumen!Z87,'Costos Producción Febrero'!$B$34:$B$57,0))*AC87*G87,0)</f>
        <v>7221.880096915178</v>
      </c>
      <c r="AF87" s="44">
        <f>IFERROR(INDEX('Costos Producción Febrero'!$I$34:$I$57,MATCH(Resumen!Z87,'Costos Producción Febrero'!$B$34:$B$57,0))*AC87*G87,0)</f>
        <v>499.95687711611856</v>
      </c>
      <c r="AG87" s="44">
        <f>IFERROR(INDEX('Costos Producción Febrero'!$J$34:$J$57,MATCH(Resumen!Z87,'Costos Producción Febrero'!$B$34:$B$57,0))*AC87*G87,0)</f>
        <v>11449.919032587733</v>
      </c>
      <c r="AH87" s="44">
        <f t="shared" si="90"/>
        <v>53506.512269676445</v>
      </c>
      <c r="AI87" s="44"/>
      <c r="AJ87" s="43">
        <v>2036.6442168029967</v>
      </c>
      <c r="AK87" s="44"/>
      <c r="AL87" s="43">
        <f t="shared" si="91"/>
        <v>-7606.5122696764447</v>
      </c>
      <c r="AM87" s="92">
        <f t="shared" si="92"/>
        <v>-0.16571922156157831</v>
      </c>
      <c r="AN87" s="42">
        <f t="shared" si="93"/>
        <v>3100</v>
      </c>
      <c r="AO87" s="42">
        <f t="shared" si="94"/>
        <v>534.12466939844239</v>
      </c>
      <c r="AP87" s="42">
        <f t="shared" si="122"/>
        <v>2937.1013851674329</v>
      </c>
      <c r="AQ87" s="42">
        <f t="shared" si="119"/>
        <v>6571.2260545658755</v>
      </c>
      <c r="AR87" s="42">
        <f t="shared" si="123"/>
        <v>832.68265635440798</v>
      </c>
      <c r="AS87" s="42">
        <f t="shared" si="124"/>
        <v>1284</v>
      </c>
      <c r="AT87" s="43">
        <f t="shared" si="127"/>
        <v>-13726.420980596728</v>
      </c>
      <c r="AU87" s="92">
        <f t="shared" si="97"/>
        <v>-0.2990505660260725</v>
      </c>
      <c r="AV87" s="42">
        <f t="shared" si="125"/>
        <v>2836.5796095938122</v>
      </c>
      <c r="AW87" s="43">
        <f t="shared" si="128"/>
        <v>-16563.000590190539</v>
      </c>
      <c r="AX87" s="92">
        <f t="shared" si="99"/>
        <v>-0.36084968606079604</v>
      </c>
      <c r="AY87" s="42">
        <f t="shared" si="126"/>
        <v>1584.6546625531328</v>
      </c>
      <c r="AZ87" s="43">
        <f t="shared" si="129"/>
        <v>-12141.766318043596</v>
      </c>
      <c r="BA87" s="92">
        <f t="shared" si="101"/>
        <v>-0.26452649930378203</v>
      </c>
      <c r="BC87" s="10">
        <f t="shared" si="102"/>
        <v>1700</v>
      </c>
      <c r="BD87" s="10">
        <f t="shared" si="103"/>
        <v>-1271.6576393724968</v>
      </c>
      <c r="BE87" s="10">
        <f t="shared" si="104"/>
        <v>-267.47704062648808</v>
      </c>
      <c r="BF87" s="10">
        <f t="shared" si="105"/>
        <v>-18.516921374671057</v>
      </c>
      <c r="BG87" s="10">
        <f t="shared" si="106"/>
        <v>-424.07107528102716</v>
      </c>
      <c r="BH87" s="10">
        <f t="shared" si="107"/>
        <v>-1981.722676654683</v>
      </c>
      <c r="BI87" s="10">
        <f t="shared" si="108"/>
        <v>-281.72267665468314</v>
      </c>
      <c r="BJ87" s="10">
        <f t="shared" si="109"/>
        <v>-114.81481481481481</v>
      </c>
      <c r="BK87" s="10">
        <f t="shared" si="110"/>
        <v>-108.781532783979</v>
      </c>
      <c r="BL87" s="10">
        <f t="shared" si="111"/>
        <v>-243.3787427616991</v>
      </c>
      <c r="BM87" s="10">
        <f t="shared" si="112"/>
        <v>-30.840098383496592</v>
      </c>
      <c r="BN87" s="10">
        <f t="shared" si="113"/>
        <v>47.555555555555557</v>
      </c>
      <c r="BO87" s="10">
        <f t="shared" si="114"/>
        <v>-508.38596224432325</v>
      </c>
      <c r="BP87" s="10">
        <f t="shared" si="115"/>
        <v>-105.05850405903008</v>
      </c>
      <c r="BQ87" s="10">
        <f t="shared" si="116"/>
        <v>-613.44446630335324</v>
      </c>
      <c r="BR87" s="10">
        <f t="shared" si="117"/>
        <v>58.690913427893804</v>
      </c>
      <c r="BS87" s="10">
        <f t="shared" si="118"/>
        <v>-449.69504881642945</v>
      </c>
    </row>
    <row r="88" spans="2:71" hidden="1">
      <c r="B88" s="29" t="s">
        <v>8</v>
      </c>
      <c r="C88" s="29" t="s">
        <v>463</v>
      </c>
      <c r="D88" s="25" t="s">
        <v>492</v>
      </c>
      <c r="E88" s="98">
        <v>72</v>
      </c>
      <c r="F88" s="98">
        <v>46122</v>
      </c>
      <c r="G88" s="99">
        <v>27</v>
      </c>
      <c r="H88" s="185" t="s">
        <v>33</v>
      </c>
      <c r="I88" s="27" t="s">
        <v>132</v>
      </c>
      <c r="J88" s="7" t="s">
        <v>493</v>
      </c>
      <c r="K88" s="7" t="s">
        <v>171</v>
      </c>
      <c r="L88" s="7" t="s">
        <v>202</v>
      </c>
      <c r="M88" s="21" t="s">
        <v>488</v>
      </c>
      <c r="N88" s="7" t="s">
        <v>489</v>
      </c>
      <c r="O88" s="20">
        <v>1600</v>
      </c>
      <c r="P88" s="59">
        <v>43200</v>
      </c>
      <c r="Q88" s="20">
        <v>1485.1851851851852</v>
      </c>
      <c r="R88" s="30">
        <v>3100</v>
      </c>
      <c r="S88" s="32">
        <v>40100</v>
      </c>
      <c r="T88" s="63">
        <v>1</v>
      </c>
      <c r="U88" s="57" t="s">
        <v>559</v>
      </c>
      <c r="V88" s="141">
        <v>6448952410</v>
      </c>
      <c r="W88" s="60" t="s">
        <v>122</v>
      </c>
      <c r="X88" s="4"/>
      <c r="Y88" s="4" t="s">
        <v>867</v>
      </c>
      <c r="Z88" s="7">
        <v>10005721</v>
      </c>
      <c r="AA88" s="7"/>
      <c r="AB88" s="7"/>
      <c r="AC88" s="20">
        <f t="shared" si="121"/>
        <v>2081.7652269777964</v>
      </c>
      <c r="AD88" s="44">
        <f>IFERROR(INDEX('Costos Producción Febrero'!$G$34:$G$57,MATCH(Resumen!Z88,'Costos Producción Febrero'!$B$34:$B$57,0))*AC88*G88,0)</f>
        <v>34135.526005785498</v>
      </c>
      <c r="AE88" s="44">
        <f>IFERROR(INDEX('Costos Producción Febrero'!$H$34:$H$57,MATCH(Resumen!Z88,'Costos Producción Febrero'!$B$34:$B$57,0))*AC88*G88,0)</f>
        <v>10002.417812511809</v>
      </c>
      <c r="AF88" s="44">
        <f>IFERROR(INDEX('Costos Producción Febrero'!$I$34:$I$57,MATCH(Resumen!Z88,'Costos Producción Febrero'!$B$34:$B$57,0))*AC88*G88,0)</f>
        <v>612.77062954913174</v>
      </c>
      <c r="AG88" s="44">
        <f>IFERROR(INDEX('Costos Producción Febrero'!$J$34:$J$57,MATCH(Resumen!Z88,'Costos Producción Febrero'!$B$34:$B$57,0))*AC88*G88,0)</f>
        <v>11456.946680554061</v>
      </c>
      <c r="AH88" s="44">
        <f t="shared" si="90"/>
        <v>56207.661128400505</v>
      </c>
      <c r="AI88" s="44"/>
      <c r="AJ88" s="43">
        <v>2136.6867671261102</v>
      </c>
      <c r="AK88" s="44"/>
      <c r="AL88" s="43">
        <f t="shared" si="91"/>
        <v>-13007.661128400505</v>
      </c>
      <c r="AM88" s="92">
        <f t="shared" si="92"/>
        <v>-0.30110326686112282</v>
      </c>
      <c r="AN88" s="42">
        <f t="shared" si="93"/>
        <v>3100</v>
      </c>
      <c r="AO88" s="42">
        <f t="shared" si="94"/>
        <v>534.12466939844239</v>
      </c>
      <c r="AP88" s="42">
        <f t="shared" si="122"/>
        <v>2937.1013851674329</v>
      </c>
      <c r="AQ88" s="42">
        <f t="shared" si="119"/>
        <v>6571.2260545658755</v>
      </c>
      <c r="AR88" s="42">
        <f t="shared" si="123"/>
        <v>832.68265635440798</v>
      </c>
      <c r="AS88" s="42">
        <f t="shared" si="124"/>
        <v>1203</v>
      </c>
      <c r="AT88" s="43">
        <f t="shared" si="127"/>
        <v>-19208.569839320789</v>
      </c>
      <c r="AU88" s="92">
        <f t="shared" si="97"/>
        <v>-0.44464282035464792</v>
      </c>
      <c r="AV88" s="42">
        <f t="shared" si="125"/>
        <v>2836.5796095938122</v>
      </c>
      <c r="AW88" s="43">
        <f t="shared" si="128"/>
        <v>-22045.149448914603</v>
      </c>
      <c r="AX88" s="92">
        <f t="shared" si="99"/>
        <v>-0.51030438539154177</v>
      </c>
      <c r="AY88" s="42">
        <f t="shared" si="126"/>
        <v>1584.6546625531328</v>
      </c>
      <c r="AZ88" s="43">
        <f t="shared" si="129"/>
        <v>-17623.915176767656</v>
      </c>
      <c r="BA88" s="92">
        <f t="shared" si="101"/>
        <v>-0.40796099946221426</v>
      </c>
      <c r="BC88" s="10">
        <f t="shared" si="102"/>
        <v>1600</v>
      </c>
      <c r="BD88" s="10">
        <f t="shared" si="103"/>
        <v>-1264.2787409550185</v>
      </c>
      <c r="BE88" s="10">
        <f t="shared" si="104"/>
        <v>-370.45991898191886</v>
      </c>
      <c r="BF88" s="10">
        <f t="shared" si="105"/>
        <v>-22.695208501819693</v>
      </c>
      <c r="BG88" s="10">
        <f t="shared" si="106"/>
        <v>-424.33135853903929</v>
      </c>
      <c r="BH88" s="10">
        <f t="shared" si="107"/>
        <v>-2081.7652269777964</v>
      </c>
      <c r="BI88" s="10">
        <f t="shared" si="108"/>
        <v>-481.76522697779649</v>
      </c>
      <c r="BJ88" s="10">
        <f t="shared" si="109"/>
        <v>-114.81481481481481</v>
      </c>
      <c r="BK88" s="10">
        <f t="shared" si="110"/>
        <v>-108.781532783979</v>
      </c>
      <c r="BL88" s="10">
        <f t="shared" si="111"/>
        <v>-243.3787427616991</v>
      </c>
      <c r="BM88" s="10">
        <f t="shared" si="112"/>
        <v>-30.840098383496592</v>
      </c>
      <c r="BN88" s="10">
        <f t="shared" si="113"/>
        <v>44.555555555555557</v>
      </c>
      <c r="BO88" s="10">
        <f t="shared" si="114"/>
        <v>-711.42851256743666</v>
      </c>
      <c r="BP88" s="10">
        <f t="shared" si="115"/>
        <v>-105.05850405903008</v>
      </c>
      <c r="BQ88" s="10">
        <f t="shared" si="116"/>
        <v>-816.48701662646681</v>
      </c>
      <c r="BR88" s="10">
        <f t="shared" si="117"/>
        <v>58.690913427893804</v>
      </c>
      <c r="BS88" s="10">
        <f t="shared" si="118"/>
        <v>-652.73759913954279</v>
      </c>
    </row>
    <row r="89" spans="2:71" hidden="1">
      <c r="B89" s="29" t="s">
        <v>8</v>
      </c>
      <c r="C89" s="29" t="s">
        <v>463</v>
      </c>
      <c r="D89" s="25" t="s">
        <v>494</v>
      </c>
      <c r="E89" s="98">
        <v>72</v>
      </c>
      <c r="F89" s="98">
        <v>46122</v>
      </c>
      <c r="G89" s="99">
        <v>27</v>
      </c>
      <c r="H89" s="27" t="s">
        <v>495</v>
      </c>
      <c r="I89" s="27" t="s">
        <v>294</v>
      </c>
      <c r="J89" s="7"/>
      <c r="K89" s="7" t="s">
        <v>171</v>
      </c>
      <c r="L89" s="7" t="s">
        <v>202</v>
      </c>
      <c r="M89" s="21" t="s">
        <v>488</v>
      </c>
      <c r="N89" s="7" t="s">
        <v>489</v>
      </c>
      <c r="O89" s="20">
        <v>3500</v>
      </c>
      <c r="P89" s="59">
        <v>94500</v>
      </c>
      <c r="Q89" s="20">
        <v>3385.1851851851852</v>
      </c>
      <c r="R89" s="30">
        <v>3100</v>
      </c>
      <c r="S89" s="32">
        <v>91400</v>
      </c>
      <c r="T89" s="63">
        <v>1</v>
      </c>
      <c r="U89" s="57" t="s">
        <v>559</v>
      </c>
      <c r="V89" s="141">
        <v>6448952450</v>
      </c>
      <c r="W89" s="60" t="s">
        <v>122</v>
      </c>
      <c r="X89" s="4"/>
      <c r="Y89" s="4" t="s">
        <v>868</v>
      </c>
      <c r="Z89" s="7">
        <v>10009239</v>
      </c>
      <c r="AA89" s="7"/>
      <c r="AB89" s="7"/>
      <c r="AC89" s="20">
        <f t="shared" si="121"/>
        <v>2477.5837901121881</v>
      </c>
      <c r="AD89" s="44">
        <f>IFERROR(INDEX('Costos Producción Febrero'!$G$34:$G$57,MATCH(Resumen!Z89,'Costos Producción Febrero'!$B$34:$B$57,0))*AC89*G89,0)</f>
        <v>32896.016052634943</v>
      </c>
      <c r="AE89" s="44">
        <f>IFERROR(INDEX('Costos Producción Febrero'!$H$34:$H$57,MATCH(Resumen!Z89,'Costos Producción Febrero'!$B$34:$B$57,0))*AC89*G89,0)</f>
        <v>21446.387649551692</v>
      </c>
      <c r="AF89" s="44">
        <f>IFERROR(INDEX('Costos Producción Febrero'!$I$34:$I$57,MATCH(Resumen!Z89,'Costos Producción Febrero'!$B$34:$B$57,0))*AC89*G89,0)</f>
        <v>392.75810623943141</v>
      </c>
      <c r="AG89" s="44">
        <f>IFERROR(INDEX('Costos Producción Febrero'!$J$34:$J$57,MATCH(Resumen!Z89,'Costos Producción Febrero'!$B$34:$B$57,0))*AC89*G89,0)</f>
        <v>12159.600524603025</v>
      </c>
      <c r="AH89" s="44">
        <f t="shared" si="90"/>
        <v>66894.762333029095</v>
      </c>
      <c r="AI89" s="44"/>
      <c r="AJ89" s="43">
        <v>2532.505330260502</v>
      </c>
      <c r="AK89" s="44"/>
      <c r="AL89" s="43">
        <f t="shared" si="91"/>
        <v>27605.237666970905</v>
      </c>
      <c r="AM89" s="92">
        <f t="shared" si="92"/>
        <v>0.29211891711080323</v>
      </c>
      <c r="AN89" s="42">
        <f t="shared" si="93"/>
        <v>3100</v>
      </c>
      <c r="AO89" s="42">
        <f t="shared" si="94"/>
        <v>534.12466939844239</v>
      </c>
      <c r="AP89" s="42">
        <f t="shared" si="122"/>
        <v>2937.1013851674329</v>
      </c>
      <c r="AQ89" s="42">
        <f t="shared" si="119"/>
        <v>6571.2260545658755</v>
      </c>
      <c r="AR89" s="42">
        <f t="shared" si="123"/>
        <v>832.68265635440798</v>
      </c>
      <c r="AS89" s="42">
        <f t="shared" si="124"/>
        <v>2742</v>
      </c>
      <c r="AT89" s="43">
        <f t="shared" si="127"/>
        <v>22943.32895605062</v>
      </c>
      <c r="AU89" s="92">
        <f t="shared" si="97"/>
        <v>0.24278654979947745</v>
      </c>
      <c r="AV89" s="42">
        <f t="shared" si="125"/>
        <v>2836.5796095938122</v>
      </c>
      <c r="AW89" s="43">
        <f t="shared" si="128"/>
        <v>20106.749346456807</v>
      </c>
      <c r="AX89" s="92">
        <f t="shared" si="99"/>
        <v>0.21276983435404029</v>
      </c>
      <c r="AY89" s="42">
        <f t="shared" si="126"/>
        <v>1584.6546625531328</v>
      </c>
      <c r="AZ89" s="43">
        <f t="shared" si="129"/>
        <v>24527.983618603754</v>
      </c>
      <c r="BA89" s="92">
        <f t="shared" si="101"/>
        <v>0.25955538220744712</v>
      </c>
      <c r="BC89" s="10">
        <f t="shared" si="102"/>
        <v>3500</v>
      </c>
      <c r="BD89" s="10">
        <f t="shared" si="103"/>
        <v>-1218.3709649124053</v>
      </c>
      <c r="BE89" s="10">
        <f t="shared" si="104"/>
        <v>-794.31065368709972</v>
      </c>
      <c r="BF89" s="10">
        <f t="shared" si="105"/>
        <v>-14.546596527386349</v>
      </c>
      <c r="BG89" s="10">
        <f t="shared" si="106"/>
        <v>-450.35557498529721</v>
      </c>
      <c r="BH89" s="10">
        <f t="shared" si="107"/>
        <v>-2477.5837901121886</v>
      </c>
      <c r="BI89" s="10">
        <f t="shared" si="108"/>
        <v>1022.4162098878113</v>
      </c>
      <c r="BJ89" s="10">
        <f t="shared" si="109"/>
        <v>-114.81481481481481</v>
      </c>
      <c r="BK89" s="10">
        <f t="shared" si="110"/>
        <v>-108.781532783979</v>
      </c>
      <c r="BL89" s="10">
        <f t="shared" si="111"/>
        <v>-243.3787427616991</v>
      </c>
      <c r="BM89" s="10">
        <f t="shared" si="112"/>
        <v>-30.840098383496592</v>
      </c>
      <c r="BN89" s="10">
        <f t="shared" si="113"/>
        <v>101.55555555555556</v>
      </c>
      <c r="BO89" s="10">
        <f t="shared" si="114"/>
        <v>849.75292429817114</v>
      </c>
      <c r="BP89" s="10">
        <f t="shared" si="115"/>
        <v>-105.05850405903008</v>
      </c>
      <c r="BQ89" s="10">
        <f t="shared" si="116"/>
        <v>744.69442023914098</v>
      </c>
      <c r="BR89" s="10">
        <f t="shared" si="117"/>
        <v>58.690913427893804</v>
      </c>
      <c r="BS89" s="10">
        <f t="shared" si="118"/>
        <v>908.443837726065</v>
      </c>
    </row>
    <row r="90" spans="2:71" hidden="1">
      <c r="B90" s="29" t="s">
        <v>8</v>
      </c>
      <c r="C90" s="29" t="s">
        <v>463</v>
      </c>
      <c r="D90" s="25" t="s">
        <v>496</v>
      </c>
      <c r="E90" s="98">
        <v>76</v>
      </c>
      <c r="F90" s="98">
        <v>46134</v>
      </c>
      <c r="G90" s="99">
        <v>24.2</v>
      </c>
      <c r="H90" s="27" t="s">
        <v>497</v>
      </c>
      <c r="I90" s="27" t="s">
        <v>498</v>
      </c>
      <c r="J90" s="7"/>
      <c r="K90" s="7" t="s">
        <v>171</v>
      </c>
      <c r="L90" s="7" t="s">
        <v>499</v>
      </c>
      <c r="M90" s="21" t="s">
        <v>45</v>
      </c>
      <c r="N90" s="7" t="s">
        <v>191</v>
      </c>
      <c r="O90" s="20">
        <v>1250</v>
      </c>
      <c r="P90" s="59">
        <v>30300</v>
      </c>
      <c r="Q90" s="20">
        <v>1108.0165289256199</v>
      </c>
      <c r="R90" s="30">
        <v>3436</v>
      </c>
      <c r="S90" s="32">
        <v>26814</v>
      </c>
      <c r="T90" s="63">
        <v>1</v>
      </c>
      <c r="U90" s="57" t="s">
        <v>560</v>
      </c>
      <c r="V90" s="141" t="s">
        <v>561</v>
      </c>
      <c r="W90" s="60" t="s">
        <v>182</v>
      </c>
      <c r="X90" s="4"/>
      <c r="Y90" s="4" t="s">
        <v>866</v>
      </c>
      <c r="Z90" s="7"/>
      <c r="AA90" s="7"/>
      <c r="AB90" s="7"/>
      <c r="AC90" s="20">
        <f t="shared" ref="AC90:AC98" si="130">AJ90</f>
        <v>0</v>
      </c>
      <c r="AD90" s="44">
        <f>IFERROR(INDEX('Costos Producción Febrero'!$G$34:$G$57,MATCH(Resumen!Z90,'Costos Producción Febrero'!$B$34:$B$57,0))*AC90*G90,0)</f>
        <v>0</v>
      </c>
      <c r="AE90" s="44">
        <f>IFERROR(INDEX('Costos Producción Febrero'!$H$34:$H$57,MATCH(Resumen!Z90,'Costos Producción Febrero'!$B$34:$B$57,0))*AC90*G90,0)</f>
        <v>0</v>
      </c>
      <c r="AF90" s="44">
        <f>IFERROR(INDEX('Costos Producción Febrero'!$I$34:$I$57,MATCH(Resumen!Z90,'Costos Producción Febrero'!$B$34:$B$57,0))*AC90*G90,0)</f>
        <v>0</v>
      </c>
      <c r="AG90" s="44">
        <f>IFERROR(INDEX('Costos Producción Febrero'!$J$34:$J$57,MATCH(Resumen!Z90,'Costos Producción Febrero'!$B$34:$B$57,0))*AC90*G90,0)</f>
        <v>0</v>
      </c>
      <c r="AH90" s="44">
        <f t="shared" si="90"/>
        <v>0</v>
      </c>
      <c r="AI90" s="44"/>
      <c r="AJ90" s="44">
        <v>0</v>
      </c>
      <c r="AK90" s="44"/>
      <c r="AL90" s="43">
        <f t="shared" si="91"/>
        <v>30300</v>
      </c>
      <c r="AM90" s="92">
        <f t="shared" si="92"/>
        <v>1</v>
      </c>
      <c r="AN90" s="42">
        <f t="shared" si="93"/>
        <v>3436</v>
      </c>
      <c r="AO90" s="42">
        <f t="shared" si="94"/>
        <v>478.73396294230764</v>
      </c>
      <c r="AP90" s="42">
        <f t="shared" si="122"/>
        <v>2632.5130933722917</v>
      </c>
      <c r="AQ90" s="42">
        <f t="shared" si="119"/>
        <v>6547.2470563145998</v>
      </c>
      <c r="AR90" s="42">
        <f t="shared" si="123"/>
        <v>746.33038088061755</v>
      </c>
      <c r="AS90" s="42">
        <f t="shared" si="124"/>
        <v>804.42</v>
      </c>
      <c r="AT90" s="43">
        <f t="shared" si="127"/>
        <v>23810.842562804784</v>
      </c>
      <c r="AU90" s="92">
        <f t="shared" si="97"/>
        <v>0.78583638821137902</v>
      </c>
      <c r="AV90" s="42">
        <f t="shared" si="125"/>
        <v>2542.4157982285278</v>
      </c>
      <c r="AW90" s="43">
        <f t="shared" si="128"/>
        <v>21268.426764576256</v>
      </c>
      <c r="AX90" s="92">
        <f t="shared" si="99"/>
        <v>0.70192827605862229</v>
      </c>
      <c r="AY90" s="42">
        <f t="shared" si="126"/>
        <v>1420.32010495503</v>
      </c>
      <c r="AZ90" s="43">
        <f t="shared" si="129"/>
        <v>25231.162667759814</v>
      </c>
      <c r="BA90" s="92">
        <f t="shared" si="101"/>
        <v>0.83271163919999391</v>
      </c>
      <c r="BC90" s="10">
        <f t="shared" si="102"/>
        <v>1252.0661157024795</v>
      </c>
      <c r="BD90" s="10">
        <f t="shared" si="103"/>
        <v>0</v>
      </c>
      <c r="BE90" s="10">
        <f t="shared" si="104"/>
        <v>0</v>
      </c>
      <c r="BF90" s="10">
        <f t="shared" si="105"/>
        <v>0</v>
      </c>
      <c r="BG90" s="10">
        <f t="shared" si="106"/>
        <v>0</v>
      </c>
      <c r="BH90" s="10">
        <f t="shared" si="107"/>
        <v>0</v>
      </c>
      <c r="BI90" s="10">
        <f t="shared" si="108"/>
        <v>1252.0661157024795</v>
      </c>
      <c r="BJ90" s="10">
        <f t="shared" si="109"/>
        <v>-141.98347107438016</v>
      </c>
      <c r="BK90" s="10">
        <f t="shared" si="110"/>
        <v>-108.781532783979</v>
      </c>
      <c r="BL90" s="10">
        <f t="shared" si="111"/>
        <v>-270.54739902126448</v>
      </c>
      <c r="BM90" s="10">
        <f t="shared" si="112"/>
        <v>-30.840098383496596</v>
      </c>
      <c r="BN90" s="10">
        <f t="shared" si="113"/>
        <v>33.240495867768594</v>
      </c>
      <c r="BO90" s="10">
        <f t="shared" si="114"/>
        <v>983.91911416548703</v>
      </c>
      <c r="BP90" s="10">
        <f t="shared" si="115"/>
        <v>-105.05850405903008</v>
      </c>
      <c r="BQ90" s="10">
        <f t="shared" si="116"/>
        <v>878.86061010645687</v>
      </c>
      <c r="BR90" s="10">
        <f t="shared" si="117"/>
        <v>58.690913427893804</v>
      </c>
      <c r="BS90" s="10">
        <f t="shared" si="118"/>
        <v>1042.6100275933809</v>
      </c>
    </row>
    <row r="91" spans="2:71" hidden="1">
      <c r="B91" s="29" t="s">
        <v>8</v>
      </c>
      <c r="C91" s="29" t="s">
        <v>463</v>
      </c>
      <c r="D91" s="25" t="s">
        <v>500</v>
      </c>
      <c r="E91" s="98">
        <v>84</v>
      </c>
      <c r="F91" s="98">
        <v>46132</v>
      </c>
      <c r="G91" s="99">
        <v>81</v>
      </c>
      <c r="H91" s="185" t="s">
        <v>33</v>
      </c>
      <c r="I91" s="27" t="s">
        <v>132</v>
      </c>
      <c r="J91" s="7" t="s">
        <v>206</v>
      </c>
      <c r="K91" s="7" t="s">
        <v>171</v>
      </c>
      <c r="L91" s="7" t="s">
        <v>172</v>
      </c>
      <c r="M91" s="21" t="s">
        <v>501</v>
      </c>
      <c r="N91" s="7" t="s">
        <v>502</v>
      </c>
      <c r="O91" s="20">
        <v>2200</v>
      </c>
      <c r="P91" s="59">
        <v>178200</v>
      </c>
      <c r="Q91" s="20">
        <v>2099.962962962963</v>
      </c>
      <c r="R91" s="30">
        <v>8103</v>
      </c>
      <c r="S91" s="32">
        <v>170097</v>
      </c>
      <c r="T91" s="63">
        <v>3</v>
      </c>
      <c r="U91" s="57" t="s">
        <v>550</v>
      </c>
      <c r="V91" s="141" t="s">
        <v>562</v>
      </c>
      <c r="W91" s="60"/>
      <c r="X91" s="4"/>
      <c r="Y91" s="4" t="s">
        <v>867</v>
      </c>
      <c r="Z91" s="7">
        <v>10005721</v>
      </c>
      <c r="AA91" s="7"/>
      <c r="AB91" s="7"/>
      <c r="AC91" s="20">
        <f t="shared" ref="AC91:AC96" si="131">AJ91-111688.22/2006.56+0.74</f>
        <v>2081.7652269777964</v>
      </c>
      <c r="AD91" s="44">
        <f>IFERROR(INDEX('Costos Producción Febrero'!$G$34:$G$57,MATCH(Resumen!Z91,'Costos Producción Febrero'!$B$34:$B$57,0))*AC91*G91,0)</f>
        <v>102406.5780173565</v>
      </c>
      <c r="AE91" s="44">
        <f>IFERROR(INDEX('Costos Producción Febrero'!$H$34:$H$57,MATCH(Resumen!Z91,'Costos Producción Febrero'!$B$34:$B$57,0))*AC91*G91,0)</f>
        <v>30007.253437535426</v>
      </c>
      <c r="AF91" s="44">
        <f>IFERROR(INDEX('Costos Producción Febrero'!$I$34:$I$57,MATCH(Resumen!Z91,'Costos Producción Febrero'!$B$34:$B$57,0))*AC91*G91,0)</f>
        <v>1838.3118886473951</v>
      </c>
      <c r="AG91" s="44">
        <f>IFERROR(INDEX('Costos Producción Febrero'!$J$34:$J$57,MATCH(Resumen!Z91,'Costos Producción Febrero'!$B$34:$B$57,0))*AC91*G91,0)</f>
        <v>34370.840041662188</v>
      </c>
      <c r="AH91" s="44">
        <f t="shared" si="90"/>
        <v>168622.98338520149</v>
      </c>
      <c r="AI91" s="44"/>
      <c r="AJ91" s="43">
        <v>2136.6867671261102</v>
      </c>
      <c r="AK91" s="44"/>
      <c r="AL91" s="43">
        <f t="shared" si="91"/>
        <v>9577.0166147985146</v>
      </c>
      <c r="AM91" s="92">
        <f t="shared" si="92"/>
        <v>5.3743078646456312E-2</v>
      </c>
      <c r="AN91" s="42">
        <f t="shared" si="93"/>
        <v>8103</v>
      </c>
      <c r="AO91" s="42">
        <f t="shared" si="94"/>
        <v>1602.3740081953272</v>
      </c>
      <c r="AP91" s="42">
        <f t="shared" si="122"/>
        <v>8811.3041555022992</v>
      </c>
      <c r="AQ91" s="42">
        <f t="shared" si="119"/>
        <v>18516.678163697627</v>
      </c>
      <c r="AR91" s="42">
        <f t="shared" si="123"/>
        <v>2498.0479690632242</v>
      </c>
      <c r="AS91" s="42">
        <f t="shared" si="124"/>
        <v>5102.91</v>
      </c>
      <c r="AT91" s="43">
        <f t="shared" si="127"/>
        <v>-6334.7995179623358</v>
      </c>
      <c r="AU91" s="92">
        <f t="shared" si="97"/>
        <v>-3.554881884378415E-2</v>
      </c>
      <c r="AV91" s="42">
        <f t="shared" si="125"/>
        <v>8509.7388287814374</v>
      </c>
      <c r="AW91" s="43">
        <f t="shared" si="128"/>
        <v>-14844.538346743773</v>
      </c>
      <c r="AX91" s="92">
        <f t="shared" si="99"/>
        <v>-8.3302684325161469E-2</v>
      </c>
      <c r="AY91" s="42">
        <f t="shared" si="126"/>
        <v>4753.9639876593983</v>
      </c>
      <c r="AZ91" s="43">
        <f t="shared" si="129"/>
        <v>-1580.8355303029375</v>
      </c>
      <c r="BA91" s="92">
        <f t="shared" si="101"/>
        <v>-8.8711309220142389E-3</v>
      </c>
      <c r="BC91" s="10">
        <f t="shared" si="102"/>
        <v>2200</v>
      </c>
      <c r="BD91" s="10">
        <f t="shared" si="103"/>
        <v>-1264.2787409550185</v>
      </c>
      <c r="BE91" s="10">
        <f t="shared" si="104"/>
        <v>-370.45991898191886</v>
      </c>
      <c r="BF91" s="10">
        <f t="shared" si="105"/>
        <v>-22.695208501819693</v>
      </c>
      <c r="BG91" s="10">
        <f t="shared" si="106"/>
        <v>-424.33135853903934</v>
      </c>
      <c r="BH91" s="10">
        <f t="shared" si="107"/>
        <v>-2081.7652269777959</v>
      </c>
      <c r="BI91" s="10">
        <f t="shared" si="108"/>
        <v>118.23477302220388</v>
      </c>
      <c r="BJ91" s="10">
        <f t="shared" si="109"/>
        <v>-100.03703703703704</v>
      </c>
      <c r="BK91" s="10">
        <f t="shared" si="110"/>
        <v>-108.781532783979</v>
      </c>
      <c r="BL91" s="10">
        <f t="shared" si="111"/>
        <v>-228.60096498392133</v>
      </c>
      <c r="BM91" s="10">
        <f t="shared" si="112"/>
        <v>-30.840098383496596</v>
      </c>
      <c r="BN91" s="10">
        <f t="shared" si="113"/>
        <v>62.998888888888885</v>
      </c>
      <c r="BO91" s="10">
        <f t="shared" si="114"/>
        <v>-78.20740145632513</v>
      </c>
      <c r="BP91" s="10">
        <f t="shared" si="115"/>
        <v>-105.05850405903008</v>
      </c>
      <c r="BQ91" s="10">
        <f t="shared" si="116"/>
        <v>-183.26590551535523</v>
      </c>
      <c r="BR91" s="10">
        <f t="shared" si="117"/>
        <v>58.690913427893804</v>
      </c>
      <c r="BS91" s="10">
        <f t="shared" si="118"/>
        <v>-19.516488028431326</v>
      </c>
    </row>
    <row r="92" spans="2:71" hidden="1">
      <c r="B92" s="29" t="s">
        <v>8</v>
      </c>
      <c r="C92" s="29" t="s">
        <v>463</v>
      </c>
      <c r="D92" s="25" t="s">
        <v>503</v>
      </c>
      <c r="E92" s="98">
        <v>87</v>
      </c>
      <c r="F92" s="98">
        <v>46140</v>
      </c>
      <c r="G92" s="99">
        <v>189</v>
      </c>
      <c r="H92" s="185" t="s">
        <v>33</v>
      </c>
      <c r="I92" s="27" t="s">
        <v>132</v>
      </c>
      <c r="J92" s="7" t="s">
        <v>504</v>
      </c>
      <c r="K92" s="7" t="s">
        <v>171</v>
      </c>
      <c r="L92" s="7" t="s">
        <v>172</v>
      </c>
      <c r="M92" s="21" t="s">
        <v>501</v>
      </c>
      <c r="N92" s="7" t="s">
        <v>502</v>
      </c>
      <c r="O92" s="20">
        <v>2100</v>
      </c>
      <c r="P92" s="59">
        <v>396900</v>
      </c>
      <c r="Q92" s="20">
        <v>2029.6296296296296</v>
      </c>
      <c r="R92" s="30">
        <v>13300</v>
      </c>
      <c r="S92" s="32">
        <v>383600</v>
      </c>
      <c r="T92" s="63">
        <v>4</v>
      </c>
      <c r="U92" s="57" t="s">
        <v>563</v>
      </c>
      <c r="V92" s="141">
        <v>6450842530</v>
      </c>
      <c r="W92" s="60"/>
      <c r="X92" s="4"/>
      <c r="Y92" s="4" t="s">
        <v>867</v>
      </c>
      <c r="Z92" s="7">
        <v>10005721</v>
      </c>
      <c r="AA92" s="7"/>
      <c r="AB92" s="7"/>
      <c r="AC92" s="20">
        <f t="shared" si="131"/>
        <v>2081.7652269777964</v>
      </c>
      <c r="AD92" s="44">
        <f>IFERROR(INDEX('Costos Producción Febrero'!$G$34:$G$57,MATCH(Resumen!Z92,'Costos Producción Febrero'!$B$34:$B$57,0))*AC92*G92,0)</f>
        <v>238948.6820404985</v>
      </c>
      <c r="AE92" s="44">
        <f>IFERROR(INDEX('Costos Producción Febrero'!$H$34:$H$57,MATCH(Resumen!Z92,'Costos Producción Febrero'!$B$34:$B$57,0))*AC92*G92,0)</f>
        <v>70016.924687582665</v>
      </c>
      <c r="AF92" s="44">
        <f>IFERROR(INDEX('Costos Producción Febrero'!$I$34:$I$57,MATCH(Resumen!Z92,'Costos Producción Febrero'!$B$34:$B$57,0))*AC92*G92,0)</f>
        <v>4289.3944068439223</v>
      </c>
      <c r="AG92" s="44">
        <f>IFERROR(INDEX('Costos Producción Febrero'!$J$34:$J$57,MATCH(Resumen!Z92,'Costos Producción Febrero'!$B$34:$B$57,0))*AC92*G92,0)</f>
        <v>80198.626763878434</v>
      </c>
      <c r="AH92" s="44">
        <f t="shared" si="90"/>
        <v>393453.62789880356</v>
      </c>
      <c r="AI92" s="44"/>
      <c r="AJ92" s="43">
        <v>2136.6867671261102</v>
      </c>
      <c r="AK92" s="44"/>
      <c r="AL92" s="43">
        <f t="shared" si="91"/>
        <v>3446.3721011964371</v>
      </c>
      <c r="AM92" s="92">
        <f t="shared" si="92"/>
        <v>8.6832252486682727E-3</v>
      </c>
      <c r="AN92" s="42">
        <f t="shared" si="93"/>
        <v>13300</v>
      </c>
      <c r="AO92" s="42">
        <f t="shared" si="94"/>
        <v>3738.872685789097</v>
      </c>
      <c r="AP92" s="42">
        <f t="shared" si="122"/>
        <v>20559.709696172031</v>
      </c>
      <c r="AQ92" s="42">
        <f t="shared" si="119"/>
        <v>37598.582381961125</v>
      </c>
      <c r="AR92" s="42">
        <f t="shared" si="123"/>
        <v>5828.7785944808556</v>
      </c>
      <c r="AS92" s="42">
        <f t="shared" si="124"/>
        <v>11508</v>
      </c>
      <c r="AT92" s="43">
        <f t="shared" si="127"/>
        <v>-28472.988875245544</v>
      </c>
      <c r="AU92" s="92">
        <f t="shared" si="97"/>
        <v>-7.1738445137932844E-2</v>
      </c>
      <c r="AV92" s="42">
        <f t="shared" si="125"/>
        <v>19856.057267156684</v>
      </c>
      <c r="AW92" s="43">
        <f t="shared" si="128"/>
        <v>-48329.046142402229</v>
      </c>
      <c r="AX92" s="92">
        <f t="shared" si="99"/>
        <v>-0.12176630421366144</v>
      </c>
      <c r="AY92" s="42">
        <f t="shared" si="126"/>
        <v>11092.582637871928</v>
      </c>
      <c r="AZ92" s="43">
        <f t="shared" si="129"/>
        <v>-17380.406237373616</v>
      </c>
      <c r="BA92" s="92">
        <f t="shared" si="101"/>
        <v>-4.379039112465008E-2</v>
      </c>
      <c r="BC92" s="10">
        <f t="shared" si="102"/>
        <v>2100</v>
      </c>
      <c r="BD92" s="10">
        <f t="shared" si="103"/>
        <v>-1264.2787409550185</v>
      </c>
      <c r="BE92" s="10">
        <f t="shared" si="104"/>
        <v>-370.45991898191886</v>
      </c>
      <c r="BF92" s="10">
        <f t="shared" si="105"/>
        <v>-22.695208501819696</v>
      </c>
      <c r="BG92" s="10">
        <f t="shared" si="106"/>
        <v>-424.33135853903934</v>
      </c>
      <c r="BH92" s="10">
        <f t="shared" si="107"/>
        <v>-2081.7652269777968</v>
      </c>
      <c r="BI92" s="10">
        <f t="shared" si="108"/>
        <v>18.23477302220337</v>
      </c>
      <c r="BJ92" s="10">
        <f t="shared" si="109"/>
        <v>-70.370370370370367</v>
      </c>
      <c r="BK92" s="10">
        <f t="shared" si="110"/>
        <v>-108.781532783979</v>
      </c>
      <c r="BL92" s="10">
        <f t="shared" si="111"/>
        <v>-198.93429831725464</v>
      </c>
      <c r="BM92" s="10">
        <f t="shared" si="112"/>
        <v>-30.840098383496592</v>
      </c>
      <c r="BN92" s="10">
        <f t="shared" si="113"/>
        <v>60.888888888888886</v>
      </c>
      <c r="BO92" s="10">
        <f t="shared" si="114"/>
        <v>-150.65073478965897</v>
      </c>
      <c r="BP92" s="10">
        <f t="shared" si="115"/>
        <v>-105.05850405903007</v>
      </c>
      <c r="BQ92" s="10">
        <f t="shared" si="116"/>
        <v>-255.70923884868904</v>
      </c>
      <c r="BR92" s="10">
        <f t="shared" si="117"/>
        <v>58.690913427893804</v>
      </c>
      <c r="BS92" s="10">
        <f t="shared" si="118"/>
        <v>-91.959821361765165</v>
      </c>
    </row>
    <row r="93" spans="2:71" hidden="1">
      <c r="B93" s="29" t="s">
        <v>8</v>
      </c>
      <c r="C93" s="29" t="s">
        <v>463</v>
      </c>
      <c r="D93" s="25" t="s">
        <v>505</v>
      </c>
      <c r="E93" s="98">
        <v>88</v>
      </c>
      <c r="F93" s="98">
        <v>46129</v>
      </c>
      <c r="G93" s="99">
        <v>162</v>
      </c>
      <c r="H93" s="27" t="s">
        <v>495</v>
      </c>
      <c r="I93" s="27" t="s">
        <v>201</v>
      </c>
      <c r="J93" s="7"/>
      <c r="K93" s="7" t="s">
        <v>292</v>
      </c>
      <c r="L93" s="7" t="s">
        <v>172</v>
      </c>
      <c r="M93" s="21" t="s">
        <v>47</v>
      </c>
      <c r="N93" s="7" t="s">
        <v>191</v>
      </c>
      <c r="O93" s="20">
        <v>3900</v>
      </c>
      <c r="P93" s="59">
        <v>631800</v>
      </c>
      <c r="Q93" s="20">
        <v>3792.5925925925926</v>
      </c>
      <c r="R93" s="30">
        <v>17400</v>
      </c>
      <c r="S93" s="32">
        <v>614400</v>
      </c>
      <c r="T93" s="63">
        <v>6</v>
      </c>
      <c r="U93" s="57" t="s">
        <v>558</v>
      </c>
      <c r="V93" s="141">
        <v>6450013900</v>
      </c>
      <c r="W93" s="60"/>
      <c r="X93" s="4"/>
      <c r="Y93" s="4" t="s">
        <v>868</v>
      </c>
      <c r="Z93" s="7">
        <v>10009239</v>
      </c>
      <c r="AA93" s="7"/>
      <c r="AB93" s="7"/>
      <c r="AC93" s="20">
        <f t="shared" si="131"/>
        <v>2477.5837901121881</v>
      </c>
      <c r="AD93" s="44">
        <f>IFERROR(INDEX('Costos Producción Febrero'!$G$34:$G$57,MATCH(Resumen!Z93,'Costos Producción Febrero'!$B$34:$B$57,0))*AC93*G93,0)</f>
        <v>197376.09631580964</v>
      </c>
      <c r="AE93" s="44">
        <f>IFERROR(INDEX('Costos Producción Febrero'!$H$34:$H$57,MATCH(Resumen!Z93,'Costos Producción Febrero'!$B$34:$B$57,0))*AC93*G93,0)</f>
        <v>128678.32589731015</v>
      </c>
      <c r="AF93" s="44">
        <f>IFERROR(INDEX('Costos Producción Febrero'!$I$34:$I$57,MATCH(Resumen!Z93,'Costos Producción Febrero'!$B$34:$B$57,0))*AC93*G93,0)</f>
        <v>2356.5486374365887</v>
      </c>
      <c r="AG93" s="44">
        <f>IFERROR(INDEX('Costos Producción Febrero'!$J$34:$J$57,MATCH(Resumen!Z93,'Costos Producción Febrero'!$B$34:$B$57,0))*AC93*G93,0)</f>
        <v>72957.603147618152</v>
      </c>
      <c r="AH93" s="44">
        <f t="shared" si="90"/>
        <v>401368.57399817451</v>
      </c>
      <c r="AI93" s="44"/>
      <c r="AJ93" s="43">
        <v>2532.505330260502</v>
      </c>
      <c r="AK93" s="44"/>
      <c r="AL93" s="43">
        <f t="shared" si="91"/>
        <v>230431.42600182549</v>
      </c>
      <c r="AM93" s="92">
        <f t="shared" si="92"/>
        <v>0.36472210509943886</v>
      </c>
      <c r="AN93" s="42">
        <f t="shared" si="93"/>
        <v>17400</v>
      </c>
      <c r="AO93" s="42">
        <f t="shared" si="94"/>
        <v>3204.7480163906544</v>
      </c>
      <c r="AP93" s="42">
        <f t="shared" si="122"/>
        <v>17622.608311004598</v>
      </c>
      <c r="AQ93" s="42">
        <f t="shared" si="119"/>
        <v>38227.356327395253</v>
      </c>
      <c r="AR93" s="42">
        <f t="shared" si="123"/>
        <v>4996.0959381264483</v>
      </c>
      <c r="AS93" s="42">
        <f t="shared" si="124"/>
        <v>18432</v>
      </c>
      <c r="AT93" s="43">
        <f t="shared" si="127"/>
        <v>205639.9737363038</v>
      </c>
      <c r="AU93" s="92">
        <f t="shared" si="97"/>
        <v>0.32548270613533364</v>
      </c>
      <c r="AV93" s="42">
        <f t="shared" si="125"/>
        <v>17019.477657562875</v>
      </c>
      <c r="AW93" s="43">
        <f t="shared" si="128"/>
        <v>188620.49607874092</v>
      </c>
      <c r="AX93" s="92">
        <f t="shared" si="99"/>
        <v>0.29854462817147975</v>
      </c>
      <c r="AY93" s="42">
        <f t="shared" si="126"/>
        <v>9507.9279753187966</v>
      </c>
      <c r="AZ93" s="43">
        <f t="shared" si="129"/>
        <v>215147.9017116226</v>
      </c>
      <c r="BA93" s="92">
        <f t="shared" si="101"/>
        <v>0.34053165829633208</v>
      </c>
      <c r="BC93" s="10">
        <f t="shared" si="102"/>
        <v>3900</v>
      </c>
      <c r="BD93" s="10">
        <f t="shared" si="103"/>
        <v>-1218.3709649124053</v>
      </c>
      <c r="BE93" s="10">
        <f t="shared" si="104"/>
        <v>-794.31065368709972</v>
      </c>
      <c r="BF93" s="10">
        <f t="shared" si="105"/>
        <v>-14.546596527386351</v>
      </c>
      <c r="BG93" s="10">
        <f t="shared" si="106"/>
        <v>-450.35557498529721</v>
      </c>
      <c r="BH93" s="10">
        <f t="shared" si="107"/>
        <v>-2477.5837901121886</v>
      </c>
      <c r="BI93" s="10">
        <f t="shared" si="108"/>
        <v>1422.4162098878116</v>
      </c>
      <c r="BJ93" s="10">
        <f t="shared" si="109"/>
        <v>-107.4074074074074</v>
      </c>
      <c r="BK93" s="10">
        <f t="shared" si="110"/>
        <v>-108.781532783979</v>
      </c>
      <c r="BL93" s="10">
        <f t="shared" si="111"/>
        <v>-235.97133535429168</v>
      </c>
      <c r="BM93" s="10">
        <f t="shared" si="112"/>
        <v>-30.840098383496596</v>
      </c>
      <c r="BN93" s="10">
        <f t="shared" si="113"/>
        <v>113.77777777777777</v>
      </c>
      <c r="BO93" s="10">
        <f t="shared" si="114"/>
        <v>1269.3825539278012</v>
      </c>
      <c r="BP93" s="10">
        <f t="shared" si="115"/>
        <v>-105.05850405903008</v>
      </c>
      <c r="BQ93" s="10">
        <f t="shared" si="116"/>
        <v>1164.3240498687712</v>
      </c>
      <c r="BR93" s="10">
        <f t="shared" si="117"/>
        <v>58.690913427893804</v>
      </c>
      <c r="BS93" s="10">
        <f t="shared" si="118"/>
        <v>1328.0734673556951</v>
      </c>
    </row>
    <row r="94" spans="2:71" hidden="1">
      <c r="B94" s="29" t="s">
        <v>8</v>
      </c>
      <c r="C94" s="29" t="s">
        <v>463</v>
      </c>
      <c r="D94" s="25" t="s">
        <v>506</v>
      </c>
      <c r="E94" s="98">
        <v>88</v>
      </c>
      <c r="F94" s="98">
        <v>46134</v>
      </c>
      <c r="G94" s="99">
        <v>27</v>
      </c>
      <c r="H94" s="27" t="s">
        <v>495</v>
      </c>
      <c r="I94" s="27" t="s">
        <v>201</v>
      </c>
      <c r="J94" s="7"/>
      <c r="K94" s="7" t="s">
        <v>292</v>
      </c>
      <c r="L94" s="7" t="s">
        <v>172</v>
      </c>
      <c r="M94" s="21" t="s">
        <v>47</v>
      </c>
      <c r="N94" s="7" t="s">
        <v>191</v>
      </c>
      <c r="O94" s="20">
        <v>3900</v>
      </c>
      <c r="P94" s="59">
        <v>105300</v>
      </c>
      <c r="Q94" s="20">
        <v>3799.962962962963</v>
      </c>
      <c r="R94" s="30">
        <v>2701</v>
      </c>
      <c r="S94" s="32">
        <v>102599</v>
      </c>
      <c r="T94" s="63">
        <v>1</v>
      </c>
      <c r="U94" s="57" t="s">
        <v>564</v>
      </c>
      <c r="V94" s="141" t="s">
        <v>565</v>
      </c>
      <c r="W94" s="60"/>
      <c r="X94" s="4"/>
      <c r="Y94" s="4" t="s">
        <v>868</v>
      </c>
      <c r="Z94" s="7">
        <v>10009239</v>
      </c>
      <c r="AA94" s="7"/>
      <c r="AB94" s="7"/>
      <c r="AC94" s="20">
        <f t="shared" si="131"/>
        <v>2477.5837901121881</v>
      </c>
      <c r="AD94" s="44">
        <f>IFERROR(INDEX('Costos Producción Febrero'!$G$34:$G$57,MATCH(Resumen!Z94,'Costos Producción Febrero'!$B$34:$B$57,0))*AC94*G94,0)</f>
        <v>32896.016052634943</v>
      </c>
      <c r="AE94" s="44">
        <f>IFERROR(INDEX('Costos Producción Febrero'!$H$34:$H$57,MATCH(Resumen!Z94,'Costos Producción Febrero'!$B$34:$B$57,0))*AC94*G94,0)</f>
        <v>21446.387649551692</v>
      </c>
      <c r="AF94" s="44">
        <f>IFERROR(INDEX('Costos Producción Febrero'!$I$34:$I$57,MATCH(Resumen!Z94,'Costos Producción Febrero'!$B$34:$B$57,0))*AC94*G94,0)</f>
        <v>392.75810623943141</v>
      </c>
      <c r="AG94" s="44">
        <f>IFERROR(INDEX('Costos Producción Febrero'!$J$34:$J$57,MATCH(Resumen!Z94,'Costos Producción Febrero'!$B$34:$B$57,0))*AC94*G94,0)</f>
        <v>12159.600524603025</v>
      </c>
      <c r="AH94" s="44">
        <f t="shared" si="90"/>
        <v>66894.762333029095</v>
      </c>
      <c r="AI94" s="44"/>
      <c r="AJ94" s="43">
        <v>2532.505330260502</v>
      </c>
      <c r="AK94" s="44"/>
      <c r="AL94" s="43">
        <f t="shared" si="91"/>
        <v>38405.237666970905</v>
      </c>
      <c r="AM94" s="92">
        <f t="shared" si="92"/>
        <v>0.36472210509943881</v>
      </c>
      <c r="AN94" s="42">
        <f t="shared" si="93"/>
        <v>2701</v>
      </c>
      <c r="AO94" s="42">
        <f t="shared" si="94"/>
        <v>534.12466939844239</v>
      </c>
      <c r="AP94" s="42">
        <f t="shared" si="122"/>
        <v>2937.1013851674329</v>
      </c>
      <c r="AQ94" s="42">
        <f t="shared" si="119"/>
        <v>6172.2260545658755</v>
      </c>
      <c r="AR94" s="42">
        <f t="shared" si="123"/>
        <v>832.68265635440798</v>
      </c>
      <c r="AS94" s="42">
        <f t="shared" si="124"/>
        <v>3077.97</v>
      </c>
      <c r="AT94" s="43">
        <f t="shared" si="127"/>
        <v>34478.298956050618</v>
      </c>
      <c r="AU94" s="92">
        <f t="shared" si="97"/>
        <v>0.32742923984853389</v>
      </c>
      <c r="AV94" s="42">
        <f t="shared" si="125"/>
        <v>2836.5796095938122</v>
      </c>
      <c r="AW94" s="43">
        <f t="shared" si="128"/>
        <v>31641.719346456804</v>
      </c>
      <c r="AX94" s="92">
        <f t="shared" si="99"/>
        <v>0.30049116188468</v>
      </c>
      <c r="AY94" s="42">
        <f t="shared" si="126"/>
        <v>1584.6546625531328</v>
      </c>
      <c r="AZ94" s="43">
        <f t="shared" si="129"/>
        <v>36062.953618603751</v>
      </c>
      <c r="BA94" s="92">
        <f t="shared" si="101"/>
        <v>0.34247819200953228</v>
      </c>
      <c r="BC94" s="10">
        <f t="shared" si="102"/>
        <v>3900</v>
      </c>
      <c r="BD94" s="10">
        <f t="shared" si="103"/>
        <v>-1218.3709649124053</v>
      </c>
      <c r="BE94" s="10">
        <f t="shared" si="104"/>
        <v>-794.31065368709972</v>
      </c>
      <c r="BF94" s="10">
        <f t="shared" si="105"/>
        <v>-14.546596527386349</v>
      </c>
      <c r="BG94" s="10">
        <f t="shared" si="106"/>
        <v>-450.35557498529721</v>
      </c>
      <c r="BH94" s="10">
        <f t="shared" si="107"/>
        <v>-2477.5837901121886</v>
      </c>
      <c r="BI94" s="10">
        <f t="shared" si="108"/>
        <v>1422.4162098878112</v>
      </c>
      <c r="BJ94" s="10">
        <f t="shared" si="109"/>
        <v>-100.03703703703704</v>
      </c>
      <c r="BK94" s="10">
        <f t="shared" si="110"/>
        <v>-108.781532783979</v>
      </c>
      <c r="BL94" s="10">
        <f t="shared" si="111"/>
        <v>-228.60096498392133</v>
      </c>
      <c r="BM94" s="10">
        <f t="shared" si="112"/>
        <v>-30.840098383496592</v>
      </c>
      <c r="BN94" s="10">
        <f t="shared" si="113"/>
        <v>113.99888888888889</v>
      </c>
      <c r="BO94" s="10">
        <f t="shared" si="114"/>
        <v>1276.9740354092821</v>
      </c>
      <c r="BP94" s="10">
        <f t="shared" si="115"/>
        <v>-105.05850405903008</v>
      </c>
      <c r="BQ94" s="10">
        <f t="shared" si="116"/>
        <v>1171.915531350252</v>
      </c>
      <c r="BR94" s="10">
        <f t="shared" si="117"/>
        <v>58.690913427893804</v>
      </c>
      <c r="BS94" s="10">
        <f t="shared" si="118"/>
        <v>1335.6649488371759</v>
      </c>
    </row>
    <row r="95" spans="2:71" hidden="1">
      <c r="B95" s="29" t="s">
        <v>8</v>
      </c>
      <c r="C95" s="29" t="s">
        <v>463</v>
      </c>
      <c r="D95" s="25" t="s">
        <v>507</v>
      </c>
      <c r="E95" s="98">
        <v>88</v>
      </c>
      <c r="F95" s="98">
        <v>46136</v>
      </c>
      <c r="G95" s="99">
        <v>26.46</v>
      </c>
      <c r="H95" s="27" t="s">
        <v>35</v>
      </c>
      <c r="I95" s="27" t="s">
        <v>486</v>
      </c>
      <c r="J95" s="7"/>
      <c r="K95" s="7" t="s">
        <v>171</v>
      </c>
      <c r="L95" s="7" t="s">
        <v>172</v>
      </c>
      <c r="M95" s="21" t="s">
        <v>508</v>
      </c>
      <c r="N95" s="7" t="s">
        <v>509</v>
      </c>
      <c r="O95" s="20">
        <v>4200</v>
      </c>
      <c r="P95" s="59">
        <v>111132</v>
      </c>
      <c r="Q95" s="20">
        <v>4074.3386243386244</v>
      </c>
      <c r="R95" s="30">
        <v>3325</v>
      </c>
      <c r="S95" s="32">
        <v>107807</v>
      </c>
      <c r="T95" s="63">
        <v>1</v>
      </c>
      <c r="U95" s="57" t="s">
        <v>566</v>
      </c>
      <c r="V95" s="141">
        <v>6451450280</v>
      </c>
      <c r="W95" s="60" t="s">
        <v>122</v>
      </c>
      <c r="X95" s="4"/>
      <c r="Y95" s="4" t="s">
        <v>868</v>
      </c>
      <c r="Z95" s="7">
        <v>10009331</v>
      </c>
      <c r="AA95" s="7"/>
      <c r="AB95" s="7"/>
      <c r="AC95" s="20">
        <f t="shared" si="131"/>
        <v>2997.7569176004231</v>
      </c>
      <c r="AD95" s="44">
        <f>IFERROR(INDEX('Costos Producción Febrero'!$G$34:$G$57,MATCH(Resumen!Z95,'Costos Producción Febrero'!$B$34:$B$57,0))*AC95*G95,0)</f>
        <v>45262.486532943709</v>
      </c>
      <c r="AE95" s="44">
        <f>IFERROR(INDEX('Costos Producción Febrero'!$H$34:$H$57,MATCH(Resumen!Z95,'Costos Producción Febrero'!$B$34:$B$57,0))*AC95*G95,0)</f>
        <v>17957.163479832994</v>
      </c>
      <c r="AF95" s="44">
        <f>IFERROR(INDEX('Costos Producción Febrero'!$I$34:$I$57,MATCH(Resumen!Z95,'Costos Producción Febrero'!$B$34:$B$57,0))*AC95*G95,0)</f>
        <v>822.42954669346386</v>
      </c>
      <c r="AG95" s="44">
        <f>IFERROR(INDEX('Costos Producción Febrero'!$J$34:$J$57,MATCH(Resumen!Z95,'Costos Producción Febrero'!$B$34:$B$57,0))*AC95*G95,0)</f>
        <v>15278.568480237038</v>
      </c>
      <c r="AH95" s="44">
        <f t="shared" si="90"/>
        <v>79320.648039707216</v>
      </c>
      <c r="AI95" s="44"/>
      <c r="AJ95" s="43">
        <v>3052.6784577487369</v>
      </c>
      <c r="AK95" s="44"/>
      <c r="AL95" s="43">
        <f t="shared" si="91"/>
        <v>31811.351960292784</v>
      </c>
      <c r="AM95" s="92">
        <f t="shared" si="92"/>
        <v>0.28624835295228002</v>
      </c>
      <c r="AN95" s="42">
        <f t="shared" si="93"/>
        <v>3325</v>
      </c>
      <c r="AO95" s="42">
        <f t="shared" si="94"/>
        <v>523.44217601047353</v>
      </c>
      <c r="AP95" s="42">
        <f t="shared" si="122"/>
        <v>2878.3593574640845</v>
      </c>
      <c r="AQ95" s="42">
        <f t="shared" si="119"/>
        <v>6726.8015334745578</v>
      </c>
      <c r="AR95" s="42">
        <f t="shared" si="123"/>
        <v>816.02900322731989</v>
      </c>
      <c r="AS95" s="42">
        <f t="shared" si="124"/>
        <v>3234.21</v>
      </c>
      <c r="AT95" s="43">
        <f t="shared" si="127"/>
        <v>27502.731423590907</v>
      </c>
      <c r="AU95" s="92">
        <f t="shared" si="97"/>
        <v>0.2474780569376139</v>
      </c>
      <c r="AV95" s="42">
        <f t="shared" si="125"/>
        <v>2779.848017401936</v>
      </c>
      <c r="AW95" s="43">
        <f t="shared" si="128"/>
        <v>24722.883406188972</v>
      </c>
      <c r="AX95" s="92">
        <f t="shared" si="99"/>
        <v>0.22246412739974961</v>
      </c>
      <c r="AY95" s="42">
        <f t="shared" si="126"/>
        <v>1552.9615693020701</v>
      </c>
      <c r="AZ95" s="43">
        <f t="shared" si="129"/>
        <v>29055.692992892979</v>
      </c>
      <c r="BA95" s="92">
        <f t="shared" si="101"/>
        <v>0.26145208394425529</v>
      </c>
      <c r="BC95" s="10">
        <f t="shared" si="102"/>
        <v>4200</v>
      </c>
      <c r="BD95" s="10">
        <f t="shared" si="103"/>
        <v>-1710.6003980704349</v>
      </c>
      <c r="BE95" s="10">
        <f t="shared" si="104"/>
        <v>-678.65319273745251</v>
      </c>
      <c r="BF95" s="10">
        <f t="shared" si="105"/>
        <v>-31.081993450244287</v>
      </c>
      <c r="BG95" s="10">
        <f t="shared" si="106"/>
        <v>-577.42133334229163</v>
      </c>
      <c r="BH95" s="10">
        <f t="shared" si="107"/>
        <v>-2997.7569176004235</v>
      </c>
      <c r="BI95" s="10">
        <f t="shared" si="108"/>
        <v>1202.243082399576</v>
      </c>
      <c r="BJ95" s="10">
        <f t="shared" si="109"/>
        <v>-125.66137566137566</v>
      </c>
      <c r="BK95" s="10">
        <f t="shared" si="110"/>
        <v>-108.781532783979</v>
      </c>
      <c r="BL95" s="10">
        <f t="shared" si="111"/>
        <v>-254.22530360825994</v>
      </c>
      <c r="BM95" s="10">
        <f t="shared" si="112"/>
        <v>-30.840098383496592</v>
      </c>
      <c r="BN95" s="10">
        <f t="shared" si="113"/>
        <v>122.23015873015873</v>
      </c>
      <c r="BO95" s="10">
        <f t="shared" si="114"/>
        <v>1039.4078391379783</v>
      </c>
      <c r="BP95" s="10">
        <f t="shared" si="115"/>
        <v>-105.05850405903008</v>
      </c>
      <c r="BQ95" s="10">
        <f t="shared" si="116"/>
        <v>934.34933507894823</v>
      </c>
      <c r="BR95" s="10">
        <f t="shared" si="117"/>
        <v>58.690913427893804</v>
      </c>
      <c r="BS95" s="10">
        <f t="shared" si="118"/>
        <v>1098.0987525658722</v>
      </c>
    </row>
    <row r="96" spans="2:71" hidden="1">
      <c r="B96" s="29" t="s">
        <v>8</v>
      </c>
      <c r="C96" s="29" t="s">
        <v>463</v>
      </c>
      <c r="D96" s="25" t="s">
        <v>510</v>
      </c>
      <c r="E96" s="98">
        <v>91</v>
      </c>
      <c r="F96" s="98">
        <v>46136</v>
      </c>
      <c r="G96" s="99">
        <v>54</v>
      </c>
      <c r="H96" s="184" t="s">
        <v>31</v>
      </c>
      <c r="I96" s="27" t="s">
        <v>107</v>
      </c>
      <c r="J96" s="7" t="s">
        <v>290</v>
      </c>
      <c r="K96" s="7" t="s">
        <v>171</v>
      </c>
      <c r="L96" s="7" t="s">
        <v>202</v>
      </c>
      <c r="M96" s="21" t="s">
        <v>58</v>
      </c>
      <c r="N96" s="7" t="s">
        <v>511</v>
      </c>
      <c r="O96" s="20">
        <v>2700</v>
      </c>
      <c r="P96" s="59">
        <v>145800</v>
      </c>
      <c r="Q96" s="20">
        <v>2576.8518518518517</v>
      </c>
      <c r="R96" s="30">
        <v>6650</v>
      </c>
      <c r="S96" s="32">
        <v>139150</v>
      </c>
      <c r="T96" s="63">
        <v>2</v>
      </c>
      <c r="U96" s="57" t="s">
        <v>566</v>
      </c>
      <c r="V96" s="141">
        <v>6450494060</v>
      </c>
      <c r="W96" s="60" t="s">
        <v>122</v>
      </c>
      <c r="X96" s="4"/>
      <c r="Y96" s="4" t="s">
        <v>867</v>
      </c>
      <c r="Z96" s="7">
        <v>10007162</v>
      </c>
      <c r="AA96" s="7"/>
      <c r="AB96" s="7"/>
      <c r="AC96" s="20">
        <f t="shared" si="131"/>
        <v>1987.6114199724566</v>
      </c>
      <c r="AD96" s="44">
        <f>IFERROR(INDEX('Costos Producción Febrero'!$G$34:$G$57,MATCH(Resumen!Z96,'Costos Producción Febrero'!$B$34:$B$57,0))*AC96*G96,0)</f>
        <v>65810.082845596728</v>
      </c>
      <c r="AE96" s="44">
        <f>IFERROR(INDEX('Costos Producción Febrero'!$H$34:$H$57,MATCH(Resumen!Z96,'Costos Producción Febrero'!$B$34:$B$57,0))*AC96*G96,0)</f>
        <v>18684.79492286162</v>
      </c>
      <c r="AF96" s="44">
        <f>IFERROR(INDEX('Costos Producción Febrero'!$I$34:$I$57,MATCH(Resumen!Z96,'Costos Producción Febrero'!$B$34:$B$57,0))*AC96*G96,0)</f>
        <v>995.02185684408607</v>
      </c>
      <c r="AG96" s="44">
        <f>IFERROR(INDEX('Costos Producción Febrero'!$J$34:$J$57,MATCH(Resumen!Z96,'Costos Producción Febrero'!$B$34:$B$57,0))*AC96*G96,0)</f>
        <v>21841.117053210222</v>
      </c>
      <c r="AH96" s="44">
        <f t="shared" si="90"/>
        <v>107331.01667851266</v>
      </c>
      <c r="AI96" s="44"/>
      <c r="AJ96" s="43">
        <v>2042.5329601207702</v>
      </c>
      <c r="AK96" s="44"/>
      <c r="AL96" s="43">
        <f t="shared" si="91"/>
        <v>38468.983321487336</v>
      </c>
      <c r="AM96" s="92">
        <f t="shared" si="92"/>
        <v>0.26384762223242342</v>
      </c>
      <c r="AN96" s="42">
        <f t="shared" si="93"/>
        <v>6650</v>
      </c>
      <c r="AO96" s="42">
        <f t="shared" si="94"/>
        <v>1068.2493387968848</v>
      </c>
      <c r="AP96" s="42">
        <f t="shared" si="122"/>
        <v>5874.2027703348658</v>
      </c>
      <c r="AQ96" s="42">
        <f t="shared" si="119"/>
        <v>13592.452109131751</v>
      </c>
      <c r="AR96" s="42">
        <f t="shared" si="123"/>
        <v>1665.365312708816</v>
      </c>
      <c r="AS96" s="42">
        <f t="shared" si="124"/>
        <v>4174.5</v>
      </c>
      <c r="AT96" s="43">
        <f t="shared" si="127"/>
        <v>27385.66589964677</v>
      </c>
      <c r="AU96" s="92">
        <f t="shared" si="97"/>
        <v>0.1878303559646555</v>
      </c>
      <c r="AV96" s="42">
        <f t="shared" si="125"/>
        <v>5673.1592191876243</v>
      </c>
      <c r="AW96" s="43">
        <f t="shared" si="128"/>
        <v>21712.506680459148</v>
      </c>
      <c r="AX96" s="92">
        <f t="shared" si="99"/>
        <v>0.14891979890575546</v>
      </c>
      <c r="AY96" s="42">
        <f t="shared" si="126"/>
        <v>3169.3093251062655</v>
      </c>
      <c r="AZ96" s="43">
        <f t="shared" si="129"/>
        <v>30554.975224753034</v>
      </c>
      <c r="BA96" s="92">
        <f t="shared" si="101"/>
        <v>0.20956773130831985</v>
      </c>
      <c r="BC96" s="10">
        <f t="shared" si="102"/>
        <v>2700</v>
      </c>
      <c r="BD96" s="10">
        <f t="shared" si="103"/>
        <v>-1218.7052378814208</v>
      </c>
      <c r="BE96" s="10">
        <f t="shared" si="104"/>
        <v>-346.01472079373372</v>
      </c>
      <c r="BF96" s="10">
        <f t="shared" si="105"/>
        <v>-18.426330682297891</v>
      </c>
      <c r="BG96" s="10">
        <f t="shared" si="106"/>
        <v>-404.46513061500411</v>
      </c>
      <c r="BH96" s="10">
        <f t="shared" si="107"/>
        <v>-1987.6114199724568</v>
      </c>
      <c r="BI96" s="10">
        <f t="shared" si="108"/>
        <v>712.3885800275433</v>
      </c>
      <c r="BJ96" s="10">
        <f t="shared" si="109"/>
        <v>-123.14814814814815</v>
      </c>
      <c r="BK96" s="10">
        <f t="shared" si="110"/>
        <v>-108.781532783979</v>
      </c>
      <c r="BL96" s="10">
        <f t="shared" si="111"/>
        <v>-251.71207609503242</v>
      </c>
      <c r="BM96" s="10">
        <f t="shared" si="112"/>
        <v>-30.840098383496592</v>
      </c>
      <c r="BN96" s="10">
        <f t="shared" si="113"/>
        <v>77.305555555555557</v>
      </c>
      <c r="BO96" s="10">
        <f t="shared" si="114"/>
        <v>507.14196110456982</v>
      </c>
      <c r="BP96" s="10">
        <f t="shared" si="115"/>
        <v>-105.05850405903008</v>
      </c>
      <c r="BQ96" s="10">
        <f t="shared" si="116"/>
        <v>402.08345704553977</v>
      </c>
      <c r="BR96" s="10">
        <f t="shared" si="117"/>
        <v>58.690913427893804</v>
      </c>
      <c r="BS96" s="10">
        <f t="shared" si="118"/>
        <v>565.83287453246362</v>
      </c>
    </row>
    <row r="97" spans="2:71" hidden="1">
      <c r="B97" s="29" t="s">
        <v>8</v>
      </c>
      <c r="C97" s="29" t="s">
        <v>463</v>
      </c>
      <c r="D97" s="25" t="s">
        <v>512</v>
      </c>
      <c r="E97" s="98">
        <v>91</v>
      </c>
      <c r="F97" s="98">
        <v>46136</v>
      </c>
      <c r="G97" s="99">
        <v>26.1</v>
      </c>
      <c r="H97" s="100" t="s">
        <v>39</v>
      </c>
      <c r="I97" s="27" t="s">
        <v>170</v>
      </c>
      <c r="J97" s="7"/>
      <c r="K97" s="7" t="s">
        <v>171</v>
      </c>
      <c r="L97" s="7" t="s">
        <v>172</v>
      </c>
      <c r="M97" s="21" t="s">
        <v>55</v>
      </c>
      <c r="N97" s="7"/>
      <c r="O97" s="20">
        <v>2000</v>
      </c>
      <c r="P97" s="59">
        <v>52200</v>
      </c>
      <c r="Q97" s="20">
        <v>1880.2681992337164</v>
      </c>
      <c r="R97" s="30">
        <v>3125</v>
      </c>
      <c r="S97" s="32">
        <v>49075</v>
      </c>
      <c r="T97" s="63">
        <v>1</v>
      </c>
      <c r="U97" s="57" t="s">
        <v>566</v>
      </c>
      <c r="V97" s="141">
        <v>6450494050</v>
      </c>
      <c r="W97" s="60" t="s">
        <v>122</v>
      </c>
      <c r="X97" s="4"/>
      <c r="Y97" s="4" t="s">
        <v>866</v>
      </c>
      <c r="Z97" s="7"/>
      <c r="AA97" s="7"/>
      <c r="AB97" s="7"/>
      <c r="AC97" s="20">
        <f t="shared" si="130"/>
        <v>0</v>
      </c>
      <c r="AD97" s="44">
        <f>IFERROR(INDEX('Costos Producción Febrero'!$G$34:$G$57,MATCH(Resumen!Z97,'Costos Producción Febrero'!$B$34:$B$57,0))*AC97*G97,0)</f>
        <v>0</v>
      </c>
      <c r="AE97" s="44">
        <f>IFERROR(INDEX('Costos Producción Febrero'!$H$34:$H$57,MATCH(Resumen!Z97,'Costos Producción Febrero'!$B$34:$B$57,0))*AC97*G97,0)</f>
        <v>0</v>
      </c>
      <c r="AF97" s="44">
        <f>IFERROR(INDEX('Costos Producción Febrero'!$I$34:$I$57,MATCH(Resumen!Z97,'Costos Producción Febrero'!$B$34:$B$57,0))*AC97*G97,0)</f>
        <v>0</v>
      </c>
      <c r="AG97" s="44">
        <f>IFERROR(INDEX('Costos Producción Febrero'!$J$34:$J$57,MATCH(Resumen!Z97,'Costos Producción Febrero'!$B$34:$B$57,0))*AC97*G97,0)</f>
        <v>0</v>
      </c>
      <c r="AH97" s="44">
        <f t="shared" si="90"/>
        <v>0</v>
      </c>
      <c r="AI97" s="44"/>
      <c r="AJ97" s="44">
        <v>0</v>
      </c>
      <c r="AK97" s="44"/>
      <c r="AL97" s="43">
        <f t="shared" si="91"/>
        <v>52200</v>
      </c>
      <c r="AM97" s="92">
        <f t="shared" si="92"/>
        <v>1</v>
      </c>
      <c r="AN97" s="42">
        <f t="shared" si="93"/>
        <v>3125</v>
      </c>
      <c r="AO97" s="42">
        <f t="shared" si="94"/>
        <v>516.32051375182766</v>
      </c>
      <c r="AP97" s="42">
        <f t="shared" si="122"/>
        <v>2839.1980056618522</v>
      </c>
      <c r="AQ97" s="42">
        <f t="shared" si="119"/>
        <v>6480.5185194136793</v>
      </c>
      <c r="AR97" s="42">
        <f t="shared" si="123"/>
        <v>804.92656780926109</v>
      </c>
      <c r="AS97" s="42">
        <f t="shared" si="124"/>
        <v>1472.25</v>
      </c>
      <c r="AT97" s="43">
        <f t="shared" si="127"/>
        <v>46386.804912777057</v>
      </c>
      <c r="AU97" s="92">
        <f t="shared" si="97"/>
        <v>0.88863610944017346</v>
      </c>
      <c r="AV97" s="42">
        <f t="shared" si="125"/>
        <v>2742.0269559406852</v>
      </c>
      <c r="AW97" s="43">
        <f t="shared" si="128"/>
        <v>43644.777956836369</v>
      </c>
      <c r="AX97" s="92">
        <f t="shared" si="99"/>
        <v>0.83610685741065838</v>
      </c>
      <c r="AY97" s="42">
        <f t="shared" si="126"/>
        <v>1531.8328404680283</v>
      </c>
      <c r="AZ97" s="43">
        <f t="shared" si="129"/>
        <v>47918.637753245086</v>
      </c>
      <c r="BA97" s="92">
        <f t="shared" si="101"/>
        <v>0.91798156615412041</v>
      </c>
      <c r="BC97" s="10">
        <f t="shared" si="102"/>
        <v>2000</v>
      </c>
      <c r="BD97" s="10">
        <f t="shared" si="103"/>
        <v>0</v>
      </c>
      <c r="BE97" s="10">
        <f t="shared" si="104"/>
        <v>0</v>
      </c>
      <c r="BF97" s="10">
        <f t="shared" si="105"/>
        <v>0</v>
      </c>
      <c r="BG97" s="10">
        <f t="shared" si="106"/>
        <v>0</v>
      </c>
      <c r="BH97" s="10">
        <f t="shared" si="107"/>
        <v>0</v>
      </c>
      <c r="BI97" s="10">
        <f t="shared" si="108"/>
        <v>2000</v>
      </c>
      <c r="BJ97" s="10">
        <f t="shared" si="109"/>
        <v>-119.73180076628351</v>
      </c>
      <c r="BK97" s="10">
        <f t="shared" si="110"/>
        <v>-108.781532783979</v>
      </c>
      <c r="BL97" s="10">
        <f t="shared" si="111"/>
        <v>-248.29572871316779</v>
      </c>
      <c r="BM97" s="10">
        <f t="shared" si="112"/>
        <v>-30.840098383496592</v>
      </c>
      <c r="BN97" s="10">
        <f t="shared" si="113"/>
        <v>56.40804597701149</v>
      </c>
      <c r="BO97" s="10">
        <f t="shared" si="114"/>
        <v>1777.2722188803468</v>
      </c>
      <c r="BP97" s="10">
        <f t="shared" si="115"/>
        <v>-105.05850405903008</v>
      </c>
      <c r="BQ97" s="10">
        <f t="shared" si="116"/>
        <v>1672.2137148213167</v>
      </c>
      <c r="BR97" s="10">
        <f t="shared" si="117"/>
        <v>58.690913427893804</v>
      </c>
      <c r="BS97" s="10">
        <f t="shared" si="118"/>
        <v>1835.9631323082408</v>
      </c>
    </row>
    <row r="98" spans="2:71" hidden="1">
      <c r="B98" s="29" t="s">
        <v>8</v>
      </c>
      <c r="C98" s="29" t="s">
        <v>463</v>
      </c>
      <c r="D98" s="25" t="s">
        <v>513</v>
      </c>
      <c r="E98" s="98">
        <v>91</v>
      </c>
      <c r="F98" s="98">
        <v>46140</v>
      </c>
      <c r="G98" s="99">
        <v>26.25</v>
      </c>
      <c r="H98" s="185" t="s">
        <v>38</v>
      </c>
      <c r="I98" s="27" t="s">
        <v>174</v>
      </c>
      <c r="J98" s="7"/>
      <c r="K98" s="7" t="s">
        <v>171</v>
      </c>
      <c r="L98" s="7" t="s">
        <v>172</v>
      </c>
      <c r="M98" s="21" t="s">
        <v>55</v>
      </c>
      <c r="N98" s="7"/>
      <c r="O98" s="20">
        <v>2000</v>
      </c>
      <c r="P98" s="59">
        <v>52500</v>
      </c>
      <c r="Q98" s="20">
        <v>1880.952380952381</v>
      </c>
      <c r="R98" s="30">
        <v>3125</v>
      </c>
      <c r="S98" s="32">
        <v>49375</v>
      </c>
      <c r="T98" s="63">
        <v>1</v>
      </c>
      <c r="U98" s="57" t="s">
        <v>563</v>
      </c>
      <c r="V98" s="141">
        <v>6451132960</v>
      </c>
      <c r="W98" s="60" t="s">
        <v>122</v>
      </c>
      <c r="X98" s="4"/>
      <c r="Y98" s="4" t="s">
        <v>866</v>
      </c>
      <c r="Z98" s="7"/>
      <c r="AA98" s="7"/>
      <c r="AB98" s="7"/>
      <c r="AC98" s="20">
        <f t="shared" si="130"/>
        <v>0</v>
      </c>
      <c r="AD98" s="44">
        <f>IFERROR(INDEX('Costos Producción Febrero'!$G$34:$G$57,MATCH(Resumen!Z98,'Costos Producción Febrero'!$B$34:$B$57,0))*AC98*G98,0)</f>
        <v>0</v>
      </c>
      <c r="AE98" s="44">
        <f>IFERROR(INDEX('Costos Producción Febrero'!$H$34:$H$57,MATCH(Resumen!Z98,'Costos Producción Febrero'!$B$34:$B$57,0))*AC98*G98,0)</f>
        <v>0</v>
      </c>
      <c r="AF98" s="44">
        <f>IFERROR(INDEX('Costos Producción Febrero'!$I$34:$I$57,MATCH(Resumen!Z98,'Costos Producción Febrero'!$B$34:$B$57,0))*AC98*G98,0)</f>
        <v>0</v>
      </c>
      <c r="AG98" s="44">
        <f>IFERROR(INDEX('Costos Producción Febrero'!$J$34:$J$57,MATCH(Resumen!Z98,'Costos Producción Febrero'!$B$34:$B$57,0))*AC98*G98,0)</f>
        <v>0</v>
      </c>
      <c r="AH98" s="44">
        <f t="shared" si="90"/>
        <v>0</v>
      </c>
      <c r="AI98" s="44"/>
      <c r="AJ98" s="44">
        <v>0</v>
      </c>
      <c r="AK98" s="44"/>
      <c r="AL98" s="43">
        <f t="shared" si="91"/>
        <v>52500</v>
      </c>
      <c r="AM98" s="92">
        <f t="shared" si="92"/>
        <v>1</v>
      </c>
      <c r="AN98" s="42">
        <f t="shared" si="93"/>
        <v>3125</v>
      </c>
      <c r="AO98" s="42">
        <f t="shared" si="94"/>
        <v>519.28787302626347</v>
      </c>
      <c r="AP98" s="42">
        <f t="shared" si="122"/>
        <v>2855.5152355794489</v>
      </c>
      <c r="AQ98" s="42">
        <f t="shared" si="119"/>
        <v>6499.8031086057126</v>
      </c>
      <c r="AR98" s="42">
        <f t="shared" si="123"/>
        <v>809.55258256678553</v>
      </c>
      <c r="AS98" s="42">
        <f t="shared" si="124"/>
        <v>1481.25</v>
      </c>
      <c r="AT98" s="43">
        <f t="shared" si="127"/>
        <v>46671.894308827497</v>
      </c>
      <c r="AU98" s="92">
        <f t="shared" si="97"/>
        <v>0.88898846302528567</v>
      </c>
      <c r="AV98" s="42">
        <f t="shared" si="125"/>
        <v>2757.7857315495398</v>
      </c>
      <c r="AW98" s="43">
        <f t="shared" si="128"/>
        <v>43914.108577277955</v>
      </c>
      <c r="AX98" s="92">
        <f t="shared" si="99"/>
        <v>0.83645921099577059</v>
      </c>
      <c r="AY98" s="42">
        <f t="shared" si="126"/>
        <v>1540.6364774822123</v>
      </c>
      <c r="AZ98" s="43">
        <f t="shared" si="129"/>
        <v>48212.530786309711</v>
      </c>
      <c r="BA98" s="92">
        <f t="shared" si="101"/>
        <v>0.91833391973923262</v>
      </c>
      <c r="BC98" s="10">
        <f t="shared" si="102"/>
        <v>2000</v>
      </c>
      <c r="BD98" s="10">
        <f t="shared" si="103"/>
        <v>0</v>
      </c>
      <c r="BE98" s="10">
        <f t="shared" si="104"/>
        <v>0</v>
      </c>
      <c r="BF98" s="10">
        <f t="shared" si="105"/>
        <v>0</v>
      </c>
      <c r="BG98" s="10">
        <f t="shared" si="106"/>
        <v>0</v>
      </c>
      <c r="BH98" s="10">
        <f t="shared" si="107"/>
        <v>0</v>
      </c>
      <c r="BI98" s="10">
        <f t="shared" si="108"/>
        <v>2000</v>
      </c>
      <c r="BJ98" s="10">
        <f t="shared" si="109"/>
        <v>-119.04761904761905</v>
      </c>
      <c r="BK98" s="10">
        <f t="shared" si="110"/>
        <v>-108.781532783979</v>
      </c>
      <c r="BL98" s="10">
        <f t="shared" si="111"/>
        <v>-247.61154699450333</v>
      </c>
      <c r="BM98" s="10">
        <f t="shared" si="112"/>
        <v>-30.840098383496592</v>
      </c>
      <c r="BN98" s="10">
        <f t="shared" si="113"/>
        <v>56.428571428571431</v>
      </c>
      <c r="BO98" s="10">
        <f t="shared" si="114"/>
        <v>1777.9769260505714</v>
      </c>
      <c r="BP98" s="10">
        <f t="shared" si="115"/>
        <v>-105.05850405903008</v>
      </c>
      <c r="BQ98" s="10">
        <f t="shared" si="116"/>
        <v>1672.9184219915412</v>
      </c>
      <c r="BR98" s="10">
        <f t="shared" si="117"/>
        <v>58.690913427893804</v>
      </c>
      <c r="BS98" s="10">
        <f t="shared" si="118"/>
        <v>1836.6678394784651</v>
      </c>
    </row>
    <row r="99" spans="2:71" hidden="1">
      <c r="B99" s="29" t="s">
        <v>8</v>
      </c>
      <c r="C99" s="29" t="s">
        <v>463</v>
      </c>
      <c r="D99" s="25" t="s">
        <v>514</v>
      </c>
      <c r="E99" s="98">
        <v>97</v>
      </c>
      <c r="F99" s="98">
        <v>46140</v>
      </c>
      <c r="G99" s="99">
        <v>54</v>
      </c>
      <c r="H99" s="184" t="s">
        <v>31</v>
      </c>
      <c r="I99" s="27" t="s">
        <v>107</v>
      </c>
      <c r="J99" s="7" t="s">
        <v>515</v>
      </c>
      <c r="K99" s="7" t="s">
        <v>171</v>
      </c>
      <c r="L99" s="7" t="s">
        <v>516</v>
      </c>
      <c r="M99" s="21" t="s">
        <v>508</v>
      </c>
      <c r="N99" s="7" t="s">
        <v>509</v>
      </c>
      <c r="O99" s="20">
        <v>2850</v>
      </c>
      <c r="P99" s="59">
        <v>153900</v>
      </c>
      <c r="Q99" s="20">
        <v>2726.8518518518517</v>
      </c>
      <c r="R99" s="30">
        <v>6650</v>
      </c>
      <c r="S99" s="32">
        <v>147250</v>
      </c>
      <c r="T99" s="63">
        <v>2</v>
      </c>
      <c r="U99" s="57" t="s">
        <v>566</v>
      </c>
      <c r="V99" s="141">
        <v>6451277930</v>
      </c>
      <c r="W99" s="60" t="s">
        <v>122</v>
      </c>
      <c r="X99" s="4"/>
      <c r="Y99" s="4" t="s">
        <v>867</v>
      </c>
      <c r="Z99" s="7">
        <v>10007162</v>
      </c>
      <c r="AA99" s="7"/>
      <c r="AB99" s="7"/>
      <c r="AC99" s="20">
        <f t="shared" ref="AC99:AC110" si="132">AJ99-111688.22/2006.56+0.74</f>
        <v>1987.6114199724566</v>
      </c>
      <c r="AD99" s="44">
        <f>IFERROR(INDEX('Costos Producción Febrero'!$G$34:$G$57,MATCH(Resumen!Z99,'Costos Producción Febrero'!$B$34:$B$57,0))*AC99*G99,0)</f>
        <v>65810.082845596728</v>
      </c>
      <c r="AE99" s="44">
        <f>IFERROR(INDEX('Costos Producción Febrero'!$H$34:$H$57,MATCH(Resumen!Z99,'Costos Producción Febrero'!$B$34:$B$57,0))*AC99*G99,0)</f>
        <v>18684.79492286162</v>
      </c>
      <c r="AF99" s="44">
        <f>IFERROR(INDEX('Costos Producción Febrero'!$I$34:$I$57,MATCH(Resumen!Z99,'Costos Producción Febrero'!$B$34:$B$57,0))*AC99*G99,0)</f>
        <v>995.02185684408607</v>
      </c>
      <c r="AG99" s="44">
        <f>IFERROR(INDEX('Costos Producción Febrero'!$J$34:$J$57,MATCH(Resumen!Z99,'Costos Producción Febrero'!$B$34:$B$57,0))*AC99*G99,0)</f>
        <v>21841.117053210222</v>
      </c>
      <c r="AH99" s="44">
        <f t="shared" si="90"/>
        <v>107331.01667851266</v>
      </c>
      <c r="AI99" s="44"/>
      <c r="AJ99" s="43">
        <v>2042.5329601207702</v>
      </c>
      <c r="AK99" s="44"/>
      <c r="AL99" s="43">
        <f t="shared" si="91"/>
        <v>46568.983321487336</v>
      </c>
      <c r="AM99" s="92">
        <f t="shared" si="92"/>
        <v>0.30259248422019064</v>
      </c>
      <c r="AN99" s="42">
        <f t="shared" si="93"/>
        <v>6650</v>
      </c>
      <c r="AO99" s="42">
        <f t="shared" si="94"/>
        <v>1068.2493387968848</v>
      </c>
      <c r="AP99" s="42">
        <f t="shared" si="122"/>
        <v>5874.2027703348658</v>
      </c>
      <c r="AQ99" s="42">
        <f t="shared" si="119"/>
        <v>13592.452109131751</v>
      </c>
      <c r="AR99" s="42">
        <f t="shared" si="123"/>
        <v>1665.365312708816</v>
      </c>
      <c r="AS99" s="42">
        <f t="shared" si="124"/>
        <v>4417.5</v>
      </c>
      <c r="AT99" s="43">
        <f t="shared" si="127"/>
        <v>35728.665899646774</v>
      </c>
      <c r="AU99" s="92">
        <f t="shared" si="97"/>
        <v>0.23215507407177891</v>
      </c>
      <c r="AV99" s="42">
        <f t="shared" si="125"/>
        <v>5673.1592191876243</v>
      </c>
      <c r="AW99" s="43">
        <f t="shared" si="128"/>
        <v>30055.506680459148</v>
      </c>
      <c r="AX99" s="92">
        <f t="shared" si="99"/>
        <v>0.19529244106861043</v>
      </c>
      <c r="AY99" s="42">
        <f t="shared" si="126"/>
        <v>3169.3093251062655</v>
      </c>
      <c r="AZ99" s="43">
        <f t="shared" si="129"/>
        <v>38897.975224753041</v>
      </c>
      <c r="BA99" s="92">
        <f t="shared" si="101"/>
        <v>0.25274837702893466</v>
      </c>
      <c r="BC99" s="10">
        <f t="shared" si="102"/>
        <v>2850</v>
      </c>
      <c r="BD99" s="10">
        <f t="shared" si="103"/>
        <v>-1218.7052378814208</v>
      </c>
      <c r="BE99" s="10">
        <f t="shared" si="104"/>
        <v>-346.01472079373372</v>
      </c>
      <c r="BF99" s="10">
        <f t="shared" si="105"/>
        <v>-18.426330682297891</v>
      </c>
      <c r="BG99" s="10">
        <f t="shared" si="106"/>
        <v>-404.46513061500411</v>
      </c>
      <c r="BH99" s="10">
        <f t="shared" si="107"/>
        <v>-1987.6114199724568</v>
      </c>
      <c r="BI99" s="10">
        <f t="shared" si="108"/>
        <v>862.3885800275433</v>
      </c>
      <c r="BJ99" s="10">
        <f t="shared" si="109"/>
        <v>-123.14814814814815</v>
      </c>
      <c r="BK99" s="10">
        <f t="shared" si="110"/>
        <v>-108.781532783979</v>
      </c>
      <c r="BL99" s="10">
        <f t="shared" si="111"/>
        <v>-251.71207609503242</v>
      </c>
      <c r="BM99" s="10">
        <f t="shared" si="112"/>
        <v>-30.840098383496592</v>
      </c>
      <c r="BN99" s="10">
        <f t="shared" si="113"/>
        <v>81.805555555555557</v>
      </c>
      <c r="BO99" s="10">
        <f t="shared" si="114"/>
        <v>661.64196110456987</v>
      </c>
      <c r="BP99" s="10">
        <f t="shared" si="115"/>
        <v>-105.05850405903008</v>
      </c>
      <c r="BQ99" s="10">
        <f t="shared" si="116"/>
        <v>556.58345704553983</v>
      </c>
      <c r="BR99" s="10">
        <f t="shared" si="117"/>
        <v>58.690913427893804</v>
      </c>
      <c r="BS99" s="10">
        <f t="shared" si="118"/>
        <v>720.33287453246373</v>
      </c>
    </row>
    <row r="100" spans="2:71" hidden="1">
      <c r="B100" s="29" t="s">
        <v>8</v>
      </c>
      <c r="C100" s="29" t="s">
        <v>463</v>
      </c>
      <c r="D100" s="25" t="s">
        <v>517</v>
      </c>
      <c r="E100" s="98">
        <v>98</v>
      </c>
      <c r="F100" s="98">
        <v>46140</v>
      </c>
      <c r="G100" s="99">
        <v>24</v>
      </c>
      <c r="H100" s="185" t="s">
        <v>33</v>
      </c>
      <c r="I100" s="27" t="s">
        <v>132</v>
      </c>
      <c r="J100" s="7" t="s">
        <v>518</v>
      </c>
      <c r="K100" s="7" t="s">
        <v>141</v>
      </c>
      <c r="L100" s="7" t="s">
        <v>519</v>
      </c>
      <c r="M100" s="21" t="s">
        <v>43</v>
      </c>
      <c r="N100" s="7" t="s">
        <v>129</v>
      </c>
      <c r="O100" s="20">
        <v>2300</v>
      </c>
      <c r="P100" s="59">
        <v>53360</v>
      </c>
      <c r="Q100" s="20">
        <v>2166.625</v>
      </c>
      <c r="R100" s="30">
        <v>3201</v>
      </c>
      <c r="S100" s="32">
        <v>51999</v>
      </c>
      <c r="T100" s="63">
        <v>1</v>
      </c>
      <c r="U100" s="57" t="s">
        <v>563</v>
      </c>
      <c r="V100" s="141" t="s">
        <v>567</v>
      </c>
      <c r="W100" s="60" t="s">
        <v>138</v>
      </c>
      <c r="X100" s="4"/>
      <c r="Y100" s="4" t="s">
        <v>867</v>
      </c>
      <c r="Z100" s="7">
        <v>10005721</v>
      </c>
      <c r="AA100" s="7"/>
      <c r="AB100" s="7"/>
      <c r="AC100" s="20">
        <f t="shared" si="132"/>
        <v>2081.7652269777964</v>
      </c>
      <c r="AD100" s="44">
        <f>IFERROR(INDEX('Costos Producción Febrero'!$G$34:$G$57,MATCH(Resumen!Z100,'Costos Producción Febrero'!$B$34:$B$57,0))*AC100*G100,0)</f>
        <v>30342.689782920446</v>
      </c>
      <c r="AE100" s="44">
        <f>IFERROR(INDEX('Costos Producción Febrero'!$H$34:$H$57,MATCH(Resumen!Z100,'Costos Producción Febrero'!$B$34:$B$57,0))*AC100*G100,0)</f>
        <v>8891.0380555660522</v>
      </c>
      <c r="AF100" s="44">
        <f>IFERROR(INDEX('Costos Producción Febrero'!$I$34:$I$57,MATCH(Resumen!Z100,'Costos Producción Febrero'!$B$34:$B$57,0))*AC100*G100,0)</f>
        <v>544.68500404367262</v>
      </c>
      <c r="AG100" s="44">
        <f>IFERROR(INDEX('Costos Producción Febrero'!$J$34:$J$57,MATCH(Resumen!Z100,'Costos Producción Febrero'!$B$34:$B$57,0))*AC100*G100,0)</f>
        <v>10183.952604936945</v>
      </c>
      <c r="AH100" s="44">
        <f t="shared" ref="AH100:AH109" si="133">SUM(AD100:AG100)</f>
        <v>49962.365447467113</v>
      </c>
      <c r="AI100" s="44"/>
      <c r="AJ100" s="43">
        <v>2136.6867671261102</v>
      </c>
      <c r="AK100" s="44"/>
      <c r="AL100" s="43">
        <f t="shared" ref="AL100:AL167" si="134">P100-AH100</f>
        <v>3397.634552532887</v>
      </c>
      <c r="AM100" s="92">
        <f t="shared" ref="AM100:AM167" si="135">AL100/P100</f>
        <v>6.3673810954514368E-2</v>
      </c>
      <c r="AN100" s="42">
        <f t="shared" ref="AN100:AN109" si="136">R100</f>
        <v>3201</v>
      </c>
      <c r="AO100" s="42">
        <f t="shared" ref="AO100:AO110" si="137">118461.136538461/5988.21*G100</f>
        <v>474.77748390972658</v>
      </c>
      <c r="AP100" s="42">
        <f t="shared" si="122"/>
        <v>2610.7567868154961</v>
      </c>
      <c r="AQ100" s="42">
        <f t="shared" si="119"/>
        <v>6286.5342707252221</v>
      </c>
      <c r="AR100" s="42">
        <f t="shared" si="123"/>
        <v>740.16236120391818</v>
      </c>
      <c r="AS100" s="42">
        <f t="shared" si="124"/>
        <v>1559.97</v>
      </c>
      <c r="AT100" s="43">
        <f t="shared" si="127"/>
        <v>-2069.0920793962532</v>
      </c>
      <c r="AU100" s="92">
        <f t="shared" ref="AU100:AU110" si="138">AT100/P100</f>
        <v>-3.877608844445752E-2</v>
      </c>
      <c r="AV100" s="42">
        <f t="shared" si="125"/>
        <v>2521.4040974167219</v>
      </c>
      <c r="AW100" s="43">
        <f t="shared" si="128"/>
        <v>-4590.4961768129751</v>
      </c>
      <c r="AX100" s="92">
        <f t="shared" ref="AX100:AX150" si="139">AW100/P100</f>
        <v>-8.6028788920782889E-2</v>
      </c>
      <c r="AY100" s="42">
        <f t="shared" si="126"/>
        <v>1408.5819222694513</v>
      </c>
      <c r="AZ100" s="43">
        <f t="shared" si="129"/>
        <v>-660.51015712680191</v>
      </c>
      <c r="BA100" s="92">
        <f t="shared" ref="BA100:BA150" si="140">AZ100/P100</f>
        <v>-1.2378376257998537E-2</v>
      </c>
      <c r="BC100" s="10">
        <f t="shared" si="102"/>
        <v>2223.3333333333335</v>
      </c>
      <c r="BD100" s="10">
        <f t="shared" si="103"/>
        <v>-1264.2787409550185</v>
      </c>
      <c r="BE100" s="10">
        <f t="shared" si="104"/>
        <v>-370.45991898191886</v>
      </c>
      <c r="BF100" s="10">
        <f t="shared" si="105"/>
        <v>-22.695208501819693</v>
      </c>
      <c r="BG100" s="10">
        <f t="shared" si="106"/>
        <v>-424.3313585390394</v>
      </c>
      <c r="BH100" s="10">
        <f t="shared" si="107"/>
        <v>-2081.7652269777964</v>
      </c>
      <c r="BI100" s="10">
        <f t="shared" si="108"/>
        <v>141.56810635553697</v>
      </c>
      <c r="BJ100" s="10">
        <f t="shared" si="109"/>
        <v>-133.375</v>
      </c>
      <c r="BK100" s="10">
        <f t="shared" si="110"/>
        <v>-108.781532783979</v>
      </c>
      <c r="BL100" s="10">
        <f t="shared" si="111"/>
        <v>-261.93892794688423</v>
      </c>
      <c r="BM100" s="10">
        <f t="shared" si="112"/>
        <v>-30.840098383496592</v>
      </c>
      <c r="BN100" s="10">
        <f t="shared" si="113"/>
        <v>64.998750000000001</v>
      </c>
      <c r="BO100" s="10">
        <f t="shared" si="114"/>
        <v>-86.212169974843889</v>
      </c>
      <c r="BP100" s="10">
        <f t="shared" si="115"/>
        <v>-105.05850405903008</v>
      </c>
      <c r="BQ100" s="10">
        <f t="shared" si="116"/>
        <v>-191.27067403387397</v>
      </c>
      <c r="BR100" s="10">
        <f t="shared" si="117"/>
        <v>58.690913427893804</v>
      </c>
      <c r="BS100" s="10">
        <f t="shared" si="118"/>
        <v>-27.521256546950081</v>
      </c>
    </row>
    <row r="101" spans="2:71" hidden="1">
      <c r="B101" s="29" t="s">
        <v>8</v>
      </c>
      <c r="C101" s="29" t="s">
        <v>463</v>
      </c>
      <c r="D101" s="25" t="s">
        <v>520</v>
      </c>
      <c r="E101" s="98">
        <v>98</v>
      </c>
      <c r="F101" s="98">
        <v>46140</v>
      </c>
      <c r="G101" s="99">
        <v>25.8</v>
      </c>
      <c r="H101" s="27" t="s">
        <v>36</v>
      </c>
      <c r="I101" s="27" t="s">
        <v>107</v>
      </c>
      <c r="J101" s="7" t="s">
        <v>521</v>
      </c>
      <c r="K101" s="7" t="s">
        <v>863</v>
      </c>
      <c r="L101" s="7" t="s">
        <v>523</v>
      </c>
      <c r="M101" s="21" t="s">
        <v>524</v>
      </c>
      <c r="N101" s="7" t="s">
        <v>525</v>
      </c>
      <c r="O101" s="20">
        <v>2920</v>
      </c>
      <c r="P101" s="59">
        <v>75336</v>
      </c>
      <c r="Q101" s="20">
        <v>2815.4651162790697</v>
      </c>
      <c r="R101" s="30">
        <v>2697</v>
      </c>
      <c r="S101" s="32">
        <v>72639</v>
      </c>
      <c r="T101" s="63">
        <v>1</v>
      </c>
      <c r="U101" s="57" t="s">
        <v>568</v>
      </c>
      <c r="V101" s="141">
        <v>35835231</v>
      </c>
      <c r="W101" s="60" t="s">
        <v>112</v>
      </c>
      <c r="X101" s="4"/>
      <c r="Y101" s="4" t="s">
        <v>867</v>
      </c>
      <c r="Z101" s="7">
        <v>10007567</v>
      </c>
      <c r="AA101" s="7"/>
      <c r="AB101" s="7"/>
      <c r="AC101" s="20">
        <f t="shared" si="132"/>
        <v>2049.5842427698358</v>
      </c>
      <c r="AD101" s="44">
        <f>IFERROR(INDEX('Costos Producción Febrero'!$G$34:$G$57,MATCH(Resumen!Z101,'Costos Producción Febrero'!$B$34:$B$57,0))*AC101*G101,0)</f>
        <v>32657.318673860987</v>
      </c>
      <c r="AE101" s="44">
        <f>IFERROR(INDEX('Costos Producción Febrero'!$H$34:$H$57,MATCH(Resumen!Z101,'Costos Producción Febrero'!$B$34:$B$57,0))*AC101*G101,0)</f>
        <v>8801.2863647269314</v>
      </c>
      <c r="AF101" s="44">
        <f>IFERROR(INDEX('Costos Producción Febrero'!$I$34:$I$57,MATCH(Resumen!Z101,'Costos Producción Febrero'!$B$34:$B$57,0))*AC101*G101,0)</f>
        <v>570.7459279386444</v>
      </c>
      <c r="AG101" s="44">
        <f>IFERROR(INDEX('Costos Producción Febrero'!$J$34:$J$57,MATCH(Resumen!Z101,'Costos Producción Febrero'!$B$34:$B$57,0))*AC101*G101,0)</f>
        <v>10849.922496935198</v>
      </c>
      <c r="AH101" s="44">
        <f t="shared" si="133"/>
        <v>52879.273463461766</v>
      </c>
      <c r="AI101" s="44"/>
      <c r="AJ101" s="43">
        <v>2104.5057829181496</v>
      </c>
      <c r="AK101" s="44"/>
      <c r="AL101" s="43">
        <f t="shared" si="134"/>
        <v>22456.726536538234</v>
      </c>
      <c r="AM101" s="92">
        <f t="shared" si="135"/>
        <v>0.29808758809252195</v>
      </c>
      <c r="AN101" s="42">
        <f t="shared" si="136"/>
        <v>2697</v>
      </c>
      <c r="AO101" s="42">
        <f t="shared" si="137"/>
        <v>510.3857952029561</v>
      </c>
      <c r="AP101" s="42">
        <f t="shared" si="122"/>
        <v>2806.5635458266584</v>
      </c>
      <c r="AQ101" s="42">
        <f t="shared" si="119"/>
        <v>6013.9493410296145</v>
      </c>
      <c r="AR101" s="42">
        <f t="shared" si="123"/>
        <v>795.67453829421208</v>
      </c>
      <c r="AS101" s="42">
        <f t="shared" si="124"/>
        <v>2179.17</v>
      </c>
      <c r="AT101" s="43">
        <f t="shared" si="127"/>
        <v>17826.272657214409</v>
      </c>
      <c r="AU101" s="92">
        <f t="shared" si="138"/>
        <v>0.23662356187233738</v>
      </c>
      <c r="AV101" s="42">
        <f t="shared" si="125"/>
        <v>2710.5094047229763</v>
      </c>
      <c r="AW101" s="43">
        <f t="shared" si="128"/>
        <v>15115.763252491433</v>
      </c>
      <c r="AX101" s="92">
        <f t="shared" si="139"/>
        <v>0.20064462212609421</v>
      </c>
      <c r="AY101" s="42">
        <f t="shared" si="126"/>
        <v>1514.2255664396603</v>
      </c>
      <c r="AZ101" s="43">
        <f t="shared" si="129"/>
        <v>19340.498223654071</v>
      </c>
      <c r="BA101" s="92">
        <f t="shared" si="140"/>
        <v>0.25672318975860242</v>
      </c>
      <c r="BC101" s="10">
        <f t="shared" si="102"/>
        <v>2920</v>
      </c>
      <c r="BD101" s="10">
        <f t="shared" si="103"/>
        <v>-1265.7875454984878</v>
      </c>
      <c r="BE101" s="10">
        <f t="shared" si="104"/>
        <v>-341.13513041577255</v>
      </c>
      <c r="BF101" s="10">
        <f t="shared" si="105"/>
        <v>-22.121935191420324</v>
      </c>
      <c r="BG101" s="10">
        <f t="shared" si="106"/>
        <v>-420.53963166415497</v>
      </c>
      <c r="BH101" s="10">
        <f t="shared" si="107"/>
        <v>-2049.5842427698358</v>
      </c>
      <c r="BI101" s="10">
        <f t="shared" si="108"/>
        <v>870.4157572301641</v>
      </c>
      <c r="BJ101" s="10">
        <f t="shared" si="109"/>
        <v>-104.53488372093022</v>
      </c>
      <c r="BK101" s="10">
        <f t="shared" si="110"/>
        <v>-108.781532783979</v>
      </c>
      <c r="BL101" s="10">
        <f t="shared" si="111"/>
        <v>-233.09881166781452</v>
      </c>
      <c r="BM101" s="10">
        <f t="shared" si="112"/>
        <v>-30.840098383496592</v>
      </c>
      <c r="BN101" s="10">
        <f t="shared" si="113"/>
        <v>84.463953488372098</v>
      </c>
      <c r="BO101" s="10">
        <f t="shared" si="114"/>
        <v>690.94080066722518</v>
      </c>
      <c r="BP101" s="10">
        <f t="shared" si="115"/>
        <v>-105.05850405903008</v>
      </c>
      <c r="BQ101" s="10">
        <f t="shared" si="116"/>
        <v>585.88229660819502</v>
      </c>
      <c r="BR101" s="10">
        <f t="shared" si="117"/>
        <v>58.690913427893804</v>
      </c>
      <c r="BS101" s="10">
        <f t="shared" si="118"/>
        <v>749.63171409511904</v>
      </c>
    </row>
    <row r="102" spans="2:71" hidden="1">
      <c r="B102" s="29" t="s">
        <v>8</v>
      </c>
      <c r="C102" s="29" t="s">
        <v>463</v>
      </c>
      <c r="D102" s="25" t="s">
        <v>526</v>
      </c>
      <c r="E102" s="98">
        <v>66</v>
      </c>
      <c r="F102" s="98">
        <v>46140</v>
      </c>
      <c r="G102" s="99">
        <v>24</v>
      </c>
      <c r="H102" s="185" t="s">
        <v>32</v>
      </c>
      <c r="I102" s="27" t="s">
        <v>155</v>
      </c>
      <c r="J102" s="7" t="s">
        <v>527</v>
      </c>
      <c r="K102" s="7" t="s">
        <v>141</v>
      </c>
      <c r="L102" s="7" t="s">
        <v>142</v>
      </c>
      <c r="M102" s="21" t="s">
        <v>43</v>
      </c>
      <c r="N102" s="7" t="s">
        <v>129</v>
      </c>
      <c r="O102" s="20">
        <v>2400</v>
      </c>
      <c r="P102" s="59">
        <v>55680</v>
      </c>
      <c r="Q102" s="20">
        <v>2262.4583333333335</v>
      </c>
      <c r="R102" s="30">
        <v>3301</v>
      </c>
      <c r="S102" s="32">
        <v>54299</v>
      </c>
      <c r="T102" s="63">
        <v>1</v>
      </c>
      <c r="U102" s="57" t="s">
        <v>563</v>
      </c>
      <c r="V102" s="141" t="s">
        <v>569</v>
      </c>
      <c r="W102" s="60" t="s">
        <v>122</v>
      </c>
      <c r="X102" s="4"/>
      <c r="Y102" s="4" t="s">
        <v>867</v>
      </c>
      <c r="Z102" s="7">
        <v>10006720</v>
      </c>
      <c r="AA102" s="7"/>
      <c r="AB102" s="7"/>
      <c r="AC102" s="20">
        <f t="shared" si="132"/>
        <v>1981.722676654683</v>
      </c>
      <c r="AD102" s="44">
        <f>IFERROR(INDEX('Costos Producción Febrero'!$G$34:$G$57,MATCH(Resumen!Z102,'Costos Producción Febrero'!$B$34:$B$57,0))*AC102*G102,0)</f>
        <v>30519.783344939922</v>
      </c>
      <c r="AE102" s="44">
        <f>IFERROR(INDEX('Costos Producción Febrero'!$H$34:$H$57,MATCH(Resumen!Z102,'Costos Producción Febrero'!$B$34:$B$57,0))*AC102*G102,0)</f>
        <v>6419.4489750357134</v>
      </c>
      <c r="AF102" s="44">
        <f>IFERROR(INDEX('Costos Producción Febrero'!$I$34:$I$57,MATCH(Resumen!Z102,'Costos Producción Febrero'!$B$34:$B$57,0))*AC102*G102,0)</f>
        <v>444.40611299210536</v>
      </c>
      <c r="AG102" s="44">
        <f>IFERROR(INDEX('Costos Producción Febrero'!$J$34:$J$57,MATCH(Resumen!Z102,'Costos Producción Febrero'!$B$34:$B$57,0))*AC102*G102,0)</f>
        <v>10177.705806744652</v>
      </c>
      <c r="AH102" s="44">
        <f t="shared" si="133"/>
        <v>47561.344239712387</v>
      </c>
      <c r="AI102" s="44"/>
      <c r="AJ102" s="43">
        <v>2036.6442168029967</v>
      </c>
      <c r="AK102" s="44"/>
      <c r="AL102" s="43">
        <f t="shared" si="134"/>
        <v>8118.6557602876128</v>
      </c>
      <c r="AM102" s="92">
        <f t="shared" si="135"/>
        <v>0.14580919109711948</v>
      </c>
      <c r="AN102" s="42">
        <f t="shared" si="136"/>
        <v>3301</v>
      </c>
      <c r="AO102" s="42">
        <f t="shared" si="137"/>
        <v>474.77748390972658</v>
      </c>
      <c r="AP102" s="42">
        <f t="shared" si="122"/>
        <v>2610.7567868154961</v>
      </c>
      <c r="AQ102" s="42">
        <f t="shared" si="119"/>
        <v>6386.5342707252221</v>
      </c>
      <c r="AR102" s="42">
        <f t="shared" si="123"/>
        <v>740.16236120391818</v>
      </c>
      <c r="AS102" s="42">
        <f t="shared" si="124"/>
        <v>1628.97</v>
      </c>
      <c r="AT102" s="43">
        <f t="shared" si="127"/>
        <v>2620.9291283584726</v>
      </c>
      <c r="AU102" s="92">
        <f t="shared" si="138"/>
        <v>4.7071284632874869E-2</v>
      </c>
      <c r="AV102" s="42">
        <f t="shared" si="125"/>
        <v>2521.4040974167219</v>
      </c>
      <c r="AW102" s="43">
        <f t="shared" si="128"/>
        <v>99.525030941750629</v>
      </c>
      <c r="AX102" s="92">
        <f t="shared" si="139"/>
        <v>1.7874466763963834E-3</v>
      </c>
      <c r="AY102" s="42">
        <f t="shared" si="126"/>
        <v>1408.5819222694513</v>
      </c>
      <c r="AZ102" s="43">
        <f t="shared" si="129"/>
        <v>4029.5110506279239</v>
      </c>
      <c r="BA102" s="92">
        <f t="shared" si="140"/>
        <v>7.2369092144898062E-2</v>
      </c>
      <c r="BC102" s="10">
        <f t="shared" si="102"/>
        <v>2320</v>
      </c>
      <c r="BD102" s="10">
        <f t="shared" si="103"/>
        <v>-1271.6576393724968</v>
      </c>
      <c r="BE102" s="10">
        <f t="shared" si="104"/>
        <v>-267.47704062648808</v>
      </c>
      <c r="BF102" s="10">
        <f t="shared" si="105"/>
        <v>-18.516921374671057</v>
      </c>
      <c r="BG102" s="10">
        <f t="shared" si="106"/>
        <v>-424.07107528102716</v>
      </c>
      <c r="BH102" s="10">
        <f t="shared" si="107"/>
        <v>-1981.7226766546828</v>
      </c>
      <c r="BI102" s="10">
        <f t="shared" si="108"/>
        <v>338.2773233453172</v>
      </c>
      <c r="BJ102" s="10">
        <f t="shared" si="109"/>
        <v>-137.54166666666666</v>
      </c>
      <c r="BK102" s="10">
        <f t="shared" si="110"/>
        <v>-108.781532783979</v>
      </c>
      <c r="BL102" s="10">
        <f t="shared" si="111"/>
        <v>-266.10559461355092</v>
      </c>
      <c r="BM102" s="10">
        <f t="shared" si="112"/>
        <v>-30.840098383496592</v>
      </c>
      <c r="BN102" s="10">
        <f t="shared" si="113"/>
        <v>67.873750000000001</v>
      </c>
      <c r="BO102" s="10">
        <f t="shared" si="114"/>
        <v>109.20538034826968</v>
      </c>
      <c r="BP102" s="10">
        <f t="shared" si="115"/>
        <v>-105.05850405903008</v>
      </c>
      <c r="BQ102" s="10">
        <f t="shared" si="116"/>
        <v>4.1468762892396098</v>
      </c>
      <c r="BR102" s="10">
        <f t="shared" si="117"/>
        <v>58.690913427893804</v>
      </c>
      <c r="BS102" s="10">
        <f t="shared" si="118"/>
        <v>167.8962937761635</v>
      </c>
    </row>
    <row r="103" spans="2:71" hidden="1">
      <c r="B103" s="29" t="s">
        <v>8</v>
      </c>
      <c r="C103" s="29" t="s">
        <v>463</v>
      </c>
      <c r="D103" s="25" t="s">
        <v>528</v>
      </c>
      <c r="E103" s="98">
        <v>101</v>
      </c>
      <c r="F103" s="98">
        <v>46140</v>
      </c>
      <c r="G103" s="99">
        <v>27</v>
      </c>
      <c r="H103" s="184" t="s">
        <v>31</v>
      </c>
      <c r="I103" s="27" t="s">
        <v>107</v>
      </c>
      <c r="J103" s="7" t="s">
        <v>529</v>
      </c>
      <c r="K103" s="7" t="s">
        <v>171</v>
      </c>
      <c r="L103" s="7" t="s">
        <v>516</v>
      </c>
      <c r="M103" s="21" t="s">
        <v>530</v>
      </c>
      <c r="N103" s="7" t="s">
        <v>531</v>
      </c>
      <c r="O103" s="20">
        <v>3000</v>
      </c>
      <c r="P103" s="59">
        <v>81000</v>
      </c>
      <c r="Q103" s="20">
        <v>2880.9259259259261</v>
      </c>
      <c r="R103" s="30">
        <v>3215</v>
      </c>
      <c r="S103" s="32">
        <v>77785</v>
      </c>
      <c r="T103" s="63">
        <v>1</v>
      </c>
      <c r="U103" s="57" t="s">
        <v>563</v>
      </c>
      <c r="V103" s="141">
        <v>6451442940</v>
      </c>
      <c r="W103" s="60" t="s">
        <v>122</v>
      </c>
      <c r="X103" s="4"/>
      <c r="Y103" s="4" t="s">
        <v>867</v>
      </c>
      <c r="Z103" s="7">
        <v>10007162</v>
      </c>
      <c r="AA103" s="7"/>
      <c r="AB103" s="7"/>
      <c r="AC103" s="20">
        <f t="shared" si="132"/>
        <v>1987.6114199724566</v>
      </c>
      <c r="AD103" s="44">
        <f>IFERROR(INDEX('Costos Producción Febrero'!$G$34:$G$57,MATCH(Resumen!Z103,'Costos Producción Febrero'!$B$34:$B$57,0))*AC103*G103,0)</f>
        <v>32905.041422798364</v>
      </c>
      <c r="AE103" s="44">
        <f>IFERROR(INDEX('Costos Producción Febrero'!$H$34:$H$57,MATCH(Resumen!Z103,'Costos Producción Febrero'!$B$34:$B$57,0))*AC103*G103,0)</f>
        <v>9342.3974614308099</v>
      </c>
      <c r="AF103" s="44">
        <f>IFERROR(INDEX('Costos Producción Febrero'!$I$34:$I$57,MATCH(Resumen!Z103,'Costos Producción Febrero'!$B$34:$B$57,0))*AC103*G103,0)</f>
        <v>497.51092842204304</v>
      </c>
      <c r="AG103" s="44">
        <f>IFERROR(INDEX('Costos Producción Febrero'!$J$34:$J$57,MATCH(Resumen!Z103,'Costos Producción Febrero'!$B$34:$B$57,0))*AC103*G103,0)</f>
        <v>10920.558526605111</v>
      </c>
      <c r="AH103" s="44">
        <f t="shared" si="133"/>
        <v>53665.508339256332</v>
      </c>
      <c r="AI103" s="44"/>
      <c r="AJ103" s="43">
        <v>2042.5329601207702</v>
      </c>
      <c r="AK103" s="44"/>
      <c r="AL103" s="43">
        <f t="shared" si="134"/>
        <v>27334.491660743668</v>
      </c>
      <c r="AM103" s="92">
        <f t="shared" si="135"/>
        <v>0.33746286000918108</v>
      </c>
      <c r="AN103" s="42">
        <f t="shared" si="136"/>
        <v>3215</v>
      </c>
      <c r="AO103" s="42">
        <f t="shared" si="137"/>
        <v>534.12466939844239</v>
      </c>
      <c r="AP103" s="42">
        <f t="shared" si="122"/>
        <v>2937.1013851674329</v>
      </c>
      <c r="AQ103" s="42">
        <f t="shared" si="119"/>
        <v>6686.2260545658755</v>
      </c>
      <c r="AR103" s="42">
        <f t="shared" si="123"/>
        <v>832.68265635440798</v>
      </c>
      <c r="AS103" s="42">
        <f t="shared" si="124"/>
        <v>2333.5499999999997</v>
      </c>
      <c r="AT103" s="43">
        <f t="shared" si="127"/>
        <v>22149.132949823383</v>
      </c>
      <c r="AU103" s="92">
        <f t="shared" si="138"/>
        <v>0.27344608580028867</v>
      </c>
      <c r="AV103" s="42">
        <f t="shared" si="125"/>
        <v>2836.5796095938122</v>
      </c>
      <c r="AW103" s="43">
        <f t="shared" si="128"/>
        <v>19312.55334022957</v>
      </c>
      <c r="AX103" s="92">
        <f t="shared" si="139"/>
        <v>0.23842658444727863</v>
      </c>
      <c r="AY103" s="42">
        <f t="shared" si="126"/>
        <v>1584.6546625531328</v>
      </c>
      <c r="AZ103" s="43">
        <f t="shared" si="129"/>
        <v>23733.787612376516</v>
      </c>
      <c r="BA103" s="92">
        <f t="shared" si="140"/>
        <v>0.2930097236095866</v>
      </c>
      <c r="BC103" s="10">
        <f t="shared" si="102"/>
        <v>3000</v>
      </c>
      <c r="BD103" s="10">
        <f t="shared" si="103"/>
        <v>-1218.7052378814208</v>
      </c>
      <c r="BE103" s="10">
        <f t="shared" si="104"/>
        <v>-346.01472079373372</v>
      </c>
      <c r="BF103" s="10">
        <f t="shared" si="105"/>
        <v>-18.426330682297891</v>
      </c>
      <c r="BG103" s="10">
        <f t="shared" si="106"/>
        <v>-404.46513061500411</v>
      </c>
      <c r="BH103" s="10">
        <f t="shared" si="107"/>
        <v>-1987.6114199724568</v>
      </c>
      <c r="BI103" s="10">
        <f t="shared" si="108"/>
        <v>1012.3885800275433</v>
      </c>
      <c r="BJ103" s="10">
        <f t="shared" si="109"/>
        <v>-119.07407407407408</v>
      </c>
      <c r="BK103" s="10">
        <f t="shared" si="110"/>
        <v>-108.781532783979</v>
      </c>
      <c r="BL103" s="10">
        <f t="shared" si="111"/>
        <v>-247.63800202095834</v>
      </c>
      <c r="BM103" s="10">
        <f t="shared" si="112"/>
        <v>-30.840098383496592</v>
      </c>
      <c r="BN103" s="10">
        <f t="shared" si="113"/>
        <v>86.427777777777763</v>
      </c>
      <c r="BO103" s="10">
        <f t="shared" si="114"/>
        <v>820.33825740086604</v>
      </c>
      <c r="BP103" s="10">
        <f t="shared" si="115"/>
        <v>-105.05850405903008</v>
      </c>
      <c r="BQ103" s="10">
        <f t="shared" si="116"/>
        <v>715.27975334183589</v>
      </c>
      <c r="BR103" s="10">
        <f t="shared" si="117"/>
        <v>58.690913427893804</v>
      </c>
      <c r="BS103" s="10">
        <f t="shared" si="118"/>
        <v>879.0291708287599</v>
      </c>
    </row>
    <row r="104" spans="2:71" hidden="1">
      <c r="B104" s="29" t="s">
        <v>8</v>
      </c>
      <c r="C104" s="29" t="s">
        <v>463</v>
      </c>
      <c r="D104" s="25" t="s">
        <v>532</v>
      </c>
      <c r="E104" s="98">
        <v>101</v>
      </c>
      <c r="F104" s="98">
        <v>46140</v>
      </c>
      <c r="G104" s="99">
        <v>26</v>
      </c>
      <c r="H104" s="27" t="s">
        <v>36</v>
      </c>
      <c r="I104" s="27" t="s">
        <v>107</v>
      </c>
      <c r="J104" s="7" t="s">
        <v>521</v>
      </c>
      <c r="K104" s="7" t="s">
        <v>863</v>
      </c>
      <c r="L104" s="7" t="s">
        <v>523</v>
      </c>
      <c r="M104" s="21" t="s">
        <v>524</v>
      </c>
      <c r="N104" s="7" t="s">
        <v>525</v>
      </c>
      <c r="O104" s="20">
        <v>2920</v>
      </c>
      <c r="P104" s="59">
        <v>75920</v>
      </c>
      <c r="Q104" s="20">
        <v>2816.2692307692309</v>
      </c>
      <c r="R104" s="30">
        <v>2697</v>
      </c>
      <c r="S104" s="32">
        <v>73223</v>
      </c>
      <c r="T104" s="63">
        <v>1</v>
      </c>
      <c r="U104" s="57" t="s">
        <v>568</v>
      </c>
      <c r="V104" s="141">
        <v>13060709</v>
      </c>
      <c r="W104" s="60" t="s">
        <v>112</v>
      </c>
      <c r="X104" s="4"/>
      <c r="Y104" s="4" t="s">
        <v>867</v>
      </c>
      <c r="Z104" s="7">
        <v>10007567</v>
      </c>
      <c r="AA104" s="7"/>
      <c r="AB104" s="7"/>
      <c r="AC104" s="20">
        <f t="shared" si="132"/>
        <v>2049.5842427698358</v>
      </c>
      <c r="AD104" s="44">
        <f>IFERROR(INDEX('Costos Producción Febrero'!$G$34:$G$57,MATCH(Resumen!Z104,'Costos Producción Febrero'!$B$34:$B$57,0))*AC104*G104,0)</f>
        <v>32910.476182960687</v>
      </c>
      <c r="AE104" s="44">
        <f>IFERROR(INDEX('Costos Producción Febrero'!$H$34:$H$57,MATCH(Resumen!Z104,'Costos Producción Febrero'!$B$34:$B$57,0))*AC104*G104,0)</f>
        <v>8869.513390810087</v>
      </c>
      <c r="AF104" s="44">
        <f>IFERROR(INDEX('Costos Producción Febrero'!$I$34:$I$57,MATCH(Resumen!Z104,'Costos Producción Febrero'!$B$34:$B$57,0))*AC104*G104,0)</f>
        <v>575.17031497692847</v>
      </c>
      <c r="AG104" s="44">
        <f>IFERROR(INDEX('Costos Producción Febrero'!$J$34:$J$57,MATCH(Resumen!Z104,'Costos Producción Febrero'!$B$34:$B$57,0))*AC104*G104,0)</f>
        <v>10934.030423268028</v>
      </c>
      <c r="AH104" s="44">
        <f t="shared" si="133"/>
        <v>53289.190312015729</v>
      </c>
      <c r="AI104" s="44"/>
      <c r="AJ104" s="43">
        <v>2104.5057829181496</v>
      </c>
      <c r="AK104" s="44"/>
      <c r="AL104" s="43">
        <f t="shared" si="134"/>
        <v>22630.809687984271</v>
      </c>
      <c r="AM104" s="92">
        <f t="shared" si="135"/>
        <v>0.298087588092522</v>
      </c>
      <c r="AN104" s="42">
        <f t="shared" si="136"/>
        <v>2697</v>
      </c>
      <c r="AO104" s="42">
        <f t="shared" si="137"/>
        <v>514.34227423553716</v>
      </c>
      <c r="AP104" s="42">
        <f t="shared" si="122"/>
        <v>2828.319852383454</v>
      </c>
      <c r="AQ104" s="42">
        <f t="shared" si="119"/>
        <v>6039.6621266189904</v>
      </c>
      <c r="AR104" s="42">
        <f t="shared" si="123"/>
        <v>801.84255797091134</v>
      </c>
      <c r="AS104" s="42">
        <f t="shared" si="124"/>
        <v>2196.69</v>
      </c>
      <c r="AT104" s="43">
        <f t="shared" si="127"/>
        <v>17985.995003394368</v>
      </c>
      <c r="AU104" s="92">
        <f t="shared" si="138"/>
        <v>0.23690720499729145</v>
      </c>
      <c r="AV104" s="42">
        <f t="shared" si="125"/>
        <v>2731.5211055347822</v>
      </c>
      <c r="AW104" s="43">
        <f t="shared" si="128"/>
        <v>15254.473897859585</v>
      </c>
      <c r="AX104" s="92">
        <f t="shared" si="139"/>
        <v>0.20092826525104829</v>
      </c>
      <c r="AY104" s="42">
        <f t="shared" si="126"/>
        <v>1525.9637491252388</v>
      </c>
      <c r="AZ104" s="43">
        <f t="shared" si="129"/>
        <v>19511.958752519608</v>
      </c>
      <c r="BA104" s="92">
        <f t="shared" si="140"/>
        <v>0.25700683288355647</v>
      </c>
      <c r="BC104" s="10">
        <f t="shared" si="102"/>
        <v>2920</v>
      </c>
      <c r="BD104" s="10">
        <f t="shared" si="103"/>
        <v>-1265.787545498488</v>
      </c>
      <c r="BE104" s="10">
        <f t="shared" si="104"/>
        <v>-341.13513041577255</v>
      </c>
      <c r="BF104" s="10">
        <f t="shared" si="105"/>
        <v>-22.121935191420327</v>
      </c>
      <c r="BG104" s="10">
        <f t="shared" si="106"/>
        <v>-420.53963166415491</v>
      </c>
      <c r="BH104" s="10">
        <f t="shared" si="107"/>
        <v>-2049.5842427698358</v>
      </c>
      <c r="BI104" s="10">
        <f t="shared" si="108"/>
        <v>870.41575723016422</v>
      </c>
      <c r="BJ104" s="10">
        <f t="shared" si="109"/>
        <v>-103.73076923076923</v>
      </c>
      <c r="BK104" s="10">
        <f t="shared" si="110"/>
        <v>-108.781532783979</v>
      </c>
      <c r="BL104" s="10">
        <f t="shared" si="111"/>
        <v>-232.29469717765349</v>
      </c>
      <c r="BM104" s="10">
        <f t="shared" si="112"/>
        <v>-30.840098383496588</v>
      </c>
      <c r="BN104" s="10">
        <f t="shared" si="113"/>
        <v>84.488076923076932</v>
      </c>
      <c r="BO104" s="10">
        <f t="shared" si="114"/>
        <v>691.76903859209108</v>
      </c>
      <c r="BP104" s="10">
        <f t="shared" si="115"/>
        <v>-105.05850405903008</v>
      </c>
      <c r="BQ104" s="10">
        <f t="shared" si="116"/>
        <v>586.71053453306092</v>
      </c>
      <c r="BR104" s="10">
        <f t="shared" si="117"/>
        <v>58.690913427893797</v>
      </c>
      <c r="BS104" s="10">
        <f t="shared" si="118"/>
        <v>750.45995201998494</v>
      </c>
    </row>
    <row r="105" spans="2:71" hidden="1">
      <c r="B105" s="29" t="s">
        <v>8</v>
      </c>
      <c r="C105" s="29" t="s">
        <v>463</v>
      </c>
      <c r="D105" s="25" t="s">
        <v>533</v>
      </c>
      <c r="E105" s="98">
        <v>104</v>
      </c>
      <c r="F105" s="98">
        <v>46140</v>
      </c>
      <c r="G105" s="99">
        <v>108</v>
      </c>
      <c r="H105" s="185" t="s">
        <v>32</v>
      </c>
      <c r="I105" s="27" t="s">
        <v>155</v>
      </c>
      <c r="J105" s="7" t="s">
        <v>534</v>
      </c>
      <c r="K105" s="7" t="s">
        <v>171</v>
      </c>
      <c r="L105" s="7" t="s">
        <v>516</v>
      </c>
      <c r="M105" s="21" t="s">
        <v>508</v>
      </c>
      <c r="N105" s="7" t="s">
        <v>509</v>
      </c>
      <c r="O105" s="20">
        <v>2350</v>
      </c>
      <c r="P105" s="59">
        <v>253800</v>
      </c>
      <c r="Q105" s="20">
        <v>2319.212962962963</v>
      </c>
      <c r="R105" s="30">
        <v>3325</v>
      </c>
      <c r="S105" s="32">
        <v>250475</v>
      </c>
      <c r="T105" s="63">
        <v>1</v>
      </c>
      <c r="U105" s="57" t="s">
        <v>563</v>
      </c>
      <c r="V105" s="141">
        <v>6451281130</v>
      </c>
      <c r="W105" s="60" t="s">
        <v>122</v>
      </c>
      <c r="X105" s="4"/>
      <c r="Y105" s="4" t="s">
        <v>867</v>
      </c>
      <c r="Z105" s="7">
        <v>10006720</v>
      </c>
      <c r="AA105" s="7"/>
      <c r="AB105" s="7"/>
      <c r="AC105" s="20">
        <f t="shared" si="132"/>
        <v>1981.722676654683</v>
      </c>
      <c r="AD105" s="44">
        <f>IFERROR(INDEX('Costos Producción Febrero'!$G$34:$G$57,MATCH(Resumen!Z105,'Costos Producción Febrero'!$B$34:$B$57,0))*AC105*G105,0)</f>
        <v>137339.02505222964</v>
      </c>
      <c r="AE105" s="44">
        <f>IFERROR(INDEX('Costos Producción Febrero'!$H$34:$H$57,MATCH(Resumen!Z105,'Costos Producción Febrero'!$B$34:$B$57,0))*AC105*G105,0)</f>
        <v>28887.520387660712</v>
      </c>
      <c r="AF105" s="44">
        <f>IFERROR(INDEX('Costos Producción Febrero'!$I$34:$I$57,MATCH(Resumen!Z105,'Costos Producción Febrero'!$B$34:$B$57,0))*AC105*G105,0)</f>
        <v>1999.8275084644742</v>
      </c>
      <c r="AG105" s="44">
        <f>IFERROR(INDEX('Costos Producción Febrero'!$J$34:$J$57,MATCH(Resumen!Z105,'Costos Producción Febrero'!$B$34:$B$57,0))*AC105*G105,0)</f>
        <v>45799.676130350934</v>
      </c>
      <c r="AH105" s="44">
        <f t="shared" si="133"/>
        <v>214026.04907870578</v>
      </c>
      <c r="AI105" s="44"/>
      <c r="AJ105" s="43">
        <v>2036.6442168029967</v>
      </c>
      <c r="AK105" s="44"/>
      <c r="AL105" s="43">
        <f t="shared" si="134"/>
        <v>39773.950921294221</v>
      </c>
      <c r="AM105" s="92">
        <f t="shared" si="135"/>
        <v>0.15671375461502846</v>
      </c>
      <c r="AN105" s="42">
        <f t="shared" si="136"/>
        <v>3325</v>
      </c>
      <c r="AO105" s="42">
        <f t="shared" si="137"/>
        <v>2136.4986775937696</v>
      </c>
      <c r="AP105" s="42">
        <f t="shared" si="122"/>
        <v>11748.405540669732</v>
      </c>
      <c r="AQ105" s="42">
        <f t="shared" si="119"/>
        <v>17209.904218263502</v>
      </c>
      <c r="AR105" s="42">
        <f t="shared" si="123"/>
        <v>3330.7306254176319</v>
      </c>
      <c r="AS105" s="42">
        <f t="shared" si="124"/>
        <v>7514.25</v>
      </c>
      <c r="AT105" s="43">
        <f t="shared" si="127"/>
        <v>26747.566077613086</v>
      </c>
      <c r="AU105" s="92">
        <f t="shared" si="138"/>
        <v>0.10538836121990972</v>
      </c>
      <c r="AV105" s="42">
        <f t="shared" si="125"/>
        <v>11346.318438375249</v>
      </c>
      <c r="AW105" s="43">
        <f t="shared" si="128"/>
        <v>15401.247639237838</v>
      </c>
      <c r="AX105" s="92">
        <f t="shared" si="139"/>
        <v>6.0682614811811808E-2</v>
      </c>
      <c r="AY105" s="42">
        <f t="shared" si="126"/>
        <v>6338.6186502125311</v>
      </c>
      <c r="AZ105" s="43">
        <f t="shared" si="129"/>
        <v>33086.184727825617</v>
      </c>
      <c r="BA105" s="92">
        <f t="shared" si="140"/>
        <v>0.13036321799773687</v>
      </c>
      <c r="BC105" s="10">
        <f t="shared" si="102"/>
        <v>2350</v>
      </c>
      <c r="BD105" s="10">
        <f t="shared" si="103"/>
        <v>-1271.6576393724968</v>
      </c>
      <c r="BE105" s="10">
        <f t="shared" si="104"/>
        <v>-267.47704062648808</v>
      </c>
      <c r="BF105" s="10">
        <f t="shared" si="105"/>
        <v>-18.516921374671057</v>
      </c>
      <c r="BG105" s="10">
        <f t="shared" si="106"/>
        <v>-424.07107528102716</v>
      </c>
      <c r="BH105" s="10">
        <f t="shared" si="107"/>
        <v>-1981.722676654683</v>
      </c>
      <c r="BI105" s="10">
        <f t="shared" si="108"/>
        <v>368.27732334531686</v>
      </c>
      <c r="BJ105" s="10">
        <f t="shared" si="109"/>
        <v>-30.787037037037038</v>
      </c>
      <c r="BK105" s="10">
        <f t="shared" si="110"/>
        <v>-108.781532783979</v>
      </c>
      <c r="BL105" s="10">
        <f t="shared" si="111"/>
        <v>-159.35096498392133</v>
      </c>
      <c r="BM105" s="10">
        <f t="shared" si="112"/>
        <v>-30.840098383496592</v>
      </c>
      <c r="BN105" s="10">
        <f t="shared" si="113"/>
        <v>69.576388888888886</v>
      </c>
      <c r="BO105" s="10">
        <f t="shared" si="114"/>
        <v>247.66264886678783</v>
      </c>
      <c r="BP105" s="10">
        <f t="shared" si="115"/>
        <v>-105.05850405903008</v>
      </c>
      <c r="BQ105" s="10">
        <f t="shared" si="116"/>
        <v>142.60414480775776</v>
      </c>
      <c r="BR105" s="10">
        <f t="shared" si="117"/>
        <v>58.690913427893804</v>
      </c>
      <c r="BS105" s="10">
        <f t="shared" si="118"/>
        <v>306.35356229468164</v>
      </c>
    </row>
    <row r="106" spans="2:71" hidden="1">
      <c r="B106" s="29" t="s">
        <v>8</v>
      </c>
      <c r="C106" s="29" t="s">
        <v>463</v>
      </c>
      <c r="D106" s="25" t="s">
        <v>533</v>
      </c>
      <c r="E106" s="98">
        <v>104</v>
      </c>
      <c r="F106" s="98">
        <v>46140</v>
      </c>
      <c r="G106" s="99">
        <v>27</v>
      </c>
      <c r="H106" s="184" t="s">
        <v>31</v>
      </c>
      <c r="I106" s="27" t="s">
        <v>107</v>
      </c>
      <c r="J106" s="7" t="s">
        <v>515</v>
      </c>
      <c r="K106" s="7" t="s">
        <v>171</v>
      </c>
      <c r="L106" s="7" t="s">
        <v>516</v>
      </c>
      <c r="M106" s="21" t="s">
        <v>508</v>
      </c>
      <c r="N106" s="7" t="s">
        <v>509</v>
      </c>
      <c r="O106" s="20">
        <v>2850</v>
      </c>
      <c r="P106" s="59">
        <v>76950</v>
      </c>
      <c r="Q106" s="20">
        <v>2726.8518518518517</v>
      </c>
      <c r="R106" s="30">
        <v>3325</v>
      </c>
      <c r="S106" s="32">
        <v>73625</v>
      </c>
      <c r="T106" s="63">
        <v>1</v>
      </c>
      <c r="U106" s="57" t="s">
        <v>563</v>
      </c>
      <c r="V106" s="141">
        <v>6451281130</v>
      </c>
      <c r="W106" s="60" t="s">
        <v>122</v>
      </c>
      <c r="X106" s="4"/>
      <c r="Y106" s="4" t="s">
        <v>867</v>
      </c>
      <c r="Z106" s="7">
        <v>10007162</v>
      </c>
      <c r="AA106" s="7"/>
      <c r="AB106" s="7"/>
      <c r="AC106" s="20">
        <f t="shared" si="132"/>
        <v>1987.6114199724566</v>
      </c>
      <c r="AD106" s="44">
        <f>IFERROR(INDEX('Costos Producción Febrero'!$G$34:$G$57,MATCH(Resumen!Z106,'Costos Producción Febrero'!$B$34:$B$57,0))*AC106*G106,0)</f>
        <v>32905.041422798364</v>
      </c>
      <c r="AE106" s="44">
        <f>IFERROR(INDEX('Costos Producción Febrero'!$H$34:$H$57,MATCH(Resumen!Z106,'Costos Producción Febrero'!$B$34:$B$57,0))*AC106*G106,0)</f>
        <v>9342.3974614308099</v>
      </c>
      <c r="AF106" s="44">
        <f>IFERROR(INDEX('Costos Producción Febrero'!$I$34:$I$57,MATCH(Resumen!Z106,'Costos Producción Febrero'!$B$34:$B$57,0))*AC106*G106,0)</f>
        <v>497.51092842204304</v>
      </c>
      <c r="AG106" s="44">
        <f>IFERROR(INDEX('Costos Producción Febrero'!$J$34:$J$57,MATCH(Resumen!Z106,'Costos Producción Febrero'!$B$34:$B$57,0))*AC106*G106,0)</f>
        <v>10920.558526605111</v>
      </c>
      <c r="AH106" s="44">
        <f t="shared" si="133"/>
        <v>53665.508339256332</v>
      </c>
      <c r="AI106" s="44"/>
      <c r="AJ106" s="43">
        <v>2042.5329601207702</v>
      </c>
      <c r="AK106" s="44"/>
      <c r="AL106" s="43">
        <f t="shared" si="134"/>
        <v>23284.491660743668</v>
      </c>
      <c r="AM106" s="92">
        <f t="shared" si="135"/>
        <v>0.30259248422019064</v>
      </c>
      <c r="AN106" s="42">
        <f t="shared" si="136"/>
        <v>3325</v>
      </c>
      <c r="AO106" s="42">
        <f t="shared" si="137"/>
        <v>534.12466939844239</v>
      </c>
      <c r="AP106" s="42">
        <f t="shared" si="122"/>
        <v>2937.1013851674329</v>
      </c>
      <c r="AQ106" s="42">
        <f t="shared" si="119"/>
        <v>6796.2260545658755</v>
      </c>
      <c r="AR106" s="42">
        <f t="shared" si="123"/>
        <v>832.68265635440798</v>
      </c>
      <c r="AS106" s="42">
        <f t="shared" si="124"/>
        <v>2208.75</v>
      </c>
      <c r="AT106" s="43">
        <f t="shared" si="127"/>
        <v>17864.332949823387</v>
      </c>
      <c r="AU106" s="92">
        <f t="shared" si="138"/>
        <v>0.23215507407177891</v>
      </c>
      <c r="AV106" s="42">
        <f t="shared" si="125"/>
        <v>2836.5796095938122</v>
      </c>
      <c r="AW106" s="43">
        <f t="shared" si="128"/>
        <v>15027.753340229574</v>
      </c>
      <c r="AX106" s="92">
        <f t="shared" si="139"/>
        <v>0.19529244106861043</v>
      </c>
      <c r="AY106" s="42">
        <f t="shared" si="126"/>
        <v>1584.6546625531328</v>
      </c>
      <c r="AZ106" s="43">
        <f t="shared" si="129"/>
        <v>19448.987612376521</v>
      </c>
      <c r="BA106" s="92">
        <f t="shared" si="140"/>
        <v>0.25274837702893466</v>
      </c>
      <c r="BC106" s="10">
        <f t="shared" si="102"/>
        <v>2850</v>
      </c>
      <c r="BD106" s="10">
        <f t="shared" si="103"/>
        <v>-1218.7052378814208</v>
      </c>
      <c r="BE106" s="10">
        <f t="shared" si="104"/>
        <v>-346.01472079373372</v>
      </c>
      <c r="BF106" s="10">
        <f t="shared" si="105"/>
        <v>-18.426330682297891</v>
      </c>
      <c r="BG106" s="10">
        <f t="shared" si="106"/>
        <v>-404.46513061500411</v>
      </c>
      <c r="BH106" s="10">
        <f t="shared" si="107"/>
        <v>-1987.6114199724568</v>
      </c>
      <c r="BI106" s="10">
        <f t="shared" si="108"/>
        <v>862.3885800275433</v>
      </c>
      <c r="BJ106" s="10">
        <f t="shared" si="109"/>
        <v>-123.14814814814815</v>
      </c>
      <c r="BK106" s="10">
        <f t="shared" si="110"/>
        <v>-108.781532783979</v>
      </c>
      <c r="BL106" s="10">
        <f t="shared" si="111"/>
        <v>-251.71207609503242</v>
      </c>
      <c r="BM106" s="10">
        <f t="shared" si="112"/>
        <v>-30.840098383496592</v>
      </c>
      <c r="BN106" s="10">
        <f t="shared" si="113"/>
        <v>81.805555555555557</v>
      </c>
      <c r="BO106" s="10">
        <f t="shared" si="114"/>
        <v>661.64196110456987</v>
      </c>
      <c r="BP106" s="10">
        <f t="shared" si="115"/>
        <v>-105.05850405903008</v>
      </c>
      <c r="BQ106" s="10">
        <f t="shared" si="116"/>
        <v>556.58345704553983</v>
      </c>
      <c r="BR106" s="10">
        <f t="shared" si="117"/>
        <v>58.690913427893804</v>
      </c>
      <c r="BS106" s="10">
        <f t="shared" si="118"/>
        <v>720.33287453246373</v>
      </c>
    </row>
    <row r="107" spans="2:71" hidden="1">
      <c r="B107" s="29" t="s">
        <v>8</v>
      </c>
      <c r="C107" s="29" t="s">
        <v>463</v>
      </c>
      <c r="D107" s="25" t="s">
        <v>535</v>
      </c>
      <c r="E107" s="98">
        <v>106</v>
      </c>
      <c r="F107" s="98">
        <v>46140</v>
      </c>
      <c r="G107" s="99">
        <v>70.900000000000006</v>
      </c>
      <c r="H107" s="185" t="s">
        <v>33</v>
      </c>
      <c r="I107" s="27" t="s">
        <v>132</v>
      </c>
      <c r="J107" s="7" t="s">
        <v>536</v>
      </c>
      <c r="K107" s="7" t="s">
        <v>141</v>
      </c>
      <c r="L107" s="7" t="s">
        <v>519</v>
      </c>
      <c r="M107" s="21" t="s">
        <v>43</v>
      </c>
      <c r="N107" s="7" t="s">
        <v>129</v>
      </c>
      <c r="O107" s="20">
        <v>2300</v>
      </c>
      <c r="P107" s="59">
        <v>163070</v>
      </c>
      <c r="Q107" s="20">
        <v>2164.5557122708037</v>
      </c>
      <c r="R107" s="30">
        <v>9603</v>
      </c>
      <c r="S107" s="32">
        <v>153467</v>
      </c>
      <c r="T107" s="63">
        <v>3</v>
      </c>
      <c r="U107" s="57" t="s">
        <v>563</v>
      </c>
      <c r="V107" s="141" t="s">
        <v>570</v>
      </c>
      <c r="W107" s="60" t="s">
        <v>122</v>
      </c>
      <c r="X107" s="4"/>
      <c r="Y107" s="4" t="s">
        <v>867</v>
      </c>
      <c r="Z107" s="7">
        <v>10005721</v>
      </c>
      <c r="AA107" s="7"/>
      <c r="AB107" s="7"/>
      <c r="AC107" s="20">
        <f t="shared" si="132"/>
        <v>2081.7652269777964</v>
      </c>
      <c r="AD107" s="44">
        <f>IFERROR(INDEX('Costos Producción Febrero'!$G$34:$G$57,MATCH(Resumen!Z107,'Costos Producción Febrero'!$B$34:$B$57,0))*AC107*G107,0)</f>
        <v>89637.362733710819</v>
      </c>
      <c r="AE107" s="44">
        <f>IFERROR(INDEX('Costos Producción Febrero'!$H$34:$H$57,MATCH(Resumen!Z107,'Costos Producción Febrero'!$B$34:$B$57,0))*AC107*G107,0)</f>
        <v>26265.60825581805</v>
      </c>
      <c r="AF107" s="44">
        <f>IFERROR(INDEX('Costos Producción Febrero'!$I$34:$I$57,MATCH(Resumen!Z107,'Costos Producción Febrero'!$B$34:$B$57,0))*AC107*G107,0)</f>
        <v>1609.0902827790164</v>
      </c>
      <c r="AG107" s="44">
        <f>IFERROR(INDEX('Costos Producción Febrero'!$J$34:$J$57,MATCH(Resumen!Z107,'Costos Producción Febrero'!$B$34:$B$57,0))*AC107*G107,0)</f>
        <v>30085.093320417891</v>
      </c>
      <c r="AH107" s="44">
        <f t="shared" si="133"/>
        <v>147597.15459272577</v>
      </c>
      <c r="AI107" s="44"/>
      <c r="AJ107" s="43">
        <v>2136.6867671261102</v>
      </c>
      <c r="AK107" s="44"/>
      <c r="AL107" s="43">
        <f t="shared" si="134"/>
        <v>15472.845407274232</v>
      </c>
      <c r="AM107" s="92">
        <f t="shared" si="135"/>
        <v>9.4884683922697194E-2</v>
      </c>
      <c r="AN107" s="42">
        <f t="shared" si="136"/>
        <v>9603</v>
      </c>
      <c r="AO107" s="42">
        <f t="shared" si="137"/>
        <v>1402.571817049984</v>
      </c>
      <c r="AP107" s="42">
        <f t="shared" si="122"/>
        <v>7712.6106743841119</v>
      </c>
      <c r="AQ107" s="42">
        <f t="shared" si="119"/>
        <v>18718.182491434098</v>
      </c>
      <c r="AR107" s="42">
        <f t="shared" si="123"/>
        <v>2186.5629753899084</v>
      </c>
      <c r="AS107" s="42">
        <f t="shared" si="124"/>
        <v>4604.01</v>
      </c>
      <c r="AT107" s="43">
        <f t="shared" si="127"/>
        <v>-827.89005954977438</v>
      </c>
      <c r="AU107" s="92">
        <f t="shared" si="138"/>
        <v>-5.0768998561953414E-3</v>
      </c>
      <c r="AV107" s="42">
        <f t="shared" si="125"/>
        <v>7448.6479377852338</v>
      </c>
      <c r="AW107" s="43">
        <f t="shared" si="128"/>
        <v>-8276.5379973350082</v>
      </c>
      <c r="AX107" s="92">
        <f t="shared" si="139"/>
        <v>-5.0754510316643207E-2</v>
      </c>
      <c r="AY107" s="42">
        <f t="shared" si="126"/>
        <v>4161.1857620376713</v>
      </c>
      <c r="AZ107" s="43">
        <f t="shared" si="129"/>
        <v>3333.295702487897</v>
      </c>
      <c r="BA107" s="92">
        <f t="shared" si="140"/>
        <v>2.0440888590715012E-2</v>
      </c>
      <c r="BC107" s="10">
        <f t="shared" si="102"/>
        <v>2300</v>
      </c>
      <c r="BD107" s="10">
        <f t="shared" si="103"/>
        <v>-1264.2787409550185</v>
      </c>
      <c r="BE107" s="10">
        <f t="shared" si="104"/>
        <v>-370.45991898191886</v>
      </c>
      <c r="BF107" s="10">
        <f t="shared" si="105"/>
        <v>-22.695208501819693</v>
      </c>
      <c r="BG107" s="10">
        <f t="shared" si="106"/>
        <v>-424.33135853903934</v>
      </c>
      <c r="BH107" s="10">
        <f t="shared" si="107"/>
        <v>-2081.7652269777964</v>
      </c>
      <c r="BI107" s="10">
        <f t="shared" si="108"/>
        <v>218.23477302220354</v>
      </c>
      <c r="BJ107" s="10">
        <f t="shared" si="109"/>
        <v>-135.44428772919605</v>
      </c>
      <c r="BK107" s="10">
        <f t="shared" si="110"/>
        <v>-108.781532783979</v>
      </c>
      <c r="BL107" s="10">
        <f t="shared" si="111"/>
        <v>-264.00821567608034</v>
      </c>
      <c r="BM107" s="10">
        <f t="shared" si="112"/>
        <v>-30.840098383496588</v>
      </c>
      <c r="BN107" s="10">
        <f t="shared" si="113"/>
        <v>64.936671368124109</v>
      </c>
      <c r="BO107" s="10">
        <f t="shared" si="114"/>
        <v>-11.676869669249285</v>
      </c>
      <c r="BP107" s="10">
        <f t="shared" si="115"/>
        <v>-105.05850405903008</v>
      </c>
      <c r="BQ107" s="10">
        <f t="shared" si="116"/>
        <v>-116.73537372827937</v>
      </c>
      <c r="BR107" s="10">
        <f t="shared" si="117"/>
        <v>58.690913427893811</v>
      </c>
      <c r="BS107" s="10">
        <f t="shared" si="118"/>
        <v>47.014043758644526</v>
      </c>
    </row>
    <row r="108" spans="2:71" hidden="1">
      <c r="B108" s="29" t="s">
        <v>8</v>
      </c>
      <c r="C108" s="29" t="s">
        <v>463</v>
      </c>
      <c r="D108" s="25" t="s">
        <v>537</v>
      </c>
      <c r="E108" s="98">
        <v>107</v>
      </c>
      <c r="F108" s="98">
        <v>46140</v>
      </c>
      <c r="G108" s="99">
        <v>24</v>
      </c>
      <c r="H108" s="185" t="s">
        <v>33</v>
      </c>
      <c r="I108" s="27" t="s">
        <v>132</v>
      </c>
      <c r="J108" s="7" t="s">
        <v>538</v>
      </c>
      <c r="K108" s="7" t="s">
        <v>141</v>
      </c>
      <c r="L108" s="7" t="s">
        <v>539</v>
      </c>
      <c r="M108" s="21" t="s">
        <v>43</v>
      </c>
      <c r="N108" s="7" t="s">
        <v>129</v>
      </c>
      <c r="O108" s="20">
        <v>2200</v>
      </c>
      <c r="P108" s="59">
        <v>52800</v>
      </c>
      <c r="Q108" s="20">
        <v>2062.4583333333335</v>
      </c>
      <c r="R108" s="30">
        <v>3301</v>
      </c>
      <c r="S108" s="32">
        <v>49499</v>
      </c>
      <c r="T108" s="63">
        <v>1</v>
      </c>
      <c r="U108" s="57" t="s">
        <v>563</v>
      </c>
      <c r="V108" s="141" t="s">
        <v>571</v>
      </c>
      <c r="W108" s="60" t="s">
        <v>122</v>
      </c>
      <c r="X108" s="4"/>
      <c r="Y108" s="4" t="s">
        <v>867</v>
      </c>
      <c r="Z108" s="7">
        <v>10005721</v>
      </c>
      <c r="AA108" s="7"/>
      <c r="AB108" s="7"/>
      <c r="AC108" s="20">
        <f t="shared" si="132"/>
        <v>2081.7652269777964</v>
      </c>
      <c r="AD108" s="44">
        <f>IFERROR(INDEX('Costos Producción Febrero'!$G$34:$G$57,MATCH(Resumen!Z108,'Costos Producción Febrero'!$B$34:$B$57,0))*AC108*G108,0)</f>
        <v>30342.689782920446</v>
      </c>
      <c r="AE108" s="44">
        <f>IFERROR(INDEX('Costos Producción Febrero'!$H$34:$H$57,MATCH(Resumen!Z108,'Costos Producción Febrero'!$B$34:$B$57,0))*AC108*G108,0)</f>
        <v>8891.0380555660522</v>
      </c>
      <c r="AF108" s="44">
        <f>IFERROR(INDEX('Costos Producción Febrero'!$I$34:$I$57,MATCH(Resumen!Z108,'Costos Producción Febrero'!$B$34:$B$57,0))*AC108*G108,0)</f>
        <v>544.68500404367262</v>
      </c>
      <c r="AG108" s="44">
        <f>IFERROR(INDEX('Costos Producción Febrero'!$J$34:$J$57,MATCH(Resumen!Z108,'Costos Producción Febrero'!$B$34:$B$57,0))*AC108*G108,0)</f>
        <v>10183.952604936945</v>
      </c>
      <c r="AH108" s="44">
        <f t="shared" si="133"/>
        <v>49962.365447467113</v>
      </c>
      <c r="AI108" s="44"/>
      <c r="AJ108" s="43">
        <v>2136.6867671261102</v>
      </c>
      <c r="AK108" s="44"/>
      <c r="AL108" s="43">
        <f t="shared" si="134"/>
        <v>2837.634552532887</v>
      </c>
      <c r="AM108" s="92">
        <f t="shared" si="135"/>
        <v>5.3743078646456194E-2</v>
      </c>
      <c r="AN108" s="42">
        <f t="shared" si="136"/>
        <v>3301</v>
      </c>
      <c r="AO108" s="42">
        <f t="shared" si="137"/>
        <v>474.77748390972658</v>
      </c>
      <c r="AP108" s="42">
        <f t="shared" si="122"/>
        <v>2610.7567868154961</v>
      </c>
      <c r="AQ108" s="42">
        <f t="shared" si="119"/>
        <v>6386.5342707252221</v>
      </c>
      <c r="AR108" s="42">
        <f t="shared" si="123"/>
        <v>740.16236120391818</v>
      </c>
      <c r="AS108" s="42">
        <f t="shared" si="124"/>
        <v>1484.97</v>
      </c>
      <c r="AT108" s="43">
        <f t="shared" si="127"/>
        <v>-2804.0920793962532</v>
      </c>
      <c r="AU108" s="92">
        <f t="shared" si="138"/>
        <v>-5.3107804534019948E-2</v>
      </c>
      <c r="AV108" s="42">
        <f t="shared" si="125"/>
        <v>2521.4040974167219</v>
      </c>
      <c r="AW108" s="43">
        <f t="shared" si="128"/>
        <v>-5325.4961768129751</v>
      </c>
      <c r="AX108" s="92">
        <f t="shared" si="139"/>
        <v>-0.10086167001539725</v>
      </c>
      <c r="AY108" s="42">
        <f t="shared" si="126"/>
        <v>1408.5819222694513</v>
      </c>
      <c r="AZ108" s="43">
        <f t="shared" si="129"/>
        <v>-1395.5101571268019</v>
      </c>
      <c r="BA108" s="92">
        <f t="shared" si="140"/>
        <v>-2.6430116612250035E-2</v>
      </c>
      <c r="BC108" s="10">
        <f t="shared" si="102"/>
        <v>2200</v>
      </c>
      <c r="BD108" s="10">
        <f t="shared" si="103"/>
        <v>-1264.2787409550185</v>
      </c>
      <c r="BE108" s="10">
        <f t="shared" si="104"/>
        <v>-370.45991898191886</v>
      </c>
      <c r="BF108" s="10">
        <f t="shared" si="105"/>
        <v>-22.695208501819693</v>
      </c>
      <c r="BG108" s="10">
        <f t="shared" si="106"/>
        <v>-424.3313585390394</v>
      </c>
      <c r="BH108" s="10">
        <f t="shared" si="107"/>
        <v>-2081.7652269777964</v>
      </c>
      <c r="BI108" s="10">
        <f t="shared" si="108"/>
        <v>118.23477302220363</v>
      </c>
      <c r="BJ108" s="10">
        <f t="shared" si="109"/>
        <v>-137.54166666666666</v>
      </c>
      <c r="BK108" s="10">
        <f t="shared" si="110"/>
        <v>-108.781532783979</v>
      </c>
      <c r="BL108" s="10">
        <f t="shared" si="111"/>
        <v>-266.10559461355092</v>
      </c>
      <c r="BM108" s="10">
        <f t="shared" si="112"/>
        <v>-30.840098383496592</v>
      </c>
      <c r="BN108" s="10">
        <f t="shared" si="113"/>
        <v>61.873750000000001</v>
      </c>
      <c r="BO108" s="10">
        <f t="shared" si="114"/>
        <v>-116.83716997484389</v>
      </c>
      <c r="BP108" s="10">
        <f t="shared" si="115"/>
        <v>-105.05850405903008</v>
      </c>
      <c r="BQ108" s="10">
        <f t="shared" si="116"/>
        <v>-221.89567403387397</v>
      </c>
      <c r="BR108" s="10">
        <f t="shared" si="117"/>
        <v>58.690913427893804</v>
      </c>
      <c r="BS108" s="10">
        <f t="shared" si="118"/>
        <v>-58.146256546950077</v>
      </c>
    </row>
    <row r="109" spans="2:71" hidden="1">
      <c r="B109" s="29" t="s">
        <v>8</v>
      </c>
      <c r="C109" s="29" t="s">
        <v>463</v>
      </c>
      <c r="D109" s="25" t="s">
        <v>540</v>
      </c>
      <c r="E109" s="98">
        <v>108</v>
      </c>
      <c r="F109" s="98">
        <v>46139</v>
      </c>
      <c r="G109" s="99">
        <v>134.94</v>
      </c>
      <c r="H109" s="184" t="s">
        <v>31</v>
      </c>
      <c r="I109" s="27" t="s">
        <v>107</v>
      </c>
      <c r="J109" s="7" t="s">
        <v>541</v>
      </c>
      <c r="K109" s="7" t="s">
        <v>161</v>
      </c>
      <c r="L109" s="7" t="s">
        <v>147</v>
      </c>
      <c r="M109" s="21" t="s">
        <v>52</v>
      </c>
      <c r="N109" s="7" t="s">
        <v>148</v>
      </c>
      <c r="O109" s="20">
        <v>2400</v>
      </c>
      <c r="P109" s="59">
        <v>323856</v>
      </c>
      <c r="Q109" s="20">
        <v>2213.9172965762564</v>
      </c>
      <c r="R109" s="30">
        <v>25110</v>
      </c>
      <c r="S109" s="32">
        <v>298746</v>
      </c>
      <c r="T109" s="63">
        <v>5</v>
      </c>
      <c r="U109" s="57" t="s">
        <v>568</v>
      </c>
      <c r="V109" s="141">
        <v>23616054</v>
      </c>
      <c r="W109" s="60" t="s">
        <v>112</v>
      </c>
      <c r="X109" s="4"/>
      <c r="Y109" s="4" t="s">
        <v>867</v>
      </c>
      <c r="Z109" s="7">
        <v>10007162</v>
      </c>
      <c r="AA109" s="7"/>
      <c r="AB109" s="7"/>
      <c r="AC109" s="20">
        <f t="shared" si="132"/>
        <v>1987.6114199724566</v>
      </c>
      <c r="AD109" s="44">
        <f>IFERROR(INDEX('Costos Producción Febrero'!$G$34:$G$57,MATCH(Resumen!Z109,'Costos Producción Febrero'!$B$34:$B$57,0))*AC109*G109,0)</f>
        <v>164452.08479971893</v>
      </c>
      <c r="AE109" s="44">
        <f>IFERROR(INDEX('Costos Producción Febrero'!$H$34:$H$57,MATCH(Resumen!Z109,'Costos Producción Febrero'!$B$34:$B$57,0))*AC109*G109,0)</f>
        <v>46691.226423906424</v>
      </c>
      <c r="AF109" s="44">
        <f>IFERROR(INDEX('Costos Producción Febrero'!$I$34:$I$57,MATCH(Resumen!Z109,'Costos Producción Febrero'!$B$34:$B$57,0))*AC109*G109,0)</f>
        <v>2486.4490622692774</v>
      </c>
      <c r="AG109" s="44">
        <f>IFERROR(INDEX('Costos Producción Febrero'!$J$34:$J$57,MATCH(Resumen!Z109,'Costos Producción Febrero'!$B$34:$B$57,0))*AC109*G109,0)</f>
        <v>54578.524725188654</v>
      </c>
      <c r="AH109" s="44">
        <f t="shared" si="133"/>
        <v>268208.2850110833</v>
      </c>
      <c r="AI109" s="44"/>
      <c r="AJ109" s="43">
        <v>2042.5329601207702</v>
      </c>
      <c r="AK109" s="44"/>
      <c r="AL109" s="43">
        <f t="shared" si="134"/>
        <v>55647.714988916705</v>
      </c>
      <c r="AM109" s="92">
        <f t="shared" si="135"/>
        <v>0.17182857501147641</v>
      </c>
      <c r="AN109" s="42">
        <f t="shared" si="136"/>
        <v>25110</v>
      </c>
      <c r="AO109" s="42">
        <f t="shared" si="137"/>
        <v>2669.4364032824378</v>
      </c>
      <c r="AP109" s="42">
        <f t="shared" si="122"/>
        <v>14678.980033870126</v>
      </c>
      <c r="AQ109" s="42">
        <f t="shared" si="119"/>
        <v>42458.416437152562</v>
      </c>
      <c r="AR109" s="42">
        <f t="shared" si="123"/>
        <v>4161.56287586903</v>
      </c>
      <c r="AS109" s="42">
        <f t="shared" si="124"/>
        <v>8962.3799999999992</v>
      </c>
      <c r="AT109" s="43">
        <f t="shared" si="127"/>
        <v>17990.115675895111</v>
      </c>
      <c r="AU109" s="92">
        <f t="shared" si="138"/>
        <v>5.5549737154460967E-2</v>
      </c>
      <c r="AV109" s="42">
        <f t="shared" si="125"/>
        <v>14176.594537725519</v>
      </c>
      <c r="AW109" s="43">
        <f t="shared" si="128"/>
        <v>3813.5211381695917</v>
      </c>
      <c r="AX109" s="92">
        <f t="shared" si="139"/>
        <v>1.1775360463198433E-2</v>
      </c>
      <c r="AY109" s="42">
        <f t="shared" si="126"/>
        <v>7919.75185795999</v>
      </c>
      <c r="AZ109" s="43">
        <f t="shared" si="129"/>
        <v>25909.8675338551</v>
      </c>
      <c r="BA109" s="92">
        <f t="shared" si="140"/>
        <v>8.0004284416083385E-2</v>
      </c>
      <c r="BC109" s="10">
        <f t="shared" si="102"/>
        <v>2400</v>
      </c>
      <c r="BD109" s="10">
        <f t="shared" si="103"/>
        <v>-1218.7052378814208</v>
      </c>
      <c r="BE109" s="10">
        <f t="shared" si="104"/>
        <v>-346.01472079373372</v>
      </c>
      <c r="BF109" s="10">
        <f t="shared" si="105"/>
        <v>-18.426330682297891</v>
      </c>
      <c r="BG109" s="10">
        <f t="shared" si="106"/>
        <v>-404.46513061500411</v>
      </c>
      <c r="BH109" s="10">
        <f t="shared" si="107"/>
        <v>-1987.6114199724566</v>
      </c>
      <c r="BI109" s="10">
        <f t="shared" si="108"/>
        <v>412.38858002754341</v>
      </c>
      <c r="BJ109" s="10">
        <f t="shared" si="109"/>
        <v>-186.08270342374388</v>
      </c>
      <c r="BK109" s="10">
        <f t="shared" si="110"/>
        <v>-108.781532783979</v>
      </c>
      <c r="BL109" s="10">
        <f t="shared" si="111"/>
        <v>-314.64663137062814</v>
      </c>
      <c r="BM109" s="10">
        <f t="shared" si="112"/>
        <v>-30.840098383496592</v>
      </c>
      <c r="BN109" s="10">
        <f t="shared" si="113"/>
        <v>66.417518897287678</v>
      </c>
      <c r="BO109" s="10">
        <f t="shared" si="114"/>
        <v>133.31936917070632</v>
      </c>
      <c r="BP109" s="10">
        <f t="shared" si="115"/>
        <v>-105.05850405903008</v>
      </c>
      <c r="BQ109" s="10">
        <f t="shared" si="116"/>
        <v>28.260865111676239</v>
      </c>
      <c r="BR109" s="10">
        <f t="shared" si="117"/>
        <v>58.690913427893804</v>
      </c>
      <c r="BS109" s="10">
        <f t="shared" si="118"/>
        <v>192.01028259860013</v>
      </c>
    </row>
    <row r="110" spans="2:71" hidden="1">
      <c r="B110" s="29" t="s">
        <v>8</v>
      </c>
      <c r="C110" s="29" t="s">
        <v>463</v>
      </c>
      <c r="D110" s="25" t="s">
        <v>542</v>
      </c>
      <c r="E110" s="98">
        <v>108</v>
      </c>
      <c r="F110" s="98">
        <v>46139</v>
      </c>
      <c r="G110" s="99">
        <v>162</v>
      </c>
      <c r="H110" s="184" t="s">
        <v>31</v>
      </c>
      <c r="I110" s="27" t="s">
        <v>107</v>
      </c>
      <c r="J110" s="7" t="s">
        <v>541</v>
      </c>
      <c r="K110" s="7" t="s">
        <v>161</v>
      </c>
      <c r="L110" s="7" t="s">
        <v>147</v>
      </c>
      <c r="M110" s="21" t="s">
        <v>52</v>
      </c>
      <c r="N110" s="7" t="s">
        <v>148</v>
      </c>
      <c r="O110" s="20">
        <v>2400</v>
      </c>
      <c r="P110" s="59">
        <v>388800</v>
      </c>
      <c r="Q110" s="20">
        <v>2214.0432098765432</v>
      </c>
      <c r="R110" s="30">
        <v>30125</v>
      </c>
      <c r="S110" s="32">
        <v>358675</v>
      </c>
      <c r="T110" s="63">
        <v>6</v>
      </c>
      <c r="U110" s="57" t="s">
        <v>568</v>
      </c>
      <c r="V110" s="141">
        <v>16115713</v>
      </c>
      <c r="W110" s="60" t="s">
        <v>112</v>
      </c>
      <c r="X110" s="4"/>
      <c r="Y110" s="4" t="s">
        <v>867</v>
      </c>
      <c r="Z110" s="7">
        <v>10007162</v>
      </c>
      <c r="AA110" s="7"/>
      <c r="AB110" s="7"/>
      <c r="AC110" s="20">
        <f t="shared" si="132"/>
        <v>1987.6114199724566</v>
      </c>
      <c r="AD110" s="44">
        <f>IFERROR(INDEX('Costos Producción Febrero'!$G$34:$G$57,MATCH(Resumen!Z110,'Costos Producción Febrero'!$B$34:$B$57,0))*AC110*G110,0)</f>
        <v>197430.24853679017</v>
      </c>
      <c r="AE110" s="44">
        <f>IFERROR(INDEX('Costos Producción Febrero'!$H$34:$H$57,MATCH(Resumen!Z110,'Costos Producción Febrero'!$B$34:$B$57,0))*AC110*G110,0)</f>
        <v>56054.38476858486</v>
      </c>
      <c r="AF110" s="44">
        <f>IFERROR(INDEX('Costos Producción Febrero'!$I$34:$I$57,MATCH(Resumen!Z110,'Costos Producción Febrero'!$B$34:$B$57,0))*AC110*G110,0)</f>
        <v>2985.0655705322583</v>
      </c>
      <c r="AG110" s="44">
        <f>IFERROR(INDEX('Costos Producción Febrero'!$J$34:$J$57,MATCH(Resumen!Z110,'Costos Producción Febrero'!$B$34:$B$57,0))*AC110*G110,0)</f>
        <v>65523.351159630663</v>
      </c>
      <c r="AH110" s="44">
        <f t="shared" ref="AH110:AH151" si="141">SUM(AD110:AG110)</f>
        <v>321993.05003553792</v>
      </c>
      <c r="AI110" s="44"/>
      <c r="AJ110" s="43">
        <v>2042.5329601207702</v>
      </c>
      <c r="AK110" s="44"/>
      <c r="AL110" s="43">
        <f t="shared" si="134"/>
        <v>66806.949964462081</v>
      </c>
      <c r="AM110" s="92">
        <f t="shared" si="135"/>
        <v>0.17182857501147655</v>
      </c>
      <c r="AN110" s="42">
        <f t="shared" ref="AN110:AN177" si="142">R110</f>
        <v>30125</v>
      </c>
      <c r="AO110" s="42">
        <f t="shared" si="137"/>
        <v>3204.7480163906544</v>
      </c>
      <c r="AP110" s="42">
        <f t="shared" si="122"/>
        <v>17622.608311004598</v>
      </c>
      <c r="AQ110" s="42">
        <f t="shared" ref="AQ110:AQ177" si="143">SUM(AN110:AP110)</f>
        <v>50952.356327395246</v>
      </c>
      <c r="AR110" s="42">
        <f t="shared" si="123"/>
        <v>4996.0959381264483</v>
      </c>
      <c r="AS110" s="42">
        <f t="shared" ref="AS110:AS177" si="144">S110*0.03</f>
        <v>10760.25</v>
      </c>
      <c r="AT110" s="43">
        <f t="shared" si="127"/>
        <v>21618.747698940388</v>
      </c>
      <c r="AU110" s="92">
        <f t="shared" si="138"/>
        <v>5.5603774945834329E-2</v>
      </c>
      <c r="AV110" s="42">
        <f t="shared" si="125"/>
        <v>17019.477657562875</v>
      </c>
      <c r="AW110" s="43">
        <f t="shared" si="128"/>
        <v>4599.2700413775128</v>
      </c>
      <c r="AX110" s="92">
        <f t="shared" si="139"/>
        <v>1.1829398254571792E-2</v>
      </c>
      <c r="AY110" s="42">
        <f t="shared" si="126"/>
        <v>9507.9279753187966</v>
      </c>
      <c r="AZ110" s="43">
        <f t="shared" si="129"/>
        <v>31126.675674259182</v>
      </c>
      <c r="BA110" s="92">
        <f t="shared" si="140"/>
        <v>8.0058322207456747E-2</v>
      </c>
      <c r="BC110" s="10">
        <f t="shared" si="102"/>
        <v>2400</v>
      </c>
      <c r="BD110" s="10">
        <f t="shared" si="103"/>
        <v>-1218.7052378814208</v>
      </c>
      <c r="BE110" s="10">
        <f t="shared" si="104"/>
        <v>-346.01472079373372</v>
      </c>
      <c r="BF110" s="10">
        <f t="shared" si="105"/>
        <v>-18.426330682297891</v>
      </c>
      <c r="BG110" s="10">
        <f t="shared" si="106"/>
        <v>-404.46513061500411</v>
      </c>
      <c r="BH110" s="10">
        <f t="shared" si="107"/>
        <v>-1987.6114199724564</v>
      </c>
      <c r="BI110" s="10">
        <f t="shared" si="108"/>
        <v>412.3885800275437</v>
      </c>
      <c r="BJ110" s="10">
        <f t="shared" si="109"/>
        <v>-185.95679012345678</v>
      </c>
      <c r="BK110" s="10">
        <f t="shared" si="110"/>
        <v>-108.781532783979</v>
      </c>
      <c r="BL110" s="10">
        <f t="shared" si="111"/>
        <v>-314.52071807034105</v>
      </c>
      <c r="BM110" s="10">
        <f t="shared" si="112"/>
        <v>-30.840098383496596</v>
      </c>
      <c r="BN110" s="10">
        <f t="shared" si="113"/>
        <v>66.421296296296291</v>
      </c>
      <c r="BO110" s="10">
        <f t="shared" si="114"/>
        <v>133.4490598700024</v>
      </c>
      <c r="BP110" s="10">
        <f t="shared" si="115"/>
        <v>-105.05850405903008</v>
      </c>
      <c r="BQ110" s="10">
        <f t="shared" si="116"/>
        <v>28.390555810972302</v>
      </c>
      <c r="BR110" s="10">
        <f t="shared" si="117"/>
        <v>58.690913427893804</v>
      </c>
      <c r="BS110" s="10">
        <f t="shared" si="118"/>
        <v>192.13997329789618</v>
      </c>
    </row>
    <row r="111" spans="2:71" hidden="1">
      <c r="B111" s="7"/>
      <c r="C111" s="29" t="s">
        <v>705</v>
      </c>
      <c r="D111" s="25" t="s">
        <v>670</v>
      </c>
      <c r="E111" s="98">
        <v>87</v>
      </c>
      <c r="F111" s="98">
        <v>46154</v>
      </c>
      <c r="G111" s="99">
        <v>54</v>
      </c>
      <c r="H111" s="27" t="s">
        <v>33</v>
      </c>
      <c r="I111" s="27" t="s">
        <v>132</v>
      </c>
      <c r="J111" s="7" t="s">
        <v>504</v>
      </c>
      <c r="K111" s="7" t="s">
        <v>171</v>
      </c>
      <c r="L111" s="7" t="s">
        <v>172</v>
      </c>
      <c r="M111" s="21" t="s">
        <v>501</v>
      </c>
      <c r="N111" s="7" t="s">
        <v>502</v>
      </c>
      <c r="O111" s="20">
        <v>2100</v>
      </c>
      <c r="P111" s="59">
        <v>113400</v>
      </c>
      <c r="Q111" s="20">
        <v>1984.2592592592594</v>
      </c>
      <c r="R111" s="30">
        <v>6250</v>
      </c>
      <c r="S111" s="32">
        <v>107150</v>
      </c>
      <c r="T111" s="63">
        <v>2</v>
      </c>
      <c r="U111" s="57" t="s">
        <v>737</v>
      </c>
      <c r="V111" s="141">
        <v>6500110010</v>
      </c>
      <c r="W111" s="60"/>
      <c r="X111" s="4"/>
      <c r="Y111" s="4" t="s">
        <v>867</v>
      </c>
      <c r="Z111" s="7">
        <v>10005721</v>
      </c>
      <c r="AA111" s="7"/>
      <c r="AB111" s="7"/>
      <c r="AC111" s="20">
        <f t="shared" ref="AC111:AC125" si="145">AJ111-47.35-5.32-43.33</f>
        <v>2040.6867833638698</v>
      </c>
      <c r="AD111" s="44">
        <f>IFERROR(INDEX('Costos Producción Febrero'!$G$34:$G$57,MATCH(Resumen!Z111,'Costos Producción Febrero'!$B$34:$B$57,0))*AC111*G111,0)</f>
        <v>66923.893108070552</v>
      </c>
      <c r="AE111" s="44">
        <f>IFERROR(INDEX('Costos Producción Febrero'!$H$34:$H$57,MATCH(Resumen!Z111,'Costos Producción Febrero'!$B$34:$B$57,0))*AC111*G111,0)</f>
        <v>19610.090097728302</v>
      </c>
      <c r="AF111" s="44">
        <f>IFERROR(INDEX('Costos Producción Febrero'!$I$34:$I$57,MATCH(Resumen!Z111,'Costos Producción Febrero'!$B$34:$B$57,0))*AC111*G111,0)</f>
        <v>1201.358259566902</v>
      </c>
      <c r="AG111" s="44">
        <f>IFERROR(INDEX('Costos Producción Febrero'!$J$34:$J$57,MATCH(Resumen!Z111,'Costos Producción Febrero'!$B$34:$B$57,0))*AC111*G111,0)</f>
        <v>22461.744836283215</v>
      </c>
      <c r="AH111" s="44">
        <f t="shared" si="141"/>
        <v>110197.08630164896</v>
      </c>
      <c r="AI111" s="44"/>
      <c r="AJ111" s="44">
        <v>2136.6867833638698</v>
      </c>
      <c r="AK111" s="44"/>
      <c r="AL111" s="43">
        <f t="shared" si="134"/>
        <v>3202.9136983510398</v>
      </c>
      <c r="AM111" s="92">
        <f t="shared" si="135"/>
        <v>2.8244388874347794E-2</v>
      </c>
      <c r="AN111" s="42">
        <f t="shared" si="142"/>
        <v>6250</v>
      </c>
      <c r="AO111" s="42">
        <v>0</v>
      </c>
      <c r="AP111" s="42">
        <f t="shared" ref="AP111:AP147" si="146">115.841219614523*G111</f>
        <v>6255.4258591842417</v>
      </c>
      <c r="AQ111" s="42">
        <f t="shared" si="143"/>
        <v>12505.425859184241</v>
      </c>
      <c r="AR111" s="42">
        <f t="shared" ref="AR111:AR147" si="147">40132.56/1978.3*G111</f>
        <v>1095.464914320376</v>
      </c>
      <c r="AS111" s="42">
        <f t="shared" si="144"/>
        <v>3214.5</v>
      </c>
      <c r="AT111" s="43">
        <f t="shared" ref="AT111:AT150" si="148">AL111-AQ111-AR111+AS111</f>
        <v>-7183.4770751535762</v>
      </c>
      <c r="AU111" s="92">
        <f t="shared" ref="AU111:AU150" si="149">AT111/P111</f>
        <v>-6.3346358687421306E-2</v>
      </c>
      <c r="AV111" s="42">
        <f t="shared" ref="AV111:AV147" si="150">167061.72/1978.33*G111</f>
        <v>4560.0748510107014</v>
      </c>
      <c r="AW111" s="43">
        <f t="shared" si="128"/>
        <v>-11743.551926164277</v>
      </c>
      <c r="AX111" s="92">
        <f t="shared" si="139"/>
        <v>-0.10355865896088427</v>
      </c>
      <c r="AY111" s="110">
        <f t="shared" ref="AY111:AY147" si="151">123844.283333333/1978.33*G111</f>
        <v>3380.4225280918668</v>
      </c>
      <c r="AZ111" s="43">
        <f t="shared" si="129"/>
        <v>-3803.0545470617094</v>
      </c>
      <c r="BA111" s="92">
        <f t="shared" si="140"/>
        <v>-3.3536636217475393E-2</v>
      </c>
      <c r="BC111" s="10">
        <f t="shared" si="102"/>
        <v>2100</v>
      </c>
      <c r="BD111" s="10">
        <f t="shared" si="103"/>
        <v>-1239.3313538531584</v>
      </c>
      <c r="BE111" s="10">
        <f t="shared" si="104"/>
        <v>-363.1498166245982</v>
      </c>
      <c r="BF111" s="10">
        <f t="shared" si="105"/>
        <v>-22.247375177164852</v>
      </c>
      <c r="BG111" s="10">
        <f t="shared" si="106"/>
        <v>-415.95823770894845</v>
      </c>
      <c r="BH111" s="10">
        <f t="shared" si="107"/>
        <v>-2040.6867833638696</v>
      </c>
      <c r="BI111" s="10">
        <f t="shared" si="108"/>
        <v>59.313216636130363</v>
      </c>
      <c r="BJ111" s="10">
        <f t="shared" si="109"/>
        <v>-115.74074074074075</v>
      </c>
      <c r="BK111" s="10">
        <f t="shared" si="110"/>
        <v>-115.841219614523</v>
      </c>
      <c r="BL111" s="10">
        <f t="shared" si="111"/>
        <v>-231.58196035526373</v>
      </c>
      <c r="BM111" s="10">
        <f t="shared" si="112"/>
        <v>-20.286387302229187</v>
      </c>
      <c r="BN111" s="10">
        <f t="shared" si="113"/>
        <v>59.527777777777779</v>
      </c>
      <c r="BO111" s="10">
        <f t="shared" si="114"/>
        <v>-133.02735324358474</v>
      </c>
      <c r="BP111" s="10">
        <f t="shared" si="115"/>
        <v>-84.44583057427225</v>
      </c>
      <c r="BQ111" s="10">
        <f t="shared" si="116"/>
        <v>-217.47318381785698</v>
      </c>
      <c r="BR111" s="10">
        <f t="shared" si="117"/>
        <v>62.600417186886425</v>
      </c>
      <c r="BS111" s="10">
        <f t="shared" si="118"/>
        <v>-70.426936056698324</v>
      </c>
    </row>
    <row r="112" spans="2:71" hidden="1">
      <c r="B112" s="7"/>
      <c r="C112" s="29" t="s">
        <v>705</v>
      </c>
      <c r="D112" s="25" t="s">
        <v>671</v>
      </c>
      <c r="E112" s="98">
        <v>87</v>
      </c>
      <c r="F112" s="98">
        <v>46157</v>
      </c>
      <c r="G112" s="99">
        <v>26.8</v>
      </c>
      <c r="H112" s="27" t="s">
        <v>33</v>
      </c>
      <c r="I112" s="27" t="s">
        <v>132</v>
      </c>
      <c r="J112" s="7" t="s">
        <v>504</v>
      </c>
      <c r="K112" s="7" t="s">
        <v>171</v>
      </c>
      <c r="L112" s="7" t="s">
        <v>172</v>
      </c>
      <c r="M112" s="21" t="s">
        <v>501</v>
      </c>
      <c r="N112" s="7" t="s">
        <v>502</v>
      </c>
      <c r="O112" s="20">
        <v>2100</v>
      </c>
      <c r="P112" s="59">
        <f>56280+420</f>
        <v>56700</v>
      </c>
      <c r="Q112" s="20">
        <v>1991.7910447761194</v>
      </c>
      <c r="R112" s="30">
        <v>2900</v>
      </c>
      <c r="S112" s="32">
        <v>53380</v>
      </c>
      <c r="T112" s="63">
        <v>1</v>
      </c>
      <c r="U112" s="57" t="s">
        <v>738</v>
      </c>
      <c r="V112" s="141">
        <v>6500435850</v>
      </c>
      <c r="W112" s="60"/>
      <c r="X112" s="4"/>
      <c r="Y112" s="4" t="s">
        <v>867</v>
      </c>
      <c r="Z112" s="7">
        <v>10005721</v>
      </c>
      <c r="AA112" s="7"/>
      <c r="AB112" s="7"/>
      <c r="AC112" s="20">
        <f t="shared" si="145"/>
        <v>2040.6867833638698</v>
      </c>
      <c r="AD112" s="44">
        <f>IFERROR(INDEX('Costos Producción Febrero'!$G$34:$G$57,MATCH(Resumen!Z112,'Costos Producción Febrero'!$B$34:$B$57,0))*AC112*G112,0)</f>
        <v>33214.080283264644</v>
      </c>
      <c r="AE112" s="44">
        <f>IFERROR(INDEX('Costos Producción Febrero'!$H$34:$H$57,MATCH(Resumen!Z112,'Costos Producción Febrero'!$B$34:$B$57,0))*AC112*G112,0)</f>
        <v>9732.4150855392327</v>
      </c>
      <c r="AF112" s="44">
        <f>IFERROR(INDEX('Costos Producción Febrero'!$I$34:$I$57,MATCH(Resumen!Z112,'Costos Producción Febrero'!$B$34:$B$57,0))*AC112*G112,0)</f>
        <v>596.22965474801799</v>
      </c>
      <c r="AG112" s="44">
        <f>IFERROR(INDEX('Costos Producción Febrero'!$J$34:$J$57,MATCH(Resumen!Z112,'Costos Producción Febrero'!$B$34:$B$57,0))*AC112*G112,0)</f>
        <v>11147.680770599816</v>
      </c>
      <c r="AH112" s="44">
        <f t="shared" si="141"/>
        <v>54690.405794151709</v>
      </c>
      <c r="AI112" s="44"/>
      <c r="AJ112" s="44">
        <v>2136.6867833638698</v>
      </c>
      <c r="AK112" s="44"/>
      <c r="AL112" s="43">
        <f t="shared" si="134"/>
        <v>2009.5942058482906</v>
      </c>
      <c r="AM112" s="92">
        <f t="shared" si="135"/>
        <v>3.5442578586389606E-2</v>
      </c>
      <c r="AN112" s="42">
        <f t="shared" si="142"/>
        <v>2900</v>
      </c>
      <c r="AO112" s="42">
        <v>0</v>
      </c>
      <c r="AP112" s="42">
        <f t="shared" si="146"/>
        <v>3104.5446856692165</v>
      </c>
      <c r="AQ112" s="42">
        <f t="shared" si="143"/>
        <v>6004.5446856692161</v>
      </c>
      <c r="AR112" s="42">
        <f t="shared" si="147"/>
        <v>543.67517969974222</v>
      </c>
      <c r="AS112" s="42">
        <f t="shared" si="144"/>
        <v>1601.3999999999999</v>
      </c>
      <c r="AT112" s="43">
        <f t="shared" si="148"/>
        <v>-2937.2256595206682</v>
      </c>
      <c r="AU112" s="92">
        <f t="shared" si="149"/>
        <v>-5.1802921684667866E-2</v>
      </c>
      <c r="AV112" s="42">
        <f t="shared" si="150"/>
        <v>2263.1482593904962</v>
      </c>
      <c r="AW112" s="43">
        <f t="shared" si="128"/>
        <v>-5200.3739189111639</v>
      </c>
      <c r="AX112" s="92">
        <f t="shared" si="139"/>
        <v>-9.171735306721629E-2</v>
      </c>
      <c r="AY112" s="42">
        <f t="shared" si="151"/>
        <v>1677.6911806085561</v>
      </c>
      <c r="AZ112" s="43">
        <f t="shared" si="129"/>
        <v>-1259.534478912112</v>
      </c>
      <c r="BA112" s="92">
        <f t="shared" si="140"/>
        <v>-2.221401197375859E-2</v>
      </c>
      <c r="BC112" s="10">
        <f t="shared" si="102"/>
        <v>2115.6716417910447</v>
      </c>
      <c r="BD112" s="10">
        <f t="shared" si="103"/>
        <v>-1239.3313538531584</v>
      </c>
      <c r="BE112" s="10">
        <f t="shared" si="104"/>
        <v>-363.1498166245982</v>
      </c>
      <c r="BF112" s="10">
        <f t="shared" si="105"/>
        <v>-22.247375177164852</v>
      </c>
      <c r="BG112" s="10">
        <f t="shared" si="106"/>
        <v>-415.95823770894833</v>
      </c>
      <c r="BH112" s="10">
        <f t="shared" si="107"/>
        <v>-2040.6867833638696</v>
      </c>
      <c r="BI112" s="10">
        <f t="shared" si="108"/>
        <v>74.984858427175027</v>
      </c>
      <c r="BJ112" s="10">
        <f t="shared" si="109"/>
        <v>-108.20895522388059</v>
      </c>
      <c r="BK112" s="10">
        <f t="shared" si="110"/>
        <v>-115.841219614523</v>
      </c>
      <c r="BL112" s="10">
        <f t="shared" si="111"/>
        <v>-224.05017483840359</v>
      </c>
      <c r="BM112" s="10">
        <f t="shared" si="112"/>
        <v>-20.286387302229187</v>
      </c>
      <c r="BN112" s="10">
        <f t="shared" si="113"/>
        <v>59.753731343283576</v>
      </c>
      <c r="BO112" s="10">
        <f t="shared" si="114"/>
        <v>-109.59797237017418</v>
      </c>
      <c r="BP112" s="10">
        <f t="shared" si="115"/>
        <v>-84.445830574272236</v>
      </c>
      <c r="BQ112" s="10">
        <f t="shared" si="116"/>
        <v>-194.04380294444641</v>
      </c>
      <c r="BR112" s="10">
        <f t="shared" si="117"/>
        <v>62.600417186886418</v>
      </c>
      <c r="BS112" s="10">
        <f t="shared" si="118"/>
        <v>-46.997555183287758</v>
      </c>
    </row>
    <row r="113" spans="2:71" hidden="1">
      <c r="B113" s="7"/>
      <c r="C113" s="29" t="s">
        <v>705</v>
      </c>
      <c r="D113" s="25" t="s">
        <v>672</v>
      </c>
      <c r="E113" s="98">
        <v>87</v>
      </c>
      <c r="F113" s="98">
        <v>46164</v>
      </c>
      <c r="G113" s="99">
        <v>54</v>
      </c>
      <c r="H113" s="27" t="s">
        <v>32</v>
      </c>
      <c r="I113" s="27" t="s">
        <v>155</v>
      </c>
      <c r="J113" s="7" t="s">
        <v>708</v>
      </c>
      <c r="K113" s="7" t="s">
        <v>171</v>
      </c>
      <c r="L113" s="7" t="s">
        <v>172</v>
      </c>
      <c r="M113" s="21" t="s">
        <v>501</v>
      </c>
      <c r="N113" s="7" t="s">
        <v>502</v>
      </c>
      <c r="O113" s="20">
        <v>2100</v>
      </c>
      <c r="P113" s="59">
        <v>113400</v>
      </c>
      <c r="Q113" s="20">
        <v>2046.2962962962963</v>
      </c>
      <c r="R113" s="30">
        <v>2900</v>
      </c>
      <c r="S113" s="32">
        <v>110500</v>
      </c>
      <c r="T113" s="63">
        <v>2</v>
      </c>
      <c r="U113" s="57" t="s">
        <v>739</v>
      </c>
      <c r="V113" s="141">
        <v>6501056160</v>
      </c>
      <c r="W113" s="60"/>
      <c r="X113" s="4"/>
      <c r="Y113" s="4" t="s">
        <v>867</v>
      </c>
      <c r="Z113" s="7">
        <v>10006720</v>
      </c>
      <c r="AA113" s="7"/>
      <c r="AB113" s="7"/>
      <c r="AC113" s="20">
        <f t="shared" si="145"/>
        <v>1939.7385678837302</v>
      </c>
      <c r="AD113" s="44">
        <f>IFERROR(INDEX('Costos Producción Febrero'!$G$34:$G$57,MATCH(Resumen!Z113,'Costos Producción Febrero'!$B$34:$B$57,0))*AC113*G113,0)</f>
        <v>67214.703375920551</v>
      </c>
      <c r="AE113" s="44">
        <f>IFERROR(INDEX('Costos Producción Febrero'!$H$34:$H$57,MATCH(Resumen!Z113,'Costos Producción Febrero'!$B$34:$B$57,0))*AC113*G113,0)</f>
        <v>14137.759558028478</v>
      </c>
      <c r="AF113" s="44">
        <f>IFERROR(INDEX('Costos Producción Febrero'!$I$34:$I$57,MATCH(Resumen!Z113,'Costos Producción Febrero'!$B$34:$B$57,0))*AC113*G113,0)</f>
        <v>978.72991841413716</v>
      </c>
      <c r="AG113" s="44">
        <f>IFERROR(INDEX('Costos Producción Febrero'!$J$34:$J$57,MATCH(Resumen!Z113,'Costos Producción Febrero'!$B$34:$B$57,0))*AC113*G113,0)</f>
        <v>22414.689813358262</v>
      </c>
      <c r="AH113" s="44">
        <f t="shared" si="141"/>
        <v>104745.88266572142</v>
      </c>
      <c r="AI113" s="44"/>
      <c r="AJ113" s="44">
        <v>2035.73856788373</v>
      </c>
      <c r="AK113" s="44"/>
      <c r="AL113" s="43">
        <f t="shared" si="134"/>
        <v>8654.1173342785769</v>
      </c>
      <c r="AM113" s="92">
        <f t="shared" si="135"/>
        <v>7.6314967674414258E-2</v>
      </c>
      <c r="AN113" s="42">
        <f t="shared" si="142"/>
        <v>2900</v>
      </c>
      <c r="AO113" s="42">
        <v>0</v>
      </c>
      <c r="AP113" s="42">
        <f t="shared" si="146"/>
        <v>6255.4258591842417</v>
      </c>
      <c r="AQ113" s="42">
        <f t="shared" si="143"/>
        <v>9155.4258591842408</v>
      </c>
      <c r="AR113" s="42">
        <f t="shared" si="147"/>
        <v>1095.464914320376</v>
      </c>
      <c r="AS113" s="42">
        <f t="shared" si="144"/>
        <v>3315</v>
      </c>
      <c r="AT113" s="43">
        <f t="shared" si="148"/>
        <v>1718.22656077396</v>
      </c>
      <c r="AU113" s="92">
        <f t="shared" si="149"/>
        <v>1.5151909707001412E-2</v>
      </c>
      <c r="AV113" s="42">
        <f t="shared" si="150"/>
        <v>4560.0748510107014</v>
      </c>
      <c r="AW113" s="43">
        <f t="shared" si="128"/>
        <v>-2841.8482902367414</v>
      </c>
      <c r="AX113" s="92">
        <f t="shared" si="139"/>
        <v>-2.5060390566461564E-2</v>
      </c>
      <c r="AY113" s="42">
        <f t="shared" si="151"/>
        <v>3380.4225280918668</v>
      </c>
      <c r="AZ113" s="43">
        <f t="shared" si="129"/>
        <v>5098.6490888658263</v>
      </c>
      <c r="BA113" s="92">
        <f t="shared" si="140"/>
        <v>4.4961632176947319E-2</v>
      </c>
      <c r="BC113" s="10">
        <f t="shared" si="102"/>
        <v>2100</v>
      </c>
      <c r="BD113" s="10">
        <f t="shared" si="103"/>
        <v>-1244.7167291837138</v>
      </c>
      <c r="BE113" s="10">
        <f t="shared" si="104"/>
        <v>-261.81036218571256</v>
      </c>
      <c r="BF113" s="10">
        <f t="shared" si="105"/>
        <v>-18.124628118780318</v>
      </c>
      <c r="BG113" s="10">
        <f t="shared" si="106"/>
        <v>-415.08684839552336</v>
      </c>
      <c r="BH113" s="10">
        <f t="shared" si="107"/>
        <v>-1939.73856788373</v>
      </c>
      <c r="BI113" s="10">
        <f t="shared" si="108"/>
        <v>160.26143211626993</v>
      </c>
      <c r="BJ113" s="10">
        <f t="shared" si="109"/>
        <v>-53.703703703703702</v>
      </c>
      <c r="BK113" s="10">
        <f t="shared" si="110"/>
        <v>-115.841219614523</v>
      </c>
      <c r="BL113" s="10">
        <f t="shared" si="111"/>
        <v>-169.54492331822669</v>
      </c>
      <c r="BM113" s="10">
        <f t="shared" si="112"/>
        <v>-20.286387302229187</v>
      </c>
      <c r="BN113" s="10">
        <f t="shared" si="113"/>
        <v>61.388888888888886</v>
      </c>
      <c r="BO113" s="10">
        <f t="shared" si="114"/>
        <v>31.819010384702963</v>
      </c>
      <c r="BP113" s="10">
        <f t="shared" si="115"/>
        <v>-84.44583057427225</v>
      </c>
      <c r="BQ113" s="10">
        <f t="shared" si="116"/>
        <v>-52.626820189569287</v>
      </c>
      <c r="BR113" s="10">
        <f t="shared" si="117"/>
        <v>62.600417186886425</v>
      </c>
      <c r="BS113" s="10">
        <f t="shared" si="118"/>
        <v>94.419427571589381</v>
      </c>
    </row>
    <row r="114" spans="2:71" hidden="1">
      <c r="B114" s="7"/>
      <c r="C114" s="29" t="s">
        <v>705</v>
      </c>
      <c r="D114" s="25" t="s">
        <v>673</v>
      </c>
      <c r="E114" s="98">
        <v>87</v>
      </c>
      <c r="F114" s="98">
        <v>46170</v>
      </c>
      <c r="G114" s="99">
        <v>27</v>
      </c>
      <c r="H114" s="27" t="s">
        <v>32</v>
      </c>
      <c r="I114" s="27" t="s">
        <v>155</v>
      </c>
      <c r="J114" s="7" t="s">
        <v>708</v>
      </c>
      <c r="K114" s="7" t="s">
        <v>171</v>
      </c>
      <c r="L114" s="7" t="s">
        <v>172</v>
      </c>
      <c r="M114" s="21" t="s">
        <v>501</v>
      </c>
      <c r="N114" s="7" t="s">
        <v>502</v>
      </c>
      <c r="O114" s="20">
        <v>2100</v>
      </c>
      <c r="P114" s="59">
        <v>56700</v>
      </c>
      <c r="Q114" s="20">
        <v>1992.5925925925926</v>
      </c>
      <c r="R114" s="30">
        <v>2900</v>
      </c>
      <c r="S114" s="32">
        <v>53800</v>
      </c>
      <c r="T114" s="63">
        <v>1</v>
      </c>
      <c r="U114" s="57" t="s">
        <v>740</v>
      </c>
      <c r="V114" s="141">
        <v>6501720390</v>
      </c>
      <c r="W114" s="60"/>
      <c r="X114" s="4"/>
      <c r="Y114" s="4" t="s">
        <v>867</v>
      </c>
      <c r="Z114" s="7">
        <v>10006720</v>
      </c>
      <c r="AA114" s="7"/>
      <c r="AB114" s="7"/>
      <c r="AC114" s="20">
        <f t="shared" si="145"/>
        <v>1939.7385678837302</v>
      </c>
      <c r="AD114" s="44">
        <f>IFERROR(INDEX('Costos Producción Febrero'!$G$34:$G$57,MATCH(Resumen!Z114,'Costos Producción Febrero'!$B$34:$B$57,0))*AC114*G114,0)</f>
        <v>33607.351687960276</v>
      </c>
      <c r="AE114" s="44">
        <f>IFERROR(INDEX('Costos Producción Febrero'!$H$34:$H$57,MATCH(Resumen!Z114,'Costos Producción Febrero'!$B$34:$B$57,0))*AC114*G114,0)</f>
        <v>7068.8797790142389</v>
      </c>
      <c r="AF114" s="44">
        <f>IFERROR(INDEX('Costos Producción Febrero'!$I$34:$I$57,MATCH(Resumen!Z114,'Costos Producción Febrero'!$B$34:$B$57,0))*AC114*G114,0)</f>
        <v>489.36495920706858</v>
      </c>
      <c r="AG114" s="44">
        <f>IFERROR(INDEX('Costos Producción Febrero'!$J$34:$J$57,MATCH(Resumen!Z114,'Costos Producción Febrero'!$B$34:$B$57,0))*AC114*G114,0)</f>
        <v>11207.344906679131</v>
      </c>
      <c r="AH114" s="44">
        <f t="shared" si="141"/>
        <v>52372.941332860712</v>
      </c>
      <c r="AI114" s="44"/>
      <c r="AJ114" s="44">
        <v>2035.73856788373</v>
      </c>
      <c r="AK114" s="44"/>
      <c r="AL114" s="43">
        <f t="shared" si="134"/>
        <v>4327.0586671392884</v>
      </c>
      <c r="AM114" s="92">
        <f t="shared" si="135"/>
        <v>7.6314967674414258E-2</v>
      </c>
      <c r="AN114" s="42">
        <f t="shared" si="142"/>
        <v>2900</v>
      </c>
      <c r="AO114" s="42">
        <v>0</v>
      </c>
      <c r="AP114" s="42">
        <f t="shared" si="146"/>
        <v>3127.7129295921209</v>
      </c>
      <c r="AQ114" s="42">
        <f t="shared" si="143"/>
        <v>6027.7129295921204</v>
      </c>
      <c r="AR114" s="42">
        <f t="shared" si="147"/>
        <v>547.73245716018801</v>
      </c>
      <c r="AS114" s="42">
        <f t="shared" si="144"/>
        <v>1614</v>
      </c>
      <c r="AT114" s="43">
        <f t="shared" si="148"/>
        <v>-634.38671961301998</v>
      </c>
      <c r="AU114" s="92">
        <f t="shared" si="149"/>
        <v>-1.1188478300053262E-2</v>
      </c>
      <c r="AV114" s="42">
        <f t="shared" si="150"/>
        <v>2280.0374255053507</v>
      </c>
      <c r="AW114" s="43">
        <f t="shared" si="128"/>
        <v>-2914.4241451183707</v>
      </c>
      <c r="AX114" s="92">
        <f t="shared" si="139"/>
        <v>-5.1400778573516236E-2</v>
      </c>
      <c r="AY114" s="42">
        <f t="shared" si="151"/>
        <v>1690.2112640459334</v>
      </c>
      <c r="AZ114" s="43">
        <f t="shared" si="129"/>
        <v>1055.8245444329134</v>
      </c>
      <c r="BA114" s="92">
        <f t="shared" si="140"/>
        <v>1.8621244169892654E-2</v>
      </c>
      <c r="BC114" s="10">
        <f t="shared" si="102"/>
        <v>2100</v>
      </c>
      <c r="BD114" s="10">
        <f t="shared" si="103"/>
        <v>-1244.7167291837138</v>
      </c>
      <c r="BE114" s="10">
        <f t="shared" si="104"/>
        <v>-261.81036218571256</v>
      </c>
      <c r="BF114" s="10">
        <f t="shared" si="105"/>
        <v>-18.124628118780318</v>
      </c>
      <c r="BG114" s="10">
        <f t="shared" si="106"/>
        <v>-415.08684839552336</v>
      </c>
      <c r="BH114" s="10">
        <f t="shared" si="107"/>
        <v>-1939.73856788373</v>
      </c>
      <c r="BI114" s="10">
        <f t="shared" si="108"/>
        <v>160.26143211626993</v>
      </c>
      <c r="BJ114" s="10">
        <f t="shared" si="109"/>
        <v>-107.4074074074074</v>
      </c>
      <c r="BK114" s="10">
        <f t="shared" si="110"/>
        <v>-115.841219614523</v>
      </c>
      <c r="BL114" s="10">
        <f t="shared" si="111"/>
        <v>-223.24862702193039</v>
      </c>
      <c r="BM114" s="10">
        <f t="shared" si="112"/>
        <v>-20.286387302229187</v>
      </c>
      <c r="BN114" s="10">
        <f t="shared" si="113"/>
        <v>59.777777777777779</v>
      </c>
      <c r="BO114" s="10">
        <f t="shared" si="114"/>
        <v>-23.49580443011185</v>
      </c>
      <c r="BP114" s="10">
        <f t="shared" si="115"/>
        <v>-84.44583057427225</v>
      </c>
      <c r="BQ114" s="10">
        <f t="shared" si="116"/>
        <v>-107.9416350043841</v>
      </c>
      <c r="BR114" s="10">
        <f t="shared" si="117"/>
        <v>62.600417186886425</v>
      </c>
      <c r="BS114" s="10">
        <f t="shared" si="118"/>
        <v>39.104612756774571</v>
      </c>
    </row>
    <row r="115" spans="2:71" hidden="1">
      <c r="B115" s="7"/>
      <c r="C115" s="29" t="s">
        <v>705</v>
      </c>
      <c r="D115" s="25" t="s">
        <v>674</v>
      </c>
      <c r="E115" s="98">
        <v>88</v>
      </c>
      <c r="F115" s="98">
        <v>46150</v>
      </c>
      <c r="G115" s="99">
        <v>81</v>
      </c>
      <c r="H115" s="27" t="s">
        <v>495</v>
      </c>
      <c r="I115" s="27" t="s">
        <v>201</v>
      </c>
      <c r="J115" s="7"/>
      <c r="K115" s="7" t="s">
        <v>292</v>
      </c>
      <c r="L115" s="7" t="s">
        <v>172</v>
      </c>
      <c r="M115" s="21" t="s">
        <v>47</v>
      </c>
      <c r="N115" s="7" t="s">
        <v>191</v>
      </c>
      <c r="O115" s="20">
        <v>3900</v>
      </c>
      <c r="P115" s="59">
        <v>315900</v>
      </c>
      <c r="Q115" s="20">
        <v>3784.2592592592591</v>
      </c>
      <c r="R115" s="30">
        <v>9375</v>
      </c>
      <c r="S115" s="32">
        <v>306525</v>
      </c>
      <c r="T115" s="63">
        <v>3</v>
      </c>
      <c r="U115" s="57" t="s">
        <v>741</v>
      </c>
      <c r="V115" s="141">
        <v>6452208610</v>
      </c>
      <c r="W115" s="60"/>
      <c r="X115" s="4"/>
      <c r="Y115" s="4" t="s">
        <v>868</v>
      </c>
      <c r="Z115" s="7">
        <v>10009239</v>
      </c>
      <c r="AA115" s="7"/>
      <c r="AB115" s="7"/>
      <c r="AC115" s="20">
        <f t="shared" si="145"/>
        <v>3345.6816659973501</v>
      </c>
      <c r="AD115" s="44">
        <f>IFERROR(INDEX('Costos Producción Febrero'!$G$34:$G$57,MATCH(Resumen!Z115,'Costos Producción Febrero'!$B$34:$B$57,0))*AC115*G115,0)</f>
        <v>133266.4488251333</v>
      </c>
      <c r="AE115" s="44">
        <f>IFERROR(INDEX('Costos Producción Febrero'!$H$34:$H$57,MATCH(Resumen!Z115,'Costos Producción Febrero'!$B$34:$B$57,0))*AC115*G115,0)</f>
        <v>86882.372552649016</v>
      </c>
      <c r="AF115" s="44">
        <f>IFERROR(INDEX('Costos Producción Febrero'!$I$34:$I$57,MATCH(Resumen!Z115,'Costos Producción Febrero'!$B$34:$B$57,0))*AC115*G115,0)</f>
        <v>1591.1190577626483</v>
      </c>
      <c r="AG115" s="44">
        <f>IFERROR(INDEX('Costos Producción Febrero'!$J$34:$J$57,MATCH(Resumen!Z115,'Costos Producción Febrero'!$B$34:$B$57,0))*AC115*G115,0)</f>
        <v>49260.27451024043</v>
      </c>
      <c r="AH115" s="44">
        <f t="shared" si="141"/>
        <v>271000.21494578541</v>
      </c>
      <c r="AI115" s="44"/>
      <c r="AJ115" s="44">
        <v>3441.6816659973501</v>
      </c>
      <c r="AK115" s="44"/>
      <c r="AL115" s="43">
        <f t="shared" si="134"/>
        <v>44899.78505421459</v>
      </c>
      <c r="AM115" s="92">
        <f t="shared" si="135"/>
        <v>0.14213290615452545</v>
      </c>
      <c r="AN115" s="42">
        <f t="shared" si="142"/>
        <v>9375</v>
      </c>
      <c r="AO115" s="42">
        <v>0</v>
      </c>
      <c r="AP115" s="42">
        <f t="shared" si="146"/>
        <v>9383.1387887763631</v>
      </c>
      <c r="AQ115" s="42">
        <f t="shared" si="143"/>
        <v>18758.138788776363</v>
      </c>
      <c r="AR115" s="42">
        <f t="shared" si="147"/>
        <v>1643.1973714805642</v>
      </c>
      <c r="AS115" s="42">
        <f t="shared" si="144"/>
        <v>9195.75</v>
      </c>
      <c r="AT115" s="43">
        <f t="shared" si="148"/>
        <v>33694.198893957662</v>
      </c>
      <c r="AU115" s="92">
        <f t="shared" si="149"/>
        <v>0.10666096515972669</v>
      </c>
      <c r="AV115" s="42">
        <f t="shared" si="150"/>
        <v>6840.1122765160526</v>
      </c>
      <c r="AW115" s="43">
        <f t="shared" si="128"/>
        <v>26854.086617441608</v>
      </c>
      <c r="AX115" s="92">
        <f t="shared" si="139"/>
        <v>8.5008188089400472E-2</v>
      </c>
      <c r="AY115" s="42">
        <f t="shared" si="151"/>
        <v>5070.6337921377999</v>
      </c>
      <c r="AZ115" s="43">
        <f t="shared" si="129"/>
        <v>38764.832686095462</v>
      </c>
      <c r="BA115" s="92">
        <f t="shared" si="140"/>
        <v>0.12271235418200527</v>
      </c>
      <c r="BC115" s="10">
        <f t="shared" si="102"/>
        <v>3900</v>
      </c>
      <c r="BD115" s="10">
        <f t="shared" si="103"/>
        <v>-1645.2648003102877</v>
      </c>
      <c r="BE115" s="10">
        <f t="shared" si="104"/>
        <v>-1072.6218833660373</v>
      </c>
      <c r="BF115" s="10">
        <f t="shared" si="105"/>
        <v>-19.643445157563558</v>
      </c>
      <c r="BG115" s="10">
        <f t="shared" si="106"/>
        <v>-608.15153716346208</v>
      </c>
      <c r="BH115" s="10">
        <f t="shared" si="107"/>
        <v>-3345.6816659973506</v>
      </c>
      <c r="BI115" s="10">
        <f t="shared" si="108"/>
        <v>554.31833400264929</v>
      </c>
      <c r="BJ115" s="10">
        <f t="shared" si="109"/>
        <v>-115.74074074074075</v>
      </c>
      <c r="BK115" s="10">
        <f t="shared" si="110"/>
        <v>-115.841219614523</v>
      </c>
      <c r="BL115" s="10">
        <f t="shared" si="111"/>
        <v>-231.58196035526373</v>
      </c>
      <c r="BM115" s="10">
        <f t="shared" si="112"/>
        <v>-20.286387302229187</v>
      </c>
      <c r="BN115" s="10">
        <f t="shared" si="113"/>
        <v>113.52777777777777</v>
      </c>
      <c r="BO115" s="10">
        <f t="shared" si="114"/>
        <v>415.9777641229341</v>
      </c>
      <c r="BP115" s="10">
        <f t="shared" si="115"/>
        <v>-84.44583057427225</v>
      </c>
      <c r="BQ115" s="10">
        <f t="shared" si="116"/>
        <v>331.53193354866181</v>
      </c>
      <c r="BR115" s="10">
        <f t="shared" si="117"/>
        <v>62.600417186886418</v>
      </c>
      <c r="BS115" s="10">
        <f t="shared" si="118"/>
        <v>478.57818130982054</v>
      </c>
    </row>
    <row r="116" spans="2:71" hidden="1">
      <c r="B116" s="7"/>
      <c r="C116" s="29" t="s">
        <v>705</v>
      </c>
      <c r="D116" s="25" t="s">
        <v>674</v>
      </c>
      <c r="E116" s="98">
        <v>88</v>
      </c>
      <c r="F116" s="98">
        <v>46150</v>
      </c>
      <c r="G116" s="99">
        <v>27</v>
      </c>
      <c r="H116" s="27" t="s">
        <v>35</v>
      </c>
      <c r="I116" s="27" t="s">
        <v>486</v>
      </c>
      <c r="J116" s="7"/>
      <c r="K116" s="7" t="s">
        <v>292</v>
      </c>
      <c r="L116" s="7" t="s">
        <v>172</v>
      </c>
      <c r="M116" s="21" t="s">
        <v>47</v>
      </c>
      <c r="N116" s="7" t="s">
        <v>191</v>
      </c>
      <c r="O116" s="20">
        <v>3950</v>
      </c>
      <c r="P116" s="59">
        <v>104517</v>
      </c>
      <c r="Q116" s="20">
        <v>3834.2592592592591</v>
      </c>
      <c r="R116" s="30">
        <v>3125</v>
      </c>
      <c r="S116" s="32">
        <v>103525</v>
      </c>
      <c r="T116" s="63">
        <v>1</v>
      </c>
      <c r="U116" s="57" t="s">
        <v>741</v>
      </c>
      <c r="V116" s="141">
        <v>6452208610</v>
      </c>
      <c r="W116" s="60"/>
      <c r="X116" s="4"/>
      <c r="Y116" s="4" t="s">
        <v>868</v>
      </c>
      <c r="Z116" s="7">
        <v>10009331</v>
      </c>
      <c r="AA116" s="7"/>
      <c r="AB116" s="7"/>
      <c r="AC116" s="20">
        <f t="shared" si="145"/>
        <v>2924.0740355810299</v>
      </c>
      <c r="AD116" s="44">
        <f>IFERROR(INDEX('Costos Producción Febrero'!$G$34:$G$57,MATCH(Resumen!Z116,'Costos Producción Febrero'!$B$34:$B$57,0))*AC116*G116,0)</f>
        <v>45050.984239881691</v>
      </c>
      <c r="AE116" s="44">
        <f>IFERROR(INDEX('Costos Producción Febrero'!$H$34:$H$57,MATCH(Resumen!Z116,'Costos Producción Febrero'!$B$34:$B$57,0))*AC116*G116,0)</f>
        <v>17873.253347098464</v>
      </c>
      <c r="AF116" s="44">
        <f>IFERROR(INDEX('Costos Producción Febrero'!$I$34:$I$57,MATCH(Resumen!Z116,'Costos Producción Febrero'!$B$34:$B$57,0))*AC116*G116,0)</f>
        <v>818.58650252307734</v>
      </c>
      <c r="AG116" s="44">
        <f>IFERROR(INDEX('Costos Producción Febrero'!$J$34:$J$57,MATCH(Resumen!Z116,'Costos Producción Febrero'!$B$34:$B$57,0))*AC116*G116,0)</f>
        <v>15207.174871184576</v>
      </c>
      <c r="AH116" s="44">
        <f t="shared" si="141"/>
        <v>78949.998960687808</v>
      </c>
      <c r="AI116" s="44"/>
      <c r="AJ116" s="44">
        <v>3020.0740355810299</v>
      </c>
      <c r="AK116" s="44"/>
      <c r="AL116" s="43">
        <f t="shared" si="134"/>
        <v>25567.001039312192</v>
      </c>
      <c r="AM116" s="92">
        <f t="shared" si="135"/>
        <v>0.24462050230404808</v>
      </c>
      <c r="AN116" s="42">
        <f t="shared" si="142"/>
        <v>3125</v>
      </c>
      <c r="AO116" s="42">
        <v>0</v>
      </c>
      <c r="AP116" s="42">
        <f t="shared" si="146"/>
        <v>3127.7129295921209</v>
      </c>
      <c r="AQ116" s="42">
        <f t="shared" si="143"/>
        <v>6252.7129295921204</v>
      </c>
      <c r="AR116" s="42">
        <f t="shared" si="147"/>
        <v>547.73245716018801</v>
      </c>
      <c r="AS116" s="42">
        <f t="shared" si="144"/>
        <v>3105.75</v>
      </c>
      <c r="AT116" s="43">
        <f t="shared" si="148"/>
        <v>21872.305652559884</v>
      </c>
      <c r="AU116" s="92">
        <f t="shared" si="149"/>
        <v>0.2092703163366714</v>
      </c>
      <c r="AV116" s="42">
        <f t="shared" si="150"/>
        <v>2280.0374255053507</v>
      </c>
      <c r="AW116" s="43">
        <f t="shared" si="128"/>
        <v>19592.268227054534</v>
      </c>
      <c r="AX116" s="92">
        <f t="shared" si="139"/>
        <v>0.18745532522991029</v>
      </c>
      <c r="AY116" s="42">
        <f t="shared" si="151"/>
        <v>1690.2112640459334</v>
      </c>
      <c r="AZ116" s="43">
        <f t="shared" si="129"/>
        <v>23562.516916605819</v>
      </c>
      <c r="BA116" s="92">
        <f t="shared" si="140"/>
        <v>0.22544195601295308</v>
      </c>
      <c r="BC116" s="10">
        <f t="shared" si="102"/>
        <v>3871</v>
      </c>
      <c r="BD116" s="10">
        <f t="shared" si="103"/>
        <v>-1668.5549718474701</v>
      </c>
      <c r="BE116" s="10">
        <f t="shared" si="104"/>
        <v>-661.97234618883203</v>
      </c>
      <c r="BF116" s="10">
        <f t="shared" si="105"/>
        <v>-30.318018611965826</v>
      </c>
      <c r="BG116" s="10">
        <f t="shared" si="106"/>
        <v>-563.22869893276209</v>
      </c>
      <c r="BH116" s="10">
        <f t="shared" si="107"/>
        <v>-2924.0740355810299</v>
      </c>
      <c r="BI116" s="10">
        <f t="shared" si="108"/>
        <v>946.92596441897012</v>
      </c>
      <c r="BJ116" s="10">
        <f t="shared" si="109"/>
        <v>-115.74074074074075</v>
      </c>
      <c r="BK116" s="10">
        <f t="shared" si="110"/>
        <v>-115.841219614523</v>
      </c>
      <c r="BL116" s="10">
        <f t="shared" si="111"/>
        <v>-231.58196035526373</v>
      </c>
      <c r="BM116" s="10">
        <f t="shared" si="112"/>
        <v>-20.286387302229187</v>
      </c>
      <c r="BN116" s="10">
        <f t="shared" si="113"/>
        <v>115.02777777777777</v>
      </c>
      <c r="BO116" s="10">
        <f t="shared" si="114"/>
        <v>810.08539453925493</v>
      </c>
      <c r="BP116" s="10">
        <f t="shared" si="115"/>
        <v>-84.44583057427225</v>
      </c>
      <c r="BQ116" s="10">
        <f t="shared" si="116"/>
        <v>725.6395639649827</v>
      </c>
      <c r="BR116" s="10">
        <f t="shared" si="117"/>
        <v>62.600417186886425</v>
      </c>
      <c r="BS116" s="10">
        <f t="shared" si="118"/>
        <v>872.68581172614142</v>
      </c>
    </row>
    <row r="117" spans="2:71" hidden="1">
      <c r="B117" s="7"/>
      <c r="C117" s="29" t="s">
        <v>705</v>
      </c>
      <c r="D117" s="25" t="s">
        <v>675</v>
      </c>
      <c r="E117" s="98">
        <v>88</v>
      </c>
      <c r="F117" s="98">
        <v>46157</v>
      </c>
      <c r="G117" s="99">
        <v>26.28</v>
      </c>
      <c r="H117" s="27" t="s">
        <v>35</v>
      </c>
      <c r="I117" s="27" t="s">
        <v>486</v>
      </c>
      <c r="J117" s="7"/>
      <c r="K117" s="7" t="s">
        <v>292</v>
      </c>
      <c r="L117" s="7" t="s">
        <v>172</v>
      </c>
      <c r="M117" s="21" t="s">
        <v>47</v>
      </c>
      <c r="N117" s="7" t="s">
        <v>191</v>
      </c>
      <c r="O117" s="20">
        <v>3950</v>
      </c>
      <c r="P117" s="59">
        <v>103806</v>
      </c>
      <c r="Q117" s="20">
        <v>3839.6499238964989</v>
      </c>
      <c r="R117" s="30">
        <v>2900</v>
      </c>
      <c r="S117" s="32">
        <v>100906</v>
      </c>
      <c r="T117" s="63">
        <v>1</v>
      </c>
      <c r="U117" s="57" t="s">
        <v>738</v>
      </c>
      <c r="V117" s="141">
        <v>6500435810</v>
      </c>
      <c r="W117" s="60"/>
      <c r="X117" s="4"/>
      <c r="Y117" s="4" t="s">
        <v>868</v>
      </c>
      <c r="Z117" s="7">
        <v>10009331</v>
      </c>
      <c r="AA117" s="7"/>
      <c r="AB117" s="7"/>
      <c r="AC117" s="20">
        <f t="shared" si="145"/>
        <v>2924.0740355810299</v>
      </c>
      <c r="AD117" s="44">
        <f>IFERROR(INDEX('Costos Producción Febrero'!$G$34:$G$57,MATCH(Resumen!Z117,'Costos Producción Febrero'!$B$34:$B$57,0))*AC117*G117,0)</f>
        <v>43849.624660151516</v>
      </c>
      <c r="AE117" s="44">
        <f>IFERROR(INDEX('Costos Producción Febrero'!$H$34:$H$57,MATCH(Resumen!Z117,'Costos Producción Febrero'!$B$34:$B$57,0))*AC117*G117,0)</f>
        <v>17396.633257842506</v>
      </c>
      <c r="AF117" s="44">
        <f>IFERROR(INDEX('Costos Producción Febrero'!$I$34:$I$57,MATCH(Resumen!Z117,'Costos Producción Febrero'!$B$34:$B$57,0))*AC117*G117,0)</f>
        <v>796.75752912246207</v>
      </c>
      <c r="AG117" s="44">
        <f>IFERROR(INDEX('Costos Producción Febrero'!$J$34:$J$57,MATCH(Resumen!Z117,'Costos Producción Febrero'!$B$34:$B$57,0))*AC117*G117,0)</f>
        <v>14801.650207952989</v>
      </c>
      <c r="AH117" s="44">
        <f t="shared" si="141"/>
        <v>76844.665655069475</v>
      </c>
      <c r="AI117" s="44"/>
      <c r="AJ117" s="44">
        <v>3020.0740355810299</v>
      </c>
      <c r="AK117" s="44"/>
      <c r="AL117" s="43">
        <f t="shared" si="134"/>
        <v>26961.334344930525</v>
      </c>
      <c r="AM117" s="92">
        <f t="shared" si="135"/>
        <v>0.259728092257967</v>
      </c>
      <c r="AN117" s="42">
        <f t="shared" si="142"/>
        <v>2900</v>
      </c>
      <c r="AO117" s="42">
        <v>0</v>
      </c>
      <c r="AP117" s="42">
        <f t="shared" si="146"/>
        <v>3044.3072514696646</v>
      </c>
      <c r="AQ117" s="42">
        <f t="shared" si="143"/>
        <v>5944.3072514696651</v>
      </c>
      <c r="AR117" s="42">
        <f t="shared" si="147"/>
        <v>533.1262583025831</v>
      </c>
      <c r="AS117" s="42">
        <f t="shared" si="144"/>
        <v>3027.18</v>
      </c>
      <c r="AT117" s="43">
        <f t="shared" si="148"/>
        <v>23511.080835158278</v>
      </c>
      <c r="AU117" s="92">
        <f t="shared" si="149"/>
        <v>0.22649057699129413</v>
      </c>
      <c r="AV117" s="42">
        <f t="shared" si="150"/>
        <v>2219.236427491875</v>
      </c>
      <c r="AW117" s="43">
        <f t="shared" si="128"/>
        <v>21291.844407666402</v>
      </c>
      <c r="AX117" s="92">
        <f t="shared" si="139"/>
        <v>0.20511188570666822</v>
      </c>
      <c r="AY117" s="42">
        <f t="shared" si="151"/>
        <v>1645.1389636713752</v>
      </c>
      <c r="AZ117" s="43">
        <f t="shared" si="129"/>
        <v>25156.219798829654</v>
      </c>
      <c r="BA117" s="92">
        <f t="shared" si="140"/>
        <v>0.2423387838740502</v>
      </c>
      <c r="BC117" s="10">
        <f t="shared" si="102"/>
        <v>3950</v>
      </c>
      <c r="BD117" s="10">
        <f t="shared" si="103"/>
        <v>-1668.5549718474701</v>
      </c>
      <c r="BE117" s="10">
        <f t="shared" si="104"/>
        <v>-661.97234618883203</v>
      </c>
      <c r="BF117" s="10">
        <f t="shared" si="105"/>
        <v>-30.318018611965829</v>
      </c>
      <c r="BG117" s="10">
        <f t="shared" si="106"/>
        <v>-563.22869893276209</v>
      </c>
      <c r="BH117" s="10">
        <f t="shared" si="107"/>
        <v>-2924.0740355810303</v>
      </c>
      <c r="BI117" s="10">
        <f t="shared" si="108"/>
        <v>1025.9259644189697</v>
      </c>
      <c r="BJ117" s="10">
        <f t="shared" si="109"/>
        <v>-110.35007610350075</v>
      </c>
      <c r="BK117" s="10">
        <f t="shared" si="110"/>
        <v>-115.841219614523</v>
      </c>
      <c r="BL117" s="10">
        <f t="shared" si="111"/>
        <v>-226.19129571802378</v>
      </c>
      <c r="BM117" s="10">
        <f t="shared" si="112"/>
        <v>-20.286387302229187</v>
      </c>
      <c r="BN117" s="10">
        <f t="shared" si="113"/>
        <v>115.18949771689496</v>
      </c>
      <c r="BO117" s="10">
        <f t="shared" si="114"/>
        <v>894.63777911561181</v>
      </c>
      <c r="BP117" s="10">
        <f t="shared" si="115"/>
        <v>-84.445830574272264</v>
      </c>
      <c r="BQ117" s="10">
        <f t="shared" si="116"/>
        <v>810.19194854133946</v>
      </c>
      <c r="BR117" s="10">
        <f t="shared" si="117"/>
        <v>62.600417186886425</v>
      </c>
      <c r="BS117" s="10">
        <f t="shared" si="118"/>
        <v>957.23819630249818</v>
      </c>
    </row>
    <row r="118" spans="2:71" hidden="1">
      <c r="B118" s="7"/>
      <c r="C118" s="29" t="s">
        <v>705</v>
      </c>
      <c r="D118" s="25" t="s">
        <v>676</v>
      </c>
      <c r="E118" s="98">
        <v>88</v>
      </c>
      <c r="F118" s="98">
        <v>46164</v>
      </c>
      <c r="G118" s="99">
        <v>27</v>
      </c>
      <c r="H118" s="27" t="s">
        <v>35</v>
      </c>
      <c r="I118" s="27" t="s">
        <v>486</v>
      </c>
      <c r="J118" s="7"/>
      <c r="K118" s="7" t="s">
        <v>292</v>
      </c>
      <c r="L118" s="7" t="s">
        <v>172</v>
      </c>
      <c r="M118" s="21" t="s">
        <v>47</v>
      </c>
      <c r="N118" s="7" t="s">
        <v>191</v>
      </c>
      <c r="O118" s="20">
        <v>3950</v>
      </c>
      <c r="P118" s="59">
        <v>104873</v>
      </c>
      <c r="Q118" s="20">
        <v>3842.5925925925926</v>
      </c>
      <c r="R118" s="30">
        <v>2900</v>
      </c>
      <c r="S118" s="32">
        <v>103750</v>
      </c>
      <c r="T118" s="63">
        <v>1</v>
      </c>
      <c r="U118" s="57" t="s">
        <v>739</v>
      </c>
      <c r="V118" s="141">
        <v>6501056150</v>
      </c>
      <c r="W118" s="60"/>
      <c r="X118" s="4"/>
      <c r="Y118" s="4" t="s">
        <v>868</v>
      </c>
      <c r="Z118" s="7">
        <v>10009331</v>
      </c>
      <c r="AA118" s="7"/>
      <c r="AB118" s="7"/>
      <c r="AC118" s="20">
        <f t="shared" si="145"/>
        <v>2924.0740355810299</v>
      </c>
      <c r="AD118" s="44">
        <f>IFERROR(INDEX('Costos Producción Febrero'!$G$34:$G$57,MATCH(Resumen!Z118,'Costos Producción Febrero'!$B$34:$B$57,0))*AC118*G118,0)</f>
        <v>45050.984239881691</v>
      </c>
      <c r="AE118" s="44">
        <f>IFERROR(INDEX('Costos Producción Febrero'!$H$34:$H$57,MATCH(Resumen!Z118,'Costos Producción Febrero'!$B$34:$B$57,0))*AC118*G118,0)</f>
        <v>17873.253347098464</v>
      </c>
      <c r="AF118" s="44">
        <f>IFERROR(INDEX('Costos Producción Febrero'!$I$34:$I$57,MATCH(Resumen!Z118,'Costos Producción Febrero'!$B$34:$B$57,0))*AC118*G118,0)</f>
        <v>818.58650252307734</v>
      </c>
      <c r="AG118" s="44">
        <f>IFERROR(INDEX('Costos Producción Febrero'!$J$34:$J$57,MATCH(Resumen!Z118,'Costos Producción Febrero'!$B$34:$B$57,0))*AC118*G118,0)</f>
        <v>15207.174871184576</v>
      </c>
      <c r="AH118" s="44">
        <f t="shared" si="141"/>
        <v>78949.998960687808</v>
      </c>
      <c r="AI118" s="44"/>
      <c r="AJ118" s="44">
        <v>3020.0740355810299</v>
      </c>
      <c r="AK118" s="44"/>
      <c r="AL118" s="43">
        <f t="shared" si="134"/>
        <v>25923.001039312192</v>
      </c>
      <c r="AM118" s="92">
        <f t="shared" si="135"/>
        <v>0.24718469996388195</v>
      </c>
      <c r="AN118" s="42">
        <f t="shared" si="142"/>
        <v>2900</v>
      </c>
      <c r="AO118" s="42">
        <v>0</v>
      </c>
      <c r="AP118" s="42">
        <f t="shared" si="146"/>
        <v>3127.7129295921209</v>
      </c>
      <c r="AQ118" s="42">
        <f t="shared" si="143"/>
        <v>6027.7129295921204</v>
      </c>
      <c r="AR118" s="42">
        <f t="shared" si="147"/>
        <v>547.73245716018801</v>
      </c>
      <c r="AS118" s="42">
        <f t="shared" si="144"/>
        <v>3112.5</v>
      </c>
      <c r="AT118" s="43">
        <f t="shared" si="148"/>
        <v>22460.055652559884</v>
      </c>
      <c r="AU118" s="92">
        <f t="shared" si="149"/>
        <v>0.21416432878395664</v>
      </c>
      <c r="AV118" s="42">
        <f t="shared" si="150"/>
        <v>2280.0374255053507</v>
      </c>
      <c r="AW118" s="43">
        <f t="shared" si="128"/>
        <v>20180.018227054534</v>
      </c>
      <c r="AX118" s="92">
        <f t="shared" si="139"/>
        <v>0.19242339045373483</v>
      </c>
      <c r="AY118" s="42">
        <f t="shared" si="151"/>
        <v>1690.2112640459334</v>
      </c>
      <c r="AZ118" s="43">
        <f t="shared" si="129"/>
        <v>24150.266916605819</v>
      </c>
      <c r="BA118" s="92">
        <f t="shared" si="140"/>
        <v>0.2302810725029876</v>
      </c>
      <c r="BC118" s="10">
        <f t="shared" si="102"/>
        <v>3884.1851851851852</v>
      </c>
      <c r="BD118" s="10">
        <f t="shared" si="103"/>
        <v>-1668.5549718474701</v>
      </c>
      <c r="BE118" s="10">
        <f t="shared" si="104"/>
        <v>-661.97234618883203</v>
      </c>
      <c r="BF118" s="10">
        <f t="shared" si="105"/>
        <v>-30.318018611965826</v>
      </c>
      <c r="BG118" s="10">
        <f t="shared" si="106"/>
        <v>-563.22869893276209</v>
      </c>
      <c r="BH118" s="10">
        <f t="shared" si="107"/>
        <v>-2924.0740355810299</v>
      </c>
      <c r="BI118" s="10">
        <f t="shared" si="108"/>
        <v>960.11114960415523</v>
      </c>
      <c r="BJ118" s="10">
        <f t="shared" si="109"/>
        <v>-107.4074074074074</v>
      </c>
      <c r="BK118" s="10">
        <f t="shared" si="110"/>
        <v>-115.841219614523</v>
      </c>
      <c r="BL118" s="10">
        <f t="shared" si="111"/>
        <v>-223.24862702193039</v>
      </c>
      <c r="BM118" s="10">
        <f t="shared" si="112"/>
        <v>-20.286387302229187</v>
      </c>
      <c r="BN118" s="10">
        <f t="shared" si="113"/>
        <v>115.27777777777777</v>
      </c>
      <c r="BO118" s="10">
        <f t="shared" si="114"/>
        <v>831.85391305777352</v>
      </c>
      <c r="BP118" s="10">
        <f t="shared" si="115"/>
        <v>-84.44583057427225</v>
      </c>
      <c r="BQ118" s="10">
        <f t="shared" si="116"/>
        <v>747.40808248350129</v>
      </c>
      <c r="BR118" s="10">
        <f t="shared" si="117"/>
        <v>62.600417186886425</v>
      </c>
      <c r="BS118" s="10">
        <f t="shared" si="118"/>
        <v>894.4543302446599</v>
      </c>
    </row>
    <row r="119" spans="2:71" hidden="1">
      <c r="B119" s="7"/>
      <c r="C119" s="29" t="s">
        <v>705</v>
      </c>
      <c r="D119" s="25" t="s">
        <v>677</v>
      </c>
      <c r="E119" s="98">
        <v>88</v>
      </c>
      <c r="F119" s="98">
        <v>46170</v>
      </c>
      <c r="G119" s="99">
        <v>27</v>
      </c>
      <c r="H119" s="27" t="s">
        <v>35</v>
      </c>
      <c r="I119" s="27" t="s">
        <v>486</v>
      </c>
      <c r="J119" s="7"/>
      <c r="K119" s="7" t="s">
        <v>292</v>
      </c>
      <c r="L119" s="7" t="s">
        <v>172</v>
      </c>
      <c r="M119" s="21" t="s">
        <v>47</v>
      </c>
      <c r="N119" s="7" t="s">
        <v>191</v>
      </c>
      <c r="O119" s="20">
        <v>3950</v>
      </c>
      <c r="P119" s="59">
        <v>104162</v>
      </c>
      <c r="Q119" s="20">
        <v>3842.5925925925926</v>
      </c>
      <c r="R119" s="30">
        <v>2900</v>
      </c>
      <c r="S119" s="32">
        <v>103750</v>
      </c>
      <c r="T119" s="63">
        <v>1</v>
      </c>
      <c r="U119" s="57" t="s">
        <v>740</v>
      </c>
      <c r="V119" s="141">
        <v>6501717020</v>
      </c>
      <c r="W119" s="60"/>
      <c r="X119" s="4"/>
      <c r="Y119" s="4" t="s">
        <v>868</v>
      </c>
      <c r="Z119" s="7">
        <v>10009331</v>
      </c>
      <c r="AA119" s="7"/>
      <c r="AB119" s="7"/>
      <c r="AC119" s="20">
        <f t="shared" si="145"/>
        <v>2924.0740355810299</v>
      </c>
      <c r="AD119" s="44">
        <f>IFERROR(INDEX('Costos Producción Febrero'!$G$34:$G$57,MATCH(Resumen!Z119,'Costos Producción Febrero'!$B$34:$B$57,0))*AC119*G119,0)</f>
        <v>45050.984239881691</v>
      </c>
      <c r="AE119" s="44">
        <f>IFERROR(INDEX('Costos Producción Febrero'!$H$34:$H$57,MATCH(Resumen!Z119,'Costos Producción Febrero'!$B$34:$B$57,0))*AC119*G119,0)</f>
        <v>17873.253347098464</v>
      </c>
      <c r="AF119" s="44">
        <f>IFERROR(INDEX('Costos Producción Febrero'!$I$34:$I$57,MATCH(Resumen!Z119,'Costos Producción Febrero'!$B$34:$B$57,0))*AC119*G119,0)</f>
        <v>818.58650252307734</v>
      </c>
      <c r="AG119" s="44">
        <f>IFERROR(INDEX('Costos Producción Febrero'!$J$34:$J$57,MATCH(Resumen!Z119,'Costos Producción Febrero'!$B$34:$B$57,0))*AC119*G119,0)</f>
        <v>15207.174871184576</v>
      </c>
      <c r="AH119" s="44">
        <f t="shared" si="141"/>
        <v>78949.998960687808</v>
      </c>
      <c r="AI119" s="44"/>
      <c r="AJ119" s="44">
        <v>3020.0740355810299</v>
      </c>
      <c r="AK119" s="44"/>
      <c r="AL119" s="43">
        <f t="shared" si="134"/>
        <v>25212.001039312192</v>
      </c>
      <c r="AM119" s="92">
        <f t="shared" si="135"/>
        <v>0.24204605364060014</v>
      </c>
      <c r="AN119" s="42">
        <f t="shared" si="142"/>
        <v>2900</v>
      </c>
      <c r="AO119" s="42">
        <v>0</v>
      </c>
      <c r="AP119" s="42">
        <f t="shared" si="146"/>
        <v>3127.7129295921209</v>
      </c>
      <c r="AQ119" s="42">
        <f t="shared" si="143"/>
        <v>6027.7129295921204</v>
      </c>
      <c r="AR119" s="42">
        <f t="shared" si="147"/>
        <v>547.73245716018801</v>
      </c>
      <c r="AS119" s="42">
        <f t="shared" si="144"/>
        <v>3112.5</v>
      </c>
      <c r="AT119" s="43">
        <f t="shared" si="148"/>
        <v>21749.055652559884</v>
      </c>
      <c r="AU119" s="92">
        <f t="shared" si="149"/>
        <v>0.20880028851750046</v>
      </c>
      <c r="AV119" s="42">
        <f t="shared" si="150"/>
        <v>2280.0374255053507</v>
      </c>
      <c r="AW119" s="43">
        <f t="shared" si="128"/>
        <v>19469.018227054534</v>
      </c>
      <c r="AX119" s="92">
        <f t="shared" si="139"/>
        <v>0.18691094859022037</v>
      </c>
      <c r="AY119" s="42">
        <f t="shared" si="151"/>
        <v>1690.2112640459334</v>
      </c>
      <c r="AZ119" s="43">
        <f t="shared" si="129"/>
        <v>23439.266916605819</v>
      </c>
      <c r="BA119" s="92">
        <f t="shared" si="140"/>
        <v>0.22502704361096962</v>
      </c>
      <c r="BC119" s="10">
        <f t="shared" si="102"/>
        <v>3857.8518518518517</v>
      </c>
      <c r="BD119" s="10">
        <f t="shared" si="103"/>
        <v>-1668.5549718474701</v>
      </c>
      <c r="BE119" s="10">
        <f t="shared" si="104"/>
        <v>-661.97234618883203</v>
      </c>
      <c r="BF119" s="10">
        <f t="shared" si="105"/>
        <v>-30.318018611965826</v>
      </c>
      <c r="BG119" s="10">
        <f t="shared" si="106"/>
        <v>-563.22869893276209</v>
      </c>
      <c r="BH119" s="10">
        <f t="shared" si="107"/>
        <v>-2924.0740355810299</v>
      </c>
      <c r="BI119" s="10">
        <f t="shared" si="108"/>
        <v>933.77781627082197</v>
      </c>
      <c r="BJ119" s="10">
        <f t="shared" si="109"/>
        <v>-107.4074074074074</v>
      </c>
      <c r="BK119" s="10">
        <f t="shared" si="110"/>
        <v>-115.841219614523</v>
      </c>
      <c r="BL119" s="10">
        <f t="shared" si="111"/>
        <v>-223.24862702193039</v>
      </c>
      <c r="BM119" s="10">
        <f t="shared" si="112"/>
        <v>-20.286387302229187</v>
      </c>
      <c r="BN119" s="10">
        <f t="shared" si="113"/>
        <v>115.27777777777777</v>
      </c>
      <c r="BO119" s="10">
        <f t="shared" si="114"/>
        <v>805.52057972444015</v>
      </c>
      <c r="BP119" s="10">
        <f t="shared" si="115"/>
        <v>-84.44583057427225</v>
      </c>
      <c r="BQ119" s="10">
        <f t="shared" si="116"/>
        <v>721.07474915016792</v>
      </c>
      <c r="BR119" s="10">
        <f t="shared" si="117"/>
        <v>62.600417186886425</v>
      </c>
      <c r="BS119" s="10">
        <f t="shared" si="118"/>
        <v>868.12099691132664</v>
      </c>
    </row>
    <row r="120" spans="2:71" hidden="1">
      <c r="B120" s="7"/>
      <c r="C120" s="29" t="s">
        <v>705</v>
      </c>
      <c r="D120" s="25" t="s">
        <v>678</v>
      </c>
      <c r="E120" s="98">
        <v>88</v>
      </c>
      <c r="F120" s="98">
        <v>46154</v>
      </c>
      <c r="G120" s="99">
        <v>81</v>
      </c>
      <c r="H120" s="27" t="s">
        <v>495</v>
      </c>
      <c r="I120" s="27" t="s">
        <v>201</v>
      </c>
      <c r="J120" s="7"/>
      <c r="K120" s="7" t="s">
        <v>292</v>
      </c>
      <c r="L120" s="7" t="s">
        <v>172</v>
      </c>
      <c r="M120" s="21" t="s">
        <v>49</v>
      </c>
      <c r="N120" s="7" t="s">
        <v>191</v>
      </c>
      <c r="O120" s="20">
        <v>3700</v>
      </c>
      <c r="P120" s="59">
        <v>299700</v>
      </c>
      <c r="Q120" s="20">
        <v>3584.2592592592591</v>
      </c>
      <c r="R120" s="30">
        <v>9375</v>
      </c>
      <c r="S120" s="32">
        <v>290325</v>
      </c>
      <c r="T120" s="63">
        <v>3</v>
      </c>
      <c r="U120" s="57" t="s">
        <v>737</v>
      </c>
      <c r="V120" s="141">
        <v>6500110030</v>
      </c>
      <c r="W120" s="60"/>
      <c r="X120" s="4"/>
      <c r="Y120" s="4" t="s">
        <v>868</v>
      </c>
      <c r="Z120" s="7">
        <v>10009239</v>
      </c>
      <c r="AA120" s="7"/>
      <c r="AB120" s="7"/>
      <c r="AC120" s="20">
        <f t="shared" si="145"/>
        <v>3345.6816659973501</v>
      </c>
      <c r="AD120" s="44">
        <f>IFERROR(INDEX('Costos Producción Febrero'!$G$34:$G$57,MATCH(Resumen!Z120,'Costos Producción Febrero'!$B$34:$B$57,0))*AC120*G120,0)</f>
        <v>133266.4488251333</v>
      </c>
      <c r="AE120" s="44">
        <f>IFERROR(INDEX('Costos Producción Febrero'!$H$34:$H$57,MATCH(Resumen!Z120,'Costos Producción Febrero'!$B$34:$B$57,0))*AC120*G120,0)</f>
        <v>86882.372552649016</v>
      </c>
      <c r="AF120" s="44">
        <f>IFERROR(INDEX('Costos Producción Febrero'!$I$34:$I$57,MATCH(Resumen!Z120,'Costos Producción Febrero'!$B$34:$B$57,0))*AC120*G120,0)</f>
        <v>1591.1190577626483</v>
      </c>
      <c r="AG120" s="44">
        <f>IFERROR(INDEX('Costos Producción Febrero'!$J$34:$J$57,MATCH(Resumen!Z120,'Costos Producción Febrero'!$B$34:$B$57,0))*AC120*G120,0)</f>
        <v>49260.27451024043</v>
      </c>
      <c r="AH120" s="44">
        <f t="shared" si="141"/>
        <v>271000.21494578541</v>
      </c>
      <c r="AI120" s="44"/>
      <c r="AJ120" s="44">
        <v>3441.6816659973501</v>
      </c>
      <c r="AK120" s="44"/>
      <c r="AL120" s="43">
        <f t="shared" si="134"/>
        <v>28699.78505421459</v>
      </c>
      <c r="AM120" s="92">
        <f t="shared" si="135"/>
        <v>9.5761711892607904E-2</v>
      </c>
      <c r="AN120" s="42">
        <f t="shared" si="142"/>
        <v>9375</v>
      </c>
      <c r="AO120" s="42">
        <v>0</v>
      </c>
      <c r="AP120" s="42">
        <f t="shared" si="146"/>
        <v>9383.1387887763631</v>
      </c>
      <c r="AQ120" s="42">
        <f t="shared" si="143"/>
        <v>18758.138788776363</v>
      </c>
      <c r="AR120" s="42">
        <f t="shared" si="147"/>
        <v>1643.1973714805642</v>
      </c>
      <c r="AS120" s="42">
        <f t="shared" si="144"/>
        <v>8709.75</v>
      </c>
      <c r="AT120" s="43">
        <f t="shared" si="148"/>
        <v>17008.198893957662</v>
      </c>
      <c r="AU120" s="92">
        <f t="shared" si="149"/>
        <v>5.675074706025246E-2</v>
      </c>
      <c r="AV120" s="42">
        <f t="shared" si="150"/>
        <v>6840.1122765160526</v>
      </c>
      <c r="AW120" s="43">
        <f t="shared" si="128"/>
        <v>10168.08661744161</v>
      </c>
      <c r="AX120" s="92">
        <f t="shared" si="139"/>
        <v>3.3927549607746445E-2</v>
      </c>
      <c r="AY120" s="42">
        <f t="shared" si="151"/>
        <v>5070.6337921377999</v>
      </c>
      <c r="AZ120" s="43">
        <f t="shared" si="129"/>
        <v>22078.832686095462</v>
      </c>
      <c r="BA120" s="92">
        <f t="shared" si="140"/>
        <v>7.3669778732383923E-2</v>
      </c>
      <c r="BC120" s="10">
        <f t="shared" si="102"/>
        <v>3700</v>
      </c>
      <c r="BD120" s="10">
        <f t="shared" si="103"/>
        <v>-1645.2648003102877</v>
      </c>
      <c r="BE120" s="10">
        <f t="shared" si="104"/>
        <v>-1072.6218833660373</v>
      </c>
      <c r="BF120" s="10">
        <f t="shared" si="105"/>
        <v>-19.643445157563558</v>
      </c>
      <c r="BG120" s="10">
        <f t="shared" si="106"/>
        <v>-608.15153716346208</v>
      </c>
      <c r="BH120" s="10">
        <f t="shared" si="107"/>
        <v>-3345.6816659973506</v>
      </c>
      <c r="BI120" s="10">
        <f t="shared" si="108"/>
        <v>354.31833400264924</v>
      </c>
      <c r="BJ120" s="10">
        <f t="shared" si="109"/>
        <v>-115.74074074074075</v>
      </c>
      <c r="BK120" s="10">
        <f t="shared" si="110"/>
        <v>-115.841219614523</v>
      </c>
      <c r="BL120" s="10">
        <f t="shared" si="111"/>
        <v>-231.58196035526373</v>
      </c>
      <c r="BM120" s="10">
        <f t="shared" si="112"/>
        <v>-20.286387302229187</v>
      </c>
      <c r="BN120" s="10">
        <f t="shared" si="113"/>
        <v>107.52777777777777</v>
      </c>
      <c r="BO120" s="10">
        <f t="shared" si="114"/>
        <v>209.9777641229341</v>
      </c>
      <c r="BP120" s="10">
        <f t="shared" si="115"/>
        <v>-84.44583057427225</v>
      </c>
      <c r="BQ120" s="10">
        <f t="shared" si="116"/>
        <v>125.53193354866185</v>
      </c>
      <c r="BR120" s="10">
        <f t="shared" si="117"/>
        <v>62.600417186886418</v>
      </c>
      <c r="BS120" s="10">
        <f t="shared" si="118"/>
        <v>272.57818130982054</v>
      </c>
    </row>
    <row r="121" spans="2:71" hidden="1">
      <c r="B121" s="7"/>
      <c r="C121" s="29" t="s">
        <v>705</v>
      </c>
      <c r="D121" s="25" t="s">
        <v>679</v>
      </c>
      <c r="E121" s="98">
        <v>98</v>
      </c>
      <c r="F121" s="98">
        <v>46160</v>
      </c>
      <c r="G121" s="99">
        <v>26</v>
      </c>
      <c r="H121" s="27" t="s">
        <v>36</v>
      </c>
      <c r="I121" s="27" t="s">
        <v>107</v>
      </c>
      <c r="J121" s="7"/>
      <c r="K121" s="7" t="s">
        <v>108</v>
      </c>
      <c r="L121" s="7" t="s">
        <v>109</v>
      </c>
      <c r="M121" s="21" t="s">
        <v>56</v>
      </c>
      <c r="N121" s="7" t="s">
        <v>110</v>
      </c>
      <c r="O121" s="20">
        <v>3100</v>
      </c>
      <c r="P121" s="59">
        <v>80600</v>
      </c>
      <c r="Q121" s="20">
        <v>2888.0769230769229</v>
      </c>
      <c r="R121" s="30">
        <v>5510</v>
      </c>
      <c r="S121" s="32">
        <v>75090</v>
      </c>
      <c r="T121" s="63"/>
      <c r="U121" s="57"/>
      <c r="V121" s="141"/>
      <c r="W121" s="60"/>
      <c r="X121" s="4"/>
      <c r="Y121" s="4" t="s">
        <v>867</v>
      </c>
      <c r="Z121" s="7">
        <v>10007567</v>
      </c>
      <c r="AA121" s="7"/>
      <c r="AB121" s="7"/>
      <c r="AC121" s="20">
        <f t="shared" si="145"/>
        <v>1725.2402425897003</v>
      </c>
      <c r="AD121" s="44">
        <f>IFERROR(INDEX('Costos Producción Febrero'!$G$34:$G$57,MATCH(Resumen!Z121,'Costos Producción Febrero'!$B$34:$B$57,0))*AC121*G121,0)</f>
        <v>27702.436781472541</v>
      </c>
      <c r="AE121" s="44">
        <f>IFERROR(INDEX('Costos Producción Febrero'!$H$34:$H$57,MATCH(Resumen!Z121,'Costos Producción Febrero'!$B$34:$B$57,0))*AC121*G121,0)</f>
        <v>7465.9246078777433</v>
      </c>
      <c r="AF121" s="44">
        <f>IFERROR(INDEX('Costos Producción Febrero'!$I$34:$I$57,MATCH(Resumen!Z121,'Costos Producción Febrero'!$B$34:$B$57,0))*AC121*G121,0)</f>
        <v>484.15037207749674</v>
      </c>
      <c r="AG121" s="44">
        <f>IFERROR(INDEX('Costos Producción Febrero'!$J$34:$J$57,MATCH(Resumen!Z121,'Costos Producción Febrero'!$B$34:$B$57,0))*AC121*G121,0)</f>
        <v>9203.7345459044245</v>
      </c>
      <c r="AH121" s="44">
        <f t="shared" si="141"/>
        <v>44856.246307332207</v>
      </c>
      <c r="AI121" s="44"/>
      <c r="AJ121" s="44">
        <v>1821.2402425897001</v>
      </c>
      <c r="AK121" s="44"/>
      <c r="AL121" s="43">
        <f t="shared" si="134"/>
        <v>35743.753692667793</v>
      </c>
      <c r="AM121" s="92">
        <f t="shared" si="135"/>
        <v>0.44347088948719349</v>
      </c>
      <c r="AN121" s="42">
        <f t="shared" si="142"/>
        <v>5510</v>
      </c>
      <c r="AO121" s="42">
        <v>0</v>
      </c>
      <c r="AP121" s="42">
        <f t="shared" si="146"/>
        <v>3011.8717099775981</v>
      </c>
      <c r="AQ121" s="42">
        <f t="shared" si="143"/>
        <v>8521.8717099775986</v>
      </c>
      <c r="AR121" s="42">
        <f t="shared" si="147"/>
        <v>527.44606985795883</v>
      </c>
      <c r="AS121" s="42">
        <f t="shared" si="144"/>
        <v>2252.6999999999998</v>
      </c>
      <c r="AT121" s="43">
        <f t="shared" si="148"/>
        <v>28947.135912832236</v>
      </c>
      <c r="AU121" s="92">
        <f t="shared" si="149"/>
        <v>0.35914560685896074</v>
      </c>
      <c r="AV121" s="42">
        <f t="shared" si="150"/>
        <v>2195.5915949310784</v>
      </c>
      <c r="AW121" s="43">
        <f t="shared" si="128"/>
        <v>26751.544317901156</v>
      </c>
      <c r="AX121" s="92">
        <f t="shared" si="139"/>
        <v>0.33190501635113095</v>
      </c>
      <c r="AY121" s="42">
        <f t="shared" si="151"/>
        <v>1627.6108468590469</v>
      </c>
      <c r="AZ121" s="43">
        <f t="shared" si="129"/>
        <v>30574.746759691283</v>
      </c>
      <c r="BA121" s="92">
        <f t="shared" si="140"/>
        <v>0.3793392898224725</v>
      </c>
      <c r="BC121" s="10">
        <f t="shared" si="102"/>
        <v>3100</v>
      </c>
      <c r="BD121" s="10">
        <f t="shared" si="103"/>
        <v>-1065.4783377489439</v>
      </c>
      <c r="BE121" s="10">
        <f t="shared" si="104"/>
        <v>-287.15094645683627</v>
      </c>
      <c r="BF121" s="10">
        <f t="shared" si="105"/>
        <v>-18.621168156826798</v>
      </c>
      <c r="BG121" s="10">
        <f t="shared" si="106"/>
        <v>-353.98979022709324</v>
      </c>
      <c r="BH121" s="10">
        <f t="shared" si="107"/>
        <v>-1725.2402425897003</v>
      </c>
      <c r="BI121" s="10">
        <f t="shared" si="108"/>
        <v>1374.7597574102997</v>
      </c>
      <c r="BJ121" s="10">
        <f t="shared" si="109"/>
        <v>-211.92307692307693</v>
      </c>
      <c r="BK121" s="10">
        <f t="shared" si="110"/>
        <v>-115.841219614523</v>
      </c>
      <c r="BL121" s="10">
        <f t="shared" si="111"/>
        <v>-327.76429653759993</v>
      </c>
      <c r="BM121" s="10">
        <f t="shared" si="112"/>
        <v>-20.286387302229187</v>
      </c>
      <c r="BN121" s="10">
        <f t="shared" si="113"/>
        <v>86.642307692307682</v>
      </c>
      <c r="BO121" s="10">
        <f t="shared" si="114"/>
        <v>1113.3513812627784</v>
      </c>
      <c r="BP121" s="10">
        <f t="shared" si="115"/>
        <v>-84.44583057427225</v>
      </c>
      <c r="BQ121" s="10">
        <f t="shared" si="116"/>
        <v>1028.9055506885061</v>
      </c>
      <c r="BR121" s="10">
        <f t="shared" si="117"/>
        <v>62.600417186886418</v>
      </c>
      <c r="BS121" s="10">
        <f t="shared" si="118"/>
        <v>1175.9517984496647</v>
      </c>
    </row>
    <row r="122" spans="2:71" hidden="1">
      <c r="B122" s="7"/>
      <c r="C122" s="29" t="s">
        <v>705</v>
      </c>
      <c r="D122" s="25" t="s">
        <v>680</v>
      </c>
      <c r="E122" s="98">
        <v>104</v>
      </c>
      <c r="F122" s="98">
        <v>46154</v>
      </c>
      <c r="G122" s="99">
        <v>81</v>
      </c>
      <c r="H122" s="27" t="s">
        <v>31</v>
      </c>
      <c r="I122" s="27" t="s">
        <v>107</v>
      </c>
      <c r="J122" s="7" t="s">
        <v>515</v>
      </c>
      <c r="K122" s="7" t="s">
        <v>171</v>
      </c>
      <c r="L122" s="7" t="s">
        <v>516</v>
      </c>
      <c r="M122" s="21" t="s">
        <v>508</v>
      </c>
      <c r="N122" s="7" t="s">
        <v>509</v>
      </c>
      <c r="O122" s="20">
        <v>2850</v>
      </c>
      <c r="P122" s="59">
        <v>230850</v>
      </c>
      <c r="Q122" s="20">
        <v>2726.8518518518517</v>
      </c>
      <c r="R122" s="30">
        <v>9975</v>
      </c>
      <c r="S122" s="32">
        <v>220875</v>
      </c>
      <c r="T122" s="63">
        <v>3</v>
      </c>
      <c r="U122" s="57" t="s">
        <v>737</v>
      </c>
      <c r="V122" s="141">
        <v>6452208600</v>
      </c>
      <c r="W122" s="60"/>
      <c r="X122" s="4"/>
      <c r="Y122" s="4" t="s">
        <v>867</v>
      </c>
      <c r="Z122" s="7">
        <v>10007162</v>
      </c>
      <c r="AA122" s="7"/>
      <c r="AB122" s="7"/>
      <c r="AC122" s="20">
        <f t="shared" si="145"/>
        <v>1786.1795185638503</v>
      </c>
      <c r="AD122" s="44">
        <f>IFERROR(INDEX('Costos Producción Febrero'!$G$34:$G$57,MATCH(Resumen!Z122,'Costos Producción Febrero'!$B$34:$B$57,0))*AC122*G122,0)</f>
        <v>88710.96803374977</v>
      </c>
      <c r="AE122" s="44">
        <f>IFERROR(INDEX('Costos Producción Febrero'!$H$34:$H$57,MATCH(Resumen!Z122,'Costos Producción Febrero'!$B$34:$B$57,0))*AC122*G122,0)</f>
        <v>25186.812923607369</v>
      </c>
      <c r="AF122" s="44">
        <f>IFERROR(INDEX('Costos Producción Febrero'!$I$34:$I$57,MATCH(Resumen!Z122,'Costos Producción Febrero'!$B$34:$B$57,0))*AC122*G122,0)</f>
        <v>1341.273985970739</v>
      </c>
      <c r="AG122" s="44">
        <f>IFERROR(INDEX('Costos Producción Febrero'!$J$34:$J$57,MATCH(Resumen!Z122,'Costos Producción Febrero'!$B$34:$B$57,0))*AC122*G122,0)</f>
        <v>29441.486060343988</v>
      </c>
      <c r="AH122" s="44">
        <f t="shared" si="141"/>
        <v>144680.54100367188</v>
      </c>
      <c r="AI122" s="44"/>
      <c r="AJ122" s="44">
        <v>1882.17951856385</v>
      </c>
      <c r="AK122" s="44"/>
      <c r="AL122" s="43">
        <f t="shared" si="134"/>
        <v>86169.458996328118</v>
      </c>
      <c r="AM122" s="92">
        <f t="shared" si="135"/>
        <v>0.37327034436356127</v>
      </c>
      <c r="AN122" s="42">
        <f t="shared" si="142"/>
        <v>9975</v>
      </c>
      <c r="AO122" s="42">
        <v>0</v>
      </c>
      <c r="AP122" s="42">
        <f t="shared" si="146"/>
        <v>9383.1387887763631</v>
      </c>
      <c r="AQ122" s="42">
        <f t="shared" si="143"/>
        <v>19358.138788776363</v>
      </c>
      <c r="AR122" s="42">
        <f t="shared" si="147"/>
        <v>1643.1973714805642</v>
      </c>
      <c r="AS122" s="42">
        <f t="shared" si="144"/>
        <v>6626.25</v>
      </c>
      <c r="AT122" s="43">
        <f t="shared" si="148"/>
        <v>71794.372836071198</v>
      </c>
      <c r="AU122" s="92">
        <f t="shared" si="149"/>
        <v>0.31100009892168595</v>
      </c>
      <c r="AV122" s="42">
        <f t="shared" si="150"/>
        <v>6840.1122765160526</v>
      </c>
      <c r="AW122" s="43">
        <f t="shared" si="128"/>
        <v>64954.260559555143</v>
      </c>
      <c r="AX122" s="92">
        <f t="shared" si="139"/>
        <v>0.28136998293071319</v>
      </c>
      <c r="AY122" s="42">
        <f t="shared" si="151"/>
        <v>5070.6337921377999</v>
      </c>
      <c r="AZ122" s="43">
        <f t="shared" si="129"/>
        <v>76865.006628208997</v>
      </c>
      <c r="BA122" s="92">
        <f t="shared" si="140"/>
        <v>0.33296515758375134</v>
      </c>
      <c r="BC122" s="10">
        <f t="shared" si="102"/>
        <v>2850</v>
      </c>
      <c r="BD122" s="10">
        <f t="shared" si="103"/>
        <v>-1095.197136219133</v>
      </c>
      <c r="BE122" s="10">
        <f t="shared" si="104"/>
        <v>-310.94830769885641</v>
      </c>
      <c r="BF122" s="10">
        <f t="shared" si="105"/>
        <v>-16.558938098404184</v>
      </c>
      <c r="BG122" s="10">
        <f t="shared" si="106"/>
        <v>-363.47513654745666</v>
      </c>
      <c r="BH122" s="10">
        <f t="shared" si="107"/>
        <v>-1786.1795185638505</v>
      </c>
      <c r="BI122" s="10">
        <f t="shared" si="108"/>
        <v>1063.8204814361495</v>
      </c>
      <c r="BJ122" s="10">
        <f t="shared" si="109"/>
        <v>-123.14814814814815</v>
      </c>
      <c r="BK122" s="10">
        <f t="shared" si="110"/>
        <v>-115.841219614523</v>
      </c>
      <c r="BL122" s="10">
        <f t="shared" si="111"/>
        <v>-238.98936776267115</v>
      </c>
      <c r="BM122" s="10">
        <f t="shared" si="112"/>
        <v>-20.286387302229187</v>
      </c>
      <c r="BN122" s="10">
        <f t="shared" si="113"/>
        <v>81.805555555555557</v>
      </c>
      <c r="BO122" s="10">
        <f t="shared" si="114"/>
        <v>886.35028192680488</v>
      </c>
      <c r="BP122" s="10">
        <f t="shared" si="115"/>
        <v>-84.44583057427225</v>
      </c>
      <c r="BQ122" s="10">
        <f t="shared" si="116"/>
        <v>801.90445135253265</v>
      </c>
      <c r="BR122" s="10">
        <f t="shared" si="117"/>
        <v>62.600417186886418</v>
      </c>
      <c r="BS122" s="10">
        <f t="shared" si="118"/>
        <v>948.95069911369137</v>
      </c>
    </row>
    <row r="123" spans="2:71" hidden="1">
      <c r="B123" s="7"/>
      <c r="C123" s="29" t="s">
        <v>705</v>
      </c>
      <c r="D123" s="25" t="s">
        <v>681</v>
      </c>
      <c r="E123" s="98">
        <v>104</v>
      </c>
      <c r="F123" s="98">
        <v>46154</v>
      </c>
      <c r="G123" s="99">
        <v>27</v>
      </c>
      <c r="H123" s="27" t="s">
        <v>668</v>
      </c>
      <c r="I123" s="27" t="s">
        <v>706</v>
      </c>
      <c r="J123" s="7" t="s">
        <v>709</v>
      </c>
      <c r="K123" s="7" t="s">
        <v>171</v>
      </c>
      <c r="L123" s="7" t="s">
        <v>516</v>
      </c>
      <c r="M123" s="21" t="s">
        <v>710</v>
      </c>
      <c r="N123" s="7" t="s">
        <v>509</v>
      </c>
      <c r="O123" s="20">
        <v>2000</v>
      </c>
      <c r="P123" s="59">
        <v>54080</v>
      </c>
      <c r="Q123" s="20">
        <v>1888.851851851852</v>
      </c>
      <c r="R123" s="30">
        <v>3001</v>
      </c>
      <c r="S123" s="32">
        <v>50999</v>
      </c>
      <c r="T123" s="63">
        <v>1</v>
      </c>
      <c r="U123" s="57" t="s">
        <v>737</v>
      </c>
      <c r="V123" s="141" t="s">
        <v>742</v>
      </c>
      <c r="W123" s="60"/>
      <c r="X123" s="4"/>
      <c r="Y123" s="4" t="s">
        <v>867</v>
      </c>
      <c r="Z123" s="7">
        <v>10005721</v>
      </c>
      <c r="AA123" s="7"/>
      <c r="AB123" s="7"/>
      <c r="AC123" s="20">
        <f t="shared" si="145"/>
        <v>2040.6867833638698</v>
      </c>
      <c r="AD123" s="44">
        <f>IFERROR(INDEX('Costos Producción Febrero'!$G$34:$G$57,MATCH(Resumen!Z123,'Costos Producción Febrero'!$B$34:$B$57,0))*AC123*G123,0)</f>
        <v>33461.946554035276</v>
      </c>
      <c r="AE123" s="44">
        <f>IFERROR(INDEX('Costos Producción Febrero'!$H$34:$H$57,MATCH(Resumen!Z123,'Costos Producción Febrero'!$B$34:$B$57,0))*AC123*G123,0)</f>
        <v>9805.0450488641509</v>
      </c>
      <c r="AF123" s="44">
        <f>IFERROR(INDEX('Costos Producción Febrero'!$I$34:$I$57,MATCH(Resumen!Z123,'Costos Producción Febrero'!$B$34:$B$57,0))*AC123*G123,0)</f>
        <v>600.679129783451</v>
      </c>
      <c r="AG123" s="44">
        <f>IFERROR(INDEX('Costos Producción Febrero'!$J$34:$J$57,MATCH(Resumen!Z123,'Costos Producción Febrero'!$B$34:$B$57,0))*AC123*G123,0)</f>
        <v>11230.872418141607</v>
      </c>
      <c r="AH123" s="44">
        <f t="shared" si="141"/>
        <v>55098.54315082448</v>
      </c>
      <c r="AI123" s="44"/>
      <c r="AJ123" s="44">
        <v>2136.6867833638698</v>
      </c>
      <c r="AK123" s="44"/>
      <c r="AL123" s="43">
        <f t="shared" si="134"/>
        <v>-1018.5431508244801</v>
      </c>
      <c r="AM123" s="92">
        <f t="shared" si="135"/>
        <v>-1.8834007966428996E-2</v>
      </c>
      <c r="AN123" s="42">
        <f t="shared" si="142"/>
        <v>3001</v>
      </c>
      <c r="AO123" s="42">
        <v>0</v>
      </c>
      <c r="AP123" s="42">
        <f t="shared" si="146"/>
        <v>3127.7129295921209</v>
      </c>
      <c r="AQ123" s="42">
        <f t="shared" si="143"/>
        <v>6128.7129295921204</v>
      </c>
      <c r="AR123" s="42">
        <f t="shared" si="147"/>
        <v>547.73245716018801</v>
      </c>
      <c r="AS123" s="42">
        <f t="shared" si="144"/>
        <v>1529.97</v>
      </c>
      <c r="AT123" s="43">
        <f t="shared" si="148"/>
        <v>-6165.0185375767878</v>
      </c>
      <c r="AU123" s="92">
        <f t="shared" si="149"/>
        <v>-0.11399812384572462</v>
      </c>
      <c r="AV123" s="42">
        <f t="shared" si="150"/>
        <v>2280.0374255053507</v>
      </c>
      <c r="AW123" s="43">
        <f t="shared" si="128"/>
        <v>-8445.055963082139</v>
      </c>
      <c r="AX123" s="92">
        <f t="shared" si="139"/>
        <v>-0.15615857919900406</v>
      </c>
      <c r="AY123" s="42">
        <f t="shared" si="151"/>
        <v>1690.2112640459334</v>
      </c>
      <c r="AZ123" s="43">
        <f t="shared" si="129"/>
        <v>-4474.8072735308542</v>
      </c>
      <c r="BA123" s="92">
        <f t="shared" si="140"/>
        <v>-8.2744217335999529E-2</v>
      </c>
      <c r="BC123" s="10">
        <f t="shared" si="102"/>
        <v>2002.962962962963</v>
      </c>
      <c r="BD123" s="10">
        <f t="shared" si="103"/>
        <v>-1239.3313538531584</v>
      </c>
      <c r="BE123" s="10">
        <f t="shared" si="104"/>
        <v>-363.1498166245982</v>
      </c>
      <c r="BF123" s="10">
        <f t="shared" si="105"/>
        <v>-22.247375177164852</v>
      </c>
      <c r="BG123" s="10">
        <f t="shared" si="106"/>
        <v>-415.95823770894845</v>
      </c>
      <c r="BH123" s="10">
        <f t="shared" si="107"/>
        <v>-2040.6867833638696</v>
      </c>
      <c r="BI123" s="10">
        <f t="shared" si="108"/>
        <v>-37.723820400906668</v>
      </c>
      <c r="BJ123" s="10">
        <f t="shared" si="109"/>
        <v>-111.14814814814815</v>
      </c>
      <c r="BK123" s="10">
        <f t="shared" si="110"/>
        <v>-115.841219614523</v>
      </c>
      <c r="BL123" s="10">
        <f t="shared" si="111"/>
        <v>-226.98936776267112</v>
      </c>
      <c r="BM123" s="10">
        <f t="shared" si="112"/>
        <v>-20.286387302229187</v>
      </c>
      <c r="BN123" s="10">
        <f t="shared" si="113"/>
        <v>56.665555555555557</v>
      </c>
      <c r="BO123" s="10">
        <f t="shared" si="114"/>
        <v>-228.33401991025141</v>
      </c>
      <c r="BP123" s="10">
        <f t="shared" si="115"/>
        <v>-84.44583057427225</v>
      </c>
      <c r="BQ123" s="10">
        <f t="shared" si="116"/>
        <v>-312.77985048452365</v>
      </c>
      <c r="BR123" s="10">
        <f t="shared" si="117"/>
        <v>62.600417186886425</v>
      </c>
      <c r="BS123" s="10">
        <f t="shared" si="118"/>
        <v>-165.73360272336498</v>
      </c>
    </row>
    <row r="124" spans="2:71" hidden="1">
      <c r="B124" s="7"/>
      <c r="C124" s="29" t="s">
        <v>705</v>
      </c>
      <c r="D124" s="25" t="s">
        <v>682</v>
      </c>
      <c r="E124" s="98">
        <v>106</v>
      </c>
      <c r="F124" s="98">
        <v>46154</v>
      </c>
      <c r="G124" s="99">
        <v>11.5</v>
      </c>
      <c r="H124" s="27" t="s">
        <v>34</v>
      </c>
      <c r="I124" s="27" t="s">
        <v>116</v>
      </c>
      <c r="J124" s="7" t="s">
        <v>711</v>
      </c>
      <c r="K124" s="7" t="s">
        <v>118</v>
      </c>
      <c r="L124" s="7" t="s">
        <v>119</v>
      </c>
      <c r="M124" s="21" t="s">
        <v>50</v>
      </c>
      <c r="N124" s="7" t="s">
        <v>120</v>
      </c>
      <c r="O124" s="20">
        <v>1200</v>
      </c>
      <c r="P124" s="59">
        <v>13800</v>
      </c>
      <c r="Q124" s="20">
        <v>1047.7826086956522</v>
      </c>
      <c r="R124" s="30">
        <v>1750.5</v>
      </c>
      <c r="S124" s="32">
        <v>12049.5</v>
      </c>
      <c r="T124" s="63">
        <v>1</v>
      </c>
      <c r="U124" s="57" t="s">
        <v>737</v>
      </c>
      <c r="V124" s="141" t="s">
        <v>743</v>
      </c>
      <c r="W124" s="60"/>
      <c r="X124" s="4"/>
      <c r="Y124" s="4" t="s">
        <v>867</v>
      </c>
      <c r="Z124" s="7">
        <v>10005779</v>
      </c>
      <c r="AA124" s="7"/>
      <c r="AB124" s="7"/>
      <c r="AC124" s="20">
        <f t="shared" si="145"/>
        <v>1657.6934474995803</v>
      </c>
      <c r="AD124" s="44">
        <f>IFERROR(INDEX('Costos Producción Febrero'!$G$34:$G$57,MATCH(Resumen!Z124,'Costos Producción Febrero'!$B$34:$B$57,0))*AC124*G124,0)</f>
        <v>11068.267728494764</v>
      </c>
      <c r="AE124" s="44">
        <f>IFERROR(INDEX('Costos Producción Febrero'!$H$34:$H$57,MATCH(Resumen!Z124,'Costos Producción Febrero'!$B$34:$B$57,0))*AC124*G124,0)</f>
        <v>4212.1493580126962</v>
      </c>
      <c r="AF124" s="44">
        <f>IFERROR(INDEX('Costos Producción Febrero'!$I$34:$I$57,MATCH(Resumen!Z124,'Costos Producción Febrero'!$B$34:$B$57,0))*AC124*G124,0)</f>
        <v>121.76421066817863</v>
      </c>
      <c r="AG124" s="44">
        <f>IFERROR(INDEX('Costos Producción Febrero'!$J$34:$J$57,MATCH(Resumen!Z124,'Costos Producción Febrero'!$B$34:$B$57,0))*AC124*G124,0)</f>
        <v>3661.293349069535</v>
      </c>
      <c r="AH124" s="44">
        <f t="shared" si="141"/>
        <v>19063.474646245173</v>
      </c>
      <c r="AI124" s="44"/>
      <c r="AJ124" s="44">
        <v>1753.6934474995801</v>
      </c>
      <c r="AK124" s="44"/>
      <c r="AL124" s="43">
        <f t="shared" si="134"/>
        <v>-5263.4746462451731</v>
      </c>
      <c r="AM124" s="92">
        <f t="shared" si="135"/>
        <v>-0.38141120624965025</v>
      </c>
      <c r="AN124" s="42">
        <f t="shared" si="142"/>
        <v>1750.5</v>
      </c>
      <c r="AO124" s="42">
        <v>0</v>
      </c>
      <c r="AP124" s="42">
        <f t="shared" si="146"/>
        <v>1332.1740255670145</v>
      </c>
      <c r="AQ124" s="42">
        <f t="shared" si="143"/>
        <v>3082.6740255670147</v>
      </c>
      <c r="AR124" s="42">
        <f t="shared" si="147"/>
        <v>233.29345397563566</v>
      </c>
      <c r="AS124" s="42">
        <f t="shared" si="144"/>
        <v>361.48500000000001</v>
      </c>
      <c r="AT124" s="43">
        <f t="shared" si="148"/>
        <v>-8217.9571257878233</v>
      </c>
      <c r="AU124" s="92">
        <f t="shared" si="149"/>
        <v>-0.59550413954984227</v>
      </c>
      <c r="AV124" s="42">
        <f t="shared" si="150"/>
        <v>971.12705160413088</v>
      </c>
      <c r="AW124" s="43">
        <f t="shared" si="128"/>
        <v>-9189.0841773919547</v>
      </c>
      <c r="AX124" s="92">
        <f t="shared" si="139"/>
        <v>-0.66587566502840256</v>
      </c>
      <c r="AY124" s="42">
        <f t="shared" si="151"/>
        <v>719.90479764919382</v>
      </c>
      <c r="AZ124" s="43">
        <f t="shared" si="129"/>
        <v>-7498.0523281386295</v>
      </c>
      <c r="BA124" s="92">
        <f t="shared" si="140"/>
        <v>-0.54333712522743693</v>
      </c>
      <c r="BC124" s="10">
        <f t="shared" si="102"/>
        <v>1200</v>
      </c>
      <c r="BD124" s="10">
        <f t="shared" si="103"/>
        <v>-962.45806334737074</v>
      </c>
      <c r="BE124" s="10">
        <f t="shared" si="104"/>
        <v>-366.27385721849532</v>
      </c>
      <c r="BF124" s="10">
        <f t="shared" si="105"/>
        <v>-10.588192232015533</v>
      </c>
      <c r="BG124" s="10">
        <f t="shared" si="106"/>
        <v>-318.3733347016987</v>
      </c>
      <c r="BH124" s="10">
        <f t="shared" si="107"/>
        <v>-1657.6934474995803</v>
      </c>
      <c r="BI124" s="10">
        <f t="shared" si="108"/>
        <v>-457.69344749958026</v>
      </c>
      <c r="BJ124" s="10">
        <f t="shared" si="109"/>
        <v>-152.21739130434781</v>
      </c>
      <c r="BK124" s="10">
        <f t="shared" si="110"/>
        <v>-115.841219614523</v>
      </c>
      <c r="BL124" s="10">
        <f t="shared" si="111"/>
        <v>-268.05861091887084</v>
      </c>
      <c r="BM124" s="10">
        <f t="shared" si="112"/>
        <v>-20.286387302229187</v>
      </c>
      <c r="BN124" s="10">
        <f t="shared" si="113"/>
        <v>31.433478260869567</v>
      </c>
      <c r="BO124" s="10">
        <f t="shared" si="114"/>
        <v>-714.60496745981072</v>
      </c>
      <c r="BP124" s="10">
        <f t="shared" si="115"/>
        <v>-84.44583057427225</v>
      </c>
      <c r="BQ124" s="10">
        <f t="shared" si="116"/>
        <v>-799.05079803408296</v>
      </c>
      <c r="BR124" s="10">
        <f t="shared" si="117"/>
        <v>62.600417186886418</v>
      </c>
      <c r="BS124" s="10">
        <f t="shared" si="118"/>
        <v>-652.00455027292435</v>
      </c>
    </row>
    <row r="125" spans="2:71" hidden="1">
      <c r="B125" s="7"/>
      <c r="C125" s="29" t="s">
        <v>705</v>
      </c>
      <c r="D125" s="25" t="s">
        <v>682</v>
      </c>
      <c r="E125" s="98">
        <v>106</v>
      </c>
      <c r="F125" s="98">
        <v>46154</v>
      </c>
      <c r="G125" s="99">
        <v>11</v>
      </c>
      <c r="H125" s="27" t="s">
        <v>34</v>
      </c>
      <c r="I125" s="27" t="s">
        <v>116</v>
      </c>
      <c r="J125" s="7" t="s">
        <v>296</v>
      </c>
      <c r="K125" s="7" t="s">
        <v>118</v>
      </c>
      <c r="L125" s="7" t="s">
        <v>119</v>
      </c>
      <c r="M125" s="21" t="s">
        <v>50</v>
      </c>
      <c r="N125" s="7" t="s">
        <v>120</v>
      </c>
      <c r="O125" s="20">
        <v>1300</v>
      </c>
      <c r="P125" s="59">
        <v>14300</v>
      </c>
      <c r="Q125" s="20">
        <v>1140.8636363636363</v>
      </c>
      <c r="R125" s="30">
        <v>1750.5</v>
      </c>
      <c r="S125" s="32">
        <v>12549.5</v>
      </c>
      <c r="T125" s="63"/>
      <c r="U125" s="57" t="s">
        <v>737</v>
      </c>
      <c r="V125" s="141" t="s">
        <v>743</v>
      </c>
      <c r="W125" s="60"/>
      <c r="X125" s="4"/>
      <c r="Y125" s="4" t="s">
        <v>867</v>
      </c>
      <c r="Z125" s="7">
        <v>10005779</v>
      </c>
      <c r="AA125" s="7"/>
      <c r="AB125" s="7"/>
      <c r="AC125" s="20">
        <f t="shared" si="145"/>
        <v>1657.6934474995803</v>
      </c>
      <c r="AD125" s="44">
        <f>IFERROR(INDEX('Costos Producción Febrero'!$G$34:$G$57,MATCH(Resumen!Z125,'Costos Producción Febrero'!$B$34:$B$57,0))*AC125*G125,0)</f>
        <v>10587.038696821079</v>
      </c>
      <c r="AE125" s="44">
        <f>IFERROR(INDEX('Costos Producción Febrero'!$H$34:$H$57,MATCH(Resumen!Z125,'Costos Producción Febrero'!$B$34:$B$57,0))*AC125*G125,0)</f>
        <v>4029.0124294034486</v>
      </c>
      <c r="AF125" s="44">
        <f>IFERROR(INDEX('Costos Producción Febrero'!$I$34:$I$57,MATCH(Resumen!Z125,'Costos Producción Febrero'!$B$34:$B$57,0))*AC125*G125,0)</f>
        <v>116.47011455217087</v>
      </c>
      <c r="AG125" s="44">
        <f>IFERROR(INDEX('Costos Producción Febrero'!$J$34:$J$57,MATCH(Resumen!Z125,'Costos Producción Febrero'!$B$34:$B$57,0))*AC125*G125,0)</f>
        <v>3502.1066817186856</v>
      </c>
      <c r="AH125" s="44">
        <f t="shared" si="141"/>
        <v>18234.627922495383</v>
      </c>
      <c r="AI125" s="44"/>
      <c r="AJ125" s="44">
        <v>1753.6934474995801</v>
      </c>
      <c r="AK125" s="44"/>
      <c r="AL125" s="43">
        <f t="shared" si="134"/>
        <v>-3934.6279224953832</v>
      </c>
      <c r="AM125" s="92">
        <f t="shared" si="135"/>
        <v>-0.27514880576890793</v>
      </c>
      <c r="AN125" s="42">
        <f t="shared" si="142"/>
        <v>1750.5</v>
      </c>
      <c r="AO125" s="42">
        <v>0</v>
      </c>
      <c r="AP125" s="42">
        <f t="shared" si="146"/>
        <v>1274.2534157597529</v>
      </c>
      <c r="AQ125" s="42">
        <f t="shared" si="143"/>
        <v>3024.7534157597529</v>
      </c>
      <c r="AR125" s="42">
        <f t="shared" si="147"/>
        <v>223.15026032452107</v>
      </c>
      <c r="AS125" s="42">
        <f t="shared" si="144"/>
        <v>376.48500000000001</v>
      </c>
      <c r="AT125" s="43">
        <f t="shared" si="148"/>
        <v>-6806.0465985796573</v>
      </c>
      <c r="AU125" s="92">
        <f t="shared" si="149"/>
        <v>-0.47594731458599004</v>
      </c>
      <c r="AV125" s="42">
        <f t="shared" si="150"/>
        <v>928.90413631699471</v>
      </c>
      <c r="AW125" s="43">
        <f t="shared" si="128"/>
        <v>-7734.9507348966517</v>
      </c>
      <c r="AX125" s="92">
        <f t="shared" si="139"/>
        <v>-0.54090564579696865</v>
      </c>
      <c r="AY125" s="42">
        <f t="shared" si="151"/>
        <v>688.60458905575058</v>
      </c>
      <c r="AZ125" s="43">
        <f t="shared" si="129"/>
        <v>-6117.4420095239066</v>
      </c>
      <c r="BA125" s="92">
        <f t="shared" si="140"/>
        <v>-0.42779314751915432</v>
      </c>
      <c r="BC125" s="10">
        <f t="shared" si="102"/>
        <v>1300</v>
      </c>
      <c r="BD125" s="10">
        <f t="shared" si="103"/>
        <v>-962.45806334737074</v>
      </c>
      <c r="BE125" s="10">
        <f t="shared" si="104"/>
        <v>-366.27385721849532</v>
      </c>
      <c r="BF125" s="10">
        <f t="shared" si="105"/>
        <v>-10.588192232015533</v>
      </c>
      <c r="BG125" s="10">
        <f t="shared" si="106"/>
        <v>-318.3733347016987</v>
      </c>
      <c r="BH125" s="10">
        <f t="shared" si="107"/>
        <v>-1657.6934474995803</v>
      </c>
      <c r="BI125" s="10">
        <f t="shared" si="108"/>
        <v>-357.69344749958032</v>
      </c>
      <c r="BJ125" s="10">
        <f t="shared" si="109"/>
        <v>-159.13636363636363</v>
      </c>
      <c r="BK125" s="10">
        <f t="shared" si="110"/>
        <v>-115.84121961452298</v>
      </c>
      <c r="BL125" s="10">
        <f t="shared" si="111"/>
        <v>-274.97758325088665</v>
      </c>
      <c r="BM125" s="10">
        <f t="shared" si="112"/>
        <v>-20.286387302229187</v>
      </c>
      <c r="BN125" s="10">
        <f t="shared" si="113"/>
        <v>34.225909090909092</v>
      </c>
      <c r="BO125" s="10">
        <f t="shared" si="114"/>
        <v>-618.73150896178697</v>
      </c>
      <c r="BP125" s="10">
        <f t="shared" si="115"/>
        <v>-84.44583057427225</v>
      </c>
      <c r="BQ125" s="10">
        <f t="shared" si="116"/>
        <v>-703.17733953605921</v>
      </c>
      <c r="BR125" s="10">
        <f t="shared" si="117"/>
        <v>62.600417186886418</v>
      </c>
      <c r="BS125" s="10">
        <f t="shared" si="118"/>
        <v>-556.1310917749006</v>
      </c>
    </row>
    <row r="126" spans="2:71" hidden="1">
      <c r="B126" s="7"/>
      <c r="C126" s="29" t="s">
        <v>705</v>
      </c>
      <c r="D126" s="25" t="s">
        <v>683</v>
      </c>
      <c r="E126" s="98">
        <v>107</v>
      </c>
      <c r="F126" s="98">
        <v>46154</v>
      </c>
      <c r="G126" s="99">
        <v>26.25</v>
      </c>
      <c r="H126" s="27" t="s">
        <v>39</v>
      </c>
      <c r="I126" s="27" t="s">
        <v>174</v>
      </c>
      <c r="J126" s="7"/>
      <c r="K126" s="7" t="s">
        <v>171</v>
      </c>
      <c r="L126" s="7" t="s">
        <v>172</v>
      </c>
      <c r="M126" s="21" t="s">
        <v>55</v>
      </c>
      <c r="N126" s="7"/>
      <c r="O126" s="20">
        <v>2050</v>
      </c>
      <c r="P126" s="59">
        <v>53812.5</v>
      </c>
      <c r="Q126" s="20">
        <v>1947.104761904762</v>
      </c>
      <c r="R126" s="30">
        <v>2701</v>
      </c>
      <c r="S126" s="32">
        <v>51111.5</v>
      </c>
      <c r="T126" s="63">
        <v>1</v>
      </c>
      <c r="U126" s="57" t="s">
        <v>737</v>
      </c>
      <c r="V126" s="141" t="s">
        <v>744</v>
      </c>
      <c r="W126" s="60"/>
      <c r="X126" s="4"/>
      <c r="Y126" s="4" t="s">
        <v>866</v>
      </c>
      <c r="Z126" s="7"/>
      <c r="AA126" s="7"/>
      <c r="AB126" s="7"/>
      <c r="AC126" s="20">
        <f t="shared" ref="AC126:AC137" si="152">AJ126</f>
        <v>0</v>
      </c>
      <c r="AD126" s="44">
        <f>IFERROR(INDEX('Costos Producción Febrero'!$G$34:$G$57,MATCH(Resumen!Z126,'Costos Producción Febrero'!$B$34:$B$57,0))*AC126*G126,0)</f>
        <v>0</v>
      </c>
      <c r="AE126" s="44">
        <f>IFERROR(INDEX('Costos Producción Febrero'!$H$34:$H$57,MATCH(Resumen!Z126,'Costos Producción Febrero'!$B$34:$B$57,0))*AC126*G126,0)</f>
        <v>0</v>
      </c>
      <c r="AF126" s="44">
        <f>IFERROR(INDEX('Costos Producción Febrero'!$I$34:$I$57,MATCH(Resumen!Z126,'Costos Producción Febrero'!$B$34:$B$57,0))*AC126*G126,0)</f>
        <v>0</v>
      </c>
      <c r="AG126" s="44">
        <f>IFERROR(INDEX('Costos Producción Febrero'!$J$34:$J$57,MATCH(Resumen!Z126,'Costos Producción Febrero'!$B$34:$B$57,0))*AC126*G126,0)</f>
        <v>0</v>
      </c>
      <c r="AH126" s="44">
        <f t="shared" si="141"/>
        <v>0</v>
      </c>
      <c r="AI126" s="44"/>
      <c r="AJ126" s="44"/>
      <c r="AK126" s="44"/>
      <c r="AL126" s="43">
        <f t="shared" si="134"/>
        <v>53812.5</v>
      </c>
      <c r="AM126" s="92">
        <f t="shared" si="135"/>
        <v>1</v>
      </c>
      <c r="AN126" s="42">
        <f t="shared" si="142"/>
        <v>2701</v>
      </c>
      <c r="AO126" s="42">
        <v>0</v>
      </c>
      <c r="AP126" s="42">
        <f t="shared" si="146"/>
        <v>3040.8320148812286</v>
      </c>
      <c r="AQ126" s="42">
        <f t="shared" si="143"/>
        <v>5741.832014881229</v>
      </c>
      <c r="AR126" s="42">
        <f t="shared" si="147"/>
        <v>532.51766668351615</v>
      </c>
      <c r="AS126" s="42">
        <f t="shared" si="144"/>
        <v>1533.345</v>
      </c>
      <c r="AT126" s="43">
        <f t="shared" si="148"/>
        <v>49071.495318435256</v>
      </c>
      <c r="AU126" s="92">
        <f t="shared" si="149"/>
        <v>0.91189770626592814</v>
      </c>
      <c r="AV126" s="42">
        <f t="shared" si="150"/>
        <v>2216.7030525746468</v>
      </c>
      <c r="AW126" s="43">
        <f t="shared" si="128"/>
        <v>46854.792265860611</v>
      </c>
      <c r="AX126" s="92">
        <f t="shared" si="139"/>
        <v>0.87070461818091727</v>
      </c>
      <c r="AY126" s="42">
        <f t="shared" si="151"/>
        <v>1643.2609511557685</v>
      </c>
      <c r="AZ126" s="43">
        <f t="shared" si="129"/>
        <v>50714.756269591024</v>
      </c>
      <c r="BA126" s="92">
        <f t="shared" si="140"/>
        <v>0.94243449513758004</v>
      </c>
      <c r="BC126" s="10">
        <f t="shared" si="102"/>
        <v>2050</v>
      </c>
      <c r="BD126" s="10">
        <f t="shared" si="103"/>
        <v>0</v>
      </c>
      <c r="BE126" s="10">
        <f t="shared" si="104"/>
        <v>0</v>
      </c>
      <c r="BF126" s="10">
        <f t="shared" si="105"/>
        <v>0</v>
      </c>
      <c r="BG126" s="10">
        <f t="shared" si="106"/>
        <v>0</v>
      </c>
      <c r="BH126" s="10">
        <f t="shared" si="107"/>
        <v>0</v>
      </c>
      <c r="BI126" s="10">
        <f t="shared" si="108"/>
        <v>2050</v>
      </c>
      <c r="BJ126" s="10">
        <f t="shared" si="109"/>
        <v>-102.8952380952381</v>
      </c>
      <c r="BK126" s="10">
        <f t="shared" si="110"/>
        <v>-115.841219614523</v>
      </c>
      <c r="BL126" s="10">
        <f t="shared" si="111"/>
        <v>-218.73645770976111</v>
      </c>
      <c r="BM126" s="10">
        <f t="shared" si="112"/>
        <v>-20.286387302229187</v>
      </c>
      <c r="BN126" s="10">
        <f t="shared" si="113"/>
        <v>58.413142857142859</v>
      </c>
      <c r="BO126" s="10">
        <f t="shared" si="114"/>
        <v>1869.3902978451526</v>
      </c>
      <c r="BP126" s="10">
        <f t="shared" si="115"/>
        <v>-84.445830574272264</v>
      </c>
      <c r="BQ126" s="10">
        <f t="shared" si="116"/>
        <v>1784.9444672708805</v>
      </c>
      <c r="BR126" s="10">
        <f t="shared" si="117"/>
        <v>62.600417186886418</v>
      </c>
      <c r="BS126" s="10">
        <f t="shared" si="118"/>
        <v>1931.9907150320389</v>
      </c>
    </row>
    <row r="127" spans="2:71" hidden="1">
      <c r="B127" s="7"/>
      <c r="C127" s="29" t="s">
        <v>705</v>
      </c>
      <c r="D127" s="25" t="s">
        <v>684</v>
      </c>
      <c r="E127" s="98">
        <v>45764</v>
      </c>
      <c r="F127" s="98">
        <v>46160</v>
      </c>
      <c r="G127" s="99">
        <v>27</v>
      </c>
      <c r="H127" s="27" t="s">
        <v>465</v>
      </c>
      <c r="I127" s="27" t="s">
        <v>466</v>
      </c>
      <c r="J127" s="7"/>
      <c r="K127" s="7" t="s">
        <v>161</v>
      </c>
      <c r="L127" s="7" t="s">
        <v>147</v>
      </c>
      <c r="M127" s="21" t="s">
        <v>53</v>
      </c>
      <c r="N127" s="7" t="s">
        <v>148</v>
      </c>
      <c r="O127" s="20">
        <v>2350</v>
      </c>
      <c r="P127" s="59">
        <v>60536</v>
      </c>
      <c r="Q127" s="20">
        <v>2162.962962962963</v>
      </c>
      <c r="R127" s="30">
        <v>5050</v>
      </c>
      <c r="S127" s="32">
        <v>58400</v>
      </c>
      <c r="T127" s="63">
        <v>1</v>
      </c>
      <c r="U127" s="57" t="s">
        <v>745</v>
      </c>
      <c r="V127" s="141">
        <v>24658732</v>
      </c>
      <c r="W127" s="60"/>
      <c r="X127" s="4"/>
      <c r="Y127" s="4" t="s">
        <v>866</v>
      </c>
      <c r="Z127" s="7">
        <v>10007050</v>
      </c>
      <c r="AA127" s="7"/>
      <c r="AB127" s="7"/>
      <c r="AC127" s="20">
        <f t="shared" si="152"/>
        <v>0</v>
      </c>
      <c r="AD127" s="44">
        <f>IFERROR(INDEX('Costos Producción Febrero'!$G$34:$G$57,MATCH(Resumen!Z127,'Costos Producción Febrero'!$B$34:$B$57,0))*AC127*G127,0)</f>
        <v>0</v>
      </c>
      <c r="AE127" s="44">
        <f>IFERROR(INDEX('Costos Producción Febrero'!$H$34:$H$57,MATCH(Resumen!Z127,'Costos Producción Febrero'!$B$34:$B$57,0))*AC127*G127,0)</f>
        <v>0</v>
      </c>
      <c r="AF127" s="44">
        <f>IFERROR(INDEX('Costos Producción Febrero'!$I$34:$I$57,MATCH(Resumen!Z127,'Costos Producción Febrero'!$B$34:$B$57,0))*AC127*G127,0)</f>
        <v>0</v>
      </c>
      <c r="AG127" s="44">
        <f>IFERROR(INDEX('Costos Producción Febrero'!$J$34:$J$57,MATCH(Resumen!Z127,'Costos Producción Febrero'!$B$34:$B$57,0))*AC127*G127,0)</f>
        <v>0</v>
      </c>
      <c r="AH127" s="44">
        <f t="shared" si="141"/>
        <v>0</v>
      </c>
      <c r="AI127" s="44"/>
      <c r="AJ127" s="44"/>
      <c r="AK127" s="44"/>
      <c r="AL127" s="43">
        <f t="shared" si="134"/>
        <v>60536</v>
      </c>
      <c r="AM127" s="92">
        <f t="shared" si="135"/>
        <v>1</v>
      </c>
      <c r="AN127" s="42">
        <f t="shared" si="142"/>
        <v>5050</v>
      </c>
      <c r="AO127" s="42">
        <v>0</v>
      </c>
      <c r="AP127" s="42">
        <f t="shared" si="146"/>
        <v>3127.7129295921209</v>
      </c>
      <c r="AQ127" s="42">
        <f t="shared" si="143"/>
        <v>8177.7129295921204</v>
      </c>
      <c r="AR127" s="42">
        <f t="shared" si="147"/>
        <v>547.73245716018801</v>
      </c>
      <c r="AS127" s="42">
        <f t="shared" si="144"/>
        <v>1752</v>
      </c>
      <c r="AT127" s="43">
        <f t="shared" si="148"/>
        <v>53562.554613247696</v>
      </c>
      <c r="AU127" s="92">
        <f t="shared" si="149"/>
        <v>0.88480498568203536</v>
      </c>
      <c r="AV127" s="42">
        <f t="shared" si="150"/>
        <v>2280.0374255053507</v>
      </c>
      <c r="AW127" s="43">
        <f t="shared" si="128"/>
        <v>51282.517187742342</v>
      </c>
      <c r="AX127" s="92">
        <f t="shared" si="139"/>
        <v>0.84714082839537375</v>
      </c>
      <c r="AY127" s="42">
        <f t="shared" si="151"/>
        <v>1690.2112640459334</v>
      </c>
      <c r="AZ127" s="43">
        <f t="shared" si="129"/>
        <v>55252.765877293627</v>
      </c>
      <c r="BA127" s="92">
        <f t="shared" si="140"/>
        <v>0.91272574793996342</v>
      </c>
      <c r="BC127" s="10">
        <f t="shared" si="102"/>
        <v>2242.0740740740739</v>
      </c>
      <c r="BD127" s="10">
        <f t="shared" si="103"/>
        <v>0</v>
      </c>
      <c r="BE127" s="10">
        <f t="shared" si="104"/>
        <v>0</v>
      </c>
      <c r="BF127" s="10">
        <f t="shared" si="105"/>
        <v>0</v>
      </c>
      <c r="BG127" s="10">
        <f t="shared" si="106"/>
        <v>0</v>
      </c>
      <c r="BH127" s="10">
        <f t="shared" si="107"/>
        <v>0</v>
      </c>
      <c r="BI127" s="10">
        <f t="shared" si="108"/>
        <v>2242.0740740740739</v>
      </c>
      <c r="BJ127" s="10">
        <f t="shared" si="109"/>
        <v>-187.03703703703704</v>
      </c>
      <c r="BK127" s="10">
        <f t="shared" si="110"/>
        <v>-115.841219614523</v>
      </c>
      <c r="BL127" s="10">
        <f t="shared" si="111"/>
        <v>-302.87825665156004</v>
      </c>
      <c r="BM127" s="10">
        <f t="shared" si="112"/>
        <v>-20.286387302229187</v>
      </c>
      <c r="BN127" s="10">
        <f t="shared" si="113"/>
        <v>64.888888888888886</v>
      </c>
      <c r="BO127" s="10">
        <f t="shared" si="114"/>
        <v>1983.7983190091738</v>
      </c>
      <c r="BP127" s="10">
        <f t="shared" si="115"/>
        <v>-84.44583057427225</v>
      </c>
      <c r="BQ127" s="10">
        <f t="shared" si="116"/>
        <v>1899.3524884349015</v>
      </c>
      <c r="BR127" s="10">
        <f t="shared" si="117"/>
        <v>62.600417186886425</v>
      </c>
      <c r="BS127" s="10">
        <f t="shared" si="118"/>
        <v>2046.3987361960603</v>
      </c>
    </row>
    <row r="128" spans="2:71" hidden="1">
      <c r="B128" s="7"/>
      <c r="C128" s="29" t="s">
        <v>705</v>
      </c>
      <c r="D128" s="25" t="s">
        <v>685</v>
      </c>
      <c r="E128" s="98">
        <v>108</v>
      </c>
      <c r="F128" s="98">
        <v>46154</v>
      </c>
      <c r="G128" s="99">
        <v>22.5</v>
      </c>
      <c r="H128" s="27" t="s">
        <v>34</v>
      </c>
      <c r="I128" s="27" t="s">
        <v>116</v>
      </c>
      <c r="J128" s="7" t="s">
        <v>711</v>
      </c>
      <c r="K128" s="7" t="s">
        <v>118</v>
      </c>
      <c r="L128" s="7" t="s">
        <v>119</v>
      </c>
      <c r="M128" s="21" t="s">
        <v>50</v>
      </c>
      <c r="N128" s="7" t="s">
        <v>120</v>
      </c>
      <c r="O128" s="20">
        <v>1050</v>
      </c>
      <c r="P128" s="59">
        <f>23625+50</f>
        <v>23675</v>
      </c>
      <c r="Q128" s="20">
        <v>894.4</v>
      </c>
      <c r="R128" s="30">
        <v>3501</v>
      </c>
      <c r="S128" s="32">
        <v>20124</v>
      </c>
      <c r="T128" s="63">
        <v>1</v>
      </c>
      <c r="U128" s="57" t="s">
        <v>737</v>
      </c>
      <c r="V128" s="141" t="s">
        <v>746</v>
      </c>
      <c r="W128" s="60"/>
      <c r="X128" s="4"/>
      <c r="Y128" s="4" t="s">
        <v>867</v>
      </c>
      <c r="Z128" s="7">
        <v>10005779</v>
      </c>
      <c r="AA128" s="7"/>
      <c r="AB128" s="7"/>
      <c r="AC128" s="20">
        <f t="shared" ref="AC128:AC130" si="153">AJ128-47.35-5.32-43.33</f>
        <v>1657.6934474995803</v>
      </c>
      <c r="AD128" s="44">
        <f>IFERROR(INDEX('Costos Producción Febrero'!$G$34:$G$57,MATCH(Resumen!Z128,'Costos Producción Febrero'!$B$34:$B$57,0))*AC128*G128,0)</f>
        <v>21655.306425315841</v>
      </c>
      <c r="AE128" s="44">
        <f>IFERROR(INDEX('Costos Producción Febrero'!$H$34:$H$57,MATCH(Resumen!Z128,'Costos Producción Febrero'!$B$34:$B$57,0))*AC128*G128,0)</f>
        <v>8241.1617874161457</v>
      </c>
      <c r="AF128" s="44">
        <f>IFERROR(INDEX('Costos Producción Febrero'!$I$34:$I$57,MATCH(Resumen!Z128,'Costos Producción Febrero'!$B$34:$B$57,0))*AC128*G128,0)</f>
        <v>238.23432522034949</v>
      </c>
      <c r="AG128" s="44">
        <f>IFERROR(INDEX('Costos Producción Febrero'!$J$34:$J$57,MATCH(Resumen!Z128,'Costos Producción Febrero'!$B$34:$B$57,0))*AC128*G128,0)</f>
        <v>7163.4000307882206</v>
      </c>
      <c r="AH128" s="44">
        <f t="shared" si="141"/>
        <v>37298.102568740556</v>
      </c>
      <c r="AI128" s="44"/>
      <c r="AJ128" s="44">
        <v>1753.6934474995801</v>
      </c>
      <c r="AK128" s="44"/>
      <c r="AL128" s="43">
        <f t="shared" si="134"/>
        <v>-13623.102568740556</v>
      </c>
      <c r="AM128" s="92">
        <f t="shared" si="135"/>
        <v>-0.57542143901755249</v>
      </c>
      <c r="AN128" s="42">
        <f t="shared" si="142"/>
        <v>3501</v>
      </c>
      <c r="AO128" s="42">
        <v>0</v>
      </c>
      <c r="AP128" s="42">
        <f t="shared" si="146"/>
        <v>2606.4274413267676</v>
      </c>
      <c r="AQ128" s="42">
        <f t="shared" si="143"/>
        <v>6107.4274413267676</v>
      </c>
      <c r="AR128" s="42">
        <f t="shared" si="147"/>
        <v>456.44371430015673</v>
      </c>
      <c r="AS128" s="42">
        <f t="shared" si="144"/>
        <v>603.72</v>
      </c>
      <c r="AT128" s="43">
        <f t="shared" si="148"/>
        <v>-19583.253724367478</v>
      </c>
      <c r="AU128" s="92">
        <f t="shared" si="149"/>
        <v>-0.82717016787191033</v>
      </c>
      <c r="AV128" s="42">
        <f t="shared" si="150"/>
        <v>1900.0311879211256</v>
      </c>
      <c r="AW128" s="43">
        <f t="shared" si="128"/>
        <v>-21483.284912288604</v>
      </c>
      <c r="AX128" s="92">
        <f t="shared" si="139"/>
        <v>-0.90742491709772344</v>
      </c>
      <c r="AY128" s="42">
        <f t="shared" si="151"/>
        <v>1408.5093867049443</v>
      </c>
      <c r="AZ128" s="43">
        <f t="shared" si="129"/>
        <v>-18174.744337662534</v>
      </c>
      <c r="BA128" s="92">
        <f t="shared" si="140"/>
        <v>-0.76767663517053997</v>
      </c>
      <c r="BC128" s="10">
        <f t="shared" si="102"/>
        <v>1052.2222222222222</v>
      </c>
      <c r="BD128" s="10">
        <f t="shared" si="103"/>
        <v>-962.45806334737074</v>
      </c>
      <c r="BE128" s="10">
        <f t="shared" si="104"/>
        <v>-366.27385721849538</v>
      </c>
      <c r="BF128" s="10">
        <f t="shared" si="105"/>
        <v>-10.588192232015533</v>
      </c>
      <c r="BG128" s="10">
        <f t="shared" si="106"/>
        <v>-318.3733347016987</v>
      </c>
      <c r="BH128" s="10">
        <f t="shared" si="107"/>
        <v>-1657.6934474995803</v>
      </c>
      <c r="BI128" s="10">
        <f t="shared" si="108"/>
        <v>-605.47122527735803</v>
      </c>
      <c r="BJ128" s="10">
        <f t="shared" si="109"/>
        <v>-155.6</v>
      </c>
      <c r="BK128" s="10">
        <f t="shared" si="110"/>
        <v>-115.841219614523</v>
      </c>
      <c r="BL128" s="10">
        <f t="shared" si="111"/>
        <v>-271.44121961452299</v>
      </c>
      <c r="BM128" s="10">
        <f t="shared" si="112"/>
        <v>-20.286387302229187</v>
      </c>
      <c r="BN128" s="10">
        <f t="shared" si="113"/>
        <v>26.832000000000001</v>
      </c>
      <c r="BO128" s="10">
        <f t="shared" si="114"/>
        <v>-870.36683219411009</v>
      </c>
      <c r="BP128" s="10">
        <f t="shared" si="115"/>
        <v>-84.44583057427225</v>
      </c>
      <c r="BQ128" s="10">
        <f t="shared" si="116"/>
        <v>-954.81266276838244</v>
      </c>
      <c r="BR128" s="10">
        <f t="shared" si="117"/>
        <v>62.600417186886411</v>
      </c>
      <c r="BS128" s="10">
        <f t="shared" si="118"/>
        <v>-807.76641500722371</v>
      </c>
    </row>
    <row r="129" spans="2:71" hidden="1">
      <c r="B129" s="7"/>
      <c r="C129" s="29" t="s">
        <v>705</v>
      </c>
      <c r="D129" s="25" t="s">
        <v>686</v>
      </c>
      <c r="E129" s="98">
        <v>112</v>
      </c>
      <c r="F129" s="98">
        <v>46154</v>
      </c>
      <c r="G129" s="99">
        <v>112</v>
      </c>
      <c r="H129" s="27" t="s">
        <v>34</v>
      </c>
      <c r="I129" s="27" t="s">
        <v>116</v>
      </c>
      <c r="J129" s="7" t="s">
        <v>712</v>
      </c>
      <c r="K129" s="7" t="s">
        <v>118</v>
      </c>
      <c r="L129" s="7" t="s">
        <v>119</v>
      </c>
      <c r="M129" s="21" t="s">
        <v>43</v>
      </c>
      <c r="N129" s="7" t="s">
        <v>129</v>
      </c>
      <c r="O129" s="20">
        <v>1250</v>
      </c>
      <c r="P129" s="59">
        <v>140000</v>
      </c>
      <c r="Q129" s="20">
        <v>1093.7053571428571</v>
      </c>
      <c r="R129" s="30">
        <v>17505</v>
      </c>
      <c r="S129" s="32">
        <v>122495</v>
      </c>
      <c r="T129" s="63">
        <v>5</v>
      </c>
      <c r="U129" s="57" t="s">
        <v>737</v>
      </c>
      <c r="V129" s="141" t="s">
        <v>747</v>
      </c>
      <c r="W129" s="60"/>
      <c r="X129" s="4"/>
      <c r="Y129" s="4" t="s">
        <v>867</v>
      </c>
      <c r="Z129" s="7">
        <v>10005779</v>
      </c>
      <c r="AA129" s="7"/>
      <c r="AB129" s="7"/>
      <c r="AC129" s="20">
        <f t="shared" si="153"/>
        <v>1657.6934474995803</v>
      </c>
      <c r="AD129" s="44">
        <f>IFERROR(INDEX('Costos Producción Febrero'!$G$34:$G$57,MATCH(Resumen!Z129,'Costos Producción Febrero'!$B$34:$B$57,0))*AC129*G129,0)</f>
        <v>107795.30309490552</v>
      </c>
      <c r="AE129" s="44">
        <f>IFERROR(INDEX('Costos Producción Febrero'!$H$34:$H$57,MATCH(Resumen!Z129,'Costos Producción Febrero'!$B$34:$B$57,0))*AC129*G129,0)</f>
        <v>41022.672008471476</v>
      </c>
      <c r="AF129" s="44">
        <f>IFERROR(INDEX('Costos Producción Febrero'!$I$34:$I$57,MATCH(Resumen!Z129,'Costos Producción Febrero'!$B$34:$B$57,0))*AC129*G129,0)</f>
        <v>1185.8775299857398</v>
      </c>
      <c r="AG129" s="44">
        <f>IFERROR(INDEX('Costos Producción Febrero'!$J$34:$J$57,MATCH(Resumen!Z129,'Costos Producción Febrero'!$B$34:$B$57,0))*AC129*G129,0)</f>
        <v>35657.813486590254</v>
      </c>
      <c r="AH129" s="44">
        <f t="shared" si="141"/>
        <v>185661.66611995301</v>
      </c>
      <c r="AI129" s="44"/>
      <c r="AJ129" s="44">
        <v>1753.6934474995801</v>
      </c>
      <c r="AK129" s="44"/>
      <c r="AL129" s="43">
        <f t="shared" si="134"/>
        <v>-45661.666119953006</v>
      </c>
      <c r="AM129" s="92">
        <f t="shared" si="135"/>
        <v>-0.32615475799966431</v>
      </c>
      <c r="AN129" s="42">
        <f t="shared" si="142"/>
        <v>17505</v>
      </c>
      <c r="AO129" s="42">
        <v>0</v>
      </c>
      <c r="AP129" s="42">
        <f t="shared" si="146"/>
        <v>12974.216596826576</v>
      </c>
      <c r="AQ129" s="42">
        <f t="shared" si="143"/>
        <v>30479.216596826576</v>
      </c>
      <c r="AR129" s="42">
        <f t="shared" si="147"/>
        <v>2272.0753778496692</v>
      </c>
      <c r="AS129" s="42">
        <f t="shared" si="144"/>
        <v>3674.85</v>
      </c>
      <c r="AT129" s="43">
        <f t="shared" si="148"/>
        <v>-74738.10809462925</v>
      </c>
      <c r="AU129" s="92">
        <f t="shared" si="149"/>
        <v>-0.53384362924735174</v>
      </c>
      <c r="AV129" s="42">
        <f t="shared" si="150"/>
        <v>9457.9330243184922</v>
      </c>
      <c r="AW129" s="43">
        <f t="shared" si="128"/>
        <v>-84196.041118947745</v>
      </c>
      <c r="AX129" s="92">
        <f t="shared" si="139"/>
        <v>-0.60140029370676962</v>
      </c>
      <c r="AY129" s="42">
        <f t="shared" si="151"/>
        <v>7011.2467249312785</v>
      </c>
      <c r="AZ129" s="43">
        <f t="shared" si="129"/>
        <v>-67726.861369697974</v>
      </c>
      <c r="BA129" s="92">
        <f t="shared" si="140"/>
        <v>-0.48376329549784269</v>
      </c>
      <c r="BC129" s="10">
        <f t="shared" si="102"/>
        <v>1250</v>
      </c>
      <c r="BD129" s="10">
        <f t="shared" si="103"/>
        <v>-962.45806334737074</v>
      </c>
      <c r="BE129" s="10">
        <f t="shared" si="104"/>
        <v>-366.27385721849532</v>
      </c>
      <c r="BF129" s="10">
        <f t="shared" si="105"/>
        <v>-10.588192232015533</v>
      </c>
      <c r="BG129" s="10">
        <f t="shared" si="106"/>
        <v>-318.3733347016987</v>
      </c>
      <c r="BH129" s="10">
        <f t="shared" si="107"/>
        <v>-1657.6934474995803</v>
      </c>
      <c r="BI129" s="10">
        <f t="shared" si="108"/>
        <v>-407.69344749958043</v>
      </c>
      <c r="BJ129" s="10">
        <f t="shared" si="109"/>
        <v>-156.29464285714286</v>
      </c>
      <c r="BK129" s="10">
        <f t="shared" si="110"/>
        <v>-115.841219614523</v>
      </c>
      <c r="BL129" s="10">
        <f t="shared" si="111"/>
        <v>-272.13586247166586</v>
      </c>
      <c r="BM129" s="10">
        <f t="shared" si="112"/>
        <v>-20.286387302229191</v>
      </c>
      <c r="BN129" s="10">
        <f t="shared" si="113"/>
        <v>32.811160714285712</v>
      </c>
      <c r="BO129" s="10">
        <f t="shared" si="114"/>
        <v>-667.30453655918973</v>
      </c>
      <c r="BP129" s="10">
        <f t="shared" si="115"/>
        <v>-84.44583057427225</v>
      </c>
      <c r="BQ129" s="10">
        <f t="shared" si="116"/>
        <v>-751.75036713346196</v>
      </c>
      <c r="BR129" s="10">
        <f t="shared" si="117"/>
        <v>62.600417186886418</v>
      </c>
      <c r="BS129" s="10">
        <f t="shared" si="118"/>
        <v>-604.70411937230335</v>
      </c>
    </row>
    <row r="130" spans="2:71" hidden="1">
      <c r="B130" s="7"/>
      <c r="C130" s="29" t="s">
        <v>705</v>
      </c>
      <c r="D130" s="25" t="s">
        <v>687</v>
      </c>
      <c r="E130" s="98">
        <v>113</v>
      </c>
      <c r="F130" s="98">
        <v>46157</v>
      </c>
      <c r="G130" s="99">
        <v>48</v>
      </c>
      <c r="H130" s="27" t="s">
        <v>33</v>
      </c>
      <c r="I130" s="27" t="s">
        <v>132</v>
      </c>
      <c r="J130" s="7" t="s">
        <v>713</v>
      </c>
      <c r="K130" s="7" t="s">
        <v>141</v>
      </c>
      <c r="L130" s="7" t="s">
        <v>519</v>
      </c>
      <c r="M130" s="21" t="s">
        <v>43</v>
      </c>
      <c r="N130" s="7" t="s">
        <v>129</v>
      </c>
      <c r="O130" s="20">
        <v>2300</v>
      </c>
      <c r="P130" s="59">
        <v>107640</v>
      </c>
      <c r="Q130" s="20">
        <v>2166.625</v>
      </c>
      <c r="R130" s="30">
        <v>6402</v>
      </c>
      <c r="S130" s="32">
        <v>103998</v>
      </c>
      <c r="T130" s="63">
        <v>2</v>
      </c>
      <c r="U130" s="57" t="s">
        <v>748</v>
      </c>
      <c r="V130" s="141" t="s">
        <v>749</v>
      </c>
      <c r="W130" s="60"/>
      <c r="X130" s="4"/>
      <c r="Y130" s="4" t="s">
        <v>867</v>
      </c>
      <c r="Z130" s="7">
        <v>10005721</v>
      </c>
      <c r="AA130" s="7"/>
      <c r="AB130" s="7"/>
      <c r="AC130" s="20">
        <f t="shared" si="153"/>
        <v>2040.6867833638698</v>
      </c>
      <c r="AD130" s="44">
        <f>IFERROR(INDEX('Costos Producción Febrero'!$G$34:$G$57,MATCH(Resumen!Z130,'Costos Producción Febrero'!$B$34:$B$57,0))*AC130*G130,0)</f>
        <v>59487.904984951601</v>
      </c>
      <c r="AE130" s="44">
        <f>IFERROR(INDEX('Costos Producción Febrero'!$H$34:$H$57,MATCH(Resumen!Z130,'Costos Producción Febrero'!$B$34:$B$57,0))*AC130*G130,0)</f>
        <v>17431.191197980712</v>
      </c>
      <c r="AF130" s="44">
        <f>IFERROR(INDEX('Costos Producción Febrero'!$I$34:$I$57,MATCH(Resumen!Z130,'Costos Producción Febrero'!$B$34:$B$57,0))*AC130*G130,0)</f>
        <v>1067.8740085039128</v>
      </c>
      <c r="AG130" s="44">
        <f>IFERROR(INDEX('Costos Producción Febrero'!$J$34:$J$57,MATCH(Resumen!Z130,'Costos Producción Febrero'!$B$34:$B$57,0))*AC130*G130,0)</f>
        <v>19965.995410029522</v>
      </c>
      <c r="AH130" s="44">
        <f t="shared" si="141"/>
        <v>97952.965601465752</v>
      </c>
      <c r="AI130" s="44"/>
      <c r="AJ130" s="44">
        <v>2136.6867833638698</v>
      </c>
      <c r="AK130" s="44"/>
      <c r="AL130" s="43">
        <f t="shared" si="134"/>
        <v>9687.0343985342479</v>
      </c>
      <c r="AM130" s="92">
        <f t="shared" si="135"/>
        <v>8.9994745434171755E-2</v>
      </c>
      <c r="AN130" s="42">
        <f t="shared" si="142"/>
        <v>6402</v>
      </c>
      <c r="AO130" s="42">
        <v>0</v>
      </c>
      <c r="AP130" s="42">
        <f t="shared" si="146"/>
        <v>5560.3785414971044</v>
      </c>
      <c r="AQ130" s="42">
        <f t="shared" si="143"/>
        <v>11962.378541497104</v>
      </c>
      <c r="AR130" s="42">
        <f t="shared" si="147"/>
        <v>973.74659050700097</v>
      </c>
      <c r="AS130" s="42">
        <f t="shared" si="144"/>
        <v>3119.94</v>
      </c>
      <c r="AT130" s="43">
        <f t="shared" si="148"/>
        <v>-129.15073346985764</v>
      </c>
      <c r="AU130" s="92">
        <f t="shared" si="149"/>
        <v>-1.199839590020974E-3</v>
      </c>
      <c r="AV130" s="42">
        <f t="shared" si="150"/>
        <v>4053.3998675650682</v>
      </c>
      <c r="AW130" s="43">
        <f t="shared" si="128"/>
        <v>-4182.5506010349254</v>
      </c>
      <c r="AX130" s="92">
        <f t="shared" si="139"/>
        <v>-3.8856843190588304E-2</v>
      </c>
      <c r="AY130" s="42">
        <f t="shared" si="151"/>
        <v>3004.8200249705478</v>
      </c>
      <c r="AZ130" s="43">
        <f t="shared" si="129"/>
        <v>2875.6692915006902</v>
      </c>
      <c r="BA130" s="92">
        <f t="shared" si="140"/>
        <v>2.6715619579159144E-2</v>
      </c>
      <c r="BC130" s="10">
        <f t="shared" si="102"/>
        <v>2242.5</v>
      </c>
      <c r="BD130" s="10">
        <f t="shared" si="103"/>
        <v>-1239.3313538531584</v>
      </c>
      <c r="BE130" s="10">
        <f t="shared" si="104"/>
        <v>-363.14981662459815</v>
      </c>
      <c r="BF130" s="10">
        <f t="shared" si="105"/>
        <v>-22.247375177164852</v>
      </c>
      <c r="BG130" s="10">
        <f t="shared" si="106"/>
        <v>-415.95823770894839</v>
      </c>
      <c r="BH130" s="10">
        <f t="shared" si="107"/>
        <v>-2040.6867833638698</v>
      </c>
      <c r="BI130" s="10">
        <f t="shared" si="108"/>
        <v>201.81321663613016</v>
      </c>
      <c r="BJ130" s="10">
        <f t="shared" si="109"/>
        <v>-133.375</v>
      </c>
      <c r="BK130" s="10">
        <f t="shared" si="110"/>
        <v>-115.84121961452301</v>
      </c>
      <c r="BL130" s="10">
        <f t="shared" si="111"/>
        <v>-249.216219614523</v>
      </c>
      <c r="BM130" s="10">
        <f t="shared" si="112"/>
        <v>-20.286387302229187</v>
      </c>
      <c r="BN130" s="10">
        <f t="shared" si="113"/>
        <v>64.998750000000001</v>
      </c>
      <c r="BO130" s="10">
        <f t="shared" si="114"/>
        <v>-2.6906402806220342</v>
      </c>
      <c r="BP130" s="10">
        <f t="shared" si="115"/>
        <v>-84.44583057427225</v>
      </c>
      <c r="BQ130" s="10">
        <f t="shared" si="116"/>
        <v>-87.136470854894284</v>
      </c>
      <c r="BR130" s="10">
        <f t="shared" si="117"/>
        <v>62.600417186886411</v>
      </c>
      <c r="BS130" s="10">
        <f t="shared" si="118"/>
        <v>59.909776906264376</v>
      </c>
    </row>
    <row r="131" spans="2:71" hidden="1">
      <c r="B131" s="7"/>
      <c r="C131" s="29" t="s">
        <v>705</v>
      </c>
      <c r="D131" s="25" t="s">
        <v>688</v>
      </c>
      <c r="E131" s="98">
        <v>114</v>
      </c>
      <c r="F131" s="98">
        <v>46160</v>
      </c>
      <c r="G131" s="99">
        <v>26</v>
      </c>
      <c r="H131" s="27" t="s">
        <v>669</v>
      </c>
      <c r="I131" s="27" t="s">
        <v>707</v>
      </c>
      <c r="J131" s="7"/>
      <c r="K131" s="7" t="s">
        <v>161</v>
      </c>
      <c r="L131" s="7" t="s">
        <v>147</v>
      </c>
      <c r="M131" s="21" t="s">
        <v>44</v>
      </c>
      <c r="N131" s="7" t="s">
        <v>214</v>
      </c>
      <c r="O131" s="20">
        <v>1400</v>
      </c>
      <c r="P131" s="59">
        <v>34720</v>
      </c>
      <c r="Q131" s="20">
        <v>1205.7692307692307</v>
      </c>
      <c r="R131" s="30">
        <v>5050</v>
      </c>
      <c r="S131" s="32">
        <v>31350</v>
      </c>
      <c r="T131" s="63">
        <v>1</v>
      </c>
      <c r="U131" s="57" t="s">
        <v>745</v>
      </c>
      <c r="V131" s="141">
        <v>91002009</v>
      </c>
      <c r="W131" s="60"/>
      <c r="X131" s="4"/>
      <c r="Y131" s="4" t="s">
        <v>866</v>
      </c>
      <c r="Z131" s="7"/>
      <c r="AA131" s="7"/>
      <c r="AB131" s="7"/>
      <c r="AC131" s="20">
        <f t="shared" si="152"/>
        <v>0</v>
      </c>
      <c r="AD131" s="44">
        <f>IFERROR(INDEX('Costos Producción Febrero'!$G$34:$G$57,MATCH(Resumen!Z131,'Costos Producción Febrero'!$B$34:$B$57,0))*AC131*G131,0)</f>
        <v>0</v>
      </c>
      <c r="AE131" s="44">
        <f>IFERROR(INDEX('Costos Producción Febrero'!$H$34:$H$57,MATCH(Resumen!Z131,'Costos Producción Febrero'!$B$34:$B$57,0))*AC131*G131,0)</f>
        <v>0</v>
      </c>
      <c r="AF131" s="44">
        <f>IFERROR(INDEX('Costos Producción Febrero'!$I$34:$I$57,MATCH(Resumen!Z131,'Costos Producción Febrero'!$B$34:$B$57,0))*AC131*G131,0)</f>
        <v>0</v>
      </c>
      <c r="AG131" s="44">
        <f>IFERROR(INDEX('Costos Producción Febrero'!$J$34:$J$57,MATCH(Resumen!Z131,'Costos Producción Febrero'!$B$34:$B$57,0))*AC131*G131,0)</f>
        <v>0</v>
      </c>
      <c r="AH131" s="44">
        <f t="shared" si="141"/>
        <v>0</v>
      </c>
      <c r="AI131" s="44"/>
      <c r="AJ131" s="44"/>
      <c r="AK131" s="44"/>
      <c r="AL131" s="43">
        <f t="shared" si="134"/>
        <v>34720</v>
      </c>
      <c r="AM131" s="92">
        <f t="shared" si="135"/>
        <v>1</v>
      </c>
      <c r="AN131" s="42">
        <f t="shared" si="142"/>
        <v>5050</v>
      </c>
      <c r="AO131" s="42">
        <v>0</v>
      </c>
      <c r="AP131" s="42">
        <f t="shared" si="146"/>
        <v>3011.8717099775981</v>
      </c>
      <c r="AQ131" s="42">
        <f t="shared" si="143"/>
        <v>8061.8717099775986</v>
      </c>
      <c r="AR131" s="42">
        <f t="shared" si="147"/>
        <v>527.44606985795883</v>
      </c>
      <c r="AS131" s="42">
        <f t="shared" si="144"/>
        <v>940.5</v>
      </c>
      <c r="AT131" s="43">
        <f t="shared" si="148"/>
        <v>27071.182220164443</v>
      </c>
      <c r="AU131" s="92">
        <f t="shared" si="149"/>
        <v>0.77969994873745518</v>
      </c>
      <c r="AV131" s="42">
        <f t="shared" si="150"/>
        <v>2195.5915949310784</v>
      </c>
      <c r="AW131" s="43">
        <f t="shared" si="128"/>
        <v>24875.590625233366</v>
      </c>
      <c r="AX131" s="92">
        <f t="shared" si="139"/>
        <v>0.71646286362999323</v>
      </c>
      <c r="AY131" s="42">
        <f t="shared" si="151"/>
        <v>1627.6108468590469</v>
      </c>
      <c r="AZ131" s="43">
        <f t="shared" si="129"/>
        <v>28698.793067023489</v>
      </c>
      <c r="BA131" s="92">
        <f t="shared" si="140"/>
        <v>0.82657814133132168</v>
      </c>
      <c r="BC131" s="10">
        <f t="shared" si="102"/>
        <v>1335.3846153846155</v>
      </c>
      <c r="BD131" s="10">
        <f t="shared" si="103"/>
        <v>0</v>
      </c>
      <c r="BE131" s="10">
        <f t="shared" si="104"/>
        <v>0</v>
      </c>
      <c r="BF131" s="10">
        <f t="shared" si="105"/>
        <v>0</v>
      </c>
      <c r="BG131" s="10">
        <f t="shared" si="106"/>
        <v>0</v>
      </c>
      <c r="BH131" s="10">
        <f t="shared" si="107"/>
        <v>0</v>
      </c>
      <c r="BI131" s="10">
        <f t="shared" si="108"/>
        <v>1335.3846153846155</v>
      </c>
      <c r="BJ131" s="10">
        <f t="shared" si="109"/>
        <v>-194.23076923076923</v>
      </c>
      <c r="BK131" s="10">
        <f t="shared" si="110"/>
        <v>-115.841219614523</v>
      </c>
      <c r="BL131" s="10">
        <f t="shared" si="111"/>
        <v>-310.07198884529225</v>
      </c>
      <c r="BM131" s="10">
        <f t="shared" si="112"/>
        <v>-20.286387302229187</v>
      </c>
      <c r="BN131" s="10">
        <f t="shared" si="113"/>
        <v>36.17307692307692</v>
      </c>
      <c r="BO131" s="10">
        <f t="shared" si="114"/>
        <v>1041.1993161601708</v>
      </c>
      <c r="BP131" s="10">
        <f t="shared" si="115"/>
        <v>-84.44583057427225</v>
      </c>
      <c r="BQ131" s="10">
        <f t="shared" si="116"/>
        <v>956.75348558589872</v>
      </c>
      <c r="BR131" s="10">
        <f t="shared" si="117"/>
        <v>62.600417186886418</v>
      </c>
      <c r="BS131" s="10">
        <f t="shared" si="118"/>
        <v>1103.7997333470573</v>
      </c>
    </row>
    <row r="132" spans="2:71" hidden="1">
      <c r="B132" s="7"/>
      <c r="C132" s="29" t="s">
        <v>705</v>
      </c>
      <c r="D132" s="25" t="s">
        <v>689</v>
      </c>
      <c r="E132" s="98">
        <v>45771</v>
      </c>
      <c r="F132" s="98">
        <v>46157</v>
      </c>
      <c r="G132" s="99">
        <v>26</v>
      </c>
      <c r="H132" s="27" t="s">
        <v>34</v>
      </c>
      <c r="I132" s="27" t="s">
        <v>116</v>
      </c>
      <c r="J132" s="7" t="s">
        <v>714</v>
      </c>
      <c r="K132" s="7" t="s">
        <v>118</v>
      </c>
      <c r="L132" s="7" t="s">
        <v>119</v>
      </c>
      <c r="M132" s="21" t="s">
        <v>715</v>
      </c>
      <c r="N132" s="7" t="s">
        <v>716</v>
      </c>
      <c r="O132" s="20">
        <v>1300</v>
      </c>
      <c r="P132" s="59">
        <v>29250</v>
      </c>
      <c r="Q132" s="20">
        <v>1157.6923076923076</v>
      </c>
      <c r="R132" s="30">
        <v>3700</v>
      </c>
      <c r="S132" s="32">
        <v>30100</v>
      </c>
      <c r="T132" s="63">
        <v>1</v>
      </c>
      <c r="U132" s="57" t="s">
        <v>738</v>
      </c>
      <c r="V132" s="141">
        <v>6500435880</v>
      </c>
      <c r="W132" s="60"/>
      <c r="X132" s="4"/>
      <c r="Y132" s="4" t="s">
        <v>867</v>
      </c>
      <c r="Z132" s="7">
        <v>10005779</v>
      </c>
      <c r="AA132" s="7"/>
      <c r="AB132" s="7"/>
      <c r="AC132" s="20">
        <f t="shared" ref="AC132:AC136" si="154">AJ132-47.35-5.32-43.33</f>
        <v>1657.6934474995803</v>
      </c>
      <c r="AD132" s="44">
        <f>IFERROR(INDEX('Costos Producción Febrero'!$G$34:$G$57,MATCH(Resumen!Z132,'Costos Producción Febrero'!$B$34:$B$57,0))*AC132*G132,0)</f>
        <v>25023.90964703164</v>
      </c>
      <c r="AE132" s="44">
        <f>IFERROR(INDEX('Costos Producción Febrero'!$H$34:$H$57,MATCH(Resumen!Z132,'Costos Producción Febrero'!$B$34:$B$57,0))*AC132*G132,0)</f>
        <v>9523.1202876808784</v>
      </c>
      <c r="AF132" s="44">
        <f>IFERROR(INDEX('Costos Producción Febrero'!$I$34:$I$57,MATCH(Resumen!Z132,'Costos Producción Febrero'!$B$34:$B$57,0))*AC132*G132,0)</f>
        <v>275.29299803240389</v>
      </c>
      <c r="AG132" s="44">
        <f>IFERROR(INDEX('Costos Producción Febrero'!$J$34:$J$57,MATCH(Resumen!Z132,'Costos Producción Febrero'!$B$34:$B$57,0))*AC132*G132,0)</f>
        <v>8277.7067022441661</v>
      </c>
      <c r="AH132" s="44">
        <f t="shared" si="141"/>
        <v>43100.029634989085</v>
      </c>
      <c r="AI132" s="44"/>
      <c r="AJ132" s="44">
        <v>1753.6934474995801</v>
      </c>
      <c r="AK132" s="44"/>
      <c r="AL132" s="43">
        <f t="shared" si="134"/>
        <v>-13850.029634989085</v>
      </c>
      <c r="AM132" s="92">
        <f t="shared" si="135"/>
        <v>-0.47350528666629349</v>
      </c>
      <c r="AN132" s="42">
        <f t="shared" si="142"/>
        <v>3700</v>
      </c>
      <c r="AO132" s="42">
        <v>0</v>
      </c>
      <c r="AP132" s="42">
        <f t="shared" si="146"/>
        <v>3011.8717099775981</v>
      </c>
      <c r="AQ132" s="42">
        <f t="shared" si="143"/>
        <v>6711.8717099775986</v>
      </c>
      <c r="AR132" s="42">
        <f t="shared" si="147"/>
        <v>527.44606985795883</v>
      </c>
      <c r="AS132" s="42">
        <f t="shared" si="144"/>
        <v>903</v>
      </c>
      <c r="AT132" s="43">
        <f t="shared" si="148"/>
        <v>-20186.347414824642</v>
      </c>
      <c r="AU132" s="92">
        <f t="shared" si="149"/>
        <v>-0.69013153554956042</v>
      </c>
      <c r="AV132" s="42">
        <f t="shared" si="150"/>
        <v>2195.5915949310784</v>
      </c>
      <c r="AW132" s="43">
        <f t="shared" si="128"/>
        <v>-22381.939009755719</v>
      </c>
      <c r="AX132" s="92">
        <f t="shared" si="139"/>
        <v>-0.76519449606002454</v>
      </c>
      <c r="AY132" s="42">
        <f t="shared" si="151"/>
        <v>1627.6108468590469</v>
      </c>
      <c r="AZ132" s="43">
        <f t="shared" si="129"/>
        <v>-18558.736567965596</v>
      </c>
      <c r="BA132" s="92">
        <f t="shared" si="140"/>
        <v>-0.63448672027232811</v>
      </c>
      <c r="BC132" s="10">
        <f t="shared" si="102"/>
        <v>1125</v>
      </c>
      <c r="BD132" s="10">
        <f t="shared" si="103"/>
        <v>-962.45806334737074</v>
      </c>
      <c r="BE132" s="10">
        <f t="shared" si="104"/>
        <v>-366.27385721849532</v>
      </c>
      <c r="BF132" s="10">
        <f t="shared" si="105"/>
        <v>-10.588192232015533</v>
      </c>
      <c r="BG132" s="10">
        <f t="shared" si="106"/>
        <v>-318.3733347016987</v>
      </c>
      <c r="BH132" s="10">
        <f t="shared" si="107"/>
        <v>-1657.6934474995801</v>
      </c>
      <c r="BI132" s="10">
        <f t="shared" si="108"/>
        <v>-532.6934474995802</v>
      </c>
      <c r="BJ132" s="10">
        <f t="shared" si="109"/>
        <v>-142.30769230769232</v>
      </c>
      <c r="BK132" s="10">
        <f t="shared" si="110"/>
        <v>-115.841219614523</v>
      </c>
      <c r="BL132" s="10">
        <f t="shared" si="111"/>
        <v>-258.14891192221535</v>
      </c>
      <c r="BM132" s="10">
        <f t="shared" si="112"/>
        <v>-20.286387302229187</v>
      </c>
      <c r="BN132" s="10">
        <f t="shared" si="113"/>
        <v>34.730769230769234</v>
      </c>
      <c r="BO132" s="10">
        <f t="shared" si="114"/>
        <v>-776.39797749325544</v>
      </c>
      <c r="BP132" s="10">
        <f t="shared" si="115"/>
        <v>-84.44583057427225</v>
      </c>
      <c r="BQ132" s="10">
        <f t="shared" si="116"/>
        <v>-860.84380806752768</v>
      </c>
      <c r="BR132" s="10">
        <f t="shared" si="117"/>
        <v>62.600417186886418</v>
      </c>
      <c r="BS132" s="10">
        <f t="shared" si="118"/>
        <v>-713.79756030636906</v>
      </c>
    </row>
    <row r="133" spans="2:71" hidden="1">
      <c r="B133" s="7"/>
      <c r="C133" s="29" t="s">
        <v>705</v>
      </c>
      <c r="D133" s="25" t="s">
        <v>690</v>
      </c>
      <c r="E133" s="98">
        <v>120</v>
      </c>
      <c r="F133" s="98">
        <v>46164</v>
      </c>
      <c r="G133" s="99">
        <v>54</v>
      </c>
      <c r="H133" s="27" t="s">
        <v>31</v>
      </c>
      <c r="I133" s="27" t="s">
        <v>107</v>
      </c>
      <c r="J133" s="7" t="s">
        <v>717</v>
      </c>
      <c r="K133" s="7" t="s">
        <v>171</v>
      </c>
      <c r="L133" s="7" t="s">
        <v>202</v>
      </c>
      <c r="M133" s="21" t="s">
        <v>718</v>
      </c>
      <c r="N133" s="7" t="s">
        <v>719</v>
      </c>
      <c r="O133" s="20">
        <v>3050</v>
      </c>
      <c r="P133" s="59">
        <v>164700</v>
      </c>
      <c r="Q133" s="20">
        <v>2931.4444444444443</v>
      </c>
      <c r="R133" s="30">
        <v>6402</v>
      </c>
      <c r="S133" s="32">
        <v>158298</v>
      </c>
      <c r="T133" s="63">
        <v>2</v>
      </c>
      <c r="U133" s="57" t="s">
        <v>739</v>
      </c>
      <c r="V133" s="141" t="s">
        <v>750</v>
      </c>
      <c r="W133" s="60"/>
      <c r="X133" s="4"/>
      <c r="Y133" s="4" t="s">
        <v>867</v>
      </c>
      <c r="Z133" s="7">
        <v>10007162</v>
      </c>
      <c r="AA133" s="7"/>
      <c r="AB133" s="7"/>
      <c r="AC133" s="20">
        <f t="shared" si="154"/>
        <v>1786.1795185638503</v>
      </c>
      <c r="AD133" s="44">
        <f>IFERROR(INDEX('Costos Producción Febrero'!$G$34:$G$57,MATCH(Resumen!Z133,'Costos Producción Febrero'!$B$34:$B$57,0))*AC133*G133,0)</f>
        <v>59140.645355833178</v>
      </c>
      <c r="AE133" s="44">
        <f>IFERROR(INDEX('Costos Producción Febrero'!$H$34:$H$57,MATCH(Resumen!Z133,'Costos Producción Febrero'!$B$34:$B$57,0))*AC133*G133,0)</f>
        <v>16791.208615738247</v>
      </c>
      <c r="AF133" s="44">
        <f>IFERROR(INDEX('Costos Producción Febrero'!$I$34:$I$57,MATCH(Resumen!Z133,'Costos Producción Febrero'!$B$34:$B$57,0))*AC133*G133,0)</f>
        <v>894.18265731382598</v>
      </c>
      <c r="AG133" s="44">
        <f>IFERROR(INDEX('Costos Producción Febrero'!$J$34:$J$57,MATCH(Resumen!Z133,'Costos Producción Febrero'!$B$34:$B$57,0))*AC133*G133,0)</f>
        <v>19627.657373562659</v>
      </c>
      <c r="AH133" s="44">
        <f t="shared" si="141"/>
        <v>96453.694002447912</v>
      </c>
      <c r="AI133" s="44"/>
      <c r="AJ133" s="44">
        <v>1882.17951856385</v>
      </c>
      <c r="AK133" s="44"/>
      <c r="AL133" s="43">
        <f t="shared" si="134"/>
        <v>68246.305997552088</v>
      </c>
      <c r="AM133" s="92">
        <f t="shared" si="135"/>
        <v>0.41436737096267207</v>
      </c>
      <c r="AN133" s="42">
        <f t="shared" si="142"/>
        <v>6402</v>
      </c>
      <c r="AO133" s="42">
        <v>0</v>
      </c>
      <c r="AP133" s="42">
        <f t="shared" si="146"/>
        <v>6255.4258591842417</v>
      </c>
      <c r="AQ133" s="42">
        <f t="shared" si="143"/>
        <v>12657.425859184241</v>
      </c>
      <c r="AR133" s="42">
        <f t="shared" si="147"/>
        <v>1095.464914320376</v>
      </c>
      <c r="AS133" s="42">
        <f t="shared" si="144"/>
        <v>4748.9399999999996</v>
      </c>
      <c r="AT133" s="43">
        <f t="shared" si="148"/>
        <v>59242.355224047475</v>
      </c>
      <c r="AU133" s="92">
        <f t="shared" si="149"/>
        <v>0.35969857452366411</v>
      </c>
      <c r="AV133" s="42">
        <f t="shared" si="150"/>
        <v>4560.0748510107014</v>
      </c>
      <c r="AW133" s="43">
        <f t="shared" si="128"/>
        <v>54682.280373036774</v>
      </c>
      <c r="AX133" s="92">
        <f t="shared" si="139"/>
        <v>0.33201141695832892</v>
      </c>
      <c r="AY133" s="42">
        <f t="shared" si="151"/>
        <v>3380.4225280918668</v>
      </c>
      <c r="AZ133" s="43">
        <f t="shared" si="129"/>
        <v>62622.777752139344</v>
      </c>
      <c r="BA133" s="92">
        <f t="shared" si="140"/>
        <v>0.38022330147018424</v>
      </c>
      <c r="BC133" s="10">
        <f t="shared" ref="BC133:BC194" si="155">P133/$G133</f>
        <v>3050</v>
      </c>
      <c r="BD133" s="10">
        <f t="shared" ref="BD133:BD194" si="156">-AD133/$G133</f>
        <v>-1095.197136219133</v>
      </c>
      <c r="BE133" s="10">
        <f t="shared" ref="BE133:BE194" si="157">-AE133/$G133</f>
        <v>-310.94830769885641</v>
      </c>
      <c r="BF133" s="10">
        <f t="shared" ref="BF133:BF194" si="158">-AF133/$G133</f>
        <v>-16.558938098404184</v>
      </c>
      <c r="BG133" s="10">
        <f t="shared" ref="BG133:BG194" si="159">-AG133/$G133</f>
        <v>-363.47513654745666</v>
      </c>
      <c r="BH133" s="10">
        <f t="shared" ref="BH133:BH194" si="160">-AH133/$G133</f>
        <v>-1786.1795185638503</v>
      </c>
      <c r="BI133" s="10">
        <f t="shared" ref="BI133:BI194" si="161">AL133/$G133</f>
        <v>1263.8204814361497</v>
      </c>
      <c r="BJ133" s="10">
        <f t="shared" ref="BJ133:BJ194" si="162">-AN133/$G133</f>
        <v>-118.55555555555556</v>
      </c>
      <c r="BK133" s="10">
        <f t="shared" ref="BK133:BK194" si="163">-AP133/$G133</f>
        <v>-115.841219614523</v>
      </c>
      <c r="BL133" s="10">
        <f t="shared" ref="BL133:BL194" si="164">-AQ133/$G133</f>
        <v>-234.39677517007854</v>
      </c>
      <c r="BM133" s="10">
        <f t="shared" ref="BM133:BM194" si="165">-AR133/$G133</f>
        <v>-20.286387302229187</v>
      </c>
      <c r="BN133" s="10">
        <f t="shared" ref="BN133:BN194" si="166">AS133/$G133</f>
        <v>87.943333333333328</v>
      </c>
      <c r="BO133" s="10">
        <f t="shared" ref="BO133:BO194" si="167">AT133/$G133</f>
        <v>1097.0806522971754</v>
      </c>
      <c r="BP133" s="10">
        <f t="shared" ref="BP133:BP194" si="168">-AV133/$G133</f>
        <v>-84.44583057427225</v>
      </c>
      <c r="BQ133" s="10">
        <f t="shared" ref="BQ133:BQ194" si="169">AW133/$G133</f>
        <v>1012.6348217229032</v>
      </c>
      <c r="BR133" s="10">
        <f t="shared" ref="BR133:BR194" si="170">AY133/$G133</f>
        <v>62.600417186886425</v>
      </c>
      <c r="BS133" s="10">
        <f t="shared" ref="BS133:BS194" si="171">AZ133/$G133</f>
        <v>1159.6810694840619</v>
      </c>
    </row>
    <row r="134" spans="2:71" hidden="1">
      <c r="B134" s="7"/>
      <c r="C134" s="29" t="s">
        <v>705</v>
      </c>
      <c r="D134" s="25" t="s">
        <v>691</v>
      </c>
      <c r="E134" s="98">
        <v>120</v>
      </c>
      <c r="F134" s="98">
        <v>46170</v>
      </c>
      <c r="G134" s="99">
        <v>27</v>
      </c>
      <c r="H134" s="27" t="s">
        <v>31</v>
      </c>
      <c r="I134" s="27" t="s">
        <v>107</v>
      </c>
      <c r="J134" s="7" t="s">
        <v>720</v>
      </c>
      <c r="K134" s="7" t="s">
        <v>171</v>
      </c>
      <c r="L134" s="7" t="s">
        <v>243</v>
      </c>
      <c r="M134" s="21" t="s">
        <v>721</v>
      </c>
      <c r="N134" s="7" t="s">
        <v>722</v>
      </c>
      <c r="O134" s="20">
        <v>3100</v>
      </c>
      <c r="P134" s="59">
        <v>83700</v>
      </c>
      <c r="Q134" s="20">
        <v>2981.4814814814813</v>
      </c>
      <c r="R134" s="30">
        <v>3200</v>
      </c>
      <c r="S134" s="32">
        <v>80500</v>
      </c>
      <c r="T134" s="63">
        <v>1</v>
      </c>
      <c r="U134" s="57" t="s">
        <v>739</v>
      </c>
      <c r="V134" s="141">
        <v>6501720400</v>
      </c>
      <c r="W134" s="60"/>
      <c r="X134" s="4"/>
      <c r="Y134" s="4" t="s">
        <v>867</v>
      </c>
      <c r="Z134" s="7">
        <v>10007162</v>
      </c>
      <c r="AA134" s="7"/>
      <c r="AB134" s="7"/>
      <c r="AC134" s="20">
        <f t="shared" si="154"/>
        <v>1786.1795185638503</v>
      </c>
      <c r="AD134" s="44">
        <f>IFERROR(INDEX('Costos Producción Febrero'!$G$34:$G$57,MATCH(Resumen!Z134,'Costos Producción Febrero'!$B$34:$B$57,0))*AC134*G134,0)</f>
        <v>29570.322677916589</v>
      </c>
      <c r="AE134" s="44">
        <f>IFERROR(INDEX('Costos Producción Febrero'!$H$34:$H$57,MATCH(Resumen!Z134,'Costos Producción Febrero'!$B$34:$B$57,0))*AC134*G134,0)</f>
        <v>8395.6043078691237</v>
      </c>
      <c r="AF134" s="44">
        <f>IFERROR(INDEX('Costos Producción Febrero'!$I$34:$I$57,MATCH(Resumen!Z134,'Costos Producción Febrero'!$B$34:$B$57,0))*AC134*G134,0)</f>
        <v>447.09132865691299</v>
      </c>
      <c r="AG134" s="44">
        <f>IFERROR(INDEX('Costos Producción Febrero'!$J$34:$J$57,MATCH(Resumen!Z134,'Costos Producción Febrero'!$B$34:$B$57,0))*AC134*G134,0)</f>
        <v>9813.8286867813295</v>
      </c>
      <c r="AH134" s="44">
        <f t="shared" si="141"/>
        <v>48226.847001223956</v>
      </c>
      <c r="AI134" s="44"/>
      <c r="AJ134" s="44">
        <v>1882.17951856385</v>
      </c>
      <c r="AK134" s="44"/>
      <c r="AL134" s="43">
        <f t="shared" si="134"/>
        <v>35473.152998776044</v>
      </c>
      <c r="AM134" s="92">
        <f t="shared" si="135"/>
        <v>0.42381305852779028</v>
      </c>
      <c r="AN134" s="42">
        <f t="shared" si="142"/>
        <v>3200</v>
      </c>
      <c r="AO134" s="42">
        <v>0</v>
      </c>
      <c r="AP134" s="42">
        <f t="shared" si="146"/>
        <v>3127.7129295921209</v>
      </c>
      <c r="AQ134" s="42">
        <f t="shared" si="143"/>
        <v>6327.7129295921204</v>
      </c>
      <c r="AR134" s="42">
        <f t="shared" si="147"/>
        <v>547.73245716018801</v>
      </c>
      <c r="AS134" s="42">
        <f t="shared" si="144"/>
        <v>2415</v>
      </c>
      <c r="AT134" s="43">
        <f t="shared" si="148"/>
        <v>31012.707612023736</v>
      </c>
      <c r="AU134" s="92">
        <f t="shared" si="149"/>
        <v>0.37052219369203987</v>
      </c>
      <c r="AV134" s="42">
        <f t="shared" si="150"/>
        <v>2280.0374255053507</v>
      </c>
      <c r="AW134" s="43">
        <f t="shared" si="128"/>
        <v>28732.670186518386</v>
      </c>
      <c r="AX134" s="92">
        <f t="shared" si="139"/>
        <v>0.34328160318421008</v>
      </c>
      <c r="AY134" s="42">
        <f t="shared" si="151"/>
        <v>1690.2112640459334</v>
      </c>
      <c r="AZ134" s="43">
        <f t="shared" si="129"/>
        <v>32702.918876069671</v>
      </c>
      <c r="BA134" s="92">
        <f t="shared" si="140"/>
        <v>0.39071587665555163</v>
      </c>
      <c r="BC134" s="10">
        <f t="shared" si="155"/>
        <v>3100</v>
      </c>
      <c r="BD134" s="10">
        <f t="shared" si="156"/>
        <v>-1095.197136219133</v>
      </c>
      <c r="BE134" s="10">
        <f t="shared" si="157"/>
        <v>-310.94830769885641</v>
      </c>
      <c r="BF134" s="10">
        <f t="shared" si="158"/>
        <v>-16.558938098404184</v>
      </c>
      <c r="BG134" s="10">
        <f t="shared" si="159"/>
        <v>-363.47513654745666</v>
      </c>
      <c r="BH134" s="10">
        <f t="shared" si="160"/>
        <v>-1786.1795185638503</v>
      </c>
      <c r="BI134" s="10">
        <f t="shared" si="161"/>
        <v>1313.8204814361497</v>
      </c>
      <c r="BJ134" s="10">
        <f t="shared" si="162"/>
        <v>-118.51851851851852</v>
      </c>
      <c r="BK134" s="10">
        <f t="shared" si="163"/>
        <v>-115.841219614523</v>
      </c>
      <c r="BL134" s="10">
        <f t="shared" si="164"/>
        <v>-234.3597381330415</v>
      </c>
      <c r="BM134" s="10">
        <f t="shared" si="165"/>
        <v>-20.286387302229187</v>
      </c>
      <c r="BN134" s="10">
        <f t="shared" si="166"/>
        <v>89.444444444444443</v>
      </c>
      <c r="BO134" s="10">
        <f t="shared" si="167"/>
        <v>1148.6188004453236</v>
      </c>
      <c r="BP134" s="10">
        <f t="shared" si="168"/>
        <v>-84.44583057427225</v>
      </c>
      <c r="BQ134" s="10">
        <f t="shared" si="169"/>
        <v>1064.1729698710512</v>
      </c>
      <c r="BR134" s="10">
        <f t="shared" si="170"/>
        <v>62.600417186886425</v>
      </c>
      <c r="BS134" s="10">
        <f t="shared" si="171"/>
        <v>1211.2192176322101</v>
      </c>
    </row>
    <row r="135" spans="2:71" hidden="1">
      <c r="B135" s="7"/>
      <c r="C135" s="29" t="s">
        <v>705</v>
      </c>
      <c r="D135" s="25" t="s">
        <v>692</v>
      </c>
      <c r="E135" s="98">
        <v>122</v>
      </c>
      <c r="F135" s="98">
        <v>46164</v>
      </c>
      <c r="G135" s="99">
        <v>108</v>
      </c>
      <c r="H135" s="27" t="s">
        <v>495</v>
      </c>
      <c r="I135" s="27" t="s">
        <v>201</v>
      </c>
      <c r="J135" s="7"/>
      <c r="K135" s="7" t="s">
        <v>292</v>
      </c>
      <c r="L135" s="7" t="s">
        <v>172</v>
      </c>
      <c r="M135" s="21" t="s">
        <v>47</v>
      </c>
      <c r="N135" s="7" t="s">
        <v>191</v>
      </c>
      <c r="O135" s="20">
        <v>3900</v>
      </c>
      <c r="P135" s="59">
        <v>421200</v>
      </c>
      <c r="Q135" s="20">
        <v>3846.2962962962961</v>
      </c>
      <c r="R135" s="30">
        <v>5800</v>
      </c>
      <c r="S135" s="32">
        <v>415400</v>
      </c>
      <c r="T135" s="63">
        <v>2</v>
      </c>
      <c r="U135" s="57" t="s">
        <v>739</v>
      </c>
      <c r="V135" s="141">
        <v>6452679230</v>
      </c>
      <c r="W135" s="60"/>
      <c r="X135" s="4"/>
      <c r="Y135" s="4" t="s">
        <v>868</v>
      </c>
      <c r="Z135" s="7">
        <v>10009239</v>
      </c>
      <c r="AA135" s="7"/>
      <c r="AB135" s="7"/>
      <c r="AC135" s="20">
        <f t="shared" si="154"/>
        <v>3345.6816659973501</v>
      </c>
      <c r="AD135" s="44">
        <f>IFERROR(INDEX('Costos Producción Febrero'!$G$34:$G$57,MATCH(Resumen!Z135,'Costos Producción Febrero'!$B$34:$B$57,0))*AC135*G135,0)</f>
        <v>177688.59843351107</v>
      </c>
      <c r="AE135" s="44">
        <f>IFERROR(INDEX('Costos Producción Febrero'!$H$34:$H$57,MATCH(Resumen!Z135,'Costos Producción Febrero'!$B$34:$B$57,0))*AC135*G135,0)</f>
        <v>115843.16340353203</v>
      </c>
      <c r="AF135" s="44">
        <f>IFERROR(INDEX('Costos Producción Febrero'!$I$34:$I$57,MATCH(Resumen!Z135,'Costos Producción Febrero'!$B$34:$B$57,0))*AC135*G135,0)</f>
        <v>2121.4920770168642</v>
      </c>
      <c r="AG135" s="44">
        <f>IFERROR(INDEX('Costos Producción Febrero'!$J$34:$J$57,MATCH(Resumen!Z135,'Costos Producción Febrero'!$B$34:$B$57,0))*AC135*G135,0)</f>
        <v>65680.366013653911</v>
      </c>
      <c r="AH135" s="44">
        <f t="shared" si="141"/>
        <v>361333.61992771388</v>
      </c>
      <c r="AI135" s="44"/>
      <c r="AJ135" s="44">
        <v>3441.6816659973501</v>
      </c>
      <c r="AK135" s="44"/>
      <c r="AL135" s="43">
        <f t="shared" si="134"/>
        <v>59866.38007228612</v>
      </c>
      <c r="AM135" s="92">
        <f t="shared" si="135"/>
        <v>0.14213290615452545</v>
      </c>
      <c r="AN135" s="42">
        <f t="shared" si="142"/>
        <v>5800</v>
      </c>
      <c r="AO135" s="42">
        <v>0</v>
      </c>
      <c r="AP135" s="42">
        <f t="shared" si="146"/>
        <v>12510.851718368483</v>
      </c>
      <c r="AQ135" s="42">
        <f t="shared" si="143"/>
        <v>18310.851718368482</v>
      </c>
      <c r="AR135" s="42">
        <f t="shared" si="147"/>
        <v>2190.929828640752</v>
      </c>
      <c r="AS135" s="42">
        <f t="shared" si="144"/>
        <v>12462</v>
      </c>
      <c r="AT135" s="43">
        <f t="shared" si="148"/>
        <v>51826.598525276888</v>
      </c>
      <c r="AU135" s="92">
        <f t="shared" si="149"/>
        <v>0.12304510571053393</v>
      </c>
      <c r="AV135" s="42">
        <f t="shared" si="150"/>
        <v>9120.1497020214028</v>
      </c>
      <c r="AW135" s="43">
        <f t="shared" si="128"/>
        <v>42706.448823255487</v>
      </c>
      <c r="AX135" s="92">
        <f t="shared" si="139"/>
        <v>0.10139232864020771</v>
      </c>
      <c r="AY135" s="42">
        <f t="shared" si="151"/>
        <v>6760.8450561837335</v>
      </c>
      <c r="AZ135" s="43">
        <f t="shared" si="129"/>
        <v>58587.443581460619</v>
      </c>
      <c r="BA135" s="92">
        <f t="shared" si="140"/>
        <v>0.13909649473281249</v>
      </c>
      <c r="BC135" s="10">
        <f t="shared" si="155"/>
        <v>3900</v>
      </c>
      <c r="BD135" s="10">
        <f t="shared" si="156"/>
        <v>-1645.2648003102877</v>
      </c>
      <c r="BE135" s="10">
        <f t="shared" si="157"/>
        <v>-1072.6218833660373</v>
      </c>
      <c r="BF135" s="10">
        <f t="shared" si="158"/>
        <v>-19.643445157563558</v>
      </c>
      <c r="BG135" s="10">
        <f t="shared" si="159"/>
        <v>-608.15153716346219</v>
      </c>
      <c r="BH135" s="10">
        <f t="shared" si="160"/>
        <v>-3345.6816659973506</v>
      </c>
      <c r="BI135" s="10">
        <f t="shared" si="161"/>
        <v>554.31833400264929</v>
      </c>
      <c r="BJ135" s="10">
        <f t="shared" si="162"/>
        <v>-53.703703703703702</v>
      </c>
      <c r="BK135" s="10">
        <f t="shared" si="163"/>
        <v>-115.841219614523</v>
      </c>
      <c r="BL135" s="10">
        <f t="shared" si="164"/>
        <v>-169.54492331822669</v>
      </c>
      <c r="BM135" s="10">
        <f t="shared" si="165"/>
        <v>-20.286387302229187</v>
      </c>
      <c r="BN135" s="10">
        <f t="shared" si="166"/>
        <v>115.38888888888889</v>
      </c>
      <c r="BO135" s="10">
        <f t="shared" si="167"/>
        <v>479.87591227108231</v>
      </c>
      <c r="BP135" s="10">
        <f t="shared" si="168"/>
        <v>-84.44583057427225</v>
      </c>
      <c r="BQ135" s="10">
        <f t="shared" si="169"/>
        <v>395.43008169681008</v>
      </c>
      <c r="BR135" s="10">
        <f t="shared" si="170"/>
        <v>62.600417186886425</v>
      </c>
      <c r="BS135" s="10">
        <f t="shared" si="171"/>
        <v>542.47632945796875</v>
      </c>
    </row>
    <row r="136" spans="2:71" hidden="1">
      <c r="B136" s="7"/>
      <c r="C136" s="29" t="s">
        <v>705</v>
      </c>
      <c r="D136" s="25" t="s">
        <v>693</v>
      </c>
      <c r="E136" s="98">
        <v>122</v>
      </c>
      <c r="F136" s="98">
        <v>46170</v>
      </c>
      <c r="G136" s="99">
        <v>27</v>
      </c>
      <c r="H136" s="27" t="s">
        <v>495</v>
      </c>
      <c r="I136" s="27" t="s">
        <v>201</v>
      </c>
      <c r="J136" s="7"/>
      <c r="K136" s="7" t="s">
        <v>292</v>
      </c>
      <c r="L136" s="7" t="s">
        <v>172</v>
      </c>
      <c r="M136" s="21" t="s">
        <v>47</v>
      </c>
      <c r="N136" s="7" t="s">
        <v>191</v>
      </c>
      <c r="O136" s="20">
        <v>3900</v>
      </c>
      <c r="P136" s="59">
        <v>105300</v>
      </c>
      <c r="Q136" s="20">
        <v>3792.5925925925926</v>
      </c>
      <c r="R136" s="30">
        <v>2900</v>
      </c>
      <c r="S136" s="32">
        <v>102400</v>
      </c>
      <c r="T136" s="63">
        <v>1</v>
      </c>
      <c r="U136" s="57" t="s">
        <v>740</v>
      </c>
      <c r="V136" s="141">
        <v>6502035370</v>
      </c>
      <c r="W136" s="60"/>
      <c r="X136" s="4"/>
      <c r="Y136" s="4" t="s">
        <v>868</v>
      </c>
      <c r="Z136" s="7">
        <v>10009239</v>
      </c>
      <c r="AA136" s="7"/>
      <c r="AB136" s="7"/>
      <c r="AC136" s="20">
        <f t="shared" si="154"/>
        <v>3345.6816659973501</v>
      </c>
      <c r="AD136" s="44">
        <f>IFERROR(INDEX('Costos Producción Febrero'!$G$34:$G$57,MATCH(Resumen!Z136,'Costos Producción Febrero'!$B$34:$B$57,0))*AC136*G136,0)</f>
        <v>44422.149608377767</v>
      </c>
      <c r="AE136" s="44">
        <f>IFERROR(INDEX('Costos Producción Febrero'!$H$34:$H$57,MATCH(Resumen!Z136,'Costos Producción Febrero'!$B$34:$B$57,0))*AC136*G136,0)</f>
        <v>28960.790850883008</v>
      </c>
      <c r="AF136" s="44">
        <f>IFERROR(INDEX('Costos Producción Febrero'!$I$34:$I$57,MATCH(Resumen!Z136,'Costos Producción Febrero'!$B$34:$B$57,0))*AC136*G136,0)</f>
        <v>530.37301925421605</v>
      </c>
      <c r="AG136" s="44">
        <f>IFERROR(INDEX('Costos Producción Febrero'!$J$34:$J$57,MATCH(Resumen!Z136,'Costos Producción Febrero'!$B$34:$B$57,0))*AC136*G136,0)</f>
        <v>16420.091503413478</v>
      </c>
      <c r="AH136" s="44">
        <f t="shared" si="141"/>
        <v>90333.40498192847</v>
      </c>
      <c r="AI136" s="44"/>
      <c r="AJ136" s="44">
        <v>3441.6816659973501</v>
      </c>
      <c r="AK136" s="44"/>
      <c r="AL136" s="43">
        <f t="shared" si="134"/>
        <v>14966.59501807153</v>
      </c>
      <c r="AM136" s="92">
        <f t="shared" si="135"/>
        <v>0.14213290615452545</v>
      </c>
      <c r="AN136" s="42">
        <f t="shared" si="142"/>
        <v>2900</v>
      </c>
      <c r="AO136" s="42">
        <v>0</v>
      </c>
      <c r="AP136" s="42">
        <f t="shared" si="146"/>
        <v>3127.7129295921209</v>
      </c>
      <c r="AQ136" s="42">
        <f t="shared" si="143"/>
        <v>6027.7129295921204</v>
      </c>
      <c r="AR136" s="42">
        <f t="shared" si="147"/>
        <v>547.73245716018801</v>
      </c>
      <c r="AS136" s="42">
        <f t="shared" si="144"/>
        <v>3072</v>
      </c>
      <c r="AT136" s="43">
        <f t="shared" si="148"/>
        <v>11463.149631319222</v>
      </c>
      <c r="AU136" s="92">
        <f t="shared" si="149"/>
        <v>0.10886181986058141</v>
      </c>
      <c r="AV136" s="42">
        <f t="shared" si="150"/>
        <v>2280.0374255053507</v>
      </c>
      <c r="AW136" s="43">
        <f t="shared" si="128"/>
        <v>9183.1122058138717</v>
      </c>
      <c r="AX136" s="92">
        <f t="shared" si="139"/>
        <v>8.7209042790255195E-2</v>
      </c>
      <c r="AY136" s="42">
        <f t="shared" si="151"/>
        <v>1690.2112640459334</v>
      </c>
      <c r="AZ136" s="43">
        <f t="shared" si="129"/>
        <v>13153.360895365155</v>
      </c>
      <c r="BA136" s="92">
        <f t="shared" si="140"/>
        <v>0.12491320888285996</v>
      </c>
      <c r="BC136" s="10">
        <f t="shared" si="155"/>
        <v>3900</v>
      </c>
      <c r="BD136" s="10">
        <f t="shared" si="156"/>
        <v>-1645.2648003102877</v>
      </c>
      <c r="BE136" s="10">
        <f t="shared" si="157"/>
        <v>-1072.6218833660373</v>
      </c>
      <c r="BF136" s="10">
        <f t="shared" si="158"/>
        <v>-19.643445157563558</v>
      </c>
      <c r="BG136" s="10">
        <f t="shared" si="159"/>
        <v>-608.15153716346219</v>
      </c>
      <c r="BH136" s="10">
        <f t="shared" si="160"/>
        <v>-3345.6816659973506</v>
      </c>
      <c r="BI136" s="10">
        <f t="shared" si="161"/>
        <v>554.31833400264929</v>
      </c>
      <c r="BJ136" s="10">
        <f t="shared" si="162"/>
        <v>-107.4074074074074</v>
      </c>
      <c r="BK136" s="10">
        <f t="shared" si="163"/>
        <v>-115.841219614523</v>
      </c>
      <c r="BL136" s="10">
        <f t="shared" si="164"/>
        <v>-223.24862702193039</v>
      </c>
      <c r="BM136" s="10">
        <f t="shared" si="165"/>
        <v>-20.286387302229187</v>
      </c>
      <c r="BN136" s="10">
        <f t="shared" si="166"/>
        <v>113.77777777777777</v>
      </c>
      <c r="BO136" s="10">
        <f t="shared" si="167"/>
        <v>424.56109745626748</v>
      </c>
      <c r="BP136" s="10">
        <f t="shared" si="168"/>
        <v>-84.44583057427225</v>
      </c>
      <c r="BQ136" s="10">
        <f t="shared" si="169"/>
        <v>340.11526688199524</v>
      </c>
      <c r="BR136" s="10">
        <f t="shared" si="170"/>
        <v>62.600417186886425</v>
      </c>
      <c r="BS136" s="10">
        <f t="shared" si="171"/>
        <v>487.16151464315385</v>
      </c>
    </row>
    <row r="137" spans="2:71" hidden="1">
      <c r="B137" s="7"/>
      <c r="C137" s="29" t="s">
        <v>705</v>
      </c>
      <c r="D137" s="25" t="s">
        <v>694</v>
      </c>
      <c r="E137" s="98">
        <v>126</v>
      </c>
      <c r="F137" s="98">
        <v>46170</v>
      </c>
      <c r="G137" s="99">
        <v>27</v>
      </c>
      <c r="H137" s="27" t="s">
        <v>465</v>
      </c>
      <c r="I137" s="27" t="s">
        <v>466</v>
      </c>
      <c r="J137" s="7" t="s">
        <v>723</v>
      </c>
      <c r="K137" s="7" t="s">
        <v>171</v>
      </c>
      <c r="L137" s="7" t="s">
        <v>202</v>
      </c>
      <c r="M137" s="21" t="s">
        <v>724</v>
      </c>
      <c r="N137" s="7" t="s">
        <v>725</v>
      </c>
      <c r="O137" s="20">
        <v>2500</v>
      </c>
      <c r="P137" s="59">
        <v>66250</v>
      </c>
      <c r="Q137" s="20">
        <v>2381.4814814814813</v>
      </c>
      <c r="R137" s="30">
        <v>3200</v>
      </c>
      <c r="S137" s="32">
        <v>64300</v>
      </c>
      <c r="T137" s="63">
        <v>1</v>
      </c>
      <c r="U137" s="57" t="s">
        <v>740</v>
      </c>
      <c r="V137" s="141">
        <v>6502035350</v>
      </c>
      <c r="W137" s="60"/>
      <c r="X137" s="4"/>
      <c r="Y137" s="4" t="s">
        <v>866</v>
      </c>
      <c r="Z137" s="7">
        <v>10007050</v>
      </c>
      <c r="AA137" s="7"/>
      <c r="AB137" s="7"/>
      <c r="AC137" s="20">
        <f t="shared" si="152"/>
        <v>0</v>
      </c>
      <c r="AD137" s="44">
        <f>IFERROR(INDEX('Costos Producción Febrero'!$G$34:$G$57,MATCH(Resumen!Z137,'Costos Producción Febrero'!$B$34:$B$57,0))*AC137*G137,0)</f>
        <v>0</v>
      </c>
      <c r="AE137" s="44">
        <f>IFERROR(INDEX('Costos Producción Febrero'!$H$34:$H$57,MATCH(Resumen!Z137,'Costos Producción Febrero'!$B$34:$B$57,0))*AC137*G137,0)</f>
        <v>0</v>
      </c>
      <c r="AF137" s="44">
        <f>IFERROR(INDEX('Costos Producción Febrero'!$I$34:$I$57,MATCH(Resumen!Z137,'Costos Producción Febrero'!$B$34:$B$57,0))*AC137*G137,0)</f>
        <v>0</v>
      </c>
      <c r="AG137" s="44">
        <f>IFERROR(INDEX('Costos Producción Febrero'!$J$34:$J$57,MATCH(Resumen!Z137,'Costos Producción Febrero'!$B$34:$B$57,0))*AC137*G137,0)</f>
        <v>0</v>
      </c>
      <c r="AH137" s="44">
        <f t="shared" si="141"/>
        <v>0</v>
      </c>
      <c r="AI137" s="44"/>
      <c r="AJ137" s="44"/>
      <c r="AK137" s="44"/>
      <c r="AL137" s="43">
        <f t="shared" si="134"/>
        <v>66250</v>
      </c>
      <c r="AM137" s="92">
        <f t="shared" si="135"/>
        <v>1</v>
      </c>
      <c r="AN137" s="42">
        <f t="shared" si="142"/>
        <v>3200</v>
      </c>
      <c r="AO137" s="42">
        <v>0</v>
      </c>
      <c r="AP137" s="42">
        <f t="shared" si="146"/>
        <v>3127.7129295921209</v>
      </c>
      <c r="AQ137" s="42">
        <f t="shared" si="143"/>
        <v>6327.7129295921204</v>
      </c>
      <c r="AR137" s="42">
        <f t="shared" si="147"/>
        <v>547.73245716018801</v>
      </c>
      <c r="AS137" s="42">
        <f t="shared" si="144"/>
        <v>1929</v>
      </c>
      <c r="AT137" s="43">
        <f t="shared" si="148"/>
        <v>61303.554613247696</v>
      </c>
      <c r="AU137" s="92">
        <f t="shared" si="149"/>
        <v>0.92533667340751236</v>
      </c>
      <c r="AV137" s="42">
        <f t="shared" si="150"/>
        <v>2280.0374255053507</v>
      </c>
      <c r="AW137" s="43">
        <f t="shared" si="128"/>
        <v>59023.517187742342</v>
      </c>
      <c r="AX137" s="92">
        <f t="shared" si="139"/>
        <v>0.89092101415460134</v>
      </c>
      <c r="AY137" s="42">
        <f t="shared" si="151"/>
        <v>1690.2112640459334</v>
      </c>
      <c r="AZ137" s="43">
        <f t="shared" si="129"/>
        <v>62993.765877293627</v>
      </c>
      <c r="BA137" s="92">
        <f t="shared" si="140"/>
        <v>0.95084929626103587</v>
      </c>
      <c r="BC137" s="10">
        <f t="shared" si="155"/>
        <v>2453.7037037037039</v>
      </c>
      <c r="BD137" s="10">
        <f t="shared" si="156"/>
        <v>0</v>
      </c>
      <c r="BE137" s="10">
        <f t="shared" si="157"/>
        <v>0</v>
      </c>
      <c r="BF137" s="10">
        <f t="shared" si="158"/>
        <v>0</v>
      </c>
      <c r="BG137" s="10">
        <f t="shared" si="159"/>
        <v>0</v>
      </c>
      <c r="BH137" s="10">
        <f t="shared" si="160"/>
        <v>0</v>
      </c>
      <c r="BI137" s="10">
        <f t="shared" si="161"/>
        <v>2453.7037037037039</v>
      </c>
      <c r="BJ137" s="10">
        <f t="shared" si="162"/>
        <v>-118.51851851851852</v>
      </c>
      <c r="BK137" s="10">
        <f t="shared" si="163"/>
        <v>-115.841219614523</v>
      </c>
      <c r="BL137" s="10">
        <f t="shared" si="164"/>
        <v>-234.3597381330415</v>
      </c>
      <c r="BM137" s="10">
        <f t="shared" si="165"/>
        <v>-20.286387302229187</v>
      </c>
      <c r="BN137" s="10">
        <f t="shared" si="166"/>
        <v>71.444444444444443</v>
      </c>
      <c r="BO137" s="10">
        <f t="shared" si="167"/>
        <v>2270.5020227128775</v>
      </c>
      <c r="BP137" s="10">
        <f t="shared" si="168"/>
        <v>-84.44583057427225</v>
      </c>
      <c r="BQ137" s="10">
        <f t="shared" si="169"/>
        <v>2186.0561921386052</v>
      </c>
      <c r="BR137" s="10">
        <f t="shared" si="170"/>
        <v>62.600417186886425</v>
      </c>
      <c r="BS137" s="10">
        <f t="shared" si="171"/>
        <v>2333.1024398997638</v>
      </c>
    </row>
    <row r="138" spans="2:71" hidden="1">
      <c r="B138" s="7"/>
      <c r="C138" s="29" t="s">
        <v>705</v>
      </c>
      <c r="D138" s="25" t="s">
        <v>695</v>
      </c>
      <c r="E138" s="98">
        <v>128</v>
      </c>
      <c r="F138" s="98">
        <v>46157</v>
      </c>
      <c r="G138" s="99">
        <v>81</v>
      </c>
      <c r="H138" s="27" t="s">
        <v>31</v>
      </c>
      <c r="I138" s="27" t="s">
        <v>107</v>
      </c>
      <c r="J138" s="7" t="s">
        <v>726</v>
      </c>
      <c r="K138" s="7" t="s">
        <v>171</v>
      </c>
      <c r="L138" s="7" t="s">
        <v>727</v>
      </c>
      <c r="M138" s="21" t="s">
        <v>45</v>
      </c>
      <c r="N138" s="7" t="s">
        <v>191</v>
      </c>
      <c r="O138" s="20">
        <v>2900</v>
      </c>
      <c r="P138" s="59">
        <v>234900</v>
      </c>
      <c r="Q138" s="20">
        <v>2792.5925925925926</v>
      </c>
      <c r="R138" s="30">
        <v>8700</v>
      </c>
      <c r="S138" s="32">
        <v>226200</v>
      </c>
      <c r="T138" s="63">
        <v>3</v>
      </c>
      <c r="U138" s="57" t="s">
        <v>748</v>
      </c>
      <c r="V138" s="141">
        <v>6500435910</v>
      </c>
      <c r="W138" s="60"/>
      <c r="X138" s="4"/>
      <c r="Y138" s="4" t="s">
        <v>867</v>
      </c>
      <c r="Z138" s="7">
        <v>10007162</v>
      </c>
      <c r="AA138" s="7"/>
      <c r="AB138" s="7"/>
      <c r="AC138" s="20">
        <f t="shared" ref="AC138:AC147" si="172">AJ138-47.35-5.32-43.33</f>
        <v>1786.1795185638503</v>
      </c>
      <c r="AD138" s="44">
        <f>IFERROR(INDEX('Costos Producción Febrero'!$G$34:$G$57,MATCH(Resumen!Z138,'Costos Producción Febrero'!$B$34:$B$57,0))*AC138*G138,0)</f>
        <v>88710.96803374977</v>
      </c>
      <c r="AE138" s="44">
        <f>IFERROR(INDEX('Costos Producción Febrero'!$H$34:$H$57,MATCH(Resumen!Z138,'Costos Producción Febrero'!$B$34:$B$57,0))*AC138*G138,0)</f>
        <v>25186.812923607369</v>
      </c>
      <c r="AF138" s="44">
        <f>IFERROR(INDEX('Costos Producción Febrero'!$I$34:$I$57,MATCH(Resumen!Z138,'Costos Producción Febrero'!$B$34:$B$57,0))*AC138*G138,0)</f>
        <v>1341.273985970739</v>
      </c>
      <c r="AG138" s="44">
        <f>IFERROR(INDEX('Costos Producción Febrero'!$J$34:$J$57,MATCH(Resumen!Z138,'Costos Producción Febrero'!$B$34:$B$57,0))*AC138*G138,0)</f>
        <v>29441.486060343988</v>
      </c>
      <c r="AH138" s="44">
        <f t="shared" si="141"/>
        <v>144680.54100367188</v>
      </c>
      <c r="AI138" s="44"/>
      <c r="AJ138" s="44">
        <v>1882.17951856385</v>
      </c>
      <c r="AK138" s="44"/>
      <c r="AL138" s="43">
        <f t="shared" si="134"/>
        <v>90219.458996328118</v>
      </c>
      <c r="AM138" s="92">
        <f t="shared" si="135"/>
        <v>0.38407602808143088</v>
      </c>
      <c r="AN138" s="42">
        <f t="shared" si="142"/>
        <v>8700</v>
      </c>
      <c r="AO138" s="42">
        <v>0</v>
      </c>
      <c r="AP138" s="42">
        <f t="shared" si="146"/>
        <v>9383.1387887763631</v>
      </c>
      <c r="AQ138" s="42">
        <f t="shared" si="143"/>
        <v>18083.138788776363</v>
      </c>
      <c r="AR138" s="42">
        <f t="shared" si="147"/>
        <v>1643.1973714805642</v>
      </c>
      <c r="AS138" s="42">
        <f t="shared" si="144"/>
        <v>6786</v>
      </c>
      <c r="AT138" s="43">
        <f t="shared" si="148"/>
        <v>77279.122836071198</v>
      </c>
      <c r="AU138" s="92">
        <f t="shared" si="149"/>
        <v>0.32898732582405787</v>
      </c>
      <c r="AV138" s="42">
        <f t="shared" si="150"/>
        <v>6840.1122765160526</v>
      </c>
      <c r="AW138" s="43">
        <f t="shared" ref="AW138:AW150" si="173">AT138-AV138</f>
        <v>70439.010559555143</v>
      </c>
      <c r="AX138" s="92">
        <f t="shared" si="139"/>
        <v>0.29986807390189502</v>
      </c>
      <c r="AY138" s="42">
        <f t="shared" si="151"/>
        <v>5070.6337921377999</v>
      </c>
      <c r="AZ138" s="43">
        <f t="shared" ref="AZ138:AZ150" si="174">AT138+AY138</f>
        <v>82349.756628208997</v>
      </c>
      <c r="BA138" s="92">
        <f t="shared" si="140"/>
        <v>0.35057367657815663</v>
      </c>
      <c r="BC138" s="10">
        <f t="shared" si="155"/>
        <v>2900</v>
      </c>
      <c r="BD138" s="10">
        <f t="shared" si="156"/>
        <v>-1095.197136219133</v>
      </c>
      <c r="BE138" s="10">
        <f t="shared" si="157"/>
        <v>-310.94830769885641</v>
      </c>
      <c r="BF138" s="10">
        <f t="shared" si="158"/>
        <v>-16.558938098404184</v>
      </c>
      <c r="BG138" s="10">
        <f t="shared" si="159"/>
        <v>-363.47513654745666</v>
      </c>
      <c r="BH138" s="10">
        <f t="shared" si="160"/>
        <v>-1786.1795185638505</v>
      </c>
      <c r="BI138" s="10">
        <f t="shared" si="161"/>
        <v>1113.8204814361495</v>
      </c>
      <c r="BJ138" s="10">
        <f t="shared" si="162"/>
        <v>-107.4074074074074</v>
      </c>
      <c r="BK138" s="10">
        <f t="shared" si="163"/>
        <v>-115.841219614523</v>
      </c>
      <c r="BL138" s="10">
        <f t="shared" si="164"/>
        <v>-223.24862702193042</v>
      </c>
      <c r="BM138" s="10">
        <f t="shared" si="165"/>
        <v>-20.286387302229187</v>
      </c>
      <c r="BN138" s="10">
        <f t="shared" si="166"/>
        <v>83.777777777777771</v>
      </c>
      <c r="BO138" s="10">
        <f t="shared" si="167"/>
        <v>954.06324488976782</v>
      </c>
      <c r="BP138" s="10">
        <f t="shared" si="168"/>
        <v>-84.44583057427225</v>
      </c>
      <c r="BQ138" s="10">
        <f t="shared" si="169"/>
        <v>869.61741431549558</v>
      </c>
      <c r="BR138" s="10">
        <f t="shared" si="170"/>
        <v>62.600417186886418</v>
      </c>
      <c r="BS138" s="10">
        <f t="shared" si="171"/>
        <v>1016.6636620766543</v>
      </c>
    </row>
    <row r="139" spans="2:71" hidden="1">
      <c r="B139" s="7"/>
      <c r="C139" s="29" t="s">
        <v>705</v>
      </c>
      <c r="D139" s="25" t="s">
        <v>696</v>
      </c>
      <c r="E139" s="98">
        <v>128</v>
      </c>
      <c r="F139" s="98">
        <v>46164</v>
      </c>
      <c r="G139" s="99">
        <v>54</v>
      </c>
      <c r="H139" s="27" t="s">
        <v>31</v>
      </c>
      <c r="I139" s="27" t="s">
        <v>107</v>
      </c>
      <c r="J139" s="7" t="s">
        <v>726</v>
      </c>
      <c r="K139" s="7" t="s">
        <v>171</v>
      </c>
      <c r="L139" s="7" t="s">
        <v>243</v>
      </c>
      <c r="M139" s="21" t="s">
        <v>45</v>
      </c>
      <c r="N139" s="7" t="s">
        <v>191</v>
      </c>
      <c r="O139" s="20">
        <v>2900</v>
      </c>
      <c r="P139" s="59">
        <v>156600</v>
      </c>
      <c r="Q139" s="20">
        <v>2788.8518518518517</v>
      </c>
      <c r="R139" s="30">
        <v>6002</v>
      </c>
      <c r="S139" s="32">
        <v>150598</v>
      </c>
      <c r="T139" s="63">
        <v>2</v>
      </c>
      <c r="U139" s="57" t="s">
        <v>739</v>
      </c>
      <c r="V139" s="141" t="s">
        <v>751</v>
      </c>
      <c r="W139" s="60"/>
      <c r="X139" s="4"/>
      <c r="Y139" s="4" t="s">
        <v>867</v>
      </c>
      <c r="Z139" s="7">
        <v>10007162</v>
      </c>
      <c r="AA139" s="7"/>
      <c r="AB139" s="7"/>
      <c r="AC139" s="20">
        <f t="shared" si="172"/>
        <v>1786.1795185638503</v>
      </c>
      <c r="AD139" s="44">
        <f>IFERROR(INDEX('Costos Producción Febrero'!$G$34:$G$57,MATCH(Resumen!Z139,'Costos Producción Febrero'!$B$34:$B$57,0))*AC139*G139,0)</f>
        <v>59140.645355833178</v>
      </c>
      <c r="AE139" s="44">
        <f>IFERROR(INDEX('Costos Producción Febrero'!$H$34:$H$57,MATCH(Resumen!Z139,'Costos Producción Febrero'!$B$34:$B$57,0))*AC139*G139,0)</f>
        <v>16791.208615738247</v>
      </c>
      <c r="AF139" s="44">
        <f>IFERROR(INDEX('Costos Producción Febrero'!$I$34:$I$57,MATCH(Resumen!Z139,'Costos Producción Febrero'!$B$34:$B$57,0))*AC139*G139,0)</f>
        <v>894.18265731382598</v>
      </c>
      <c r="AG139" s="44">
        <f>IFERROR(INDEX('Costos Producción Febrero'!$J$34:$J$57,MATCH(Resumen!Z139,'Costos Producción Febrero'!$B$34:$B$57,0))*AC139*G139,0)</f>
        <v>19627.657373562659</v>
      </c>
      <c r="AH139" s="44">
        <f t="shared" si="141"/>
        <v>96453.694002447912</v>
      </c>
      <c r="AI139" s="44"/>
      <c r="AJ139" s="44">
        <v>1882.17951856385</v>
      </c>
      <c r="AK139" s="44"/>
      <c r="AL139" s="43">
        <f t="shared" si="134"/>
        <v>60146.305997552088</v>
      </c>
      <c r="AM139" s="92">
        <f t="shared" si="135"/>
        <v>0.38407602808143099</v>
      </c>
      <c r="AN139" s="42">
        <f t="shared" si="142"/>
        <v>6002</v>
      </c>
      <c r="AO139" s="42">
        <v>0</v>
      </c>
      <c r="AP139" s="42">
        <f t="shared" si="146"/>
        <v>6255.4258591842417</v>
      </c>
      <c r="AQ139" s="42">
        <f t="shared" si="143"/>
        <v>12257.425859184241</v>
      </c>
      <c r="AR139" s="42">
        <f t="shared" si="147"/>
        <v>1095.464914320376</v>
      </c>
      <c r="AS139" s="42">
        <f t="shared" si="144"/>
        <v>4517.9399999999996</v>
      </c>
      <c r="AT139" s="43">
        <f t="shared" si="148"/>
        <v>51311.355224047475</v>
      </c>
      <c r="AU139" s="92">
        <f t="shared" si="149"/>
        <v>0.32765871790579487</v>
      </c>
      <c r="AV139" s="42">
        <f t="shared" si="150"/>
        <v>4560.0748510107014</v>
      </c>
      <c r="AW139" s="43">
        <f t="shared" si="173"/>
        <v>46751.280373036774</v>
      </c>
      <c r="AX139" s="92">
        <f t="shared" si="139"/>
        <v>0.29853946598363201</v>
      </c>
      <c r="AY139" s="42">
        <f t="shared" si="151"/>
        <v>3380.4225280918668</v>
      </c>
      <c r="AZ139" s="43">
        <f t="shared" si="174"/>
        <v>54691.777752139344</v>
      </c>
      <c r="BA139" s="92">
        <f t="shared" si="140"/>
        <v>0.34924506865989363</v>
      </c>
      <c r="BC139" s="10">
        <f t="shared" si="155"/>
        <v>2900</v>
      </c>
      <c r="BD139" s="10">
        <f t="shared" si="156"/>
        <v>-1095.197136219133</v>
      </c>
      <c r="BE139" s="10">
        <f t="shared" si="157"/>
        <v>-310.94830769885641</v>
      </c>
      <c r="BF139" s="10">
        <f t="shared" si="158"/>
        <v>-16.558938098404184</v>
      </c>
      <c r="BG139" s="10">
        <f t="shared" si="159"/>
        <v>-363.47513654745666</v>
      </c>
      <c r="BH139" s="10">
        <f t="shared" si="160"/>
        <v>-1786.1795185638503</v>
      </c>
      <c r="BI139" s="10">
        <f t="shared" si="161"/>
        <v>1113.8204814361497</v>
      </c>
      <c r="BJ139" s="10">
        <f t="shared" si="162"/>
        <v>-111.14814814814815</v>
      </c>
      <c r="BK139" s="10">
        <f t="shared" si="163"/>
        <v>-115.841219614523</v>
      </c>
      <c r="BL139" s="10">
        <f t="shared" si="164"/>
        <v>-226.98936776267112</v>
      </c>
      <c r="BM139" s="10">
        <f t="shared" si="165"/>
        <v>-20.286387302229187</v>
      </c>
      <c r="BN139" s="10">
        <f t="shared" si="166"/>
        <v>83.665555555555542</v>
      </c>
      <c r="BO139" s="10">
        <f t="shared" si="167"/>
        <v>950.21028192680512</v>
      </c>
      <c r="BP139" s="10">
        <f t="shared" si="168"/>
        <v>-84.44583057427225</v>
      </c>
      <c r="BQ139" s="10">
        <f t="shared" si="169"/>
        <v>865.76445135253289</v>
      </c>
      <c r="BR139" s="10">
        <f t="shared" si="170"/>
        <v>62.600417186886425</v>
      </c>
      <c r="BS139" s="10">
        <f t="shared" si="171"/>
        <v>1012.8106991136915</v>
      </c>
    </row>
    <row r="140" spans="2:71" hidden="1">
      <c r="B140" s="7"/>
      <c r="C140" s="29" t="s">
        <v>705</v>
      </c>
      <c r="D140" s="25" t="s">
        <v>697</v>
      </c>
      <c r="E140" s="98">
        <v>128</v>
      </c>
      <c r="F140" s="98">
        <v>46170</v>
      </c>
      <c r="G140" s="99">
        <v>81</v>
      </c>
      <c r="H140" s="27" t="s">
        <v>31</v>
      </c>
      <c r="I140" s="27" t="s">
        <v>107</v>
      </c>
      <c r="J140" s="7" t="s">
        <v>726</v>
      </c>
      <c r="K140" s="7" t="s">
        <v>171</v>
      </c>
      <c r="L140" s="7" t="s">
        <v>728</v>
      </c>
      <c r="M140" s="21" t="s">
        <v>45</v>
      </c>
      <c r="N140" s="7" t="s">
        <v>191</v>
      </c>
      <c r="O140" s="20">
        <v>2900</v>
      </c>
      <c r="P140" s="59">
        <v>234900</v>
      </c>
      <c r="Q140" s="20">
        <v>2828.3950617283949</v>
      </c>
      <c r="R140" s="30">
        <v>5800</v>
      </c>
      <c r="S140" s="32">
        <v>229100</v>
      </c>
      <c r="T140" s="63">
        <v>2</v>
      </c>
      <c r="U140" s="57" t="s">
        <v>740</v>
      </c>
      <c r="V140" s="141">
        <v>6502035420</v>
      </c>
      <c r="W140" s="60"/>
      <c r="X140" s="4"/>
      <c r="Y140" s="4" t="s">
        <v>867</v>
      </c>
      <c r="Z140" s="7">
        <v>10007162</v>
      </c>
      <c r="AA140" s="7"/>
      <c r="AB140" s="7"/>
      <c r="AC140" s="20">
        <f t="shared" si="172"/>
        <v>1786.1795185638503</v>
      </c>
      <c r="AD140" s="44">
        <f>IFERROR(INDEX('Costos Producción Febrero'!$G$34:$G$57,MATCH(Resumen!Z140,'Costos Producción Febrero'!$B$34:$B$57,0))*AC140*G140,0)</f>
        <v>88710.96803374977</v>
      </c>
      <c r="AE140" s="44">
        <f>IFERROR(INDEX('Costos Producción Febrero'!$H$34:$H$57,MATCH(Resumen!Z140,'Costos Producción Febrero'!$B$34:$B$57,0))*AC140*G140,0)</f>
        <v>25186.812923607369</v>
      </c>
      <c r="AF140" s="44">
        <f>IFERROR(INDEX('Costos Producción Febrero'!$I$34:$I$57,MATCH(Resumen!Z140,'Costos Producción Febrero'!$B$34:$B$57,0))*AC140*G140,0)</f>
        <v>1341.273985970739</v>
      </c>
      <c r="AG140" s="44">
        <f>IFERROR(INDEX('Costos Producción Febrero'!$J$34:$J$57,MATCH(Resumen!Z140,'Costos Producción Febrero'!$B$34:$B$57,0))*AC140*G140,0)</f>
        <v>29441.486060343988</v>
      </c>
      <c r="AH140" s="44">
        <f t="shared" si="141"/>
        <v>144680.54100367188</v>
      </c>
      <c r="AI140" s="44"/>
      <c r="AJ140" s="44">
        <v>1882.17951856385</v>
      </c>
      <c r="AK140" s="44"/>
      <c r="AL140" s="43">
        <f t="shared" si="134"/>
        <v>90219.458996328118</v>
      </c>
      <c r="AM140" s="92">
        <f t="shared" si="135"/>
        <v>0.38407602808143088</v>
      </c>
      <c r="AN140" s="42">
        <f t="shared" si="142"/>
        <v>5800</v>
      </c>
      <c r="AO140" s="42">
        <v>0</v>
      </c>
      <c r="AP140" s="42">
        <f t="shared" si="146"/>
        <v>9383.1387887763631</v>
      </c>
      <c r="AQ140" s="42">
        <f t="shared" si="143"/>
        <v>15183.138788776363</v>
      </c>
      <c r="AR140" s="42">
        <f t="shared" si="147"/>
        <v>1643.1973714805642</v>
      </c>
      <c r="AS140" s="42">
        <f t="shared" si="144"/>
        <v>6873</v>
      </c>
      <c r="AT140" s="43">
        <f t="shared" si="148"/>
        <v>80266.122836071198</v>
      </c>
      <c r="AU140" s="92">
        <f t="shared" si="149"/>
        <v>0.34170337520677396</v>
      </c>
      <c r="AV140" s="42">
        <f t="shared" si="150"/>
        <v>6840.1122765160526</v>
      </c>
      <c r="AW140" s="43">
        <f t="shared" si="173"/>
        <v>73426.010559555143</v>
      </c>
      <c r="AX140" s="92">
        <f t="shared" si="139"/>
        <v>0.3125841232846111</v>
      </c>
      <c r="AY140" s="42">
        <f t="shared" si="151"/>
        <v>5070.6337921377999</v>
      </c>
      <c r="AZ140" s="43">
        <f t="shared" si="174"/>
        <v>85336.756628208997</v>
      </c>
      <c r="BA140" s="92">
        <f t="shared" si="140"/>
        <v>0.36328972596087272</v>
      </c>
      <c r="BC140" s="10">
        <f t="shared" si="155"/>
        <v>2900</v>
      </c>
      <c r="BD140" s="10">
        <f t="shared" si="156"/>
        <v>-1095.197136219133</v>
      </c>
      <c r="BE140" s="10">
        <f t="shared" si="157"/>
        <v>-310.94830769885641</v>
      </c>
      <c r="BF140" s="10">
        <f t="shared" si="158"/>
        <v>-16.558938098404184</v>
      </c>
      <c r="BG140" s="10">
        <f t="shared" si="159"/>
        <v>-363.47513654745666</v>
      </c>
      <c r="BH140" s="10">
        <f t="shared" si="160"/>
        <v>-1786.1795185638505</v>
      </c>
      <c r="BI140" s="10">
        <f t="shared" si="161"/>
        <v>1113.8204814361495</v>
      </c>
      <c r="BJ140" s="10">
        <f t="shared" si="162"/>
        <v>-71.604938271604937</v>
      </c>
      <c r="BK140" s="10">
        <f t="shared" si="163"/>
        <v>-115.841219614523</v>
      </c>
      <c r="BL140" s="10">
        <f t="shared" si="164"/>
        <v>-187.44615788612793</v>
      </c>
      <c r="BM140" s="10">
        <f t="shared" si="165"/>
        <v>-20.286387302229187</v>
      </c>
      <c r="BN140" s="10">
        <f t="shared" si="166"/>
        <v>84.851851851851848</v>
      </c>
      <c r="BO140" s="10">
        <f t="shared" si="167"/>
        <v>990.93978809964437</v>
      </c>
      <c r="BP140" s="10">
        <f t="shared" si="168"/>
        <v>-84.44583057427225</v>
      </c>
      <c r="BQ140" s="10">
        <f t="shared" si="169"/>
        <v>906.49395752537214</v>
      </c>
      <c r="BR140" s="10">
        <f t="shared" si="170"/>
        <v>62.600417186886418</v>
      </c>
      <c r="BS140" s="10">
        <f t="shared" si="171"/>
        <v>1053.5402052865309</v>
      </c>
    </row>
    <row r="141" spans="2:71" hidden="1">
      <c r="B141" s="7"/>
      <c r="C141" s="29" t="s">
        <v>705</v>
      </c>
      <c r="D141" s="25" t="s">
        <v>698</v>
      </c>
      <c r="E141" s="98">
        <v>128</v>
      </c>
      <c r="F141" s="98">
        <v>46170</v>
      </c>
      <c r="G141" s="99">
        <v>216</v>
      </c>
      <c r="H141" s="27" t="s">
        <v>32</v>
      </c>
      <c r="I141" s="27" t="s">
        <v>155</v>
      </c>
      <c r="J141" s="7" t="s">
        <v>287</v>
      </c>
      <c r="K141" s="7" t="s">
        <v>171</v>
      </c>
      <c r="L141" s="7"/>
      <c r="M141" s="21" t="s">
        <v>45</v>
      </c>
      <c r="N141" s="7" t="s">
        <v>191</v>
      </c>
      <c r="O141" s="20">
        <v>1950</v>
      </c>
      <c r="P141" s="59">
        <v>421200</v>
      </c>
      <c r="Q141" s="20">
        <v>1842.5925925925926</v>
      </c>
      <c r="R141" s="30">
        <v>23200</v>
      </c>
      <c r="S141" s="32">
        <v>398000</v>
      </c>
      <c r="T141" s="63">
        <v>8</v>
      </c>
      <c r="U141" s="57" t="s">
        <v>740</v>
      </c>
      <c r="V141" s="141">
        <v>6452679320</v>
      </c>
      <c r="W141" s="60"/>
      <c r="X141" s="4"/>
      <c r="Y141" s="4" t="s">
        <v>867</v>
      </c>
      <c r="Z141" s="7">
        <v>10006720</v>
      </c>
      <c r="AA141" s="7"/>
      <c r="AB141" s="7"/>
      <c r="AC141" s="20">
        <f t="shared" si="172"/>
        <v>1939.7385678837302</v>
      </c>
      <c r="AD141" s="44">
        <f>IFERROR(INDEX('Costos Producción Febrero'!$G$34:$G$57,MATCH(Resumen!Z141,'Costos Producción Febrero'!$B$34:$B$57,0))*AC141*G141,0)</f>
        <v>268858.81350368221</v>
      </c>
      <c r="AE141" s="44">
        <f>IFERROR(INDEX('Costos Producción Febrero'!$H$34:$H$57,MATCH(Resumen!Z141,'Costos Producción Febrero'!$B$34:$B$57,0))*AC141*G141,0)</f>
        <v>56551.038232113911</v>
      </c>
      <c r="AF141" s="44">
        <f>IFERROR(INDEX('Costos Producción Febrero'!$I$34:$I$57,MATCH(Resumen!Z141,'Costos Producción Febrero'!$B$34:$B$57,0))*AC141*G141,0)</f>
        <v>3914.9196736565486</v>
      </c>
      <c r="AG141" s="44">
        <f>IFERROR(INDEX('Costos Producción Febrero'!$J$34:$J$57,MATCH(Resumen!Z141,'Costos Producción Febrero'!$B$34:$B$57,0))*AC141*G141,0)</f>
        <v>89658.759253433047</v>
      </c>
      <c r="AH141" s="44">
        <f t="shared" si="141"/>
        <v>418983.53066288569</v>
      </c>
      <c r="AI141" s="44"/>
      <c r="AJ141" s="44">
        <v>2035.73856788373</v>
      </c>
      <c r="AK141" s="44"/>
      <c r="AL141" s="43">
        <f t="shared" si="134"/>
        <v>2216.4693371143076</v>
      </c>
      <c r="AM141" s="92">
        <f t="shared" si="135"/>
        <v>5.2622728801384319E-3</v>
      </c>
      <c r="AN141" s="42">
        <f t="shared" si="142"/>
        <v>23200</v>
      </c>
      <c r="AO141" s="42">
        <v>0</v>
      </c>
      <c r="AP141" s="42">
        <f t="shared" si="146"/>
        <v>25021.703436736967</v>
      </c>
      <c r="AQ141" s="42">
        <f t="shared" si="143"/>
        <v>48221.703436736963</v>
      </c>
      <c r="AR141" s="42">
        <f t="shared" si="147"/>
        <v>4381.859657281504</v>
      </c>
      <c r="AS141" s="42">
        <f t="shared" si="144"/>
        <v>11940</v>
      </c>
      <c r="AT141" s="43">
        <f t="shared" si="148"/>
        <v>-38447.093756904156</v>
      </c>
      <c r="AU141" s="92">
        <f t="shared" si="149"/>
        <v>-9.1279899707749662E-2</v>
      </c>
      <c r="AV141" s="42">
        <f t="shared" si="150"/>
        <v>18240.299404042806</v>
      </c>
      <c r="AW141" s="43">
        <f t="shared" si="173"/>
        <v>-56687.393160946958</v>
      </c>
      <c r="AX141" s="92">
        <f t="shared" si="139"/>
        <v>-0.13458545384840209</v>
      </c>
      <c r="AY141" s="42">
        <f t="shared" si="151"/>
        <v>13521.690112367467</v>
      </c>
      <c r="AZ141" s="43">
        <f t="shared" si="174"/>
        <v>-24925.403644536687</v>
      </c>
      <c r="BA141" s="92">
        <f t="shared" si="140"/>
        <v>-5.9177121663192514E-2</v>
      </c>
      <c r="BC141" s="10">
        <f t="shared" si="155"/>
        <v>1950</v>
      </c>
      <c r="BD141" s="10">
        <f t="shared" si="156"/>
        <v>-1244.7167291837138</v>
      </c>
      <c r="BE141" s="10">
        <f t="shared" si="157"/>
        <v>-261.81036218571256</v>
      </c>
      <c r="BF141" s="10">
        <f t="shared" si="158"/>
        <v>-18.124628118780318</v>
      </c>
      <c r="BG141" s="10">
        <f t="shared" si="159"/>
        <v>-415.08684839552336</v>
      </c>
      <c r="BH141" s="10">
        <f t="shared" si="160"/>
        <v>-1939.73856788373</v>
      </c>
      <c r="BI141" s="10">
        <f t="shared" si="161"/>
        <v>10.261432116269942</v>
      </c>
      <c r="BJ141" s="10">
        <f t="shared" si="162"/>
        <v>-107.4074074074074</v>
      </c>
      <c r="BK141" s="10">
        <f t="shared" si="163"/>
        <v>-115.841219614523</v>
      </c>
      <c r="BL141" s="10">
        <f t="shared" si="164"/>
        <v>-223.24862702193039</v>
      </c>
      <c r="BM141" s="10">
        <f t="shared" si="165"/>
        <v>-20.286387302229187</v>
      </c>
      <c r="BN141" s="10">
        <f t="shared" si="166"/>
        <v>55.277777777777779</v>
      </c>
      <c r="BO141" s="10">
        <f t="shared" si="167"/>
        <v>-177.99580443011183</v>
      </c>
      <c r="BP141" s="10">
        <f t="shared" si="168"/>
        <v>-84.44583057427225</v>
      </c>
      <c r="BQ141" s="10">
        <f t="shared" si="169"/>
        <v>-262.44163500438407</v>
      </c>
      <c r="BR141" s="10">
        <f t="shared" si="170"/>
        <v>62.600417186886425</v>
      </c>
      <c r="BS141" s="10">
        <f t="shared" si="171"/>
        <v>-115.3953872432254</v>
      </c>
    </row>
    <row r="142" spans="2:71" hidden="1">
      <c r="B142" s="7"/>
      <c r="C142" s="29" t="s">
        <v>705</v>
      </c>
      <c r="D142" s="25" t="s">
        <v>699</v>
      </c>
      <c r="E142" s="98">
        <v>129</v>
      </c>
      <c r="F142" s="98">
        <v>46164</v>
      </c>
      <c r="G142" s="99">
        <v>81</v>
      </c>
      <c r="H142" s="27" t="s">
        <v>33</v>
      </c>
      <c r="I142" s="27" t="s">
        <v>132</v>
      </c>
      <c r="J142" s="7" t="s">
        <v>729</v>
      </c>
      <c r="K142" s="7" t="s">
        <v>292</v>
      </c>
      <c r="L142" s="7" t="s">
        <v>730</v>
      </c>
      <c r="M142" s="21" t="s">
        <v>731</v>
      </c>
      <c r="N142" s="7" t="s">
        <v>732</v>
      </c>
      <c r="O142" s="20">
        <v>2150</v>
      </c>
      <c r="P142" s="59">
        <v>167700</v>
      </c>
      <c r="Q142" s="20">
        <v>2042.5555555555557</v>
      </c>
      <c r="R142" s="30">
        <v>8703</v>
      </c>
      <c r="S142" s="32">
        <v>165447</v>
      </c>
      <c r="T142" s="63">
        <v>3</v>
      </c>
      <c r="U142" s="57" t="s">
        <v>739</v>
      </c>
      <c r="V142" s="141" t="s">
        <v>752</v>
      </c>
      <c r="W142" s="60"/>
      <c r="X142" s="4"/>
      <c r="Y142" s="4" t="s">
        <v>867</v>
      </c>
      <c r="Z142" s="7">
        <v>10005721</v>
      </c>
      <c r="AA142" s="7"/>
      <c r="AB142" s="7"/>
      <c r="AC142" s="20">
        <f t="shared" si="172"/>
        <v>2040.6867833638698</v>
      </c>
      <c r="AD142" s="44">
        <f>IFERROR(INDEX('Costos Producción Febrero'!$G$34:$G$57,MATCH(Resumen!Z142,'Costos Producción Febrero'!$B$34:$B$57,0))*AC142*G142,0)</f>
        <v>100385.83966210583</v>
      </c>
      <c r="AE142" s="44">
        <f>IFERROR(INDEX('Costos Producción Febrero'!$H$34:$H$57,MATCH(Resumen!Z142,'Costos Producción Febrero'!$B$34:$B$57,0))*AC142*G142,0)</f>
        <v>29415.135146592453</v>
      </c>
      <c r="AF142" s="44">
        <f>IFERROR(INDEX('Costos Producción Febrero'!$I$34:$I$57,MATCH(Resumen!Z142,'Costos Producción Febrero'!$B$34:$B$57,0))*AC142*G142,0)</f>
        <v>1802.0373893503529</v>
      </c>
      <c r="AG142" s="44">
        <f>IFERROR(INDEX('Costos Producción Febrero'!$J$34:$J$57,MATCH(Resumen!Z142,'Costos Producción Febrero'!$B$34:$B$57,0))*AC142*G142,0)</f>
        <v>33692.617254424818</v>
      </c>
      <c r="AH142" s="44">
        <f t="shared" si="141"/>
        <v>165295.62945247345</v>
      </c>
      <c r="AI142" s="44"/>
      <c r="AJ142" s="44">
        <v>2136.6867833638698</v>
      </c>
      <c r="AK142" s="44"/>
      <c r="AL142" s="43">
        <f t="shared" si="134"/>
        <v>2404.3705475265451</v>
      </c>
      <c r="AM142" s="92">
        <f t="shared" si="135"/>
        <v>1.4337331827826745E-2</v>
      </c>
      <c r="AN142" s="42">
        <f t="shared" si="142"/>
        <v>8703</v>
      </c>
      <c r="AO142" s="42">
        <v>0</v>
      </c>
      <c r="AP142" s="42">
        <f t="shared" si="146"/>
        <v>9383.1387887763631</v>
      </c>
      <c r="AQ142" s="42">
        <f t="shared" si="143"/>
        <v>18086.138788776363</v>
      </c>
      <c r="AR142" s="42">
        <f t="shared" si="147"/>
        <v>1643.1973714805642</v>
      </c>
      <c r="AS142" s="42">
        <f t="shared" si="144"/>
        <v>4963.41</v>
      </c>
      <c r="AT142" s="43">
        <f t="shared" si="148"/>
        <v>-12361.555612730383</v>
      </c>
      <c r="AU142" s="92">
        <f t="shared" si="149"/>
        <v>-7.3712317309066092E-2</v>
      </c>
      <c r="AV142" s="42">
        <f t="shared" si="150"/>
        <v>6840.1122765160526</v>
      </c>
      <c r="AW142" s="43">
        <f t="shared" si="173"/>
        <v>-19201.667889246433</v>
      </c>
      <c r="AX142" s="92">
        <f t="shared" si="139"/>
        <v>-0.11450010667409918</v>
      </c>
      <c r="AY142" s="42">
        <f t="shared" si="151"/>
        <v>5070.6337921377999</v>
      </c>
      <c r="AZ142" s="43">
        <f t="shared" si="174"/>
        <v>-7290.9218205925827</v>
      </c>
      <c r="BA142" s="92">
        <f t="shared" si="140"/>
        <v>-4.3475979848494828E-2</v>
      </c>
      <c r="BC142" s="10">
        <f t="shared" si="155"/>
        <v>2070.3703703703704</v>
      </c>
      <c r="BD142" s="10">
        <f t="shared" si="156"/>
        <v>-1239.3313538531584</v>
      </c>
      <c r="BE142" s="10">
        <f t="shared" si="157"/>
        <v>-363.1498166245982</v>
      </c>
      <c r="BF142" s="10">
        <f t="shared" si="158"/>
        <v>-22.247375177164852</v>
      </c>
      <c r="BG142" s="10">
        <f t="shared" si="159"/>
        <v>-415.95823770894839</v>
      </c>
      <c r="BH142" s="10">
        <f t="shared" si="160"/>
        <v>-2040.6867833638698</v>
      </c>
      <c r="BI142" s="10">
        <f t="shared" si="161"/>
        <v>29.683587006500556</v>
      </c>
      <c r="BJ142" s="10">
        <f t="shared" si="162"/>
        <v>-107.44444444444444</v>
      </c>
      <c r="BK142" s="10">
        <f t="shared" si="163"/>
        <v>-115.841219614523</v>
      </c>
      <c r="BL142" s="10">
        <f t="shared" si="164"/>
        <v>-223.28566405896746</v>
      </c>
      <c r="BM142" s="10">
        <f t="shared" si="165"/>
        <v>-20.286387302229187</v>
      </c>
      <c r="BN142" s="10">
        <f t="shared" si="166"/>
        <v>61.276666666666664</v>
      </c>
      <c r="BO142" s="10">
        <f t="shared" si="167"/>
        <v>-152.61179768802941</v>
      </c>
      <c r="BP142" s="10">
        <f t="shared" si="168"/>
        <v>-84.44583057427225</v>
      </c>
      <c r="BQ142" s="10">
        <f t="shared" si="169"/>
        <v>-237.05762826230165</v>
      </c>
      <c r="BR142" s="10">
        <f t="shared" si="170"/>
        <v>62.600417186886418</v>
      </c>
      <c r="BS142" s="10">
        <f t="shared" si="171"/>
        <v>-90.011380501142995</v>
      </c>
    </row>
    <row r="143" spans="2:71" hidden="1">
      <c r="B143" s="7"/>
      <c r="C143" s="29" t="s">
        <v>705</v>
      </c>
      <c r="D143" s="25" t="s">
        <v>700</v>
      </c>
      <c r="E143" s="98">
        <v>130</v>
      </c>
      <c r="F143" s="98">
        <v>46164</v>
      </c>
      <c r="G143" s="99">
        <v>54</v>
      </c>
      <c r="H143" s="27" t="s">
        <v>33</v>
      </c>
      <c r="I143" s="27" t="s">
        <v>132</v>
      </c>
      <c r="J143" s="7" t="s">
        <v>733</v>
      </c>
      <c r="K143" s="7" t="s">
        <v>292</v>
      </c>
      <c r="L143" s="7" t="s">
        <v>730</v>
      </c>
      <c r="M143" s="21" t="s">
        <v>734</v>
      </c>
      <c r="N143" s="7" t="s">
        <v>732</v>
      </c>
      <c r="O143" s="20">
        <v>2030</v>
      </c>
      <c r="P143" s="59">
        <v>105560</v>
      </c>
      <c r="Q143" s="20">
        <v>1922.5555555555557</v>
      </c>
      <c r="R143" s="30">
        <v>5802</v>
      </c>
      <c r="S143" s="32">
        <v>103818</v>
      </c>
      <c r="T143" s="63">
        <v>2</v>
      </c>
      <c r="U143" s="57" t="s">
        <v>739</v>
      </c>
      <c r="V143" s="141" t="s">
        <v>753</v>
      </c>
      <c r="W143" s="60"/>
      <c r="X143" s="4"/>
      <c r="Y143" s="4" t="s">
        <v>867</v>
      </c>
      <c r="Z143" s="7">
        <v>10005721</v>
      </c>
      <c r="AA143" s="7"/>
      <c r="AB143" s="7"/>
      <c r="AC143" s="20">
        <f t="shared" si="172"/>
        <v>2040.6867833638698</v>
      </c>
      <c r="AD143" s="44">
        <f>IFERROR(INDEX('Costos Producción Febrero'!$G$34:$G$57,MATCH(Resumen!Z143,'Costos Producción Febrero'!$B$34:$B$57,0))*AC143*G143,0)</f>
        <v>66923.893108070552</v>
      </c>
      <c r="AE143" s="44">
        <f>IFERROR(INDEX('Costos Producción Febrero'!$H$34:$H$57,MATCH(Resumen!Z143,'Costos Producción Febrero'!$B$34:$B$57,0))*AC143*G143,0)</f>
        <v>19610.090097728302</v>
      </c>
      <c r="AF143" s="44">
        <f>IFERROR(INDEX('Costos Producción Febrero'!$I$34:$I$57,MATCH(Resumen!Z143,'Costos Producción Febrero'!$B$34:$B$57,0))*AC143*G143,0)</f>
        <v>1201.358259566902</v>
      </c>
      <c r="AG143" s="44">
        <f>IFERROR(INDEX('Costos Producción Febrero'!$J$34:$J$57,MATCH(Resumen!Z143,'Costos Producción Febrero'!$B$34:$B$57,0))*AC143*G143,0)</f>
        <v>22461.744836283215</v>
      </c>
      <c r="AH143" s="44">
        <f t="shared" si="141"/>
        <v>110197.08630164896</v>
      </c>
      <c r="AI143" s="44"/>
      <c r="AJ143" s="44">
        <v>2136.6867833638698</v>
      </c>
      <c r="AK143" s="44"/>
      <c r="AL143" s="43">
        <f t="shared" si="134"/>
        <v>-4637.0863016489602</v>
      </c>
      <c r="AM143" s="92">
        <f t="shared" si="135"/>
        <v>-4.3928441660183407E-2</v>
      </c>
      <c r="AN143" s="42">
        <f t="shared" si="142"/>
        <v>5802</v>
      </c>
      <c r="AO143" s="42">
        <v>0</v>
      </c>
      <c r="AP143" s="42">
        <f t="shared" si="146"/>
        <v>6255.4258591842417</v>
      </c>
      <c r="AQ143" s="42">
        <f t="shared" si="143"/>
        <v>12057.425859184241</v>
      </c>
      <c r="AR143" s="42">
        <f t="shared" si="147"/>
        <v>1095.464914320376</v>
      </c>
      <c r="AS143" s="42">
        <f t="shared" si="144"/>
        <v>3114.54</v>
      </c>
      <c r="AT143" s="43">
        <f t="shared" si="148"/>
        <v>-14675.437075153575</v>
      </c>
      <c r="AU143" s="92">
        <f t="shared" si="149"/>
        <v>-0.13902460283396717</v>
      </c>
      <c r="AV143" s="42">
        <f t="shared" si="150"/>
        <v>4560.0748510107014</v>
      </c>
      <c r="AW143" s="43">
        <f t="shared" si="173"/>
        <v>-19235.511926164276</v>
      </c>
      <c r="AX143" s="92">
        <f t="shared" si="139"/>
        <v>-0.18222349304816479</v>
      </c>
      <c r="AY143" s="42">
        <f t="shared" si="151"/>
        <v>3380.4225280918668</v>
      </c>
      <c r="AZ143" s="43">
        <f t="shared" si="174"/>
        <v>-11295.014547061708</v>
      </c>
      <c r="BA143" s="92">
        <f t="shared" si="140"/>
        <v>-0.10700089567129319</v>
      </c>
      <c r="BC143" s="10">
        <f t="shared" si="155"/>
        <v>1954.8148148148148</v>
      </c>
      <c r="BD143" s="10">
        <f t="shared" si="156"/>
        <v>-1239.3313538531584</v>
      </c>
      <c r="BE143" s="10">
        <f t="shared" si="157"/>
        <v>-363.1498166245982</v>
      </c>
      <c r="BF143" s="10">
        <f t="shared" si="158"/>
        <v>-22.247375177164852</v>
      </c>
      <c r="BG143" s="10">
        <f t="shared" si="159"/>
        <v>-415.95823770894845</v>
      </c>
      <c r="BH143" s="10">
        <f t="shared" si="160"/>
        <v>-2040.6867833638696</v>
      </c>
      <c r="BI143" s="10">
        <f t="shared" si="161"/>
        <v>-85.871968549054813</v>
      </c>
      <c r="BJ143" s="10">
        <f t="shared" si="162"/>
        <v>-107.44444444444444</v>
      </c>
      <c r="BK143" s="10">
        <f t="shared" si="163"/>
        <v>-115.841219614523</v>
      </c>
      <c r="BL143" s="10">
        <f t="shared" si="164"/>
        <v>-223.28566405896743</v>
      </c>
      <c r="BM143" s="10">
        <f t="shared" si="165"/>
        <v>-20.286387302229187</v>
      </c>
      <c r="BN143" s="10">
        <f t="shared" si="166"/>
        <v>57.676666666666669</v>
      </c>
      <c r="BO143" s="10">
        <f t="shared" si="167"/>
        <v>-271.76735324358475</v>
      </c>
      <c r="BP143" s="10">
        <f t="shared" si="168"/>
        <v>-84.44583057427225</v>
      </c>
      <c r="BQ143" s="10">
        <f t="shared" si="169"/>
        <v>-356.21318381785699</v>
      </c>
      <c r="BR143" s="10">
        <f t="shared" si="170"/>
        <v>62.600417186886425</v>
      </c>
      <c r="BS143" s="10">
        <f t="shared" si="171"/>
        <v>-209.16693605669829</v>
      </c>
    </row>
    <row r="144" spans="2:71" hidden="1">
      <c r="B144" s="7"/>
      <c r="C144" s="29" t="s">
        <v>705</v>
      </c>
      <c r="D144" s="25" t="s">
        <v>701</v>
      </c>
      <c r="E144" s="98">
        <v>46153</v>
      </c>
      <c r="F144" s="98">
        <v>46171</v>
      </c>
      <c r="G144" s="99">
        <v>24</v>
      </c>
      <c r="H144" s="27" t="s">
        <v>37</v>
      </c>
      <c r="I144" s="27" t="s">
        <v>126</v>
      </c>
      <c r="J144" s="7"/>
      <c r="K144" s="7" t="s">
        <v>127</v>
      </c>
      <c r="L144" s="7" t="s">
        <v>119</v>
      </c>
      <c r="M144" s="21" t="s">
        <v>43</v>
      </c>
      <c r="N144" s="7" t="s">
        <v>129</v>
      </c>
      <c r="O144" s="20">
        <v>1800</v>
      </c>
      <c r="P144" s="59">
        <v>43200</v>
      </c>
      <c r="Q144" s="20">
        <v>1654.125</v>
      </c>
      <c r="R144" s="30">
        <v>3501</v>
      </c>
      <c r="S144" s="32">
        <v>39699</v>
      </c>
      <c r="T144" s="63">
        <v>1</v>
      </c>
      <c r="U144" s="57" t="s">
        <v>754</v>
      </c>
      <c r="V144" s="141" t="s">
        <v>755</v>
      </c>
      <c r="W144" s="60"/>
      <c r="X144" s="4"/>
      <c r="Y144" s="4" t="s">
        <v>866</v>
      </c>
      <c r="Z144" s="7">
        <v>10007969</v>
      </c>
      <c r="AA144" s="7"/>
      <c r="AB144" s="7"/>
      <c r="AC144" s="20">
        <f t="shared" si="172"/>
        <v>1398.6793794440903</v>
      </c>
      <c r="AD144" s="44">
        <f>IFERROR(INDEX('Costos Producción Febrero'!$G$34:$G$57,MATCH(Resumen!Z144,'Costos Producción Febrero'!$B$34:$B$57,0))*AC144*G144,0)</f>
        <v>28435.601573671644</v>
      </c>
      <c r="AE144" s="44">
        <f>IFERROR(INDEX('Costos Producción Febrero'!$H$34:$H$57,MATCH(Resumen!Z144,'Costos Producción Febrero'!$B$34:$B$57,0))*AC144*G144,0)</f>
        <v>5710.4166519851406</v>
      </c>
      <c r="AF144" s="44">
        <f>IFERROR(INDEX('Costos Producción Febrero'!$I$34:$I$57,MATCH(Resumen!Z144,'Costos Producción Febrero'!$B$34:$B$57,0))*AC144*G144,0)</f>
        <v>439.40956055953501</v>
      </c>
      <c r="AG144" s="44">
        <f>IFERROR(INDEX('Costos Producción Febrero'!$J$34:$J$57,MATCH(Resumen!Z144,'Costos Producción Febrero'!$B$34:$B$57,0))*AC144*G144,0)</f>
        <v>-1017.1226795581591</v>
      </c>
      <c r="AH144" s="44">
        <f t="shared" si="141"/>
        <v>33568.305106658161</v>
      </c>
      <c r="AI144" s="44"/>
      <c r="AJ144" s="44">
        <v>1494.67937944409</v>
      </c>
      <c r="AK144" s="44"/>
      <c r="AL144" s="43">
        <f t="shared" si="134"/>
        <v>9631.6948933418389</v>
      </c>
      <c r="AM144" s="92">
        <f t="shared" si="135"/>
        <v>0.22295590030883886</v>
      </c>
      <c r="AN144" s="42">
        <f t="shared" si="142"/>
        <v>3501</v>
      </c>
      <c r="AO144" s="42">
        <v>0</v>
      </c>
      <c r="AP144" s="42">
        <f t="shared" si="146"/>
        <v>2780.1892707485522</v>
      </c>
      <c r="AQ144" s="42">
        <f t="shared" si="143"/>
        <v>6281.1892707485522</v>
      </c>
      <c r="AR144" s="42">
        <f t="shared" si="147"/>
        <v>486.87329525350049</v>
      </c>
      <c r="AS144" s="42">
        <f t="shared" si="144"/>
        <v>1190.97</v>
      </c>
      <c r="AT144" s="43">
        <f t="shared" si="148"/>
        <v>4054.6023273397859</v>
      </c>
      <c r="AU144" s="92">
        <f t="shared" si="149"/>
        <v>9.3856535355087631E-2</v>
      </c>
      <c r="AV144" s="42">
        <f t="shared" si="150"/>
        <v>2026.6999337825341</v>
      </c>
      <c r="AW144" s="43">
        <f t="shared" si="173"/>
        <v>2027.9023935572518</v>
      </c>
      <c r="AX144" s="92">
        <f t="shared" si="139"/>
        <v>4.6942185036047496E-2</v>
      </c>
      <c r="AY144" s="42">
        <f t="shared" si="151"/>
        <v>1502.4100124852739</v>
      </c>
      <c r="AZ144" s="43">
        <f t="shared" si="174"/>
        <v>5557.0123398250598</v>
      </c>
      <c r="BA144" s="92">
        <f t="shared" si="140"/>
        <v>0.12863454490335788</v>
      </c>
      <c r="BC144" s="10">
        <f t="shared" si="155"/>
        <v>1800</v>
      </c>
      <c r="BD144" s="10">
        <f t="shared" si="156"/>
        <v>-1184.8167322363186</v>
      </c>
      <c r="BE144" s="10">
        <f t="shared" si="157"/>
        <v>-237.93402716604751</v>
      </c>
      <c r="BF144" s="10">
        <f t="shared" si="158"/>
        <v>-18.308731689980625</v>
      </c>
      <c r="BG144" s="10">
        <f t="shared" si="159"/>
        <v>42.38011164825663</v>
      </c>
      <c r="BH144" s="10">
        <f t="shared" si="160"/>
        <v>-1398.67937944409</v>
      </c>
      <c r="BI144" s="10">
        <f t="shared" si="161"/>
        <v>401.32062055590995</v>
      </c>
      <c r="BJ144" s="10">
        <f t="shared" si="162"/>
        <v>-145.875</v>
      </c>
      <c r="BK144" s="10">
        <f t="shared" si="163"/>
        <v>-115.84121961452301</v>
      </c>
      <c r="BL144" s="10">
        <f t="shared" si="164"/>
        <v>-261.71621961452303</v>
      </c>
      <c r="BM144" s="10">
        <f t="shared" si="165"/>
        <v>-20.286387302229187</v>
      </c>
      <c r="BN144" s="10">
        <f t="shared" si="166"/>
        <v>49.623750000000001</v>
      </c>
      <c r="BO144" s="10">
        <f t="shared" si="167"/>
        <v>168.94176363915776</v>
      </c>
      <c r="BP144" s="10">
        <f t="shared" si="168"/>
        <v>-84.44583057427225</v>
      </c>
      <c r="BQ144" s="10">
        <f t="shared" si="169"/>
        <v>84.495933064885492</v>
      </c>
      <c r="BR144" s="10">
        <f t="shared" si="170"/>
        <v>62.600417186886411</v>
      </c>
      <c r="BS144" s="10">
        <f t="shared" si="171"/>
        <v>231.54218082604416</v>
      </c>
    </row>
    <row r="145" spans="2:71" hidden="1">
      <c r="B145" s="7"/>
      <c r="C145" s="29" t="s">
        <v>705</v>
      </c>
      <c r="D145" s="25" t="s">
        <v>702</v>
      </c>
      <c r="E145" s="98">
        <v>46153</v>
      </c>
      <c r="F145" s="98">
        <v>46164</v>
      </c>
      <c r="G145" s="99">
        <v>216</v>
      </c>
      <c r="H145" s="27" t="s">
        <v>33</v>
      </c>
      <c r="I145" s="27" t="s">
        <v>132</v>
      </c>
      <c r="J145" s="7" t="s">
        <v>729</v>
      </c>
      <c r="K145" s="7" t="s">
        <v>171</v>
      </c>
      <c r="L145" s="7" t="s">
        <v>202</v>
      </c>
      <c r="M145" s="21" t="s">
        <v>735</v>
      </c>
      <c r="N145" s="7" t="s">
        <v>736</v>
      </c>
      <c r="O145" s="20">
        <v>2020</v>
      </c>
      <c r="P145" s="59">
        <v>436320</v>
      </c>
      <c r="Q145" s="20">
        <v>1912.5925925925926</v>
      </c>
      <c r="R145" s="30">
        <v>23200</v>
      </c>
      <c r="S145" s="32">
        <v>413120</v>
      </c>
      <c r="T145" s="63">
        <v>8</v>
      </c>
      <c r="U145" s="57" t="s">
        <v>739</v>
      </c>
      <c r="V145" s="141">
        <v>6452679310</v>
      </c>
      <c r="W145" s="60"/>
      <c r="X145" s="4"/>
      <c r="Y145" s="4" t="s">
        <v>867</v>
      </c>
      <c r="Z145" s="7">
        <v>10005721</v>
      </c>
      <c r="AA145" s="7"/>
      <c r="AB145" s="7"/>
      <c r="AC145" s="20">
        <f t="shared" si="172"/>
        <v>2040.6867833638698</v>
      </c>
      <c r="AD145" s="44">
        <f>IFERROR(INDEX('Costos Producción Febrero'!$G$34:$G$57,MATCH(Resumen!Z145,'Costos Producción Febrero'!$B$34:$B$57,0))*AC145*G145,0)</f>
        <v>267695.57243228221</v>
      </c>
      <c r="AE145" s="44">
        <f>IFERROR(INDEX('Costos Producción Febrero'!$H$34:$H$57,MATCH(Resumen!Z145,'Costos Producción Febrero'!$B$34:$B$57,0))*AC145*G145,0)</f>
        <v>78440.360390913207</v>
      </c>
      <c r="AF145" s="44">
        <f>IFERROR(INDEX('Costos Producción Febrero'!$I$34:$I$57,MATCH(Resumen!Z145,'Costos Producción Febrero'!$B$34:$B$57,0))*AC145*G145,0)</f>
        <v>4805.433038267608</v>
      </c>
      <c r="AG145" s="44">
        <f>IFERROR(INDEX('Costos Producción Febrero'!$J$34:$J$57,MATCH(Resumen!Z145,'Costos Producción Febrero'!$B$34:$B$57,0))*AC145*G145,0)</f>
        <v>89846.979345132859</v>
      </c>
      <c r="AH145" s="44">
        <f t="shared" si="141"/>
        <v>440788.34520659584</v>
      </c>
      <c r="AI145" s="44"/>
      <c r="AJ145" s="44">
        <v>2136.6867833638698</v>
      </c>
      <c r="AK145" s="44"/>
      <c r="AL145" s="43">
        <f t="shared" si="134"/>
        <v>-4468.3452065958409</v>
      </c>
      <c r="AM145" s="92">
        <f t="shared" si="135"/>
        <v>-1.02409818633018E-2</v>
      </c>
      <c r="AN145" s="42">
        <f t="shared" si="142"/>
        <v>23200</v>
      </c>
      <c r="AO145" s="42">
        <v>0</v>
      </c>
      <c r="AP145" s="42">
        <f t="shared" si="146"/>
        <v>25021.703436736967</v>
      </c>
      <c r="AQ145" s="42">
        <f t="shared" si="143"/>
        <v>48221.703436736963</v>
      </c>
      <c r="AR145" s="42">
        <f t="shared" si="147"/>
        <v>4381.859657281504</v>
      </c>
      <c r="AS145" s="42">
        <f t="shared" si="144"/>
        <v>12393.6</v>
      </c>
      <c r="AT145" s="43">
        <f t="shared" si="148"/>
        <v>-44678.308300614306</v>
      </c>
      <c r="AU145" s="92">
        <f t="shared" si="149"/>
        <v>-0.10239802965854031</v>
      </c>
      <c r="AV145" s="42">
        <f t="shared" si="150"/>
        <v>18240.299404042806</v>
      </c>
      <c r="AW145" s="43">
        <f t="shared" si="173"/>
        <v>-62918.607704657115</v>
      </c>
      <c r="AX145" s="92">
        <f t="shared" si="139"/>
        <v>-0.14420289627946717</v>
      </c>
      <c r="AY145" s="42">
        <f t="shared" si="151"/>
        <v>13521.690112367467</v>
      </c>
      <c r="AZ145" s="43">
        <f t="shared" si="174"/>
        <v>-31156.618188246837</v>
      </c>
      <c r="BA145" s="92">
        <f t="shared" si="140"/>
        <v>-7.1407724120477717E-2</v>
      </c>
      <c r="BC145" s="10">
        <f t="shared" si="155"/>
        <v>2020</v>
      </c>
      <c r="BD145" s="10">
        <f t="shared" si="156"/>
        <v>-1239.3313538531584</v>
      </c>
      <c r="BE145" s="10">
        <f t="shared" si="157"/>
        <v>-363.1498166245982</v>
      </c>
      <c r="BF145" s="10">
        <f t="shared" si="158"/>
        <v>-22.247375177164852</v>
      </c>
      <c r="BG145" s="10">
        <f t="shared" si="159"/>
        <v>-415.95823770894845</v>
      </c>
      <c r="BH145" s="10">
        <f t="shared" si="160"/>
        <v>-2040.6867833638696</v>
      </c>
      <c r="BI145" s="10">
        <f t="shared" si="161"/>
        <v>-20.686783363869633</v>
      </c>
      <c r="BJ145" s="10">
        <f t="shared" si="162"/>
        <v>-107.4074074074074</v>
      </c>
      <c r="BK145" s="10">
        <f t="shared" si="163"/>
        <v>-115.841219614523</v>
      </c>
      <c r="BL145" s="10">
        <f t="shared" si="164"/>
        <v>-223.24862702193039</v>
      </c>
      <c r="BM145" s="10">
        <f t="shared" si="165"/>
        <v>-20.286387302229187</v>
      </c>
      <c r="BN145" s="10">
        <f t="shared" si="166"/>
        <v>57.37777777777778</v>
      </c>
      <c r="BO145" s="10">
        <f t="shared" si="167"/>
        <v>-206.8440199102514</v>
      </c>
      <c r="BP145" s="10">
        <f t="shared" si="168"/>
        <v>-84.44583057427225</v>
      </c>
      <c r="BQ145" s="10">
        <f t="shared" si="169"/>
        <v>-291.2898504845237</v>
      </c>
      <c r="BR145" s="10">
        <f t="shared" si="170"/>
        <v>62.600417186886425</v>
      </c>
      <c r="BS145" s="10">
        <f t="shared" si="171"/>
        <v>-144.243602723365</v>
      </c>
    </row>
    <row r="146" spans="2:71" hidden="1">
      <c r="B146" s="7"/>
      <c r="C146" s="29" t="s">
        <v>705</v>
      </c>
      <c r="D146" s="25" t="s">
        <v>703</v>
      </c>
      <c r="E146" s="98">
        <v>46153</v>
      </c>
      <c r="F146" s="98">
        <v>46170</v>
      </c>
      <c r="G146" s="99">
        <v>27</v>
      </c>
      <c r="H146" s="27" t="s">
        <v>33</v>
      </c>
      <c r="I146" s="27" t="s">
        <v>132</v>
      </c>
      <c r="J146" s="7" t="s">
        <v>729</v>
      </c>
      <c r="K146" s="7" t="s">
        <v>171</v>
      </c>
      <c r="L146" s="7" t="s">
        <v>202</v>
      </c>
      <c r="M146" s="21" t="s">
        <v>735</v>
      </c>
      <c r="N146" s="7" t="s">
        <v>736</v>
      </c>
      <c r="O146" s="20">
        <v>2020</v>
      </c>
      <c r="P146" s="59">
        <v>54540</v>
      </c>
      <c r="Q146" s="20">
        <v>1912.5925925925926</v>
      </c>
      <c r="R146" s="30">
        <v>2900</v>
      </c>
      <c r="S146" s="32">
        <v>51640</v>
      </c>
      <c r="T146" s="63">
        <v>1</v>
      </c>
      <c r="U146" s="57" t="s">
        <v>740</v>
      </c>
      <c r="V146" s="141">
        <v>6502206550</v>
      </c>
      <c r="W146" s="60"/>
      <c r="X146" s="4"/>
      <c r="Y146" s="4" t="s">
        <v>867</v>
      </c>
      <c r="Z146" s="7">
        <v>10005721</v>
      </c>
      <c r="AA146" s="7"/>
      <c r="AB146" s="7"/>
      <c r="AC146" s="20">
        <f t="shared" si="172"/>
        <v>2040.6867833638698</v>
      </c>
      <c r="AD146" s="44">
        <f>IFERROR(INDEX('Costos Producción Febrero'!$G$34:$G$57,MATCH(Resumen!Z146,'Costos Producción Febrero'!$B$34:$B$57,0))*AC146*G146,0)</f>
        <v>33461.946554035276</v>
      </c>
      <c r="AE146" s="44">
        <f>IFERROR(INDEX('Costos Producción Febrero'!$H$34:$H$57,MATCH(Resumen!Z146,'Costos Producción Febrero'!$B$34:$B$57,0))*AC146*G146,0)</f>
        <v>9805.0450488641509</v>
      </c>
      <c r="AF146" s="44">
        <f>IFERROR(INDEX('Costos Producción Febrero'!$I$34:$I$57,MATCH(Resumen!Z146,'Costos Producción Febrero'!$B$34:$B$57,0))*AC146*G146,0)</f>
        <v>600.679129783451</v>
      </c>
      <c r="AG146" s="44">
        <f>IFERROR(INDEX('Costos Producción Febrero'!$J$34:$J$57,MATCH(Resumen!Z146,'Costos Producción Febrero'!$B$34:$B$57,0))*AC146*G146,0)</f>
        <v>11230.872418141607</v>
      </c>
      <c r="AH146" s="44">
        <f t="shared" si="141"/>
        <v>55098.54315082448</v>
      </c>
      <c r="AI146" s="44"/>
      <c r="AJ146" s="44">
        <v>2136.6867833638698</v>
      </c>
      <c r="AK146" s="44"/>
      <c r="AL146" s="43">
        <f t="shared" si="134"/>
        <v>-558.54315082448011</v>
      </c>
      <c r="AM146" s="92">
        <f t="shared" si="135"/>
        <v>-1.02409818633018E-2</v>
      </c>
      <c r="AN146" s="42">
        <f t="shared" si="142"/>
        <v>2900</v>
      </c>
      <c r="AO146" s="42">
        <v>0</v>
      </c>
      <c r="AP146" s="42">
        <f t="shared" si="146"/>
        <v>3127.7129295921209</v>
      </c>
      <c r="AQ146" s="42">
        <f t="shared" si="143"/>
        <v>6027.7129295921204</v>
      </c>
      <c r="AR146" s="42">
        <f t="shared" si="147"/>
        <v>547.73245716018801</v>
      </c>
      <c r="AS146" s="42">
        <f t="shared" si="144"/>
        <v>1549.2</v>
      </c>
      <c r="AT146" s="43">
        <f t="shared" si="148"/>
        <v>-5584.7885375767883</v>
      </c>
      <c r="AU146" s="92">
        <f t="shared" si="149"/>
        <v>-0.10239802965854031</v>
      </c>
      <c r="AV146" s="42">
        <f t="shared" si="150"/>
        <v>2280.0374255053507</v>
      </c>
      <c r="AW146" s="43">
        <f t="shared" si="173"/>
        <v>-7864.8259630821394</v>
      </c>
      <c r="AX146" s="92">
        <f t="shared" si="139"/>
        <v>-0.14420289627946717</v>
      </c>
      <c r="AY146" s="42">
        <f t="shared" si="151"/>
        <v>1690.2112640459334</v>
      </c>
      <c r="AZ146" s="43">
        <f t="shared" si="174"/>
        <v>-3894.5772735308547</v>
      </c>
      <c r="BA146" s="92">
        <f t="shared" si="140"/>
        <v>-7.1407724120477717E-2</v>
      </c>
      <c r="BC146" s="10">
        <f t="shared" si="155"/>
        <v>2020</v>
      </c>
      <c r="BD146" s="10">
        <f t="shared" si="156"/>
        <v>-1239.3313538531584</v>
      </c>
      <c r="BE146" s="10">
        <f t="shared" si="157"/>
        <v>-363.1498166245982</v>
      </c>
      <c r="BF146" s="10">
        <f t="shared" si="158"/>
        <v>-22.247375177164852</v>
      </c>
      <c r="BG146" s="10">
        <f t="shared" si="159"/>
        <v>-415.95823770894845</v>
      </c>
      <c r="BH146" s="10">
        <f t="shared" si="160"/>
        <v>-2040.6867833638696</v>
      </c>
      <c r="BI146" s="10">
        <f t="shared" si="161"/>
        <v>-20.686783363869633</v>
      </c>
      <c r="BJ146" s="10">
        <f t="shared" si="162"/>
        <v>-107.4074074074074</v>
      </c>
      <c r="BK146" s="10">
        <f t="shared" si="163"/>
        <v>-115.841219614523</v>
      </c>
      <c r="BL146" s="10">
        <f t="shared" si="164"/>
        <v>-223.24862702193039</v>
      </c>
      <c r="BM146" s="10">
        <f t="shared" si="165"/>
        <v>-20.286387302229187</v>
      </c>
      <c r="BN146" s="10">
        <f t="shared" si="166"/>
        <v>57.37777777777778</v>
      </c>
      <c r="BO146" s="10">
        <f t="shared" si="167"/>
        <v>-206.8440199102514</v>
      </c>
      <c r="BP146" s="10">
        <f t="shared" si="168"/>
        <v>-84.44583057427225</v>
      </c>
      <c r="BQ146" s="10">
        <f t="shared" si="169"/>
        <v>-291.2898504845237</v>
      </c>
      <c r="BR146" s="10">
        <f t="shared" si="170"/>
        <v>62.600417186886425</v>
      </c>
      <c r="BS146" s="10">
        <f t="shared" si="171"/>
        <v>-144.243602723365</v>
      </c>
    </row>
    <row r="147" spans="2:71" hidden="1">
      <c r="B147" s="7"/>
      <c r="C147" s="29" t="s">
        <v>705</v>
      </c>
      <c r="D147" s="25" t="s">
        <v>704</v>
      </c>
      <c r="E147" s="98">
        <v>133</v>
      </c>
      <c r="F147" s="98">
        <v>46167</v>
      </c>
      <c r="G147" s="99">
        <v>26</v>
      </c>
      <c r="H147" s="27" t="s">
        <v>36</v>
      </c>
      <c r="I147" s="27" t="s">
        <v>107</v>
      </c>
      <c r="J147" s="7"/>
      <c r="K147" s="7" t="s">
        <v>161</v>
      </c>
      <c r="L147" s="7" t="s">
        <v>147</v>
      </c>
      <c r="M147" s="21" t="s">
        <v>53</v>
      </c>
      <c r="N147" s="7" t="s">
        <v>148</v>
      </c>
      <c r="O147" s="20">
        <v>2850</v>
      </c>
      <c r="P147" s="59">
        <v>74100</v>
      </c>
      <c r="Q147" s="20">
        <v>2651.9230769230771</v>
      </c>
      <c r="R147" s="30">
        <v>5150</v>
      </c>
      <c r="S147" s="32">
        <v>68950</v>
      </c>
      <c r="T147" s="63">
        <v>1</v>
      </c>
      <c r="U147" s="57" t="s">
        <v>756</v>
      </c>
      <c r="V147" s="141">
        <v>15593336</v>
      </c>
      <c r="W147" s="60"/>
      <c r="X147" s="4"/>
      <c r="Y147" s="4" t="s">
        <v>867</v>
      </c>
      <c r="Z147" s="7">
        <v>10007567</v>
      </c>
      <c r="AA147" s="7"/>
      <c r="AB147" s="7"/>
      <c r="AC147" s="20">
        <f t="shared" si="172"/>
        <v>1725.2402425897003</v>
      </c>
      <c r="AD147" s="44">
        <f>IFERROR(INDEX('Costos Producción Febrero'!$G$34:$G$57,MATCH(Resumen!Z147,'Costos Producción Febrero'!$B$34:$B$57,0))*AC147*G147,0)</f>
        <v>27702.436781472541</v>
      </c>
      <c r="AE147" s="44">
        <f>IFERROR(INDEX('Costos Producción Febrero'!$H$34:$H$57,MATCH(Resumen!Z147,'Costos Producción Febrero'!$B$34:$B$57,0))*AC147*G147,0)</f>
        <v>7465.9246078777433</v>
      </c>
      <c r="AF147" s="44">
        <f>IFERROR(INDEX('Costos Producción Febrero'!$I$34:$I$57,MATCH(Resumen!Z147,'Costos Producción Febrero'!$B$34:$B$57,0))*AC147*G147,0)</f>
        <v>484.15037207749674</v>
      </c>
      <c r="AG147" s="44">
        <f>IFERROR(INDEX('Costos Producción Febrero'!$J$34:$J$57,MATCH(Resumen!Z147,'Costos Producción Febrero'!$B$34:$B$57,0))*AC147*G147,0)</f>
        <v>9203.7345459044245</v>
      </c>
      <c r="AH147" s="44">
        <f t="shared" si="141"/>
        <v>44856.246307332207</v>
      </c>
      <c r="AI147" s="44"/>
      <c r="AJ147" s="44">
        <v>1821.2402425897001</v>
      </c>
      <c r="AK147" s="44"/>
      <c r="AL147" s="43">
        <f t="shared" si="134"/>
        <v>29243.753692667793</v>
      </c>
      <c r="AM147" s="92">
        <f t="shared" si="135"/>
        <v>0.39465254645975428</v>
      </c>
      <c r="AN147" s="42">
        <f t="shared" si="142"/>
        <v>5150</v>
      </c>
      <c r="AO147" s="42">
        <v>0</v>
      </c>
      <c r="AP147" s="42">
        <f t="shared" si="146"/>
        <v>3011.8717099775981</v>
      </c>
      <c r="AQ147" s="42">
        <f t="shared" si="143"/>
        <v>8161.8717099775986</v>
      </c>
      <c r="AR147" s="42">
        <f t="shared" si="147"/>
        <v>527.44606985795883</v>
      </c>
      <c r="AS147" s="42">
        <f t="shared" si="144"/>
        <v>2068.5</v>
      </c>
      <c r="AT147" s="43">
        <f t="shared" si="148"/>
        <v>22622.935912832236</v>
      </c>
      <c r="AU147" s="92">
        <f t="shared" si="149"/>
        <v>0.30530277885063745</v>
      </c>
      <c r="AV147" s="42">
        <f t="shared" si="150"/>
        <v>2195.5915949310784</v>
      </c>
      <c r="AW147" s="43">
        <f t="shared" si="173"/>
        <v>20427.344317901159</v>
      </c>
      <c r="AX147" s="92">
        <f t="shared" si="139"/>
        <v>0.27567266285966474</v>
      </c>
      <c r="AY147" s="42">
        <f t="shared" si="151"/>
        <v>1627.6108468590469</v>
      </c>
      <c r="AZ147" s="43">
        <f t="shared" si="174"/>
        <v>24250.546759691282</v>
      </c>
      <c r="BA147" s="92">
        <f t="shared" si="140"/>
        <v>0.32726783751270289</v>
      </c>
      <c r="BC147" s="10">
        <f t="shared" si="155"/>
        <v>2850</v>
      </c>
      <c r="BD147" s="10">
        <f t="shared" si="156"/>
        <v>-1065.4783377489439</v>
      </c>
      <c r="BE147" s="10">
        <f t="shared" si="157"/>
        <v>-287.15094645683627</v>
      </c>
      <c r="BF147" s="10">
        <f t="shared" si="158"/>
        <v>-18.621168156826798</v>
      </c>
      <c r="BG147" s="10">
        <f t="shared" si="159"/>
        <v>-353.98979022709324</v>
      </c>
      <c r="BH147" s="10">
        <f t="shared" si="160"/>
        <v>-1725.2402425897003</v>
      </c>
      <c r="BI147" s="10">
        <f t="shared" si="161"/>
        <v>1124.7597574102997</v>
      </c>
      <c r="BJ147" s="10">
        <f t="shared" si="162"/>
        <v>-198.07692307692307</v>
      </c>
      <c r="BK147" s="10">
        <f t="shared" si="163"/>
        <v>-115.841219614523</v>
      </c>
      <c r="BL147" s="10">
        <f t="shared" si="164"/>
        <v>-313.91814269144612</v>
      </c>
      <c r="BM147" s="10">
        <f t="shared" si="165"/>
        <v>-20.286387302229187</v>
      </c>
      <c r="BN147" s="10">
        <f t="shared" si="166"/>
        <v>79.557692307692307</v>
      </c>
      <c r="BO147" s="10">
        <f t="shared" si="167"/>
        <v>870.11291972431673</v>
      </c>
      <c r="BP147" s="10">
        <f t="shared" si="168"/>
        <v>-84.44583057427225</v>
      </c>
      <c r="BQ147" s="10">
        <f t="shared" si="169"/>
        <v>785.6670891500446</v>
      </c>
      <c r="BR147" s="10">
        <f t="shared" si="170"/>
        <v>62.600417186886418</v>
      </c>
      <c r="BS147" s="10">
        <f t="shared" si="171"/>
        <v>932.71333691120321</v>
      </c>
    </row>
    <row r="148" spans="2:71" hidden="1">
      <c r="C148" s="29" t="s">
        <v>463</v>
      </c>
      <c r="D148" s="124"/>
      <c r="E148" s="125">
        <v>46142</v>
      </c>
      <c r="F148" s="125">
        <v>46142</v>
      </c>
      <c r="G148" s="148">
        <v>0</v>
      </c>
      <c r="H148" s="100" t="s">
        <v>417</v>
      </c>
      <c r="I148" s="27" t="s">
        <v>418</v>
      </c>
      <c r="J148" s="27" t="s">
        <v>418</v>
      </c>
      <c r="K148" s="27" t="s">
        <v>418</v>
      </c>
      <c r="L148" s="27" t="s">
        <v>418</v>
      </c>
      <c r="M148" s="27" t="s">
        <v>419</v>
      </c>
      <c r="N148" s="7"/>
      <c r="O148" s="42">
        <v>0</v>
      </c>
      <c r="P148" s="50">
        <v>37768.57</v>
      </c>
      <c r="Q148" s="42">
        <v>0</v>
      </c>
      <c r="R148" s="42">
        <v>0</v>
      </c>
      <c r="S148" s="43">
        <f t="shared" ref="S148" si="175">P148-R148</f>
        <v>37768.57</v>
      </c>
      <c r="T148" s="58"/>
      <c r="U148" s="95"/>
      <c r="V148" s="57"/>
      <c r="W148" s="25"/>
      <c r="X148" s="4"/>
      <c r="Y148" s="4" t="s">
        <v>869</v>
      </c>
      <c r="Z148" s="7"/>
      <c r="AA148" s="7"/>
      <c r="AB148" s="7"/>
      <c r="AC148" s="26">
        <f t="shared" ref="AC148" si="176">IFERROR(AH148/G148,0)</f>
        <v>0</v>
      </c>
      <c r="AD148" s="42">
        <f>IFERROR(INDEX('Costos Producción Febrero'!$G$34:$G$57,MATCH(Resumen!Z148,'Costos Producción Febrero'!$B$34:$B$57,0))*AJ148*G148,0)*1.25</f>
        <v>0</v>
      </c>
      <c r="AE148" s="42">
        <f>IFERROR(INDEX('Costos Producción Febrero'!$H$34:$H$57,MATCH(Resumen!Z148,'Costos Producción Febrero'!$B$34:$B$57,0))*AJ148*G148,0)</f>
        <v>0</v>
      </c>
      <c r="AF148" s="42">
        <f>IFERROR(INDEX('Costos Producción Febrero'!$I$34:$I$57,MATCH(Resumen!Z148,'Costos Producción Febrero'!$B$34:$B$57,0))*AJ148*G148,0)</f>
        <v>0</v>
      </c>
      <c r="AG148" s="42">
        <f>IFERROR(INDEX('Costos Producción Febrero'!$J$34:$J$57,MATCH(Resumen!Z148,'Costos Producción Febrero'!$B$34:$B$57,0))*AJ148*G148,0)</f>
        <v>0</v>
      </c>
      <c r="AH148" s="42">
        <f t="shared" ref="AH148" si="177">SUM(AD148:AG148)</f>
        <v>0</v>
      </c>
      <c r="AI148" s="42"/>
      <c r="AJ148" s="113"/>
      <c r="AK148" s="42"/>
      <c r="AL148" s="43">
        <f t="shared" ref="AL148" si="178">P148-AH148</f>
        <v>37768.57</v>
      </c>
      <c r="AM148" s="114">
        <f t="shared" ref="AM148" si="179">AL148/P148</f>
        <v>1</v>
      </c>
      <c r="AN148" s="42">
        <f t="shared" ref="AN148" si="180">R148</f>
        <v>0</v>
      </c>
      <c r="AO148" s="42">
        <f t="shared" ref="AO148" si="181">118461.136538461/5988.21*G148</f>
        <v>0</v>
      </c>
      <c r="AP148" s="42">
        <f>1882/26*G148</f>
        <v>0</v>
      </c>
      <c r="AQ148" s="42">
        <f>SUM(AN148:AP148)</f>
        <v>0</v>
      </c>
      <c r="AR148" s="42">
        <f>56604/1634.3*G148</f>
        <v>0</v>
      </c>
      <c r="AS148" s="42">
        <v>0</v>
      </c>
      <c r="AT148" s="43">
        <f t="shared" ref="AT148" si="182">AL148-AQ148-AR148+AS148</f>
        <v>37768.57</v>
      </c>
      <c r="AU148" s="114">
        <f t="shared" ref="AU148" si="183">AT148/P148</f>
        <v>1</v>
      </c>
      <c r="AV148" s="42">
        <f>131251/248*G148</f>
        <v>0</v>
      </c>
      <c r="AW148" s="43">
        <f t="shared" ref="AW148" si="184">AT148-AV148</f>
        <v>37768.57</v>
      </c>
      <c r="AX148" s="114">
        <f t="shared" ref="AX148" si="185">AW148/P148</f>
        <v>1</v>
      </c>
      <c r="AY148" s="42">
        <f>123844.283333333/2110.11*G148</f>
        <v>0</v>
      </c>
      <c r="AZ148" s="43">
        <f t="shared" ref="AZ148" si="186">AT148+AY148</f>
        <v>37768.57</v>
      </c>
      <c r="BA148" s="114">
        <f t="shared" ref="BA148" si="187">AZ148/P148</f>
        <v>1</v>
      </c>
      <c r="BC148" s="10" t="e">
        <f t="shared" si="155"/>
        <v>#DIV/0!</v>
      </c>
      <c r="BD148" s="10" t="e">
        <f t="shared" si="156"/>
        <v>#DIV/0!</v>
      </c>
      <c r="BE148" s="10" t="e">
        <f t="shared" si="157"/>
        <v>#DIV/0!</v>
      </c>
      <c r="BF148" s="10" t="e">
        <f t="shared" si="158"/>
        <v>#DIV/0!</v>
      </c>
      <c r="BG148" s="10" t="e">
        <f t="shared" si="159"/>
        <v>#DIV/0!</v>
      </c>
      <c r="BH148" s="10" t="e">
        <f t="shared" si="160"/>
        <v>#DIV/0!</v>
      </c>
      <c r="BI148" s="10" t="e">
        <f t="shared" si="161"/>
        <v>#DIV/0!</v>
      </c>
      <c r="BJ148" s="10" t="e">
        <f t="shared" si="162"/>
        <v>#DIV/0!</v>
      </c>
      <c r="BK148" s="10" t="e">
        <f t="shared" si="163"/>
        <v>#DIV/0!</v>
      </c>
      <c r="BL148" s="10" t="e">
        <f t="shared" si="164"/>
        <v>#DIV/0!</v>
      </c>
      <c r="BM148" s="10" t="e">
        <f t="shared" si="165"/>
        <v>#DIV/0!</v>
      </c>
      <c r="BN148" s="10" t="e">
        <f t="shared" si="166"/>
        <v>#DIV/0!</v>
      </c>
      <c r="BO148" s="10" t="e">
        <f t="shared" si="167"/>
        <v>#DIV/0!</v>
      </c>
      <c r="BP148" s="10" t="e">
        <f t="shared" si="168"/>
        <v>#DIV/0!</v>
      </c>
      <c r="BQ148" s="10" t="e">
        <f t="shared" si="169"/>
        <v>#DIV/0!</v>
      </c>
      <c r="BR148" s="10" t="e">
        <f t="shared" si="170"/>
        <v>#DIV/0!</v>
      </c>
      <c r="BS148" s="10" t="e">
        <f t="shared" si="171"/>
        <v>#DIV/0!</v>
      </c>
    </row>
    <row r="149" spans="2:71" hidden="1">
      <c r="C149" s="29" t="s">
        <v>705</v>
      </c>
      <c r="D149" s="124"/>
      <c r="E149" s="125">
        <v>46172</v>
      </c>
      <c r="F149" s="125">
        <v>46172</v>
      </c>
      <c r="G149" s="148">
        <v>0</v>
      </c>
      <c r="H149" s="100" t="s">
        <v>417</v>
      </c>
      <c r="I149" s="27" t="s">
        <v>418</v>
      </c>
      <c r="J149" s="27" t="s">
        <v>418</v>
      </c>
      <c r="K149" s="27" t="s">
        <v>418</v>
      </c>
      <c r="L149" s="27" t="s">
        <v>418</v>
      </c>
      <c r="M149" s="27" t="s">
        <v>419</v>
      </c>
      <c r="N149" s="7"/>
      <c r="O149" s="42">
        <v>0</v>
      </c>
      <c r="P149" s="50">
        <v>23613.25</v>
      </c>
      <c r="Q149" s="42">
        <v>0</v>
      </c>
      <c r="R149" s="42">
        <v>0</v>
      </c>
      <c r="S149" s="43">
        <f t="shared" ref="S149:S151" si="188">P149-R149</f>
        <v>23613.25</v>
      </c>
      <c r="T149" s="58"/>
      <c r="U149" s="95"/>
      <c r="V149" s="57"/>
      <c r="W149" s="25"/>
      <c r="X149" s="4"/>
      <c r="Y149" s="4" t="s">
        <v>869</v>
      </c>
      <c r="Z149" s="7"/>
      <c r="AA149" s="7"/>
      <c r="AB149" s="7"/>
      <c r="AC149" s="26">
        <f t="shared" ref="AC149:AC151" si="189">IFERROR(AH149/G149,0)</f>
        <v>0</v>
      </c>
      <c r="AD149" s="42">
        <f>IFERROR(INDEX('Costos Producción Febrero'!$G$34:$G$57,MATCH(Resumen!Z149,'Costos Producción Febrero'!$B$34:$B$57,0))*AJ149*G149,0)*1.25</f>
        <v>0</v>
      </c>
      <c r="AE149" s="42">
        <f>IFERROR(INDEX('Costos Producción Febrero'!$H$34:$H$57,MATCH(Resumen!Z149,'Costos Producción Febrero'!$B$34:$B$57,0))*AJ149*G149,0)</f>
        <v>0</v>
      </c>
      <c r="AF149" s="42">
        <f>IFERROR(INDEX('Costos Producción Febrero'!$I$34:$I$57,MATCH(Resumen!Z149,'Costos Producción Febrero'!$B$34:$B$57,0))*AJ149*G149,0)</f>
        <v>0</v>
      </c>
      <c r="AG149" s="42">
        <f>IFERROR(INDEX('Costos Producción Febrero'!$J$34:$J$57,MATCH(Resumen!Z149,'Costos Producción Febrero'!$B$34:$B$57,0))*AJ149*G149,0)</f>
        <v>0</v>
      </c>
      <c r="AH149" s="42">
        <f t="shared" si="141"/>
        <v>0</v>
      </c>
      <c r="AI149" s="42"/>
      <c r="AJ149" s="113"/>
      <c r="AK149" s="42"/>
      <c r="AL149" s="43">
        <f t="shared" si="134"/>
        <v>23613.25</v>
      </c>
      <c r="AM149" s="114">
        <f t="shared" si="135"/>
        <v>1</v>
      </c>
      <c r="AN149" s="42">
        <f t="shared" si="142"/>
        <v>0</v>
      </c>
      <c r="AO149" s="42">
        <f t="shared" ref="AO149:AO150" si="190">118461.136538461/5988.21*G149</f>
        <v>0</v>
      </c>
      <c r="AP149" s="42">
        <f>1882/26*G149</f>
        <v>0</v>
      </c>
      <c r="AQ149" s="42">
        <f>SUM(AN149:AP149)</f>
        <v>0</v>
      </c>
      <c r="AR149" s="42">
        <f>56604/1634.3*G149</f>
        <v>0</v>
      </c>
      <c r="AS149" s="42">
        <v>0</v>
      </c>
      <c r="AT149" s="43">
        <f t="shared" si="148"/>
        <v>23613.25</v>
      </c>
      <c r="AU149" s="114">
        <f t="shared" si="149"/>
        <v>1</v>
      </c>
      <c r="AV149" s="42">
        <f>131251/248*G149</f>
        <v>0</v>
      </c>
      <c r="AW149" s="43">
        <f t="shared" si="173"/>
        <v>23613.25</v>
      </c>
      <c r="AX149" s="114">
        <f t="shared" si="139"/>
        <v>1</v>
      </c>
      <c r="AY149" s="42">
        <f>123844.283333333/1978.33*G149</f>
        <v>0</v>
      </c>
      <c r="AZ149" s="43">
        <f t="shared" si="174"/>
        <v>23613.25</v>
      </c>
      <c r="BA149" s="114">
        <f t="shared" si="140"/>
        <v>1</v>
      </c>
      <c r="BC149" s="10" t="e">
        <f t="shared" si="155"/>
        <v>#DIV/0!</v>
      </c>
      <c r="BD149" s="10" t="e">
        <f t="shared" si="156"/>
        <v>#DIV/0!</v>
      </c>
      <c r="BE149" s="10" t="e">
        <f t="shared" si="157"/>
        <v>#DIV/0!</v>
      </c>
      <c r="BF149" s="10" t="e">
        <f t="shared" si="158"/>
        <v>#DIV/0!</v>
      </c>
      <c r="BG149" s="10" t="e">
        <f t="shared" si="159"/>
        <v>#DIV/0!</v>
      </c>
      <c r="BH149" s="10" t="e">
        <f t="shared" si="160"/>
        <v>#DIV/0!</v>
      </c>
      <c r="BI149" s="10" t="e">
        <f t="shared" si="161"/>
        <v>#DIV/0!</v>
      </c>
      <c r="BJ149" s="10" t="e">
        <f t="shared" si="162"/>
        <v>#DIV/0!</v>
      </c>
      <c r="BK149" s="10" t="e">
        <f t="shared" si="163"/>
        <v>#DIV/0!</v>
      </c>
      <c r="BL149" s="10" t="e">
        <f t="shared" si="164"/>
        <v>#DIV/0!</v>
      </c>
      <c r="BM149" s="10" t="e">
        <f t="shared" si="165"/>
        <v>#DIV/0!</v>
      </c>
      <c r="BN149" s="10" t="e">
        <f t="shared" si="166"/>
        <v>#DIV/0!</v>
      </c>
      <c r="BO149" s="10" t="e">
        <f t="shared" si="167"/>
        <v>#DIV/0!</v>
      </c>
      <c r="BP149" s="10" t="e">
        <f t="shared" si="168"/>
        <v>#DIV/0!</v>
      </c>
      <c r="BQ149" s="10" t="e">
        <f t="shared" si="169"/>
        <v>#DIV/0!</v>
      </c>
      <c r="BR149" s="10" t="e">
        <f t="shared" si="170"/>
        <v>#DIV/0!</v>
      </c>
      <c r="BS149" s="10" t="e">
        <f t="shared" si="171"/>
        <v>#DIV/0!</v>
      </c>
    </row>
    <row r="150" spans="2:71" hidden="1">
      <c r="C150" s="29" t="s">
        <v>757</v>
      </c>
      <c r="D150" s="124"/>
      <c r="E150" s="125">
        <v>46203</v>
      </c>
      <c r="F150" s="125">
        <v>46203</v>
      </c>
      <c r="G150" s="148">
        <v>0</v>
      </c>
      <c r="H150" s="100" t="s">
        <v>417</v>
      </c>
      <c r="I150" s="27" t="s">
        <v>418</v>
      </c>
      <c r="J150" s="27" t="s">
        <v>418</v>
      </c>
      <c r="K150" s="27" t="s">
        <v>418</v>
      </c>
      <c r="L150" s="27" t="s">
        <v>418</v>
      </c>
      <c r="M150" s="27" t="s">
        <v>419</v>
      </c>
      <c r="N150" s="7"/>
      <c r="O150" s="42">
        <v>0</v>
      </c>
      <c r="P150" s="50">
        <v>42995.3</v>
      </c>
      <c r="Q150" s="42">
        <v>0</v>
      </c>
      <c r="R150" s="42">
        <v>0</v>
      </c>
      <c r="S150" s="43">
        <f t="shared" si="188"/>
        <v>42995.3</v>
      </c>
      <c r="T150" s="58"/>
      <c r="U150" s="95"/>
      <c r="V150" s="57"/>
      <c r="W150" s="25"/>
      <c r="X150" s="4"/>
      <c r="Y150" s="4" t="s">
        <v>869</v>
      </c>
      <c r="Z150" s="7"/>
      <c r="AA150" s="7"/>
      <c r="AB150" s="7"/>
      <c r="AC150" s="26">
        <f t="shared" si="189"/>
        <v>0</v>
      </c>
      <c r="AD150" s="42">
        <f>IFERROR(INDEX('Costos Producción Febrero'!$G$34:$G$57,MATCH(Resumen!Z150,'Costos Producción Febrero'!$B$34:$B$57,0))*AJ150*G150,0)*1.25</f>
        <v>0</v>
      </c>
      <c r="AE150" s="42">
        <f>IFERROR(INDEX('Costos Producción Febrero'!$H$34:$H$57,MATCH(Resumen!Z150,'Costos Producción Febrero'!$B$34:$B$57,0))*AJ150*G150,0)</f>
        <v>0</v>
      </c>
      <c r="AF150" s="42">
        <f>IFERROR(INDEX('Costos Producción Febrero'!$I$34:$I$57,MATCH(Resumen!Z150,'Costos Producción Febrero'!$B$34:$B$57,0))*AJ150*G150,0)</f>
        <v>0</v>
      </c>
      <c r="AG150" s="42">
        <f>IFERROR(INDEX('Costos Producción Febrero'!$J$34:$J$57,MATCH(Resumen!Z150,'Costos Producción Febrero'!$B$34:$B$57,0))*AJ150*G150,0)</f>
        <v>0</v>
      </c>
      <c r="AH150" s="42">
        <f t="shared" si="141"/>
        <v>0</v>
      </c>
      <c r="AI150" s="42"/>
      <c r="AJ150" s="113"/>
      <c r="AK150" s="42"/>
      <c r="AL150" s="43">
        <f t="shared" si="134"/>
        <v>42995.3</v>
      </c>
      <c r="AM150" s="114">
        <f t="shared" si="135"/>
        <v>1</v>
      </c>
      <c r="AN150" s="42">
        <f t="shared" si="142"/>
        <v>0</v>
      </c>
      <c r="AO150" s="42">
        <f t="shared" si="190"/>
        <v>0</v>
      </c>
      <c r="AP150" s="42">
        <f>1882/26*G150</f>
        <v>0</v>
      </c>
      <c r="AQ150" s="42">
        <f>SUM(AN150:AP150)</f>
        <v>0</v>
      </c>
      <c r="AR150" s="42">
        <f>56604/1634.3*G150</f>
        <v>0</v>
      </c>
      <c r="AS150" s="42">
        <v>0</v>
      </c>
      <c r="AT150" s="43">
        <f t="shared" si="148"/>
        <v>42995.3</v>
      </c>
      <c r="AU150" s="114">
        <f t="shared" si="149"/>
        <v>1</v>
      </c>
      <c r="AV150" s="42">
        <v>0</v>
      </c>
      <c r="AW150" s="43">
        <f t="shared" si="173"/>
        <v>42995.3</v>
      </c>
      <c r="AX150" s="114">
        <f t="shared" si="139"/>
        <v>1</v>
      </c>
      <c r="AY150" s="110">
        <f>123844.283333333/1131.78*G150</f>
        <v>0</v>
      </c>
      <c r="AZ150" s="43">
        <f t="shared" si="174"/>
        <v>42995.3</v>
      </c>
      <c r="BA150" s="114">
        <f t="shared" si="140"/>
        <v>1</v>
      </c>
      <c r="BC150" s="10" t="e">
        <f t="shared" si="155"/>
        <v>#DIV/0!</v>
      </c>
      <c r="BD150" s="10" t="e">
        <f t="shared" si="156"/>
        <v>#DIV/0!</v>
      </c>
      <c r="BE150" s="10" t="e">
        <f t="shared" si="157"/>
        <v>#DIV/0!</v>
      </c>
      <c r="BF150" s="10" t="e">
        <f t="shared" si="158"/>
        <v>#DIV/0!</v>
      </c>
      <c r="BG150" s="10" t="e">
        <f t="shared" si="159"/>
        <v>#DIV/0!</v>
      </c>
      <c r="BH150" s="10" t="e">
        <f t="shared" si="160"/>
        <v>#DIV/0!</v>
      </c>
      <c r="BI150" s="10" t="e">
        <f t="shared" si="161"/>
        <v>#DIV/0!</v>
      </c>
      <c r="BJ150" s="10" t="e">
        <f t="shared" si="162"/>
        <v>#DIV/0!</v>
      </c>
      <c r="BK150" s="10" t="e">
        <f t="shared" si="163"/>
        <v>#DIV/0!</v>
      </c>
      <c r="BL150" s="10" t="e">
        <f t="shared" si="164"/>
        <v>#DIV/0!</v>
      </c>
      <c r="BM150" s="10" t="e">
        <f t="shared" si="165"/>
        <v>#DIV/0!</v>
      </c>
      <c r="BN150" s="10" t="e">
        <f t="shared" si="166"/>
        <v>#DIV/0!</v>
      </c>
      <c r="BO150" s="10" t="e">
        <f t="shared" si="167"/>
        <v>#DIV/0!</v>
      </c>
      <c r="BP150" s="10" t="e">
        <f t="shared" si="168"/>
        <v>#DIV/0!</v>
      </c>
      <c r="BQ150" s="10" t="e">
        <f t="shared" si="169"/>
        <v>#DIV/0!</v>
      </c>
      <c r="BR150" s="10" t="e">
        <f t="shared" si="170"/>
        <v>#DIV/0!</v>
      </c>
      <c r="BS150" s="10" t="e">
        <f t="shared" si="171"/>
        <v>#DIV/0!</v>
      </c>
    </row>
    <row r="151" spans="2:71" hidden="1">
      <c r="C151" s="29" t="s">
        <v>806</v>
      </c>
      <c r="D151" s="124"/>
      <c r="E151" s="125">
        <v>46233</v>
      </c>
      <c r="F151" s="125">
        <v>46233</v>
      </c>
      <c r="G151" s="148">
        <v>0</v>
      </c>
      <c r="H151" s="100" t="s">
        <v>417</v>
      </c>
      <c r="I151" s="27" t="s">
        <v>418</v>
      </c>
      <c r="J151" s="27" t="s">
        <v>418</v>
      </c>
      <c r="K151" s="27" t="s">
        <v>418</v>
      </c>
      <c r="L151" s="27" t="s">
        <v>418</v>
      </c>
      <c r="M151" s="27" t="s">
        <v>419</v>
      </c>
      <c r="N151" s="7"/>
      <c r="O151" s="42">
        <v>0</v>
      </c>
      <c r="P151" s="50">
        <v>26456.610000000008</v>
      </c>
      <c r="Q151" s="42">
        <v>0</v>
      </c>
      <c r="R151" s="42">
        <v>0</v>
      </c>
      <c r="S151" s="43">
        <f t="shared" si="188"/>
        <v>26456.610000000008</v>
      </c>
      <c r="T151" s="58"/>
      <c r="U151" s="95"/>
      <c r="V151" s="57"/>
      <c r="W151" s="25"/>
      <c r="X151" s="4"/>
      <c r="Y151" s="4" t="s">
        <v>869</v>
      </c>
      <c r="Z151" s="7"/>
      <c r="AA151" s="7"/>
      <c r="AB151" s="7"/>
      <c r="AC151" s="26">
        <f t="shared" si="189"/>
        <v>0</v>
      </c>
      <c r="AD151" s="42">
        <f>IFERROR(INDEX('Costos Producción Febrero'!$G$34:$G$57,MATCH(Resumen!Z151,'Costos Producción Febrero'!$B$34:$B$57,0))*AJ151*G151,0)*1.25</f>
        <v>0</v>
      </c>
      <c r="AE151" s="42">
        <f>IFERROR(INDEX('Costos Producción Febrero'!$H$34:$H$57,MATCH(Resumen!Z151,'Costos Producción Febrero'!$B$34:$B$57,0))*AJ151*G151,0)</f>
        <v>0</v>
      </c>
      <c r="AF151" s="42">
        <f>IFERROR(INDEX('Costos Producción Febrero'!$I$34:$I$57,MATCH(Resumen!Z151,'Costos Producción Febrero'!$B$34:$B$57,0))*AJ151*G151,0)</f>
        <v>0</v>
      </c>
      <c r="AG151" s="42">
        <f>IFERROR(INDEX('Costos Producción Febrero'!$J$34:$J$57,MATCH(Resumen!Z151,'Costos Producción Febrero'!$B$34:$B$57,0))*AJ151*G151,0)</f>
        <v>0</v>
      </c>
      <c r="AH151" s="42">
        <f t="shared" si="141"/>
        <v>0</v>
      </c>
      <c r="AI151" s="42"/>
      <c r="AJ151" s="113"/>
      <c r="AK151" s="42"/>
      <c r="AL151" s="43">
        <f t="shared" si="134"/>
        <v>26456.610000000008</v>
      </c>
      <c r="AM151" s="114">
        <f t="shared" si="135"/>
        <v>1</v>
      </c>
      <c r="AN151" s="42">
        <f t="shared" si="142"/>
        <v>0</v>
      </c>
      <c r="AO151" s="42">
        <f>85.2*G151</f>
        <v>0</v>
      </c>
      <c r="AP151" s="42"/>
      <c r="AQ151" s="42">
        <f>SUM(AN151:AP151)</f>
        <v>0</v>
      </c>
      <c r="AR151" s="42">
        <f>56604/1634.3*G151</f>
        <v>0</v>
      </c>
      <c r="AS151" s="42">
        <v>0</v>
      </c>
      <c r="AT151" s="43">
        <f>AL151-AQ151-AR151+AS151</f>
        <v>26456.610000000008</v>
      </c>
      <c r="AU151" s="114">
        <f>AT151/P151</f>
        <v>1</v>
      </c>
      <c r="AV151" s="42">
        <f t="shared" ref="AV151" si="191">154473/780.905*G151</f>
        <v>0</v>
      </c>
      <c r="AW151" s="43">
        <f>AT151-AV151</f>
        <v>26456.610000000008</v>
      </c>
      <c r="AX151" s="114">
        <f>AW151/P151</f>
        <v>1</v>
      </c>
      <c r="AY151" s="110">
        <f>123844.283333333/780.91*G151</f>
        <v>0</v>
      </c>
      <c r="AZ151" s="43">
        <f>AT151+AY151</f>
        <v>26456.610000000008</v>
      </c>
      <c r="BA151" s="114">
        <f>AZ151/P151</f>
        <v>1</v>
      </c>
      <c r="BC151" s="10" t="e">
        <f t="shared" si="155"/>
        <v>#DIV/0!</v>
      </c>
      <c r="BD151" s="10" t="e">
        <f t="shared" si="156"/>
        <v>#DIV/0!</v>
      </c>
      <c r="BE151" s="10" t="e">
        <f t="shared" si="157"/>
        <v>#DIV/0!</v>
      </c>
      <c r="BF151" s="10" t="e">
        <f t="shared" si="158"/>
        <v>#DIV/0!</v>
      </c>
      <c r="BG151" s="10" t="e">
        <f t="shared" si="159"/>
        <v>#DIV/0!</v>
      </c>
      <c r="BH151" s="10" t="e">
        <f t="shared" si="160"/>
        <v>#DIV/0!</v>
      </c>
      <c r="BI151" s="10" t="e">
        <f t="shared" si="161"/>
        <v>#DIV/0!</v>
      </c>
      <c r="BJ151" s="10" t="e">
        <f t="shared" si="162"/>
        <v>#DIV/0!</v>
      </c>
      <c r="BK151" s="10" t="e">
        <f t="shared" si="163"/>
        <v>#DIV/0!</v>
      </c>
      <c r="BL151" s="10" t="e">
        <f t="shared" si="164"/>
        <v>#DIV/0!</v>
      </c>
      <c r="BM151" s="10" t="e">
        <f t="shared" si="165"/>
        <v>#DIV/0!</v>
      </c>
      <c r="BN151" s="10" t="e">
        <f t="shared" si="166"/>
        <v>#DIV/0!</v>
      </c>
      <c r="BO151" s="10" t="e">
        <f t="shared" si="167"/>
        <v>#DIV/0!</v>
      </c>
      <c r="BP151" s="10" t="e">
        <f t="shared" si="168"/>
        <v>#DIV/0!</v>
      </c>
      <c r="BQ151" s="10" t="e">
        <f t="shared" si="169"/>
        <v>#DIV/0!</v>
      </c>
      <c r="BR151" s="10" t="e">
        <f t="shared" si="170"/>
        <v>#DIV/0!</v>
      </c>
      <c r="BS151" s="10" t="e">
        <f t="shared" si="171"/>
        <v>#DIV/0!</v>
      </c>
    </row>
    <row r="152" spans="2:71" hidden="1">
      <c r="C152" s="29" t="s">
        <v>757</v>
      </c>
      <c r="D152" s="25" t="s">
        <v>758</v>
      </c>
      <c r="E152" s="98">
        <v>30</v>
      </c>
      <c r="F152" s="98">
        <v>46196</v>
      </c>
      <c r="G152" s="99">
        <v>48</v>
      </c>
      <c r="H152" s="27" t="s">
        <v>33</v>
      </c>
      <c r="I152" s="27" t="s">
        <v>132</v>
      </c>
      <c r="J152" s="7" t="s">
        <v>221</v>
      </c>
      <c r="K152" s="7" t="s">
        <v>759</v>
      </c>
      <c r="L152" s="7" t="s">
        <v>760</v>
      </c>
      <c r="M152" s="21" t="s">
        <v>43</v>
      </c>
      <c r="N152" s="7" t="s">
        <v>129</v>
      </c>
      <c r="O152" s="20">
        <v>1700</v>
      </c>
      <c r="P152" s="59">
        <v>81575</v>
      </c>
      <c r="Q152" s="20">
        <v>1570.8333333333333</v>
      </c>
      <c r="R152" s="30">
        <v>6200</v>
      </c>
      <c r="S152" s="32">
        <f t="shared" ref="S152:S194" si="192">P152-R152</f>
        <v>75375</v>
      </c>
      <c r="T152" s="63">
        <v>2</v>
      </c>
      <c r="U152" s="57" t="s">
        <v>761</v>
      </c>
      <c r="V152" s="141">
        <v>6504769570</v>
      </c>
      <c r="W152" s="60"/>
      <c r="X152" s="4"/>
      <c r="Y152" s="4" t="s">
        <v>867</v>
      </c>
      <c r="Z152" s="7">
        <v>10005721</v>
      </c>
      <c r="AA152" s="7"/>
      <c r="AB152" s="7"/>
      <c r="AC152" s="20">
        <f t="shared" ref="AC152:AC163" si="193">AJ152-34.68</f>
        <v>1856.5261732240999</v>
      </c>
      <c r="AD152" s="44">
        <f>IFERROR(INDEX('Costos Producción Febrero'!$G$34:$G$57,MATCH(Resumen!Z152,'Costos Producción Febrero'!$B$34:$B$57,0))*AC152*G152,0)</f>
        <v>54119.453066080161</v>
      </c>
      <c r="AE152" s="44">
        <f>IFERROR(INDEX('Costos Producción Febrero'!$H$34:$H$57,MATCH(Resumen!Z152,'Costos Producción Febrero'!$B$34:$B$57,0))*AC152*G152,0)</f>
        <v>15858.123330509392</v>
      </c>
      <c r="AF152" s="44">
        <f>IFERROR(INDEX('Costos Producción Febrero'!$I$34:$I$57,MATCH(Resumen!Z152,'Costos Producción Febrero'!$B$34:$B$57,0))*AC152*G152,0)</f>
        <v>971.50433013793304</v>
      </c>
      <c r="AG152" s="44">
        <f>IFERROR(INDEX('Costos Producción Febrero'!$J$34:$J$57,MATCH(Resumen!Z152,'Costos Producción Febrero'!$B$34:$B$57,0))*AC152*G152,0)</f>
        <v>18164.175588029306</v>
      </c>
      <c r="AH152" s="44">
        <f t="shared" ref="AH152:AH153" si="194">SUM(AD152:AG152)</f>
        <v>89113.256314756785</v>
      </c>
      <c r="AI152" s="44"/>
      <c r="AJ152" s="44">
        <v>1891.2061732241</v>
      </c>
      <c r="AK152" s="44"/>
      <c r="AL152" s="43">
        <f t="shared" si="134"/>
        <v>-7538.2563147567853</v>
      </c>
      <c r="AM152" s="92">
        <f t="shared" si="135"/>
        <v>-9.240890364396917E-2</v>
      </c>
      <c r="AN152" s="42">
        <f t="shared" si="142"/>
        <v>6200</v>
      </c>
      <c r="AO152" s="42">
        <v>0</v>
      </c>
      <c r="AP152" s="42">
        <f t="shared" ref="AP152:AP173" si="195">66.2756719503791*G152</f>
        <v>3181.2322536181973</v>
      </c>
      <c r="AQ152" s="42">
        <f t="shared" si="143"/>
        <v>9381.2322536181964</v>
      </c>
      <c r="AR152" s="42">
        <f t="shared" ref="AR152:AR173" si="196">87732.79/1131.78*G152</f>
        <v>3720.8414356146955</v>
      </c>
      <c r="AS152" s="42">
        <f t="shared" si="144"/>
        <v>2261.25</v>
      </c>
      <c r="AT152" s="43">
        <f t="shared" ref="AT152:AT173" si="197">AL152-AQ152-AR152+AS152</f>
        <v>-18379.080003989679</v>
      </c>
      <c r="AU152" s="114">
        <f t="shared" ref="AU152:AU173" si="198">AT152/P152</f>
        <v>-0.225302850186818</v>
      </c>
      <c r="AV152" s="42">
        <f t="shared" ref="AV152:AV173" si="199">121364.63/1131.78*G152</f>
        <v>5147.2037321740981</v>
      </c>
      <c r="AW152" s="43">
        <f t="shared" ref="AW152:AW173" si="200">AT152-AV152</f>
        <v>-23526.283736163776</v>
      </c>
      <c r="AX152" s="114">
        <f t="shared" ref="AX152:AX173" si="201">AW152/P152</f>
        <v>-0.28840065873323661</v>
      </c>
      <c r="AY152" s="42">
        <f t="shared" ref="AY152:AY173" si="202">123844.283333333/1131.78*G152</f>
        <v>5252.3684815069928</v>
      </c>
      <c r="AZ152" s="43">
        <f t="shared" ref="AZ152:AZ173" si="203">AT152+AY152</f>
        <v>-13126.711522482685</v>
      </c>
      <c r="BA152" s="114">
        <f t="shared" ref="BA152:BA173" si="204">AZ152/P152</f>
        <v>-0.16091586297864155</v>
      </c>
      <c r="BC152" s="10">
        <f t="shared" si="155"/>
        <v>1699.4791666666667</v>
      </c>
      <c r="BD152" s="10">
        <f t="shared" si="156"/>
        <v>-1127.4886055433367</v>
      </c>
      <c r="BE152" s="10">
        <f t="shared" si="157"/>
        <v>-330.37756938561233</v>
      </c>
      <c r="BF152" s="10">
        <f t="shared" si="158"/>
        <v>-20.23967354454027</v>
      </c>
      <c r="BG152" s="10">
        <f t="shared" si="159"/>
        <v>-378.42032475061052</v>
      </c>
      <c r="BH152" s="10">
        <f t="shared" si="160"/>
        <v>-1856.5261732240997</v>
      </c>
      <c r="BI152" s="10">
        <f t="shared" si="161"/>
        <v>-157.04700655743304</v>
      </c>
      <c r="BJ152" s="10">
        <f t="shared" si="162"/>
        <v>-129.16666666666666</v>
      </c>
      <c r="BK152" s="10">
        <f t="shared" si="163"/>
        <v>-66.275671950379106</v>
      </c>
      <c r="BL152" s="10">
        <f t="shared" si="164"/>
        <v>-195.44233861704575</v>
      </c>
      <c r="BM152" s="10">
        <f t="shared" si="165"/>
        <v>-77.517529908639489</v>
      </c>
      <c r="BN152" s="10">
        <f t="shared" si="166"/>
        <v>47.109375</v>
      </c>
      <c r="BO152" s="10">
        <f t="shared" si="167"/>
        <v>-382.8975000831183</v>
      </c>
      <c r="BP152" s="10">
        <f t="shared" si="168"/>
        <v>-107.23341108696037</v>
      </c>
      <c r="BQ152" s="10">
        <f t="shared" si="169"/>
        <v>-490.13091117007866</v>
      </c>
      <c r="BR152" s="10">
        <f t="shared" si="170"/>
        <v>109.42434336472901</v>
      </c>
      <c r="BS152" s="10">
        <f t="shared" si="171"/>
        <v>-273.47315671838925</v>
      </c>
    </row>
    <row r="153" spans="2:71" hidden="1">
      <c r="C153" s="29" t="s">
        <v>757</v>
      </c>
      <c r="D153" s="25" t="s">
        <v>762</v>
      </c>
      <c r="E153" s="98">
        <v>88</v>
      </c>
      <c r="F153" s="98">
        <v>46199</v>
      </c>
      <c r="G153" s="99">
        <v>54</v>
      </c>
      <c r="H153" s="27" t="s">
        <v>35</v>
      </c>
      <c r="I153" s="27" t="s">
        <v>486</v>
      </c>
      <c r="J153" s="7"/>
      <c r="K153" s="7" t="s">
        <v>292</v>
      </c>
      <c r="L153" s="7" t="s">
        <v>172</v>
      </c>
      <c r="M153" s="21" t="s">
        <v>47</v>
      </c>
      <c r="N153" s="7" t="s">
        <v>191</v>
      </c>
      <c r="O153" s="20">
        <v>3950</v>
      </c>
      <c r="P153" s="59">
        <v>211167</v>
      </c>
      <c r="Q153" s="20">
        <v>3853.7037037037039</v>
      </c>
      <c r="R153" s="30">
        <v>5200</v>
      </c>
      <c r="S153" s="32">
        <f t="shared" si="192"/>
        <v>205967</v>
      </c>
      <c r="T153" s="63">
        <v>2</v>
      </c>
      <c r="U153" s="57" t="s">
        <v>763</v>
      </c>
      <c r="V153" s="141">
        <v>6504948770</v>
      </c>
      <c r="W153" s="60"/>
      <c r="X153" s="4"/>
      <c r="Y153" s="4" t="s">
        <v>868</v>
      </c>
      <c r="Z153" s="7">
        <v>10009331</v>
      </c>
      <c r="AA153" s="7"/>
      <c r="AB153" s="7"/>
      <c r="AC153" s="20">
        <f t="shared" si="193"/>
        <v>2696.3685114873801</v>
      </c>
      <c r="AD153" s="44">
        <f>IFERROR(INDEX('Costos Producción Febrero'!$G$34:$G$57,MATCH(Resumen!Z153,'Costos Producción Febrero'!$B$34:$B$57,0))*AC153*G153,0)</f>
        <v>83085.485413705435</v>
      </c>
      <c r="AE153" s="44">
        <f>IFERROR(INDEX('Costos Producción Febrero'!$H$34:$H$57,MATCH(Resumen!Z153,'Costos Producción Febrero'!$B$34:$B$57,0))*AC153*G153,0)</f>
        <v>32962.829898646203</v>
      </c>
      <c r="AF153" s="44">
        <f>IFERROR(INDEX('Costos Producción Febrero'!$I$34:$I$57,MATCH(Resumen!Z153,'Costos Producción Febrero'!$B$34:$B$57,0))*AC153*G153,0)</f>
        <v>1509.6819317662905</v>
      </c>
      <c r="AG153" s="44">
        <f>IFERROR(INDEX('Costos Producción Febrero'!$J$34:$J$57,MATCH(Resumen!Z153,'Costos Producción Febrero'!$B$34:$B$57,0))*AC153*G153,0)</f>
        <v>28045.902376200607</v>
      </c>
      <c r="AH153" s="44">
        <f t="shared" si="194"/>
        <v>145603.89962031852</v>
      </c>
      <c r="AI153" s="44"/>
      <c r="AJ153" s="44">
        <f>2.73104851148738*1000</f>
        <v>2731.04851148738</v>
      </c>
      <c r="AK153" s="44"/>
      <c r="AL153" s="43">
        <f t="shared" si="134"/>
        <v>65563.100379681477</v>
      </c>
      <c r="AM153" s="92">
        <f t="shared" si="135"/>
        <v>0.31047985897266844</v>
      </c>
      <c r="AN153" s="42">
        <f t="shared" si="142"/>
        <v>5200</v>
      </c>
      <c r="AO153" s="42">
        <v>0</v>
      </c>
      <c r="AP153" s="42">
        <f t="shared" si="195"/>
        <v>3578.8862853204719</v>
      </c>
      <c r="AQ153" s="42">
        <f t="shared" si="143"/>
        <v>8778.8862853204719</v>
      </c>
      <c r="AR153" s="42">
        <f t="shared" si="196"/>
        <v>4185.9466150665321</v>
      </c>
      <c r="AS153" s="42">
        <f t="shared" si="144"/>
        <v>6179.01</v>
      </c>
      <c r="AT153" s="43">
        <f t="shared" si="197"/>
        <v>58777.277479294477</v>
      </c>
      <c r="AU153" s="114">
        <f t="shared" si="198"/>
        <v>0.2783449946217661</v>
      </c>
      <c r="AV153" s="42">
        <f t="shared" si="199"/>
        <v>5790.6041986958598</v>
      </c>
      <c r="AW153" s="43">
        <f t="shared" si="200"/>
        <v>52986.673280598618</v>
      </c>
      <c r="AX153" s="114">
        <f t="shared" si="201"/>
        <v>0.25092307643049633</v>
      </c>
      <c r="AY153" s="42">
        <f t="shared" si="202"/>
        <v>5908.914541695367</v>
      </c>
      <c r="AZ153" s="43">
        <f t="shared" si="203"/>
        <v>64686.192020989845</v>
      </c>
      <c r="BA153" s="114">
        <f t="shared" si="204"/>
        <v>0.30632718190337432</v>
      </c>
      <c r="BC153" s="10">
        <f t="shared" si="155"/>
        <v>3910.5</v>
      </c>
      <c r="BD153" s="10">
        <f t="shared" si="156"/>
        <v>-1538.6201002538044</v>
      </c>
      <c r="BE153" s="10">
        <f t="shared" si="157"/>
        <v>-610.42277590085564</v>
      </c>
      <c r="BF153" s="10">
        <f t="shared" si="158"/>
        <v>-27.95707281048686</v>
      </c>
      <c r="BG153" s="10">
        <f t="shared" si="159"/>
        <v>-519.36856252223345</v>
      </c>
      <c r="BH153" s="10">
        <f t="shared" si="160"/>
        <v>-2696.3685114873801</v>
      </c>
      <c r="BI153" s="10">
        <f t="shared" si="161"/>
        <v>1214.1314885126199</v>
      </c>
      <c r="BJ153" s="10">
        <f t="shared" si="162"/>
        <v>-96.296296296296291</v>
      </c>
      <c r="BK153" s="10">
        <f t="shared" si="163"/>
        <v>-66.275671950379106</v>
      </c>
      <c r="BL153" s="10">
        <f t="shared" si="164"/>
        <v>-162.5719682466754</v>
      </c>
      <c r="BM153" s="10">
        <f t="shared" si="165"/>
        <v>-77.517529908639489</v>
      </c>
      <c r="BN153" s="10">
        <f t="shared" si="166"/>
        <v>114.42611111111111</v>
      </c>
      <c r="BO153" s="10">
        <f t="shared" si="167"/>
        <v>1088.4681014684163</v>
      </c>
      <c r="BP153" s="10">
        <f t="shared" si="168"/>
        <v>-107.23341108696037</v>
      </c>
      <c r="BQ153" s="10">
        <f t="shared" si="169"/>
        <v>981.23469038145583</v>
      </c>
      <c r="BR153" s="10">
        <f t="shared" si="170"/>
        <v>109.42434336472901</v>
      </c>
      <c r="BS153" s="10">
        <f t="shared" si="171"/>
        <v>1197.8924448331452</v>
      </c>
    </row>
    <row r="154" spans="2:71" hidden="1">
      <c r="C154" s="29" t="s">
        <v>757</v>
      </c>
      <c r="D154" s="25" t="s">
        <v>764</v>
      </c>
      <c r="E154" s="98">
        <v>112</v>
      </c>
      <c r="F154" s="98">
        <v>46185</v>
      </c>
      <c r="G154" s="99">
        <v>69</v>
      </c>
      <c r="H154" s="27" t="s">
        <v>32</v>
      </c>
      <c r="I154" s="27" t="s">
        <v>155</v>
      </c>
      <c r="J154" s="7" t="s">
        <v>228</v>
      </c>
      <c r="K154" s="7" t="s">
        <v>864</v>
      </c>
      <c r="L154" s="7" t="s">
        <v>229</v>
      </c>
      <c r="M154" s="21" t="s">
        <v>43</v>
      </c>
      <c r="N154" s="7" t="s">
        <v>129</v>
      </c>
      <c r="O154" s="20">
        <v>2100</v>
      </c>
      <c r="P154" s="59">
        <v>132404</v>
      </c>
      <c r="Q154" s="20">
        <v>1993.4347826086957</v>
      </c>
      <c r="R154" s="30">
        <v>7353</v>
      </c>
      <c r="S154" s="32">
        <f t="shared" si="192"/>
        <v>125051</v>
      </c>
      <c r="T154" s="63">
        <v>3</v>
      </c>
      <c r="U154" s="57" t="s">
        <v>765</v>
      </c>
      <c r="V154" s="141" t="s">
        <v>766</v>
      </c>
      <c r="W154" s="60"/>
      <c r="X154" s="4"/>
      <c r="Y154" s="4" t="s">
        <v>867</v>
      </c>
      <c r="Z154" s="7">
        <v>10006720</v>
      </c>
      <c r="AA154" s="7"/>
      <c r="AB154" s="7"/>
      <c r="AC154" s="20">
        <f t="shared" si="193"/>
        <v>1754.6123610599075</v>
      </c>
      <c r="AD154" s="44">
        <f>IFERROR(INDEX('Costos Producción Febrero'!$G$34:$G$57,MATCH(Resumen!Z154,'Costos Producción Febrero'!$B$34:$B$57,0))*AC154*G154,0)</f>
        <v>77688.65468217837</v>
      </c>
      <c r="AE154" s="44">
        <f>IFERROR(INDEX('Costos Producción Febrero'!$H$34:$H$57,MATCH(Resumen!Z154,'Costos Producción Febrero'!$B$34:$B$57,0))*AC154*G154,0)</f>
        <v>16340.822247484901</v>
      </c>
      <c r="AF154" s="44">
        <f>IFERROR(INDEX('Costos Producción Febrero'!$I$34:$I$57,MATCH(Resumen!Z154,'Costos Producción Febrero'!$B$34:$B$57,0))*AC154*G154,0)</f>
        <v>1131.2437136490025</v>
      </c>
      <c r="AG154" s="44">
        <f>IFERROR(INDEX('Costos Producción Febrero'!$J$34:$J$57,MATCH(Resumen!Z154,'Costos Producción Febrero'!$B$34:$B$57,0))*AC154*G154,0)</f>
        <v>25907.532269821339</v>
      </c>
      <c r="AH154" s="44">
        <f t="shared" ref="AH154:AH157" si="205">SUM(AD154:AG154)</f>
        <v>121068.25291313362</v>
      </c>
      <c r="AI154" s="44"/>
      <c r="AJ154" s="44">
        <v>1789.2923610599075</v>
      </c>
      <c r="AK154" s="44"/>
      <c r="AL154" s="43">
        <f t="shared" si="134"/>
        <v>11335.74708686638</v>
      </c>
      <c r="AM154" s="92">
        <f t="shared" si="135"/>
        <v>8.5614838576375182E-2</v>
      </c>
      <c r="AN154" s="42">
        <f t="shared" si="142"/>
        <v>7353</v>
      </c>
      <c r="AO154" s="42">
        <v>0</v>
      </c>
      <c r="AP154" s="42">
        <f t="shared" si="195"/>
        <v>4573.0213645761587</v>
      </c>
      <c r="AQ154" s="42">
        <f t="shared" si="143"/>
        <v>11926.021364576158</v>
      </c>
      <c r="AR154" s="42">
        <f t="shared" si="196"/>
        <v>5348.7095636961249</v>
      </c>
      <c r="AS154" s="42">
        <f t="shared" si="144"/>
        <v>3751.5299999999997</v>
      </c>
      <c r="AT154" s="43">
        <f t="shared" si="197"/>
        <v>-2187.4538414059025</v>
      </c>
      <c r="AU154" s="114">
        <f t="shared" si="198"/>
        <v>-1.6521055567852199E-2</v>
      </c>
      <c r="AV154" s="42">
        <f t="shared" si="199"/>
        <v>7399.1053650002659</v>
      </c>
      <c r="AW154" s="43">
        <f t="shared" si="200"/>
        <v>-9586.5592064061675</v>
      </c>
      <c r="AX154" s="114">
        <f t="shared" si="201"/>
        <v>-7.2403848874702942E-2</v>
      </c>
      <c r="AY154" s="42">
        <f t="shared" si="202"/>
        <v>7550.2796921663021</v>
      </c>
      <c r="AZ154" s="43">
        <f t="shared" si="203"/>
        <v>5362.8258507603996</v>
      </c>
      <c r="BA154" s="114">
        <f t="shared" si="204"/>
        <v>4.0503503298694898E-2</v>
      </c>
      <c r="BC154" s="10">
        <f t="shared" si="155"/>
        <v>1918.8985507246377</v>
      </c>
      <c r="BD154" s="10">
        <f t="shared" si="156"/>
        <v>-1125.9225316257734</v>
      </c>
      <c r="BE154" s="10">
        <f t="shared" si="157"/>
        <v>-236.82351083311451</v>
      </c>
      <c r="BF154" s="10">
        <f t="shared" si="158"/>
        <v>-16.39483642969569</v>
      </c>
      <c r="BG154" s="10">
        <f t="shared" si="159"/>
        <v>-375.47148217132377</v>
      </c>
      <c r="BH154" s="10">
        <f t="shared" si="160"/>
        <v>-1754.6123610599075</v>
      </c>
      <c r="BI154" s="10">
        <f t="shared" si="161"/>
        <v>164.28618966473016</v>
      </c>
      <c r="BJ154" s="10">
        <f t="shared" si="162"/>
        <v>-106.56521739130434</v>
      </c>
      <c r="BK154" s="10">
        <f t="shared" si="163"/>
        <v>-66.275671950379106</v>
      </c>
      <c r="BL154" s="10">
        <f t="shared" si="164"/>
        <v>-172.84088934168344</v>
      </c>
      <c r="BM154" s="10">
        <f t="shared" si="165"/>
        <v>-77.517529908639489</v>
      </c>
      <c r="BN154" s="10">
        <f t="shared" si="166"/>
        <v>54.37</v>
      </c>
      <c r="BO154" s="10">
        <f t="shared" si="167"/>
        <v>-31.702229585592789</v>
      </c>
      <c r="BP154" s="10">
        <f t="shared" si="168"/>
        <v>-107.23341108696037</v>
      </c>
      <c r="BQ154" s="10">
        <f t="shared" si="169"/>
        <v>-138.93564067255315</v>
      </c>
      <c r="BR154" s="10">
        <f t="shared" si="170"/>
        <v>109.42434336472901</v>
      </c>
      <c r="BS154" s="10">
        <f t="shared" si="171"/>
        <v>77.722113779136222</v>
      </c>
    </row>
    <row r="155" spans="2:71" hidden="1">
      <c r="C155" s="29" t="s">
        <v>757</v>
      </c>
      <c r="D155" s="25" t="s">
        <v>767</v>
      </c>
      <c r="E155" s="98">
        <v>114</v>
      </c>
      <c r="F155" s="98">
        <v>46188</v>
      </c>
      <c r="G155" s="99">
        <v>26</v>
      </c>
      <c r="H155" s="27" t="s">
        <v>31</v>
      </c>
      <c r="I155" s="27" t="s">
        <v>107</v>
      </c>
      <c r="J155" s="7" t="s">
        <v>768</v>
      </c>
      <c r="K155" s="7" t="s">
        <v>161</v>
      </c>
      <c r="L155" s="7" t="s">
        <v>147</v>
      </c>
      <c r="M155" s="21" t="s">
        <v>44</v>
      </c>
      <c r="N155" s="7" t="s">
        <v>214</v>
      </c>
      <c r="O155" s="20">
        <v>2600</v>
      </c>
      <c r="P155" s="59">
        <v>67600</v>
      </c>
      <c r="Q155" s="20">
        <v>2421.1538461538462</v>
      </c>
      <c r="R155" s="30">
        <v>4650</v>
      </c>
      <c r="S155" s="32">
        <f t="shared" si="192"/>
        <v>62950</v>
      </c>
      <c r="T155" s="63">
        <v>1</v>
      </c>
      <c r="U155" s="57" t="s">
        <v>769</v>
      </c>
      <c r="V155" s="141">
        <v>28960236</v>
      </c>
      <c r="W155" s="60"/>
      <c r="X155" s="4"/>
      <c r="Y155" s="4" t="s">
        <v>867</v>
      </c>
      <c r="Z155" s="7">
        <v>10007162</v>
      </c>
      <c r="AA155" s="7"/>
      <c r="AB155" s="7"/>
      <c r="AC155" s="20">
        <f t="shared" si="193"/>
        <v>1612.6377734802099</v>
      </c>
      <c r="AD155" s="44">
        <f>IFERROR(INDEX('Costos Producción Febrero'!$G$34:$G$57,MATCH(Resumen!Z155,'Costos Producción Febrero'!$B$34:$B$57,0))*AC155*G155,0)</f>
        <v>25708.537454316884</v>
      </c>
      <c r="AE155" s="44">
        <f>IFERROR(INDEX('Costos Producción Febrero'!$H$34:$H$57,MATCH(Resumen!Z155,'Costos Producción Febrero'!$B$34:$B$57,0))*AC155*G155,0)</f>
        <v>7299.1664700929359</v>
      </c>
      <c r="AF155" s="44">
        <f>IFERROR(INDEX('Costos Producción Febrero'!$I$34:$I$57,MATCH(Resumen!Z155,'Costos Producción Febrero'!$B$34:$B$57,0))*AC155*G155,0)</f>
        <v>388.70269673656378</v>
      </c>
      <c r="AG155" s="44">
        <f>IFERROR(INDEX('Costos Producción Febrero'!$J$34:$J$57,MATCH(Resumen!Z155,'Costos Producción Febrero'!$B$34:$B$57,0))*AC155*G155,0)</f>
        <v>8532.1754893390735</v>
      </c>
      <c r="AH155" s="44">
        <f t="shared" si="205"/>
        <v>41928.582110485462</v>
      </c>
      <c r="AI155" s="44"/>
      <c r="AJ155" s="44">
        <f>1.64731777348021*1000</f>
        <v>1647.31777348021</v>
      </c>
      <c r="AK155" s="44"/>
      <c r="AL155" s="43">
        <f t="shared" si="134"/>
        <v>25671.417889514538</v>
      </c>
      <c r="AM155" s="92">
        <f t="shared" si="135"/>
        <v>0.37975470250761151</v>
      </c>
      <c r="AN155" s="42">
        <f t="shared" si="142"/>
        <v>4650</v>
      </c>
      <c r="AO155" s="42">
        <v>0</v>
      </c>
      <c r="AP155" s="42">
        <f t="shared" si="195"/>
        <v>1723.1674707098568</v>
      </c>
      <c r="AQ155" s="42">
        <f t="shared" si="143"/>
        <v>6373.1674707098573</v>
      </c>
      <c r="AR155" s="42">
        <f t="shared" si="196"/>
        <v>2015.4557776246268</v>
      </c>
      <c r="AS155" s="42">
        <f t="shared" si="144"/>
        <v>1888.5</v>
      </c>
      <c r="AT155" s="43">
        <f t="shared" si="197"/>
        <v>19171.294641180055</v>
      </c>
      <c r="AU155" s="114">
        <f t="shared" si="198"/>
        <v>0.28359903315355112</v>
      </c>
      <c r="AV155" s="42">
        <f t="shared" si="199"/>
        <v>2788.0686882609698</v>
      </c>
      <c r="AW155" s="43">
        <f t="shared" si="200"/>
        <v>16383.225952919085</v>
      </c>
      <c r="AX155" s="114">
        <f t="shared" si="201"/>
        <v>0.2423554135047202</v>
      </c>
      <c r="AY155" s="42">
        <f t="shared" si="202"/>
        <v>2845.0329274829542</v>
      </c>
      <c r="AZ155" s="43">
        <f t="shared" si="203"/>
        <v>22016.327568663008</v>
      </c>
      <c r="BA155" s="114">
        <f t="shared" si="204"/>
        <v>0.32568531906306225</v>
      </c>
      <c r="BC155" s="10">
        <f t="shared" si="155"/>
        <v>2600</v>
      </c>
      <c r="BD155" s="10">
        <f t="shared" si="156"/>
        <v>-988.78990208911091</v>
      </c>
      <c r="BE155" s="10">
        <f t="shared" si="157"/>
        <v>-280.7371719266514</v>
      </c>
      <c r="BF155" s="10">
        <f t="shared" si="158"/>
        <v>-14.950103720637069</v>
      </c>
      <c r="BG155" s="10">
        <f t="shared" si="159"/>
        <v>-328.16059574381052</v>
      </c>
      <c r="BH155" s="10">
        <f t="shared" si="160"/>
        <v>-1612.6377734802102</v>
      </c>
      <c r="BI155" s="10">
        <f t="shared" si="161"/>
        <v>987.36222651978994</v>
      </c>
      <c r="BJ155" s="10">
        <f t="shared" si="162"/>
        <v>-178.84615384615384</v>
      </c>
      <c r="BK155" s="10">
        <f t="shared" si="163"/>
        <v>-66.275671950379106</v>
      </c>
      <c r="BL155" s="10">
        <f t="shared" si="164"/>
        <v>-245.12182579653296</v>
      </c>
      <c r="BM155" s="10">
        <f t="shared" si="165"/>
        <v>-77.517529908639489</v>
      </c>
      <c r="BN155" s="10">
        <f t="shared" si="166"/>
        <v>72.634615384615387</v>
      </c>
      <c r="BO155" s="10">
        <f t="shared" si="167"/>
        <v>737.35748619923288</v>
      </c>
      <c r="BP155" s="10">
        <f t="shared" si="168"/>
        <v>-107.23341108696037</v>
      </c>
      <c r="BQ155" s="10">
        <f t="shared" si="169"/>
        <v>630.12407511227252</v>
      </c>
      <c r="BR155" s="10">
        <f t="shared" si="170"/>
        <v>109.42434336472901</v>
      </c>
      <c r="BS155" s="10">
        <f t="shared" si="171"/>
        <v>846.78182956396188</v>
      </c>
    </row>
    <row r="156" spans="2:71" hidden="1">
      <c r="C156" s="29" t="s">
        <v>757</v>
      </c>
      <c r="D156" s="25" t="s">
        <v>770</v>
      </c>
      <c r="E156" s="98">
        <v>114</v>
      </c>
      <c r="F156" s="98">
        <v>46195</v>
      </c>
      <c r="G156" s="99">
        <v>52</v>
      </c>
      <c r="H156" s="27" t="s">
        <v>31</v>
      </c>
      <c r="I156" s="27" t="s">
        <v>107</v>
      </c>
      <c r="J156" s="7" t="s">
        <v>768</v>
      </c>
      <c r="K156" s="7" t="s">
        <v>161</v>
      </c>
      <c r="L156" s="7" t="s">
        <v>147</v>
      </c>
      <c r="M156" s="21" t="s">
        <v>44</v>
      </c>
      <c r="N156" s="7" t="s">
        <v>214</v>
      </c>
      <c r="O156" s="20">
        <v>2600</v>
      </c>
      <c r="P156" s="59">
        <v>135200</v>
      </c>
      <c r="Q156" s="20">
        <v>2421.1538461538462</v>
      </c>
      <c r="R156" s="30">
        <v>9300</v>
      </c>
      <c r="S156" s="32">
        <f t="shared" si="192"/>
        <v>125900</v>
      </c>
      <c r="T156" s="63">
        <v>2</v>
      </c>
      <c r="U156" s="57" t="s">
        <v>771</v>
      </c>
      <c r="V156" s="141">
        <v>45716065</v>
      </c>
      <c r="W156" s="60"/>
      <c r="X156" s="4"/>
      <c r="Y156" s="4" t="s">
        <v>867</v>
      </c>
      <c r="Z156" s="7">
        <v>10007162</v>
      </c>
      <c r="AA156" s="7"/>
      <c r="AB156" s="7"/>
      <c r="AC156" s="20">
        <f t="shared" si="193"/>
        <v>1612.6377734802099</v>
      </c>
      <c r="AD156" s="44">
        <f>IFERROR(INDEX('Costos Producción Febrero'!$G$34:$G$57,MATCH(Resumen!Z156,'Costos Producción Febrero'!$B$34:$B$57,0))*AC156*G156,0)</f>
        <v>51417.074908633767</v>
      </c>
      <c r="AE156" s="44">
        <f>IFERROR(INDEX('Costos Producción Febrero'!$H$34:$H$57,MATCH(Resumen!Z156,'Costos Producción Febrero'!$B$34:$B$57,0))*AC156*G156,0)</f>
        <v>14598.332940185872</v>
      </c>
      <c r="AF156" s="44">
        <f>IFERROR(INDEX('Costos Producción Febrero'!$I$34:$I$57,MATCH(Resumen!Z156,'Costos Producción Febrero'!$B$34:$B$57,0))*AC156*G156,0)</f>
        <v>777.40539347312756</v>
      </c>
      <c r="AG156" s="44">
        <f>IFERROR(INDEX('Costos Producción Febrero'!$J$34:$J$57,MATCH(Resumen!Z156,'Costos Producción Febrero'!$B$34:$B$57,0))*AC156*G156,0)</f>
        <v>17064.350978678147</v>
      </c>
      <c r="AH156" s="44">
        <f t="shared" si="205"/>
        <v>83857.164220970924</v>
      </c>
      <c r="AI156" s="44"/>
      <c r="AJ156" s="44">
        <f>1.64731777348021*1000</f>
        <v>1647.31777348021</v>
      </c>
      <c r="AK156" s="44"/>
      <c r="AL156" s="43">
        <f t="shared" si="134"/>
        <v>51342.835779029076</v>
      </c>
      <c r="AM156" s="92">
        <f t="shared" si="135"/>
        <v>0.37975470250761151</v>
      </c>
      <c r="AN156" s="42">
        <f t="shared" si="142"/>
        <v>9300</v>
      </c>
      <c r="AO156" s="42">
        <v>0</v>
      </c>
      <c r="AP156" s="42">
        <f t="shared" si="195"/>
        <v>3446.3349414197137</v>
      </c>
      <c r="AQ156" s="42">
        <f t="shared" si="143"/>
        <v>12746.334941419715</v>
      </c>
      <c r="AR156" s="42">
        <f t="shared" si="196"/>
        <v>4030.9115552492535</v>
      </c>
      <c r="AS156" s="42">
        <f t="shared" si="144"/>
        <v>3777</v>
      </c>
      <c r="AT156" s="43">
        <f t="shared" si="197"/>
        <v>38342.58928236011</v>
      </c>
      <c r="AU156" s="114">
        <f t="shared" si="198"/>
        <v>0.28359903315355112</v>
      </c>
      <c r="AV156" s="42">
        <f t="shared" si="199"/>
        <v>5576.1373765219396</v>
      </c>
      <c r="AW156" s="43">
        <f t="shared" si="200"/>
        <v>32766.45190583817</v>
      </c>
      <c r="AX156" s="114">
        <f t="shared" si="201"/>
        <v>0.2423554135047202</v>
      </c>
      <c r="AY156" s="42">
        <f t="shared" si="202"/>
        <v>5690.0658549659083</v>
      </c>
      <c r="AZ156" s="43">
        <f t="shared" si="203"/>
        <v>44032.655137326015</v>
      </c>
      <c r="BA156" s="114">
        <f t="shared" si="204"/>
        <v>0.32568531906306225</v>
      </c>
      <c r="BC156" s="10">
        <f t="shared" si="155"/>
        <v>2600</v>
      </c>
      <c r="BD156" s="10">
        <f t="shared" si="156"/>
        <v>-988.78990208911091</v>
      </c>
      <c r="BE156" s="10">
        <f t="shared" si="157"/>
        <v>-280.7371719266514</v>
      </c>
      <c r="BF156" s="10">
        <f t="shared" si="158"/>
        <v>-14.950103720637069</v>
      </c>
      <c r="BG156" s="10">
        <f t="shared" si="159"/>
        <v>-328.16059574381052</v>
      </c>
      <c r="BH156" s="10">
        <f t="shared" si="160"/>
        <v>-1612.6377734802102</v>
      </c>
      <c r="BI156" s="10">
        <f t="shared" si="161"/>
        <v>987.36222651978994</v>
      </c>
      <c r="BJ156" s="10">
        <f t="shared" si="162"/>
        <v>-178.84615384615384</v>
      </c>
      <c r="BK156" s="10">
        <f t="shared" si="163"/>
        <v>-66.275671950379106</v>
      </c>
      <c r="BL156" s="10">
        <f t="shared" si="164"/>
        <v>-245.12182579653296</v>
      </c>
      <c r="BM156" s="10">
        <f t="shared" si="165"/>
        <v>-77.517529908639489</v>
      </c>
      <c r="BN156" s="10">
        <f t="shared" si="166"/>
        <v>72.634615384615387</v>
      </c>
      <c r="BO156" s="10">
        <f t="shared" si="167"/>
        <v>737.35748619923288</v>
      </c>
      <c r="BP156" s="10">
        <f t="shared" si="168"/>
        <v>-107.23341108696037</v>
      </c>
      <c r="BQ156" s="10">
        <f t="shared" si="169"/>
        <v>630.12407511227252</v>
      </c>
      <c r="BR156" s="10">
        <f t="shared" si="170"/>
        <v>109.42434336472901</v>
      </c>
      <c r="BS156" s="10">
        <f t="shared" si="171"/>
        <v>846.78182956396188</v>
      </c>
    </row>
    <row r="157" spans="2:71" hidden="1">
      <c r="C157" s="29" t="s">
        <v>757</v>
      </c>
      <c r="D157" s="25" t="s">
        <v>772</v>
      </c>
      <c r="E157" s="98">
        <v>120</v>
      </c>
      <c r="F157" s="98">
        <v>46185</v>
      </c>
      <c r="G157" s="99">
        <v>27</v>
      </c>
      <c r="H157" s="27" t="s">
        <v>31</v>
      </c>
      <c r="I157" s="27" t="s">
        <v>107</v>
      </c>
      <c r="J157" s="7" t="s">
        <v>717</v>
      </c>
      <c r="K157" s="7" t="s">
        <v>171</v>
      </c>
      <c r="L157" s="7" t="s">
        <v>202</v>
      </c>
      <c r="M157" s="21" t="s">
        <v>718</v>
      </c>
      <c r="N157" s="7" t="s">
        <v>719</v>
      </c>
      <c r="O157" s="20">
        <v>3050</v>
      </c>
      <c r="P157" s="59">
        <v>82350</v>
      </c>
      <c r="Q157" s="20">
        <v>2946.2962962962961</v>
      </c>
      <c r="R157" s="30">
        <v>2800</v>
      </c>
      <c r="S157" s="32">
        <f t="shared" si="192"/>
        <v>79550</v>
      </c>
      <c r="T157" s="63">
        <v>1</v>
      </c>
      <c r="U157" s="57" t="s">
        <v>765</v>
      </c>
      <c r="V157" s="141">
        <v>6503786970</v>
      </c>
      <c r="W157" s="60"/>
      <c r="X157" s="4"/>
      <c r="Y157" s="4" t="s">
        <v>867</v>
      </c>
      <c r="Z157" s="7">
        <v>10007162</v>
      </c>
      <c r="AA157" s="7"/>
      <c r="AB157" s="7"/>
      <c r="AC157" s="20">
        <f t="shared" si="193"/>
        <v>1612.6377734802099</v>
      </c>
      <c r="AD157" s="44">
        <f>IFERROR(INDEX('Costos Producción Febrero'!$G$34:$G$57,MATCH(Resumen!Z157,'Costos Producción Febrero'!$B$34:$B$57,0))*AC157*G157,0)</f>
        <v>26697.327356405993</v>
      </c>
      <c r="AE157" s="44">
        <f>IFERROR(INDEX('Costos Producción Febrero'!$H$34:$H$57,MATCH(Resumen!Z157,'Costos Producción Febrero'!$B$34:$B$57,0))*AC157*G157,0)</f>
        <v>7579.903642019588</v>
      </c>
      <c r="AF157" s="44">
        <f>IFERROR(INDEX('Costos Producción Febrero'!$I$34:$I$57,MATCH(Resumen!Z157,'Costos Producción Febrero'!$B$34:$B$57,0))*AC157*G157,0)</f>
        <v>403.65280045720084</v>
      </c>
      <c r="AG157" s="44">
        <f>IFERROR(INDEX('Costos Producción Febrero'!$J$34:$J$57,MATCH(Resumen!Z157,'Costos Producción Febrero'!$B$34:$B$57,0))*AC157*G157,0)</f>
        <v>8860.3360850828831</v>
      </c>
      <c r="AH157" s="44">
        <f t="shared" si="205"/>
        <v>43541.21988396567</v>
      </c>
      <c r="AI157" s="44"/>
      <c r="AJ157" s="44">
        <f>1.64731777348021*1000</f>
        <v>1647.31777348021</v>
      </c>
      <c r="AK157" s="44"/>
      <c r="AL157" s="43">
        <f t="shared" si="134"/>
        <v>38808.78011603433</v>
      </c>
      <c r="AM157" s="92">
        <f t="shared" si="135"/>
        <v>0.47126630377698031</v>
      </c>
      <c r="AN157" s="42">
        <f t="shared" si="142"/>
        <v>2800</v>
      </c>
      <c r="AO157" s="42">
        <v>0</v>
      </c>
      <c r="AP157" s="42">
        <f t="shared" si="195"/>
        <v>1789.4431426602359</v>
      </c>
      <c r="AQ157" s="42">
        <f t="shared" si="143"/>
        <v>4589.4431426602359</v>
      </c>
      <c r="AR157" s="42">
        <f t="shared" si="196"/>
        <v>2092.9733075332661</v>
      </c>
      <c r="AS157" s="42">
        <f t="shared" si="144"/>
        <v>2386.5</v>
      </c>
      <c r="AT157" s="43">
        <f t="shared" si="197"/>
        <v>34512.863665840821</v>
      </c>
      <c r="AU157" s="114">
        <f t="shared" si="198"/>
        <v>0.41909974093310043</v>
      </c>
      <c r="AV157" s="42">
        <f t="shared" si="199"/>
        <v>2895.3020993479299</v>
      </c>
      <c r="AW157" s="43">
        <f t="shared" si="200"/>
        <v>31617.561566492892</v>
      </c>
      <c r="AX157" s="114">
        <f t="shared" si="201"/>
        <v>0.38394124549475278</v>
      </c>
      <c r="AY157" s="42">
        <f t="shared" si="202"/>
        <v>2954.4572708476835</v>
      </c>
      <c r="AZ157" s="43">
        <f t="shared" si="203"/>
        <v>37467.320936688506</v>
      </c>
      <c r="BA157" s="114">
        <f t="shared" si="204"/>
        <v>0.45497657482317555</v>
      </c>
      <c r="BC157" s="10">
        <f t="shared" si="155"/>
        <v>3050</v>
      </c>
      <c r="BD157" s="10">
        <f t="shared" si="156"/>
        <v>-988.7899020891108</v>
      </c>
      <c r="BE157" s="10">
        <f t="shared" si="157"/>
        <v>-280.7371719266514</v>
      </c>
      <c r="BF157" s="10">
        <f t="shared" si="158"/>
        <v>-14.950103720637069</v>
      </c>
      <c r="BG157" s="10">
        <f t="shared" si="159"/>
        <v>-328.16059574381046</v>
      </c>
      <c r="BH157" s="10">
        <f t="shared" si="160"/>
        <v>-1612.6377734802099</v>
      </c>
      <c r="BI157" s="10">
        <f t="shared" si="161"/>
        <v>1437.3622265197901</v>
      </c>
      <c r="BJ157" s="10">
        <f t="shared" si="162"/>
        <v>-103.70370370370371</v>
      </c>
      <c r="BK157" s="10">
        <f t="shared" si="163"/>
        <v>-66.275671950379106</v>
      </c>
      <c r="BL157" s="10">
        <f t="shared" si="164"/>
        <v>-169.97937565408282</v>
      </c>
      <c r="BM157" s="10">
        <f t="shared" si="165"/>
        <v>-77.517529908639489</v>
      </c>
      <c r="BN157" s="10">
        <f t="shared" si="166"/>
        <v>88.388888888888886</v>
      </c>
      <c r="BO157" s="10">
        <f t="shared" si="167"/>
        <v>1278.2542098459564</v>
      </c>
      <c r="BP157" s="10">
        <f t="shared" si="168"/>
        <v>-107.23341108696037</v>
      </c>
      <c r="BQ157" s="10">
        <f t="shared" si="169"/>
        <v>1171.0207987589961</v>
      </c>
      <c r="BR157" s="10">
        <f t="shared" si="170"/>
        <v>109.42434336472901</v>
      </c>
      <c r="BS157" s="10">
        <f t="shared" si="171"/>
        <v>1387.6785532106853</v>
      </c>
    </row>
    <row r="158" spans="2:71" hidden="1">
      <c r="C158" s="29" t="s">
        <v>757</v>
      </c>
      <c r="D158" s="25" t="s">
        <v>773</v>
      </c>
      <c r="E158" s="98">
        <v>128</v>
      </c>
      <c r="F158" s="98">
        <v>46192</v>
      </c>
      <c r="G158" s="99">
        <v>54</v>
      </c>
      <c r="H158" s="27" t="s">
        <v>32</v>
      </c>
      <c r="I158" s="27" t="s">
        <v>155</v>
      </c>
      <c r="J158" s="7" t="s">
        <v>287</v>
      </c>
      <c r="K158" s="7" t="s">
        <v>171</v>
      </c>
      <c r="L158" s="7" t="s">
        <v>172</v>
      </c>
      <c r="M158" s="21" t="s">
        <v>774</v>
      </c>
      <c r="N158" s="7" t="s">
        <v>775</v>
      </c>
      <c r="O158" s="20">
        <v>2200</v>
      </c>
      <c r="P158" s="77">
        <v>118800</v>
      </c>
      <c r="Q158" s="20">
        <v>2096.2962962962961</v>
      </c>
      <c r="R158" s="30">
        <f>2800*2</f>
        <v>5600</v>
      </c>
      <c r="S158" s="32">
        <f t="shared" si="192"/>
        <v>113200</v>
      </c>
      <c r="T158" s="63">
        <v>1</v>
      </c>
      <c r="U158" s="57" t="s">
        <v>776</v>
      </c>
      <c r="V158" s="141">
        <v>6504275640</v>
      </c>
      <c r="W158" s="60"/>
      <c r="X158" s="4"/>
      <c r="Y158" s="4" t="s">
        <v>867</v>
      </c>
      <c r="Z158" s="7">
        <v>10006720</v>
      </c>
      <c r="AA158" s="7"/>
      <c r="AB158" s="7"/>
      <c r="AC158" s="20">
        <f t="shared" si="193"/>
        <v>1754.6123610599075</v>
      </c>
      <c r="AD158" s="44">
        <f>IFERROR(INDEX('Costos Producción Febrero'!$G$34:$G$57,MATCH(Resumen!Z158,'Costos Producción Febrero'!$B$34:$B$57,0))*AC158*G158,0)</f>
        <v>60799.816707791768</v>
      </c>
      <c r="AE158" s="44">
        <f>IFERROR(INDEX('Costos Producción Febrero'!$H$34:$H$57,MATCH(Resumen!Z158,'Costos Producción Febrero'!$B$34:$B$57,0))*AC158*G158,0)</f>
        <v>12788.469584988183</v>
      </c>
      <c r="AF158" s="44">
        <f>IFERROR(INDEX('Costos Producción Febrero'!$I$34:$I$57,MATCH(Resumen!Z158,'Costos Producción Febrero'!$B$34:$B$57,0))*AC158*G158,0)</f>
        <v>885.32116720356726</v>
      </c>
      <c r="AG158" s="44">
        <f>IFERROR(INDEX('Costos Producción Febrero'!$J$34:$J$57,MATCH(Resumen!Z158,'Costos Producción Febrero'!$B$34:$B$57,0))*AC158*G158,0)</f>
        <v>20275.460037251483</v>
      </c>
      <c r="AH158" s="44">
        <f t="shared" ref="AH158:AH160" si="206">SUM(AD158:AG158)</f>
        <v>94749.06749723501</v>
      </c>
      <c r="AI158" s="44"/>
      <c r="AJ158" s="44">
        <v>1789.2923610599075</v>
      </c>
      <c r="AK158" s="44"/>
      <c r="AL158" s="43">
        <f t="shared" si="134"/>
        <v>24050.93250276499</v>
      </c>
      <c r="AM158" s="92">
        <f t="shared" si="135"/>
        <v>0.20244892679095108</v>
      </c>
      <c r="AN158" s="42">
        <f t="shared" si="142"/>
        <v>5600</v>
      </c>
      <c r="AO158" s="42">
        <v>0</v>
      </c>
      <c r="AP158" s="42">
        <f t="shared" si="195"/>
        <v>3578.8862853204719</v>
      </c>
      <c r="AQ158" s="42">
        <f t="shared" si="143"/>
        <v>9178.8862853204719</v>
      </c>
      <c r="AR158" s="42">
        <f t="shared" si="196"/>
        <v>4185.9466150665321</v>
      </c>
      <c r="AS158" s="42">
        <f t="shared" si="144"/>
        <v>3396</v>
      </c>
      <c r="AT158" s="43">
        <f t="shared" si="197"/>
        <v>14082.099602377986</v>
      </c>
      <c r="AU158" s="114">
        <f t="shared" si="198"/>
        <v>0.11853619193920864</v>
      </c>
      <c r="AV158" s="42">
        <f t="shared" si="199"/>
        <v>5790.6041986958598</v>
      </c>
      <c r="AW158" s="43">
        <f t="shared" si="200"/>
        <v>8291.4954036821255</v>
      </c>
      <c r="AX158" s="114">
        <f t="shared" si="201"/>
        <v>6.9793732354226645E-2</v>
      </c>
      <c r="AY158" s="42">
        <f t="shared" si="202"/>
        <v>5908.914541695367</v>
      </c>
      <c r="AZ158" s="43">
        <f t="shared" si="203"/>
        <v>19991.014144073353</v>
      </c>
      <c r="BA158" s="114">
        <f t="shared" si="204"/>
        <v>0.16827452983226729</v>
      </c>
      <c r="BC158" s="10">
        <f t="shared" si="155"/>
        <v>2200</v>
      </c>
      <c r="BD158" s="10">
        <f t="shared" si="156"/>
        <v>-1125.9225316257734</v>
      </c>
      <c r="BE158" s="10">
        <f t="shared" si="157"/>
        <v>-236.82351083311448</v>
      </c>
      <c r="BF158" s="10">
        <f t="shared" si="158"/>
        <v>-16.39483642969569</v>
      </c>
      <c r="BG158" s="10">
        <f t="shared" si="159"/>
        <v>-375.47148217132377</v>
      </c>
      <c r="BH158" s="10">
        <f t="shared" si="160"/>
        <v>-1754.6123610599077</v>
      </c>
      <c r="BI158" s="10">
        <f t="shared" si="161"/>
        <v>445.38763894009242</v>
      </c>
      <c r="BJ158" s="10">
        <f t="shared" si="162"/>
        <v>-103.70370370370371</v>
      </c>
      <c r="BK158" s="10">
        <f t="shared" si="163"/>
        <v>-66.275671950379106</v>
      </c>
      <c r="BL158" s="10">
        <f t="shared" si="164"/>
        <v>-169.97937565408282</v>
      </c>
      <c r="BM158" s="10">
        <f t="shared" si="165"/>
        <v>-77.517529908639489</v>
      </c>
      <c r="BN158" s="10">
        <f t="shared" si="166"/>
        <v>62.888888888888886</v>
      </c>
      <c r="BO158" s="10">
        <f t="shared" si="167"/>
        <v>260.77962226625903</v>
      </c>
      <c r="BP158" s="10">
        <f t="shared" si="168"/>
        <v>-107.23341108696037</v>
      </c>
      <c r="BQ158" s="10">
        <f t="shared" si="169"/>
        <v>153.54621117929861</v>
      </c>
      <c r="BR158" s="10">
        <f t="shared" si="170"/>
        <v>109.42434336472901</v>
      </c>
      <c r="BS158" s="10">
        <f t="shared" si="171"/>
        <v>370.20396563098802</v>
      </c>
    </row>
    <row r="159" spans="2:71" hidden="1">
      <c r="C159" s="29" t="s">
        <v>757</v>
      </c>
      <c r="D159" s="25" t="s">
        <v>777</v>
      </c>
      <c r="E159" s="98">
        <v>46153</v>
      </c>
      <c r="F159" s="98">
        <v>46182</v>
      </c>
      <c r="G159" s="99">
        <v>26.28</v>
      </c>
      <c r="H159" s="27" t="s">
        <v>35</v>
      </c>
      <c r="I159" s="27" t="s">
        <v>486</v>
      </c>
      <c r="J159" s="7"/>
      <c r="K159" s="7" t="s">
        <v>171</v>
      </c>
      <c r="L159" s="7" t="s">
        <v>202</v>
      </c>
      <c r="M159" s="21" t="s">
        <v>735</v>
      </c>
      <c r="N159" s="7" t="s">
        <v>736</v>
      </c>
      <c r="O159" s="20">
        <v>4300</v>
      </c>
      <c r="P159" s="59">
        <v>113004</v>
      </c>
      <c r="Q159" s="20">
        <v>4195.3196347031962</v>
      </c>
      <c r="R159" s="30">
        <v>2751</v>
      </c>
      <c r="S159" s="32">
        <f t="shared" si="192"/>
        <v>110253</v>
      </c>
      <c r="T159" s="63">
        <v>1</v>
      </c>
      <c r="U159" s="57" t="s">
        <v>778</v>
      </c>
      <c r="V159" s="141" t="s">
        <v>779</v>
      </c>
      <c r="W159" s="60"/>
      <c r="X159" s="4"/>
      <c r="Y159" s="4" t="s">
        <v>868</v>
      </c>
      <c r="Z159" s="7">
        <v>10009331</v>
      </c>
      <c r="AA159" s="7"/>
      <c r="AB159" s="7"/>
      <c r="AC159" s="20">
        <f t="shared" si="193"/>
        <v>2696.3685114873801</v>
      </c>
      <c r="AD159" s="44">
        <f>IFERROR(INDEX('Costos Producción Febrero'!$G$34:$G$57,MATCH(Resumen!Z159,'Costos Producción Febrero'!$B$34:$B$57,0))*AC159*G159,0)</f>
        <v>40434.936234669978</v>
      </c>
      <c r="AE159" s="44">
        <f>IFERROR(INDEX('Costos Producción Febrero'!$H$34:$H$57,MATCH(Resumen!Z159,'Costos Producción Febrero'!$B$34:$B$57,0))*AC159*G159,0)</f>
        <v>16041.910550674487</v>
      </c>
      <c r="AF159" s="44">
        <f>IFERROR(INDEX('Costos Producción Febrero'!$I$34:$I$57,MATCH(Resumen!Z159,'Costos Producción Febrero'!$B$34:$B$57,0))*AC159*G159,0)</f>
        <v>734.7118734595947</v>
      </c>
      <c r="AG159" s="44">
        <f>IFERROR(INDEX('Costos Producción Febrero'!$J$34:$J$57,MATCH(Resumen!Z159,'Costos Producción Febrero'!$B$34:$B$57,0))*AC159*G159,0)</f>
        <v>13649.005823084295</v>
      </c>
      <c r="AH159" s="44">
        <f t="shared" si="206"/>
        <v>70860.564481888359</v>
      </c>
      <c r="AI159" s="44"/>
      <c r="AJ159" s="44">
        <f>2.73104851148738*1000</f>
        <v>2731.04851148738</v>
      </c>
      <c r="AK159" s="44"/>
      <c r="AL159" s="43">
        <f t="shared" si="134"/>
        <v>42143.435518111641</v>
      </c>
      <c r="AM159" s="92">
        <f t="shared" si="135"/>
        <v>0.37293755546805107</v>
      </c>
      <c r="AN159" s="42">
        <f t="shared" si="142"/>
        <v>2751</v>
      </c>
      <c r="AO159" s="42">
        <v>0</v>
      </c>
      <c r="AP159" s="42">
        <f t="shared" si="195"/>
        <v>1741.7246588559631</v>
      </c>
      <c r="AQ159" s="42">
        <f t="shared" si="143"/>
        <v>4492.7246588559628</v>
      </c>
      <c r="AR159" s="42">
        <f t="shared" si="196"/>
        <v>2037.1606859990459</v>
      </c>
      <c r="AS159" s="42">
        <f t="shared" si="144"/>
        <v>3307.5899999999997</v>
      </c>
      <c r="AT159" s="43">
        <f t="shared" si="197"/>
        <v>38921.14017325663</v>
      </c>
      <c r="AU159" s="114">
        <f t="shared" si="198"/>
        <v>0.34442267683671934</v>
      </c>
      <c r="AV159" s="42">
        <f t="shared" si="199"/>
        <v>2818.0940433653186</v>
      </c>
      <c r="AW159" s="43">
        <f t="shared" si="200"/>
        <v>36103.046129891314</v>
      </c>
      <c r="AX159" s="114">
        <f t="shared" si="201"/>
        <v>0.31948467425835647</v>
      </c>
      <c r="AY159" s="42">
        <f t="shared" si="202"/>
        <v>2875.6717436250788</v>
      </c>
      <c r="AZ159" s="43">
        <f t="shared" si="203"/>
        <v>41796.811916881707</v>
      </c>
      <c r="BA159" s="114">
        <f t="shared" si="204"/>
        <v>0.36987019854944697</v>
      </c>
      <c r="BC159" s="10">
        <f t="shared" si="155"/>
        <v>4300</v>
      </c>
      <c r="BD159" s="10">
        <f t="shared" si="156"/>
        <v>-1538.6201002538044</v>
      </c>
      <c r="BE159" s="10">
        <f t="shared" si="157"/>
        <v>-610.42277590085564</v>
      </c>
      <c r="BF159" s="10">
        <f t="shared" si="158"/>
        <v>-27.95707281048686</v>
      </c>
      <c r="BG159" s="10">
        <f t="shared" si="159"/>
        <v>-519.36856252223345</v>
      </c>
      <c r="BH159" s="10">
        <f t="shared" si="160"/>
        <v>-2696.3685114873806</v>
      </c>
      <c r="BI159" s="10">
        <f t="shared" si="161"/>
        <v>1603.6314885126194</v>
      </c>
      <c r="BJ159" s="10">
        <f t="shared" si="162"/>
        <v>-104.68036529680364</v>
      </c>
      <c r="BK159" s="10">
        <f t="shared" si="163"/>
        <v>-66.275671950379106</v>
      </c>
      <c r="BL159" s="10">
        <f t="shared" si="164"/>
        <v>-170.95603724718276</v>
      </c>
      <c r="BM159" s="10">
        <f t="shared" si="165"/>
        <v>-77.517529908639489</v>
      </c>
      <c r="BN159" s="10">
        <f t="shared" si="166"/>
        <v>125.85958904109587</v>
      </c>
      <c r="BO159" s="10">
        <f t="shared" si="167"/>
        <v>1481.0175103978929</v>
      </c>
      <c r="BP159" s="10">
        <f t="shared" si="168"/>
        <v>-107.23341108696037</v>
      </c>
      <c r="BQ159" s="10">
        <f t="shared" si="169"/>
        <v>1373.7840993109328</v>
      </c>
      <c r="BR159" s="10">
        <f t="shared" si="170"/>
        <v>109.42434336472903</v>
      </c>
      <c r="BS159" s="10">
        <f t="shared" si="171"/>
        <v>1590.441853762622</v>
      </c>
    </row>
    <row r="160" spans="2:71" hidden="1">
      <c r="C160" s="29" t="s">
        <v>757</v>
      </c>
      <c r="D160" s="25" t="s">
        <v>780</v>
      </c>
      <c r="E160" s="98">
        <v>46153</v>
      </c>
      <c r="F160" s="98">
        <v>46192</v>
      </c>
      <c r="G160" s="99">
        <v>54</v>
      </c>
      <c r="H160" s="27" t="s">
        <v>35</v>
      </c>
      <c r="I160" s="27" t="s">
        <v>486</v>
      </c>
      <c r="J160" s="7"/>
      <c r="K160" s="7" t="s">
        <v>171</v>
      </c>
      <c r="L160" s="7" t="s">
        <v>202</v>
      </c>
      <c r="M160" s="21" t="s">
        <v>735</v>
      </c>
      <c r="N160" s="7" t="s">
        <v>736</v>
      </c>
      <c r="O160" s="20">
        <v>4300</v>
      </c>
      <c r="P160" s="59">
        <v>229878</v>
      </c>
      <c r="Q160" s="20">
        <v>4203.7037037037035</v>
      </c>
      <c r="R160" s="30">
        <v>5200</v>
      </c>
      <c r="S160" s="32">
        <f t="shared" si="192"/>
        <v>224678</v>
      </c>
      <c r="T160" s="63">
        <v>2</v>
      </c>
      <c r="U160" s="57" t="s">
        <v>776</v>
      </c>
      <c r="V160" s="141">
        <v>6504275630</v>
      </c>
      <c r="W160" s="60"/>
      <c r="X160" s="4"/>
      <c r="Y160" s="4" t="s">
        <v>868</v>
      </c>
      <c r="Z160" s="7">
        <v>10009331</v>
      </c>
      <c r="AA160" s="7"/>
      <c r="AB160" s="7"/>
      <c r="AC160" s="20">
        <f t="shared" si="193"/>
        <v>2696.3685114873801</v>
      </c>
      <c r="AD160" s="44">
        <f>IFERROR(INDEX('Costos Producción Febrero'!$G$34:$G$57,MATCH(Resumen!Z160,'Costos Producción Febrero'!$B$34:$B$57,0))*AC160*G160,0)</f>
        <v>83085.485413705435</v>
      </c>
      <c r="AE160" s="44">
        <f>IFERROR(INDEX('Costos Producción Febrero'!$H$34:$H$57,MATCH(Resumen!Z160,'Costos Producción Febrero'!$B$34:$B$57,0))*AC160*G160,0)</f>
        <v>32962.829898646203</v>
      </c>
      <c r="AF160" s="44">
        <f>IFERROR(INDEX('Costos Producción Febrero'!$I$34:$I$57,MATCH(Resumen!Z160,'Costos Producción Febrero'!$B$34:$B$57,0))*AC160*G160,0)</f>
        <v>1509.6819317662905</v>
      </c>
      <c r="AG160" s="44">
        <f>IFERROR(INDEX('Costos Producción Febrero'!$J$34:$J$57,MATCH(Resumen!Z160,'Costos Producción Febrero'!$B$34:$B$57,0))*AC160*G160,0)</f>
        <v>28045.902376200607</v>
      </c>
      <c r="AH160" s="44">
        <f t="shared" si="206"/>
        <v>145603.89962031852</v>
      </c>
      <c r="AI160" s="44"/>
      <c r="AJ160" s="44">
        <f>2.73104851148738*1000</f>
        <v>2731.04851148738</v>
      </c>
      <c r="AK160" s="44"/>
      <c r="AL160" s="43">
        <f t="shared" si="134"/>
        <v>84274.100379681477</v>
      </c>
      <c r="AM160" s="92">
        <f t="shared" si="135"/>
        <v>0.36660359138186982</v>
      </c>
      <c r="AN160" s="42">
        <f t="shared" si="142"/>
        <v>5200</v>
      </c>
      <c r="AO160" s="42">
        <v>0</v>
      </c>
      <c r="AP160" s="42">
        <f t="shared" si="195"/>
        <v>3578.8862853204719</v>
      </c>
      <c r="AQ160" s="42">
        <f t="shared" si="143"/>
        <v>8778.8862853204719</v>
      </c>
      <c r="AR160" s="42">
        <f t="shared" si="196"/>
        <v>4185.9466150665321</v>
      </c>
      <c r="AS160" s="42">
        <f t="shared" si="144"/>
        <v>6740.34</v>
      </c>
      <c r="AT160" s="43">
        <f t="shared" si="197"/>
        <v>78049.607479294471</v>
      </c>
      <c r="AU160" s="114">
        <f t="shared" si="198"/>
        <v>0.33952621598976185</v>
      </c>
      <c r="AV160" s="42">
        <f t="shared" si="199"/>
        <v>5790.6041986958598</v>
      </c>
      <c r="AW160" s="43">
        <f t="shared" si="200"/>
        <v>72259.003280598612</v>
      </c>
      <c r="AX160" s="114">
        <f t="shared" si="201"/>
        <v>0.3143363143954559</v>
      </c>
      <c r="AY160" s="42">
        <f t="shared" si="202"/>
        <v>5908.914541695367</v>
      </c>
      <c r="AZ160" s="43">
        <f t="shared" si="203"/>
        <v>83958.52202098984</v>
      </c>
      <c r="BA160" s="114">
        <f t="shared" si="204"/>
        <v>0.36523078337635545</v>
      </c>
      <c r="BC160" s="10">
        <f t="shared" si="155"/>
        <v>4257</v>
      </c>
      <c r="BD160" s="10">
        <f t="shared" si="156"/>
        <v>-1538.6201002538044</v>
      </c>
      <c r="BE160" s="10">
        <f t="shared" si="157"/>
        <v>-610.42277590085564</v>
      </c>
      <c r="BF160" s="10">
        <f t="shared" si="158"/>
        <v>-27.95707281048686</v>
      </c>
      <c r="BG160" s="10">
        <f t="shared" si="159"/>
        <v>-519.36856252223345</v>
      </c>
      <c r="BH160" s="10">
        <f t="shared" si="160"/>
        <v>-2696.3685114873801</v>
      </c>
      <c r="BI160" s="10">
        <f t="shared" si="161"/>
        <v>1560.6314885126199</v>
      </c>
      <c r="BJ160" s="10">
        <f t="shared" si="162"/>
        <v>-96.296296296296291</v>
      </c>
      <c r="BK160" s="10">
        <f t="shared" si="163"/>
        <v>-66.275671950379106</v>
      </c>
      <c r="BL160" s="10">
        <f t="shared" si="164"/>
        <v>-162.5719682466754</v>
      </c>
      <c r="BM160" s="10">
        <f t="shared" si="165"/>
        <v>-77.517529908639489</v>
      </c>
      <c r="BN160" s="10">
        <f t="shared" si="166"/>
        <v>124.82111111111111</v>
      </c>
      <c r="BO160" s="10">
        <f t="shared" si="167"/>
        <v>1445.3631014684161</v>
      </c>
      <c r="BP160" s="10">
        <f t="shared" si="168"/>
        <v>-107.23341108696037</v>
      </c>
      <c r="BQ160" s="10">
        <f t="shared" si="169"/>
        <v>1338.1296903814557</v>
      </c>
      <c r="BR160" s="10">
        <f t="shared" si="170"/>
        <v>109.42434336472901</v>
      </c>
      <c r="BS160" s="10">
        <f t="shared" si="171"/>
        <v>1554.7874448331452</v>
      </c>
    </row>
    <row r="161" spans="3:71" hidden="1">
      <c r="C161" s="29" t="s">
        <v>757</v>
      </c>
      <c r="D161" s="25" t="s">
        <v>780</v>
      </c>
      <c r="E161" s="98">
        <v>46153</v>
      </c>
      <c r="F161" s="98">
        <v>46192</v>
      </c>
      <c r="G161" s="99">
        <v>54</v>
      </c>
      <c r="H161" s="27" t="s">
        <v>33</v>
      </c>
      <c r="I161" s="27" t="s">
        <v>132</v>
      </c>
      <c r="J161" s="7" t="s">
        <v>729</v>
      </c>
      <c r="K161" s="7" t="s">
        <v>171</v>
      </c>
      <c r="L161" s="7" t="s">
        <v>202</v>
      </c>
      <c r="M161" s="21" t="s">
        <v>735</v>
      </c>
      <c r="N161" s="7" t="s">
        <v>736</v>
      </c>
      <c r="O161" s="20">
        <v>2020</v>
      </c>
      <c r="P161" s="59">
        <v>109080</v>
      </c>
      <c r="Q161" s="20">
        <v>1923.7037037037037</v>
      </c>
      <c r="R161" s="30">
        <v>5200</v>
      </c>
      <c r="S161" s="32">
        <f t="shared" si="192"/>
        <v>103880</v>
      </c>
      <c r="T161" s="63">
        <v>2</v>
      </c>
      <c r="U161" s="57" t="s">
        <v>776</v>
      </c>
      <c r="V161" s="141">
        <v>6504275630</v>
      </c>
      <c r="W161" s="60"/>
      <c r="X161" s="4"/>
      <c r="Y161" s="4" t="s">
        <v>867</v>
      </c>
      <c r="Z161" s="7">
        <v>10005721</v>
      </c>
      <c r="AA161" s="7"/>
      <c r="AB161" s="7"/>
      <c r="AC161" s="20">
        <f t="shared" si="193"/>
        <v>1856.5261732240999</v>
      </c>
      <c r="AD161" s="44">
        <f>IFERROR(INDEX('Costos Producción Febrero'!$G$34:$G$57,MATCH(Resumen!Z161,'Costos Producción Febrero'!$B$34:$B$57,0))*AC161*G161,0)</f>
        <v>60884.384699340182</v>
      </c>
      <c r="AE161" s="44">
        <f>IFERROR(INDEX('Costos Producción Febrero'!$H$34:$H$57,MATCH(Resumen!Z161,'Costos Producción Febrero'!$B$34:$B$57,0))*AC161*G161,0)</f>
        <v>17840.388746823068</v>
      </c>
      <c r="AF161" s="44">
        <f>IFERROR(INDEX('Costos Producción Febrero'!$I$34:$I$57,MATCH(Resumen!Z161,'Costos Producción Febrero'!$B$34:$B$57,0))*AC161*G161,0)</f>
        <v>1092.9423714051745</v>
      </c>
      <c r="AG161" s="44">
        <f>IFERROR(INDEX('Costos Producción Febrero'!$J$34:$J$57,MATCH(Resumen!Z161,'Costos Producción Febrero'!$B$34:$B$57,0))*AC161*G161,0)</f>
        <v>20434.697536532971</v>
      </c>
      <c r="AH161" s="44">
        <f t="shared" ref="AH161:AH162" si="207">SUM(AD161:AG161)</f>
        <v>100252.4133541014</v>
      </c>
      <c r="AI161" s="44"/>
      <c r="AJ161" s="44">
        <v>1891.2061732241</v>
      </c>
      <c r="AK161" s="44"/>
      <c r="AL161" s="43">
        <f t="shared" si="134"/>
        <v>8827.5866458985984</v>
      </c>
      <c r="AM161" s="92">
        <f t="shared" si="135"/>
        <v>8.0927637017772266E-2</v>
      </c>
      <c r="AN161" s="42">
        <f t="shared" si="142"/>
        <v>5200</v>
      </c>
      <c r="AO161" s="42">
        <v>0</v>
      </c>
      <c r="AP161" s="42">
        <f t="shared" si="195"/>
        <v>3578.8862853204719</v>
      </c>
      <c r="AQ161" s="42">
        <f t="shared" si="143"/>
        <v>8778.8862853204719</v>
      </c>
      <c r="AR161" s="42">
        <f t="shared" si="196"/>
        <v>4185.9466150665321</v>
      </c>
      <c r="AS161" s="42">
        <f t="shared" si="144"/>
        <v>3116.4</v>
      </c>
      <c r="AT161" s="43">
        <f t="shared" si="197"/>
        <v>-1020.8462544884055</v>
      </c>
      <c r="AU161" s="114">
        <f t="shared" si="198"/>
        <v>-9.3586932021305965E-3</v>
      </c>
      <c r="AV161" s="42">
        <f t="shared" si="199"/>
        <v>5790.6041986958598</v>
      </c>
      <c r="AW161" s="43">
        <f t="shared" si="200"/>
        <v>-6811.4504531842649</v>
      </c>
      <c r="AX161" s="114">
        <f t="shared" si="201"/>
        <v>-6.2444540274883248E-2</v>
      </c>
      <c r="AY161" s="42">
        <f t="shared" si="202"/>
        <v>5908.914541695367</v>
      </c>
      <c r="AZ161" s="43">
        <f t="shared" si="203"/>
        <v>4888.068287206961</v>
      </c>
      <c r="BA161" s="114">
        <f t="shared" si="204"/>
        <v>4.4811773810111484E-2</v>
      </c>
      <c r="BC161" s="10">
        <f t="shared" si="155"/>
        <v>2020</v>
      </c>
      <c r="BD161" s="10">
        <f t="shared" si="156"/>
        <v>-1127.4886055433367</v>
      </c>
      <c r="BE161" s="10">
        <f t="shared" si="157"/>
        <v>-330.37756938561239</v>
      </c>
      <c r="BF161" s="10">
        <f t="shared" si="158"/>
        <v>-20.23967354454027</v>
      </c>
      <c r="BG161" s="10">
        <f t="shared" si="159"/>
        <v>-378.42032475061058</v>
      </c>
      <c r="BH161" s="10">
        <f t="shared" si="160"/>
        <v>-1856.5261732240999</v>
      </c>
      <c r="BI161" s="10">
        <f t="shared" si="161"/>
        <v>163.47382677589997</v>
      </c>
      <c r="BJ161" s="10">
        <f t="shared" si="162"/>
        <v>-96.296296296296291</v>
      </c>
      <c r="BK161" s="10">
        <f t="shared" si="163"/>
        <v>-66.275671950379106</v>
      </c>
      <c r="BL161" s="10">
        <f t="shared" si="164"/>
        <v>-162.5719682466754</v>
      </c>
      <c r="BM161" s="10">
        <f t="shared" si="165"/>
        <v>-77.517529908639489</v>
      </c>
      <c r="BN161" s="10">
        <f t="shared" si="166"/>
        <v>57.711111111111116</v>
      </c>
      <c r="BO161" s="10">
        <f t="shared" si="167"/>
        <v>-18.904560268303808</v>
      </c>
      <c r="BP161" s="10">
        <f t="shared" si="168"/>
        <v>-107.23341108696037</v>
      </c>
      <c r="BQ161" s="10">
        <f t="shared" si="169"/>
        <v>-126.13797135526417</v>
      </c>
      <c r="BR161" s="10">
        <f t="shared" si="170"/>
        <v>109.42434336472901</v>
      </c>
      <c r="BS161" s="10">
        <f t="shared" si="171"/>
        <v>90.519783096425201</v>
      </c>
    </row>
    <row r="162" spans="3:71" hidden="1">
      <c r="C162" s="29" t="s">
        <v>757</v>
      </c>
      <c r="D162" s="25" t="s">
        <v>781</v>
      </c>
      <c r="E162" s="98">
        <v>46153</v>
      </c>
      <c r="F162" s="98">
        <v>46196</v>
      </c>
      <c r="G162" s="99">
        <v>27</v>
      </c>
      <c r="H162" s="27" t="s">
        <v>35</v>
      </c>
      <c r="I162" s="27" t="s">
        <v>486</v>
      </c>
      <c r="J162" s="7"/>
      <c r="K162" s="7" t="s">
        <v>171</v>
      </c>
      <c r="L162" s="7" t="s">
        <v>202</v>
      </c>
      <c r="M162" s="21" t="s">
        <v>735</v>
      </c>
      <c r="N162" s="7" t="s">
        <v>736</v>
      </c>
      <c r="O162" s="20">
        <v>4300</v>
      </c>
      <c r="P162" s="59">
        <v>114552</v>
      </c>
      <c r="Q162" s="20">
        <v>4198.1111111111113</v>
      </c>
      <c r="R162" s="30">
        <v>2751</v>
      </c>
      <c r="S162" s="32">
        <f t="shared" si="192"/>
        <v>111801</v>
      </c>
      <c r="T162" s="63">
        <v>1</v>
      </c>
      <c r="U162" s="57" t="s">
        <v>761</v>
      </c>
      <c r="V162" s="141" t="s">
        <v>782</v>
      </c>
      <c r="W162" s="60"/>
      <c r="X162" s="4"/>
      <c r="Y162" s="4" t="s">
        <v>868</v>
      </c>
      <c r="Z162" s="7">
        <v>10009331</v>
      </c>
      <c r="AA162" s="7"/>
      <c r="AB162" s="7"/>
      <c r="AC162" s="20">
        <f t="shared" si="193"/>
        <v>2696.3685114873801</v>
      </c>
      <c r="AD162" s="44">
        <f>IFERROR(INDEX('Costos Producción Febrero'!$G$34:$G$57,MATCH(Resumen!Z162,'Costos Producción Febrero'!$B$34:$B$57,0))*AC162*G162,0)</f>
        <v>41542.742706852718</v>
      </c>
      <c r="AE162" s="44">
        <f>IFERROR(INDEX('Costos Producción Febrero'!$H$34:$H$57,MATCH(Resumen!Z162,'Costos Producción Febrero'!$B$34:$B$57,0))*AC162*G162,0)</f>
        <v>16481.414949323102</v>
      </c>
      <c r="AF162" s="44">
        <f>IFERROR(INDEX('Costos Producción Febrero'!$I$34:$I$57,MATCH(Resumen!Z162,'Costos Producción Febrero'!$B$34:$B$57,0))*AC162*G162,0)</f>
        <v>754.84096588314526</v>
      </c>
      <c r="AG162" s="44">
        <f>IFERROR(INDEX('Costos Producción Febrero'!$J$34:$J$57,MATCH(Resumen!Z162,'Costos Producción Febrero'!$B$34:$B$57,0))*AC162*G162,0)</f>
        <v>14022.951188100304</v>
      </c>
      <c r="AH162" s="44">
        <f t="shared" si="207"/>
        <v>72801.949810159262</v>
      </c>
      <c r="AI162" s="44"/>
      <c r="AJ162" s="44">
        <f>2.73104851148738*1000</f>
        <v>2731.04851148738</v>
      </c>
      <c r="AK162" s="44"/>
      <c r="AL162" s="43">
        <f t="shared" si="134"/>
        <v>41750.050189840738</v>
      </c>
      <c r="AM162" s="92">
        <f t="shared" si="135"/>
        <v>0.36446373865005183</v>
      </c>
      <c r="AN162" s="42">
        <f t="shared" si="142"/>
        <v>2751</v>
      </c>
      <c r="AO162" s="42">
        <v>0</v>
      </c>
      <c r="AP162" s="42">
        <f t="shared" si="195"/>
        <v>1789.4431426602359</v>
      </c>
      <c r="AQ162" s="42">
        <f t="shared" si="143"/>
        <v>4540.4431426602359</v>
      </c>
      <c r="AR162" s="42">
        <f t="shared" si="196"/>
        <v>2092.9733075332661</v>
      </c>
      <c r="AS162" s="42">
        <f t="shared" si="144"/>
        <v>3354.0299999999997</v>
      </c>
      <c r="AT162" s="43">
        <f t="shared" si="197"/>
        <v>38470.663739647236</v>
      </c>
      <c r="AU162" s="114">
        <f t="shared" si="198"/>
        <v>0.33583581028395171</v>
      </c>
      <c r="AV162" s="42">
        <f t="shared" si="199"/>
        <v>2895.3020993479299</v>
      </c>
      <c r="AW162" s="43">
        <f t="shared" si="200"/>
        <v>35575.361640299307</v>
      </c>
      <c r="AX162" s="114">
        <f t="shared" si="201"/>
        <v>0.31056080767074612</v>
      </c>
      <c r="AY162" s="42">
        <f t="shared" si="202"/>
        <v>2954.4572708476835</v>
      </c>
      <c r="AZ162" s="43">
        <f t="shared" si="203"/>
        <v>41425.12101049492</v>
      </c>
      <c r="BA162" s="114">
        <f t="shared" si="204"/>
        <v>0.36162721742522974</v>
      </c>
      <c r="BC162" s="10">
        <f t="shared" si="155"/>
        <v>4242.666666666667</v>
      </c>
      <c r="BD162" s="10">
        <f t="shared" si="156"/>
        <v>-1538.6201002538044</v>
      </c>
      <c r="BE162" s="10">
        <f t="shared" si="157"/>
        <v>-610.42277590085564</v>
      </c>
      <c r="BF162" s="10">
        <f t="shared" si="158"/>
        <v>-27.95707281048686</v>
      </c>
      <c r="BG162" s="10">
        <f t="shared" si="159"/>
        <v>-519.36856252223345</v>
      </c>
      <c r="BH162" s="10">
        <f t="shared" si="160"/>
        <v>-2696.3685114873801</v>
      </c>
      <c r="BI162" s="10">
        <f t="shared" si="161"/>
        <v>1546.2981551792866</v>
      </c>
      <c r="BJ162" s="10">
        <f t="shared" si="162"/>
        <v>-101.88888888888889</v>
      </c>
      <c r="BK162" s="10">
        <f t="shared" si="163"/>
        <v>-66.275671950379106</v>
      </c>
      <c r="BL162" s="10">
        <f t="shared" si="164"/>
        <v>-168.16456083926801</v>
      </c>
      <c r="BM162" s="10">
        <f t="shared" si="165"/>
        <v>-77.517529908639489</v>
      </c>
      <c r="BN162" s="10">
        <f t="shared" si="166"/>
        <v>124.22333333333333</v>
      </c>
      <c r="BO162" s="10">
        <f t="shared" si="167"/>
        <v>1424.8393977647124</v>
      </c>
      <c r="BP162" s="10">
        <f t="shared" si="168"/>
        <v>-107.23341108696037</v>
      </c>
      <c r="BQ162" s="10">
        <f t="shared" si="169"/>
        <v>1317.6059866777521</v>
      </c>
      <c r="BR162" s="10">
        <f t="shared" si="170"/>
        <v>109.42434336472901</v>
      </c>
      <c r="BS162" s="10">
        <f t="shared" si="171"/>
        <v>1534.2637411294415</v>
      </c>
    </row>
    <row r="163" spans="3:71" hidden="1">
      <c r="C163" s="29" t="s">
        <v>757</v>
      </c>
      <c r="D163" s="25" t="s">
        <v>781</v>
      </c>
      <c r="E163" s="98">
        <v>46153</v>
      </c>
      <c r="F163" s="98">
        <v>46196</v>
      </c>
      <c r="G163" s="99">
        <v>27</v>
      </c>
      <c r="H163" s="27" t="s">
        <v>33</v>
      </c>
      <c r="I163" s="27" t="s">
        <v>132</v>
      </c>
      <c r="J163" s="7" t="s">
        <v>729</v>
      </c>
      <c r="K163" s="7" t="s">
        <v>171</v>
      </c>
      <c r="L163" s="7" t="s">
        <v>202</v>
      </c>
      <c r="M163" s="21" t="s">
        <v>735</v>
      </c>
      <c r="N163" s="7" t="s">
        <v>736</v>
      </c>
      <c r="O163" s="20">
        <v>2020</v>
      </c>
      <c r="P163" s="59">
        <v>54540</v>
      </c>
      <c r="Q163" s="20">
        <v>1918.1111111111111</v>
      </c>
      <c r="R163" s="30">
        <v>2751</v>
      </c>
      <c r="S163" s="32">
        <f t="shared" si="192"/>
        <v>51789</v>
      </c>
      <c r="T163" s="63">
        <v>1</v>
      </c>
      <c r="U163" s="57" t="s">
        <v>761</v>
      </c>
      <c r="V163" s="141" t="s">
        <v>782</v>
      </c>
      <c r="W163" s="60"/>
      <c r="X163" s="4"/>
      <c r="Y163" s="4" t="s">
        <v>867</v>
      </c>
      <c r="Z163" s="7">
        <v>10005721</v>
      </c>
      <c r="AA163" s="7"/>
      <c r="AB163" s="7"/>
      <c r="AC163" s="20">
        <f t="shared" si="193"/>
        <v>1856.5261732240999</v>
      </c>
      <c r="AD163" s="44">
        <f>IFERROR(INDEX('Costos Producción Febrero'!$G$34:$G$57,MATCH(Resumen!Z163,'Costos Producción Febrero'!$B$34:$B$57,0))*AC163*G163,0)</f>
        <v>30442.192349670091</v>
      </c>
      <c r="AE163" s="44">
        <f>IFERROR(INDEX('Costos Producción Febrero'!$H$34:$H$57,MATCH(Resumen!Z163,'Costos Producción Febrero'!$B$34:$B$57,0))*AC163*G163,0)</f>
        <v>8920.1943734115339</v>
      </c>
      <c r="AF163" s="44">
        <f>IFERROR(INDEX('Costos Producción Febrero'!$I$34:$I$57,MATCH(Resumen!Z163,'Costos Producción Febrero'!$B$34:$B$57,0))*AC163*G163,0)</f>
        <v>546.47118570258726</v>
      </c>
      <c r="AG163" s="44">
        <f>IFERROR(INDEX('Costos Producción Febrero'!$J$34:$J$57,MATCH(Resumen!Z163,'Costos Producción Febrero'!$B$34:$B$57,0))*AC163*G163,0)</f>
        <v>10217.348768266485</v>
      </c>
      <c r="AH163" s="44">
        <f t="shared" ref="AH163:AH165" si="208">SUM(AD163:AG163)</f>
        <v>50126.206677050701</v>
      </c>
      <c r="AI163" s="44"/>
      <c r="AJ163" s="44">
        <v>1891.2061732241</v>
      </c>
      <c r="AK163" s="44"/>
      <c r="AL163" s="43">
        <f t="shared" si="134"/>
        <v>4413.7933229492992</v>
      </c>
      <c r="AM163" s="92">
        <f t="shared" si="135"/>
        <v>8.0927637017772266E-2</v>
      </c>
      <c r="AN163" s="42">
        <f t="shared" si="142"/>
        <v>2751</v>
      </c>
      <c r="AO163" s="42">
        <v>0</v>
      </c>
      <c r="AP163" s="42">
        <f t="shared" si="195"/>
        <v>1789.4431426602359</v>
      </c>
      <c r="AQ163" s="42">
        <f t="shared" si="143"/>
        <v>4540.4431426602359</v>
      </c>
      <c r="AR163" s="42">
        <f t="shared" si="196"/>
        <v>2092.9733075332661</v>
      </c>
      <c r="AS163" s="42">
        <f t="shared" si="144"/>
        <v>1553.6699999999998</v>
      </c>
      <c r="AT163" s="43">
        <f t="shared" si="197"/>
        <v>-665.95312724420296</v>
      </c>
      <c r="AU163" s="114">
        <f t="shared" si="198"/>
        <v>-1.2210361702313953E-2</v>
      </c>
      <c r="AV163" s="42">
        <f t="shared" si="199"/>
        <v>2895.3020993479299</v>
      </c>
      <c r="AW163" s="43">
        <f t="shared" si="200"/>
        <v>-3561.2552265921331</v>
      </c>
      <c r="AX163" s="114">
        <f t="shared" si="201"/>
        <v>-6.5296208775066616E-2</v>
      </c>
      <c r="AY163" s="42">
        <f t="shared" si="202"/>
        <v>2954.4572708476835</v>
      </c>
      <c r="AZ163" s="43">
        <f t="shared" si="203"/>
        <v>2288.5041436034808</v>
      </c>
      <c r="BA163" s="114">
        <f t="shared" si="204"/>
        <v>4.1960105309928143E-2</v>
      </c>
      <c r="BC163" s="10">
        <f t="shared" si="155"/>
        <v>2020</v>
      </c>
      <c r="BD163" s="10">
        <f t="shared" si="156"/>
        <v>-1127.4886055433367</v>
      </c>
      <c r="BE163" s="10">
        <f t="shared" si="157"/>
        <v>-330.37756938561239</v>
      </c>
      <c r="BF163" s="10">
        <f t="shared" si="158"/>
        <v>-20.23967354454027</v>
      </c>
      <c r="BG163" s="10">
        <f t="shared" si="159"/>
        <v>-378.42032475061058</v>
      </c>
      <c r="BH163" s="10">
        <f t="shared" si="160"/>
        <v>-1856.5261732240999</v>
      </c>
      <c r="BI163" s="10">
        <f t="shared" si="161"/>
        <v>163.47382677589997</v>
      </c>
      <c r="BJ163" s="10">
        <f t="shared" si="162"/>
        <v>-101.88888888888889</v>
      </c>
      <c r="BK163" s="10">
        <f t="shared" si="163"/>
        <v>-66.275671950379106</v>
      </c>
      <c r="BL163" s="10">
        <f t="shared" si="164"/>
        <v>-168.16456083926801</v>
      </c>
      <c r="BM163" s="10">
        <f t="shared" si="165"/>
        <v>-77.517529908639489</v>
      </c>
      <c r="BN163" s="10">
        <f t="shared" si="166"/>
        <v>57.543333333333329</v>
      </c>
      <c r="BO163" s="10">
        <f t="shared" si="167"/>
        <v>-24.664930638674182</v>
      </c>
      <c r="BP163" s="10">
        <f t="shared" si="168"/>
        <v>-107.23341108696037</v>
      </c>
      <c r="BQ163" s="10">
        <f t="shared" si="169"/>
        <v>-131.89834172563457</v>
      </c>
      <c r="BR163" s="10">
        <f t="shared" si="170"/>
        <v>109.42434336472901</v>
      </c>
      <c r="BS163" s="10">
        <f t="shared" si="171"/>
        <v>84.759412726054848</v>
      </c>
    </row>
    <row r="164" spans="3:71" hidden="1">
      <c r="C164" s="29" t="s">
        <v>757</v>
      </c>
      <c r="D164" s="25" t="s">
        <v>783</v>
      </c>
      <c r="E164" s="98">
        <v>133</v>
      </c>
      <c r="F164" s="98">
        <v>46174</v>
      </c>
      <c r="G164" s="99">
        <v>26</v>
      </c>
      <c r="H164" s="27" t="s">
        <v>669</v>
      </c>
      <c r="I164" s="27" t="s">
        <v>707</v>
      </c>
      <c r="J164" s="7"/>
      <c r="K164" s="7" t="s">
        <v>161</v>
      </c>
      <c r="L164" s="7" t="s">
        <v>147</v>
      </c>
      <c r="M164" s="21" t="s">
        <v>44</v>
      </c>
      <c r="N164" s="7" t="s">
        <v>214</v>
      </c>
      <c r="O164" s="20">
        <v>1400</v>
      </c>
      <c r="P164" s="59">
        <v>35224</v>
      </c>
      <c r="Q164" s="20">
        <v>1221.1538461538462</v>
      </c>
      <c r="R164" s="30">
        <v>4650</v>
      </c>
      <c r="S164" s="32">
        <f t="shared" si="192"/>
        <v>30574</v>
      </c>
      <c r="T164" s="63">
        <v>1</v>
      </c>
      <c r="U164" s="57" t="s">
        <v>784</v>
      </c>
      <c r="V164" s="141">
        <v>24047257</v>
      </c>
      <c r="W164" s="60"/>
      <c r="X164" s="4"/>
      <c r="Y164" s="4" t="s">
        <v>866</v>
      </c>
      <c r="Z164" s="7"/>
      <c r="AA164" s="7"/>
      <c r="AB164" s="7"/>
      <c r="AC164" s="20">
        <f t="shared" ref="AC164" si="209">AJ164</f>
        <v>0</v>
      </c>
      <c r="AD164" s="44">
        <f>IFERROR(INDEX('Costos Producción Febrero'!$G$34:$G$57,MATCH(Resumen!Z164,'Costos Producción Febrero'!$B$34:$B$57,0))*AC164*G164,0)</f>
        <v>0</v>
      </c>
      <c r="AE164" s="44">
        <f>IFERROR(INDEX('Costos Producción Febrero'!$H$34:$H$57,MATCH(Resumen!Z164,'Costos Producción Febrero'!$B$34:$B$57,0))*AC164*G164,0)</f>
        <v>0</v>
      </c>
      <c r="AF164" s="44">
        <f>IFERROR(INDEX('Costos Producción Febrero'!$I$34:$I$57,MATCH(Resumen!Z164,'Costos Producción Febrero'!$B$34:$B$57,0))*AC164*G164,0)</f>
        <v>0</v>
      </c>
      <c r="AG164" s="44">
        <f>IFERROR(INDEX('Costos Producción Febrero'!$J$34:$J$57,MATCH(Resumen!Z164,'Costos Producción Febrero'!$B$34:$B$57,0))*AC164*G164,0)</f>
        <v>0</v>
      </c>
      <c r="AH164" s="44">
        <f t="shared" si="208"/>
        <v>0</v>
      </c>
      <c r="AI164" s="44"/>
      <c r="AJ164" s="44"/>
      <c r="AK164" s="44"/>
      <c r="AL164" s="43">
        <f t="shared" si="134"/>
        <v>35224</v>
      </c>
      <c r="AM164" s="92">
        <f t="shared" si="135"/>
        <v>1</v>
      </c>
      <c r="AN164" s="42">
        <f t="shared" si="142"/>
        <v>4650</v>
      </c>
      <c r="AO164" s="42">
        <v>0</v>
      </c>
      <c r="AP164" s="42">
        <f t="shared" si="195"/>
        <v>1723.1674707098568</v>
      </c>
      <c r="AQ164" s="42">
        <f t="shared" si="143"/>
        <v>6373.1674707098573</v>
      </c>
      <c r="AR164" s="42">
        <f t="shared" si="196"/>
        <v>2015.4557776246268</v>
      </c>
      <c r="AS164" s="42">
        <f t="shared" si="144"/>
        <v>917.21999999999991</v>
      </c>
      <c r="AT164" s="43">
        <f t="shared" si="197"/>
        <v>27752.596751665518</v>
      </c>
      <c r="AU164" s="114">
        <f t="shared" si="198"/>
        <v>0.78788884714017482</v>
      </c>
      <c r="AV164" s="42">
        <f t="shared" si="199"/>
        <v>2788.0686882609698</v>
      </c>
      <c r="AW164" s="43">
        <f t="shared" si="200"/>
        <v>24964.528063404548</v>
      </c>
      <c r="AX164" s="114">
        <f t="shared" si="201"/>
        <v>0.70873631794811909</v>
      </c>
      <c r="AY164" s="42">
        <f t="shared" si="202"/>
        <v>2845.0329274829542</v>
      </c>
      <c r="AZ164" s="43">
        <f t="shared" si="203"/>
        <v>30597.629679148471</v>
      </c>
      <c r="BA164" s="114">
        <f t="shared" si="204"/>
        <v>0.86865857594675422</v>
      </c>
      <c r="BC164" s="10">
        <f t="shared" si="155"/>
        <v>1354.7692307692307</v>
      </c>
      <c r="BD164" s="10">
        <f t="shared" si="156"/>
        <v>0</v>
      </c>
      <c r="BE164" s="10">
        <f t="shared" si="157"/>
        <v>0</v>
      </c>
      <c r="BF164" s="10">
        <f t="shared" si="158"/>
        <v>0</v>
      </c>
      <c r="BG164" s="10">
        <f t="shared" si="159"/>
        <v>0</v>
      </c>
      <c r="BH164" s="10">
        <f t="shared" si="160"/>
        <v>0</v>
      </c>
      <c r="BI164" s="10">
        <f t="shared" si="161"/>
        <v>1354.7692307692307</v>
      </c>
      <c r="BJ164" s="10">
        <f t="shared" si="162"/>
        <v>-178.84615384615384</v>
      </c>
      <c r="BK164" s="10">
        <f t="shared" si="163"/>
        <v>-66.275671950379106</v>
      </c>
      <c r="BL164" s="10">
        <f t="shared" si="164"/>
        <v>-245.12182579653296</v>
      </c>
      <c r="BM164" s="10">
        <f t="shared" si="165"/>
        <v>-77.517529908639489</v>
      </c>
      <c r="BN164" s="10">
        <f t="shared" si="166"/>
        <v>35.277692307692305</v>
      </c>
      <c r="BO164" s="10">
        <f t="shared" si="167"/>
        <v>1067.4075673717507</v>
      </c>
      <c r="BP164" s="10">
        <f t="shared" si="168"/>
        <v>-107.23341108696037</v>
      </c>
      <c r="BQ164" s="10">
        <f t="shared" si="169"/>
        <v>960.17415628479034</v>
      </c>
      <c r="BR164" s="10">
        <f t="shared" si="170"/>
        <v>109.42434336472901</v>
      </c>
      <c r="BS164" s="10">
        <f t="shared" si="171"/>
        <v>1176.8319107364796</v>
      </c>
    </row>
    <row r="165" spans="3:71" hidden="1">
      <c r="C165" s="29" t="s">
        <v>757</v>
      </c>
      <c r="D165" s="25" t="s">
        <v>785</v>
      </c>
      <c r="E165" s="98">
        <v>46163</v>
      </c>
      <c r="F165" s="98">
        <v>46182</v>
      </c>
      <c r="G165" s="99">
        <v>22.5</v>
      </c>
      <c r="H165" s="27" t="s">
        <v>34</v>
      </c>
      <c r="I165" s="27" t="s">
        <v>116</v>
      </c>
      <c r="J165" s="7" t="s">
        <v>786</v>
      </c>
      <c r="K165" s="7" t="s">
        <v>127</v>
      </c>
      <c r="L165" s="7" t="s">
        <v>119</v>
      </c>
      <c r="M165" s="21" t="s">
        <v>787</v>
      </c>
      <c r="N165" s="7" t="s">
        <v>788</v>
      </c>
      <c r="O165" s="20">
        <v>1300</v>
      </c>
      <c r="P165" s="59">
        <v>29250</v>
      </c>
      <c r="Q165" s="20">
        <v>1164.4000000000001</v>
      </c>
      <c r="R165" s="30">
        <v>3051</v>
      </c>
      <c r="S165" s="32">
        <f t="shared" si="192"/>
        <v>26199</v>
      </c>
      <c r="T165" s="63">
        <v>1</v>
      </c>
      <c r="U165" s="57" t="s">
        <v>778</v>
      </c>
      <c r="V165" s="141" t="s">
        <v>789</v>
      </c>
      <c r="W165" s="60"/>
      <c r="X165" s="4"/>
      <c r="Y165" s="4" t="s">
        <v>867</v>
      </c>
      <c r="Z165" s="7">
        <v>10005779</v>
      </c>
      <c r="AA165" s="7"/>
      <c r="AB165" s="7"/>
      <c r="AC165" s="20">
        <f t="shared" ref="AC165:AC173" si="210">AJ165-34.68</f>
        <v>1493.9503956383498</v>
      </c>
      <c r="AD165" s="44">
        <f>IFERROR(INDEX('Costos Producción Febrero'!$G$34:$G$57,MATCH(Resumen!Z165,'Costos Producción Febrero'!$B$34:$B$57,0))*AC165*G165,0)</f>
        <v>19516.24629425248</v>
      </c>
      <c r="AE165" s="44">
        <f>IFERROR(INDEX('Costos Producción Febrero'!$H$34:$H$57,MATCH(Resumen!Z165,'Costos Producción Febrero'!$B$34:$B$57,0))*AC165*G165,0)</f>
        <v>7427.1192489787036</v>
      </c>
      <c r="AF165" s="44">
        <f>IFERROR(INDEX('Costos Producción Febrero'!$I$34:$I$57,MATCH(Resumen!Z165,'Costos Producción Febrero'!$B$34:$B$57,0))*AC165*G165,0)</f>
        <v>214.70210005017623</v>
      </c>
      <c r="AG165" s="44">
        <f>IFERROR(INDEX('Costos Producción Febrero'!$J$34:$J$57,MATCH(Resumen!Z165,'Costos Producción Febrero'!$B$34:$B$57,0))*AC165*G165,0)</f>
        <v>6455.8162585815126</v>
      </c>
      <c r="AH165" s="44">
        <f t="shared" si="208"/>
        <v>33613.883901862871</v>
      </c>
      <c r="AI165" s="44"/>
      <c r="AJ165" s="44">
        <f>1.52863039563835*1000</f>
        <v>1528.6303956383499</v>
      </c>
      <c r="AK165" s="44"/>
      <c r="AL165" s="43">
        <f t="shared" si="134"/>
        <v>-4363.8839018628714</v>
      </c>
      <c r="AM165" s="92">
        <f t="shared" si="135"/>
        <v>-0.14919261202949988</v>
      </c>
      <c r="AN165" s="42">
        <f t="shared" si="142"/>
        <v>3051</v>
      </c>
      <c r="AO165" s="42">
        <v>0</v>
      </c>
      <c r="AP165" s="42">
        <f t="shared" si="195"/>
        <v>1491.2026188835298</v>
      </c>
      <c r="AQ165" s="42">
        <f t="shared" si="143"/>
        <v>4542.2026188835298</v>
      </c>
      <c r="AR165" s="42">
        <f t="shared" si="196"/>
        <v>1744.1444229443885</v>
      </c>
      <c r="AS165" s="42">
        <f t="shared" si="144"/>
        <v>785.97</v>
      </c>
      <c r="AT165" s="43">
        <f t="shared" si="197"/>
        <v>-9864.2609436907896</v>
      </c>
      <c r="AU165" s="114">
        <f t="shared" si="198"/>
        <v>-0.33723969038259111</v>
      </c>
      <c r="AV165" s="42">
        <f t="shared" si="199"/>
        <v>2412.7517494566082</v>
      </c>
      <c r="AW165" s="43">
        <f t="shared" si="200"/>
        <v>-12277.012693147397</v>
      </c>
      <c r="AX165" s="114">
        <f t="shared" si="201"/>
        <v>-0.41972692968025288</v>
      </c>
      <c r="AY165" s="42">
        <f t="shared" si="202"/>
        <v>2462.0477257064026</v>
      </c>
      <c r="AZ165" s="43">
        <f t="shared" si="203"/>
        <v>-7402.2132179843866</v>
      </c>
      <c r="BA165" s="114">
        <f t="shared" si="204"/>
        <v>-0.25306711856356878</v>
      </c>
      <c r="BC165" s="10">
        <f t="shared" si="155"/>
        <v>1300</v>
      </c>
      <c r="BD165" s="10">
        <f t="shared" si="156"/>
        <v>-867.38872418899905</v>
      </c>
      <c r="BE165" s="10">
        <f t="shared" si="157"/>
        <v>-330.09418884349793</v>
      </c>
      <c r="BF165" s="10">
        <f t="shared" si="158"/>
        <v>-9.54231555778561</v>
      </c>
      <c r="BG165" s="10">
        <f t="shared" si="159"/>
        <v>-286.92516704806724</v>
      </c>
      <c r="BH165" s="10">
        <f t="shared" si="160"/>
        <v>-1493.9503956383498</v>
      </c>
      <c r="BI165" s="10">
        <f t="shared" si="161"/>
        <v>-193.95039563834985</v>
      </c>
      <c r="BJ165" s="10">
        <f t="shared" si="162"/>
        <v>-135.6</v>
      </c>
      <c r="BK165" s="10">
        <f t="shared" si="163"/>
        <v>-66.275671950379106</v>
      </c>
      <c r="BL165" s="10">
        <f t="shared" si="164"/>
        <v>-201.87567195037911</v>
      </c>
      <c r="BM165" s="10">
        <f t="shared" si="165"/>
        <v>-77.517529908639489</v>
      </c>
      <c r="BN165" s="10">
        <f t="shared" si="166"/>
        <v>34.932000000000002</v>
      </c>
      <c r="BO165" s="10">
        <f t="shared" si="167"/>
        <v>-438.4115974973684</v>
      </c>
      <c r="BP165" s="10">
        <f t="shared" si="168"/>
        <v>-107.23341108696036</v>
      </c>
      <c r="BQ165" s="10">
        <f t="shared" si="169"/>
        <v>-545.64500858432871</v>
      </c>
      <c r="BR165" s="10">
        <f t="shared" si="170"/>
        <v>109.42434336472901</v>
      </c>
      <c r="BS165" s="10">
        <f t="shared" si="171"/>
        <v>-328.98725413263941</v>
      </c>
    </row>
    <row r="166" spans="3:71" hidden="1">
      <c r="C166" s="29" t="s">
        <v>757</v>
      </c>
      <c r="D166" s="25" t="s">
        <v>790</v>
      </c>
      <c r="E166" s="98">
        <v>149</v>
      </c>
      <c r="F166" s="98">
        <v>46185</v>
      </c>
      <c r="G166" s="99">
        <v>108</v>
      </c>
      <c r="H166" s="27" t="s">
        <v>495</v>
      </c>
      <c r="I166" s="27" t="s">
        <v>201</v>
      </c>
      <c r="J166" s="7"/>
      <c r="K166" s="7" t="s">
        <v>292</v>
      </c>
      <c r="L166" s="7" t="s">
        <v>172</v>
      </c>
      <c r="M166" s="21" t="s">
        <v>47</v>
      </c>
      <c r="N166" s="7" t="s">
        <v>191</v>
      </c>
      <c r="O166" s="20">
        <v>3900</v>
      </c>
      <c r="P166" s="59">
        <v>421200</v>
      </c>
      <c r="Q166" s="20">
        <v>3803.7037037037039</v>
      </c>
      <c r="R166" s="30">
        <v>10400</v>
      </c>
      <c r="S166" s="32">
        <f t="shared" si="192"/>
        <v>410800</v>
      </c>
      <c r="T166" s="63">
        <v>4</v>
      </c>
      <c r="U166" s="57" t="s">
        <v>765</v>
      </c>
      <c r="V166" s="141">
        <v>6503786960</v>
      </c>
      <c r="W166" s="60"/>
      <c r="X166" s="4"/>
      <c r="Y166" s="4" t="s">
        <v>868</v>
      </c>
      <c r="Z166" s="7">
        <v>10009239</v>
      </c>
      <c r="AA166" s="7"/>
      <c r="AB166" s="7"/>
      <c r="AC166" s="20">
        <f t="shared" si="210"/>
        <v>3126.8177446902505</v>
      </c>
      <c r="AD166" s="44">
        <f>IFERROR(INDEX('Costos Producción Febrero'!$G$34:$G$57,MATCH(Resumen!Z166,'Costos Producción Febrero'!$B$34:$B$57,0))*AC166*G166,0)</f>
        <v>166064.77186926806</v>
      </c>
      <c r="AE166" s="44">
        <f>IFERROR(INDEX('Costos Producción Febrero'!$H$34:$H$57,MATCH(Resumen!Z166,'Costos Producción Febrero'!$B$34:$B$57,0))*AC166*G166,0)</f>
        <v>108265.06975021426</v>
      </c>
      <c r="AF166" s="44">
        <f>IFERROR(INDEX('Costos Producción Febrero'!$I$34:$I$57,MATCH(Resumen!Z166,'Costos Producción Febrero'!$B$34:$B$57,0))*AC166*G166,0)</f>
        <v>1982.7107698420702</v>
      </c>
      <c r="AG166" s="44">
        <f>IFERROR(INDEX('Costos Producción Febrero'!$J$34:$J$57,MATCH(Resumen!Z166,'Costos Producción Febrero'!$B$34:$B$57,0))*AC166*G166,0)</f>
        <v>61383.764037222711</v>
      </c>
      <c r="AH166" s="44">
        <f t="shared" ref="AH166:AH167" si="211">SUM(AD166:AG166)</f>
        <v>337696.31642654713</v>
      </c>
      <c r="AI166" s="44"/>
      <c r="AJ166" s="44">
        <f>3.16149774469025*1000</f>
        <v>3161.4977446902503</v>
      </c>
      <c r="AK166" s="44"/>
      <c r="AL166" s="43">
        <f t="shared" si="134"/>
        <v>83503.683573452872</v>
      </c>
      <c r="AM166" s="92">
        <f t="shared" si="135"/>
        <v>0.19825186033583303</v>
      </c>
      <c r="AN166" s="42">
        <f t="shared" si="142"/>
        <v>10400</v>
      </c>
      <c r="AO166" s="42">
        <v>0</v>
      </c>
      <c r="AP166" s="42">
        <f t="shared" si="195"/>
        <v>7157.7725706409437</v>
      </c>
      <c r="AQ166" s="42">
        <f t="shared" si="143"/>
        <v>17557.772570640944</v>
      </c>
      <c r="AR166" s="42">
        <f t="shared" si="196"/>
        <v>8371.8932301330642</v>
      </c>
      <c r="AS166" s="42">
        <f t="shared" si="144"/>
        <v>12324</v>
      </c>
      <c r="AT166" s="43">
        <f t="shared" si="197"/>
        <v>69898.017772678868</v>
      </c>
      <c r="AU166" s="114">
        <f t="shared" si="198"/>
        <v>0.16594970981167823</v>
      </c>
      <c r="AV166" s="42">
        <f t="shared" si="199"/>
        <v>11581.20839739172</v>
      </c>
      <c r="AW166" s="43">
        <f t="shared" si="200"/>
        <v>58316.80937528715</v>
      </c>
      <c r="AX166" s="114">
        <f t="shared" si="201"/>
        <v>0.1384539633791243</v>
      </c>
      <c r="AY166" s="42">
        <f t="shared" si="202"/>
        <v>11817.829083390734</v>
      </c>
      <c r="AZ166" s="43">
        <f t="shared" si="203"/>
        <v>81715.846856069606</v>
      </c>
      <c r="BA166" s="114">
        <f t="shared" si="204"/>
        <v>0.19400723375135234</v>
      </c>
      <c r="BC166" s="10">
        <f t="shared" si="155"/>
        <v>3900</v>
      </c>
      <c r="BD166" s="10">
        <f t="shared" si="156"/>
        <v>-1537.6367765672969</v>
      </c>
      <c r="BE166" s="10">
        <f t="shared" si="157"/>
        <v>-1002.4543495390209</v>
      </c>
      <c r="BF166" s="10">
        <f t="shared" si="158"/>
        <v>-18.358433054093243</v>
      </c>
      <c r="BG166" s="10">
        <f t="shared" si="159"/>
        <v>-568.36818552983993</v>
      </c>
      <c r="BH166" s="10">
        <f t="shared" si="160"/>
        <v>-3126.8177446902514</v>
      </c>
      <c r="BI166" s="10">
        <f t="shared" si="161"/>
        <v>773.18225530974883</v>
      </c>
      <c r="BJ166" s="10">
        <f t="shared" si="162"/>
        <v>-96.296296296296291</v>
      </c>
      <c r="BK166" s="10">
        <f t="shared" si="163"/>
        <v>-66.275671950379106</v>
      </c>
      <c r="BL166" s="10">
        <f t="shared" si="164"/>
        <v>-162.5719682466754</v>
      </c>
      <c r="BM166" s="10">
        <f t="shared" si="165"/>
        <v>-77.517529908639489</v>
      </c>
      <c r="BN166" s="10">
        <f t="shared" si="166"/>
        <v>114.11111111111111</v>
      </c>
      <c r="BO166" s="10">
        <f t="shared" si="167"/>
        <v>647.20386826554511</v>
      </c>
      <c r="BP166" s="10">
        <f t="shared" si="168"/>
        <v>-107.23341108696037</v>
      </c>
      <c r="BQ166" s="10">
        <f t="shared" si="169"/>
        <v>539.97045717858475</v>
      </c>
      <c r="BR166" s="10">
        <f t="shared" si="170"/>
        <v>109.42434336472901</v>
      </c>
      <c r="BS166" s="10">
        <f t="shared" si="171"/>
        <v>756.62821163027411</v>
      </c>
    </row>
    <row r="167" spans="3:71" hidden="1">
      <c r="C167" s="29" t="s">
        <v>757</v>
      </c>
      <c r="D167" s="25" t="s">
        <v>791</v>
      </c>
      <c r="E167" s="98">
        <v>149</v>
      </c>
      <c r="F167" s="98">
        <v>46199</v>
      </c>
      <c r="G167" s="99">
        <v>27</v>
      </c>
      <c r="H167" s="27" t="s">
        <v>495</v>
      </c>
      <c r="I167" s="27" t="s">
        <v>201</v>
      </c>
      <c r="J167" s="7"/>
      <c r="K167" s="7" t="s">
        <v>292</v>
      </c>
      <c r="L167" s="7" t="s">
        <v>172</v>
      </c>
      <c r="M167" s="21" t="s">
        <v>47</v>
      </c>
      <c r="N167" s="7" t="s">
        <v>191</v>
      </c>
      <c r="O167" s="20">
        <v>3900</v>
      </c>
      <c r="P167" s="59">
        <v>105300</v>
      </c>
      <c r="Q167" s="20">
        <v>3803.7037037037039</v>
      </c>
      <c r="R167" s="30">
        <v>2600</v>
      </c>
      <c r="S167" s="32">
        <f t="shared" si="192"/>
        <v>102700</v>
      </c>
      <c r="T167" s="63">
        <v>1</v>
      </c>
      <c r="U167" s="57" t="s">
        <v>763</v>
      </c>
      <c r="V167" s="141">
        <v>6504444070</v>
      </c>
      <c r="W167" s="60"/>
      <c r="X167" s="4"/>
      <c r="Y167" s="4" t="s">
        <v>868</v>
      </c>
      <c r="Z167" s="7">
        <v>10009239</v>
      </c>
      <c r="AA167" s="7"/>
      <c r="AB167" s="7"/>
      <c r="AC167" s="20">
        <f t="shared" si="210"/>
        <v>3126.8177446902505</v>
      </c>
      <c r="AD167" s="44">
        <f>IFERROR(INDEX('Costos Producción Febrero'!$G$34:$G$57,MATCH(Resumen!Z167,'Costos Producción Febrero'!$B$34:$B$57,0))*AC167*G167,0)</f>
        <v>41516.192967317016</v>
      </c>
      <c r="AE167" s="44">
        <f>IFERROR(INDEX('Costos Producción Febrero'!$H$34:$H$57,MATCH(Resumen!Z167,'Costos Producción Febrero'!$B$34:$B$57,0))*AC167*G167,0)</f>
        <v>27066.267437553564</v>
      </c>
      <c r="AF167" s="44">
        <f>IFERROR(INDEX('Costos Producción Febrero'!$I$34:$I$57,MATCH(Resumen!Z167,'Costos Producción Febrero'!$B$34:$B$57,0))*AC167*G167,0)</f>
        <v>495.67769246051756</v>
      </c>
      <c r="AG167" s="44">
        <f>IFERROR(INDEX('Costos Producción Febrero'!$J$34:$J$57,MATCH(Resumen!Z167,'Costos Producción Febrero'!$B$34:$B$57,0))*AC167*G167,0)</f>
        <v>15345.941009305678</v>
      </c>
      <c r="AH167" s="44">
        <f t="shared" si="211"/>
        <v>84424.079106636782</v>
      </c>
      <c r="AI167" s="44"/>
      <c r="AJ167" s="44">
        <f>3.16149774469025*1000</f>
        <v>3161.4977446902503</v>
      </c>
      <c r="AK167" s="44"/>
      <c r="AL167" s="43">
        <f t="shared" si="134"/>
        <v>20875.920893363218</v>
      </c>
      <c r="AM167" s="92">
        <f t="shared" si="135"/>
        <v>0.19825186033583303</v>
      </c>
      <c r="AN167" s="42">
        <f t="shared" si="142"/>
        <v>2600</v>
      </c>
      <c r="AO167" s="42">
        <v>0</v>
      </c>
      <c r="AP167" s="42">
        <f t="shared" si="195"/>
        <v>1789.4431426602359</v>
      </c>
      <c r="AQ167" s="42">
        <f t="shared" si="143"/>
        <v>4389.4431426602359</v>
      </c>
      <c r="AR167" s="42">
        <f t="shared" si="196"/>
        <v>2092.9733075332661</v>
      </c>
      <c r="AS167" s="42">
        <f t="shared" si="144"/>
        <v>3081</v>
      </c>
      <c r="AT167" s="43">
        <f t="shared" si="197"/>
        <v>17474.504443169717</v>
      </c>
      <c r="AU167" s="114">
        <f t="shared" si="198"/>
        <v>0.16594970981167823</v>
      </c>
      <c r="AV167" s="42">
        <f t="shared" si="199"/>
        <v>2895.3020993479299</v>
      </c>
      <c r="AW167" s="43">
        <f t="shared" si="200"/>
        <v>14579.202343821788</v>
      </c>
      <c r="AX167" s="114">
        <f t="shared" si="201"/>
        <v>0.1384539633791243</v>
      </c>
      <c r="AY167" s="42">
        <f t="shared" si="202"/>
        <v>2954.4572708476835</v>
      </c>
      <c r="AZ167" s="43">
        <f t="shared" si="203"/>
        <v>20428.961714017401</v>
      </c>
      <c r="BA167" s="114">
        <f t="shared" si="204"/>
        <v>0.19400723375135234</v>
      </c>
      <c r="BC167" s="10">
        <f t="shared" si="155"/>
        <v>3900</v>
      </c>
      <c r="BD167" s="10">
        <f t="shared" si="156"/>
        <v>-1537.6367765672969</v>
      </c>
      <c r="BE167" s="10">
        <f t="shared" si="157"/>
        <v>-1002.4543495390209</v>
      </c>
      <c r="BF167" s="10">
        <f t="shared" si="158"/>
        <v>-18.358433054093243</v>
      </c>
      <c r="BG167" s="10">
        <f t="shared" si="159"/>
        <v>-568.36818552983993</v>
      </c>
      <c r="BH167" s="10">
        <f t="shared" si="160"/>
        <v>-3126.8177446902514</v>
      </c>
      <c r="BI167" s="10">
        <f t="shared" si="161"/>
        <v>773.18225530974883</v>
      </c>
      <c r="BJ167" s="10">
        <f t="shared" si="162"/>
        <v>-96.296296296296291</v>
      </c>
      <c r="BK167" s="10">
        <f t="shared" si="163"/>
        <v>-66.275671950379106</v>
      </c>
      <c r="BL167" s="10">
        <f t="shared" si="164"/>
        <v>-162.5719682466754</v>
      </c>
      <c r="BM167" s="10">
        <f t="shared" si="165"/>
        <v>-77.517529908639489</v>
      </c>
      <c r="BN167" s="10">
        <f t="shared" si="166"/>
        <v>114.11111111111111</v>
      </c>
      <c r="BO167" s="10">
        <f t="shared" si="167"/>
        <v>647.20386826554511</v>
      </c>
      <c r="BP167" s="10">
        <f t="shared" si="168"/>
        <v>-107.23341108696037</v>
      </c>
      <c r="BQ167" s="10">
        <f t="shared" si="169"/>
        <v>539.97045717858475</v>
      </c>
      <c r="BR167" s="10">
        <f t="shared" si="170"/>
        <v>109.42434336472901</v>
      </c>
      <c r="BS167" s="10">
        <f t="shared" si="171"/>
        <v>756.62821163027411</v>
      </c>
    </row>
    <row r="168" spans="3:71" hidden="1">
      <c r="C168" s="29" t="s">
        <v>757</v>
      </c>
      <c r="D168" s="25" t="s">
        <v>792</v>
      </c>
      <c r="E168" s="98">
        <v>150</v>
      </c>
      <c r="F168" s="98">
        <v>46192</v>
      </c>
      <c r="G168" s="99">
        <v>27</v>
      </c>
      <c r="H168" s="27" t="s">
        <v>37</v>
      </c>
      <c r="I168" s="27" t="s">
        <v>126</v>
      </c>
      <c r="J168" s="7"/>
      <c r="K168" s="7" t="s">
        <v>292</v>
      </c>
      <c r="L168" s="7" t="s">
        <v>172</v>
      </c>
      <c r="M168" s="21" t="s">
        <v>793</v>
      </c>
      <c r="N168" s="7" t="s">
        <v>794</v>
      </c>
      <c r="O168" s="20">
        <v>1730</v>
      </c>
      <c r="P168" s="59">
        <v>46018</v>
      </c>
      <c r="Q168" s="20">
        <v>1633.7037037037037</v>
      </c>
      <c r="R168" s="30">
        <v>2600</v>
      </c>
      <c r="S168" s="32">
        <f t="shared" si="192"/>
        <v>43418</v>
      </c>
      <c r="T168" s="63">
        <v>1</v>
      </c>
      <c r="U168" s="57" t="s">
        <v>776</v>
      </c>
      <c r="V168" s="141">
        <v>6504275620</v>
      </c>
      <c r="W168" s="60"/>
      <c r="X168" s="4"/>
      <c r="Y168" s="4" t="s">
        <v>866</v>
      </c>
      <c r="Z168" s="7">
        <v>10007969</v>
      </c>
      <c r="AA168" s="7"/>
      <c r="AB168" s="7"/>
      <c r="AC168" s="20">
        <f t="shared" si="210"/>
        <v>1240.4438142857143</v>
      </c>
      <c r="AD168" s="44">
        <f>IFERROR(INDEX('Costos Producción Febrero'!$G$34:$G$57,MATCH(Resumen!Z168,'Costos Producción Febrero'!$B$34:$B$57,0))*AC168*G168,0)</f>
        <v>28370.949354397482</v>
      </c>
      <c r="AE168" s="44">
        <f>IFERROR(INDEX('Costos Producción Febrero'!$H$34:$H$57,MATCH(Resumen!Z168,'Costos Producción Febrero'!$B$34:$B$57,0))*AC168*G168,0)</f>
        <v>5697.4332407295533</v>
      </c>
      <c r="AF168" s="44">
        <f>IFERROR(INDEX('Costos Producción Febrero'!$I$34:$I$57,MATCH(Resumen!Z168,'Costos Producción Febrero'!$B$34:$B$57,0))*AC168*G168,0)</f>
        <v>438.41050298071576</v>
      </c>
      <c r="AG168" s="44">
        <f>IFERROR(INDEX('Costos Producción Febrero'!$J$34:$J$57,MATCH(Resumen!Z168,'Costos Producción Febrero'!$B$34:$B$57,0))*AC168*G168,0)</f>
        <v>-1014.8101123934676</v>
      </c>
      <c r="AH168" s="44">
        <f t="shared" ref="AH168:AH171" si="212">SUM(AD168:AG168)</f>
        <v>33491.982985714283</v>
      </c>
      <c r="AI168" s="44"/>
      <c r="AJ168" s="44">
        <v>1275.1238142857144</v>
      </c>
      <c r="AK168" s="44"/>
      <c r="AL168" s="43">
        <f t="shared" ref="AL168:AL194" si="213">P168-AH168</f>
        <v>12526.017014285717</v>
      </c>
      <c r="AM168" s="92">
        <f t="shared" ref="AM168:AM194" si="214">AL168/P168</f>
        <v>0.27219820536063533</v>
      </c>
      <c r="AN168" s="42">
        <f t="shared" si="142"/>
        <v>2600</v>
      </c>
      <c r="AO168" s="42">
        <v>0</v>
      </c>
      <c r="AP168" s="42">
        <f t="shared" si="195"/>
        <v>1789.4431426602359</v>
      </c>
      <c r="AQ168" s="42">
        <f t="shared" si="143"/>
        <v>4389.4431426602359</v>
      </c>
      <c r="AR168" s="42">
        <f t="shared" si="196"/>
        <v>2092.9733075332661</v>
      </c>
      <c r="AS168" s="42">
        <f t="shared" si="144"/>
        <v>1302.54</v>
      </c>
      <c r="AT168" s="43">
        <f t="shared" si="197"/>
        <v>7346.1405640922148</v>
      </c>
      <c r="AU168" s="114">
        <f t="shared" si="198"/>
        <v>0.15963624155965525</v>
      </c>
      <c r="AV168" s="42">
        <f t="shared" si="199"/>
        <v>2895.3020993479299</v>
      </c>
      <c r="AW168" s="43">
        <f t="shared" si="200"/>
        <v>4450.8384647442854</v>
      </c>
      <c r="AX168" s="114">
        <f t="shared" si="201"/>
        <v>9.6719511163985514E-2</v>
      </c>
      <c r="AY168" s="42">
        <f t="shared" si="202"/>
        <v>2954.4572708476835</v>
      </c>
      <c r="AZ168" s="43">
        <f t="shared" si="203"/>
        <v>10300.597834939897</v>
      </c>
      <c r="BA168" s="114">
        <f t="shared" si="204"/>
        <v>0.22383845093093785</v>
      </c>
      <c r="BC168" s="10">
        <f t="shared" si="155"/>
        <v>1704.3703703703704</v>
      </c>
      <c r="BD168" s="10">
        <f t="shared" si="156"/>
        <v>-1050.7759020147216</v>
      </c>
      <c r="BE168" s="10">
        <f t="shared" si="157"/>
        <v>-211.01604595294643</v>
      </c>
      <c r="BF168" s="10">
        <f t="shared" si="158"/>
        <v>-16.237426036322805</v>
      </c>
      <c r="BG168" s="10">
        <f t="shared" si="159"/>
        <v>37.585559718276578</v>
      </c>
      <c r="BH168" s="10">
        <f t="shared" si="160"/>
        <v>-1240.4438142857141</v>
      </c>
      <c r="BI168" s="10">
        <f t="shared" si="161"/>
        <v>463.92655608465617</v>
      </c>
      <c r="BJ168" s="10">
        <f t="shared" si="162"/>
        <v>-96.296296296296291</v>
      </c>
      <c r="BK168" s="10">
        <f t="shared" si="163"/>
        <v>-66.275671950379106</v>
      </c>
      <c r="BL168" s="10">
        <f t="shared" si="164"/>
        <v>-162.5719682466754</v>
      </c>
      <c r="BM168" s="10">
        <f t="shared" si="165"/>
        <v>-77.517529908639489</v>
      </c>
      <c r="BN168" s="10">
        <f t="shared" si="166"/>
        <v>48.242222222222217</v>
      </c>
      <c r="BO168" s="10">
        <f t="shared" si="167"/>
        <v>272.07928015156352</v>
      </c>
      <c r="BP168" s="10">
        <f t="shared" si="168"/>
        <v>-107.23341108696037</v>
      </c>
      <c r="BQ168" s="10">
        <f t="shared" si="169"/>
        <v>164.84586906460316</v>
      </c>
      <c r="BR168" s="10">
        <f t="shared" si="170"/>
        <v>109.42434336472901</v>
      </c>
      <c r="BS168" s="10">
        <f t="shared" si="171"/>
        <v>381.50362351629252</v>
      </c>
    </row>
    <row r="169" spans="3:71" hidden="1">
      <c r="C169" s="29" t="s">
        <v>757</v>
      </c>
      <c r="D169" s="25" t="s">
        <v>795</v>
      </c>
      <c r="E169" s="98">
        <v>157</v>
      </c>
      <c r="F169" s="98">
        <v>46199</v>
      </c>
      <c r="G169" s="99">
        <v>135</v>
      </c>
      <c r="H169" s="27" t="s">
        <v>495</v>
      </c>
      <c r="I169" s="27" t="s">
        <v>201</v>
      </c>
      <c r="J169" s="7"/>
      <c r="K169" s="7" t="s">
        <v>171</v>
      </c>
      <c r="L169" s="7" t="s">
        <v>202</v>
      </c>
      <c r="M169" s="21" t="s">
        <v>735</v>
      </c>
      <c r="N169" s="7" t="s">
        <v>736</v>
      </c>
      <c r="O169" s="20">
        <v>3950</v>
      </c>
      <c r="P169" s="59">
        <v>533250</v>
      </c>
      <c r="Q169" s="20">
        <v>3846.2962962962961</v>
      </c>
      <c r="R169" s="30">
        <v>14000</v>
      </c>
      <c r="S169" s="32">
        <f t="shared" si="192"/>
        <v>519250</v>
      </c>
      <c r="T169" s="63">
        <v>5</v>
      </c>
      <c r="U169" s="57" t="s">
        <v>761</v>
      </c>
      <c r="V169" s="141">
        <v>6504433340</v>
      </c>
      <c r="W169" s="60"/>
      <c r="X169" s="4"/>
      <c r="Y169" s="4" t="s">
        <v>868</v>
      </c>
      <c r="Z169" s="7">
        <v>10009239</v>
      </c>
      <c r="AA169" s="7"/>
      <c r="AB169" s="7"/>
      <c r="AC169" s="20">
        <f t="shared" si="210"/>
        <v>3126.8177446902505</v>
      </c>
      <c r="AD169" s="44">
        <f>IFERROR(INDEX('Costos Producción Febrero'!$G$34:$G$57,MATCH(Resumen!Z169,'Costos Producción Febrero'!$B$34:$B$57,0))*AC169*G169,0)</f>
        <v>207580.96483658507</v>
      </c>
      <c r="AE169" s="44">
        <f>IFERROR(INDEX('Costos Producción Febrero'!$H$34:$H$57,MATCH(Resumen!Z169,'Costos Producción Febrero'!$B$34:$B$57,0))*AC169*G169,0)</f>
        <v>135331.33718776781</v>
      </c>
      <c r="AF169" s="44">
        <f>IFERROR(INDEX('Costos Producción Febrero'!$I$34:$I$57,MATCH(Resumen!Z169,'Costos Producción Febrero'!$B$34:$B$57,0))*AC169*G169,0)</f>
        <v>2478.3884623025879</v>
      </c>
      <c r="AG169" s="44">
        <f>IFERROR(INDEX('Costos Producción Febrero'!$J$34:$J$57,MATCH(Resumen!Z169,'Costos Producción Febrero'!$B$34:$B$57,0))*AC169*G169,0)</f>
        <v>76729.705046528397</v>
      </c>
      <c r="AH169" s="44">
        <f t="shared" si="212"/>
        <v>422120.39553318382</v>
      </c>
      <c r="AI169" s="44"/>
      <c r="AJ169" s="44">
        <f>3.16149774469025*1000</f>
        <v>3161.4977446902503</v>
      </c>
      <c r="AK169" s="44"/>
      <c r="AL169" s="43">
        <f t="shared" si="213"/>
        <v>111129.60446681618</v>
      </c>
      <c r="AM169" s="92">
        <f t="shared" si="214"/>
        <v>0.20840057096449355</v>
      </c>
      <c r="AN169" s="42">
        <f t="shared" si="142"/>
        <v>14000</v>
      </c>
      <c r="AO169" s="42">
        <v>0</v>
      </c>
      <c r="AP169" s="42">
        <f t="shared" si="195"/>
        <v>8947.2157133011788</v>
      </c>
      <c r="AQ169" s="42">
        <f t="shared" si="143"/>
        <v>22947.215713301179</v>
      </c>
      <c r="AR169" s="42">
        <f t="shared" si="196"/>
        <v>10464.86653766633</v>
      </c>
      <c r="AS169" s="42">
        <f t="shared" si="144"/>
        <v>15577.5</v>
      </c>
      <c r="AT169" s="43">
        <f t="shared" si="197"/>
        <v>93295.022215848672</v>
      </c>
      <c r="AU169" s="114">
        <f t="shared" si="198"/>
        <v>0.17495550345213065</v>
      </c>
      <c r="AV169" s="42">
        <f t="shared" si="199"/>
        <v>14476.510496739651</v>
      </c>
      <c r="AW169" s="43">
        <f t="shared" si="200"/>
        <v>78818.511719109025</v>
      </c>
      <c r="AX169" s="114">
        <f t="shared" si="201"/>
        <v>0.14780780444277361</v>
      </c>
      <c r="AY169" s="42">
        <f t="shared" si="202"/>
        <v>14772.286354238417</v>
      </c>
      <c r="AZ169" s="43">
        <f t="shared" si="203"/>
        <v>108067.30857008709</v>
      </c>
      <c r="BA169" s="114">
        <f t="shared" si="204"/>
        <v>0.2026578688609228</v>
      </c>
      <c r="BC169" s="10">
        <f t="shared" si="155"/>
        <v>3950</v>
      </c>
      <c r="BD169" s="10">
        <f t="shared" si="156"/>
        <v>-1537.6367765672969</v>
      </c>
      <c r="BE169" s="10">
        <f t="shared" si="157"/>
        <v>-1002.4543495390209</v>
      </c>
      <c r="BF169" s="10">
        <f t="shared" si="158"/>
        <v>-18.358433054093243</v>
      </c>
      <c r="BG169" s="10">
        <f t="shared" si="159"/>
        <v>-568.36818552983993</v>
      </c>
      <c r="BH169" s="10">
        <f t="shared" si="160"/>
        <v>-3126.8177446902505</v>
      </c>
      <c r="BI169" s="10">
        <f t="shared" si="161"/>
        <v>823.18225530974951</v>
      </c>
      <c r="BJ169" s="10">
        <f t="shared" si="162"/>
        <v>-103.70370370370371</v>
      </c>
      <c r="BK169" s="10">
        <f t="shared" si="163"/>
        <v>-66.275671950379106</v>
      </c>
      <c r="BL169" s="10">
        <f t="shared" si="164"/>
        <v>-169.97937565408282</v>
      </c>
      <c r="BM169" s="10">
        <f t="shared" si="165"/>
        <v>-77.517529908639489</v>
      </c>
      <c r="BN169" s="10">
        <f t="shared" si="166"/>
        <v>115.38888888888889</v>
      </c>
      <c r="BO169" s="10">
        <f t="shared" si="167"/>
        <v>691.07423863591612</v>
      </c>
      <c r="BP169" s="10">
        <f t="shared" si="168"/>
        <v>-107.23341108696037</v>
      </c>
      <c r="BQ169" s="10">
        <f t="shared" si="169"/>
        <v>583.84082754895576</v>
      </c>
      <c r="BR169" s="10">
        <f t="shared" si="170"/>
        <v>109.42434336472901</v>
      </c>
      <c r="BS169" s="10">
        <f t="shared" si="171"/>
        <v>800.49858200064511</v>
      </c>
    </row>
    <row r="170" spans="3:71" hidden="1">
      <c r="C170" s="29" t="s">
        <v>757</v>
      </c>
      <c r="D170" s="25" t="s">
        <v>796</v>
      </c>
      <c r="E170" s="98">
        <v>157</v>
      </c>
      <c r="F170" s="98">
        <v>46203</v>
      </c>
      <c r="G170" s="99">
        <v>54</v>
      </c>
      <c r="H170" s="27" t="s">
        <v>495</v>
      </c>
      <c r="I170" s="27" t="s">
        <v>201</v>
      </c>
      <c r="J170" s="7"/>
      <c r="K170" s="7" t="s">
        <v>171</v>
      </c>
      <c r="L170" s="7" t="s">
        <v>202</v>
      </c>
      <c r="M170" s="21" t="s">
        <v>735</v>
      </c>
      <c r="N170" s="7" t="s">
        <v>736</v>
      </c>
      <c r="O170" s="20">
        <v>3950</v>
      </c>
      <c r="P170" s="59">
        <v>213300</v>
      </c>
      <c r="Q170" s="20">
        <v>3846.2962962962961</v>
      </c>
      <c r="R170" s="30">
        <v>5600</v>
      </c>
      <c r="S170" s="32">
        <f t="shared" si="192"/>
        <v>207700</v>
      </c>
      <c r="T170" s="63">
        <v>2</v>
      </c>
      <c r="U170" s="57" t="s">
        <v>797</v>
      </c>
      <c r="V170" s="141">
        <v>6504948570</v>
      </c>
      <c r="W170" s="60"/>
      <c r="X170" s="4"/>
      <c r="Y170" s="4" t="s">
        <v>868</v>
      </c>
      <c r="Z170" s="7">
        <v>10009239</v>
      </c>
      <c r="AA170" s="7"/>
      <c r="AB170" s="7"/>
      <c r="AC170" s="20">
        <f t="shared" si="210"/>
        <v>3126.8177446902505</v>
      </c>
      <c r="AD170" s="44">
        <f>IFERROR(INDEX('Costos Producción Febrero'!$G$34:$G$57,MATCH(Resumen!Z170,'Costos Producción Febrero'!$B$34:$B$57,0))*AC170*G170,0)</f>
        <v>83032.385934634032</v>
      </c>
      <c r="AE170" s="44">
        <f>IFERROR(INDEX('Costos Producción Febrero'!$H$34:$H$57,MATCH(Resumen!Z170,'Costos Producción Febrero'!$B$34:$B$57,0))*AC170*G170,0)</f>
        <v>54132.534875107129</v>
      </c>
      <c r="AF170" s="44">
        <f>IFERROR(INDEX('Costos Producción Febrero'!$I$34:$I$57,MATCH(Resumen!Z170,'Costos Producción Febrero'!$B$34:$B$57,0))*AC170*G170,0)</f>
        <v>991.35538492103512</v>
      </c>
      <c r="AG170" s="44">
        <f>IFERROR(INDEX('Costos Producción Febrero'!$J$34:$J$57,MATCH(Resumen!Z170,'Costos Producción Febrero'!$B$34:$B$57,0))*AC170*G170,0)</f>
        <v>30691.882018611355</v>
      </c>
      <c r="AH170" s="44">
        <f t="shared" si="212"/>
        <v>168848.15821327356</v>
      </c>
      <c r="AI170" s="44"/>
      <c r="AJ170" s="44">
        <f>3.16149774469025*1000</f>
        <v>3161.4977446902503</v>
      </c>
      <c r="AK170" s="44"/>
      <c r="AL170" s="43">
        <f t="shared" si="213"/>
        <v>44451.841786726436</v>
      </c>
      <c r="AM170" s="92">
        <f t="shared" si="214"/>
        <v>0.20840057096449338</v>
      </c>
      <c r="AN170" s="42">
        <f t="shared" si="142"/>
        <v>5600</v>
      </c>
      <c r="AO170" s="42">
        <v>0</v>
      </c>
      <c r="AP170" s="42">
        <f t="shared" si="195"/>
        <v>3578.8862853204719</v>
      </c>
      <c r="AQ170" s="42">
        <f t="shared" si="143"/>
        <v>9178.8862853204719</v>
      </c>
      <c r="AR170" s="42">
        <f t="shared" si="196"/>
        <v>4185.9466150665321</v>
      </c>
      <c r="AS170" s="42">
        <f t="shared" si="144"/>
        <v>6231</v>
      </c>
      <c r="AT170" s="43">
        <f t="shared" si="197"/>
        <v>37318.008886339434</v>
      </c>
      <c r="AU170" s="114">
        <f t="shared" si="198"/>
        <v>0.17495550345213048</v>
      </c>
      <c r="AV170" s="42">
        <f t="shared" si="199"/>
        <v>5790.6041986958598</v>
      </c>
      <c r="AW170" s="43">
        <f t="shared" si="200"/>
        <v>31527.404687643575</v>
      </c>
      <c r="AX170" s="114">
        <f t="shared" si="201"/>
        <v>0.14780780444277344</v>
      </c>
      <c r="AY170" s="42">
        <f t="shared" si="202"/>
        <v>5908.914541695367</v>
      </c>
      <c r="AZ170" s="43">
        <f t="shared" si="203"/>
        <v>43226.923428034803</v>
      </c>
      <c r="BA170" s="114">
        <f t="shared" si="204"/>
        <v>0.20265786886092266</v>
      </c>
      <c r="BC170" s="10">
        <f t="shared" si="155"/>
        <v>3950</v>
      </c>
      <c r="BD170" s="10">
        <f t="shared" si="156"/>
        <v>-1537.6367765672969</v>
      </c>
      <c r="BE170" s="10">
        <f t="shared" si="157"/>
        <v>-1002.4543495390209</v>
      </c>
      <c r="BF170" s="10">
        <f t="shared" si="158"/>
        <v>-18.358433054093243</v>
      </c>
      <c r="BG170" s="10">
        <f t="shared" si="159"/>
        <v>-568.36818552983993</v>
      </c>
      <c r="BH170" s="10">
        <f t="shared" si="160"/>
        <v>-3126.8177446902514</v>
      </c>
      <c r="BI170" s="10">
        <f t="shared" si="161"/>
        <v>823.18225530974883</v>
      </c>
      <c r="BJ170" s="10">
        <f t="shared" si="162"/>
        <v>-103.70370370370371</v>
      </c>
      <c r="BK170" s="10">
        <f t="shared" si="163"/>
        <v>-66.275671950379106</v>
      </c>
      <c r="BL170" s="10">
        <f t="shared" si="164"/>
        <v>-169.97937565408282</v>
      </c>
      <c r="BM170" s="10">
        <f t="shared" si="165"/>
        <v>-77.517529908639489</v>
      </c>
      <c r="BN170" s="10">
        <f t="shared" si="166"/>
        <v>115.38888888888889</v>
      </c>
      <c r="BO170" s="10">
        <f t="shared" si="167"/>
        <v>691.07423863591544</v>
      </c>
      <c r="BP170" s="10">
        <f t="shared" si="168"/>
        <v>-107.23341108696037</v>
      </c>
      <c r="BQ170" s="10">
        <f t="shared" si="169"/>
        <v>583.84082754895508</v>
      </c>
      <c r="BR170" s="10">
        <f t="shared" si="170"/>
        <v>109.42434336472901</v>
      </c>
      <c r="BS170" s="10">
        <f t="shared" si="171"/>
        <v>800.49858200064455</v>
      </c>
    </row>
    <row r="171" spans="3:71" hidden="1">
      <c r="C171" s="29" t="s">
        <v>757</v>
      </c>
      <c r="D171" s="25" t="s">
        <v>798</v>
      </c>
      <c r="E171" s="98">
        <v>160</v>
      </c>
      <c r="F171" s="98">
        <v>46195</v>
      </c>
      <c r="G171" s="99">
        <v>26</v>
      </c>
      <c r="H171" s="27" t="s">
        <v>36</v>
      </c>
      <c r="I171" s="27" t="s">
        <v>799</v>
      </c>
      <c r="J171" s="7" t="s">
        <v>800</v>
      </c>
      <c r="K171" s="7" t="s">
        <v>863</v>
      </c>
      <c r="L171" s="7" t="s">
        <v>522</v>
      </c>
      <c r="M171" s="21" t="s">
        <v>524</v>
      </c>
      <c r="N171" s="7" t="s">
        <v>525</v>
      </c>
      <c r="O171" s="20">
        <v>2730</v>
      </c>
      <c r="P171" s="59">
        <v>70980</v>
      </c>
      <c r="Q171" s="20">
        <v>2618.5769230769229</v>
      </c>
      <c r="R171" s="30">
        <v>2897</v>
      </c>
      <c r="S171" s="32">
        <f t="shared" si="192"/>
        <v>68083</v>
      </c>
      <c r="T171" s="63">
        <v>1</v>
      </c>
      <c r="U171" s="57" t="s">
        <v>771</v>
      </c>
      <c r="V171" s="141">
        <v>17438653</v>
      </c>
      <c r="W171" s="60"/>
      <c r="X171" s="4"/>
      <c r="Y171" s="4" t="s">
        <v>867</v>
      </c>
      <c r="Z171" s="7">
        <v>10007567</v>
      </c>
      <c r="AA171" s="7"/>
      <c r="AB171" s="7"/>
      <c r="AC171" s="20">
        <f t="shared" si="210"/>
        <v>1554.59920704243</v>
      </c>
      <c r="AD171" s="44">
        <f>IFERROR(INDEX('Costos Producción Febrero'!$G$34:$G$57,MATCH(Resumen!Z171,'Costos Producción Febrero'!$B$34:$B$57,0))*AC171*G171,0)</f>
        <v>24962.42853051877</v>
      </c>
      <c r="AE171" s="44">
        <f>IFERROR(INDEX('Costos Producción Febrero'!$H$34:$H$57,MATCH(Resumen!Z171,'Costos Producción Febrero'!$B$34:$B$57,0))*AC171*G171,0)</f>
        <v>6727.4807233937145</v>
      </c>
      <c r="AF171" s="44">
        <f>IFERROR(INDEX('Costos Producción Febrero'!$I$34:$I$57,MATCH(Resumen!Z171,'Costos Producción Febrero'!$B$34:$B$57,0))*AC171*G171,0)</f>
        <v>436.26375384751134</v>
      </c>
      <c r="AG171" s="44">
        <f>IFERROR(INDEX('Costos Producción Febrero'!$J$34:$J$57,MATCH(Resumen!Z171,'Costos Producción Febrero'!$B$34:$B$57,0))*AC171*G171,0)</f>
        <v>8293.4063753431819</v>
      </c>
      <c r="AH171" s="44">
        <f t="shared" si="212"/>
        <v>40419.579383103177</v>
      </c>
      <c r="AI171" s="44"/>
      <c r="AJ171" s="44">
        <f>1.58927920704243*1000</f>
        <v>1589.27920704243</v>
      </c>
      <c r="AK171" s="44"/>
      <c r="AL171" s="43">
        <f t="shared" si="213"/>
        <v>30560.420616896823</v>
      </c>
      <c r="AM171" s="92">
        <f t="shared" si="214"/>
        <v>0.43054974101009896</v>
      </c>
      <c r="AN171" s="42">
        <f t="shared" si="142"/>
        <v>2897</v>
      </c>
      <c r="AO171" s="42">
        <v>0</v>
      </c>
      <c r="AP171" s="42">
        <f t="shared" si="195"/>
        <v>1723.1674707098568</v>
      </c>
      <c r="AQ171" s="42">
        <f t="shared" si="143"/>
        <v>4620.1674707098573</v>
      </c>
      <c r="AR171" s="42">
        <f t="shared" si="196"/>
        <v>2015.4557776246268</v>
      </c>
      <c r="AS171" s="42">
        <f t="shared" si="144"/>
        <v>2042.49</v>
      </c>
      <c r="AT171" s="43">
        <f t="shared" si="197"/>
        <v>25967.287368562342</v>
      </c>
      <c r="AU171" s="114">
        <f t="shared" si="198"/>
        <v>0.36583949518966385</v>
      </c>
      <c r="AV171" s="42">
        <f t="shared" si="199"/>
        <v>2788.0686882609698</v>
      </c>
      <c r="AW171" s="43">
        <f t="shared" si="200"/>
        <v>23179.218680301372</v>
      </c>
      <c r="AX171" s="114">
        <f t="shared" si="201"/>
        <v>0.3265598574288725</v>
      </c>
      <c r="AY171" s="42">
        <f t="shared" si="202"/>
        <v>2845.0329274829542</v>
      </c>
      <c r="AZ171" s="43">
        <f t="shared" si="203"/>
        <v>28812.320296045295</v>
      </c>
      <c r="BA171" s="114">
        <f t="shared" si="204"/>
        <v>0.40592167224634113</v>
      </c>
      <c r="BC171" s="10">
        <f t="shared" si="155"/>
        <v>2730</v>
      </c>
      <c r="BD171" s="10">
        <f t="shared" si="156"/>
        <v>-960.09340501995268</v>
      </c>
      <c r="BE171" s="10">
        <f t="shared" si="157"/>
        <v>-258.74925859206593</v>
      </c>
      <c r="BF171" s="10">
        <f t="shared" si="158"/>
        <v>-16.779375147981206</v>
      </c>
      <c r="BG171" s="10">
        <f t="shared" si="159"/>
        <v>-318.97716828243006</v>
      </c>
      <c r="BH171" s="10">
        <f t="shared" si="160"/>
        <v>-1554.59920704243</v>
      </c>
      <c r="BI171" s="10">
        <f t="shared" si="161"/>
        <v>1175.40079295757</v>
      </c>
      <c r="BJ171" s="10">
        <f t="shared" si="162"/>
        <v>-111.42307692307692</v>
      </c>
      <c r="BK171" s="10">
        <f t="shared" si="163"/>
        <v>-66.275671950379106</v>
      </c>
      <c r="BL171" s="10">
        <f t="shared" si="164"/>
        <v>-177.69874887345605</v>
      </c>
      <c r="BM171" s="10">
        <f t="shared" si="165"/>
        <v>-77.517529908639489</v>
      </c>
      <c r="BN171" s="10">
        <f t="shared" si="166"/>
        <v>78.557307692307688</v>
      </c>
      <c r="BO171" s="10">
        <f t="shared" si="167"/>
        <v>998.74182186778239</v>
      </c>
      <c r="BP171" s="10">
        <f t="shared" si="168"/>
        <v>-107.23341108696037</v>
      </c>
      <c r="BQ171" s="10">
        <f t="shared" si="169"/>
        <v>891.50841078082203</v>
      </c>
      <c r="BR171" s="10">
        <f t="shared" si="170"/>
        <v>109.42434336472901</v>
      </c>
      <c r="BS171" s="10">
        <f t="shared" si="171"/>
        <v>1108.1661652325113</v>
      </c>
    </row>
    <row r="172" spans="3:71" hidden="1">
      <c r="C172" s="29" t="s">
        <v>757</v>
      </c>
      <c r="D172" s="25" t="s">
        <v>801</v>
      </c>
      <c r="E172" s="98">
        <v>160</v>
      </c>
      <c r="F172" s="98">
        <v>46199</v>
      </c>
      <c r="G172" s="99">
        <v>26</v>
      </c>
      <c r="H172" s="27" t="s">
        <v>34</v>
      </c>
      <c r="I172" s="27" t="s">
        <v>116</v>
      </c>
      <c r="J172" s="7" t="s">
        <v>802</v>
      </c>
      <c r="K172" s="7" t="s">
        <v>127</v>
      </c>
      <c r="L172" s="7" t="s">
        <v>119</v>
      </c>
      <c r="M172" s="21" t="s">
        <v>43</v>
      </c>
      <c r="N172" s="7" t="s">
        <v>129</v>
      </c>
      <c r="O172" s="20">
        <v>1350</v>
      </c>
      <c r="P172" s="59">
        <v>30375</v>
      </c>
      <c r="Q172" s="20">
        <v>1232.6538461538462</v>
      </c>
      <c r="R172" s="30">
        <v>3051</v>
      </c>
      <c r="S172" s="32">
        <f t="shared" si="192"/>
        <v>27324</v>
      </c>
      <c r="T172" s="63">
        <v>1</v>
      </c>
      <c r="U172" s="57" t="s">
        <v>763</v>
      </c>
      <c r="V172" s="141" t="s">
        <v>803</v>
      </c>
      <c r="W172" s="60"/>
      <c r="X172" s="4"/>
      <c r="Y172" s="4" t="s">
        <v>867</v>
      </c>
      <c r="Z172" s="7">
        <v>10005779</v>
      </c>
      <c r="AA172" s="7"/>
      <c r="AB172" s="7"/>
      <c r="AC172" s="20">
        <f t="shared" si="210"/>
        <v>1493.9503956383498</v>
      </c>
      <c r="AD172" s="44">
        <f>IFERROR(INDEX('Costos Producción Febrero'!$G$34:$G$57,MATCH(Resumen!Z172,'Costos Producción Febrero'!$B$34:$B$57,0))*AC172*G172,0)</f>
        <v>22552.106828913977</v>
      </c>
      <c r="AE172" s="44">
        <f>IFERROR(INDEX('Costos Producción Febrero'!$H$34:$H$57,MATCH(Resumen!Z172,'Costos Producción Febrero'!$B$34:$B$57,0))*AC172*G172,0)</f>
        <v>8582.4489099309467</v>
      </c>
      <c r="AF172" s="44">
        <f>IFERROR(INDEX('Costos Producción Febrero'!$I$34:$I$57,MATCH(Resumen!Z172,'Costos Producción Febrero'!$B$34:$B$57,0))*AC172*G172,0)</f>
        <v>248.10020450242587</v>
      </c>
      <c r="AG172" s="44">
        <f>IFERROR(INDEX('Costos Producción Febrero'!$J$34:$J$57,MATCH(Resumen!Z172,'Costos Producción Febrero'!$B$34:$B$57,0))*AC172*G172,0)</f>
        <v>7460.0543432497479</v>
      </c>
      <c r="AH172" s="44">
        <f t="shared" ref="AH172:AH177" si="215">SUM(AD172:AG172)</f>
        <v>38842.710286597096</v>
      </c>
      <c r="AI172" s="44"/>
      <c r="AJ172" s="44">
        <f>1.52863039563835*1000</f>
        <v>1528.6303956383499</v>
      </c>
      <c r="AK172" s="44"/>
      <c r="AL172" s="43">
        <f t="shared" si="213"/>
        <v>-8467.7102865970955</v>
      </c>
      <c r="AM172" s="92">
        <f t="shared" si="214"/>
        <v>-0.27877235511430765</v>
      </c>
      <c r="AN172" s="42">
        <f t="shared" si="142"/>
        <v>3051</v>
      </c>
      <c r="AO172" s="42">
        <v>0</v>
      </c>
      <c r="AP172" s="42">
        <f t="shared" si="195"/>
        <v>1723.1674707098568</v>
      </c>
      <c r="AQ172" s="42">
        <f t="shared" si="143"/>
        <v>4774.1674707098573</v>
      </c>
      <c r="AR172" s="42">
        <f t="shared" si="196"/>
        <v>2015.4557776246268</v>
      </c>
      <c r="AS172" s="42">
        <f t="shared" si="144"/>
        <v>819.71999999999991</v>
      </c>
      <c r="AT172" s="43">
        <f t="shared" si="197"/>
        <v>-14437.613534931581</v>
      </c>
      <c r="AU172" s="114">
        <f t="shared" si="198"/>
        <v>-0.47531237975083396</v>
      </c>
      <c r="AV172" s="42">
        <f t="shared" si="199"/>
        <v>2788.0686882609698</v>
      </c>
      <c r="AW172" s="43">
        <f t="shared" si="200"/>
        <v>-17225.682223192551</v>
      </c>
      <c r="AX172" s="114">
        <f t="shared" si="201"/>
        <v>-0.56710064932321158</v>
      </c>
      <c r="AY172" s="42">
        <f t="shared" si="202"/>
        <v>2845.0329274829542</v>
      </c>
      <c r="AZ172" s="43">
        <f t="shared" si="203"/>
        <v>-11592.580607448626</v>
      </c>
      <c r="BA172" s="114">
        <f t="shared" si="204"/>
        <v>-0.3816487442781441</v>
      </c>
      <c r="BC172" s="10">
        <f t="shared" si="155"/>
        <v>1168.2692307692307</v>
      </c>
      <c r="BD172" s="10">
        <f t="shared" si="156"/>
        <v>-867.38872418899905</v>
      </c>
      <c r="BE172" s="10">
        <f t="shared" si="157"/>
        <v>-330.09418884349793</v>
      </c>
      <c r="BF172" s="10">
        <f t="shared" si="158"/>
        <v>-9.54231555778561</v>
      </c>
      <c r="BG172" s="10">
        <f t="shared" si="159"/>
        <v>-286.92516704806724</v>
      </c>
      <c r="BH172" s="10">
        <f t="shared" si="160"/>
        <v>-1493.9503956383498</v>
      </c>
      <c r="BI172" s="10">
        <f t="shared" si="161"/>
        <v>-325.68116486911907</v>
      </c>
      <c r="BJ172" s="10">
        <f t="shared" si="162"/>
        <v>-117.34615384615384</v>
      </c>
      <c r="BK172" s="10">
        <f t="shared" si="163"/>
        <v>-66.275671950379106</v>
      </c>
      <c r="BL172" s="10">
        <f t="shared" si="164"/>
        <v>-183.62182579653296</v>
      </c>
      <c r="BM172" s="10">
        <f t="shared" si="165"/>
        <v>-77.517529908639489</v>
      </c>
      <c r="BN172" s="10">
        <f t="shared" si="166"/>
        <v>31.527692307692305</v>
      </c>
      <c r="BO172" s="10">
        <f t="shared" si="167"/>
        <v>-555.29282826659926</v>
      </c>
      <c r="BP172" s="10">
        <f t="shared" si="168"/>
        <v>-107.23341108696037</v>
      </c>
      <c r="BQ172" s="10">
        <f t="shared" si="169"/>
        <v>-662.52623935355962</v>
      </c>
      <c r="BR172" s="10">
        <f t="shared" si="170"/>
        <v>109.42434336472901</v>
      </c>
      <c r="BS172" s="10">
        <f t="shared" si="171"/>
        <v>-445.86848490187026</v>
      </c>
    </row>
    <row r="173" spans="3:71" hidden="1">
      <c r="C173" s="29" t="s">
        <v>757</v>
      </c>
      <c r="D173" s="25" t="s">
        <v>804</v>
      </c>
      <c r="E173" s="98">
        <v>171</v>
      </c>
      <c r="F173" s="98">
        <v>46203</v>
      </c>
      <c r="G173" s="99">
        <v>162</v>
      </c>
      <c r="H173" s="27" t="s">
        <v>31</v>
      </c>
      <c r="I173" s="27" t="s">
        <v>107</v>
      </c>
      <c r="J173" s="7" t="s">
        <v>805</v>
      </c>
      <c r="K173" s="7" t="s">
        <v>171</v>
      </c>
      <c r="L173" s="7" t="s">
        <v>727</v>
      </c>
      <c r="M173" s="21" t="s">
        <v>45</v>
      </c>
      <c r="N173" s="7" t="s">
        <v>191</v>
      </c>
      <c r="O173" s="20">
        <v>2700</v>
      </c>
      <c r="P173" s="59">
        <v>437400</v>
      </c>
      <c r="Q173" s="20">
        <v>2594.4444444444443</v>
      </c>
      <c r="R173" s="30">
        <v>17100</v>
      </c>
      <c r="S173" s="32">
        <f t="shared" si="192"/>
        <v>420300</v>
      </c>
      <c r="T173" s="63">
        <v>6</v>
      </c>
      <c r="U173" s="57" t="s">
        <v>797</v>
      </c>
      <c r="V173" s="141">
        <v>6505533100</v>
      </c>
      <c r="W173" s="60"/>
      <c r="X173" s="4"/>
      <c r="Y173" s="4" t="s">
        <v>867</v>
      </c>
      <c r="Z173" s="7">
        <v>10007162</v>
      </c>
      <c r="AA173" s="7"/>
      <c r="AB173" s="7"/>
      <c r="AC173" s="20">
        <f t="shared" si="210"/>
        <v>1612.6377734802099</v>
      </c>
      <c r="AD173" s="44">
        <f>IFERROR(INDEX('Costos Producción Febrero'!$G$34:$G$57,MATCH(Resumen!Z173,'Costos Producción Febrero'!$B$34:$B$57,0))*AC173*G173,0)</f>
        <v>160183.96413843596</v>
      </c>
      <c r="AE173" s="44">
        <f>IFERROR(INDEX('Costos Producción Febrero'!$H$34:$H$57,MATCH(Resumen!Z173,'Costos Producción Febrero'!$B$34:$B$57,0))*AC173*G173,0)</f>
        <v>45479.421852117528</v>
      </c>
      <c r="AF173" s="44">
        <f>IFERROR(INDEX('Costos Producción Febrero'!$I$34:$I$57,MATCH(Resumen!Z173,'Costos Producción Febrero'!$B$34:$B$57,0))*AC173*G173,0)</f>
        <v>2421.9168027432052</v>
      </c>
      <c r="AG173" s="44">
        <f>IFERROR(INDEX('Costos Producción Febrero'!$J$34:$J$57,MATCH(Resumen!Z173,'Costos Producción Febrero'!$B$34:$B$57,0))*AC173*G173,0)</f>
        <v>53162.016510497306</v>
      </c>
      <c r="AH173" s="44">
        <f t="shared" si="215"/>
        <v>261247.31930379401</v>
      </c>
      <c r="AI173" s="44"/>
      <c r="AJ173" s="44">
        <f>1.64731777348021*1000</f>
        <v>1647.31777348021</v>
      </c>
      <c r="AK173" s="44"/>
      <c r="AL173" s="43">
        <f t="shared" si="213"/>
        <v>176152.68069620599</v>
      </c>
      <c r="AM173" s="92">
        <f t="shared" si="214"/>
        <v>0.40272675056288521</v>
      </c>
      <c r="AN173" s="42">
        <f t="shared" si="142"/>
        <v>17100</v>
      </c>
      <c r="AO173" s="42">
        <v>0</v>
      </c>
      <c r="AP173" s="42">
        <f t="shared" si="195"/>
        <v>10736.658855961416</v>
      </c>
      <c r="AQ173" s="42">
        <f t="shared" si="143"/>
        <v>27836.658855961417</v>
      </c>
      <c r="AR173" s="42">
        <f t="shared" si="196"/>
        <v>12557.839845199596</v>
      </c>
      <c r="AS173" s="42">
        <f t="shared" si="144"/>
        <v>12609</v>
      </c>
      <c r="AT173" s="43">
        <f t="shared" si="197"/>
        <v>148367.18199504499</v>
      </c>
      <c r="AU173" s="114">
        <f t="shared" si="198"/>
        <v>0.33920251942168494</v>
      </c>
      <c r="AV173" s="42">
        <f t="shared" si="199"/>
        <v>17371.81259608758</v>
      </c>
      <c r="AW173" s="43">
        <f t="shared" si="200"/>
        <v>130995.36939895741</v>
      </c>
      <c r="AX173" s="114">
        <f t="shared" si="201"/>
        <v>0.29948644124132923</v>
      </c>
      <c r="AY173" s="42">
        <f t="shared" si="202"/>
        <v>17726.743625086099</v>
      </c>
      <c r="AZ173" s="43">
        <f t="shared" si="203"/>
        <v>166093.92562013108</v>
      </c>
      <c r="BA173" s="114">
        <f t="shared" si="204"/>
        <v>0.37973005400121418</v>
      </c>
      <c r="BC173" s="10">
        <f t="shared" si="155"/>
        <v>2700</v>
      </c>
      <c r="BD173" s="10">
        <f t="shared" si="156"/>
        <v>-988.7899020891108</v>
      </c>
      <c r="BE173" s="10">
        <f t="shared" si="157"/>
        <v>-280.7371719266514</v>
      </c>
      <c r="BF173" s="10">
        <f t="shared" si="158"/>
        <v>-14.950103720637069</v>
      </c>
      <c r="BG173" s="10">
        <f t="shared" si="159"/>
        <v>-328.16059574381052</v>
      </c>
      <c r="BH173" s="10">
        <f t="shared" si="160"/>
        <v>-1612.6377734802099</v>
      </c>
      <c r="BI173" s="10">
        <f t="shared" si="161"/>
        <v>1087.3622265197901</v>
      </c>
      <c r="BJ173" s="10">
        <f t="shared" si="162"/>
        <v>-105.55555555555556</v>
      </c>
      <c r="BK173" s="10">
        <f t="shared" si="163"/>
        <v>-66.275671950379106</v>
      </c>
      <c r="BL173" s="10">
        <f t="shared" si="164"/>
        <v>-171.83122750593466</v>
      </c>
      <c r="BM173" s="10">
        <f t="shared" si="165"/>
        <v>-77.517529908639489</v>
      </c>
      <c r="BN173" s="10">
        <f t="shared" si="166"/>
        <v>77.833333333333329</v>
      </c>
      <c r="BO173" s="10">
        <f t="shared" si="167"/>
        <v>915.84680243854928</v>
      </c>
      <c r="BP173" s="10">
        <f t="shared" si="168"/>
        <v>-107.23341108696037</v>
      </c>
      <c r="BQ173" s="10">
        <f t="shared" si="169"/>
        <v>808.61339135158892</v>
      </c>
      <c r="BR173" s="10">
        <f t="shared" si="170"/>
        <v>109.42434336472901</v>
      </c>
      <c r="BS173" s="10">
        <f t="shared" si="171"/>
        <v>1025.2711458032782</v>
      </c>
    </row>
    <row r="174" spans="3:71" hidden="1">
      <c r="C174" s="29" t="s">
        <v>806</v>
      </c>
      <c r="D174" s="25" t="s">
        <v>807</v>
      </c>
      <c r="E174" s="98">
        <v>113</v>
      </c>
      <c r="F174" s="98">
        <v>46224</v>
      </c>
      <c r="G174" s="99">
        <v>24</v>
      </c>
      <c r="H174" s="27" t="s">
        <v>33</v>
      </c>
      <c r="I174" s="27" t="s">
        <v>132</v>
      </c>
      <c r="J174" s="7" t="s">
        <v>713</v>
      </c>
      <c r="K174" s="7" t="s">
        <v>141</v>
      </c>
      <c r="L174" s="7" t="s">
        <v>519</v>
      </c>
      <c r="M174" s="21" t="s">
        <v>43</v>
      </c>
      <c r="N174" s="7" t="s">
        <v>129</v>
      </c>
      <c r="O174" s="20">
        <v>2000</v>
      </c>
      <c r="P174" s="59">
        <v>48000</v>
      </c>
      <c r="Q174" s="20">
        <v>1866.625</v>
      </c>
      <c r="R174" s="30">
        <v>3201</v>
      </c>
      <c r="S174" s="32">
        <f t="shared" si="192"/>
        <v>44799</v>
      </c>
      <c r="T174" s="63">
        <v>1</v>
      </c>
      <c r="U174" s="57" t="s">
        <v>808</v>
      </c>
      <c r="V174" s="141" t="s">
        <v>809</v>
      </c>
      <c r="W174" s="60"/>
      <c r="X174" s="4"/>
      <c r="Y174" s="4" t="s">
        <v>867</v>
      </c>
      <c r="Z174" s="7">
        <v>10005721</v>
      </c>
      <c r="AA174" s="7"/>
      <c r="AB174" s="7"/>
      <c r="AC174" s="20">
        <f>AJ174</f>
        <v>1834.43100611569</v>
      </c>
      <c r="AD174" s="44">
        <f>IFERROR(INDEX('Costos Producción Febrero'!$G$34:$G$57,MATCH(Resumen!Z174,'Costos Producción Febrero'!$B$34:$B$57,0))*AC174*G174,0)</f>
        <v>26737.679266333853</v>
      </c>
      <c r="AE174" s="44">
        <f>IFERROR(INDEX('Costos Producción Febrero'!$H$34:$H$57,MATCH(Resumen!Z174,'Costos Producción Febrero'!$B$34:$B$57,0))*AC174*G174,0)</f>
        <v>7834.6951300377732</v>
      </c>
      <c r="AF174" s="44">
        <f>IFERROR(INDEX('Costos Producción Febrero'!$I$34:$I$57,MATCH(Resumen!Z174,'Costos Producción Febrero'!$B$34:$B$57,0))*AC174*G174,0)</f>
        <v>479.97105871277006</v>
      </c>
      <c r="AG174" s="44">
        <f>IFERROR(INDEX('Costos Producción Febrero'!$J$34:$J$57,MATCH(Resumen!Z174,'Costos Producción Febrero'!$B$34:$B$57,0))*AC174*G174,0)</f>
        <v>8973.9986916921607</v>
      </c>
      <c r="AH174" s="44">
        <f t="shared" si="215"/>
        <v>44026.344146776559</v>
      </c>
      <c r="AI174" s="44"/>
      <c r="AJ174" s="44">
        <f>1.83443100611569*1000</f>
        <v>1834.43100611569</v>
      </c>
      <c r="AK174" s="44"/>
      <c r="AL174" s="43">
        <f t="shared" si="213"/>
        <v>3973.6558532234412</v>
      </c>
      <c r="AM174" s="92">
        <f t="shared" si="214"/>
        <v>8.278449694215502E-2</v>
      </c>
      <c r="AN174" s="42">
        <f t="shared" si="142"/>
        <v>3201</v>
      </c>
      <c r="AO174" s="42">
        <f t="shared" ref="AO174:AO194" si="216">85.2*G174</f>
        <v>2044.8000000000002</v>
      </c>
      <c r="AP174" s="42">
        <f t="shared" ref="AP174:AP194" si="217">1.83401207573264*G174</f>
        <v>44.016289817583356</v>
      </c>
      <c r="AQ174" s="42">
        <f t="shared" si="143"/>
        <v>5289.8162898175833</v>
      </c>
      <c r="AR174" s="42">
        <f t="shared" ref="AR174:AR194" si="218">78579/780.905*G174</f>
        <v>2415.0133498953137</v>
      </c>
      <c r="AS174" s="42">
        <f t="shared" si="144"/>
        <v>1343.97</v>
      </c>
      <c r="AT174" s="43">
        <f t="shared" ref="AT174:AT194" si="219">AL174-AQ174-AR174+AS174</f>
        <v>-2387.2037864894555</v>
      </c>
      <c r="AU174" s="92">
        <f t="shared" ref="AU174:AU194" si="220">AT174/P174</f>
        <v>-4.9733412218530323E-2</v>
      </c>
      <c r="AV174" s="42">
        <f t="shared" ref="AV174:AV194" si="221">154473/780.905*G174</f>
        <v>4747.5070591173062</v>
      </c>
      <c r="AW174" s="43">
        <f t="shared" ref="AW174:AW194" si="222">AT174-AV174</f>
        <v>-7134.7108456067617</v>
      </c>
      <c r="AX174" s="92">
        <f t="shared" ref="AX174:AX194" si="223">AW174/P174</f>
        <v>-0.1486398092834742</v>
      </c>
      <c r="AY174" s="42">
        <f t="shared" ref="AY174:AY194" si="224">123844.283333333/780.91*G174</f>
        <v>3806.1528217079976</v>
      </c>
      <c r="AZ174" s="43">
        <f t="shared" ref="AZ174:AZ194" si="225">AT174+AY174</f>
        <v>1418.9490352185421</v>
      </c>
      <c r="BA174" s="92">
        <f t="shared" ref="BA174:BA194" si="226">AZ174/P174</f>
        <v>2.9561438233719626E-2</v>
      </c>
      <c r="BC174" s="10">
        <f t="shared" si="155"/>
        <v>2000</v>
      </c>
      <c r="BD174" s="10">
        <f t="shared" si="156"/>
        <v>-1114.0699694305772</v>
      </c>
      <c r="BE174" s="10">
        <f t="shared" si="157"/>
        <v>-326.44563041824057</v>
      </c>
      <c r="BF174" s="10">
        <f t="shared" si="158"/>
        <v>-19.998794113032087</v>
      </c>
      <c r="BG174" s="10">
        <f t="shared" si="159"/>
        <v>-373.91661215384005</v>
      </c>
      <c r="BH174" s="10">
        <f t="shared" si="160"/>
        <v>-1834.43100611569</v>
      </c>
      <c r="BI174" s="10">
        <f t="shared" si="161"/>
        <v>165.56899388431006</v>
      </c>
      <c r="BJ174" s="10">
        <f t="shared" si="162"/>
        <v>-133.375</v>
      </c>
      <c r="BK174" s="10">
        <f t="shared" si="163"/>
        <v>-1.8340120757326399</v>
      </c>
      <c r="BL174" s="10">
        <f t="shared" si="164"/>
        <v>-220.40901207573265</v>
      </c>
      <c r="BM174" s="10">
        <f t="shared" si="165"/>
        <v>-100.62555624563807</v>
      </c>
      <c r="BN174" s="10">
        <f t="shared" si="166"/>
        <v>55.998750000000001</v>
      </c>
      <c r="BO174" s="10">
        <f t="shared" si="167"/>
        <v>-99.466824437060652</v>
      </c>
      <c r="BP174" s="10">
        <f t="shared" si="168"/>
        <v>-197.81279412988775</v>
      </c>
      <c r="BQ174" s="10">
        <f t="shared" si="169"/>
        <v>-297.27961856694839</v>
      </c>
      <c r="BR174" s="10">
        <f t="shared" si="170"/>
        <v>158.58970090449989</v>
      </c>
      <c r="BS174" s="10">
        <f t="shared" si="171"/>
        <v>59.122876467439255</v>
      </c>
    </row>
    <row r="175" spans="3:71" hidden="1">
      <c r="C175" s="29" t="s">
        <v>806</v>
      </c>
      <c r="D175" s="25" t="s">
        <v>810</v>
      </c>
      <c r="E175" s="98">
        <v>46163</v>
      </c>
      <c r="F175" s="98">
        <v>46222</v>
      </c>
      <c r="G175" s="99">
        <v>67.5</v>
      </c>
      <c r="H175" s="27" t="s">
        <v>34</v>
      </c>
      <c r="I175" s="27" t="s">
        <v>116</v>
      </c>
      <c r="J175" s="7" t="s">
        <v>811</v>
      </c>
      <c r="K175" s="7" t="s">
        <v>127</v>
      </c>
      <c r="L175" s="7" t="s">
        <v>119</v>
      </c>
      <c r="M175" s="21" t="s">
        <v>812</v>
      </c>
      <c r="N175" s="7" t="s">
        <v>813</v>
      </c>
      <c r="O175" s="20">
        <v>1330</v>
      </c>
      <c r="P175" s="59">
        <v>89775</v>
      </c>
      <c r="Q175" s="20">
        <v>1187.7777777777778</v>
      </c>
      <c r="R175" s="30">
        <v>9600</v>
      </c>
      <c r="S175" s="32">
        <f t="shared" si="192"/>
        <v>80175</v>
      </c>
      <c r="T175" s="63">
        <v>3</v>
      </c>
      <c r="U175" s="57" t="s">
        <v>814</v>
      </c>
      <c r="V175" s="141">
        <v>6508132160</v>
      </c>
      <c r="W175" s="60"/>
      <c r="X175" s="4"/>
      <c r="Y175" s="4" t="s">
        <v>867</v>
      </c>
      <c r="Z175" s="7">
        <v>10005779</v>
      </c>
      <c r="AA175" s="7"/>
      <c r="AB175" s="7"/>
      <c r="AC175" s="20">
        <f>AJ175</f>
        <v>1483.42296852866</v>
      </c>
      <c r="AD175" s="44">
        <f>IFERROR(INDEX('Costos Producción Febrero'!$G$34:$G$57,MATCH(Resumen!Z175,'Costos Producción Febrero'!$B$34:$B$57,0))*AC175*G175,0)</f>
        <v>58136.163215752698</v>
      </c>
      <c r="AE175" s="44">
        <f>IFERROR(INDEX('Costos Producción Febrero'!$H$34:$H$57,MATCH(Resumen!Z175,'Costos Producción Febrero'!$B$34:$B$57,0))*AC175*G175,0)</f>
        <v>22124.34760103661</v>
      </c>
      <c r="AF175" s="44">
        <f>IFERROR(INDEX('Costos Producción Febrero'!$I$34:$I$57,MATCH(Resumen!Z175,'Costos Producción Febrero'!$B$34:$B$57,0))*AC175*G175,0)</f>
        <v>639.56747332902012</v>
      </c>
      <c r="AG175" s="44">
        <f>IFERROR(INDEX('Costos Producción Febrero'!$J$34:$J$57,MATCH(Resumen!Z175,'Costos Producción Febrero'!$B$34:$B$57,0))*AC175*G175,0)</f>
        <v>19230.972085566227</v>
      </c>
      <c r="AH175" s="44">
        <f t="shared" si="215"/>
        <v>100131.05037568456</v>
      </c>
      <c r="AI175" s="44"/>
      <c r="AJ175" s="44">
        <f>1.48342296852866*1000</f>
        <v>1483.42296852866</v>
      </c>
      <c r="AK175" s="44"/>
      <c r="AL175" s="43">
        <f t="shared" si="213"/>
        <v>-10356.050375684557</v>
      </c>
      <c r="AM175" s="92">
        <f t="shared" si="214"/>
        <v>-0.11535561543508278</v>
      </c>
      <c r="AN175" s="42">
        <f t="shared" si="142"/>
        <v>9600</v>
      </c>
      <c r="AO175" s="42">
        <f t="shared" si="216"/>
        <v>5751</v>
      </c>
      <c r="AP175" s="42">
        <f t="shared" si="217"/>
        <v>123.79581511195319</v>
      </c>
      <c r="AQ175" s="42">
        <f t="shared" si="143"/>
        <v>15474.795815111953</v>
      </c>
      <c r="AR175" s="42">
        <f t="shared" si="218"/>
        <v>6792.2250465805701</v>
      </c>
      <c r="AS175" s="42">
        <f t="shared" si="144"/>
        <v>2405.25</v>
      </c>
      <c r="AT175" s="43">
        <f t="shared" si="219"/>
        <v>-30217.82123737708</v>
      </c>
      <c r="AU175" s="92">
        <f t="shared" si="220"/>
        <v>-0.33659505694655617</v>
      </c>
      <c r="AV175" s="42">
        <f t="shared" si="221"/>
        <v>13352.363603767424</v>
      </c>
      <c r="AW175" s="43">
        <f t="shared" si="222"/>
        <v>-43570.184841144503</v>
      </c>
      <c r="AX175" s="92">
        <f t="shared" si="223"/>
        <v>-0.48532648110436649</v>
      </c>
      <c r="AY175" s="42">
        <f t="shared" si="224"/>
        <v>10704.804811053742</v>
      </c>
      <c r="AZ175" s="43">
        <f t="shared" si="225"/>
        <v>-19513.016426323338</v>
      </c>
      <c r="BA175" s="92">
        <f t="shared" si="226"/>
        <v>-0.21735468032663144</v>
      </c>
      <c r="BC175" s="10">
        <f t="shared" si="155"/>
        <v>1330</v>
      </c>
      <c r="BD175" s="10">
        <f t="shared" si="156"/>
        <v>-861.27649208522519</v>
      </c>
      <c r="BE175" s="10">
        <f t="shared" si="157"/>
        <v>-327.76811260794977</v>
      </c>
      <c r="BF175" s="10">
        <f t="shared" si="158"/>
        <v>-9.475073678948446</v>
      </c>
      <c r="BG175" s="10">
        <f t="shared" si="159"/>
        <v>-284.90329015653668</v>
      </c>
      <c r="BH175" s="10">
        <f t="shared" si="160"/>
        <v>-1483.42296852866</v>
      </c>
      <c r="BI175" s="10">
        <f t="shared" si="161"/>
        <v>-153.42296852866011</v>
      </c>
      <c r="BJ175" s="10">
        <f t="shared" si="162"/>
        <v>-142.22222222222223</v>
      </c>
      <c r="BK175" s="10">
        <f t="shared" si="163"/>
        <v>-1.8340120757326399</v>
      </c>
      <c r="BL175" s="10">
        <f t="shared" si="164"/>
        <v>-229.25623429795485</v>
      </c>
      <c r="BM175" s="10">
        <f t="shared" si="165"/>
        <v>-100.62555624563808</v>
      </c>
      <c r="BN175" s="10">
        <f t="shared" si="166"/>
        <v>35.633333333333333</v>
      </c>
      <c r="BO175" s="10">
        <f t="shared" si="167"/>
        <v>-447.67142573891971</v>
      </c>
      <c r="BP175" s="10">
        <f t="shared" si="168"/>
        <v>-197.81279412988778</v>
      </c>
      <c r="BQ175" s="10">
        <f t="shared" si="169"/>
        <v>-645.48421986880749</v>
      </c>
      <c r="BR175" s="10">
        <f t="shared" si="170"/>
        <v>158.58970090449989</v>
      </c>
      <c r="BS175" s="10">
        <f t="shared" si="171"/>
        <v>-289.08172483441984</v>
      </c>
    </row>
    <row r="176" spans="3:71" hidden="1">
      <c r="C176" s="29" t="s">
        <v>806</v>
      </c>
      <c r="D176" s="25" t="s">
        <v>815</v>
      </c>
      <c r="E176" s="98">
        <v>46163</v>
      </c>
      <c r="F176" s="98">
        <v>46232</v>
      </c>
      <c r="G176" s="99">
        <v>22.5</v>
      </c>
      <c r="H176" s="27" t="s">
        <v>34</v>
      </c>
      <c r="I176" s="27" t="s">
        <v>116</v>
      </c>
      <c r="J176" s="7" t="s">
        <v>816</v>
      </c>
      <c r="K176" s="7" t="s">
        <v>127</v>
      </c>
      <c r="L176" s="7" t="s">
        <v>119</v>
      </c>
      <c r="M176" s="21" t="s">
        <v>812</v>
      </c>
      <c r="N176" s="7" t="s">
        <v>813</v>
      </c>
      <c r="O176" s="20">
        <v>1330</v>
      </c>
      <c r="P176" s="59">
        <v>29925</v>
      </c>
      <c r="Q176" s="20">
        <v>1187.7777777777778</v>
      </c>
      <c r="R176" s="30">
        <v>3200</v>
      </c>
      <c r="S176" s="32">
        <f t="shared" si="192"/>
        <v>26725</v>
      </c>
      <c r="T176" s="63">
        <v>1</v>
      </c>
      <c r="U176" s="57" t="s">
        <v>817</v>
      </c>
      <c r="V176" s="141">
        <v>6508576660</v>
      </c>
      <c r="W176" s="60"/>
      <c r="X176" s="4"/>
      <c r="Y176" s="4" t="s">
        <v>867</v>
      </c>
      <c r="Z176" s="7">
        <v>10005779</v>
      </c>
      <c r="AA176" s="7"/>
      <c r="AB176" s="7"/>
      <c r="AC176" s="20">
        <f>AJ176</f>
        <v>1483.42296852866</v>
      </c>
      <c r="AD176" s="44">
        <f>IFERROR(INDEX('Costos Producción Febrero'!$G$34:$G$57,MATCH(Resumen!Z176,'Costos Producción Febrero'!$B$34:$B$57,0))*AC176*G176,0)</f>
        <v>19378.721071917567</v>
      </c>
      <c r="AE176" s="44">
        <f>IFERROR(INDEX('Costos Producción Febrero'!$H$34:$H$57,MATCH(Resumen!Z176,'Costos Producción Febrero'!$B$34:$B$57,0))*AC176*G176,0)</f>
        <v>7374.7825336788701</v>
      </c>
      <c r="AF176" s="44">
        <f>IFERROR(INDEX('Costos Producción Febrero'!$I$34:$I$57,MATCH(Resumen!Z176,'Costos Producción Febrero'!$B$34:$B$57,0))*AC176*G176,0)</f>
        <v>213.18915777634004</v>
      </c>
      <c r="AG176" s="44">
        <f>IFERROR(INDEX('Costos Producción Febrero'!$J$34:$J$57,MATCH(Resumen!Z176,'Costos Producción Febrero'!$B$34:$B$57,0))*AC176*G176,0)</f>
        <v>6410.3240285220754</v>
      </c>
      <c r="AH176" s="44">
        <f t="shared" si="215"/>
        <v>33377.016791894857</v>
      </c>
      <c r="AI176" s="44"/>
      <c r="AJ176" s="44">
        <f>1.48342296852866*1000</f>
        <v>1483.42296852866</v>
      </c>
      <c r="AK176" s="44"/>
      <c r="AL176" s="43">
        <f t="shared" si="213"/>
        <v>-3452.0167918948573</v>
      </c>
      <c r="AM176" s="92">
        <f t="shared" si="214"/>
        <v>-0.11535561543508295</v>
      </c>
      <c r="AN176" s="42">
        <f t="shared" si="142"/>
        <v>3200</v>
      </c>
      <c r="AO176" s="42">
        <f t="shared" si="216"/>
        <v>1917</v>
      </c>
      <c r="AP176" s="42">
        <f t="shared" si="217"/>
        <v>41.265271703984396</v>
      </c>
      <c r="AQ176" s="42">
        <f t="shared" si="143"/>
        <v>5158.2652717039846</v>
      </c>
      <c r="AR176" s="42">
        <f t="shared" si="218"/>
        <v>2264.075015526857</v>
      </c>
      <c r="AS176" s="42">
        <f t="shared" si="144"/>
        <v>801.75</v>
      </c>
      <c r="AT176" s="43">
        <f t="shared" si="219"/>
        <v>-10072.607079125701</v>
      </c>
      <c r="AU176" s="92">
        <f t="shared" si="220"/>
        <v>-0.33659505694655639</v>
      </c>
      <c r="AV176" s="42">
        <f t="shared" si="221"/>
        <v>4450.787867922475</v>
      </c>
      <c r="AW176" s="43">
        <f t="shared" si="222"/>
        <v>-14523.394947048175</v>
      </c>
      <c r="AX176" s="92">
        <f t="shared" si="223"/>
        <v>-0.48532648110436677</v>
      </c>
      <c r="AY176" s="42">
        <f t="shared" si="224"/>
        <v>3568.2682703512478</v>
      </c>
      <c r="AZ176" s="43">
        <f t="shared" si="225"/>
        <v>-6504.3388087744534</v>
      </c>
      <c r="BA176" s="92">
        <f t="shared" si="226"/>
        <v>-0.21735468032663169</v>
      </c>
      <c r="BC176" s="10">
        <f t="shared" si="155"/>
        <v>1330</v>
      </c>
      <c r="BD176" s="10">
        <f t="shared" si="156"/>
        <v>-861.27649208522519</v>
      </c>
      <c r="BE176" s="10">
        <f t="shared" si="157"/>
        <v>-327.76811260794977</v>
      </c>
      <c r="BF176" s="10">
        <f t="shared" si="158"/>
        <v>-9.475073678948446</v>
      </c>
      <c r="BG176" s="10">
        <f t="shared" si="159"/>
        <v>-284.90329015653668</v>
      </c>
      <c r="BH176" s="10">
        <f t="shared" si="160"/>
        <v>-1483.4229685286602</v>
      </c>
      <c r="BI176" s="10">
        <f t="shared" si="161"/>
        <v>-153.42296852866033</v>
      </c>
      <c r="BJ176" s="10">
        <f t="shared" si="162"/>
        <v>-142.22222222222223</v>
      </c>
      <c r="BK176" s="10">
        <f t="shared" si="163"/>
        <v>-1.8340120757326399</v>
      </c>
      <c r="BL176" s="10">
        <f t="shared" si="164"/>
        <v>-229.25623429795488</v>
      </c>
      <c r="BM176" s="10">
        <f t="shared" si="165"/>
        <v>-100.62555624563809</v>
      </c>
      <c r="BN176" s="10">
        <f t="shared" si="166"/>
        <v>35.633333333333333</v>
      </c>
      <c r="BO176" s="10">
        <f t="shared" si="167"/>
        <v>-447.67142573892005</v>
      </c>
      <c r="BP176" s="10">
        <f t="shared" si="168"/>
        <v>-197.81279412988778</v>
      </c>
      <c r="BQ176" s="10">
        <f t="shared" si="169"/>
        <v>-645.48421986880771</v>
      </c>
      <c r="BR176" s="10">
        <f t="shared" si="170"/>
        <v>158.58970090449989</v>
      </c>
      <c r="BS176" s="10">
        <f t="shared" si="171"/>
        <v>-289.08172483442013</v>
      </c>
    </row>
    <row r="177" spans="3:71" hidden="1">
      <c r="C177" s="29" t="s">
        <v>806</v>
      </c>
      <c r="D177" s="25" t="s">
        <v>818</v>
      </c>
      <c r="E177" s="98">
        <v>46164</v>
      </c>
      <c r="F177" s="98">
        <v>46224</v>
      </c>
      <c r="G177" s="99">
        <v>10</v>
      </c>
      <c r="H177" s="27" t="s">
        <v>34</v>
      </c>
      <c r="I177" s="27" t="s">
        <v>819</v>
      </c>
      <c r="J177" s="7" t="s">
        <v>820</v>
      </c>
      <c r="K177" s="7" t="s">
        <v>141</v>
      </c>
      <c r="L177" s="7" t="s">
        <v>821</v>
      </c>
      <c r="M177" s="21" t="s">
        <v>43</v>
      </c>
      <c r="N177" s="7" t="s">
        <v>129</v>
      </c>
      <c r="O177" s="20">
        <v>1400</v>
      </c>
      <c r="P177" s="59">
        <v>14000</v>
      </c>
      <c r="Q177" s="20">
        <v>1400</v>
      </c>
      <c r="R177" s="30">
        <v>3201</v>
      </c>
      <c r="S177" s="32">
        <f t="shared" si="192"/>
        <v>10799</v>
      </c>
      <c r="T177" s="63">
        <v>1</v>
      </c>
      <c r="U177" s="57" t="s">
        <v>808</v>
      </c>
      <c r="V177" s="141" t="s">
        <v>822</v>
      </c>
      <c r="W177" s="60"/>
      <c r="X177" s="4"/>
      <c r="Y177" s="4" t="s">
        <v>867</v>
      </c>
      <c r="Z177" s="7">
        <v>10005779</v>
      </c>
      <c r="AA177" s="7"/>
      <c r="AB177" s="7"/>
      <c r="AC177" s="20">
        <f>AJ177</f>
        <v>1483.42296852866</v>
      </c>
      <c r="AD177" s="44">
        <f>IFERROR(INDEX('Costos Producción Febrero'!$G$34:$G$57,MATCH(Resumen!Z177,'Costos Producción Febrero'!$B$34:$B$57,0))*AC177*G177,0)</f>
        <v>8612.7649208522525</v>
      </c>
      <c r="AE177" s="44">
        <f>IFERROR(INDEX('Costos Producción Febrero'!$H$34:$H$57,MATCH(Resumen!Z177,'Costos Producción Febrero'!$B$34:$B$57,0))*AC177*G177,0)</f>
        <v>3277.6811260794975</v>
      </c>
      <c r="AF177" s="44">
        <f>IFERROR(INDEX('Costos Producción Febrero'!$I$34:$I$57,MATCH(Resumen!Z177,'Costos Producción Febrero'!$B$34:$B$57,0))*AC177*G177,0)</f>
        <v>94.750736789484463</v>
      </c>
      <c r="AG177" s="44">
        <f>IFERROR(INDEX('Costos Producción Febrero'!$J$34:$J$57,MATCH(Resumen!Z177,'Costos Producción Febrero'!$B$34:$B$57,0))*AC177*G177,0)</f>
        <v>2849.032901565367</v>
      </c>
      <c r="AH177" s="44">
        <f t="shared" si="215"/>
        <v>14834.229685286602</v>
      </c>
      <c r="AI177" s="44"/>
      <c r="AJ177" s="44">
        <f>1.48342296852866*1000</f>
        <v>1483.42296852866</v>
      </c>
      <c r="AK177" s="44"/>
      <c r="AL177" s="43">
        <f t="shared" si="213"/>
        <v>-834.22968528660203</v>
      </c>
      <c r="AM177" s="92">
        <f t="shared" si="214"/>
        <v>-5.9587834663328718E-2</v>
      </c>
      <c r="AN177" s="42">
        <f t="shared" si="142"/>
        <v>3201</v>
      </c>
      <c r="AO177" s="42">
        <f t="shared" si="216"/>
        <v>852</v>
      </c>
      <c r="AP177" s="42">
        <f t="shared" si="217"/>
        <v>18.3401207573264</v>
      </c>
      <c r="AQ177" s="42">
        <f t="shared" si="143"/>
        <v>4071.3401207573265</v>
      </c>
      <c r="AR177" s="42">
        <f t="shared" si="218"/>
        <v>1006.2555624563809</v>
      </c>
      <c r="AS177" s="42">
        <f t="shared" si="144"/>
        <v>323.96999999999997</v>
      </c>
      <c r="AT177" s="43">
        <f t="shared" si="219"/>
        <v>-5587.8553685003089</v>
      </c>
      <c r="AU177" s="92">
        <f t="shared" si="220"/>
        <v>-0.39913252632145063</v>
      </c>
      <c r="AV177" s="42">
        <f t="shared" si="221"/>
        <v>1978.1279412988779</v>
      </c>
      <c r="AW177" s="43">
        <f t="shared" si="222"/>
        <v>-7565.9833097991868</v>
      </c>
      <c r="AX177" s="92">
        <f t="shared" si="223"/>
        <v>-0.54042737927137052</v>
      </c>
      <c r="AY177" s="42">
        <f t="shared" si="224"/>
        <v>1585.8970090449989</v>
      </c>
      <c r="AZ177" s="43">
        <f t="shared" si="225"/>
        <v>-4001.9583594553101</v>
      </c>
      <c r="BA177" s="92">
        <f t="shared" si="226"/>
        <v>-0.28585416853252216</v>
      </c>
      <c r="BC177" s="10">
        <f t="shared" si="155"/>
        <v>1400</v>
      </c>
      <c r="BD177" s="10">
        <f t="shared" si="156"/>
        <v>-861.2764920852253</v>
      </c>
      <c r="BE177" s="10">
        <f t="shared" si="157"/>
        <v>-327.76811260794977</v>
      </c>
      <c r="BF177" s="10">
        <f t="shared" si="158"/>
        <v>-9.475073678948446</v>
      </c>
      <c r="BG177" s="10">
        <f t="shared" si="159"/>
        <v>-284.90329015653668</v>
      </c>
      <c r="BH177" s="10">
        <f t="shared" si="160"/>
        <v>-1483.4229685286602</v>
      </c>
      <c r="BI177" s="10">
        <f t="shared" si="161"/>
        <v>-83.422968528660206</v>
      </c>
      <c r="BJ177" s="10">
        <f t="shared" si="162"/>
        <v>-320.10000000000002</v>
      </c>
      <c r="BK177" s="10">
        <f t="shared" si="163"/>
        <v>-1.8340120757326399</v>
      </c>
      <c r="BL177" s="10">
        <f t="shared" si="164"/>
        <v>-407.13401207573264</v>
      </c>
      <c r="BM177" s="10">
        <f t="shared" si="165"/>
        <v>-100.62555624563808</v>
      </c>
      <c r="BN177" s="10">
        <f t="shared" si="166"/>
        <v>32.396999999999998</v>
      </c>
      <c r="BO177" s="10">
        <f t="shared" si="167"/>
        <v>-558.78553685003089</v>
      </c>
      <c r="BP177" s="10">
        <f t="shared" si="168"/>
        <v>-197.81279412988778</v>
      </c>
      <c r="BQ177" s="10">
        <f t="shared" si="169"/>
        <v>-756.59833097991873</v>
      </c>
      <c r="BR177" s="10">
        <f t="shared" si="170"/>
        <v>158.58970090449989</v>
      </c>
      <c r="BS177" s="10">
        <f t="shared" si="171"/>
        <v>-400.19583594553103</v>
      </c>
    </row>
    <row r="178" spans="3:71" hidden="1">
      <c r="C178" s="29" t="s">
        <v>806</v>
      </c>
      <c r="D178" s="25" t="s">
        <v>818</v>
      </c>
      <c r="E178" s="98">
        <v>46164</v>
      </c>
      <c r="F178" s="98">
        <v>46224</v>
      </c>
      <c r="G178" s="99">
        <v>14</v>
      </c>
      <c r="H178" s="27" t="s">
        <v>33</v>
      </c>
      <c r="I178" s="27" t="s">
        <v>132</v>
      </c>
      <c r="J178" s="7" t="s">
        <v>729</v>
      </c>
      <c r="K178" s="7" t="s">
        <v>141</v>
      </c>
      <c r="L178" s="7" t="s">
        <v>821</v>
      </c>
      <c r="M178" s="21" t="s">
        <v>43</v>
      </c>
      <c r="N178" s="7" t="s">
        <v>129</v>
      </c>
      <c r="O178" s="20">
        <v>2200</v>
      </c>
      <c r="P178" s="59">
        <v>30800</v>
      </c>
      <c r="Q178" s="20">
        <v>2200</v>
      </c>
      <c r="R178" s="30">
        <v>3201</v>
      </c>
      <c r="S178" s="32">
        <f t="shared" si="192"/>
        <v>27599</v>
      </c>
      <c r="T178" s="63">
        <v>2</v>
      </c>
      <c r="U178" s="57" t="s">
        <v>808</v>
      </c>
      <c r="V178" s="141" t="s">
        <v>822</v>
      </c>
      <c r="W178" s="60"/>
      <c r="X178" s="4"/>
      <c r="Y178" s="4" t="s">
        <v>867</v>
      </c>
      <c r="Z178" s="7">
        <v>10005721</v>
      </c>
      <c r="AA178" s="7"/>
      <c r="AB178" s="7"/>
      <c r="AC178" s="20">
        <f>AJ178</f>
        <v>1834.43100611569</v>
      </c>
      <c r="AD178" s="44">
        <f>IFERROR(INDEX('Costos Producción Febrero'!$G$34:$G$57,MATCH(Resumen!Z178,'Costos Producción Febrero'!$B$34:$B$57,0))*AC178*G178,0)</f>
        <v>15596.979572028082</v>
      </c>
      <c r="AE178" s="44">
        <f>IFERROR(INDEX('Costos Producción Febrero'!$H$34:$H$57,MATCH(Resumen!Z178,'Costos Producción Febrero'!$B$34:$B$57,0))*AC178*G178,0)</f>
        <v>4570.2388258553683</v>
      </c>
      <c r="AF178" s="44">
        <f>IFERROR(INDEX('Costos Producción Febrero'!$I$34:$I$57,MATCH(Resumen!Z178,'Costos Producción Febrero'!$B$34:$B$57,0))*AC178*G178,0)</f>
        <v>279.98311758244921</v>
      </c>
      <c r="AG178" s="44">
        <f>IFERROR(INDEX('Costos Producción Febrero'!$J$34:$J$57,MATCH(Resumen!Z178,'Costos Producción Febrero'!$B$34:$B$57,0))*AC178*G178,0)</f>
        <v>5234.8325701537606</v>
      </c>
      <c r="AH178" s="44">
        <f t="shared" ref="AH178:AH182" si="227">SUM(AD178:AG178)</f>
        <v>25682.03408561966</v>
      </c>
      <c r="AI178" s="44"/>
      <c r="AJ178" s="44">
        <f>1.83443100611569*1000</f>
        <v>1834.43100611569</v>
      </c>
      <c r="AK178" s="44"/>
      <c r="AL178" s="43">
        <f t="shared" si="213"/>
        <v>5117.9659143803401</v>
      </c>
      <c r="AM178" s="92">
        <f t="shared" si="214"/>
        <v>0.16616772449286818</v>
      </c>
      <c r="AN178" s="42">
        <f t="shared" ref="AN178:AN194" si="228">R178</f>
        <v>3201</v>
      </c>
      <c r="AO178" s="42">
        <f t="shared" si="216"/>
        <v>1192.8</v>
      </c>
      <c r="AP178" s="42">
        <f t="shared" si="217"/>
        <v>25.67616906025696</v>
      </c>
      <c r="AQ178" s="42">
        <f t="shared" ref="AQ178:AQ194" si="229">SUM(AN178:AP178)</f>
        <v>4419.4761690602572</v>
      </c>
      <c r="AR178" s="42">
        <f t="shared" si="218"/>
        <v>1408.7577874389331</v>
      </c>
      <c r="AS178" s="42">
        <f t="shared" ref="AS178:AS194" si="230">S178*0.03</f>
        <v>827.96999999999991</v>
      </c>
      <c r="AT178" s="43">
        <f t="shared" si="219"/>
        <v>117.70195788114972</v>
      </c>
      <c r="AU178" s="92">
        <f t="shared" si="220"/>
        <v>3.8214921389983676E-3</v>
      </c>
      <c r="AV178" s="42">
        <f t="shared" si="221"/>
        <v>2769.3791178184288</v>
      </c>
      <c r="AW178" s="43">
        <f t="shared" si="222"/>
        <v>-2651.6771599372792</v>
      </c>
      <c r="AX178" s="92">
        <f t="shared" si="223"/>
        <v>-8.6093414283677894E-2</v>
      </c>
      <c r="AY178" s="42">
        <f t="shared" si="224"/>
        <v>2220.2558126629983</v>
      </c>
      <c r="AZ178" s="43">
        <f t="shared" si="225"/>
        <v>2337.9577705441479</v>
      </c>
      <c r="BA178" s="92">
        <f t="shared" si="226"/>
        <v>7.5907719822861944E-2</v>
      </c>
      <c r="BC178" s="10">
        <f t="shared" si="155"/>
        <v>2200</v>
      </c>
      <c r="BD178" s="10">
        <f t="shared" si="156"/>
        <v>-1114.0699694305772</v>
      </c>
      <c r="BE178" s="10">
        <f t="shared" si="157"/>
        <v>-326.44563041824057</v>
      </c>
      <c r="BF178" s="10">
        <f t="shared" si="158"/>
        <v>-19.998794113032087</v>
      </c>
      <c r="BG178" s="10">
        <f t="shared" si="159"/>
        <v>-373.91661215384005</v>
      </c>
      <c r="BH178" s="10">
        <f t="shared" si="160"/>
        <v>-1834.43100611569</v>
      </c>
      <c r="BI178" s="10">
        <f t="shared" si="161"/>
        <v>365.56899388431003</v>
      </c>
      <c r="BJ178" s="10">
        <f t="shared" si="162"/>
        <v>-228.64285714285714</v>
      </c>
      <c r="BK178" s="10">
        <f t="shared" si="163"/>
        <v>-1.8340120757326399</v>
      </c>
      <c r="BL178" s="10">
        <f t="shared" si="164"/>
        <v>-315.67686921858979</v>
      </c>
      <c r="BM178" s="10">
        <f t="shared" si="165"/>
        <v>-100.62555624563808</v>
      </c>
      <c r="BN178" s="10">
        <f t="shared" si="166"/>
        <v>59.140714285714282</v>
      </c>
      <c r="BO178" s="10">
        <f t="shared" si="167"/>
        <v>8.4072827057964084</v>
      </c>
      <c r="BP178" s="10">
        <f t="shared" si="168"/>
        <v>-197.81279412988778</v>
      </c>
      <c r="BQ178" s="10">
        <f t="shared" si="169"/>
        <v>-189.40551142409137</v>
      </c>
      <c r="BR178" s="10">
        <f t="shared" si="170"/>
        <v>158.58970090449989</v>
      </c>
      <c r="BS178" s="10">
        <f t="shared" si="171"/>
        <v>166.99698361029627</v>
      </c>
    </row>
    <row r="179" spans="3:71" hidden="1">
      <c r="C179" s="29" t="s">
        <v>806</v>
      </c>
      <c r="D179" s="25" t="s">
        <v>823</v>
      </c>
      <c r="E179" s="98">
        <v>45809</v>
      </c>
      <c r="F179" s="98">
        <v>46206</v>
      </c>
      <c r="G179" s="99">
        <v>27</v>
      </c>
      <c r="H179" s="27" t="s">
        <v>465</v>
      </c>
      <c r="I179" s="27" t="s">
        <v>466</v>
      </c>
      <c r="J179" s="7"/>
      <c r="K179" s="7" t="s">
        <v>292</v>
      </c>
      <c r="L179" s="7" t="s">
        <v>172</v>
      </c>
      <c r="M179" s="21" t="s">
        <v>824</v>
      </c>
      <c r="N179" s="7" t="s">
        <v>825</v>
      </c>
      <c r="O179" s="20">
        <v>2550</v>
      </c>
      <c r="P179" s="59">
        <v>68850</v>
      </c>
      <c r="Q179" s="20">
        <v>2453.7037037037039</v>
      </c>
      <c r="R179" s="30">
        <v>2600</v>
      </c>
      <c r="S179" s="32">
        <f t="shared" si="192"/>
        <v>66250</v>
      </c>
      <c r="T179" s="63">
        <v>1</v>
      </c>
      <c r="U179" s="57" t="s">
        <v>826</v>
      </c>
      <c r="V179" s="141">
        <v>6506232350</v>
      </c>
      <c r="W179" s="60"/>
      <c r="X179" s="4"/>
      <c r="Y179" s="4" t="s">
        <v>866</v>
      </c>
      <c r="Z179" s="7">
        <v>10007050</v>
      </c>
      <c r="AA179" s="7"/>
      <c r="AB179" s="7"/>
      <c r="AC179" s="20">
        <f t="shared" ref="AC179:AC180" si="231">AJ179</f>
        <v>1308.2098231172592</v>
      </c>
      <c r="AD179" s="44">
        <f>IFERROR(INDEX('Costos Producción Febrero'!$G$34:$G$57,MATCH(Resumen!Z179,'Costos Producción Febrero'!$B$34:$B$57,0))*AC179*G179,0)</f>
        <v>29541.044443214407</v>
      </c>
      <c r="AE179" s="44">
        <f>IFERROR(INDEX('Costos Producción Febrero'!$H$34:$H$57,MATCH(Resumen!Z179,'Costos Producción Febrero'!$B$34:$B$57,0))*AC179*G179,0)</f>
        <v>5421.5909783831166</v>
      </c>
      <c r="AF179" s="44">
        <f>IFERROR(INDEX('Costos Producción Febrero'!$I$34:$I$57,MATCH(Resumen!Z179,'Costos Producción Febrero'!$B$34:$B$57,0))*AC179*G179,0)</f>
        <v>515.05114294639611</v>
      </c>
      <c r="AG179" s="44">
        <f>IFERROR(INDEX('Costos Producción Febrero'!$J$34:$J$57,MATCH(Resumen!Z179,'Costos Producción Febrero'!$B$34:$B$57,0))*AC179*G179,0)</f>
        <v>-156.02134037791413</v>
      </c>
      <c r="AH179" s="44">
        <f t="shared" si="227"/>
        <v>35321.665224166005</v>
      </c>
      <c r="AI179" s="44"/>
      <c r="AJ179" s="44">
        <v>1308.2098231172592</v>
      </c>
      <c r="AK179" s="44"/>
      <c r="AL179" s="43">
        <f t="shared" si="213"/>
        <v>33528.334775833995</v>
      </c>
      <c r="AM179" s="92">
        <f t="shared" si="214"/>
        <v>0.48697653995401591</v>
      </c>
      <c r="AN179" s="42">
        <f t="shared" si="228"/>
        <v>2600</v>
      </c>
      <c r="AO179" s="42">
        <f t="shared" si="216"/>
        <v>2300.4</v>
      </c>
      <c r="AP179" s="42">
        <f t="shared" si="217"/>
        <v>49.518326044781276</v>
      </c>
      <c r="AQ179" s="42">
        <f t="shared" si="229"/>
        <v>4949.9183260447808</v>
      </c>
      <c r="AR179" s="42">
        <f t="shared" si="218"/>
        <v>2716.890018632228</v>
      </c>
      <c r="AS179" s="42">
        <f t="shared" si="230"/>
        <v>1987.5</v>
      </c>
      <c r="AT179" s="43">
        <f t="shared" si="219"/>
        <v>27849.026431156984</v>
      </c>
      <c r="AU179" s="92">
        <f t="shared" si="220"/>
        <v>0.40448840132399394</v>
      </c>
      <c r="AV179" s="42">
        <f t="shared" si="221"/>
        <v>5340.9454415069704</v>
      </c>
      <c r="AW179" s="43">
        <f t="shared" si="222"/>
        <v>22508.080989650014</v>
      </c>
      <c r="AX179" s="92">
        <f t="shared" si="223"/>
        <v>0.32691475656717522</v>
      </c>
      <c r="AY179" s="42">
        <f t="shared" si="224"/>
        <v>4281.9219244214974</v>
      </c>
      <c r="AZ179" s="43">
        <f t="shared" si="225"/>
        <v>32130.948355578483</v>
      </c>
      <c r="BA179" s="92">
        <f t="shared" si="226"/>
        <v>0.46668044089438609</v>
      </c>
      <c r="BC179" s="10">
        <f t="shared" si="155"/>
        <v>2550</v>
      </c>
      <c r="BD179" s="10">
        <f t="shared" si="156"/>
        <v>-1094.1127571560892</v>
      </c>
      <c r="BE179" s="10">
        <f t="shared" si="157"/>
        <v>-200.79966586604135</v>
      </c>
      <c r="BF179" s="10">
        <f t="shared" si="158"/>
        <v>-19.075968257273932</v>
      </c>
      <c r="BG179" s="10">
        <f t="shared" si="159"/>
        <v>5.7785681621449676</v>
      </c>
      <c r="BH179" s="10">
        <f t="shared" si="160"/>
        <v>-1308.2098231172595</v>
      </c>
      <c r="BI179" s="10">
        <f t="shared" si="161"/>
        <v>1241.7901768827405</v>
      </c>
      <c r="BJ179" s="10">
        <f t="shared" si="162"/>
        <v>-96.296296296296291</v>
      </c>
      <c r="BK179" s="10">
        <f t="shared" si="163"/>
        <v>-1.8340120757326399</v>
      </c>
      <c r="BL179" s="10">
        <f t="shared" si="164"/>
        <v>-183.33030837202892</v>
      </c>
      <c r="BM179" s="10">
        <f t="shared" si="165"/>
        <v>-100.62555624563808</v>
      </c>
      <c r="BN179" s="10">
        <f t="shared" si="166"/>
        <v>73.611111111111114</v>
      </c>
      <c r="BO179" s="10">
        <f t="shared" si="167"/>
        <v>1031.4454233761846</v>
      </c>
      <c r="BP179" s="10">
        <f t="shared" si="168"/>
        <v>-197.81279412988781</v>
      </c>
      <c r="BQ179" s="10">
        <f t="shared" si="169"/>
        <v>833.6326292462968</v>
      </c>
      <c r="BR179" s="10">
        <f t="shared" si="170"/>
        <v>158.58970090449989</v>
      </c>
      <c r="BS179" s="10">
        <f t="shared" si="171"/>
        <v>1190.0351242806846</v>
      </c>
    </row>
    <row r="180" spans="3:71" hidden="1">
      <c r="C180" s="29" t="s">
        <v>806</v>
      </c>
      <c r="D180" s="25" t="s">
        <v>827</v>
      </c>
      <c r="E180" s="98">
        <v>154</v>
      </c>
      <c r="F180" s="98">
        <v>46216</v>
      </c>
      <c r="G180" s="99">
        <v>27</v>
      </c>
      <c r="H180" s="27" t="s">
        <v>465</v>
      </c>
      <c r="I180" s="27" t="s">
        <v>466</v>
      </c>
      <c r="J180" s="7"/>
      <c r="K180" s="7" t="s">
        <v>161</v>
      </c>
      <c r="L180" s="7" t="s">
        <v>147</v>
      </c>
      <c r="M180" s="21" t="s">
        <v>44</v>
      </c>
      <c r="N180" s="7" t="s">
        <v>214</v>
      </c>
      <c r="O180" s="20">
        <v>2500</v>
      </c>
      <c r="P180" s="59">
        <v>67500</v>
      </c>
      <c r="Q180" s="20">
        <v>2302.5185185185187</v>
      </c>
      <c r="R180" s="30">
        <v>5332</v>
      </c>
      <c r="S180" s="32">
        <f t="shared" si="192"/>
        <v>62168</v>
      </c>
      <c r="T180" s="63">
        <v>1</v>
      </c>
      <c r="U180" s="57" t="s">
        <v>828</v>
      </c>
      <c r="V180" s="141">
        <v>11285965</v>
      </c>
      <c r="W180" s="60"/>
      <c r="X180" s="4"/>
      <c r="Y180" s="4" t="s">
        <v>866</v>
      </c>
      <c r="Z180" s="7">
        <v>10007050</v>
      </c>
      <c r="AA180" s="7"/>
      <c r="AB180" s="7"/>
      <c r="AC180" s="20">
        <f t="shared" si="231"/>
        <v>1308.2098231172592</v>
      </c>
      <c r="AD180" s="44">
        <f>IFERROR(INDEX('Costos Producción Febrero'!$G$34:$G$57,MATCH(Resumen!Z180,'Costos Producción Febrero'!$B$34:$B$57,0))*AC180*G180,0)</f>
        <v>29541.044443214407</v>
      </c>
      <c r="AE180" s="44">
        <f>IFERROR(INDEX('Costos Producción Febrero'!$H$34:$H$57,MATCH(Resumen!Z180,'Costos Producción Febrero'!$B$34:$B$57,0))*AC180*G180,0)</f>
        <v>5421.5909783831166</v>
      </c>
      <c r="AF180" s="44">
        <f>IFERROR(INDEX('Costos Producción Febrero'!$I$34:$I$57,MATCH(Resumen!Z180,'Costos Producción Febrero'!$B$34:$B$57,0))*AC180*G180,0)</f>
        <v>515.05114294639611</v>
      </c>
      <c r="AG180" s="44">
        <f>IFERROR(INDEX('Costos Producción Febrero'!$J$34:$J$57,MATCH(Resumen!Z180,'Costos Producción Febrero'!$B$34:$B$57,0))*AC180*G180,0)</f>
        <v>-156.02134037791413</v>
      </c>
      <c r="AH180" s="44">
        <f t="shared" si="227"/>
        <v>35321.665224166005</v>
      </c>
      <c r="AI180" s="44"/>
      <c r="AJ180" s="44">
        <v>1308.2098231172592</v>
      </c>
      <c r="AK180" s="44"/>
      <c r="AL180" s="43">
        <f t="shared" si="213"/>
        <v>32178.334775833995</v>
      </c>
      <c r="AM180" s="92">
        <f t="shared" si="214"/>
        <v>0.47671607075309624</v>
      </c>
      <c r="AN180" s="42">
        <f t="shared" si="228"/>
        <v>5332</v>
      </c>
      <c r="AO180" s="42">
        <f t="shared" si="216"/>
        <v>2300.4</v>
      </c>
      <c r="AP180" s="42">
        <f t="shared" si="217"/>
        <v>49.518326044781276</v>
      </c>
      <c r="AQ180" s="42">
        <f t="shared" si="229"/>
        <v>7681.9183260447808</v>
      </c>
      <c r="AR180" s="42">
        <f t="shared" si="218"/>
        <v>2716.890018632228</v>
      </c>
      <c r="AS180" s="42">
        <f t="shared" si="230"/>
        <v>1865.04</v>
      </c>
      <c r="AT180" s="43">
        <f t="shared" si="219"/>
        <v>23644.566431156985</v>
      </c>
      <c r="AU180" s="92">
        <f t="shared" si="220"/>
        <v>0.35028987305417758</v>
      </c>
      <c r="AV180" s="42">
        <f t="shared" si="221"/>
        <v>5340.9454415069704</v>
      </c>
      <c r="AW180" s="43">
        <f t="shared" si="222"/>
        <v>18303.620989650015</v>
      </c>
      <c r="AX180" s="92">
        <f t="shared" si="223"/>
        <v>0.27116475540222246</v>
      </c>
      <c r="AY180" s="42">
        <f t="shared" si="224"/>
        <v>4281.9219244214974</v>
      </c>
      <c r="AZ180" s="43">
        <f t="shared" si="225"/>
        <v>27926.488355578484</v>
      </c>
      <c r="BA180" s="92">
        <f t="shared" si="226"/>
        <v>0.41372575341597756</v>
      </c>
      <c r="BC180" s="10">
        <f t="shared" si="155"/>
        <v>2500</v>
      </c>
      <c r="BD180" s="10">
        <f t="shared" si="156"/>
        <v>-1094.1127571560892</v>
      </c>
      <c r="BE180" s="10">
        <f t="shared" si="157"/>
        <v>-200.79966586604135</v>
      </c>
      <c r="BF180" s="10">
        <f t="shared" si="158"/>
        <v>-19.075968257273932</v>
      </c>
      <c r="BG180" s="10">
        <f t="shared" si="159"/>
        <v>5.7785681621449676</v>
      </c>
      <c r="BH180" s="10">
        <f t="shared" si="160"/>
        <v>-1308.2098231172595</v>
      </c>
      <c r="BI180" s="10">
        <f t="shared" si="161"/>
        <v>1191.7901768827405</v>
      </c>
      <c r="BJ180" s="10">
        <f t="shared" si="162"/>
        <v>-197.4814814814815</v>
      </c>
      <c r="BK180" s="10">
        <f t="shared" si="163"/>
        <v>-1.8340120757326399</v>
      </c>
      <c r="BL180" s="10">
        <f t="shared" si="164"/>
        <v>-284.51549355721409</v>
      </c>
      <c r="BM180" s="10">
        <f t="shared" si="165"/>
        <v>-100.62555624563808</v>
      </c>
      <c r="BN180" s="10">
        <f t="shared" si="166"/>
        <v>69.075555555555553</v>
      </c>
      <c r="BO180" s="10">
        <f t="shared" si="167"/>
        <v>875.72468263544386</v>
      </c>
      <c r="BP180" s="10">
        <f t="shared" si="168"/>
        <v>-197.81279412988781</v>
      </c>
      <c r="BQ180" s="10">
        <f t="shared" si="169"/>
        <v>677.91188850555613</v>
      </c>
      <c r="BR180" s="10">
        <f t="shared" si="170"/>
        <v>158.58970090449989</v>
      </c>
      <c r="BS180" s="10">
        <f t="shared" si="171"/>
        <v>1034.3143835399439</v>
      </c>
    </row>
    <row r="181" spans="3:71" hidden="1">
      <c r="C181" s="29" t="s">
        <v>806</v>
      </c>
      <c r="D181" s="25" t="s">
        <v>829</v>
      </c>
      <c r="E181" s="98">
        <v>158</v>
      </c>
      <c r="F181" s="98">
        <v>46209</v>
      </c>
      <c r="G181" s="99">
        <v>26</v>
      </c>
      <c r="H181" s="27" t="s">
        <v>36</v>
      </c>
      <c r="I181" s="27" t="s">
        <v>799</v>
      </c>
      <c r="J181" s="7" t="s">
        <v>830</v>
      </c>
      <c r="K181" s="7" t="s">
        <v>108</v>
      </c>
      <c r="L181" s="7" t="s">
        <v>109</v>
      </c>
      <c r="M181" s="21" t="s">
        <v>56</v>
      </c>
      <c r="N181" s="7" t="s">
        <v>110</v>
      </c>
      <c r="O181" s="20">
        <v>2850</v>
      </c>
      <c r="P181" s="59">
        <v>74100</v>
      </c>
      <c r="Q181" s="20">
        <v>2678.8461538461538</v>
      </c>
      <c r="R181" s="30">
        <v>4450</v>
      </c>
      <c r="S181" s="32">
        <f t="shared" si="192"/>
        <v>69650</v>
      </c>
      <c r="T181" s="63">
        <v>1</v>
      </c>
      <c r="U181" s="57" t="s">
        <v>831</v>
      </c>
      <c r="V181" s="141">
        <v>12601018</v>
      </c>
      <c r="W181" s="60"/>
      <c r="X181" s="4"/>
      <c r="Y181" s="4" t="s">
        <v>867</v>
      </c>
      <c r="Z181" s="7">
        <v>10007567</v>
      </c>
      <c r="AA181" s="7"/>
      <c r="AB181" s="7"/>
      <c r="AC181" s="20">
        <f>AJ181</f>
        <v>1540.1636690456899</v>
      </c>
      <c r="AD181" s="44">
        <f>IFERROR(INDEX('Costos Producción Febrero'!$G$34:$G$57,MATCH(Resumen!Z181,'Costos Producción Febrero'!$B$34:$B$57,0))*AC181*G181,0)</f>
        <v>24730.634969895029</v>
      </c>
      <c r="AE181" s="44">
        <f>IFERROR(INDEX('Costos Producción Febrero'!$H$34:$H$57,MATCH(Resumen!Z181,'Costos Producción Febrero'!$B$34:$B$57,0))*AC181*G181,0)</f>
        <v>6665.0113723449358</v>
      </c>
      <c r="AF181" s="44">
        <f>IFERROR(INDEX('Costos Producción Febrero'!$I$34:$I$57,MATCH(Resumen!Z181,'Costos Producción Febrero'!$B$34:$B$57,0))*AC181*G181,0)</f>
        <v>432.21274059165916</v>
      </c>
      <c r="AG181" s="44">
        <f>IFERROR(INDEX('Costos Producción Febrero'!$J$34:$J$57,MATCH(Resumen!Z181,'Costos Producción Febrero'!$B$34:$B$57,0))*AC181*G181,0)</f>
        <v>8216.3963123563135</v>
      </c>
      <c r="AH181" s="44">
        <f t="shared" si="227"/>
        <v>40044.255395187938</v>
      </c>
      <c r="AI181" s="44"/>
      <c r="AJ181" s="44">
        <f>1.54016366904569*1000</f>
        <v>1540.1636690456899</v>
      </c>
      <c r="AK181" s="44"/>
      <c r="AL181" s="43">
        <f t="shared" si="213"/>
        <v>34055.744604812062</v>
      </c>
      <c r="AM181" s="92">
        <f t="shared" si="214"/>
        <v>0.45959169507168773</v>
      </c>
      <c r="AN181" s="42">
        <f t="shared" si="228"/>
        <v>4450</v>
      </c>
      <c r="AO181" s="42">
        <f t="shared" si="216"/>
        <v>2215.2000000000003</v>
      </c>
      <c r="AP181" s="42">
        <f t="shared" si="217"/>
        <v>47.684313969048638</v>
      </c>
      <c r="AQ181" s="42">
        <f t="shared" si="229"/>
        <v>6712.8843139690498</v>
      </c>
      <c r="AR181" s="42">
        <f t="shared" si="218"/>
        <v>2616.2644623865899</v>
      </c>
      <c r="AS181" s="42">
        <f t="shared" si="230"/>
        <v>2089.5</v>
      </c>
      <c r="AT181" s="43">
        <f t="shared" si="219"/>
        <v>26816.095828456422</v>
      </c>
      <c r="AU181" s="92">
        <f t="shared" si="220"/>
        <v>0.36189063196297466</v>
      </c>
      <c r="AV181" s="42">
        <f t="shared" si="221"/>
        <v>5143.1326473770823</v>
      </c>
      <c r="AW181" s="43">
        <f t="shared" si="222"/>
        <v>21672.96318107934</v>
      </c>
      <c r="AX181" s="92">
        <f t="shared" si="223"/>
        <v>0.29248263402266317</v>
      </c>
      <c r="AY181" s="42">
        <f t="shared" si="224"/>
        <v>4123.3322235169971</v>
      </c>
      <c r="AZ181" s="43">
        <f t="shared" si="225"/>
        <v>30939.42805197342</v>
      </c>
      <c r="BA181" s="92">
        <f t="shared" si="226"/>
        <v>0.41753614105227288</v>
      </c>
      <c r="BC181" s="10">
        <f t="shared" si="155"/>
        <v>2850</v>
      </c>
      <c r="BD181" s="10">
        <f t="shared" si="156"/>
        <v>-951.17826807288577</v>
      </c>
      <c r="BE181" s="10">
        <f t="shared" si="157"/>
        <v>-256.34659124403601</v>
      </c>
      <c r="BF181" s="10">
        <f t="shared" si="158"/>
        <v>-16.623566945833044</v>
      </c>
      <c r="BG181" s="10">
        <f t="shared" si="159"/>
        <v>-316.01524278293516</v>
      </c>
      <c r="BH181" s="10">
        <f t="shared" si="160"/>
        <v>-1540.1636690456899</v>
      </c>
      <c r="BI181" s="10">
        <f t="shared" si="161"/>
        <v>1309.8363309543101</v>
      </c>
      <c r="BJ181" s="10">
        <f t="shared" si="162"/>
        <v>-171.15384615384616</v>
      </c>
      <c r="BK181" s="10">
        <f t="shared" si="163"/>
        <v>-1.8340120757326399</v>
      </c>
      <c r="BL181" s="10">
        <f t="shared" si="164"/>
        <v>-258.18785822957886</v>
      </c>
      <c r="BM181" s="10">
        <f t="shared" si="165"/>
        <v>-100.62555624563808</v>
      </c>
      <c r="BN181" s="10">
        <f t="shared" si="166"/>
        <v>80.365384615384613</v>
      </c>
      <c r="BO181" s="10">
        <f t="shared" si="167"/>
        <v>1031.3883010944778</v>
      </c>
      <c r="BP181" s="10">
        <f t="shared" si="168"/>
        <v>-197.81279412988778</v>
      </c>
      <c r="BQ181" s="10">
        <f t="shared" si="169"/>
        <v>833.57550696458998</v>
      </c>
      <c r="BR181" s="10">
        <f t="shared" si="170"/>
        <v>158.58970090449989</v>
      </c>
      <c r="BS181" s="10">
        <f t="shared" si="171"/>
        <v>1189.9780019989778</v>
      </c>
    </row>
    <row r="182" spans="3:71" hidden="1">
      <c r="C182" s="29" t="s">
        <v>806</v>
      </c>
      <c r="D182" s="25" t="s">
        <v>832</v>
      </c>
      <c r="E182" s="98">
        <v>160</v>
      </c>
      <c r="F182" s="98">
        <v>46225</v>
      </c>
      <c r="G182" s="99">
        <v>52</v>
      </c>
      <c r="H182" s="27" t="s">
        <v>34</v>
      </c>
      <c r="I182" s="27" t="s">
        <v>116</v>
      </c>
      <c r="J182" s="7" t="s">
        <v>820</v>
      </c>
      <c r="K182" s="7" t="s">
        <v>127</v>
      </c>
      <c r="L182" s="7" t="s">
        <v>119</v>
      </c>
      <c r="M182" s="21" t="s">
        <v>43</v>
      </c>
      <c r="N182" s="7" t="s">
        <v>129</v>
      </c>
      <c r="O182" s="20">
        <v>1300</v>
      </c>
      <c r="P182" s="59">
        <v>67600</v>
      </c>
      <c r="Q182" s="20">
        <v>1182.6538461538462</v>
      </c>
      <c r="R182" s="30">
        <v>6102</v>
      </c>
      <c r="S182" s="32">
        <f t="shared" si="192"/>
        <v>61498</v>
      </c>
      <c r="T182" s="63">
        <v>2</v>
      </c>
      <c r="U182" s="57" t="s">
        <v>808</v>
      </c>
      <c r="V182" s="141" t="s">
        <v>833</v>
      </c>
      <c r="W182" s="60"/>
      <c r="X182" s="4"/>
      <c r="Y182" s="4" t="s">
        <v>867</v>
      </c>
      <c r="Z182" s="7">
        <v>10005779</v>
      </c>
      <c r="AA182" s="7"/>
      <c r="AB182" s="7"/>
      <c r="AC182" s="20">
        <f>AJ182</f>
        <v>1483.42296852866</v>
      </c>
      <c r="AD182" s="44">
        <f>IFERROR(INDEX('Costos Producción Febrero'!$G$34:$G$57,MATCH(Resumen!Z182,'Costos Producción Febrero'!$B$34:$B$57,0))*AC182*G182,0)</f>
        <v>44786.377588431707</v>
      </c>
      <c r="AE182" s="44">
        <f>IFERROR(INDEX('Costos Producción Febrero'!$H$34:$H$57,MATCH(Resumen!Z182,'Costos Producción Febrero'!$B$34:$B$57,0))*AC182*G182,0)</f>
        <v>17043.94185561339</v>
      </c>
      <c r="AF182" s="44">
        <f>IFERROR(INDEX('Costos Producción Febrero'!$I$34:$I$57,MATCH(Resumen!Z182,'Costos Producción Febrero'!$B$34:$B$57,0))*AC182*G182,0)</f>
        <v>492.70383130531917</v>
      </c>
      <c r="AG182" s="44">
        <f>IFERROR(INDEX('Costos Producción Febrero'!$J$34:$J$57,MATCH(Resumen!Z182,'Costos Producción Febrero'!$B$34:$B$57,0))*AC182*G182,0)</f>
        <v>14814.971088139908</v>
      </c>
      <c r="AH182" s="44">
        <f t="shared" si="227"/>
        <v>77137.994363490317</v>
      </c>
      <c r="AI182" s="44"/>
      <c r="AJ182" s="44">
        <f>1.48342296852866*1000</f>
        <v>1483.42296852866</v>
      </c>
      <c r="AK182" s="44"/>
      <c r="AL182" s="43">
        <f t="shared" si="213"/>
        <v>-9537.9943634903175</v>
      </c>
      <c r="AM182" s="92">
        <f t="shared" si="214"/>
        <v>-0.14109459117589226</v>
      </c>
      <c r="AN182" s="42">
        <f t="shared" si="228"/>
        <v>6102</v>
      </c>
      <c r="AO182" s="42">
        <f t="shared" si="216"/>
        <v>4430.4000000000005</v>
      </c>
      <c r="AP182" s="42">
        <f t="shared" si="217"/>
        <v>95.368627938097276</v>
      </c>
      <c r="AQ182" s="42">
        <f t="shared" si="229"/>
        <v>10627.7686279381</v>
      </c>
      <c r="AR182" s="42">
        <f t="shared" si="218"/>
        <v>5232.5289247731798</v>
      </c>
      <c r="AS182" s="42">
        <f t="shared" si="230"/>
        <v>1844.9399999999998</v>
      </c>
      <c r="AT182" s="43">
        <f t="shared" si="219"/>
        <v>-23553.351916201598</v>
      </c>
      <c r="AU182" s="92">
        <f t="shared" si="220"/>
        <v>-0.34842236562428397</v>
      </c>
      <c r="AV182" s="42">
        <f t="shared" si="221"/>
        <v>10286.265294754165</v>
      </c>
      <c r="AW182" s="43">
        <f t="shared" si="222"/>
        <v>-33839.617210955766</v>
      </c>
      <c r="AX182" s="92">
        <f t="shared" si="223"/>
        <v>-0.50058605341650542</v>
      </c>
      <c r="AY182" s="42">
        <f t="shared" si="224"/>
        <v>8246.6644470339943</v>
      </c>
      <c r="AZ182" s="43">
        <f t="shared" si="225"/>
        <v>-15306.687469167604</v>
      </c>
      <c r="BA182" s="92">
        <f t="shared" si="226"/>
        <v>-0.22643028800543794</v>
      </c>
      <c r="BC182" s="10">
        <f t="shared" si="155"/>
        <v>1300</v>
      </c>
      <c r="BD182" s="10">
        <f t="shared" si="156"/>
        <v>-861.27649208522519</v>
      </c>
      <c r="BE182" s="10">
        <f t="shared" si="157"/>
        <v>-327.76811260794977</v>
      </c>
      <c r="BF182" s="10">
        <f t="shared" si="158"/>
        <v>-9.475073678948446</v>
      </c>
      <c r="BG182" s="10">
        <f t="shared" si="159"/>
        <v>-284.90329015653668</v>
      </c>
      <c r="BH182" s="10">
        <f t="shared" si="160"/>
        <v>-1483.42296852866</v>
      </c>
      <c r="BI182" s="10">
        <f t="shared" si="161"/>
        <v>-183.42296852865996</v>
      </c>
      <c r="BJ182" s="10">
        <f t="shared" si="162"/>
        <v>-117.34615384615384</v>
      </c>
      <c r="BK182" s="10">
        <f t="shared" si="163"/>
        <v>-1.8340120757326399</v>
      </c>
      <c r="BL182" s="10">
        <f t="shared" si="164"/>
        <v>-204.38016592188654</v>
      </c>
      <c r="BM182" s="10">
        <f t="shared" si="165"/>
        <v>-100.62555624563808</v>
      </c>
      <c r="BN182" s="10">
        <f t="shared" si="166"/>
        <v>35.479615384615379</v>
      </c>
      <c r="BO182" s="10">
        <f t="shared" si="167"/>
        <v>-452.94907531156917</v>
      </c>
      <c r="BP182" s="10">
        <f t="shared" si="168"/>
        <v>-197.81279412988778</v>
      </c>
      <c r="BQ182" s="10">
        <f t="shared" si="169"/>
        <v>-650.76186944145707</v>
      </c>
      <c r="BR182" s="10">
        <f t="shared" si="170"/>
        <v>158.58970090449989</v>
      </c>
      <c r="BS182" s="10">
        <f t="shared" si="171"/>
        <v>-294.35937440706931</v>
      </c>
    </row>
    <row r="183" spans="3:71" hidden="1">
      <c r="C183" s="29" t="s">
        <v>806</v>
      </c>
      <c r="D183" s="25" t="s">
        <v>834</v>
      </c>
      <c r="E183" s="98">
        <v>169</v>
      </c>
      <c r="F183" s="98">
        <v>46216</v>
      </c>
      <c r="G183" s="99">
        <v>26</v>
      </c>
      <c r="H183" s="27" t="s">
        <v>36</v>
      </c>
      <c r="I183" s="27" t="s">
        <v>799</v>
      </c>
      <c r="J183" s="7" t="s">
        <v>800</v>
      </c>
      <c r="K183" s="7" t="s">
        <v>863</v>
      </c>
      <c r="L183" s="7" t="s">
        <v>522</v>
      </c>
      <c r="M183" s="21" t="s">
        <v>524</v>
      </c>
      <c r="N183" s="7" t="s">
        <v>525</v>
      </c>
      <c r="O183" s="20">
        <v>2730</v>
      </c>
      <c r="P183" s="59">
        <v>70980</v>
      </c>
      <c r="Q183" s="20">
        <v>2597.2692307692309</v>
      </c>
      <c r="R183" s="30">
        <v>3451</v>
      </c>
      <c r="S183" s="32">
        <f t="shared" si="192"/>
        <v>67529</v>
      </c>
      <c r="T183" s="63">
        <v>1</v>
      </c>
      <c r="U183" s="57" t="s">
        <v>828</v>
      </c>
      <c r="V183" s="141">
        <v>92999135</v>
      </c>
      <c r="W183" s="60"/>
      <c r="X183" s="4"/>
      <c r="Y183" s="4" t="s">
        <v>867</v>
      </c>
      <c r="Z183" s="7">
        <v>10007567</v>
      </c>
      <c r="AA183" s="7"/>
      <c r="AB183" s="7"/>
      <c r="AC183" s="20">
        <f>AJ183</f>
        <v>1540.1636690456899</v>
      </c>
      <c r="AD183" s="44">
        <f>IFERROR(INDEX('Costos Producción Febrero'!$G$34:$G$57,MATCH(Resumen!Z183,'Costos Producción Febrero'!$B$34:$B$57,0))*AC183*G183,0)</f>
        <v>24730.634969895029</v>
      </c>
      <c r="AE183" s="44">
        <f>IFERROR(INDEX('Costos Producción Febrero'!$H$34:$H$57,MATCH(Resumen!Z183,'Costos Producción Febrero'!$B$34:$B$57,0))*AC183*G183,0)</f>
        <v>6665.0113723449358</v>
      </c>
      <c r="AF183" s="44">
        <f>IFERROR(INDEX('Costos Producción Febrero'!$I$34:$I$57,MATCH(Resumen!Z183,'Costos Producción Febrero'!$B$34:$B$57,0))*AC183*G183,0)</f>
        <v>432.21274059165916</v>
      </c>
      <c r="AG183" s="44">
        <f>IFERROR(INDEX('Costos Producción Febrero'!$J$34:$J$57,MATCH(Resumen!Z183,'Costos Producción Febrero'!$B$34:$B$57,0))*AC183*G183,0)</f>
        <v>8216.3963123563135</v>
      </c>
      <c r="AH183" s="44">
        <f t="shared" ref="AH183" si="232">SUM(AD183:AG183)</f>
        <v>40044.255395187938</v>
      </c>
      <c r="AI183" s="44"/>
      <c r="AJ183" s="44">
        <f>1.54016366904569*1000</f>
        <v>1540.1636690456899</v>
      </c>
      <c r="AK183" s="44"/>
      <c r="AL183" s="43">
        <f t="shared" si="213"/>
        <v>30935.744604812062</v>
      </c>
      <c r="AM183" s="92">
        <f t="shared" si="214"/>
        <v>0.43583748386604765</v>
      </c>
      <c r="AN183" s="42">
        <f t="shared" si="228"/>
        <v>3451</v>
      </c>
      <c r="AO183" s="42">
        <f t="shared" si="216"/>
        <v>2215.2000000000003</v>
      </c>
      <c r="AP183" s="42">
        <f t="shared" si="217"/>
        <v>47.684313969048638</v>
      </c>
      <c r="AQ183" s="42">
        <f t="shared" si="229"/>
        <v>5713.8843139690498</v>
      </c>
      <c r="AR183" s="42">
        <f t="shared" si="218"/>
        <v>2616.2644623865899</v>
      </c>
      <c r="AS183" s="42">
        <f t="shared" si="230"/>
        <v>2025.87</v>
      </c>
      <c r="AT183" s="43">
        <f t="shared" si="219"/>
        <v>24631.465828456421</v>
      </c>
      <c r="AU183" s="92">
        <f t="shared" si="220"/>
        <v>0.34701980597994392</v>
      </c>
      <c r="AV183" s="42">
        <f t="shared" si="221"/>
        <v>5143.1326473770823</v>
      </c>
      <c r="AW183" s="43">
        <f t="shared" si="222"/>
        <v>19488.333181079339</v>
      </c>
      <c r="AX183" s="92">
        <f t="shared" si="223"/>
        <v>0.27456090703126712</v>
      </c>
      <c r="AY183" s="42">
        <f t="shared" si="224"/>
        <v>4123.3322235169971</v>
      </c>
      <c r="AZ183" s="43">
        <f t="shared" si="225"/>
        <v>28754.798051973419</v>
      </c>
      <c r="BA183" s="92">
        <f t="shared" si="226"/>
        <v>0.4051112715127278</v>
      </c>
      <c r="BC183" s="10">
        <f t="shared" si="155"/>
        <v>2730</v>
      </c>
      <c r="BD183" s="10">
        <f t="shared" si="156"/>
        <v>-951.17826807288577</v>
      </c>
      <c r="BE183" s="10">
        <f t="shared" si="157"/>
        <v>-256.34659124403601</v>
      </c>
      <c r="BF183" s="10">
        <f t="shared" si="158"/>
        <v>-16.623566945833044</v>
      </c>
      <c r="BG183" s="10">
        <f t="shared" si="159"/>
        <v>-316.01524278293516</v>
      </c>
      <c r="BH183" s="10">
        <f t="shared" si="160"/>
        <v>-1540.1636690456899</v>
      </c>
      <c r="BI183" s="10">
        <f t="shared" si="161"/>
        <v>1189.8363309543101</v>
      </c>
      <c r="BJ183" s="10">
        <f t="shared" si="162"/>
        <v>-132.73076923076923</v>
      </c>
      <c r="BK183" s="10">
        <f t="shared" si="163"/>
        <v>-1.8340120757326399</v>
      </c>
      <c r="BL183" s="10">
        <f t="shared" si="164"/>
        <v>-219.7647813065019</v>
      </c>
      <c r="BM183" s="10">
        <f t="shared" si="165"/>
        <v>-100.62555624563808</v>
      </c>
      <c r="BN183" s="10">
        <f t="shared" si="166"/>
        <v>77.918076923076924</v>
      </c>
      <c r="BO183" s="10">
        <f t="shared" si="167"/>
        <v>947.36407032524698</v>
      </c>
      <c r="BP183" s="10">
        <f t="shared" si="168"/>
        <v>-197.81279412988778</v>
      </c>
      <c r="BQ183" s="10">
        <f t="shared" si="169"/>
        <v>749.55127619535915</v>
      </c>
      <c r="BR183" s="10">
        <f t="shared" si="170"/>
        <v>158.58970090449989</v>
      </c>
      <c r="BS183" s="10">
        <f t="shared" si="171"/>
        <v>1105.953771229747</v>
      </c>
    </row>
    <row r="184" spans="3:71" hidden="1">
      <c r="C184" s="29" t="s">
        <v>806</v>
      </c>
      <c r="D184" s="25" t="s">
        <v>835</v>
      </c>
      <c r="E184" s="98">
        <v>46205</v>
      </c>
      <c r="F184" s="98">
        <v>46222</v>
      </c>
      <c r="G184" s="99">
        <v>25.7</v>
      </c>
      <c r="H184" s="27" t="s">
        <v>31</v>
      </c>
      <c r="I184" s="27" t="s">
        <v>107</v>
      </c>
      <c r="J184" s="7" t="s">
        <v>296</v>
      </c>
      <c r="K184" s="7" t="s">
        <v>171</v>
      </c>
      <c r="L184" s="7" t="s">
        <v>243</v>
      </c>
      <c r="M184" s="21" t="s">
        <v>836</v>
      </c>
      <c r="N184" s="7" t="s">
        <v>837</v>
      </c>
      <c r="O184" s="20">
        <v>3000</v>
      </c>
      <c r="P184" s="59">
        <v>77100</v>
      </c>
      <c r="Q184" s="20">
        <v>2896.2962962962961</v>
      </c>
      <c r="R184" s="30">
        <v>2665.1851851851925</v>
      </c>
      <c r="S184" s="32">
        <f t="shared" si="192"/>
        <v>74434.814814814803</v>
      </c>
      <c r="T184" s="63">
        <v>1</v>
      </c>
      <c r="U184" s="57" t="s">
        <v>814</v>
      </c>
      <c r="V184" s="141">
        <v>6508142260</v>
      </c>
      <c r="W184" s="60"/>
      <c r="X184" s="4"/>
      <c r="Y184" s="4" t="s">
        <v>867</v>
      </c>
      <c r="Z184" s="7">
        <v>10007162</v>
      </c>
      <c r="AA184" s="7"/>
      <c r="AB184" s="7"/>
      <c r="AC184" s="20">
        <f t="shared" ref="AC184:AC185" si="233">AJ184</f>
        <v>1596.5588140091199</v>
      </c>
      <c r="AD184" s="44">
        <f>IFERROR(INDEX('Costos Producción Febrero'!$G$34:$G$57,MATCH(Resumen!Z184,'Costos Producción Febrero'!$B$34:$B$57,0))*AC184*G184,0)</f>
        <v>25158.528694513439</v>
      </c>
      <c r="AE184" s="44">
        <f>IFERROR(INDEX('Costos Producción Febrero'!$H$34:$H$57,MATCH(Resumen!Z184,'Costos Producción Febrero'!$B$34:$B$57,0))*AC184*G184,0)</f>
        <v>7143.0080147569024</v>
      </c>
      <c r="AF184" s="44">
        <f>IFERROR(INDEX('Costos Producción Febrero'!$I$34:$I$57,MATCH(Resumen!Z184,'Costos Producción Febrero'!$B$34:$B$57,0))*AC184*G184,0)</f>
        <v>380.38678656297935</v>
      </c>
      <c r="AG184" s="44">
        <f>IFERROR(INDEX('Costos Producción Febrero'!$J$34:$J$57,MATCH(Resumen!Z184,'Costos Producción Febrero'!$B$34:$B$57,0))*AC184*G184,0)</f>
        <v>8349.6380242010582</v>
      </c>
      <c r="AH184" s="44">
        <f t="shared" ref="AH184:AH185" si="234">SUM(AD184:AG184)</f>
        <v>41031.561520034382</v>
      </c>
      <c r="AI184" s="44"/>
      <c r="AJ184" s="44">
        <f>1.59655881400912*1000</f>
        <v>1596.5588140091199</v>
      </c>
      <c r="AK184" s="44"/>
      <c r="AL184" s="43">
        <f t="shared" si="213"/>
        <v>36068.438479965618</v>
      </c>
      <c r="AM184" s="92">
        <f t="shared" si="214"/>
        <v>0.46781372866362669</v>
      </c>
      <c r="AN184" s="42">
        <f t="shared" si="228"/>
        <v>2665.1851851851925</v>
      </c>
      <c r="AO184" s="42">
        <f t="shared" si="216"/>
        <v>2189.64</v>
      </c>
      <c r="AP184" s="42">
        <f t="shared" si="217"/>
        <v>47.134110346328846</v>
      </c>
      <c r="AQ184" s="42">
        <f t="shared" si="229"/>
        <v>4901.959295531522</v>
      </c>
      <c r="AR184" s="42">
        <f t="shared" si="218"/>
        <v>2586.0767955128986</v>
      </c>
      <c r="AS184" s="42">
        <f t="shared" si="230"/>
        <v>2233.0444444444438</v>
      </c>
      <c r="AT184" s="43">
        <f t="shared" si="219"/>
        <v>30813.44683336564</v>
      </c>
      <c r="AU184" s="92">
        <f t="shared" si="220"/>
        <v>0.39965560095156472</v>
      </c>
      <c r="AV184" s="42">
        <f t="shared" si="221"/>
        <v>5083.7888091381155</v>
      </c>
      <c r="AW184" s="43">
        <f t="shared" si="222"/>
        <v>25729.658024227523</v>
      </c>
      <c r="AX184" s="92">
        <f t="shared" si="223"/>
        <v>0.33371800290826881</v>
      </c>
      <c r="AY184" s="42">
        <f t="shared" si="224"/>
        <v>4075.7553132456469</v>
      </c>
      <c r="AZ184" s="43">
        <f t="shared" si="225"/>
        <v>34889.202146611286</v>
      </c>
      <c r="BA184" s="92">
        <f t="shared" si="226"/>
        <v>0.45251883458639802</v>
      </c>
      <c r="BC184" s="10">
        <f t="shared" si="155"/>
        <v>3000</v>
      </c>
      <c r="BD184" s="10">
        <f t="shared" si="156"/>
        <v>-978.93107760752684</v>
      </c>
      <c r="BE184" s="10">
        <f t="shared" si="157"/>
        <v>-277.93805504890673</v>
      </c>
      <c r="BF184" s="10">
        <f t="shared" si="158"/>
        <v>-14.801042278715149</v>
      </c>
      <c r="BG184" s="10">
        <f t="shared" si="159"/>
        <v>-324.88863907397115</v>
      </c>
      <c r="BH184" s="10">
        <f t="shared" si="160"/>
        <v>-1596.5588140091199</v>
      </c>
      <c r="BI184" s="10">
        <f t="shared" si="161"/>
        <v>1403.4411859908801</v>
      </c>
      <c r="BJ184" s="10">
        <f t="shared" si="162"/>
        <v>-103.70370370370399</v>
      </c>
      <c r="BK184" s="10">
        <f t="shared" si="163"/>
        <v>-1.8340120757326399</v>
      </c>
      <c r="BL184" s="10">
        <f t="shared" si="164"/>
        <v>-190.73771577943666</v>
      </c>
      <c r="BM184" s="10">
        <f t="shared" si="165"/>
        <v>-100.62555624563808</v>
      </c>
      <c r="BN184" s="10">
        <f t="shared" si="166"/>
        <v>86.888888888888872</v>
      </c>
      <c r="BO184" s="10">
        <f t="shared" si="167"/>
        <v>1198.9668028546942</v>
      </c>
      <c r="BP184" s="10">
        <f t="shared" si="168"/>
        <v>-197.81279412988778</v>
      </c>
      <c r="BQ184" s="10">
        <f t="shared" si="169"/>
        <v>1001.1540087248064</v>
      </c>
      <c r="BR184" s="10">
        <f t="shared" si="170"/>
        <v>158.58970090449989</v>
      </c>
      <c r="BS184" s="10">
        <f t="shared" si="171"/>
        <v>1357.5565037591941</v>
      </c>
    </row>
    <row r="185" spans="3:71" hidden="1">
      <c r="C185" s="29" t="s">
        <v>806</v>
      </c>
      <c r="D185" s="25" t="s">
        <v>835</v>
      </c>
      <c r="E185" s="98">
        <v>46205</v>
      </c>
      <c r="F185" s="98">
        <v>46222</v>
      </c>
      <c r="G185" s="99">
        <v>1.3</v>
      </c>
      <c r="H185" s="27" t="s">
        <v>31</v>
      </c>
      <c r="I185" s="27" t="s">
        <v>107</v>
      </c>
      <c r="J185" s="153" t="s">
        <v>287</v>
      </c>
      <c r="K185" s="7" t="s">
        <v>171</v>
      </c>
      <c r="L185" s="7" t="s">
        <v>243</v>
      </c>
      <c r="M185" s="21" t="s">
        <v>836</v>
      </c>
      <c r="N185" s="7" t="s">
        <v>837</v>
      </c>
      <c r="O185" s="261">
        <v>2700</v>
      </c>
      <c r="P185" s="59">
        <v>3510</v>
      </c>
      <c r="Q185" s="20">
        <v>2596.2962962962961</v>
      </c>
      <c r="R185" s="30">
        <v>134.81481481481521</v>
      </c>
      <c r="S185" s="32">
        <f t="shared" si="192"/>
        <v>3375.1851851851848</v>
      </c>
      <c r="T185" s="63">
        <v>0</v>
      </c>
      <c r="U185" s="57" t="s">
        <v>814</v>
      </c>
      <c r="V185" s="141">
        <v>6508142260</v>
      </c>
      <c r="W185" s="60"/>
      <c r="X185" s="4"/>
      <c r="Y185" s="4" t="s">
        <v>867</v>
      </c>
      <c r="Z185" s="7">
        <v>10007162</v>
      </c>
      <c r="AA185" s="7"/>
      <c r="AB185" s="7"/>
      <c r="AC185" s="20">
        <f t="shared" si="233"/>
        <v>1596.5588140091199</v>
      </c>
      <c r="AD185" s="44">
        <f>IFERROR(INDEX('Costos Producción Febrero'!$G$34:$G$57,MATCH(Resumen!Z185,'Costos Producción Febrero'!$B$34:$B$57,0))*AC185*G185,0)</f>
        <v>1272.6104008897848</v>
      </c>
      <c r="AE185" s="44">
        <f>IFERROR(INDEX('Costos Producción Febrero'!$H$34:$H$57,MATCH(Resumen!Z185,'Costos Producción Febrero'!$B$34:$B$57,0))*AC185*G185,0)</f>
        <v>361.31947156357876</v>
      </c>
      <c r="AF185" s="44">
        <f>IFERROR(INDEX('Costos Producción Febrero'!$I$34:$I$57,MATCH(Resumen!Z185,'Costos Producción Febrero'!$B$34:$B$57,0))*AC185*G185,0)</f>
        <v>19.241354962329694</v>
      </c>
      <c r="AG185" s="44">
        <f>IFERROR(INDEX('Costos Producción Febrero'!$J$34:$J$57,MATCH(Resumen!Z185,'Costos Producción Febrero'!$B$34:$B$57,0))*AC185*G185,0)</f>
        <v>422.35523079616252</v>
      </c>
      <c r="AH185" s="44">
        <f t="shared" si="234"/>
        <v>2075.5264582118562</v>
      </c>
      <c r="AI185" s="44"/>
      <c r="AJ185" s="44">
        <f>1.59655881400912*1000</f>
        <v>1596.5588140091199</v>
      </c>
      <c r="AK185" s="44"/>
      <c r="AL185" s="43">
        <f t="shared" si="213"/>
        <v>1434.4735417881438</v>
      </c>
      <c r="AM185" s="92">
        <f t="shared" si="214"/>
        <v>0.40868192073736292</v>
      </c>
      <c r="AN185" s="42">
        <f t="shared" si="228"/>
        <v>134.81481481481521</v>
      </c>
      <c r="AO185" s="42">
        <f t="shared" si="216"/>
        <v>110.76</v>
      </c>
      <c r="AP185" s="42">
        <f t="shared" si="217"/>
        <v>2.3842156984524321</v>
      </c>
      <c r="AQ185" s="42">
        <f t="shared" si="229"/>
        <v>247.95903051326766</v>
      </c>
      <c r="AR185" s="42">
        <f t="shared" si="218"/>
        <v>130.81322311932951</v>
      </c>
      <c r="AS185" s="42">
        <f t="shared" si="230"/>
        <v>101.25555555555555</v>
      </c>
      <c r="AT185" s="43">
        <f t="shared" si="219"/>
        <v>1156.9568437111022</v>
      </c>
      <c r="AU185" s="92">
        <f t="shared" si="220"/>
        <v>0.3296173343906274</v>
      </c>
      <c r="AV185" s="42">
        <f t="shared" si="221"/>
        <v>257.1566323688541</v>
      </c>
      <c r="AW185" s="43">
        <f t="shared" si="222"/>
        <v>899.80021134224808</v>
      </c>
      <c r="AX185" s="92">
        <f t="shared" si="223"/>
        <v>0.25635333656474302</v>
      </c>
      <c r="AY185" s="42">
        <f t="shared" si="224"/>
        <v>206.16661117584988</v>
      </c>
      <c r="AZ185" s="43">
        <f t="shared" si="225"/>
        <v>1363.123454886952</v>
      </c>
      <c r="BA185" s="92">
        <f t="shared" si="226"/>
        <v>0.38835426065155326</v>
      </c>
      <c r="BC185" s="10">
        <f t="shared" si="155"/>
        <v>2700</v>
      </c>
      <c r="BD185" s="10">
        <f t="shared" si="156"/>
        <v>-978.93107760752673</v>
      </c>
      <c r="BE185" s="10">
        <f t="shared" si="157"/>
        <v>-277.93805504890673</v>
      </c>
      <c r="BF185" s="10">
        <f t="shared" si="158"/>
        <v>-14.801042278715149</v>
      </c>
      <c r="BG185" s="10">
        <f t="shared" si="159"/>
        <v>-324.88863907397115</v>
      </c>
      <c r="BH185" s="10">
        <f t="shared" si="160"/>
        <v>-1596.5588140091202</v>
      </c>
      <c r="BI185" s="10">
        <f t="shared" si="161"/>
        <v>1103.4411859908798</v>
      </c>
      <c r="BJ185" s="10">
        <f t="shared" si="162"/>
        <v>-103.70370370370401</v>
      </c>
      <c r="BK185" s="10">
        <f t="shared" si="163"/>
        <v>-1.8340120757326399</v>
      </c>
      <c r="BL185" s="10">
        <f t="shared" si="164"/>
        <v>-190.73771577943666</v>
      </c>
      <c r="BM185" s="10">
        <f t="shared" si="165"/>
        <v>-100.62555624563808</v>
      </c>
      <c r="BN185" s="10">
        <f t="shared" si="166"/>
        <v>77.888888888888886</v>
      </c>
      <c r="BO185" s="10">
        <f t="shared" si="167"/>
        <v>889.96680285469404</v>
      </c>
      <c r="BP185" s="10">
        <f t="shared" si="168"/>
        <v>-197.81279412988778</v>
      </c>
      <c r="BQ185" s="10">
        <f t="shared" si="169"/>
        <v>692.1540087248062</v>
      </c>
      <c r="BR185" s="10">
        <f t="shared" si="170"/>
        <v>158.58970090449989</v>
      </c>
      <c r="BS185" s="10">
        <f t="shared" si="171"/>
        <v>1048.5565037591939</v>
      </c>
    </row>
    <row r="186" spans="3:71" hidden="1">
      <c r="C186" s="29" t="s">
        <v>806</v>
      </c>
      <c r="D186" s="25" t="s">
        <v>838</v>
      </c>
      <c r="E186" s="98">
        <v>46208</v>
      </c>
      <c r="F186" s="98">
        <v>46215</v>
      </c>
      <c r="G186" s="99">
        <v>54</v>
      </c>
      <c r="H186" s="27" t="s">
        <v>37</v>
      </c>
      <c r="I186" s="27" t="s">
        <v>126</v>
      </c>
      <c r="J186" s="7" t="s">
        <v>839</v>
      </c>
      <c r="K186" s="7" t="s">
        <v>171</v>
      </c>
      <c r="L186" s="7" t="s">
        <v>243</v>
      </c>
      <c r="M186" s="21" t="s">
        <v>45</v>
      </c>
      <c r="N186" s="7" t="s">
        <v>191</v>
      </c>
      <c r="O186" s="20">
        <v>1600</v>
      </c>
      <c r="P186" s="59">
        <v>86400</v>
      </c>
      <c r="Q186" s="20">
        <v>1496.2962962962963</v>
      </c>
      <c r="R186" s="30">
        <v>5600</v>
      </c>
      <c r="S186" s="32">
        <f t="shared" si="192"/>
        <v>80800</v>
      </c>
      <c r="T186" s="63">
        <v>2</v>
      </c>
      <c r="U186" s="57" t="s">
        <v>840</v>
      </c>
      <c r="V186" s="141">
        <v>6507254090</v>
      </c>
      <c r="W186" s="60"/>
      <c r="X186" s="4"/>
      <c r="Y186" s="4" t="s">
        <v>866</v>
      </c>
      <c r="Z186" s="7">
        <v>10007969</v>
      </c>
      <c r="AA186" s="7"/>
      <c r="AB186" s="7"/>
      <c r="AC186" s="20">
        <f>AJ186</f>
        <v>1233.0367002593</v>
      </c>
      <c r="AD186" s="44">
        <f>IFERROR(INDEX('Costos Producción Febrero'!$G$34:$G$57,MATCH(Resumen!Z186,'Costos Producción Febrero'!$B$34:$B$57,0))*AC186*G186,0)</f>
        <v>56403.073435960403</v>
      </c>
      <c r="AE186" s="44">
        <f>IFERROR(INDEX('Costos Producción Febrero'!$H$34:$H$57,MATCH(Resumen!Z186,'Costos Producción Febrero'!$B$34:$B$57,0))*AC186*G186,0)</f>
        <v>11326.823838679245</v>
      </c>
      <c r="AF186" s="44">
        <f>IFERROR(INDEX('Costos Producción Febrero'!$I$34:$I$57,MATCH(Resumen!Z186,'Costos Producción Febrero'!$B$34:$B$57,0))*AC186*G186,0)</f>
        <v>871.58520801789348</v>
      </c>
      <c r="AG186" s="44">
        <f>IFERROR(INDEX('Costos Producción Febrero'!$J$34:$J$57,MATCH(Resumen!Z186,'Costos Producción Febrero'!$B$34:$B$57,0))*AC186*G186,0)</f>
        <v>-2017.50066865535</v>
      </c>
      <c r="AH186" s="44">
        <f t="shared" ref="AH186:AH187" si="235">SUM(AD186:AG186)</f>
        <v>66583.981814002182</v>
      </c>
      <c r="AI186" s="44"/>
      <c r="AJ186" s="44">
        <f>1.2330367002593*1000</f>
        <v>1233.0367002593</v>
      </c>
      <c r="AK186" s="44"/>
      <c r="AL186" s="43">
        <f t="shared" si="213"/>
        <v>19816.018185997818</v>
      </c>
      <c r="AM186" s="92">
        <f t="shared" si="214"/>
        <v>0.2293520623379377</v>
      </c>
      <c r="AN186" s="42">
        <f t="shared" si="228"/>
        <v>5600</v>
      </c>
      <c r="AO186" s="42">
        <f t="shared" si="216"/>
        <v>4600.8</v>
      </c>
      <c r="AP186" s="42">
        <f t="shared" si="217"/>
        <v>99.036652089562551</v>
      </c>
      <c r="AQ186" s="42">
        <f t="shared" si="229"/>
        <v>10299.836652089562</v>
      </c>
      <c r="AR186" s="42">
        <f t="shared" si="218"/>
        <v>5433.780037264456</v>
      </c>
      <c r="AS186" s="42">
        <f t="shared" si="230"/>
        <v>2424</v>
      </c>
      <c r="AT186" s="43">
        <f t="shared" si="219"/>
        <v>6506.4014966438008</v>
      </c>
      <c r="AU186" s="92">
        <f t="shared" si="220"/>
        <v>7.5305572877821775E-2</v>
      </c>
      <c r="AV186" s="42">
        <f t="shared" si="221"/>
        <v>10681.890883013941</v>
      </c>
      <c r="AW186" s="43">
        <f t="shared" si="222"/>
        <v>-4175.48938637014</v>
      </c>
      <c r="AX186" s="92">
        <f t="shared" si="223"/>
        <v>-4.8327423453358102E-2</v>
      </c>
      <c r="AY186" s="42">
        <f t="shared" si="224"/>
        <v>8563.8438488429947</v>
      </c>
      <c r="AZ186" s="43">
        <f t="shared" si="225"/>
        <v>15070.245345486795</v>
      </c>
      <c r="BA186" s="92">
        <f t="shared" si="226"/>
        <v>0.17442413594313422</v>
      </c>
      <c r="BC186" s="10">
        <f t="shared" si="155"/>
        <v>1600</v>
      </c>
      <c r="BD186" s="10">
        <f t="shared" si="156"/>
        <v>-1044.5013599251927</v>
      </c>
      <c r="BE186" s="10">
        <f t="shared" si="157"/>
        <v>-209.75599701257863</v>
      </c>
      <c r="BF186" s="10">
        <f t="shared" si="158"/>
        <v>-16.140466815146176</v>
      </c>
      <c r="BG186" s="10">
        <f t="shared" si="159"/>
        <v>37.36112349361759</v>
      </c>
      <c r="BH186" s="10">
        <f t="shared" si="160"/>
        <v>-1233.0367002592996</v>
      </c>
      <c r="BI186" s="10">
        <f t="shared" si="161"/>
        <v>366.96329974070034</v>
      </c>
      <c r="BJ186" s="10">
        <f t="shared" si="162"/>
        <v>-103.70370370370371</v>
      </c>
      <c r="BK186" s="10">
        <f t="shared" si="163"/>
        <v>-1.8340120757326399</v>
      </c>
      <c r="BL186" s="10">
        <f t="shared" si="164"/>
        <v>-190.73771577943631</v>
      </c>
      <c r="BM186" s="10">
        <f t="shared" si="165"/>
        <v>-100.62555624563808</v>
      </c>
      <c r="BN186" s="10">
        <f t="shared" si="166"/>
        <v>44.888888888888886</v>
      </c>
      <c r="BO186" s="10">
        <f t="shared" si="167"/>
        <v>120.48891660451483</v>
      </c>
      <c r="BP186" s="10">
        <f t="shared" si="168"/>
        <v>-197.81279412988781</v>
      </c>
      <c r="BQ186" s="10">
        <f t="shared" si="169"/>
        <v>-77.323877525372964</v>
      </c>
      <c r="BR186" s="10">
        <f t="shared" si="170"/>
        <v>158.58970090449989</v>
      </c>
      <c r="BS186" s="10">
        <f t="shared" si="171"/>
        <v>279.07861750901475</v>
      </c>
    </row>
    <row r="187" spans="3:71" hidden="1">
      <c r="C187" s="29" t="s">
        <v>806</v>
      </c>
      <c r="D187" s="25" t="s">
        <v>838</v>
      </c>
      <c r="E187" s="98">
        <v>46208</v>
      </c>
      <c r="F187" s="98">
        <v>46215</v>
      </c>
      <c r="G187" s="99">
        <v>108</v>
      </c>
      <c r="H187" s="27" t="s">
        <v>31</v>
      </c>
      <c r="I187" s="27" t="s">
        <v>107</v>
      </c>
      <c r="J187" s="153" t="s">
        <v>287</v>
      </c>
      <c r="K187" s="7" t="s">
        <v>171</v>
      </c>
      <c r="L187" s="7" t="s">
        <v>243</v>
      </c>
      <c r="M187" s="21" t="s">
        <v>45</v>
      </c>
      <c r="N187" s="7" t="s">
        <v>191</v>
      </c>
      <c r="O187" s="261">
        <v>2550</v>
      </c>
      <c r="P187" s="59">
        <v>275400</v>
      </c>
      <c r="Q187" s="20">
        <v>2446.2962962962961</v>
      </c>
      <c r="R187" s="30">
        <v>11200</v>
      </c>
      <c r="S187" s="32">
        <f t="shared" si="192"/>
        <v>264200</v>
      </c>
      <c r="T187" s="63">
        <v>4</v>
      </c>
      <c r="U187" s="57" t="s">
        <v>840</v>
      </c>
      <c r="V187" s="141">
        <v>6507254090</v>
      </c>
      <c r="W187" s="60"/>
      <c r="X187" s="4"/>
      <c r="Y187" s="4" t="s">
        <v>867</v>
      </c>
      <c r="Z187" s="7">
        <v>10007162</v>
      </c>
      <c r="AA187" s="7"/>
      <c r="AB187" s="7"/>
      <c r="AC187" s="20">
        <f>AJ187</f>
        <v>1596.5588140091199</v>
      </c>
      <c r="AD187" s="44">
        <f>IFERROR(INDEX('Costos Producción Febrero'!$G$34:$G$57,MATCH(Resumen!Z187,'Costos Producción Febrero'!$B$34:$B$57,0))*AC187*G187,0)</f>
        <v>105724.5563816129</v>
      </c>
      <c r="AE187" s="44">
        <f>IFERROR(INDEX('Costos Producción Febrero'!$H$34:$H$57,MATCH(Resumen!Z187,'Costos Producción Febrero'!$B$34:$B$57,0))*AC187*G187,0)</f>
        <v>30017.309945281926</v>
      </c>
      <c r="AF187" s="44">
        <f>IFERROR(INDEX('Costos Producción Febrero'!$I$34:$I$57,MATCH(Resumen!Z187,'Costos Producción Febrero'!$B$34:$B$57,0))*AC187*G187,0)</f>
        <v>1598.5125661012362</v>
      </c>
      <c r="AG187" s="44">
        <f>IFERROR(INDEX('Costos Producción Febrero'!$J$34:$J$57,MATCH(Resumen!Z187,'Costos Producción Febrero'!$B$34:$B$57,0))*AC187*G187,0)</f>
        <v>35087.973019988887</v>
      </c>
      <c r="AH187" s="44">
        <f t="shared" si="235"/>
        <v>172428.35191298494</v>
      </c>
      <c r="AI187" s="44"/>
      <c r="AJ187" s="44">
        <f>1.59655881400912*1000</f>
        <v>1596.5588140091199</v>
      </c>
      <c r="AK187" s="44"/>
      <c r="AL187" s="43">
        <f t="shared" si="213"/>
        <v>102971.64808701506</v>
      </c>
      <c r="AM187" s="92">
        <f t="shared" si="214"/>
        <v>0.37389850431014909</v>
      </c>
      <c r="AN187" s="42">
        <f t="shared" si="228"/>
        <v>11200</v>
      </c>
      <c r="AO187" s="42">
        <f t="shared" si="216"/>
        <v>9201.6</v>
      </c>
      <c r="AP187" s="42">
        <f t="shared" si="217"/>
        <v>198.0733041791251</v>
      </c>
      <c r="AQ187" s="42">
        <f t="shared" si="229"/>
        <v>20599.673304179123</v>
      </c>
      <c r="AR187" s="42">
        <f t="shared" si="218"/>
        <v>10867.560074528912</v>
      </c>
      <c r="AS187" s="42">
        <f t="shared" si="230"/>
        <v>7926</v>
      </c>
      <c r="AT187" s="43">
        <f t="shared" si="219"/>
        <v>79430.414708307013</v>
      </c>
      <c r="AU187" s="92">
        <f t="shared" si="220"/>
        <v>0.28841835406066452</v>
      </c>
      <c r="AV187" s="42">
        <f t="shared" si="221"/>
        <v>21363.781766027882</v>
      </c>
      <c r="AW187" s="43">
        <f t="shared" si="222"/>
        <v>58066.632942279131</v>
      </c>
      <c r="AX187" s="92">
        <f t="shared" si="223"/>
        <v>0.2108447093038458</v>
      </c>
      <c r="AY187" s="42">
        <f t="shared" si="224"/>
        <v>17127.687697685989</v>
      </c>
      <c r="AZ187" s="43">
        <f t="shared" si="225"/>
        <v>96558.102405993006</v>
      </c>
      <c r="BA187" s="92">
        <f t="shared" si="226"/>
        <v>0.35061039363105667</v>
      </c>
      <c r="BC187" s="10">
        <f t="shared" si="155"/>
        <v>2550</v>
      </c>
      <c r="BD187" s="10">
        <f t="shared" si="156"/>
        <v>-978.93107760752684</v>
      </c>
      <c r="BE187" s="10">
        <f t="shared" si="157"/>
        <v>-277.93805504890673</v>
      </c>
      <c r="BF187" s="10">
        <f t="shared" si="158"/>
        <v>-14.801042278715149</v>
      </c>
      <c r="BG187" s="10">
        <f t="shared" si="159"/>
        <v>-324.88863907397121</v>
      </c>
      <c r="BH187" s="10">
        <f t="shared" si="160"/>
        <v>-1596.5588140091199</v>
      </c>
      <c r="BI187" s="10">
        <f t="shared" si="161"/>
        <v>953.44118599088017</v>
      </c>
      <c r="BJ187" s="10">
        <f t="shared" si="162"/>
        <v>-103.70370370370371</v>
      </c>
      <c r="BK187" s="10">
        <f t="shared" si="163"/>
        <v>-1.8340120757326399</v>
      </c>
      <c r="BL187" s="10">
        <f t="shared" si="164"/>
        <v>-190.73771577943631</v>
      </c>
      <c r="BM187" s="10">
        <f t="shared" si="165"/>
        <v>-100.62555624563808</v>
      </c>
      <c r="BN187" s="10">
        <f t="shared" si="166"/>
        <v>73.388888888888886</v>
      </c>
      <c r="BO187" s="10">
        <f t="shared" si="167"/>
        <v>735.46680285469461</v>
      </c>
      <c r="BP187" s="10">
        <f t="shared" si="168"/>
        <v>-197.81279412988781</v>
      </c>
      <c r="BQ187" s="10">
        <f t="shared" si="169"/>
        <v>537.65400872480677</v>
      </c>
      <c r="BR187" s="10">
        <f t="shared" si="170"/>
        <v>158.58970090449989</v>
      </c>
      <c r="BS187" s="10">
        <f t="shared" si="171"/>
        <v>894.05650375919447</v>
      </c>
    </row>
    <row r="188" spans="3:71" hidden="1">
      <c r="C188" s="29" t="s">
        <v>806</v>
      </c>
      <c r="D188" s="25" t="s">
        <v>838</v>
      </c>
      <c r="E188" s="98">
        <v>46208</v>
      </c>
      <c r="F188" s="98">
        <v>46215</v>
      </c>
      <c r="G188" s="99">
        <v>54</v>
      </c>
      <c r="H188" s="27" t="s">
        <v>32</v>
      </c>
      <c r="I188" s="27" t="s">
        <v>841</v>
      </c>
      <c r="J188" s="7" t="s">
        <v>842</v>
      </c>
      <c r="K188" s="7" t="s">
        <v>171</v>
      </c>
      <c r="L188" s="7" t="s">
        <v>243</v>
      </c>
      <c r="M188" s="21" t="s">
        <v>45</v>
      </c>
      <c r="N188" s="7" t="s">
        <v>191</v>
      </c>
      <c r="O188" s="20">
        <v>1750</v>
      </c>
      <c r="P188" s="59">
        <v>94500</v>
      </c>
      <c r="Q188" s="20">
        <v>1646.2962962962963</v>
      </c>
      <c r="R188" s="30">
        <v>5600</v>
      </c>
      <c r="S188" s="32">
        <f t="shared" si="192"/>
        <v>88900</v>
      </c>
      <c r="T188" s="63">
        <v>2</v>
      </c>
      <c r="U188" s="57" t="s">
        <v>840</v>
      </c>
      <c r="V188" s="141">
        <v>6507254090</v>
      </c>
      <c r="W188" s="60"/>
      <c r="X188" s="4"/>
      <c r="Y188" s="4" t="s">
        <v>867</v>
      </c>
      <c r="Z188" s="7">
        <v>10006720</v>
      </c>
      <c r="AA188" s="7"/>
      <c r="AB188" s="7"/>
      <c r="AC188" s="20">
        <f>AJ188</f>
        <v>1731.9701269990101</v>
      </c>
      <c r="AD188" s="44">
        <f>IFERROR(INDEX('Costos Producción Febrero'!$G$34:$G$57,MATCH(Resumen!Z188,'Costos Producción Febrero'!$B$34:$B$57,0))*AC188*G188,0)</f>
        <v>60015.231057246201</v>
      </c>
      <c r="AE188" s="44">
        <f>IFERROR(INDEX('Costos Producción Febrero'!$H$34:$H$57,MATCH(Resumen!Z188,'Costos Producción Febrero'!$B$34:$B$57,0))*AC188*G188,0)</f>
        <v>12623.441953785896</v>
      </c>
      <c r="AF188" s="44">
        <f>IFERROR(INDEX('Costos Producción Febrero'!$I$34:$I$57,MATCH(Resumen!Z188,'Costos Producción Febrero'!$B$34:$B$57,0))*AC188*G188,0)</f>
        <v>873.89662151372545</v>
      </c>
      <c r="AG188" s="44">
        <f>IFERROR(INDEX('Costos Producción Febrero'!$J$34:$J$57,MATCH(Resumen!Z188,'Costos Producción Febrero'!$B$34:$B$57,0))*AC188*G188,0)</f>
        <v>20013.817225400722</v>
      </c>
      <c r="AH188" s="44">
        <f t="shared" ref="AH188:AH189" si="236">SUM(AD188:AG188)</f>
        <v>93526.386857946534</v>
      </c>
      <c r="AI188" s="44"/>
      <c r="AJ188" s="44">
        <f>1.73197012699901*1000</f>
        <v>1731.9701269990101</v>
      </c>
      <c r="AK188" s="44"/>
      <c r="AL188" s="43">
        <f t="shared" si="213"/>
        <v>973.61314205346571</v>
      </c>
      <c r="AM188" s="92">
        <f t="shared" si="214"/>
        <v>1.0302784571994347E-2</v>
      </c>
      <c r="AN188" s="42">
        <f t="shared" si="228"/>
        <v>5600</v>
      </c>
      <c r="AO188" s="42">
        <f t="shared" si="216"/>
        <v>4600.8</v>
      </c>
      <c r="AP188" s="42">
        <f t="shared" si="217"/>
        <v>99.036652089562551</v>
      </c>
      <c r="AQ188" s="42">
        <f t="shared" si="229"/>
        <v>10299.836652089562</v>
      </c>
      <c r="AR188" s="42">
        <f t="shared" si="218"/>
        <v>5433.780037264456</v>
      </c>
      <c r="AS188" s="42">
        <f t="shared" si="230"/>
        <v>2667</v>
      </c>
      <c r="AT188" s="43">
        <f t="shared" si="219"/>
        <v>-12093.003547300552</v>
      </c>
      <c r="AU188" s="92">
        <f t="shared" si="220"/>
        <v>-0.12796829150582595</v>
      </c>
      <c r="AV188" s="42">
        <f t="shared" si="221"/>
        <v>10681.890883013941</v>
      </c>
      <c r="AW188" s="43">
        <f t="shared" si="222"/>
        <v>-22774.894430314493</v>
      </c>
      <c r="AX188" s="92">
        <f t="shared" si="223"/>
        <v>-0.24100417386576184</v>
      </c>
      <c r="AY188" s="42">
        <f t="shared" si="224"/>
        <v>8563.8438488429947</v>
      </c>
      <c r="AZ188" s="43">
        <f t="shared" si="225"/>
        <v>-3529.1596984575572</v>
      </c>
      <c r="BA188" s="92">
        <f t="shared" si="226"/>
        <v>-3.7345605274683141E-2</v>
      </c>
      <c r="BC188" s="10">
        <f t="shared" si="155"/>
        <v>1750</v>
      </c>
      <c r="BD188" s="10">
        <f t="shared" si="156"/>
        <v>-1111.3931677267815</v>
      </c>
      <c r="BE188" s="10">
        <f t="shared" si="157"/>
        <v>-233.76744358862769</v>
      </c>
      <c r="BF188" s="10">
        <f t="shared" si="158"/>
        <v>-16.183270768772694</v>
      </c>
      <c r="BG188" s="10">
        <f t="shared" si="159"/>
        <v>-370.62624491482819</v>
      </c>
      <c r="BH188" s="10">
        <f t="shared" si="160"/>
        <v>-1731.9701269990098</v>
      </c>
      <c r="BI188" s="10">
        <f t="shared" si="161"/>
        <v>18.029873000990104</v>
      </c>
      <c r="BJ188" s="10">
        <f t="shared" si="162"/>
        <v>-103.70370370370371</v>
      </c>
      <c r="BK188" s="10">
        <f t="shared" si="163"/>
        <v>-1.8340120757326399</v>
      </c>
      <c r="BL188" s="10">
        <f t="shared" si="164"/>
        <v>-190.73771577943631</v>
      </c>
      <c r="BM188" s="10">
        <f t="shared" si="165"/>
        <v>-100.62555624563808</v>
      </c>
      <c r="BN188" s="10">
        <f t="shared" si="166"/>
        <v>49.388888888888886</v>
      </c>
      <c r="BO188" s="10">
        <f t="shared" si="167"/>
        <v>-223.9445101351954</v>
      </c>
      <c r="BP188" s="10">
        <f t="shared" si="168"/>
        <v>-197.81279412988781</v>
      </c>
      <c r="BQ188" s="10">
        <f t="shared" si="169"/>
        <v>-421.75730426508318</v>
      </c>
      <c r="BR188" s="10">
        <f t="shared" si="170"/>
        <v>158.58970090449989</v>
      </c>
      <c r="BS188" s="10">
        <f t="shared" si="171"/>
        <v>-65.354809230695508</v>
      </c>
    </row>
    <row r="189" spans="3:71" hidden="1">
      <c r="C189" s="29" t="s">
        <v>806</v>
      </c>
      <c r="D189" s="25" t="s">
        <v>843</v>
      </c>
      <c r="E189" s="98">
        <v>46208</v>
      </c>
      <c r="F189" s="98">
        <v>46215</v>
      </c>
      <c r="G189" s="99">
        <v>54</v>
      </c>
      <c r="H189" s="27" t="s">
        <v>39</v>
      </c>
      <c r="I189" s="27" t="s">
        <v>844</v>
      </c>
      <c r="J189" s="7"/>
      <c r="K189" s="7" t="s">
        <v>171</v>
      </c>
      <c r="L189" s="7" t="s">
        <v>845</v>
      </c>
      <c r="M189" s="21" t="s">
        <v>45</v>
      </c>
      <c r="N189" s="7" t="s">
        <v>191</v>
      </c>
      <c r="O189" s="20">
        <v>1600</v>
      </c>
      <c r="P189" s="59">
        <v>86400</v>
      </c>
      <c r="Q189" s="20">
        <v>1496.2962962962963</v>
      </c>
      <c r="R189" s="30">
        <v>5600</v>
      </c>
      <c r="S189" s="32">
        <f t="shared" si="192"/>
        <v>80800</v>
      </c>
      <c r="T189" s="63">
        <v>2</v>
      </c>
      <c r="U189" s="57" t="s">
        <v>840</v>
      </c>
      <c r="V189" s="141">
        <v>6507253990</v>
      </c>
      <c r="W189" s="60"/>
      <c r="X189" s="4"/>
      <c r="Y189" s="4" t="s">
        <v>866</v>
      </c>
      <c r="Z189" s="7">
        <v>10009207</v>
      </c>
      <c r="AA189" s="7"/>
      <c r="AB189" s="7"/>
      <c r="AC189" s="20">
        <f t="shared" ref="AC189" si="237">AJ189</f>
        <v>1279.9702510293225</v>
      </c>
      <c r="AD189" s="44">
        <f>IFERROR(INDEX('Costos Producción Febrero'!$G$34:$G$57,MATCH(Resumen!Z189,'Costos Producción Febrero'!$B$34:$B$57,0))*AC189*G189,0)</f>
        <v>58320.128089838588</v>
      </c>
      <c r="AE189" s="44">
        <f>IFERROR(INDEX('Costos Producción Febrero'!$H$34:$H$57,MATCH(Resumen!Z189,'Costos Producción Febrero'!$B$34:$B$57,0))*AC189*G189,0)</f>
        <v>10230.756216166574</v>
      </c>
      <c r="AF189" s="44">
        <f>IFERROR(INDEX('Costos Producción Febrero'!$I$34:$I$57,MATCH(Resumen!Z189,'Costos Producción Febrero'!$B$34:$B$57,0))*AC189*G189,0)</f>
        <v>859.49178412853405</v>
      </c>
      <c r="AG189" s="44">
        <f>IFERROR(INDEX('Costos Producción Febrero'!$J$34:$J$57,MATCH(Resumen!Z189,'Costos Producción Febrero'!$B$34:$B$57,0))*AC189*G189,0)</f>
        <v>-291.98253455027793</v>
      </c>
      <c r="AH189" s="44">
        <f t="shared" si="236"/>
        <v>69118.393555583418</v>
      </c>
      <c r="AI189" s="44"/>
      <c r="AJ189" s="44">
        <v>1279.9702510293225</v>
      </c>
      <c r="AK189" s="44"/>
      <c r="AL189" s="43">
        <f t="shared" si="213"/>
        <v>17281.606444416582</v>
      </c>
      <c r="AM189" s="92">
        <f t="shared" si="214"/>
        <v>0.20001859310667341</v>
      </c>
      <c r="AN189" s="42">
        <f t="shared" si="228"/>
        <v>5600</v>
      </c>
      <c r="AO189" s="42">
        <f t="shared" si="216"/>
        <v>4600.8</v>
      </c>
      <c r="AP189" s="42">
        <f t="shared" si="217"/>
        <v>99.036652089562551</v>
      </c>
      <c r="AQ189" s="42">
        <f t="shared" si="229"/>
        <v>10299.836652089562</v>
      </c>
      <c r="AR189" s="42">
        <f t="shared" si="218"/>
        <v>5433.780037264456</v>
      </c>
      <c r="AS189" s="42">
        <f t="shared" si="230"/>
        <v>2424</v>
      </c>
      <c r="AT189" s="43">
        <f t="shared" si="219"/>
        <v>3971.9897550625647</v>
      </c>
      <c r="AU189" s="92">
        <f t="shared" si="220"/>
        <v>4.5972103646557461E-2</v>
      </c>
      <c r="AV189" s="42">
        <f t="shared" si="221"/>
        <v>10681.890883013941</v>
      </c>
      <c r="AW189" s="43">
        <f t="shared" si="222"/>
        <v>-6709.9011279513761</v>
      </c>
      <c r="AX189" s="92">
        <f t="shared" si="223"/>
        <v>-7.766089268462241E-2</v>
      </c>
      <c r="AY189" s="42">
        <f t="shared" si="224"/>
        <v>8563.8438488429947</v>
      </c>
      <c r="AZ189" s="43">
        <f t="shared" si="225"/>
        <v>12535.833603905559</v>
      </c>
      <c r="BA189" s="92">
        <f t="shared" si="226"/>
        <v>0.1450906667118699</v>
      </c>
      <c r="BC189" s="10">
        <f t="shared" si="155"/>
        <v>1600</v>
      </c>
      <c r="BD189" s="10">
        <f t="shared" si="156"/>
        <v>-1080.002372034048</v>
      </c>
      <c r="BE189" s="10">
        <f t="shared" si="157"/>
        <v>-189.45844844752915</v>
      </c>
      <c r="BF189" s="10">
        <f t="shared" si="158"/>
        <v>-15.916514520898779</v>
      </c>
      <c r="BG189" s="10">
        <f t="shared" si="159"/>
        <v>5.4070839731532949</v>
      </c>
      <c r="BH189" s="10">
        <f t="shared" si="160"/>
        <v>-1279.9702510293225</v>
      </c>
      <c r="BI189" s="10">
        <f t="shared" si="161"/>
        <v>320.02974897067747</v>
      </c>
      <c r="BJ189" s="10">
        <f t="shared" si="162"/>
        <v>-103.70370370370371</v>
      </c>
      <c r="BK189" s="10">
        <f t="shared" si="163"/>
        <v>-1.8340120757326399</v>
      </c>
      <c r="BL189" s="10">
        <f t="shared" si="164"/>
        <v>-190.73771577943631</v>
      </c>
      <c r="BM189" s="10">
        <f t="shared" si="165"/>
        <v>-100.62555624563808</v>
      </c>
      <c r="BN189" s="10">
        <f t="shared" si="166"/>
        <v>44.888888888888886</v>
      </c>
      <c r="BO189" s="10">
        <f t="shared" si="167"/>
        <v>73.555365834491937</v>
      </c>
      <c r="BP189" s="10">
        <f t="shared" si="168"/>
        <v>-197.81279412988781</v>
      </c>
      <c r="BQ189" s="10">
        <f t="shared" si="169"/>
        <v>-124.25742829539585</v>
      </c>
      <c r="BR189" s="10">
        <f t="shared" si="170"/>
        <v>158.58970090449989</v>
      </c>
      <c r="BS189" s="10">
        <f t="shared" si="171"/>
        <v>232.14506673899183</v>
      </c>
    </row>
    <row r="190" spans="3:71" hidden="1">
      <c r="C190" s="29" t="s">
        <v>806</v>
      </c>
      <c r="D190" s="25" t="s">
        <v>846</v>
      </c>
      <c r="E190" s="98">
        <v>46208</v>
      </c>
      <c r="F190" s="98">
        <v>46222</v>
      </c>
      <c r="G190" s="99">
        <v>54</v>
      </c>
      <c r="H190" s="185" t="s">
        <v>38</v>
      </c>
      <c r="I190" s="27"/>
      <c r="J190" s="7"/>
      <c r="K190" s="7" t="s">
        <v>171</v>
      </c>
      <c r="L190" s="7" t="s">
        <v>845</v>
      </c>
      <c r="M190" s="21" t="s">
        <v>45</v>
      </c>
      <c r="N190" s="7" t="s">
        <v>191</v>
      </c>
      <c r="O190" s="20">
        <v>1600</v>
      </c>
      <c r="P190" s="59">
        <v>86400</v>
      </c>
      <c r="Q190" s="20">
        <v>1496.2962962962963</v>
      </c>
      <c r="R190" s="30">
        <v>5600</v>
      </c>
      <c r="S190" s="32">
        <f t="shared" si="192"/>
        <v>80800</v>
      </c>
      <c r="T190" s="63">
        <v>2</v>
      </c>
      <c r="U190" s="57" t="s">
        <v>814</v>
      </c>
      <c r="V190" s="141" t="s">
        <v>847</v>
      </c>
      <c r="W190" s="60"/>
      <c r="X190" s="4"/>
      <c r="Y190" s="4" t="s">
        <v>866</v>
      </c>
      <c r="Z190" s="7">
        <v>10009207</v>
      </c>
      <c r="AA190" s="7"/>
      <c r="AB190" s="7"/>
      <c r="AC190" s="20">
        <f>AJ190</f>
        <v>1279.97025102932</v>
      </c>
      <c r="AD190" s="44">
        <f>IFERROR(INDEX('Costos Producción Febrero'!$G$34:$G$57,MATCH(Resumen!Z190,'Costos Producción Febrero'!$B$34:$B$57,0))*AC190*G190,0)</f>
        <v>58320.128089838472</v>
      </c>
      <c r="AE190" s="44">
        <f>IFERROR(INDEX('Costos Producción Febrero'!$H$34:$H$57,MATCH(Resumen!Z190,'Costos Producción Febrero'!$B$34:$B$57,0))*AC190*G190,0)</f>
        <v>10230.756216166554</v>
      </c>
      <c r="AF190" s="44">
        <f>IFERROR(INDEX('Costos Producción Febrero'!$I$34:$I$57,MATCH(Resumen!Z190,'Costos Producción Febrero'!$B$34:$B$57,0))*AC190*G190,0)</f>
        <v>859.49178412853223</v>
      </c>
      <c r="AG190" s="44">
        <f>IFERROR(INDEX('Costos Producción Febrero'!$J$34:$J$57,MATCH(Resumen!Z190,'Costos Producción Febrero'!$B$34:$B$57,0))*AC190*G190,0)</f>
        <v>-291.98253455027736</v>
      </c>
      <c r="AH190" s="44">
        <f t="shared" ref="AH190:AH191" si="238">SUM(AD190:AG190)</f>
        <v>69118.393555583287</v>
      </c>
      <c r="AI190" s="44"/>
      <c r="AJ190" s="44">
        <f>1.27997025102932*1000</f>
        <v>1279.97025102932</v>
      </c>
      <c r="AK190" s="44"/>
      <c r="AL190" s="43">
        <f t="shared" si="213"/>
        <v>17281.606444416713</v>
      </c>
      <c r="AM190" s="92">
        <f t="shared" si="214"/>
        <v>0.20001859310667491</v>
      </c>
      <c r="AN190" s="42">
        <f t="shared" si="228"/>
        <v>5600</v>
      </c>
      <c r="AO190" s="42">
        <f t="shared" si="216"/>
        <v>4600.8</v>
      </c>
      <c r="AP190" s="42">
        <f t="shared" si="217"/>
        <v>99.036652089562551</v>
      </c>
      <c r="AQ190" s="42">
        <f t="shared" si="229"/>
        <v>10299.836652089562</v>
      </c>
      <c r="AR190" s="42">
        <f t="shared" si="218"/>
        <v>5433.780037264456</v>
      </c>
      <c r="AS190" s="42">
        <f t="shared" si="230"/>
        <v>2424</v>
      </c>
      <c r="AT190" s="43">
        <f t="shared" si="219"/>
        <v>3971.9897550626956</v>
      </c>
      <c r="AU190" s="92">
        <f t="shared" si="220"/>
        <v>4.597210364655898E-2</v>
      </c>
      <c r="AV190" s="42">
        <f t="shared" si="221"/>
        <v>10681.890883013941</v>
      </c>
      <c r="AW190" s="43">
        <f t="shared" si="222"/>
        <v>-6709.9011279512451</v>
      </c>
      <c r="AX190" s="92">
        <f t="shared" si="223"/>
        <v>-7.7660892684620897E-2</v>
      </c>
      <c r="AY190" s="42">
        <f t="shared" si="224"/>
        <v>8563.8438488429947</v>
      </c>
      <c r="AZ190" s="43">
        <f t="shared" si="225"/>
        <v>12535.83360390569</v>
      </c>
      <c r="BA190" s="92">
        <f t="shared" si="226"/>
        <v>0.1450906667118714</v>
      </c>
      <c r="BC190" s="10">
        <f t="shared" si="155"/>
        <v>1600</v>
      </c>
      <c r="BD190" s="10">
        <f t="shared" si="156"/>
        <v>-1080.0023720340457</v>
      </c>
      <c r="BE190" s="10">
        <f t="shared" si="157"/>
        <v>-189.45844844752878</v>
      </c>
      <c r="BF190" s="10">
        <f t="shared" si="158"/>
        <v>-15.916514520898746</v>
      </c>
      <c r="BG190" s="10">
        <f t="shared" si="159"/>
        <v>5.4070839731532843</v>
      </c>
      <c r="BH190" s="10">
        <f t="shared" si="160"/>
        <v>-1279.97025102932</v>
      </c>
      <c r="BI190" s="10">
        <f t="shared" si="161"/>
        <v>320.02974897067986</v>
      </c>
      <c r="BJ190" s="10">
        <f t="shared" si="162"/>
        <v>-103.70370370370371</v>
      </c>
      <c r="BK190" s="10">
        <f t="shared" si="163"/>
        <v>-1.8340120757326399</v>
      </c>
      <c r="BL190" s="10">
        <f t="shared" si="164"/>
        <v>-190.73771577943631</v>
      </c>
      <c r="BM190" s="10">
        <f t="shared" si="165"/>
        <v>-100.62555624563808</v>
      </c>
      <c r="BN190" s="10">
        <f t="shared" si="166"/>
        <v>44.888888888888886</v>
      </c>
      <c r="BO190" s="10">
        <f t="shared" si="167"/>
        <v>73.555365834494367</v>
      </c>
      <c r="BP190" s="10">
        <f t="shared" si="168"/>
        <v>-197.81279412988781</v>
      </c>
      <c r="BQ190" s="10">
        <f t="shared" si="169"/>
        <v>-124.25742829539342</v>
      </c>
      <c r="BR190" s="10">
        <f t="shared" si="170"/>
        <v>158.58970090449989</v>
      </c>
      <c r="BS190" s="10">
        <f t="shared" si="171"/>
        <v>232.14506673899427</v>
      </c>
    </row>
    <row r="191" spans="3:71" hidden="1">
      <c r="C191" s="29" t="s">
        <v>806</v>
      </c>
      <c r="D191" s="25" t="s">
        <v>848</v>
      </c>
      <c r="E191" s="98">
        <v>46208</v>
      </c>
      <c r="F191" s="98">
        <v>46229</v>
      </c>
      <c r="G191" s="99">
        <v>25.905000000000001</v>
      </c>
      <c r="H191" s="27" t="s">
        <v>39</v>
      </c>
      <c r="I191" s="27" t="s">
        <v>849</v>
      </c>
      <c r="J191" s="7"/>
      <c r="K191" s="7" t="s">
        <v>171</v>
      </c>
      <c r="L191" s="7" t="s">
        <v>845</v>
      </c>
      <c r="M191" s="21" t="s">
        <v>45</v>
      </c>
      <c r="N191" s="7" t="s">
        <v>191</v>
      </c>
      <c r="O191" s="20">
        <v>1600</v>
      </c>
      <c r="P191" s="59">
        <v>41448</v>
      </c>
      <c r="Q191" s="20">
        <v>1491.9127581547964</v>
      </c>
      <c r="R191" s="30">
        <v>2800</v>
      </c>
      <c r="S191" s="32">
        <f t="shared" si="192"/>
        <v>38648</v>
      </c>
      <c r="T191" s="63">
        <v>1</v>
      </c>
      <c r="U191" s="57" t="s">
        <v>850</v>
      </c>
      <c r="V191" s="141">
        <v>6508438580</v>
      </c>
      <c r="W191" s="60"/>
      <c r="X191" s="4"/>
      <c r="Y191" s="4" t="s">
        <v>866</v>
      </c>
      <c r="Z191" s="7">
        <v>10009207</v>
      </c>
      <c r="AA191" s="7"/>
      <c r="AB191" s="7"/>
      <c r="AC191" s="20">
        <f t="shared" ref="AC191" si="239">AJ191</f>
        <v>1279.9702510293225</v>
      </c>
      <c r="AD191" s="44">
        <f>IFERROR(INDEX('Costos Producción Febrero'!$G$34:$G$57,MATCH(Resumen!Z191,'Costos Producción Febrero'!$B$34:$B$57,0))*AC191*G191,0)</f>
        <v>27977.461447542013</v>
      </c>
      <c r="AE191" s="44">
        <f>IFERROR(INDEX('Costos Producción Febrero'!$H$34:$H$57,MATCH(Resumen!Z191,'Costos Producción Febrero'!$B$34:$B$57,0))*AC191*G191,0)</f>
        <v>4907.9211070332431</v>
      </c>
      <c r="AF191" s="44">
        <f>IFERROR(INDEX('Costos Producción Febrero'!$I$34:$I$57,MATCH(Resumen!Z191,'Costos Producción Febrero'!$B$34:$B$57,0))*AC191*G191,0)</f>
        <v>412.31730866388284</v>
      </c>
      <c r="AG191" s="44">
        <f>IFERROR(INDEX('Costos Producción Febrero'!$J$34:$J$57,MATCH(Resumen!Z191,'Costos Producción Febrero'!$B$34:$B$57,0))*AC191*G191,0)</f>
        <v>-140.07051032453612</v>
      </c>
      <c r="AH191" s="44">
        <f t="shared" si="238"/>
        <v>33157.629352914606</v>
      </c>
      <c r="AI191" s="44"/>
      <c r="AJ191" s="44">
        <v>1279.9702510293225</v>
      </c>
      <c r="AK191" s="44"/>
      <c r="AL191" s="43">
        <f t="shared" si="213"/>
        <v>8290.370647085394</v>
      </c>
      <c r="AM191" s="92">
        <f t="shared" si="214"/>
        <v>0.20001859310667328</v>
      </c>
      <c r="AN191" s="42">
        <f t="shared" si="228"/>
        <v>2800</v>
      </c>
      <c r="AO191" s="42">
        <f t="shared" si="216"/>
        <v>2207.1060000000002</v>
      </c>
      <c r="AP191" s="42">
        <f t="shared" si="217"/>
        <v>47.510082821854041</v>
      </c>
      <c r="AQ191" s="42">
        <f t="shared" si="229"/>
        <v>5054.6160828218535</v>
      </c>
      <c r="AR191" s="42">
        <f t="shared" si="218"/>
        <v>2606.7050345432544</v>
      </c>
      <c r="AS191" s="42">
        <f t="shared" si="230"/>
        <v>1159.44</v>
      </c>
      <c r="AT191" s="43">
        <f t="shared" si="219"/>
        <v>1788.4895297202861</v>
      </c>
      <c r="AU191" s="92">
        <f t="shared" si="220"/>
        <v>4.3150200967966755E-2</v>
      </c>
      <c r="AV191" s="42">
        <f t="shared" si="221"/>
        <v>5124.3404319347428</v>
      </c>
      <c r="AW191" s="43">
        <f t="shared" si="222"/>
        <v>-3335.8509022144567</v>
      </c>
      <c r="AX191" s="92">
        <f t="shared" si="223"/>
        <v>-8.0482795363213108E-2</v>
      </c>
      <c r="AY191" s="42">
        <f t="shared" si="224"/>
        <v>4108.2662019310701</v>
      </c>
      <c r="AZ191" s="43">
        <f t="shared" si="225"/>
        <v>5896.7557316513557</v>
      </c>
      <c r="BA191" s="92">
        <f t="shared" si="226"/>
        <v>0.14226876403327918</v>
      </c>
      <c r="BC191" s="10">
        <f t="shared" si="155"/>
        <v>1600</v>
      </c>
      <c r="BD191" s="10">
        <f t="shared" si="156"/>
        <v>-1080.002372034048</v>
      </c>
      <c r="BE191" s="10">
        <f t="shared" si="157"/>
        <v>-189.45844844752915</v>
      </c>
      <c r="BF191" s="10">
        <f t="shared" si="158"/>
        <v>-15.916514520898778</v>
      </c>
      <c r="BG191" s="10">
        <f t="shared" si="159"/>
        <v>5.4070839731532949</v>
      </c>
      <c r="BH191" s="10">
        <f t="shared" si="160"/>
        <v>-1279.9702510293228</v>
      </c>
      <c r="BI191" s="10">
        <f t="shared" si="161"/>
        <v>320.02974897067725</v>
      </c>
      <c r="BJ191" s="10">
        <f t="shared" si="162"/>
        <v>-108.08724184520362</v>
      </c>
      <c r="BK191" s="10">
        <f t="shared" si="163"/>
        <v>-1.8340120757326399</v>
      </c>
      <c r="BL191" s="10">
        <f t="shared" si="164"/>
        <v>-195.12125392093623</v>
      </c>
      <c r="BM191" s="10">
        <f t="shared" si="165"/>
        <v>-100.62555624563808</v>
      </c>
      <c r="BN191" s="10">
        <f t="shared" si="166"/>
        <v>44.757382744643891</v>
      </c>
      <c r="BO191" s="10">
        <f t="shared" si="167"/>
        <v>69.040321548746803</v>
      </c>
      <c r="BP191" s="10">
        <f t="shared" si="168"/>
        <v>-197.81279412988778</v>
      </c>
      <c r="BQ191" s="10">
        <f t="shared" si="169"/>
        <v>-128.77247258114096</v>
      </c>
      <c r="BR191" s="10">
        <f t="shared" si="170"/>
        <v>158.58970090449989</v>
      </c>
      <c r="BS191" s="10">
        <f t="shared" si="171"/>
        <v>227.63002245324668</v>
      </c>
    </row>
    <row r="192" spans="3:71" hidden="1">
      <c r="C192" s="29" t="s">
        <v>806</v>
      </c>
      <c r="D192" s="25" t="s">
        <v>851</v>
      </c>
      <c r="E192" s="98">
        <v>46210</v>
      </c>
      <c r="F192" s="98">
        <v>46219</v>
      </c>
      <c r="G192" s="99">
        <v>54</v>
      </c>
      <c r="H192" s="185" t="s">
        <v>38</v>
      </c>
      <c r="I192" s="27" t="s">
        <v>852</v>
      </c>
      <c r="J192" s="7"/>
      <c r="K192" s="7" t="s">
        <v>292</v>
      </c>
      <c r="L192" s="7" t="s">
        <v>172</v>
      </c>
      <c r="M192" s="21" t="s">
        <v>853</v>
      </c>
      <c r="N192" s="7" t="s">
        <v>854</v>
      </c>
      <c r="O192" s="20">
        <v>1850</v>
      </c>
      <c r="P192" s="59">
        <v>99900</v>
      </c>
      <c r="Q192" s="20">
        <v>1753.7037037037037</v>
      </c>
      <c r="R192" s="30">
        <v>5200</v>
      </c>
      <c r="S192" s="32">
        <f t="shared" si="192"/>
        <v>94700</v>
      </c>
      <c r="T192" s="63">
        <v>2</v>
      </c>
      <c r="U192" s="57" t="s">
        <v>855</v>
      </c>
      <c r="V192" s="141">
        <v>6508142060</v>
      </c>
      <c r="W192" s="60"/>
      <c r="X192" s="4"/>
      <c r="Y192" s="4" t="s">
        <v>866</v>
      </c>
      <c r="Z192" s="7">
        <v>10009207</v>
      </c>
      <c r="AA192" s="7"/>
      <c r="AB192" s="7"/>
      <c r="AC192" s="20">
        <f>AJ192</f>
        <v>1279.97025102932</v>
      </c>
      <c r="AD192" s="44">
        <f>IFERROR(INDEX('Costos Producción Febrero'!$G$34:$G$57,MATCH(Resumen!Z192,'Costos Producción Febrero'!$B$34:$B$57,0))*AC192*G192,0)</f>
        <v>58320.128089838472</v>
      </c>
      <c r="AE192" s="44">
        <f>IFERROR(INDEX('Costos Producción Febrero'!$H$34:$H$57,MATCH(Resumen!Z192,'Costos Producción Febrero'!$B$34:$B$57,0))*AC192*G192,0)</f>
        <v>10230.756216166554</v>
      </c>
      <c r="AF192" s="44">
        <f>IFERROR(INDEX('Costos Producción Febrero'!$I$34:$I$57,MATCH(Resumen!Z192,'Costos Producción Febrero'!$B$34:$B$57,0))*AC192*G192,0)</f>
        <v>859.49178412853223</v>
      </c>
      <c r="AG192" s="44">
        <f>IFERROR(INDEX('Costos Producción Febrero'!$J$34:$J$57,MATCH(Resumen!Z192,'Costos Producción Febrero'!$B$34:$B$57,0))*AC192*G192,0)</f>
        <v>-291.98253455027736</v>
      </c>
      <c r="AH192" s="44">
        <f t="shared" ref="AH192:AH194" si="240">SUM(AD192:AG192)</f>
        <v>69118.393555583287</v>
      </c>
      <c r="AI192" s="44"/>
      <c r="AJ192" s="44">
        <f>1.27997025102932*1000</f>
        <v>1279.97025102932</v>
      </c>
      <c r="AK192" s="44"/>
      <c r="AL192" s="43">
        <f t="shared" si="213"/>
        <v>30781.606444416713</v>
      </c>
      <c r="AM192" s="92">
        <f t="shared" si="214"/>
        <v>0.30812418863279994</v>
      </c>
      <c r="AN192" s="42">
        <f t="shared" si="228"/>
        <v>5200</v>
      </c>
      <c r="AO192" s="42">
        <f t="shared" si="216"/>
        <v>4600.8</v>
      </c>
      <c r="AP192" s="42">
        <f t="shared" si="217"/>
        <v>99.036652089562551</v>
      </c>
      <c r="AQ192" s="42">
        <f t="shared" si="229"/>
        <v>9899.8366520895615</v>
      </c>
      <c r="AR192" s="42">
        <f t="shared" si="218"/>
        <v>5433.780037264456</v>
      </c>
      <c r="AS192" s="42">
        <f t="shared" si="230"/>
        <v>2841</v>
      </c>
      <c r="AT192" s="43">
        <f t="shared" si="219"/>
        <v>18288.989755062696</v>
      </c>
      <c r="AU192" s="92">
        <f t="shared" si="220"/>
        <v>0.1830729705211481</v>
      </c>
      <c r="AV192" s="42">
        <f t="shared" si="221"/>
        <v>10681.890883013941</v>
      </c>
      <c r="AW192" s="43">
        <f t="shared" si="222"/>
        <v>7607.0988720487549</v>
      </c>
      <c r="AX192" s="92">
        <f t="shared" si="223"/>
        <v>7.6147135856343889E-2</v>
      </c>
      <c r="AY192" s="42">
        <f t="shared" si="224"/>
        <v>8563.8438488429947</v>
      </c>
      <c r="AZ192" s="43">
        <f t="shared" si="225"/>
        <v>26852.833603905689</v>
      </c>
      <c r="BA192" s="92">
        <f t="shared" si="226"/>
        <v>0.26879713317222914</v>
      </c>
      <c r="BC192" s="10">
        <f t="shared" si="155"/>
        <v>1850</v>
      </c>
      <c r="BD192" s="10">
        <f t="shared" si="156"/>
        <v>-1080.0023720340457</v>
      </c>
      <c r="BE192" s="10">
        <f t="shared" si="157"/>
        <v>-189.45844844752878</v>
      </c>
      <c r="BF192" s="10">
        <f t="shared" si="158"/>
        <v>-15.916514520898746</v>
      </c>
      <c r="BG192" s="10">
        <f t="shared" si="159"/>
        <v>5.4070839731532843</v>
      </c>
      <c r="BH192" s="10">
        <f t="shared" si="160"/>
        <v>-1279.97025102932</v>
      </c>
      <c r="BI192" s="10">
        <f t="shared" si="161"/>
        <v>570.02974897067986</v>
      </c>
      <c r="BJ192" s="10">
        <f t="shared" si="162"/>
        <v>-96.296296296296291</v>
      </c>
      <c r="BK192" s="10">
        <f t="shared" si="163"/>
        <v>-1.8340120757326399</v>
      </c>
      <c r="BL192" s="10">
        <f t="shared" si="164"/>
        <v>-183.33030837202892</v>
      </c>
      <c r="BM192" s="10">
        <f t="shared" si="165"/>
        <v>-100.62555624563808</v>
      </c>
      <c r="BN192" s="10">
        <f t="shared" si="166"/>
        <v>52.611111111111114</v>
      </c>
      <c r="BO192" s="10">
        <f t="shared" si="167"/>
        <v>338.68499546412397</v>
      </c>
      <c r="BP192" s="10">
        <f t="shared" si="168"/>
        <v>-197.81279412988781</v>
      </c>
      <c r="BQ192" s="10">
        <f t="shared" si="169"/>
        <v>140.87220133423619</v>
      </c>
      <c r="BR192" s="10">
        <f t="shared" si="170"/>
        <v>158.58970090449989</v>
      </c>
      <c r="BS192" s="10">
        <f t="shared" si="171"/>
        <v>497.27469636862384</v>
      </c>
    </row>
    <row r="193" spans="3:71" hidden="1">
      <c r="C193" s="29" t="s">
        <v>806</v>
      </c>
      <c r="D193" s="25" t="s">
        <v>856</v>
      </c>
      <c r="E193" s="98">
        <v>46215</v>
      </c>
      <c r="F193" s="98">
        <v>46229</v>
      </c>
      <c r="G193" s="99">
        <v>27</v>
      </c>
      <c r="H193" s="27" t="s">
        <v>31</v>
      </c>
      <c r="I193" s="27" t="s">
        <v>107</v>
      </c>
      <c r="J193" s="7" t="s">
        <v>296</v>
      </c>
      <c r="K193" s="7" t="s">
        <v>171</v>
      </c>
      <c r="L193" s="7" t="s">
        <v>243</v>
      </c>
      <c r="M193" s="21" t="s">
        <v>836</v>
      </c>
      <c r="N193" s="7" t="s">
        <v>837</v>
      </c>
      <c r="O193" s="261">
        <v>3000</v>
      </c>
      <c r="P193" s="59">
        <v>81000</v>
      </c>
      <c r="Q193" s="20">
        <v>2896.2962962962961</v>
      </c>
      <c r="R193" s="30">
        <v>2800</v>
      </c>
      <c r="S193" s="32">
        <f t="shared" si="192"/>
        <v>78200</v>
      </c>
      <c r="T193" s="63">
        <v>1</v>
      </c>
      <c r="U193" s="57" t="s">
        <v>850</v>
      </c>
      <c r="V193" s="141">
        <v>6508569000</v>
      </c>
      <c r="W193" s="60"/>
      <c r="X193" s="4"/>
      <c r="Y193" s="4" t="s">
        <v>867</v>
      </c>
      <c r="Z193" s="7">
        <v>10007162</v>
      </c>
      <c r="AA193" s="7"/>
      <c r="AB193" s="7"/>
      <c r="AC193" s="20">
        <f>AJ193</f>
        <v>1596.5588140091199</v>
      </c>
      <c r="AD193" s="44">
        <f>IFERROR(INDEX('Costos Producción Febrero'!$G$34:$G$57,MATCH(Resumen!Z193,'Costos Producción Febrero'!$B$34:$B$57,0))*AC193*G193,0)</f>
        <v>26431.139095403225</v>
      </c>
      <c r="AE193" s="44">
        <f>IFERROR(INDEX('Costos Producción Febrero'!$H$34:$H$57,MATCH(Resumen!Z193,'Costos Producción Febrero'!$B$34:$B$57,0))*AC193*G193,0)</f>
        <v>7504.3274863204815</v>
      </c>
      <c r="AF193" s="44">
        <f>IFERROR(INDEX('Costos Producción Febrero'!$I$34:$I$57,MATCH(Resumen!Z193,'Costos Producción Febrero'!$B$34:$B$57,0))*AC193*G193,0)</f>
        <v>399.62814152530905</v>
      </c>
      <c r="AG193" s="44">
        <f>IFERROR(INDEX('Costos Producción Febrero'!$J$34:$J$57,MATCH(Resumen!Z193,'Costos Producción Febrero'!$B$34:$B$57,0))*AC193*G193,0)</f>
        <v>8771.9932549972218</v>
      </c>
      <c r="AH193" s="44">
        <f t="shared" si="240"/>
        <v>43107.087978246236</v>
      </c>
      <c r="AI193" s="44"/>
      <c r="AJ193" s="44">
        <f>1.59655881400912*1000</f>
        <v>1596.5588140091199</v>
      </c>
      <c r="AK193" s="44"/>
      <c r="AL193" s="43">
        <f t="shared" si="213"/>
        <v>37892.912021753764</v>
      </c>
      <c r="AM193" s="92">
        <f t="shared" si="214"/>
        <v>0.46781372866362669</v>
      </c>
      <c r="AN193" s="42">
        <f t="shared" si="228"/>
        <v>2800</v>
      </c>
      <c r="AO193" s="42">
        <f t="shared" si="216"/>
        <v>2300.4</v>
      </c>
      <c r="AP193" s="42">
        <f t="shared" si="217"/>
        <v>49.518326044781276</v>
      </c>
      <c r="AQ193" s="42">
        <f t="shared" si="229"/>
        <v>5149.9183260447808</v>
      </c>
      <c r="AR193" s="42">
        <f t="shared" si="218"/>
        <v>2716.890018632228</v>
      </c>
      <c r="AS193" s="42">
        <f t="shared" si="230"/>
        <v>2346</v>
      </c>
      <c r="AT193" s="43">
        <f t="shared" si="219"/>
        <v>32372.103677076753</v>
      </c>
      <c r="AU193" s="92">
        <f t="shared" si="220"/>
        <v>0.39965560095156488</v>
      </c>
      <c r="AV193" s="42">
        <f t="shared" si="221"/>
        <v>5340.9454415069704</v>
      </c>
      <c r="AW193" s="43">
        <f t="shared" si="222"/>
        <v>27031.158235569783</v>
      </c>
      <c r="AX193" s="92">
        <f t="shared" si="223"/>
        <v>0.33371800290826892</v>
      </c>
      <c r="AY193" s="42">
        <f t="shared" si="224"/>
        <v>4281.9219244214974</v>
      </c>
      <c r="AZ193" s="43">
        <f t="shared" si="225"/>
        <v>36654.025601498251</v>
      </c>
      <c r="BA193" s="92">
        <f t="shared" si="226"/>
        <v>0.45251883458639819</v>
      </c>
      <c r="BC193" s="10">
        <f t="shared" si="155"/>
        <v>3000</v>
      </c>
      <c r="BD193" s="10">
        <f t="shared" si="156"/>
        <v>-978.93107760752684</v>
      </c>
      <c r="BE193" s="10">
        <f t="shared" si="157"/>
        <v>-277.93805504890673</v>
      </c>
      <c r="BF193" s="10">
        <f t="shared" si="158"/>
        <v>-14.801042278715149</v>
      </c>
      <c r="BG193" s="10">
        <f t="shared" si="159"/>
        <v>-324.88863907397121</v>
      </c>
      <c r="BH193" s="10">
        <f t="shared" si="160"/>
        <v>-1596.5588140091199</v>
      </c>
      <c r="BI193" s="10">
        <f t="shared" si="161"/>
        <v>1403.4411859908801</v>
      </c>
      <c r="BJ193" s="10">
        <f t="shared" si="162"/>
        <v>-103.70370370370371</v>
      </c>
      <c r="BK193" s="10">
        <f t="shared" si="163"/>
        <v>-1.8340120757326399</v>
      </c>
      <c r="BL193" s="10">
        <f t="shared" si="164"/>
        <v>-190.73771577943631</v>
      </c>
      <c r="BM193" s="10">
        <f t="shared" si="165"/>
        <v>-100.62555624563808</v>
      </c>
      <c r="BN193" s="10">
        <f t="shared" si="166"/>
        <v>86.888888888888886</v>
      </c>
      <c r="BO193" s="10">
        <f t="shared" si="167"/>
        <v>1198.9668028546946</v>
      </c>
      <c r="BP193" s="10">
        <f t="shared" si="168"/>
        <v>-197.81279412988781</v>
      </c>
      <c r="BQ193" s="10">
        <f t="shared" si="169"/>
        <v>1001.1540087248068</v>
      </c>
      <c r="BR193" s="10">
        <f t="shared" si="170"/>
        <v>158.58970090449989</v>
      </c>
      <c r="BS193" s="10">
        <f t="shared" si="171"/>
        <v>1357.5565037591946</v>
      </c>
    </row>
    <row r="194" spans="3:71" hidden="1">
      <c r="C194" s="29" t="s">
        <v>806</v>
      </c>
      <c r="D194" s="25" t="s">
        <v>857</v>
      </c>
      <c r="E194" s="98">
        <v>198</v>
      </c>
      <c r="F194" s="98">
        <v>46225</v>
      </c>
      <c r="G194" s="99">
        <v>27</v>
      </c>
      <c r="H194" s="27" t="s">
        <v>36</v>
      </c>
      <c r="I194" s="27" t="s">
        <v>799</v>
      </c>
      <c r="J194" s="7" t="s">
        <v>800</v>
      </c>
      <c r="K194" s="7" t="s">
        <v>863</v>
      </c>
      <c r="L194" s="7" t="s">
        <v>522</v>
      </c>
      <c r="M194" s="21" t="s">
        <v>524</v>
      </c>
      <c r="N194" s="7" t="s">
        <v>525</v>
      </c>
      <c r="O194" s="20">
        <v>2568</v>
      </c>
      <c r="P194" s="59">
        <v>69336</v>
      </c>
      <c r="Q194" s="20">
        <v>2396.2962962962961</v>
      </c>
      <c r="R194" s="30">
        <v>2800</v>
      </c>
      <c r="S194" s="32">
        <f t="shared" si="192"/>
        <v>66536</v>
      </c>
      <c r="T194" s="63">
        <v>1</v>
      </c>
      <c r="U194" s="57" t="s">
        <v>808</v>
      </c>
      <c r="V194" s="141" t="s">
        <v>858</v>
      </c>
      <c r="W194" s="60"/>
      <c r="X194" s="4"/>
      <c r="Y194" s="4" t="s">
        <v>867</v>
      </c>
      <c r="Z194" s="7">
        <v>10007567</v>
      </c>
      <c r="AA194" s="7"/>
      <c r="AB194" s="7"/>
      <c r="AC194" s="20">
        <f>AJ194</f>
        <v>1540.1636690456899</v>
      </c>
      <c r="AD194" s="44">
        <f>IFERROR(INDEX('Costos Producción Febrero'!$G$34:$G$57,MATCH(Resumen!Z194,'Costos Producción Febrero'!$B$34:$B$57,0))*AC194*G194,0)</f>
        <v>25681.813237967912</v>
      </c>
      <c r="AE194" s="44">
        <f>IFERROR(INDEX('Costos Producción Febrero'!$H$34:$H$57,MATCH(Resumen!Z194,'Costos Producción Febrero'!$B$34:$B$57,0))*AC194*G194,0)</f>
        <v>6921.3579635889719</v>
      </c>
      <c r="AF194" s="44">
        <f>IFERROR(INDEX('Costos Producción Febrero'!$I$34:$I$57,MATCH(Resumen!Z194,'Costos Producción Febrero'!$B$34:$B$57,0))*AC194*G194,0)</f>
        <v>448.83630753749219</v>
      </c>
      <c r="AG194" s="44">
        <f>IFERROR(INDEX('Costos Producción Febrero'!$J$34:$J$57,MATCH(Resumen!Z194,'Costos Producción Febrero'!$B$34:$B$57,0))*AC194*G194,0)</f>
        <v>8532.4115551392479</v>
      </c>
      <c r="AH194" s="44">
        <f t="shared" si="240"/>
        <v>41584.419064233625</v>
      </c>
      <c r="AI194" s="44"/>
      <c r="AJ194" s="44">
        <f>1.54016366904569*1000</f>
        <v>1540.1636690456899</v>
      </c>
      <c r="AK194" s="44"/>
      <c r="AL194" s="43">
        <f t="shared" si="213"/>
        <v>27751.580935766375</v>
      </c>
      <c r="AM194" s="92">
        <f t="shared" si="214"/>
        <v>0.40024779242769087</v>
      </c>
      <c r="AN194" s="42">
        <f t="shared" si="228"/>
        <v>2800</v>
      </c>
      <c r="AO194" s="42">
        <f t="shared" si="216"/>
        <v>2300.4</v>
      </c>
      <c r="AP194" s="42">
        <f t="shared" si="217"/>
        <v>49.518326044781276</v>
      </c>
      <c r="AQ194" s="42">
        <f t="shared" si="229"/>
        <v>5149.9183260447808</v>
      </c>
      <c r="AR194" s="42">
        <f t="shared" si="218"/>
        <v>2716.890018632228</v>
      </c>
      <c r="AS194" s="42">
        <f t="shared" si="230"/>
        <v>1996.08</v>
      </c>
      <c r="AT194" s="43">
        <f t="shared" si="219"/>
        <v>21880.852591089366</v>
      </c>
      <c r="AU194" s="92">
        <f t="shared" si="220"/>
        <v>0.31557708248369343</v>
      </c>
      <c r="AV194" s="42">
        <f t="shared" si="221"/>
        <v>5340.9454415069704</v>
      </c>
      <c r="AW194" s="43">
        <f t="shared" si="222"/>
        <v>16539.907149582396</v>
      </c>
      <c r="AX194" s="92">
        <f t="shared" si="223"/>
        <v>0.23854717822750657</v>
      </c>
      <c r="AY194" s="42">
        <f t="shared" si="224"/>
        <v>4281.9219244214974</v>
      </c>
      <c r="AZ194" s="43">
        <f t="shared" si="225"/>
        <v>26162.774515510864</v>
      </c>
      <c r="BA194" s="92">
        <f t="shared" si="226"/>
        <v>0.37733319654307812</v>
      </c>
      <c r="BC194" s="10">
        <f t="shared" si="155"/>
        <v>2568</v>
      </c>
      <c r="BD194" s="10">
        <f t="shared" si="156"/>
        <v>-951.17826807288566</v>
      </c>
      <c r="BE194" s="10">
        <f t="shared" si="157"/>
        <v>-256.34659124403601</v>
      </c>
      <c r="BF194" s="10">
        <f t="shared" si="158"/>
        <v>-16.623566945833044</v>
      </c>
      <c r="BG194" s="10">
        <f t="shared" si="159"/>
        <v>-316.0152427829351</v>
      </c>
      <c r="BH194" s="10">
        <f t="shared" si="160"/>
        <v>-1540.1636690456899</v>
      </c>
      <c r="BI194" s="10">
        <f t="shared" si="161"/>
        <v>1027.8363309543101</v>
      </c>
      <c r="BJ194" s="10">
        <f t="shared" si="162"/>
        <v>-103.70370370370371</v>
      </c>
      <c r="BK194" s="10">
        <f t="shared" si="163"/>
        <v>-1.8340120757326399</v>
      </c>
      <c r="BL194" s="10">
        <f t="shared" si="164"/>
        <v>-190.73771577943631</v>
      </c>
      <c r="BM194" s="10">
        <f t="shared" si="165"/>
        <v>-100.62555624563808</v>
      </c>
      <c r="BN194" s="10">
        <f t="shared" si="166"/>
        <v>73.928888888888892</v>
      </c>
      <c r="BO194" s="10">
        <f t="shared" si="167"/>
        <v>810.40194781812465</v>
      </c>
      <c r="BP194" s="10">
        <f t="shared" si="168"/>
        <v>-197.81279412988781</v>
      </c>
      <c r="BQ194" s="10">
        <f t="shared" si="169"/>
        <v>612.58915368823682</v>
      </c>
      <c r="BR194" s="10">
        <f t="shared" si="170"/>
        <v>158.58970090449989</v>
      </c>
      <c r="BS194" s="10">
        <f t="shared" si="171"/>
        <v>968.99164872262463</v>
      </c>
    </row>
    <row r="195" spans="3:71">
      <c r="C195" s="250"/>
      <c r="D195" s="251"/>
      <c r="E195" s="252"/>
      <c r="F195" s="164"/>
      <c r="G195" s="165"/>
      <c r="H195" s="166"/>
      <c r="I195" s="166"/>
      <c r="J195" s="118"/>
      <c r="K195" s="118"/>
      <c r="L195" s="118"/>
      <c r="M195" s="167"/>
      <c r="N195" s="118"/>
      <c r="O195" s="168"/>
      <c r="P195" s="169"/>
      <c r="Q195" s="168"/>
      <c r="R195" s="170"/>
      <c r="S195" s="171"/>
      <c r="T195" s="172"/>
      <c r="U195" s="173"/>
      <c r="V195" s="174"/>
      <c r="W195" s="175"/>
      <c r="X195" s="176"/>
      <c r="Y195" s="255"/>
      <c r="AA195" s="118"/>
      <c r="AC195" s="177"/>
      <c r="AD195" s="178"/>
      <c r="AE195" s="178"/>
      <c r="AF195" s="178"/>
      <c r="AG195" s="178"/>
      <c r="AH195" s="178"/>
      <c r="AI195" s="178"/>
      <c r="AJ195" s="178"/>
      <c r="AK195" s="178"/>
      <c r="AL195" s="179"/>
      <c r="AM195" s="180"/>
      <c r="AN195" s="181"/>
      <c r="AO195" s="181"/>
      <c r="AP195" s="181"/>
      <c r="AQ195" s="181"/>
      <c r="AR195" s="181"/>
      <c r="AS195" s="181"/>
      <c r="AT195" s="182"/>
      <c r="AU195" s="180"/>
      <c r="AV195" s="181"/>
      <c r="AW195" s="182"/>
      <c r="AX195" s="180"/>
      <c r="AY195" s="181"/>
      <c r="AZ195" s="182"/>
      <c r="BA195" s="180"/>
      <c r="BC195" s="135"/>
      <c r="BD195" s="135"/>
      <c r="BE195" s="135"/>
      <c r="BF195" s="135"/>
      <c r="BG195" s="135"/>
      <c r="BH195" s="135"/>
      <c r="BI195" s="135"/>
      <c r="BJ195" s="135"/>
      <c r="BK195" s="135"/>
      <c r="BL195" s="135"/>
      <c r="BM195" s="135"/>
      <c r="BN195" s="135"/>
      <c r="BO195" s="135"/>
      <c r="BP195" s="135"/>
      <c r="BQ195" s="135"/>
      <c r="BR195" s="135"/>
      <c r="BS195" s="135"/>
    </row>
    <row r="196" spans="3:71">
      <c r="F196" s="48" t="s">
        <v>11</v>
      </c>
      <c r="G196" s="48">
        <f>SUBTOTAL(9,G4:G194)</f>
        <v>3630.1</v>
      </c>
      <c r="H196" s="94"/>
      <c r="I196" s="94"/>
      <c r="J196" s="94"/>
      <c r="K196" s="94"/>
      <c r="L196" s="94"/>
      <c r="M196" s="94"/>
      <c r="N196" s="94"/>
      <c r="O196" s="105" t="s">
        <v>11</v>
      </c>
      <c r="P196" s="48">
        <f>SUBTOTAL(9,P4:P194)</f>
        <v>6663995.8100000005</v>
      </c>
      <c r="Q196" s="48">
        <f>S196/G196</f>
        <v>1710.4292058070027</v>
      </c>
      <c r="R196" s="48">
        <f>SUBTOTAL(9,R4:R194)</f>
        <v>454966.75</v>
      </c>
      <c r="S196" s="48">
        <f>SUBTOTAL(9,S4:S194)</f>
        <v>6209029.0600000005</v>
      </c>
      <c r="T196" s="49"/>
      <c r="U196" s="49"/>
      <c r="V196" s="49"/>
      <c r="W196" s="49"/>
      <c r="X196" s="49"/>
      <c r="Y196" s="49"/>
      <c r="Z196" s="49"/>
      <c r="AA196" s="49"/>
      <c r="AB196" s="49"/>
      <c r="AC196" s="48">
        <f>AH196/G196</f>
        <v>1833.3779880048687</v>
      </c>
      <c r="AD196" s="48">
        <f>SUBTOTAL(9,AD4:AD194)</f>
        <v>4044460.2295196825</v>
      </c>
      <c r="AE196" s="48">
        <f>SUBTOTAL(9,AE4:AE194)</f>
        <v>1299577.8117155691</v>
      </c>
      <c r="AF196" s="48">
        <f>SUBTOTAL(9,AF4:AF194)</f>
        <v>61558.772587506064</v>
      </c>
      <c r="AG196" s="48">
        <f>SUBTOTAL(9,AG4:AG194)</f>
        <v>1249748.6204337126</v>
      </c>
      <c r="AH196" s="48">
        <f>SUBTOTAL(9,AH4:AH194)</f>
        <v>6655345.4342564736</v>
      </c>
      <c r="AI196" s="48"/>
      <c r="AJ196" s="48"/>
      <c r="AK196" s="48"/>
      <c r="AL196" s="48">
        <f>SUBTOTAL(9,AL4:AL194)</f>
        <v>8650.3757435298685</v>
      </c>
      <c r="AM196" s="106">
        <f>AL196/$P196</f>
        <v>1.298076407933676E-3</v>
      </c>
      <c r="AN196" s="48">
        <f t="shared" ref="AN196:AT196" si="241">SUBTOTAL(9,AN4:AN194)</f>
        <v>454966.75</v>
      </c>
      <c r="AO196" s="48">
        <f t="shared" si="241"/>
        <v>71812.072680862417</v>
      </c>
      <c r="AP196" s="48">
        <f t="shared" si="241"/>
        <v>202542.84926312519</v>
      </c>
      <c r="AQ196" s="48">
        <f t="shared" si="241"/>
        <v>729321.67194398737</v>
      </c>
      <c r="AR196" s="48">
        <f t="shared" si="241"/>
        <v>135183.00000000003</v>
      </c>
      <c r="AS196" s="48">
        <f t="shared" si="241"/>
        <v>184276.39349999992</v>
      </c>
      <c r="AT196" s="48">
        <f t="shared" si="241"/>
        <v>-671577.90270045726</v>
      </c>
      <c r="AU196" s="106">
        <f>AT196/$P196</f>
        <v>-0.10077705956727744</v>
      </c>
      <c r="AV196" s="48">
        <f>SUBTOTAL(9,AV4:AV194)</f>
        <v>302970.99999999994</v>
      </c>
      <c r="AW196" s="48">
        <f>SUBTOTAL(9,AW4:AW194)</f>
        <v>-974548.90270045737</v>
      </c>
      <c r="AX196" s="106">
        <f>AW196/$P196</f>
        <v>-0.14624092368696393</v>
      </c>
      <c r="AY196" s="48">
        <f>SUBTOTAL(9,AY4:AY194)</f>
        <v>247688.5666666661</v>
      </c>
      <c r="AZ196" s="48">
        <f>SUBTOTAL(9,AZ4:AZ194)</f>
        <v>-423889.33603379154</v>
      </c>
      <c r="BA196" s="106">
        <f>AZ196/$P196</f>
        <v>-6.360888393682701E-2</v>
      </c>
      <c r="BB196" s="48"/>
      <c r="BC196" s="48">
        <f>P196/$G196</f>
        <v>1835.7609459794498</v>
      </c>
      <c r="BD196" s="48">
        <f>-AD196/$G196</f>
        <v>-1114.1456790500765</v>
      </c>
      <c r="BE196" s="48">
        <f>-AE196/$G196</f>
        <v>-358.00055417635031</v>
      </c>
      <c r="BF196" s="48">
        <f>-AF196/$G196</f>
        <v>-16.957872396767602</v>
      </c>
      <c r="BG196" s="48">
        <f t="shared" ref="BG196" si="242">-AG196/$G196</f>
        <v>-344.27388238167339</v>
      </c>
      <c r="BH196" s="48">
        <f t="shared" ref="BH196" si="243">-AH196/$G196</f>
        <v>-1833.3779880048687</v>
      </c>
      <c r="BI196" s="48">
        <f t="shared" ref="BI196" si="244">AL196/$G196</f>
        <v>2.3829579745819314</v>
      </c>
      <c r="BJ196" s="48">
        <f t="shared" ref="BJ196" si="245">-AN196/$G196</f>
        <v>-125.33174017244704</v>
      </c>
      <c r="BK196" s="48">
        <f t="shared" ref="BK196" si="246">-AP196/$G196</f>
        <v>-55.795391108543896</v>
      </c>
      <c r="BL196" s="48">
        <f t="shared" ref="BL196" si="247">-AQ196/$G196</f>
        <v>-200.90952644389614</v>
      </c>
      <c r="BM196" s="48">
        <f t="shared" ref="BM196" si="248">-AR196/$G196</f>
        <v>-37.239469987052708</v>
      </c>
      <c r="BN196" s="48">
        <f t="shared" ref="BN196" si="249">AS196/$G196</f>
        <v>50.763448252114244</v>
      </c>
      <c r="BO196" s="48">
        <f t="shared" ref="BO196" si="250">AT196/$G196</f>
        <v>-185.00259020425258</v>
      </c>
      <c r="BP196" s="48">
        <f t="shared" ref="BP196" si="251">-AV196/$G196</f>
        <v>-83.460786204236783</v>
      </c>
      <c r="BQ196" s="48">
        <f t="shared" ref="BQ196" si="252">AW196/$G196</f>
        <v>-268.46337640848941</v>
      </c>
      <c r="BR196" s="48">
        <f t="shared" ref="BR196" si="253">AY196/$G196</f>
        <v>68.231885255686095</v>
      </c>
      <c r="BS196" s="48">
        <f t="shared" ref="BS196" si="254">AZ196/$G196</f>
        <v>-116.77070494856657</v>
      </c>
    </row>
    <row r="197" spans="3:71">
      <c r="P197" s="54">
        <v>12150150.620000001</v>
      </c>
      <c r="Z197" s="47"/>
      <c r="AH197" s="54">
        <v>-4268328.5899999598</v>
      </c>
      <c r="AI197" s="56">
        <f>AH197+AH196</f>
        <v>2387016.8442565138</v>
      </c>
      <c r="AO197">
        <v>-162303.29519999999</v>
      </c>
    </row>
    <row r="198" spans="3:71">
      <c r="AG198" s="112">
        <v>377245.89317473356</v>
      </c>
      <c r="AH198" s="56"/>
      <c r="AI198" s="112">
        <v>2033.56</v>
      </c>
      <c r="AO198" s="56">
        <f>AO197+AQ196</f>
        <v>567018.37674398744</v>
      </c>
      <c r="AP198">
        <f>AO198/G196</f>
        <v>156.19910656565588</v>
      </c>
      <c r="AQ198" s="56"/>
      <c r="AR198">
        <v>780.90499999999997</v>
      </c>
      <c r="AX198" s="110"/>
      <c r="AY198" s="110"/>
    </row>
    <row r="199" spans="3:71">
      <c r="P199" s="212">
        <v>-236059.99</v>
      </c>
      <c r="AC199">
        <v>9964.2541747368523</v>
      </c>
      <c r="AE199" s="108"/>
      <c r="AG199">
        <v>7966.54</v>
      </c>
      <c r="AH199">
        <f>51*AC200</f>
        <v>95476.08</v>
      </c>
      <c r="AI199" s="108">
        <f>AI197/AI198</f>
        <v>1173.8118591320215</v>
      </c>
      <c r="AK199" s="108"/>
      <c r="AX199" s="110"/>
      <c r="AY199" s="110"/>
    </row>
    <row r="200" spans="3:71">
      <c r="AC200" s="112">
        <v>1872.08</v>
      </c>
      <c r="AD200">
        <f>241000/AC200</f>
        <v>128.73381479423958</v>
      </c>
      <c r="AG200" s="110">
        <f>AG198/AG199</f>
        <v>47.353793889785727</v>
      </c>
      <c r="AH200" s="110">
        <f>AH199+AH196</f>
        <v>6750821.5142564736</v>
      </c>
      <c r="AJ200" s="108"/>
      <c r="AK200" s="108"/>
      <c r="AX200" s="110"/>
      <c r="AY200" s="110"/>
    </row>
    <row r="201" spans="3:71">
      <c r="AC201" s="118">
        <f>AC199/AC200</f>
        <v>5.3225578900137025</v>
      </c>
      <c r="AH201" s="119"/>
      <c r="AO201">
        <v>-42670.560000000005</v>
      </c>
      <c r="AP201" s="56">
        <f>AO201+AQ196</f>
        <v>686651.11194398731</v>
      </c>
      <c r="AX201" s="110"/>
      <c r="AY201" s="110"/>
    </row>
    <row r="202" spans="3:71">
      <c r="AG202" s="248">
        <v>15231</v>
      </c>
      <c r="AH202" s="108"/>
      <c r="AP202">
        <f>AP201/G196</f>
        <v>189.15487505688199</v>
      </c>
      <c r="AX202" s="110"/>
      <c r="AY202" s="110"/>
    </row>
    <row r="203" spans="3:71">
      <c r="P203" s="112">
        <v>589800</v>
      </c>
      <c r="T203">
        <v>312060.49</v>
      </c>
      <c r="AI203" s="110"/>
      <c r="AJ203" s="110"/>
      <c r="AK203" s="110"/>
      <c r="AX203" s="110"/>
      <c r="AY203" s="110"/>
    </row>
    <row r="204" spans="3:71">
      <c r="P204" s="112">
        <v>-574200</v>
      </c>
      <c r="AH204" s="110"/>
      <c r="AX204" s="110"/>
      <c r="AY204" s="110"/>
    </row>
    <row r="205" spans="3:71">
      <c r="F205" s="217" t="s">
        <v>587</v>
      </c>
      <c r="G205" s="110">
        <v>1995.8</v>
      </c>
      <c r="P205" s="112">
        <f>P203+P204</f>
        <v>15600</v>
      </c>
      <c r="AC205" s="120"/>
      <c r="AH205" s="110"/>
    </row>
    <row r="206" spans="3:71">
      <c r="F206" s="217" t="s">
        <v>588</v>
      </c>
      <c r="G206" s="216">
        <v>0.35</v>
      </c>
      <c r="AC206" s="120"/>
      <c r="AH206" s="110"/>
    </row>
    <row r="207" spans="3:71">
      <c r="F207" s="217" t="s">
        <v>589</v>
      </c>
      <c r="G207" s="110">
        <f>G205*G206</f>
        <v>698.53</v>
      </c>
      <c r="R207" s="1"/>
      <c r="AH207" s="110"/>
    </row>
    <row r="208" spans="3:71">
      <c r="F208" s="217" t="s">
        <v>590</v>
      </c>
      <c r="G208" s="216">
        <v>0.25</v>
      </c>
      <c r="R208" s="1"/>
      <c r="AC208" s="118"/>
      <c r="AH208" s="119"/>
    </row>
    <row r="209" spans="6:34">
      <c r="AH209" s="108"/>
    </row>
    <row r="210" spans="6:34">
      <c r="F210" s="217" t="s">
        <v>591</v>
      </c>
      <c r="G210" s="110">
        <v>2110.1099999999997</v>
      </c>
    </row>
    <row r="211" spans="6:34">
      <c r="F211" s="217" t="s">
        <v>588</v>
      </c>
      <c r="G211" s="216">
        <v>0.35</v>
      </c>
      <c r="AC211" s="121"/>
      <c r="AH211" s="121"/>
    </row>
    <row r="212" spans="6:34">
      <c r="F212" s="217" t="s">
        <v>592</v>
      </c>
      <c r="G212" s="110">
        <f>G210*G211</f>
        <v>738.53849999999989</v>
      </c>
      <c r="AH212" s="108"/>
    </row>
    <row r="213" spans="6:34">
      <c r="F213" s="217" t="s">
        <v>590</v>
      </c>
      <c r="G213" s="216">
        <v>7.0000000000000007E-2</v>
      </c>
    </row>
  </sheetData>
  <autoFilter ref="C3:BS194" xr:uid="{FF29DF5D-4B52-4DC0-B796-EF7D4CAE41BF}">
    <filterColumn colId="0">
      <filters>
        <filter val="FEBRERO"/>
        <filter val="MARZO"/>
      </filters>
    </filterColumn>
  </autoFilter>
  <mergeCells count="1">
    <mergeCell ref="BC2:BS2"/>
  </mergeCells>
  <phoneticPr fontId="30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8D88-4969-4CEA-BD9F-3F5263A6244F}">
  <dimension ref="A2:R58"/>
  <sheetViews>
    <sheetView zoomScale="80" zoomScaleNormal="80" workbookViewId="0">
      <selection activeCell="G35" sqref="G35"/>
    </sheetView>
  </sheetViews>
  <sheetFormatPr baseColWidth="10" defaultRowHeight="14.4"/>
  <cols>
    <col min="1" max="1" width="18" bestFit="1" customWidth="1"/>
    <col min="4" max="4" width="39.6640625" bestFit="1" customWidth="1"/>
    <col min="5" max="5" width="11.6640625" bestFit="1" customWidth="1"/>
    <col min="6" max="6" width="13.44140625" bestFit="1" customWidth="1"/>
    <col min="7" max="7" width="15.44140625" bestFit="1" customWidth="1"/>
    <col min="8" max="8" width="12.44140625" bestFit="1" customWidth="1"/>
    <col min="9" max="9" width="11.109375" bestFit="1" customWidth="1"/>
    <col min="10" max="10" width="15" bestFit="1" customWidth="1"/>
    <col min="11" max="11" width="12.109375" customWidth="1"/>
    <col min="12" max="12" width="11.109375" bestFit="1" customWidth="1"/>
    <col min="13" max="13" width="18.5546875" bestFit="1" customWidth="1"/>
  </cols>
  <sheetData>
    <row r="2" spans="1:18">
      <c r="C2" s="51" t="s">
        <v>586</v>
      </c>
    </row>
    <row r="4" spans="1:18">
      <c r="C4" s="194" t="s">
        <v>297</v>
      </c>
      <c r="D4" s="194" t="s">
        <v>298</v>
      </c>
      <c r="E4" s="195" t="s">
        <v>574</v>
      </c>
      <c r="F4" s="195" t="s">
        <v>575</v>
      </c>
      <c r="G4" s="194" t="s">
        <v>576</v>
      </c>
      <c r="H4" s="194" t="s">
        <v>577</v>
      </c>
      <c r="I4" s="194" t="s">
        <v>578</v>
      </c>
      <c r="J4" s="194" t="s">
        <v>89</v>
      </c>
      <c r="K4" s="194" t="s">
        <v>11</v>
      </c>
      <c r="O4" s="194" t="s">
        <v>89</v>
      </c>
      <c r="P4" s="194" t="s">
        <v>581</v>
      </c>
      <c r="Q4" s="194" t="s">
        <v>579</v>
      </c>
      <c r="R4" s="194" t="s">
        <v>580</v>
      </c>
    </row>
    <row r="5" spans="1:18">
      <c r="A5" t="b">
        <f>B5=Resumen!Z45</f>
        <v>1</v>
      </c>
      <c r="B5">
        <f>INDEX('Costos Producción Marzo'!$A$5:$A$37,MATCH(D5,'Costos Producción Marzo'!$C$5:$C$37,0))</f>
        <v>10006720</v>
      </c>
      <c r="C5" s="7" t="s">
        <v>584</v>
      </c>
      <c r="D5" s="7" t="s">
        <v>326</v>
      </c>
      <c r="E5" s="10">
        <v>542.34</v>
      </c>
      <c r="F5" s="10">
        <v>1594.5633182136667</v>
      </c>
      <c r="G5" s="10">
        <v>554933.23</v>
      </c>
      <c r="H5" s="10">
        <v>116723.15999999999</v>
      </c>
      <c r="I5" s="10">
        <v>8080.52</v>
      </c>
      <c r="J5" s="10">
        <f>SUM(O5:R5)</f>
        <v>185058.56</v>
      </c>
      <c r="K5" s="196">
        <f>SUM(G5:J5)</f>
        <v>864795.47</v>
      </c>
      <c r="O5" s="7">
        <v>117460</v>
      </c>
      <c r="P5" s="7">
        <v>69186.31</v>
      </c>
      <c r="Q5" s="7">
        <v>-2811.73</v>
      </c>
      <c r="R5" s="7">
        <v>1223.98</v>
      </c>
    </row>
    <row r="6" spans="1:18">
      <c r="B6">
        <f>INDEX('Costos Producción Marzo'!$A$5:$A$37,MATCH(D6,'Costos Producción Marzo'!$C$5:$C$37,0))</f>
        <v>10009178</v>
      </c>
      <c r="C6" s="7" t="s">
        <v>584</v>
      </c>
      <c r="D6" s="7" t="s">
        <v>439</v>
      </c>
      <c r="E6" s="10">
        <v>8.2200000000000006</v>
      </c>
      <c r="F6" s="10">
        <v>1571.4975669099754</v>
      </c>
      <c r="G6" s="10">
        <v>8381.4</v>
      </c>
      <c r="H6" s="10">
        <v>1617.02</v>
      </c>
      <c r="I6" s="10">
        <v>133.13999999999999</v>
      </c>
      <c r="J6" s="10">
        <f t="shared" ref="J6:J29" si="0">SUM(O6:R6)</f>
        <v>2786.15</v>
      </c>
      <c r="K6" s="196">
        <f t="shared" ref="K6:K29" si="1">SUM(G6:J6)</f>
        <v>12917.71</v>
      </c>
      <c r="O6" s="7">
        <v>1780.31</v>
      </c>
      <c r="P6" s="7">
        <v>1048.6300000000001</v>
      </c>
      <c r="Q6" s="7">
        <v>-42.79</v>
      </c>
      <c r="R6" s="7">
        <v>0</v>
      </c>
    </row>
    <row r="7" spans="1:18">
      <c r="B7" t="e">
        <f>INDEX('Costos Producción Marzo'!$A$5:$A$37,MATCH(D7,'Costos Producción Marzo'!$C$5:$C$37,0))</f>
        <v>#N/A</v>
      </c>
      <c r="C7" s="7" t="s">
        <v>584</v>
      </c>
      <c r="D7" s="7" t="s">
        <v>450</v>
      </c>
      <c r="E7" s="10">
        <v>0.36</v>
      </c>
      <c r="F7" s="10">
        <v>1804</v>
      </c>
      <c r="G7" s="10">
        <v>370.25</v>
      </c>
      <c r="H7" s="10">
        <v>151.19999999999999</v>
      </c>
      <c r="I7" s="10">
        <v>5.92</v>
      </c>
      <c r="J7" s="10">
        <f t="shared" si="0"/>
        <v>122.07000000000001</v>
      </c>
      <c r="K7" s="196">
        <f t="shared" si="1"/>
        <v>649.44000000000005</v>
      </c>
      <c r="O7" s="7">
        <v>77.97</v>
      </c>
      <c r="P7" s="7">
        <v>45.93</v>
      </c>
      <c r="Q7" s="7">
        <v>-1.83</v>
      </c>
      <c r="R7" s="7">
        <v>0</v>
      </c>
    </row>
    <row r="8" spans="1:18">
      <c r="A8" t="b">
        <f>B8=Resumen!Z50</f>
        <v>1</v>
      </c>
      <c r="B8">
        <f>INDEX('Costos Producción Marzo'!$A$5:$A$37,MATCH(D8,'Costos Producción Marzo'!$C$5:$C$37,0))</f>
        <v>10009331</v>
      </c>
      <c r="C8" s="7" t="s">
        <v>584</v>
      </c>
      <c r="D8" s="7" t="s">
        <v>403</v>
      </c>
      <c r="E8" s="10">
        <v>40.518000000000001</v>
      </c>
      <c r="F8" s="10">
        <v>1762.2155585172025</v>
      </c>
      <c r="G8" s="10">
        <v>40743.58</v>
      </c>
      <c r="H8" s="10">
        <v>16164.36</v>
      </c>
      <c r="I8" s="10">
        <v>740.31999999999982</v>
      </c>
      <c r="J8" s="10">
        <f t="shared" si="0"/>
        <v>13753.19</v>
      </c>
      <c r="K8" s="196">
        <f t="shared" si="1"/>
        <v>71401.45</v>
      </c>
      <c r="O8" s="7">
        <v>8775.39</v>
      </c>
      <c r="P8" s="7">
        <v>5168.88</v>
      </c>
      <c r="Q8" s="7">
        <v>-191.08000000000004</v>
      </c>
      <c r="R8" s="7">
        <v>0</v>
      </c>
    </row>
    <row r="9" spans="1:18">
      <c r="B9">
        <f>INDEX('Costos Producción Marzo'!$A$5:$A$37,MATCH(D9,'Costos Producción Marzo'!$C$5:$C$37,0))</f>
        <v>10009334</v>
      </c>
      <c r="C9" s="7" t="s">
        <v>584</v>
      </c>
      <c r="D9" s="7" t="s">
        <v>452</v>
      </c>
      <c r="E9" s="10">
        <v>2.5739999999999998</v>
      </c>
      <c r="F9" s="10">
        <v>1791.3791763791767</v>
      </c>
      <c r="G9" s="10">
        <v>2610.9700000000003</v>
      </c>
      <c r="H9" s="10">
        <v>1081.08</v>
      </c>
      <c r="I9" s="10">
        <v>45.940000000000005</v>
      </c>
      <c r="J9" s="10">
        <f t="shared" si="0"/>
        <v>873.02</v>
      </c>
      <c r="K9" s="196">
        <f t="shared" si="1"/>
        <v>4611.01</v>
      </c>
      <c r="O9" s="7">
        <v>557.48</v>
      </c>
      <c r="P9" s="7">
        <v>328.37</v>
      </c>
      <c r="Q9" s="7">
        <v>-12.83</v>
      </c>
      <c r="R9" s="7">
        <v>0</v>
      </c>
    </row>
    <row r="10" spans="1:18">
      <c r="A10" t="b">
        <f>B10=Resumen!Z43</f>
        <v>1</v>
      </c>
      <c r="B10">
        <f>INDEX('Costos Producción Marzo'!$A$5:$A$37,MATCH(D10,'Costos Producción Marzo'!$C$5:$C$37,0))</f>
        <v>10007969</v>
      </c>
      <c r="C10" s="7" t="s">
        <v>584</v>
      </c>
      <c r="D10" s="7" t="s">
        <v>436</v>
      </c>
      <c r="E10" s="10">
        <v>52.86</v>
      </c>
      <c r="F10" s="10">
        <v>1205.0788876276961</v>
      </c>
      <c r="G10" s="10">
        <v>53960.46</v>
      </c>
      <c r="H10" s="10">
        <v>10836.300000000001</v>
      </c>
      <c r="I10" s="10">
        <v>833.84</v>
      </c>
      <c r="J10" s="10">
        <f t="shared" si="0"/>
        <v>-1930.1300000000003</v>
      </c>
      <c r="K10" s="196">
        <f t="shared" si="1"/>
        <v>63700.470000000008</v>
      </c>
      <c r="O10" s="7">
        <v>0</v>
      </c>
      <c r="P10" s="7">
        <v>0</v>
      </c>
      <c r="Q10" s="7">
        <v>-1930.1300000000003</v>
      </c>
      <c r="R10" s="7">
        <v>0</v>
      </c>
    </row>
    <row r="11" spans="1:18">
      <c r="A11" t="b">
        <f>B11=Resumen!Z52</f>
        <v>1</v>
      </c>
      <c r="B11">
        <f>INDEX('Costos Producción Marzo'!$A$5:$A$37,MATCH(D11,'Costos Producción Marzo'!$C$5:$C$37,0))</f>
        <v>10005721</v>
      </c>
      <c r="C11" s="7" t="s">
        <v>584</v>
      </c>
      <c r="D11" s="7" t="s">
        <v>427</v>
      </c>
      <c r="E11" s="10">
        <v>659.62</v>
      </c>
      <c r="F11" s="10">
        <v>1672.2065734817018</v>
      </c>
      <c r="G11" s="10">
        <v>669876.63000000012</v>
      </c>
      <c r="H11" s="10">
        <v>196287.76</v>
      </c>
      <c r="I11" s="10">
        <v>12025.03</v>
      </c>
      <c r="J11" s="10">
        <f t="shared" si="0"/>
        <v>224831.48</v>
      </c>
      <c r="K11" s="196">
        <f t="shared" si="1"/>
        <v>1103020.9000000001</v>
      </c>
      <c r="O11" s="7">
        <v>142860.52000000002</v>
      </c>
      <c r="P11" s="7">
        <v>84147.72</v>
      </c>
      <c r="Q11" s="7">
        <v>-3416.29</v>
      </c>
      <c r="R11" s="7">
        <v>1239.53</v>
      </c>
    </row>
    <row r="12" spans="1:18">
      <c r="B12">
        <f>INDEX('Costos Producción Marzo'!$A$5:$A$37,MATCH(D12,'Costos Producción Marzo'!$C$5:$C$37,0))</f>
        <v>10004435</v>
      </c>
      <c r="C12" s="7" t="s">
        <v>584</v>
      </c>
      <c r="D12" s="7" t="s">
        <v>426</v>
      </c>
      <c r="E12" s="10">
        <v>154.19999999999999</v>
      </c>
      <c r="F12" s="10">
        <v>1710.3250972762648</v>
      </c>
      <c r="G12" s="10">
        <v>157649.82000000004</v>
      </c>
      <c r="H12" s="10">
        <v>51614.64</v>
      </c>
      <c r="I12" s="10">
        <v>2180.8400000000006</v>
      </c>
      <c r="J12" s="10">
        <f t="shared" si="0"/>
        <v>52286.83</v>
      </c>
      <c r="K12" s="196">
        <f t="shared" si="1"/>
        <v>263732.13</v>
      </c>
      <c r="O12" s="7">
        <v>33396.65</v>
      </c>
      <c r="P12" s="7">
        <v>19671.289999999997</v>
      </c>
      <c r="Q12" s="7">
        <v>-781.11</v>
      </c>
      <c r="R12" s="7">
        <v>0</v>
      </c>
    </row>
    <row r="13" spans="1:18">
      <c r="B13">
        <f>INDEX('Costos Producción Marzo'!$A$5:$A$37,MATCH(D13,'Costos Producción Marzo'!$C$5:$C$37,0))</f>
        <v>10009251</v>
      </c>
      <c r="C13" s="7" t="s">
        <v>584</v>
      </c>
      <c r="D13" s="7" t="s">
        <v>460</v>
      </c>
      <c r="E13" s="10">
        <v>2.63</v>
      </c>
      <c r="F13" s="10">
        <v>1621.6311787072245</v>
      </c>
      <c r="G13" s="10">
        <v>2551.33</v>
      </c>
      <c r="H13" s="10">
        <v>789</v>
      </c>
      <c r="I13" s="10">
        <v>29.76</v>
      </c>
      <c r="J13" s="10">
        <f t="shared" si="0"/>
        <v>894.8</v>
      </c>
      <c r="K13" s="196">
        <f t="shared" si="1"/>
        <v>4264.8900000000003</v>
      </c>
      <c r="O13" s="7">
        <v>569.61</v>
      </c>
      <c r="P13" s="7">
        <v>335.51</v>
      </c>
      <c r="Q13" s="7">
        <v>-10.32</v>
      </c>
      <c r="R13" s="7">
        <v>0</v>
      </c>
    </row>
    <row r="14" spans="1:18">
      <c r="B14" t="e">
        <f>B7</f>
        <v>#N/A</v>
      </c>
      <c r="C14" s="7" t="s">
        <v>584</v>
      </c>
      <c r="D14" s="7" t="s">
        <v>446</v>
      </c>
      <c r="E14" s="10">
        <v>5.76</v>
      </c>
      <c r="F14" s="10">
        <v>2069.0486111111113</v>
      </c>
      <c r="G14" s="10">
        <v>5859.2000000000007</v>
      </c>
      <c r="H14" s="10">
        <v>4021.3399999999997</v>
      </c>
      <c r="I14" s="10">
        <v>83.100000000000009</v>
      </c>
      <c r="J14" s="10">
        <f t="shared" si="0"/>
        <v>1954.08</v>
      </c>
      <c r="K14" s="196">
        <f t="shared" si="1"/>
        <v>11917.720000000001</v>
      </c>
      <c r="O14" s="7">
        <v>1247.51</v>
      </c>
      <c r="P14" s="7">
        <v>734.81</v>
      </c>
      <c r="Q14" s="7">
        <v>-28.240000000000002</v>
      </c>
      <c r="R14" s="7">
        <v>0</v>
      </c>
    </row>
    <row r="15" spans="1:18">
      <c r="A15" t="b">
        <f>B15=Resumen!Z67</f>
        <v>1</v>
      </c>
      <c r="B15">
        <f>INDEX('Costos Producción Marzo'!$A$5:$A$37,MATCH(D15,'Costos Producción Marzo'!$C$5:$C$37,0))</f>
        <v>10009239</v>
      </c>
      <c r="C15" s="7" t="s">
        <v>584</v>
      </c>
      <c r="D15" s="7" t="s">
        <v>389</v>
      </c>
      <c r="E15" s="10">
        <v>220.08</v>
      </c>
      <c r="F15" s="10">
        <v>2067.1870683387856</v>
      </c>
      <c r="G15" s="10">
        <v>223723.46999999997</v>
      </c>
      <c r="H15" s="10">
        <v>145855.36000000002</v>
      </c>
      <c r="I15" s="10">
        <v>2671.12</v>
      </c>
      <c r="J15" s="10">
        <f t="shared" si="0"/>
        <v>82696.579999999987</v>
      </c>
      <c r="K15" s="196">
        <f t="shared" si="1"/>
        <v>454946.52999999991</v>
      </c>
      <c r="O15" s="7">
        <v>47145.130000000005</v>
      </c>
      <c r="P15" s="7">
        <v>27769.43</v>
      </c>
      <c r="Q15" s="7">
        <v>-1082.3799999999999</v>
      </c>
      <c r="R15" s="7">
        <v>8864.4</v>
      </c>
    </row>
    <row r="16" spans="1:18">
      <c r="B16">
        <f>INDEX('Costos Producción Marzo'!$A$5:$A$37,MATCH(D16,'Costos Producción Marzo'!$C$5:$C$37,0))</f>
        <v>10009207</v>
      </c>
      <c r="C16" s="7" t="s">
        <v>584</v>
      </c>
      <c r="D16" s="7" t="s">
        <v>443</v>
      </c>
      <c r="E16" s="10">
        <v>10.5</v>
      </c>
      <c r="F16" s="10">
        <v>1216.0695238095238</v>
      </c>
      <c r="G16" s="10">
        <v>10773.890000000001</v>
      </c>
      <c r="H16" s="10">
        <v>1889.9999999999998</v>
      </c>
      <c r="I16" s="10">
        <v>158.78000000000003</v>
      </c>
      <c r="J16" s="10">
        <f t="shared" si="0"/>
        <v>-53.940000000000012</v>
      </c>
      <c r="K16" s="196">
        <f t="shared" si="1"/>
        <v>12768.730000000001</v>
      </c>
      <c r="O16" s="7">
        <v>0</v>
      </c>
      <c r="P16" s="7">
        <v>0</v>
      </c>
      <c r="Q16" s="7">
        <v>-53.940000000000012</v>
      </c>
      <c r="R16" s="7">
        <v>0</v>
      </c>
    </row>
    <row r="17" spans="1:18">
      <c r="B17">
        <f>INDEX('Costos Producción Marzo'!$A$5:$A$37,MATCH(D17,'Costos Producción Marzo'!$C$5:$C$37,0))</f>
        <v>10005776</v>
      </c>
      <c r="C17" s="7" t="s">
        <v>584</v>
      </c>
      <c r="D17" s="7" t="s">
        <v>428</v>
      </c>
      <c r="E17" s="10">
        <v>3</v>
      </c>
      <c r="F17" s="10">
        <v>1747.6000000000004</v>
      </c>
      <c r="G17" s="10">
        <v>3027.93</v>
      </c>
      <c r="H17" s="10">
        <v>1170</v>
      </c>
      <c r="I17" s="10">
        <v>27.72</v>
      </c>
      <c r="J17" s="10">
        <f t="shared" si="0"/>
        <v>1017.15</v>
      </c>
      <c r="K17" s="196">
        <f t="shared" si="1"/>
        <v>5242.8</v>
      </c>
      <c r="O17" s="7">
        <v>649.75</v>
      </c>
      <c r="P17" s="7">
        <v>382.71999999999997</v>
      </c>
      <c r="Q17" s="7">
        <v>-15.319999999999999</v>
      </c>
      <c r="R17" s="7">
        <v>0</v>
      </c>
    </row>
    <row r="18" spans="1:18">
      <c r="A18" t="b">
        <f>Resumen!Z61=B18</f>
        <v>1</v>
      </c>
      <c r="B18">
        <f>INDEX('Costos Producción Marzo'!$A$5:$A$37,MATCH(D18,'Costos Producción Marzo'!$C$5:$C$37,0))</f>
        <v>10005779</v>
      </c>
      <c r="C18" s="7" t="s">
        <v>584</v>
      </c>
      <c r="D18" s="7" t="s">
        <v>352</v>
      </c>
      <c r="E18" s="10">
        <v>142.12</v>
      </c>
      <c r="F18" s="10">
        <v>1765.0739515902051</v>
      </c>
      <c r="G18" s="10">
        <v>145645.04</v>
      </c>
      <c r="H18" s="10">
        <v>55426.799999999996</v>
      </c>
      <c r="I18" s="10">
        <v>1602.27</v>
      </c>
      <c r="J18" s="10">
        <f t="shared" si="0"/>
        <v>48178.2</v>
      </c>
      <c r="K18" s="196">
        <f t="shared" si="1"/>
        <v>250852.31</v>
      </c>
      <c r="O18" s="7">
        <v>30780.369999999995</v>
      </c>
      <c r="P18" s="7">
        <v>18130.25</v>
      </c>
      <c r="Q18" s="7">
        <v>-732.42000000000019</v>
      </c>
      <c r="R18" s="7">
        <v>0</v>
      </c>
    </row>
    <row r="19" spans="1:18">
      <c r="B19">
        <f>INDEX('Costos Producción Marzo'!$A$5:$A$37,MATCH(D19,'Costos Producción Marzo'!$C$5:$C$37,0))</f>
        <v>10005781</v>
      </c>
      <c r="C19" s="7" t="s">
        <v>584</v>
      </c>
      <c r="D19" s="7" t="s">
        <v>363</v>
      </c>
      <c r="E19" s="10">
        <v>39.1</v>
      </c>
      <c r="F19" s="10">
        <v>1766.4485933503836</v>
      </c>
      <c r="G19" s="10">
        <v>39977.200000000004</v>
      </c>
      <c r="H19" s="10">
        <v>15249</v>
      </c>
      <c r="I19" s="10">
        <v>586.07999999999993</v>
      </c>
      <c r="J19" s="10">
        <f t="shared" si="0"/>
        <v>13255.86</v>
      </c>
      <c r="K19" s="196">
        <f t="shared" si="1"/>
        <v>69068.140000000014</v>
      </c>
      <c r="O19" s="7">
        <v>8468.2800000000007</v>
      </c>
      <c r="P19" s="7">
        <v>4987.99</v>
      </c>
      <c r="Q19" s="7">
        <v>-200.41</v>
      </c>
      <c r="R19" s="7">
        <v>0</v>
      </c>
    </row>
    <row r="20" spans="1:18">
      <c r="B20">
        <f>INDEX('Costos Producción Marzo'!$A$5:$A$37,MATCH(D20,'Costos Producción Marzo'!$C$5:$C$37,0))</f>
        <v>10007050</v>
      </c>
      <c r="C20" s="7" t="s">
        <v>584</v>
      </c>
      <c r="D20" s="7" t="s">
        <v>432</v>
      </c>
      <c r="E20" s="10">
        <v>0.5</v>
      </c>
      <c r="F20" s="10">
        <v>1172.6999999999998</v>
      </c>
      <c r="G20" s="10">
        <v>490.39</v>
      </c>
      <c r="H20" s="10">
        <v>90</v>
      </c>
      <c r="I20" s="10">
        <v>8.5499999999999989</v>
      </c>
      <c r="J20" s="10">
        <f t="shared" si="0"/>
        <v>-2.59</v>
      </c>
      <c r="K20" s="196">
        <f t="shared" si="1"/>
        <v>586.34999999999991</v>
      </c>
      <c r="O20" s="7">
        <v>0</v>
      </c>
      <c r="P20" s="7">
        <v>0</v>
      </c>
      <c r="Q20" s="7">
        <v>-2.59</v>
      </c>
      <c r="R20" s="7">
        <v>0</v>
      </c>
    </row>
    <row r="21" spans="1:18">
      <c r="B21">
        <f>INDEX('Costos Producción Marzo'!$A$5:$A$37,MATCH(D21,'Costos Producción Marzo'!$C$5:$C$37,0))</f>
        <v>10007050</v>
      </c>
      <c r="C21" s="7" t="s">
        <v>584</v>
      </c>
      <c r="D21" s="7" t="s">
        <v>454</v>
      </c>
      <c r="E21" s="10">
        <v>26.774999999999999</v>
      </c>
      <c r="F21" s="10">
        <v>1286.3458450046687</v>
      </c>
      <c r="G21" s="10">
        <v>27240.84</v>
      </c>
      <c r="H21" s="10">
        <v>5619.0199999999995</v>
      </c>
      <c r="I21" s="10">
        <v>466.11999999999989</v>
      </c>
      <c r="J21" s="10">
        <f t="shared" si="0"/>
        <v>1115.93</v>
      </c>
      <c r="K21" s="196">
        <f t="shared" si="1"/>
        <v>34441.910000000003</v>
      </c>
      <c r="O21" s="7">
        <v>0</v>
      </c>
      <c r="P21" s="7">
        <v>0</v>
      </c>
      <c r="Q21" s="7">
        <v>-132.07</v>
      </c>
      <c r="R21" s="7">
        <v>1248</v>
      </c>
    </row>
    <row r="22" spans="1:18">
      <c r="B22">
        <f>INDEX('Costos Producción Marzo'!$A$5:$A$37,MATCH(D22,'Costos Producción Marzo'!$C$5:$C$37,0))</f>
        <v>10007050</v>
      </c>
      <c r="C22" s="7" t="s">
        <v>584</v>
      </c>
      <c r="D22" s="7" t="s">
        <v>407</v>
      </c>
      <c r="E22" s="10">
        <v>25.545000000000002</v>
      </c>
      <c r="F22" s="10">
        <v>1270.5233900959092</v>
      </c>
      <c r="G22" s="10">
        <v>25988.75</v>
      </c>
      <c r="H22" s="10">
        <v>4747.26</v>
      </c>
      <c r="I22" s="10">
        <v>469.08000000000004</v>
      </c>
      <c r="J22" s="10">
        <f t="shared" si="0"/>
        <v>1250.4299999999998</v>
      </c>
      <c r="K22" s="196">
        <f t="shared" si="1"/>
        <v>32455.520000000004</v>
      </c>
      <c r="O22" s="7">
        <v>0</v>
      </c>
      <c r="P22" s="7">
        <v>0</v>
      </c>
      <c r="Q22" s="7">
        <v>-122.37</v>
      </c>
      <c r="R22" s="7">
        <v>1372.8</v>
      </c>
    </row>
    <row r="23" spans="1:18">
      <c r="B23">
        <f>INDEX('Costos Producción Marzo'!$A$5:$A$37,MATCH(D23,'Costos Producción Marzo'!$C$5:$C$37,0))</f>
        <v>10007050</v>
      </c>
      <c r="C23" s="7" t="s">
        <v>584</v>
      </c>
      <c r="D23" s="7" t="s">
        <v>431</v>
      </c>
      <c r="E23" s="10">
        <v>15.32</v>
      </c>
      <c r="F23" s="10">
        <v>1300.3054830287206</v>
      </c>
      <c r="G23" s="10">
        <v>14365.230000000001</v>
      </c>
      <c r="H23" s="10">
        <v>3407.7000000000007</v>
      </c>
      <c r="I23" s="10">
        <v>230.34</v>
      </c>
      <c r="J23" s="10">
        <f t="shared" si="0"/>
        <v>1917.4099999999999</v>
      </c>
      <c r="K23" s="196">
        <f t="shared" si="1"/>
        <v>19920.68</v>
      </c>
      <c r="O23" s="7">
        <v>0</v>
      </c>
      <c r="P23" s="7">
        <v>0</v>
      </c>
      <c r="Q23" s="7">
        <v>-66.189999999999984</v>
      </c>
      <c r="R23" s="7">
        <v>1983.6</v>
      </c>
    </row>
    <row r="24" spans="1:18">
      <c r="B24">
        <f>INDEX('Costos Producción Marzo'!$A$5:$A$37,MATCH(D24,'Costos Producción Marzo'!$C$5:$C$37,0))</f>
        <v>10007161</v>
      </c>
      <c r="C24" s="7" t="s">
        <v>584</v>
      </c>
      <c r="D24" s="7" t="s">
        <v>435</v>
      </c>
      <c r="E24" s="10">
        <v>3.22</v>
      </c>
      <c r="F24" s="10">
        <v>1648.4627329192549</v>
      </c>
      <c r="G24" s="10">
        <v>3247.62</v>
      </c>
      <c r="H24" s="10">
        <v>933.80000000000007</v>
      </c>
      <c r="I24" s="10">
        <v>35.200000000000003</v>
      </c>
      <c r="J24" s="10">
        <f t="shared" si="0"/>
        <v>1091.4299999999998</v>
      </c>
      <c r="K24" s="196">
        <f t="shared" si="1"/>
        <v>5308.0499999999993</v>
      </c>
      <c r="O24" s="7">
        <v>697.38999999999987</v>
      </c>
      <c r="P24" s="7">
        <v>410.77000000000004</v>
      </c>
      <c r="Q24" s="7">
        <v>-16.73</v>
      </c>
      <c r="R24" s="7">
        <v>0</v>
      </c>
    </row>
    <row r="25" spans="1:18">
      <c r="A25" t="b">
        <f>B25=Resumen!Z48</f>
        <v>1</v>
      </c>
      <c r="B25">
        <f>INDEX('Costos Producción Marzo'!$A$5:$A$37,MATCH(D25,'Costos Producción Marzo'!$C$5:$C$37,0))</f>
        <v>10007162</v>
      </c>
      <c r="C25" s="7" t="s">
        <v>584</v>
      </c>
      <c r="D25" s="7" t="s">
        <v>375</v>
      </c>
      <c r="E25" s="10">
        <v>319.66000000000003</v>
      </c>
      <c r="F25" s="10">
        <v>1665.8462115998248</v>
      </c>
      <c r="G25" s="10">
        <v>326505.41999999993</v>
      </c>
      <c r="H25" s="10">
        <v>92701.4</v>
      </c>
      <c r="I25" s="10">
        <v>4936.63</v>
      </c>
      <c r="J25" s="10">
        <f t="shared" si="0"/>
        <v>108360.95</v>
      </c>
      <c r="K25" s="196">
        <f t="shared" si="1"/>
        <v>532504.39999999991</v>
      </c>
      <c r="O25" s="7">
        <v>69231.97</v>
      </c>
      <c r="P25" s="7">
        <v>40779.03</v>
      </c>
      <c r="Q25" s="7">
        <v>-1650.0499999999997</v>
      </c>
      <c r="R25" s="7">
        <v>0</v>
      </c>
    </row>
    <row r="26" spans="1:18">
      <c r="B26">
        <f>INDEX('Costos Producción Marzo'!$A$5:$A$37,MATCH(D26,'Costos Producción Marzo'!$C$5:$C$37,0))</f>
        <v>10007162</v>
      </c>
      <c r="C26" s="7" t="s">
        <v>584</v>
      </c>
      <c r="D26" s="7" t="s">
        <v>455</v>
      </c>
      <c r="E26" s="10">
        <v>45.42</v>
      </c>
      <c r="F26" s="10">
        <v>1674.28225451343</v>
      </c>
      <c r="G26" s="10">
        <v>46863.23</v>
      </c>
      <c r="H26" s="10">
        <v>13171.8</v>
      </c>
      <c r="I26" s="10">
        <v>612.62</v>
      </c>
      <c r="J26" s="10">
        <f t="shared" si="0"/>
        <v>15398.25</v>
      </c>
      <c r="K26" s="196">
        <f t="shared" si="1"/>
        <v>76045.899999999994</v>
      </c>
      <c r="O26" s="7">
        <v>9837.07</v>
      </c>
      <c r="P26" s="7">
        <v>5794.2300000000005</v>
      </c>
      <c r="Q26" s="7">
        <v>-233.04999999999998</v>
      </c>
      <c r="R26" s="7">
        <v>0</v>
      </c>
    </row>
    <row r="27" spans="1:18">
      <c r="A27" t="b">
        <f>B27=Resumen!Z71</f>
        <v>1</v>
      </c>
      <c r="B27">
        <f>INDEX('Costos Producción Marzo'!$A$5:$A$37,MATCH(D27,'Costos Producción Marzo'!$C$5:$C$37,0))</f>
        <v>10007567</v>
      </c>
      <c r="C27" s="7" t="s">
        <v>584</v>
      </c>
      <c r="D27" s="7" t="s">
        <v>370</v>
      </c>
      <c r="E27" s="10">
        <v>76.98</v>
      </c>
      <c r="F27" s="10">
        <v>1652.2357755261105</v>
      </c>
      <c r="G27" s="10">
        <v>78549.78</v>
      </c>
      <c r="H27" s="10">
        <v>21169.5</v>
      </c>
      <c r="I27" s="10">
        <v>1372.8</v>
      </c>
      <c r="J27" s="10">
        <f t="shared" si="0"/>
        <v>26097.03</v>
      </c>
      <c r="K27" s="196">
        <f t="shared" si="1"/>
        <v>127189.11</v>
      </c>
      <c r="O27" s="7">
        <v>16672.34</v>
      </c>
      <c r="P27" s="7">
        <v>9820.33</v>
      </c>
      <c r="Q27" s="7">
        <v>-395.64000000000004</v>
      </c>
      <c r="R27" s="7">
        <v>0</v>
      </c>
    </row>
    <row r="28" spans="1:18">
      <c r="B28">
        <f>INDEX('Costos Producción Marzo'!$A$5:$A$37,MATCH(D28,'Costos Producción Marzo'!$C$5:$C$37,0))</f>
        <v>10009386</v>
      </c>
      <c r="C28" s="7" t="s">
        <v>584</v>
      </c>
      <c r="D28" s="7" t="s">
        <v>453</v>
      </c>
      <c r="E28" s="10">
        <v>10.24</v>
      </c>
      <c r="F28" s="10">
        <v>1219.5097656250002</v>
      </c>
      <c r="G28" s="10">
        <v>10544.550000000001</v>
      </c>
      <c r="H28" s="10">
        <v>1843.2</v>
      </c>
      <c r="I28" s="10">
        <v>152.35</v>
      </c>
      <c r="J28" s="10">
        <f t="shared" si="0"/>
        <v>-52.319999999999993</v>
      </c>
      <c r="K28" s="196">
        <f t="shared" si="1"/>
        <v>12487.780000000002</v>
      </c>
      <c r="O28" s="7">
        <v>0</v>
      </c>
      <c r="P28" s="7">
        <v>0</v>
      </c>
      <c r="Q28" s="7">
        <v>-52.319999999999993</v>
      </c>
      <c r="R28" s="7">
        <v>0</v>
      </c>
    </row>
    <row r="29" spans="1:18">
      <c r="C29" s="209" t="s">
        <v>585</v>
      </c>
      <c r="D29" s="209">
        <v>0</v>
      </c>
      <c r="E29" s="88">
        <v>2407.5419999999999</v>
      </c>
      <c r="F29" s="88">
        <v>1675.9123620688654</v>
      </c>
      <c r="G29" s="88">
        <v>2453880.2099999995</v>
      </c>
      <c r="H29" s="88">
        <v>762560.70000000019</v>
      </c>
      <c r="I29" s="88">
        <v>37488.07</v>
      </c>
      <c r="J29" s="88">
        <f t="shared" si="0"/>
        <v>780900.42000000016</v>
      </c>
      <c r="K29" s="50">
        <f t="shared" si="1"/>
        <v>4034829.3999999994</v>
      </c>
      <c r="O29" s="7">
        <v>490207.74000000005</v>
      </c>
      <c r="P29" s="7">
        <v>288742.2</v>
      </c>
      <c r="Q29" s="7">
        <v>-13981.829999999998</v>
      </c>
      <c r="R29" s="7">
        <v>15932.31</v>
      </c>
    </row>
    <row r="31" spans="1:18">
      <c r="C31" s="197" t="s">
        <v>583</v>
      </c>
    </row>
    <row r="33" spans="2:11">
      <c r="C33" s="194" t="s">
        <v>297</v>
      </c>
      <c r="D33" s="194" t="s">
        <v>298</v>
      </c>
      <c r="E33" s="195" t="s">
        <v>574</v>
      </c>
      <c r="F33" s="195" t="s">
        <v>575</v>
      </c>
      <c r="G33" s="194" t="s">
        <v>576</v>
      </c>
      <c r="H33" s="194" t="s">
        <v>577</v>
      </c>
      <c r="I33" s="194" t="s">
        <v>578</v>
      </c>
      <c r="J33" s="194" t="s">
        <v>89</v>
      </c>
      <c r="K33" s="194" t="s">
        <v>11</v>
      </c>
    </row>
    <row r="34" spans="2:11">
      <c r="B34">
        <f>B5</f>
        <v>10006720</v>
      </c>
      <c r="C34" s="7" t="s">
        <v>584</v>
      </c>
      <c r="D34" s="7" t="s">
        <v>326</v>
      </c>
      <c r="E34" s="10"/>
      <c r="F34" s="10"/>
      <c r="G34" s="199">
        <f t="shared" ref="G34:K43" si="2">G5/$K5</f>
        <v>0.64169303523294352</v>
      </c>
      <c r="H34" s="199">
        <f t="shared" si="2"/>
        <v>0.13497198360671339</v>
      </c>
      <c r="I34" s="199">
        <f t="shared" si="2"/>
        <v>9.3438509801629759E-3</v>
      </c>
      <c r="J34" s="199">
        <f t="shared" si="2"/>
        <v>0.21399113018018007</v>
      </c>
      <c r="K34" s="199">
        <f t="shared" si="2"/>
        <v>1</v>
      </c>
    </row>
    <row r="35" spans="2:11">
      <c r="B35">
        <f t="shared" ref="B35:B57" si="3">B6</f>
        <v>10009178</v>
      </c>
      <c r="C35" s="7" t="s">
        <v>584</v>
      </c>
      <c r="D35" s="7" t="s">
        <v>439</v>
      </c>
      <c r="E35" s="10"/>
      <c r="F35" s="10"/>
      <c r="G35" s="199">
        <f t="shared" si="2"/>
        <v>0.64883017191127534</v>
      </c>
      <c r="H35" s="199">
        <f t="shared" si="2"/>
        <v>0.12517853396615963</v>
      </c>
      <c r="I35" s="199">
        <f t="shared" si="2"/>
        <v>1.0306780381352422E-2</v>
      </c>
      <c r="J35" s="199">
        <f t="shared" si="2"/>
        <v>0.21568451374121267</v>
      </c>
      <c r="K35" s="199">
        <f t="shared" si="2"/>
        <v>1</v>
      </c>
    </row>
    <row r="36" spans="2:11">
      <c r="B36" t="e">
        <f t="shared" si="3"/>
        <v>#N/A</v>
      </c>
      <c r="C36" s="7" t="s">
        <v>584</v>
      </c>
      <c r="D36" s="7" t="s">
        <v>450</v>
      </c>
      <c r="E36" s="10"/>
      <c r="F36" s="10"/>
      <c r="G36" s="199">
        <f t="shared" si="2"/>
        <v>0.57010655333826066</v>
      </c>
      <c r="H36" s="199">
        <f t="shared" si="2"/>
        <v>0.23281596452328157</v>
      </c>
      <c r="I36" s="199">
        <f t="shared" si="2"/>
        <v>9.1155457009115537E-3</v>
      </c>
      <c r="J36" s="199">
        <f t="shared" si="2"/>
        <v>0.18796193643754619</v>
      </c>
      <c r="K36" s="199">
        <f t="shared" si="2"/>
        <v>1</v>
      </c>
    </row>
    <row r="37" spans="2:11">
      <c r="B37">
        <f t="shared" si="3"/>
        <v>10009331</v>
      </c>
      <c r="C37" s="7" t="s">
        <v>584</v>
      </c>
      <c r="D37" s="7" t="s">
        <v>403</v>
      </c>
      <c r="E37" s="10"/>
      <c r="F37" s="10"/>
      <c r="G37" s="199">
        <f t="shared" si="2"/>
        <v>0.57062678699102054</v>
      </c>
      <c r="H37" s="199">
        <f t="shared" si="2"/>
        <v>0.22638699914357482</v>
      </c>
      <c r="I37" s="199">
        <f t="shared" si="2"/>
        <v>1.0368416887892331E-2</v>
      </c>
      <c r="J37" s="199">
        <f t="shared" si="2"/>
        <v>0.19261779697751238</v>
      </c>
      <c r="K37" s="199">
        <f t="shared" si="2"/>
        <v>1</v>
      </c>
    </row>
    <row r="38" spans="2:11">
      <c r="B38">
        <f t="shared" si="3"/>
        <v>10009334</v>
      </c>
      <c r="C38" s="7" t="s">
        <v>584</v>
      </c>
      <c r="D38" s="7" t="s">
        <v>452</v>
      </c>
      <c r="E38" s="10"/>
      <c r="F38" s="10"/>
      <c r="G38" s="199">
        <f t="shared" si="2"/>
        <v>0.56624687432905163</v>
      </c>
      <c r="H38" s="199">
        <f t="shared" si="2"/>
        <v>0.23445622542566594</v>
      </c>
      <c r="I38" s="199">
        <f t="shared" si="2"/>
        <v>9.9631100344609973E-3</v>
      </c>
      <c r="J38" s="199">
        <f t="shared" si="2"/>
        <v>0.18933379021082147</v>
      </c>
      <c r="K38" s="199">
        <f t="shared" si="2"/>
        <v>1</v>
      </c>
    </row>
    <row r="39" spans="2:11">
      <c r="B39">
        <f t="shared" si="3"/>
        <v>10007969</v>
      </c>
      <c r="C39" s="7" t="s">
        <v>584</v>
      </c>
      <c r="D39" s="7" t="s">
        <v>436</v>
      </c>
      <c r="E39" s="10"/>
      <c r="F39" s="10"/>
      <c r="G39" s="199">
        <f t="shared" si="2"/>
        <v>0.84709673256727924</v>
      </c>
      <c r="H39" s="199">
        <f t="shared" si="2"/>
        <v>0.17011334453262275</v>
      </c>
      <c r="I39" s="199">
        <f t="shared" si="2"/>
        <v>1.3090013307594118E-2</v>
      </c>
      <c r="J39" s="199">
        <f t="shared" si="2"/>
        <v>-3.0300090407496209E-2</v>
      </c>
      <c r="K39" s="199">
        <f t="shared" si="2"/>
        <v>1</v>
      </c>
    </row>
    <row r="40" spans="2:11">
      <c r="B40">
        <f t="shared" si="3"/>
        <v>10005721</v>
      </c>
      <c r="C40" s="7" t="s">
        <v>584</v>
      </c>
      <c r="D40" s="7" t="s">
        <v>427</v>
      </c>
      <c r="E40" s="10"/>
      <c r="F40" s="10"/>
      <c r="G40" s="199">
        <f t="shared" si="2"/>
        <v>0.60731091314770191</v>
      </c>
      <c r="H40" s="199">
        <f t="shared" si="2"/>
        <v>0.17795470602596922</v>
      </c>
      <c r="I40" s="199">
        <f t="shared" si="2"/>
        <v>1.0901905847840235E-2</v>
      </c>
      <c r="J40" s="199">
        <f t="shared" si="2"/>
        <v>0.20383247497848861</v>
      </c>
      <c r="K40" s="199">
        <f t="shared" si="2"/>
        <v>1</v>
      </c>
    </row>
    <row r="41" spans="2:11">
      <c r="B41">
        <f t="shared" si="3"/>
        <v>10004435</v>
      </c>
      <c r="C41" s="7" t="s">
        <v>584</v>
      </c>
      <c r="D41" s="7" t="s">
        <v>426</v>
      </c>
      <c r="E41" s="10"/>
      <c r="F41" s="10"/>
      <c r="G41" s="199">
        <f t="shared" si="2"/>
        <v>0.59776493671817699</v>
      </c>
      <c r="H41" s="199">
        <f t="shared" si="2"/>
        <v>0.19570857748731638</v>
      </c>
      <c r="I41" s="199">
        <f t="shared" si="2"/>
        <v>8.2691479418908892E-3</v>
      </c>
      <c r="J41" s="199">
        <f t="shared" si="2"/>
        <v>0.19825733785261584</v>
      </c>
      <c r="K41" s="199">
        <f t="shared" si="2"/>
        <v>1</v>
      </c>
    </row>
    <row r="42" spans="2:11">
      <c r="B42">
        <f t="shared" si="3"/>
        <v>10009251</v>
      </c>
      <c r="C42" s="7" t="s">
        <v>584</v>
      </c>
      <c r="D42" s="7" t="s">
        <v>460</v>
      </c>
      <c r="E42" s="10"/>
      <c r="F42" s="10"/>
      <c r="G42" s="199">
        <f t="shared" si="2"/>
        <v>0.59821707007683667</v>
      </c>
      <c r="H42" s="199">
        <f t="shared" si="2"/>
        <v>0.1849989097022432</v>
      </c>
      <c r="I42" s="199">
        <f t="shared" si="2"/>
        <v>6.9779056435218725E-3</v>
      </c>
      <c r="J42" s="199">
        <f t="shared" si="2"/>
        <v>0.20980611457739823</v>
      </c>
      <c r="K42" s="199">
        <f t="shared" si="2"/>
        <v>1</v>
      </c>
    </row>
    <row r="43" spans="2:11">
      <c r="B43" t="e">
        <f t="shared" si="3"/>
        <v>#N/A</v>
      </c>
      <c r="C43" s="7" t="s">
        <v>584</v>
      </c>
      <c r="D43" s="7" t="s">
        <v>446</v>
      </c>
      <c r="E43" s="10"/>
      <c r="F43" s="10"/>
      <c r="G43" s="199">
        <f t="shared" si="2"/>
        <v>0.49163766223740785</v>
      </c>
      <c r="H43" s="199">
        <f t="shared" si="2"/>
        <v>0.33742527933195271</v>
      </c>
      <c r="I43" s="199">
        <f t="shared" si="2"/>
        <v>6.9728102355148466E-3</v>
      </c>
      <c r="J43" s="199">
        <f t="shared" si="2"/>
        <v>0.16396424819512456</v>
      </c>
      <c r="K43" s="199">
        <f t="shared" si="2"/>
        <v>1</v>
      </c>
    </row>
    <row r="44" spans="2:11">
      <c r="B44">
        <f t="shared" si="3"/>
        <v>10009239</v>
      </c>
      <c r="C44" s="7" t="s">
        <v>584</v>
      </c>
      <c r="D44" s="7" t="s">
        <v>389</v>
      </c>
      <c r="E44" s="10"/>
      <c r="F44" s="10"/>
      <c r="G44" s="199">
        <f t="shared" ref="G44:K53" si="4">G15/$K15</f>
        <v>0.49175772370436593</v>
      </c>
      <c r="H44" s="199">
        <f t="shared" si="4"/>
        <v>0.32059890642533317</v>
      </c>
      <c r="I44" s="199">
        <f t="shared" si="4"/>
        <v>5.8712833791698567E-3</v>
      </c>
      <c r="J44" s="199">
        <f t="shared" si="4"/>
        <v>0.18177208649113116</v>
      </c>
      <c r="K44" s="199">
        <f t="shared" si="4"/>
        <v>1</v>
      </c>
    </row>
    <row r="45" spans="2:11">
      <c r="B45">
        <f t="shared" si="3"/>
        <v>10009207</v>
      </c>
      <c r="C45" s="7" t="s">
        <v>584</v>
      </c>
      <c r="D45" s="7" t="s">
        <v>443</v>
      </c>
      <c r="E45" s="10"/>
      <c r="F45" s="10"/>
      <c r="G45" s="199">
        <f t="shared" si="4"/>
        <v>0.84377146356763755</v>
      </c>
      <c r="H45" s="199">
        <f t="shared" si="4"/>
        <v>0.1480178529892949</v>
      </c>
      <c r="I45" s="199">
        <f t="shared" si="4"/>
        <v>1.2435065977587435E-2</v>
      </c>
      <c r="J45" s="199">
        <f t="shared" si="4"/>
        <v>-4.2243825345198785E-3</v>
      </c>
      <c r="K45" s="199">
        <f t="shared" si="4"/>
        <v>1</v>
      </c>
    </row>
    <row r="46" spans="2:11">
      <c r="B46">
        <f t="shared" si="3"/>
        <v>10005776</v>
      </c>
      <c r="C46" s="7" t="s">
        <v>584</v>
      </c>
      <c r="D46" s="7" t="s">
        <v>428</v>
      </c>
      <c r="E46" s="10"/>
      <c r="F46" s="10"/>
      <c r="G46" s="199">
        <f t="shared" si="4"/>
        <v>0.5775406271457999</v>
      </c>
      <c r="H46" s="199">
        <f t="shared" si="4"/>
        <v>0.22316319523918515</v>
      </c>
      <c r="I46" s="199">
        <f t="shared" si="4"/>
        <v>5.2872510872053096E-3</v>
      </c>
      <c r="J46" s="199">
        <f t="shared" si="4"/>
        <v>0.19400892652780954</v>
      </c>
      <c r="K46" s="199">
        <f t="shared" si="4"/>
        <v>1</v>
      </c>
    </row>
    <row r="47" spans="2:11">
      <c r="B47">
        <f t="shared" si="3"/>
        <v>10005779</v>
      </c>
      <c r="C47" s="7" t="s">
        <v>584</v>
      </c>
      <c r="D47" s="7" t="s">
        <v>352</v>
      </c>
      <c r="E47" s="10"/>
      <c r="F47" s="10"/>
      <c r="G47" s="199">
        <f t="shared" si="4"/>
        <v>0.58060075268989952</v>
      </c>
      <c r="H47" s="199">
        <f t="shared" si="4"/>
        <v>0.22095391507457116</v>
      </c>
      <c r="I47" s="199">
        <f t="shared" si="4"/>
        <v>6.3873041472091684E-3</v>
      </c>
      <c r="J47" s="199">
        <f t="shared" si="4"/>
        <v>0.19205802808832018</v>
      </c>
      <c r="K47" s="199">
        <f t="shared" si="4"/>
        <v>1</v>
      </c>
    </row>
    <row r="48" spans="2:11">
      <c r="B48">
        <f t="shared" si="3"/>
        <v>10005781</v>
      </c>
      <c r="C48" s="7" t="s">
        <v>584</v>
      </c>
      <c r="D48" s="7" t="s">
        <v>363</v>
      </c>
      <c r="E48" s="10"/>
      <c r="F48" s="10"/>
      <c r="G48" s="199">
        <f t="shared" si="4"/>
        <v>0.57880811615891203</v>
      </c>
      <c r="H48" s="199">
        <f t="shared" si="4"/>
        <v>0.22078196980547032</v>
      </c>
      <c r="I48" s="199">
        <f t="shared" si="4"/>
        <v>8.4855332719253745E-3</v>
      </c>
      <c r="J48" s="199">
        <f t="shared" si="4"/>
        <v>0.19192438076369217</v>
      </c>
      <c r="K48" s="199">
        <f t="shared" si="4"/>
        <v>1</v>
      </c>
    </row>
    <row r="49" spans="2:11">
      <c r="B49">
        <f t="shared" si="3"/>
        <v>10007050</v>
      </c>
      <c r="C49" s="7" t="s">
        <v>584</v>
      </c>
      <c r="D49" s="7" t="s">
        <v>432</v>
      </c>
      <c r="E49" s="10"/>
      <c r="F49" s="10"/>
      <c r="G49" s="199">
        <f t="shared" si="4"/>
        <v>0.83634348085614407</v>
      </c>
      <c r="H49" s="199">
        <f t="shared" si="4"/>
        <v>0.15349194167306218</v>
      </c>
      <c r="I49" s="199">
        <f t="shared" si="4"/>
        <v>1.4581734458940907E-2</v>
      </c>
      <c r="J49" s="199">
        <f t="shared" si="4"/>
        <v>-4.4171569881470115E-3</v>
      </c>
      <c r="K49" s="199">
        <f t="shared" si="4"/>
        <v>1</v>
      </c>
    </row>
    <row r="50" spans="2:11">
      <c r="B50">
        <f t="shared" si="3"/>
        <v>10007050</v>
      </c>
      <c r="C50" s="7" t="s">
        <v>584</v>
      </c>
      <c r="D50" s="7" t="s">
        <v>454</v>
      </c>
      <c r="E50" s="10"/>
      <c r="F50" s="10"/>
      <c r="G50" s="199">
        <f t="shared" si="4"/>
        <v>0.79092129327322436</v>
      </c>
      <c r="H50" s="199">
        <f t="shared" si="4"/>
        <v>0.16314484301248097</v>
      </c>
      <c r="I50" s="199">
        <f t="shared" si="4"/>
        <v>1.3533511933571624E-2</v>
      </c>
      <c r="J50" s="199">
        <f t="shared" si="4"/>
        <v>3.2400351780722959E-2</v>
      </c>
      <c r="K50" s="199">
        <f t="shared" si="4"/>
        <v>1</v>
      </c>
    </row>
    <row r="51" spans="2:11">
      <c r="B51">
        <f t="shared" si="3"/>
        <v>10007050</v>
      </c>
      <c r="C51" s="7" t="s">
        <v>584</v>
      </c>
      <c r="D51" s="7" t="s">
        <v>407</v>
      </c>
      <c r="E51" s="10"/>
      <c r="F51" s="10"/>
      <c r="G51" s="199">
        <f t="shared" si="4"/>
        <v>0.80074976460090597</v>
      </c>
      <c r="H51" s="199">
        <f t="shared" si="4"/>
        <v>0.14626972545810388</v>
      </c>
      <c r="I51" s="199">
        <f t="shared" si="4"/>
        <v>1.4453011382963513E-2</v>
      </c>
      <c r="J51" s="199">
        <f t="shared" si="4"/>
        <v>3.8527498558026486E-2</v>
      </c>
      <c r="K51" s="199">
        <f t="shared" si="4"/>
        <v>1</v>
      </c>
    </row>
    <row r="52" spans="2:11">
      <c r="B52">
        <f t="shared" si="3"/>
        <v>10007050</v>
      </c>
      <c r="C52" s="7" t="s">
        <v>584</v>
      </c>
      <c r="D52" s="7" t="s">
        <v>431</v>
      </c>
      <c r="E52" s="10"/>
      <c r="F52" s="10"/>
      <c r="G52" s="199">
        <f t="shared" si="4"/>
        <v>0.72112146774106112</v>
      </c>
      <c r="H52" s="199">
        <f t="shared" si="4"/>
        <v>0.17106343759349585</v>
      </c>
      <c r="I52" s="199">
        <f t="shared" si="4"/>
        <v>1.1562858296001944E-2</v>
      </c>
      <c r="J52" s="199">
        <f t="shared" si="4"/>
        <v>9.6252236369441191E-2</v>
      </c>
      <c r="K52" s="199">
        <f t="shared" si="4"/>
        <v>1</v>
      </c>
    </row>
    <row r="53" spans="2:11">
      <c r="B53">
        <f t="shared" si="3"/>
        <v>10007161</v>
      </c>
      <c r="C53" s="7" t="s">
        <v>584</v>
      </c>
      <c r="D53" s="7" t="s">
        <v>435</v>
      </c>
      <c r="E53" s="10"/>
      <c r="F53" s="10"/>
      <c r="G53" s="199">
        <f t="shared" si="4"/>
        <v>0.61182920281459297</v>
      </c>
      <c r="H53" s="199">
        <f t="shared" si="4"/>
        <v>0.17592147775548464</v>
      </c>
      <c r="I53" s="199">
        <f t="shared" si="4"/>
        <v>6.6314371567713203E-3</v>
      </c>
      <c r="J53" s="199">
        <f t="shared" si="4"/>
        <v>0.20561788227315114</v>
      </c>
      <c r="K53" s="199">
        <f t="shared" si="4"/>
        <v>1</v>
      </c>
    </row>
    <row r="54" spans="2:11">
      <c r="B54">
        <f t="shared" si="3"/>
        <v>10007162</v>
      </c>
      <c r="C54" s="7" t="s">
        <v>584</v>
      </c>
      <c r="D54" s="7" t="s">
        <v>375</v>
      </c>
      <c r="E54" s="10"/>
      <c r="F54" s="10"/>
      <c r="G54" s="199">
        <f t="shared" ref="G54:K58" si="5">G25/$K25</f>
        <v>0.6131506519007166</v>
      </c>
      <c r="H54" s="199">
        <f t="shared" si="5"/>
        <v>0.17408569769564347</v>
      </c>
      <c r="I54" s="199">
        <f t="shared" si="5"/>
        <v>9.2705900646079184E-3</v>
      </c>
      <c r="J54" s="199">
        <f t="shared" si="5"/>
        <v>0.20349306033903197</v>
      </c>
      <c r="K54" s="199">
        <f t="shared" si="5"/>
        <v>1</v>
      </c>
    </row>
    <row r="55" spans="2:11">
      <c r="B55">
        <f t="shared" si="3"/>
        <v>10007162</v>
      </c>
      <c r="C55" s="7" t="s">
        <v>584</v>
      </c>
      <c r="D55" s="7" t="s">
        <v>455</v>
      </c>
      <c r="E55" s="10"/>
      <c r="F55" s="10"/>
      <c r="G55" s="199">
        <f t="shared" si="5"/>
        <v>0.61624926524638413</v>
      </c>
      <c r="H55" s="199">
        <f t="shared" si="5"/>
        <v>0.17320854904735167</v>
      </c>
      <c r="I55" s="199">
        <f t="shared" si="5"/>
        <v>8.055924119512033E-3</v>
      </c>
      <c r="J55" s="199">
        <f t="shared" si="5"/>
        <v>0.20248626158675223</v>
      </c>
      <c r="K55" s="199">
        <f t="shared" si="5"/>
        <v>1</v>
      </c>
    </row>
    <row r="56" spans="2:11">
      <c r="B56">
        <f t="shared" si="3"/>
        <v>10007567</v>
      </c>
      <c r="C56" s="7" t="s">
        <v>584</v>
      </c>
      <c r="D56" s="7" t="s">
        <v>370</v>
      </c>
      <c r="E56" s="10"/>
      <c r="F56" s="10"/>
      <c r="G56" s="199">
        <f t="shared" si="5"/>
        <v>0.61758259020760498</v>
      </c>
      <c r="H56" s="199">
        <f t="shared" si="5"/>
        <v>0.16644113635200372</v>
      </c>
      <c r="I56" s="199">
        <f t="shared" si="5"/>
        <v>1.0793376885804139E-2</v>
      </c>
      <c r="J56" s="199">
        <f t="shared" si="5"/>
        <v>0.2051828965545871</v>
      </c>
      <c r="K56" s="199">
        <f t="shared" si="5"/>
        <v>1</v>
      </c>
    </row>
    <row r="57" spans="2:11">
      <c r="B57">
        <f t="shared" si="3"/>
        <v>10009386</v>
      </c>
      <c r="C57" s="7" t="s">
        <v>584</v>
      </c>
      <c r="D57" s="7" t="s">
        <v>453</v>
      </c>
      <c r="E57" s="10"/>
      <c r="F57" s="10"/>
      <c r="G57" s="199">
        <f t="shared" si="5"/>
        <v>0.84438947515090745</v>
      </c>
      <c r="H57" s="199">
        <f t="shared" si="5"/>
        <v>0.14760029404746078</v>
      </c>
      <c r="I57" s="199">
        <f t="shared" si="5"/>
        <v>1.2199926648291367E-2</v>
      </c>
      <c r="J57" s="199">
        <f t="shared" si="5"/>
        <v>-4.1896958466596931E-3</v>
      </c>
      <c r="K57" s="199">
        <f t="shared" si="5"/>
        <v>1</v>
      </c>
    </row>
    <row r="58" spans="2:11">
      <c r="C58" s="209" t="s">
        <v>585</v>
      </c>
      <c r="D58" s="209">
        <v>0</v>
      </c>
      <c r="E58" s="88"/>
      <c r="F58" s="88"/>
      <c r="G58" s="201">
        <f t="shared" si="5"/>
        <v>0.60817446457587521</v>
      </c>
      <c r="H58" s="201">
        <f t="shared" si="5"/>
        <v>0.18899453344917144</v>
      </c>
      <c r="I58" s="201">
        <f t="shared" si="5"/>
        <v>9.2911164967718358E-3</v>
      </c>
      <c r="J58" s="201">
        <f t="shared" si="5"/>
        <v>0.19353988547818163</v>
      </c>
      <c r="K58" s="201">
        <f t="shared" si="5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67928-4094-463D-B00F-0ACD53E22781}">
  <dimension ref="A2:Q176"/>
  <sheetViews>
    <sheetView zoomScale="80" zoomScaleNormal="80" workbookViewId="0">
      <selection activeCell="F22" sqref="F22"/>
    </sheetView>
  </sheetViews>
  <sheetFormatPr baseColWidth="10" defaultRowHeight="14.4"/>
  <cols>
    <col min="3" max="3" width="37.6640625" bestFit="1" customWidth="1"/>
    <col min="5" max="5" width="13.33203125" customWidth="1"/>
    <col min="6" max="10" width="18" customWidth="1"/>
    <col min="11" max="11" width="11.21875" customWidth="1"/>
    <col min="12" max="12" width="31.77734375" customWidth="1"/>
    <col min="13" max="13" width="18" customWidth="1"/>
    <col min="14" max="14" width="14.77734375" bestFit="1" customWidth="1"/>
  </cols>
  <sheetData>
    <row r="2" spans="1:15">
      <c r="B2" s="51" t="s">
        <v>582</v>
      </c>
    </row>
    <row r="4" spans="1:15">
      <c r="B4" s="194" t="s">
        <v>297</v>
      </c>
      <c r="C4" s="194" t="s">
        <v>298</v>
      </c>
      <c r="D4" s="195" t="s">
        <v>574</v>
      </c>
      <c r="E4" s="195" t="s">
        <v>575</v>
      </c>
      <c r="F4" s="194" t="s">
        <v>576</v>
      </c>
      <c r="G4" s="194" t="s">
        <v>577</v>
      </c>
      <c r="H4" s="194" t="s">
        <v>578</v>
      </c>
      <c r="I4" s="194" t="s">
        <v>89</v>
      </c>
      <c r="J4" s="194" t="s">
        <v>11</v>
      </c>
      <c r="L4" s="194" t="s">
        <v>89</v>
      </c>
      <c r="M4" s="194" t="s">
        <v>581</v>
      </c>
      <c r="N4" s="194" t="s">
        <v>579</v>
      </c>
      <c r="O4" s="194" t="s">
        <v>580</v>
      </c>
    </row>
    <row r="5" spans="1:15">
      <c r="A5" s="203">
        <v>10006668</v>
      </c>
      <c r="B5" s="189" t="s">
        <v>572</v>
      </c>
      <c r="C5" s="190" t="s">
        <v>429</v>
      </c>
      <c r="D5" s="186">
        <v>0.44</v>
      </c>
      <c r="E5" s="186">
        <f t="shared" ref="E5:E38" si="0">J5/D5</f>
        <v>1979.4772727272723</v>
      </c>
      <c r="F5" s="186">
        <v>618.67999999999995</v>
      </c>
      <c r="G5" s="186">
        <v>96.8</v>
      </c>
      <c r="H5" s="186">
        <v>6.16</v>
      </c>
      <c r="I5" s="196">
        <f>SUM(L5:O5)</f>
        <v>149.32999999999998</v>
      </c>
      <c r="J5" s="196">
        <f>SUM(F5:I5)</f>
        <v>870.9699999999998</v>
      </c>
      <c r="L5" s="186">
        <v>94.88</v>
      </c>
      <c r="M5" s="186">
        <v>56.129999999999995</v>
      </c>
      <c r="N5" s="186">
        <v>-1.68</v>
      </c>
      <c r="O5" s="186">
        <v>0</v>
      </c>
    </row>
    <row r="6" spans="1:15">
      <c r="A6" s="203">
        <v>10006719</v>
      </c>
      <c r="B6" s="189" t="s">
        <v>572</v>
      </c>
      <c r="C6" s="190" t="s">
        <v>430</v>
      </c>
      <c r="D6" s="186">
        <v>0.02</v>
      </c>
      <c r="E6" s="186">
        <f t="shared" si="0"/>
        <v>1602.5000000000002</v>
      </c>
      <c r="F6" s="186">
        <v>20.62</v>
      </c>
      <c r="G6" s="186">
        <v>4.4000000000000004</v>
      </c>
      <c r="H6" s="186">
        <v>0.25</v>
      </c>
      <c r="I6" s="196">
        <f t="shared" ref="I6:I38" si="1">SUM(L6:O6)</f>
        <v>6.7799999999999994</v>
      </c>
      <c r="J6" s="196">
        <f t="shared" ref="J6:J38" si="2">SUM(F6:I6)</f>
        <v>32.050000000000004</v>
      </c>
      <c r="L6" s="186">
        <v>4.3099999999999996</v>
      </c>
      <c r="M6" s="186">
        <v>2.5500000000000003</v>
      </c>
      <c r="N6" s="186">
        <v>-0.08</v>
      </c>
      <c r="O6" s="186">
        <v>0</v>
      </c>
    </row>
    <row r="7" spans="1:15">
      <c r="A7" s="203">
        <v>10006720</v>
      </c>
      <c r="B7" s="189" t="s">
        <v>572</v>
      </c>
      <c r="C7" s="190" t="s">
        <v>326</v>
      </c>
      <c r="D7" s="186">
        <v>368.72</v>
      </c>
      <c r="E7" s="186">
        <f t="shared" si="0"/>
        <v>1949.1981178129743</v>
      </c>
      <c r="F7" s="186">
        <v>507282.52999999997</v>
      </c>
      <c r="G7" s="186">
        <v>80527.87999999999</v>
      </c>
      <c r="H7" s="186">
        <v>6413.5100000000011</v>
      </c>
      <c r="I7" s="196">
        <f t="shared" si="1"/>
        <v>124484.40999999999</v>
      </c>
      <c r="J7" s="196">
        <f t="shared" si="2"/>
        <v>718708.33</v>
      </c>
      <c r="L7" s="186">
        <v>79504.14</v>
      </c>
      <c r="M7" s="186">
        <v>47037.599999999999</v>
      </c>
      <c r="N7" s="186">
        <v>-2057.3300000000004</v>
      </c>
      <c r="O7" s="186">
        <v>0</v>
      </c>
    </row>
    <row r="8" spans="1:15">
      <c r="A8" s="203">
        <v>10009178</v>
      </c>
      <c r="B8" s="189" t="s">
        <v>572</v>
      </c>
      <c r="C8" s="190" t="s">
        <v>439</v>
      </c>
      <c r="D8" s="186">
        <v>23.82</v>
      </c>
      <c r="E8" s="186">
        <f t="shared" si="0"/>
        <v>2048.6595298068851</v>
      </c>
      <c r="F8" s="186">
        <v>35226.9</v>
      </c>
      <c r="G8" s="186">
        <v>5127.18</v>
      </c>
      <c r="H8" s="186">
        <v>404.94</v>
      </c>
      <c r="I8" s="196">
        <f t="shared" si="1"/>
        <v>8040.0499999999984</v>
      </c>
      <c r="J8" s="196">
        <f t="shared" si="2"/>
        <v>48799.07</v>
      </c>
      <c r="L8" s="186">
        <v>5136.1299999999992</v>
      </c>
      <c r="M8" s="186">
        <v>3038.72</v>
      </c>
      <c r="N8" s="186">
        <v>-134.80000000000001</v>
      </c>
      <c r="O8" s="186">
        <v>0</v>
      </c>
    </row>
    <row r="9" spans="1:15">
      <c r="A9" s="203">
        <v>10009331</v>
      </c>
      <c r="B9" s="189" t="s">
        <v>572</v>
      </c>
      <c r="C9" s="190" t="s">
        <v>403</v>
      </c>
      <c r="D9" s="186">
        <v>10.512</v>
      </c>
      <c r="E9" s="186">
        <f t="shared" si="0"/>
        <v>2445.4442541856924</v>
      </c>
      <c r="F9" s="186">
        <v>17532.91</v>
      </c>
      <c r="G9" s="186">
        <v>4415.04</v>
      </c>
      <c r="H9" s="186">
        <v>192.07</v>
      </c>
      <c r="I9" s="196">
        <f t="shared" si="1"/>
        <v>3566.4900000000002</v>
      </c>
      <c r="J9" s="196">
        <f t="shared" si="2"/>
        <v>25706.510000000002</v>
      </c>
      <c r="L9" s="186">
        <v>2266.6200000000003</v>
      </c>
      <c r="M9" s="186">
        <v>1341.02</v>
      </c>
      <c r="N9" s="186">
        <v>-41.15</v>
      </c>
      <c r="O9" s="186">
        <v>0</v>
      </c>
    </row>
    <row r="10" spans="1:15">
      <c r="A10" s="203">
        <v>10009334</v>
      </c>
      <c r="B10" s="189" t="s">
        <v>572</v>
      </c>
      <c r="C10" s="190" t="s">
        <v>452</v>
      </c>
      <c r="D10" s="186">
        <v>1.044</v>
      </c>
      <c r="E10" s="186">
        <f t="shared" si="0"/>
        <v>2442.5766283524904</v>
      </c>
      <c r="F10" s="186">
        <v>1738.71</v>
      </c>
      <c r="G10" s="186">
        <v>438.48</v>
      </c>
      <c r="H10" s="186">
        <v>18.63</v>
      </c>
      <c r="I10" s="196">
        <f t="shared" si="1"/>
        <v>354.23</v>
      </c>
      <c r="J10" s="196">
        <f t="shared" si="2"/>
        <v>2550.0500000000002</v>
      </c>
      <c r="L10" s="186">
        <v>225.12</v>
      </c>
      <c r="M10" s="186">
        <v>133.18</v>
      </c>
      <c r="N10" s="186">
        <v>-4.07</v>
      </c>
      <c r="O10" s="186">
        <v>0</v>
      </c>
    </row>
    <row r="11" spans="1:15">
      <c r="A11" s="204">
        <v>10007969</v>
      </c>
      <c r="B11" s="189" t="s">
        <v>572</v>
      </c>
      <c r="C11" s="190" t="s">
        <v>436</v>
      </c>
      <c r="D11" s="186">
        <v>35.78</v>
      </c>
      <c r="E11" s="186">
        <f t="shared" si="0"/>
        <v>1595.4396310788147</v>
      </c>
      <c r="F11" s="186">
        <v>49333.219999999994</v>
      </c>
      <c r="G11" s="186">
        <v>7334.9</v>
      </c>
      <c r="H11" s="186">
        <v>611.95000000000005</v>
      </c>
      <c r="I11" s="196">
        <f t="shared" si="1"/>
        <v>-195.24</v>
      </c>
      <c r="J11" s="196">
        <f t="shared" si="2"/>
        <v>57084.829999999994</v>
      </c>
      <c r="L11" s="186">
        <v>0</v>
      </c>
      <c r="M11" s="186">
        <v>0</v>
      </c>
      <c r="N11" s="186">
        <v>-195.24</v>
      </c>
      <c r="O11" s="186">
        <v>0</v>
      </c>
    </row>
    <row r="12" spans="1:15">
      <c r="A12" s="205">
        <v>10005721</v>
      </c>
      <c r="B12" s="189" t="s">
        <v>572</v>
      </c>
      <c r="C12" s="190" t="s">
        <v>427</v>
      </c>
      <c r="D12" s="186">
        <v>289.76</v>
      </c>
      <c r="E12" s="186">
        <f t="shared" si="0"/>
        <v>2095.2688776918831</v>
      </c>
      <c r="F12" s="186">
        <v>406441.41000000003</v>
      </c>
      <c r="G12" s="186">
        <v>97069.6</v>
      </c>
      <c r="H12" s="186">
        <v>5733.5300000000007</v>
      </c>
      <c r="I12" s="196">
        <f t="shared" si="1"/>
        <v>97880.569999999992</v>
      </c>
      <c r="J12" s="196">
        <f t="shared" si="2"/>
        <v>607125.11</v>
      </c>
      <c r="K12" s="222">
        <f>I12/D12</f>
        <v>337.79876449475427</v>
      </c>
      <c r="L12" s="186">
        <v>62478.66</v>
      </c>
      <c r="M12" s="186">
        <v>36964.68</v>
      </c>
      <c r="N12" s="186">
        <v>-1562.77</v>
      </c>
      <c r="O12" s="186">
        <v>0</v>
      </c>
    </row>
    <row r="13" spans="1:15">
      <c r="A13" s="205">
        <v>10004435</v>
      </c>
      <c r="B13" s="189" t="s">
        <v>572</v>
      </c>
      <c r="C13" s="190" t="s">
        <v>426</v>
      </c>
      <c r="D13" s="186">
        <v>37.619999999999997</v>
      </c>
      <c r="E13" s="186">
        <f t="shared" si="0"/>
        <v>2146.0717703349283</v>
      </c>
      <c r="F13" s="186">
        <v>54930.670000000006</v>
      </c>
      <c r="G13" s="186">
        <v>12481.8</v>
      </c>
      <c r="H13" s="186">
        <v>604.32000000000016</v>
      </c>
      <c r="I13" s="196">
        <f t="shared" si="1"/>
        <v>12718.43</v>
      </c>
      <c r="J13" s="196">
        <f t="shared" si="2"/>
        <v>80735.22</v>
      </c>
      <c r="K13" s="222">
        <f>I13/D13</f>
        <v>338.07628920786817</v>
      </c>
      <c r="L13" s="186">
        <v>8111.7199999999993</v>
      </c>
      <c r="M13" s="186">
        <v>4799.1900000000005</v>
      </c>
      <c r="N13" s="186">
        <v>-192.48</v>
      </c>
      <c r="O13" s="186">
        <v>0</v>
      </c>
    </row>
    <row r="14" spans="1:15">
      <c r="A14" s="206">
        <v>10009251</v>
      </c>
      <c r="B14" s="189" t="s">
        <v>572</v>
      </c>
      <c r="C14" s="190" t="s">
        <v>460</v>
      </c>
      <c r="D14" s="186">
        <v>5.7</v>
      </c>
      <c r="E14" s="186">
        <f t="shared" si="0"/>
        <v>2298.9122807017543</v>
      </c>
      <c r="F14" s="186">
        <v>8415.4699999999993</v>
      </c>
      <c r="G14" s="186">
        <v>2718.9</v>
      </c>
      <c r="H14" s="186">
        <v>64.239999999999995</v>
      </c>
      <c r="I14" s="196">
        <f t="shared" si="1"/>
        <v>1905.1899999999998</v>
      </c>
      <c r="J14" s="196">
        <f t="shared" si="2"/>
        <v>13103.8</v>
      </c>
      <c r="K14" s="222"/>
      <c r="L14" s="186">
        <v>1229.05</v>
      </c>
      <c r="M14" s="186">
        <v>727.15</v>
      </c>
      <c r="N14" s="186">
        <v>-51.01</v>
      </c>
      <c r="O14" s="186">
        <v>0</v>
      </c>
    </row>
    <row r="15" spans="1:15">
      <c r="A15" s="206">
        <v>10009239</v>
      </c>
      <c r="B15" s="189" t="s">
        <v>572</v>
      </c>
      <c r="C15" s="190" t="s">
        <v>446</v>
      </c>
      <c r="D15" s="186">
        <v>9.08</v>
      </c>
      <c r="E15" s="186">
        <f t="shared" si="0"/>
        <v>2289.2599118942735</v>
      </c>
      <c r="F15" s="186">
        <v>11571.81</v>
      </c>
      <c r="G15" s="186">
        <v>5992.7999999999993</v>
      </c>
      <c r="H15" s="186">
        <v>155.31</v>
      </c>
      <c r="I15" s="196">
        <f t="shared" si="1"/>
        <v>3066.56</v>
      </c>
      <c r="J15" s="196">
        <f t="shared" si="2"/>
        <v>20786.480000000003</v>
      </c>
      <c r="L15" s="186">
        <v>1957.87</v>
      </c>
      <c r="M15" s="186">
        <v>1158.3399999999999</v>
      </c>
      <c r="N15" s="186">
        <v>-49.65</v>
      </c>
      <c r="O15" s="186">
        <v>0</v>
      </c>
    </row>
    <row r="16" spans="1:15">
      <c r="A16" s="206">
        <v>10009239</v>
      </c>
      <c r="B16" s="189" t="s">
        <v>572</v>
      </c>
      <c r="C16" s="190" t="s">
        <v>389</v>
      </c>
      <c r="D16" s="186">
        <v>201.74</v>
      </c>
      <c r="E16" s="186">
        <f t="shared" si="0"/>
        <v>2397.7444730841671</v>
      </c>
      <c r="F16" s="186">
        <v>277953.56999999995</v>
      </c>
      <c r="G16" s="186">
        <v>134154.48000000001</v>
      </c>
      <c r="H16" s="186">
        <v>3492.79</v>
      </c>
      <c r="I16" s="196">
        <f t="shared" si="1"/>
        <v>68120.13</v>
      </c>
      <c r="J16" s="196">
        <f t="shared" si="2"/>
        <v>483720.96999999991</v>
      </c>
      <c r="L16" s="186">
        <v>43499.590000000004</v>
      </c>
      <c r="M16" s="186">
        <v>25735.98</v>
      </c>
      <c r="N16" s="186">
        <v>-1115.44</v>
      </c>
      <c r="O16" s="186">
        <v>0</v>
      </c>
    </row>
    <row r="17" spans="1:15">
      <c r="A17" s="206">
        <v>10009251</v>
      </c>
      <c r="B17" s="189" t="s">
        <v>572</v>
      </c>
      <c r="C17" s="190" t="s">
        <v>449</v>
      </c>
      <c r="D17" s="186">
        <v>3.46</v>
      </c>
      <c r="E17" s="186">
        <f t="shared" si="0"/>
        <v>1961.9479768786127</v>
      </c>
      <c r="F17" s="186">
        <v>4370.47</v>
      </c>
      <c r="G17" s="186">
        <v>1176.4000000000001</v>
      </c>
      <c r="H17" s="186">
        <v>58.82</v>
      </c>
      <c r="I17" s="196">
        <f t="shared" si="1"/>
        <v>1182.6500000000001</v>
      </c>
      <c r="J17" s="196">
        <f t="shared" si="2"/>
        <v>6788.34</v>
      </c>
      <c r="L17" s="186">
        <v>746.06000000000006</v>
      </c>
      <c r="M17" s="186">
        <v>441.39</v>
      </c>
      <c r="N17" s="186">
        <v>-4.8</v>
      </c>
      <c r="O17" s="186">
        <v>0</v>
      </c>
    </row>
    <row r="18" spans="1:15">
      <c r="A18" s="204">
        <v>10009207</v>
      </c>
      <c r="B18" s="189" t="s">
        <v>572</v>
      </c>
      <c r="C18" s="190" t="s">
        <v>443</v>
      </c>
      <c r="D18" s="186">
        <v>8</v>
      </c>
      <c r="E18" s="186">
        <f t="shared" si="0"/>
        <v>1570.13375</v>
      </c>
      <c r="F18" s="186">
        <v>11028.3</v>
      </c>
      <c r="G18" s="186">
        <v>1440</v>
      </c>
      <c r="H18" s="186">
        <v>136.82</v>
      </c>
      <c r="I18" s="196">
        <f t="shared" si="1"/>
        <v>-44.05</v>
      </c>
      <c r="J18" s="196">
        <f t="shared" si="2"/>
        <v>12561.07</v>
      </c>
      <c r="L18" s="186">
        <v>0</v>
      </c>
      <c r="M18" s="186">
        <v>0</v>
      </c>
      <c r="N18" s="186">
        <v>-44.05</v>
      </c>
      <c r="O18" s="186">
        <v>0</v>
      </c>
    </row>
    <row r="19" spans="1:15">
      <c r="A19" s="202">
        <v>10009183</v>
      </c>
      <c r="B19" s="189" t="s">
        <v>572</v>
      </c>
      <c r="C19" s="190" t="s">
        <v>448</v>
      </c>
      <c r="D19" s="186">
        <v>0.32</v>
      </c>
      <c r="E19" s="186">
        <f t="shared" si="0"/>
        <v>2134.75</v>
      </c>
      <c r="F19" s="186">
        <v>443.39</v>
      </c>
      <c r="G19" s="186">
        <v>124.8</v>
      </c>
      <c r="H19" s="186">
        <v>6.33</v>
      </c>
      <c r="I19" s="196">
        <f t="shared" si="1"/>
        <v>108.6</v>
      </c>
      <c r="J19" s="196">
        <f t="shared" si="2"/>
        <v>683.12</v>
      </c>
      <c r="L19" s="186">
        <v>69</v>
      </c>
      <c r="M19" s="186">
        <v>40.82</v>
      </c>
      <c r="N19" s="186">
        <v>-1.22</v>
      </c>
      <c r="O19" s="186">
        <v>0</v>
      </c>
    </row>
    <row r="20" spans="1:15">
      <c r="A20" s="202">
        <v>10005776</v>
      </c>
      <c r="B20" s="189" t="s">
        <v>572</v>
      </c>
      <c r="C20" s="190" t="s">
        <v>428</v>
      </c>
      <c r="D20" s="186">
        <v>3.88</v>
      </c>
      <c r="E20" s="186">
        <f t="shared" si="0"/>
        <v>2065.25</v>
      </c>
      <c r="F20" s="186">
        <v>5134.3</v>
      </c>
      <c r="G20" s="186">
        <v>1513.2</v>
      </c>
      <c r="H20" s="186">
        <v>54.320000000000007</v>
      </c>
      <c r="I20" s="196">
        <f t="shared" si="1"/>
        <v>1311.3500000000001</v>
      </c>
      <c r="J20" s="196">
        <f t="shared" si="2"/>
        <v>8013.17</v>
      </c>
      <c r="L20" s="186">
        <v>836.62000000000012</v>
      </c>
      <c r="M20" s="186">
        <v>494.97999999999996</v>
      </c>
      <c r="N20" s="186">
        <v>-20.25</v>
      </c>
      <c r="O20" s="186">
        <v>0</v>
      </c>
    </row>
    <row r="21" spans="1:15">
      <c r="A21" s="202">
        <v>10005779</v>
      </c>
      <c r="B21" s="189" t="s">
        <v>572</v>
      </c>
      <c r="C21" s="190" t="s">
        <v>352</v>
      </c>
      <c r="D21" s="186">
        <v>88.54</v>
      </c>
      <c r="E21" s="186">
        <f t="shared" si="0"/>
        <v>2100.2380844815898</v>
      </c>
      <c r="F21" s="186">
        <v>120593.32999999999</v>
      </c>
      <c r="G21" s="186">
        <v>34351.460000000006</v>
      </c>
      <c r="H21" s="186">
        <v>1110.4599999999998</v>
      </c>
      <c r="I21" s="196">
        <f t="shared" si="1"/>
        <v>29899.83</v>
      </c>
      <c r="J21" s="196">
        <f t="shared" si="2"/>
        <v>185955.07999999996</v>
      </c>
      <c r="L21" s="186">
        <v>19091.18</v>
      </c>
      <c r="M21" s="186">
        <v>11295.039999999999</v>
      </c>
      <c r="N21" s="186">
        <v>-486.38999999999993</v>
      </c>
      <c r="O21" s="186">
        <v>0</v>
      </c>
    </row>
    <row r="22" spans="1:15">
      <c r="A22" s="202">
        <v>10005781</v>
      </c>
      <c r="B22" s="189" t="s">
        <v>572</v>
      </c>
      <c r="C22" s="190" t="s">
        <v>363</v>
      </c>
      <c r="D22" s="186">
        <v>37.42</v>
      </c>
      <c r="E22" s="186">
        <f t="shared" si="0"/>
        <v>2215.6985569214326</v>
      </c>
      <c r="F22" s="186">
        <v>55056.280000000006</v>
      </c>
      <c r="G22" s="186">
        <v>14593.8</v>
      </c>
      <c r="H22" s="186">
        <v>627.81999999999994</v>
      </c>
      <c r="I22" s="196">
        <f t="shared" si="1"/>
        <v>12633.54</v>
      </c>
      <c r="J22" s="196">
        <f t="shared" si="2"/>
        <v>82911.44</v>
      </c>
      <c r="L22" s="186">
        <v>8068.6100000000006</v>
      </c>
      <c r="M22" s="186">
        <v>4773.68</v>
      </c>
      <c r="N22" s="186">
        <v>-208.74999999999997</v>
      </c>
      <c r="O22" s="186">
        <v>0</v>
      </c>
    </row>
    <row r="23" spans="1:15">
      <c r="A23" s="206">
        <v>10007050</v>
      </c>
      <c r="B23" s="189" t="s">
        <v>572</v>
      </c>
      <c r="C23" s="190" t="s">
        <v>432</v>
      </c>
      <c r="D23" s="186">
        <v>4.92</v>
      </c>
      <c r="E23" s="186">
        <f t="shared" si="0"/>
        <v>1616.8353658536585</v>
      </c>
      <c r="F23" s="186">
        <v>7020.6399999999994</v>
      </c>
      <c r="G23" s="186">
        <v>885.6</v>
      </c>
      <c r="H23" s="186">
        <v>84.15</v>
      </c>
      <c r="I23" s="196">
        <f t="shared" si="1"/>
        <v>-35.56</v>
      </c>
      <c r="J23" s="196">
        <f t="shared" si="2"/>
        <v>7954.829999999999</v>
      </c>
      <c r="L23" s="186">
        <v>0</v>
      </c>
      <c r="M23" s="186">
        <v>0</v>
      </c>
      <c r="N23" s="186">
        <v>-35.56</v>
      </c>
      <c r="O23" s="186">
        <v>0</v>
      </c>
    </row>
    <row r="24" spans="1:15">
      <c r="A24" s="206">
        <v>10007050</v>
      </c>
      <c r="B24" s="189" t="s">
        <v>572</v>
      </c>
      <c r="C24" s="190" t="s">
        <v>434</v>
      </c>
      <c r="D24" s="186">
        <v>2.38</v>
      </c>
      <c r="E24" s="186">
        <f t="shared" si="0"/>
        <v>1462.0672268907565</v>
      </c>
      <c r="F24" s="186">
        <v>3370.83</v>
      </c>
      <c r="G24" s="186">
        <v>428.4</v>
      </c>
      <c r="H24" s="186">
        <v>40.71</v>
      </c>
      <c r="I24" s="196">
        <f t="shared" si="1"/>
        <v>-360.21999999999997</v>
      </c>
      <c r="J24" s="196">
        <f t="shared" si="2"/>
        <v>3479.7200000000003</v>
      </c>
      <c r="L24" s="186">
        <v>0</v>
      </c>
      <c r="M24" s="186">
        <v>0</v>
      </c>
      <c r="N24" s="186">
        <v>-360.21999999999997</v>
      </c>
      <c r="O24" s="186">
        <v>0</v>
      </c>
    </row>
    <row r="25" spans="1:15">
      <c r="A25" s="206">
        <v>10007050</v>
      </c>
      <c r="B25" s="189" t="s">
        <v>572</v>
      </c>
      <c r="C25" s="190" t="s">
        <v>433</v>
      </c>
      <c r="D25" s="186">
        <v>2.2000000000000002</v>
      </c>
      <c r="E25" s="186">
        <f t="shared" si="0"/>
        <v>1560.2954545454547</v>
      </c>
      <c r="F25" s="186">
        <v>3010.51</v>
      </c>
      <c r="G25" s="186">
        <v>396</v>
      </c>
      <c r="H25" s="186">
        <v>37.629999999999995</v>
      </c>
      <c r="I25" s="196">
        <f t="shared" si="1"/>
        <v>-11.49</v>
      </c>
      <c r="J25" s="196">
        <f t="shared" si="2"/>
        <v>3432.6500000000005</v>
      </c>
      <c r="L25" s="186">
        <v>0</v>
      </c>
      <c r="M25" s="186">
        <v>0</v>
      </c>
      <c r="N25" s="186">
        <v>-11.49</v>
      </c>
      <c r="O25" s="186">
        <v>0</v>
      </c>
    </row>
    <row r="26" spans="1:15">
      <c r="A26" s="206">
        <v>10007050</v>
      </c>
      <c r="B26" s="189" t="s">
        <v>572</v>
      </c>
      <c r="C26" s="190" t="s">
        <v>454</v>
      </c>
      <c r="D26" s="186">
        <v>26.07</v>
      </c>
      <c r="E26" s="186">
        <f t="shared" si="0"/>
        <v>1597.2178749520522</v>
      </c>
      <c r="F26" s="186">
        <v>36206.54</v>
      </c>
      <c r="G26" s="186">
        <v>5000.8599999999997</v>
      </c>
      <c r="H26" s="186">
        <v>571.59</v>
      </c>
      <c r="I26" s="196">
        <f t="shared" si="1"/>
        <v>-139.52000000000001</v>
      </c>
      <c r="J26" s="196">
        <f t="shared" si="2"/>
        <v>41639.47</v>
      </c>
      <c r="L26" s="186">
        <v>0</v>
      </c>
      <c r="M26" s="186">
        <v>0</v>
      </c>
      <c r="N26" s="186">
        <v>-139.52000000000001</v>
      </c>
      <c r="O26" s="186">
        <v>0</v>
      </c>
    </row>
    <row r="27" spans="1:15">
      <c r="A27" s="206">
        <v>10007050</v>
      </c>
      <c r="B27" s="189" t="s">
        <v>572</v>
      </c>
      <c r="C27" s="190" t="s">
        <v>407</v>
      </c>
      <c r="D27" s="186">
        <v>24.215</v>
      </c>
      <c r="E27" s="186">
        <f t="shared" si="0"/>
        <v>1579.1199669626264</v>
      </c>
      <c r="F27" s="186">
        <v>33480.78</v>
      </c>
      <c r="G27" s="186">
        <v>4355.5200000000004</v>
      </c>
      <c r="H27" s="186">
        <v>531.07000000000005</v>
      </c>
      <c r="I27" s="196">
        <f t="shared" si="1"/>
        <v>-128.97999999999999</v>
      </c>
      <c r="J27" s="196">
        <f t="shared" si="2"/>
        <v>38238.39</v>
      </c>
      <c r="L27" s="186">
        <v>0</v>
      </c>
      <c r="M27" s="186">
        <v>0</v>
      </c>
      <c r="N27" s="186">
        <v>-128.97999999999999</v>
      </c>
      <c r="O27" s="186">
        <v>0</v>
      </c>
    </row>
    <row r="28" spans="1:15">
      <c r="A28" s="206">
        <v>10007050</v>
      </c>
      <c r="B28" s="189" t="s">
        <v>572</v>
      </c>
      <c r="C28" s="190" t="s">
        <v>431</v>
      </c>
      <c r="D28" s="186">
        <v>22.56</v>
      </c>
      <c r="E28" s="186">
        <f t="shared" si="0"/>
        <v>1587.2584219858154</v>
      </c>
      <c r="F28" s="186">
        <v>31025.649999999998</v>
      </c>
      <c r="G28" s="186">
        <v>4491.8999999999996</v>
      </c>
      <c r="H28" s="186">
        <v>410.14000000000004</v>
      </c>
      <c r="I28" s="196">
        <f t="shared" si="1"/>
        <v>-119.13999999999999</v>
      </c>
      <c r="J28" s="196">
        <f t="shared" si="2"/>
        <v>35808.549999999996</v>
      </c>
      <c r="L28" s="186">
        <v>0</v>
      </c>
      <c r="M28" s="186">
        <v>0</v>
      </c>
      <c r="N28" s="186">
        <v>-119.13999999999999</v>
      </c>
      <c r="O28" s="186">
        <v>0</v>
      </c>
    </row>
    <row r="29" spans="1:15">
      <c r="A29" s="207">
        <v>10007161</v>
      </c>
      <c r="B29" s="189" t="s">
        <v>572</v>
      </c>
      <c r="C29" s="190" t="s">
        <v>435</v>
      </c>
      <c r="D29" s="186">
        <v>4.84</v>
      </c>
      <c r="E29" s="186">
        <f t="shared" si="0"/>
        <v>1973.6880165289251</v>
      </c>
      <c r="F29" s="186">
        <v>6453.1899999999987</v>
      </c>
      <c r="G29" s="186">
        <v>1403.6</v>
      </c>
      <c r="H29" s="186">
        <v>60.730000000000011</v>
      </c>
      <c r="I29" s="196">
        <f t="shared" si="1"/>
        <v>1635.13</v>
      </c>
      <c r="J29" s="196">
        <f t="shared" si="2"/>
        <v>9552.6499999999978</v>
      </c>
      <c r="L29" s="186">
        <v>1043.6100000000001</v>
      </c>
      <c r="M29" s="186">
        <v>617.43999999999994</v>
      </c>
      <c r="N29" s="186">
        <v>-25.92</v>
      </c>
      <c r="O29" s="186">
        <v>0</v>
      </c>
    </row>
    <row r="30" spans="1:15">
      <c r="A30" s="207">
        <v>10007162</v>
      </c>
      <c r="B30" s="189" t="s">
        <v>572</v>
      </c>
      <c r="C30" s="190" t="s">
        <v>375</v>
      </c>
      <c r="D30" s="186">
        <v>206.82</v>
      </c>
      <c r="E30" s="186">
        <f t="shared" si="0"/>
        <v>2018.1792863359442</v>
      </c>
      <c r="F30" s="186">
        <v>283979.31</v>
      </c>
      <c r="G30" s="186">
        <v>59977.799999999988</v>
      </c>
      <c r="H30" s="186">
        <v>3595.6499999999992</v>
      </c>
      <c r="I30" s="196">
        <f t="shared" si="1"/>
        <v>69847.079999999987</v>
      </c>
      <c r="J30" s="196">
        <f t="shared" si="2"/>
        <v>417399.83999999997</v>
      </c>
      <c r="L30" s="186">
        <v>44594.959999999992</v>
      </c>
      <c r="M30" s="186">
        <v>26384.03</v>
      </c>
      <c r="N30" s="186">
        <v>-1131.9100000000001</v>
      </c>
      <c r="O30" s="186">
        <v>0</v>
      </c>
    </row>
    <row r="31" spans="1:15">
      <c r="A31" s="207">
        <v>10007162</v>
      </c>
      <c r="B31" s="189" t="s">
        <v>572</v>
      </c>
      <c r="C31" s="190" t="s">
        <v>455</v>
      </c>
      <c r="D31" s="186">
        <v>48.58</v>
      </c>
      <c r="E31" s="186">
        <f t="shared" si="0"/>
        <v>2122.737340469329</v>
      </c>
      <c r="F31" s="186">
        <v>71848.23000000001</v>
      </c>
      <c r="G31" s="186">
        <v>14088.2</v>
      </c>
      <c r="H31" s="186">
        <v>780.37000000000012</v>
      </c>
      <c r="I31" s="196">
        <f t="shared" si="1"/>
        <v>16405.78</v>
      </c>
      <c r="J31" s="196">
        <f t="shared" si="2"/>
        <v>103122.58</v>
      </c>
      <c r="L31" s="186">
        <v>10474.959999999999</v>
      </c>
      <c r="M31" s="186">
        <v>6197.35</v>
      </c>
      <c r="N31" s="186">
        <v>-266.53000000000003</v>
      </c>
      <c r="O31" s="186">
        <v>0</v>
      </c>
    </row>
    <row r="32" spans="1:15">
      <c r="A32" s="207">
        <v>10009186</v>
      </c>
      <c r="B32" s="189" t="s">
        <v>572</v>
      </c>
      <c r="C32" s="190" t="s">
        <v>441</v>
      </c>
      <c r="D32" s="186">
        <v>0.54</v>
      </c>
      <c r="E32" s="186">
        <f t="shared" si="0"/>
        <v>2058.9074074074074</v>
      </c>
      <c r="F32" s="186">
        <v>763.04</v>
      </c>
      <c r="G32" s="186">
        <v>156.6</v>
      </c>
      <c r="H32" s="186">
        <v>8.9</v>
      </c>
      <c r="I32" s="196">
        <f t="shared" si="1"/>
        <v>183.26999999999998</v>
      </c>
      <c r="J32" s="196">
        <f t="shared" si="2"/>
        <v>1111.81</v>
      </c>
      <c r="L32" s="186">
        <v>116.44</v>
      </c>
      <c r="M32" s="186">
        <v>68.89</v>
      </c>
      <c r="N32" s="186">
        <v>-2.06</v>
      </c>
      <c r="O32" s="186">
        <v>0</v>
      </c>
    </row>
    <row r="33" spans="1:15">
      <c r="A33" s="207">
        <v>10009777</v>
      </c>
      <c r="B33" s="189" t="s">
        <v>572</v>
      </c>
      <c r="C33" s="190" t="s">
        <v>462</v>
      </c>
      <c r="D33" s="186">
        <v>0.22</v>
      </c>
      <c r="E33" s="186">
        <f t="shared" si="0"/>
        <v>2189.363636363636</v>
      </c>
      <c r="F33" s="186">
        <v>350.9</v>
      </c>
      <c r="G33" s="186">
        <v>52.8</v>
      </c>
      <c r="H33" s="186">
        <v>3.74</v>
      </c>
      <c r="I33" s="196">
        <f t="shared" si="1"/>
        <v>74.219999999999985</v>
      </c>
      <c r="J33" s="196">
        <f t="shared" si="2"/>
        <v>481.65999999999997</v>
      </c>
      <c r="L33" s="186">
        <v>47.44</v>
      </c>
      <c r="M33" s="186">
        <v>28.07</v>
      </c>
      <c r="N33" s="186">
        <v>-1.29</v>
      </c>
      <c r="O33" s="186">
        <v>0</v>
      </c>
    </row>
    <row r="34" spans="1:15">
      <c r="A34" s="207">
        <v>10007567</v>
      </c>
      <c r="B34" s="189" t="s">
        <v>572</v>
      </c>
      <c r="C34" s="190" t="s">
        <v>370</v>
      </c>
      <c r="D34" s="186">
        <v>53.98</v>
      </c>
      <c r="E34" s="186">
        <f t="shared" si="0"/>
        <v>2019.4979622082253</v>
      </c>
      <c r="F34" s="186">
        <v>74868.42</v>
      </c>
      <c r="G34" s="186">
        <v>14844.5</v>
      </c>
      <c r="H34" s="186">
        <v>1068.0999999999999</v>
      </c>
      <c r="I34" s="196">
        <f t="shared" si="1"/>
        <v>18231.48</v>
      </c>
      <c r="J34" s="196">
        <f t="shared" si="2"/>
        <v>109012.5</v>
      </c>
      <c r="L34" s="186">
        <v>11639.27</v>
      </c>
      <c r="M34" s="186">
        <v>6886.2300000000005</v>
      </c>
      <c r="N34" s="186">
        <v>-294.02</v>
      </c>
      <c r="O34" s="186">
        <v>0</v>
      </c>
    </row>
    <row r="35" spans="1:15">
      <c r="A35" s="202">
        <v>10009176</v>
      </c>
      <c r="B35" s="189" t="s">
        <v>572</v>
      </c>
      <c r="C35" s="190" t="s">
        <v>437</v>
      </c>
      <c r="D35" s="186">
        <v>0.02</v>
      </c>
      <c r="E35" s="186">
        <f t="shared" si="0"/>
        <v>1637.5</v>
      </c>
      <c r="F35" s="186">
        <v>20.62</v>
      </c>
      <c r="G35" s="186">
        <v>5.0999999999999996</v>
      </c>
      <c r="H35" s="186">
        <v>0.25</v>
      </c>
      <c r="I35" s="196">
        <f t="shared" si="1"/>
        <v>6.7799999999999994</v>
      </c>
      <c r="J35" s="196">
        <f t="shared" si="2"/>
        <v>32.75</v>
      </c>
      <c r="L35" s="186">
        <v>4.3099999999999996</v>
      </c>
      <c r="M35" s="186">
        <v>2.5500000000000003</v>
      </c>
      <c r="N35" s="186">
        <v>-0.08</v>
      </c>
      <c r="O35" s="186">
        <v>0</v>
      </c>
    </row>
    <row r="36" spans="1:15">
      <c r="A36" s="202">
        <v>10009177</v>
      </c>
      <c r="B36" s="189" t="s">
        <v>572</v>
      </c>
      <c r="C36" s="190" t="s">
        <v>438</v>
      </c>
      <c r="D36" s="186">
        <v>2.06</v>
      </c>
      <c r="E36" s="186">
        <f t="shared" si="0"/>
        <v>2018.509708737864</v>
      </c>
      <c r="F36" s="186">
        <v>2907.81</v>
      </c>
      <c r="G36" s="186">
        <v>525.29999999999995</v>
      </c>
      <c r="H36" s="186">
        <v>25.840000000000003</v>
      </c>
      <c r="I36" s="196">
        <f t="shared" si="1"/>
        <v>699.18000000000006</v>
      </c>
      <c r="J36" s="196">
        <f t="shared" si="2"/>
        <v>4158.13</v>
      </c>
      <c r="L36" s="186">
        <v>444.18999999999994</v>
      </c>
      <c r="M36" s="186">
        <v>262.79000000000002</v>
      </c>
      <c r="N36" s="186">
        <v>-7.8</v>
      </c>
      <c r="O36" s="186">
        <v>0</v>
      </c>
    </row>
    <row r="37" spans="1:15">
      <c r="A37" s="208">
        <v>10009386</v>
      </c>
      <c r="B37" s="189" t="s">
        <v>572</v>
      </c>
      <c r="C37" s="190" t="s">
        <v>453</v>
      </c>
      <c r="D37" s="186">
        <v>8.8800000000000008</v>
      </c>
      <c r="E37" s="186">
        <f t="shared" si="0"/>
        <v>1608.7060810810806</v>
      </c>
      <c r="F37" s="186">
        <v>12582.949999999999</v>
      </c>
      <c r="G37" s="186">
        <v>1598.4</v>
      </c>
      <c r="H37" s="186">
        <v>151.88</v>
      </c>
      <c r="I37" s="196">
        <f t="shared" si="1"/>
        <v>-47.92</v>
      </c>
      <c r="J37" s="196">
        <f t="shared" si="2"/>
        <v>14285.309999999998</v>
      </c>
      <c r="L37" s="186">
        <v>0</v>
      </c>
      <c r="M37" s="186">
        <v>0</v>
      </c>
      <c r="N37" s="186">
        <v>-47.92</v>
      </c>
      <c r="O37" s="186">
        <v>0</v>
      </c>
    </row>
    <row r="38" spans="1:15">
      <c r="B38" s="191" t="s">
        <v>573</v>
      </c>
      <c r="C38" s="192">
        <v>0</v>
      </c>
      <c r="D38" s="193">
        <v>1534.1410000000001</v>
      </c>
      <c r="E38" s="193">
        <f t="shared" si="0"/>
        <v>2050.5588795293261</v>
      </c>
      <c r="F38" s="193">
        <v>2135581.9900000002</v>
      </c>
      <c r="G38" s="193">
        <v>511772.49999999994</v>
      </c>
      <c r="H38" s="193">
        <v>27063.02</v>
      </c>
      <c r="I38" s="193">
        <f t="shared" si="1"/>
        <v>471428.94000000006</v>
      </c>
      <c r="J38" s="50">
        <f t="shared" si="2"/>
        <v>3145846.45</v>
      </c>
      <c r="L38" s="193">
        <v>301684.74</v>
      </c>
      <c r="M38" s="193">
        <v>178487.80000000002</v>
      </c>
      <c r="N38" s="193">
        <v>-8743.6000000000022</v>
      </c>
      <c r="O38" s="193">
        <v>0</v>
      </c>
    </row>
    <row r="40" spans="1:15">
      <c r="B40" s="197" t="s">
        <v>583</v>
      </c>
    </row>
    <row r="42" spans="1:15">
      <c r="B42" s="194" t="s">
        <v>297</v>
      </c>
      <c r="C42" s="194" t="s">
        <v>298</v>
      </c>
      <c r="D42" s="195" t="s">
        <v>574</v>
      </c>
      <c r="E42" s="195" t="s">
        <v>575</v>
      </c>
      <c r="F42" s="194" t="s">
        <v>576</v>
      </c>
      <c r="G42" s="194" t="s">
        <v>577</v>
      </c>
      <c r="H42" s="194" t="s">
        <v>578</v>
      </c>
      <c r="I42" s="194" t="s">
        <v>89</v>
      </c>
      <c r="J42" s="194" t="s">
        <v>11</v>
      </c>
    </row>
    <row r="43" spans="1:15">
      <c r="A43" s="203">
        <f t="shared" ref="A43:A75" si="3">A5</f>
        <v>10006668</v>
      </c>
      <c r="B43" s="189" t="s">
        <v>572</v>
      </c>
      <c r="C43" s="190" t="s">
        <v>429</v>
      </c>
      <c r="D43" s="186"/>
      <c r="E43" s="186"/>
      <c r="F43" s="198">
        <f t="shared" ref="F43:J52" si="4">F5/$J5</f>
        <v>0.71033445468845091</v>
      </c>
      <c r="G43" s="198">
        <f t="shared" si="4"/>
        <v>0.11114045259882661</v>
      </c>
      <c r="H43" s="198">
        <f t="shared" si="4"/>
        <v>7.0725742562889674E-3</v>
      </c>
      <c r="I43" s="199">
        <f t="shared" si="4"/>
        <v>0.17145251845643364</v>
      </c>
      <c r="J43" s="199">
        <f t="shared" si="4"/>
        <v>1</v>
      </c>
    </row>
    <row r="44" spans="1:15">
      <c r="A44" s="203">
        <f t="shared" si="3"/>
        <v>10006719</v>
      </c>
      <c r="B44" s="189" t="s">
        <v>572</v>
      </c>
      <c r="C44" s="190" t="s">
        <v>430</v>
      </c>
      <c r="D44" s="186"/>
      <c r="E44" s="186"/>
      <c r="F44" s="198">
        <f t="shared" si="4"/>
        <v>0.64336973478939152</v>
      </c>
      <c r="G44" s="198">
        <f t="shared" si="4"/>
        <v>0.13728549141965679</v>
      </c>
      <c r="H44" s="198">
        <f t="shared" si="4"/>
        <v>7.8003120124804978E-3</v>
      </c>
      <c r="I44" s="199">
        <f t="shared" si="4"/>
        <v>0.21154446177847108</v>
      </c>
      <c r="J44" s="199">
        <f t="shared" si="4"/>
        <v>1</v>
      </c>
    </row>
    <row r="45" spans="1:15">
      <c r="A45" s="203">
        <f t="shared" si="3"/>
        <v>10006720</v>
      </c>
      <c r="B45" s="189" t="s">
        <v>572</v>
      </c>
      <c r="C45" s="190" t="s">
        <v>326</v>
      </c>
      <c r="D45" s="186"/>
      <c r="E45" s="186"/>
      <c r="F45" s="198">
        <f t="shared" si="4"/>
        <v>0.70582531024789985</v>
      </c>
      <c r="G45" s="198">
        <f t="shared" si="4"/>
        <v>0.11204528546371516</v>
      </c>
      <c r="H45" s="198">
        <f t="shared" si="4"/>
        <v>8.9236617029330965E-3</v>
      </c>
      <c r="I45" s="199">
        <f t="shared" si="4"/>
        <v>0.17320574258545188</v>
      </c>
      <c r="J45" s="199">
        <f t="shared" si="4"/>
        <v>1</v>
      </c>
    </row>
    <row r="46" spans="1:15">
      <c r="A46" s="203">
        <f t="shared" si="3"/>
        <v>10009178</v>
      </c>
      <c r="B46" s="189" t="s">
        <v>572</v>
      </c>
      <c r="C46" s="190" t="s">
        <v>439</v>
      </c>
      <c r="D46" s="186"/>
      <c r="E46" s="186"/>
      <c r="F46" s="198">
        <f t="shared" si="4"/>
        <v>0.72187646198995192</v>
      </c>
      <c r="G46" s="198">
        <f t="shared" si="4"/>
        <v>0.10506716623902874</v>
      </c>
      <c r="H46" s="198">
        <f t="shared" si="4"/>
        <v>8.2981089598633748E-3</v>
      </c>
      <c r="I46" s="199">
        <f t="shared" si="4"/>
        <v>0.16475826281115599</v>
      </c>
      <c r="J46" s="199">
        <f t="shared" si="4"/>
        <v>1</v>
      </c>
    </row>
    <row r="47" spans="1:15">
      <c r="A47" s="203">
        <f t="shared" si="3"/>
        <v>10009331</v>
      </c>
      <c r="B47" s="189" t="s">
        <v>572</v>
      </c>
      <c r="C47" s="190" t="s">
        <v>403</v>
      </c>
      <c r="D47" s="186"/>
      <c r="E47" s="186"/>
      <c r="F47" s="198">
        <f t="shared" si="4"/>
        <v>0.68204163069977208</v>
      </c>
      <c r="G47" s="198">
        <f t="shared" si="4"/>
        <v>0.17174793466713295</v>
      </c>
      <c r="H47" s="198">
        <f t="shared" si="4"/>
        <v>7.471648232296021E-3</v>
      </c>
      <c r="I47" s="199">
        <f t="shared" si="4"/>
        <v>0.13873878640079887</v>
      </c>
      <c r="J47" s="199">
        <f t="shared" si="4"/>
        <v>1</v>
      </c>
    </row>
    <row r="48" spans="1:15">
      <c r="A48" s="203">
        <f t="shared" si="3"/>
        <v>10009334</v>
      </c>
      <c r="B48" s="189" t="s">
        <v>572</v>
      </c>
      <c r="C48" s="190" t="s">
        <v>452</v>
      </c>
      <c r="D48" s="186"/>
      <c r="E48" s="186"/>
      <c r="F48" s="198">
        <f t="shared" si="4"/>
        <v>0.68183368953549928</v>
      </c>
      <c r="G48" s="198">
        <f t="shared" si="4"/>
        <v>0.17194956961628202</v>
      </c>
      <c r="H48" s="198">
        <f t="shared" si="4"/>
        <v>7.3057391031548392E-3</v>
      </c>
      <c r="I48" s="199">
        <f t="shared" si="4"/>
        <v>0.13891100174506382</v>
      </c>
      <c r="J48" s="199">
        <f t="shared" si="4"/>
        <v>1</v>
      </c>
    </row>
    <row r="49" spans="1:10">
      <c r="A49" s="204">
        <f t="shared" si="3"/>
        <v>10007969</v>
      </c>
      <c r="B49" s="189" t="s">
        <v>572</v>
      </c>
      <c r="C49" s="190" t="s">
        <v>436</v>
      </c>
      <c r="D49" s="186"/>
      <c r="E49" s="186"/>
      <c r="F49" s="198">
        <f t="shared" si="4"/>
        <v>0.86420893256579723</v>
      </c>
      <c r="G49" s="198">
        <f t="shared" si="4"/>
        <v>0.12849122963140996</v>
      </c>
      <c r="H49" s="198">
        <f t="shared" si="4"/>
        <v>1.0720010903071798E-2</v>
      </c>
      <c r="I49" s="199">
        <f t="shared" si="4"/>
        <v>-3.4201731002790063E-3</v>
      </c>
      <c r="J49" s="199">
        <f t="shared" si="4"/>
        <v>1</v>
      </c>
    </row>
    <row r="50" spans="1:10">
      <c r="A50" s="205">
        <f t="shared" si="3"/>
        <v>10005721</v>
      </c>
      <c r="B50" s="189" t="s">
        <v>572</v>
      </c>
      <c r="C50" s="190" t="s">
        <v>427</v>
      </c>
      <c r="D50" s="186"/>
      <c r="E50" s="186"/>
      <c r="F50" s="198">
        <f t="shared" si="4"/>
        <v>0.66945247907799443</v>
      </c>
      <c r="G50" s="198">
        <f t="shared" si="4"/>
        <v>0.15988401468026914</v>
      </c>
      <c r="H50" s="198">
        <f t="shared" si="4"/>
        <v>9.4437372224647417E-3</v>
      </c>
      <c r="I50" s="199">
        <f t="shared" si="4"/>
        <v>0.16121976901927182</v>
      </c>
      <c r="J50" s="199">
        <f t="shared" si="4"/>
        <v>1</v>
      </c>
    </row>
    <row r="51" spans="1:10">
      <c r="A51" s="205">
        <f t="shared" si="3"/>
        <v>10004435</v>
      </c>
      <c r="B51" s="189" t="s">
        <v>572</v>
      </c>
      <c r="C51" s="190" t="s">
        <v>426</v>
      </c>
      <c r="D51" s="186"/>
      <c r="E51" s="186"/>
      <c r="F51" s="198">
        <f t="shared" si="4"/>
        <v>0.68038050803602201</v>
      </c>
      <c r="G51" s="198">
        <f t="shared" si="4"/>
        <v>0.15460167198404859</v>
      </c>
      <c r="H51" s="198">
        <f t="shared" si="4"/>
        <v>7.4852090574596833E-3</v>
      </c>
      <c r="I51" s="199">
        <f t="shared" si="4"/>
        <v>0.15753261092246978</v>
      </c>
      <c r="J51" s="199">
        <f t="shared" si="4"/>
        <v>1</v>
      </c>
    </row>
    <row r="52" spans="1:10">
      <c r="A52" s="206">
        <f t="shared" si="3"/>
        <v>10009251</v>
      </c>
      <c r="B52" s="189" t="s">
        <v>572</v>
      </c>
      <c r="C52" s="190" t="s">
        <v>460</v>
      </c>
      <c r="D52" s="186"/>
      <c r="E52" s="186"/>
      <c r="F52" s="198">
        <f t="shared" si="4"/>
        <v>0.64221599841267418</v>
      </c>
      <c r="G52" s="198">
        <f t="shared" si="4"/>
        <v>0.20748943054686428</v>
      </c>
      <c r="H52" s="198">
        <f t="shared" si="4"/>
        <v>4.9023947251942181E-3</v>
      </c>
      <c r="I52" s="199">
        <f t="shared" si="4"/>
        <v>0.14539217631526732</v>
      </c>
      <c r="J52" s="199">
        <f t="shared" si="4"/>
        <v>1</v>
      </c>
    </row>
    <row r="53" spans="1:10">
      <c r="A53" s="206">
        <f t="shared" si="3"/>
        <v>10009239</v>
      </c>
      <c r="B53" s="189" t="s">
        <v>572</v>
      </c>
      <c r="C53" s="190" t="s">
        <v>446</v>
      </c>
      <c r="D53" s="186"/>
      <c r="E53" s="186"/>
      <c r="F53" s="198">
        <f t="shared" ref="F53:J62" si="5">F15/$J15</f>
        <v>0.55669887349854319</v>
      </c>
      <c r="G53" s="198">
        <f t="shared" si="5"/>
        <v>0.28830278142330967</v>
      </c>
      <c r="H53" s="198">
        <f t="shared" si="5"/>
        <v>7.4716835173632085E-3</v>
      </c>
      <c r="I53" s="199">
        <f t="shared" si="5"/>
        <v>0.14752666156078373</v>
      </c>
      <c r="J53" s="199">
        <f t="shared" si="5"/>
        <v>1</v>
      </c>
    </row>
    <row r="54" spans="1:10">
      <c r="A54" s="206">
        <f t="shared" si="3"/>
        <v>10009239</v>
      </c>
      <c r="B54" s="189" t="s">
        <v>572</v>
      </c>
      <c r="C54" s="190" t="s">
        <v>389</v>
      </c>
      <c r="D54" s="186"/>
      <c r="E54" s="186"/>
      <c r="F54" s="198">
        <f t="shared" si="5"/>
        <v>0.57461550612535983</v>
      </c>
      <c r="G54" s="198">
        <f t="shared" si="5"/>
        <v>0.27733856566110837</v>
      </c>
      <c r="H54" s="198">
        <f t="shared" si="5"/>
        <v>7.220671040992911E-3</v>
      </c>
      <c r="I54" s="199">
        <f t="shared" si="5"/>
        <v>0.14082525717253899</v>
      </c>
      <c r="J54" s="199">
        <f t="shared" si="5"/>
        <v>1</v>
      </c>
    </row>
    <row r="55" spans="1:10">
      <c r="A55" s="206">
        <f t="shared" si="3"/>
        <v>10009251</v>
      </c>
      <c r="B55" s="189" t="s">
        <v>572</v>
      </c>
      <c r="C55" s="190" t="s">
        <v>449</v>
      </c>
      <c r="D55" s="186"/>
      <c r="E55" s="186"/>
      <c r="F55" s="198">
        <f t="shared" si="5"/>
        <v>0.64382013864950782</v>
      </c>
      <c r="G55" s="198">
        <f t="shared" si="5"/>
        <v>0.17329715364875656</v>
      </c>
      <c r="H55" s="198">
        <f t="shared" si="5"/>
        <v>8.6648576824378265E-3</v>
      </c>
      <c r="I55" s="199">
        <f t="shared" si="5"/>
        <v>0.17421785001929779</v>
      </c>
      <c r="J55" s="199">
        <f t="shared" si="5"/>
        <v>1</v>
      </c>
    </row>
    <row r="56" spans="1:10">
      <c r="A56" s="204">
        <f t="shared" si="3"/>
        <v>10009207</v>
      </c>
      <c r="B56" s="189" t="s">
        <v>572</v>
      </c>
      <c r="C56" s="190" t="s">
        <v>443</v>
      </c>
      <c r="D56" s="186"/>
      <c r="E56" s="186"/>
      <c r="F56" s="198">
        <f t="shared" si="5"/>
        <v>0.87797456745325031</v>
      </c>
      <c r="G56" s="198">
        <f t="shared" si="5"/>
        <v>0.11463991523015157</v>
      </c>
      <c r="H56" s="198">
        <f t="shared" si="5"/>
        <v>1.0892384167909263E-2</v>
      </c>
      <c r="I56" s="199">
        <f t="shared" si="5"/>
        <v>-3.5068668513112337E-3</v>
      </c>
      <c r="J56" s="199">
        <f t="shared" si="5"/>
        <v>1</v>
      </c>
    </row>
    <row r="57" spans="1:10">
      <c r="A57" s="202">
        <f t="shared" si="3"/>
        <v>10009183</v>
      </c>
      <c r="B57" s="189" t="s">
        <v>572</v>
      </c>
      <c r="C57" s="190" t="s">
        <v>448</v>
      </c>
      <c r="D57" s="186"/>
      <c r="E57" s="186"/>
      <c r="F57" s="198">
        <f t="shared" si="5"/>
        <v>0.64906604988874572</v>
      </c>
      <c r="G57" s="198">
        <f t="shared" si="5"/>
        <v>0.18269118163719406</v>
      </c>
      <c r="H57" s="198">
        <f t="shared" si="5"/>
        <v>9.2663075301557558E-3</v>
      </c>
      <c r="I57" s="199">
        <f t="shared" si="5"/>
        <v>0.15897646094390444</v>
      </c>
      <c r="J57" s="199">
        <f t="shared" si="5"/>
        <v>1</v>
      </c>
    </row>
    <row r="58" spans="1:10">
      <c r="A58" s="202">
        <f t="shared" si="3"/>
        <v>10005776</v>
      </c>
      <c r="B58" s="189" t="s">
        <v>572</v>
      </c>
      <c r="C58" s="190" t="s">
        <v>428</v>
      </c>
      <c r="D58" s="186"/>
      <c r="E58" s="186"/>
      <c r="F58" s="198">
        <f t="shared" si="5"/>
        <v>0.64073269380282716</v>
      </c>
      <c r="G58" s="198">
        <f t="shared" si="5"/>
        <v>0.18883912359278537</v>
      </c>
      <c r="H58" s="198">
        <f t="shared" si="5"/>
        <v>6.7788403340999885E-3</v>
      </c>
      <c r="I58" s="199">
        <f t="shared" si="5"/>
        <v>0.16364934227028755</v>
      </c>
      <c r="J58" s="199">
        <f t="shared" si="5"/>
        <v>1</v>
      </c>
    </row>
    <row r="59" spans="1:10">
      <c r="A59" s="202">
        <f t="shared" si="3"/>
        <v>10005779</v>
      </c>
      <c r="B59" s="189" t="s">
        <v>572</v>
      </c>
      <c r="C59" s="190" t="s">
        <v>352</v>
      </c>
      <c r="D59" s="186"/>
      <c r="E59" s="186"/>
      <c r="F59" s="198">
        <f t="shared" si="5"/>
        <v>0.64850785469264949</v>
      </c>
      <c r="G59" s="198">
        <f t="shared" si="5"/>
        <v>0.18472988207689736</v>
      </c>
      <c r="H59" s="198">
        <f t="shared" si="5"/>
        <v>5.9716572410928488E-3</v>
      </c>
      <c r="I59" s="199">
        <f t="shared" si="5"/>
        <v>0.16079060598936049</v>
      </c>
      <c r="J59" s="199">
        <f t="shared" si="5"/>
        <v>1</v>
      </c>
    </row>
    <row r="60" spans="1:10">
      <c r="A60" s="202">
        <f t="shared" si="3"/>
        <v>10005781</v>
      </c>
      <c r="B60" s="189" t="s">
        <v>572</v>
      </c>
      <c r="C60" s="190" t="s">
        <v>363</v>
      </c>
      <c r="D60" s="186"/>
      <c r="E60" s="186"/>
      <c r="F60" s="198">
        <f t="shared" si="5"/>
        <v>0.66403719438475561</v>
      </c>
      <c r="G60" s="198">
        <f t="shared" si="5"/>
        <v>0.17601672338581983</v>
      </c>
      <c r="H60" s="198">
        <f t="shared" si="5"/>
        <v>7.5721758058960248E-3</v>
      </c>
      <c r="I60" s="199">
        <f t="shared" si="5"/>
        <v>0.15237390642352852</v>
      </c>
      <c r="J60" s="199">
        <f t="shared" si="5"/>
        <v>1</v>
      </c>
    </row>
    <row r="61" spans="1:10">
      <c r="A61" s="206">
        <f t="shared" si="3"/>
        <v>10007050</v>
      </c>
      <c r="B61" s="189" t="s">
        <v>572</v>
      </c>
      <c r="C61" s="190" t="s">
        <v>432</v>
      </c>
      <c r="D61" s="186"/>
      <c r="E61" s="186"/>
      <c r="F61" s="198">
        <f t="shared" si="5"/>
        <v>0.88256317231166481</v>
      </c>
      <c r="G61" s="198">
        <f t="shared" si="5"/>
        <v>0.11132858904590043</v>
      </c>
      <c r="H61" s="198">
        <f t="shared" si="5"/>
        <v>1.0578478735560662E-2</v>
      </c>
      <c r="I61" s="199">
        <f t="shared" si="5"/>
        <v>-4.4702400931258121E-3</v>
      </c>
      <c r="J61" s="199">
        <f t="shared" si="5"/>
        <v>1</v>
      </c>
    </row>
    <row r="62" spans="1:10">
      <c r="A62" s="206">
        <f t="shared" si="3"/>
        <v>10007050</v>
      </c>
      <c r="B62" s="189" t="s">
        <v>572</v>
      </c>
      <c r="C62" s="190" t="s">
        <v>434</v>
      </c>
      <c r="D62" s="186"/>
      <c r="E62" s="186"/>
      <c r="F62" s="198">
        <f t="shared" si="5"/>
        <v>0.96870725230765686</v>
      </c>
      <c r="G62" s="198">
        <f t="shared" si="5"/>
        <v>0.1231133539480188</v>
      </c>
      <c r="H62" s="198">
        <f t="shared" si="5"/>
        <v>1.1699217178393664E-2</v>
      </c>
      <c r="I62" s="199">
        <f t="shared" si="5"/>
        <v>-0.10351982343406939</v>
      </c>
      <c r="J62" s="199">
        <f t="shared" si="5"/>
        <v>1</v>
      </c>
    </row>
    <row r="63" spans="1:10">
      <c r="A63" s="206">
        <f t="shared" si="3"/>
        <v>10007050</v>
      </c>
      <c r="B63" s="189" t="s">
        <v>572</v>
      </c>
      <c r="C63" s="190" t="s">
        <v>433</v>
      </c>
      <c r="D63" s="186"/>
      <c r="E63" s="186"/>
      <c r="F63" s="198">
        <f t="shared" ref="F63:J72" si="6">F25/$J25</f>
        <v>0.87702212576289451</v>
      </c>
      <c r="G63" s="198">
        <f t="shared" si="6"/>
        <v>0.11536276637583207</v>
      </c>
      <c r="H63" s="198">
        <f t="shared" si="6"/>
        <v>1.0962376006875151E-2</v>
      </c>
      <c r="I63" s="199">
        <f t="shared" si="6"/>
        <v>-3.3472681456017941E-3</v>
      </c>
      <c r="J63" s="199">
        <f t="shared" si="6"/>
        <v>1</v>
      </c>
    </row>
    <row r="64" spans="1:10">
      <c r="A64" s="206">
        <f t="shared" si="3"/>
        <v>10007050</v>
      </c>
      <c r="B64" s="189" t="s">
        <v>572</v>
      </c>
      <c r="C64" s="190" t="s">
        <v>454</v>
      </c>
      <c r="D64" s="186"/>
      <c r="E64" s="186"/>
      <c r="F64" s="198">
        <f t="shared" si="6"/>
        <v>0.86952451604211101</v>
      </c>
      <c r="G64" s="198">
        <f t="shared" si="6"/>
        <v>0.12009903103954012</v>
      </c>
      <c r="H64" s="198">
        <f t="shared" si="6"/>
        <v>1.3727119965744041E-2</v>
      </c>
      <c r="I64" s="199">
        <f t="shared" si="6"/>
        <v>-3.3506670473951758E-3</v>
      </c>
      <c r="J64" s="199">
        <f t="shared" si="6"/>
        <v>1</v>
      </c>
    </row>
    <row r="65" spans="1:10">
      <c r="A65" s="206">
        <f t="shared" si="3"/>
        <v>10007050</v>
      </c>
      <c r="B65" s="189" t="s">
        <v>572</v>
      </c>
      <c r="C65" s="190" t="s">
        <v>407</v>
      </c>
      <c r="D65" s="186"/>
      <c r="E65" s="186"/>
      <c r="F65" s="198">
        <f t="shared" si="6"/>
        <v>0.87558027416949302</v>
      </c>
      <c r="G65" s="198">
        <f t="shared" si="6"/>
        <v>0.11390437725019281</v>
      </c>
      <c r="H65" s="198">
        <f t="shared" si="6"/>
        <v>1.3888398543976357E-2</v>
      </c>
      <c r="I65" s="199">
        <f t="shared" si="6"/>
        <v>-3.373049963662173E-3</v>
      </c>
      <c r="J65" s="199">
        <f t="shared" si="6"/>
        <v>1</v>
      </c>
    </row>
    <row r="66" spans="1:10">
      <c r="A66" s="206">
        <f t="shared" si="3"/>
        <v>10007050</v>
      </c>
      <c r="B66" s="189" t="s">
        <v>572</v>
      </c>
      <c r="C66" s="190" t="s">
        <v>431</v>
      </c>
      <c r="D66" s="186"/>
      <c r="E66" s="186"/>
      <c r="F66" s="198">
        <f t="shared" si="6"/>
        <v>0.86643134111825248</v>
      </c>
      <c r="G66" s="198">
        <f t="shared" si="6"/>
        <v>0.12544210809988118</v>
      </c>
      <c r="H66" s="198">
        <f t="shared" si="6"/>
        <v>1.1453689132902619E-2</v>
      </c>
      <c r="I66" s="199">
        <f t="shared" si="6"/>
        <v>-3.327138351036275E-3</v>
      </c>
      <c r="J66" s="199">
        <f t="shared" si="6"/>
        <v>1</v>
      </c>
    </row>
    <row r="67" spans="1:10">
      <c r="A67" s="207">
        <f t="shared" si="3"/>
        <v>10007161</v>
      </c>
      <c r="B67" s="189" t="s">
        <v>572</v>
      </c>
      <c r="C67" s="190" t="s">
        <v>435</v>
      </c>
      <c r="D67" s="186"/>
      <c r="E67" s="186"/>
      <c r="F67" s="198">
        <f t="shared" si="6"/>
        <v>0.67553924827142209</v>
      </c>
      <c r="G67" s="198">
        <f t="shared" si="6"/>
        <v>0.14693304999136367</v>
      </c>
      <c r="H67" s="198">
        <f t="shared" si="6"/>
        <v>6.35739820887398E-3</v>
      </c>
      <c r="I67" s="199">
        <f t="shared" si="6"/>
        <v>0.17117030352834037</v>
      </c>
      <c r="J67" s="199">
        <f t="shared" si="6"/>
        <v>1</v>
      </c>
    </row>
    <row r="68" spans="1:10">
      <c r="A68" s="207">
        <f t="shared" si="3"/>
        <v>10007162</v>
      </c>
      <c r="B68" s="189" t="s">
        <v>572</v>
      </c>
      <c r="C68" s="190" t="s">
        <v>375</v>
      </c>
      <c r="D68" s="186"/>
      <c r="E68" s="186"/>
      <c r="F68" s="198">
        <f t="shared" si="6"/>
        <v>0.68035318365239439</v>
      </c>
      <c r="G68" s="198">
        <f t="shared" si="6"/>
        <v>0.1436938739602775</v>
      </c>
      <c r="H68" s="198">
        <f t="shared" si="6"/>
        <v>8.6144019604799064E-3</v>
      </c>
      <c r="I68" s="199">
        <f t="shared" si="6"/>
        <v>0.16733854042684826</v>
      </c>
      <c r="J68" s="199">
        <f t="shared" si="6"/>
        <v>1</v>
      </c>
    </row>
    <row r="69" spans="1:10">
      <c r="A69" s="207">
        <f t="shared" si="3"/>
        <v>10007162</v>
      </c>
      <c r="B69" s="189" t="s">
        <v>572</v>
      </c>
      <c r="C69" s="190" t="s">
        <v>455</v>
      </c>
      <c r="D69" s="186"/>
      <c r="E69" s="186"/>
      <c r="F69" s="198">
        <f t="shared" si="6"/>
        <v>0.69672645893847895</v>
      </c>
      <c r="G69" s="198">
        <f t="shared" si="6"/>
        <v>0.13661605440825861</v>
      </c>
      <c r="H69" s="198">
        <f t="shared" si="6"/>
        <v>7.5674018241203827E-3</v>
      </c>
      <c r="I69" s="199">
        <f t="shared" si="6"/>
        <v>0.15909008482914216</v>
      </c>
      <c r="J69" s="199">
        <f t="shared" si="6"/>
        <v>1</v>
      </c>
    </row>
    <row r="70" spans="1:10">
      <c r="A70" s="207">
        <f t="shared" si="3"/>
        <v>10009186</v>
      </c>
      <c r="B70" s="189" t="s">
        <v>572</v>
      </c>
      <c r="C70" s="190" t="s">
        <v>441</v>
      </c>
      <c r="D70" s="186"/>
      <c r="E70" s="186"/>
      <c r="F70" s="198">
        <f t="shared" si="6"/>
        <v>0.68630431458612529</v>
      </c>
      <c r="G70" s="198">
        <f t="shared" si="6"/>
        <v>0.14085140446659053</v>
      </c>
      <c r="H70" s="198">
        <f t="shared" si="6"/>
        <v>8.0049648770923101E-3</v>
      </c>
      <c r="I70" s="199">
        <f t="shared" si="6"/>
        <v>0.16483931607019184</v>
      </c>
      <c r="J70" s="199">
        <f t="shared" si="6"/>
        <v>1</v>
      </c>
    </row>
    <row r="71" spans="1:10">
      <c r="A71" s="207">
        <f t="shared" si="3"/>
        <v>10009777</v>
      </c>
      <c r="B71" s="189" t="s">
        <v>572</v>
      </c>
      <c r="C71" s="190" t="s">
        <v>462</v>
      </c>
      <c r="D71" s="186"/>
      <c r="E71" s="186"/>
      <c r="F71" s="198">
        <f t="shared" si="6"/>
        <v>0.7285221940788108</v>
      </c>
      <c r="G71" s="198">
        <f t="shared" si="6"/>
        <v>0.109620894406843</v>
      </c>
      <c r="H71" s="198">
        <f t="shared" si="6"/>
        <v>7.7648133538180467E-3</v>
      </c>
      <c r="I71" s="199">
        <f t="shared" si="6"/>
        <v>0.15409209816052816</v>
      </c>
      <c r="J71" s="199">
        <f t="shared" si="6"/>
        <v>1</v>
      </c>
    </row>
    <row r="72" spans="1:10">
      <c r="A72" s="207">
        <f t="shared" si="3"/>
        <v>10007567</v>
      </c>
      <c r="B72" s="189" t="s">
        <v>572</v>
      </c>
      <c r="C72" s="190" t="s">
        <v>370</v>
      </c>
      <c r="D72" s="186"/>
      <c r="E72" s="186"/>
      <c r="F72" s="198">
        <f t="shared" si="6"/>
        <v>0.68678747850017197</v>
      </c>
      <c r="G72" s="198">
        <f t="shared" si="6"/>
        <v>0.13617245728700836</v>
      </c>
      <c r="H72" s="198">
        <f t="shared" si="6"/>
        <v>9.7979589496617354E-3</v>
      </c>
      <c r="I72" s="199">
        <f t="shared" si="6"/>
        <v>0.16724210526315789</v>
      </c>
      <c r="J72" s="199">
        <f t="shared" si="6"/>
        <v>1</v>
      </c>
    </row>
    <row r="73" spans="1:10">
      <c r="A73" s="202">
        <f t="shared" si="3"/>
        <v>10009176</v>
      </c>
      <c r="B73" s="189" t="s">
        <v>572</v>
      </c>
      <c r="C73" s="190" t="s">
        <v>437</v>
      </c>
      <c r="D73" s="186"/>
      <c r="E73" s="186"/>
      <c r="F73" s="198">
        <f t="shared" ref="F73:J76" si="7">F35/$J35</f>
        <v>0.62961832061068701</v>
      </c>
      <c r="G73" s="198">
        <f t="shared" si="7"/>
        <v>0.15572519083969463</v>
      </c>
      <c r="H73" s="198">
        <f t="shared" si="7"/>
        <v>7.6335877862595417E-3</v>
      </c>
      <c r="I73" s="199">
        <f t="shared" si="7"/>
        <v>0.20702290076335875</v>
      </c>
      <c r="J73" s="199">
        <f t="shared" si="7"/>
        <v>1</v>
      </c>
    </row>
    <row r="74" spans="1:10">
      <c r="A74" s="202">
        <f t="shared" si="3"/>
        <v>10009177</v>
      </c>
      <c r="B74" s="189" t="s">
        <v>572</v>
      </c>
      <c r="C74" s="190" t="s">
        <v>438</v>
      </c>
      <c r="D74" s="186"/>
      <c r="E74" s="186"/>
      <c r="F74" s="198">
        <f t="shared" si="7"/>
        <v>0.69930714046939368</v>
      </c>
      <c r="G74" s="198">
        <f t="shared" si="7"/>
        <v>0.126330826597533</v>
      </c>
      <c r="H74" s="198">
        <f t="shared" si="7"/>
        <v>6.2143319232443438E-3</v>
      </c>
      <c r="I74" s="199">
        <f t="shared" si="7"/>
        <v>0.16814770100982895</v>
      </c>
      <c r="J74" s="199">
        <f t="shared" si="7"/>
        <v>1</v>
      </c>
    </row>
    <row r="75" spans="1:10">
      <c r="A75" s="208">
        <f t="shared" si="3"/>
        <v>10009386</v>
      </c>
      <c r="B75" s="189" t="s">
        <v>572</v>
      </c>
      <c r="C75" s="190" t="s">
        <v>453</v>
      </c>
      <c r="D75" s="186"/>
      <c r="E75" s="186"/>
      <c r="F75" s="198">
        <f t="shared" si="7"/>
        <v>0.88083142752939914</v>
      </c>
      <c r="G75" s="198">
        <f t="shared" si="7"/>
        <v>0.11189116652001255</v>
      </c>
      <c r="H75" s="198">
        <f t="shared" si="7"/>
        <v>1.0631900882794984E-2</v>
      </c>
      <c r="I75" s="199">
        <f t="shared" si="7"/>
        <v>-3.3544949322065823E-3</v>
      </c>
      <c r="J75" s="199">
        <f t="shared" si="7"/>
        <v>1</v>
      </c>
    </row>
    <row r="76" spans="1:10">
      <c r="B76" s="191" t="s">
        <v>573</v>
      </c>
      <c r="C76" s="192">
        <v>0</v>
      </c>
      <c r="D76" s="193"/>
      <c r="E76" s="193"/>
      <c r="F76" s="200">
        <f t="shared" si="7"/>
        <v>0.67885766961067029</v>
      </c>
      <c r="G76" s="200">
        <f t="shared" si="7"/>
        <v>0.16268197069822016</v>
      </c>
      <c r="H76" s="200">
        <f t="shared" si="7"/>
        <v>8.60277843503773E-3</v>
      </c>
      <c r="I76" s="200">
        <f t="shared" si="7"/>
        <v>0.14985758125607179</v>
      </c>
      <c r="J76" s="201">
        <f t="shared" si="7"/>
        <v>1</v>
      </c>
    </row>
    <row r="81" spans="1:17">
      <c r="B81" s="51" t="s">
        <v>655</v>
      </c>
    </row>
    <row r="83" spans="1:17">
      <c r="B83" s="194" t="s">
        <v>297</v>
      </c>
      <c r="C83" s="194" t="s">
        <v>298</v>
      </c>
      <c r="D83" s="195" t="s">
        <v>574</v>
      </c>
      <c r="E83" s="195" t="s">
        <v>575</v>
      </c>
      <c r="F83" s="194" t="s">
        <v>576</v>
      </c>
      <c r="G83" s="194" t="s">
        <v>577</v>
      </c>
      <c r="H83" s="194" t="s">
        <v>578</v>
      </c>
      <c r="I83" s="194" t="s">
        <v>89</v>
      </c>
      <c r="J83" s="194" t="s">
        <v>11</v>
      </c>
      <c r="Q83" s="246" t="s">
        <v>317</v>
      </c>
    </row>
    <row r="84" spans="1:17">
      <c r="A84" s="203">
        <v>10006668</v>
      </c>
      <c r="B84" s="189">
        <v>4</v>
      </c>
      <c r="C84" s="190" t="s">
        <v>429</v>
      </c>
      <c r="D84" s="186">
        <f t="shared" ref="D84:D90" si="8">-Q84/1000</f>
        <v>53.86</v>
      </c>
      <c r="E84" s="186">
        <f t="shared" ref="E84:E126" si="9">IFERROR(J84/D84,0)</f>
        <v>2010.3607500928335</v>
      </c>
      <c r="F84" s="186">
        <v>78674.550000000017</v>
      </c>
      <c r="G84" s="186">
        <v>11334.399999999998</v>
      </c>
      <c r="H84" s="186">
        <v>807.66000000000008</v>
      </c>
      <c r="I84" s="196">
        <v>17461.419999999998</v>
      </c>
      <c r="J84" s="196">
        <f>SUM(F84:I84)</f>
        <v>108278.03000000001</v>
      </c>
      <c r="L84" s="203">
        <v>10006668</v>
      </c>
      <c r="M84" s="190" t="s">
        <v>429</v>
      </c>
      <c r="P84" s="242" t="s">
        <v>429</v>
      </c>
      <c r="Q84" s="243">
        <v>-53860</v>
      </c>
    </row>
    <row r="85" spans="1:17">
      <c r="A85" s="203">
        <v>10006719</v>
      </c>
      <c r="B85" s="189">
        <v>4</v>
      </c>
      <c r="C85" s="190" t="s">
        <v>430</v>
      </c>
      <c r="D85" s="186">
        <f t="shared" si="8"/>
        <v>261.62</v>
      </c>
      <c r="E85" s="186">
        <f t="shared" si="9"/>
        <v>2036.6442168029971</v>
      </c>
      <c r="F85" s="186">
        <v>391339.73000000016</v>
      </c>
      <c r="G85" s="186">
        <v>53223.5</v>
      </c>
      <c r="H85" s="186">
        <v>3542.849999999999</v>
      </c>
      <c r="I85" s="196">
        <v>84720.779999999984</v>
      </c>
      <c r="J85" s="196">
        <f t="shared" ref="J85:J125" si="10">SUM(F85:I85)</f>
        <v>532826.8600000001</v>
      </c>
      <c r="L85" s="203">
        <v>10006719</v>
      </c>
      <c r="M85" s="190" t="s">
        <v>430</v>
      </c>
      <c r="P85" s="242" t="s">
        <v>430</v>
      </c>
      <c r="Q85" s="243">
        <v>-261620</v>
      </c>
    </row>
    <row r="86" spans="1:17">
      <c r="A86" s="203">
        <v>10006720</v>
      </c>
      <c r="B86" s="189">
        <v>4</v>
      </c>
      <c r="C86" s="190" t="s">
        <v>657</v>
      </c>
      <c r="D86" s="186">
        <f t="shared" si="8"/>
        <v>11.84</v>
      </c>
      <c r="E86" s="186">
        <f t="shared" si="9"/>
        <v>2008.0422297297298</v>
      </c>
      <c r="F86" s="186">
        <v>17114.400000000001</v>
      </c>
      <c r="G86" s="186">
        <v>2618.0000000000005</v>
      </c>
      <c r="H86" s="186">
        <v>204.97999999999996</v>
      </c>
      <c r="I86" s="196">
        <v>3837.84</v>
      </c>
      <c r="J86" s="196">
        <f t="shared" si="10"/>
        <v>23775.22</v>
      </c>
      <c r="L86" s="203">
        <v>10006720</v>
      </c>
      <c r="M86" s="190" t="s">
        <v>326</v>
      </c>
      <c r="P86" s="242" t="s">
        <v>657</v>
      </c>
      <c r="Q86" s="243">
        <v>-11840</v>
      </c>
    </row>
    <row r="87" spans="1:17">
      <c r="A87" s="203">
        <v>10009178</v>
      </c>
      <c r="B87" s="189">
        <v>4</v>
      </c>
      <c r="C87" s="190" t="s">
        <v>326</v>
      </c>
      <c r="D87" s="186">
        <f t="shared" si="8"/>
        <v>0.08</v>
      </c>
      <c r="E87" s="186">
        <f t="shared" si="9"/>
        <v>8663.125</v>
      </c>
      <c r="F87" s="186">
        <v>137.6</v>
      </c>
      <c r="G87" s="186">
        <v>528</v>
      </c>
      <c r="H87" s="186">
        <v>1.57</v>
      </c>
      <c r="I87" s="196">
        <v>25.880000000000003</v>
      </c>
      <c r="J87" s="196">
        <f t="shared" si="10"/>
        <v>693.05000000000007</v>
      </c>
      <c r="L87" s="203">
        <v>10009178</v>
      </c>
      <c r="M87" s="190" t="s">
        <v>439</v>
      </c>
      <c r="P87" s="242" t="s">
        <v>326</v>
      </c>
      <c r="Q87" s="243">
        <v>-80</v>
      </c>
    </row>
    <row r="88" spans="1:17">
      <c r="A88" s="203">
        <v>10009331</v>
      </c>
      <c r="B88" s="189">
        <v>4</v>
      </c>
      <c r="C88" s="190" t="s">
        <v>439</v>
      </c>
      <c r="D88" s="186">
        <f t="shared" si="8"/>
        <v>16.34</v>
      </c>
      <c r="E88" s="186">
        <f t="shared" si="9"/>
        <v>2078.6866585067319</v>
      </c>
      <c r="F88" s="186">
        <v>24117.599999999999</v>
      </c>
      <c r="G88" s="186">
        <v>4257</v>
      </c>
      <c r="H88" s="186">
        <v>294.12000000000006</v>
      </c>
      <c r="I88" s="196">
        <v>5297.02</v>
      </c>
      <c r="J88" s="196">
        <f t="shared" si="10"/>
        <v>33965.74</v>
      </c>
      <c r="L88" s="203">
        <v>10009331</v>
      </c>
      <c r="M88" s="190" t="s">
        <v>403</v>
      </c>
      <c r="P88" s="242" t="s">
        <v>439</v>
      </c>
      <c r="Q88" s="243">
        <v>-16340</v>
      </c>
    </row>
    <row r="89" spans="1:17">
      <c r="A89" s="203">
        <v>10009334</v>
      </c>
      <c r="B89" s="189">
        <v>4</v>
      </c>
      <c r="C89" s="190" t="s">
        <v>403</v>
      </c>
      <c r="D89" s="186">
        <f t="shared" si="8"/>
        <v>95.201999999999998</v>
      </c>
      <c r="E89" s="186">
        <f t="shared" si="9"/>
        <v>3052.6784577487369</v>
      </c>
      <c r="F89" s="186">
        <v>97349.930000000008</v>
      </c>
      <c r="G89" s="186">
        <v>43230.380000000005</v>
      </c>
      <c r="H89" s="186">
        <v>1264.3499999999999</v>
      </c>
      <c r="I89" s="196">
        <v>148776.43453459526</v>
      </c>
      <c r="J89" s="196">
        <f t="shared" si="10"/>
        <v>290621.09453459526</v>
      </c>
      <c r="L89" s="203">
        <v>10009334</v>
      </c>
      <c r="M89" s="190" t="s">
        <v>452</v>
      </c>
      <c r="P89" s="242" t="s">
        <v>403</v>
      </c>
      <c r="Q89" s="243">
        <v>-95202</v>
      </c>
    </row>
    <row r="90" spans="1:17">
      <c r="A90" s="203">
        <v>10009334</v>
      </c>
      <c r="B90" s="189">
        <v>4</v>
      </c>
      <c r="C90" s="190" t="s">
        <v>452</v>
      </c>
      <c r="D90" s="186">
        <f t="shared" si="8"/>
        <v>7.56</v>
      </c>
      <c r="E90" s="186">
        <f t="shared" si="9"/>
        <v>3076.9466762103984</v>
      </c>
      <c r="F90" s="186">
        <v>7089.65</v>
      </c>
      <c r="G90" s="186">
        <v>3031.6400000000003</v>
      </c>
      <c r="H90" s="186">
        <v>88.05</v>
      </c>
      <c r="I90" s="196">
        <v>13052.376872150608</v>
      </c>
      <c r="J90" s="196">
        <f t="shared" si="10"/>
        <v>23261.71687215061</v>
      </c>
      <c r="L90" s="204">
        <v>10007969</v>
      </c>
      <c r="M90" s="190" t="s">
        <v>436</v>
      </c>
      <c r="P90" s="242" t="s">
        <v>452</v>
      </c>
      <c r="Q90" s="243">
        <v>-7560</v>
      </c>
    </row>
    <row r="91" spans="1:17">
      <c r="A91" s="204">
        <v>10007969</v>
      </c>
      <c r="B91" s="189">
        <v>4</v>
      </c>
      <c r="C91" s="190" t="s">
        <v>436</v>
      </c>
      <c r="D91" s="186"/>
      <c r="E91" s="186">
        <f t="shared" si="9"/>
        <v>0</v>
      </c>
      <c r="F91" s="186">
        <v>7126.13</v>
      </c>
      <c r="G91" s="186">
        <v>1087</v>
      </c>
      <c r="H91" s="186">
        <v>85.470000000000027</v>
      </c>
      <c r="I91" s="196">
        <v>-27.759999999999998</v>
      </c>
      <c r="J91" s="196">
        <f t="shared" si="10"/>
        <v>8270.84</v>
      </c>
      <c r="L91" s="205">
        <v>10005721</v>
      </c>
      <c r="M91" s="190" t="s">
        <v>427</v>
      </c>
      <c r="P91" s="242" t="s">
        <v>658</v>
      </c>
      <c r="Q91" s="243">
        <v>-1060</v>
      </c>
    </row>
    <row r="92" spans="1:17">
      <c r="A92" s="205">
        <v>10005721</v>
      </c>
      <c r="B92" s="189">
        <v>4</v>
      </c>
      <c r="C92" s="190" t="s">
        <v>658</v>
      </c>
      <c r="D92" s="186">
        <f t="shared" ref="D92:D102" si="11">-Q91/1000</f>
        <v>1.06</v>
      </c>
      <c r="E92" s="186">
        <f t="shared" si="9"/>
        <v>2049.4905660377358</v>
      </c>
      <c r="F92" s="186">
        <v>1453.9099999999999</v>
      </c>
      <c r="G92" s="186">
        <v>355.1</v>
      </c>
      <c r="H92" s="186">
        <v>19.190000000000001</v>
      </c>
      <c r="I92" s="196">
        <v>344.26000000000005</v>
      </c>
      <c r="J92" s="196">
        <f t="shared" si="10"/>
        <v>2172.46</v>
      </c>
      <c r="L92" s="205">
        <v>10004435</v>
      </c>
      <c r="M92" s="190" t="s">
        <v>426</v>
      </c>
      <c r="P92" s="242" t="s">
        <v>659</v>
      </c>
      <c r="Q92" s="243">
        <v>-11420</v>
      </c>
    </row>
    <row r="93" spans="1:17">
      <c r="A93" s="205">
        <v>10005721</v>
      </c>
      <c r="B93" s="189">
        <v>4</v>
      </c>
      <c r="C93" s="190" t="s">
        <v>659</v>
      </c>
      <c r="D93" s="186">
        <f t="shared" si="11"/>
        <v>11.42</v>
      </c>
      <c r="E93" s="186">
        <f t="shared" si="9"/>
        <v>2165.5691768826623</v>
      </c>
      <c r="F93" s="186">
        <v>16993.43</v>
      </c>
      <c r="G93" s="186">
        <v>3825.7000000000003</v>
      </c>
      <c r="H93" s="186">
        <v>207.61</v>
      </c>
      <c r="I93" s="196">
        <v>3704.0599999999995</v>
      </c>
      <c r="J93" s="196">
        <f t="shared" si="10"/>
        <v>24730.800000000003</v>
      </c>
      <c r="L93" s="206">
        <v>10009251</v>
      </c>
      <c r="M93" s="190" t="s">
        <v>460</v>
      </c>
      <c r="P93" s="242" t="s">
        <v>660</v>
      </c>
      <c r="Q93" s="243">
        <v>-4340</v>
      </c>
    </row>
    <row r="94" spans="1:17">
      <c r="A94" s="205">
        <v>10005721</v>
      </c>
      <c r="B94" s="189">
        <v>4</v>
      </c>
      <c r="C94" s="190" t="s">
        <v>660</v>
      </c>
      <c r="D94" s="186">
        <f t="shared" si="11"/>
        <v>4.34</v>
      </c>
      <c r="E94" s="186">
        <f t="shared" si="9"/>
        <v>2062.2557603686637</v>
      </c>
      <c r="F94" s="186">
        <v>6009.41</v>
      </c>
      <c r="G94" s="186">
        <v>1453.8999999999999</v>
      </c>
      <c r="H94" s="186">
        <v>75.849999999999994</v>
      </c>
      <c r="I94" s="196">
        <v>1411.03</v>
      </c>
      <c r="J94" s="196">
        <f t="shared" si="10"/>
        <v>8950.19</v>
      </c>
      <c r="L94" s="206">
        <v>10009239</v>
      </c>
      <c r="M94" s="190" t="s">
        <v>446</v>
      </c>
      <c r="P94" s="242" t="s">
        <v>424</v>
      </c>
      <c r="Q94" s="243">
        <v>-920</v>
      </c>
    </row>
    <row r="95" spans="1:17">
      <c r="A95" s="205">
        <v>10005721</v>
      </c>
      <c r="B95" s="189">
        <v>4</v>
      </c>
      <c r="C95" s="190" t="s">
        <v>424</v>
      </c>
      <c r="D95" s="186">
        <f t="shared" si="11"/>
        <v>0.92</v>
      </c>
      <c r="E95" s="186">
        <f t="shared" si="9"/>
        <v>2216.54347826087</v>
      </c>
      <c r="F95" s="186">
        <v>1420.6100000000001</v>
      </c>
      <c r="G95" s="186">
        <v>308.2</v>
      </c>
      <c r="H95" s="186">
        <v>12.460000000000004</v>
      </c>
      <c r="I95" s="196">
        <v>297.95000000000005</v>
      </c>
      <c r="J95" s="196">
        <f t="shared" si="10"/>
        <v>2039.2200000000003</v>
      </c>
      <c r="L95" s="206">
        <v>10009239</v>
      </c>
      <c r="M95" s="190" t="s">
        <v>389</v>
      </c>
      <c r="P95" s="242" t="s">
        <v>661</v>
      </c>
      <c r="Q95" s="243">
        <v>-388880</v>
      </c>
    </row>
    <row r="96" spans="1:17">
      <c r="A96" s="205">
        <v>10005721</v>
      </c>
      <c r="B96" s="189">
        <v>4</v>
      </c>
      <c r="C96" s="190" t="s">
        <v>661</v>
      </c>
      <c r="D96" s="186">
        <f t="shared" si="11"/>
        <v>388.88</v>
      </c>
      <c r="E96" s="186">
        <f t="shared" si="9"/>
        <v>2136.6867671261057</v>
      </c>
      <c r="F96" s="186">
        <v>568494.85</v>
      </c>
      <c r="G96" s="186">
        <v>130291.19999999998</v>
      </c>
      <c r="H96" s="186">
        <v>6089.12</v>
      </c>
      <c r="I96" s="196">
        <v>126039.57999999999</v>
      </c>
      <c r="J96" s="196">
        <f t="shared" si="10"/>
        <v>830914.74999999988</v>
      </c>
      <c r="L96" s="206">
        <v>10009251</v>
      </c>
      <c r="M96" s="190" t="s">
        <v>449</v>
      </c>
      <c r="P96" s="242" t="s">
        <v>662</v>
      </c>
      <c r="Q96" s="243">
        <v>-50400</v>
      </c>
    </row>
    <row r="97" spans="1:17">
      <c r="A97" s="205">
        <v>10005721</v>
      </c>
      <c r="B97" s="189">
        <v>4</v>
      </c>
      <c r="C97" s="190" t="s">
        <v>662</v>
      </c>
      <c r="D97" s="186">
        <f t="shared" si="11"/>
        <v>50.4</v>
      </c>
      <c r="E97" s="186">
        <f t="shared" si="9"/>
        <v>2051.4220238095236</v>
      </c>
      <c r="F97" s="186">
        <v>69236.179999999993</v>
      </c>
      <c r="G97" s="186">
        <v>16884</v>
      </c>
      <c r="H97" s="186">
        <v>907.19999999999993</v>
      </c>
      <c r="I97" s="196">
        <v>16364.289999999999</v>
      </c>
      <c r="J97" s="196">
        <f t="shared" si="10"/>
        <v>103391.66999999998</v>
      </c>
      <c r="L97" s="204">
        <v>10009207</v>
      </c>
      <c r="M97" s="190" t="s">
        <v>443</v>
      </c>
      <c r="P97" s="242" t="s">
        <v>425</v>
      </c>
      <c r="Q97" s="243">
        <v>-22620</v>
      </c>
    </row>
    <row r="98" spans="1:17">
      <c r="A98" s="205">
        <v>10005721</v>
      </c>
      <c r="B98" s="189">
        <v>4</v>
      </c>
      <c r="C98" s="190" t="s">
        <v>425</v>
      </c>
      <c r="D98" s="186">
        <f t="shared" si="11"/>
        <v>22.62</v>
      </c>
      <c r="E98" s="186">
        <f t="shared" si="9"/>
        <v>2240.0923961096373</v>
      </c>
      <c r="F98" s="186">
        <v>34978.589999999997</v>
      </c>
      <c r="G98" s="186">
        <v>7925.46</v>
      </c>
      <c r="H98" s="186">
        <v>443.16000000000008</v>
      </c>
      <c r="I98" s="196">
        <v>7323.6800000000012</v>
      </c>
      <c r="J98" s="196">
        <f t="shared" si="10"/>
        <v>50670.89</v>
      </c>
      <c r="L98" s="202">
        <v>10009183</v>
      </c>
      <c r="M98" s="190" t="s">
        <v>448</v>
      </c>
      <c r="P98" s="242" t="s">
        <v>427</v>
      </c>
      <c r="Q98" s="243">
        <v>-184360</v>
      </c>
    </row>
    <row r="99" spans="1:17">
      <c r="A99" s="205">
        <v>10005721</v>
      </c>
      <c r="B99" s="189">
        <v>4</v>
      </c>
      <c r="C99" s="190" t="s">
        <v>427</v>
      </c>
      <c r="D99" s="186">
        <f t="shared" si="11"/>
        <v>184.36</v>
      </c>
      <c r="E99" s="186">
        <f t="shared" si="9"/>
        <v>2170.5107940985026</v>
      </c>
      <c r="F99" s="186">
        <v>274811.27</v>
      </c>
      <c r="G99" s="186">
        <v>61760.6</v>
      </c>
      <c r="H99" s="186">
        <v>3835.2600000000007</v>
      </c>
      <c r="I99" s="196">
        <v>59748.24</v>
      </c>
      <c r="J99" s="196">
        <f t="shared" si="10"/>
        <v>400155.37</v>
      </c>
      <c r="L99" s="202">
        <v>10005776</v>
      </c>
      <c r="M99" s="190" t="s">
        <v>428</v>
      </c>
      <c r="P99" s="242" t="s">
        <v>426</v>
      </c>
      <c r="Q99" s="243">
        <v>-12380</v>
      </c>
    </row>
    <row r="100" spans="1:17">
      <c r="A100" s="205">
        <v>10005721</v>
      </c>
      <c r="B100" s="189">
        <v>4</v>
      </c>
      <c r="C100" s="190" t="s">
        <v>426</v>
      </c>
      <c r="D100" s="186">
        <f t="shared" si="11"/>
        <v>12.38</v>
      </c>
      <c r="E100" s="186">
        <f t="shared" si="9"/>
        <v>2223.1970920840063</v>
      </c>
      <c r="F100" s="186">
        <v>19094.129999999997</v>
      </c>
      <c r="G100" s="186">
        <v>4207.78</v>
      </c>
      <c r="H100" s="186">
        <v>211.26999999999995</v>
      </c>
      <c r="I100" s="196">
        <v>4010.0000000000005</v>
      </c>
      <c r="J100" s="196">
        <f t="shared" si="10"/>
        <v>27523.179999999997</v>
      </c>
      <c r="L100" s="202">
        <v>10005779</v>
      </c>
      <c r="M100" s="190" t="s">
        <v>352</v>
      </c>
      <c r="P100" s="242" t="s">
        <v>446</v>
      </c>
      <c r="Q100" s="243">
        <v>-3000</v>
      </c>
    </row>
    <row r="101" spans="1:17">
      <c r="A101" s="206">
        <v>10009239</v>
      </c>
      <c r="B101" s="189">
        <v>4</v>
      </c>
      <c r="C101" s="190" t="s">
        <v>446</v>
      </c>
      <c r="D101" s="186">
        <f t="shared" si="11"/>
        <v>3</v>
      </c>
      <c r="E101" s="186">
        <f t="shared" si="9"/>
        <v>3130.7145482202618</v>
      </c>
      <c r="F101" s="186">
        <v>4315.67</v>
      </c>
      <c r="G101" s="186">
        <v>1689.6</v>
      </c>
      <c r="H101" s="186">
        <v>46.06</v>
      </c>
      <c r="I101" s="196">
        <v>3340.8136446607855</v>
      </c>
      <c r="J101" s="196">
        <f t="shared" si="10"/>
        <v>9392.1436446607859</v>
      </c>
      <c r="L101" s="202">
        <v>10005781</v>
      </c>
      <c r="M101" s="190" t="s">
        <v>363</v>
      </c>
      <c r="P101" s="242" t="s">
        <v>389</v>
      </c>
      <c r="Q101" s="243">
        <v>-179420</v>
      </c>
    </row>
    <row r="102" spans="1:17">
      <c r="A102" s="206">
        <v>10009239</v>
      </c>
      <c r="B102" s="189">
        <v>4</v>
      </c>
      <c r="C102" s="190" t="s">
        <v>389</v>
      </c>
      <c r="D102" s="186">
        <f t="shared" si="11"/>
        <v>179.42</v>
      </c>
      <c r="E102" s="186">
        <f t="shared" si="9"/>
        <v>2532.505330260502</v>
      </c>
      <c r="F102" s="186">
        <v>260247.46000000002</v>
      </c>
      <c r="G102" s="186">
        <v>116344.80000000002</v>
      </c>
      <c r="H102" s="186">
        <v>3287.99</v>
      </c>
      <c r="I102" s="196">
        <v>74501.856355339231</v>
      </c>
      <c r="J102" s="196">
        <f t="shared" si="10"/>
        <v>454382.10635533923</v>
      </c>
      <c r="L102" s="206">
        <v>10007050</v>
      </c>
      <c r="M102" s="190" t="s">
        <v>432</v>
      </c>
      <c r="P102" s="242" t="s">
        <v>663</v>
      </c>
      <c r="Q102" s="243">
        <v>-1000</v>
      </c>
    </row>
    <row r="103" spans="1:17">
      <c r="A103" s="204">
        <v>10009207</v>
      </c>
      <c r="B103" s="189">
        <v>4</v>
      </c>
      <c r="C103" s="190" t="s">
        <v>443</v>
      </c>
      <c r="D103" s="186"/>
      <c r="E103" s="186">
        <f t="shared" si="9"/>
        <v>0</v>
      </c>
      <c r="F103" s="186">
        <v>18940.899999999998</v>
      </c>
      <c r="G103" s="186">
        <v>2264.4</v>
      </c>
      <c r="H103" s="186">
        <v>225.39000000000007</v>
      </c>
      <c r="I103" s="196">
        <v>-77.90000000000002</v>
      </c>
      <c r="J103" s="196">
        <f t="shared" si="10"/>
        <v>21352.789999999997</v>
      </c>
      <c r="L103" s="206">
        <v>10007050</v>
      </c>
      <c r="M103" s="190" t="s">
        <v>434</v>
      </c>
      <c r="P103" s="242" t="s">
        <v>448</v>
      </c>
      <c r="Q103" s="243">
        <v>-64020</v>
      </c>
    </row>
    <row r="104" spans="1:17">
      <c r="A104" s="202">
        <v>10009183</v>
      </c>
      <c r="B104" s="189">
        <v>4</v>
      </c>
      <c r="C104" s="190" t="s">
        <v>663</v>
      </c>
      <c r="D104" s="186">
        <f t="shared" ref="D104:D109" si="12">-Q102/1000</f>
        <v>1</v>
      </c>
      <c r="E104" s="186">
        <f t="shared" si="9"/>
        <v>2121.33</v>
      </c>
      <c r="F104" s="186">
        <v>1385.53</v>
      </c>
      <c r="G104" s="186">
        <v>390</v>
      </c>
      <c r="H104" s="186">
        <v>20.800000000000004</v>
      </c>
      <c r="I104" s="196">
        <v>324.99999999999994</v>
      </c>
      <c r="J104" s="196">
        <f t="shared" si="10"/>
        <v>2121.33</v>
      </c>
      <c r="L104" s="206">
        <v>10007050</v>
      </c>
      <c r="M104" s="190" t="s">
        <v>433</v>
      </c>
      <c r="P104" s="242" t="s">
        <v>440</v>
      </c>
      <c r="Q104" s="243">
        <v>-54200</v>
      </c>
    </row>
    <row r="105" spans="1:17">
      <c r="A105" s="202">
        <v>10005776</v>
      </c>
      <c r="B105" s="189">
        <v>4</v>
      </c>
      <c r="C105" s="190" t="s">
        <v>448</v>
      </c>
      <c r="D105" s="186">
        <f t="shared" si="12"/>
        <v>64.02</v>
      </c>
      <c r="E105" s="186">
        <f t="shared" si="9"/>
        <v>2194.8481724461108</v>
      </c>
      <c r="F105" s="186">
        <v>93448.180000000008</v>
      </c>
      <c r="G105" s="186">
        <v>24967.800000000003</v>
      </c>
      <c r="H105" s="186">
        <v>1330.81</v>
      </c>
      <c r="I105" s="196">
        <v>20767.39</v>
      </c>
      <c r="J105" s="196">
        <f t="shared" si="10"/>
        <v>140514.18</v>
      </c>
      <c r="L105" s="206">
        <v>10007050</v>
      </c>
      <c r="M105" s="190" t="s">
        <v>454</v>
      </c>
      <c r="P105" s="242" t="s">
        <v>428</v>
      </c>
      <c r="Q105" s="243">
        <v>-27100</v>
      </c>
    </row>
    <row r="106" spans="1:17">
      <c r="A106" s="202">
        <v>10005779</v>
      </c>
      <c r="B106" s="189">
        <v>4</v>
      </c>
      <c r="C106" s="190" t="s">
        <v>440</v>
      </c>
      <c r="D106" s="186">
        <f t="shared" si="12"/>
        <v>54.2</v>
      </c>
      <c r="E106" s="186">
        <f t="shared" si="9"/>
        <v>2238.6992968518875</v>
      </c>
      <c r="F106" s="186">
        <v>81399.420000000013</v>
      </c>
      <c r="G106" s="186">
        <v>21052.199999999997</v>
      </c>
      <c r="H106" s="186">
        <v>943.32000000000016</v>
      </c>
      <c r="I106" s="196">
        <v>17942.561889372279</v>
      </c>
      <c r="J106" s="196">
        <f t="shared" si="10"/>
        <v>121337.5018893723</v>
      </c>
      <c r="L106" s="206">
        <v>10007050</v>
      </c>
      <c r="M106" s="190" t="s">
        <v>407</v>
      </c>
      <c r="P106" s="242" t="s">
        <v>352</v>
      </c>
      <c r="Q106" s="243">
        <v>-12760</v>
      </c>
    </row>
    <row r="107" spans="1:17">
      <c r="A107" s="202">
        <v>10005781</v>
      </c>
      <c r="B107" s="189">
        <v>4</v>
      </c>
      <c r="C107" s="190" t="s">
        <v>428</v>
      </c>
      <c r="D107" s="186">
        <f t="shared" si="12"/>
        <v>27.1</v>
      </c>
      <c r="E107" s="186">
        <f t="shared" si="9"/>
        <v>2209.6531365313649</v>
      </c>
      <c r="F107" s="186">
        <v>40129.069999999992</v>
      </c>
      <c r="G107" s="186">
        <v>10569</v>
      </c>
      <c r="H107" s="186">
        <v>406.40000000000003</v>
      </c>
      <c r="I107" s="196">
        <v>8777.1299999999956</v>
      </c>
      <c r="J107" s="196">
        <f t="shared" si="10"/>
        <v>59881.599999999991</v>
      </c>
      <c r="L107" s="206">
        <v>10007050</v>
      </c>
      <c r="M107" s="190" t="s">
        <v>431</v>
      </c>
      <c r="P107" s="242" t="s">
        <v>363</v>
      </c>
      <c r="Q107" s="243">
        <v>-14960</v>
      </c>
    </row>
    <row r="108" spans="1:17">
      <c r="A108" s="202">
        <v>10005781</v>
      </c>
      <c r="B108" s="189">
        <v>4</v>
      </c>
      <c r="C108" s="190" t="s">
        <v>352</v>
      </c>
      <c r="D108" s="186">
        <f t="shared" si="12"/>
        <v>12.76</v>
      </c>
      <c r="E108" s="186">
        <f t="shared" si="9"/>
        <v>2238.470219435736</v>
      </c>
      <c r="F108" s="186">
        <v>19277.12</v>
      </c>
      <c r="G108" s="186">
        <v>4976.3999999999996</v>
      </c>
      <c r="H108" s="186">
        <v>172.78</v>
      </c>
      <c r="I108" s="196">
        <v>4136.579999999999</v>
      </c>
      <c r="J108" s="196">
        <f t="shared" si="10"/>
        <v>28562.879999999994</v>
      </c>
      <c r="L108" s="207">
        <v>10007161</v>
      </c>
      <c r="M108" s="190" t="s">
        <v>435</v>
      </c>
      <c r="P108" s="242" t="s">
        <v>442</v>
      </c>
      <c r="Q108" s="243">
        <v>-1620</v>
      </c>
    </row>
    <row r="109" spans="1:17">
      <c r="A109" s="202">
        <v>10005781</v>
      </c>
      <c r="B109" s="189">
        <v>4</v>
      </c>
      <c r="C109" s="190" t="s">
        <v>363</v>
      </c>
      <c r="D109" s="186">
        <f t="shared" si="12"/>
        <v>14.96</v>
      </c>
      <c r="E109" s="186">
        <f t="shared" si="9"/>
        <v>2254.5735294117649</v>
      </c>
      <c r="F109" s="186">
        <v>22743.58</v>
      </c>
      <c r="G109" s="186">
        <v>5842.2</v>
      </c>
      <c r="H109" s="186">
        <v>293.06999999999994</v>
      </c>
      <c r="I109" s="196">
        <v>4849.5700000000006</v>
      </c>
      <c r="J109" s="196">
        <f t="shared" si="10"/>
        <v>33728.420000000006</v>
      </c>
      <c r="L109" s="207">
        <v>10007162</v>
      </c>
      <c r="M109" s="190" t="s">
        <v>375</v>
      </c>
      <c r="P109" s="242" t="s">
        <v>435</v>
      </c>
      <c r="Q109" s="243">
        <v>-16440</v>
      </c>
    </row>
    <row r="110" spans="1:17">
      <c r="A110" s="206">
        <v>10007050</v>
      </c>
      <c r="B110" s="189">
        <v>4</v>
      </c>
      <c r="C110" s="190" t="s">
        <v>454</v>
      </c>
      <c r="D110" s="186"/>
      <c r="E110" s="186">
        <f t="shared" si="9"/>
        <v>0</v>
      </c>
      <c r="F110" s="186">
        <v>42797.929999999993</v>
      </c>
      <c r="G110" s="186">
        <v>5019.3</v>
      </c>
      <c r="H110" s="186">
        <v>648.56000000000029</v>
      </c>
      <c r="I110" s="196">
        <v>3299.9900000000002</v>
      </c>
      <c r="J110" s="196">
        <f t="shared" si="10"/>
        <v>51765.779999999992</v>
      </c>
      <c r="L110" s="207">
        <v>10007162</v>
      </c>
      <c r="M110" s="190" t="s">
        <v>455</v>
      </c>
      <c r="P110" s="242" t="s">
        <v>375</v>
      </c>
      <c r="Q110" s="243">
        <v>-32380</v>
      </c>
    </row>
    <row r="111" spans="1:17">
      <c r="A111" s="206">
        <v>10007050</v>
      </c>
      <c r="B111" s="189">
        <v>4</v>
      </c>
      <c r="C111" s="190" t="s">
        <v>407</v>
      </c>
      <c r="D111" s="186"/>
      <c r="E111" s="186">
        <f t="shared" si="9"/>
        <v>0</v>
      </c>
      <c r="F111" s="186">
        <v>40818.739999999991</v>
      </c>
      <c r="G111" s="186">
        <v>4808.7000000000007</v>
      </c>
      <c r="H111" s="186">
        <v>621.3399999999998</v>
      </c>
      <c r="I111" s="196">
        <v>3260.08</v>
      </c>
      <c r="J111" s="196">
        <f t="shared" si="10"/>
        <v>49508.859999999986</v>
      </c>
      <c r="L111" s="207">
        <v>10009186</v>
      </c>
      <c r="M111" s="190" t="s">
        <v>441</v>
      </c>
      <c r="P111" s="242" t="s">
        <v>455</v>
      </c>
      <c r="Q111" s="243">
        <v>-18620</v>
      </c>
    </row>
    <row r="112" spans="1:17">
      <c r="A112" s="206">
        <v>10007050</v>
      </c>
      <c r="B112" s="189">
        <v>4</v>
      </c>
      <c r="C112" s="190" t="s">
        <v>431</v>
      </c>
      <c r="D112" s="186"/>
      <c r="E112" s="186">
        <f t="shared" si="9"/>
        <v>0</v>
      </c>
      <c r="F112" s="186">
        <v>25089.980000000003</v>
      </c>
      <c r="G112" s="186">
        <v>2991.6</v>
      </c>
      <c r="H112" s="186">
        <v>325.59000000000003</v>
      </c>
      <c r="I112" s="196">
        <v>7800.1239999999989</v>
      </c>
      <c r="J112" s="196">
        <f t="shared" si="10"/>
        <v>36207.294000000002</v>
      </c>
      <c r="L112" s="207">
        <v>10009777</v>
      </c>
      <c r="M112" s="190" t="s">
        <v>462</v>
      </c>
      <c r="P112" s="242" t="s">
        <v>441</v>
      </c>
      <c r="Q112" s="243">
        <v>-16920</v>
      </c>
    </row>
    <row r="113" spans="1:17">
      <c r="A113" s="206">
        <v>10007050</v>
      </c>
      <c r="B113" s="189">
        <v>4</v>
      </c>
      <c r="C113" s="190" t="s">
        <v>442</v>
      </c>
      <c r="D113" s="186">
        <f t="shared" ref="D113:D124" si="13">-Q108/1000</f>
        <v>1.62</v>
      </c>
      <c r="E113" s="186">
        <f t="shared" si="9"/>
        <v>2038.7469135802467</v>
      </c>
      <c r="F113" s="186">
        <v>2282.7999999999997</v>
      </c>
      <c r="G113" s="186">
        <v>469.8</v>
      </c>
      <c r="H113" s="186">
        <v>24.299999999999997</v>
      </c>
      <c r="I113" s="196">
        <v>525.87</v>
      </c>
      <c r="J113" s="196">
        <f t="shared" si="10"/>
        <v>3302.77</v>
      </c>
      <c r="L113" s="207">
        <v>10007567</v>
      </c>
      <c r="M113" s="190" t="s">
        <v>370</v>
      </c>
      <c r="P113" s="242" t="s">
        <v>462</v>
      </c>
      <c r="Q113" s="243">
        <v>-158980</v>
      </c>
    </row>
    <row r="114" spans="1:17">
      <c r="A114" s="206">
        <v>10007050</v>
      </c>
      <c r="B114" s="189">
        <v>4</v>
      </c>
      <c r="C114" s="190" t="s">
        <v>435</v>
      </c>
      <c r="D114" s="186">
        <f t="shared" si="13"/>
        <v>16.440000000000001</v>
      </c>
      <c r="E114" s="186">
        <f t="shared" si="9"/>
        <v>2059.8795620437954</v>
      </c>
      <c r="F114" s="186">
        <v>23537.840000000004</v>
      </c>
      <c r="G114" s="186">
        <v>4767.6000000000004</v>
      </c>
      <c r="H114" s="186">
        <v>222.62</v>
      </c>
      <c r="I114" s="196">
        <v>5336.3599999999988</v>
      </c>
      <c r="J114" s="196">
        <f t="shared" si="10"/>
        <v>33864.42</v>
      </c>
      <c r="L114" s="202">
        <v>10009176</v>
      </c>
      <c r="M114" s="190" t="s">
        <v>437</v>
      </c>
      <c r="P114" s="242" t="s">
        <v>664</v>
      </c>
      <c r="Q114" s="243">
        <v>-103840</v>
      </c>
    </row>
    <row r="115" spans="1:17">
      <c r="A115" s="206">
        <v>10007050</v>
      </c>
      <c r="B115" s="189">
        <v>4</v>
      </c>
      <c r="C115" s="190" t="s">
        <v>375</v>
      </c>
      <c r="D115" s="186">
        <f t="shared" si="13"/>
        <v>32.380000000000003</v>
      </c>
      <c r="E115" s="186">
        <f t="shared" si="9"/>
        <v>2143.823965410747</v>
      </c>
      <c r="F115" s="186">
        <v>48896.26999999999</v>
      </c>
      <c r="G115" s="186">
        <v>9390.2000000000007</v>
      </c>
      <c r="H115" s="186">
        <v>634.35</v>
      </c>
      <c r="I115" s="196">
        <v>10496.199999999997</v>
      </c>
      <c r="J115" s="196">
        <f t="shared" si="10"/>
        <v>69417.01999999999</v>
      </c>
      <c r="L115" s="202">
        <v>10009177</v>
      </c>
      <c r="M115" s="190" t="s">
        <v>438</v>
      </c>
      <c r="P115" s="242" t="s">
        <v>665</v>
      </c>
      <c r="Q115" s="243">
        <v>-25640</v>
      </c>
    </row>
    <row r="116" spans="1:17">
      <c r="A116" s="207">
        <v>10007161</v>
      </c>
      <c r="B116" s="189">
        <v>4</v>
      </c>
      <c r="C116" s="190" t="s">
        <v>455</v>
      </c>
      <c r="D116" s="186">
        <f t="shared" si="13"/>
        <v>18.62</v>
      </c>
      <c r="E116" s="186">
        <f t="shared" si="9"/>
        <v>2144.4709989258868</v>
      </c>
      <c r="F116" s="186">
        <v>28176.54</v>
      </c>
      <c r="G116" s="186">
        <v>5399.8</v>
      </c>
      <c r="H116" s="186">
        <v>317.73</v>
      </c>
      <c r="I116" s="196">
        <v>6035.9800000000005</v>
      </c>
      <c r="J116" s="196">
        <f t="shared" si="10"/>
        <v>39930.05000000001</v>
      </c>
      <c r="L116" s="208">
        <v>10009386</v>
      </c>
      <c r="M116" s="190" t="s">
        <v>453</v>
      </c>
      <c r="P116" s="242" t="s">
        <v>370</v>
      </c>
      <c r="Q116" s="243">
        <v>-44960</v>
      </c>
    </row>
    <row r="117" spans="1:17">
      <c r="A117" s="207">
        <v>10007162</v>
      </c>
      <c r="B117" s="189">
        <v>4</v>
      </c>
      <c r="C117" s="190" t="s">
        <v>441</v>
      </c>
      <c r="D117" s="186">
        <f t="shared" si="13"/>
        <v>16.920000000000002</v>
      </c>
      <c r="E117" s="186">
        <f t="shared" si="9"/>
        <v>2025.7222222222222</v>
      </c>
      <c r="F117" s="186">
        <v>24863.3</v>
      </c>
      <c r="G117" s="186">
        <v>3637.8</v>
      </c>
      <c r="H117" s="186">
        <v>287.63</v>
      </c>
      <c r="I117" s="196">
        <v>5486.4899999999989</v>
      </c>
      <c r="J117" s="196">
        <f t="shared" si="10"/>
        <v>34275.22</v>
      </c>
      <c r="P117" s="242" t="s">
        <v>437</v>
      </c>
      <c r="Q117" s="243">
        <v>-400</v>
      </c>
    </row>
    <row r="118" spans="1:17">
      <c r="A118" s="207">
        <v>10007162</v>
      </c>
      <c r="B118" s="189">
        <v>4</v>
      </c>
      <c r="C118" s="190" t="s">
        <v>462</v>
      </c>
      <c r="D118" s="186">
        <f t="shared" si="13"/>
        <v>158.97999999999999</v>
      </c>
      <c r="E118" s="186">
        <f t="shared" si="9"/>
        <v>2042.5329601207702</v>
      </c>
      <c r="F118" s="186">
        <v>236165.45</v>
      </c>
      <c r="G118" s="186">
        <v>34180.700000000004</v>
      </c>
      <c r="H118" s="186">
        <v>2861.64</v>
      </c>
      <c r="I118" s="196">
        <v>51514.1</v>
      </c>
      <c r="J118" s="196">
        <f t="shared" si="10"/>
        <v>324721.89</v>
      </c>
      <c r="P118" s="242" t="s">
        <v>666</v>
      </c>
      <c r="Q118" s="243">
        <v>-4040</v>
      </c>
    </row>
    <row r="119" spans="1:17">
      <c r="A119" s="207">
        <v>10009186</v>
      </c>
      <c r="B119" s="189">
        <v>4</v>
      </c>
      <c r="C119" s="190" t="s">
        <v>664</v>
      </c>
      <c r="D119" s="186">
        <f t="shared" si="13"/>
        <v>103.84</v>
      </c>
      <c r="E119" s="186">
        <f t="shared" si="9"/>
        <v>2063.8656587057012</v>
      </c>
      <c r="F119" s="186">
        <v>156892.44</v>
      </c>
      <c r="G119" s="186">
        <v>22325.599999999999</v>
      </c>
      <c r="H119" s="186">
        <v>1481.33</v>
      </c>
      <c r="I119" s="196">
        <v>33612.44000000001</v>
      </c>
      <c r="J119" s="196">
        <f t="shared" si="10"/>
        <v>214311.81</v>
      </c>
      <c r="P119" s="242" t="s">
        <v>438</v>
      </c>
      <c r="Q119" s="243">
        <v>-21220</v>
      </c>
    </row>
    <row r="120" spans="1:17">
      <c r="A120" s="207">
        <v>10009777</v>
      </c>
      <c r="B120" s="189">
        <v>4</v>
      </c>
      <c r="C120" s="190" t="s">
        <v>665</v>
      </c>
      <c r="D120" s="186">
        <f t="shared" si="13"/>
        <v>25.64</v>
      </c>
      <c r="E120" s="186">
        <f t="shared" si="9"/>
        <v>2131.7336193447741</v>
      </c>
      <c r="F120" s="186">
        <v>38861.110000000008</v>
      </c>
      <c r="G120" s="186">
        <v>7051</v>
      </c>
      <c r="H120" s="186">
        <v>447.28</v>
      </c>
      <c r="I120" s="196">
        <v>8298.260000000002</v>
      </c>
      <c r="J120" s="196">
        <f t="shared" si="10"/>
        <v>54657.650000000009</v>
      </c>
      <c r="P120" s="244" t="s">
        <v>9</v>
      </c>
      <c r="Q120" s="245">
        <v>-1924402</v>
      </c>
    </row>
    <row r="121" spans="1:17">
      <c r="A121" s="207">
        <v>10007567</v>
      </c>
      <c r="B121" s="189">
        <v>4</v>
      </c>
      <c r="C121" s="190" t="s">
        <v>370</v>
      </c>
      <c r="D121" s="186">
        <f t="shared" si="13"/>
        <v>44.96</v>
      </c>
      <c r="E121" s="186">
        <f t="shared" si="9"/>
        <v>2104.5057829181496</v>
      </c>
      <c r="F121" s="186">
        <v>66746.850000000006</v>
      </c>
      <c r="G121" s="186">
        <v>12364</v>
      </c>
      <c r="H121" s="186">
        <v>934.86999999999989</v>
      </c>
      <c r="I121" s="196">
        <v>14572.860000000004</v>
      </c>
      <c r="J121" s="196">
        <f t="shared" si="10"/>
        <v>94618.58</v>
      </c>
    </row>
    <row r="122" spans="1:17">
      <c r="A122" s="202">
        <v>10009176</v>
      </c>
      <c r="B122" s="189">
        <v>4</v>
      </c>
      <c r="C122" s="190" t="s">
        <v>437</v>
      </c>
      <c r="D122" s="186">
        <f t="shared" si="13"/>
        <v>0.4</v>
      </c>
      <c r="E122" s="186">
        <f t="shared" si="9"/>
        <v>2317.7249999999995</v>
      </c>
      <c r="F122" s="186">
        <v>682.03</v>
      </c>
      <c r="G122" s="186">
        <v>110</v>
      </c>
      <c r="H122" s="186">
        <v>5.42</v>
      </c>
      <c r="I122" s="196">
        <v>129.64000000000001</v>
      </c>
      <c r="J122" s="196">
        <f t="shared" si="10"/>
        <v>927.08999999999992</v>
      </c>
    </row>
    <row r="123" spans="1:17">
      <c r="A123" s="202">
        <v>10009177</v>
      </c>
      <c r="B123" s="189">
        <v>4</v>
      </c>
      <c r="C123" s="190" t="s">
        <v>666</v>
      </c>
      <c r="D123" s="186">
        <f t="shared" si="13"/>
        <v>4.04</v>
      </c>
      <c r="E123" s="186">
        <f t="shared" si="9"/>
        <v>2184.0272277227723</v>
      </c>
      <c r="F123" s="186">
        <v>6495.01</v>
      </c>
      <c r="G123" s="186">
        <v>951.5</v>
      </c>
      <c r="H123" s="186">
        <v>68.940000000000012</v>
      </c>
      <c r="I123" s="196">
        <v>1308.0200000000002</v>
      </c>
      <c r="J123" s="196">
        <f t="shared" si="10"/>
        <v>8823.4699999999993</v>
      </c>
    </row>
    <row r="124" spans="1:17">
      <c r="A124" s="202">
        <v>10009177</v>
      </c>
      <c r="B124" s="189">
        <v>4</v>
      </c>
      <c r="C124" s="190" t="s">
        <v>438</v>
      </c>
      <c r="D124" s="186">
        <f t="shared" si="13"/>
        <v>21.22</v>
      </c>
      <c r="E124" s="186">
        <f t="shared" si="9"/>
        <v>2060.6781338360038</v>
      </c>
      <c r="F124" s="186">
        <v>31531.73</v>
      </c>
      <c r="G124" s="186">
        <v>5032.5</v>
      </c>
      <c r="H124" s="186">
        <v>287.34999999999997</v>
      </c>
      <c r="I124" s="196">
        <v>6876.0099999999984</v>
      </c>
      <c r="J124" s="196">
        <f t="shared" si="10"/>
        <v>43727.59</v>
      </c>
    </row>
    <row r="125" spans="1:17">
      <c r="A125" s="208">
        <v>10009386</v>
      </c>
      <c r="B125" s="189">
        <v>4</v>
      </c>
      <c r="C125" s="190" t="s">
        <v>453</v>
      </c>
      <c r="D125" s="186"/>
      <c r="E125" s="186">
        <f t="shared" si="9"/>
        <v>0</v>
      </c>
      <c r="F125" s="186">
        <v>2402.83</v>
      </c>
      <c r="G125" s="186">
        <v>284.39999999999998</v>
      </c>
      <c r="H125" s="186">
        <v>28.75</v>
      </c>
      <c r="I125" s="196">
        <v>-9.5599999999999987</v>
      </c>
      <c r="J125" s="196">
        <f t="shared" si="10"/>
        <v>2706.42</v>
      </c>
    </row>
    <row r="126" spans="1:17">
      <c r="B126" s="191" t="s">
        <v>656</v>
      </c>
      <c r="C126" s="192"/>
      <c r="D126" s="193">
        <f t="shared" ref="D126:J126" si="14">SUM(D84:D125)</f>
        <v>1924.4020000000003</v>
      </c>
      <c r="E126" s="193">
        <f t="shared" si="9"/>
        <v>2289.6878860529746</v>
      </c>
      <c r="F126" s="193">
        <f t="shared" si="14"/>
        <v>2933569.7499999995</v>
      </c>
      <c r="G126" s="193">
        <f t="shared" si="14"/>
        <v>653202.76</v>
      </c>
      <c r="H126" s="193">
        <f t="shared" si="14"/>
        <v>34014.49</v>
      </c>
      <c r="I126" s="193">
        <f t="shared" si="14"/>
        <v>785492.9472961179</v>
      </c>
      <c r="J126" s="50">
        <f t="shared" si="14"/>
        <v>4406279.9472961174</v>
      </c>
    </row>
    <row r="131" spans="1:10">
      <c r="B131" s="197" t="s">
        <v>583</v>
      </c>
    </row>
    <row r="133" spans="1:10">
      <c r="B133" s="194" t="s">
        <v>297</v>
      </c>
      <c r="C133" s="194" t="s">
        <v>298</v>
      </c>
      <c r="D133" s="195" t="s">
        <v>574</v>
      </c>
      <c r="E133" s="195" t="s">
        <v>575</v>
      </c>
      <c r="F133" s="194" t="s">
        <v>576</v>
      </c>
      <c r="G133" s="194" t="s">
        <v>577</v>
      </c>
      <c r="H133" s="194" t="s">
        <v>578</v>
      </c>
      <c r="I133" s="194" t="s">
        <v>89</v>
      </c>
      <c r="J133" s="194" t="s">
        <v>11</v>
      </c>
    </row>
    <row r="134" spans="1:10">
      <c r="A134" s="203">
        <v>10006668</v>
      </c>
      <c r="B134" s="189">
        <v>4</v>
      </c>
      <c r="C134" s="190" t="s">
        <v>429</v>
      </c>
      <c r="D134" s="186">
        <f t="shared" ref="D134:D140" si="15">-Q134/1000</f>
        <v>0</v>
      </c>
      <c r="E134" s="186">
        <f t="shared" ref="E134:E176" si="16">IFERROR(J134/D134,0)</f>
        <v>0</v>
      </c>
      <c r="F134" s="198">
        <f t="shared" ref="F134:J143" si="17">F84/$J84</f>
        <v>0.72659753783847014</v>
      </c>
      <c r="G134" s="198">
        <f t="shared" si="17"/>
        <v>0.10467866842424078</v>
      </c>
      <c r="H134" s="198">
        <f t="shared" si="17"/>
        <v>7.4591309058725944E-3</v>
      </c>
      <c r="I134" s="199">
        <f t="shared" si="17"/>
        <v>0.16126466283141647</v>
      </c>
      <c r="J134" s="199">
        <f t="shared" si="17"/>
        <v>1</v>
      </c>
    </row>
    <row r="135" spans="1:10">
      <c r="A135" s="203">
        <v>10006719</v>
      </c>
      <c r="B135" s="189">
        <v>4</v>
      </c>
      <c r="C135" s="190" t="s">
        <v>430</v>
      </c>
      <c r="D135" s="186">
        <f t="shared" si="15"/>
        <v>0</v>
      </c>
      <c r="E135" s="186">
        <f t="shared" si="16"/>
        <v>0</v>
      </c>
      <c r="F135" s="198">
        <f t="shared" si="17"/>
        <v>0.73445946399924378</v>
      </c>
      <c r="G135" s="198">
        <f t="shared" si="17"/>
        <v>9.988892076499295E-2</v>
      </c>
      <c r="H135" s="198">
        <f t="shared" si="17"/>
        <v>6.6491580398180348E-3</v>
      </c>
      <c r="I135" s="199">
        <f t="shared" si="17"/>
        <v>0.15900245719594536</v>
      </c>
      <c r="J135" s="199">
        <f t="shared" si="17"/>
        <v>1</v>
      </c>
    </row>
    <row r="136" spans="1:10">
      <c r="A136" s="203">
        <v>10006720</v>
      </c>
      <c r="B136" s="189">
        <v>4</v>
      </c>
      <c r="C136" s="190" t="s">
        <v>657</v>
      </c>
      <c r="D136" s="186">
        <f t="shared" si="15"/>
        <v>0</v>
      </c>
      <c r="E136" s="186">
        <f t="shared" si="16"/>
        <v>0</v>
      </c>
      <c r="F136" s="198">
        <f t="shared" si="17"/>
        <v>0.719841919443858</v>
      </c>
      <c r="G136" s="198">
        <f t="shared" si="17"/>
        <v>0.11011464878137828</v>
      </c>
      <c r="H136" s="198">
        <f t="shared" si="17"/>
        <v>8.6215816299491637E-3</v>
      </c>
      <c r="I136" s="199">
        <f t="shared" si="17"/>
        <v>0.16142185014481464</v>
      </c>
      <c r="J136" s="199">
        <f t="shared" si="17"/>
        <v>1</v>
      </c>
    </row>
    <row r="137" spans="1:10">
      <c r="A137" s="203">
        <v>10009178</v>
      </c>
      <c r="B137" s="189">
        <v>4</v>
      </c>
      <c r="C137" s="190" t="s">
        <v>326</v>
      </c>
      <c r="D137" s="186">
        <f t="shared" si="15"/>
        <v>0</v>
      </c>
      <c r="E137" s="186">
        <f t="shared" si="16"/>
        <v>0</v>
      </c>
      <c r="F137" s="198">
        <f t="shared" si="17"/>
        <v>0.19854267368876702</v>
      </c>
      <c r="G137" s="198">
        <f t="shared" si="17"/>
        <v>0.7618497943871293</v>
      </c>
      <c r="H137" s="198">
        <f t="shared" si="17"/>
        <v>2.2653488204314263E-3</v>
      </c>
      <c r="I137" s="199">
        <f t="shared" si="17"/>
        <v>3.7342183103672176E-2</v>
      </c>
      <c r="J137" s="199">
        <f t="shared" si="17"/>
        <v>1</v>
      </c>
    </row>
    <row r="138" spans="1:10">
      <c r="A138" s="203">
        <v>10009331</v>
      </c>
      <c r="B138" s="189">
        <v>4</v>
      </c>
      <c r="C138" s="190" t="s">
        <v>439</v>
      </c>
      <c r="D138" s="186">
        <f t="shared" si="15"/>
        <v>0</v>
      </c>
      <c r="E138" s="186">
        <f t="shared" si="16"/>
        <v>0</v>
      </c>
      <c r="F138" s="198">
        <f t="shared" si="17"/>
        <v>0.71005666297863668</v>
      </c>
      <c r="G138" s="198">
        <f t="shared" si="17"/>
        <v>0.12533217294838858</v>
      </c>
      <c r="H138" s="198">
        <f t="shared" si="17"/>
        <v>8.6593137673432134E-3</v>
      </c>
      <c r="I138" s="199">
        <f t="shared" si="17"/>
        <v>0.15595185030563152</v>
      </c>
      <c r="J138" s="199">
        <f t="shared" si="17"/>
        <v>1</v>
      </c>
    </row>
    <row r="139" spans="1:10">
      <c r="A139" s="203">
        <v>10009334</v>
      </c>
      <c r="B139" s="189">
        <v>4</v>
      </c>
      <c r="C139" s="190" t="s">
        <v>403</v>
      </c>
      <c r="D139" s="186">
        <f t="shared" si="15"/>
        <v>0</v>
      </c>
      <c r="E139" s="186">
        <f t="shared" si="16"/>
        <v>0</v>
      </c>
      <c r="F139" s="198">
        <f t="shared" si="17"/>
        <v>0.33497200248281206</v>
      </c>
      <c r="G139" s="198">
        <f t="shared" si="17"/>
        <v>0.14875169357279364</v>
      </c>
      <c r="H139" s="198">
        <f t="shared" si="17"/>
        <v>4.3505100757560214E-3</v>
      </c>
      <c r="I139" s="199">
        <f t="shared" si="17"/>
        <v>0.51192579386863835</v>
      </c>
      <c r="J139" s="199">
        <f t="shared" si="17"/>
        <v>1</v>
      </c>
    </row>
    <row r="140" spans="1:10">
      <c r="A140" s="203">
        <v>10009334</v>
      </c>
      <c r="B140" s="189">
        <v>4</v>
      </c>
      <c r="C140" s="190" t="s">
        <v>452</v>
      </c>
      <c r="D140" s="186">
        <f t="shared" si="15"/>
        <v>0</v>
      </c>
      <c r="E140" s="186">
        <f t="shared" si="16"/>
        <v>0</v>
      </c>
      <c r="F140" s="198">
        <f t="shared" si="17"/>
        <v>0.30477758967515722</v>
      </c>
      <c r="G140" s="198">
        <f t="shared" si="17"/>
        <v>0.13032743957216417</v>
      </c>
      <c r="H140" s="198">
        <f t="shared" si="17"/>
        <v>3.7851892224436455E-3</v>
      </c>
      <c r="I140" s="199">
        <f t="shared" si="17"/>
        <v>0.56110978153023494</v>
      </c>
      <c r="J140" s="199">
        <f t="shared" si="17"/>
        <v>1</v>
      </c>
    </row>
    <row r="141" spans="1:10">
      <c r="A141" s="204">
        <v>10007969</v>
      </c>
      <c r="B141" s="189">
        <v>4</v>
      </c>
      <c r="C141" s="190" t="s">
        <v>436</v>
      </c>
      <c r="D141" s="186"/>
      <c r="E141" s="186">
        <f t="shared" si="16"/>
        <v>0</v>
      </c>
      <c r="F141" s="198">
        <f t="shared" si="17"/>
        <v>0.86159688737782381</v>
      </c>
      <c r="G141" s="198">
        <f t="shared" si="17"/>
        <v>0.13142558676023233</v>
      </c>
      <c r="H141" s="198">
        <f t="shared" si="17"/>
        <v>1.0333895952527195E-2</v>
      </c>
      <c r="I141" s="199">
        <f t="shared" si="17"/>
        <v>-3.3563700905833022E-3</v>
      </c>
      <c r="J141" s="199">
        <f t="shared" si="17"/>
        <v>1</v>
      </c>
    </row>
    <row r="142" spans="1:10">
      <c r="A142" s="205">
        <v>10005721</v>
      </c>
      <c r="B142" s="189">
        <v>4</v>
      </c>
      <c r="C142" s="190" t="s">
        <v>658</v>
      </c>
      <c r="D142" s="186">
        <f t="shared" ref="D142:D152" si="18">-Q141/1000</f>
        <v>0</v>
      </c>
      <c r="E142" s="186">
        <f t="shared" si="16"/>
        <v>0</v>
      </c>
      <c r="F142" s="198">
        <f t="shared" si="17"/>
        <v>0.66924592397558524</v>
      </c>
      <c r="G142" s="198">
        <f t="shared" si="17"/>
        <v>0.16345525349143369</v>
      </c>
      <c r="H142" s="198">
        <f t="shared" si="17"/>
        <v>8.8333041805142565E-3</v>
      </c>
      <c r="I142" s="199">
        <f t="shared" si="17"/>
        <v>0.15846551835246681</v>
      </c>
      <c r="J142" s="199">
        <f t="shared" si="17"/>
        <v>1</v>
      </c>
    </row>
    <row r="143" spans="1:10">
      <c r="A143" s="205">
        <v>10005721</v>
      </c>
      <c r="B143" s="189">
        <v>4</v>
      </c>
      <c r="C143" s="190" t="s">
        <v>659</v>
      </c>
      <c r="D143" s="186">
        <f t="shared" si="18"/>
        <v>0</v>
      </c>
      <c r="E143" s="186">
        <f t="shared" si="16"/>
        <v>0</v>
      </c>
      <c r="F143" s="198">
        <f t="shared" si="17"/>
        <v>0.68713628350073586</v>
      </c>
      <c r="G143" s="198">
        <f t="shared" si="17"/>
        <v>0.15469374221618387</v>
      </c>
      <c r="H143" s="198">
        <f t="shared" si="17"/>
        <v>8.3947951542206467E-3</v>
      </c>
      <c r="I143" s="199">
        <f t="shared" si="17"/>
        <v>0.14977517912885951</v>
      </c>
      <c r="J143" s="199">
        <f t="shared" si="17"/>
        <v>1</v>
      </c>
    </row>
    <row r="144" spans="1:10">
      <c r="A144" s="205">
        <v>10005721</v>
      </c>
      <c r="B144" s="189">
        <v>4</v>
      </c>
      <c r="C144" s="190" t="s">
        <v>660</v>
      </c>
      <c r="D144" s="186">
        <f t="shared" si="18"/>
        <v>0</v>
      </c>
      <c r="E144" s="186">
        <f t="shared" si="16"/>
        <v>0</v>
      </c>
      <c r="F144" s="198">
        <f t="shared" ref="F144:J153" si="19">F94/$J94</f>
        <v>0.67142820431745021</v>
      </c>
      <c r="G144" s="198">
        <f t="shared" si="19"/>
        <v>0.16244347885352153</v>
      </c>
      <c r="H144" s="198">
        <f t="shared" si="19"/>
        <v>8.4746804257786693E-3</v>
      </c>
      <c r="I144" s="199">
        <f t="shared" si="19"/>
        <v>0.15765363640324953</v>
      </c>
      <c r="J144" s="199">
        <f t="shared" si="19"/>
        <v>1</v>
      </c>
    </row>
    <row r="145" spans="1:10">
      <c r="A145" s="205">
        <v>10005721</v>
      </c>
      <c r="B145" s="189">
        <v>4</v>
      </c>
      <c r="C145" s="190" t="s">
        <v>424</v>
      </c>
      <c r="D145" s="186">
        <f t="shared" si="18"/>
        <v>0</v>
      </c>
      <c r="E145" s="186">
        <f t="shared" si="16"/>
        <v>0</v>
      </c>
      <c r="F145" s="198">
        <f t="shared" si="19"/>
        <v>0.69664381479193027</v>
      </c>
      <c r="G145" s="198">
        <f t="shared" si="19"/>
        <v>0.15113621875030647</v>
      </c>
      <c r="H145" s="198">
        <f t="shared" si="19"/>
        <v>6.1101793823128466E-3</v>
      </c>
      <c r="I145" s="199">
        <f t="shared" si="19"/>
        <v>0.14610978707545041</v>
      </c>
      <c r="J145" s="199">
        <f t="shared" si="19"/>
        <v>1</v>
      </c>
    </row>
    <row r="146" spans="1:10">
      <c r="A146" s="205">
        <v>10005721</v>
      </c>
      <c r="B146" s="189">
        <v>4</v>
      </c>
      <c r="C146" s="190" t="s">
        <v>661</v>
      </c>
      <c r="D146" s="186">
        <f t="shared" si="18"/>
        <v>0</v>
      </c>
      <c r="E146" s="186">
        <f t="shared" si="16"/>
        <v>0</v>
      </c>
      <c r="F146" s="198">
        <f t="shared" si="19"/>
        <v>0.68417951420407452</v>
      </c>
      <c r="G146" s="198">
        <f t="shared" si="19"/>
        <v>0.15680453379844322</v>
      </c>
      <c r="H146" s="198">
        <f t="shared" si="19"/>
        <v>7.3282126716368926E-3</v>
      </c>
      <c r="I146" s="199">
        <f t="shared" si="19"/>
        <v>0.15168773932584539</v>
      </c>
      <c r="J146" s="199">
        <f t="shared" si="19"/>
        <v>1</v>
      </c>
    </row>
    <row r="147" spans="1:10">
      <c r="A147" s="205">
        <v>10005721</v>
      </c>
      <c r="B147" s="189">
        <v>4</v>
      </c>
      <c r="C147" s="190" t="s">
        <v>662</v>
      </c>
      <c r="D147" s="186">
        <f t="shared" si="18"/>
        <v>0</v>
      </c>
      <c r="E147" s="186">
        <f t="shared" si="16"/>
        <v>0</v>
      </c>
      <c r="F147" s="198">
        <f t="shared" si="19"/>
        <v>0.66964949884260505</v>
      </c>
      <c r="G147" s="198">
        <f t="shared" si="19"/>
        <v>0.16330135686946542</v>
      </c>
      <c r="H147" s="198">
        <f t="shared" si="19"/>
        <v>8.7744012646279925E-3</v>
      </c>
      <c r="I147" s="199">
        <f t="shared" si="19"/>
        <v>0.15827474302330161</v>
      </c>
      <c r="J147" s="199">
        <f t="shared" si="19"/>
        <v>1</v>
      </c>
    </row>
    <row r="148" spans="1:10">
      <c r="A148" s="205">
        <v>10005721</v>
      </c>
      <c r="B148" s="189">
        <v>4</v>
      </c>
      <c r="C148" s="190" t="s">
        <v>425</v>
      </c>
      <c r="D148" s="186">
        <f t="shared" si="18"/>
        <v>0</v>
      </c>
      <c r="E148" s="186">
        <f t="shared" si="16"/>
        <v>0</v>
      </c>
      <c r="F148" s="198">
        <f t="shared" si="19"/>
        <v>0.69030936697579215</v>
      </c>
      <c r="G148" s="198">
        <f t="shared" si="19"/>
        <v>0.15641051499194114</v>
      </c>
      <c r="H148" s="198">
        <f t="shared" si="19"/>
        <v>8.7458499347455726E-3</v>
      </c>
      <c r="I148" s="199">
        <f t="shared" si="19"/>
        <v>0.1445342680975211</v>
      </c>
      <c r="J148" s="199">
        <f t="shared" si="19"/>
        <v>1</v>
      </c>
    </row>
    <row r="149" spans="1:10">
      <c r="A149" s="205">
        <v>10005721</v>
      </c>
      <c r="B149" s="189">
        <v>4</v>
      </c>
      <c r="C149" s="190" t="s">
        <v>427</v>
      </c>
      <c r="D149" s="186">
        <f t="shared" si="18"/>
        <v>0</v>
      </c>
      <c r="E149" s="186">
        <f t="shared" si="16"/>
        <v>0</v>
      </c>
      <c r="F149" s="198">
        <f t="shared" si="19"/>
        <v>0.68676141969555482</v>
      </c>
      <c r="G149" s="198">
        <f t="shared" si="19"/>
        <v>0.1543415498834865</v>
      </c>
      <c r="H149" s="198">
        <f t="shared" si="19"/>
        <v>9.5844271688769311E-3</v>
      </c>
      <c r="I149" s="199">
        <f t="shared" si="19"/>
        <v>0.14931260325208182</v>
      </c>
      <c r="J149" s="199">
        <f t="shared" si="19"/>
        <v>1</v>
      </c>
    </row>
    <row r="150" spans="1:10">
      <c r="A150" s="205">
        <v>10005721</v>
      </c>
      <c r="B150" s="189">
        <v>4</v>
      </c>
      <c r="C150" s="190" t="s">
        <v>426</v>
      </c>
      <c r="D150" s="186">
        <f t="shared" si="18"/>
        <v>0</v>
      </c>
      <c r="E150" s="186">
        <f t="shared" si="16"/>
        <v>0</v>
      </c>
      <c r="F150" s="198">
        <f t="shared" si="19"/>
        <v>0.69374723414954231</v>
      </c>
      <c r="G150" s="198">
        <f t="shared" si="19"/>
        <v>0.15288131676644923</v>
      </c>
      <c r="H150" s="198">
        <f t="shared" si="19"/>
        <v>7.676075220959205E-3</v>
      </c>
      <c r="I150" s="199">
        <f t="shared" si="19"/>
        <v>0.14569537386304929</v>
      </c>
      <c r="J150" s="199">
        <f t="shared" si="19"/>
        <v>1</v>
      </c>
    </row>
    <row r="151" spans="1:10">
      <c r="A151" s="206">
        <v>10009239</v>
      </c>
      <c r="B151" s="189">
        <v>4</v>
      </c>
      <c r="C151" s="190" t="s">
        <v>446</v>
      </c>
      <c r="D151" s="186">
        <f t="shared" si="18"/>
        <v>0</v>
      </c>
      <c r="E151" s="186">
        <f t="shared" si="16"/>
        <v>0</v>
      </c>
      <c r="F151" s="198">
        <f t="shared" si="19"/>
        <v>0.45949787005795611</v>
      </c>
      <c r="G151" s="198">
        <f t="shared" si="19"/>
        <v>0.17989503396921511</v>
      </c>
      <c r="H151" s="198">
        <f t="shared" si="19"/>
        <v>4.9040987598378601E-3</v>
      </c>
      <c r="I151" s="199">
        <f t="shared" si="19"/>
        <v>0.35570299721299087</v>
      </c>
      <c r="J151" s="199">
        <f t="shared" si="19"/>
        <v>1</v>
      </c>
    </row>
    <row r="152" spans="1:10">
      <c r="A152" s="206">
        <v>10009239</v>
      </c>
      <c r="B152" s="189">
        <v>4</v>
      </c>
      <c r="C152" s="190" t="s">
        <v>389</v>
      </c>
      <c r="D152" s="186">
        <f t="shared" si="18"/>
        <v>0</v>
      </c>
      <c r="E152" s="186">
        <f t="shared" si="16"/>
        <v>0</v>
      </c>
      <c r="F152" s="198">
        <f t="shared" si="19"/>
        <v>0.57275023897283361</v>
      </c>
      <c r="G152" s="198">
        <f t="shared" si="19"/>
        <v>0.25605057587592411</v>
      </c>
      <c r="H152" s="198">
        <f t="shared" si="19"/>
        <v>7.2361784366321456E-3</v>
      </c>
      <c r="I152" s="199">
        <f t="shared" si="19"/>
        <v>0.16396300671461023</v>
      </c>
      <c r="J152" s="199">
        <f t="shared" si="19"/>
        <v>1</v>
      </c>
    </row>
    <row r="153" spans="1:10">
      <c r="A153" s="204">
        <v>10009207</v>
      </c>
      <c r="B153" s="189">
        <v>4</v>
      </c>
      <c r="C153" s="190" t="s">
        <v>443</v>
      </c>
      <c r="D153" s="186"/>
      <c r="E153" s="186">
        <f t="shared" si="16"/>
        <v>0</v>
      </c>
      <c r="F153" s="198">
        <f t="shared" si="19"/>
        <v>0.88704567412502067</v>
      </c>
      <c r="G153" s="198">
        <f t="shared" si="19"/>
        <v>0.10604703179303503</v>
      </c>
      <c r="H153" s="198">
        <f t="shared" si="19"/>
        <v>1.0555529277438691E-2</v>
      </c>
      <c r="I153" s="199">
        <f t="shared" si="19"/>
        <v>-3.6482351954943608E-3</v>
      </c>
      <c r="J153" s="199">
        <f t="shared" si="19"/>
        <v>1</v>
      </c>
    </row>
    <row r="154" spans="1:10">
      <c r="A154" s="202">
        <v>10009183</v>
      </c>
      <c r="B154" s="189">
        <v>4</v>
      </c>
      <c r="C154" s="190" t="s">
        <v>663</v>
      </c>
      <c r="D154" s="186">
        <f t="shared" ref="D154:D159" si="20">-Q152/1000</f>
        <v>0</v>
      </c>
      <c r="E154" s="186">
        <f t="shared" si="16"/>
        <v>0</v>
      </c>
      <c r="F154" s="198">
        <f t="shared" ref="F154:J163" si="21">F104/$J104</f>
        <v>0.6531421325300637</v>
      </c>
      <c r="G154" s="198">
        <f t="shared" si="21"/>
        <v>0.18384692622081431</v>
      </c>
      <c r="H154" s="198">
        <f t="shared" si="21"/>
        <v>9.8051693984434318E-3</v>
      </c>
      <c r="I154" s="199">
        <f t="shared" si="21"/>
        <v>0.15320577185067857</v>
      </c>
      <c r="J154" s="199">
        <f t="shared" si="21"/>
        <v>1</v>
      </c>
    </row>
    <row r="155" spans="1:10">
      <c r="A155" s="202">
        <v>10005776</v>
      </c>
      <c r="B155" s="189">
        <v>4</v>
      </c>
      <c r="C155" s="190" t="s">
        <v>448</v>
      </c>
      <c r="D155" s="186">
        <f t="shared" si="20"/>
        <v>0</v>
      </c>
      <c r="E155" s="186">
        <f t="shared" si="16"/>
        <v>0</v>
      </c>
      <c r="F155" s="198">
        <f t="shared" si="21"/>
        <v>0.66504448163167595</v>
      </c>
      <c r="G155" s="198">
        <f t="shared" si="21"/>
        <v>0.17768882827341698</v>
      </c>
      <c r="H155" s="198">
        <f t="shared" si="21"/>
        <v>9.4710014320262912E-3</v>
      </c>
      <c r="I155" s="199">
        <f t="shared" si="21"/>
        <v>0.14779568866288087</v>
      </c>
      <c r="J155" s="199">
        <f t="shared" si="21"/>
        <v>1</v>
      </c>
    </row>
    <row r="156" spans="1:10">
      <c r="A156" s="202">
        <v>10005779</v>
      </c>
      <c r="B156" s="189">
        <v>4</v>
      </c>
      <c r="C156" s="190" t="s">
        <v>440</v>
      </c>
      <c r="D156" s="186">
        <f t="shared" si="20"/>
        <v>0</v>
      </c>
      <c r="E156" s="186">
        <f t="shared" si="16"/>
        <v>0</v>
      </c>
      <c r="F156" s="198">
        <f t="shared" si="21"/>
        <v>0.67085129273730015</v>
      </c>
      <c r="G156" s="198">
        <f t="shared" si="21"/>
        <v>0.17350118201043924</v>
      </c>
      <c r="H156" s="198">
        <f t="shared" si="21"/>
        <v>7.7743482873090502E-3</v>
      </c>
      <c r="I156" s="199">
        <f t="shared" si="21"/>
        <v>0.14787317696495142</v>
      </c>
      <c r="J156" s="199">
        <f t="shared" si="21"/>
        <v>1</v>
      </c>
    </row>
    <row r="157" spans="1:10">
      <c r="A157" s="202">
        <v>10005781</v>
      </c>
      <c r="B157" s="189">
        <v>4</v>
      </c>
      <c r="C157" s="190" t="s">
        <v>428</v>
      </c>
      <c r="D157" s="186">
        <f t="shared" si="20"/>
        <v>0</v>
      </c>
      <c r="E157" s="186">
        <f t="shared" si="16"/>
        <v>0</v>
      </c>
      <c r="F157" s="198">
        <f t="shared" si="21"/>
        <v>0.67014024341366962</v>
      </c>
      <c r="G157" s="198">
        <f t="shared" si="21"/>
        <v>0.17649828995885217</v>
      </c>
      <c r="H157" s="198">
        <f t="shared" si="21"/>
        <v>6.7867258055896986E-3</v>
      </c>
      <c r="I157" s="199">
        <f t="shared" si="21"/>
        <v>0.14657474082188848</v>
      </c>
      <c r="J157" s="199">
        <f t="shared" si="21"/>
        <v>1</v>
      </c>
    </row>
    <row r="158" spans="1:10">
      <c r="A158" s="202">
        <v>10005781</v>
      </c>
      <c r="B158" s="189">
        <v>4</v>
      </c>
      <c r="C158" s="190" t="s">
        <v>352</v>
      </c>
      <c r="D158" s="186">
        <f t="shared" si="20"/>
        <v>0</v>
      </c>
      <c r="E158" s="186">
        <f t="shared" si="16"/>
        <v>0</v>
      </c>
      <c r="F158" s="198">
        <f t="shared" si="21"/>
        <v>0.6749011304182212</v>
      </c>
      <c r="G158" s="198">
        <f t="shared" si="21"/>
        <v>0.17422612845763455</v>
      </c>
      <c r="H158" s="198">
        <f t="shared" si="21"/>
        <v>6.0491098936801902E-3</v>
      </c>
      <c r="I158" s="199">
        <f t="shared" si="21"/>
        <v>0.14482363123046416</v>
      </c>
      <c r="J158" s="199">
        <f t="shared" si="21"/>
        <v>1</v>
      </c>
    </row>
    <row r="159" spans="1:10">
      <c r="A159" s="202">
        <v>10005781</v>
      </c>
      <c r="B159" s="189">
        <v>4</v>
      </c>
      <c r="C159" s="190" t="s">
        <v>363</v>
      </c>
      <c r="D159" s="186">
        <f t="shared" si="20"/>
        <v>0</v>
      </c>
      <c r="E159" s="186">
        <f t="shared" si="16"/>
        <v>0</v>
      </c>
      <c r="F159" s="198">
        <f t="shared" si="21"/>
        <v>0.67431501386664416</v>
      </c>
      <c r="G159" s="198">
        <f t="shared" si="21"/>
        <v>0.17321297588206025</v>
      </c>
      <c r="H159" s="198">
        <f t="shared" si="21"/>
        <v>8.6891114377726526E-3</v>
      </c>
      <c r="I159" s="199">
        <f t="shared" si="21"/>
        <v>0.14378289881352282</v>
      </c>
      <c r="J159" s="199">
        <f t="shared" si="21"/>
        <v>1</v>
      </c>
    </row>
    <row r="160" spans="1:10">
      <c r="A160" s="206">
        <v>10007050</v>
      </c>
      <c r="B160" s="189">
        <v>4</v>
      </c>
      <c r="C160" s="190" t="s">
        <v>454</v>
      </c>
      <c r="D160" s="186"/>
      <c r="E160" s="186">
        <f t="shared" si="16"/>
        <v>0</v>
      </c>
      <c r="F160" s="198">
        <f t="shared" si="21"/>
        <v>0.82676103789028199</v>
      </c>
      <c r="G160" s="198">
        <f t="shared" si="21"/>
        <v>9.6961738043935611E-2</v>
      </c>
      <c r="H160" s="198">
        <f t="shared" si="21"/>
        <v>1.2528740028644413E-2</v>
      </c>
      <c r="I160" s="199">
        <f t="shared" si="21"/>
        <v>6.3748484037138065E-2</v>
      </c>
      <c r="J160" s="199">
        <f t="shared" si="21"/>
        <v>1</v>
      </c>
    </row>
    <row r="161" spans="1:10">
      <c r="A161" s="206">
        <v>10007050</v>
      </c>
      <c r="B161" s="189">
        <v>4</v>
      </c>
      <c r="C161" s="190" t="s">
        <v>407</v>
      </c>
      <c r="D161" s="186"/>
      <c r="E161" s="186">
        <f t="shared" si="16"/>
        <v>0</v>
      </c>
      <c r="F161" s="198">
        <f t="shared" si="21"/>
        <v>0.82447343768367931</v>
      </c>
      <c r="G161" s="198">
        <f t="shared" si="21"/>
        <v>9.7128069602087433E-2</v>
      </c>
      <c r="H161" s="198">
        <f t="shared" si="21"/>
        <v>1.2550076895327422E-2</v>
      </c>
      <c r="I161" s="199">
        <f t="shared" si="21"/>
        <v>6.5848415818905964E-2</v>
      </c>
      <c r="J161" s="199">
        <f t="shared" si="21"/>
        <v>1</v>
      </c>
    </row>
    <row r="162" spans="1:10">
      <c r="A162" s="206">
        <v>10007050</v>
      </c>
      <c r="B162" s="189">
        <v>4</v>
      </c>
      <c r="C162" s="190" t="s">
        <v>431</v>
      </c>
      <c r="D162" s="186"/>
      <c r="E162" s="186">
        <f t="shared" si="16"/>
        <v>0</v>
      </c>
      <c r="F162" s="198">
        <f t="shared" si="21"/>
        <v>0.69295374572869217</v>
      </c>
      <c r="G162" s="198">
        <f t="shared" si="21"/>
        <v>8.2624235879102143E-2</v>
      </c>
      <c r="H162" s="198">
        <f t="shared" si="21"/>
        <v>8.9923870035689499E-3</v>
      </c>
      <c r="I162" s="199">
        <f t="shared" si="21"/>
        <v>0.21542963138863674</v>
      </c>
      <c r="J162" s="199">
        <f t="shared" si="21"/>
        <v>1</v>
      </c>
    </row>
    <row r="163" spans="1:10">
      <c r="A163" s="206">
        <v>10007050</v>
      </c>
      <c r="B163" s="189">
        <v>4</v>
      </c>
      <c r="C163" s="190" t="s">
        <v>442</v>
      </c>
      <c r="D163" s="186">
        <f t="shared" ref="D163:D174" si="22">-Q158/1000</f>
        <v>0</v>
      </c>
      <c r="E163" s="186">
        <f t="shared" si="16"/>
        <v>0</v>
      </c>
      <c r="F163" s="198">
        <f t="shared" si="21"/>
        <v>0.69117740563224195</v>
      </c>
      <c r="G163" s="198">
        <f t="shared" si="21"/>
        <v>0.14224423741283831</v>
      </c>
      <c r="H163" s="198">
        <f t="shared" si="21"/>
        <v>7.3574605558364634E-3</v>
      </c>
      <c r="I163" s="199">
        <f t="shared" si="21"/>
        <v>0.15922089639908318</v>
      </c>
      <c r="J163" s="199">
        <f t="shared" si="21"/>
        <v>1</v>
      </c>
    </row>
    <row r="164" spans="1:10">
      <c r="A164" s="206">
        <v>10007050</v>
      </c>
      <c r="B164" s="189">
        <v>4</v>
      </c>
      <c r="C164" s="190" t="s">
        <v>435</v>
      </c>
      <c r="D164" s="186">
        <f t="shared" si="22"/>
        <v>0</v>
      </c>
      <c r="E164" s="186">
        <f t="shared" si="16"/>
        <v>0</v>
      </c>
      <c r="F164" s="198">
        <f t="shared" ref="F164:J173" si="23">F114/$J114</f>
        <v>0.695061069996179</v>
      </c>
      <c r="G164" s="198">
        <f t="shared" si="23"/>
        <v>0.14078493002390122</v>
      </c>
      <c r="H164" s="198">
        <f t="shared" si="23"/>
        <v>6.5738612974915863E-3</v>
      </c>
      <c r="I164" s="199">
        <f t="shared" si="23"/>
        <v>0.15758013868242832</v>
      </c>
      <c r="J164" s="199">
        <f t="shared" si="23"/>
        <v>1</v>
      </c>
    </row>
    <row r="165" spans="1:10">
      <c r="A165" s="206">
        <v>10007050</v>
      </c>
      <c r="B165" s="189">
        <v>4</v>
      </c>
      <c r="C165" s="190" t="s">
        <v>375</v>
      </c>
      <c r="D165" s="186">
        <f t="shared" si="22"/>
        <v>0</v>
      </c>
      <c r="E165" s="186">
        <f t="shared" si="16"/>
        <v>0</v>
      </c>
      <c r="F165" s="198">
        <f t="shared" si="23"/>
        <v>0.70438445787502835</v>
      </c>
      <c r="G165" s="198">
        <f t="shared" si="23"/>
        <v>0.13527230065479623</v>
      </c>
      <c r="H165" s="198">
        <f t="shared" si="23"/>
        <v>9.1382488041117319E-3</v>
      </c>
      <c r="I165" s="199">
        <f t="shared" si="23"/>
        <v>0.15120499266606371</v>
      </c>
      <c r="J165" s="199">
        <f t="shared" si="23"/>
        <v>1</v>
      </c>
    </row>
    <row r="166" spans="1:10">
      <c r="A166" s="207">
        <v>10007161</v>
      </c>
      <c r="B166" s="189">
        <v>4</v>
      </c>
      <c r="C166" s="190" t="s">
        <v>455</v>
      </c>
      <c r="D166" s="186">
        <f t="shared" si="22"/>
        <v>0</v>
      </c>
      <c r="E166" s="186">
        <f t="shared" si="16"/>
        <v>0</v>
      </c>
      <c r="F166" s="198">
        <f t="shared" si="23"/>
        <v>0.70564750106749163</v>
      </c>
      <c r="G166" s="198">
        <f t="shared" si="23"/>
        <v>0.13523148606124957</v>
      </c>
      <c r="H166" s="198">
        <f t="shared" si="23"/>
        <v>7.9571650924554291E-3</v>
      </c>
      <c r="I166" s="199">
        <f t="shared" si="23"/>
        <v>0.15116384777880315</v>
      </c>
      <c r="J166" s="199">
        <f t="shared" si="23"/>
        <v>1</v>
      </c>
    </row>
    <row r="167" spans="1:10">
      <c r="A167" s="207">
        <v>10007162</v>
      </c>
      <c r="B167" s="189">
        <v>4</v>
      </c>
      <c r="C167" s="190" t="s">
        <v>441</v>
      </c>
      <c r="D167" s="186">
        <f t="shared" si="22"/>
        <v>0</v>
      </c>
      <c r="E167" s="186">
        <f t="shared" si="16"/>
        <v>0</v>
      </c>
      <c r="F167" s="198">
        <f t="shared" si="23"/>
        <v>0.72540161667817149</v>
      </c>
      <c r="G167" s="198">
        <f t="shared" si="23"/>
        <v>0.10613498615034418</v>
      </c>
      <c r="H167" s="198">
        <f t="shared" si="23"/>
        <v>8.3917769163844892E-3</v>
      </c>
      <c r="I167" s="199">
        <f t="shared" si="23"/>
        <v>0.16007162025509972</v>
      </c>
      <c r="J167" s="199">
        <f t="shared" si="23"/>
        <v>1</v>
      </c>
    </row>
    <row r="168" spans="1:10">
      <c r="A168" s="207">
        <v>10007162</v>
      </c>
      <c r="B168" s="189">
        <v>4</v>
      </c>
      <c r="C168" s="190" t="s">
        <v>462</v>
      </c>
      <c r="D168" s="186">
        <f t="shared" si="22"/>
        <v>0</v>
      </c>
      <c r="E168" s="186">
        <f t="shared" si="16"/>
        <v>0</v>
      </c>
      <c r="F168" s="198">
        <f t="shared" si="23"/>
        <v>0.72728527787270514</v>
      </c>
      <c r="G168" s="198">
        <f t="shared" si="23"/>
        <v>0.10526145927519701</v>
      </c>
      <c r="H168" s="198">
        <f t="shared" si="23"/>
        <v>8.812587288156027E-3</v>
      </c>
      <c r="I168" s="199">
        <f t="shared" si="23"/>
        <v>0.15864067556394179</v>
      </c>
      <c r="J168" s="199">
        <f t="shared" si="23"/>
        <v>1</v>
      </c>
    </row>
    <row r="169" spans="1:10">
      <c r="A169" s="207">
        <v>10009186</v>
      </c>
      <c r="B169" s="189">
        <v>4</v>
      </c>
      <c r="C169" s="190" t="s">
        <v>664</v>
      </c>
      <c r="D169" s="186">
        <f t="shared" si="22"/>
        <v>0</v>
      </c>
      <c r="E169" s="186">
        <f t="shared" si="16"/>
        <v>0</v>
      </c>
      <c r="F169" s="198">
        <f t="shared" si="23"/>
        <v>0.73207556783734884</v>
      </c>
      <c r="G169" s="198">
        <f t="shared" si="23"/>
        <v>0.10417344709094659</v>
      </c>
      <c r="H169" s="198">
        <f t="shared" si="23"/>
        <v>6.9120315861267746E-3</v>
      </c>
      <c r="I169" s="199">
        <f t="shared" si="23"/>
        <v>0.15683895348557791</v>
      </c>
      <c r="J169" s="199">
        <f t="shared" si="23"/>
        <v>1</v>
      </c>
    </row>
    <row r="170" spans="1:10">
      <c r="A170" s="207">
        <v>10009777</v>
      </c>
      <c r="B170" s="189">
        <v>4</v>
      </c>
      <c r="C170" s="190" t="s">
        <v>665</v>
      </c>
      <c r="D170" s="186">
        <f t="shared" si="22"/>
        <v>0</v>
      </c>
      <c r="E170" s="186">
        <f t="shared" si="16"/>
        <v>0</v>
      </c>
      <c r="F170" s="198">
        <f t="shared" si="23"/>
        <v>0.71099123361505667</v>
      </c>
      <c r="G170" s="198">
        <f t="shared" si="23"/>
        <v>0.12900298494355317</v>
      </c>
      <c r="H170" s="198">
        <f t="shared" si="23"/>
        <v>8.1833009651896826E-3</v>
      </c>
      <c r="I170" s="199">
        <f t="shared" si="23"/>
        <v>0.15182248047620051</v>
      </c>
      <c r="J170" s="199">
        <f t="shared" si="23"/>
        <v>1</v>
      </c>
    </row>
    <row r="171" spans="1:10">
      <c r="A171" s="207">
        <v>10007567</v>
      </c>
      <c r="B171" s="189">
        <v>4</v>
      </c>
      <c r="C171" s="190" t="s">
        <v>370</v>
      </c>
      <c r="D171" s="186">
        <f t="shared" si="22"/>
        <v>0</v>
      </c>
      <c r="E171" s="186">
        <f t="shared" si="16"/>
        <v>0</v>
      </c>
      <c r="F171" s="198">
        <f t="shared" si="23"/>
        <v>0.70543068813757304</v>
      </c>
      <c r="G171" s="198">
        <f t="shared" si="23"/>
        <v>0.13067200966237286</v>
      </c>
      <c r="H171" s="198">
        <f t="shared" si="23"/>
        <v>9.8804061527873258E-3</v>
      </c>
      <c r="I171" s="199">
        <f t="shared" si="23"/>
        <v>0.15401689604726687</v>
      </c>
      <c r="J171" s="199">
        <f t="shared" si="23"/>
        <v>1</v>
      </c>
    </row>
    <row r="172" spans="1:10">
      <c r="A172" s="202">
        <v>10009176</v>
      </c>
      <c r="B172" s="189">
        <v>4</v>
      </c>
      <c r="C172" s="190" t="s">
        <v>437</v>
      </c>
      <c r="D172" s="186">
        <f t="shared" si="22"/>
        <v>0</v>
      </c>
      <c r="E172" s="186">
        <f t="shared" si="16"/>
        <v>0</v>
      </c>
      <c r="F172" s="198">
        <f t="shared" si="23"/>
        <v>0.73566751879537051</v>
      </c>
      <c r="G172" s="198">
        <f t="shared" si="23"/>
        <v>0.11865083217379112</v>
      </c>
      <c r="H172" s="198">
        <f t="shared" si="23"/>
        <v>5.8462500943813446E-3</v>
      </c>
      <c r="I172" s="199">
        <f t="shared" si="23"/>
        <v>0.13983539893645711</v>
      </c>
      <c r="J172" s="199">
        <f t="shared" si="23"/>
        <v>1</v>
      </c>
    </row>
    <row r="173" spans="1:10">
      <c r="A173" s="202">
        <v>10009177</v>
      </c>
      <c r="B173" s="189">
        <v>4</v>
      </c>
      <c r="C173" s="190" t="s">
        <v>666</v>
      </c>
      <c r="D173" s="186">
        <f t="shared" si="22"/>
        <v>0</v>
      </c>
      <c r="E173" s="186">
        <f t="shared" si="16"/>
        <v>0</v>
      </c>
      <c r="F173" s="198">
        <f t="shared" si="23"/>
        <v>0.73610608978100456</v>
      </c>
      <c r="G173" s="198">
        <f t="shared" si="23"/>
        <v>0.10783739277177801</v>
      </c>
      <c r="H173" s="198">
        <f t="shared" si="23"/>
        <v>7.8132526092342374E-3</v>
      </c>
      <c r="I173" s="199">
        <f t="shared" si="23"/>
        <v>0.14824326483798328</v>
      </c>
      <c r="J173" s="199">
        <f t="shared" si="23"/>
        <v>1</v>
      </c>
    </row>
    <row r="174" spans="1:10">
      <c r="A174" s="202">
        <v>10009177</v>
      </c>
      <c r="B174" s="189">
        <v>4</v>
      </c>
      <c r="C174" s="190" t="s">
        <v>438</v>
      </c>
      <c r="D174" s="186">
        <f t="shared" si="22"/>
        <v>0</v>
      </c>
      <c r="E174" s="186">
        <f t="shared" si="16"/>
        <v>0</v>
      </c>
      <c r="F174" s="198">
        <f t="shared" ref="F174:J176" si="24">F124/$J124</f>
        <v>0.72109462241115974</v>
      </c>
      <c r="G174" s="198">
        <f t="shared" si="24"/>
        <v>0.11508752254583435</v>
      </c>
      <c r="H174" s="198">
        <f t="shared" si="24"/>
        <v>6.5713660414397409E-3</v>
      </c>
      <c r="I174" s="199">
        <f t="shared" si="24"/>
        <v>0.15724648900156626</v>
      </c>
      <c r="J174" s="199">
        <f t="shared" si="24"/>
        <v>1</v>
      </c>
    </row>
    <row r="175" spans="1:10">
      <c r="A175" s="208">
        <v>10009386</v>
      </c>
      <c r="B175" s="189">
        <v>4</v>
      </c>
      <c r="C175" s="190" t="s">
        <v>453</v>
      </c>
      <c r="D175" s="186"/>
      <c r="E175" s="186">
        <f t="shared" si="16"/>
        <v>0</v>
      </c>
      <c r="F175" s="198">
        <f t="shared" si="24"/>
        <v>0.88782598414141189</v>
      </c>
      <c r="G175" s="198">
        <f t="shared" si="24"/>
        <v>0.10508346819784067</v>
      </c>
      <c r="H175" s="198">
        <f t="shared" si="24"/>
        <v>1.062288927808692E-2</v>
      </c>
      <c r="I175" s="199">
        <f t="shared" si="24"/>
        <v>-3.5323416173395107E-3</v>
      </c>
      <c r="J175" s="199">
        <f t="shared" si="24"/>
        <v>1</v>
      </c>
    </row>
    <row r="176" spans="1:10">
      <c r="B176" s="191" t="s">
        <v>656</v>
      </c>
      <c r="C176" s="192"/>
      <c r="D176" s="193">
        <f t="shared" ref="D176" si="25">SUM(D134:D175)</f>
        <v>0</v>
      </c>
      <c r="E176" s="193">
        <f t="shared" si="16"/>
        <v>0</v>
      </c>
      <c r="F176" s="200">
        <f t="shared" si="24"/>
        <v>0.66577017009556183</v>
      </c>
      <c r="G176" s="200">
        <f t="shared" si="24"/>
        <v>0.14824359046928764</v>
      </c>
      <c r="H176" s="200">
        <f t="shared" si="24"/>
        <v>7.7195481010853039E-3</v>
      </c>
      <c r="I176" s="200">
        <f t="shared" si="24"/>
        <v>0.17826669133406517</v>
      </c>
      <c r="J176" s="201">
        <f t="shared" si="24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54B3-988E-444C-9265-C841DB136EFE}">
  <dimension ref="A4:AC206"/>
  <sheetViews>
    <sheetView topLeftCell="C1" zoomScale="80" zoomScaleNormal="80" workbookViewId="0">
      <pane ySplit="4" topLeftCell="A5" activePane="bottomLeft" state="frozen"/>
      <selection activeCell="B1" sqref="B1"/>
      <selection pane="bottomLeft" activeCell="L9" sqref="L9"/>
    </sheetView>
  </sheetViews>
  <sheetFormatPr baseColWidth="10" defaultColWidth="11.44140625" defaultRowHeight="14.4" outlineLevelCol="1"/>
  <cols>
    <col min="3" max="3" width="29.44140625" bestFit="1" customWidth="1"/>
    <col min="4" max="4" width="44.88671875" customWidth="1"/>
    <col min="5" max="5" width="21.88671875" customWidth="1" outlineLevel="1"/>
    <col min="6" max="6" width="16.33203125" customWidth="1" outlineLevel="1"/>
    <col min="7" max="7" width="11.44140625" customWidth="1" outlineLevel="1"/>
    <col min="8" max="8" width="18.109375" customWidth="1" outlineLevel="1"/>
    <col min="9" max="9" width="15" customWidth="1" outlineLevel="1"/>
    <col min="10" max="10" width="11.6640625" customWidth="1" outlineLevel="1"/>
    <col min="11" max="11" width="18.33203125" customWidth="1" outlineLevel="1"/>
    <col min="12" max="12" width="11.6640625" customWidth="1" outlineLevel="1"/>
    <col min="13" max="13" width="15.109375" customWidth="1" outlineLevel="1"/>
    <col min="14" max="14" width="12.109375" customWidth="1" outlineLevel="1"/>
    <col min="15" max="16" width="14.33203125" customWidth="1" outlineLevel="1"/>
    <col min="17" max="17" width="13.88671875" customWidth="1" outlineLevel="1"/>
    <col min="18" max="18" width="15.33203125" customWidth="1" outlineLevel="1"/>
    <col min="19" max="19" width="14.88671875" customWidth="1" outlineLevel="1"/>
    <col min="20" max="20" width="12.33203125" customWidth="1" outlineLevel="1"/>
    <col min="21" max="23" width="12.109375" customWidth="1" outlineLevel="1"/>
    <col min="24" max="25" width="11.6640625" bestFit="1" customWidth="1"/>
  </cols>
  <sheetData>
    <row r="4" spans="1:29" ht="41.4">
      <c r="A4" s="5" t="s">
        <v>297</v>
      </c>
      <c r="B4" s="5" t="s">
        <v>82</v>
      </c>
      <c r="C4" s="40" t="s">
        <v>84</v>
      </c>
      <c r="D4" s="5" t="s">
        <v>298</v>
      </c>
      <c r="E4" s="6" t="s">
        <v>83</v>
      </c>
      <c r="F4" s="6" t="s">
        <v>299</v>
      </c>
      <c r="G4" s="6" t="s">
        <v>300</v>
      </c>
      <c r="H4" s="6" t="s">
        <v>301</v>
      </c>
      <c r="I4" s="6" t="s">
        <v>302</v>
      </c>
      <c r="J4" s="6" t="s">
        <v>303</v>
      </c>
      <c r="K4" s="6" t="s">
        <v>304</v>
      </c>
      <c r="L4" s="160" t="s">
        <v>305</v>
      </c>
      <c r="M4" s="6" t="s">
        <v>306</v>
      </c>
      <c r="N4" s="6" t="s">
        <v>307</v>
      </c>
      <c r="O4" s="6" t="s">
        <v>308</v>
      </c>
      <c r="P4" s="6" t="s">
        <v>89</v>
      </c>
      <c r="Q4" s="2" t="s">
        <v>309</v>
      </c>
      <c r="R4" s="2" t="s">
        <v>310</v>
      </c>
      <c r="S4" s="2" t="s">
        <v>311</v>
      </c>
      <c r="T4" s="2" t="s">
        <v>312</v>
      </c>
      <c r="U4" s="2" t="s">
        <v>313</v>
      </c>
      <c r="V4" s="2" t="s">
        <v>314</v>
      </c>
      <c r="W4" s="40" t="s">
        <v>11</v>
      </c>
      <c r="X4" s="40" t="s">
        <v>306</v>
      </c>
      <c r="Y4" s="40" t="s">
        <v>307</v>
      </c>
      <c r="Z4" s="40" t="s">
        <v>308</v>
      </c>
      <c r="AA4" s="40" t="s">
        <v>89</v>
      </c>
    </row>
    <row r="5" spans="1:29">
      <c r="A5" s="7" t="s">
        <v>6</v>
      </c>
      <c r="B5" s="7">
        <v>10009178</v>
      </c>
      <c r="C5" s="7" t="str">
        <f t="shared" ref="C5:C36" si="0">A5&amp;B5&amp;E5</f>
        <v>ENERO10009178Inventario inicial</v>
      </c>
      <c r="D5" s="7" t="s">
        <v>315</v>
      </c>
      <c r="E5" s="3" t="s">
        <v>316</v>
      </c>
      <c r="F5" s="8">
        <v>11760</v>
      </c>
      <c r="G5" s="2" t="s">
        <v>317</v>
      </c>
      <c r="H5" s="11">
        <v>24460.799999999999</v>
      </c>
      <c r="I5" s="11">
        <v>-2861.14</v>
      </c>
      <c r="J5" s="11">
        <v>0</v>
      </c>
      <c r="K5" s="11">
        <v>21599.66</v>
      </c>
      <c r="L5" s="16">
        <v>1.84</v>
      </c>
      <c r="M5" s="11">
        <v>15386.06</v>
      </c>
      <c r="N5" s="11">
        <v>192.1</v>
      </c>
      <c r="O5" s="11">
        <v>2941.72</v>
      </c>
      <c r="P5" s="11">
        <f t="shared" ref="P5:P36" si="1">SUM(Q5:V5)</f>
        <v>3079.7799999999975</v>
      </c>
      <c r="Q5" s="11">
        <v>119.29</v>
      </c>
      <c r="R5" s="11">
        <v>316.64999999999998</v>
      </c>
      <c r="S5" s="11">
        <v>1240.72</v>
      </c>
      <c r="T5" s="11">
        <v>0.08</v>
      </c>
      <c r="U5" s="11">
        <v>7.0000000000000007E-2</v>
      </c>
      <c r="V5" s="11">
        <v>1402.9699999999975</v>
      </c>
      <c r="W5" s="53">
        <f>SUM(M5:P5)</f>
        <v>21599.66</v>
      </c>
      <c r="X5" s="72">
        <f t="shared" ref="X5:AA5" si="2">M5/$W5</f>
        <v>0.71232880517563701</v>
      </c>
      <c r="Y5" s="72">
        <f t="shared" si="2"/>
        <v>8.8936585112913812E-3</v>
      </c>
      <c r="Z5" s="72">
        <f t="shared" si="2"/>
        <v>0.13619288451762665</v>
      </c>
      <c r="AA5" s="72">
        <f t="shared" si="2"/>
        <v>0.1425846517954448</v>
      </c>
    </row>
    <row r="6" spans="1:29">
      <c r="A6" s="7" t="s">
        <v>6</v>
      </c>
      <c r="B6" s="7">
        <v>10009178</v>
      </c>
      <c r="C6" s="7" t="str">
        <f t="shared" si="0"/>
        <v>ENERO10009178Revalorización</v>
      </c>
      <c r="D6" s="7" t="s">
        <v>315</v>
      </c>
      <c r="E6" s="3" t="s">
        <v>318</v>
      </c>
      <c r="F6" s="8">
        <v>0</v>
      </c>
      <c r="G6" s="2" t="s">
        <v>317</v>
      </c>
      <c r="H6" s="11">
        <v>-352.8</v>
      </c>
      <c r="I6" s="11">
        <v>352.8</v>
      </c>
      <c r="J6" s="11">
        <v>0</v>
      </c>
      <c r="K6" s="11">
        <v>0</v>
      </c>
      <c r="L6" s="16">
        <v>0</v>
      </c>
      <c r="M6" s="11">
        <v>0</v>
      </c>
      <c r="N6" s="11">
        <v>0</v>
      </c>
      <c r="O6" s="11">
        <v>0</v>
      </c>
      <c r="P6" s="11">
        <f t="shared" si="1"/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53">
        <f t="shared" ref="W6:W69" si="3">SUM(M6:P6)</f>
        <v>0</v>
      </c>
      <c r="X6" s="72" t="e">
        <f t="shared" ref="X6:X69" si="4">M6/$W6</f>
        <v>#DIV/0!</v>
      </c>
      <c r="Y6" s="72" t="e">
        <f t="shared" ref="Y6:Y69" si="5">N6/$W6</f>
        <v>#DIV/0!</v>
      </c>
      <c r="Z6" s="72" t="e">
        <f t="shared" ref="Z6:Z69" si="6">O6/$W6</f>
        <v>#DIV/0!</v>
      </c>
      <c r="AA6" s="72" t="e">
        <f t="shared" ref="AA6:AA69" si="7">P6/$W6</f>
        <v>#DIV/0!</v>
      </c>
    </row>
    <row r="7" spans="1:29">
      <c r="A7" s="7" t="s">
        <v>6</v>
      </c>
      <c r="B7" s="7">
        <v>10009178</v>
      </c>
      <c r="C7" s="7" t="str">
        <f t="shared" si="0"/>
        <v>ENERO10009178Entradas</v>
      </c>
      <c r="D7" s="7" t="s">
        <v>315</v>
      </c>
      <c r="E7" s="3" t="s">
        <v>164</v>
      </c>
      <c r="F7" s="8">
        <v>4920</v>
      </c>
      <c r="G7" s="2" t="s">
        <v>317</v>
      </c>
      <c r="H7" s="11">
        <v>10086</v>
      </c>
      <c r="I7" s="11">
        <v>-1629.21</v>
      </c>
      <c r="J7" s="11">
        <v>0</v>
      </c>
      <c r="K7" s="11">
        <v>8456.7900000000009</v>
      </c>
      <c r="L7" s="16">
        <v>1.72</v>
      </c>
      <c r="M7" s="11">
        <v>5674.08</v>
      </c>
      <c r="N7" s="11">
        <v>83.7</v>
      </c>
      <c r="O7" s="11">
        <v>1150.54</v>
      </c>
      <c r="P7" s="11">
        <f t="shared" si="1"/>
        <v>1548.4700000000007</v>
      </c>
      <c r="Q7" s="11">
        <v>11.05</v>
      </c>
      <c r="R7" s="11">
        <v>84.57</v>
      </c>
      <c r="S7" s="11">
        <v>772.75</v>
      </c>
      <c r="T7" s="11">
        <v>0.02</v>
      </c>
      <c r="U7" s="11">
        <v>0</v>
      </c>
      <c r="V7" s="11">
        <v>680.08000000000084</v>
      </c>
      <c r="W7" s="53">
        <f t="shared" si="3"/>
        <v>8456.7900000000009</v>
      </c>
      <c r="X7" s="72">
        <f t="shared" si="4"/>
        <v>0.67094961563430089</v>
      </c>
      <c r="Y7" s="72">
        <f t="shared" si="5"/>
        <v>9.8973724072609105E-3</v>
      </c>
      <c r="Z7" s="72">
        <f t="shared" si="6"/>
        <v>0.13604925746057309</v>
      </c>
      <c r="AA7" s="72">
        <f t="shared" si="7"/>
        <v>0.18310375449786509</v>
      </c>
    </row>
    <row r="8" spans="1:29">
      <c r="A8" s="7" t="s">
        <v>6</v>
      </c>
      <c r="B8" s="7">
        <v>10009178</v>
      </c>
      <c r="C8" s="7" t="str">
        <f t="shared" si="0"/>
        <v>ENERO10009178Inventario acumulado</v>
      </c>
      <c r="D8" s="7" t="s">
        <v>315</v>
      </c>
      <c r="E8" s="3" t="s">
        <v>319</v>
      </c>
      <c r="F8" s="8">
        <v>16680</v>
      </c>
      <c r="G8" s="2" t="s">
        <v>317</v>
      </c>
      <c r="H8" s="11">
        <v>34194</v>
      </c>
      <c r="I8" s="11">
        <v>-4137.55</v>
      </c>
      <c r="J8" s="11">
        <v>0</v>
      </c>
      <c r="K8" s="11">
        <v>30056.45</v>
      </c>
      <c r="L8" s="16">
        <v>1.8</v>
      </c>
      <c r="M8" s="11">
        <v>21060.14</v>
      </c>
      <c r="N8" s="11">
        <v>275.8</v>
      </c>
      <c r="O8" s="11">
        <v>4092.26</v>
      </c>
      <c r="P8" s="11">
        <f t="shared" si="1"/>
        <v>4628.2500000000036</v>
      </c>
      <c r="Q8" s="11">
        <v>130.34</v>
      </c>
      <c r="R8" s="11">
        <v>401.22</v>
      </c>
      <c r="S8" s="11">
        <v>2013.47</v>
      </c>
      <c r="T8" s="11">
        <v>0.1</v>
      </c>
      <c r="U8" s="11">
        <v>7.0000000000000007E-2</v>
      </c>
      <c r="V8" s="11">
        <v>2083.0500000000029</v>
      </c>
      <c r="W8" s="53">
        <f t="shared" si="3"/>
        <v>30056.45</v>
      </c>
      <c r="X8" s="72">
        <f t="shared" si="4"/>
        <v>0.70068620878380505</v>
      </c>
      <c r="Y8" s="72">
        <f t="shared" si="5"/>
        <v>9.1760670338646121E-3</v>
      </c>
      <c r="Z8" s="72">
        <f t="shared" si="6"/>
        <v>0.13615247309645684</v>
      </c>
      <c r="AA8" s="72">
        <f t="shared" si="7"/>
        <v>0.15398525108587352</v>
      </c>
    </row>
    <row r="9" spans="1:29" ht="15" thickBot="1">
      <c r="A9" s="7" t="s">
        <v>6</v>
      </c>
      <c r="B9" s="7">
        <v>10009178</v>
      </c>
      <c r="C9" s="7" t="str">
        <f t="shared" si="0"/>
        <v>ENERO10009178Inventario final</v>
      </c>
      <c r="D9" s="7" t="s">
        <v>315</v>
      </c>
      <c r="E9" s="3" t="s">
        <v>218</v>
      </c>
      <c r="F9" s="8">
        <v>16680</v>
      </c>
      <c r="G9" s="2" t="s">
        <v>317</v>
      </c>
      <c r="H9" s="11">
        <v>34194</v>
      </c>
      <c r="I9" s="11">
        <v>-4137.55</v>
      </c>
      <c r="J9" s="11">
        <v>0</v>
      </c>
      <c r="K9" s="11">
        <v>30056.45</v>
      </c>
      <c r="L9" s="16">
        <v>1.8</v>
      </c>
      <c r="M9" s="11">
        <v>21060.14</v>
      </c>
      <c r="N9" s="11">
        <v>275.8</v>
      </c>
      <c r="O9" s="11">
        <v>4092.26</v>
      </c>
      <c r="P9" s="11">
        <f t="shared" si="1"/>
        <v>4628.2500000000036</v>
      </c>
      <c r="Q9" s="11">
        <v>130.34</v>
      </c>
      <c r="R9" s="11">
        <v>401.22</v>
      </c>
      <c r="S9" s="11">
        <v>2013.47</v>
      </c>
      <c r="T9" s="11">
        <v>0.1</v>
      </c>
      <c r="U9" s="11">
        <v>7.0000000000000007E-2</v>
      </c>
      <c r="V9" s="11">
        <v>2083.0500000000029</v>
      </c>
      <c r="W9" s="53">
        <f t="shared" si="3"/>
        <v>30056.45</v>
      </c>
      <c r="X9" s="72">
        <f t="shared" si="4"/>
        <v>0.70068620878380505</v>
      </c>
      <c r="Y9" s="72">
        <f t="shared" si="5"/>
        <v>9.1760670338646121E-3</v>
      </c>
      <c r="Z9" s="72">
        <f t="shared" si="6"/>
        <v>0.13615247309645684</v>
      </c>
      <c r="AA9" s="72">
        <f t="shared" si="7"/>
        <v>0.15398525108587352</v>
      </c>
    </row>
    <row r="10" spans="1:29" ht="15" thickBot="1">
      <c r="A10" s="7" t="s">
        <v>7</v>
      </c>
      <c r="B10" s="7">
        <v>10009178</v>
      </c>
      <c r="C10" s="7" t="str">
        <f>A10&amp;B10&amp;E10</f>
        <v>FEBRERO10009178Inventario inicial</v>
      </c>
      <c r="D10" s="7" t="s">
        <v>315</v>
      </c>
      <c r="E10" s="3" t="s">
        <v>316</v>
      </c>
      <c r="F10" s="8">
        <v>16680</v>
      </c>
      <c r="G10" s="2" t="s">
        <v>317</v>
      </c>
      <c r="H10" s="11">
        <v>34194</v>
      </c>
      <c r="I10" s="11" t="s">
        <v>320</v>
      </c>
      <c r="J10" s="11">
        <v>0</v>
      </c>
      <c r="K10" s="11">
        <v>30056.45</v>
      </c>
      <c r="L10" s="16">
        <v>1.8</v>
      </c>
      <c r="M10" s="11">
        <v>21060.14</v>
      </c>
      <c r="N10" s="11">
        <v>275.8</v>
      </c>
      <c r="O10" s="11">
        <v>4092.26</v>
      </c>
      <c r="P10" s="11">
        <f t="shared" si="1"/>
        <v>4628.2500000000045</v>
      </c>
      <c r="Q10" s="11">
        <v>130.34</v>
      </c>
      <c r="R10" s="11">
        <v>401.22</v>
      </c>
      <c r="S10" s="11">
        <v>2013.47</v>
      </c>
      <c r="T10" s="11">
        <v>0.1</v>
      </c>
      <c r="U10" s="11">
        <v>1944.83</v>
      </c>
      <c r="V10" s="11">
        <v>138.29000000000451</v>
      </c>
      <c r="W10" s="53">
        <f t="shared" si="3"/>
        <v>30056.45</v>
      </c>
      <c r="X10" s="72">
        <f t="shared" si="4"/>
        <v>0.70068620878380505</v>
      </c>
      <c r="Y10" s="72">
        <f t="shared" si="5"/>
        <v>9.1760670338646121E-3</v>
      </c>
      <c r="Z10" s="72">
        <f t="shared" si="6"/>
        <v>0.13615247309645684</v>
      </c>
      <c r="AA10" s="72">
        <f t="shared" si="7"/>
        <v>0.15398525108587358</v>
      </c>
      <c r="AB10" s="52"/>
      <c r="AC10" s="52"/>
    </row>
    <row r="11" spans="1:29" ht="15" thickBot="1">
      <c r="A11" s="7" t="s">
        <v>7</v>
      </c>
      <c r="B11" s="7">
        <v>10009178</v>
      </c>
      <c r="C11" s="7" t="str">
        <f t="shared" si="0"/>
        <v>FEBRERO10009178Revalorización</v>
      </c>
      <c r="D11" s="7" t="s">
        <v>315</v>
      </c>
      <c r="E11" s="3" t="s">
        <v>318</v>
      </c>
      <c r="F11" s="8">
        <v>0</v>
      </c>
      <c r="G11" s="2" t="s">
        <v>317</v>
      </c>
      <c r="H11" s="11" t="s">
        <v>321</v>
      </c>
      <c r="I11" s="11">
        <v>3502.8</v>
      </c>
      <c r="J11" s="11">
        <v>0</v>
      </c>
      <c r="K11" s="11">
        <v>0</v>
      </c>
      <c r="L11" s="16">
        <v>0</v>
      </c>
      <c r="M11" s="11">
        <v>0</v>
      </c>
      <c r="N11" s="11">
        <v>0</v>
      </c>
      <c r="O11" s="11">
        <v>0</v>
      </c>
      <c r="P11" s="11">
        <f t="shared" si="1"/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53">
        <f t="shared" si="3"/>
        <v>0</v>
      </c>
      <c r="X11" s="72" t="e">
        <f t="shared" si="4"/>
        <v>#DIV/0!</v>
      </c>
      <c r="Y11" s="72" t="e">
        <f t="shared" si="5"/>
        <v>#DIV/0!</v>
      </c>
      <c r="Z11" s="72" t="e">
        <f t="shared" si="6"/>
        <v>#DIV/0!</v>
      </c>
      <c r="AA11" s="72" t="e">
        <f t="shared" si="7"/>
        <v>#DIV/0!</v>
      </c>
      <c r="AB11" s="52"/>
      <c r="AC11" s="52"/>
    </row>
    <row r="12" spans="1:29" ht="15" thickBot="1">
      <c r="A12" s="7" t="s">
        <v>7</v>
      </c>
      <c r="B12" s="7">
        <v>10009178</v>
      </c>
      <c r="C12" s="7" t="str">
        <f t="shared" si="0"/>
        <v>FEBRERO10009178Entradas</v>
      </c>
      <c r="D12" s="7" t="s">
        <v>315</v>
      </c>
      <c r="E12" s="3" t="s">
        <v>164</v>
      </c>
      <c r="F12" s="8">
        <v>8220</v>
      </c>
      <c r="G12" s="2" t="s">
        <v>317</v>
      </c>
      <c r="H12" s="11">
        <v>15124.8</v>
      </c>
      <c r="I12" s="11" t="s">
        <v>322</v>
      </c>
      <c r="J12" s="11">
        <v>0</v>
      </c>
      <c r="K12" s="11">
        <v>12924.45</v>
      </c>
      <c r="L12" s="16">
        <v>1.57</v>
      </c>
      <c r="M12" s="11">
        <v>8381.4</v>
      </c>
      <c r="N12" s="11">
        <v>139.88</v>
      </c>
      <c r="O12" s="11">
        <v>1759.88</v>
      </c>
      <c r="P12" s="11">
        <f t="shared" si="1"/>
        <v>2643.2900000000004</v>
      </c>
      <c r="Q12" s="11">
        <v>57.66</v>
      </c>
      <c r="R12" s="11">
        <v>141.81</v>
      </c>
      <c r="S12" s="11">
        <v>1295.3399999999999</v>
      </c>
      <c r="T12" s="11" t="s">
        <v>323</v>
      </c>
      <c r="U12" s="11">
        <v>1048.6300000000001</v>
      </c>
      <c r="V12" s="11">
        <v>99.850000000000364</v>
      </c>
      <c r="W12" s="53">
        <f t="shared" si="3"/>
        <v>12924.45</v>
      </c>
      <c r="X12" s="72">
        <f t="shared" si="4"/>
        <v>0.64849181203068595</v>
      </c>
      <c r="Y12" s="72">
        <f t="shared" si="5"/>
        <v>1.0822897686168462E-2</v>
      </c>
      <c r="Z12" s="72">
        <f t="shared" si="6"/>
        <v>0.13616672276189704</v>
      </c>
      <c r="AA12" s="72">
        <f t="shared" si="7"/>
        <v>0.2045185675212485</v>
      </c>
      <c r="AB12" s="52"/>
      <c r="AC12" s="52"/>
    </row>
    <row r="13" spans="1:29" ht="15" thickBot="1">
      <c r="A13" s="7" t="s">
        <v>7</v>
      </c>
      <c r="B13" s="7">
        <v>10009178</v>
      </c>
      <c r="C13" s="7" t="str">
        <f t="shared" si="0"/>
        <v>FEBRERO10009178Inventario acumulado</v>
      </c>
      <c r="D13" s="7" t="s">
        <v>315</v>
      </c>
      <c r="E13" s="3" t="s">
        <v>319</v>
      </c>
      <c r="F13" s="8">
        <v>24900</v>
      </c>
      <c r="G13" s="2" t="s">
        <v>317</v>
      </c>
      <c r="H13" s="11">
        <v>45816</v>
      </c>
      <c r="I13" s="11" t="s">
        <v>324</v>
      </c>
      <c r="J13" s="11">
        <v>0</v>
      </c>
      <c r="K13" s="11">
        <v>42980.9</v>
      </c>
      <c r="L13" s="16">
        <v>1.73</v>
      </c>
      <c r="M13" s="11">
        <v>29441.54</v>
      </c>
      <c r="N13" s="11">
        <v>415.68</v>
      </c>
      <c r="O13" s="11">
        <v>5852.14</v>
      </c>
      <c r="P13" s="11">
        <f t="shared" si="1"/>
        <v>7271.5399999999981</v>
      </c>
      <c r="Q13" s="11">
        <v>188</v>
      </c>
      <c r="R13" s="11">
        <v>543.03</v>
      </c>
      <c r="S13" s="11">
        <v>3308.81</v>
      </c>
      <c r="T13" s="11" t="s">
        <v>325</v>
      </c>
      <c r="U13" s="11">
        <v>2993.46</v>
      </c>
      <c r="V13" s="11">
        <v>238.23999999999796</v>
      </c>
      <c r="W13" s="53">
        <f t="shared" si="3"/>
        <v>42980.9</v>
      </c>
      <c r="X13" s="72">
        <f t="shared" si="4"/>
        <v>0.68499124029510783</v>
      </c>
      <c r="Y13" s="72">
        <f t="shared" si="5"/>
        <v>9.6712725885218787E-3</v>
      </c>
      <c r="Z13" s="72">
        <f t="shared" si="6"/>
        <v>0.1361567580018101</v>
      </c>
      <c r="AA13" s="72">
        <f t="shared" si="7"/>
        <v>0.16918072911456014</v>
      </c>
      <c r="AB13" s="52"/>
      <c r="AC13" s="52"/>
    </row>
    <row r="14" spans="1:29" ht="15" thickBot="1">
      <c r="A14" s="7" t="s">
        <v>7</v>
      </c>
      <c r="B14" s="7">
        <v>10009178</v>
      </c>
      <c r="C14" s="7" t="str">
        <f t="shared" si="0"/>
        <v>FEBRERO10009178Inventario final</v>
      </c>
      <c r="D14" s="7" t="s">
        <v>315</v>
      </c>
      <c r="E14" s="3" t="s">
        <v>218</v>
      </c>
      <c r="F14" s="8">
        <v>24900</v>
      </c>
      <c r="G14" s="2" t="s">
        <v>317</v>
      </c>
      <c r="H14" s="11">
        <v>45816</v>
      </c>
      <c r="I14" s="11" t="s">
        <v>324</v>
      </c>
      <c r="J14" s="11">
        <v>0</v>
      </c>
      <c r="K14" s="11">
        <v>42980.9</v>
      </c>
      <c r="L14" s="16">
        <v>1.73</v>
      </c>
      <c r="M14" s="11">
        <v>29441.54</v>
      </c>
      <c r="N14" s="11">
        <v>415.68</v>
      </c>
      <c r="O14" s="11">
        <v>5852.14</v>
      </c>
      <c r="P14" s="11">
        <f t="shared" si="1"/>
        <v>7271.5399999999981</v>
      </c>
      <c r="Q14" s="11">
        <v>188</v>
      </c>
      <c r="R14" s="11">
        <v>543.03</v>
      </c>
      <c r="S14" s="11">
        <v>3308.81</v>
      </c>
      <c r="T14" s="11" t="s">
        <v>325</v>
      </c>
      <c r="U14" s="11">
        <v>2993.46</v>
      </c>
      <c r="V14" s="11">
        <v>238.23999999999796</v>
      </c>
      <c r="W14" s="53">
        <f t="shared" si="3"/>
        <v>42980.9</v>
      </c>
      <c r="X14" s="72">
        <f t="shared" si="4"/>
        <v>0.68499124029510783</v>
      </c>
      <c r="Y14" s="72">
        <f t="shared" si="5"/>
        <v>9.6712725885218787E-3</v>
      </c>
      <c r="Z14" s="72">
        <f t="shared" si="6"/>
        <v>0.1361567580018101</v>
      </c>
      <c r="AA14" s="72">
        <f t="shared" si="7"/>
        <v>0.16918072911456014</v>
      </c>
      <c r="AB14" s="52"/>
      <c r="AC14" s="52"/>
    </row>
    <row r="15" spans="1:29">
      <c r="A15" s="7" t="s">
        <v>6</v>
      </c>
      <c r="B15" s="7">
        <v>10006720</v>
      </c>
      <c r="C15" s="7" t="str">
        <f t="shared" si="0"/>
        <v>ENERO10006720Inventario inicial</v>
      </c>
      <c r="D15" s="7" t="s">
        <v>326</v>
      </c>
      <c r="E15" s="3" t="s">
        <v>316</v>
      </c>
      <c r="F15" s="9">
        <v>80180</v>
      </c>
      <c r="G15" s="3" t="s">
        <v>317</v>
      </c>
      <c r="H15" s="12">
        <v>138711.4</v>
      </c>
      <c r="I15" s="12">
        <v>2617.91</v>
      </c>
      <c r="J15" s="13"/>
      <c r="K15" s="12">
        <v>141329.31</v>
      </c>
      <c r="L15" s="17">
        <v>1.76</v>
      </c>
      <c r="M15" s="12">
        <v>96628.24</v>
      </c>
      <c r="N15" s="12">
        <v>1272.01</v>
      </c>
      <c r="O15" s="12">
        <v>21487.27</v>
      </c>
      <c r="P15" s="12">
        <f t="shared" si="1"/>
        <v>21941.789999999986</v>
      </c>
      <c r="Q15" s="12">
        <v>716.19</v>
      </c>
      <c r="R15" s="12">
        <v>2221.84</v>
      </c>
      <c r="S15" s="12">
        <v>8915.09</v>
      </c>
      <c r="T15" s="12">
        <v>9554.3700000000008</v>
      </c>
      <c r="U15" s="11">
        <v>17.13</v>
      </c>
      <c r="V15" s="11">
        <v>517.1699999999837</v>
      </c>
      <c r="W15" s="53">
        <f t="shared" si="3"/>
        <v>141329.31</v>
      </c>
      <c r="X15" s="72">
        <f t="shared" si="4"/>
        <v>0.68370984051362038</v>
      </c>
      <c r="Y15" s="72">
        <f t="shared" si="5"/>
        <v>9.0003269668549289E-3</v>
      </c>
      <c r="Z15" s="72">
        <f t="shared" si="6"/>
        <v>0.15203689878624613</v>
      </c>
      <c r="AA15" s="72">
        <f t="shared" si="7"/>
        <v>0.15525293373327859</v>
      </c>
    </row>
    <row r="16" spans="1:29">
      <c r="A16" s="7" t="s">
        <v>6</v>
      </c>
      <c r="B16" s="7">
        <v>10006720</v>
      </c>
      <c r="C16" s="7" t="str">
        <f t="shared" si="0"/>
        <v>ENERO10006720Revalorización</v>
      </c>
      <c r="D16" s="7" t="s">
        <v>326</v>
      </c>
      <c r="E16" s="3" t="s">
        <v>318</v>
      </c>
      <c r="F16" s="9">
        <v>0</v>
      </c>
      <c r="G16" s="3" t="s">
        <v>317</v>
      </c>
      <c r="H16" s="12">
        <v>4009</v>
      </c>
      <c r="I16" s="12">
        <v>-4009</v>
      </c>
      <c r="J16" s="13"/>
      <c r="K16" s="12">
        <v>0</v>
      </c>
      <c r="L16" s="17">
        <v>0</v>
      </c>
      <c r="M16" s="12">
        <v>0</v>
      </c>
      <c r="N16" s="12">
        <v>0</v>
      </c>
      <c r="O16" s="12">
        <v>0</v>
      </c>
      <c r="P16" s="12">
        <f t="shared" si="1"/>
        <v>0</v>
      </c>
      <c r="Q16" s="12">
        <v>0</v>
      </c>
      <c r="R16" s="12">
        <v>0</v>
      </c>
      <c r="S16" s="12">
        <v>0</v>
      </c>
      <c r="T16" s="12">
        <v>0</v>
      </c>
      <c r="U16" s="11">
        <v>0</v>
      </c>
      <c r="V16" s="11">
        <v>0</v>
      </c>
      <c r="W16" s="53">
        <f t="shared" si="3"/>
        <v>0</v>
      </c>
      <c r="X16" s="72" t="e">
        <f t="shared" si="4"/>
        <v>#DIV/0!</v>
      </c>
      <c r="Y16" s="72" t="e">
        <f t="shared" si="5"/>
        <v>#DIV/0!</v>
      </c>
      <c r="Z16" s="72" t="e">
        <f t="shared" si="6"/>
        <v>#DIV/0!</v>
      </c>
      <c r="AA16" s="72" t="e">
        <f t="shared" si="7"/>
        <v>#DIV/0!</v>
      </c>
    </row>
    <row r="17" spans="1:27">
      <c r="A17" s="7" t="s">
        <v>6</v>
      </c>
      <c r="B17" s="7">
        <v>10006720</v>
      </c>
      <c r="C17" s="7" t="str">
        <f t="shared" si="0"/>
        <v>ENERO10006720Entradas</v>
      </c>
      <c r="D17" s="7" t="s">
        <v>326</v>
      </c>
      <c r="E17" s="3" t="s">
        <v>164</v>
      </c>
      <c r="F17" s="9">
        <v>276180</v>
      </c>
      <c r="G17" s="3" t="s">
        <v>317</v>
      </c>
      <c r="H17" s="12">
        <v>491600.4</v>
      </c>
      <c r="I17" s="12">
        <v>-18595.02</v>
      </c>
      <c r="J17" s="13"/>
      <c r="K17" s="12">
        <v>473005.38</v>
      </c>
      <c r="L17" s="17">
        <v>1.71</v>
      </c>
      <c r="M17" s="12">
        <v>308981.27</v>
      </c>
      <c r="N17" s="12">
        <v>4610.57</v>
      </c>
      <c r="O17" s="12">
        <v>72365.759999999995</v>
      </c>
      <c r="P17" s="12">
        <f t="shared" si="1"/>
        <v>87047.77999999997</v>
      </c>
      <c r="Q17" s="12">
        <v>620.30999999999995</v>
      </c>
      <c r="R17" s="12">
        <v>4747.8100000000004</v>
      </c>
      <c r="S17" s="12">
        <v>43377.94</v>
      </c>
      <c r="T17" s="12">
        <v>35110.76</v>
      </c>
      <c r="U17" s="11">
        <v>0</v>
      </c>
      <c r="V17" s="11">
        <v>3190.9599999999627</v>
      </c>
      <c r="W17" s="53">
        <f t="shared" si="3"/>
        <v>473005.38</v>
      </c>
      <c r="X17" s="72">
        <f t="shared" si="4"/>
        <v>0.65322992732133411</v>
      </c>
      <c r="Y17" s="72">
        <f t="shared" si="5"/>
        <v>9.7473944165286236E-3</v>
      </c>
      <c r="Z17" s="72">
        <f t="shared" si="6"/>
        <v>0.15299140994971347</v>
      </c>
      <c r="AA17" s="72">
        <f t="shared" si="7"/>
        <v>0.18403126831242378</v>
      </c>
    </row>
    <row r="18" spans="1:27">
      <c r="A18" s="7" t="s">
        <v>6</v>
      </c>
      <c r="B18" s="7">
        <v>10006720</v>
      </c>
      <c r="C18" s="7" t="str">
        <f t="shared" si="0"/>
        <v>ENERO10006720Inv. acumulado</v>
      </c>
      <c r="D18" s="7" t="s">
        <v>326</v>
      </c>
      <c r="E18" s="3" t="s">
        <v>327</v>
      </c>
      <c r="F18" s="9">
        <v>356360</v>
      </c>
      <c r="G18" s="3" t="s">
        <v>317</v>
      </c>
      <c r="H18" s="12">
        <v>634320.80000000005</v>
      </c>
      <c r="I18" s="12">
        <v>-19986.11</v>
      </c>
      <c r="J18" s="13"/>
      <c r="K18" s="12">
        <v>614334.68999999994</v>
      </c>
      <c r="L18" s="17">
        <v>1.72</v>
      </c>
      <c r="M18" s="12">
        <v>405609.51</v>
      </c>
      <c r="N18" s="12">
        <v>5882.58</v>
      </c>
      <c r="O18" s="12">
        <v>93853.03</v>
      </c>
      <c r="P18" s="12">
        <f t="shared" si="1"/>
        <v>108989.56999999989</v>
      </c>
      <c r="Q18" s="12">
        <v>1336.5</v>
      </c>
      <c r="R18" s="12">
        <v>6969.65</v>
      </c>
      <c r="S18" s="12">
        <v>52293.03</v>
      </c>
      <c r="T18" s="12">
        <v>44665.13</v>
      </c>
      <c r="U18" s="11">
        <v>17.13</v>
      </c>
      <c r="V18" s="11">
        <v>3708.1299999998882</v>
      </c>
      <c r="W18" s="53">
        <f t="shared" si="3"/>
        <v>614334.68999999994</v>
      </c>
      <c r="X18" s="72">
        <f t="shared" si="4"/>
        <v>0.66024191145709199</v>
      </c>
      <c r="Y18" s="72">
        <f t="shared" si="5"/>
        <v>9.5755295863237024E-3</v>
      </c>
      <c r="Z18" s="72">
        <f t="shared" si="6"/>
        <v>0.15277182214795654</v>
      </c>
      <c r="AA18" s="72">
        <f t="shared" si="7"/>
        <v>0.17741073680862773</v>
      </c>
    </row>
    <row r="19" spans="1:27">
      <c r="A19" s="7" t="s">
        <v>6</v>
      </c>
      <c r="B19" s="7">
        <v>10006720</v>
      </c>
      <c r="C19" s="7" t="str">
        <f t="shared" si="0"/>
        <v>ENERO10006720Compensación</v>
      </c>
      <c r="D19" s="7" t="s">
        <v>326</v>
      </c>
      <c r="E19" s="3" t="s">
        <v>114</v>
      </c>
      <c r="F19" s="9">
        <v>69700</v>
      </c>
      <c r="G19" s="3" t="s">
        <v>317</v>
      </c>
      <c r="H19" s="12">
        <v>124066</v>
      </c>
      <c r="I19" s="12">
        <v>-3909.06</v>
      </c>
      <c r="J19" s="13"/>
      <c r="K19" s="12">
        <v>120156.94</v>
      </c>
      <c r="L19" s="17">
        <v>1.72</v>
      </c>
      <c r="M19" s="12">
        <v>79332.649999999994</v>
      </c>
      <c r="N19" s="12">
        <v>1150.57</v>
      </c>
      <c r="O19" s="12">
        <v>18356.59</v>
      </c>
      <c r="P19" s="12">
        <f t="shared" si="1"/>
        <v>21317.130000000005</v>
      </c>
      <c r="Q19" s="12">
        <v>261.39999999999998</v>
      </c>
      <c r="R19" s="12">
        <v>1363.19</v>
      </c>
      <c r="S19" s="12">
        <v>10227.93</v>
      </c>
      <c r="T19" s="12">
        <v>8735.99</v>
      </c>
      <c r="U19" s="11">
        <v>3.35</v>
      </c>
      <c r="V19" s="11">
        <v>725.27000000000407</v>
      </c>
      <c r="W19" s="53">
        <f t="shared" si="3"/>
        <v>120156.94</v>
      </c>
      <c r="X19" s="72">
        <f t="shared" si="4"/>
        <v>0.66024193026220535</v>
      </c>
      <c r="Y19" s="72">
        <f t="shared" si="5"/>
        <v>9.5755600966535917E-3</v>
      </c>
      <c r="Z19" s="72">
        <f t="shared" si="6"/>
        <v>0.15277178330273725</v>
      </c>
      <c r="AA19" s="72">
        <f t="shared" si="7"/>
        <v>0.1774107263384038</v>
      </c>
    </row>
    <row r="20" spans="1:27">
      <c r="A20" s="7" t="s">
        <v>6</v>
      </c>
      <c r="B20" s="7">
        <v>10006720</v>
      </c>
      <c r="C20" s="7" t="str">
        <f t="shared" si="0"/>
        <v>ENERO10006720Inventario final</v>
      </c>
      <c r="D20" s="7" t="s">
        <v>326</v>
      </c>
      <c r="E20" s="3" t="s">
        <v>218</v>
      </c>
      <c r="F20" s="9">
        <v>286660</v>
      </c>
      <c r="G20" s="3" t="s">
        <v>317</v>
      </c>
      <c r="H20" s="12">
        <v>510254.8</v>
      </c>
      <c r="I20" s="12">
        <v>-16077.05</v>
      </c>
      <c r="J20" s="13"/>
      <c r="K20" s="12">
        <v>494177.75</v>
      </c>
      <c r="L20" s="17">
        <v>1.72</v>
      </c>
      <c r="M20" s="12">
        <v>326276.86</v>
      </c>
      <c r="N20" s="12">
        <v>4732.01</v>
      </c>
      <c r="O20" s="12">
        <v>75496.44</v>
      </c>
      <c r="P20" s="12">
        <f t="shared" si="1"/>
        <v>87672.439999999973</v>
      </c>
      <c r="Q20" s="12">
        <v>1075.0999999999999</v>
      </c>
      <c r="R20" s="12">
        <v>5606.46</v>
      </c>
      <c r="S20" s="12">
        <v>42065.1</v>
      </c>
      <c r="T20" s="12">
        <v>35929.14</v>
      </c>
      <c r="U20" s="11">
        <v>13.78</v>
      </c>
      <c r="V20" s="11">
        <v>2982.859999999986</v>
      </c>
      <c r="W20" s="53">
        <f t="shared" si="3"/>
        <v>494177.75</v>
      </c>
      <c r="X20" s="72">
        <f t="shared" si="4"/>
        <v>0.66024190688471907</v>
      </c>
      <c r="Y20" s="72">
        <f t="shared" si="5"/>
        <v>9.575522167883925E-3</v>
      </c>
      <c r="Z20" s="72">
        <f t="shared" si="6"/>
        <v>0.15277183159298452</v>
      </c>
      <c r="AA20" s="72">
        <f t="shared" si="7"/>
        <v>0.1774107393544124</v>
      </c>
    </row>
    <row r="21" spans="1:27">
      <c r="A21" s="7" t="s">
        <v>7</v>
      </c>
      <c r="B21" s="7">
        <v>10006720</v>
      </c>
      <c r="C21" s="7" t="str">
        <f t="shared" si="0"/>
        <v>FEBRERO10006720Inventario inicial</v>
      </c>
      <c r="D21" s="7" t="s">
        <v>326</v>
      </c>
      <c r="E21" s="3" t="s">
        <v>316</v>
      </c>
      <c r="F21" s="8">
        <v>286660</v>
      </c>
      <c r="G21" s="2" t="s">
        <v>317</v>
      </c>
      <c r="H21" s="11">
        <v>510254.8</v>
      </c>
      <c r="I21" s="11" t="s">
        <v>328</v>
      </c>
      <c r="J21" s="11">
        <v>0</v>
      </c>
      <c r="K21" s="11">
        <v>494177.75</v>
      </c>
      <c r="L21" s="16">
        <v>1.72</v>
      </c>
      <c r="M21" s="11">
        <v>326276.86</v>
      </c>
      <c r="N21" s="11">
        <v>4732.01</v>
      </c>
      <c r="O21" s="11">
        <v>75496.44</v>
      </c>
      <c r="P21" s="11">
        <f t="shared" si="1"/>
        <v>87672.44</v>
      </c>
      <c r="Q21" s="11">
        <v>1075.0999999999999</v>
      </c>
      <c r="R21" s="11">
        <v>5606.46</v>
      </c>
      <c r="S21" s="11">
        <v>42065.1</v>
      </c>
      <c r="T21" s="11">
        <v>0.13</v>
      </c>
      <c r="U21" s="11">
        <v>35929.14</v>
      </c>
      <c r="V21" s="11">
        <v>2996.5100000000093</v>
      </c>
      <c r="W21" s="53">
        <f t="shared" si="3"/>
        <v>494177.75</v>
      </c>
      <c r="X21" s="72">
        <f t="shared" si="4"/>
        <v>0.66024190688471907</v>
      </c>
      <c r="Y21" s="72">
        <f t="shared" si="5"/>
        <v>9.575522167883925E-3</v>
      </c>
      <c r="Z21" s="72">
        <f t="shared" si="6"/>
        <v>0.15277183159298452</v>
      </c>
      <c r="AA21" s="72">
        <f t="shared" si="7"/>
        <v>0.17741073935441246</v>
      </c>
    </row>
    <row r="22" spans="1:27">
      <c r="A22" s="7" t="s">
        <v>7</v>
      </c>
      <c r="B22" s="7">
        <v>10006720</v>
      </c>
      <c r="C22" s="7" t="str">
        <f t="shared" si="0"/>
        <v>FEBRERO10006720Revalorización</v>
      </c>
      <c r="D22" s="7" t="s">
        <v>326</v>
      </c>
      <c r="E22" s="3" t="s">
        <v>318</v>
      </c>
      <c r="F22" s="8">
        <v>0</v>
      </c>
      <c r="G22" s="2" t="s">
        <v>317</v>
      </c>
      <c r="H22" s="11" t="s">
        <v>329</v>
      </c>
      <c r="I22" s="11">
        <v>5733.2</v>
      </c>
      <c r="J22" s="11">
        <v>0</v>
      </c>
      <c r="K22" s="11">
        <v>0</v>
      </c>
      <c r="L22" s="16">
        <v>0</v>
      </c>
      <c r="M22" s="11">
        <v>0</v>
      </c>
      <c r="N22" s="11">
        <v>0</v>
      </c>
      <c r="O22" s="11">
        <v>0</v>
      </c>
      <c r="P22" s="11">
        <f t="shared" si="1"/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53">
        <f t="shared" si="3"/>
        <v>0</v>
      </c>
      <c r="X22" s="72" t="e">
        <f t="shared" si="4"/>
        <v>#DIV/0!</v>
      </c>
      <c r="Y22" s="72" t="e">
        <f t="shared" si="5"/>
        <v>#DIV/0!</v>
      </c>
      <c r="Z22" s="72" t="e">
        <f t="shared" si="6"/>
        <v>#DIV/0!</v>
      </c>
      <c r="AA22" s="72" t="e">
        <f t="shared" si="7"/>
        <v>#DIV/0!</v>
      </c>
    </row>
    <row r="23" spans="1:27">
      <c r="A23" s="7" t="s">
        <v>7</v>
      </c>
      <c r="B23" s="7">
        <v>10006720</v>
      </c>
      <c r="C23" s="7" t="str">
        <f t="shared" si="0"/>
        <v>FEBRERO10006720Entradas</v>
      </c>
      <c r="D23" s="7" t="s">
        <v>326</v>
      </c>
      <c r="E23" s="3" t="s">
        <v>164</v>
      </c>
      <c r="F23" s="8">
        <v>542340</v>
      </c>
      <c r="G23" s="2" t="s">
        <v>317</v>
      </c>
      <c r="H23" s="11">
        <v>954518.4</v>
      </c>
      <c r="I23" s="11" t="s">
        <v>330</v>
      </c>
      <c r="J23" s="11">
        <v>0</v>
      </c>
      <c r="K23" s="11">
        <v>865190.07</v>
      </c>
      <c r="L23" s="16">
        <v>1.6</v>
      </c>
      <c r="M23" s="11">
        <v>554933.23</v>
      </c>
      <c r="N23" s="11">
        <v>8475.11</v>
      </c>
      <c r="O23" s="11">
        <v>126141.04</v>
      </c>
      <c r="P23" s="11">
        <f t="shared" si="1"/>
        <v>175640.68999999994</v>
      </c>
      <c r="Q23" s="11">
        <v>3804.51</v>
      </c>
      <c r="R23" s="11">
        <v>9355.3700000000008</v>
      </c>
      <c r="S23" s="11">
        <v>85463.56</v>
      </c>
      <c r="T23" s="11" t="s">
        <v>331</v>
      </c>
      <c r="U23" s="11">
        <v>69186.31</v>
      </c>
      <c r="V23" s="11">
        <v>7830.9399999999441</v>
      </c>
      <c r="W23" s="53">
        <f t="shared" si="3"/>
        <v>865190.07</v>
      </c>
      <c r="X23" s="72">
        <f t="shared" si="4"/>
        <v>0.64140036882300322</v>
      </c>
      <c r="Y23" s="72">
        <f t="shared" si="5"/>
        <v>9.7956625877594749E-3</v>
      </c>
      <c r="Z23" s="72">
        <f t="shared" si="6"/>
        <v>0.14579575560778224</v>
      </c>
      <c r="AA23" s="72">
        <f t="shared" si="7"/>
        <v>0.20300821298145499</v>
      </c>
    </row>
    <row r="24" spans="1:27">
      <c r="A24" s="7" t="s">
        <v>7</v>
      </c>
      <c r="B24" s="7">
        <v>10006720</v>
      </c>
      <c r="C24" s="7" t="str">
        <f t="shared" si="0"/>
        <v>FEBRERO10006720Inventario acumulado</v>
      </c>
      <c r="D24" s="7" t="s">
        <v>326</v>
      </c>
      <c r="E24" s="3" t="s">
        <v>319</v>
      </c>
      <c r="F24" s="8">
        <v>829000</v>
      </c>
      <c r="G24" s="2" t="s">
        <v>317</v>
      </c>
      <c r="H24" s="11">
        <v>1459040</v>
      </c>
      <c r="I24" s="11" t="s">
        <v>332</v>
      </c>
      <c r="J24" s="11">
        <v>0</v>
      </c>
      <c r="K24" s="11">
        <v>1359367.82</v>
      </c>
      <c r="L24" s="16">
        <v>1.64</v>
      </c>
      <c r="M24" s="11">
        <v>881210.09</v>
      </c>
      <c r="N24" s="11">
        <v>13207.12</v>
      </c>
      <c r="O24" s="11">
        <v>201637.48</v>
      </c>
      <c r="P24" s="11">
        <f t="shared" si="1"/>
        <v>263313.13000000006</v>
      </c>
      <c r="Q24" s="11">
        <v>4879.6099999999997</v>
      </c>
      <c r="R24" s="11">
        <v>14961.83</v>
      </c>
      <c r="S24" s="11">
        <v>127528.66</v>
      </c>
      <c r="T24" s="11" t="s">
        <v>325</v>
      </c>
      <c r="U24" s="11">
        <v>105115.45</v>
      </c>
      <c r="V24" s="11">
        <v>10827.580000000075</v>
      </c>
      <c r="W24" s="53">
        <f t="shared" si="3"/>
        <v>1359367.82</v>
      </c>
      <c r="X24" s="72">
        <f t="shared" si="4"/>
        <v>0.6482499269403037</v>
      </c>
      <c r="Y24" s="72">
        <f t="shared" si="5"/>
        <v>9.7156338451501664E-3</v>
      </c>
      <c r="Z24" s="72">
        <f t="shared" si="6"/>
        <v>0.14833180323483014</v>
      </c>
      <c r="AA24" s="72">
        <f t="shared" si="7"/>
        <v>0.19370263597971596</v>
      </c>
    </row>
    <row r="25" spans="1:27">
      <c r="A25" s="7" t="s">
        <v>7</v>
      </c>
      <c r="B25" s="7">
        <v>10006720</v>
      </c>
      <c r="C25" s="7" t="str">
        <f t="shared" si="0"/>
        <v>FEBRERO10006720Compensación</v>
      </c>
      <c r="D25" s="7" t="s">
        <v>326</v>
      </c>
      <c r="E25" s="3" t="s">
        <v>114</v>
      </c>
      <c r="F25" s="8">
        <v>459300</v>
      </c>
      <c r="G25" s="2" t="s">
        <v>317</v>
      </c>
      <c r="H25" s="11">
        <v>808368</v>
      </c>
      <c r="I25" s="11" t="s">
        <v>333</v>
      </c>
      <c r="J25" s="11">
        <v>0</v>
      </c>
      <c r="K25" s="11">
        <v>753145.52</v>
      </c>
      <c r="L25" s="16">
        <v>1.64</v>
      </c>
      <c r="M25" s="11">
        <v>488226.53</v>
      </c>
      <c r="N25" s="11">
        <v>7317.29</v>
      </c>
      <c r="O25" s="11">
        <v>111715.43</v>
      </c>
      <c r="P25" s="11">
        <f t="shared" si="1"/>
        <v>145886.27000000005</v>
      </c>
      <c r="Q25" s="11">
        <v>2703.51</v>
      </c>
      <c r="R25" s="11">
        <v>8289.4599999999991</v>
      </c>
      <c r="S25" s="11">
        <v>70656.11</v>
      </c>
      <c r="T25" s="11" t="s">
        <v>334</v>
      </c>
      <c r="U25" s="11">
        <v>58238.27</v>
      </c>
      <c r="V25" s="11">
        <v>5998.9200000000419</v>
      </c>
      <c r="W25" s="53">
        <f t="shared" si="3"/>
        <v>753145.52</v>
      </c>
      <c r="X25" s="72">
        <f t="shared" si="4"/>
        <v>0.64824992917703339</v>
      </c>
      <c r="Y25" s="72">
        <f t="shared" si="5"/>
        <v>9.7156390175433816E-3</v>
      </c>
      <c r="Z25" s="72">
        <f t="shared" si="6"/>
        <v>0.14833179914553563</v>
      </c>
      <c r="AA25" s="72">
        <f t="shared" si="7"/>
        <v>0.19370263265988763</v>
      </c>
    </row>
    <row r="26" spans="1:27">
      <c r="A26" s="7" t="s">
        <v>7</v>
      </c>
      <c r="B26" s="7">
        <v>10006720</v>
      </c>
      <c r="C26" s="7" t="str">
        <f t="shared" si="0"/>
        <v>FEBRERO10006720Inventario final</v>
      </c>
      <c r="D26" s="7" t="s">
        <v>326</v>
      </c>
      <c r="E26" s="3" t="s">
        <v>218</v>
      </c>
      <c r="F26" s="8">
        <v>369700</v>
      </c>
      <c r="G26" s="2" t="s">
        <v>317</v>
      </c>
      <c r="H26" s="11">
        <v>650672</v>
      </c>
      <c r="I26" s="11" t="s">
        <v>335</v>
      </c>
      <c r="J26" s="11">
        <v>0</v>
      </c>
      <c r="K26" s="11">
        <v>606222.30000000005</v>
      </c>
      <c r="L26" s="16">
        <v>1.64</v>
      </c>
      <c r="M26" s="11">
        <v>392983.56</v>
      </c>
      <c r="N26" s="11">
        <v>5889.83</v>
      </c>
      <c r="O26" s="11">
        <v>89922.05</v>
      </c>
      <c r="P26" s="11">
        <f t="shared" si="1"/>
        <v>117426.86000000004</v>
      </c>
      <c r="Q26" s="11">
        <v>2176.1</v>
      </c>
      <c r="R26" s="11">
        <v>6672.37</v>
      </c>
      <c r="S26" s="11">
        <v>56872.55</v>
      </c>
      <c r="T26" s="11" t="s">
        <v>334</v>
      </c>
      <c r="U26" s="11">
        <v>46877.18</v>
      </c>
      <c r="V26" s="11">
        <v>4828.6600000000326</v>
      </c>
      <c r="W26" s="53">
        <f t="shared" si="3"/>
        <v>606222.30000000005</v>
      </c>
      <c r="X26" s="72">
        <f t="shared" si="4"/>
        <v>0.6482499241614833</v>
      </c>
      <c r="Y26" s="72">
        <f t="shared" si="5"/>
        <v>9.7156274191826982E-3</v>
      </c>
      <c r="Z26" s="72">
        <f t="shared" si="6"/>
        <v>0.14833180831520054</v>
      </c>
      <c r="AA26" s="72">
        <f t="shared" si="7"/>
        <v>0.19370264010413349</v>
      </c>
    </row>
    <row r="27" spans="1:27">
      <c r="A27" s="7" t="s">
        <v>6</v>
      </c>
      <c r="B27" s="7">
        <v>10006722</v>
      </c>
      <c r="C27" s="7" t="str">
        <f t="shared" si="0"/>
        <v>ENERO10006722Inventario inicial</v>
      </c>
      <c r="D27" s="7" t="s">
        <v>336</v>
      </c>
      <c r="E27" s="3" t="s">
        <v>316</v>
      </c>
      <c r="F27" s="8">
        <v>120</v>
      </c>
      <c r="G27" s="2" t="s">
        <v>317</v>
      </c>
      <c r="H27" s="11">
        <v>224.4</v>
      </c>
      <c r="I27" s="11">
        <v>-0.37</v>
      </c>
      <c r="J27" s="11"/>
      <c r="K27" s="11">
        <v>224.03</v>
      </c>
      <c r="L27" s="16">
        <v>1.87</v>
      </c>
      <c r="M27" s="11">
        <v>184.53</v>
      </c>
      <c r="N27" s="11">
        <v>2.57</v>
      </c>
      <c r="O27" s="11">
        <v>24.03</v>
      </c>
      <c r="P27" s="11">
        <f t="shared" si="1"/>
        <v>12.900000000000006</v>
      </c>
      <c r="Q27" s="11">
        <v>0.61</v>
      </c>
      <c r="R27" s="11">
        <v>2.37</v>
      </c>
      <c r="S27" s="11">
        <v>4.28</v>
      </c>
      <c r="T27" s="11">
        <v>-0.06</v>
      </c>
      <c r="U27" s="11">
        <v>0.02</v>
      </c>
      <c r="V27" s="11">
        <v>5.6800000000000068</v>
      </c>
      <c r="W27" s="53">
        <f t="shared" si="3"/>
        <v>224.03</v>
      </c>
      <c r="X27" s="72">
        <f t="shared" si="4"/>
        <v>0.82368432799178681</v>
      </c>
      <c r="Y27" s="72">
        <f t="shared" si="5"/>
        <v>1.1471677900281212E-2</v>
      </c>
      <c r="Z27" s="72">
        <f t="shared" si="6"/>
        <v>0.10726242021157881</v>
      </c>
      <c r="AA27" s="72">
        <f t="shared" si="7"/>
        <v>5.758157389635319E-2</v>
      </c>
    </row>
    <row r="28" spans="1:27">
      <c r="A28" s="7" t="s">
        <v>6</v>
      </c>
      <c r="B28" s="7">
        <v>10006722</v>
      </c>
      <c r="C28" s="7" t="str">
        <f t="shared" si="0"/>
        <v>ENERO10006722Revalorización</v>
      </c>
      <c r="D28" s="7" t="s">
        <v>336</v>
      </c>
      <c r="E28" s="3" t="s">
        <v>318</v>
      </c>
      <c r="F28" s="8">
        <v>0</v>
      </c>
      <c r="G28" s="2" t="s">
        <v>317</v>
      </c>
      <c r="H28" s="11">
        <v>0</v>
      </c>
      <c r="I28" s="11">
        <v>0</v>
      </c>
      <c r="J28" s="11"/>
      <c r="K28" s="11">
        <v>0</v>
      </c>
      <c r="L28" s="16">
        <v>0</v>
      </c>
      <c r="M28" s="11">
        <v>0</v>
      </c>
      <c r="N28" s="11">
        <v>0</v>
      </c>
      <c r="O28" s="11">
        <v>0</v>
      </c>
      <c r="P28" s="11">
        <f t="shared" si="1"/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53">
        <f t="shared" si="3"/>
        <v>0</v>
      </c>
      <c r="X28" s="72" t="e">
        <f t="shared" si="4"/>
        <v>#DIV/0!</v>
      </c>
      <c r="Y28" s="72" t="e">
        <f t="shared" si="5"/>
        <v>#DIV/0!</v>
      </c>
      <c r="Z28" s="72" t="e">
        <f t="shared" si="6"/>
        <v>#DIV/0!</v>
      </c>
      <c r="AA28" s="72" t="e">
        <f t="shared" si="7"/>
        <v>#DIV/0!</v>
      </c>
    </row>
    <row r="29" spans="1:27">
      <c r="A29" s="7" t="s">
        <v>6</v>
      </c>
      <c r="B29" s="7">
        <v>10006722</v>
      </c>
      <c r="C29" s="7" t="str">
        <f t="shared" si="0"/>
        <v>ENERO10006722Inv. acumulado</v>
      </c>
      <c r="D29" s="7" t="s">
        <v>336</v>
      </c>
      <c r="E29" s="3" t="s">
        <v>327</v>
      </c>
      <c r="F29" s="8">
        <v>120</v>
      </c>
      <c r="G29" s="2" t="s">
        <v>317</v>
      </c>
      <c r="H29" s="11">
        <v>224.4</v>
      </c>
      <c r="I29" s="11">
        <v>-0.37</v>
      </c>
      <c r="J29" s="11"/>
      <c r="K29" s="11">
        <v>224.03</v>
      </c>
      <c r="L29" s="16">
        <v>1.87</v>
      </c>
      <c r="M29" s="11">
        <v>184.53</v>
      </c>
      <c r="N29" s="11">
        <v>2.57</v>
      </c>
      <c r="O29" s="11">
        <v>24.03</v>
      </c>
      <c r="P29" s="11">
        <f t="shared" si="1"/>
        <v>12.900000000000006</v>
      </c>
      <c r="Q29" s="11">
        <v>0.61</v>
      </c>
      <c r="R29" s="11">
        <v>2.37</v>
      </c>
      <c r="S29" s="11">
        <v>4.28</v>
      </c>
      <c r="T29" s="11">
        <v>-0.06</v>
      </c>
      <c r="U29" s="11">
        <v>0.02</v>
      </c>
      <c r="V29" s="11">
        <v>5.6800000000000068</v>
      </c>
      <c r="W29" s="53">
        <f t="shared" si="3"/>
        <v>224.03</v>
      </c>
      <c r="X29" s="72">
        <f t="shared" si="4"/>
        <v>0.82368432799178681</v>
      </c>
      <c r="Y29" s="72">
        <f t="shared" si="5"/>
        <v>1.1471677900281212E-2</v>
      </c>
      <c r="Z29" s="72">
        <f t="shared" si="6"/>
        <v>0.10726242021157881</v>
      </c>
      <c r="AA29" s="72">
        <f t="shared" si="7"/>
        <v>5.758157389635319E-2</v>
      </c>
    </row>
    <row r="30" spans="1:27">
      <c r="A30" s="7" t="s">
        <v>6</v>
      </c>
      <c r="B30" s="7">
        <v>10006722</v>
      </c>
      <c r="C30" s="7" t="str">
        <f t="shared" si="0"/>
        <v>ENERO10006722Inventario final</v>
      </c>
      <c r="D30" s="7" t="s">
        <v>336</v>
      </c>
      <c r="E30" s="3" t="s">
        <v>218</v>
      </c>
      <c r="F30" s="8">
        <v>120</v>
      </c>
      <c r="G30" s="2" t="s">
        <v>317</v>
      </c>
      <c r="H30" s="11">
        <v>224.4</v>
      </c>
      <c r="I30" s="11">
        <v>-0.37</v>
      </c>
      <c r="J30" s="11"/>
      <c r="K30" s="11">
        <v>224.03</v>
      </c>
      <c r="L30" s="16">
        <v>1.87</v>
      </c>
      <c r="M30" s="11">
        <v>184.53</v>
      </c>
      <c r="N30" s="11">
        <v>2.57</v>
      </c>
      <c r="O30" s="11">
        <v>24.03</v>
      </c>
      <c r="P30" s="11">
        <f t="shared" si="1"/>
        <v>12.900000000000006</v>
      </c>
      <c r="Q30" s="11">
        <v>0.61</v>
      </c>
      <c r="R30" s="11">
        <v>2.37</v>
      </c>
      <c r="S30" s="11">
        <v>4.28</v>
      </c>
      <c r="T30" s="11">
        <v>-0.06</v>
      </c>
      <c r="U30" s="11">
        <v>0.02</v>
      </c>
      <c r="V30" s="11">
        <v>5.6800000000000068</v>
      </c>
      <c r="W30" s="53">
        <f t="shared" si="3"/>
        <v>224.03</v>
      </c>
      <c r="X30" s="72">
        <f t="shared" si="4"/>
        <v>0.82368432799178681</v>
      </c>
      <c r="Y30" s="72">
        <f t="shared" si="5"/>
        <v>1.1471677900281212E-2</v>
      </c>
      <c r="Z30" s="72">
        <f t="shared" si="6"/>
        <v>0.10726242021157881</v>
      </c>
      <c r="AA30" s="72">
        <f t="shared" si="7"/>
        <v>5.758157389635319E-2</v>
      </c>
    </row>
    <row r="31" spans="1:27">
      <c r="A31" s="7" t="s">
        <v>7</v>
      </c>
      <c r="B31" s="7">
        <v>10006722</v>
      </c>
      <c r="C31" s="7" t="str">
        <f t="shared" si="0"/>
        <v>FEBRERO10006722Inventario inicial</v>
      </c>
      <c r="D31" s="7" t="s">
        <v>336</v>
      </c>
      <c r="E31" s="3" t="s">
        <v>316</v>
      </c>
      <c r="F31" s="8">
        <v>120</v>
      </c>
      <c r="G31" s="2" t="s">
        <v>317</v>
      </c>
      <c r="H31" s="11">
        <v>224.4</v>
      </c>
      <c r="I31" s="11" t="s">
        <v>337</v>
      </c>
      <c r="J31" s="11">
        <v>0</v>
      </c>
      <c r="K31" s="11">
        <v>224.03</v>
      </c>
      <c r="L31" s="16">
        <v>1.87</v>
      </c>
      <c r="M31" s="11">
        <v>184.53</v>
      </c>
      <c r="N31" s="11">
        <v>2.57</v>
      </c>
      <c r="O31" s="11">
        <v>24.03</v>
      </c>
      <c r="P31" s="11">
        <f t="shared" si="1"/>
        <v>12.900000000000018</v>
      </c>
      <c r="Q31" s="11">
        <v>0.61</v>
      </c>
      <c r="R31" s="11">
        <v>2.37</v>
      </c>
      <c r="S31" s="11">
        <v>4.28</v>
      </c>
      <c r="T31" s="11" t="s">
        <v>338</v>
      </c>
      <c r="U31" s="11">
        <v>3.41</v>
      </c>
      <c r="V31" s="11">
        <v>2.2300000000000182</v>
      </c>
      <c r="W31" s="53">
        <f t="shared" si="3"/>
        <v>224.03</v>
      </c>
      <c r="X31" s="72">
        <f t="shared" si="4"/>
        <v>0.82368432799178681</v>
      </c>
      <c r="Y31" s="72">
        <f t="shared" si="5"/>
        <v>1.1471677900281212E-2</v>
      </c>
      <c r="Z31" s="72">
        <f t="shared" si="6"/>
        <v>0.10726242021157881</v>
      </c>
      <c r="AA31" s="72">
        <f t="shared" si="7"/>
        <v>5.7581573896353246E-2</v>
      </c>
    </row>
    <row r="32" spans="1:27">
      <c r="A32" s="7" t="s">
        <v>7</v>
      </c>
      <c r="B32" s="7">
        <v>10006722</v>
      </c>
      <c r="C32" s="7" t="str">
        <f t="shared" si="0"/>
        <v>FEBRERO10006722Revalorización</v>
      </c>
      <c r="D32" s="7" t="s">
        <v>336</v>
      </c>
      <c r="E32" s="3" t="s">
        <v>318</v>
      </c>
      <c r="F32" s="8">
        <v>0</v>
      </c>
      <c r="G32" s="2" t="s">
        <v>317</v>
      </c>
      <c r="H32" s="11">
        <v>0</v>
      </c>
      <c r="I32" s="11">
        <v>0</v>
      </c>
      <c r="J32" s="11">
        <v>0</v>
      </c>
      <c r="K32" s="11">
        <v>0</v>
      </c>
      <c r="L32" s="16">
        <v>0</v>
      </c>
      <c r="M32" s="11">
        <v>0</v>
      </c>
      <c r="N32" s="11">
        <v>0</v>
      </c>
      <c r="O32" s="11">
        <v>0</v>
      </c>
      <c r="P32" s="11">
        <f t="shared" si="1"/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53">
        <f t="shared" si="3"/>
        <v>0</v>
      </c>
      <c r="X32" s="72" t="e">
        <f t="shared" si="4"/>
        <v>#DIV/0!</v>
      </c>
      <c r="Y32" s="72" t="e">
        <f t="shared" si="5"/>
        <v>#DIV/0!</v>
      </c>
      <c r="Z32" s="72" t="e">
        <f t="shared" si="6"/>
        <v>#DIV/0!</v>
      </c>
      <c r="AA32" s="72" t="e">
        <f t="shared" si="7"/>
        <v>#DIV/0!</v>
      </c>
    </row>
    <row r="33" spans="1:27">
      <c r="A33" s="7" t="s">
        <v>7</v>
      </c>
      <c r="B33" s="7">
        <v>10006722</v>
      </c>
      <c r="C33" s="7" t="str">
        <f t="shared" si="0"/>
        <v>FEBRERO10006722Inventario acumulado</v>
      </c>
      <c r="D33" s="7" t="s">
        <v>336</v>
      </c>
      <c r="E33" s="3" t="s">
        <v>319</v>
      </c>
      <c r="F33" s="8">
        <v>120</v>
      </c>
      <c r="G33" s="2" t="s">
        <v>317</v>
      </c>
      <c r="H33" s="11">
        <v>224.4</v>
      </c>
      <c r="I33" s="11" t="s">
        <v>337</v>
      </c>
      <c r="J33" s="11">
        <v>0</v>
      </c>
      <c r="K33" s="11">
        <v>224.03</v>
      </c>
      <c r="L33" s="16">
        <v>1.87</v>
      </c>
      <c r="M33" s="11">
        <v>184.53</v>
      </c>
      <c r="N33" s="11">
        <v>2.57</v>
      </c>
      <c r="O33" s="11">
        <v>24.03</v>
      </c>
      <c r="P33" s="11">
        <f t="shared" si="1"/>
        <v>12.900000000000018</v>
      </c>
      <c r="Q33" s="11">
        <v>0.61</v>
      </c>
      <c r="R33" s="11">
        <v>2.37</v>
      </c>
      <c r="S33" s="11">
        <v>4.28</v>
      </c>
      <c r="T33" s="11" t="s">
        <v>338</v>
      </c>
      <c r="U33" s="11">
        <v>3.41</v>
      </c>
      <c r="V33" s="11">
        <v>2.2300000000000182</v>
      </c>
      <c r="W33" s="53">
        <f t="shared" si="3"/>
        <v>224.03</v>
      </c>
      <c r="X33" s="72">
        <f t="shared" si="4"/>
        <v>0.82368432799178681</v>
      </c>
      <c r="Y33" s="72">
        <f t="shared" si="5"/>
        <v>1.1471677900281212E-2</v>
      </c>
      <c r="Z33" s="72">
        <f t="shared" si="6"/>
        <v>0.10726242021157881</v>
      </c>
      <c r="AA33" s="72">
        <f t="shared" si="7"/>
        <v>5.7581573896353246E-2</v>
      </c>
    </row>
    <row r="34" spans="1:27">
      <c r="A34" s="7" t="s">
        <v>7</v>
      </c>
      <c r="B34" s="7">
        <v>10006722</v>
      </c>
      <c r="C34" s="7" t="str">
        <f t="shared" si="0"/>
        <v>FEBRERO10006722Inventario final</v>
      </c>
      <c r="D34" s="7" t="s">
        <v>336</v>
      </c>
      <c r="E34" s="3" t="s">
        <v>218</v>
      </c>
      <c r="F34" s="8">
        <v>120</v>
      </c>
      <c r="G34" s="2" t="s">
        <v>317</v>
      </c>
      <c r="H34" s="11">
        <v>224.4</v>
      </c>
      <c r="I34" s="11" t="s">
        <v>337</v>
      </c>
      <c r="J34" s="11">
        <v>0</v>
      </c>
      <c r="K34" s="11">
        <v>224.03</v>
      </c>
      <c r="L34" s="16">
        <v>1.87</v>
      </c>
      <c r="M34" s="11">
        <v>184.53</v>
      </c>
      <c r="N34" s="11">
        <v>2.57</v>
      </c>
      <c r="O34" s="11">
        <v>24.03</v>
      </c>
      <c r="P34" s="11">
        <f t="shared" si="1"/>
        <v>12.900000000000018</v>
      </c>
      <c r="Q34" s="11">
        <v>0.61</v>
      </c>
      <c r="R34" s="11">
        <v>2.37</v>
      </c>
      <c r="S34" s="11">
        <v>4.28</v>
      </c>
      <c r="T34" s="11" t="s">
        <v>338</v>
      </c>
      <c r="U34" s="11">
        <v>3.41</v>
      </c>
      <c r="V34" s="11">
        <v>2.2300000000000182</v>
      </c>
      <c r="W34" s="53">
        <f t="shared" si="3"/>
        <v>224.03</v>
      </c>
      <c r="X34" s="72">
        <f t="shared" si="4"/>
        <v>0.82368432799178681</v>
      </c>
      <c r="Y34" s="72">
        <f t="shared" si="5"/>
        <v>1.1471677900281212E-2</v>
      </c>
      <c r="Z34" s="72">
        <f t="shared" si="6"/>
        <v>0.10726242021157881</v>
      </c>
      <c r="AA34" s="72">
        <f t="shared" si="7"/>
        <v>5.7581573896353246E-2</v>
      </c>
    </row>
    <row r="35" spans="1:27">
      <c r="A35" s="7" t="s">
        <v>6</v>
      </c>
      <c r="B35" s="7">
        <v>10007969</v>
      </c>
      <c r="C35" s="7" t="str">
        <f t="shared" si="0"/>
        <v>ENERO10007969Inventario inicial</v>
      </c>
      <c r="D35" s="4" t="s">
        <v>37</v>
      </c>
      <c r="E35" s="3" t="s">
        <v>316</v>
      </c>
      <c r="F35" s="8">
        <v>33140</v>
      </c>
      <c r="G35" s="2" t="s">
        <v>317</v>
      </c>
      <c r="H35" s="11">
        <v>66611.399999999994</v>
      </c>
      <c r="I35" s="11">
        <v>-3356.06</v>
      </c>
      <c r="J35" s="11"/>
      <c r="K35" s="11">
        <v>63255.34</v>
      </c>
      <c r="L35" s="16">
        <v>1.91</v>
      </c>
      <c r="M35" s="11">
        <v>45896.74</v>
      </c>
      <c r="N35" s="11">
        <v>553.85</v>
      </c>
      <c r="O35" s="11">
        <v>7946.71</v>
      </c>
      <c r="P35" s="11">
        <f t="shared" si="1"/>
        <v>8858.0399999999972</v>
      </c>
      <c r="Q35" s="11">
        <v>164.9</v>
      </c>
      <c r="R35" s="11">
        <v>915.37</v>
      </c>
      <c r="S35" s="11">
        <v>3681.16</v>
      </c>
      <c r="T35" s="11">
        <v>3942.02</v>
      </c>
      <c r="U35" s="11"/>
      <c r="V35" s="11">
        <v>154.58999999999651</v>
      </c>
      <c r="W35" s="53">
        <f t="shared" si="3"/>
        <v>63255.34</v>
      </c>
      <c r="X35" s="72">
        <f t="shared" si="4"/>
        <v>0.72557889974190326</v>
      </c>
      <c r="Y35" s="72">
        <f t="shared" si="5"/>
        <v>8.7557825157528208E-3</v>
      </c>
      <c r="Z35" s="72">
        <f t="shared" si="6"/>
        <v>0.12562907732374848</v>
      </c>
      <c r="AA35" s="72">
        <f t="shared" si="7"/>
        <v>0.14003624041859544</v>
      </c>
    </row>
    <row r="36" spans="1:27">
      <c r="A36" s="7" t="s">
        <v>6</v>
      </c>
      <c r="B36" s="7">
        <v>10007969</v>
      </c>
      <c r="C36" s="7" t="str">
        <f t="shared" si="0"/>
        <v>ENERO10007969Revalorización</v>
      </c>
      <c r="D36" s="4" t="s">
        <v>37</v>
      </c>
      <c r="E36" s="3" t="s">
        <v>318</v>
      </c>
      <c r="F36" s="9">
        <v>0</v>
      </c>
      <c r="G36" s="3" t="s">
        <v>317</v>
      </c>
      <c r="H36" s="12">
        <v>1325.6</v>
      </c>
      <c r="I36" s="12">
        <v>-1325.6</v>
      </c>
      <c r="J36" s="13"/>
      <c r="K36" s="12">
        <v>0</v>
      </c>
      <c r="L36" s="17">
        <v>0</v>
      </c>
      <c r="M36" s="12">
        <v>0</v>
      </c>
      <c r="N36" s="12">
        <v>0</v>
      </c>
      <c r="O36" s="12">
        <v>0</v>
      </c>
      <c r="P36" s="12">
        <f t="shared" si="1"/>
        <v>0</v>
      </c>
      <c r="Q36" s="12">
        <v>0</v>
      </c>
      <c r="R36" s="12">
        <v>0</v>
      </c>
      <c r="S36" s="12">
        <v>0</v>
      </c>
      <c r="T36" s="14">
        <v>0</v>
      </c>
      <c r="U36" s="11"/>
      <c r="V36" s="11">
        <v>0</v>
      </c>
      <c r="W36" s="53">
        <f t="shared" si="3"/>
        <v>0</v>
      </c>
      <c r="X36" s="72" t="e">
        <f t="shared" si="4"/>
        <v>#DIV/0!</v>
      </c>
      <c r="Y36" s="72" t="e">
        <f t="shared" si="5"/>
        <v>#DIV/0!</v>
      </c>
      <c r="Z36" s="72" t="e">
        <f t="shared" si="6"/>
        <v>#DIV/0!</v>
      </c>
      <c r="AA36" s="72" t="e">
        <f t="shared" si="7"/>
        <v>#DIV/0!</v>
      </c>
    </row>
    <row r="37" spans="1:27">
      <c r="A37" s="7" t="s">
        <v>6</v>
      </c>
      <c r="B37" s="7">
        <v>10007969</v>
      </c>
      <c r="C37" s="7" t="str">
        <f t="shared" ref="C37:C68" si="8">A37&amp;B37&amp;E37</f>
        <v>ENERO10007969Entradas</v>
      </c>
      <c r="D37" s="4" t="s">
        <v>37</v>
      </c>
      <c r="E37" s="3" t="s">
        <v>164</v>
      </c>
      <c r="F37" s="9">
        <v>31840</v>
      </c>
      <c r="G37" s="3" t="s">
        <v>317</v>
      </c>
      <c r="H37" s="12">
        <v>65272</v>
      </c>
      <c r="I37" s="12">
        <v>-21679.65</v>
      </c>
      <c r="J37" s="13"/>
      <c r="K37" s="12">
        <v>43592.35</v>
      </c>
      <c r="L37" s="17">
        <v>1.37</v>
      </c>
      <c r="M37" s="12">
        <v>36713.730000000003</v>
      </c>
      <c r="N37" s="12">
        <v>541.57000000000005</v>
      </c>
      <c r="O37" s="12">
        <v>6527.17</v>
      </c>
      <c r="P37" s="12">
        <f t="shared" ref="P37:P68" si="9">SUM(Q37:V37)</f>
        <v>-190.12000000000262</v>
      </c>
      <c r="Q37" s="12">
        <v>0</v>
      </c>
      <c r="R37" s="12">
        <v>0</v>
      </c>
      <c r="S37" s="12">
        <v>0</v>
      </c>
      <c r="T37" s="14">
        <v>0</v>
      </c>
      <c r="U37" s="11"/>
      <c r="V37" s="11">
        <v>-190.12000000000262</v>
      </c>
      <c r="W37" s="53">
        <f t="shared" si="3"/>
        <v>43592.35</v>
      </c>
      <c r="X37" s="72">
        <f t="shared" si="4"/>
        <v>0.84220579987084898</v>
      </c>
      <c r="Y37" s="72">
        <f t="shared" si="5"/>
        <v>1.2423510088352659E-2</v>
      </c>
      <c r="Z37" s="72">
        <f t="shared" si="6"/>
        <v>0.14973200573036324</v>
      </c>
      <c r="AA37" s="72">
        <f t="shared" si="7"/>
        <v>-4.3613156895648576E-3</v>
      </c>
    </row>
    <row r="38" spans="1:27">
      <c r="A38" s="7" t="s">
        <v>6</v>
      </c>
      <c r="B38" s="7">
        <v>10007969</v>
      </c>
      <c r="C38" s="7" t="str">
        <f t="shared" si="8"/>
        <v>ENERO10007969Inv. acumulado</v>
      </c>
      <c r="D38" s="4" t="s">
        <v>37</v>
      </c>
      <c r="E38" s="3" t="s">
        <v>327</v>
      </c>
      <c r="F38" s="9">
        <v>64980</v>
      </c>
      <c r="G38" s="3" t="s">
        <v>317</v>
      </c>
      <c r="H38" s="12">
        <v>133209</v>
      </c>
      <c r="I38" s="12">
        <v>-26361.31</v>
      </c>
      <c r="J38" s="13"/>
      <c r="K38" s="12">
        <v>106847.69</v>
      </c>
      <c r="L38" s="17">
        <v>1.64</v>
      </c>
      <c r="M38" s="12">
        <v>82610.47</v>
      </c>
      <c r="N38" s="12">
        <v>1095.42</v>
      </c>
      <c r="O38" s="12">
        <v>14473.88</v>
      </c>
      <c r="P38" s="12">
        <f t="shared" si="9"/>
        <v>8667.9200000000019</v>
      </c>
      <c r="Q38" s="12">
        <v>164.9</v>
      </c>
      <c r="R38" s="12">
        <v>915.37</v>
      </c>
      <c r="S38" s="12">
        <v>3681.16</v>
      </c>
      <c r="T38" s="14">
        <v>3942.02</v>
      </c>
      <c r="U38" s="11"/>
      <c r="V38" s="11">
        <v>-35.529999999998836</v>
      </c>
      <c r="W38" s="53">
        <f t="shared" si="3"/>
        <v>106847.69</v>
      </c>
      <c r="X38" s="72">
        <f t="shared" si="4"/>
        <v>0.77316102949909349</v>
      </c>
      <c r="Y38" s="72">
        <f t="shared" si="5"/>
        <v>1.0252163617201271E-2</v>
      </c>
      <c r="Z38" s="72">
        <f t="shared" si="6"/>
        <v>0.13546273204409004</v>
      </c>
      <c r="AA38" s="72">
        <f t="shared" si="7"/>
        <v>8.1124074839615173E-2</v>
      </c>
    </row>
    <row r="39" spans="1:27">
      <c r="A39" s="7" t="s">
        <v>6</v>
      </c>
      <c r="B39" s="7">
        <v>10007969</v>
      </c>
      <c r="C39" s="7" t="str">
        <f t="shared" si="8"/>
        <v>ENERO10007969Compensación</v>
      </c>
      <c r="D39" s="4" t="s">
        <v>37</v>
      </c>
      <c r="E39" s="3" t="s">
        <v>114</v>
      </c>
      <c r="F39" s="9">
        <v>24020</v>
      </c>
      <c r="G39" s="3" t="s">
        <v>317</v>
      </c>
      <c r="H39" s="12">
        <v>49241</v>
      </c>
      <c r="I39" s="12">
        <v>-9744.52</v>
      </c>
      <c r="J39" s="13"/>
      <c r="K39" s="12">
        <v>39496.480000000003</v>
      </c>
      <c r="L39" s="17">
        <v>1.64</v>
      </c>
      <c r="M39" s="12">
        <v>30537.14</v>
      </c>
      <c r="N39" s="12">
        <v>404.93</v>
      </c>
      <c r="O39" s="12">
        <v>5350.3</v>
      </c>
      <c r="P39" s="12">
        <f t="shared" si="9"/>
        <v>3204.1100000000024</v>
      </c>
      <c r="Q39" s="12">
        <v>60.95</v>
      </c>
      <c r="R39" s="12">
        <v>338.37</v>
      </c>
      <c r="S39" s="12">
        <v>1360.75</v>
      </c>
      <c r="T39" s="14">
        <v>1457.17</v>
      </c>
      <c r="U39" s="11"/>
      <c r="V39" s="11">
        <v>-13.129999999997381</v>
      </c>
      <c r="W39" s="53">
        <f t="shared" si="3"/>
        <v>39496.480000000003</v>
      </c>
      <c r="X39" s="72">
        <f t="shared" si="4"/>
        <v>0.77316105131393975</v>
      </c>
      <c r="Y39" s="72">
        <f t="shared" si="5"/>
        <v>1.0252306028284039E-2</v>
      </c>
      <c r="Z39" s="72">
        <f t="shared" si="6"/>
        <v>0.13546270452455508</v>
      </c>
      <c r="AA39" s="72">
        <f t="shared" si="7"/>
        <v>8.1123938133221038E-2</v>
      </c>
    </row>
    <row r="40" spans="1:27">
      <c r="A40" s="7" t="s">
        <v>6</v>
      </c>
      <c r="B40" s="7">
        <v>10007969</v>
      </c>
      <c r="C40" s="7" t="str">
        <f t="shared" si="8"/>
        <v>ENERO10007969Inventario final</v>
      </c>
      <c r="D40" s="4" t="s">
        <v>37</v>
      </c>
      <c r="E40" s="3" t="s">
        <v>218</v>
      </c>
      <c r="F40" s="9">
        <v>40960</v>
      </c>
      <c r="G40" s="3" t="s">
        <v>317</v>
      </c>
      <c r="H40" s="12">
        <v>83968</v>
      </c>
      <c r="I40" s="12">
        <v>-16616.79</v>
      </c>
      <c r="J40" s="13"/>
      <c r="K40" s="12">
        <v>67351.210000000006</v>
      </c>
      <c r="L40" s="17">
        <v>1.64</v>
      </c>
      <c r="M40" s="12">
        <v>52073.33</v>
      </c>
      <c r="N40" s="12">
        <v>690.49</v>
      </c>
      <c r="O40" s="12">
        <v>9123.58</v>
      </c>
      <c r="P40" s="12">
        <f t="shared" si="9"/>
        <v>5463.8100000000049</v>
      </c>
      <c r="Q40" s="12">
        <v>103.95</v>
      </c>
      <c r="R40" s="12">
        <v>577</v>
      </c>
      <c r="S40" s="12">
        <v>2320.41</v>
      </c>
      <c r="T40" s="14">
        <v>2484.85</v>
      </c>
      <c r="U40" s="11"/>
      <c r="V40" s="11">
        <v>-22.399999999994179</v>
      </c>
      <c r="W40" s="53">
        <f t="shared" si="3"/>
        <v>67351.210000000006</v>
      </c>
      <c r="X40" s="72">
        <f t="shared" si="4"/>
        <v>0.7731610167063071</v>
      </c>
      <c r="Y40" s="72">
        <f t="shared" si="5"/>
        <v>1.0252080103683362E-2</v>
      </c>
      <c r="Z40" s="72">
        <f t="shared" si="6"/>
        <v>0.1354627481822524</v>
      </c>
      <c r="AA40" s="72">
        <f t="shared" si="7"/>
        <v>8.1124155007757159E-2</v>
      </c>
    </row>
    <row r="41" spans="1:27">
      <c r="A41" s="7" t="s">
        <v>7</v>
      </c>
      <c r="B41" s="7">
        <v>10007969</v>
      </c>
      <c r="C41" s="7" t="str">
        <f t="shared" si="8"/>
        <v>FEBRERO10007969Inventario inicial</v>
      </c>
      <c r="D41" s="4" t="s">
        <v>37</v>
      </c>
      <c r="E41" s="3" t="s">
        <v>316</v>
      </c>
      <c r="F41" s="8">
        <v>40960</v>
      </c>
      <c r="G41" s="2" t="s">
        <v>317</v>
      </c>
      <c r="H41" s="11">
        <v>83968</v>
      </c>
      <c r="I41" s="11" t="s">
        <v>339</v>
      </c>
      <c r="J41" s="11"/>
      <c r="K41" s="11">
        <v>67351.210000000006</v>
      </c>
      <c r="L41" s="16">
        <v>1.64</v>
      </c>
      <c r="M41" s="11">
        <v>52073.33</v>
      </c>
      <c r="N41" s="11">
        <v>690.49</v>
      </c>
      <c r="O41" s="11">
        <v>9123.58</v>
      </c>
      <c r="P41" s="11">
        <f t="shared" si="9"/>
        <v>5463.8100000000104</v>
      </c>
      <c r="Q41" s="11">
        <v>103.95</v>
      </c>
      <c r="R41" s="11">
        <v>577</v>
      </c>
      <c r="S41" s="11">
        <v>2320.41</v>
      </c>
      <c r="T41" s="11">
        <v>0.01</v>
      </c>
      <c r="U41" s="11">
        <v>2484.85</v>
      </c>
      <c r="V41" s="11">
        <v>-22.409999999988941</v>
      </c>
      <c r="W41" s="53">
        <f t="shared" si="3"/>
        <v>67351.210000000006</v>
      </c>
      <c r="X41" s="72">
        <f t="shared" si="4"/>
        <v>0.7731610167063071</v>
      </c>
      <c r="Y41" s="72">
        <f t="shared" si="5"/>
        <v>1.0252080103683362E-2</v>
      </c>
      <c r="Z41" s="72">
        <f t="shared" si="6"/>
        <v>0.1354627481822524</v>
      </c>
      <c r="AA41" s="72">
        <f t="shared" si="7"/>
        <v>8.1124155007757243E-2</v>
      </c>
    </row>
    <row r="42" spans="1:27">
      <c r="A42" s="7" t="s">
        <v>7</v>
      </c>
      <c r="B42" s="7">
        <v>10007969</v>
      </c>
      <c r="C42" s="7" t="str">
        <f t="shared" si="8"/>
        <v>FEBRERO10007969Revalorización</v>
      </c>
      <c r="D42" s="4" t="s">
        <v>37</v>
      </c>
      <c r="E42" s="3" t="s">
        <v>318</v>
      </c>
      <c r="F42" s="8">
        <v>0</v>
      </c>
      <c r="G42" s="2" t="s">
        <v>317</v>
      </c>
      <c r="H42" s="11" t="s">
        <v>340</v>
      </c>
      <c r="I42" s="11">
        <v>5734.4</v>
      </c>
      <c r="J42" s="11"/>
      <c r="K42" s="11">
        <v>0</v>
      </c>
      <c r="L42" s="16">
        <v>0</v>
      </c>
      <c r="M42" s="11">
        <v>0</v>
      </c>
      <c r="N42" s="11">
        <v>0</v>
      </c>
      <c r="O42" s="11">
        <v>0</v>
      </c>
      <c r="P42" s="11">
        <f t="shared" si="9"/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53">
        <f t="shared" si="3"/>
        <v>0</v>
      </c>
      <c r="X42" s="72" t="e">
        <f t="shared" si="4"/>
        <v>#DIV/0!</v>
      </c>
      <c r="Y42" s="72" t="e">
        <f t="shared" si="5"/>
        <v>#DIV/0!</v>
      </c>
      <c r="Z42" s="72" t="e">
        <f t="shared" si="6"/>
        <v>#DIV/0!</v>
      </c>
      <c r="AA42" s="72" t="e">
        <f t="shared" si="7"/>
        <v>#DIV/0!</v>
      </c>
    </row>
    <row r="43" spans="1:27">
      <c r="A43" s="7" t="s">
        <v>7</v>
      </c>
      <c r="B43" s="7">
        <v>10007969</v>
      </c>
      <c r="C43" s="7" t="str">
        <f t="shared" si="8"/>
        <v>FEBRERO10007969Entradas</v>
      </c>
      <c r="D43" s="4" t="s">
        <v>37</v>
      </c>
      <c r="E43" s="3" t="s">
        <v>164</v>
      </c>
      <c r="F43" s="8">
        <v>52860</v>
      </c>
      <c r="G43" s="2" t="s">
        <v>317</v>
      </c>
      <c r="H43" s="11">
        <v>100962.6</v>
      </c>
      <c r="I43" s="11" t="s">
        <v>341</v>
      </c>
      <c r="J43" s="11"/>
      <c r="K43" s="11">
        <v>63741.34</v>
      </c>
      <c r="L43" s="16">
        <v>1.21</v>
      </c>
      <c r="M43" s="11">
        <v>53960.46</v>
      </c>
      <c r="N43" s="11">
        <v>874.71</v>
      </c>
      <c r="O43" s="11">
        <v>10836.3</v>
      </c>
      <c r="P43" s="11">
        <f t="shared" si="9"/>
        <v>-1930.1300000000047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-1930.1300000000047</v>
      </c>
      <c r="W43" s="53">
        <f t="shared" si="3"/>
        <v>63741.34</v>
      </c>
      <c r="X43" s="72">
        <f t="shared" si="4"/>
        <v>0.84655358673036996</v>
      </c>
      <c r="Y43" s="72">
        <f t="shared" si="5"/>
        <v>1.372280532539793E-2</v>
      </c>
      <c r="Z43" s="72">
        <f t="shared" si="6"/>
        <v>0.17000427038402394</v>
      </c>
      <c r="AA43" s="72">
        <f t="shared" si="7"/>
        <v>-3.0280662439791897E-2</v>
      </c>
    </row>
    <row r="44" spans="1:27">
      <c r="A44" s="7" t="s">
        <v>7</v>
      </c>
      <c r="B44" s="7">
        <v>10007969</v>
      </c>
      <c r="C44" s="7" t="str">
        <f t="shared" si="8"/>
        <v>FEBRERO10007969Inventario acumulado</v>
      </c>
      <c r="D44" s="4" t="s">
        <v>37</v>
      </c>
      <c r="E44" s="3" t="s">
        <v>319</v>
      </c>
      <c r="F44" s="8">
        <v>93820</v>
      </c>
      <c r="G44" s="2" t="s">
        <v>317</v>
      </c>
      <c r="H44" s="11">
        <v>179196.2</v>
      </c>
      <c r="I44" s="11" t="s">
        <v>342</v>
      </c>
      <c r="J44" s="11"/>
      <c r="K44" s="11">
        <v>131092.54999999999</v>
      </c>
      <c r="L44" s="16">
        <v>1.4</v>
      </c>
      <c r="M44" s="11">
        <v>106033.79</v>
      </c>
      <c r="N44" s="11">
        <v>1565.2</v>
      </c>
      <c r="O44" s="11">
        <v>19959.88</v>
      </c>
      <c r="P44" s="11">
        <f t="shared" si="9"/>
        <v>3533.6799999999912</v>
      </c>
      <c r="Q44" s="11">
        <v>103.95</v>
      </c>
      <c r="R44" s="11">
        <v>577</v>
      </c>
      <c r="S44" s="11">
        <v>2320.41</v>
      </c>
      <c r="T44" s="11">
        <v>0.01</v>
      </c>
      <c r="U44" s="11">
        <v>2484.85</v>
      </c>
      <c r="V44" s="11">
        <v>-1952.5400000000081</v>
      </c>
      <c r="W44" s="53">
        <f t="shared" si="3"/>
        <v>131092.54999999999</v>
      </c>
      <c r="X44" s="72">
        <f t="shared" si="4"/>
        <v>0.80884680326990366</v>
      </c>
      <c r="Y44" s="72">
        <f t="shared" si="5"/>
        <v>1.193965637253986E-2</v>
      </c>
      <c r="Z44" s="72">
        <f t="shared" si="6"/>
        <v>0.15225792770069696</v>
      </c>
      <c r="AA44" s="72">
        <f t="shared" si="7"/>
        <v>2.6955612656859536E-2</v>
      </c>
    </row>
    <row r="45" spans="1:27">
      <c r="A45" s="7" t="s">
        <v>7</v>
      </c>
      <c r="B45" s="7">
        <v>10007969</v>
      </c>
      <c r="C45" s="7" t="str">
        <f t="shared" si="8"/>
        <v>FEBRERO10007969Compensación</v>
      </c>
      <c r="D45" s="4" t="s">
        <v>37</v>
      </c>
      <c r="E45" s="3" t="s">
        <v>114</v>
      </c>
      <c r="F45" s="8">
        <v>33140</v>
      </c>
      <c r="G45" s="2" t="s">
        <v>317</v>
      </c>
      <c r="H45" s="11">
        <v>63297.4</v>
      </c>
      <c r="I45" s="11" t="s">
        <v>343</v>
      </c>
      <c r="J45" s="11"/>
      <c r="K45" s="11">
        <v>46305.77</v>
      </c>
      <c r="L45" s="16">
        <v>1.4</v>
      </c>
      <c r="M45" s="11">
        <v>37454.269999999997</v>
      </c>
      <c r="N45" s="11">
        <v>552.88</v>
      </c>
      <c r="O45" s="11">
        <v>7050.42</v>
      </c>
      <c r="P45" s="11">
        <f t="shared" si="9"/>
        <v>1248.200000000005</v>
      </c>
      <c r="Q45" s="11">
        <v>36.72</v>
      </c>
      <c r="R45" s="11">
        <v>203.81</v>
      </c>
      <c r="S45" s="11">
        <v>819.64</v>
      </c>
      <c r="T45" s="11">
        <v>0</v>
      </c>
      <c r="U45" s="11">
        <v>877.72</v>
      </c>
      <c r="V45" s="11">
        <v>-689.68999999999505</v>
      </c>
      <c r="W45" s="53">
        <f t="shared" si="3"/>
        <v>46305.77</v>
      </c>
      <c r="X45" s="72">
        <f t="shared" si="4"/>
        <v>0.80884671607879532</v>
      </c>
      <c r="Y45" s="72">
        <f t="shared" si="5"/>
        <v>1.1939764742061303E-2</v>
      </c>
      <c r="Z45" s="72">
        <f t="shared" si="6"/>
        <v>0.15225791515830533</v>
      </c>
      <c r="AA45" s="72">
        <f t="shared" si="7"/>
        <v>2.6955604020838117E-2</v>
      </c>
    </row>
    <row r="46" spans="1:27">
      <c r="A46" s="7" t="s">
        <v>7</v>
      </c>
      <c r="B46" s="7">
        <v>10007969</v>
      </c>
      <c r="C46" s="7" t="str">
        <f t="shared" si="8"/>
        <v>FEBRERO10007969Inventario final</v>
      </c>
      <c r="D46" s="4" t="s">
        <v>37</v>
      </c>
      <c r="E46" s="3" t="s">
        <v>218</v>
      </c>
      <c r="F46" s="8">
        <v>60680</v>
      </c>
      <c r="G46" s="2" t="s">
        <v>317</v>
      </c>
      <c r="H46" s="11">
        <v>115898.8</v>
      </c>
      <c r="I46" s="11" t="s">
        <v>344</v>
      </c>
      <c r="J46" s="11"/>
      <c r="K46" s="11">
        <v>84786.78</v>
      </c>
      <c r="L46" s="16">
        <v>1.4</v>
      </c>
      <c r="M46" s="11">
        <v>68579.520000000004</v>
      </c>
      <c r="N46" s="11">
        <v>1012.32</v>
      </c>
      <c r="O46" s="11">
        <v>12909.46</v>
      </c>
      <c r="P46" s="11">
        <f t="shared" si="9"/>
        <v>2285.4799999999796</v>
      </c>
      <c r="Q46" s="11">
        <v>67.23</v>
      </c>
      <c r="R46" s="11">
        <v>373.19</v>
      </c>
      <c r="S46" s="11">
        <v>1500.77</v>
      </c>
      <c r="T46" s="11">
        <v>0.01</v>
      </c>
      <c r="U46" s="11">
        <v>1607.13</v>
      </c>
      <c r="V46" s="11">
        <v>-1262.8500000000204</v>
      </c>
      <c r="W46" s="53">
        <f t="shared" si="3"/>
        <v>84786.78</v>
      </c>
      <c r="X46" s="72">
        <f t="shared" si="4"/>
        <v>0.8088468508887825</v>
      </c>
      <c r="Y46" s="72">
        <f t="shared" si="5"/>
        <v>1.1939597187203006E-2</v>
      </c>
      <c r="Z46" s="72">
        <f t="shared" si="6"/>
        <v>0.15225793455064573</v>
      </c>
      <c r="AA46" s="72">
        <f t="shared" si="7"/>
        <v>2.695561737336858E-2</v>
      </c>
    </row>
    <row r="47" spans="1:27">
      <c r="A47" s="7" t="s">
        <v>6</v>
      </c>
      <c r="B47" s="7">
        <v>10005721</v>
      </c>
      <c r="C47" s="7" t="str">
        <f t="shared" si="8"/>
        <v>ENERO10005721Inventario inicial</v>
      </c>
      <c r="D47" s="7" t="s">
        <v>345</v>
      </c>
      <c r="E47" s="3" t="s">
        <v>316</v>
      </c>
      <c r="F47" s="8">
        <v>130100</v>
      </c>
      <c r="G47" s="2" t="s">
        <v>317</v>
      </c>
      <c r="H47" s="11">
        <v>291424</v>
      </c>
      <c r="I47" s="11">
        <v>-57699.72</v>
      </c>
      <c r="J47" s="11"/>
      <c r="K47" s="11">
        <v>233724.28</v>
      </c>
      <c r="L47" s="16">
        <v>1.8</v>
      </c>
      <c r="M47" s="11">
        <v>143788.37</v>
      </c>
      <c r="N47" s="11">
        <v>1889.83</v>
      </c>
      <c r="O47" s="11">
        <v>52372.25</v>
      </c>
      <c r="P47" s="11">
        <f t="shared" si="9"/>
        <v>35673.830000000024</v>
      </c>
      <c r="Q47" s="11">
        <v>302.23</v>
      </c>
      <c r="R47" s="11">
        <v>3651.9</v>
      </c>
      <c r="S47" s="11">
        <v>15184.88</v>
      </c>
      <c r="T47" s="11">
        <v>15872.2</v>
      </c>
      <c r="U47" s="11"/>
      <c r="V47" s="11">
        <v>662.62000000002445</v>
      </c>
      <c r="W47" s="53">
        <f t="shared" si="3"/>
        <v>233724.28</v>
      </c>
      <c r="X47" s="72">
        <f t="shared" si="4"/>
        <v>0.61520510406535422</v>
      </c>
      <c r="Y47" s="72">
        <f t="shared" si="5"/>
        <v>8.0857239136644249E-3</v>
      </c>
      <c r="Z47" s="72">
        <f t="shared" si="6"/>
        <v>0.22407706208357986</v>
      </c>
      <c r="AA47" s="72">
        <f t="shared" si="7"/>
        <v>0.15263210993740156</v>
      </c>
    </row>
    <row r="48" spans="1:27">
      <c r="A48" s="7" t="s">
        <v>6</v>
      </c>
      <c r="B48" s="7">
        <v>10005721</v>
      </c>
      <c r="C48" s="7" t="str">
        <f t="shared" si="8"/>
        <v>ENERO10005721Revalorización</v>
      </c>
      <c r="D48" s="7" t="s">
        <v>345</v>
      </c>
      <c r="E48" s="3" t="s">
        <v>318</v>
      </c>
      <c r="F48" s="8">
        <v>0</v>
      </c>
      <c r="G48" s="2" t="s">
        <v>317</v>
      </c>
      <c r="H48" s="11">
        <v>0</v>
      </c>
      <c r="I48" s="11">
        <v>0</v>
      </c>
      <c r="J48" s="11"/>
      <c r="K48" s="11">
        <v>0</v>
      </c>
      <c r="L48" s="16">
        <v>0</v>
      </c>
      <c r="M48" s="11">
        <v>0</v>
      </c>
      <c r="N48" s="11">
        <v>0</v>
      </c>
      <c r="O48" s="11">
        <v>0</v>
      </c>
      <c r="P48" s="11">
        <f t="shared" si="9"/>
        <v>0</v>
      </c>
      <c r="Q48" s="11">
        <v>0</v>
      </c>
      <c r="R48" s="11">
        <v>0</v>
      </c>
      <c r="S48" s="11">
        <v>0</v>
      </c>
      <c r="T48" s="11">
        <v>0</v>
      </c>
      <c r="U48" s="11"/>
      <c r="V48" s="11">
        <v>0</v>
      </c>
      <c r="W48" s="53">
        <f t="shared" si="3"/>
        <v>0</v>
      </c>
      <c r="X48" s="72" t="e">
        <f t="shared" si="4"/>
        <v>#DIV/0!</v>
      </c>
      <c r="Y48" s="72" t="e">
        <f t="shared" si="5"/>
        <v>#DIV/0!</v>
      </c>
      <c r="Z48" s="72" t="e">
        <f t="shared" si="6"/>
        <v>#DIV/0!</v>
      </c>
      <c r="AA48" s="72" t="e">
        <f t="shared" si="7"/>
        <v>#DIV/0!</v>
      </c>
    </row>
    <row r="49" spans="1:27">
      <c r="A49" s="7" t="s">
        <v>6</v>
      </c>
      <c r="B49" s="7">
        <v>10005721</v>
      </c>
      <c r="C49" s="7" t="str">
        <f t="shared" si="8"/>
        <v>ENERO10005721Entradas</v>
      </c>
      <c r="D49" s="7" t="s">
        <v>345</v>
      </c>
      <c r="E49" s="3" t="s">
        <v>164</v>
      </c>
      <c r="F49" s="8">
        <v>375660</v>
      </c>
      <c r="G49" s="2" t="s">
        <v>317</v>
      </c>
      <c r="H49" s="11">
        <v>841478.4</v>
      </c>
      <c r="I49" s="11">
        <v>-133757.06</v>
      </c>
      <c r="J49" s="11"/>
      <c r="K49" s="11">
        <v>707721.34</v>
      </c>
      <c r="L49" s="16">
        <v>1.88</v>
      </c>
      <c r="M49" s="11">
        <v>427211.12</v>
      </c>
      <c r="N49" s="11">
        <v>7123.62</v>
      </c>
      <c r="O49" s="11">
        <v>154762.57</v>
      </c>
      <c r="P49" s="11">
        <f t="shared" si="9"/>
        <v>118624.0299999999</v>
      </c>
      <c r="Q49" s="11">
        <v>843.73</v>
      </c>
      <c r="R49" s="11">
        <v>6457.97</v>
      </c>
      <c r="S49" s="11">
        <v>59002.66</v>
      </c>
      <c r="T49" s="11">
        <v>47757.66</v>
      </c>
      <c r="U49" s="11"/>
      <c r="V49" s="11">
        <v>4562.0099999998929</v>
      </c>
      <c r="W49" s="53">
        <f t="shared" si="3"/>
        <v>707721.34</v>
      </c>
      <c r="X49" s="72">
        <f t="shared" si="4"/>
        <v>0.60364312315352819</v>
      </c>
      <c r="Y49" s="72">
        <f t="shared" si="5"/>
        <v>1.0065571853464246E-2</v>
      </c>
      <c r="Z49" s="72">
        <f t="shared" si="6"/>
        <v>0.21867726922011424</v>
      </c>
      <c r="AA49" s="72">
        <f t="shared" si="7"/>
        <v>0.16761403577289319</v>
      </c>
    </row>
    <row r="50" spans="1:27">
      <c r="A50" s="7" t="s">
        <v>6</v>
      </c>
      <c r="B50" s="7">
        <v>10005721</v>
      </c>
      <c r="C50" s="7" t="str">
        <f t="shared" si="8"/>
        <v>ENERO10005721Inv. acumulado</v>
      </c>
      <c r="D50" s="7" t="s">
        <v>345</v>
      </c>
      <c r="E50" s="3" t="s">
        <v>327</v>
      </c>
      <c r="F50" s="8">
        <v>505760</v>
      </c>
      <c r="G50" s="2" t="s">
        <v>317</v>
      </c>
      <c r="H50" s="11">
        <v>1132902.3999999999</v>
      </c>
      <c r="I50" s="11">
        <v>-191456.78</v>
      </c>
      <c r="J50" s="11"/>
      <c r="K50" s="11">
        <v>941445.62</v>
      </c>
      <c r="L50" s="16">
        <v>1.86</v>
      </c>
      <c r="M50" s="11">
        <v>570999.49</v>
      </c>
      <c r="N50" s="11">
        <v>9013.4500000000007</v>
      </c>
      <c r="O50" s="11">
        <v>207134.82</v>
      </c>
      <c r="P50" s="11">
        <f t="shared" si="9"/>
        <v>154297.85999999999</v>
      </c>
      <c r="Q50" s="11">
        <v>1145.96</v>
      </c>
      <c r="R50" s="11">
        <v>10109.870000000001</v>
      </c>
      <c r="S50" s="11">
        <v>74187.539999999994</v>
      </c>
      <c r="T50" s="11">
        <v>63629.86</v>
      </c>
      <c r="U50" s="11"/>
      <c r="V50" s="11">
        <v>5224.6300000000047</v>
      </c>
      <c r="W50" s="53">
        <f t="shared" si="3"/>
        <v>941445.62</v>
      </c>
      <c r="X50" s="72">
        <f t="shared" si="4"/>
        <v>0.60651351269763198</v>
      </c>
      <c r="Y50" s="72">
        <f t="shared" si="5"/>
        <v>9.574052721175761E-3</v>
      </c>
      <c r="Z50" s="72">
        <f t="shared" si="6"/>
        <v>0.22001782747685417</v>
      </c>
      <c r="AA50" s="72">
        <f t="shared" si="7"/>
        <v>0.16389460710433809</v>
      </c>
    </row>
    <row r="51" spans="1:27">
      <c r="A51" s="7" t="s">
        <v>6</v>
      </c>
      <c r="B51" s="7">
        <v>10005721</v>
      </c>
      <c r="C51" s="7" t="str">
        <f t="shared" si="8"/>
        <v>ENERO10005721Compensación</v>
      </c>
      <c r="D51" s="7" t="s">
        <v>345</v>
      </c>
      <c r="E51" s="3" t="s">
        <v>114</v>
      </c>
      <c r="F51" s="9">
        <v>135000</v>
      </c>
      <c r="G51" s="3" t="s">
        <v>317</v>
      </c>
      <c r="H51" s="12">
        <v>302400</v>
      </c>
      <c r="I51" s="12">
        <v>-51104.61</v>
      </c>
      <c r="J51" s="13"/>
      <c r="K51" s="12">
        <v>251295.39</v>
      </c>
      <c r="L51" s="17">
        <v>1.86</v>
      </c>
      <c r="M51" s="12">
        <v>152414.04999999999</v>
      </c>
      <c r="N51" s="12">
        <v>2405.92</v>
      </c>
      <c r="O51" s="12">
        <v>55289.46</v>
      </c>
      <c r="P51" s="12">
        <f t="shared" si="9"/>
        <v>41185.960000000021</v>
      </c>
      <c r="Q51" s="12">
        <v>305.89</v>
      </c>
      <c r="R51" s="12">
        <v>2698.58</v>
      </c>
      <c r="S51" s="12">
        <v>19802.509999999998</v>
      </c>
      <c r="T51" s="12">
        <v>16984.400000000001</v>
      </c>
      <c r="U51" s="14"/>
      <c r="V51" s="11">
        <v>1394.5800000000163</v>
      </c>
      <c r="W51" s="53">
        <f t="shared" si="3"/>
        <v>251295.39</v>
      </c>
      <c r="X51" s="72">
        <f t="shared" si="4"/>
        <v>0.60651351383724139</v>
      </c>
      <c r="Y51" s="72">
        <f t="shared" si="5"/>
        <v>9.5740713747275667E-3</v>
      </c>
      <c r="Z51" s="72">
        <f t="shared" si="6"/>
        <v>0.22001780454468342</v>
      </c>
      <c r="AA51" s="72">
        <f t="shared" si="7"/>
        <v>0.16389461024334756</v>
      </c>
    </row>
    <row r="52" spans="1:27">
      <c r="A52" s="7" t="s">
        <v>6</v>
      </c>
      <c r="B52" s="7">
        <v>10005721</v>
      </c>
      <c r="C52" s="7" t="str">
        <f t="shared" si="8"/>
        <v>ENERO10005721Inventario final</v>
      </c>
      <c r="D52" s="7" t="s">
        <v>345</v>
      </c>
      <c r="E52" s="3" t="s">
        <v>218</v>
      </c>
      <c r="F52" s="9">
        <v>370760</v>
      </c>
      <c r="G52" s="3" t="s">
        <v>317</v>
      </c>
      <c r="H52" s="12">
        <v>830502.40000000002</v>
      </c>
      <c r="I52" s="12">
        <v>-140352.17000000001</v>
      </c>
      <c r="J52" s="13"/>
      <c r="K52" s="12">
        <v>690150.23</v>
      </c>
      <c r="L52" s="17">
        <v>1.86</v>
      </c>
      <c r="M52" s="12">
        <v>418585.44</v>
      </c>
      <c r="N52" s="12">
        <v>6607.53</v>
      </c>
      <c r="O52" s="12">
        <v>151845.35999999999</v>
      </c>
      <c r="P52" s="12">
        <f t="shared" si="9"/>
        <v>113111.89999999994</v>
      </c>
      <c r="Q52" s="12">
        <v>840.07</v>
      </c>
      <c r="R52" s="12">
        <v>7411.29</v>
      </c>
      <c r="S52" s="12">
        <v>54385.03</v>
      </c>
      <c r="T52" s="12">
        <v>46645.46</v>
      </c>
      <c r="U52" s="14"/>
      <c r="V52" s="11">
        <v>3830.0499999999302</v>
      </c>
      <c r="W52" s="53">
        <f t="shared" si="3"/>
        <v>690150.23</v>
      </c>
      <c r="X52" s="72">
        <f t="shared" si="4"/>
        <v>0.6065135122826808</v>
      </c>
      <c r="Y52" s="72">
        <f t="shared" si="5"/>
        <v>9.5740459291015524E-3</v>
      </c>
      <c r="Z52" s="72">
        <f t="shared" si="6"/>
        <v>0.22001783582684598</v>
      </c>
      <c r="AA52" s="72">
        <f t="shared" si="7"/>
        <v>0.16389460596137154</v>
      </c>
    </row>
    <row r="53" spans="1:27">
      <c r="A53" s="7" t="s">
        <v>7</v>
      </c>
      <c r="B53" s="7">
        <v>10005721</v>
      </c>
      <c r="C53" s="7" t="str">
        <f t="shared" si="8"/>
        <v>FEBRERO10005721Inventario inicial</v>
      </c>
      <c r="D53" s="7" t="s">
        <v>345</v>
      </c>
      <c r="E53" s="3" t="s">
        <v>316</v>
      </c>
      <c r="F53" s="9">
        <v>370760</v>
      </c>
      <c r="G53" s="3" t="s">
        <v>317</v>
      </c>
      <c r="H53" s="12">
        <v>830502.40000000002</v>
      </c>
      <c r="I53" s="12" t="s">
        <v>346</v>
      </c>
      <c r="J53" s="13"/>
      <c r="K53" s="12">
        <v>690150.23</v>
      </c>
      <c r="L53" s="17">
        <v>1.86</v>
      </c>
      <c r="M53" s="12">
        <v>418585.44</v>
      </c>
      <c r="N53" s="12">
        <v>6607.53</v>
      </c>
      <c r="O53" s="12">
        <v>151845.35999999999</v>
      </c>
      <c r="P53" s="12">
        <f t="shared" si="9"/>
        <v>113111.89999999994</v>
      </c>
      <c r="Q53" s="12">
        <v>840.07</v>
      </c>
      <c r="R53" s="12">
        <v>7411.29</v>
      </c>
      <c r="S53" s="12">
        <v>54385.03</v>
      </c>
      <c r="T53" s="12">
        <v>0</v>
      </c>
      <c r="U53" s="14">
        <v>46645.46</v>
      </c>
      <c r="V53" s="11">
        <v>3830.0499999999302</v>
      </c>
      <c r="W53" s="53">
        <f t="shared" si="3"/>
        <v>690150.23</v>
      </c>
      <c r="X53" s="72">
        <f t="shared" si="4"/>
        <v>0.6065135122826808</v>
      </c>
      <c r="Y53" s="72">
        <f t="shared" si="5"/>
        <v>9.5740459291015524E-3</v>
      </c>
      <c r="Z53" s="72">
        <f t="shared" si="6"/>
        <v>0.22001783582684598</v>
      </c>
      <c r="AA53" s="72">
        <f t="shared" si="7"/>
        <v>0.16389460596137154</v>
      </c>
    </row>
    <row r="54" spans="1:27">
      <c r="A54" s="7" t="s">
        <v>7</v>
      </c>
      <c r="B54" s="7">
        <v>10005721</v>
      </c>
      <c r="C54" s="7" t="str">
        <f t="shared" si="8"/>
        <v>FEBRERO10005721Revalorización</v>
      </c>
      <c r="D54" s="7" t="s">
        <v>345</v>
      </c>
      <c r="E54" s="3" t="s">
        <v>318</v>
      </c>
      <c r="F54" s="9">
        <v>0</v>
      </c>
      <c r="G54" s="3" t="s">
        <v>317</v>
      </c>
      <c r="H54" s="12" t="s">
        <v>347</v>
      </c>
      <c r="I54" s="12">
        <v>163134.39999999999</v>
      </c>
      <c r="J54" s="13"/>
      <c r="K54" s="12">
        <v>0</v>
      </c>
      <c r="L54" s="17">
        <v>0</v>
      </c>
      <c r="M54" s="12">
        <v>0</v>
      </c>
      <c r="N54" s="12">
        <v>0</v>
      </c>
      <c r="O54" s="12">
        <v>0</v>
      </c>
      <c r="P54" s="12">
        <f t="shared" si="9"/>
        <v>0</v>
      </c>
      <c r="Q54" s="12">
        <v>0</v>
      </c>
      <c r="R54" s="12">
        <v>0</v>
      </c>
      <c r="S54" s="12">
        <v>0</v>
      </c>
      <c r="T54" s="12">
        <v>0</v>
      </c>
      <c r="U54" s="14">
        <v>0</v>
      </c>
      <c r="V54" s="11">
        <v>0</v>
      </c>
      <c r="W54" s="53">
        <f t="shared" si="3"/>
        <v>0</v>
      </c>
      <c r="X54" s="72" t="e">
        <f t="shared" si="4"/>
        <v>#DIV/0!</v>
      </c>
      <c r="Y54" s="72" t="e">
        <f t="shared" si="5"/>
        <v>#DIV/0!</v>
      </c>
      <c r="Z54" s="72" t="e">
        <f t="shared" si="6"/>
        <v>#DIV/0!</v>
      </c>
      <c r="AA54" s="72" t="e">
        <f t="shared" si="7"/>
        <v>#DIV/0!</v>
      </c>
    </row>
    <row r="55" spans="1:27">
      <c r="A55" s="7" t="s">
        <v>7</v>
      </c>
      <c r="B55" s="7">
        <v>10005721</v>
      </c>
      <c r="C55" s="7" t="str">
        <f t="shared" si="8"/>
        <v>FEBRERO10005721Entradas</v>
      </c>
      <c r="D55" s="7" t="s">
        <v>345</v>
      </c>
      <c r="E55" s="3" t="s">
        <v>164</v>
      </c>
      <c r="F55" s="9">
        <v>659620</v>
      </c>
      <c r="G55" s="3" t="s">
        <v>317</v>
      </c>
      <c r="H55" s="12">
        <v>1187316</v>
      </c>
      <c r="I55" s="12" t="s">
        <v>348</v>
      </c>
      <c r="J55" s="13"/>
      <c r="K55" s="12">
        <v>1103517.46</v>
      </c>
      <c r="L55" s="17">
        <v>1.67</v>
      </c>
      <c r="M55" s="12">
        <v>669876.63</v>
      </c>
      <c r="N55" s="12">
        <v>12521.6</v>
      </c>
      <c r="O55" s="12">
        <v>207741.78</v>
      </c>
      <c r="P55" s="12">
        <f t="shared" si="9"/>
        <v>213377.45000000007</v>
      </c>
      <c r="Q55" s="12">
        <v>4627.24</v>
      </c>
      <c r="R55" s="12">
        <v>11378.45</v>
      </c>
      <c r="S55" s="12">
        <v>103944.9</v>
      </c>
      <c r="T55" s="12">
        <v>0.28999999999999998</v>
      </c>
      <c r="U55" s="14">
        <v>84147.72</v>
      </c>
      <c r="V55" s="11">
        <v>9278.8500000000931</v>
      </c>
      <c r="W55" s="53">
        <f t="shared" si="3"/>
        <v>1103517.46</v>
      </c>
      <c r="X55" s="72">
        <f t="shared" si="4"/>
        <v>0.60703763581592995</v>
      </c>
      <c r="Y55" s="72">
        <f t="shared" si="5"/>
        <v>1.1346988565092572E-2</v>
      </c>
      <c r="Z55" s="72">
        <f t="shared" si="6"/>
        <v>0.18825418494058083</v>
      </c>
      <c r="AA55" s="72">
        <f t="shared" si="7"/>
        <v>0.19336119067839677</v>
      </c>
    </row>
    <row r="56" spans="1:27">
      <c r="A56" s="7" t="s">
        <v>7</v>
      </c>
      <c r="B56" s="7">
        <v>10005721</v>
      </c>
      <c r="C56" s="7" t="str">
        <f t="shared" si="8"/>
        <v>FEBRERO10005721Inventario acumulado</v>
      </c>
      <c r="D56" s="7" t="s">
        <v>345</v>
      </c>
      <c r="E56" s="3" t="s">
        <v>319</v>
      </c>
      <c r="F56" s="9">
        <v>1030380</v>
      </c>
      <c r="G56" s="3" t="s">
        <v>317</v>
      </c>
      <c r="H56" s="12">
        <v>1854684</v>
      </c>
      <c r="I56" s="12" t="s">
        <v>349</v>
      </c>
      <c r="J56" s="13"/>
      <c r="K56" s="12">
        <v>1793667.69</v>
      </c>
      <c r="L56" s="17">
        <v>1.74</v>
      </c>
      <c r="M56" s="12">
        <v>1088462.07</v>
      </c>
      <c r="N56" s="12">
        <v>19129.13</v>
      </c>
      <c r="O56" s="12">
        <v>359587.14</v>
      </c>
      <c r="P56" s="12">
        <f t="shared" si="9"/>
        <v>326489.35000000009</v>
      </c>
      <c r="Q56" s="12">
        <v>5467.31</v>
      </c>
      <c r="R56" s="12">
        <v>18789.740000000002</v>
      </c>
      <c r="S56" s="12">
        <v>158329.93</v>
      </c>
      <c r="T56" s="12">
        <v>0.28999999999999998</v>
      </c>
      <c r="U56" s="14">
        <v>130793.18</v>
      </c>
      <c r="V56" s="11">
        <v>13108.90000000014</v>
      </c>
      <c r="W56" s="53">
        <f t="shared" si="3"/>
        <v>1793667.69</v>
      </c>
      <c r="X56" s="72">
        <f t="shared" si="4"/>
        <v>0.60683596859572142</v>
      </c>
      <c r="Y56" s="72">
        <f t="shared" si="5"/>
        <v>1.0664812722361075E-2</v>
      </c>
      <c r="Z56" s="72">
        <f t="shared" si="6"/>
        <v>0.20047589751700329</v>
      </c>
      <c r="AA56" s="72">
        <f t="shared" si="7"/>
        <v>0.1820233211649144</v>
      </c>
    </row>
    <row r="57" spans="1:27">
      <c r="A57" s="7" t="s">
        <v>7</v>
      </c>
      <c r="B57" s="7">
        <v>10005721</v>
      </c>
      <c r="C57" s="7" t="str">
        <f t="shared" si="8"/>
        <v>FEBRERO10005721Compensación</v>
      </c>
      <c r="D57" s="7" t="s">
        <v>345</v>
      </c>
      <c r="E57" s="3" t="s">
        <v>114</v>
      </c>
      <c r="F57" s="8">
        <v>698300</v>
      </c>
      <c r="G57" s="2" t="s">
        <v>317</v>
      </c>
      <c r="H57" s="11">
        <v>1256940</v>
      </c>
      <c r="I57" s="11" t="s">
        <v>350</v>
      </c>
      <c r="J57" s="11"/>
      <c r="K57" s="11">
        <v>1215588.57</v>
      </c>
      <c r="L57" s="16">
        <v>1.74</v>
      </c>
      <c r="M57" s="11">
        <v>737662.87</v>
      </c>
      <c r="N57" s="11">
        <v>12964.02</v>
      </c>
      <c r="O57" s="11">
        <v>243696.21</v>
      </c>
      <c r="P57" s="11">
        <f t="shared" si="9"/>
        <v>221265.47000000006</v>
      </c>
      <c r="Q57" s="11">
        <v>3705.26</v>
      </c>
      <c r="R57" s="11">
        <v>12734.01</v>
      </c>
      <c r="S57" s="11">
        <v>107301.96</v>
      </c>
      <c r="T57" s="11">
        <v>0.2</v>
      </c>
      <c r="U57" s="11">
        <v>88639.99</v>
      </c>
      <c r="V57" s="11">
        <v>8884.0500000000466</v>
      </c>
      <c r="W57" s="53">
        <f t="shared" si="3"/>
        <v>1215588.57</v>
      </c>
      <c r="X57" s="72">
        <f t="shared" si="4"/>
        <v>0.60683597082522744</v>
      </c>
      <c r="Y57" s="72">
        <f t="shared" si="5"/>
        <v>1.0664809064468251E-2</v>
      </c>
      <c r="Z57" s="72">
        <f t="shared" si="6"/>
        <v>0.20047589786073752</v>
      </c>
      <c r="AA57" s="72">
        <f t="shared" si="7"/>
        <v>0.18202332224956677</v>
      </c>
    </row>
    <row r="58" spans="1:27">
      <c r="A58" s="7" t="s">
        <v>7</v>
      </c>
      <c r="B58" s="7">
        <v>10005721</v>
      </c>
      <c r="C58" s="7" t="str">
        <f t="shared" si="8"/>
        <v>FEBRERO10005721Inventario final</v>
      </c>
      <c r="D58" s="7" t="s">
        <v>345</v>
      </c>
      <c r="E58" s="3" t="s">
        <v>218</v>
      </c>
      <c r="F58" s="8">
        <v>332080</v>
      </c>
      <c r="G58" s="2" t="s">
        <v>317</v>
      </c>
      <c r="H58" s="11">
        <v>597744</v>
      </c>
      <c r="I58" s="11" t="s">
        <v>351</v>
      </c>
      <c r="J58" s="11"/>
      <c r="K58" s="11">
        <v>578079.12</v>
      </c>
      <c r="L58" s="16">
        <v>1.74</v>
      </c>
      <c r="M58" s="11">
        <v>350799.2</v>
      </c>
      <c r="N58" s="11">
        <v>6165.11</v>
      </c>
      <c r="O58" s="11">
        <v>115890.93</v>
      </c>
      <c r="P58" s="11">
        <f t="shared" si="9"/>
        <v>105223.87999999998</v>
      </c>
      <c r="Q58" s="11">
        <v>1762.05</v>
      </c>
      <c r="R58" s="11">
        <v>6055.73</v>
      </c>
      <c r="S58" s="11">
        <v>51027.97</v>
      </c>
      <c r="T58" s="11">
        <v>0.09</v>
      </c>
      <c r="U58" s="11">
        <v>42153.19</v>
      </c>
      <c r="V58" s="11">
        <v>4224.8499999999767</v>
      </c>
      <c r="W58" s="53">
        <f t="shared" si="3"/>
        <v>578079.12</v>
      </c>
      <c r="X58" s="72">
        <f t="shared" si="4"/>
        <v>0.60683596390750116</v>
      </c>
      <c r="Y58" s="72">
        <f t="shared" si="5"/>
        <v>1.0664820414202124E-2</v>
      </c>
      <c r="Z58" s="72">
        <f t="shared" si="6"/>
        <v>0.20047589679419661</v>
      </c>
      <c r="AA58" s="72">
        <f t="shared" si="7"/>
        <v>0.18202331888410012</v>
      </c>
    </row>
    <row r="59" spans="1:27">
      <c r="A59" s="7" t="s">
        <v>6</v>
      </c>
      <c r="B59" s="7">
        <v>10005779</v>
      </c>
      <c r="C59" s="7" t="str">
        <f t="shared" si="8"/>
        <v>ENERO10005779Inventario inicial</v>
      </c>
      <c r="D59" s="7" t="s">
        <v>352</v>
      </c>
      <c r="E59" s="3" t="s">
        <v>316</v>
      </c>
      <c r="F59" s="8">
        <v>96140</v>
      </c>
      <c r="G59" s="2" t="s">
        <v>317</v>
      </c>
      <c r="H59" s="11">
        <v>204778.2</v>
      </c>
      <c r="I59" s="11">
        <v>-14558.56</v>
      </c>
      <c r="J59" s="11"/>
      <c r="K59" s="11">
        <v>190219.64</v>
      </c>
      <c r="L59" s="16">
        <v>1.98</v>
      </c>
      <c r="M59" s="11">
        <v>122437</v>
      </c>
      <c r="N59" s="11">
        <v>1608.88</v>
      </c>
      <c r="O59" s="11">
        <v>40184.82</v>
      </c>
      <c r="P59" s="11">
        <f t="shared" si="9"/>
        <v>25988.94000000001</v>
      </c>
      <c r="Q59" s="11">
        <v>756.12</v>
      </c>
      <c r="R59" s="11">
        <v>2669.29</v>
      </c>
      <c r="S59" s="11">
        <v>10708.82</v>
      </c>
      <c r="T59" s="11">
        <v>11526.48</v>
      </c>
      <c r="U59" s="11"/>
      <c r="V59" s="11">
        <v>328.23000000001048</v>
      </c>
      <c r="W59" s="53">
        <f t="shared" si="3"/>
        <v>190219.64</v>
      </c>
      <c r="X59" s="72">
        <f t="shared" si="4"/>
        <v>0.64366119082130524</v>
      </c>
      <c r="Y59" s="72">
        <f t="shared" si="5"/>
        <v>8.4580120117985717E-3</v>
      </c>
      <c r="Z59" s="72">
        <f t="shared" si="6"/>
        <v>0.2112548420341874</v>
      </c>
      <c r="AA59" s="72">
        <f t="shared" si="7"/>
        <v>0.13662595513270873</v>
      </c>
    </row>
    <row r="60" spans="1:27">
      <c r="A60" s="7" t="s">
        <v>6</v>
      </c>
      <c r="B60" s="7">
        <v>10005779</v>
      </c>
      <c r="C60" s="7" t="str">
        <f t="shared" si="8"/>
        <v>ENERO10005779Revalorización</v>
      </c>
      <c r="D60" s="7" t="s">
        <v>352</v>
      </c>
      <c r="E60" s="3" t="s">
        <v>318</v>
      </c>
      <c r="F60" s="8">
        <v>0</v>
      </c>
      <c r="G60" s="2" t="s">
        <v>317</v>
      </c>
      <c r="H60" s="11">
        <v>-1922.8</v>
      </c>
      <c r="I60" s="11">
        <v>1922.8</v>
      </c>
      <c r="J60" s="11"/>
      <c r="K60" s="11">
        <v>0</v>
      </c>
      <c r="L60" s="16">
        <v>0</v>
      </c>
      <c r="M60" s="11">
        <v>0</v>
      </c>
      <c r="N60" s="11">
        <v>0</v>
      </c>
      <c r="O60" s="11">
        <v>0</v>
      </c>
      <c r="P60" s="11">
        <f t="shared" si="9"/>
        <v>0</v>
      </c>
      <c r="Q60" s="11">
        <v>0</v>
      </c>
      <c r="R60" s="11">
        <v>0</v>
      </c>
      <c r="S60" s="11">
        <v>0</v>
      </c>
      <c r="T60" s="11">
        <v>0</v>
      </c>
      <c r="U60" s="11"/>
      <c r="V60" s="11">
        <v>0</v>
      </c>
      <c r="W60" s="53">
        <f t="shared" si="3"/>
        <v>0</v>
      </c>
      <c r="X60" s="72" t="e">
        <f t="shared" si="4"/>
        <v>#DIV/0!</v>
      </c>
      <c r="Y60" s="72" t="e">
        <f t="shared" si="5"/>
        <v>#DIV/0!</v>
      </c>
      <c r="Z60" s="72" t="e">
        <f t="shared" si="6"/>
        <v>#DIV/0!</v>
      </c>
      <c r="AA60" s="72" t="e">
        <f t="shared" si="7"/>
        <v>#DIV/0!</v>
      </c>
    </row>
    <row r="61" spans="1:27">
      <c r="A61" s="7" t="s">
        <v>6</v>
      </c>
      <c r="B61" s="7">
        <v>10005779</v>
      </c>
      <c r="C61" s="7" t="str">
        <f t="shared" si="8"/>
        <v>ENERO10005779Entradas</v>
      </c>
      <c r="D61" s="7" t="s">
        <v>352</v>
      </c>
      <c r="E61" s="3" t="s">
        <v>164</v>
      </c>
      <c r="F61" s="8">
        <v>84920</v>
      </c>
      <c r="G61" s="2" t="s">
        <v>317</v>
      </c>
      <c r="H61" s="11">
        <v>179181.2</v>
      </c>
      <c r="I61" s="11">
        <v>-19111.95</v>
      </c>
      <c r="J61" s="11"/>
      <c r="K61" s="11">
        <v>160069.25</v>
      </c>
      <c r="L61" s="16">
        <v>1.88</v>
      </c>
      <c r="M61" s="11">
        <v>98016.61</v>
      </c>
      <c r="N61" s="11">
        <v>1066.0999999999999</v>
      </c>
      <c r="O61" s="11">
        <v>34253.93</v>
      </c>
      <c r="P61" s="11">
        <f t="shared" si="9"/>
        <v>26732.60999999999</v>
      </c>
      <c r="Q61" s="11">
        <v>190.73</v>
      </c>
      <c r="R61" s="11">
        <v>1459.86</v>
      </c>
      <c r="S61" s="11">
        <v>13337.87</v>
      </c>
      <c r="T61" s="11">
        <v>10795.88</v>
      </c>
      <c r="U61" s="11"/>
      <c r="V61" s="11">
        <v>948.26999999998952</v>
      </c>
      <c r="W61" s="53">
        <f t="shared" si="3"/>
        <v>160069.25</v>
      </c>
      <c r="X61" s="72">
        <f t="shared" si="4"/>
        <v>0.61233878461978175</v>
      </c>
      <c r="Y61" s="72">
        <f t="shared" si="5"/>
        <v>6.660242363851895E-3</v>
      </c>
      <c r="Z61" s="72">
        <f t="shared" si="6"/>
        <v>0.21399444303012602</v>
      </c>
      <c r="AA61" s="72">
        <f t="shared" si="7"/>
        <v>0.16700652998624027</v>
      </c>
    </row>
    <row r="62" spans="1:27">
      <c r="A62" s="7" t="s">
        <v>6</v>
      </c>
      <c r="B62" s="7">
        <v>10005779</v>
      </c>
      <c r="C62" s="7" t="str">
        <f t="shared" si="8"/>
        <v>ENERO10005779Inv. acumulado</v>
      </c>
      <c r="D62" s="7" t="s">
        <v>352</v>
      </c>
      <c r="E62" s="3" t="s">
        <v>327</v>
      </c>
      <c r="F62" s="8">
        <v>181060</v>
      </c>
      <c r="G62" s="2" t="s">
        <v>317</v>
      </c>
      <c r="H62" s="11">
        <v>382036.6</v>
      </c>
      <c r="I62" s="11">
        <v>-31747.71</v>
      </c>
      <c r="J62" s="11"/>
      <c r="K62" s="11">
        <v>350288.89</v>
      </c>
      <c r="L62" s="16">
        <v>1.93</v>
      </c>
      <c r="M62" s="11">
        <v>220453.61</v>
      </c>
      <c r="N62" s="11">
        <v>2674.98</v>
      </c>
      <c r="O62" s="11">
        <v>74438.75</v>
      </c>
      <c r="P62" s="11">
        <f t="shared" si="9"/>
        <v>52721.550000000061</v>
      </c>
      <c r="Q62" s="11">
        <v>946.85</v>
      </c>
      <c r="R62" s="11">
        <v>4129.1499999999996</v>
      </c>
      <c r="S62" s="11">
        <v>24046.69</v>
      </c>
      <c r="T62" s="11">
        <v>22322.36</v>
      </c>
      <c r="U62" s="11"/>
      <c r="V62" s="11">
        <v>1276.5000000000582</v>
      </c>
      <c r="W62" s="53">
        <f t="shared" si="3"/>
        <v>350288.89</v>
      </c>
      <c r="X62" s="72">
        <f t="shared" si="4"/>
        <v>0.62934799330917968</v>
      </c>
      <c r="Y62" s="72">
        <f t="shared" si="5"/>
        <v>7.6364968355119682E-3</v>
      </c>
      <c r="Z62" s="72">
        <f t="shared" si="6"/>
        <v>0.21250673979411677</v>
      </c>
      <c r="AA62" s="72">
        <f t="shared" si="7"/>
        <v>0.15050877006119165</v>
      </c>
    </row>
    <row r="63" spans="1:27">
      <c r="A63" s="7" t="s">
        <v>6</v>
      </c>
      <c r="B63" s="7">
        <v>10005779</v>
      </c>
      <c r="C63" s="7" t="str">
        <f t="shared" si="8"/>
        <v>ENERO10005779Compensación</v>
      </c>
      <c r="D63" s="7" t="s">
        <v>352</v>
      </c>
      <c r="E63" s="3" t="s">
        <v>114</v>
      </c>
      <c r="F63" s="9">
        <v>3060</v>
      </c>
      <c r="G63" s="3" t="s">
        <v>317</v>
      </c>
      <c r="H63" s="12">
        <v>6456.6</v>
      </c>
      <c r="I63" s="12">
        <v>-536.54999999999995</v>
      </c>
      <c r="J63" s="13"/>
      <c r="K63" s="12">
        <v>5920.05</v>
      </c>
      <c r="L63" s="17">
        <v>1.93</v>
      </c>
      <c r="M63" s="12">
        <v>3725.77</v>
      </c>
      <c r="N63" s="12">
        <v>45.21</v>
      </c>
      <c r="O63" s="12">
        <v>1258.05</v>
      </c>
      <c r="P63" s="12">
        <f t="shared" si="9"/>
        <v>891.02000000000089</v>
      </c>
      <c r="Q63" s="12">
        <v>16</v>
      </c>
      <c r="R63" s="12">
        <v>69.790000000000006</v>
      </c>
      <c r="S63" s="12">
        <v>406.4</v>
      </c>
      <c r="T63" s="14">
        <v>377.25</v>
      </c>
      <c r="U63" s="13"/>
      <c r="V63" s="11">
        <v>21.580000000000837</v>
      </c>
      <c r="W63" s="53">
        <f t="shared" si="3"/>
        <v>5920.0500000000011</v>
      </c>
      <c r="X63" s="72">
        <f t="shared" si="4"/>
        <v>0.62934772510367298</v>
      </c>
      <c r="Y63" s="72">
        <f t="shared" si="5"/>
        <v>7.636759824663642E-3</v>
      </c>
      <c r="Z63" s="72">
        <f t="shared" si="6"/>
        <v>0.21250665112625733</v>
      </c>
      <c r="AA63" s="72">
        <f t="shared" si="7"/>
        <v>0.150508863945406</v>
      </c>
    </row>
    <row r="64" spans="1:27">
      <c r="A64" s="7" t="s">
        <v>6</v>
      </c>
      <c r="B64" s="7">
        <v>10005779</v>
      </c>
      <c r="C64" s="7" t="str">
        <f t="shared" si="8"/>
        <v>ENERO10005779Inventario final</v>
      </c>
      <c r="D64" s="7" t="s">
        <v>352</v>
      </c>
      <c r="E64" s="3" t="s">
        <v>218</v>
      </c>
      <c r="F64" s="9">
        <v>178000</v>
      </c>
      <c r="G64" s="3" t="s">
        <v>317</v>
      </c>
      <c r="H64" s="12">
        <v>375580</v>
      </c>
      <c r="I64" s="12">
        <v>-31211.16</v>
      </c>
      <c r="J64" s="13"/>
      <c r="K64" s="12">
        <v>344368.84</v>
      </c>
      <c r="L64" s="17">
        <v>1.93</v>
      </c>
      <c r="M64" s="12">
        <v>216727.84</v>
      </c>
      <c r="N64" s="12">
        <v>2629.77</v>
      </c>
      <c r="O64" s="12">
        <v>73180.7</v>
      </c>
      <c r="P64" s="12">
        <f t="shared" si="9"/>
        <v>51830.530000000042</v>
      </c>
      <c r="Q64" s="12">
        <v>930.85</v>
      </c>
      <c r="R64" s="12">
        <v>4059.36</v>
      </c>
      <c r="S64" s="12">
        <v>23640.29</v>
      </c>
      <c r="T64" s="14">
        <v>21945.11</v>
      </c>
      <c r="U64" s="13"/>
      <c r="V64" s="11">
        <v>1254.9200000000419</v>
      </c>
      <c r="W64" s="53">
        <f t="shared" si="3"/>
        <v>344368.84</v>
      </c>
      <c r="X64" s="72">
        <f t="shared" si="4"/>
        <v>0.6293479979199047</v>
      </c>
      <c r="Y64" s="72">
        <f t="shared" si="5"/>
        <v>7.6364923144614351E-3</v>
      </c>
      <c r="Z64" s="72">
        <f t="shared" si="6"/>
        <v>0.2125067413184073</v>
      </c>
      <c r="AA64" s="72">
        <f t="shared" si="7"/>
        <v>0.15050876844722663</v>
      </c>
    </row>
    <row r="65" spans="1:27">
      <c r="A65" s="7" t="s">
        <v>7</v>
      </c>
      <c r="B65" s="7">
        <v>10005779</v>
      </c>
      <c r="C65" s="7" t="str">
        <f t="shared" si="8"/>
        <v>FEBRERO10005779Inventario inicial</v>
      </c>
      <c r="D65" s="7" t="s">
        <v>352</v>
      </c>
      <c r="E65" s="3" t="s">
        <v>316</v>
      </c>
      <c r="F65" s="8">
        <v>178000</v>
      </c>
      <c r="G65" s="2" t="s">
        <v>317</v>
      </c>
      <c r="H65" s="11">
        <v>375580</v>
      </c>
      <c r="I65" s="11" t="s">
        <v>353</v>
      </c>
      <c r="J65" s="11"/>
      <c r="K65" s="11">
        <v>344368.84</v>
      </c>
      <c r="L65" s="16">
        <v>1.93</v>
      </c>
      <c r="M65" s="11">
        <v>216727.84</v>
      </c>
      <c r="N65" s="11">
        <v>2629.77</v>
      </c>
      <c r="O65" s="11">
        <v>73180.7</v>
      </c>
      <c r="P65" s="11">
        <f t="shared" si="9"/>
        <v>51830.530000000042</v>
      </c>
      <c r="Q65" s="11">
        <v>930.85</v>
      </c>
      <c r="R65" s="11">
        <v>4059.36</v>
      </c>
      <c r="S65" s="11">
        <v>23640.29</v>
      </c>
      <c r="T65" s="11" t="s">
        <v>334</v>
      </c>
      <c r="U65" s="11">
        <v>21945.11</v>
      </c>
      <c r="V65" s="11">
        <v>1254.9200000000419</v>
      </c>
      <c r="W65" s="53">
        <f t="shared" si="3"/>
        <v>344368.84</v>
      </c>
      <c r="X65" s="72">
        <f t="shared" si="4"/>
        <v>0.6293479979199047</v>
      </c>
      <c r="Y65" s="72">
        <f t="shared" si="5"/>
        <v>7.6364923144614351E-3</v>
      </c>
      <c r="Z65" s="72">
        <f t="shared" si="6"/>
        <v>0.2125067413184073</v>
      </c>
      <c r="AA65" s="72">
        <f t="shared" si="7"/>
        <v>0.15050876844722663</v>
      </c>
    </row>
    <row r="66" spans="1:27">
      <c r="A66" s="7" t="s">
        <v>7</v>
      </c>
      <c r="B66" s="7">
        <v>10005779</v>
      </c>
      <c r="C66" s="7" t="str">
        <f t="shared" si="8"/>
        <v>FEBRERO10005779Revalorización</v>
      </c>
      <c r="D66" s="7" t="s">
        <v>352</v>
      </c>
      <c r="E66" s="3" t="s">
        <v>318</v>
      </c>
      <c r="F66" s="8">
        <v>0</v>
      </c>
      <c r="G66" s="2" t="s">
        <v>317</v>
      </c>
      <c r="H66" s="11" t="s">
        <v>354</v>
      </c>
      <c r="I66" s="11">
        <v>23140</v>
      </c>
      <c r="J66" s="11"/>
      <c r="K66" s="11">
        <v>0</v>
      </c>
      <c r="L66" s="16">
        <v>0</v>
      </c>
      <c r="M66" s="11">
        <v>0</v>
      </c>
      <c r="N66" s="11">
        <v>0</v>
      </c>
      <c r="O66" s="11">
        <v>0</v>
      </c>
      <c r="P66" s="11">
        <f t="shared" si="9"/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53">
        <f t="shared" si="3"/>
        <v>0</v>
      </c>
      <c r="X66" s="72" t="e">
        <f t="shared" si="4"/>
        <v>#DIV/0!</v>
      </c>
      <c r="Y66" s="72" t="e">
        <f t="shared" si="5"/>
        <v>#DIV/0!</v>
      </c>
      <c r="Z66" s="72" t="e">
        <f t="shared" si="6"/>
        <v>#DIV/0!</v>
      </c>
      <c r="AA66" s="72" t="e">
        <f t="shared" si="7"/>
        <v>#DIV/0!</v>
      </c>
    </row>
    <row r="67" spans="1:27">
      <c r="A67" s="7" t="s">
        <v>7</v>
      </c>
      <c r="B67" s="7">
        <v>10005779</v>
      </c>
      <c r="C67" s="7" t="str">
        <f t="shared" si="8"/>
        <v>FEBRERO10005779Entradas</v>
      </c>
      <c r="D67" s="7" t="s">
        <v>352</v>
      </c>
      <c r="E67" s="3" t="s">
        <v>164</v>
      </c>
      <c r="F67" s="8">
        <v>142120</v>
      </c>
      <c r="G67" s="2" t="s">
        <v>317</v>
      </c>
      <c r="H67" s="11">
        <v>281397.59999999998</v>
      </c>
      <c r="I67" s="11" t="s">
        <v>355</v>
      </c>
      <c r="J67" s="11"/>
      <c r="K67" s="11">
        <v>250962.96</v>
      </c>
      <c r="L67" s="16">
        <v>1.77</v>
      </c>
      <c r="M67" s="11">
        <v>145645.04</v>
      </c>
      <c r="N67" s="11">
        <v>1712.92</v>
      </c>
      <c r="O67" s="11">
        <v>57894.879999999997</v>
      </c>
      <c r="P67" s="11">
        <f t="shared" si="9"/>
        <v>45710.119999999966</v>
      </c>
      <c r="Q67" s="11">
        <v>996.97</v>
      </c>
      <c r="R67" s="11">
        <v>2451.58</v>
      </c>
      <c r="S67" s="11">
        <v>22395.7</v>
      </c>
      <c r="T67" s="11" t="s">
        <v>356</v>
      </c>
      <c r="U67" s="11">
        <v>18130.25</v>
      </c>
      <c r="V67" s="11">
        <v>1735.6199999999662</v>
      </c>
      <c r="W67" s="53">
        <f t="shared" si="3"/>
        <v>250962.96</v>
      </c>
      <c r="X67" s="72">
        <f t="shared" si="4"/>
        <v>0.58034476482107167</v>
      </c>
      <c r="Y67" s="72">
        <f t="shared" si="5"/>
        <v>6.8253896909727238E-3</v>
      </c>
      <c r="Z67" s="72">
        <f t="shared" si="6"/>
        <v>0.23069093542728378</v>
      </c>
      <c r="AA67" s="72">
        <f t="shared" si="7"/>
        <v>0.18213891006067176</v>
      </c>
    </row>
    <row r="68" spans="1:27">
      <c r="A68" s="7" t="s">
        <v>7</v>
      </c>
      <c r="B68" s="7">
        <v>10005779</v>
      </c>
      <c r="C68" s="7" t="str">
        <f t="shared" si="8"/>
        <v>FEBRERO10005779Inventario acumulado</v>
      </c>
      <c r="D68" s="7" t="s">
        <v>352</v>
      </c>
      <c r="E68" s="3" t="s">
        <v>319</v>
      </c>
      <c r="F68" s="8">
        <v>320120</v>
      </c>
      <c r="G68" s="2" t="s">
        <v>317</v>
      </c>
      <c r="H68" s="11">
        <v>633837.6</v>
      </c>
      <c r="I68" s="11" t="s">
        <v>357</v>
      </c>
      <c r="J68" s="11"/>
      <c r="K68" s="11">
        <v>595331.80000000005</v>
      </c>
      <c r="L68" s="16">
        <v>1.86</v>
      </c>
      <c r="M68" s="11">
        <v>362372.88</v>
      </c>
      <c r="N68" s="11">
        <v>4342.6899999999996</v>
      </c>
      <c r="O68" s="11">
        <v>131075.57999999999</v>
      </c>
      <c r="P68" s="11">
        <f t="shared" si="9"/>
        <v>97540.650000000038</v>
      </c>
      <c r="Q68" s="11">
        <v>1927.82</v>
      </c>
      <c r="R68" s="11">
        <v>6510.94</v>
      </c>
      <c r="S68" s="11">
        <v>46035.99</v>
      </c>
      <c r="T68" s="11" t="s">
        <v>358</v>
      </c>
      <c r="U68" s="11">
        <v>40075.360000000001</v>
      </c>
      <c r="V68" s="11">
        <v>2990.5400000000373</v>
      </c>
      <c r="W68" s="53">
        <f t="shared" si="3"/>
        <v>595331.80000000005</v>
      </c>
      <c r="X68" s="72">
        <f t="shared" si="4"/>
        <v>0.60869061588848428</v>
      </c>
      <c r="Y68" s="72">
        <f t="shared" si="5"/>
        <v>7.2945708594770167E-3</v>
      </c>
      <c r="Z68" s="72">
        <f t="shared" si="6"/>
        <v>0.22017231399364182</v>
      </c>
      <c r="AA68" s="72">
        <f t="shared" si="7"/>
        <v>0.16384249925839681</v>
      </c>
    </row>
    <row r="69" spans="1:27">
      <c r="A69" s="7" t="s">
        <v>7</v>
      </c>
      <c r="B69" s="7">
        <v>10005779</v>
      </c>
      <c r="C69" s="7" t="str">
        <f t="shared" ref="C69:C100" si="10">A69&amp;B69&amp;E69</f>
        <v>FEBRERO10005779Compensación</v>
      </c>
      <c r="D69" s="7" t="s">
        <v>352</v>
      </c>
      <c r="E69" s="3" t="s">
        <v>114</v>
      </c>
      <c r="F69" s="8">
        <v>82460</v>
      </c>
      <c r="G69" s="2" t="s">
        <v>317</v>
      </c>
      <c r="H69" s="11">
        <v>163270.79999999999</v>
      </c>
      <c r="I69" s="11" t="s">
        <v>359</v>
      </c>
      <c r="J69" s="11"/>
      <c r="K69" s="11">
        <v>153352.06</v>
      </c>
      <c r="L69" s="16">
        <v>1.86</v>
      </c>
      <c r="M69" s="11">
        <v>93343.96</v>
      </c>
      <c r="N69" s="11">
        <v>1118.6300000000001</v>
      </c>
      <c r="O69" s="11">
        <v>33763.879999999997</v>
      </c>
      <c r="P69" s="11">
        <f t="shared" ref="P69:P100" si="11">SUM(Q69:V69)</f>
        <v>25125.589999999997</v>
      </c>
      <c r="Q69" s="11">
        <v>496.59</v>
      </c>
      <c r="R69" s="11">
        <v>1677.16</v>
      </c>
      <c r="S69" s="11">
        <v>11858.45</v>
      </c>
      <c r="T69" s="11" t="s">
        <v>360</v>
      </c>
      <c r="U69" s="11">
        <v>10323.049999999999</v>
      </c>
      <c r="V69" s="11">
        <v>770.33999999999651</v>
      </c>
      <c r="W69" s="53">
        <f t="shared" si="3"/>
        <v>153352.06</v>
      </c>
      <c r="X69" s="72">
        <f t="shared" si="4"/>
        <v>0.6086906168720525</v>
      </c>
      <c r="Y69" s="72">
        <f t="shared" si="5"/>
        <v>7.2945221603152909E-3</v>
      </c>
      <c r="Z69" s="72">
        <f t="shared" si="6"/>
        <v>0.22017232764920144</v>
      </c>
      <c r="AA69" s="72">
        <f t="shared" si="7"/>
        <v>0.16384253331843079</v>
      </c>
    </row>
    <row r="70" spans="1:27">
      <c r="A70" s="7" t="s">
        <v>7</v>
      </c>
      <c r="B70" s="7">
        <v>10005779</v>
      </c>
      <c r="C70" s="7" t="str">
        <f t="shared" si="10"/>
        <v>FEBRERO10005779Inventario final</v>
      </c>
      <c r="D70" s="7" t="s">
        <v>352</v>
      </c>
      <c r="E70" s="3" t="s">
        <v>218</v>
      </c>
      <c r="F70" s="8">
        <v>237660</v>
      </c>
      <c r="G70" s="2" t="s">
        <v>317</v>
      </c>
      <c r="H70" s="11">
        <v>470566.8</v>
      </c>
      <c r="I70" s="11" t="s">
        <v>361</v>
      </c>
      <c r="J70" s="11"/>
      <c r="K70" s="11">
        <v>441979.74</v>
      </c>
      <c r="L70" s="16">
        <v>1.86</v>
      </c>
      <c r="M70" s="11">
        <v>269028.92</v>
      </c>
      <c r="N70" s="11">
        <v>3224.06</v>
      </c>
      <c r="O70" s="11">
        <v>97311.7</v>
      </c>
      <c r="P70" s="11">
        <f t="shared" si="11"/>
        <v>72415.060000000012</v>
      </c>
      <c r="Q70" s="11">
        <v>1431.23</v>
      </c>
      <c r="R70" s="11">
        <v>4833.78</v>
      </c>
      <c r="S70" s="11">
        <v>34177.54</v>
      </c>
      <c r="T70" s="11" t="s">
        <v>362</v>
      </c>
      <c r="U70" s="11">
        <v>29752.31</v>
      </c>
      <c r="V70" s="11">
        <v>2220.2000000000116</v>
      </c>
      <c r="W70" s="53">
        <f t="shared" ref="W70:W133" si="12">SUM(M70:P70)</f>
        <v>441979.74</v>
      </c>
      <c r="X70" s="72">
        <f t="shared" ref="X70:X133" si="13">M70/$W70</f>
        <v>0.60869061554721937</v>
      </c>
      <c r="Y70" s="72">
        <f t="shared" ref="Y70:Y133" si="14">N70/$W70</f>
        <v>7.2945877564433159E-3</v>
      </c>
      <c r="Z70" s="72">
        <f t="shared" ref="Z70:Z133" si="15">O70/$W70</f>
        <v>0.22017230925562334</v>
      </c>
      <c r="AA70" s="72">
        <f t="shared" ref="AA70:AA133" si="16">P70/$W70</f>
        <v>0.16384248744071395</v>
      </c>
    </row>
    <row r="71" spans="1:27">
      <c r="A71" s="7" t="s">
        <v>6</v>
      </c>
      <c r="B71" s="7">
        <v>10005781</v>
      </c>
      <c r="C71" s="7" t="str">
        <f t="shared" si="10"/>
        <v>ENERO10005781Inventario inicial</v>
      </c>
      <c r="D71" s="7" t="s">
        <v>363</v>
      </c>
      <c r="E71" s="3" t="s">
        <v>316</v>
      </c>
      <c r="F71" s="8">
        <v>17040</v>
      </c>
      <c r="G71" s="2" t="s">
        <v>317</v>
      </c>
      <c r="H71" s="11">
        <v>35443.199999999997</v>
      </c>
      <c r="I71" s="11">
        <v>770.38</v>
      </c>
      <c r="J71" s="11"/>
      <c r="K71" s="11">
        <v>36213.58</v>
      </c>
      <c r="L71" s="16">
        <v>2.13</v>
      </c>
      <c r="M71" s="11">
        <v>24064.33</v>
      </c>
      <c r="N71" s="11">
        <v>281.54000000000002</v>
      </c>
      <c r="O71" s="11">
        <v>7119.73</v>
      </c>
      <c r="P71" s="11">
        <f t="shared" si="11"/>
        <v>4747.9800000000014</v>
      </c>
      <c r="Q71" s="11">
        <v>198.98</v>
      </c>
      <c r="R71" s="11">
        <v>475.98</v>
      </c>
      <c r="S71" s="11">
        <v>1900.36</v>
      </c>
      <c r="T71" s="11">
        <v>2060.33</v>
      </c>
      <c r="U71" s="11"/>
      <c r="V71" s="11">
        <v>112.33000000000175</v>
      </c>
      <c r="W71" s="53">
        <f t="shared" si="12"/>
        <v>36213.58</v>
      </c>
      <c r="X71" s="72">
        <f t="shared" si="13"/>
        <v>0.66451121374909639</v>
      </c>
      <c r="Y71" s="72">
        <f t="shared" si="14"/>
        <v>7.7744315806390863E-3</v>
      </c>
      <c r="Z71" s="72">
        <f t="shared" si="15"/>
        <v>0.19660387070264798</v>
      </c>
      <c r="AA71" s="72">
        <f t="shared" si="16"/>
        <v>0.1311104839676166</v>
      </c>
    </row>
    <row r="72" spans="1:27">
      <c r="A72" s="7" t="s">
        <v>6</v>
      </c>
      <c r="B72" s="7">
        <v>10005781</v>
      </c>
      <c r="C72" s="7" t="str">
        <f t="shared" si="10"/>
        <v>ENERO10005781Revalorización</v>
      </c>
      <c r="D72" s="7" t="s">
        <v>363</v>
      </c>
      <c r="E72" s="3" t="s">
        <v>318</v>
      </c>
      <c r="F72" s="8">
        <v>0</v>
      </c>
      <c r="G72" s="2" t="s">
        <v>317</v>
      </c>
      <c r="H72" s="11">
        <v>-170.4</v>
      </c>
      <c r="I72" s="11">
        <v>170.4</v>
      </c>
      <c r="J72" s="11"/>
      <c r="K72" s="11">
        <v>0</v>
      </c>
      <c r="L72" s="16">
        <v>0</v>
      </c>
      <c r="M72" s="11">
        <v>0</v>
      </c>
      <c r="N72" s="11">
        <v>0</v>
      </c>
      <c r="O72" s="11">
        <v>0</v>
      </c>
      <c r="P72" s="11">
        <f t="shared" si="11"/>
        <v>0</v>
      </c>
      <c r="Q72" s="11">
        <v>0</v>
      </c>
      <c r="R72" s="11">
        <v>0</v>
      </c>
      <c r="S72" s="11">
        <v>0</v>
      </c>
      <c r="T72" s="11">
        <v>0</v>
      </c>
      <c r="U72" s="11"/>
      <c r="V72" s="11">
        <v>0</v>
      </c>
      <c r="W72" s="53">
        <f t="shared" si="12"/>
        <v>0</v>
      </c>
      <c r="X72" s="72" t="e">
        <f t="shared" si="13"/>
        <v>#DIV/0!</v>
      </c>
      <c r="Y72" s="72" t="e">
        <f t="shared" si="14"/>
        <v>#DIV/0!</v>
      </c>
      <c r="Z72" s="72" t="e">
        <f t="shared" si="15"/>
        <v>#DIV/0!</v>
      </c>
      <c r="AA72" s="72" t="e">
        <f t="shared" si="16"/>
        <v>#DIV/0!</v>
      </c>
    </row>
    <row r="73" spans="1:27">
      <c r="A73" s="7" t="s">
        <v>6</v>
      </c>
      <c r="B73" s="7">
        <v>10005781</v>
      </c>
      <c r="C73" s="7" t="str">
        <f t="shared" si="10"/>
        <v>ENERO10005781Entradas</v>
      </c>
      <c r="D73" s="7" t="s">
        <v>363</v>
      </c>
      <c r="E73" s="3" t="s">
        <v>164</v>
      </c>
      <c r="F73" s="8">
        <v>28720</v>
      </c>
      <c r="G73" s="2" t="s">
        <v>317</v>
      </c>
      <c r="H73" s="11">
        <v>59450.400000000001</v>
      </c>
      <c r="I73" s="11">
        <v>-5173.8</v>
      </c>
      <c r="J73" s="11"/>
      <c r="K73" s="11">
        <v>54276.6</v>
      </c>
      <c r="L73" s="16">
        <v>1.89</v>
      </c>
      <c r="M73" s="11">
        <v>33170.14</v>
      </c>
      <c r="N73" s="11">
        <v>479.43</v>
      </c>
      <c r="O73" s="11">
        <v>11584.68</v>
      </c>
      <c r="P73" s="11">
        <f t="shared" si="11"/>
        <v>9042.3499999999985</v>
      </c>
      <c r="Q73" s="11">
        <v>64.510000000000005</v>
      </c>
      <c r="R73" s="11">
        <v>493.73</v>
      </c>
      <c r="S73" s="11">
        <v>4510.88</v>
      </c>
      <c r="T73" s="11">
        <v>3651.17</v>
      </c>
      <c r="U73" s="11"/>
      <c r="V73" s="11">
        <v>322.05999999999767</v>
      </c>
      <c r="W73" s="53">
        <f t="shared" si="12"/>
        <v>54276.6</v>
      </c>
      <c r="X73" s="72">
        <f t="shared" si="13"/>
        <v>0.61113150049929432</v>
      </c>
      <c r="Y73" s="72">
        <f t="shared" si="14"/>
        <v>8.833088292192216E-3</v>
      </c>
      <c r="Z73" s="72">
        <f t="shared" si="15"/>
        <v>0.21343783508915445</v>
      </c>
      <c r="AA73" s="72">
        <f t="shared" si="16"/>
        <v>0.16659757611935896</v>
      </c>
    </row>
    <row r="74" spans="1:27">
      <c r="A74" s="7" t="s">
        <v>6</v>
      </c>
      <c r="B74" s="7">
        <v>10005781</v>
      </c>
      <c r="C74" s="7" t="str">
        <f t="shared" si="10"/>
        <v>ENERO10005781Inv. acumulado</v>
      </c>
      <c r="D74" s="7" t="s">
        <v>363</v>
      </c>
      <c r="E74" s="3" t="s">
        <v>327</v>
      </c>
      <c r="F74" s="8">
        <v>45760</v>
      </c>
      <c r="G74" s="2" t="s">
        <v>317</v>
      </c>
      <c r="H74" s="11">
        <v>94723.199999999997</v>
      </c>
      <c r="I74" s="11">
        <v>-4233.0200000000004</v>
      </c>
      <c r="J74" s="11"/>
      <c r="K74" s="11">
        <v>90490.18</v>
      </c>
      <c r="L74" s="16">
        <v>1.98</v>
      </c>
      <c r="M74" s="11">
        <v>57234.47</v>
      </c>
      <c r="N74" s="11">
        <v>760.97</v>
      </c>
      <c r="O74" s="11">
        <v>18704.41</v>
      </c>
      <c r="P74" s="11">
        <f t="shared" si="11"/>
        <v>13790.329999999984</v>
      </c>
      <c r="Q74" s="11">
        <v>263.49</v>
      </c>
      <c r="R74" s="11">
        <v>969.71</v>
      </c>
      <c r="S74" s="11">
        <v>6411.24</v>
      </c>
      <c r="T74" s="11">
        <v>5711.5</v>
      </c>
      <c r="U74" s="11"/>
      <c r="V74" s="11">
        <v>434.38999999998487</v>
      </c>
      <c r="W74" s="53">
        <f t="shared" si="12"/>
        <v>90490.18</v>
      </c>
      <c r="X74" s="72">
        <f t="shared" si="13"/>
        <v>0.63249371368252338</v>
      </c>
      <c r="Y74" s="72">
        <f t="shared" si="14"/>
        <v>8.4094207791386884E-3</v>
      </c>
      <c r="Z74" s="72">
        <f t="shared" si="15"/>
        <v>0.20670099230656852</v>
      </c>
      <c r="AA74" s="72">
        <f t="shared" si="16"/>
        <v>0.15239587323176929</v>
      </c>
    </row>
    <row r="75" spans="1:27">
      <c r="A75" s="7" t="s">
        <v>6</v>
      </c>
      <c r="B75" s="7">
        <v>10005781</v>
      </c>
      <c r="C75" s="7" t="str">
        <f t="shared" si="10"/>
        <v>ENERO10005781Compensación</v>
      </c>
      <c r="D75" s="7" t="s">
        <v>363</v>
      </c>
      <c r="E75" s="3" t="s">
        <v>114</v>
      </c>
      <c r="F75" s="9">
        <v>17040</v>
      </c>
      <c r="G75" s="3" t="s">
        <v>317</v>
      </c>
      <c r="H75" s="12">
        <v>35272.800000000003</v>
      </c>
      <c r="I75" s="12">
        <v>-1576.28</v>
      </c>
      <c r="J75" s="13"/>
      <c r="K75" s="12">
        <v>33696.519999999997</v>
      </c>
      <c r="L75" s="17">
        <v>1.98</v>
      </c>
      <c r="M75" s="12">
        <v>21312.84</v>
      </c>
      <c r="N75" s="12">
        <v>283.36</v>
      </c>
      <c r="O75" s="12">
        <v>6965.11</v>
      </c>
      <c r="P75" s="12">
        <f t="shared" si="11"/>
        <v>5135.2099999999946</v>
      </c>
      <c r="Q75" s="12">
        <v>98.12</v>
      </c>
      <c r="R75" s="12">
        <v>361.09</v>
      </c>
      <c r="S75" s="12">
        <v>2387.41</v>
      </c>
      <c r="T75" s="12">
        <v>2126.83</v>
      </c>
      <c r="U75" s="14"/>
      <c r="V75" s="11">
        <v>161.75999999999476</v>
      </c>
      <c r="W75" s="53">
        <f t="shared" si="12"/>
        <v>33696.519999999997</v>
      </c>
      <c r="X75" s="72">
        <f t="shared" si="13"/>
        <v>0.63249380054676274</v>
      </c>
      <c r="Y75" s="72">
        <f t="shared" si="14"/>
        <v>8.4091769713905192E-3</v>
      </c>
      <c r="Z75" s="72">
        <f t="shared" si="15"/>
        <v>0.20670116676736947</v>
      </c>
      <c r="AA75" s="72">
        <f t="shared" si="16"/>
        <v>0.1523958557144772</v>
      </c>
    </row>
    <row r="76" spans="1:27">
      <c r="A76" s="7" t="s">
        <v>6</v>
      </c>
      <c r="B76" s="7">
        <v>10005781</v>
      </c>
      <c r="C76" s="7" t="str">
        <f t="shared" si="10"/>
        <v>ENERO10005781Inventario final</v>
      </c>
      <c r="D76" s="7" t="s">
        <v>363</v>
      </c>
      <c r="E76" s="3" t="s">
        <v>218</v>
      </c>
      <c r="F76" s="9">
        <v>28720</v>
      </c>
      <c r="G76" s="3" t="s">
        <v>317</v>
      </c>
      <c r="H76" s="12">
        <v>59450.400000000001</v>
      </c>
      <c r="I76" s="12">
        <v>2656.74</v>
      </c>
      <c r="J76" s="13"/>
      <c r="K76" s="12">
        <v>56793.66</v>
      </c>
      <c r="L76" s="17">
        <v>1.98</v>
      </c>
      <c r="M76" s="12">
        <v>35921.629999999997</v>
      </c>
      <c r="N76" s="12">
        <v>477.61</v>
      </c>
      <c r="O76" s="12">
        <v>11739.3</v>
      </c>
      <c r="P76" s="12">
        <f t="shared" si="11"/>
        <v>8655.1200000000117</v>
      </c>
      <c r="Q76" s="12">
        <v>165.37</v>
      </c>
      <c r="R76" s="12">
        <v>608.62</v>
      </c>
      <c r="S76" s="12">
        <v>4023.83</v>
      </c>
      <c r="T76" s="12">
        <v>3584.67</v>
      </c>
      <c r="U76" s="14"/>
      <c r="V76" s="11">
        <v>272.63000000001193</v>
      </c>
      <c r="W76" s="53">
        <f t="shared" si="12"/>
        <v>56793.66</v>
      </c>
      <c r="X76" s="72">
        <f t="shared" si="13"/>
        <v>0.63249366214468294</v>
      </c>
      <c r="Y76" s="72">
        <f t="shared" si="14"/>
        <v>8.4095654338882195E-3</v>
      </c>
      <c r="Z76" s="72">
        <f t="shared" si="15"/>
        <v>0.20670088879639029</v>
      </c>
      <c r="AA76" s="72">
        <f t="shared" si="16"/>
        <v>0.15239588362503861</v>
      </c>
    </row>
    <row r="77" spans="1:27">
      <c r="A77" s="7" t="s">
        <v>7</v>
      </c>
      <c r="B77" s="7">
        <v>10005781</v>
      </c>
      <c r="C77" s="7" t="str">
        <f t="shared" si="10"/>
        <v>FEBRERO10005781Inventario inicial</v>
      </c>
      <c r="D77" s="7" t="s">
        <v>363</v>
      </c>
      <c r="E77" s="3" t="s">
        <v>316</v>
      </c>
      <c r="F77" s="9">
        <v>28720</v>
      </c>
      <c r="G77" s="3" t="s">
        <v>317</v>
      </c>
      <c r="H77" s="12">
        <v>59450.400000000001</v>
      </c>
      <c r="I77" s="12" t="s">
        <v>364</v>
      </c>
      <c r="J77" s="13"/>
      <c r="K77" s="12">
        <v>56793.66</v>
      </c>
      <c r="L77" s="17">
        <v>1.98</v>
      </c>
      <c r="M77" s="12">
        <v>35921.629999999997</v>
      </c>
      <c r="N77" s="12">
        <v>477.61</v>
      </c>
      <c r="O77" s="12">
        <v>11739.3</v>
      </c>
      <c r="P77" s="12">
        <f t="shared" si="11"/>
        <v>8655.1200000000117</v>
      </c>
      <c r="Q77" s="12">
        <v>165.37</v>
      </c>
      <c r="R77" s="12">
        <v>608.62</v>
      </c>
      <c r="S77" s="12">
        <v>4023.83</v>
      </c>
      <c r="T77" s="12" t="s">
        <v>365</v>
      </c>
      <c r="U77" s="14">
        <v>3584.67</v>
      </c>
      <c r="V77" s="11">
        <v>272.63000000001193</v>
      </c>
      <c r="W77" s="53">
        <f t="shared" si="12"/>
        <v>56793.66</v>
      </c>
      <c r="X77" s="72">
        <f t="shared" si="13"/>
        <v>0.63249366214468294</v>
      </c>
      <c r="Y77" s="72">
        <f t="shared" si="14"/>
        <v>8.4095654338882195E-3</v>
      </c>
      <c r="Z77" s="72">
        <f t="shared" si="15"/>
        <v>0.20670088879639029</v>
      </c>
      <c r="AA77" s="72">
        <f t="shared" si="16"/>
        <v>0.15239588362503861</v>
      </c>
    </row>
    <row r="78" spans="1:27">
      <c r="A78" s="7" t="s">
        <v>7</v>
      </c>
      <c r="B78" s="7">
        <v>10005781</v>
      </c>
      <c r="C78" s="7" t="str">
        <f t="shared" si="10"/>
        <v>FEBRERO10005781Revalorización</v>
      </c>
      <c r="D78" s="7" t="s">
        <v>363</v>
      </c>
      <c r="E78" s="3" t="s">
        <v>318</v>
      </c>
      <c r="F78" s="9">
        <v>0</v>
      </c>
      <c r="G78" s="3" t="s">
        <v>317</v>
      </c>
      <c r="H78" s="12">
        <v>1723.2</v>
      </c>
      <c r="I78" s="12" t="s">
        <v>366</v>
      </c>
      <c r="J78" s="13"/>
      <c r="K78" s="12">
        <v>0</v>
      </c>
      <c r="L78" s="17">
        <v>0</v>
      </c>
      <c r="M78" s="12">
        <v>0</v>
      </c>
      <c r="N78" s="12">
        <v>0</v>
      </c>
      <c r="O78" s="12">
        <v>0</v>
      </c>
      <c r="P78" s="12">
        <f t="shared" si="11"/>
        <v>0</v>
      </c>
      <c r="Q78" s="12">
        <v>0</v>
      </c>
      <c r="R78" s="12">
        <v>0</v>
      </c>
      <c r="S78" s="12">
        <v>0</v>
      </c>
      <c r="T78" s="12">
        <v>0</v>
      </c>
      <c r="U78" s="14">
        <v>0</v>
      </c>
      <c r="V78" s="11">
        <v>0</v>
      </c>
      <c r="W78" s="53">
        <f t="shared" si="12"/>
        <v>0</v>
      </c>
      <c r="X78" s="72" t="e">
        <f t="shared" si="13"/>
        <v>#DIV/0!</v>
      </c>
      <c r="Y78" s="72" t="e">
        <f t="shared" si="14"/>
        <v>#DIV/0!</v>
      </c>
      <c r="Z78" s="72" t="e">
        <f t="shared" si="15"/>
        <v>#DIV/0!</v>
      </c>
      <c r="AA78" s="72" t="e">
        <f t="shared" si="16"/>
        <v>#DIV/0!</v>
      </c>
    </row>
    <row r="79" spans="1:27">
      <c r="A79" s="7" t="s">
        <v>7</v>
      </c>
      <c r="B79" s="7">
        <v>10005781</v>
      </c>
      <c r="C79" s="7" t="str">
        <f t="shared" si="10"/>
        <v>FEBRERO10005781Entradas</v>
      </c>
      <c r="D79" s="7" t="s">
        <v>363</v>
      </c>
      <c r="E79" s="3" t="s">
        <v>164</v>
      </c>
      <c r="F79" s="9">
        <v>39100</v>
      </c>
      <c r="G79" s="3" t="s">
        <v>317</v>
      </c>
      <c r="H79" s="12">
        <v>83283</v>
      </c>
      <c r="I79" s="12" t="s">
        <v>367</v>
      </c>
      <c r="J79" s="13"/>
      <c r="K79" s="12">
        <v>69096.94</v>
      </c>
      <c r="L79" s="17">
        <v>1.77</v>
      </c>
      <c r="M79" s="12">
        <v>39977.199999999997</v>
      </c>
      <c r="N79" s="12">
        <v>614.88</v>
      </c>
      <c r="O79" s="12">
        <v>15927.99</v>
      </c>
      <c r="P79" s="12">
        <f t="shared" si="11"/>
        <v>12576.87000000001</v>
      </c>
      <c r="Q79" s="12">
        <v>274.29000000000002</v>
      </c>
      <c r="R79" s="12">
        <v>674.48</v>
      </c>
      <c r="S79" s="12">
        <v>6161.49</v>
      </c>
      <c r="T79" s="12" t="s">
        <v>325</v>
      </c>
      <c r="U79" s="14">
        <v>4987.99</v>
      </c>
      <c r="V79" s="11">
        <v>478.6200000000099</v>
      </c>
      <c r="W79" s="53">
        <f t="shared" si="12"/>
        <v>69096.94</v>
      </c>
      <c r="X79" s="72">
        <f t="shared" si="13"/>
        <v>0.57856686562386117</v>
      </c>
      <c r="Y79" s="72">
        <f t="shared" si="14"/>
        <v>8.8988021756100915E-3</v>
      </c>
      <c r="Z79" s="72">
        <f t="shared" si="15"/>
        <v>0.23051657569785289</v>
      </c>
      <c r="AA79" s="72">
        <f t="shared" si="16"/>
        <v>0.18201775650267593</v>
      </c>
    </row>
    <row r="80" spans="1:27">
      <c r="A80" s="7" t="s">
        <v>7</v>
      </c>
      <c r="B80" s="7">
        <v>10005781</v>
      </c>
      <c r="C80" s="7" t="str">
        <f t="shared" si="10"/>
        <v>FEBRERO10005781Inventario acumulado</v>
      </c>
      <c r="D80" s="7" t="s">
        <v>363</v>
      </c>
      <c r="E80" s="3" t="s">
        <v>319</v>
      </c>
      <c r="F80" s="9">
        <v>67820</v>
      </c>
      <c r="G80" s="3" t="s">
        <v>317</v>
      </c>
      <c r="H80" s="12">
        <v>144456.6</v>
      </c>
      <c r="I80" s="12" t="s">
        <v>368</v>
      </c>
      <c r="J80" s="13"/>
      <c r="K80" s="12">
        <v>125890.6</v>
      </c>
      <c r="L80" s="17">
        <v>1.86</v>
      </c>
      <c r="M80" s="12">
        <v>75898.83</v>
      </c>
      <c r="N80" s="12">
        <v>1092.49</v>
      </c>
      <c r="O80" s="12">
        <v>27667.29</v>
      </c>
      <c r="P80" s="12">
        <f t="shared" si="11"/>
        <v>21231.989999999998</v>
      </c>
      <c r="Q80" s="12">
        <v>439.66</v>
      </c>
      <c r="R80" s="12">
        <v>1283.0999999999999</v>
      </c>
      <c r="S80" s="12">
        <v>10185.32</v>
      </c>
      <c r="T80" s="11" t="s">
        <v>369</v>
      </c>
      <c r="U80" s="11">
        <v>8572.66</v>
      </c>
      <c r="V80" s="11">
        <v>751.25</v>
      </c>
      <c r="W80" s="53">
        <f t="shared" si="12"/>
        <v>125890.6</v>
      </c>
      <c r="X80" s="72">
        <f t="shared" si="13"/>
        <v>0.6028951327581249</v>
      </c>
      <c r="Y80" s="72">
        <f t="shared" si="14"/>
        <v>8.6780903419318035E-3</v>
      </c>
      <c r="Z80" s="72">
        <f t="shared" si="15"/>
        <v>0.21977248499887997</v>
      </c>
      <c r="AA80" s="72">
        <f t="shared" si="16"/>
        <v>0.16865429190106329</v>
      </c>
    </row>
    <row r="81" spans="1:27">
      <c r="A81" s="7" t="s">
        <v>7</v>
      </c>
      <c r="B81" s="7">
        <v>10005781</v>
      </c>
      <c r="C81" s="7" t="str">
        <f t="shared" si="10"/>
        <v>FEBRERO10005781Inventario final</v>
      </c>
      <c r="D81" s="7" t="s">
        <v>363</v>
      </c>
      <c r="E81" s="3" t="s">
        <v>218</v>
      </c>
      <c r="F81" s="8">
        <v>67820</v>
      </c>
      <c r="G81" s="2" t="s">
        <v>317</v>
      </c>
      <c r="H81" s="11">
        <v>144456.6</v>
      </c>
      <c r="I81" s="11" t="s">
        <v>368</v>
      </c>
      <c r="J81" s="11"/>
      <c r="K81" s="11">
        <v>125890.6</v>
      </c>
      <c r="L81" s="16">
        <v>1.86</v>
      </c>
      <c r="M81" s="11">
        <v>75898.83</v>
      </c>
      <c r="N81" s="11">
        <v>1092.49</v>
      </c>
      <c r="O81" s="11">
        <v>27667.29</v>
      </c>
      <c r="P81" s="11">
        <f t="shared" si="11"/>
        <v>21231.989999999998</v>
      </c>
      <c r="Q81" s="11">
        <v>439.66</v>
      </c>
      <c r="R81" s="11">
        <v>1283.0999999999999</v>
      </c>
      <c r="S81" s="11">
        <v>10185.32</v>
      </c>
      <c r="T81" s="11" t="s">
        <v>369</v>
      </c>
      <c r="U81" s="11">
        <v>8572.66</v>
      </c>
      <c r="V81" s="11">
        <v>751.25</v>
      </c>
      <c r="W81" s="53">
        <f t="shared" si="12"/>
        <v>125890.6</v>
      </c>
      <c r="X81" s="72">
        <f t="shared" si="13"/>
        <v>0.6028951327581249</v>
      </c>
      <c r="Y81" s="72">
        <f t="shared" si="14"/>
        <v>8.6780903419318035E-3</v>
      </c>
      <c r="Z81" s="72">
        <f t="shared" si="15"/>
        <v>0.21977248499887997</v>
      </c>
      <c r="AA81" s="72">
        <f t="shared" si="16"/>
        <v>0.16865429190106329</v>
      </c>
    </row>
    <row r="82" spans="1:27">
      <c r="A82" s="7" t="s">
        <v>6</v>
      </c>
      <c r="B82" s="7">
        <v>10007567</v>
      </c>
      <c r="C82" s="7" t="str">
        <f t="shared" si="10"/>
        <v>ENERO10007567Inventario inicial</v>
      </c>
      <c r="D82" s="7" t="s">
        <v>370</v>
      </c>
      <c r="E82" s="3" t="s">
        <v>316</v>
      </c>
      <c r="F82" s="8">
        <v>30440</v>
      </c>
      <c r="G82" s="2" t="s">
        <v>317</v>
      </c>
      <c r="H82" s="11">
        <v>56618.400000000001</v>
      </c>
      <c r="I82" s="11">
        <v>1543.11</v>
      </c>
      <c r="J82" s="11"/>
      <c r="K82" s="11">
        <v>58161.51</v>
      </c>
      <c r="L82" s="16">
        <v>1.91</v>
      </c>
      <c r="M82" s="11">
        <v>39830.400000000001</v>
      </c>
      <c r="N82" s="11">
        <v>493.59</v>
      </c>
      <c r="O82" s="11">
        <v>9574.4</v>
      </c>
      <c r="P82" s="11">
        <f t="shared" si="11"/>
        <v>8263.1200000000063</v>
      </c>
      <c r="Q82" s="11">
        <v>211.68</v>
      </c>
      <c r="R82" s="11">
        <v>844.83</v>
      </c>
      <c r="S82" s="11">
        <v>3417.18</v>
      </c>
      <c r="T82" s="11">
        <v>3648.08</v>
      </c>
      <c r="U82" s="11"/>
      <c r="V82" s="11">
        <v>141.35000000000582</v>
      </c>
      <c r="W82" s="53">
        <f t="shared" si="12"/>
        <v>58161.510000000009</v>
      </c>
      <c r="X82" s="72">
        <f t="shared" si="13"/>
        <v>0.68482403568958228</v>
      </c>
      <c r="Y82" s="72">
        <f t="shared" si="14"/>
        <v>8.4865403253801333E-3</v>
      </c>
      <c r="Z82" s="72">
        <f t="shared" si="15"/>
        <v>0.16461745920970755</v>
      </c>
      <c r="AA82" s="72">
        <f t="shared" si="16"/>
        <v>0.14207196477533002</v>
      </c>
    </row>
    <row r="83" spans="1:27">
      <c r="A83" s="7" t="s">
        <v>6</v>
      </c>
      <c r="B83" s="7">
        <v>10007567</v>
      </c>
      <c r="C83" s="7" t="str">
        <f t="shared" si="10"/>
        <v>ENERO10007567Revalorización</v>
      </c>
      <c r="D83" s="7" t="s">
        <v>370</v>
      </c>
      <c r="E83" s="3" t="s">
        <v>318</v>
      </c>
      <c r="F83" s="8">
        <v>0</v>
      </c>
      <c r="G83" s="2" t="s">
        <v>317</v>
      </c>
      <c r="H83" s="11">
        <v>913.2</v>
      </c>
      <c r="I83" s="11">
        <v>-913.2</v>
      </c>
      <c r="J83" s="11"/>
      <c r="K83" s="11">
        <v>0</v>
      </c>
      <c r="L83" s="16">
        <v>0</v>
      </c>
      <c r="M83" s="11">
        <v>0</v>
      </c>
      <c r="N83" s="11">
        <v>0</v>
      </c>
      <c r="O83" s="11">
        <v>0</v>
      </c>
      <c r="P83" s="11">
        <f t="shared" si="11"/>
        <v>0</v>
      </c>
      <c r="Q83" s="11">
        <v>0</v>
      </c>
      <c r="R83" s="11">
        <v>0</v>
      </c>
      <c r="S83" s="11">
        <v>0</v>
      </c>
      <c r="T83" s="11">
        <v>0</v>
      </c>
      <c r="U83" s="11"/>
      <c r="V83" s="11">
        <v>0</v>
      </c>
      <c r="W83" s="53">
        <f t="shared" si="12"/>
        <v>0</v>
      </c>
      <c r="X83" s="72" t="e">
        <f t="shared" si="13"/>
        <v>#DIV/0!</v>
      </c>
      <c r="Y83" s="72" t="e">
        <f t="shared" si="14"/>
        <v>#DIV/0!</v>
      </c>
      <c r="Z83" s="72" t="e">
        <f t="shared" si="15"/>
        <v>#DIV/0!</v>
      </c>
      <c r="AA83" s="72" t="e">
        <f t="shared" si="16"/>
        <v>#DIV/0!</v>
      </c>
    </row>
    <row r="84" spans="1:27">
      <c r="A84" s="7" t="s">
        <v>6</v>
      </c>
      <c r="B84" s="7">
        <v>10007567</v>
      </c>
      <c r="C84" s="7" t="str">
        <f t="shared" si="10"/>
        <v>ENERO10007567Entradas</v>
      </c>
      <c r="D84" s="7" t="s">
        <v>370</v>
      </c>
      <c r="E84" s="3" t="s">
        <v>164</v>
      </c>
      <c r="F84" s="8">
        <v>46420</v>
      </c>
      <c r="G84" s="2" t="s">
        <v>317</v>
      </c>
      <c r="H84" s="11">
        <v>87733.8</v>
      </c>
      <c r="I84" s="11">
        <v>-5253.54</v>
      </c>
      <c r="J84" s="11"/>
      <c r="K84" s="11">
        <v>82480.259999999995</v>
      </c>
      <c r="L84" s="16">
        <v>1.78</v>
      </c>
      <c r="M84" s="11">
        <v>53587.96</v>
      </c>
      <c r="N84" s="11">
        <v>884.42</v>
      </c>
      <c r="O84" s="11">
        <v>13386</v>
      </c>
      <c r="P84" s="11">
        <f t="shared" si="11"/>
        <v>14621.879999999986</v>
      </c>
      <c r="Q84" s="11">
        <v>104.26</v>
      </c>
      <c r="R84" s="11">
        <v>798.01</v>
      </c>
      <c r="S84" s="11">
        <v>7290.91</v>
      </c>
      <c r="T84" s="11">
        <v>5901.37</v>
      </c>
      <c r="U84" s="11"/>
      <c r="V84" s="11">
        <v>527.32999999998719</v>
      </c>
      <c r="W84" s="53">
        <f t="shared" si="12"/>
        <v>82480.259999999995</v>
      </c>
      <c r="X84" s="72">
        <f t="shared" si="13"/>
        <v>0.64970648734618441</v>
      </c>
      <c r="Y84" s="72">
        <f t="shared" si="14"/>
        <v>1.0722808099780481E-2</v>
      </c>
      <c r="Z84" s="72">
        <f t="shared" si="15"/>
        <v>0.16229337783367803</v>
      </c>
      <c r="AA84" s="72">
        <f t="shared" si="16"/>
        <v>0.17727732672035693</v>
      </c>
    </row>
    <row r="85" spans="1:27">
      <c r="A85" s="7" t="s">
        <v>6</v>
      </c>
      <c r="B85" s="7">
        <v>10007567</v>
      </c>
      <c r="C85" s="7" t="str">
        <f t="shared" si="10"/>
        <v>ENERO10007567Inv. acumulado</v>
      </c>
      <c r="D85" s="7" t="s">
        <v>370</v>
      </c>
      <c r="E85" s="3" t="s">
        <v>327</v>
      </c>
      <c r="F85" s="8">
        <v>76860</v>
      </c>
      <c r="G85" s="2" t="s">
        <v>317</v>
      </c>
      <c r="H85" s="11">
        <v>145265.4</v>
      </c>
      <c r="I85" s="11">
        <v>-4623.63</v>
      </c>
      <c r="J85" s="11"/>
      <c r="K85" s="11">
        <v>140641.76999999999</v>
      </c>
      <c r="L85" s="16">
        <v>1.83</v>
      </c>
      <c r="M85" s="11">
        <v>93418.36</v>
      </c>
      <c r="N85" s="11">
        <v>1378.01</v>
      </c>
      <c r="O85" s="11">
        <v>22960.400000000001</v>
      </c>
      <c r="P85" s="11">
        <f t="shared" si="11"/>
        <v>22884.999999999993</v>
      </c>
      <c r="Q85" s="11">
        <v>315.94</v>
      </c>
      <c r="R85" s="11">
        <v>1642.84</v>
      </c>
      <c r="S85" s="11">
        <v>10708.09</v>
      </c>
      <c r="T85" s="11">
        <v>9549.4500000000007</v>
      </c>
      <c r="U85" s="11"/>
      <c r="V85" s="11">
        <v>668.67999999999302</v>
      </c>
      <c r="W85" s="53">
        <f t="shared" si="12"/>
        <v>140641.76999999999</v>
      </c>
      <c r="X85" s="72">
        <f t="shared" si="13"/>
        <v>0.66422912624037656</v>
      </c>
      <c r="Y85" s="72">
        <f t="shared" si="14"/>
        <v>9.7980137764193398E-3</v>
      </c>
      <c r="Z85" s="72">
        <f t="shared" si="15"/>
        <v>0.16325448691380948</v>
      </c>
      <c r="AA85" s="72">
        <f t="shared" si="16"/>
        <v>0.16271837306939463</v>
      </c>
    </row>
    <row r="86" spans="1:27">
      <c r="A86" s="7" t="s">
        <v>6</v>
      </c>
      <c r="B86" s="7">
        <v>10007567</v>
      </c>
      <c r="C86" s="7" t="str">
        <f t="shared" si="10"/>
        <v>ENERO10007567Compensación</v>
      </c>
      <c r="D86" s="7" t="s">
        <v>370</v>
      </c>
      <c r="E86" s="3" t="s">
        <v>114</v>
      </c>
      <c r="F86" s="8">
        <v>48960</v>
      </c>
      <c r="G86" s="2" t="s">
        <v>317</v>
      </c>
      <c r="H86" s="11">
        <v>92534.399999999994</v>
      </c>
      <c r="I86" s="11">
        <v>-2945.26</v>
      </c>
      <c r="J86" s="11"/>
      <c r="K86" s="11">
        <v>89589.14</v>
      </c>
      <c r="L86" s="16">
        <v>1.83</v>
      </c>
      <c r="M86" s="11">
        <v>59507.71</v>
      </c>
      <c r="N86" s="11">
        <v>877.8</v>
      </c>
      <c r="O86" s="11">
        <v>14625.83</v>
      </c>
      <c r="P86" s="11">
        <f t="shared" si="11"/>
        <v>14577.800000000007</v>
      </c>
      <c r="Q86" s="11">
        <v>201.25</v>
      </c>
      <c r="R86" s="11">
        <v>1046.5</v>
      </c>
      <c r="S86" s="11">
        <v>6821.07</v>
      </c>
      <c r="T86" s="11">
        <v>6083.02</v>
      </c>
      <c r="U86" s="11"/>
      <c r="V86" s="11">
        <v>425.9600000000064</v>
      </c>
      <c r="W86" s="53">
        <f t="shared" si="12"/>
        <v>89589.14</v>
      </c>
      <c r="X86" s="72">
        <f t="shared" si="13"/>
        <v>0.66422905722724879</v>
      </c>
      <c r="Y86" s="72">
        <f t="shared" si="14"/>
        <v>9.7980625776740351E-3</v>
      </c>
      <c r="Z86" s="72">
        <f t="shared" si="15"/>
        <v>0.16325449714105972</v>
      </c>
      <c r="AA86" s="72">
        <f t="shared" si="16"/>
        <v>0.16271838305401756</v>
      </c>
    </row>
    <row r="87" spans="1:27">
      <c r="A87" s="7" t="s">
        <v>6</v>
      </c>
      <c r="B87" s="7">
        <v>10007567</v>
      </c>
      <c r="C87" s="7" t="str">
        <f t="shared" si="10"/>
        <v>ENERO10007567Inventario final</v>
      </c>
      <c r="D87" s="7" t="s">
        <v>370</v>
      </c>
      <c r="E87" s="3" t="s">
        <v>218</v>
      </c>
      <c r="F87" s="9">
        <v>27900</v>
      </c>
      <c r="G87" s="3" t="s">
        <v>317</v>
      </c>
      <c r="H87" s="12">
        <v>52731</v>
      </c>
      <c r="I87" s="12">
        <v>-1678.37</v>
      </c>
      <c r="J87" s="15"/>
      <c r="K87" s="12">
        <v>51052.63</v>
      </c>
      <c r="L87" s="17">
        <v>1.83</v>
      </c>
      <c r="M87" s="12">
        <v>33910.65</v>
      </c>
      <c r="N87" s="12">
        <v>500.21</v>
      </c>
      <c r="O87" s="12">
        <v>8334.57</v>
      </c>
      <c r="P87" s="12">
        <f t="shared" si="11"/>
        <v>8307.1999999999935</v>
      </c>
      <c r="Q87" s="12">
        <v>114.69</v>
      </c>
      <c r="R87" s="12">
        <v>596.34</v>
      </c>
      <c r="S87" s="12">
        <v>3887.02</v>
      </c>
      <c r="T87" s="11">
        <v>3466.43</v>
      </c>
      <c r="U87" s="11"/>
      <c r="V87" s="11">
        <v>242.71999999999389</v>
      </c>
      <c r="W87" s="53">
        <f t="shared" si="12"/>
        <v>51052.62999999999</v>
      </c>
      <c r="X87" s="72">
        <f t="shared" si="13"/>
        <v>0.66422924734729649</v>
      </c>
      <c r="Y87" s="72">
        <f t="shared" si="14"/>
        <v>9.797928138080253E-3</v>
      </c>
      <c r="Z87" s="72">
        <f t="shared" si="15"/>
        <v>0.16325446896663309</v>
      </c>
      <c r="AA87" s="72">
        <f t="shared" si="16"/>
        <v>0.16271835554799027</v>
      </c>
    </row>
    <row r="88" spans="1:27">
      <c r="A88" s="7" t="s">
        <v>7</v>
      </c>
      <c r="B88" s="7">
        <v>10007567</v>
      </c>
      <c r="C88" s="7" t="str">
        <f t="shared" si="10"/>
        <v>FEBRERO10007567Inventario inicial</v>
      </c>
      <c r="D88" s="7" t="s">
        <v>370</v>
      </c>
      <c r="E88" s="3" t="s">
        <v>316</v>
      </c>
      <c r="F88" s="8">
        <v>27900</v>
      </c>
      <c r="G88" s="2" t="s">
        <v>317</v>
      </c>
      <c r="H88" s="11">
        <v>52731</v>
      </c>
      <c r="I88" s="11" t="s">
        <v>371</v>
      </c>
      <c r="J88" s="11"/>
      <c r="K88" s="11">
        <v>51052.63</v>
      </c>
      <c r="L88" s="16">
        <v>1.83</v>
      </c>
      <c r="M88" s="11">
        <v>33910.65</v>
      </c>
      <c r="N88" s="11">
        <v>500.21</v>
      </c>
      <c r="O88" s="11">
        <v>8334.57</v>
      </c>
      <c r="P88" s="11">
        <f t="shared" si="11"/>
        <v>8307.1999999999935</v>
      </c>
      <c r="Q88" s="11">
        <v>114.69</v>
      </c>
      <c r="R88" s="11">
        <v>596.34</v>
      </c>
      <c r="S88" s="11">
        <v>3887.02</v>
      </c>
      <c r="T88" s="11">
        <v>0</v>
      </c>
      <c r="U88" s="11">
        <v>3466.43</v>
      </c>
      <c r="V88" s="11">
        <v>242.71999999999389</v>
      </c>
      <c r="W88" s="53">
        <f t="shared" si="12"/>
        <v>51052.62999999999</v>
      </c>
      <c r="X88" s="72">
        <f t="shared" si="13"/>
        <v>0.66422924734729649</v>
      </c>
      <c r="Y88" s="72">
        <f t="shared" si="14"/>
        <v>9.797928138080253E-3</v>
      </c>
      <c r="Z88" s="72">
        <f t="shared" si="15"/>
        <v>0.16325446896663309</v>
      </c>
      <c r="AA88" s="72">
        <f t="shared" si="16"/>
        <v>0.16271835554799027</v>
      </c>
    </row>
    <row r="89" spans="1:27">
      <c r="A89" s="7" t="s">
        <v>7</v>
      </c>
      <c r="B89" s="7">
        <v>10007567</v>
      </c>
      <c r="C89" s="7" t="str">
        <f t="shared" si="10"/>
        <v>FEBRERO10007567Revalorización</v>
      </c>
      <c r="D89" s="7" t="s">
        <v>370</v>
      </c>
      <c r="E89" s="3" t="s">
        <v>318</v>
      </c>
      <c r="F89" s="8">
        <v>0</v>
      </c>
      <c r="G89" s="2" t="s">
        <v>317</v>
      </c>
      <c r="H89" s="11">
        <v>558</v>
      </c>
      <c r="I89" s="11" t="s">
        <v>372</v>
      </c>
      <c r="J89" s="11"/>
      <c r="K89" s="11">
        <v>0</v>
      </c>
      <c r="L89" s="16">
        <v>0</v>
      </c>
      <c r="M89" s="11">
        <v>0</v>
      </c>
      <c r="N89" s="11">
        <v>0</v>
      </c>
      <c r="O89" s="11">
        <v>0</v>
      </c>
      <c r="P89" s="11">
        <f t="shared" si="11"/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53">
        <f t="shared" si="12"/>
        <v>0</v>
      </c>
      <c r="X89" s="72" t="e">
        <f t="shared" si="13"/>
        <v>#DIV/0!</v>
      </c>
      <c r="Y89" s="72" t="e">
        <f t="shared" si="14"/>
        <v>#DIV/0!</v>
      </c>
      <c r="Z89" s="72" t="e">
        <f t="shared" si="15"/>
        <v>#DIV/0!</v>
      </c>
      <c r="AA89" s="72" t="e">
        <f t="shared" si="16"/>
        <v>#DIV/0!</v>
      </c>
    </row>
    <row r="90" spans="1:27">
      <c r="A90" s="7" t="s">
        <v>7</v>
      </c>
      <c r="B90" s="7">
        <v>10007567</v>
      </c>
      <c r="C90" s="7" t="str">
        <f t="shared" si="10"/>
        <v>FEBRERO10007567Entradas</v>
      </c>
      <c r="D90" s="7" t="s">
        <v>370</v>
      </c>
      <c r="E90" s="3" t="s">
        <v>164</v>
      </c>
      <c r="F90" s="8">
        <v>76980</v>
      </c>
      <c r="G90" s="2" t="s">
        <v>317</v>
      </c>
      <c r="H90" s="11">
        <v>147031.79999999999</v>
      </c>
      <c r="I90" s="11" t="s">
        <v>373</v>
      </c>
      <c r="J90" s="11"/>
      <c r="K90" s="11">
        <v>127244.34</v>
      </c>
      <c r="L90" s="16">
        <v>1.65</v>
      </c>
      <c r="M90" s="11">
        <v>78549.78</v>
      </c>
      <c r="N90" s="11">
        <v>1428.03</v>
      </c>
      <c r="O90" s="11">
        <v>22506.400000000001</v>
      </c>
      <c r="P90" s="11">
        <f t="shared" si="11"/>
        <v>24760.129999999997</v>
      </c>
      <c r="Q90" s="11">
        <v>540.02</v>
      </c>
      <c r="R90" s="11">
        <v>1327.92</v>
      </c>
      <c r="S90" s="11">
        <v>12130.74</v>
      </c>
      <c r="T90" s="11" t="s">
        <v>331</v>
      </c>
      <c r="U90" s="11">
        <v>9820.33</v>
      </c>
      <c r="V90" s="11">
        <v>941.11999999999534</v>
      </c>
      <c r="W90" s="53">
        <f t="shared" si="12"/>
        <v>127244.34</v>
      </c>
      <c r="X90" s="72">
        <f t="shared" si="13"/>
        <v>0.61731453045377105</v>
      </c>
      <c r="Y90" s="72">
        <f t="shared" si="14"/>
        <v>1.1222738866027362E-2</v>
      </c>
      <c r="Z90" s="72">
        <f t="shared" si="15"/>
        <v>0.17687545080590619</v>
      </c>
      <c r="AA90" s="72">
        <f t="shared" si="16"/>
        <v>0.19458727987429539</v>
      </c>
    </row>
    <row r="91" spans="1:27">
      <c r="A91" s="7" t="s">
        <v>7</v>
      </c>
      <c r="B91" s="7">
        <v>10007567</v>
      </c>
      <c r="C91" s="7" t="str">
        <f t="shared" si="10"/>
        <v>FEBRERO10007567Inventario acumulado</v>
      </c>
      <c r="D91" s="7" t="s">
        <v>370</v>
      </c>
      <c r="E91" s="3" t="s">
        <v>319</v>
      </c>
      <c r="F91" s="8">
        <v>104880</v>
      </c>
      <c r="G91" s="2" t="s">
        <v>317</v>
      </c>
      <c r="H91" s="11">
        <v>200320.8</v>
      </c>
      <c r="I91" s="11" t="s">
        <v>374</v>
      </c>
      <c r="J91" s="11"/>
      <c r="K91" s="11">
        <v>178296.97</v>
      </c>
      <c r="L91" s="16">
        <v>1.7</v>
      </c>
      <c r="M91" s="11">
        <v>112460.43</v>
      </c>
      <c r="N91" s="11">
        <v>1928.24</v>
      </c>
      <c r="O91" s="11">
        <v>30840.97</v>
      </c>
      <c r="P91" s="11">
        <f t="shared" si="11"/>
        <v>33067.329999999994</v>
      </c>
      <c r="Q91" s="11">
        <v>654.71</v>
      </c>
      <c r="R91" s="11">
        <v>1924.26</v>
      </c>
      <c r="S91" s="11">
        <v>16017.76</v>
      </c>
      <c r="T91" s="11" t="s">
        <v>331</v>
      </c>
      <c r="U91" s="11">
        <v>13286.76</v>
      </c>
      <c r="V91" s="11">
        <v>1183.8399999999965</v>
      </c>
      <c r="W91" s="53">
        <f t="shared" si="12"/>
        <v>178296.97</v>
      </c>
      <c r="X91" s="72">
        <f t="shared" si="13"/>
        <v>0.63074784725730337</v>
      </c>
      <c r="Y91" s="72">
        <f t="shared" si="14"/>
        <v>1.0814765949191396E-2</v>
      </c>
      <c r="Z91" s="72">
        <f t="shared" si="15"/>
        <v>0.17297528948472876</v>
      </c>
      <c r="AA91" s="72">
        <f t="shared" si="16"/>
        <v>0.18546209730877644</v>
      </c>
    </row>
    <row r="92" spans="1:27">
      <c r="A92" s="7" t="s">
        <v>7</v>
      </c>
      <c r="B92" s="7">
        <v>10007567</v>
      </c>
      <c r="C92" s="7" t="str">
        <f t="shared" si="10"/>
        <v>FEBRERO10007567Inventario final</v>
      </c>
      <c r="D92" s="7" t="s">
        <v>370</v>
      </c>
      <c r="E92" s="3" t="s">
        <v>218</v>
      </c>
      <c r="F92" s="8">
        <v>104880</v>
      </c>
      <c r="G92" s="2" t="s">
        <v>317</v>
      </c>
      <c r="H92" s="11">
        <v>200320.8</v>
      </c>
      <c r="I92" s="11" t="s">
        <v>374</v>
      </c>
      <c r="J92" s="11"/>
      <c r="K92" s="11">
        <v>178296.97</v>
      </c>
      <c r="L92" s="16">
        <v>1.7</v>
      </c>
      <c r="M92" s="11">
        <v>112460.43</v>
      </c>
      <c r="N92" s="11">
        <v>1928.24</v>
      </c>
      <c r="O92" s="11">
        <v>30840.97</v>
      </c>
      <c r="P92" s="11">
        <f t="shared" si="11"/>
        <v>33067.329999999994</v>
      </c>
      <c r="Q92" s="11">
        <v>654.71</v>
      </c>
      <c r="R92" s="11">
        <v>1924.26</v>
      </c>
      <c r="S92" s="11">
        <v>16017.76</v>
      </c>
      <c r="T92" s="11" t="s">
        <v>331</v>
      </c>
      <c r="U92" s="11">
        <v>13286.76</v>
      </c>
      <c r="V92" s="11">
        <v>1183.8399999999965</v>
      </c>
      <c r="W92" s="53">
        <f t="shared" si="12"/>
        <v>178296.97</v>
      </c>
      <c r="X92" s="72">
        <f t="shared" si="13"/>
        <v>0.63074784725730337</v>
      </c>
      <c r="Y92" s="72">
        <f t="shared" si="14"/>
        <v>1.0814765949191396E-2</v>
      </c>
      <c r="Z92" s="72">
        <f t="shared" si="15"/>
        <v>0.17297528948472876</v>
      </c>
      <c r="AA92" s="72">
        <f t="shared" si="16"/>
        <v>0.18546209730877644</v>
      </c>
    </row>
    <row r="93" spans="1:27">
      <c r="A93" s="7" t="s">
        <v>6</v>
      </c>
      <c r="B93" s="7">
        <v>10007162</v>
      </c>
      <c r="C93" s="7" t="str">
        <f t="shared" si="10"/>
        <v>ENERO10007162Inventario inicial</v>
      </c>
      <c r="D93" s="7" t="s">
        <v>375</v>
      </c>
      <c r="E93" s="3" t="s">
        <v>316</v>
      </c>
      <c r="F93" s="8">
        <v>49100</v>
      </c>
      <c r="G93" s="2" t="s">
        <v>317</v>
      </c>
      <c r="H93" s="11">
        <v>100164</v>
      </c>
      <c r="I93" s="11">
        <v>-9203.33</v>
      </c>
      <c r="J93" s="11"/>
      <c r="K93" s="11">
        <v>90960.67</v>
      </c>
      <c r="L93" s="16">
        <v>1.85</v>
      </c>
      <c r="M93" s="11">
        <v>61487.46</v>
      </c>
      <c r="N93" s="11">
        <v>598.21</v>
      </c>
      <c r="O93" s="11">
        <v>15812.84</v>
      </c>
      <c r="P93" s="11">
        <f t="shared" si="11"/>
        <v>13062.160000000007</v>
      </c>
      <c r="Q93" s="11">
        <v>1343.31</v>
      </c>
      <c r="R93" s="11">
        <v>5334.03</v>
      </c>
      <c r="S93" s="11">
        <v>5713.89</v>
      </c>
      <c r="T93" s="11"/>
      <c r="U93" s="11"/>
      <c r="V93" s="11">
        <v>670.93000000000757</v>
      </c>
      <c r="W93" s="53">
        <f t="shared" si="12"/>
        <v>90960.67</v>
      </c>
      <c r="X93" s="72">
        <f t="shared" si="13"/>
        <v>0.67597853006139907</v>
      </c>
      <c r="Y93" s="72">
        <f t="shared" si="14"/>
        <v>6.5765786465732945E-3</v>
      </c>
      <c r="Z93" s="72">
        <f t="shared" si="15"/>
        <v>0.17384260692011175</v>
      </c>
      <c r="AA93" s="72">
        <f t="shared" si="16"/>
        <v>0.14360228437191599</v>
      </c>
    </row>
    <row r="94" spans="1:27">
      <c r="A94" s="7" t="s">
        <v>6</v>
      </c>
      <c r="B94" s="7">
        <v>10007162</v>
      </c>
      <c r="C94" s="7" t="str">
        <f t="shared" si="10"/>
        <v>ENERO10007162Revalorización</v>
      </c>
      <c r="D94" s="7" t="s">
        <v>375</v>
      </c>
      <c r="E94" s="3" t="s">
        <v>318</v>
      </c>
      <c r="F94" s="8">
        <v>0</v>
      </c>
      <c r="G94" s="2" t="s">
        <v>317</v>
      </c>
      <c r="H94" s="11">
        <v>0</v>
      </c>
      <c r="I94" s="11">
        <v>0</v>
      </c>
      <c r="J94" s="11"/>
      <c r="K94" s="11">
        <v>0</v>
      </c>
      <c r="L94" s="16">
        <v>0</v>
      </c>
      <c r="M94" s="11">
        <v>0</v>
      </c>
      <c r="N94" s="11">
        <v>0</v>
      </c>
      <c r="O94" s="11">
        <v>0</v>
      </c>
      <c r="P94" s="11">
        <f t="shared" si="11"/>
        <v>0</v>
      </c>
      <c r="Q94" s="11">
        <v>0</v>
      </c>
      <c r="R94" s="11">
        <v>0</v>
      </c>
      <c r="S94" s="11">
        <v>0</v>
      </c>
      <c r="T94" s="11"/>
      <c r="U94" s="11"/>
      <c r="V94" s="11">
        <v>0</v>
      </c>
      <c r="W94" s="53">
        <f t="shared" si="12"/>
        <v>0</v>
      </c>
      <c r="X94" s="72" t="e">
        <f t="shared" si="13"/>
        <v>#DIV/0!</v>
      </c>
      <c r="Y94" s="72" t="e">
        <f t="shared" si="14"/>
        <v>#DIV/0!</v>
      </c>
      <c r="Z94" s="72" t="e">
        <f t="shared" si="15"/>
        <v>#DIV/0!</v>
      </c>
      <c r="AA94" s="72" t="e">
        <f t="shared" si="16"/>
        <v>#DIV/0!</v>
      </c>
    </row>
    <row r="95" spans="1:27">
      <c r="A95" s="7" t="s">
        <v>6</v>
      </c>
      <c r="B95" s="7">
        <v>10007162</v>
      </c>
      <c r="C95" s="7" t="str">
        <f t="shared" si="10"/>
        <v>ENERO10007162Entradas</v>
      </c>
      <c r="D95" s="7" t="s">
        <v>375</v>
      </c>
      <c r="E95" s="3" t="s">
        <v>164</v>
      </c>
      <c r="F95" s="8">
        <v>197540</v>
      </c>
      <c r="G95" s="2" t="s">
        <v>317</v>
      </c>
      <c r="H95" s="11">
        <v>402981.6</v>
      </c>
      <c r="I95" s="11">
        <v>-52003.55</v>
      </c>
      <c r="J95" s="11"/>
      <c r="K95" s="11">
        <v>350978.05</v>
      </c>
      <c r="L95" s="16">
        <v>1.78</v>
      </c>
      <c r="M95" s="11">
        <v>225580.01</v>
      </c>
      <c r="N95" s="11">
        <v>3261.02</v>
      </c>
      <c r="O95" s="11">
        <v>59927.12</v>
      </c>
      <c r="P95" s="11">
        <f t="shared" si="11"/>
        <v>62209.899999999994</v>
      </c>
      <c r="Q95" s="11">
        <v>3395.91</v>
      </c>
      <c r="R95" s="11">
        <v>31026.42</v>
      </c>
      <c r="S95" s="11">
        <v>25113.26</v>
      </c>
      <c r="T95" s="11"/>
      <c r="U95" s="11"/>
      <c r="V95" s="11">
        <v>2674.3099999999977</v>
      </c>
      <c r="W95" s="53">
        <f t="shared" si="12"/>
        <v>350978.05000000005</v>
      </c>
      <c r="X95" s="72">
        <f t="shared" si="13"/>
        <v>0.64271828394966579</v>
      </c>
      <c r="Y95" s="72">
        <f t="shared" si="14"/>
        <v>9.2912363038087416E-3</v>
      </c>
      <c r="Z95" s="72">
        <f t="shared" si="15"/>
        <v>0.17074321314395585</v>
      </c>
      <c r="AA95" s="72">
        <f t="shared" si="16"/>
        <v>0.17724726660256956</v>
      </c>
    </row>
    <row r="96" spans="1:27">
      <c r="A96" s="7" t="s">
        <v>6</v>
      </c>
      <c r="B96" s="7">
        <v>10007162</v>
      </c>
      <c r="C96" s="7" t="str">
        <f t="shared" si="10"/>
        <v>ENERO10007162Inv. acumulado</v>
      </c>
      <c r="D96" s="7" t="s">
        <v>375</v>
      </c>
      <c r="E96" s="3" t="s">
        <v>327</v>
      </c>
      <c r="F96" s="8">
        <v>246640</v>
      </c>
      <c r="G96" s="2" t="s">
        <v>317</v>
      </c>
      <c r="H96" s="11">
        <v>503145.6</v>
      </c>
      <c r="I96" s="11">
        <v>-61206.879999999997</v>
      </c>
      <c r="J96" s="11"/>
      <c r="K96" s="11">
        <v>441938.72</v>
      </c>
      <c r="L96" s="16">
        <v>1.79</v>
      </c>
      <c r="M96" s="11">
        <v>287067.46999999997</v>
      </c>
      <c r="N96" s="11">
        <v>3859.23</v>
      </c>
      <c r="O96" s="11">
        <v>75739.960000000006</v>
      </c>
      <c r="P96" s="11">
        <f t="shared" si="11"/>
        <v>75272.06</v>
      </c>
      <c r="Q96" s="11">
        <v>4739.22</v>
      </c>
      <c r="R96" s="11">
        <v>36360.449999999997</v>
      </c>
      <c r="S96" s="11">
        <v>30827.15</v>
      </c>
      <c r="T96" s="11"/>
      <c r="U96" s="11"/>
      <c r="V96" s="11">
        <v>3345.2399999999907</v>
      </c>
      <c r="W96" s="53">
        <f t="shared" si="12"/>
        <v>441938.72</v>
      </c>
      <c r="X96" s="72">
        <f t="shared" si="13"/>
        <v>0.64956397122207343</v>
      </c>
      <c r="Y96" s="72">
        <f t="shared" si="14"/>
        <v>8.7325002887278132E-3</v>
      </c>
      <c r="Z96" s="72">
        <f t="shared" si="15"/>
        <v>0.17138113628061377</v>
      </c>
      <c r="AA96" s="72">
        <f t="shared" si="16"/>
        <v>0.17032239220858494</v>
      </c>
    </row>
    <row r="97" spans="1:27">
      <c r="A97" s="7" t="s">
        <v>6</v>
      </c>
      <c r="B97" s="7">
        <v>10007162</v>
      </c>
      <c r="C97" s="7" t="str">
        <f t="shared" si="10"/>
        <v>ENERO10007162Compensación</v>
      </c>
      <c r="D97" s="7" t="s">
        <v>375</v>
      </c>
      <c r="E97" s="3" t="s">
        <v>114</v>
      </c>
      <c r="F97" s="8">
        <v>43400</v>
      </c>
      <c r="G97" s="2" t="s">
        <v>317</v>
      </c>
      <c r="H97" s="11">
        <v>88536</v>
      </c>
      <c r="I97" s="11">
        <v>-10770.27</v>
      </c>
      <c r="J97" s="11"/>
      <c r="K97" s="11">
        <v>77765.73</v>
      </c>
      <c r="L97" s="16">
        <v>1.79</v>
      </c>
      <c r="M97" s="11">
        <v>50513.82</v>
      </c>
      <c r="N97" s="11">
        <v>679.09</v>
      </c>
      <c r="O97" s="11">
        <v>13327.58</v>
      </c>
      <c r="P97" s="11">
        <f t="shared" si="11"/>
        <v>13245.239999999994</v>
      </c>
      <c r="Q97" s="11">
        <v>833.94</v>
      </c>
      <c r="R97" s="11">
        <v>6398.16</v>
      </c>
      <c r="S97" s="11">
        <v>5424.49</v>
      </c>
      <c r="T97" s="11"/>
      <c r="U97" s="11"/>
      <c r="V97" s="11">
        <v>588.64999999999418</v>
      </c>
      <c r="W97" s="53">
        <f t="shared" si="12"/>
        <v>77765.73</v>
      </c>
      <c r="X97" s="72">
        <f t="shared" si="13"/>
        <v>0.64956401746630554</v>
      </c>
      <c r="Y97" s="72">
        <f t="shared" si="14"/>
        <v>8.7325098086265002E-3</v>
      </c>
      <c r="Z97" s="72">
        <f t="shared" si="15"/>
        <v>0.17138114693966097</v>
      </c>
      <c r="AA97" s="72">
        <f t="shared" si="16"/>
        <v>0.17032232578540696</v>
      </c>
    </row>
    <row r="98" spans="1:27">
      <c r="A98" s="7" t="s">
        <v>6</v>
      </c>
      <c r="B98" s="7">
        <v>10007162</v>
      </c>
      <c r="C98" s="7" t="str">
        <f t="shared" si="10"/>
        <v>ENERO10007162Inventario final</v>
      </c>
      <c r="D98" s="7" t="s">
        <v>375</v>
      </c>
      <c r="E98" s="3" t="s">
        <v>218</v>
      </c>
      <c r="F98" s="9">
        <v>203240</v>
      </c>
      <c r="G98" s="3" t="s">
        <v>317</v>
      </c>
      <c r="H98" s="12">
        <v>414609.6</v>
      </c>
      <c r="I98" s="12">
        <v>-50436.61</v>
      </c>
      <c r="J98" s="13"/>
      <c r="K98" s="12">
        <v>364172.99</v>
      </c>
      <c r="L98" s="17">
        <v>1.79</v>
      </c>
      <c r="M98" s="12">
        <v>236553.65</v>
      </c>
      <c r="N98" s="12">
        <v>3180.14</v>
      </c>
      <c r="O98" s="12">
        <v>62412.38</v>
      </c>
      <c r="P98" s="12">
        <f t="shared" si="11"/>
        <v>62026.820000000022</v>
      </c>
      <c r="Q98" s="12">
        <v>3905.28</v>
      </c>
      <c r="R98" s="12">
        <v>29962.29</v>
      </c>
      <c r="S98" s="12">
        <v>25402.66</v>
      </c>
      <c r="T98" s="11"/>
      <c r="U98" s="11"/>
      <c r="V98" s="11">
        <v>2756.5900000000256</v>
      </c>
      <c r="W98" s="53">
        <f t="shared" si="12"/>
        <v>364172.99</v>
      </c>
      <c r="X98" s="72">
        <f t="shared" si="13"/>
        <v>0.64956396134705108</v>
      </c>
      <c r="Y98" s="72">
        <f t="shared" si="14"/>
        <v>8.7324982558426422E-3</v>
      </c>
      <c r="Z98" s="72">
        <f t="shared" si="15"/>
        <v>0.17138113400447408</v>
      </c>
      <c r="AA98" s="72">
        <f t="shared" si="16"/>
        <v>0.17032240639263233</v>
      </c>
    </row>
    <row r="99" spans="1:27">
      <c r="A99" s="7" t="s">
        <v>7</v>
      </c>
      <c r="B99" s="7">
        <v>10007162</v>
      </c>
      <c r="C99" s="7" t="str">
        <f t="shared" si="10"/>
        <v>FEBRERO10007162Inventario inicial</v>
      </c>
      <c r="D99" s="7" t="s">
        <v>375</v>
      </c>
      <c r="E99" s="3" t="s">
        <v>316</v>
      </c>
      <c r="F99" s="9">
        <v>203240</v>
      </c>
      <c r="G99" s="3" t="s">
        <v>317</v>
      </c>
      <c r="H99" s="12">
        <v>414609.6</v>
      </c>
      <c r="I99" s="12" t="s">
        <v>376</v>
      </c>
      <c r="J99" s="13"/>
      <c r="K99" s="12">
        <v>364172.99</v>
      </c>
      <c r="L99" s="17">
        <v>1.79</v>
      </c>
      <c r="M99" s="12">
        <v>236553.65</v>
      </c>
      <c r="N99" s="12">
        <v>3180.14</v>
      </c>
      <c r="O99" s="12">
        <v>62412.38</v>
      </c>
      <c r="P99" s="12">
        <f t="shared" si="11"/>
        <v>62026.820000000007</v>
      </c>
      <c r="Q99" s="12">
        <v>688.64</v>
      </c>
      <c r="R99" s="12">
        <v>3905.28</v>
      </c>
      <c r="S99" s="12">
        <v>29962.29</v>
      </c>
      <c r="T99" s="11">
        <v>0.01</v>
      </c>
      <c r="U99" s="11">
        <v>25402.66</v>
      </c>
      <c r="V99" s="11">
        <v>2067.9400000000023</v>
      </c>
      <c r="W99" s="53">
        <f t="shared" si="12"/>
        <v>364172.99</v>
      </c>
      <c r="X99" s="72">
        <f t="shared" si="13"/>
        <v>0.64956396134705108</v>
      </c>
      <c r="Y99" s="72">
        <f t="shared" si="14"/>
        <v>8.7324982558426422E-3</v>
      </c>
      <c r="Z99" s="72">
        <f t="shared" si="15"/>
        <v>0.17138113400447408</v>
      </c>
      <c r="AA99" s="72">
        <f t="shared" si="16"/>
        <v>0.17032240639263227</v>
      </c>
    </row>
    <row r="100" spans="1:27">
      <c r="A100" s="7" t="s">
        <v>7</v>
      </c>
      <c r="B100" s="7">
        <v>10007162</v>
      </c>
      <c r="C100" s="7" t="str">
        <f t="shared" si="10"/>
        <v>FEBRERO10007162Revalorización</v>
      </c>
      <c r="D100" s="7" t="s">
        <v>375</v>
      </c>
      <c r="E100" s="3" t="s">
        <v>318</v>
      </c>
      <c r="F100" s="9">
        <v>0</v>
      </c>
      <c r="G100" s="3" t="s">
        <v>317</v>
      </c>
      <c r="H100" s="12" t="s">
        <v>377</v>
      </c>
      <c r="I100" s="12">
        <v>38615.599999999999</v>
      </c>
      <c r="J100" s="13"/>
      <c r="K100" s="12">
        <v>0</v>
      </c>
      <c r="L100" s="17">
        <v>0</v>
      </c>
      <c r="M100" s="12">
        <v>0</v>
      </c>
      <c r="N100" s="12">
        <v>0</v>
      </c>
      <c r="O100" s="12">
        <v>0</v>
      </c>
      <c r="P100" s="12">
        <f t="shared" si="11"/>
        <v>0</v>
      </c>
      <c r="Q100" s="12">
        <v>0</v>
      </c>
      <c r="R100" s="12">
        <v>0</v>
      </c>
      <c r="S100" s="12">
        <v>0</v>
      </c>
      <c r="T100" s="11">
        <v>0</v>
      </c>
      <c r="U100" s="11">
        <v>0</v>
      </c>
      <c r="V100" s="11">
        <v>0</v>
      </c>
      <c r="W100" s="53">
        <f t="shared" si="12"/>
        <v>0</v>
      </c>
      <c r="X100" s="72" t="e">
        <f t="shared" si="13"/>
        <v>#DIV/0!</v>
      </c>
      <c r="Y100" s="72" t="e">
        <f t="shared" si="14"/>
        <v>#DIV/0!</v>
      </c>
      <c r="Z100" s="72" t="e">
        <f t="shared" si="15"/>
        <v>#DIV/0!</v>
      </c>
      <c r="AA100" s="72" t="e">
        <f t="shared" si="16"/>
        <v>#DIV/0!</v>
      </c>
    </row>
    <row r="101" spans="1:27">
      <c r="A101" s="7" t="s">
        <v>7</v>
      </c>
      <c r="B101" s="7">
        <v>10007162</v>
      </c>
      <c r="C101" s="7" t="str">
        <f t="shared" ref="C101:C132" si="17">A101&amp;B101&amp;E101</f>
        <v>FEBRERO10007162Entradas</v>
      </c>
      <c r="D101" s="7" t="s">
        <v>375</v>
      </c>
      <c r="E101" s="3" t="s">
        <v>164</v>
      </c>
      <c r="F101" s="9">
        <v>319660</v>
      </c>
      <c r="G101" s="3" t="s">
        <v>317</v>
      </c>
      <c r="H101" s="12">
        <v>591371</v>
      </c>
      <c r="I101" s="12" t="s">
        <v>378</v>
      </c>
      <c r="J101" s="13"/>
      <c r="K101" s="12">
        <v>532752.57999999996</v>
      </c>
      <c r="L101" s="17">
        <v>1.67</v>
      </c>
      <c r="M101" s="12">
        <v>326505.42</v>
      </c>
      <c r="N101" s="12">
        <v>5184.8100000000004</v>
      </c>
      <c r="O101" s="12">
        <v>98252.02</v>
      </c>
      <c r="P101" s="12">
        <f t="shared" ref="P101:P132" si="18">SUM(Q101:V101)</f>
        <v>102810.32999999999</v>
      </c>
      <c r="Q101" s="12">
        <v>2242.41</v>
      </c>
      <c r="R101" s="12">
        <v>5514.14</v>
      </c>
      <c r="S101" s="12">
        <v>50372.98</v>
      </c>
      <c r="T101" s="11">
        <v>0.28000000000000003</v>
      </c>
      <c r="U101" s="11">
        <v>40779.03</v>
      </c>
      <c r="V101" s="11">
        <v>3901.4899999999907</v>
      </c>
      <c r="W101" s="53">
        <f t="shared" si="12"/>
        <v>532752.57999999996</v>
      </c>
      <c r="X101" s="72">
        <f t="shared" si="13"/>
        <v>0.61286501887987099</v>
      </c>
      <c r="Y101" s="72">
        <f t="shared" si="14"/>
        <v>9.7321161729521811E-3</v>
      </c>
      <c r="Z101" s="72">
        <f t="shared" si="15"/>
        <v>0.18442335840025403</v>
      </c>
      <c r="AA101" s="72">
        <f t="shared" si="16"/>
        <v>0.19297950654692278</v>
      </c>
    </row>
    <row r="102" spans="1:27">
      <c r="A102" s="7" t="s">
        <v>7</v>
      </c>
      <c r="B102" s="7">
        <v>10007162</v>
      </c>
      <c r="C102" s="7" t="str">
        <f t="shared" si="17"/>
        <v>FEBRERO10007162Inventario acumulado</v>
      </c>
      <c r="D102" s="7" t="s">
        <v>375</v>
      </c>
      <c r="E102" s="3" t="s">
        <v>319</v>
      </c>
      <c r="F102" s="9">
        <v>522900</v>
      </c>
      <c r="G102" s="3" t="s">
        <v>317</v>
      </c>
      <c r="H102" s="12">
        <v>967365</v>
      </c>
      <c r="I102" s="12" t="s">
        <v>379</v>
      </c>
      <c r="J102" s="13"/>
      <c r="K102" s="12">
        <v>896925.57</v>
      </c>
      <c r="L102" s="17">
        <v>1.72</v>
      </c>
      <c r="M102" s="12">
        <v>563059.06999999995</v>
      </c>
      <c r="N102" s="12">
        <v>8364.9500000000007</v>
      </c>
      <c r="O102" s="12">
        <v>160664.4</v>
      </c>
      <c r="P102" s="12">
        <f t="shared" si="18"/>
        <v>164837.15000000005</v>
      </c>
      <c r="Q102" s="12">
        <v>2931.05</v>
      </c>
      <c r="R102" s="12">
        <v>9419.42</v>
      </c>
      <c r="S102" s="12">
        <v>80335.27</v>
      </c>
      <c r="T102" s="11">
        <v>0.28999999999999998</v>
      </c>
      <c r="U102" s="11">
        <v>66181.69</v>
      </c>
      <c r="V102" s="11">
        <v>5969.4300000000512</v>
      </c>
      <c r="W102" s="53">
        <f t="shared" si="12"/>
        <v>896925.57</v>
      </c>
      <c r="X102" s="72">
        <f t="shared" si="13"/>
        <v>0.62776565729974676</v>
      </c>
      <c r="Y102" s="72">
        <f t="shared" si="14"/>
        <v>9.3262476617764403E-3</v>
      </c>
      <c r="Z102" s="72">
        <f t="shared" si="15"/>
        <v>0.17912790690090372</v>
      </c>
      <c r="AA102" s="72">
        <f t="shared" si="16"/>
        <v>0.18378018813757319</v>
      </c>
    </row>
    <row r="103" spans="1:27">
      <c r="A103" s="7" t="s">
        <v>7</v>
      </c>
      <c r="B103" s="7">
        <v>10007162</v>
      </c>
      <c r="C103" s="7" t="str">
        <f t="shared" si="17"/>
        <v>FEBRERO10007162Compensación</v>
      </c>
      <c r="D103" s="7" t="s">
        <v>375</v>
      </c>
      <c r="E103" s="3" t="s">
        <v>114</v>
      </c>
      <c r="F103" s="9">
        <v>208000</v>
      </c>
      <c r="G103" s="3" t="s">
        <v>317</v>
      </c>
      <c r="H103" s="12">
        <v>384800</v>
      </c>
      <c r="I103" s="12" t="s">
        <v>380</v>
      </c>
      <c r="J103" s="13"/>
      <c r="K103" s="12">
        <v>356780.49</v>
      </c>
      <c r="L103" s="17">
        <v>1.72</v>
      </c>
      <c r="M103" s="12">
        <v>223974.54</v>
      </c>
      <c r="N103" s="12">
        <v>3327.42</v>
      </c>
      <c r="O103" s="12">
        <v>63909.34</v>
      </c>
      <c r="P103" s="12">
        <f t="shared" si="18"/>
        <v>65569.189999999915</v>
      </c>
      <c r="Q103" s="12">
        <v>1165.92</v>
      </c>
      <c r="R103" s="12">
        <v>3746.87</v>
      </c>
      <c r="S103" s="12">
        <v>31955.9</v>
      </c>
      <c r="T103" s="11">
        <v>0.11</v>
      </c>
      <c r="U103" s="11">
        <v>26325.86</v>
      </c>
      <c r="V103" s="11">
        <v>2374.5299999999115</v>
      </c>
      <c r="W103" s="53">
        <f t="shared" si="12"/>
        <v>356780.49</v>
      </c>
      <c r="X103" s="72">
        <f t="shared" si="13"/>
        <v>0.62776566061670025</v>
      </c>
      <c r="Y103" s="72">
        <f t="shared" si="14"/>
        <v>9.3262386628820432E-3</v>
      </c>
      <c r="Z103" s="72">
        <f t="shared" si="15"/>
        <v>0.17912790018310698</v>
      </c>
      <c r="AA103" s="72">
        <f t="shared" si="16"/>
        <v>0.18378020053731053</v>
      </c>
    </row>
    <row r="104" spans="1:27">
      <c r="A104" s="7" t="s">
        <v>7</v>
      </c>
      <c r="B104" s="7">
        <v>10007162</v>
      </c>
      <c r="C104" s="7" t="str">
        <f t="shared" si="17"/>
        <v>FEBRERO10007162Inventario final</v>
      </c>
      <c r="D104" s="7" t="s">
        <v>375</v>
      </c>
      <c r="E104" s="3" t="s">
        <v>218</v>
      </c>
      <c r="F104" s="8">
        <v>314900</v>
      </c>
      <c r="G104" s="2" t="s">
        <v>317</v>
      </c>
      <c r="H104" s="11">
        <v>582565</v>
      </c>
      <c r="I104" s="11" t="s">
        <v>381</v>
      </c>
      <c r="J104" s="11"/>
      <c r="K104" s="11">
        <v>540145.07999999996</v>
      </c>
      <c r="L104" s="16">
        <v>1.72</v>
      </c>
      <c r="M104" s="11">
        <v>339084.53</v>
      </c>
      <c r="N104" s="11">
        <v>5037.53</v>
      </c>
      <c r="O104" s="11">
        <v>96755.06</v>
      </c>
      <c r="P104" s="11">
        <f t="shared" si="18"/>
        <v>99267.959999999905</v>
      </c>
      <c r="Q104" s="11">
        <v>1765.13</v>
      </c>
      <c r="R104" s="11">
        <v>5672.55</v>
      </c>
      <c r="S104" s="11">
        <v>48379.37</v>
      </c>
      <c r="T104" s="11">
        <v>0.18</v>
      </c>
      <c r="U104" s="11">
        <v>39855.83</v>
      </c>
      <c r="V104" s="11">
        <v>3594.8999999999069</v>
      </c>
      <c r="W104" s="53">
        <f t="shared" si="12"/>
        <v>540145.07999999996</v>
      </c>
      <c r="X104" s="72">
        <f t="shared" si="13"/>
        <v>0.627765655108809</v>
      </c>
      <c r="Y104" s="72">
        <f t="shared" si="14"/>
        <v>9.3262536057905042E-3</v>
      </c>
      <c r="Z104" s="72">
        <f t="shared" si="15"/>
        <v>0.17912791133819086</v>
      </c>
      <c r="AA104" s="72">
        <f t="shared" si="16"/>
        <v>0.18378017994720958</v>
      </c>
    </row>
    <row r="105" spans="1:27">
      <c r="A105" s="7" t="s">
        <v>6</v>
      </c>
      <c r="B105" s="7">
        <v>10009639</v>
      </c>
      <c r="C105" s="7" t="str">
        <f t="shared" si="17"/>
        <v>ENERO10009639Inventario inicial</v>
      </c>
      <c r="D105" s="7" t="s">
        <v>382</v>
      </c>
      <c r="E105" s="3" t="s">
        <v>316</v>
      </c>
      <c r="F105" s="8">
        <v>3860</v>
      </c>
      <c r="G105" s="2" t="s">
        <v>317</v>
      </c>
      <c r="H105" s="11">
        <v>7604.2</v>
      </c>
      <c r="I105" s="11">
        <v>513.41</v>
      </c>
      <c r="J105" s="11"/>
      <c r="K105" s="11">
        <v>8117.61</v>
      </c>
      <c r="L105" s="16">
        <v>2.1</v>
      </c>
      <c r="M105" s="11">
        <v>5762.32</v>
      </c>
      <c r="N105" s="11">
        <v>39.83</v>
      </c>
      <c r="O105" s="11">
        <v>1239.72</v>
      </c>
      <c r="P105" s="11">
        <f t="shared" si="18"/>
        <v>1075.7400000000002</v>
      </c>
      <c r="Q105" s="11">
        <v>35.979999999999997</v>
      </c>
      <c r="R105" s="11">
        <v>108.33</v>
      </c>
      <c r="S105" s="11">
        <v>438.49</v>
      </c>
      <c r="T105" s="11">
        <v>470.8</v>
      </c>
      <c r="U105" s="11"/>
      <c r="V105" s="11">
        <v>22.140000000000327</v>
      </c>
      <c r="W105" s="53">
        <f t="shared" si="12"/>
        <v>8117.6100000000006</v>
      </c>
      <c r="X105" s="72">
        <f t="shared" si="13"/>
        <v>0.70985425513174438</v>
      </c>
      <c r="Y105" s="72">
        <f t="shared" si="14"/>
        <v>4.9066166026699972E-3</v>
      </c>
      <c r="Z105" s="72">
        <f t="shared" si="15"/>
        <v>0.15271982763399572</v>
      </c>
      <c r="AA105" s="72">
        <f t="shared" si="16"/>
        <v>0.13251930063158987</v>
      </c>
    </row>
    <row r="106" spans="1:27">
      <c r="A106" s="7" t="s">
        <v>6</v>
      </c>
      <c r="B106" s="7">
        <v>10009639</v>
      </c>
      <c r="C106" s="7" t="str">
        <f t="shared" si="17"/>
        <v>ENERO10009639Revalorización</v>
      </c>
      <c r="D106" s="7" t="s">
        <v>382</v>
      </c>
      <c r="E106" s="3" t="s">
        <v>318</v>
      </c>
      <c r="F106" s="8">
        <v>0</v>
      </c>
      <c r="G106" s="2" t="s">
        <v>317</v>
      </c>
      <c r="H106" s="11">
        <v>308.8</v>
      </c>
      <c r="I106" s="11">
        <v>-308.8</v>
      </c>
      <c r="J106" s="11"/>
      <c r="K106" s="11">
        <v>0</v>
      </c>
      <c r="L106" s="16">
        <v>0</v>
      </c>
      <c r="M106" s="11">
        <v>0</v>
      </c>
      <c r="N106" s="11">
        <v>0</v>
      </c>
      <c r="O106" s="11">
        <v>0</v>
      </c>
      <c r="P106" s="11">
        <f t="shared" si="18"/>
        <v>0</v>
      </c>
      <c r="Q106" s="11">
        <v>0</v>
      </c>
      <c r="R106" s="11">
        <v>0</v>
      </c>
      <c r="S106" s="11">
        <v>0</v>
      </c>
      <c r="T106" s="11">
        <v>0</v>
      </c>
      <c r="U106" s="11"/>
      <c r="V106" s="11">
        <v>0</v>
      </c>
      <c r="W106" s="53">
        <f t="shared" si="12"/>
        <v>0</v>
      </c>
      <c r="X106" s="72" t="e">
        <f t="shared" si="13"/>
        <v>#DIV/0!</v>
      </c>
      <c r="Y106" s="72" t="e">
        <f t="shared" si="14"/>
        <v>#DIV/0!</v>
      </c>
      <c r="Z106" s="72" t="e">
        <f t="shared" si="15"/>
        <v>#DIV/0!</v>
      </c>
      <c r="AA106" s="72" t="e">
        <f t="shared" si="16"/>
        <v>#DIV/0!</v>
      </c>
    </row>
    <row r="107" spans="1:27">
      <c r="A107" s="7" t="s">
        <v>6</v>
      </c>
      <c r="B107" s="7">
        <v>10009639</v>
      </c>
      <c r="C107" s="7" t="str">
        <f t="shared" si="17"/>
        <v>ENERO10009639Entradas</v>
      </c>
      <c r="D107" s="7" t="s">
        <v>382</v>
      </c>
      <c r="E107" s="3" t="s">
        <v>164</v>
      </c>
      <c r="F107" s="8">
        <v>26860</v>
      </c>
      <c r="G107" s="2" t="s">
        <v>317</v>
      </c>
      <c r="H107" s="11">
        <v>55063</v>
      </c>
      <c r="I107" s="11">
        <v>-5635.69</v>
      </c>
      <c r="J107" s="11"/>
      <c r="K107" s="11">
        <v>49427.31</v>
      </c>
      <c r="L107" s="16">
        <v>1.84</v>
      </c>
      <c r="M107" s="11">
        <v>30972.47</v>
      </c>
      <c r="N107" s="11">
        <v>431.84</v>
      </c>
      <c r="O107" s="11">
        <v>8205.1</v>
      </c>
      <c r="P107" s="11">
        <f t="shared" si="18"/>
        <v>9817.8999999999942</v>
      </c>
      <c r="Q107" s="11">
        <v>69.849999999999994</v>
      </c>
      <c r="R107" s="11">
        <v>534.64</v>
      </c>
      <c r="S107" s="11">
        <v>4884.6899999999996</v>
      </c>
      <c r="T107" s="11">
        <v>3953.75</v>
      </c>
      <c r="U107" s="11"/>
      <c r="V107" s="11">
        <v>374.96999999999389</v>
      </c>
      <c r="W107" s="53">
        <f t="shared" si="12"/>
        <v>49427.31</v>
      </c>
      <c r="X107" s="72">
        <f t="shared" si="13"/>
        <v>0.62662665639704052</v>
      </c>
      <c r="Y107" s="72">
        <f t="shared" si="14"/>
        <v>8.7368703657957521E-3</v>
      </c>
      <c r="Z107" s="72">
        <f t="shared" si="15"/>
        <v>0.16600336939234606</v>
      </c>
      <c r="AA107" s="72">
        <f t="shared" si="16"/>
        <v>0.19863310384481767</v>
      </c>
    </row>
    <row r="108" spans="1:27">
      <c r="A108" s="7" t="s">
        <v>6</v>
      </c>
      <c r="B108" s="7">
        <v>10009639</v>
      </c>
      <c r="C108" s="7" t="str">
        <f t="shared" si="17"/>
        <v>ENERO10009639Inv. acumulado</v>
      </c>
      <c r="D108" s="7" t="s">
        <v>382</v>
      </c>
      <c r="E108" s="3" t="s">
        <v>327</v>
      </c>
      <c r="F108" s="8">
        <v>30720</v>
      </c>
      <c r="G108" s="2" t="s">
        <v>317</v>
      </c>
      <c r="H108" s="11">
        <v>62976</v>
      </c>
      <c r="I108" s="11">
        <v>-5431.08</v>
      </c>
      <c r="J108" s="11"/>
      <c r="K108" s="11">
        <v>57544.92</v>
      </c>
      <c r="L108" s="16">
        <v>1.87</v>
      </c>
      <c r="M108" s="11">
        <v>36734.79</v>
      </c>
      <c r="N108" s="11">
        <v>471.67</v>
      </c>
      <c r="O108" s="11">
        <v>9444.82</v>
      </c>
      <c r="P108" s="11">
        <f t="shared" si="18"/>
        <v>10893.640000000001</v>
      </c>
      <c r="Q108" s="11">
        <v>105.83</v>
      </c>
      <c r="R108" s="11">
        <v>642.97</v>
      </c>
      <c r="S108" s="11">
        <v>5323.18</v>
      </c>
      <c r="T108" s="11">
        <v>4424.55</v>
      </c>
      <c r="U108" s="11"/>
      <c r="V108" s="11">
        <v>397.11000000000058</v>
      </c>
      <c r="W108" s="53">
        <f t="shared" si="12"/>
        <v>57544.92</v>
      </c>
      <c r="X108" s="72">
        <f t="shared" si="13"/>
        <v>0.63836720947739611</v>
      </c>
      <c r="Y108" s="72">
        <f t="shared" si="14"/>
        <v>8.1965532318056932E-3</v>
      </c>
      <c r="Z108" s="72">
        <f t="shared" si="15"/>
        <v>0.16412951829631531</v>
      </c>
      <c r="AA108" s="72">
        <f t="shared" si="16"/>
        <v>0.18930671899448295</v>
      </c>
    </row>
    <row r="109" spans="1:27">
      <c r="A109" s="7" t="s">
        <v>6</v>
      </c>
      <c r="B109" s="7">
        <v>10009639</v>
      </c>
      <c r="C109" s="7" t="str">
        <f t="shared" si="17"/>
        <v>ENERO10009639Compensación</v>
      </c>
      <c r="D109" s="7" t="s">
        <v>382</v>
      </c>
      <c r="E109" s="3" t="s">
        <v>114</v>
      </c>
      <c r="F109" s="8">
        <v>2340</v>
      </c>
      <c r="G109" s="2" t="s">
        <v>317</v>
      </c>
      <c r="H109" s="11">
        <v>4797</v>
      </c>
      <c r="I109" s="11">
        <v>-413.7</v>
      </c>
      <c r="J109" s="11"/>
      <c r="K109" s="11">
        <v>4383.3</v>
      </c>
      <c r="L109" s="16">
        <v>1.87</v>
      </c>
      <c r="M109" s="11">
        <v>2798.16</v>
      </c>
      <c r="N109" s="11">
        <v>35.93</v>
      </c>
      <c r="O109" s="11">
        <v>719.43</v>
      </c>
      <c r="P109" s="11">
        <f t="shared" si="18"/>
        <v>829.78000000000065</v>
      </c>
      <c r="Q109" s="11">
        <v>8.06</v>
      </c>
      <c r="R109" s="11">
        <v>48.97</v>
      </c>
      <c r="S109" s="11">
        <v>405.48</v>
      </c>
      <c r="T109" s="11">
        <v>337.03</v>
      </c>
      <c r="U109" s="11"/>
      <c r="V109" s="11">
        <v>30.240000000000691</v>
      </c>
      <c r="W109" s="53">
        <f t="shared" si="12"/>
        <v>4383.3</v>
      </c>
      <c r="X109" s="72">
        <f t="shared" si="13"/>
        <v>0.63836835261104641</v>
      </c>
      <c r="Y109" s="72">
        <f t="shared" si="14"/>
        <v>8.1970205096616698E-3</v>
      </c>
      <c r="Z109" s="72">
        <f t="shared" si="15"/>
        <v>0.16412976524536307</v>
      </c>
      <c r="AA109" s="72">
        <f t="shared" si="16"/>
        <v>0.18930486163392893</v>
      </c>
    </row>
    <row r="110" spans="1:27">
      <c r="A110" s="7" t="s">
        <v>6</v>
      </c>
      <c r="B110" s="7">
        <v>10009639</v>
      </c>
      <c r="C110" s="7" t="str">
        <f t="shared" si="17"/>
        <v>ENERO10009639Inventario final</v>
      </c>
      <c r="D110" s="7" t="s">
        <v>382</v>
      </c>
      <c r="E110" s="3" t="s">
        <v>218</v>
      </c>
      <c r="F110" s="9">
        <v>28380</v>
      </c>
      <c r="G110" s="3" t="s">
        <v>317</v>
      </c>
      <c r="H110" s="12">
        <v>58179</v>
      </c>
      <c r="I110" s="12">
        <v>-5017.38</v>
      </c>
      <c r="J110" s="15"/>
      <c r="K110" s="12">
        <v>53161.62</v>
      </c>
      <c r="L110" s="17">
        <v>1.87</v>
      </c>
      <c r="M110" s="12">
        <v>33936.629999999997</v>
      </c>
      <c r="N110" s="12">
        <v>435.74</v>
      </c>
      <c r="O110" s="12">
        <v>8725.39</v>
      </c>
      <c r="P110" s="12">
        <f t="shared" si="18"/>
        <v>10063.86000000001</v>
      </c>
      <c r="Q110" s="12">
        <v>97.77</v>
      </c>
      <c r="R110" s="12">
        <v>594</v>
      </c>
      <c r="S110" s="12">
        <v>4917.7</v>
      </c>
      <c r="T110" s="11">
        <v>4087.52</v>
      </c>
      <c r="U110" s="11"/>
      <c r="V110" s="11">
        <v>366.8700000000099</v>
      </c>
      <c r="W110" s="53">
        <f t="shared" si="12"/>
        <v>53161.62</v>
      </c>
      <c r="X110" s="72">
        <f t="shared" si="13"/>
        <v>0.63836711522335088</v>
      </c>
      <c r="Y110" s="72">
        <f t="shared" si="14"/>
        <v>8.1965147036527474E-3</v>
      </c>
      <c r="Z110" s="72">
        <f t="shared" si="15"/>
        <v>0.16412949793478826</v>
      </c>
      <c r="AA110" s="72">
        <f t="shared" si="16"/>
        <v>0.18930687213820815</v>
      </c>
    </row>
    <row r="111" spans="1:27">
      <c r="A111" s="7" t="s">
        <v>7</v>
      </c>
      <c r="B111" s="7">
        <v>10009639</v>
      </c>
      <c r="C111" s="7" t="str">
        <f t="shared" si="17"/>
        <v>FEBRERO10009639Inventario inicial</v>
      </c>
      <c r="D111" s="7" t="s">
        <v>382</v>
      </c>
      <c r="E111" s="3" t="s">
        <v>316</v>
      </c>
      <c r="F111" s="8">
        <v>28380</v>
      </c>
      <c r="G111" s="2" t="s">
        <v>317</v>
      </c>
      <c r="H111" s="11">
        <v>58179</v>
      </c>
      <c r="I111" s="11" t="s">
        <v>383</v>
      </c>
      <c r="J111" s="11"/>
      <c r="K111" s="11">
        <v>53161.62</v>
      </c>
      <c r="L111" s="16">
        <v>1.87</v>
      </c>
      <c r="M111" s="11">
        <v>33936.629999999997</v>
      </c>
      <c r="N111" s="11">
        <v>435.74</v>
      </c>
      <c r="O111" s="11">
        <v>8725.39</v>
      </c>
      <c r="P111" s="11">
        <f t="shared" si="18"/>
        <v>10063.860000000008</v>
      </c>
      <c r="Q111" s="11">
        <v>97.77</v>
      </c>
      <c r="R111" s="11">
        <v>594</v>
      </c>
      <c r="S111" s="11">
        <v>4917.7</v>
      </c>
      <c r="T111" s="11">
        <v>0.01</v>
      </c>
      <c r="U111" s="11">
        <v>4087.52</v>
      </c>
      <c r="V111" s="11">
        <v>366.86000000000786</v>
      </c>
      <c r="W111" s="53">
        <f t="shared" si="12"/>
        <v>53161.62</v>
      </c>
      <c r="X111" s="72">
        <f t="shared" si="13"/>
        <v>0.63836711522335088</v>
      </c>
      <c r="Y111" s="72">
        <f t="shared" si="14"/>
        <v>8.1965147036527474E-3</v>
      </c>
      <c r="Z111" s="72">
        <f t="shared" si="15"/>
        <v>0.16412949793478826</v>
      </c>
      <c r="AA111" s="72">
        <f t="shared" si="16"/>
        <v>0.18930687213820813</v>
      </c>
    </row>
    <row r="112" spans="1:27">
      <c r="A112" s="7" t="s">
        <v>7</v>
      </c>
      <c r="B112" s="7">
        <v>10009639</v>
      </c>
      <c r="C112" s="7" t="str">
        <f t="shared" si="17"/>
        <v>FEBRERO10009639Revalorización</v>
      </c>
      <c r="D112" s="7" t="s">
        <v>382</v>
      </c>
      <c r="E112" s="3" t="s">
        <v>318</v>
      </c>
      <c r="F112" s="8">
        <v>0</v>
      </c>
      <c r="G112" s="2" t="s">
        <v>317</v>
      </c>
      <c r="H112" s="11">
        <v>1419</v>
      </c>
      <c r="I112" s="11" t="s">
        <v>384</v>
      </c>
      <c r="J112" s="11"/>
      <c r="K112" s="11">
        <v>0</v>
      </c>
      <c r="L112" s="16">
        <v>0</v>
      </c>
      <c r="M112" s="11">
        <v>0</v>
      </c>
      <c r="N112" s="11">
        <v>0</v>
      </c>
      <c r="O112" s="11">
        <v>0</v>
      </c>
      <c r="P112" s="11">
        <f t="shared" si="18"/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53">
        <f t="shared" si="12"/>
        <v>0</v>
      </c>
      <c r="X112" s="72" t="e">
        <f t="shared" si="13"/>
        <v>#DIV/0!</v>
      </c>
      <c r="Y112" s="72" t="e">
        <f t="shared" si="14"/>
        <v>#DIV/0!</v>
      </c>
      <c r="Z112" s="72" t="e">
        <f t="shared" si="15"/>
        <v>#DIV/0!</v>
      </c>
      <c r="AA112" s="72" t="e">
        <f t="shared" si="16"/>
        <v>#DIV/0!</v>
      </c>
    </row>
    <row r="113" spans="1:27">
      <c r="A113" s="7" t="s">
        <v>7</v>
      </c>
      <c r="B113" s="7">
        <v>10009639</v>
      </c>
      <c r="C113" s="7" t="str">
        <f t="shared" si="17"/>
        <v>FEBRERO10009639Entradas</v>
      </c>
      <c r="D113" s="7" t="s">
        <v>382</v>
      </c>
      <c r="E113" s="3" t="s">
        <v>164</v>
      </c>
      <c r="F113" s="8">
        <v>45420</v>
      </c>
      <c r="G113" s="2" t="s">
        <v>317</v>
      </c>
      <c r="H113" s="11">
        <v>95382</v>
      </c>
      <c r="I113" s="11" t="s">
        <v>385</v>
      </c>
      <c r="J113" s="11"/>
      <c r="K113" s="11">
        <v>76075.97</v>
      </c>
      <c r="L113" s="16">
        <v>1.67</v>
      </c>
      <c r="M113" s="11">
        <v>46863.23</v>
      </c>
      <c r="N113" s="11">
        <v>642.69000000000005</v>
      </c>
      <c r="O113" s="11">
        <v>13960.46</v>
      </c>
      <c r="P113" s="11">
        <f t="shared" si="18"/>
        <v>14609.589999999995</v>
      </c>
      <c r="Q113" s="11">
        <v>318.62</v>
      </c>
      <c r="R113" s="11">
        <v>783.5</v>
      </c>
      <c r="S113" s="11">
        <v>7157.42</v>
      </c>
      <c r="T113" s="11">
        <v>0.06</v>
      </c>
      <c r="U113" s="11">
        <v>5794.23</v>
      </c>
      <c r="V113" s="11">
        <v>555.75999999999476</v>
      </c>
      <c r="W113" s="53">
        <f t="shared" si="12"/>
        <v>76075.97</v>
      </c>
      <c r="X113" s="72">
        <f t="shared" si="13"/>
        <v>0.61600568484371609</v>
      </c>
      <c r="Y113" s="72">
        <f t="shared" si="14"/>
        <v>8.4480027004585033E-3</v>
      </c>
      <c r="Z113" s="72">
        <f t="shared" si="15"/>
        <v>0.18350682876603477</v>
      </c>
      <c r="AA113" s="72">
        <f t="shared" si="16"/>
        <v>0.19203948368979054</v>
      </c>
    </row>
    <row r="114" spans="1:27">
      <c r="A114" s="7" t="s">
        <v>7</v>
      </c>
      <c r="B114" s="7">
        <v>10009639</v>
      </c>
      <c r="C114" s="7" t="str">
        <f t="shared" si="17"/>
        <v>FEBRERO10009639Inventario acumulado</v>
      </c>
      <c r="D114" s="7" t="s">
        <v>382</v>
      </c>
      <c r="E114" s="3" t="s">
        <v>319</v>
      </c>
      <c r="F114" s="8">
        <v>73800</v>
      </c>
      <c r="G114" s="2" t="s">
        <v>317</v>
      </c>
      <c r="H114" s="11">
        <v>154980</v>
      </c>
      <c r="I114" s="11" t="s">
        <v>386</v>
      </c>
      <c r="J114" s="11"/>
      <c r="K114" s="11">
        <v>129237.59</v>
      </c>
      <c r="L114" s="16">
        <v>1.75</v>
      </c>
      <c r="M114" s="11">
        <v>80799.86</v>
      </c>
      <c r="N114" s="11">
        <v>1078.43</v>
      </c>
      <c r="O114" s="11">
        <v>22685.85</v>
      </c>
      <c r="P114" s="11">
        <f t="shared" si="18"/>
        <v>24673.450000000012</v>
      </c>
      <c r="Q114" s="11">
        <v>416.39</v>
      </c>
      <c r="R114" s="11">
        <v>1377.5</v>
      </c>
      <c r="S114" s="11">
        <v>12075.12</v>
      </c>
      <c r="T114" s="11">
        <v>7.0000000000000007E-2</v>
      </c>
      <c r="U114" s="11">
        <v>9881.75</v>
      </c>
      <c r="V114" s="11">
        <v>922.6200000000099</v>
      </c>
      <c r="W114" s="53">
        <f t="shared" si="12"/>
        <v>129237.59</v>
      </c>
      <c r="X114" s="72">
        <f t="shared" si="13"/>
        <v>0.62520401378577239</v>
      </c>
      <c r="Y114" s="72">
        <f t="shared" si="14"/>
        <v>8.3445536240655694E-3</v>
      </c>
      <c r="Z114" s="72">
        <f t="shared" si="15"/>
        <v>0.17553600310869305</v>
      </c>
      <c r="AA114" s="72">
        <f t="shared" si="16"/>
        <v>0.19091542948146906</v>
      </c>
    </row>
    <row r="115" spans="1:27">
      <c r="A115" s="7" t="s">
        <v>7</v>
      </c>
      <c r="B115" s="7">
        <v>10009639</v>
      </c>
      <c r="C115" s="7" t="str">
        <f t="shared" si="17"/>
        <v>FEBRERO10009639Compensación</v>
      </c>
      <c r="D115" s="7" t="s">
        <v>382</v>
      </c>
      <c r="E115" s="3" t="s">
        <v>114</v>
      </c>
      <c r="F115" s="8">
        <v>26820</v>
      </c>
      <c r="G115" s="2" t="s">
        <v>317</v>
      </c>
      <c r="H115" s="11">
        <v>56322</v>
      </c>
      <c r="I115" s="11" t="s">
        <v>387</v>
      </c>
      <c r="J115" s="11"/>
      <c r="K115" s="11">
        <v>46966.83</v>
      </c>
      <c r="L115" s="16">
        <v>1.75</v>
      </c>
      <c r="M115" s="11">
        <v>29363.85</v>
      </c>
      <c r="N115" s="11">
        <v>391.92</v>
      </c>
      <c r="O115" s="11">
        <v>8244.3700000000008</v>
      </c>
      <c r="P115" s="11">
        <f t="shared" si="18"/>
        <v>8966.69</v>
      </c>
      <c r="Q115" s="11">
        <v>151.32</v>
      </c>
      <c r="R115" s="11">
        <v>500.6</v>
      </c>
      <c r="S115" s="11">
        <v>4388.28</v>
      </c>
      <c r="T115" s="11">
        <v>0.03</v>
      </c>
      <c r="U115" s="11">
        <v>3591.17</v>
      </c>
      <c r="V115" s="11">
        <v>335.29000000000087</v>
      </c>
      <c r="W115" s="53">
        <f t="shared" si="12"/>
        <v>46966.83</v>
      </c>
      <c r="X115" s="72">
        <f t="shared" si="13"/>
        <v>0.62520400035514423</v>
      </c>
      <c r="Y115" s="72">
        <f t="shared" si="14"/>
        <v>8.3446125701904933E-3</v>
      </c>
      <c r="Z115" s="72">
        <f t="shared" si="15"/>
        <v>0.17553601126582313</v>
      </c>
      <c r="AA115" s="72">
        <f t="shared" si="16"/>
        <v>0.1909153758088421</v>
      </c>
    </row>
    <row r="116" spans="1:27">
      <c r="A116" s="7" t="s">
        <v>7</v>
      </c>
      <c r="B116" s="7">
        <v>10009639</v>
      </c>
      <c r="C116" s="7" t="str">
        <f t="shared" si="17"/>
        <v>FEBRERO10009639Inventario final</v>
      </c>
      <c r="D116" s="7" t="s">
        <v>382</v>
      </c>
      <c r="E116" s="3" t="s">
        <v>218</v>
      </c>
      <c r="F116" s="8">
        <v>46980</v>
      </c>
      <c r="G116" s="2" t="s">
        <v>317</v>
      </c>
      <c r="H116" s="11">
        <v>98658</v>
      </c>
      <c r="I116" s="11" t="s">
        <v>388</v>
      </c>
      <c r="J116" s="11"/>
      <c r="K116" s="11">
        <v>82270.759999999995</v>
      </c>
      <c r="L116" s="16">
        <v>1.75</v>
      </c>
      <c r="M116" s="11">
        <v>51436.01</v>
      </c>
      <c r="N116" s="11">
        <v>686.51</v>
      </c>
      <c r="O116" s="11">
        <v>14441.48</v>
      </c>
      <c r="P116" s="11">
        <f t="shared" si="18"/>
        <v>15706.760000000002</v>
      </c>
      <c r="Q116" s="11">
        <v>265.07</v>
      </c>
      <c r="R116" s="11">
        <v>876.9</v>
      </c>
      <c r="S116" s="11">
        <v>7686.84</v>
      </c>
      <c r="T116" s="11">
        <v>0.04</v>
      </c>
      <c r="U116" s="11">
        <v>6290.58</v>
      </c>
      <c r="V116" s="11">
        <v>587.33000000000175</v>
      </c>
      <c r="W116" s="53">
        <f t="shared" si="12"/>
        <v>82270.760000000009</v>
      </c>
      <c r="X116" s="72">
        <f t="shared" si="13"/>
        <v>0.62520402145306542</v>
      </c>
      <c r="Y116" s="72">
        <f t="shared" si="14"/>
        <v>8.3445199728311732E-3</v>
      </c>
      <c r="Z116" s="72">
        <f t="shared" si="15"/>
        <v>0.17553599845194087</v>
      </c>
      <c r="AA116" s="72">
        <f t="shared" si="16"/>
        <v>0.19091546012216248</v>
      </c>
    </row>
    <row r="117" spans="1:27">
      <c r="A117" s="7" t="s">
        <v>6</v>
      </c>
      <c r="B117" s="7">
        <v>10009239</v>
      </c>
      <c r="C117" s="7" t="str">
        <f t="shared" si="17"/>
        <v>ENERO10009239Inventario inicial</v>
      </c>
      <c r="D117" s="7" t="s">
        <v>389</v>
      </c>
      <c r="E117" s="3" t="s">
        <v>316</v>
      </c>
      <c r="F117" s="8">
        <v>420</v>
      </c>
      <c r="G117" s="2" t="s">
        <v>317</v>
      </c>
      <c r="H117" s="11">
        <v>1054.2</v>
      </c>
      <c r="I117" s="11">
        <v>1049.78</v>
      </c>
      <c r="J117" s="11"/>
      <c r="K117" s="11">
        <v>2103.98</v>
      </c>
      <c r="L117" s="16">
        <v>5.01</v>
      </c>
      <c r="M117" s="11">
        <v>1391.81</v>
      </c>
      <c r="N117" s="11">
        <v>13.45</v>
      </c>
      <c r="O117" s="11">
        <v>517.6</v>
      </c>
      <c r="P117" s="11">
        <f t="shared" si="18"/>
        <v>181.11999999999983</v>
      </c>
      <c r="Q117" s="11">
        <v>19.48</v>
      </c>
      <c r="R117" s="11">
        <v>70.41</v>
      </c>
      <c r="S117" s="11">
        <v>77.03</v>
      </c>
      <c r="T117" s="11"/>
      <c r="U117" s="11"/>
      <c r="V117" s="11">
        <v>14.199999999999818</v>
      </c>
      <c r="W117" s="53">
        <f t="shared" si="12"/>
        <v>2103.98</v>
      </c>
      <c r="X117" s="72">
        <f t="shared" si="13"/>
        <v>0.6615129421382332</v>
      </c>
      <c r="Y117" s="72">
        <f t="shared" si="14"/>
        <v>6.3926463179307782E-3</v>
      </c>
      <c r="Z117" s="72">
        <f t="shared" si="15"/>
        <v>0.24600994306029525</v>
      </c>
      <c r="AA117" s="72">
        <f t="shared" si="16"/>
        <v>8.6084468483540635E-2</v>
      </c>
    </row>
    <row r="118" spans="1:27">
      <c r="A118" s="7" t="s">
        <v>6</v>
      </c>
      <c r="B118" s="7">
        <v>10009239</v>
      </c>
      <c r="C118" s="7" t="str">
        <f t="shared" si="17"/>
        <v>ENERO10009239Revalorización</v>
      </c>
      <c r="D118" s="7" t="s">
        <v>389</v>
      </c>
      <c r="E118" s="3" t="s">
        <v>318</v>
      </c>
      <c r="F118" s="8">
        <v>0</v>
      </c>
      <c r="G118" s="2" t="s">
        <v>317</v>
      </c>
      <c r="H118" s="11">
        <v>2335.1999999999998</v>
      </c>
      <c r="I118" s="11">
        <v>-2335.1999999999998</v>
      </c>
      <c r="J118" s="11"/>
      <c r="K118" s="11">
        <v>0</v>
      </c>
      <c r="L118" s="16">
        <v>0</v>
      </c>
      <c r="M118" s="11">
        <v>0</v>
      </c>
      <c r="N118" s="11">
        <v>0</v>
      </c>
      <c r="O118" s="11">
        <v>0</v>
      </c>
      <c r="P118" s="11">
        <f t="shared" si="18"/>
        <v>0</v>
      </c>
      <c r="Q118" s="11">
        <v>0</v>
      </c>
      <c r="R118" s="11">
        <v>0</v>
      </c>
      <c r="S118" s="11">
        <v>0</v>
      </c>
      <c r="T118" s="11"/>
      <c r="U118" s="11"/>
      <c r="V118" s="11">
        <v>0</v>
      </c>
      <c r="W118" s="53">
        <f t="shared" si="12"/>
        <v>0</v>
      </c>
      <c r="X118" s="72" t="e">
        <f t="shared" si="13"/>
        <v>#DIV/0!</v>
      </c>
      <c r="Y118" s="72" t="e">
        <f t="shared" si="14"/>
        <v>#DIV/0!</v>
      </c>
      <c r="Z118" s="72" t="e">
        <f t="shared" si="15"/>
        <v>#DIV/0!</v>
      </c>
      <c r="AA118" s="72" t="e">
        <f t="shared" si="16"/>
        <v>#DIV/0!</v>
      </c>
    </row>
    <row r="119" spans="1:27">
      <c r="A119" s="7" t="s">
        <v>6</v>
      </c>
      <c r="B119" s="7">
        <v>10009239</v>
      </c>
      <c r="C119" s="7" t="str">
        <f t="shared" si="17"/>
        <v>ENERO10009239Entradas</v>
      </c>
      <c r="D119" s="7" t="s">
        <v>389</v>
      </c>
      <c r="E119" s="3" t="s">
        <v>164</v>
      </c>
      <c r="F119" s="8">
        <v>102060</v>
      </c>
      <c r="G119" s="2" t="s">
        <v>317</v>
      </c>
      <c r="H119" s="11">
        <v>823624.2</v>
      </c>
      <c r="I119" s="11">
        <v>-598995.24</v>
      </c>
      <c r="J119" s="11"/>
      <c r="K119" s="11">
        <v>224628.96</v>
      </c>
      <c r="L119" s="16">
        <v>2.2000000000000002</v>
      </c>
      <c r="M119" s="11">
        <v>116155.77</v>
      </c>
      <c r="N119" s="11">
        <v>1473.55</v>
      </c>
      <c r="O119" s="11">
        <v>74847.429999999993</v>
      </c>
      <c r="P119" s="11">
        <f t="shared" si="18"/>
        <v>32152.209999999985</v>
      </c>
      <c r="Q119" s="11">
        <v>1754.52</v>
      </c>
      <c r="R119" s="11">
        <v>16029.94</v>
      </c>
      <c r="S119" s="11">
        <v>12974.89</v>
      </c>
      <c r="T119" s="11"/>
      <c r="U119" s="11"/>
      <c r="V119" s="11">
        <v>1392.859999999986</v>
      </c>
      <c r="W119" s="53">
        <f t="shared" si="12"/>
        <v>224628.96</v>
      </c>
      <c r="X119" s="72">
        <f t="shared" si="13"/>
        <v>0.51710060002948866</v>
      </c>
      <c r="Y119" s="72">
        <f t="shared" si="14"/>
        <v>6.5599288711482261E-3</v>
      </c>
      <c r="Z119" s="72">
        <f t="shared" si="15"/>
        <v>0.33320472124342293</v>
      </c>
      <c r="AA119" s="72">
        <f t="shared" si="16"/>
        <v>0.14313474985594016</v>
      </c>
    </row>
    <row r="120" spans="1:27">
      <c r="A120" s="7" t="s">
        <v>6</v>
      </c>
      <c r="B120" s="7">
        <v>10009239</v>
      </c>
      <c r="C120" s="7" t="str">
        <f t="shared" si="17"/>
        <v>ENERO10009239Inv. acumulado</v>
      </c>
      <c r="D120" s="7" t="s">
        <v>389</v>
      </c>
      <c r="E120" s="3" t="s">
        <v>327</v>
      </c>
      <c r="F120" s="8">
        <v>102480</v>
      </c>
      <c r="G120" s="2" t="s">
        <v>317</v>
      </c>
      <c r="H120" s="11">
        <v>827013.6</v>
      </c>
      <c r="I120" s="11">
        <v>-600280.66</v>
      </c>
      <c r="J120" s="11"/>
      <c r="K120" s="11">
        <v>226732.94</v>
      </c>
      <c r="L120" s="16">
        <v>2.21</v>
      </c>
      <c r="M120" s="11">
        <v>117547.58</v>
      </c>
      <c r="N120" s="11">
        <v>1487</v>
      </c>
      <c r="O120" s="11">
        <v>75365.03</v>
      </c>
      <c r="P120" s="11">
        <f t="shared" si="18"/>
        <v>32333.330000000024</v>
      </c>
      <c r="Q120" s="11">
        <v>1774</v>
      </c>
      <c r="R120" s="11">
        <v>16100.35</v>
      </c>
      <c r="S120" s="11">
        <v>13051.92</v>
      </c>
      <c r="T120" s="11"/>
      <c r="U120" s="11"/>
      <c r="V120" s="11">
        <v>1407.0600000000268</v>
      </c>
      <c r="W120" s="53">
        <f t="shared" si="12"/>
        <v>226732.94</v>
      </c>
      <c r="X120" s="72">
        <f t="shared" si="13"/>
        <v>0.51844068179947744</v>
      </c>
      <c r="Y120" s="72">
        <f t="shared" si="14"/>
        <v>6.5583765640757803E-3</v>
      </c>
      <c r="Z120" s="72">
        <f t="shared" si="15"/>
        <v>0.33239559280623271</v>
      </c>
      <c r="AA120" s="72">
        <f t="shared" si="16"/>
        <v>0.1426053488302142</v>
      </c>
    </row>
    <row r="121" spans="1:27">
      <c r="A121" s="7" t="s">
        <v>6</v>
      </c>
      <c r="B121" s="7">
        <v>10009239</v>
      </c>
      <c r="C121" s="7" t="str">
        <f t="shared" si="17"/>
        <v>ENERO10009239Inventario final</v>
      </c>
      <c r="D121" s="7" t="s">
        <v>389</v>
      </c>
      <c r="E121" s="3" t="s">
        <v>218</v>
      </c>
      <c r="F121" s="9">
        <v>102480</v>
      </c>
      <c r="G121" s="3" t="s">
        <v>317</v>
      </c>
      <c r="H121" s="12">
        <v>827013.6</v>
      </c>
      <c r="I121" s="12">
        <v>-600280.66</v>
      </c>
      <c r="J121" s="13"/>
      <c r="K121" s="12">
        <v>226732.94</v>
      </c>
      <c r="L121" s="17">
        <v>2.21</v>
      </c>
      <c r="M121" s="12">
        <v>117547.58</v>
      </c>
      <c r="N121" s="12">
        <v>1487</v>
      </c>
      <c r="O121" s="12">
        <v>75365.03</v>
      </c>
      <c r="P121" s="12">
        <f t="shared" si="18"/>
        <v>32333.330000000024</v>
      </c>
      <c r="Q121" s="12">
        <v>1774</v>
      </c>
      <c r="R121" s="12">
        <v>16100.35</v>
      </c>
      <c r="S121" s="12">
        <v>13051.92</v>
      </c>
      <c r="T121" s="11"/>
      <c r="U121" s="11"/>
      <c r="V121" s="11">
        <v>1407.0600000000268</v>
      </c>
      <c r="W121" s="53">
        <f t="shared" si="12"/>
        <v>226732.94</v>
      </c>
      <c r="X121" s="72">
        <f t="shared" si="13"/>
        <v>0.51844068179947744</v>
      </c>
      <c r="Y121" s="72">
        <f t="shared" si="14"/>
        <v>6.5583765640757803E-3</v>
      </c>
      <c r="Z121" s="72">
        <f t="shared" si="15"/>
        <v>0.33239559280623271</v>
      </c>
      <c r="AA121" s="72">
        <f t="shared" si="16"/>
        <v>0.1426053488302142</v>
      </c>
    </row>
    <row r="122" spans="1:27">
      <c r="A122" s="7" t="s">
        <v>7</v>
      </c>
      <c r="B122" s="7">
        <v>10009239</v>
      </c>
      <c r="C122" s="7" t="str">
        <f t="shared" si="17"/>
        <v>FEBRERO10009239Inventario inicial</v>
      </c>
      <c r="D122" s="7" t="s">
        <v>389</v>
      </c>
      <c r="E122" s="3" t="s">
        <v>316</v>
      </c>
      <c r="F122" s="9">
        <v>102480</v>
      </c>
      <c r="G122" s="3" t="s">
        <v>317</v>
      </c>
      <c r="H122" s="12">
        <v>827013.6</v>
      </c>
      <c r="I122" s="12" t="s">
        <v>390</v>
      </c>
      <c r="J122" s="13"/>
      <c r="K122" s="12">
        <v>226732.94</v>
      </c>
      <c r="L122" s="17">
        <v>2.21</v>
      </c>
      <c r="M122" s="12">
        <v>117547.58</v>
      </c>
      <c r="N122" s="12">
        <v>1487</v>
      </c>
      <c r="O122" s="12">
        <v>75365.03</v>
      </c>
      <c r="P122" s="12">
        <f t="shared" si="18"/>
        <v>32333.330000000009</v>
      </c>
      <c r="Q122" s="12">
        <v>237.66</v>
      </c>
      <c r="R122" s="12">
        <v>1774</v>
      </c>
      <c r="S122" s="12">
        <v>16100.35</v>
      </c>
      <c r="T122" s="11">
        <v>0.02</v>
      </c>
      <c r="U122" s="11">
        <v>13051.92</v>
      </c>
      <c r="V122" s="11">
        <v>1169.3800000000047</v>
      </c>
      <c r="W122" s="53">
        <f t="shared" si="12"/>
        <v>226732.94</v>
      </c>
      <c r="X122" s="72">
        <f t="shared" si="13"/>
        <v>0.51844068179947744</v>
      </c>
      <c r="Y122" s="72">
        <f t="shared" si="14"/>
        <v>6.5583765640757803E-3</v>
      </c>
      <c r="Z122" s="72">
        <f t="shared" si="15"/>
        <v>0.33239559280623271</v>
      </c>
      <c r="AA122" s="72">
        <f t="shared" si="16"/>
        <v>0.14260534883021411</v>
      </c>
    </row>
    <row r="123" spans="1:27">
      <c r="A123" s="7" t="s">
        <v>7</v>
      </c>
      <c r="B123" s="7">
        <v>10009239</v>
      </c>
      <c r="C123" s="7" t="str">
        <f t="shared" si="17"/>
        <v>FEBRERO10009239Revalorización</v>
      </c>
      <c r="D123" s="7" t="s">
        <v>389</v>
      </c>
      <c r="E123" s="3" t="s">
        <v>318</v>
      </c>
      <c r="F123" s="9">
        <v>0</v>
      </c>
      <c r="G123" s="3" t="s">
        <v>317</v>
      </c>
      <c r="H123" s="12" t="s">
        <v>391</v>
      </c>
      <c r="I123" s="12">
        <v>313588.8</v>
      </c>
      <c r="J123" s="13"/>
      <c r="K123" s="12">
        <v>0</v>
      </c>
      <c r="L123" s="17">
        <v>0</v>
      </c>
      <c r="M123" s="12">
        <v>0</v>
      </c>
      <c r="N123" s="12">
        <v>0</v>
      </c>
      <c r="O123" s="12">
        <v>0</v>
      </c>
      <c r="P123" s="12">
        <f t="shared" si="18"/>
        <v>0</v>
      </c>
      <c r="Q123" s="12">
        <v>0</v>
      </c>
      <c r="R123" s="12">
        <v>0</v>
      </c>
      <c r="S123" s="12">
        <v>0</v>
      </c>
      <c r="T123" s="11">
        <v>0</v>
      </c>
      <c r="U123" s="11">
        <v>0</v>
      </c>
      <c r="V123" s="11">
        <v>0</v>
      </c>
      <c r="W123" s="53">
        <f t="shared" si="12"/>
        <v>0</v>
      </c>
      <c r="X123" s="72" t="e">
        <f t="shared" si="13"/>
        <v>#DIV/0!</v>
      </c>
      <c r="Y123" s="72" t="e">
        <f t="shared" si="14"/>
        <v>#DIV/0!</v>
      </c>
      <c r="Z123" s="72" t="e">
        <f t="shared" si="15"/>
        <v>#DIV/0!</v>
      </c>
      <c r="AA123" s="72" t="e">
        <f t="shared" si="16"/>
        <v>#DIV/0!</v>
      </c>
    </row>
    <row r="124" spans="1:27">
      <c r="A124" s="7" t="s">
        <v>7</v>
      </c>
      <c r="B124" s="7">
        <v>10009239</v>
      </c>
      <c r="C124" s="7" t="str">
        <f t="shared" si="17"/>
        <v>FEBRERO10009239Entradas</v>
      </c>
      <c r="D124" s="7" t="s">
        <v>389</v>
      </c>
      <c r="E124" s="3" t="s">
        <v>164</v>
      </c>
      <c r="F124" s="9">
        <v>220080</v>
      </c>
      <c r="G124" s="3" t="s">
        <v>317</v>
      </c>
      <c r="H124" s="12">
        <v>1102600.8</v>
      </c>
      <c r="I124" s="12" t="s">
        <v>392</v>
      </c>
      <c r="J124" s="13"/>
      <c r="K124" s="12">
        <v>455396.99</v>
      </c>
      <c r="L124" s="17">
        <v>2.0699999999999998</v>
      </c>
      <c r="M124" s="12">
        <v>229451.58</v>
      </c>
      <c r="N124" s="12">
        <v>2876.11</v>
      </c>
      <c r="O124" s="12">
        <v>151319.39000000001</v>
      </c>
      <c r="P124" s="12">
        <f t="shared" si="18"/>
        <v>71749.910000000062</v>
      </c>
      <c r="Q124" s="12">
        <v>1551.56</v>
      </c>
      <c r="R124" s="12">
        <v>3846.94</v>
      </c>
      <c r="S124" s="12">
        <v>35142.76</v>
      </c>
      <c r="T124" s="11" t="s">
        <v>362</v>
      </c>
      <c r="U124" s="11">
        <v>28449.46</v>
      </c>
      <c r="V124" s="11">
        <v>2759.1900000000605</v>
      </c>
      <c r="W124" s="53">
        <f t="shared" si="12"/>
        <v>455396.99</v>
      </c>
      <c r="X124" s="72">
        <f t="shared" si="13"/>
        <v>0.50384957529034169</v>
      </c>
      <c r="Y124" s="72">
        <f t="shared" si="14"/>
        <v>6.3156104742809133E-3</v>
      </c>
      <c r="Z124" s="72">
        <f t="shared" si="15"/>
        <v>0.33228017163661977</v>
      </c>
      <c r="AA124" s="72">
        <f t="shared" si="16"/>
        <v>0.15755464259875776</v>
      </c>
    </row>
    <row r="125" spans="1:27">
      <c r="A125" s="7" t="s">
        <v>7</v>
      </c>
      <c r="B125" s="7">
        <v>10009239</v>
      </c>
      <c r="C125" s="7" t="str">
        <f t="shared" si="17"/>
        <v>FEBRERO10009239Inventario acumulado</v>
      </c>
      <c r="D125" s="7" t="s">
        <v>389</v>
      </c>
      <c r="E125" s="3" t="s">
        <v>319</v>
      </c>
      <c r="F125" s="9">
        <v>322560</v>
      </c>
      <c r="G125" s="3" t="s">
        <v>317</v>
      </c>
      <c r="H125" s="12">
        <v>1616025.6000000001</v>
      </c>
      <c r="I125" s="12" t="s">
        <v>393</v>
      </c>
      <c r="J125" s="13"/>
      <c r="K125" s="12">
        <v>682129.93</v>
      </c>
      <c r="L125" s="17">
        <v>2.11</v>
      </c>
      <c r="M125" s="12">
        <v>346999.16</v>
      </c>
      <c r="N125" s="12">
        <v>4363.1099999999997</v>
      </c>
      <c r="O125" s="12">
        <v>226684.42</v>
      </c>
      <c r="P125" s="12">
        <f t="shared" si="18"/>
        <v>104083.24000000008</v>
      </c>
      <c r="Q125" s="12">
        <v>1789.22</v>
      </c>
      <c r="R125" s="12">
        <v>5620.94</v>
      </c>
      <c r="S125" s="12">
        <v>51243.11</v>
      </c>
      <c r="T125" s="11" t="s">
        <v>394</v>
      </c>
      <c r="U125" s="11">
        <v>41501.379999999997</v>
      </c>
      <c r="V125" s="11">
        <v>3928.5900000000838</v>
      </c>
      <c r="W125" s="53">
        <f t="shared" si="12"/>
        <v>682129.93</v>
      </c>
      <c r="X125" s="72">
        <f t="shared" si="13"/>
        <v>0.50869950831801203</v>
      </c>
      <c r="Y125" s="72">
        <f t="shared" si="14"/>
        <v>6.3963034139258475E-3</v>
      </c>
      <c r="Z125" s="72">
        <f t="shared" si="15"/>
        <v>0.33231853644070419</v>
      </c>
      <c r="AA125" s="72">
        <f t="shared" si="16"/>
        <v>0.15258565182735798</v>
      </c>
    </row>
    <row r="126" spans="1:27">
      <c r="A126" s="7" t="s">
        <v>7</v>
      </c>
      <c r="B126" s="7">
        <v>10009239</v>
      </c>
      <c r="C126" s="7" t="str">
        <f t="shared" si="17"/>
        <v>FEBRERO10009239Compensación</v>
      </c>
      <c r="D126" s="7" t="s">
        <v>389</v>
      </c>
      <c r="E126" s="3" t="s">
        <v>114</v>
      </c>
      <c r="F126" s="9">
        <v>27000</v>
      </c>
      <c r="G126" s="3" t="s">
        <v>317</v>
      </c>
      <c r="H126" s="12">
        <v>135270</v>
      </c>
      <c r="I126" s="12" t="s">
        <v>395</v>
      </c>
      <c r="J126" s="13"/>
      <c r="K126" s="12">
        <v>57097.93</v>
      </c>
      <c r="L126" s="17">
        <v>2.11</v>
      </c>
      <c r="M126" s="12">
        <v>29045.69</v>
      </c>
      <c r="N126" s="12">
        <v>365.21</v>
      </c>
      <c r="O126" s="12">
        <v>18974.7</v>
      </c>
      <c r="P126" s="12">
        <f t="shared" si="18"/>
        <v>8712.3300000000036</v>
      </c>
      <c r="Q126" s="12">
        <v>149.77000000000001</v>
      </c>
      <c r="R126" s="12">
        <v>470.5</v>
      </c>
      <c r="S126" s="12">
        <v>4289.33</v>
      </c>
      <c r="T126" s="11" t="s">
        <v>334</v>
      </c>
      <c r="U126" s="11">
        <v>3473.89</v>
      </c>
      <c r="V126" s="11">
        <v>328.84000000000378</v>
      </c>
      <c r="W126" s="53">
        <f t="shared" si="12"/>
        <v>57097.93</v>
      </c>
      <c r="X126" s="72">
        <f t="shared" si="13"/>
        <v>0.50869952728584034</v>
      </c>
      <c r="Y126" s="72">
        <f t="shared" si="14"/>
        <v>6.3962038553761931E-3</v>
      </c>
      <c r="Z126" s="72">
        <f t="shared" si="15"/>
        <v>0.33231852713399596</v>
      </c>
      <c r="AA126" s="72">
        <f t="shared" si="16"/>
        <v>0.15258574172478764</v>
      </c>
    </row>
    <row r="127" spans="1:27">
      <c r="A127" s="7" t="s">
        <v>7</v>
      </c>
      <c r="B127" s="7">
        <v>10009239</v>
      </c>
      <c r="C127" s="7" t="str">
        <f t="shared" si="17"/>
        <v>FEBRERO10009239Inventario final</v>
      </c>
      <c r="D127" s="7" t="s">
        <v>389</v>
      </c>
      <c r="E127" s="3" t="s">
        <v>218</v>
      </c>
      <c r="F127" s="8">
        <v>295560</v>
      </c>
      <c r="G127" s="2" t="s">
        <v>317</v>
      </c>
      <c r="H127" s="11">
        <v>1480755.6</v>
      </c>
      <c r="I127" s="11" t="s">
        <v>396</v>
      </c>
      <c r="J127" s="11"/>
      <c r="K127" s="11">
        <v>625032</v>
      </c>
      <c r="L127" s="16">
        <v>2.11</v>
      </c>
      <c r="M127" s="11">
        <v>317953.46999999997</v>
      </c>
      <c r="N127" s="11">
        <v>3997.9</v>
      </c>
      <c r="O127" s="11">
        <v>207709.72</v>
      </c>
      <c r="P127" s="11">
        <f t="shared" si="18"/>
        <v>95370.91</v>
      </c>
      <c r="Q127" s="11">
        <v>1639.45</v>
      </c>
      <c r="R127" s="11">
        <v>5150.4399999999996</v>
      </c>
      <c r="S127" s="11">
        <v>46953.78</v>
      </c>
      <c r="T127" s="11" t="s">
        <v>397</v>
      </c>
      <c r="U127" s="11">
        <v>38027.49</v>
      </c>
      <c r="V127" s="11">
        <v>3599.75</v>
      </c>
      <c r="W127" s="53">
        <f t="shared" si="12"/>
        <v>625032</v>
      </c>
      <c r="X127" s="72">
        <f t="shared" si="13"/>
        <v>0.50869950658526275</v>
      </c>
      <c r="Y127" s="72">
        <f t="shared" si="14"/>
        <v>6.3963125087995497E-3</v>
      </c>
      <c r="Z127" s="72">
        <f t="shared" si="15"/>
        <v>0.33231853729089073</v>
      </c>
      <c r="AA127" s="72">
        <f t="shared" si="16"/>
        <v>0.15258564361504692</v>
      </c>
    </row>
    <row r="128" spans="1:27">
      <c r="A128" s="7" t="s">
        <v>6</v>
      </c>
      <c r="B128" s="7">
        <v>10007050</v>
      </c>
      <c r="C128" s="7" t="str">
        <f t="shared" si="17"/>
        <v>ENERO10007050Inventario inicial</v>
      </c>
      <c r="D128" s="7" t="s">
        <v>398</v>
      </c>
      <c r="E128" s="3" t="s">
        <v>316</v>
      </c>
      <c r="F128" s="8">
        <v>0</v>
      </c>
      <c r="G128" s="2" t="s">
        <v>317</v>
      </c>
      <c r="H128" s="11">
        <v>0</v>
      </c>
      <c r="I128" s="11">
        <v>0</v>
      </c>
      <c r="J128" s="11"/>
      <c r="K128" s="11">
        <v>0</v>
      </c>
      <c r="L128" s="16">
        <v>0</v>
      </c>
      <c r="M128" s="11">
        <v>0</v>
      </c>
      <c r="N128" s="11">
        <v>0</v>
      </c>
      <c r="O128" s="11">
        <v>0</v>
      </c>
      <c r="P128" s="11">
        <f t="shared" si="18"/>
        <v>0</v>
      </c>
      <c r="Q128" s="11"/>
      <c r="R128" s="11"/>
      <c r="S128" s="11"/>
      <c r="T128" s="11"/>
      <c r="U128" s="11"/>
      <c r="V128" s="11">
        <v>0</v>
      </c>
      <c r="W128" s="53">
        <f t="shared" si="12"/>
        <v>0</v>
      </c>
      <c r="X128" s="72" t="e">
        <f t="shared" si="13"/>
        <v>#DIV/0!</v>
      </c>
      <c r="Y128" s="72" t="e">
        <f t="shared" si="14"/>
        <v>#DIV/0!</v>
      </c>
      <c r="Z128" s="72" t="e">
        <f t="shared" si="15"/>
        <v>#DIV/0!</v>
      </c>
      <c r="AA128" s="72" t="e">
        <f t="shared" si="16"/>
        <v>#DIV/0!</v>
      </c>
    </row>
    <row r="129" spans="1:27">
      <c r="A129" s="7" t="s">
        <v>6</v>
      </c>
      <c r="B129" s="7">
        <v>10007050</v>
      </c>
      <c r="C129" s="7" t="str">
        <f t="shared" si="17"/>
        <v>ENERO10007050Revalorización</v>
      </c>
      <c r="D129" s="7" t="s">
        <v>398</v>
      </c>
      <c r="E129" s="3" t="s">
        <v>318</v>
      </c>
      <c r="F129" s="8">
        <v>0</v>
      </c>
      <c r="G129" s="2" t="s">
        <v>317</v>
      </c>
      <c r="H129" s="11">
        <v>0</v>
      </c>
      <c r="I129" s="11">
        <v>0</v>
      </c>
      <c r="J129" s="11"/>
      <c r="K129" s="11">
        <v>0</v>
      </c>
      <c r="L129" s="16">
        <v>0</v>
      </c>
      <c r="M129" s="11">
        <v>0</v>
      </c>
      <c r="N129" s="11">
        <v>0</v>
      </c>
      <c r="O129" s="11">
        <v>0</v>
      </c>
      <c r="P129" s="11">
        <f t="shared" si="18"/>
        <v>0</v>
      </c>
      <c r="Q129" s="11"/>
      <c r="R129" s="11"/>
      <c r="S129" s="11"/>
      <c r="T129" s="11"/>
      <c r="U129" s="11"/>
      <c r="V129" s="11">
        <v>0</v>
      </c>
      <c r="W129" s="53">
        <f t="shared" si="12"/>
        <v>0</v>
      </c>
      <c r="X129" s="72" t="e">
        <f t="shared" si="13"/>
        <v>#DIV/0!</v>
      </c>
      <c r="Y129" s="72" t="e">
        <f t="shared" si="14"/>
        <v>#DIV/0!</v>
      </c>
      <c r="Z129" s="72" t="e">
        <f t="shared" si="15"/>
        <v>#DIV/0!</v>
      </c>
      <c r="AA129" s="72" t="e">
        <f t="shared" si="16"/>
        <v>#DIV/0!</v>
      </c>
    </row>
    <row r="130" spans="1:27">
      <c r="A130" s="7" t="s">
        <v>6</v>
      </c>
      <c r="B130" s="7">
        <v>10007050</v>
      </c>
      <c r="C130" s="7" t="str">
        <f t="shared" si="17"/>
        <v>ENERO10007050Entradas</v>
      </c>
      <c r="D130" s="7" t="s">
        <v>398</v>
      </c>
      <c r="E130" s="3" t="s">
        <v>164</v>
      </c>
      <c r="F130" s="8">
        <v>11740</v>
      </c>
      <c r="G130" s="2" t="s">
        <v>317</v>
      </c>
      <c r="H130" s="11">
        <v>29702.2</v>
      </c>
      <c r="I130" s="11">
        <v>-13761.55</v>
      </c>
      <c r="J130" s="11"/>
      <c r="K130" s="11">
        <v>15940.65</v>
      </c>
      <c r="L130" s="16">
        <v>1.36</v>
      </c>
      <c r="M130" s="11">
        <v>13172.77</v>
      </c>
      <c r="N130" s="11">
        <v>184.66</v>
      </c>
      <c r="O130" s="11">
        <v>2641.53</v>
      </c>
      <c r="P130" s="11">
        <f t="shared" si="18"/>
        <v>-58.31000000000131</v>
      </c>
      <c r="Q130" s="11"/>
      <c r="R130" s="11"/>
      <c r="S130" s="11"/>
      <c r="T130" s="11"/>
      <c r="U130" s="11"/>
      <c r="V130" s="11">
        <v>-58.31000000000131</v>
      </c>
      <c r="W130" s="53">
        <f t="shared" si="12"/>
        <v>15940.65</v>
      </c>
      <c r="X130" s="72">
        <f t="shared" si="13"/>
        <v>0.82636341679918957</v>
      </c>
      <c r="Y130" s="72">
        <f t="shared" si="14"/>
        <v>1.158422021686694E-2</v>
      </c>
      <c r="Z130" s="72">
        <f t="shared" si="15"/>
        <v>0.1657103066687996</v>
      </c>
      <c r="AA130" s="72">
        <f t="shared" si="16"/>
        <v>-3.6579436848560949E-3</v>
      </c>
    </row>
    <row r="131" spans="1:27">
      <c r="A131" s="7" t="s">
        <v>6</v>
      </c>
      <c r="B131" s="7">
        <v>10007050</v>
      </c>
      <c r="C131" s="7" t="str">
        <f t="shared" si="17"/>
        <v>ENERO10007050Inv. acumulado</v>
      </c>
      <c r="D131" s="7" t="s">
        <v>398</v>
      </c>
      <c r="E131" s="3" t="s">
        <v>327</v>
      </c>
      <c r="F131" s="8">
        <v>11740</v>
      </c>
      <c r="G131" s="2" t="s">
        <v>317</v>
      </c>
      <c r="H131" s="11">
        <v>29702.2</v>
      </c>
      <c r="I131" s="11">
        <v>-13761.55</v>
      </c>
      <c r="J131" s="11"/>
      <c r="K131" s="11">
        <v>15940.65</v>
      </c>
      <c r="L131" s="16">
        <v>1.36</v>
      </c>
      <c r="M131" s="11">
        <v>13172.77</v>
      </c>
      <c r="N131" s="11">
        <v>184.66</v>
      </c>
      <c r="O131" s="11">
        <v>2641.53</v>
      </c>
      <c r="P131" s="11">
        <f t="shared" si="18"/>
        <v>-58.31000000000131</v>
      </c>
      <c r="Q131" s="11"/>
      <c r="R131" s="11"/>
      <c r="S131" s="11"/>
      <c r="T131" s="11"/>
      <c r="U131" s="11"/>
      <c r="V131" s="11">
        <v>-58.31000000000131</v>
      </c>
      <c r="W131" s="53">
        <f t="shared" si="12"/>
        <v>15940.65</v>
      </c>
      <c r="X131" s="72">
        <f t="shared" si="13"/>
        <v>0.82636341679918957</v>
      </c>
      <c r="Y131" s="72">
        <f t="shared" si="14"/>
        <v>1.158422021686694E-2</v>
      </c>
      <c r="Z131" s="72">
        <f t="shared" si="15"/>
        <v>0.1657103066687996</v>
      </c>
      <c r="AA131" s="72">
        <f t="shared" si="16"/>
        <v>-3.6579436848560949E-3</v>
      </c>
    </row>
    <row r="132" spans="1:27">
      <c r="A132" s="7" t="s">
        <v>6</v>
      </c>
      <c r="B132" s="7">
        <v>10007050</v>
      </c>
      <c r="C132" s="7" t="str">
        <f t="shared" si="17"/>
        <v>ENERO10007050Inventario final</v>
      </c>
      <c r="D132" s="7" t="s">
        <v>398</v>
      </c>
      <c r="E132" s="3" t="s">
        <v>218</v>
      </c>
      <c r="F132" s="8">
        <v>11740</v>
      </c>
      <c r="G132" s="2" t="s">
        <v>317</v>
      </c>
      <c r="H132" s="11">
        <v>29702.2</v>
      </c>
      <c r="I132" s="11">
        <v>-13761.55</v>
      </c>
      <c r="J132" s="11"/>
      <c r="K132" s="11">
        <v>15940.65</v>
      </c>
      <c r="L132" s="16">
        <v>1.36</v>
      </c>
      <c r="M132" s="11">
        <v>13172.77</v>
      </c>
      <c r="N132" s="11">
        <v>184.66</v>
      </c>
      <c r="O132" s="11">
        <v>2641.53</v>
      </c>
      <c r="P132" s="11">
        <f t="shared" si="18"/>
        <v>-58.31000000000131</v>
      </c>
      <c r="Q132" s="11"/>
      <c r="R132" s="11"/>
      <c r="S132" s="11"/>
      <c r="T132" s="11"/>
      <c r="U132" s="11"/>
      <c r="V132" s="11">
        <v>-58.31000000000131</v>
      </c>
      <c r="W132" s="53">
        <f t="shared" si="12"/>
        <v>15940.65</v>
      </c>
      <c r="X132" s="72">
        <f t="shared" si="13"/>
        <v>0.82636341679918957</v>
      </c>
      <c r="Y132" s="72">
        <f t="shared" si="14"/>
        <v>1.158422021686694E-2</v>
      </c>
      <c r="Z132" s="72">
        <f t="shared" si="15"/>
        <v>0.1657103066687996</v>
      </c>
      <c r="AA132" s="72">
        <f t="shared" si="16"/>
        <v>-3.6579436848560949E-3</v>
      </c>
    </row>
    <row r="133" spans="1:27">
      <c r="A133" s="7" t="s">
        <v>7</v>
      </c>
      <c r="B133" s="7">
        <v>10007050</v>
      </c>
      <c r="C133" s="7" t="str">
        <f t="shared" ref="C133:C196" si="19">A133&amp;B133&amp;E133</f>
        <v>FEBRERO10007050Inventario inicial</v>
      </c>
      <c r="D133" s="7" t="s">
        <v>398</v>
      </c>
      <c r="E133" s="3" t="s">
        <v>316</v>
      </c>
      <c r="F133" s="8">
        <v>11740</v>
      </c>
      <c r="G133" s="2" t="s">
        <v>317</v>
      </c>
      <c r="H133" s="11">
        <v>29702.2</v>
      </c>
      <c r="I133" s="11" t="s">
        <v>399</v>
      </c>
      <c r="J133" s="11"/>
      <c r="K133" s="11">
        <v>15940.65</v>
      </c>
      <c r="L133" s="16">
        <v>1.36</v>
      </c>
      <c r="M133" s="11">
        <v>13172.77</v>
      </c>
      <c r="N133" s="11">
        <v>184.66</v>
      </c>
      <c r="O133" s="11">
        <v>2641.53</v>
      </c>
      <c r="P133" s="11">
        <f t="shared" ref="P133:P158" si="20">SUM(Q133:V133)</f>
        <v>-58.31000000000131</v>
      </c>
      <c r="Q133" s="11">
        <v>0</v>
      </c>
      <c r="R133" s="11">
        <v>0</v>
      </c>
      <c r="S133" s="11">
        <v>0</v>
      </c>
      <c r="T133" s="11" t="s">
        <v>365</v>
      </c>
      <c r="U133" s="11">
        <v>0</v>
      </c>
      <c r="V133" s="11">
        <v>-58.31000000000131</v>
      </c>
      <c r="W133" s="53">
        <f t="shared" si="12"/>
        <v>15940.65</v>
      </c>
      <c r="X133" s="72">
        <f t="shared" si="13"/>
        <v>0.82636341679918957</v>
      </c>
      <c r="Y133" s="72">
        <f t="shared" si="14"/>
        <v>1.158422021686694E-2</v>
      </c>
      <c r="Z133" s="72">
        <f t="shared" si="15"/>
        <v>0.1657103066687996</v>
      </c>
      <c r="AA133" s="72">
        <f t="shared" si="16"/>
        <v>-3.6579436848560949E-3</v>
      </c>
    </row>
    <row r="134" spans="1:27">
      <c r="A134" s="7" t="s">
        <v>7</v>
      </c>
      <c r="B134" s="7">
        <v>10007050</v>
      </c>
      <c r="C134" s="7" t="str">
        <f t="shared" si="19"/>
        <v>FEBRERO10007050Revalorización</v>
      </c>
      <c r="D134" s="7" t="s">
        <v>398</v>
      </c>
      <c r="E134" s="3" t="s">
        <v>318</v>
      </c>
      <c r="F134" s="8">
        <v>0</v>
      </c>
      <c r="G134" s="2" t="s">
        <v>317</v>
      </c>
      <c r="H134" s="11" t="s">
        <v>400</v>
      </c>
      <c r="I134" s="11">
        <v>2700.2</v>
      </c>
      <c r="J134" s="11"/>
      <c r="K134" s="11">
        <v>0</v>
      </c>
      <c r="L134" s="16">
        <v>0</v>
      </c>
      <c r="M134" s="11">
        <v>0</v>
      </c>
      <c r="N134" s="11">
        <v>0</v>
      </c>
      <c r="O134" s="11">
        <v>0</v>
      </c>
      <c r="P134" s="11">
        <f t="shared" si="20"/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53">
        <f t="shared" ref="W134:W158" si="21">SUM(M134:P134)</f>
        <v>0</v>
      </c>
      <c r="X134" s="72" t="e">
        <f t="shared" ref="X134:X158" si="22">M134/$W134</f>
        <v>#DIV/0!</v>
      </c>
      <c r="Y134" s="72" t="e">
        <f t="shared" ref="Y134:Y158" si="23">N134/$W134</f>
        <v>#DIV/0!</v>
      </c>
      <c r="Z134" s="72" t="e">
        <f t="shared" ref="Z134:Z158" si="24">O134/$W134</f>
        <v>#DIV/0!</v>
      </c>
      <c r="AA134" s="72" t="e">
        <f t="shared" ref="AA134:AA158" si="25">P134/$W134</f>
        <v>#DIV/0!</v>
      </c>
    </row>
    <row r="135" spans="1:27">
      <c r="A135" s="18" t="s">
        <v>7</v>
      </c>
      <c r="B135" s="18">
        <v>10007050</v>
      </c>
      <c r="C135" s="18" t="str">
        <f t="shared" si="19"/>
        <v>FEBRERO10007050Entradas</v>
      </c>
      <c r="D135" s="18" t="s">
        <v>398</v>
      </c>
      <c r="E135" s="3" t="s">
        <v>164</v>
      </c>
      <c r="F135" s="8">
        <v>15320</v>
      </c>
      <c r="G135" s="2" t="s">
        <v>317</v>
      </c>
      <c r="H135" s="11">
        <v>35236</v>
      </c>
      <c r="I135" s="11" t="s">
        <v>401</v>
      </c>
      <c r="J135" s="11"/>
      <c r="K135" s="11">
        <v>19496.29</v>
      </c>
      <c r="L135" s="16">
        <v>1.27</v>
      </c>
      <c r="M135" s="11">
        <v>15644.46</v>
      </c>
      <c r="N135" s="11">
        <v>260.14</v>
      </c>
      <c r="O135" s="11">
        <v>3617.28</v>
      </c>
      <c r="P135" s="11">
        <f t="shared" si="20"/>
        <v>-25.589999999997815</v>
      </c>
      <c r="Q135" s="11">
        <v>0.39</v>
      </c>
      <c r="R135" s="11">
        <v>4.7699999999999996</v>
      </c>
      <c r="S135" s="11">
        <v>19.87</v>
      </c>
      <c r="T135" s="11">
        <v>0.02</v>
      </c>
      <c r="U135" s="11">
        <v>20.76</v>
      </c>
      <c r="V135" s="11">
        <v>-71.399999999997817</v>
      </c>
      <c r="W135" s="53">
        <f t="shared" si="21"/>
        <v>19496.29</v>
      </c>
      <c r="X135" s="72">
        <f t="shared" si="22"/>
        <v>0.80243266795887824</v>
      </c>
      <c r="Y135" s="72">
        <f t="shared" si="23"/>
        <v>1.3343051421578156E-2</v>
      </c>
      <c r="Z135" s="72">
        <f t="shared" si="24"/>
        <v>0.1855368380343132</v>
      </c>
      <c r="AA135" s="72">
        <f t="shared" si="25"/>
        <v>-1.3125574147695696E-3</v>
      </c>
    </row>
    <row r="136" spans="1:27">
      <c r="A136" s="7" t="s">
        <v>7</v>
      </c>
      <c r="B136" s="7">
        <v>10007050</v>
      </c>
      <c r="C136" s="7" t="str">
        <f t="shared" si="19"/>
        <v>FEBRERO10007050Inventario acumulado</v>
      </c>
      <c r="D136" s="7" t="s">
        <v>398</v>
      </c>
      <c r="E136" s="3" t="s">
        <v>319</v>
      </c>
      <c r="F136" s="8">
        <v>27060</v>
      </c>
      <c r="G136" s="2" t="s">
        <v>317</v>
      </c>
      <c r="H136" s="11">
        <v>62238</v>
      </c>
      <c r="I136" s="11" t="s">
        <v>402</v>
      </c>
      <c r="J136" s="11"/>
      <c r="K136" s="11">
        <v>35436.94</v>
      </c>
      <c r="L136" s="16">
        <v>1.31</v>
      </c>
      <c r="M136" s="11">
        <v>28817.23</v>
      </c>
      <c r="N136" s="11">
        <v>444.8</v>
      </c>
      <c r="O136" s="11">
        <v>6258.81</v>
      </c>
      <c r="P136" s="11">
        <f t="shared" si="20"/>
        <v>-83.899999999995046</v>
      </c>
      <c r="Q136" s="11">
        <v>0.39</v>
      </c>
      <c r="R136" s="11">
        <v>4.7699999999999996</v>
      </c>
      <c r="S136" s="11">
        <v>19.87</v>
      </c>
      <c r="T136" s="11" t="s">
        <v>334</v>
      </c>
      <c r="U136" s="11">
        <v>20.76</v>
      </c>
      <c r="V136" s="11">
        <v>-129.68999999999505</v>
      </c>
      <c r="W136" s="53">
        <f t="shared" si="21"/>
        <v>35436.94</v>
      </c>
      <c r="X136" s="72">
        <f t="shared" si="22"/>
        <v>0.81319747133922959</v>
      </c>
      <c r="Y136" s="72">
        <f t="shared" si="23"/>
        <v>1.2551873835607701E-2</v>
      </c>
      <c r="Z136" s="72">
        <f t="shared" si="24"/>
        <v>0.17661824073974786</v>
      </c>
      <c r="AA136" s="72">
        <f t="shared" si="25"/>
        <v>-2.3675859145850359E-3</v>
      </c>
    </row>
    <row r="137" spans="1:27">
      <c r="A137" s="7" t="s">
        <v>7</v>
      </c>
      <c r="B137" s="7">
        <v>10007050</v>
      </c>
      <c r="C137" s="7" t="str">
        <f t="shared" si="19"/>
        <v>FEBRERO10007050Inventario final</v>
      </c>
      <c r="D137" s="7" t="s">
        <v>398</v>
      </c>
      <c r="E137" s="3" t="s">
        <v>218</v>
      </c>
      <c r="F137" s="8">
        <v>27060</v>
      </c>
      <c r="G137" s="2" t="s">
        <v>317</v>
      </c>
      <c r="H137" s="11">
        <v>62238</v>
      </c>
      <c r="I137" s="11" t="s">
        <v>402</v>
      </c>
      <c r="J137" s="11"/>
      <c r="K137" s="11">
        <v>35436.94</v>
      </c>
      <c r="L137" s="16">
        <v>1.31</v>
      </c>
      <c r="M137" s="11">
        <v>28817.23</v>
      </c>
      <c r="N137" s="11">
        <v>444.8</v>
      </c>
      <c r="O137" s="11">
        <v>6258.81</v>
      </c>
      <c r="P137" s="11">
        <f t="shared" si="20"/>
        <v>-83.899999999995046</v>
      </c>
      <c r="Q137" s="11">
        <v>0.39</v>
      </c>
      <c r="R137" s="11">
        <v>4.7699999999999996</v>
      </c>
      <c r="S137" s="11">
        <v>19.87</v>
      </c>
      <c r="T137" s="11" t="s">
        <v>334</v>
      </c>
      <c r="U137" s="11">
        <v>20.76</v>
      </c>
      <c r="V137" s="11">
        <v>-129.68999999999505</v>
      </c>
      <c r="W137" s="53">
        <f t="shared" si="21"/>
        <v>35436.94</v>
      </c>
      <c r="X137" s="72">
        <f t="shared" si="22"/>
        <v>0.81319747133922959</v>
      </c>
      <c r="Y137" s="72">
        <f t="shared" si="23"/>
        <v>1.2551873835607701E-2</v>
      </c>
      <c r="Z137" s="72">
        <f t="shared" si="24"/>
        <v>0.17661824073974786</v>
      </c>
      <c r="AA137" s="72">
        <f t="shared" si="25"/>
        <v>-2.3675859145850359E-3</v>
      </c>
    </row>
    <row r="138" spans="1:27">
      <c r="A138" s="7" t="s">
        <v>6</v>
      </c>
      <c r="B138" s="7">
        <v>10009331</v>
      </c>
      <c r="C138" s="7" t="str">
        <f t="shared" si="19"/>
        <v>ENERO10009331Inventario inicial</v>
      </c>
      <c r="D138" s="7" t="s">
        <v>403</v>
      </c>
      <c r="E138" s="3" t="s">
        <v>316</v>
      </c>
      <c r="F138" s="8">
        <v>0</v>
      </c>
      <c r="G138" s="2" t="s">
        <v>317</v>
      </c>
      <c r="H138" s="11">
        <v>0</v>
      </c>
      <c r="I138" s="11">
        <v>0</v>
      </c>
      <c r="J138" s="11"/>
      <c r="K138" s="11">
        <v>0</v>
      </c>
      <c r="L138" s="16">
        <v>0</v>
      </c>
      <c r="M138" s="11">
        <v>0</v>
      </c>
      <c r="N138" s="11">
        <v>0</v>
      </c>
      <c r="O138" s="11">
        <v>0</v>
      </c>
      <c r="P138" s="11">
        <f t="shared" si="20"/>
        <v>0</v>
      </c>
      <c r="Q138" s="11">
        <v>0</v>
      </c>
      <c r="R138" s="11">
        <v>0</v>
      </c>
      <c r="S138" s="11">
        <v>0</v>
      </c>
      <c r="T138" s="11">
        <v>0</v>
      </c>
      <c r="U138" s="11"/>
      <c r="V138" s="11">
        <v>0</v>
      </c>
      <c r="W138" s="53">
        <f t="shared" si="21"/>
        <v>0</v>
      </c>
      <c r="X138" s="72" t="e">
        <f t="shared" si="22"/>
        <v>#DIV/0!</v>
      </c>
      <c r="Y138" s="72" t="e">
        <f t="shared" si="23"/>
        <v>#DIV/0!</v>
      </c>
      <c r="Z138" s="72" t="e">
        <f t="shared" si="24"/>
        <v>#DIV/0!</v>
      </c>
      <c r="AA138" s="72" t="e">
        <f t="shared" si="25"/>
        <v>#DIV/0!</v>
      </c>
    </row>
    <row r="139" spans="1:27">
      <c r="A139" s="7" t="s">
        <v>6</v>
      </c>
      <c r="B139" s="7">
        <v>10009331</v>
      </c>
      <c r="C139" s="7" t="str">
        <f t="shared" si="19"/>
        <v>ENERO10009331Revalorización</v>
      </c>
      <c r="D139" s="7" t="s">
        <v>403</v>
      </c>
      <c r="E139" s="3" t="s">
        <v>318</v>
      </c>
      <c r="F139" s="8">
        <v>0</v>
      </c>
      <c r="G139" s="2" t="s">
        <v>317</v>
      </c>
      <c r="H139" s="11">
        <v>0</v>
      </c>
      <c r="I139" s="11">
        <v>0</v>
      </c>
      <c r="J139" s="11"/>
      <c r="K139" s="11">
        <v>0</v>
      </c>
      <c r="L139" s="16">
        <v>0</v>
      </c>
      <c r="M139" s="11">
        <v>0</v>
      </c>
      <c r="N139" s="11">
        <v>0</v>
      </c>
      <c r="O139" s="11">
        <v>0</v>
      </c>
      <c r="P139" s="11">
        <f t="shared" si="20"/>
        <v>0</v>
      </c>
      <c r="Q139" s="11">
        <v>0</v>
      </c>
      <c r="R139" s="11">
        <v>0</v>
      </c>
      <c r="S139" s="11">
        <v>0</v>
      </c>
      <c r="T139" s="11">
        <v>0</v>
      </c>
      <c r="U139" s="11"/>
      <c r="V139" s="11">
        <v>0</v>
      </c>
      <c r="W139" s="53">
        <f t="shared" si="21"/>
        <v>0</v>
      </c>
      <c r="X139" s="72" t="e">
        <f t="shared" si="22"/>
        <v>#DIV/0!</v>
      </c>
      <c r="Y139" s="72" t="e">
        <f t="shared" si="23"/>
        <v>#DIV/0!</v>
      </c>
      <c r="Z139" s="72" t="e">
        <f t="shared" si="24"/>
        <v>#DIV/0!</v>
      </c>
      <c r="AA139" s="72" t="e">
        <f t="shared" si="25"/>
        <v>#DIV/0!</v>
      </c>
    </row>
    <row r="140" spans="1:27">
      <c r="A140" s="7" t="s">
        <v>6</v>
      </c>
      <c r="B140" s="7">
        <v>10009331</v>
      </c>
      <c r="C140" s="7" t="str">
        <f t="shared" si="19"/>
        <v>ENERO10009331Entradas</v>
      </c>
      <c r="D140" s="7" t="s">
        <v>403</v>
      </c>
      <c r="E140" s="3" t="s">
        <v>164</v>
      </c>
      <c r="F140" s="8">
        <v>16650</v>
      </c>
      <c r="G140" s="2" t="s">
        <v>317</v>
      </c>
      <c r="H140" s="11">
        <v>70096.5</v>
      </c>
      <c r="I140" s="11">
        <v>-37945.18</v>
      </c>
      <c r="J140" s="11"/>
      <c r="K140" s="11">
        <v>32151.32</v>
      </c>
      <c r="L140" s="16">
        <v>1.93</v>
      </c>
      <c r="M140" s="11">
        <v>19396.48</v>
      </c>
      <c r="N140" s="11">
        <v>304.44</v>
      </c>
      <c r="O140" s="11">
        <v>7215.56</v>
      </c>
      <c r="P140" s="11">
        <f t="shared" si="20"/>
        <v>5234.84</v>
      </c>
      <c r="Q140" s="11">
        <v>286.23</v>
      </c>
      <c r="R140" s="11">
        <v>2615.12</v>
      </c>
      <c r="S140" s="11">
        <v>2116.71</v>
      </c>
      <c r="T140" s="11">
        <v>37.4</v>
      </c>
      <c r="U140" s="11"/>
      <c r="V140" s="11">
        <v>179.38000000000102</v>
      </c>
      <c r="W140" s="53">
        <f t="shared" si="21"/>
        <v>32151.32</v>
      </c>
      <c r="X140" s="72">
        <f t="shared" si="22"/>
        <v>0.60328720562639415</v>
      </c>
      <c r="Y140" s="72">
        <f t="shared" si="23"/>
        <v>9.4689735911309397E-3</v>
      </c>
      <c r="Z140" s="72">
        <f t="shared" si="24"/>
        <v>0.22442500027992632</v>
      </c>
      <c r="AA140" s="72">
        <f t="shared" si="25"/>
        <v>0.16281882050254859</v>
      </c>
    </row>
    <row r="141" spans="1:27">
      <c r="A141" s="7" t="s">
        <v>6</v>
      </c>
      <c r="B141" s="7">
        <v>10009331</v>
      </c>
      <c r="C141" s="7" t="str">
        <f t="shared" si="19"/>
        <v>ENERO10009331Inv. acumulado</v>
      </c>
      <c r="D141" s="7" t="s">
        <v>403</v>
      </c>
      <c r="E141" s="3" t="s">
        <v>327</v>
      </c>
      <c r="F141" s="8">
        <v>16650</v>
      </c>
      <c r="G141" s="2" t="s">
        <v>317</v>
      </c>
      <c r="H141" s="11">
        <v>70096.5</v>
      </c>
      <c r="I141" s="11">
        <v>-37945.18</v>
      </c>
      <c r="J141" s="11"/>
      <c r="K141" s="11">
        <v>32151.32</v>
      </c>
      <c r="L141" s="16">
        <v>1.93</v>
      </c>
      <c r="M141" s="11">
        <v>19396.48</v>
      </c>
      <c r="N141" s="11">
        <v>304.44</v>
      </c>
      <c r="O141" s="11">
        <v>7215.56</v>
      </c>
      <c r="P141" s="11">
        <f t="shared" si="20"/>
        <v>5234.84</v>
      </c>
      <c r="Q141" s="11">
        <v>286.23</v>
      </c>
      <c r="R141" s="11">
        <v>2615.12</v>
      </c>
      <c r="S141" s="11">
        <v>2116.71</v>
      </c>
      <c r="T141" s="11">
        <v>37.4</v>
      </c>
      <c r="U141" s="11"/>
      <c r="V141" s="11">
        <v>179.38000000000102</v>
      </c>
      <c r="W141" s="53">
        <f t="shared" si="21"/>
        <v>32151.32</v>
      </c>
      <c r="X141" s="72">
        <f t="shared" si="22"/>
        <v>0.60328720562639415</v>
      </c>
      <c r="Y141" s="72">
        <f t="shared" si="23"/>
        <v>9.4689735911309397E-3</v>
      </c>
      <c r="Z141" s="72">
        <f t="shared" si="24"/>
        <v>0.22442500027992632</v>
      </c>
      <c r="AA141" s="72">
        <f t="shared" si="25"/>
        <v>0.16281882050254859</v>
      </c>
    </row>
    <row r="142" spans="1:27">
      <c r="A142" s="7" t="s">
        <v>6</v>
      </c>
      <c r="B142" s="7">
        <v>10009331</v>
      </c>
      <c r="C142" s="7" t="str">
        <f t="shared" si="19"/>
        <v>ENERO10009331Inventario final</v>
      </c>
      <c r="D142" s="7" t="s">
        <v>403</v>
      </c>
      <c r="E142" s="3" t="s">
        <v>218</v>
      </c>
      <c r="F142" s="8">
        <v>16650</v>
      </c>
      <c r="G142" s="2" t="s">
        <v>317</v>
      </c>
      <c r="H142" s="11">
        <v>70096.5</v>
      </c>
      <c r="I142" s="11">
        <v>-37945.18</v>
      </c>
      <c r="J142" s="11"/>
      <c r="K142" s="11">
        <v>32151.32</v>
      </c>
      <c r="L142" s="16">
        <v>1.93</v>
      </c>
      <c r="M142" s="11">
        <v>19396.48</v>
      </c>
      <c r="N142" s="11">
        <v>304.44</v>
      </c>
      <c r="O142" s="11">
        <v>7215.56</v>
      </c>
      <c r="P142" s="11">
        <f t="shared" si="20"/>
        <v>5234.84</v>
      </c>
      <c r="Q142" s="11">
        <v>286.23</v>
      </c>
      <c r="R142" s="11">
        <v>2615.12</v>
      </c>
      <c r="S142" s="11">
        <v>2116.71</v>
      </c>
      <c r="T142" s="11">
        <v>37.4</v>
      </c>
      <c r="U142" s="11"/>
      <c r="V142" s="11">
        <v>179.38000000000102</v>
      </c>
      <c r="W142" s="53">
        <f t="shared" si="21"/>
        <v>32151.32</v>
      </c>
      <c r="X142" s="72">
        <f t="shared" si="22"/>
        <v>0.60328720562639415</v>
      </c>
      <c r="Y142" s="72">
        <f t="shared" si="23"/>
        <v>9.4689735911309397E-3</v>
      </c>
      <c r="Z142" s="72">
        <f t="shared" si="24"/>
        <v>0.22442500027992632</v>
      </c>
      <c r="AA142" s="72">
        <f t="shared" si="25"/>
        <v>0.16281882050254859</v>
      </c>
    </row>
    <row r="143" spans="1:27">
      <c r="A143" s="7" t="s">
        <v>7</v>
      </c>
      <c r="B143" s="7">
        <v>10009331</v>
      </c>
      <c r="C143" s="7" t="str">
        <f t="shared" si="19"/>
        <v>FEBRERO10009331Inventario inicial</v>
      </c>
      <c r="D143" s="7" t="s">
        <v>403</v>
      </c>
      <c r="E143" s="3" t="s">
        <v>316</v>
      </c>
      <c r="F143" s="9">
        <v>16650</v>
      </c>
      <c r="G143" s="3" t="s">
        <v>317</v>
      </c>
      <c r="H143" s="12">
        <v>70096.5</v>
      </c>
      <c r="I143" s="12" t="s">
        <v>404</v>
      </c>
      <c r="J143" s="13"/>
      <c r="K143" s="12">
        <v>32151.32</v>
      </c>
      <c r="L143" s="17">
        <v>1.93</v>
      </c>
      <c r="M143" s="12">
        <v>19396.48</v>
      </c>
      <c r="N143" s="12">
        <v>304.44</v>
      </c>
      <c r="O143" s="12">
        <v>7215.56</v>
      </c>
      <c r="P143" s="12">
        <f t="shared" si="20"/>
        <v>5234.8400000000011</v>
      </c>
      <c r="Q143" s="12">
        <v>37.4</v>
      </c>
      <c r="R143" s="12">
        <v>286.23</v>
      </c>
      <c r="S143" s="12">
        <v>2615.12</v>
      </c>
      <c r="T143" s="11">
        <v>0</v>
      </c>
      <c r="U143" s="11">
        <v>2116.71</v>
      </c>
      <c r="V143" s="11">
        <v>179.38000000000102</v>
      </c>
      <c r="W143" s="53">
        <f t="shared" si="21"/>
        <v>32151.32</v>
      </c>
      <c r="X143" s="72">
        <f t="shared" si="22"/>
        <v>0.60328720562639415</v>
      </c>
      <c r="Y143" s="72">
        <f t="shared" si="23"/>
        <v>9.4689735911309397E-3</v>
      </c>
      <c r="Z143" s="72">
        <f t="shared" si="24"/>
        <v>0.22442500027992632</v>
      </c>
      <c r="AA143" s="72">
        <f t="shared" si="25"/>
        <v>0.16281882050254862</v>
      </c>
    </row>
    <row r="144" spans="1:27">
      <c r="A144" s="7" t="s">
        <v>7</v>
      </c>
      <c r="B144" s="7">
        <v>10009331</v>
      </c>
      <c r="C144" s="7" t="str">
        <f t="shared" si="19"/>
        <v>FEBRERO10009331Revalorización</v>
      </c>
      <c r="D144" s="7" t="s">
        <v>403</v>
      </c>
      <c r="E144" s="3" t="s">
        <v>318</v>
      </c>
      <c r="F144" s="9">
        <v>0</v>
      </c>
      <c r="G144" s="3" t="s">
        <v>317</v>
      </c>
      <c r="H144" s="12">
        <v>0</v>
      </c>
      <c r="I144" s="12">
        <v>0</v>
      </c>
      <c r="J144" s="13"/>
      <c r="K144" s="12">
        <v>0</v>
      </c>
      <c r="L144" s="17">
        <v>0</v>
      </c>
      <c r="M144" s="12">
        <v>0</v>
      </c>
      <c r="N144" s="12">
        <v>0</v>
      </c>
      <c r="O144" s="12">
        <v>0</v>
      </c>
      <c r="P144" s="12">
        <f t="shared" si="20"/>
        <v>0</v>
      </c>
      <c r="Q144" s="12">
        <v>0</v>
      </c>
      <c r="R144" s="12">
        <v>0</v>
      </c>
      <c r="S144" s="12">
        <v>0</v>
      </c>
      <c r="T144" s="11">
        <v>0</v>
      </c>
      <c r="U144" s="11">
        <v>0</v>
      </c>
      <c r="V144" s="11">
        <v>0</v>
      </c>
      <c r="W144" s="53">
        <f t="shared" si="21"/>
        <v>0</v>
      </c>
      <c r="X144" s="72" t="e">
        <f t="shared" si="22"/>
        <v>#DIV/0!</v>
      </c>
      <c r="Y144" s="72" t="e">
        <f t="shared" si="23"/>
        <v>#DIV/0!</v>
      </c>
      <c r="Z144" s="72" t="e">
        <f t="shared" si="24"/>
        <v>#DIV/0!</v>
      </c>
      <c r="AA144" s="72" t="e">
        <f t="shared" si="25"/>
        <v>#DIV/0!</v>
      </c>
    </row>
    <row r="145" spans="1:27">
      <c r="A145" s="7" t="s">
        <v>7</v>
      </c>
      <c r="B145" s="7">
        <v>10009331</v>
      </c>
      <c r="C145" s="7" t="str">
        <f t="shared" si="19"/>
        <v>FEBRERO10009331Entradas</v>
      </c>
      <c r="D145" s="7" t="s">
        <v>403</v>
      </c>
      <c r="E145" s="3" t="s">
        <v>164</v>
      </c>
      <c r="F145" s="9">
        <v>40518</v>
      </c>
      <c r="G145" s="3" t="s">
        <v>317</v>
      </c>
      <c r="H145" s="12">
        <v>170580.78</v>
      </c>
      <c r="I145" s="12" t="s">
        <v>405</v>
      </c>
      <c r="J145" s="13"/>
      <c r="K145" s="12">
        <v>71441.59</v>
      </c>
      <c r="L145" s="17">
        <v>1.76</v>
      </c>
      <c r="M145" s="12">
        <v>40743.58</v>
      </c>
      <c r="N145" s="12">
        <v>780.46</v>
      </c>
      <c r="O145" s="12">
        <v>16867.82</v>
      </c>
      <c r="P145" s="12">
        <f t="shared" si="20"/>
        <v>13049.729999999996</v>
      </c>
      <c r="Q145" s="12">
        <v>284.23</v>
      </c>
      <c r="R145" s="12">
        <v>698.94</v>
      </c>
      <c r="S145" s="12">
        <v>6384.95</v>
      </c>
      <c r="T145" s="11">
        <v>0.14000000000000001</v>
      </c>
      <c r="U145" s="11">
        <v>5168.88</v>
      </c>
      <c r="V145" s="11">
        <v>512.58999999999651</v>
      </c>
      <c r="W145" s="53">
        <f t="shared" si="21"/>
        <v>71441.59</v>
      </c>
      <c r="X145" s="72">
        <f t="shared" si="22"/>
        <v>0.57030617599636291</v>
      </c>
      <c r="Y145" s="72">
        <f t="shared" si="23"/>
        <v>1.0924448909941676E-2</v>
      </c>
      <c r="Z145" s="72">
        <f t="shared" si="24"/>
        <v>0.23610644723892624</v>
      </c>
      <c r="AA145" s="72">
        <f t="shared" si="25"/>
        <v>0.18266292785476915</v>
      </c>
    </row>
    <row r="146" spans="1:27">
      <c r="A146" s="7" t="s">
        <v>7</v>
      </c>
      <c r="B146" s="7">
        <v>10009331</v>
      </c>
      <c r="C146" s="7" t="str">
        <f t="shared" si="19"/>
        <v>FEBRERO10009331Inventario acumulado</v>
      </c>
      <c r="D146" s="7" t="s">
        <v>403</v>
      </c>
      <c r="E146" s="3" t="s">
        <v>319</v>
      </c>
      <c r="F146" s="9">
        <v>57168</v>
      </c>
      <c r="G146" s="3" t="s">
        <v>317</v>
      </c>
      <c r="H146" s="12">
        <v>240677.28</v>
      </c>
      <c r="I146" s="12" t="s">
        <v>406</v>
      </c>
      <c r="J146" s="13"/>
      <c r="K146" s="12">
        <v>103592.91</v>
      </c>
      <c r="L146" s="17">
        <v>1.81</v>
      </c>
      <c r="M146" s="12">
        <v>60140.06</v>
      </c>
      <c r="N146" s="12">
        <v>1084.9000000000001</v>
      </c>
      <c r="O146" s="12">
        <v>24083.38</v>
      </c>
      <c r="P146" s="12">
        <f t="shared" si="20"/>
        <v>18284.57</v>
      </c>
      <c r="Q146" s="12">
        <v>321.63</v>
      </c>
      <c r="R146" s="12">
        <v>985.17</v>
      </c>
      <c r="S146" s="12">
        <v>9000.07</v>
      </c>
      <c r="T146" s="11">
        <v>0.14000000000000001</v>
      </c>
      <c r="U146" s="11">
        <v>7285.59</v>
      </c>
      <c r="V146" s="11">
        <v>691.97000000000116</v>
      </c>
      <c r="W146" s="53">
        <f t="shared" si="21"/>
        <v>103592.91</v>
      </c>
      <c r="X146" s="72">
        <f t="shared" si="22"/>
        <v>0.58054223981158548</v>
      </c>
      <c r="Y146" s="72">
        <f t="shared" si="23"/>
        <v>1.0472724436450333E-2</v>
      </c>
      <c r="Z146" s="72">
        <f t="shared" si="24"/>
        <v>0.23248096805080579</v>
      </c>
      <c r="AA146" s="72">
        <f t="shared" si="25"/>
        <v>0.17650406770115831</v>
      </c>
    </row>
    <row r="147" spans="1:27">
      <c r="A147" s="7" t="s">
        <v>7</v>
      </c>
      <c r="B147" s="7">
        <v>10009331</v>
      </c>
      <c r="C147" s="7" t="str">
        <f t="shared" si="19"/>
        <v>FEBRERO10009331Inventario final</v>
      </c>
      <c r="D147" s="7" t="s">
        <v>403</v>
      </c>
      <c r="E147" s="3" t="s">
        <v>218</v>
      </c>
      <c r="F147" s="9">
        <v>57168</v>
      </c>
      <c r="G147" s="3" t="s">
        <v>317</v>
      </c>
      <c r="H147" s="12">
        <v>240677.28</v>
      </c>
      <c r="I147" s="12" t="s">
        <v>406</v>
      </c>
      <c r="J147" s="13"/>
      <c r="K147" s="12">
        <v>103592.91</v>
      </c>
      <c r="L147" s="17">
        <v>1.81</v>
      </c>
      <c r="M147" s="12">
        <v>60140.06</v>
      </c>
      <c r="N147" s="12">
        <v>1084.9000000000001</v>
      </c>
      <c r="O147" s="12">
        <v>24083.38</v>
      </c>
      <c r="P147" s="12">
        <f t="shared" si="20"/>
        <v>18284.57</v>
      </c>
      <c r="Q147" s="12">
        <v>321.63</v>
      </c>
      <c r="R147" s="12">
        <v>985.17</v>
      </c>
      <c r="S147" s="12">
        <v>9000.07</v>
      </c>
      <c r="T147" s="11">
        <v>0.14000000000000001</v>
      </c>
      <c r="U147" s="11">
        <v>7285.59</v>
      </c>
      <c r="V147" s="11">
        <v>691.97000000000116</v>
      </c>
      <c r="W147" s="53">
        <f t="shared" si="21"/>
        <v>103592.91</v>
      </c>
      <c r="X147" s="72">
        <f t="shared" si="22"/>
        <v>0.58054223981158548</v>
      </c>
      <c r="Y147" s="72">
        <f t="shared" si="23"/>
        <v>1.0472724436450333E-2</v>
      </c>
      <c r="Z147" s="72">
        <f t="shared" si="24"/>
        <v>0.23248096805080579</v>
      </c>
      <c r="AA147" s="72">
        <f t="shared" si="25"/>
        <v>0.17650406770115831</v>
      </c>
    </row>
    <row r="148" spans="1:27">
      <c r="A148" s="7" t="s">
        <v>6</v>
      </c>
      <c r="B148" s="7">
        <v>10009332</v>
      </c>
      <c r="C148" s="7" t="str">
        <f t="shared" si="19"/>
        <v>ENERO10009332Inventario inicial</v>
      </c>
      <c r="D148" s="7" t="s">
        <v>407</v>
      </c>
      <c r="E148" s="3" t="s">
        <v>316</v>
      </c>
      <c r="F148" s="9">
        <v>5565</v>
      </c>
      <c r="G148" s="3" t="s">
        <v>317</v>
      </c>
      <c r="H148" s="12">
        <v>13133.4</v>
      </c>
      <c r="I148" s="12">
        <v>4147.6400000000003</v>
      </c>
      <c r="J148" s="13"/>
      <c r="K148" s="12">
        <v>17281.04</v>
      </c>
      <c r="L148" s="17">
        <v>3.11</v>
      </c>
      <c r="M148" s="12">
        <v>12999.14</v>
      </c>
      <c r="N148" s="12">
        <v>176.7</v>
      </c>
      <c r="O148" s="12">
        <v>2229.9699999999998</v>
      </c>
      <c r="P148" s="12">
        <f t="shared" si="20"/>
        <v>1875.2300000000025</v>
      </c>
      <c r="Q148" s="12">
        <v>212.58</v>
      </c>
      <c r="R148" s="12">
        <v>705.93</v>
      </c>
      <c r="S148" s="12">
        <v>781.44</v>
      </c>
      <c r="T148" s="11"/>
      <c r="U148" s="11"/>
      <c r="V148" s="11">
        <v>175.28000000000247</v>
      </c>
      <c r="W148" s="53">
        <f t="shared" si="21"/>
        <v>17281.04</v>
      </c>
      <c r="X148" s="72">
        <f t="shared" si="22"/>
        <v>0.75221977380990956</v>
      </c>
      <c r="Y148" s="72">
        <f t="shared" si="23"/>
        <v>1.0225079046168517E-2</v>
      </c>
      <c r="Z148" s="72">
        <f t="shared" si="24"/>
        <v>0.12904142343284894</v>
      </c>
      <c r="AA148" s="72">
        <f t="shared" si="25"/>
        <v>0.10851372371107308</v>
      </c>
    </row>
    <row r="149" spans="1:27">
      <c r="A149" s="7" t="s">
        <v>6</v>
      </c>
      <c r="B149" s="7">
        <v>10009332</v>
      </c>
      <c r="C149" s="7" t="str">
        <f t="shared" si="19"/>
        <v>ENERO10009332Revalorización</v>
      </c>
      <c r="D149" s="7" t="s">
        <v>407</v>
      </c>
      <c r="E149" s="3" t="s">
        <v>318</v>
      </c>
      <c r="F149" s="8">
        <v>0</v>
      </c>
      <c r="G149" s="2" t="s">
        <v>317</v>
      </c>
      <c r="H149" s="11">
        <v>6678</v>
      </c>
      <c r="I149" s="11">
        <v>-6678</v>
      </c>
      <c r="J149" s="11"/>
      <c r="K149" s="11">
        <v>0</v>
      </c>
      <c r="L149" s="16">
        <v>0</v>
      </c>
      <c r="M149" s="11">
        <v>0</v>
      </c>
      <c r="N149" s="11">
        <v>0</v>
      </c>
      <c r="O149" s="11">
        <v>0</v>
      </c>
      <c r="P149" s="11">
        <f t="shared" si="20"/>
        <v>0</v>
      </c>
      <c r="Q149" s="11">
        <v>0</v>
      </c>
      <c r="R149" s="11">
        <v>0</v>
      </c>
      <c r="S149" s="11">
        <v>0</v>
      </c>
      <c r="T149" s="11"/>
      <c r="U149" s="11"/>
      <c r="V149" s="11">
        <v>0</v>
      </c>
      <c r="W149" s="53">
        <f t="shared" si="21"/>
        <v>0</v>
      </c>
      <c r="X149" s="72" t="e">
        <f t="shared" si="22"/>
        <v>#DIV/0!</v>
      </c>
      <c r="Y149" s="72" t="e">
        <f t="shared" si="23"/>
        <v>#DIV/0!</v>
      </c>
      <c r="Z149" s="72" t="e">
        <f t="shared" si="24"/>
        <v>#DIV/0!</v>
      </c>
      <c r="AA149" s="72" t="e">
        <f t="shared" si="25"/>
        <v>#DIV/0!</v>
      </c>
    </row>
    <row r="150" spans="1:27">
      <c r="A150" s="7" t="s">
        <v>6</v>
      </c>
      <c r="B150" s="7">
        <v>10009332</v>
      </c>
      <c r="C150" s="7" t="str">
        <f t="shared" si="19"/>
        <v>ENERO10009332Entradas</v>
      </c>
      <c r="D150" s="7" t="s">
        <v>407</v>
      </c>
      <c r="E150" s="3" t="s">
        <v>164</v>
      </c>
      <c r="F150" s="8">
        <v>10665</v>
      </c>
      <c r="G150" s="2" t="s">
        <v>317</v>
      </c>
      <c r="H150" s="11">
        <v>37967.4</v>
      </c>
      <c r="I150" s="11">
        <v>-23813.05</v>
      </c>
      <c r="J150" s="11"/>
      <c r="K150" s="11">
        <v>14154.35</v>
      </c>
      <c r="L150" s="16">
        <v>1.33</v>
      </c>
      <c r="M150" s="11">
        <v>12058.71</v>
      </c>
      <c r="N150" s="11">
        <v>234</v>
      </c>
      <c r="O150" s="11">
        <v>1919.7</v>
      </c>
      <c r="P150" s="11">
        <f t="shared" si="20"/>
        <v>-58.059999999999491</v>
      </c>
      <c r="Q150" s="11">
        <v>0</v>
      </c>
      <c r="R150" s="11">
        <v>0</v>
      </c>
      <c r="S150" s="11">
        <v>0</v>
      </c>
      <c r="T150" s="11"/>
      <c r="U150" s="11"/>
      <c r="V150" s="11">
        <v>-58.059999999999491</v>
      </c>
      <c r="W150" s="53">
        <f t="shared" si="21"/>
        <v>14154.35</v>
      </c>
      <c r="X150" s="72">
        <f t="shared" si="22"/>
        <v>0.85194374874155288</v>
      </c>
      <c r="Y150" s="72">
        <f t="shared" si="23"/>
        <v>1.6532020191672523E-2</v>
      </c>
      <c r="Z150" s="72">
        <f t="shared" si="24"/>
        <v>0.1356261502647596</v>
      </c>
      <c r="AA150" s="72">
        <f t="shared" si="25"/>
        <v>-4.1019191979850354E-3</v>
      </c>
    </row>
    <row r="151" spans="1:27">
      <c r="A151" s="7" t="s">
        <v>6</v>
      </c>
      <c r="B151" s="7">
        <v>10009332</v>
      </c>
      <c r="C151" s="7" t="str">
        <f t="shared" si="19"/>
        <v>ENERO10009332Inv. acumulado</v>
      </c>
      <c r="D151" s="7" t="s">
        <v>407</v>
      </c>
      <c r="E151" s="3" t="s">
        <v>327</v>
      </c>
      <c r="F151" s="8">
        <v>16230</v>
      </c>
      <c r="G151" s="2" t="s">
        <v>317</v>
      </c>
      <c r="H151" s="11">
        <v>57778.8</v>
      </c>
      <c r="I151" s="11">
        <v>-26343.41</v>
      </c>
      <c r="J151" s="11"/>
      <c r="K151" s="11">
        <v>31435.39</v>
      </c>
      <c r="L151" s="16">
        <v>1.94</v>
      </c>
      <c r="M151" s="11">
        <v>25057.85</v>
      </c>
      <c r="N151" s="11">
        <v>410.7</v>
      </c>
      <c r="O151" s="11">
        <v>4149.67</v>
      </c>
      <c r="P151" s="11">
        <f t="shared" si="20"/>
        <v>1817.1699999999976</v>
      </c>
      <c r="Q151" s="11">
        <v>212.58</v>
      </c>
      <c r="R151" s="11">
        <v>705.93</v>
      </c>
      <c r="S151" s="11">
        <v>781.44</v>
      </c>
      <c r="T151" s="11"/>
      <c r="U151" s="11"/>
      <c r="V151" s="11">
        <v>117.21999999999753</v>
      </c>
      <c r="W151" s="53">
        <f t="shared" si="21"/>
        <v>31435.39</v>
      </c>
      <c r="X151" s="72">
        <f t="shared" si="22"/>
        <v>0.79712228796906925</v>
      </c>
      <c r="Y151" s="72">
        <f t="shared" si="23"/>
        <v>1.3064892784851723E-2</v>
      </c>
      <c r="Z151" s="72">
        <f t="shared" si="24"/>
        <v>0.13200631517534855</v>
      </c>
      <c r="AA151" s="72">
        <f t="shared" si="25"/>
        <v>5.7806504070730395E-2</v>
      </c>
    </row>
    <row r="152" spans="1:27">
      <c r="A152" s="7" t="s">
        <v>6</v>
      </c>
      <c r="B152" s="7">
        <v>10009332</v>
      </c>
      <c r="C152" s="7" t="str">
        <f t="shared" si="19"/>
        <v>ENERO10009332Inventario final</v>
      </c>
      <c r="D152" s="7" t="s">
        <v>407</v>
      </c>
      <c r="E152" s="3" t="s">
        <v>218</v>
      </c>
      <c r="F152" s="8">
        <v>16230</v>
      </c>
      <c r="G152" s="2" t="s">
        <v>317</v>
      </c>
      <c r="H152" s="11">
        <v>57778.8</v>
      </c>
      <c r="I152" s="11">
        <v>-26343.41</v>
      </c>
      <c r="J152" s="11"/>
      <c r="K152" s="11">
        <v>31435.39</v>
      </c>
      <c r="L152" s="16">
        <v>1.94</v>
      </c>
      <c r="M152" s="11">
        <v>25057.85</v>
      </c>
      <c r="N152" s="11">
        <v>410.7</v>
      </c>
      <c r="O152" s="11">
        <v>4149.67</v>
      </c>
      <c r="P152" s="11">
        <f t="shared" si="20"/>
        <v>1817.1699999999976</v>
      </c>
      <c r="Q152" s="11">
        <v>212.58</v>
      </c>
      <c r="R152" s="11">
        <v>705.93</v>
      </c>
      <c r="S152" s="11">
        <v>781.44</v>
      </c>
      <c r="T152" s="11"/>
      <c r="U152" s="11"/>
      <c r="V152" s="11">
        <v>117.21999999999753</v>
      </c>
      <c r="W152" s="53">
        <f t="shared" si="21"/>
        <v>31435.39</v>
      </c>
      <c r="X152" s="72">
        <f t="shared" si="22"/>
        <v>0.79712228796906925</v>
      </c>
      <c r="Y152" s="72">
        <f t="shared" si="23"/>
        <v>1.3064892784851723E-2</v>
      </c>
      <c r="Z152" s="72">
        <f t="shared" si="24"/>
        <v>0.13200631517534855</v>
      </c>
      <c r="AA152" s="72">
        <f t="shared" si="25"/>
        <v>5.7806504070730395E-2</v>
      </c>
    </row>
    <row r="153" spans="1:27">
      <c r="A153" s="7" t="s">
        <v>7</v>
      </c>
      <c r="B153" s="7">
        <v>10009332</v>
      </c>
      <c r="C153" s="7" t="str">
        <f t="shared" si="19"/>
        <v>FEBRERO10009332Inventario inicial</v>
      </c>
      <c r="D153" s="7" t="s">
        <v>407</v>
      </c>
      <c r="E153" s="3" t="s">
        <v>316</v>
      </c>
      <c r="F153" s="8">
        <v>16230</v>
      </c>
      <c r="G153" s="2" t="s">
        <v>317</v>
      </c>
      <c r="H153" s="11">
        <v>57778.8</v>
      </c>
      <c r="I153" s="11" t="s">
        <v>408</v>
      </c>
      <c r="J153" s="11"/>
      <c r="K153" s="11">
        <v>31435.39</v>
      </c>
      <c r="L153" s="16">
        <v>1.94</v>
      </c>
      <c r="M153" s="11">
        <v>25057.85</v>
      </c>
      <c r="N153" s="11">
        <v>410.7</v>
      </c>
      <c r="O153" s="11">
        <v>4149.67</v>
      </c>
      <c r="P153" s="11">
        <f t="shared" si="20"/>
        <v>1817.1699999999983</v>
      </c>
      <c r="Q153" s="11">
        <v>70.180000000000007</v>
      </c>
      <c r="R153" s="11">
        <v>212.58</v>
      </c>
      <c r="S153" s="11">
        <v>705.93</v>
      </c>
      <c r="T153" s="11">
        <v>0.03</v>
      </c>
      <c r="U153" s="11">
        <v>781.44</v>
      </c>
      <c r="V153" s="11">
        <v>47.009999999998399</v>
      </c>
      <c r="W153" s="53">
        <f t="shared" si="21"/>
        <v>31435.39</v>
      </c>
      <c r="X153" s="72">
        <f t="shared" si="22"/>
        <v>0.79712228796906925</v>
      </c>
      <c r="Y153" s="72">
        <f t="shared" si="23"/>
        <v>1.3064892784851723E-2</v>
      </c>
      <c r="Z153" s="72">
        <f t="shared" si="24"/>
        <v>0.13200631517534855</v>
      </c>
      <c r="AA153" s="72">
        <f t="shared" si="25"/>
        <v>5.7806504070730416E-2</v>
      </c>
    </row>
    <row r="154" spans="1:27">
      <c r="A154" s="7" t="s">
        <v>7</v>
      </c>
      <c r="B154" s="7">
        <v>10009332</v>
      </c>
      <c r="C154" s="7" t="str">
        <f t="shared" si="19"/>
        <v>FEBRERO10009332Revalorización</v>
      </c>
      <c r="D154" s="7" t="s">
        <v>407</v>
      </c>
      <c r="E154" s="3" t="s">
        <v>318</v>
      </c>
      <c r="F154" s="8">
        <v>0</v>
      </c>
      <c r="G154" s="2" t="s">
        <v>317</v>
      </c>
      <c r="H154" s="11" t="s">
        <v>409</v>
      </c>
      <c r="I154" s="11">
        <v>7303.5</v>
      </c>
      <c r="J154" s="11"/>
      <c r="K154" s="11">
        <v>0</v>
      </c>
      <c r="L154" s="16">
        <v>0</v>
      </c>
      <c r="M154" s="11">
        <v>0</v>
      </c>
      <c r="N154" s="11">
        <v>0</v>
      </c>
      <c r="O154" s="11">
        <v>0</v>
      </c>
      <c r="P154" s="11">
        <f t="shared" si="20"/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53">
        <f t="shared" si="21"/>
        <v>0</v>
      </c>
      <c r="X154" s="72" t="e">
        <f t="shared" si="22"/>
        <v>#DIV/0!</v>
      </c>
      <c r="Y154" s="72" t="e">
        <f t="shared" si="23"/>
        <v>#DIV/0!</v>
      </c>
      <c r="Z154" s="72" t="e">
        <f t="shared" si="24"/>
        <v>#DIV/0!</v>
      </c>
      <c r="AA154" s="72" t="e">
        <f t="shared" si="25"/>
        <v>#DIV/0!</v>
      </c>
    </row>
    <row r="155" spans="1:27">
      <c r="A155" s="7" t="s">
        <v>7</v>
      </c>
      <c r="B155" s="7">
        <v>10009332</v>
      </c>
      <c r="C155" s="7" t="str">
        <f t="shared" si="19"/>
        <v>FEBRERO10009332Entradas</v>
      </c>
      <c r="D155" s="7" t="s">
        <v>407</v>
      </c>
      <c r="E155" s="3" t="s">
        <v>164</v>
      </c>
      <c r="F155" s="8">
        <v>25545</v>
      </c>
      <c r="G155" s="2" t="s">
        <v>317</v>
      </c>
      <c r="H155" s="11">
        <v>79444.95</v>
      </c>
      <c r="I155" s="11" t="s">
        <v>410</v>
      </c>
      <c r="J155" s="11"/>
      <c r="K155" s="11">
        <v>32476.45</v>
      </c>
      <c r="L155" s="16">
        <v>1.27</v>
      </c>
      <c r="M155" s="11">
        <v>26932.76</v>
      </c>
      <c r="N155" s="11">
        <v>497.82</v>
      </c>
      <c r="O155" s="11">
        <v>4928.4399999999996</v>
      </c>
      <c r="P155" s="11">
        <f t="shared" si="20"/>
        <v>117.43000000000262</v>
      </c>
      <c r="Q155" s="11">
        <v>2.04</v>
      </c>
      <c r="R155" s="11">
        <v>24.7</v>
      </c>
      <c r="S155" s="11">
        <v>102.71</v>
      </c>
      <c r="T155" s="11">
        <v>0</v>
      </c>
      <c r="U155" s="11">
        <v>107.36</v>
      </c>
      <c r="V155" s="11">
        <v>-119.37999999999738</v>
      </c>
      <c r="W155" s="53">
        <f t="shared" si="21"/>
        <v>32476.45</v>
      </c>
      <c r="X155" s="72">
        <f t="shared" si="22"/>
        <v>0.82930123212358486</v>
      </c>
      <c r="Y155" s="72">
        <f t="shared" si="23"/>
        <v>1.5328645834135195E-2</v>
      </c>
      <c r="Z155" s="72">
        <f t="shared" si="24"/>
        <v>0.15175427117187992</v>
      </c>
      <c r="AA155" s="72">
        <f t="shared" si="25"/>
        <v>3.6158508704000167E-3</v>
      </c>
    </row>
    <row r="156" spans="1:27">
      <c r="A156" s="7" t="s">
        <v>7</v>
      </c>
      <c r="B156" s="7">
        <v>10009332</v>
      </c>
      <c r="C156" s="7" t="str">
        <f t="shared" si="19"/>
        <v>FEBRERO10009332Inventario acumulado</v>
      </c>
      <c r="D156" s="7" t="s">
        <v>407</v>
      </c>
      <c r="E156" s="3" t="s">
        <v>319</v>
      </c>
      <c r="F156" s="8">
        <v>41775</v>
      </c>
      <c r="G156" s="2" t="s">
        <v>317</v>
      </c>
      <c r="H156" s="11">
        <v>129920.25</v>
      </c>
      <c r="I156" s="11" t="s">
        <v>411</v>
      </c>
      <c r="J156" s="11"/>
      <c r="K156" s="11">
        <v>63911.839999999997</v>
      </c>
      <c r="L156" s="16">
        <v>1.53</v>
      </c>
      <c r="M156" s="11">
        <v>51990.61</v>
      </c>
      <c r="N156" s="11">
        <v>908.52</v>
      </c>
      <c r="O156" s="11">
        <v>9078.11</v>
      </c>
      <c r="P156" s="11">
        <f t="shared" si="20"/>
        <v>1934.5999999999972</v>
      </c>
      <c r="Q156" s="11">
        <v>72.22</v>
      </c>
      <c r="R156" s="11">
        <v>237.28</v>
      </c>
      <c r="S156" s="11">
        <v>808.64</v>
      </c>
      <c r="T156" s="11">
        <v>0.03</v>
      </c>
      <c r="U156" s="11">
        <v>888.8</v>
      </c>
      <c r="V156" s="11">
        <v>-72.370000000002619</v>
      </c>
      <c r="W156" s="53">
        <f t="shared" si="21"/>
        <v>63911.839999999997</v>
      </c>
      <c r="X156" s="72">
        <f t="shared" si="22"/>
        <v>0.81347384146662027</v>
      </c>
      <c r="Y156" s="72">
        <f t="shared" si="23"/>
        <v>1.4215206446880579E-2</v>
      </c>
      <c r="Z156" s="72">
        <f t="shared" si="24"/>
        <v>0.14204113040713584</v>
      </c>
      <c r="AA156" s="72">
        <f t="shared" si="25"/>
        <v>3.026982167936328E-2</v>
      </c>
    </row>
    <row r="157" spans="1:27">
      <c r="A157" s="7" t="s">
        <v>7</v>
      </c>
      <c r="B157" s="7">
        <v>10009332</v>
      </c>
      <c r="C157" s="7" t="str">
        <f t="shared" si="19"/>
        <v>FEBRERO10009332Compensación</v>
      </c>
      <c r="D157" s="7" t="s">
        <v>407</v>
      </c>
      <c r="E157" s="3" t="s">
        <v>114</v>
      </c>
      <c r="F157" s="8">
        <v>26625</v>
      </c>
      <c r="G157" s="2" t="s">
        <v>317</v>
      </c>
      <c r="H157" s="11">
        <v>82803.75</v>
      </c>
      <c r="I157" s="11" t="s">
        <v>412</v>
      </c>
      <c r="J157" s="11"/>
      <c r="K157" s="11">
        <v>40733.760000000002</v>
      </c>
      <c r="L157" s="16">
        <v>1.53</v>
      </c>
      <c r="M157" s="11">
        <v>33135.85</v>
      </c>
      <c r="N157" s="11">
        <v>579.04</v>
      </c>
      <c r="O157" s="11">
        <v>5785.86</v>
      </c>
      <c r="P157" s="11">
        <f t="shared" si="20"/>
        <v>1233.0100000000048</v>
      </c>
      <c r="Q157" s="11">
        <v>46.03</v>
      </c>
      <c r="R157" s="11">
        <v>151.22999999999999</v>
      </c>
      <c r="S157" s="11">
        <v>515.38</v>
      </c>
      <c r="T157" s="11">
        <v>0.02</v>
      </c>
      <c r="U157" s="11">
        <v>566.47</v>
      </c>
      <c r="V157" s="11">
        <v>-46.119999999995343</v>
      </c>
      <c r="W157" s="53">
        <f t="shared" si="21"/>
        <v>40733.760000000002</v>
      </c>
      <c r="X157" s="72">
        <f t="shared" si="22"/>
        <v>0.8134738850525951</v>
      </c>
      <c r="Y157" s="72">
        <f t="shared" si="23"/>
        <v>1.4215235716025232E-2</v>
      </c>
      <c r="Z157" s="72">
        <f t="shared" si="24"/>
        <v>0.14204090169922931</v>
      </c>
      <c r="AA157" s="72">
        <f t="shared" si="25"/>
        <v>3.0269977532150352E-2</v>
      </c>
    </row>
    <row r="158" spans="1:27">
      <c r="A158" s="7" t="s">
        <v>7</v>
      </c>
      <c r="B158" s="7">
        <v>10009332</v>
      </c>
      <c r="C158" s="7" t="str">
        <f t="shared" si="19"/>
        <v>FEBRERO10009332Inventario final</v>
      </c>
      <c r="D158" s="7" t="s">
        <v>407</v>
      </c>
      <c r="E158" s="3" t="s">
        <v>218</v>
      </c>
      <c r="F158" s="8">
        <v>15150</v>
      </c>
      <c r="G158" s="2" t="s">
        <v>317</v>
      </c>
      <c r="H158" s="11">
        <v>47116.5</v>
      </c>
      <c r="I158" s="11" t="s">
        <v>413</v>
      </c>
      <c r="J158" s="11"/>
      <c r="K158" s="11">
        <v>23178.080000000002</v>
      </c>
      <c r="L158" s="16">
        <v>1.53</v>
      </c>
      <c r="M158" s="11">
        <v>18854.759999999998</v>
      </c>
      <c r="N158" s="11">
        <v>329.48</v>
      </c>
      <c r="O158" s="11">
        <v>3292.25</v>
      </c>
      <c r="P158" s="11">
        <f t="shared" si="20"/>
        <v>701.59000000000356</v>
      </c>
      <c r="Q158" s="11">
        <v>26.19</v>
      </c>
      <c r="R158" s="11">
        <v>86.05</v>
      </c>
      <c r="S158" s="11">
        <v>293.26</v>
      </c>
      <c r="T158" s="11">
        <v>0.01</v>
      </c>
      <c r="U158" s="11">
        <v>322.33</v>
      </c>
      <c r="V158" s="11">
        <v>-26.249999999996362</v>
      </c>
      <c r="W158" s="53">
        <f t="shared" si="21"/>
        <v>23178.080000000002</v>
      </c>
      <c r="X158" s="72">
        <f t="shared" si="22"/>
        <v>0.81347376486749534</v>
      </c>
      <c r="Y158" s="72">
        <f t="shared" si="23"/>
        <v>1.4215155008525295E-2</v>
      </c>
      <c r="Z158" s="72">
        <f t="shared" si="24"/>
        <v>0.14204153234435293</v>
      </c>
      <c r="AA158" s="72">
        <f t="shared" si="25"/>
        <v>3.026954777962642E-2</v>
      </c>
    </row>
    <row r="159" spans="1:27">
      <c r="A159" s="159" t="s">
        <v>8</v>
      </c>
      <c r="B159" s="7">
        <v>10004433</v>
      </c>
      <c r="C159" s="7" t="str">
        <f t="shared" si="19"/>
        <v>MARZO10004433Inventario final</v>
      </c>
      <c r="D159" s="158" t="s">
        <v>424</v>
      </c>
      <c r="E159" s="3" t="s">
        <v>218</v>
      </c>
      <c r="F159" s="8">
        <v>900</v>
      </c>
      <c r="G159" s="2" t="s">
        <v>317</v>
      </c>
      <c r="H159" s="11"/>
      <c r="I159" s="11"/>
      <c r="J159" s="11"/>
      <c r="K159" s="11"/>
      <c r="L159" s="161">
        <v>2.1392666666666664</v>
      </c>
      <c r="M159" s="11"/>
      <c r="N159" s="11"/>
      <c r="O159" s="11"/>
      <c r="P159" s="11"/>
      <c r="Q159" s="11"/>
      <c r="R159" s="11"/>
      <c r="S159" s="11"/>
      <c r="T159" s="11"/>
      <c r="U159" s="11"/>
      <c r="V159" s="53"/>
      <c r="W159" s="53"/>
    </row>
    <row r="160" spans="1:27">
      <c r="A160" s="159" t="s">
        <v>8</v>
      </c>
      <c r="B160" s="7">
        <v>10004434</v>
      </c>
      <c r="C160" s="7" t="str">
        <f t="shared" si="19"/>
        <v>MARZO10004434Inventario final</v>
      </c>
      <c r="D160" s="158" t="s">
        <v>425</v>
      </c>
      <c r="E160" s="3" t="s">
        <v>218</v>
      </c>
      <c r="F160" s="8">
        <v>3360</v>
      </c>
      <c r="G160" s="2" t="s">
        <v>317</v>
      </c>
      <c r="H160" s="11"/>
      <c r="I160" s="11"/>
      <c r="J160" s="11"/>
      <c r="K160" s="11"/>
      <c r="L160" s="161">
        <v>1.8835357142857143</v>
      </c>
      <c r="M160" s="11"/>
      <c r="N160" s="11"/>
      <c r="O160" s="11"/>
      <c r="P160" s="11"/>
      <c r="Q160" s="11"/>
      <c r="R160" s="11"/>
      <c r="S160" s="11"/>
      <c r="T160" s="11"/>
      <c r="U160" s="11"/>
      <c r="V160" s="53"/>
      <c r="W160" s="53"/>
    </row>
    <row r="161" spans="1:23">
      <c r="A161" s="159" t="s">
        <v>8</v>
      </c>
      <c r="B161" s="7">
        <v>10004435</v>
      </c>
      <c r="C161" s="7" t="str">
        <f t="shared" si="19"/>
        <v>MARZO10004435Inventario final</v>
      </c>
      <c r="D161" s="158" t="s">
        <v>426</v>
      </c>
      <c r="E161" s="3" t="s">
        <v>218</v>
      </c>
      <c r="F161" s="8">
        <v>270240</v>
      </c>
      <c r="G161" s="2" t="s">
        <v>317</v>
      </c>
      <c r="H161" s="11"/>
      <c r="I161" s="11"/>
      <c r="J161" s="11"/>
      <c r="K161" s="11"/>
      <c r="L161" s="161">
        <v>1.8470895500296032</v>
      </c>
      <c r="M161" s="11"/>
      <c r="N161" s="11"/>
      <c r="O161" s="11"/>
      <c r="P161" s="11"/>
      <c r="Q161" s="11"/>
      <c r="R161" s="11"/>
      <c r="S161" s="11"/>
      <c r="T161" s="11"/>
      <c r="U161" s="11"/>
      <c r="V161" s="53"/>
      <c r="W161" s="53"/>
    </row>
    <row r="162" spans="1:23">
      <c r="A162" s="159" t="s">
        <v>8</v>
      </c>
      <c r="B162" s="7">
        <v>10005721</v>
      </c>
      <c r="C162" s="7" t="str">
        <f t="shared" si="19"/>
        <v>MARZO10005721Inventario final</v>
      </c>
      <c r="D162" s="158" t="s">
        <v>427</v>
      </c>
      <c r="E162" s="3" t="s">
        <v>218</v>
      </c>
      <c r="F162" s="8">
        <v>1190280</v>
      </c>
      <c r="G162" s="2" t="s">
        <v>317</v>
      </c>
      <c r="H162" s="11"/>
      <c r="I162" s="11"/>
      <c r="J162" s="11"/>
      <c r="K162" s="11"/>
      <c r="L162" s="161">
        <v>1.8460127953086667</v>
      </c>
      <c r="M162" s="11"/>
      <c r="N162" s="11"/>
      <c r="O162" s="11"/>
      <c r="P162" s="11"/>
      <c r="Q162" s="11"/>
      <c r="R162" s="11"/>
      <c r="S162" s="11"/>
      <c r="T162" s="11"/>
      <c r="U162" s="11"/>
      <c r="V162" s="53"/>
      <c r="W162" s="53"/>
    </row>
    <row r="163" spans="1:23">
      <c r="A163" s="159" t="s">
        <v>8</v>
      </c>
      <c r="B163" s="7">
        <v>10005776</v>
      </c>
      <c r="C163" s="7" t="str">
        <f t="shared" si="19"/>
        <v>MARZO10005776Inventario final</v>
      </c>
      <c r="D163" s="158" t="s">
        <v>428</v>
      </c>
      <c r="E163" s="3" t="s">
        <v>218</v>
      </c>
      <c r="F163" s="8">
        <v>19920</v>
      </c>
      <c r="G163" s="2" t="s">
        <v>317</v>
      </c>
      <c r="H163" s="11"/>
      <c r="I163" s="11"/>
      <c r="J163" s="11"/>
      <c r="K163" s="11"/>
      <c r="L163" s="161">
        <v>1.9555903614457832</v>
      </c>
      <c r="M163" s="11"/>
      <c r="N163" s="11"/>
      <c r="O163" s="11"/>
      <c r="P163" s="11"/>
      <c r="Q163" s="11"/>
      <c r="R163" s="11"/>
      <c r="S163" s="11"/>
      <c r="T163" s="11"/>
      <c r="U163" s="11"/>
      <c r="V163" s="53"/>
      <c r="W163" s="53"/>
    </row>
    <row r="164" spans="1:23">
      <c r="A164" s="159" t="s">
        <v>8</v>
      </c>
      <c r="B164" s="7">
        <v>10005779</v>
      </c>
      <c r="C164" s="7" t="str">
        <f t="shared" si="19"/>
        <v>MARZO10005779Inventario final</v>
      </c>
      <c r="D164" s="158" t="s">
        <v>352</v>
      </c>
      <c r="E164" s="3" t="s">
        <v>218</v>
      </c>
      <c r="F164" s="8">
        <v>494900</v>
      </c>
      <c r="G164" s="2" t="s">
        <v>317</v>
      </c>
      <c r="H164" s="11"/>
      <c r="I164" s="11"/>
      <c r="J164" s="11"/>
      <c r="K164" s="11"/>
      <c r="L164" s="161">
        <v>1.8971217215599112</v>
      </c>
      <c r="M164" s="11"/>
      <c r="N164" s="11"/>
      <c r="O164" s="11"/>
      <c r="P164" s="11"/>
      <c r="Q164" s="11"/>
      <c r="R164" s="11"/>
      <c r="S164" s="11"/>
      <c r="T164" s="11"/>
      <c r="U164" s="11"/>
      <c r="V164" s="53"/>
      <c r="W164" s="53"/>
    </row>
    <row r="165" spans="1:23">
      <c r="A165" s="159" t="s">
        <v>8</v>
      </c>
      <c r="B165" s="7">
        <v>10005781</v>
      </c>
      <c r="C165" s="7" t="str">
        <f t="shared" si="19"/>
        <v>MARZO10005781Inventario final</v>
      </c>
      <c r="D165" s="158" t="s">
        <v>363</v>
      </c>
      <c r="E165" s="3" t="s">
        <v>218</v>
      </c>
      <c r="F165" s="9">
        <v>153680</v>
      </c>
      <c r="G165" s="2" t="s">
        <v>317</v>
      </c>
      <c r="H165" s="12"/>
      <c r="I165" s="12"/>
      <c r="J165" s="13"/>
      <c r="K165" s="12"/>
      <c r="L165" s="162">
        <v>1.9264264055179592</v>
      </c>
      <c r="M165" s="12"/>
      <c r="N165" s="12"/>
      <c r="O165" s="12"/>
      <c r="P165" s="12"/>
      <c r="Q165" s="12"/>
      <c r="R165" s="12"/>
      <c r="S165" s="12"/>
      <c r="T165" s="12"/>
      <c r="U165" s="14"/>
      <c r="V165" s="55"/>
      <c r="W165" s="55"/>
    </row>
    <row r="166" spans="1:23">
      <c r="A166" s="159" t="s">
        <v>8</v>
      </c>
      <c r="B166" s="7">
        <v>10006668</v>
      </c>
      <c r="C166" s="7" t="str">
        <f t="shared" si="19"/>
        <v>MARZO10006668Inventario final</v>
      </c>
      <c r="D166" s="158" t="s">
        <v>429</v>
      </c>
      <c r="E166" s="3" t="s">
        <v>218</v>
      </c>
      <c r="F166" s="9">
        <v>980</v>
      </c>
      <c r="G166" s="2" t="s">
        <v>317</v>
      </c>
      <c r="H166" s="12"/>
      <c r="I166" s="12"/>
      <c r="J166" s="13"/>
      <c r="K166" s="12"/>
      <c r="L166" s="162">
        <v>1.8625510204081634</v>
      </c>
      <c r="M166" s="12"/>
      <c r="N166" s="12"/>
      <c r="O166" s="12"/>
      <c r="P166" s="12"/>
      <c r="Q166" s="12"/>
      <c r="R166" s="12"/>
      <c r="S166" s="12"/>
      <c r="T166" s="12"/>
      <c r="U166" s="14"/>
      <c r="V166" s="55"/>
      <c r="W166" s="55"/>
    </row>
    <row r="167" spans="1:23">
      <c r="A167" s="159" t="s">
        <v>8</v>
      </c>
      <c r="B167" s="7">
        <v>10006719</v>
      </c>
      <c r="C167" s="7" t="str">
        <f t="shared" si="19"/>
        <v>MARZO10006719Inventario final</v>
      </c>
      <c r="D167" s="158" t="s">
        <v>430</v>
      </c>
      <c r="E167" s="3" t="s">
        <v>218</v>
      </c>
      <c r="F167" s="9">
        <v>2000</v>
      </c>
      <c r="G167" s="2" t="s">
        <v>317</v>
      </c>
      <c r="H167" s="12"/>
      <c r="I167" s="12"/>
      <c r="J167" s="13"/>
      <c r="K167" s="12"/>
      <c r="L167" s="162">
        <v>1.68899</v>
      </c>
      <c r="M167" s="12"/>
      <c r="N167" s="12"/>
      <c r="O167" s="12"/>
      <c r="P167" s="12"/>
      <c r="Q167" s="12"/>
      <c r="R167" s="12"/>
      <c r="S167" s="12"/>
      <c r="T167" s="12"/>
      <c r="U167" s="14"/>
      <c r="V167" s="55"/>
      <c r="W167" s="55"/>
    </row>
    <row r="168" spans="1:23">
      <c r="A168" s="159" t="s">
        <v>8</v>
      </c>
      <c r="B168" s="7">
        <v>10006720</v>
      </c>
      <c r="C168" s="7" t="str">
        <f t="shared" si="19"/>
        <v>MARZO10006720Inventario final</v>
      </c>
      <c r="D168" s="158" t="s">
        <v>326</v>
      </c>
      <c r="E168" s="3" t="s">
        <v>218</v>
      </c>
      <c r="F168" s="9">
        <v>932660</v>
      </c>
      <c r="G168" s="2" t="s">
        <v>317</v>
      </c>
      <c r="H168" s="12"/>
      <c r="I168" s="12"/>
      <c r="J168" s="13"/>
      <c r="K168" s="12"/>
      <c r="L168" s="162">
        <v>1.7114050243389873</v>
      </c>
      <c r="M168" s="12"/>
      <c r="N168" s="12"/>
      <c r="O168" s="12"/>
      <c r="P168" s="12"/>
      <c r="Q168" s="12"/>
      <c r="R168" s="12"/>
      <c r="S168" s="12"/>
      <c r="T168" s="12"/>
      <c r="U168" s="14"/>
      <c r="V168" s="55"/>
      <c r="W168" s="55"/>
    </row>
    <row r="169" spans="1:23">
      <c r="A169" s="159" t="s">
        <v>8</v>
      </c>
      <c r="B169" s="7">
        <v>10006722</v>
      </c>
      <c r="C169" s="7" t="str">
        <f t="shared" si="19"/>
        <v>MARZO10006722Inventario final</v>
      </c>
      <c r="D169" s="158" t="s">
        <v>336</v>
      </c>
      <c r="E169" s="3" t="s">
        <v>218</v>
      </c>
      <c r="F169" s="9">
        <v>360</v>
      </c>
      <c r="G169" s="2" t="s">
        <v>317</v>
      </c>
      <c r="H169" s="12"/>
      <c r="I169" s="12"/>
      <c r="J169" s="13"/>
      <c r="K169" s="12"/>
      <c r="L169" s="162">
        <v>1.8669166666666668</v>
      </c>
      <c r="M169" s="12"/>
      <c r="N169" s="12"/>
      <c r="O169" s="12"/>
      <c r="P169" s="12"/>
      <c r="Q169" s="12"/>
      <c r="R169" s="12"/>
      <c r="S169" s="12"/>
      <c r="T169" s="12"/>
      <c r="U169" s="14"/>
      <c r="V169" s="55"/>
      <c r="W169" s="55"/>
    </row>
    <row r="170" spans="1:23">
      <c r="A170" s="159" t="s">
        <v>8</v>
      </c>
      <c r="B170" s="7">
        <v>10007050</v>
      </c>
      <c r="C170" s="7" t="str">
        <f t="shared" si="19"/>
        <v>MARZO10007050Inventario final</v>
      </c>
      <c r="D170" s="158" t="s">
        <v>431</v>
      </c>
      <c r="E170" s="3" t="s">
        <v>218</v>
      </c>
      <c r="F170" s="9">
        <v>88420</v>
      </c>
      <c r="G170" s="2" t="s">
        <v>317</v>
      </c>
      <c r="H170" s="12"/>
      <c r="I170" s="12"/>
      <c r="J170" s="13"/>
      <c r="K170" s="12"/>
      <c r="L170" s="162">
        <v>1.386825152680389</v>
      </c>
      <c r="M170" s="12"/>
      <c r="N170" s="12"/>
      <c r="O170" s="12"/>
      <c r="P170" s="12"/>
      <c r="Q170" s="12"/>
      <c r="R170" s="12"/>
      <c r="S170" s="12"/>
      <c r="T170" s="12"/>
      <c r="U170" s="14"/>
      <c r="V170" s="55"/>
      <c r="W170" s="55"/>
    </row>
    <row r="171" spans="1:23">
      <c r="A171" s="159" t="s">
        <v>8</v>
      </c>
      <c r="B171" s="7">
        <v>10007051</v>
      </c>
      <c r="C171" s="7" t="str">
        <f t="shared" si="19"/>
        <v>MARZO10007051Inventario final</v>
      </c>
      <c r="D171" s="158" t="s">
        <v>432</v>
      </c>
      <c r="E171" s="3" t="s">
        <v>218</v>
      </c>
      <c r="F171" s="8">
        <v>6160</v>
      </c>
      <c r="G171" s="2" t="s">
        <v>317</v>
      </c>
      <c r="H171" s="11"/>
      <c r="I171" s="11"/>
      <c r="J171" s="11"/>
      <c r="K171" s="11"/>
      <c r="L171" s="161">
        <v>1.579564935064935</v>
      </c>
      <c r="M171" s="11"/>
      <c r="N171" s="11"/>
      <c r="O171" s="11"/>
      <c r="P171" s="11"/>
      <c r="Q171" s="11"/>
      <c r="R171" s="11"/>
      <c r="S171" s="11"/>
      <c r="T171" s="11"/>
      <c r="U171" s="11"/>
      <c r="V171" s="53"/>
      <c r="W171" s="53"/>
    </row>
    <row r="172" spans="1:23">
      <c r="A172" s="159" t="s">
        <v>8</v>
      </c>
      <c r="B172" s="7">
        <v>10007151</v>
      </c>
      <c r="C172" s="7" t="str">
        <f t="shared" si="19"/>
        <v>MARZO10007151Inventario final</v>
      </c>
      <c r="D172" s="158" t="s">
        <v>433</v>
      </c>
      <c r="E172" s="3" t="s">
        <v>218</v>
      </c>
      <c r="F172" s="8">
        <v>3080</v>
      </c>
      <c r="G172" s="2" t="s">
        <v>317</v>
      </c>
      <c r="H172" s="11"/>
      <c r="I172" s="11"/>
      <c r="J172" s="11"/>
      <c r="K172" s="11"/>
      <c r="L172" s="161">
        <v>1.5597045454545455</v>
      </c>
      <c r="M172" s="11"/>
      <c r="N172" s="11"/>
      <c r="O172" s="11"/>
      <c r="P172" s="11"/>
      <c r="Q172" s="11"/>
      <c r="R172" s="11"/>
      <c r="S172" s="11"/>
      <c r="T172" s="11"/>
      <c r="U172" s="11"/>
      <c r="V172" s="53"/>
      <c r="W172" s="53"/>
    </row>
    <row r="173" spans="1:23">
      <c r="A173" s="159" t="s">
        <v>8</v>
      </c>
      <c r="B173" s="7">
        <v>10007152</v>
      </c>
      <c r="C173" s="7" t="str">
        <f t="shared" si="19"/>
        <v>MARZO10007152Inventario final</v>
      </c>
      <c r="D173" s="158" t="s">
        <v>434</v>
      </c>
      <c r="E173" s="3" t="s">
        <v>218</v>
      </c>
      <c r="F173" s="8">
        <v>3180</v>
      </c>
      <c r="G173" s="2" t="s">
        <v>317</v>
      </c>
      <c r="H173" s="11"/>
      <c r="I173" s="11"/>
      <c r="J173" s="11"/>
      <c r="K173" s="11"/>
      <c r="L173" s="161">
        <v>1.4868616352201256</v>
      </c>
      <c r="M173" s="11"/>
      <c r="N173" s="11"/>
      <c r="O173" s="11"/>
      <c r="P173" s="11"/>
      <c r="Q173" s="11"/>
      <c r="R173" s="11"/>
      <c r="S173" s="11"/>
      <c r="T173" s="11"/>
      <c r="U173" s="11"/>
      <c r="V173" s="53"/>
      <c r="W173" s="53"/>
    </row>
    <row r="174" spans="1:23">
      <c r="A174" s="159" t="s">
        <v>8</v>
      </c>
      <c r="B174" s="7">
        <v>10007161</v>
      </c>
      <c r="C174" s="7" t="str">
        <f t="shared" si="19"/>
        <v>MARZO10007161Inventario final</v>
      </c>
      <c r="D174" s="158" t="s">
        <v>435</v>
      </c>
      <c r="E174" s="3" t="s">
        <v>218</v>
      </c>
      <c r="F174" s="8">
        <v>20340</v>
      </c>
      <c r="G174" s="2" t="s">
        <v>317</v>
      </c>
      <c r="H174" s="11"/>
      <c r="I174" s="11"/>
      <c r="J174" s="11"/>
      <c r="K174" s="11"/>
      <c r="L174" s="161">
        <v>1.8840594886922319</v>
      </c>
      <c r="M174" s="11"/>
      <c r="N174" s="11"/>
      <c r="O174" s="11"/>
      <c r="P174" s="11"/>
      <c r="Q174" s="11"/>
      <c r="R174" s="11"/>
      <c r="S174" s="11"/>
      <c r="T174" s="11"/>
      <c r="U174" s="11"/>
      <c r="V174" s="53"/>
      <c r="W174" s="53"/>
    </row>
    <row r="175" spans="1:23">
      <c r="A175" s="159" t="s">
        <v>8</v>
      </c>
      <c r="B175" s="7">
        <v>10007162</v>
      </c>
      <c r="C175" s="7" t="str">
        <f t="shared" si="19"/>
        <v>MARZO10007162Inventario final</v>
      </c>
      <c r="D175" s="158" t="s">
        <v>375</v>
      </c>
      <c r="E175" s="3" t="s">
        <v>218</v>
      </c>
      <c r="F175" s="8">
        <v>785840</v>
      </c>
      <c r="G175" s="2" t="s">
        <v>317</v>
      </c>
      <c r="H175" s="11"/>
      <c r="I175" s="11"/>
      <c r="J175" s="11"/>
      <c r="K175" s="11"/>
      <c r="L175" s="161">
        <v>1.7759905324239029</v>
      </c>
      <c r="M175" s="11"/>
      <c r="N175" s="11"/>
      <c r="O175" s="11"/>
      <c r="P175" s="11"/>
      <c r="Q175" s="11"/>
      <c r="R175" s="11"/>
      <c r="S175" s="11"/>
      <c r="T175" s="11"/>
      <c r="U175" s="11"/>
      <c r="V175" s="53"/>
      <c r="W175" s="53"/>
    </row>
    <row r="176" spans="1:23">
      <c r="A176" s="159" t="s">
        <v>8</v>
      </c>
      <c r="B176" s="7">
        <v>10007567</v>
      </c>
      <c r="C176" s="7" t="str">
        <f t="shared" si="19"/>
        <v>MARZO10007567Inventario final</v>
      </c>
      <c r="D176" s="158" t="s">
        <v>370</v>
      </c>
      <c r="E176" s="3" t="s">
        <v>218</v>
      </c>
      <c r="F176" s="8">
        <v>240640</v>
      </c>
      <c r="G176" s="2" t="s">
        <v>317</v>
      </c>
      <c r="H176" s="11"/>
      <c r="I176" s="11"/>
      <c r="J176" s="11"/>
      <c r="K176" s="11"/>
      <c r="L176" s="161">
        <v>1.7637217004654255</v>
      </c>
      <c r="M176" s="11"/>
      <c r="N176" s="11"/>
      <c r="O176" s="11"/>
      <c r="P176" s="11"/>
      <c r="Q176" s="11"/>
      <c r="R176" s="11"/>
      <c r="S176" s="11"/>
      <c r="T176" s="11"/>
      <c r="U176" s="11"/>
      <c r="V176" s="53"/>
      <c r="W176" s="53"/>
    </row>
    <row r="177" spans="1:12">
      <c r="A177" s="159" t="s">
        <v>8</v>
      </c>
      <c r="B177" s="7">
        <v>10007969</v>
      </c>
      <c r="C177" s="7" t="str">
        <f t="shared" si="19"/>
        <v>MARZO10007969Inventario final</v>
      </c>
      <c r="D177" s="158" t="s">
        <v>436</v>
      </c>
      <c r="E177" s="3" t="s">
        <v>218</v>
      </c>
      <c r="F177">
        <v>150020</v>
      </c>
      <c r="G177" s="2" t="s">
        <v>317</v>
      </c>
      <c r="L177" s="110">
        <v>1.4884309425409947</v>
      </c>
    </row>
    <row r="178" spans="1:12">
      <c r="A178" s="159" t="s">
        <v>8</v>
      </c>
      <c r="B178" s="7">
        <v>10009176</v>
      </c>
      <c r="C178" s="7" t="str">
        <f t="shared" si="19"/>
        <v>MARZO10009176Inventario final</v>
      </c>
      <c r="D178" s="158" t="s">
        <v>437</v>
      </c>
      <c r="E178" s="3" t="s">
        <v>218</v>
      </c>
      <c r="F178">
        <v>20</v>
      </c>
      <c r="G178" s="2" t="s">
        <v>317</v>
      </c>
      <c r="L178" s="110">
        <v>1.6375</v>
      </c>
    </row>
    <row r="179" spans="1:12">
      <c r="A179" s="159" t="s">
        <v>8</v>
      </c>
      <c r="B179" s="7">
        <v>10009177</v>
      </c>
      <c r="C179" s="7" t="str">
        <f t="shared" si="19"/>
        <v>MARZO10009177Inventario final</v>
      </c>
      <c r="D179" s="158" t="s">
        <v>438</v>
      </c>
      <c r="E179" s="3" t="s">
        <v>218</v>
      </c>
      <c r="F179">
        <v>2060</v>
      </c>
      <c r="G179" s="2" t="s">
        <v>317</v>
      </c>
      <c r="L179" s="110">
        <v>2.0185097087378643</v>
      </c>
    </row>
    <row r="180" spans="1:12">
      <c r="A180" s="159" t="s">
        <v>8</v>
      </c>
      <c r="B180" s="7">
        <v>10009178</v>
      </c>
      <c r="C180" s="7" t="str">
        <f t="shared" si="19"/>
        <v>MARZO10009178Inventario final</v>
      </c>
      <c r="D180" s="158" t="s">
        <v>439</v>
      </c>
      <c r="E180" s="3" t="s">
        <v>218</v>
      </c>
      <c r="F180">
        <v>70400</v>
      </c>
      <c r="G180" s="2" t="s">
        <v>317</v>
      </c>
      <c r="L180" s="110">
        <v>1.808653409090909</v>
      </c>
    </row>
    <row r="181" spans="1:12">
      <c r="A181" s="159" t="s">
        <v>8</v>
      </c>
      <c r="B181" s="7">
        <v>10009184</v>
      </c>
      <c r="C181" s="7" t="str">
        <f t="shared" si="19"/>
        <v>MARZO10009184Inventario final</v>
      </c>
      <c r="D181" s="158" t="s">
        <v>440</v>
      </c>
      <c r="E181" s="3" t="s">
        <v>218</v>
      </c>
      <c r="F181">
        <v>2820</v>
      </c>
      <c r="G181" s="2" t="s">
        <v>317</v>
      </c>
      <c r="L181" s="110">
        <v>2.0620425531914894</v>
      </c>
    </row>
    <row r="182" spans="1:12">
      <c r="A182" s="159" t="s">
        <v>8</v>
      </c>
      <c r="B182" s="7">
        <v>10009186</v>
      </c>
      <c r="C182" s="7" t="str">
        <f t="shared" si="19"/>
        <v>MARZO10009186Inventario final</v>
      </c>
      <c r="D182" s="158" t="s">
        <v>441</v>
      </c>
      <c r="E182" s="3" t="s">
        <v>218</v>
      </c>
      <c r="F182">
        <v>1140</v>
      </c>
      <c r="G182" s="2" t="s">
        <v>317</v>
      </c>
      <c r="L182" s="110">
        <v>1.9312456140350875</v>
      </c>
    </row>
    <row r="183" spans="1:12">
      <c r="A183" s="159" t="s">
        <v>8</v>
      </c>
      <c r="B183" s="7">
        <v>10009187</v>
      </c>
      <c r="C183" s="7" t="str">
        <f t="shared" si="19"/>
        <v>MARZO10009187Inventario final</v>
      </c>
      <c r="D183" s="158" t="s">
        <v>442</v>
      </c>
      <c r="E183" s="3" t="s">
        <v>218</v>
      </c>
      <c r="F183">
        <v>420</v>
      </c>
      <c r="G183" s="2" t="s">
        <v>317</v>
      </c>
      <c r="L183" s="110">
        <v>1.8391428571428572</v>
      </c>
    </row>
    <row r="184" spans="1:12">
      <c r="A184" s="159" t="s">
        <v>8</v>
      </c>
      <c r="B184" s="7">
        <v>10009207</v>
      </c>
      <c r="C184" s="7" t="str">
        <f t="shared" si="19"/>
        <v>MARZO10009207Inventario final</v>
      </c>
      <c r="D184" s="158" t="s">
        <v>443</v>
      </c>
      <c r="E184" s="3" t="s">
        <v>218</v>
      </c>
      <c r="F184">
        <v>66020</v>
      </c>
      <c r="G184" s="2" t="s">
        <v>317</v>
      </c>
      <c r="L184" s="110">
        <v>1.6168274765222661</v>
      </c>
    </row>
    <row r="185" spans="1:12">
      <c r="A185" s="159" t="s">
        <v>8</v>
      </c>
      <c r="B185" s="7">
        <v>10009224</v>
      </c>
      <c r="C185" s="7" t="str">
        <f t="shared" si="19"/>
        <v>MARZO10009224Inventario final</v>
      </c>
      <c r="D185" s="158" t="s">
        <v>444</v>
      </c>
      <c r="E185" s="3" t="s">
        <v>218</v>
      </c>
      <c r="F185">
        <v>3360</v>
      </c>
      <c r="G185" s="2" t="s">
        <v>317</v>
      </c>
      <c r="L185" s="110">
        <v>3.6412946428571429</v>
      </c>
    </row>
    <row r="186" spans="1:12">
      <c r="A186" s="159" t="s">
        <v>8</v>
      </c>
      <c r="B186" s="7">
        <v>10009239</v>
      </c>
      <c r="C186" s="7" t="str">
        <f t="shared" si="19"/>
        <v>MARZO10009239Inventario final</v>
      </c>
      <c r="D186" s="158" t="s">
        <v>389</v>
      </c>
      <c r="E186" s="3" t="s">
        <v>218</v>
      </c>
      <c r="F186">
        <v>595340</v>
      </c>
      <c r="G186" s="2" t="s">
        <v>317</v>
      </c>
      <c r="L186" s="110">
        <v>2.1697107535189972</v>
      </c>
    </row>
    <row r="187" spans="1:12">
      <c r="A187" s="159" t="s">
        <v>8</v>
      </c>
      <c r="B187" s="7">
        <v>10009241</v>
      </c>
      <c r="C187" s="7" t="str">
        <f t="shared" si="19"/>
        <v>MARZO10009241Inventario final</v>
      </c>
      <c r="D187" s="158" t="s">
        <v>445</v>
      </c>
      <c r="E187" s="3" t="s">
        <v>218</v>
      </c>
      <c r="F187">
        <v>780</v>
      </c>
      <c r="G187" s="2" t="s">
        <v>317</v>
      </c>
      <c r="L187" s="110">
        <v>1.9563846153846154</v>
      </c>
    </row>
    <row r="188" spans="1:12">
      <c r="A188" s="159" t="s">
        <v>8</v>
      </c>
      <c r="B188" s="7">
        <v>10009251</v>
      </c>
      <c r="C188" s="7" t="str">
        <f t="shared" si="19"/>
        <v>MARZO10009251Inventario final</v>
      </c>
      <c r="D188" s="158" t="s">
        <v>446</v>
      </c>
      <c r="E188" s="3" t="s">
        <v>218</v>
      </c>
      <c r="F188">
        <v>88940</v>
      </c>
      <c r="G188" s="2" t="s">
        <v>317</v>
      </c>
      <c r="L188" s="110">
        <v>3.117035079829098</v>
      </c>
    </row>
    <row r="189" spans="1:12">
      <c r="A189" s="159" t="s">
        <v>8</v>
      </c>
      <c r="B189" s="7">
        <v>10009265</v>
      </c>
      <c r="C189" s="7" t="str">
        <f t="shared" si="19"/>
        <v>MARZO10009265Inventario final</v>
      </c>
      <c r="D189" s="158" t="s">
        <v>447</v>
      </c>
      <c r="E189" s="3" t="s">
        <v>218</v>
      </c>
      <c r="F189">
        <v>2040</v>
      </c>
      <c r="G189" s="2" t="s">
        <v>317</v>
      </c>
      <c r="L189" s="110">
        <v>1.4564117647058823</v>
      </c>
    </row>
    <row r="190" spans="1:12">
      <c r="A190" s="159" t="s">
        <v>8</v>
      </c>
      <c r="B190" s="7">
        <v>10009271</v>
      </c>
      <c r="C190" s="7" t="str">
        <f t="shared" si="19"/>
        <v>MARZO10009271Inventario final</v>
      </c>
      <c r="D190" s="158" t="s">
        <v>448</v>
      </c>
      <c r="E190" s="3" t="s">
        <v>218</v>
      </c>
      <c r="F190">
        <v>1040</v>
      </c>
      <c r="G190" s="2" t="s">
        <v>317</v>
      </c>
      <c r="L190" s="110">
        <v>1.7992403846153846</v>
      </c>
    </row>
    <row r="191" spans="1:12">
      <c r="A191" s="159" t="s">
        <v>8</v>
      </c>
      <c r="B191" s="7">
        <v>10009298</v>
      </c>
      <c r="C191" s="7" t="str">
        <f t="shared" si="19"/>
        <v>MARZO10009298Inventario final</v>
      </c>
      <c r="D191" s="158" t="s">
        <v>449</v>
      </c>
      <c r="E191" s="3" t="s">
        <v>218</v>
      </c>
      <c r="F191">
        <v>3460</v>
      </c>
      <c r="G191" s="2" t="s">
        <v>317</v>
      </c>
      <c r="L191" s="110">
        <v>1.9627138728323699</v>
      </c>
    </row>
    <row r="192" spans="1:12">
      <c r="A192" s="159" t="s">
        <v>8</v>
      </c>
      <c r="B192" s="7">
        <v>10009328</v>
      </c>
      <c r="C192" s="7" t="str">
        <f t="shared" si="19"/>
        <v>MARZO10009328Inventario final</v>
      </c>
      <c r="D192" s="158" t="s">
        <v>450</v>
      </c>
      <c r="E192" s="3" t="s">
        <v>218</v>
      </c>
      <c r="F192">
        <v>360</v>
      </c>
      <c r="G192" s="2" t="s">
        <v>317</v>
      </c>
      <c r="L192" s="110">
        <v>1.8048888888888888</v>
      </c>
    </row>
    <row r="193" spans="1:12">
      <c r="A193" s="159" t="s">
        <v>8</v>
      </c>
      <c r="B193" s="7">
        <v>10009329</v>
      </c>
      <c r="C193" s="7" t="str">
        <f t="shared" si="19"/>
        <v>MARZO10009329Inventario final</v>
      </c>
      <c r="D193" s="158" t="s">
        <v>451</v>
      </c>
      <c r="E193" s="3" t="s">
        <v>218</v>
      </c>
      <c r="F193">
        <v>0</v>
      </c>
      <c r="G193" s="2" t="s">
        <v>317</v>
      </c>
      <c r="L193" s="110">
        <f>L192</f>
        <v>1.8048888888888888</v>
      </c>
    </row>
    <row r="194" spans="1:12">
      <c r="A194" s="159" t="s">
        <v>8</v>
      </c>
      <c r="B194" s="7">
        <v>10009331</v>
      </c>
      <c r="C194" s="7" t="str">
        <f t="shared" si="19"/>
        <v>MARZO10009331Inventario final</v>
      </c>
      <c r="D194" s="158" t="s">
        <v>403</v>
      </c>
      <c r="E194" s="3" t="s">
        <v>218</v>
      </c>
      <c r="F194">
        <v>88956</v>
      </c>
      <c r="G194" s="2" t="s">
        <v>317</v>
      </c>
      <c r="L194" s="110">
        <v>1.8511023427312379</v>
      </c>
    </row>
    <row r="195" spans="1:12">
      <c r="A195" s="159" t="s">
        <v>8</v>
      </c>
      <c r="B195" s="7">
        <v>10009332</v>
      </c>
      <c r="C195" s="7" t="str">
        <f t="shared" si="19"/>
        <v>MARZO10009332Inventario final</v>
      </c>
      <c r="D195" s="158" t="s">
        <v>407</v>
      </c>
      <c r="E195" s="3" t="s">
        <v>218</v>
      </c>
      <c r="F195">
        <v>70745</v>
      </c>
      <c r="G195" s="2" t="s">
        <v>317</v>
      </c>
      <c r="L195" s="110">
        <v>1.640464909180861</v>
      </c>
    </row>
    <row r="196" spans="1:12">
      <c r="A196" s="159" t="s">
        <v>8</v>
      </c>
      <c r="B196" s="7">
        <v>10009334</v>
      </c>
      <c r="C196" s="7" t="str">
        <f t="shared" si="19"/>
        <v>MARZO10009334Inventario final</v>
      </c>
      <c r="D196" s="158" t="s">
        <v>452</v>
      </c>
      <c r="E196" s="3" t="s">
        <v>218</v>
      </c>
      <c r="F196">
        <v>11754</v>
      </c>
      <c r="G196" s="2" t="s">
        <v>317</v>
      </c>
      <c r="L196" s="110">
        <v>1.9154466564573762</v>
      </c>
    </row>
    <row r="197" spans="1:12">
      <c r="A197" s="159" t="s">
        <v>8</v>
      </c>
      <c r="B197" s="7">
        <v>10009336</v>
      </c>
      <c r="C197" s="7" t="str">
        <f t="shared" ref="C197:C206" si="26">A197&amp;B197&amp;E197</f>
        <v>MARZO10009336Inventario final</v>
      </c>
      <c r="D197" s="158" t="s">
        <v>453</v>
      </c>
      <c r="E197" s="3" t="s">
        <v>218</v>
      </c>
      <c r="F197">
        <v>81140</v>
      </c>
      <c r="G197" s="2" t="s">
        <v>317</v>
      </c>
      <c r="L197" s="110">
        <v>1.6055295785062853</v>
      </c>
    </row>
    <row r="198" spans="1:12">
      <c r="A198" s="159" t="s">
        <v>8</v>
      </c>
      <c r="B198" s="7">
        <v>10009337</v>
      </c>
      <c r="C198" s="7" t="str">
        <f t="shared" si="26"/>
        <v>MARZO10009337Inventario final</v>
      </c>
      <c r="D198" s="158" t="s">
        <v>454</v>
      </c>
      <c r="E198" s="3" t="s">
        <v>218</v>
      </c>
      <c r="F198">
        <v>62130</v>
      </c>
      <c r="G198" s="2" t="s">
        <v>317</v>
      </c>
      <c r="L198" s="110">
        <v>1.6298829872847256</v>
      </c>
    </row>
    <row r="199" spans="1:12">
      <c r="A199" s="159" t="s">
        <v>8</v>
      </c>
      <c r="B199" s="7">
        <v>10009639</v>
      </c>
      <c r="C199" s="7" t="str">
        <f t="shared" si="26"/>
        <v>MARZO10009639Inventario final</v>
      </c>
      <c r="D199" s="158" t="s">
        <v>455</v>
      </c>
      <c r="E199" s="3" t="s">
        <v>218</v>
      </c>
      <c r="F199">
        <v>119920</v>
      </c>
      <c r="G199" s="2" t="s">
        <v>317</v>
      </c>
      <c r="L199" s="110">
        <v>1.8503950133422282</v>
      </c>
    </row>
    <row r="200" spans="1:12">
      <c r="A200" s="159" t="s">
        <v>8</v>
      </c>
      <c r="B200" s="7">
        <v>10009640</v>
      </c>
      <c r="C200" s="7" t="str">
        <f t="shared" si="26"/>
        <v>MARZO10009640Inventario final</v>
      </c>
      <c r="D200" s="158" t="s">
        <v>456</v>
      </c>
      <c r="E200" s="3" t="s">
        <v>218</v>
      </c>
      <c r="F200">
        <v>0</v>
      </c>
      <c r="G200" s="2" t="s">
        <v>317</v>
      </c>
      <c r="L200" s="110">
        <f>L191</f>
        <v>1.9627138728323699</v>
      </c>
    </row>
    <row r="201" spans="1:12">
      <c r="A201" s="159" t="s">
        <v>8</v>
      </c>
      <c r="B201" s="7">
        <v>10009641</v>
      </c>
      <c r="C201" s="7" t="str">
        <f t="shared" si="26"/>
        <v>MARZO10009641Inventario final</v>
      </c>
      <c r="D201" s="158" t="s">
        <v>457</v>
      </c>
      <c r="E201" s="3" t="s">
        <v>218</v>
      </c>
      <c r="F201">
        <v>198.54000000000002</v>
      </c>
      <c r="G201" s="2" t="s">
        <v>317</v>
      </c>
      <c r="L201" s="110">
        <v>14.619069205197945</v>
      </c>
    </row>
    <row r="202" spans="1:12">
      <c r="A202" s="159" t="s">
        <v>8</v>
      </c>
      <c r="B202" s="7">
        <v>10009642</v>
      </c>
      <c r="C202" s="7" t="str">
        <f t="shared" si="26"/>
        <v>MARZO10009642Inventario final</v>
      </c>
      <c r="D202" s="158" t="s">
        <v>458</v>
      </c>
      <c r="E202" s="3" t="s">
        <v>218</v>
      </c>
      <c r="F202">
        <v>80.34</v>
      </c>
      <c r="G202" s="2" t="s">
        <v>317</v>
      </c>
      <c r="L202" s="110">
        <v>48.443988050784164</v>
      </c>
    </row>
    <row r="203" spans="1:12">
      <c r="A203" s="159" t="s">
        <v>8</v>
      </c>
      <c r="B203" s="7">
        <v>10009643</v>
      </c>
      <c r="C203" s="7" t="str">
        <f t="shared" si="26"/>
        <v>MARZO10009643Inventario final</v>
      </c>
      <c r="D203" s="158" t="s">
        <v>459</v>
      </c>
      <c r="E203" s="3" t="s">
        <v>218</v>
      </c>
      <c r="F203">
        <v>71.550000000000011</v>
      </c>
      <c r="G203" s="2" t="s">
        <v>317</v>
      </c>
      <c r="L203" s="110">
        <v>12.634381551362681</v>
      </c>
    </row>
    <row r="204" spans="1:12">
      <c r="A204" s="159" t="s">
        <v>8</v>
      </c>
      <c r="B204" s="7">
        <v>10009650</v>
      </c>
      <c r="C204" s="7" t="str">
        <f t="shared" si="26"/>
        <v>MARZO10009650Inventario final</v>
      </c>
      <c r="D204" s="158" t="s">
        <v>460</v>
      </c>
      <c r="E204" s="3" t="s">
        <v>218</v>
      </c>
      <c r="F204">
        <v>8410</v>
      </c>
      <c r="G204" s="2" t="s">
        <v>317</v>
      </c>
      <c r="L204" s="110">
        <v>2.1419262782401902</v>
      </c>
    </row>
    <row r="205" spans="1:12">
      <c r="A205" s="159" t="s">
        <v>8</v>
      </c>
      <c r="B205" s="7">
        <v>10009658</v>
      </c>
      <c r="C205" s="7" t="str">
        <f t="shared" si="26"/>
        <v>MARZO10009658Inventario final</v>
      </c>
      <c r="D205" s="158" t="s">
        <v>461</v>
      </c>
      <c r="E205" s="3" t="s">
        <v>218</v>
      </c>
      <c r="F205">
        <v>5880</v>
      </c>
      <c r="G205" s="2" t="s">
        <v>317</v>
      </c>
      <c r="L205" s="110">
        <v>1.8495051020408164</v>
      </c>
    </row>
    <row r="206" spans="1:12">
      <c r="A206" s="159" t="s">
        <v>8</v>
      </c>
      <c r="B206" s="7">
        <v>10009777</v>
      </c>
      <c r="C206" s="7" t="str">
        <f t="shared" si="26"/>
        <v>MARZO10009777Inventario final</v>
      </c>
      <c r="D206" s="158" t="s">
        <v>462</v>
      </c>
      <c r="E206" s="3" t="s">
        <v>218</v>
      </c>
      <c r="F206">
        <v>220</v>
      </c>
      <c r="G206" s="2" t="s">
        <v>317</v>
      </c>
      <c r="L206" s="110">
        <v>2.1901363636363635</v>
      </c>
    </row>
  </sheetData>
  <autoFilter ref="A4:U206" xr:uid="{3CE754B3-988E-444C-9265-C841DB136EFE}"/>
  <phoneticPr fontId="3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Gráficos</vt:lpstr>
      <vt:lpstr>TD</vt:lpstr>
      <vt:lpstr>Resumen</vt:lpstr>
      <vt:lpstr>Costos Producción Febrero</vt:lpstr>
      <vt:lpstr>Costos Producción Marzo</vt:lpstr>
      <vt:lpstr>Detalle Costos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Sebastian Martinez Montalvo (PFRO)</dc:creator>
  <cp:keywords/>
  <dc:description/>
  <cp:lastModifiedBy>Rodrigo Sebastian Martinez Montalvo (PFRO)</cp:lastModifiedBy>
  <cp:revision/>
  <cp:lastPrinted>2026-03-23T20:23:38Z</cp:lastPrinted>
  <dcterms:created xsi:type="dcterms:W3CDTF">2026-03-06T02:31:08Z</dcterms:created>
  <dcterms:modified xsi:type="dcterms:W3CDTF">2026-08-12T22:35:02Z</dcterms:modified>
  <cp:category/>
  <cp:contentStatus/>
</cp:coreProperties>
</file>