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wnloads\"/>
    </mc:Choice>
  </mc:AlternateContent>
  <xr:revisionPtr revIDLastSave="0" documentId="13_ncr:1_{B9904DF3-080F-47EF-9905-E8244D58F96D}" xr6:coauthVersionLast="47" xr6:coauthVersionMax="47" xr10:uidLastSave="{00000000-0000-0000-0000-000000000000}"/>
  <bookViews>
    <workbookView xWindow="-108" yWindow="-108" windowWidth="23256" windowHeight="13896" xr2:uid="{B33A0B1C-197D-4402-ADA5-70DE1D6A71FC}"/>
  </bookViews>
  <sheets>
    <sheet name="RESUMEN AL 22-6-2026" sheetId="3" r:id="rId1"/>
    <sheet name="TD" sheetId="2" r:id="rId2"/>
    <sheet name="Stock Libre" sheetId="1" r:id="rId3"/>
  </sheets>
  <externalReferences>
    <externalReference r:id="rId4"/>
    <externalReference r:id="rId5"/>
    <externalReference r:id="rId6"/>
  </externalReferences>
  <calcPr calcId="191029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7" i="3" l="1"/>
  <c r="BB14" i="3"/>
  <c r="AY7" i="3"/>
  <c r="AZ7" i="3"/>
  <c r="AY8" i="3"/>
  <c r="AZ8" i="3"/>
  <c r="AY9" i="3"/>
  <c r="AZ9" i="3"/>
  <c r="AY10" i="3"/>
  <c r="AZ10" i="3"/>
  <c r="AY11" i="3"/>
  <c r="AZ11" i="3"/>
  <c r="AY12" i="3"/>
  <c r="AZ12" i="3"/>
  <c r="AY13" i="3"/>
  <c r="AZ13" i="3"/>
  <c r="AY14" i="3"/>
  <c r="AZ14" i="3"/>
  <c r="AY15" i="3"/>
  <c r="AZ15" i="3"/>
  <c r="AY16" i="3"/>
  <c r="AZ16" i="3"/>
  <c r="AY17" i="3"/>
  <c r="AZ17" i="3"/>
  <c r="AT18" i="3"/>
  <c r="AS18" i="3"/>
  <c r="AQ18" i="3"/>
  <c r="AP18" i="3"/>
  <c r="AR18" i="3" s="1"/>
  <c r="AX18" i="3"/>
  <c r="AX17" i="3"/>
  <c r="AX16" i="3"/>
  <c r="AX15" i="3"/>
  <c r="AX14" i="3"/>
  <c r="AX13" i="3"/>
  <c r="AX12" i="3"/>
  <c r="AX11" i="3"/>
  <c r="AX10" i="3"/>
  <c r="AX9" i="3"/>
  <c r="AX8" i="3"/>
  <c r="AX7" i="3"/>
  <c r="AU18" i="3"/>
  <c r="AU17" i="3"/>
  <c r="AU16" i="3"/>
  <c r="AU15" i="3"/>
  <c r="AU14" i="3"/>
  <c r="AU13" i="3"/>
  <c r="AU12" i="3"/>
  <c r="AU11" i="3"/>
  <c r="AU10" i="3"/>
  <c r="AU9" i="3"/>
  <c r="AU8" i="3"/>
  <c r="AU7" i="3"/>
  <c r="AR17" i="3"/>
  <c r="AR16" i="3"/>
  <c r="AR15" i="3"/>
  <c r="AR14" i="3"/>
  <c r="AR13" i="3"/>
  <c r="AR12" i="3"/>
  <c r="AR11" i="3"/>
  <c r="AR10" i="3"/>
  <c r="AR9" i="3"/>
  <c r="AR8" i="3"/>
  <c r="AR7" i="3"/>
  <c r="AW17" i="3" a="1"/>
  <c r="AW17" i="3" s="1"/>
  <c r="AV17" i="3" a="1"/>
  <c r="AV17" i="3" s="1"/>
  <c r="AW16" i="3" a="1"/>
  <c r="AW16" i="3" s="1"/>
  <c r="AV16" i="3" a="1"/>
  <c r="AV16" i="3" s="1"/>
  <c r="AW15" i="3" a="1"/>
  <c r="AW15" i="3" s="1"/>
  <c r="AV15" i="3" a="1"/>
  <c r="AV15" i="3" s="1"/>
  <c r="AW14" i="3" a="1"/>
  <c r="AW14" i="3" s="1"/>
  <c r="AV14" i="3" a="1"/>
  <c r="AV14" i="3" s="1"/>
  <c r="AW13" i="3" a="1"/>
  <c r="AW13" i="3" s="1"/>
  <c r="AV13" i="3" a="1"/>
  <c r="AV13" i="3" s="1"/>
  <c r="AW12" i="3" a="1"/>
  <c r="AW12" i="3" s="1"/>
  <c r="AV12" i="3" a="1"/>
  <c r="AV12" i="3" s="1"/>
  <c r="AW11" i="3" a="1"/>
  <c r="AW11" i="3" s="1"/>
  <c r="AV11" i="3" a="1"/>
  <c r="AV11" i="3" s="1"/>
  <c r="AW10" i="3" a="1"/>
  <c r="AW10" i="3" s="1"/>
  <c r="AV10" i="3" a="1"/>
  <c r="AV10" i="3" s="1"/>
  <c r="AW9" i="3" a="1"/>
  <c r="AW9" i="3" s="1"/>
  <c r="AV9" i="3" a="1"/>
  <c r="AV9" i="3" s="1"/>
  <c r="AW8" i="3" a="1"/>
  <c r="AW8" i="3" s="1"/>
  <c r="AV8" i="3" a="1"/>
  <c r="AV8" i="3" s="1"/>
  <c r="AW7" i="3" a="1"/>
  <c r="AW7" i="3" s="1"/>
  <c r="AV7" i="3" a="1"/>
  <c r="AV7" i="3" s="1"/>
  <c r="AT17" i="3"/>
  <c r="AT17" i="3" a="1"/>
  <c r="AS17" i="3"/>
  <c r="AS17" i="3" a="1"/>
  <c r="AT16" i="3" a="1"/>
  <c r="AT16" i="3" s="1"/>
  <c r="AS16" i="3" a="1"/>
  <c r="AS16" i="3" s="1"/>
  <c r="AT15" i="3" a="1"/>
  <c r="AT15" i="3" s="1"/>
  <c r="AS15" i="3" a="1"/>
  <c r="AS15" i="3" s="1"/>
  <c r="AT14" i="3"/>
  <c r="AT14" i="3" a="1"/>
  <c r="AS14" i="3"/>
  <c r="AS14" i="3" a="1"/>
  <c r="AT13" i="3" a="1"/>
  <c r="AT13" i="3" s="1"/>
  <c r="AS13" i="3" a="1"/>
  <c r="AS13" i="3" s="1"/>
  <c r="AT12" i="3" a="1"/>
  <c r="AT12" i="3" s="1"/>
  <c r="AS12" i="3" a="1"/>
  <c r="AS12" i="3" s="1"/>
  <c r="AT11" i="3"/>
  <c r="AT11" i="3" a="1"/>
  <c r="AS11" i="3"/>
  <c r="AS11" i="3" a="1"/>
  <c r="AT10" i="3" a="1"/>
  <c r="AT10" i="3" s="1"/>
  <c r="AS10" i="3" a="1"/>
  <c r="AS10" i="3" s="1"/>
  <c r="AT9" i="3" a="1"/>
  <c r="AT9" i="3" s="1"/>
  <c r="AS9" i="3" a="1"/>
  <c r="AS9" i="3" s="1"/>
  <c r="AT8" i="3"/>
  <c r="AT8" i="3" a="1"/>
  <c r="AS8" i="3" a="1"/>
  <c r="AS8" i="3" s="1"/>
  <c r="AT7" i="3" a="1"/>
  <c r="AT7" i="3" s="1"/>
  <c r="AS7" i="3" a="1"/>
  <c r="AS7" i="3" s="1"/>
  <c r="AQ17" i="3" a="1"/>
  <c r="AQ17" i="3" s="1"/>
  <c r="AP17" i="3" a="1"/>
  <c r="AP17" i="3" s="1"/>
  <c r="AQ16" i="3" a="1"/>
  <c r="AQ16" i="3" s="1"/>
  <c r="AP16" i="3" a="1"/>
  <c r="AP16" i="3" s="1"/>
  <c r="AQ15" i="3" a="1"/>
  <c r="AQ15" i="3" s="1"/>
  <c r="AP15" i="3" a="1"/>
  <c r="AP15" i="3" s="1"/>
  <c r="AQ14" i="3" a="1"/>
  <c r="AQ14" i="3" s="1"/>
  <c r="AP14" i="3" a="1"/>
  <c r="AP14" i="3" s="1"/>
  <c r="AQ13" i="3" a="1"/>
  <c r="AQ13" i="3" s="1"/>
  <c r="AP13" i="3" a="1"/>
  <c r="AP13" i="3" s="1"/>
  <c r="AQ12" i="3" a="1"/>
  <c r="AQ12" i="3" s="1"/>
  <c r="AP12" i="3" a="1"/>
  <c r="AP12" i="3" s="1"/>
  <c r="AQ11" i="3" a="1"/>
  <c r="AQ11" i="3" s="1"/>
  <c r="AP11" i="3" a="1"/>
  <c r="AP11" i="3" s="1"/>
  <c r="AQ10" i="3" a="1"/>
  <c r="AQ10" i="3" s="1"/>
  <c r="AP10" i="3" a="1"/>
  <c r="AP10" i="3" s="1"/>
  <c r="AQ9" i="3" a="1"/>
  <c r="AQ9" i="3" s="1"/>
  <c r="AP9" i="3" a="1"/>
  <c r="AP9" i="3" s="1"/>
  <c r="AQ8" i="3" a="1"/>
  <c r="AQ8" i="3" s="1"/>
  <c r="AP8" i="3" a="1"/>
  <c r="AP8" i="3" s="1"/>
  <c r="AQ7" i="3" a="1"/>
  <c r="AQ7" i="3" s="1"/>
  <c r="AP7" i="3" a="1"/>
  <c r="AP7" i="3" s="1"/>
  <c r="AN17" i="3" a="1"/>
  <c r="AN17" i="3" s="1"/>
  <c r="AM17" i="3" a="1"/>
  <c r="AM17" i="3" s="1"/>
  <c r="AN16" i="3" a="1"/>
  <c r="AN16" i="3" s="1"/>
  <c r="AM16" i="3" a="1"/>
  <c r="AM16" i="3" s="1"/>
  <c r="AN15" i="3" a="1"/>
  <c r="AN15" i="3" s="1"/>
  <c r="AM15" i="3" a="1"/>
  <c r="AM15" i="3" s="1"/>
  <c r="AN14" i="3" a="1"/>
  <c r="AN14" i="3" s="1"/>
  <c r="AM14" i="3" a="1"/>
  <c r="AM14" i="3" s="1"/>
  <c r="AN13" i="3" a="1"/>
  <c r="AN13" i="3" s="1"/>
  <c r="AM13" i="3" a="1"/>
  <c r="AM13" i="3" s="1"/>
  <c r="AN12" i="3" a="1"/>
  <c r="AN12" i="3" s="1"/>
  <c r="AM12" i="3" a="1"/>
  <c r="AM12" i="3" s="1"/>
  <c r="AN11" i="3" a="1"/>
  <c r="AN11" i="3" s="1"/>
  <c r="AM11" i="3" a="1"/>
  <c r="AM11" i="3" s="1"/>
  <c r="AN10" i="3" a="1"/>
  <c r="AN10" i="3" s="1"/>
  <c r="AM10" i="3" a="1"/>
  <c r="AM10" i="3" s="1"/>
  <c r="AN9" i="3" a="1"/>
  <c r="AN9" i="3" s="1"/>
  <c r="AM9" i="3" a="1"/>
  <c r="AM9" i="3" s="1"/>
  <c r="AN8" i="3" a="1"/>
  <c r="AN8" i="3" s="1"/>
  <c r="AM8" i="3" a="1"/>
  <c r="AM8" i="3" s="1"/>
  <c r="AN7" i="3" a="1"/>
  <c r="AN7" i="3" s="1"/>
  <c r="AM7" i="3" a="1"/>
  <c r="AM7" i="3" s="1"/>
  <c r="AK17" i="3" a="1"/>
  <c r="AK17" i="3" s="1"/>
  <c r="AJ17" i="3" a="1"/>
  <c r="AJ17" i="3" s="1"/>
  <c r="AK16" i="3" a="1"/>
  <c r="AK16" i="3" s="1"/>
  <c r="AJ16" i="3" a="1"/>
  <c r="AJ16" i="3" s="1"/>
  <c r="AK15" i="3" a="1"/>
  <c r="AK15" i="3" s="1"/>
  <c r="AJ15" i="3" a="1"/>
  <c r="AJ15" i="3" s="1"/>
  <c r="AK14" i="3" a="1"/>
  <c r="AK14" i="3" s="1"/>
  <c r="AJ14" i="3" a="1"/>
  <c r="AJ14" i="3" s="1"/>
  <c r="AK13" i="3" a="1"/>
  <c r="AK13" i="3" s="1"/>
  <c r="AJ13" i="3" a="1"/>
  <c r="AJ13" i="3" s="1"/>
  <c r="AK12" i="3" a="1"/>
  <c r="AK12" i="3" s="1"/>
  <c r="AJ12" i="3" a="1"/>
  <c r="AJ12" i="3" s="1"/>
  <c r="AK11" i="3" a="1"/>
  <c r="AK11" i="3" s="1"/>
  <c r="AJ11" i="3" a="1"/>
  <c r="AJ11" i="3" s="1"/>
  <c r="AK10" i="3" a="1"/>
  <c r="AK10" i="3" s="1"/>
  <c r="AJ10" i="3" a="1"/>
  <c r="AJ10" i="3" s="1"/>
  <c r="AK9" i="3" a="1"/>
  <c r="AK9" i="3" s="1"/>
  <c r="AJ9" i="3" a="1"/>
  <c r="AJ9" i="3" s="1"/>
  <c r="AK8" i="3" a="1"/>
  <c r="AK8" i="3" s="1"/>
  <c r="AJ8" i="3" a="1"/>
  <c r="AJ8" i="3" s="1"/>
  <c r="AK7" i="3" a="1"/>
  <c r="AK7" i="3" s="1"/>
  <c r="AJ7" i="3" a="1"/>
  <c r="AJ7" i="3" s="1"/>
  <c r="AH17" i="3" a="1"/>
  <c r="AH17" i="3" s="1"/>
  <c r="AG17" i="3" a="1"/>
  <c r="AG17" i="3" s="1"/>
  <c r="AH16" i="3" a="1"/>
  <c r="AH16" i="3" s="1"/>
  <c r="AG16" i="3" a="1"/>
  <c r="AG16" i="3" s="1"/>
  <c r="AH15" i="3" a="1"/>
  <c r="AH15" i="3" s="1"/>
  <c r="AG15" i="3" a="1"/>
  <c r="AG15" i="3" s="1"/>
  <c r="AH14" i="3" a="1"/>
  <c r="AH14" i="3" s="1"/>
  <c r="AG14" i="3" a="1"/>
  <c r="AG14" i="3" s="1"/>
  <c r="AH13" i="3" a="1"/>
  <c r="AH13" i="3" s="1"/>
  <c r="AG13" i="3" a="1"/>
  <c r="AG13" i="3" s="1"/>
  <c r="AH12" i="3" a="1"/>
  <c r="AH12" i="3" s="1"/>
  <c r="AG12" i="3" a="1"/>
  <c r="AG12" i="3" s="1"/>
  <c r="AH11" i="3" a="1"/>
  <c r="AH11" i="3" s="1"/>
  <c r="AG11" i="3" a="1"/>
  <c r="AG11" i="3" s="1"/>
  <c r="AH10" i="3" a="1"/>
  <c r="AH10" i="3" s="1"/>
  <c r="AG10" i="3" a="1"/>
  <c r="AG10" i="3" s="1"/>
  <c r="AH9" i="3" a="1"/>
  <c r="AH9" i="3" s="1"/>
  <c r="AG9" i="3" a="1"/>
  <c r="AG9" i="3" s="1"/>
  <c r="AH8" i="3" a="1"/>
  <c r="AH8" i="3" s="1"/>
  <c r="AG8" i="3" a="1"/>
  <c r="AG8" i="3" s="1"/>
  <c r="AH7" i="3" a="1"/>
  <c r="AH7" i="3" s="1"/>
  <c r="AG7" i="3" a="1"/>
  <c r="AG7" i="3" s="1"/>
  <c r="AE17" i="3"/>
  <c r="AE17" i="3" a="1"/>
  <c r="AD17" i="3" a="1"/>
  <c r="AD17" i="3" s="1"/>
  <c r="AE16" i="3" a="1"/>
  <c r="AE16" i="3" s="1"/>
  <c r="AD16" i="3" a="1"/>
  <c r="AD16" i="3" s="1"/>
  <c r="AE15" i="3" a="1"/>
  <c r="AE15" i="3" s="1"/>
  <c r="AD15" i="3" a="1"/>
  <c r="AD15" i="3" s="1"/>
  <c r="AE14" i="3"/>
  <c r="AE14" i="3" a="1"/>
  <c r="AD14" i="3" a="1"/>
  <c r="AD14" i="3" s="1"/>
  <c r="AE13" i="3" a="1"/>
  <c r="AE13" i="3" s="1"/>
  <c r="AD13" i="3" a="1"/>
  <c r="AD13" i="3" s="1"/>
  <c r="AE12" i="3" a="1"/>
  <c r="AE12" i="3" s="1"/>
  <c r="AD12" i="3" a="1"/>
  <c r="AD12" i="3" s="1"/>
  <c r="AE11" i="3"/>
  <c r="AE11" i="3" a="1"/>
  <c r="AD11" i="3" a="1"/>
  <c r="AD11" i="3" s="1"/>
  <c r="AE10" i="3" a="1"/>
  <c r="AE10" i="3" s="1"/>
  <c r="AD10" i="3" a="1"/>
  <c r="AD10" i="3" s="1"/>
  <c r="AE9" i="3" a="1"/>
  <c r="AE9" i="3" s="1"/>
  <c r="AD9" i="3" a="1"/>
  <c r="AD9" i="3" s="1"/>
  <c r="AE8" i="3" a="1"/>
  <c r="AE8" i="3" s="1"/>
  <c r="AD8" i="3" a="1"/>
  <c r="AD8" i="3" s="1"/>
  <c r="AE7" i="3" a="1"/>
  <c r="AE7" i="3" s="1"/>
  <c r="AD7" i="3" a="1"/>
  <c r="AD7" i="3" s="1"/>
  <c r="AB17" i="3" a="1"/>
  <c r="AB17" i="3" s="1"/>
  <c r="AA17" i="3" a="1"/>
  <c r="AA17" i="3" s="1"/>
  <c r="AB16" i="3" a="1"/>
  <c r="AB16" i="3" s="1"/>
  <c r="AA16" i="3" a="1"/>
  <c r="AA16" i="3" s="1"/>
  <c r="AB15" i="3" a="1"/>
  <c r="AB15" i="3" s="1"/>
  <c r="AA15" i="3" a="1"/>
  <c r="AA15" i="3" s="1"/>
  <c r="AB14" i="3" a="1"/>
  <c r="AB14" i="3" s="1"/>
  <c r="AA14" i="3" a="1"/>
  <c r="AA14" i="3" s="1"/>
  <c r="AB13" i="3" a="1"/>
  <c r="AB13" i="3" s="1"/>
  <c r="AA13" i="3" a="1"/>
  <c r="AA13" i="3" s="1"/>
  <c r="AB12" i="3" a="1"/>
  <c r="AB12" i="3" s="1"/>
  <c r="AA12" i="3" a="1"/>
  <c r="AA12" i="3" s="1"/>
  <c r="AB11" i="3" a="1"/>
  <c r="AB11" i="3" s="1"/>
  <c r="AA11" i="3" a="1"/>
  <c r="AA11" i="3" s="1"/>
  <c r="AB10" i="3" a="1"/>
  <c r="AB10" i="3" s="1"/>
  <c r="AA10" i="3" a="1"/>
  <c r="AA10" i="3" s="1"/>
  <c r="AB9" i="3" a="1"/>
  <c r="AB9" i="3" s="1"/>
  <c r="AA9" i="3" a="1"/>
  <c r="AA9" i="3" s="1"/>
  <c r="AB8" i="3" a="1"/>
  <c r="AB8" i="3" s="1"/>
  <c r="AA8" i="3" a="1"/>
  <c r="AA8" i="3" s="1"/>
  <c r="AB7" i="3" a="1"/>
  <c r="AB7" i="3" s="1"/>
  <c r="AA7" i="3" a="1"/>
  <c r="AA7" i="3" s="1"/>
  <c r="Y7" i="3" a="1"/>
  <c r="Y7" i="3" s="1"/>
  <c r="Y8" i="3" a="1"/>
  <c r="Y8" i="3" s="1"/>
  <c r="Y9" i="3" a="1"/>
  <c r="Y9" i="3"/>
  <c r="Y10" i="3" a="1"/>
  <c r="Y10" i="3" s="1"/>
  <c r="Y11" i="3" a="1"/>
  <c r="Y11" i="3" s="1"/>
  <c r="Y12" i="3" a="1"/>
  <c r="Y12" i="3" s="1"/>
  <c r="Y13" i="3" a="1"/>
  <c r="Y13" i="3" s="1"/>
  <c r="Y14" i="3" a="1"/>
  <c r="Y14" i="3" s="1"/>
  <c r="Y15" i="3" a="1"/>
  <c r="Y15" i="3" s="1"/>
  <c r="Y16" i="3" a="1"/>
  <c r="Y16" i="3" s="1"/>
  <c r="Y17" i="3" a="1"/>
  <c r="Y17" i="3" s="1"/>
  <c r="X7" i="3" a="1"/>
  <c r="X7" i="3" s="1"/>
  <c r="X8" i="3" a="1"/>
  <c r="X8" i="3" s="1"/>
  <c r="X9" i="3" a="1"/>
  <c r="X9" i="3"/>
  <c r="X10" i="3" a="1"/>
  <c r="X10" i="3" s="1"/>
  <c r="X11" i="3" a="1"/>
  <c r="X11" i="3"/>
  <c r="X12" i="3" a="1"/>
  <c r="X12" i="3" s="1"/>
  <c r="X13" i="3" a="1"/>
  <c r="X13" i="3" s="1"/>
  <c r="X14" i="3" a="1"/>
  <c r="X14" i="3" s="1"/>
  <c r="X15" i="3" a="1"/>
  <c r="X15" i="3" s="1"/>
  <c r="X16" i="3" a="1"/>
  <c r="X16" i="3" s="1"/>
  <c r="X17" i="3" a="1"/>
  <c r="X17" i="3" s="1"/>
  <c r="O16" i="3" l="1"/>
  <c r="J7" i="3"/>
  <c r="J8" i="3"/>
  <c r="J9" i="3"/>
  <c r="J10" i="3"/>
  <c r="J11" i="3"/>
  <c r="J12" i="3"/>
  <c r="J13" i="3"/>
  <c r="J14" i="3"/>
  <c r="J15" i="3"/>
  <c r="J16" i="3"/>
  <c r="J17" i="3"/>
  <c r="I7" i="3"/>
  <c r="M7" i="3" s="1"/>
  <c r="N7" i="3" s="1"/>
  <c r="I8" i="3"/>
  <c r="M8" i="3" s="1"/>
  <c r="N8" i="3" s="1"/>
  <c r="I9" i="3"/>
  <c r="I10" i="3"/>
  <c r="I11" i="3"/>
  <c r="I12" i="3"/>
  <c r="I13" i="3"/>
  <c r="I14" i="3"/>
  <c r="I15" i="3"/>
  <c r="I16" i="3"/>
  <c r="I17" i="3"/>
  <c r="H7" i="3"/>
  <c r="H8" i="3"/>
  <c r="H9" i="3"/>
  <c r="H10" i="3"/>
  <c r="H11" i="3"/>
  <c r="H12" i="3"/>
  <c r="O12" i="3" s="1"/>
  <c r="H13" i="3"/>
  <c r="H14" i="3"/>
  <c r="H15" i="3"/>
  <c r="H16" i="3"/>
  <c r="H17" i="3"/>
  <c r="G7" i="3"/>
  <c r="G8" i="3"/>
  <c r="G9" i="3"/>
  <c r="G10" i="3"/>
  <c r="G11" i="3"/>
  <c r="G12" i="3"/>
  <c r="G13" i="3"/>
  <c r="G14" i="3"/>
  <c r="G15" i="3"/>
  <c r="G16" i="3"/>
  <c r="G17" i="3"/>
  <c r="F7" i="3"/>
  <c r="F8" i="3"/>
  <c r="F9" i="3"/>
  <c r="F10" i="3"/>
  <c r="E10" i="3" s="1"/>
  <c r="F11" i="3"/>
  <c r="F12" i="3"/>
  <c r="F13" i="3"/>
  <c r="F14" i="3"/>
  <c r="F15" i="3"/>
  <c r="F16" i="3"/>
  <c r="F17" i="3"/>
  <c r="D7" i="3"/>
  <c r="D8" i="3"/>
  <c r="D9" i="3"/>
  <c r="R9" i="3" s="1"/>
  <c r="D10" i="3"/>
  <c r="D11" i="3"/>
  <c r="R11" i="3" s="1"/>
  <c r="D12" i="3"/>
  <c r="R12" i="3" s="1"/>
  <c r="D13" i="3"/>
  <c r="R13" i="3" s="1"/>
  <c r="D14" i="3"/>
  <c r="D15" i="3"/>
  <c r="R15" i="3" s="1"/>
  <c r="D16" i="3"/>
  <c r="R16" i="3" s="1"/>
  <c r="D17" i="3"/>
  <c r="R17" i="3" s="1"/>
  <c r="BF18" i="3"/>
  <c r="BE18" i="3"/>
  <c r="BD18" i="3"/>
  <c r="K18" i="3"/>
  <c r="E8" i="3"/>
  <c r="R8" i="3"/>
  <c r="R7" i="3"/>
  <c r="B5" i="2"/>
  <c r="B6" i="2"/>
  <c r="B7" i="2"/>
  <c r="B8" i="2"/>
  <c r="B9" i="2"/>
  <c r="B10" i="2"/>
  <c r="B11" i="2"/>
  <c r="B12" i="2"/>
  <c r="B13" i="2"/>
  <c r="B14" i="2"/>
  <c r="B15" i="2"/>
  <c r="B4" i="2"/>
  <c r="Q46" i="1"/>
  <c r="R46" i="1"/>
  <c r="M46" i="1"/>
  <c r="P2" i="1"/>
  <c r="P3" i="1"/>
  <c r="P4" i="1"/>
  <c r="P5" i="1"/>
  <c r="P9" i="1"/>
  <c r="P10" i="1"/>
  <c r="P11" i="1"/>
  <c r="P12" i="1"/>
  <c r="P13" i="1"/>
  <c r="P14" i="1"/>
  <c r="P15" i="1"/>
  <c r="P16" i="1"/>
  <c r="P17" i="1"/>
  <c r="P21" i="1"/>
  <c r="P22" i="1"/>
  <c r="P23" i="1"/>
  <c r="P24" i="1"/>
  <c r="P25" i="1"/>
  <c r="P26" i="1"/>
  <c r="P27" i="1"/>
  <c r="P28" i="1"/>
  <c r="P29" i="1"/>
  <c r="P33" i="1"/>
  <c r="P34" i="1"/>
  <c r="P35" i="1"/>
  <c r="P36" i="1"/>
  <c r="P37" i="1"/>
  <c r="P38" i="1"/>
  <c r="P39" i="1"/>
  <c r="P40" i="1"/>
  <c r="P41" i="1"/>
  <c r="O3" i="1"/>
  <c r="O4" i="1"/>
  <c r="O5" i="1"/>
  <c r="O6" i="1"/>
  <c r="O7" i="1"/>
  <c r="O8" i="1"/>
  <c r="O9" i="1"/>
  <c r="O10" i="1"/>
  <c r="O11" i="1"/>
  <c r="O13" i="1"/>
  <c r="O15" i="1"/>
  <c r="O16" i="1"/>
  <c r="O17" i="1"/>
  <c r="O18" i="1"/>
  <c r="O19" i="1"/>
  <c r="O20" i="1"/>
  <c r="O21" i="1"/>
  <c r="O22" i="1"/>
  <c r="O23" i="1"/>
  <c r="O27" i="1"/>
  <c r="O28" i="1"/>
  <c r="O29" i="1"/>
  <c r="O30" i="1"/>
  <c r="O31" i="1"/>
  <c r="O32" i="1"/>
  <c r="O33" i="1"/>
  <c r="O34" i="1"/>
  <c r="O35" i="1"/>
  <c r="O39" i="1"/>
  <c r="O40" i="1"/>
  <c r="O41" i="1"/>
  <c r="O42" i="1"/>
  <c r="O43" i="1"/>
  <c r="N2" i="1"/>
  <c r="N3" i="1"/>
  <c r="N4" i="1"/>
  <c r="N5" i="1"/>
  <c r="N7" i="1"/>
  <c r="N9" i="1"/>
  <c r="N10" i="1"/>
  <c r="N11" i="1"/>
  <c r="N12" i="1"/>
  <c r="N13" i="1"/>
  <c r="N14" i="1"/>
  <c r="N15" i="1"/>
  <c r="N16" i="1"/>
  <c r="N17" i="1"/>
  <c r="N19" i="1"/>
  <c r="N21" i="1"/>
  <c r="N22" i="1"/>
  <c r="N23" i="1"/>
  <c r="N24" i="1"/>
  <c r="N25" i="1"/>
  <c r="N26" i="1"/>
  <c r="N27" i="1"/>
  <c r="N28" i="1"/>
  <c r="N29" i="1"/>
  <c r="N31" i="1"/>
  <c r="N33" i="1"/>
  <c r="N34" i="1"/>
  <c r="N35" i="1"/>
  <c r="N36" i="1"/>
  <c r="N37" i="1"/>
  <c r="N38" i="1"/>
  <c r="N39" i="1"/>
  <c r="N40" i="1"/>
  <c r="N41" i="1"/>
  <c r="N43" i="1"/>
  <c r="K46" i="1"/>
  <c r="P6" i="1" s="1"/>
  <c r="L46" i="1"/>
  <c r="K43" i="1"/>
  <c r="H43" i="1"/>
  <c r="L43" i="1" s="1"/>
  <c r="K42" i="1"/>
  <c r="H42" i="1"/>
  <c r="L42" i="1" s="1"/>
  <c r="M41" i="1"/>
  <c r="K41" i="1"/>
  <c r="H41" i="1"/>
  <c r="L41" i="1" s="1"/>
  <c r="K40" i="1"/>
  <c r="H40" i="1"/>
  <c r="L40" i="1" s="1"/>
  <c r="K39" i="1"/>
  <c r="H39" i="1"/>
  <c r="L39" i="1" s="1"/>
  <c r="M38" i="1"/>
  <c r="K38" i="1"/>
  <c r="H38" i="1"/>
  <c r="L38" i="1" s="1"/>
  <c r="M37" i="1"/>
  <c r="K37" i="1"/>
  <c r="H37" i="1"/>
  <c r="L37" i="1" s="1"/>
  <c r="K36" i="1"/>
  <c r="H36" i="1"/>
  <c r="L36" i="1" s="1"/>
  <c r="K35" i="1"/>
  <c r="H35" i="1"/>
  <c r="L35" i="1" s="1"/>
  <c r="K34" i="1"/>
  <c r="H34" i="1"/>
  <c r="K33" i="1"/>
  <c r="H33" i="1"/>
  <c r="L33" i="1" s="1"/>
  <c r="K32" i="1"/>
  <c r="H32" i="1"/>
  <c r="L32" i="1" s="1"/>
  <c r="M31" i="1"/>
  <c r="L31" i="1"/>
  <c r="K31" i="1"/>
  <c r="H31" i="1"/>
  <c r="K30" i="1"/>
  <c r="H30" i="1"/>
  <c r="L30" i="1" s="1"/>
  <c r="K29" i="1"/>
  <c r="H29" i="1"/>
  <c r="L29" i="1" s="1"/>
  <c r="K28" i="1"/>
  <c r="H28" i="1"/>
  <c r="L28" i="1" s="1"/>
  <c r="M27" i="1"/>
  <c r="L27" i="1"/>
  <c r="K27" i="1"/>
  <c r="H27" i="1"/>
  <c r="K26" i="1"/>
  <c r="H26" i="1"/>
  <c r="L26" i="1" s="1"/>
  <c r="K25" i="1"/>
  <c r="H25" i="1"/>
  <c r="L25" i="1" s="1"/>
  <c r="K24" i="1"/>
  <c r="H24" i="1"/>
  <c r="L24" i="1" s="1"/>
  <c r="M23" i="1"/>
  <c r="L23" i="1"/>
  <c r="K23" i="1"/>
  <c r="H23" i="1"/>
  <c r="K22" i="1"/>
  <c r="H22" i="1"/>
  <c r="L22" i="1" s="1"/>
  <c r="K21" i="1"/>
  <c r="M21" i="1" s="1"/>
  <c r="H21" i="1"/>
  <c r="L21" i="1" s="1"/>
  <c r="K20" i="1"/>
  <c r="H20" i="1"/>
  <c r="L20" i="1" s="1"/>
  <c r="M19" i="1"/>
  <c r="L19" i="1"/>
  <c r="K19" i="1"/>
  <c r="H19" i="1"/>
  <c r="K18" i="1"/>
  <c r="H18" i="1"/>
  <c r="L18" i="1" s="1"/>
  <c r="K17" i="1"/>
  <c r="H17" i="1"/>
  <c r="L17" i="1" s="1"/>
  <c r="K16" i="1"/>
  <c r="H16" i="1"/>
  <c r="L16" i="1" s="1"/>
  <c r="M15" i="1"/>
  <c r="L15" i="1"/>
  <c r="K15" i="1"/>
  <c r="H15" i="1"/>
  <c r="K14" i="1"/>
  <c r="H14" i="1"/>
  <c r="L14" i="1" s="1"/>
  <c r="K13" i="1"/>
  <c r="H13" i="1"/>
  <c r="L13" i="1" s="1"/>
  <c r="K12" i="1"/>
  <c r="H12" i="1"/>
  <c r="L12" i="1" s="1"/>
  <c r="M11" i="1"/>
  <c r="L11" i="1"/>
  <c r="K11" i="1"/>
  <c r="H11" i="1"/>
  <c r="K10" i="1"/>
  <c r="H10" i="1"/>
  <c r="L10" i="1" s="1"/>
  <c r="K9" i="1"/>
  <c r="H9" i="1"/>
  <c r="L9" i="1" s="1"/>
  <c r="K8" i="1"/>
  <c r="H8" i="1"/>
  <c r="L8" i="1" s="1"/>
  <c r="K7" i="1"/>
  <c r="H7" i="1"/>
  <c r="L7" i="1" s="1"/>
  <c r="K6" i="1"/>
  <c r="H6" i="1"/>
  <c r="L6" i="1" s="1"/>
  <c r="K5" i="1"/>
  <c r="H5" i="1"/>
  <c r="L5" i="1" s="1"/>
  <c r="M4" i="1"/>
  <c r="K4" i="1"/>
  <c r="H4" i="1"/>
  <c r="L4" i="1" s="1"/>
  <c r="K3" i="1"/>
  <c r="H3" i="1"/>
  <c r="L3" i="1" s="1"/>
  <c r="K2" i="1"/>
  <c r="H2" i="1"/>
  <c r="L2" i="1" s="1"/>
  <c r="E44" i="1"/>
  <c r="E46" i="1"/>
  <c r="D46" i="1"/>
  <c r="C46" i="1"/>
  <c r="E45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9" i="3" l="1"/>
  <c r="O14" i="3"/>
  <c r="P14" i="3" s="1"/>
  <c r="O13" i="3"/>
  <c r="P13" i="3" s="1"/>
  <c r="O7" i="3"/>
  <c r="AC10" i="3"/>
  <c r="AC8" i="3"/>
  <c r="O8" i="3"/>
  <c r="P8" i="3" s="1"/>
  <c r="AC11" i="3"/>
  <c r="O9" i="3"/>
  <c r="O10" i="3"/>
  <c r="P10" i="3" s="1"/>
  <c r="AF13" i="3"/>
  <c r="O15" i="3"/>
  <c r="P15" i="3" s="1"/>
  <c r="M12" i="3"/>
  <c r="U12" i="3" s="1"/>
  <c r="V12" i="3" s="1"/>
  <c r="O11" i="3"/>
  <c r="G18" i="3"/>
  <c r="AL10" i="3"/>
  <c r="J18" i="3"/>
  <c r="AC9" i="3"/>
  <c r="AF11" i="3"/>
  <c r="AI15" i="3"/>
  <c r="AF12" i="3"/>
  <c r="BC13" i="3"/>
  <c r="BO13" i="3" s="1"/>
  <c r="Z13" i="3"/>
  <c r="H18" i="3"/>
  <c r="AC14" i="3"/>
  <c r="AO16" i="3"/>
  <c r="AI8" i="3"/>
  <c r="AO10" i="3"/>
  <c r="AJ18" i="3"/>
  <c r="AL13" i="3"/>
  <c r="AL9" i="3"/>
  <c r="AF15" i="3"/>
  <c r="AF17" i="3"/>
  <c r="BB8" i="3"/>
  <c r="BN8" i="3" s="1"/>
  <c r="Z10" i="3"/>
  <c r="AL12" i="3"/>
  <c r="BC9" i="3"/>
  <c r="BO9" i="3" s="1"/>
  <c r="AI9" i="3"/>
  <c r="AO12" i="3"/>
  <c r="AI10" i="3"/>
  <c r="AI16" i="3"/>
  <c r="P11" i="3"/>
  <c r="I18" i="3"/>
  <c r="M13" i="3"/>
  <c r="U13" i="3" s="1"/>
  <c r="V13" i="3" s="1"/>
  <c r="M17" i="3"/>
  <c r="N17" i="3" s="1"/>
  <c r="M11" i="3"/>
  <c r="U11" i="3" s="1"/>
  <c r="V11" i="3" s="1"/>
  <c r="P16" i="3"/>
  <c r="E16" i="3"/>
  <c r="O17" i="3"/>
  <c r="P17" i="3" s="1"/>
  <c r="E13" i="3"/>
  <c r="E17" i="3"/>
  <c r="E12" i="3"/>
  <c r="E15" i="3"/>
  <c r="Z12" i="3"/>
  <c r="Y18" i="3"/>
  <c r="Z7" i="3"/>
  <c r="AE18" i="3"/>
  <c r="AF7" i="3"/>
  <c r="AG18" i="3"/>
  <c r="U8" i="3"/>
  <c r="V8" i="3" s="1"/>
  <c r="S8" i="3"/>
  <c r="T8" i="3" s="1"/>
  <c r="X18" i="3"/>
  <c r="AL8" i="3"/>
  <c r="BC16" i="3"/>
  <c r="BO16" i="3" s="1"/>
  <c r="AA18" i="3"/>
  <c r="AN18" i="3"/>
  <c r="AO7" i="3"/>
  <c r="AF14" i="3"/>
  <c r="AC17" i="3"/>
  <c r="AB18" i="3"/>
  <c r="AI12" i="3"/>
  <c r="BC10" i="3"/>
  <c r="BO10" i="3" s="1"/>
  <c r="AI7" i="3"/>
  <c r="AO17" i="3"/>
  <c r="Z8" i="3"/>
  <c r="E7" i="3"/>
  <c r="F18" i="3"/>
  <c r="U7" i="3"/>
  <c r="AM18" i="3"/>
  <c r="AH18" i="3"/>
  <c r="AI18" i="3" s="1"/>
  <c r="AI11" i="3"/>
  <c r="AL15" i="3"/>
  <c r="Z15" i="3"/>
  <c r="Z16" i="3"/>
  <c r="AF8" i="3"/>
  <c r="Z11" i="3"/>
  <c r="AO13" i="3"/>
  <c r="Z14" i="3"/>
  <c r="AL14" i="3"/>
  <c r="AI17" i="3"/>
  <c r="AV18" i="3"/>
  <c r="R14" i="3"/>
  <c r="E14" i="3"/>
  <c r="AK18" i="3"/>
  <c r="AL7" i="3"/>
  <c r="E11" i="3"/>
  <c r="AL11" i="3"/>
  <c r="AL16" i="3"/>
  <c r="R10" i="3"/>
  <c r="AF10" i="3"/>
  <c r="AC15" i="3"/>
  <c r="AC16" i="3"/>
  <c r="AW18" i="3"/>
  <c r="AC13" i="3"/>
  <c r="M15" i="3"/>
  <c r="N15" i="3" s="1"/>
  <c r="AL17" i="3"/>
  <c r="AF9" i="3"/>
  <c r="AO11" i="3"/>
  <c r="AO14" i="3"/>
  <c r="Z17" i="3"/>
  <c r="M10" i="3"/>
  <c r="N10" i="3" s="1"/>
  <c r="BC11" i="3"/>
  <c r="BO11" i="3" s="1"/>
  <c r="AI14" i="3"/>
  <c r="AC12" i="3"/>
  <c r="AC7" i="3"/>
  <c r="AO8" i="3"/>
  <c r="AF16" i="3"/>
  <c r="P9" i="3"/>
  <c r="M9" i="3"/>
  <c r="N9" i="3" s="1"/>
  <c r="BC17" i="3"/>
  <c r="BO17" i="3" s="1"/>
  <c r="Z9" i="3"/>
  <c r="P12" i="3"/>
  <c r="M16" i="3"/>
  <c r="N16" i="3" s="1"/>
  <c r="AO9" i="3"/>
  <c r="AD18" i="3"/>
  <c r="AI13" i="3"/>
  <c r="M14" i="3"/>
  <c r="N14" i="3" s="1"/>
  <c r="AO15" i="3"/>
  <c r="D18" i="3"/>
  <c r="S27" i="1"/>
  <c r="T27" i="1" s="1"/>
  <c r="S4" i="1"/>
  <c r="T4" i="1" s="1"/>
  <c r="S19" i="1"/>
  <c r="T19" i="1" s="1"/>
  <c r="N32" i="1"/>
  <c r="N20" i="1"/>
  <c r="N8" i="1"/>
  <c r="S8" i="1" s="1"/>
  <c r="T8" i="1" s="1"/>
  <c r="O38" i="1"/>
  <c r="S38" i="1" s="1"/>
  <c r="T38" i="1" s="1"/>
  <c r="O26" i="1"/>
  <c r="S26" i="1" s="1"/>
  <c r="T26" i="1" s="1"/>
  <c r="O14" i="1"/>
  <c r="O2" i="1"/>
  <c r="O46" i="1" s="1"/>
  <c r="P32" i="1"/>
  <c r="P20" i="1"/>
  <c r="P8" i="1"/>
  <c r="O37" i="1"/>
  <c r="O25" i="1"/>
  <c r="P43" i="1"/>
  <c r="P31" i="1"/>
  <c r="P19" i="1"/>
  <c r="P7" i="1"/>
  <c r="P46" i="1" s="1"/>
  <c r="S11" i="1"/>
  <c r="T11" i="1" s="1"/>
  <c r="N42" i="1"/>
  <c r="N30" i="1"/>
  <c r="S30" i="1" s="1"/>
  <c r="T30" i="1" s="1"/>
  <c r="N18" i="1"/>
  <c r="N6" i="1"/>
  <c r="N46" i="1" s="1"/>
  <c r="O36" i="1"/>
  <c r="O24" i="1"/>
  <c r="O12" i="1"/>
  <c r="P42" i="1"/>
  <c r="P30" i="1"/>
  <c r="P18" i="1"/>
  <c r="S41" i="1"/>
  <c r="T41" i="1" s="1"/>
  <c r="S37" i="1"/>
  <c r="T37" i="1" s="1"/>
  <c r="M36" i="1"/>
  <c r="S36" i="1" s="1"/>
  <c r="T36" i="1" s="1"/>
  <c r="M43" i="1"/>
  <c r="S43" i="1" s="1"/>
  <c r="T43" i="1" s="1"/>
  <c r="M40" i="1"/>
  <c r="S40" i="1" s="1"/>
  <c r="T40" i="1" s="1"/>
  <c r="M35" i="1"/>
  <c r="S35" i="1" s="1"/>
  <c r="T35" i="1" s="1"/>
  <c r="M39" i="1"/>
  <c r="S39" i="1" s="1"/>
  <c r="T39" i="1" s="1"/>
  <c r="M42" i="1"/>
  <c r="S22" i="1"/>
  <c r="T22" i="1" s="1"/>
  <c r="S32" i="1"/>
  <c r="T32" i="1" s="1"/>
  <c r="M34" i="1"/>
  <c r="M18" i="1"/>
  <c r="S18" i="1" s="1"/>
  <c r="T18" i="1" s="1"/>
  <c r="M14" i="1"/>
  <c r="M22" i="1"/>
  <c r="M30" i="1"/>
  <c r="S10" i="1"/>
  <c r="T10" i="1" s="1"/>
  <c r="M10" i="1"/>
  <c r="S33" i="1"/>
  <c r="T33" i="1" s="1"/>
  <c r="M26" i="1"/>
  <c r="S21" i="1"/>
  <c r="T21" i="1" s="1"/>
  <c r="S15" i="1"/>
  <c r="T15" i="1" s="1"/>
  <c r="S23" i="1"/>
  <c r="T23" i="1" s="1"/>
  <c r="S31" i="1"/>
  <c r="T31" i="1" s="1"/>
  <c r="L34" i="1"/>
  <c r="M9" i="1"/>
  <c r="M13" i="1"/>
  <c r="M25" i="1"/>
  <c r="M29" i="1"/>
  <c r="S29" i="1" s="1"/>
  <c r="T29" i="1" s="1"/>
  <c r="M33" i="1"/>
  <c r="S9" i="1"/>
  <c r="T9" i="1" s="1"/>
  <c r="S13" i="1"/>
  <c r="T13" i="1" s="1"/>
  <c r="S17" i="1"/>
  <c r="T17" i="1" s="1"/>
  <c r="M8" i="1"/>
  <c r="M12" i="1"/>
  <c r="S12" i="1" s="1"/>
  <c r="T12" i="1" s="1"/>
  <c r="M16" i="1"/>
  <c r="S16" i="1" s="1"/>
  <c r="T16" i="1" s="1"/>
  <c r="M20" i="1"/>
  <c r="S20" i="1" s="1"/>
  <c r="T20" i="1" s="1"/>
  <c r="M24" i="1"/>
  <c r="M28" i="1"/>
  <c r="S28" i="1" s="1"/>
  <c r="T28" i="1" s="1"/>
  <c r="M32" i="1"/>
  <c r="M17" i="1"/>
  <c r="S25" i="1"/>
  <c r="T25" i="1" s="1"/>
  <c r="M7" i="1"/>
  <c r="S7" i="1" s="1"/>
  <c r="T7" i="1" s="1"/>
  <c r="M6" i="1"/>
  <c r="S6" i="1" s="1"/>
  <c r="T6" i="1" s="1"/>
  <c r="S3" i="1"/>
  <c r="T3" i="1" s="1"/>
  <c r="M2" i="1"/>
  <c r="M5" i="1"/>
  <c r="S5" i="1" s="1"/>
  <c r="T5" i="1" s="1"/>
  <c r="M3" i="1"/>
  <c r="BB9" i="3" l="1"/>
  <c r="BN9" i="3" s="1"/>
  <c r="AL18" i="3"/>
  <c r="N11" i="3"/>
  <c r="N12" i="3"/>
  <c r="S17" i="3"/>
  <c r="T17" i="3" s="1"/>
  <c r="S12" i="3"/>
  <c r="T12" i="3" s="1"/>
  <c r="U17" i="3"/>
  <c r="V17" i="3" s="1"/>
  <c r="S11" i="3"/>
  <c r="T11" i="3" s="1"/>
  <c r="BC8" i="3"/>
  <c r="BO8" i="3" s="1"/>
  <c r="BB13" i="3"/>
  <c r="BN13" i="3" s="1"/>
  <c r="R18" i="3"/>
  <c r="Q18" i="3" s="1"/>
  <c r="BB10" i="3"/>
  <c r="BN10" i="3" s="1"/>
  <c r="U16" i="3"/>
  <c r="V16" i="3" s="1"/>
  <c r="AF18" i="3"/>
  <c r="AO18" i="3"/>
  <c r="N13" i="3"/>
  <c r="S13" i="3"/>
  <c r="T13" i="3" s="1"/>
  <c r="S16" i="3"/>
  <c r="T16" i="3" s="1"/>
  <c r="S7" i="3"/>
  <c r="T7" i="3" s="1"/>
  <c r="V7" i="3"/>
  <c r="S14" i="3"/>
  <c r="T14" i="3" s="1"/>
  <c r="U14" i="3"/>
  <c r="V14" i="3" s="1"/>
  <c r="BG14" i="3"/>
  <c r="BS14" i="3" s="1"/>
  <c r="BA14" i="3"/>
  <c r="BM14" i="3" s="1"/>
  <c r="BA10" i="3"/>
  <c r="BM10" i="3" s="1"/>
  <c r="BG10" i="3"/>
  <c r="BS10" i="3" s="1"/>
  <c r="BB11" i="3"/>
  <c r="BN11" i="3" s="1"/>
  <c r="AY18" i="3"/>
  <c r="BC7" i="3"/>
  <c r="BA11" i="3"/>
  <c r="BM11" i="3" s="1"/>
  <c r="BG11" i="3"/>
  <c r="BS11" i="3" s="1"/>
  <c r="BG7" i="3"/>
  <c r="AZ18" i="3"/>
  <c r="BA7" i="3"/>
  <c r="BM7" i="3" s="1"/>
  <c r="P7" i="3"/>
  <c r="O18" i="3"/>
  <c r="P18" i="3" s="1"/>
  <c r="Z18" i="3"/>
  <c r="BC15" i="3"/>
  <c r="BO15" i="3" s="1"/>
  <c r="BB15" i="3"/>
  <c r="BN15" i="3" s="1"/>
  <c r="BA17" i="3"/>
  <c r="BM17" i="3" s="1"/>
  <c r="BG17" i="3"/>
  <c r="BS17" i="3" s="1"/>
  <c r="U15" i="3"/>
  <c r="V15" i="3" s="1"/>
  <c r="M18" i="3"/>
  <c r="N18" i="3" s="1"/>
  <c r="AC18" i="3"/>
  <c r="BB16" i="3"/>
  <c r="BN16" i="3" s="1"/>
  <c r="S15" i="3"/>
  <c r="T15" i="3" s="1"/>
  <c r="BG15" i="3"/>
  <c r="BS15" i="3" s="1"/>
  <c r="BA15" i="3"/>
  <c r="BM15" i="3" s="1"/>
  <c r="E18" i="3"/>
  <c r="BG8" i="3"/>
  <c r="BS8" i="3" s="1"/>
  <c r="BA8" i="3"/>
  <c r="BM8" i="3" s="1"/>
  <c r="S10" i="3"/>
  <c r="T10" i="3" s="1"/>
  <c r="U10" i="3"/>
  <c r="V10" i="3" s="1"/>
  <c r="BA16" i="3"/>
  <c r="BM16" i="3" s="1"/>
  <c r="BG16" i="3"/>
  <c r="BS16" i="3" s="1"/>
  <c r="BN14" i="3"/>
  <c r="BC14" i="3"/>
  <c r="BO14" i="3" s="1"/>
  <c r="BG13" i="3"/>
  <c r="BS13" i="3" s="1"/>
  <c r="BA13" i="3"/>
  <c r="BM13" i="3" s="1"/>
  <c r="BA9" i="3"/>
  <c r="BM9" i="3" s="1"/>
  <c r="BG9" i="3"/>
  <c r="BS9" i="3" s="1"/>
  <c r="BB12" i="3"/>
  <c r="BN12" i="3" s="1"/>
  <c r="BC12" i="3"/>
  <c r="BO12" i="3" s="1"/>
  <c r="U9" i="3"/>
  <c r="V9" i="3" s="1"/>
  <c r="S9" i="3"/>
  <c r="T9" i="3" s="1"/>
  <c r="BB17" i="3"/>
  <c r="BN17" i="3" s="1"/>
  <c r="BB7" i="3"/>
  <c r="BA12" i="3"/>
  <c r="BM12" i="3" s="1"/>
  <c r="BG12" i="3"/>
  <c r="BS12" i="3" s="1"/>
  <c r="S2" i="1"/>
  <c r="S42" i="1"/>
  <c r="T42" i="1" s="1"/>
  <c r="S24" i="1"/>
  <c r="T24" i="1" s="1"/>
  <c r="S14" i="1"/>
  <c r="T14" i="1" s="1"/>
  <c r="S34" i="1"/>
  <c r="T34" i="1" s="1"/>
  <c r="N19" i="3" l="1"/>
  <c r="AZ22" i="3"/>
  <c r="BA18" i="3"/>
  <c r="BM18" i="3" s="1"/>
  <c r="BF17" i="3"/>
  <c r="BR17" i="3" s="1"/>
  <c r="BE17" i="3"/>
  <c r="BQ17" i="3" s="1"/>
  <c r="BD17" i="3"/>
  <c r="BP17" i="3" s="1"/>
  <c r="BE11" i="3"/>
  <c r="BQ11" i="3" s="1"/>
  <c r="BF9" i="3"/>
  <c r="BR9" i="3" s="1"/>
  <c r="BF11" i="3"/>
  <c r="BR11" i="3" s="1"/>
  <c r="BD11" i="3"/>
  <c r="BF10" i="3"/>
  <c r="BR10" i="3" s="1"/>
  <c r="BE10" i="3"/>
  <c r="BQ10" i="3" s="1"/>
  <c r="BE7" i="3"/>
  <c r="BQ7" i="3" s="1"/>
  <c r="BD15" i="3"/>
  <c r="BE9" i="3"/>
  <c r="BQ9" i="3" s="1"/>
  <c r="BF7" i="3"/>
  <c r="BR7" i="3" s="1"/>
  <c r="BD10" i="3"/>
  <c r="BF12" i="3"/>
  <c r="BR12" i="3" s="1"/>
  <c r="BE8" i="3"/>
  <c r="BQ8" i="3" s="1"/>
  <c r="BD7" i="3"/>
  <c r="BD13" i="3"/>
  <c r="BE12" i="3"/>
  <c r="BQ12" i="3" s="1"/>
  <c r="BQ18" i="3"/>
  <c r="BD12" i="3"/>
  <c r="BP12" i="3" s="1"/>
  <c r="BD9" i="3"/>
  <c r="BE14" i="3"/>
  <c r="BQ14" i="3" s="1"/>
  <c r="BP18" i="3"/>
  <c r="BE15" i="3"/>
  <c r="BQ15" i="3" s="1"/>
  <c r="BF8" i="3"/>
  <c r="BR8" i="3" s="1"/>
  <c r="BD8" i="3"/>
  <c r="BF16" i="3"/>
  <c r="BR16" i="3" s="1"/>
  <c r="BE13" i="3"/>
  <c r="BQ13" i="3" s="1"/>
  <c r="BR18" i="3"/>
  <c r="BF15" i="3"/>
  <c r="BR15" i="3" s="1"/>
  <c r="BD16" i="3"/>
  <c r="BE16" i="3"/>
  <c r="BQ16" i="3" s="1"/>
  <c r="BF13" i="3"/>
  <c r="BR13" i="3" s="1"/>
  <c r="BF14" i="3"/>
  <c r="BR14" i="3" s="1"/>
  <c r="BD14" i="3"/>
  <c r="BP14" i="3" s="1"/>
  <c r="BS7" i="3"/>
  <c r="BG18" i="3"/>
  <c r="BS18" i="3" s="1"/>
  <c r="S18" i="3"/>
  <c r="T18" i="3" s="1"/>
  <c r="BO7" i="3"/>
  <c r="BC18" i="3"/>
  <c r="BO18" i="3" s="1"/>
  <c r="BB18" i="3"/>
  <c r="BN18" i="3" s="1"/>
  <c r="BN7" i="3"/>
  <c r="U18" i="3"/>
  <c r="V18" i="3" s="1"/>
  <c r="T2" i="1"/>
  <c r="S46" i="1"/>
  <c r="T46" i="1" s="1"/>
  <c r="BH12" i="3" l="1"/>
  <c r="BI12" i="3" s="1"/>
  <c r="BP7" i="3"/>
  <c r="BJ7" i="3"/>
  <c r="BP15" i="3"/>
  <c r="BJ15" i="3"/>
  <c r="BJ17" i="3"/>
  <c r="BJ14" i="3"/>
  <c r="BP8" i="3"/>
  <c r="BJ8" i="3"/>
  <c r="BH8" i="3"/>
  <c r="BP10" i="3"/>
  <c r="BJ10" i="3"/>
  <c r="BH10" i="3"/>
  <c r="BH14" i="3"/>
  <c r="BP9" i="3"/>
  <c r="BJ9" i="3"/>
  <c r="BH9" i="3"/>
  <c r="BH15" i="3"/>
  <c r="BP16" i="3"/>
  <c r="BH16" i="3"/>
  <c r="BJ16" i="3"/>
  <c r="BJ12" i="3"/>
  <c r="BP11" i="3"/>
  <c r="BH11" i="3"/>
  <c r="BJ11" i="3"/>
  <c r="BP13" i="3"/>
  <c r="BJ13" i="3"/>
  <c r="BH13" i="3"/>
  <c r="BH17" i="3"/>
  <c r="BT12" i="3" l="1"/>
  <c r="BK12" i="3"/>
  <c r="BU12" i="3"/>
  <c r="BK10" i="3"/>
  <c r="BU10" i="3"/>
  <c r="BK16" i="3"/>
  <c r="BU16" i="3"/>
  <c r="BI16" i="3"/>
  <c r="BT16" i="3"/>
  <c r="BT8" i="3"/>
  <c r="BI8" i="3"/>
  <c r="BK8" i="3"/>
  <c r="BU8" i="3"/>
  <c r="BI15" i="3"/>
  <c r="BT15" i="3"/>
  <c r="BI17" i="3"/>
  <c r="BT17" i="3"/>
  <c r="BI9" i="3"/>
  <c r="BT9" i="3"/>
  <c r="BU14" i="3"/>
  <c r="BK14" i="3"/>
  <c r="BI13" i="3"/>
  <c r="BT13" i="3"/>
  <c r="BK9" i="3"/>
  <c r="BU9" i="3"/>
  <c r="BK17" i="3"/>
  <c r="BU17" i="3"/>
  <c r="BU13" i="3"/>
  <c r="BK13" i="3"/>
  <c r="BU15" i="3"/>
  <c r="BK15" i="3"/>
  <c r="BT14" i="3"/>
  <c r="BI14" i="3"/>
  <c r="BK11" i="3"/>
  <c r="BU11" i="3"/>
  <c r="BJ18" i="3"/>
  <c r="BU7" i="3"/>
  <c r="BK7" i="3"/>
  <c r="BT11" i="3"/>
  <c r="BI11" i="3"/>
  <c r="BI7" i="3"/>
  <c r="BT7" i="3"/>
  <c r="BH18" i="3"/>
  <c r="BI10" i="3"/>
  <c r="BT10" i="3"/>
  <c r="BV11" i="3" l="1"/>
  <c r="BV15" i="3"/>
  <c r="BV12" i="3"/>
  <c r="BV7" i="3"/>
  <c r="BV9" i="3"/>
  <c r="BV8" i="3"/>
  <c r="BV16" i="3"/>
  <c r="BV13" i="3"/>
  <c r="BV17" i="3"/>
  <c r="BK18" i="3"/>
  <c r="BU18" i="3"/>
  <c r="BV14" i="3"/>
  <c r="BT18" i="3"/>
  <c r="BI18" i="3"/>
  <c r="BV10" i="3"/>
  <c r="BV1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<sst xmlns="http://schemas.openxmlformats.org/spreadsheetml/2006/main" count="171" uniqueCount="112">
  <si>
    <t>CODIGO</t>
  </si>
  <si>
    <t>PRODUCTO</t>
  </si>
  <si>
    <t>POTA ALAS FR C/P C/C (B) S/COD BL10 S20</t>
  </si>
  <si>
    <t>POTA ALAS FR C/P C/C &lt;0.5 BL10 S20</t>
  </si>
  <si>
    <t>POTA ALAS FR C/P C/C 0.5-1 BL10 S20</t>
  </si>
  <si>
    <t>POTA ALAS FR C/P C/C 1-2 BL10 S20  ENTERA</t>
  </si>
  <si>
    <t>POTA LABIOS FR S/COD BL10 S20</t>
  </si>
  <si>
    <t>POTA CONOS</t>
  </si>
  <si>
    <t xml:space="preserve">POTA FILETE C/M C/T FR 0.5-1.0 BL10 S20  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</si>
  <si>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</si>
  <si>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</si>
  <si>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</si>
  <si>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</si>
  <si>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</si>
  <si>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</si>
  <si>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>POTA FILETE C/M C/T FR 1.0 - 3.0 AA BL10 S20</t>
  </si>
  <si>
    <t>POTA FILETE C/M C/T FR 1-2 AA BL10 S20  JAPON</t>
  </si>
  <si>
    <t>POTA FILETE C/M C/T FR 1-2 AA BL10 S20  50% ROSADO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</si>
  <si>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</si>
  <si>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</si>
  <si>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</si>
  <si>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</si>
  <si>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</si>
  <si>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</si>
  <si>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</si>
  <si>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</si>
  <si>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</si>
  <si>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</si>
  <si>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</si>
  <si>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</si>
  <si>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</si>
  <si>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</si>
  <si>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</si>
  <si>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</si>
  <si>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</si>
  <si>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</si>
  <si>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</si>
  <si>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</si>
  <si>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</si>
  <si>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</si>
  <si>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</si>
  <si>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</si>
  <si>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</si>
  <si>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</si>
  <si>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FILETE CM CT PARA REPROCESO</t>
  </si>
  <si>
    <t>ALAS FR PARA REPROCESO</t>
  </si>
  <si>
    <t>TOTAL LIBRE</t>
  </si>
  <si>
    <t>TOTAL STOCK</t>
  </si>
  <si>
    <t>POR EMBARCAR</t>
  </si>
  <si>
    <t>STOCK LIBRE</t>
  </si>
  <si>
    <t>CÓDIGO</t>
  </si>
  <si>
    <t>CU X TM</t>
  </si>
  <si>
    <t>% MP</t>
  </si>
  <si>
    <t>incremento MP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</si>
  <si>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</si>
  <si>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</si>
  <si>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</si>
  <si>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</si>
  <si>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</si>
  <si>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</si>
  <si>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</si>
  <si>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</si>
  <si>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</si>
  <si>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</si>
  <si>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</si>
  <si>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Etiquetas de fila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</si>
  <si>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</si>
  <si>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</si>
  <si>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</si>
  <si>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</si>
  <si>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</si>
  <si>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</si>
  <si>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</si>
  <si>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</si>
  <si>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</si>
  <si>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</si>
  <si>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</si>
  <si>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</si>
  <si>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</si>
  <si>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</si>
  <si>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</si>
  <si>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</si>
  <si>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PERU FROST</t>
  </si>
  <si>
    <t>RENTABILIDAD DEL INVENTARIO</t>
  </si>
  <si>
    <t>TOTAL PROYECTADO JUNIO 2026</t>
  </si>
  <si>
    <t>UNITARIOS POR TM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</si>
  <si>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</si>
  <si>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</si>
  <si>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</si>
  <si>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</si>
  <si>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</si>
  <si>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</si>
  <si>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</si>
  <si>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</si>
  <si>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</si>
  <si>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</si>
  <si>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</si>
  <si>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</si>
  <si>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</si>
  <si>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</si>
  <si>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TM</t>
  </si>
  <si>
    <t>Venta</t>
  </si>
  <si>
    <t>Precio x TM</t>
  </si>
  <si>
    <t>Gasto Adm</t>
  </si>
  <si>
    <t>Drawback</t>
  </si>
  <si>
    <t>Utilidad 
Neta</t>
  </si>
  <si>
    <t>Mg Neto %</t>
  </si>
  <si>
    <t>MG 
EBITDA</t>
  </si>
  <si>
    <t>OTROS</t>
  </si>
  <si>
    <t>TOTAL</t>
  </si>
  <si>
    <t>flete x tm</t>
  </si>
  <si>
    <t>AVANCE COMERCIAL AL 22-6-2026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</si>
</sst>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7" formatCode="0.0%"/>
    <numFmt numFmtId="168" formatCode="_-* #,##0.0000_-;\-* #,##0.00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top"/>
    </xf>
    <xf numFmtId="164" fontId="6" fillId="0" borderId="0" xfId="0" applyNumberFormat="1" applyFont="1"/>
    <xf numFmtId="9" fontId="12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8" xfId="1" applyNumberFormat="1" applyFont="1" applyBorder="1"/>
    <xf numFmtId="165" fontId="12" fillId="0" borderId="0" xfId="1" applyNumberFormat="1" applyFont="1" applyBorder="1"/>
    <xf numFmtId="165" fontId="12" fillId="0" borderId="0" xfId="1" applyNumberFormat="1" applyFont="1"/>
    <xf numFmtId="165" fontId="12" fillId="0" borderId="0" xfId="1" applyNumberFormat="1" applyFont="1" applyAlignment="1">
      <alignment horizontal="center"/>
    </xf>
    <xf numFmtId="165" fontId="12" fillId="2" borderId="9" xfId="1" applyNumberFormat="1" applyFont="1" applyFill="1" applyBorder="1"/>
    <xf numFmtId="0" fontId="0" fillId="13" borderId="7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8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14" borderId="7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165" fontId="10" fillId="0" borderId="4" xfId="1" applyNumberFormat="1" applyFont="1" applyBorder="1"/>
    <xf numFmtId="165" fontId="10" fillId="0" borderId="5" xfId="1" applyNumberFormat="1" applyFont="1" applyBorder="1"/>
    <xf numFmtId="165" fontId="10" fillId="0" borderId="5" xfId="1" applyNumberFormat="1" applyFont="1" applyBorder="1" applyAlignment="1">
      <alignment horizontal="center"/>
    </xf>
    <xf numFmtId="165" fontId="10" fillId="2" borderId="6" xfId="1" applyNumberFormat="1" applyFont="1" applyFill="1" applyBorder="1"/>
    <xf numFmtId="165" fontId="6" fillId="2" borderId="2" xfId="1" applyNumberFormat="1" applyFont="1" applyFill="1" applyBorder="1" applyAlignment="1">
      <alignment horizontal="center" vertical="center"/>
    </xf>
    <xf numFmtId="165" fontId="6" fillId="9" borderId="2" xfId="1" applyNumberFormat="1" applyFont="1" applyFill="1" applyBorder="1" applyAlignment="1">
      <alignment horizontal="center" vertical="center"/>
    </xf>
    <xf numFmtId="165" fontId="6" fillId="10" borderId="2" xfId="1" applyNumberFormat="1" applyFont="1" applyFill="1" applyBorder="1" applyAlignment="1">
      <alignment horizontal="center" vertical="center"/>
    </xf>
    <xf numFmtId="165" fontId="8" fillId="10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65" fontId="5" fillId="2" borderId="2" xfId="1" applyNumberFormat="1" applyFont="1" applyFill="1" applyBorder="1" applyAlignment="1">
      <alignment horizontal="center" vertical="center"/>
    </xf>
    <xf numFmtId="165" fontId="5" fillId="9" borderId="2" xfId="1" applyNumberFormat="1" applyFont="1" applyFill="1" applyBorder="1" applyAlignment="1">
      <alignment horizontal="center" vertical="center"/>
    </xf>
    <xf numFmtId="165" fontId="5" fillId="10" borderId="2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1" xfId="0" applyBorder="1"/>
    <xf numFmtId="0" fontId="0" fillId="0" borderId="11" xfId="0" applyBorder="1" applyAlignment="1">
      <alignment vertical="top"/>
    </xf>
    <xf numFmtId="0" fontId="3" fillId="0" borderId="0" xfId="0" applyFont="1"/>
    <xf numFmtId="0" fontId="5" fillId="0" borderId="0" xfId="0" applyFont="1"/>
    <xf numFmtId="0" fontId="4" fillId="0" borderId="0" xfId="0" applyFont="1"/>
    <xf numFmtId="167" fontId="0" fillId="0" borderId="0" xfId="2" applyNumberFormat="1" applyFont="1"/>
    <xf numFmtId="43" fontId="0" fillId="0" borderId="0" xfId="0" applyNumberFormat="1"/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4" fillId="0" borderId="10" xfId="0" applyNumberFormat="1" applyFont="1" applyBorder="1" applyAlignment="1">
      <alignment horizontal="center"/>
    </xf>
    <xf numFmtId="16" fontId="4" fillId="0" borderId="7" xfId="0" applyNumberFormat="1" applyFont="1" applyBorder="1" applyAlignment="1">
      <alignment horizontal="center"/>
    </xf>
    <xf numFmtId="16" fontId="4" fillId="17" borderId="3" xfId="0" applyNumberFormat="1" applyFont="1" applyFill="1" applyBorder="1" applyAlignment="1">
      <alignment horizontal="center"/>
    </xf>
    <xf numFmtId="16" fontId="4" fillId="17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15" borderId="1" xfId="0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/>
    </xf>
    <xf numFmtId="165" fontId="0" fillId="11" borderId="16" xfId="1" applyNumberFormat="1" applyFont="1" applyFill="1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Border="1"/>
    <xf numFmtId="9" fontId="0" fillId="0" borderId="0" xfId="0" applyNumberFormat="1"/>
    <xf numFmtId="165" fontId="14" fillId="2" borderId="9" xfId="0" applyNumberFormat="1" applyFont="1" applyFill="1" applyBorder="1"/>
    <xf numFmtId="165" fontId="14" fillId="2" borderId="9" xfId="1" applyNumberFormat="1" applyFont="1" applyFill="1" applyBorder="1"/>
    <xf numFmtId="165" fontId="14" fillId="0" borderId="9" xfId="1" applyNumberFormat="1" applyFont="1" applyFill="1" applyBorder="1"/>
    <xf numFmtId="9" fontId="14" fillId="0" borderId="9" xfId="2" applyFont="1" applyFill="1" applyBorder="1" applyAlignment="1">
      <alignment horizontal="center"/>
    </xf>
    <xf numFmtId="165" fontId="0" fillId="0" borderId="3" xfId="1" applyNumberFormat="1" applyFont="1" applyBorder="1"/>
    <xf numFmtId="165" fontId="0" fillId="0" borderId="13" xfId="1" applyNumberFormat="1" applyFont="1" applyBorder="1"/>
    <xf numFmtId="165" fontId="0" fillId="17" borderId="3" xfId="1" applyNumberFormat="1" applyFont="1" applyFill="1" applyBorder="1"/>
    <xf numFmtId="165" fontId="0" fillId="17" borderId="11" xfId="1" applyNumberFormat="1" applyFont="1" applyFill="1" applyBorder="1"/>
    <xf numFmtId="165" fontId="0" fillId="17" borderId="0" xfId="1" applyNumberFormat="1" applyFont="1" applyFill="1" applyBorder="1"/>
    <xf numFmtId="9" fontId="0" fillId="17" borderId="3" xfId="2" applyFont="1" applyFill="1" applyBorder="1" applyAlignment="1">
      <alignment horizontal="center"/>
    </xf>
    <xf numFmtId="165" fontId="0" fillId="17" borderId="11" xfId="2" applyNumberFormat="1" applyFont="1" applyFill="1" applyBorder="1" applyAlignment="1">
      <alignment horizontal="center"/>
    </xf>
    <xf numFmtId="9" fontId="0" fillId="17" borderId="11" xfId="2" applyFont="1" applyFill="1" applyBorder="1" applyAlignment="1">
      <alignment horizontal="center"/>
    </xf>
    <xf numFmtId="165" fontId="0" fillId="2" borderId="2" xfId="0" applyNumberFormat="1" applyFill="1" applyBorder="1"/>
    <xf numFmtId="165" fontId="0" fillId="2" borderId="2" xfId="1" applyNumberFormat="1" applyFont="1" applyFill="1" applyBorder="1"/>
    <xf numFmtId="165" fontId="0" fillId="0" borderId="11" xfId="1" applyNumberFormat="1" applyFont="1" applyBorder="1"/>
    <xf numFmtId="165" fontId="14" fillId="8" borderId="9" xfId="1" applyNumberFormat="1" applyFont="1" applyFill="1" applyBorder="1"/>
    <xf numFmtId="9" fontId="14" fillId="8" borderId="9" xfId="2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11" borderId="18" xfId="0" applyNumberFormat="1" applyFont="1" applyFill="1" applyBorder="1" applyAlignment="1">
      <alignment horizontal="center"/>
    </xf>
    <xf numFmtId="165" fontId="4" fillId="11" borderId="19" xfId="1" applyNumberFormat="1" applyFont="1" applyFill="1" applyBorder="1" applyAlignment="1">
      <alignment horizontal="center"/>
    </xf>
    <xf numFmtId="165" fontId="4" fillId="0" borderId="5" xfId="1" applyNumberFormat="1" applyFont="1" applyBorder="1"/>
    <xf numFmtId="9" fontId="4" fillId="0" borderId="5" xfId="2" applyFont="1" applyBorder="1"/>
    <xf numFmtId="165" fontId="13" fillId="2" borderId="6" xfId="1" applyNumberFormat="1" applyFont="1" applyFill="1" applyBorder="1"/>
    <xf numFmtId="165" fontId="13" fillId="0" borderId="6" xfId="1" applyNumberFormat="1" applyFont="1" applyFill="1" applyBorder="1"/>
    <xf numFmtId="165" fontId="13" fillId="0" borderId="12" xfId="1" applyNumberFormat="1" applyFont="1" applyFill="1" applyBorder="1"/>
    <xf numFmtId="9" fontId="13" fillId="0" borderId="6" xfId="2" applyFont="1" applyFill="1" applyBorder="1" applyAlignment="1">
      <alignment horizontal="center"/>
    </xf>
    <xf numFmtId="165" fontId="4" fillId="0" borderId="1" xfId="0" applyNumberFormat="1" applyFont="1" applyBorder="1"/>
    <xf numFmtId="165" fontId="4" fillId="0" borderId="2" xfId="1" applyNumberFormat="1" applyFont="1" applyBorder="1"/>
    <xf numFmtId="165" fontId="4" fillId="17" borderId="2" xfId="0" applyNumberFormat="1" applyFont="1" applyFill="1" applyBorder="1"/>
    <xf numFmtId="165" fontId="4" fillId="17" borderId="10" xfId="1" applyNumberFormat="1" applyFont="1" applyFill="1" applyBorder="1"/>
    <xf numFmtId="165" fontId="4" fillId="17" borderId="2" xfId="1" applyNumberFormat="1" applyFont="1" applyFill="1" applyBorder="1"/>
    <xf numFmtId="9" fontId="4" fillId="17" borderId="1" xfId="2" applyFont="1" applyFill="1" applyBorder="1" applyAlignment="1">
      <alignment horizontal="center"/>
    </xf>
    <xf numFmtId="9" fontId="4" fillId="17" borderId="2" xfId="2" applyFont="1" applyFill="1" applyBorder="1" applyAlignment="1">
      <alignment horizontal="center"/>
    </xf>
    <xf numFmtId="165" fontId="4" fillId="2" borderId="2" xfId="0" applyNumberFormat="1" applyFont="1" applyFill="1" applyBorder="1"/>
    <xf numFmtId="165" fontId="4" fillId="2" borderId="2" xfId="1" applyNumberFormat="1" applyFont="1" applyFill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168" fontId="0" fillId="0" borderId="0" xfId="1" applyNumberFormat="1" applyFont="1" applyFill="1" applyBorder="1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center"/>
    </xf>
    <xf numFmtId="165" fontId="3" fillId="0" borderId="0" xfId="1" applyNumberFormat="1" applyFont="1"/>
    <xf numFmtId="3" fontId="0" fillId="0" borderId="0" xfId="0" applyNumberFormat="1"/>
    <xf numFmtId="4" fontId="0" fillId="0" borderId="0" xfId="0" applyNumberFormat="1"/>
    <xf numFmtId="9" fontId="0" fillId="0" borderId="0" xfId="2" applyFont="1"/>
    <xf numFmtId="0" fontId="4" fillId="0" borderId="0" xfId="0" applyFont="1" applyAlignment="1">
      <alignment horizontal="right"/>
    </xf>
    <xf numFmtId="165" fontId="4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Ajuste%20Stock%20Abril%202026%20v2.xlsx" TargetMode="External"/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/Users/rodrigom/Documents/Ajuste%20Stock%20Abril%202026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Inventario%20PT%20y%20Avance%20Comercial%20al%2015-6-2026.xlsx" TargetMode="External"/><Relationship Id="rId2" Type="http://schemas.openxmlformats.org/officeDocument/2006/relationships/externalLinkPath" Target="file:///C:\Users\rodrigom\Documents\Inventario%20PT%20y%20Avance%20Comercial%20al%2015-6-2026.xlsx" TargetMode="External"/><Relationship Id="rId1" Type="http://schemas.openxmlformats.org/officeDocument/2006/relationships/externalLinkPath" Target="/Users/rodrigom/Documents/Inventario%20PT%20y%20Avance%20Comercial%20al%2015-6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RESUMEN%20VENTAS%20EXPORTACION%202025%20al%2022-6-2026.xlsx" TargetMode="External"/><Relationship Id="rId2" Type="http://schemas.openxmlformats.org/officeDocument/2006/relationships/externalLinkPath" Target="file:///C:\Users\rodrigom\Documents\RESUMEN%20VENTAS%20EXPORTACION%202025%20al%2022-6-2026.xlsx" TargetMode="External"/><Relationship Id="rId1" Type="http://schemas.openxmlformats.org/officeDocument/2006/relationships/externalLinkPath" Target="/Users/rodrigom/Documents/RESUMEN%20VENTAS%20EXPORTACION%202025%20al%2022-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C3"/>
          <cell r="K3">
            <v>2126.230658279324</v>
          </cell>
        </row>
        <row r="4">
          <cell r="C4"/>
          <cell r="K4">
            <v>2094.6361169260049</v>
          </cell>
        </row>
        <row r="5">
          <cell r="C5"/>
          <cell r="K5">
            <v>1946.6202776142766</v>
          </cell>
        </row>
        <row r="6">
          <cell r="C6"/>
          <cell r="K6">
            <v>2025.3424461865532</v>
          </cell>
        </row>
        <row r="7">
          <cell r="C7"/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C9"/>
          <cell r="K9">
            <v>1974.7197869741549</v>
          </cell>
        </row>
        <row r="10">
          <cell r="C10"/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C12"/>
          <cell r="K12">
            <v>1782.56409434187</v>
          </cell>
        </row>
        <row r="13">
          <cell r="C13"/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C16"/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C21"/>
          <cell r="K21">
            <v>1931.1280065442866</v>
          </cell>
        </row>
        <row r="22">
          <cell r="C22"/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C26"/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C30"/>
          <cell r="K30">
            <v>1788.7115084478587</v>
          </cell>
        </row>
        <row r="31">
          <cell r="C31"/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C36"/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C44"/>
          <cell r="K44">
            <v>1504.539234144622</v>
          </cell>
        </row>
        <row r="45">
          <cell r="C45"/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C48"/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C55"/>
          <cell r="K55">
            <v>1849.5051020408164</v>
          </cell>
        </row>
        <row r="56">
          <cell r="C56"/>
          <cell r="K56">
            <v>1784.0206279313234</v>
          </cell>
        </row>
        <row r="57">
          <cell r="C57"/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C61"/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 AL 15-6-2026"/>
      <sheetName val="TD"/>
      <sheetName val="Stock Libre"/>
    </sheetNames>
    <sheetDataSet>
      <sheetData sheetId="0"/>
      <sheetData sheetId="1"/>
      <sheetData sheetId="2">
        <row r="47">
          <cell r="H47">
            <v>2.8244285114873775</v>
          </cell>
        </row>
        <row r="61">
          <cell r="N61">
            <v>78579.000000000015</v>
          </cell>
          <cell r="O61">
            <v>154473.00000000003</v>
          </cell>
          <cell r="P61">
            <v>123484.35000000002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lle1"/>
      <sheetName val="FLETES"/>
      <sheetName val="Hoja1"/>
      <sheetName val="Hoja2"/>
      <sheetName val="2026"/>
      <sheetName val="PROGRAMACION"/>
      <sheetName val="2025 TOTAS FP"/>
      <sheetName val="EECC GLOBAL"/>
      <sheetName val="FP CHINA"/>
      <sheetName val="Tabla"/>
      <sheetName val="VARIOS CHINA"/>
    </sheetNames>
    <sheetDataSet>
      <sheetData sheetId="0" refreshError="1"/>
      <sheetData sheetId="1" refreshError="1"/>
      <sheetData sheetId="2" refreshError="1"/>
      <sheetData sheetId="3">
        <row r="6">
          <cell r="F6">
            <v>46174</v>
          </cell>
          <cell r="I6">
            <v>26</v>
          </cell>
          <cell r="J6">
            <v>36400</v>
          </cell>
          <cell r="K6" t="str">
            <v>OTROS</v>
          </cell>
        </row>
        <row r="7">
          <cell r="F7">
            <v>46182</v>
          </cell>
          <cell r="I7">
            <v>26.28</v>
          </cell>
          <cell r="J7">
            <v>113004</v>
          </cell>
          <cell r="K7" t="str">
            <v>POTA ALAS COCIDAS</v>
          </cell>
        </row>
        <row r="8">
          <cell r="F8">
            <v>46182</v>
          </cell>
          <cell r="I8">
            <v>22.5</v>
          </cell>
          <cell r="J8">
            <v>29250</v>
          </cell>
          <cell r="K8" t="str">
            <v>POTA NUCAS CONGELADAS</v>
          </cell>
        </row>
        <row r="9">
          <cell r="F9">
            <v>46185</v>
          </cell>
          <cell r="I9">
            <v>69</v>
          </cell>
          <cell r="J9">
            <v>144900</v>
          </cell>
          <cell r="K9" t="str">
            <v>POTA ALAS CONGELADAS</v>
          </cell>
        </row>
        <row r="10">
          <cell r="F10">
            <v>46185</v>
          </cell>
          <cell r="I10">
            <v>108</v>
          </cell>
          <cell r="J10">
            <v>421200</v>
          </cell>
          <cell r="K10" t="str">
            <v>POTA FILETE DARUMA</v>
          </cell>
        </row>
        <row r="11">
          <cell r="F11">
            <v>46185</v>
          </cell>
          <cell r="I11">
            <v>27</v>
          </cell>
          <cell r="J11">
            <v>82350</v>
          </cell>
          <cell r="K11" t="str">
            <v>POTA REJOS CONGELADOS</v>
          </cell>
        </row>
        <row r="12">
          <cell r="F12">
            <v>46188</v>
          </cell>
          <cell r="I12">
            <v>26</v>
          </cell>
          <cell r="J12">
            <v>67600</v>
          </cell>
          <cell r="K12" t="str">
            <v>POTA REJOS CONGELADOS</v>
          </cell>
        </row>
        <row r="13">
          <cell r="F13">
            <v>46192</v>
          </cell>
          <cell r="I13">
            <v>54</v>
          </cell>
          <cell r="J13">
            <v>232200</v>
          </cell>
          <cell r="K13" t="str">
            <v>POTA ALAS COCIDAS</v>
          </cell>
        </row>
        <row r="14">
          <cell r="F14">
            <v>46192</v>
          </cell>
          <cell r="I14">
            <v>27</v>
          </cell>
          <cell r="J14">
            <v>59400</v>
          </cell>
          <cell r="K14" t="str">
            <v>POTA ALAS CONGELADAS</v>
          </cell>
        </row>
        <row r="15">
          <cell r="F15">
            <v>46192</v>
          </cell>
          <cell r="I15">
            <v>27</v>
          </cell>
          <cell r="J15">
            <v>46710</v>
          </cell>
          <cell r="K15" t="str">
            <v>POTA CONOS</v>
          </cell>
        </row>
        <row r="16">
          <cell r="F16">
            <v>46192</v>
          </cell>
          <cell r="I16">
            <v>54</v>
          </cell>
          <cell r="J16">
            <v>109080</v>
          </cell>
          <cell r="K16" t="str">
            <v>POTA FILETE CONGELADO</v>
          </cell>
        </row>
        <row r="17">
          <cell r="F17">
            <v>46195</v>
          </cell>
          <cell r="I17">
            <v>48</v>
          </cell>
          <cell r="J17">
            <v>81600</v>
          </cell>
          <cell r="K17" t="str">
            <v>POTA FILETE CONGELADO</v>
          </cell>
        </row>
        <row r="18">
          <cell r="F18">
            <v>46195</v>
          </cell>
          <cell r="I18">
            <v>52</v>
          </cell>
          <cell r="J18">
            <v>135200</v>
          </cell>
          <cell r="K18" t="str">
            <v>POTA REJOS CONGELADOS</v>
          </cell>
        </row>
        <row r="19">
          <cell r="F19">
            <v>46195</v>
          </cell>
          <cell r="I19">
            <v>27</v>
          </cell>
          <cell r="J19">
            <v>73710</v>
          </cell>
          <cell r="K19" t="str">
            <v>POTA REPRODUCTORES</v>
          </cell>
        </row>
        <row r="20">
          <cell r="F20">
            <v>46196</v>
          </cell>
          <cell r="I20">
            <v>27</v>
          </cell>
          <cell r="J20">
            <v>116100</v>
          </cell>
          <cell r="K20" t="str">
            <v>POTA ALAS COCIDAS</v>
          </cell>
        </row>
        <row r="21">
          <cell r="F21">
            <v>46196</v>
          </cell>
          <cell r="I21">
            <v>27</v>
          </cell>
          <cell r="J21">
            <v>54540</v>
          </cell>
          <cell r="K21" t="str">
            <v>POTA FILETE CONGELADO</v>
          </cell>
        </row>
        <row r="22">
          <cell r="F22">
            <v>46199</v>
          </cell>
          <cell r="I22">
            <v>54</v>
          </cell>
          <cell r="J22">
            <v>213300</v>
          </cell>
          <cell r="K22" t="str">
            <v>POTA ALAS COCIDAS</v>
          </cell>
        </row>
        <row r="23">
          <cell r="F23">
            <v>46199</v>
          </cell>
          <cell r="I23">
            <v>162</v>
          </cell>
          <cell r="J23">
            <v>638550</v>
          </cell>
          <cell r="K23" t="str">
            <v>POTA FILETE DARUMA</v>
          </cell>
        </row>
        <row r="24">
          <cell r="F24">
            <v>46199</v>
          </cell>
          <cell r="I24">
            <v>26</v>
          </cell>
          <cell r="J24">
            <v>35100</v>
          </cell>
          <cell r="K24" t="str">
            <v>POTA NUCAS CONGELADAS</v>
          </cell>
        </row>
        <row r="25">
          <cell r="F25">
            <v>46203</v>
          </cell>
          <cell r="I25">
            <v>54</v>
          </cell>
          <cell r="J25">
            <v>213300</v>
          </cell>
          <cell r="K25" t="str">
            <v>POTA FILETE DARUMA</v>
          </cell>
        </row>
        <row r="26">
          <cell r="F26">
            <v>46203</v>
          </cell>
          <cell r="I26">
            <v>162</v>
          </cell>
          <cell r="J26">
            <v>437400</v>
          </cell>
          <cell r="K26" t="str">
            <v>POTA REJOS CONGELADOS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95.696032638887" createdVersion="8" refreshedVersion="8" minRefreshableVersion="3" recordCount="42" xr:uid="{5B983BE8-ABFA-451C-A05B-909C6ADEED78}">
  <cacheSource type="worksheet">
    <worksheetSource ref="G1:T43" sheet="Stock Libre"/>
  </cacheSource>
  <cacheFields count="14">
    <cacheField name="CÓDIGO" numFmtId="0">
      <sharedItems containsSemiMixedTypes="0" containsString="0" containsNumber="1" containsInteger="1" minValue="10005721" maxValue="10009386" count="11">
        <n v="10006719"/>
        <n v="10009207"/>
        <n v="10007969"/>
        <n v="10005721"/>
        <n v="10005779"/>
        <n v="10007567"/>
        <n v="10007162"/>
        <n v="10009386"/>
        <n v="10009239"/>
        <n v="10009334"/>
        <n v="10007050"/>
      </sharedItems>
    </cacheField>
    <cacheField name="CU X TM" numFmtId="164">
      <sharedItems containsSemiMixedTypes="0" containsString="0" containsNumber="1" minValue="1.3685038142857144" maxValue="3.2548777446902504"/>
    </cacheField>
    <cacheField name="% MP" numFmtId="9">
      <sharedItems containsSemiMixedTypes="0" containsString="0" containsNumber="1" minValue="0.56000000000000005" maxValue="0.71"/>
    </cacheField>
    <cacheField name="incremento MP" numFmtId="9">
      <sharedItems containsSemiMixedTypes="0" containsString="0" containsNumber="1" minValue="-7.0000000000000007E-2" maxValue="-7.0000000000000007E-2"/>
    </cacheField>
    <cacheField name="TM en Stock" numFmtId="165">
      <sharedItems containsSemiMixedTypes="0" containsString="0" containsNumber="1" minValue="0" maxValue="530.41999999999996"/>
    </cacheField>
    <cacheField name="Costo Ventas" numFmtId="165">
      <sharedItems containsSemiMixedTypes="0" containsString="0" containsNumber="1" minValue="0" maxValue="1052664.1980015268"/>
    </cacheField>
    <cacheField name="Gasto Ventas" numFmtId="165">
      <sharedItems containsSemiMixedTypes="0" containsString="0" containsNumber="1" minValue="0" maxValue="110242.49279999999"/>
    </cacheField>
    <cacheField name="Gasto ADM" numFmtId="165">
      <sharedItems containsSemiMixedTypes="0" containsString="0" containsNumber="1" minValue="0" maxValue="31812.665860661931"/>
    </cacheField>
    <cacheField name="Gasto Fin" numFmtId="165">
      <sharedItems containsSemiMixedTypes="0" containsString="0" containsNumber="1" minValue="0" maxValue="62538.310916326627"/>
    </cacheField>
    <cacheField name="Depreciación" numFmtId="165">
      <sharedItems containsSemiMixedTypes="0" containsString="0" containsNumber="1" minValue="0" maxValue="49992.572641176761"/>
    </cacheField>
    <cacheField name="Utilidad Neta" numFmtId="165">
      <sharedItems containsSemiMixedTypes="0" containsString="0" containsNumber="1" containsInteger="1" minValue="0" maxValue="0"/>
    </cacheField>
    <cacheField name="Margen Neto" numFmtId="165">
      <sharedItems containsSemiMixedTypes="0" containsString="0" containsNumber="1" containsInteger="1" minValue="0" maxValue="0"/>
    </cacheField>
    <cacheField name="Venta Equilibrio" numFmtId="165">
      <sharedItems containsSemiMixedTypes="0" containsString="0" containsNumber="1" minValue="0" maxValue="1257257.6675785154"/>
    </cacheField>
    <cacheField name="Precio Equilibrio x TM" numFmtId="165">
      <sharedItems containsSemiMixedTypes="0" containsString="0" containsNumber="1" minValue="0" maxValue="3210.1482610763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1.8826723610599079"/>
    <n v="0.71"/>
    <n v="-7.0000000000000007E-2"/>
    <n v="13.6"/>
    <n v="25604.344110414746"/>
    <n v="2826.6239999999998"/>
    <n v="815.67862393009739"/>
    <n v="1603.4859704800765"/>
    <n v="1281.812503148456"/>
    <n v="0"/>
    <n v="0"/>
    <n v="30850.132704824919"/>
    <n v="2268.392110648891"/>
  </r>
  <r>
    <x v="0"/>
    <n v="1.8826723610599079"/>
    <n v="0.71"/>
    <n v="-7.0000000000000007E-2"/>
    <n v="3.28"/>
    <n v="6175.1653442764982"/>
    <n v="681.71519999999998"/>
    <n v="196.72249165372938"/>
    <n v="386.72308699813613"/>
    <n v="309.14301546521585"/>
    <n v="0"/>
    <n v="0"/>
    <n v="7440.3261229283635"/>
    <n v="2268.3921106488915"/>
  </r>
  <r>
    <x v="0"/>
    <n v="1.8826723610599079"/>
    <n v="0.71"/>
    <n v="-7.0000000000000007E-2"/>
    <n v="15.28"/>
    <n v="28767.233676995391"/>
    <n v="3175.7952"/>
    <n v="916.43892453322712"/>
    <n v="1801.5636491864389"/>
    <n v="1440.1540476550299"/>
    <n v="0"/>
    <n v="0"/>
    <n v="34661.031450715062"/>
    <n v="2268.3921106488915"/>
  </r>
  <r>
    <x v="0"/>
    <n v="1.8826723610599079"/>
    <n v="0.71"/>
    <n v="-7.0000000000000007E-2"/>
    <n v="35.119999999999997"/>
    <n v="66119.453320423956"/>
    <n v="7299.3407999999999"/>
    <n v="2106.3700935606635"/>
    <n v="4140.7667120044325"/>
    <n v="3310.0922875421888"/>
    <n v="0"/>
    <n v="0"/>
    <n v="79665.930925989058"/>
    <n v="2268.3921106488915"/>
  </r>
  <r>
    <x v="1"/>
    <n v="1.4168704986990337"/>
    <n v="0.71"/>
    <n v="-7.0000000000000007E-2"/>
    <n v="11.4"/>
    <n v="16152.323685168984"/>
    <n v="2369.3760000000002"/>
    <n v="683.73061123552293"/>
    <n v="1344.0985340788877"/>
    <n v="1074.4604805803235"/>
    <n v="0"/>
    <n v="0"/>
    <n v="20549.528830483392"/>
    <n v="1802.5902482880167"/>
  </r>
  <r>
    <x v="2"/>
    <n v="1.3685038142857144"/>
    <n v="0.71"/>
    <n v="-7.0000000000000007E-2"/>
    <n v="34.46"/>
    <n v="47158.641440285719"/>
    <n v="7162.1664000000001"/>
    <n v="2066.7856897522911"/>
    <n v="4062.9504810840767"/>
    <n v="3247.8866807717495"/>
    <n v="0"/>
    <n v="0"/>
    <n v="60450.544011122089"/>
    <n v="1754.2235638746979"/>
  </r>
  <r>
    <x v="3"/>
    <n v="1.9845861732240995"/>
    <n v="0.67"/>
    <n v="-7.0000000000000007E-2"/>
    <n v="1.4"/>
    <n v="2778.420642513739"/>
    <n v="290.976"/>
    <n v="83.966917169274737"/>
    <n v="165.064732255302"/>
    <n v="131.95128708881163"/>
    <n v="0"/>
    <n v="0"/>
    <n v="3318.4282919383159"/>
    <n v="2370.3059228130828"/>
  </r>
  <r>
    <x v="3"/>
    <n v="1.9845861732240995"/>
    <n v="0.67"/>
    <n v="-7.0000000000000007E-2"/>
    <n v="0"/>
    <n v="0"/>
    <n v="0"/>
    <n v="0"/>
    <n v="0"/>
    <n v="0"/>
    <n v="0"/>
    <n v="0"/>
    <n v="0"/>
    <n v="0"/>
  </r>
  <r>
    <x v="3"/>
    <n v="1.9845861732240995"/>
    <n v="0.67"/>
    <n v="-7.0000000000000007E-2"/>
    <n v="0"/>
    <n v="0"/>
    <n v="0"/>
    <n v="0"/>
    <n v="0"/>
    <n v="0"/>
    <n v="0"/>
    <n v="0"/>
    <n v="0"/>
    <n v="0"/>
  </r>
  <r>
    <x v="3"/>
    <n v="1.9845861732240995"/>
    <n v="0.67"/>
    <n v="-7.0000000000000007E-2"/>
    <n v="14.4"/>
    <n v="28578.040894427035"/>
    <n v="2992.8960000000002"/>
    <n v="863.65971945539729"/>
    <n v="1697.8086746259635"/>
    <n v="1357.2132386277769"/>
    <n v="0"/>
    <n v="0"/>
    <n v="34132.405288508395"/>
    <n v="2370.3059228130828"/>
  </r>
  <r>
    <x v="3"/>
    <n v="1.9845861732240995"/>
    <n v="0.67"/>
    <n v="-7.0000000000000007E-2"/>
    <n v="1.08"/>
    <n v="2143.3530670820278"/>
    <n v="224.46720000000002"/>
    <n v="64.774478959154806"/>
    <n v="127.33565059694727"/>
    <n v="101.79099289708327"/>
    <n v="0"/>
    <n v="0"/>
    <n v="2559.9303966381299"/>
    <n v="2370.3059228130833"/>
  </r>
  <r>
    <x v="3"/>
    <n v="1.9845861732240995"/>
    <n v="0.67"/>
    <n v="-7.0000000000000007E-2"/>
    <n v="530.41999999999996"/>
    <n v="1052664.1980015268"/>
    <n v="110242.49279999999"/>
    <n v="31812.665860661931"/>
    <n v="62538.310916326627"/>
    <n v="49992.572641176761"/>
    <n v="0"/>
    <n v="0"/>
    <n v="1257257.6675785154"/>
    <n v="2370.3059228130828"/>
  </r>
  <r>
    <x v="3"/>
    <n v="1.9845861732240995"/>
    <n v="0.67"/>
    <n v="-7.0000000000000007E-2"/>
    <n v="11.34"/>
    <n v="22505.207204361286"/>
    <n v="2356.9056"/>
    <n v="680.13202907112532"/>
    <n v="1337.0243312679463"/>
    <n v="1068.8054254193744"/>
    <n v="0"/>
    <n v="0"/>
    <n v="26879.269164700356"/>
    <n v="2370.3059228130824"/>
  </r>
  <r>
    <x v="3"/>
    <n v="1.9845861732240995"/>
    <n v="0.67"/>
    <n v="-7.0000000000000007E-2"/>
    <n v="0"/>
    <n v="0"/>
    <n v="0"/>
    <n v="0"/>
    <n v="0"/>
    <n v="0"/>
    <n v="0"/>
    <n v="0"/>
    <n v="0"/>
    <n v="0"/>
  </r>
  <r>
    <x v="3"/>
    <n v="1.9845861732240995"/>
    <n v="0.67"/>
    <n v="-7.0000000000000007E-2"/>
    <n v="0"/>
    <n v="0"/>
    <n v="0"/>
    <n v="0"/>
    <n v="0"/>
    <n v="0"/>
    <n v="0"/>
    <n v="0"/>
    <n v="0"/>
    <n v="0"/>
  </r>
  <r>
    <x v="3"/>
    <n v="1.9845861732240995"/>
    <n v="0.67"/>
    <n v="-7.0000000000000007E-2"/>
    <n v="29.72"/>
    <n v="58981.901068220235"/>
    <n v="6177.0047999999997"/>
    <n v="1782.4976987648893"/>
    <n v="3504.0884590196965"/>
    <n v="2801.1373230567729"/>
    <n v="0"/>
    <n v="0"/>
    <n v="70445.492026004824"/>
    <n v="2370.3059228130828"/>
  </r>
  <r>
    <x v="3"/>
    <n v="1.9845861732240995"/>
    <n v="0.67"/>
    <n v="-7.0000000000000007E-2"/>
    <n v="3.2"/>
    <n v="6350.6757543171188"/>
    <n v="665.08800000000008"/>
    <n v="191.9243821011994"/>
    <n v="377.29081658354744"/>
    <n v="301.60294191728377"/>
    <n v="0"/>
    <n v="0"/>
    <n v="7584.9789530018661"/>
    <n v="2370.3059228130828"/>
  </r>
  <r>
    <x v="4"/>
    <n v="1.622010395638348"/>
    <n v="0.65"/>
    <n v="-7.0000000000000007E-2"/>
    <n v="95.2"/>
    <n v="154415.38966477074"/>
    <n v="19786.368000000002"/>
    <n v="5709.7503675106818"/>
    <n v="11224.401793360537"/>
    <n v="8972.6875220391921"/>
    <n v="0"/>
    <n v="0"/>
    <n v="191135.90982564198"/>
    <n v="2007.7301452273316"/>
  </r>
  <r>
    <x v="4"/>
    <n v="1.622010395638348"/>
    <n v="0.65"/>
    <n v="-7.0000000000000007E-2"/>
    <n v="40.1"/>
    <n v="65042.616865097756"/>
    <n v="8334.384"/>
    <n v="2405.0524132056548"/>
    <n v="4727.9255453125788"/>
    <n v="3779.461865900962"/>
    <n v="0"/>
    <n v="0"/>
    <n v="80509.978823615995"/>
    <n v="2007.7301452273314"/>
  </r>
  <r>
    <x v="4"/>
    <n v="1.622010395638348"/>
    <n v="0.65"/>
    <n v="-7.0000000000000007E-2"/>
    <n v="1.04"/>
    <n v="1686.8908114638821"/>
    <n v="216.15360000000001"/>
    <n v="62.375424182889809"/>
    <n v="122.61951538965292"/>
    <n v="98.02095612311723"/>
    <n v="0"/>
    <n v="0"/>
    <n v="2088.0393510364252"/>
    <n v="2007.7301452273318"/>
  </r>
  <r>
    <x v="4"/>
    <n v="1.622010395638348"/>
    <n v="0.65"/>
    <n v="-7.0000000000000007E-2"/>
    <n v="48.96"/>
    <n v="79413.628970453516"/>
    <n v="10175.8464"/>
    <n v="2936.4430461483507"/>
    <n v="5772.5494937282756"/>
    <n v="4614.5250113344418"/>
    <n v="0"/>
    <n v="0"/>
    <n v="98298.467910330146"/>
    <n v="2007.7301452273314"/>
  </r>
  <r>
    <x v="4"/>
    <n v="1.622010395638348"/>
    <n v="0.65"/>
    <n v="-7.0000000000000007E-2"/>
    <n v="88.28"/>
    <n v="143191.07772695334"/>
    <n v="18348.1152"/>
    <n v="5294.7138912168384"/>
    <n v="10408.510402498616"/>
    <n v="8320.4711601430663"/>
    <n v="0"/>
    <n v="0"/>
    <n v="177242.41722066881"/>
    <n v="2007.7301452273314"/>
  </r>
  <r>
    <x v="4"/>
    <n v="1.622010395638348"/>
    <n v="0.65"/>
    <n v="-7.0000000000000007E-2"/>
    <n v="0"/>
    <n v="0"/>
    <n v="0"/>
    <n v="0"/>
    <n v="0"/>
    <n v="0"/>
    <n v="0"/>
    <n v="0"/>
    <n v="0"/>
    <n v="0"/>
  </r>
  <r>
    <x v="5"/>
    <n v="1.6826592070424338"/>
    <n v="0.68"/>
    <n v="-7.0000000000000007E-2"/>
    <n v="44.52"/>
    <n v="74911.987897529165"/>
    <n v="9253.0368000000017"/>
    <n v="2670.147965982937"/>
    <n v="5249.0584857186041"/>
    <n v="4196.0509294242111"/>
    <n v="0"/>
    <n v="0"/>
    <n v="92084.231149230705"/>
    <n v="2068.3789566314172"/>
  </r>
  <r>
    <x v="5"/>
    <n v="1.6826592070424338"/>
    <n v="0.68"/>
    <n v="-7.0000000000000007E-2"/>
    <n v="33.08"/>
    <n v="55662.366568963706"/>
    <n v="6875.3472000000002"/>
    <n v="1984.0182999711487"/>
    <n v="3900.2438164324212"/>
    <n v="3117.8204120699206"/>
    <n v="0"/>
    <n v="0"/>
    <n v="68421.975885367268"/>
    <n v="2068.3789566314167"/>
  </r>
  <r>
    <x v="6"/>
    <n v="1.7406977734802118"/>
    <n v="0.68"/>
    <n v="-7.0000000000000007E-2"/>
    <n v="1.3"/>
    <n v="2262.9071055242753"/>
    <n v="270.19200000000001"/>
    <n v="77.969280228612263"/>
    <n v="153.27439423706616"/>
    <n v="122.52619515389654"/>
    <n v="0"/>
    <n v="0"/>
    <n v="2764.3427799899537"/>
    <n v="2126.4175230691949"/>
  </r>
  <r>
    <x v="6"/>
    <n v="1.7406977734802118"/>
    <n v="0.68"/>
    <n v="-7.0000000000000007E-2"/>
    <n v="15.92"/>
    <n v="27711.908553804969"/>
    <n v="3308.8128000000002"/>
    <n v="954.82380095346696"/>
    <n v="1877.0218125031486"/>
    <n v="1500.4746360384868"/>
    <n v="0"/>
    <n v="0"/>
    <n v="33852.566967261584"/>
    <n v="2126.4175230691949"/>
  </r>
  <r>
    <x v="6"/>
    <n v="1.7406977734802118"/>
    <n v="0.68"/>
    <n v="-7.0000000000000007E-2"/>
    <n v="19.16"/>
    <n v="33351.769339880862"/>
    <n v="3982.2144000000003"/>
    <n v="1149.1472378309313"/>
    <n v="2259.0287642939902"/>
    <n v="1805.8476147297365"/>
    <n v="0"/>
    <n v="0"/>
    <n v="40742.159742005781"/>
    <n v="2126.4175230691953"/>
  </r>
  <r>
    <x v="6"/>
    <n v="1.7406977734802118"/>
    <n v="0.68"/>
    <n v="-7.0000000000000007E-2"/>
    <n v="0.34"/>
    <n v="591.83724298327206"/>
    <n v="70.665600000000012"/>
    <n v="20.391965598252437"/>
    <n v="40.087149262001915"/>
    <n v="32.045312578711403"/>
    <n v="0"/>
    <n v="0"/>
    <n v="722.98195784352652"/>
    <n v="2126.4175230691953"/>
  </r>
  <r>
    <x v="6"/>
    <n v="1.7406977734802118"/>
    <n v="0.68"/>
    <n v="-7.0000000000000007E-2"/>
    <n v="29.58"/>
    <n v="51489.840139544664"/>
    <n v="6147.9071999999996"/>
    <n v="1774.1010070479617"/>
    <n v="3487.5819857941665"/>
    <n v="2787.9421943478915"/>
    <n v="0"/>
    <n v="0"/>
    <n v="62899.430332386793"/>
    <n v="2126.4175230691953"/>
  </r>
  <r>
    <x v="6"/>
    <n v="1.7406977734802118"/>
    <n v="0.68"/>
    <n v="-7.0000000000000007E-2"/>
    <n v="2.68"/>
    <n v="4665.0700329269675"/>
    <n v="557.01120000000003"/>
    <n v="160.7366700097545"/>
    <n v="315.98105888872101"/>
    <n v="252.59246385572516"/>
    <n v="0"/>
    <n v="0"/>
    <n v="5698.7989618254433"/>
    <n v="2126.4175230691953"/>
  </r>
  <r>
    <x v="6"/>
    <n v="1.7406977734802118"/>
    <n v="0.68"/>
    <n v="-7.0000000000000007E-2"/>
    <n v="2.4"/>
    <n v="4177.6746563525085"/>
    <n v="498.81599999999997"/>
    <n v="143.94328657589955"/>
    <n v="282.96811243766058"/>
    <n v="226.20220643796281"/>
    <n v="0"/>
    <n v="0"/>
    <n v="5103.4020553660685"/>
    <n v="2126.4175230691953"/>
  </r>
  <r>
    <x v="6"/>
    <n v="1.7406977734802118"/>
    <n v="0.68"/>
    <n v="-7.0000000000000007E-2"/>
    <n v="31.18"/>
    <n v="54274.956577113"/>
    <n v="6480.4512000000004"/>
    <n v="1870.0631980985615"/>
    <n v="3676.2273940859404"/>
    <n v="2938.7436653065338"/>
    <n v="0"/>
    <n v="0"/>
    <n v="66301.698369297505"/>
    <n v="2126.4175230691953"/>
  </r>
  <r>
    <x v="7"/>
    <n v="1.7421709268610135"/>
    <n v="0.68"/>
    <n v="-7.0000000000000007E-2"/>
    <n v="17.14"/>
    <n v="29860.809686397773"/>
    <n v="3562.3776000000003"/>
    <n v="1027.9949716295494"/>
    <n v="2020.8639363256261"/>
    <n v="1615.4607576444512"/>
    <n v="0"/>
    <n v="0"/>
    <n v="36472.046194352952"/>
    <n v="2127.890676449997"/>
  </r>
  <r>
    <x v="8"/>
    <n v="3.2548777446902504"/>
    <n v="0.56000000000000005"/>
    <n v="-7.0000000000000007E-2"/>
    <n v="0"/>
    <n v="0"/>
    <n v="0"/>
    <n v="0"/>
    <n v="0"/>
    <n v="0"/>
    <n v="0"/>
    <n v="0"/>
    <n v="0"/>
    <n v="0"/>
  </r>
  <r>
    <x v="8"/>
    <n v="3.2548777446902504"/>
    <n v="0.56000000000000005"/>
    <n v="-7.0000000000000007E-2"/>
    <n v="0"/>
    <n v="0"/>
    <n v="0"/>
    <n v="0"/>
    <n v="0"/>
    <n v="0"/>
    <n v="0"/>
    <n v="0"/>
    <n v="0"/>
    <n v="0"/>
  </r>
  <r>
    <x v="9"/>
    <n v="2.8244285114873775"/>
    <n v="0.68"/>
    <n v="-7.0000000000000007E-2"/>
    <n v="0"/>
    <n v="0"/>
    <n v="0"/>
    <n v="0"/>
    <n v="0"/>
    <n v="0"/>
    <n v="0"/>
    <n v="0"/>
    <n v="0"/>
    <n v="0"/>
  </r>
  <r>
    <x v="9"/>
    <n v="2.8244285114873775"/>
    <n v="0.68"/>
    <n v="-7.0000000000000007E-2"/>
    <n v="0.36"/>
    <n v="1016.7942641354559"/>
    <n v="74.822400000000002"/>
    <n v="21.591492986384932"/>
    <n v="42.445216865649087"/>
    <n v="33.930330965694424"/>
    <n v="0"/>
    <n v="0"/>
    <n v="1155.6533739874901"/>
    <n v="3210.1482610763615"/>
  </r>
  <r>
    <x v="9"/>
    <n v="2.8244285114873775"/>
    <n v="0.68"/>
    <n v="-7.0000000000000007E-2"/>
    <n v="2.4660000000000002"/>
    <n v="6965.0407093278736"/>
    <n v="512.53344000000004"/>
    <n v="147.90172695673681"/>
    <n v="290.7497355296963"/>
    <n v="232.42276711500682"/>
    <n v="0"/>
    <n v="0"/>
    <n v="7916.2256118143068"/>
    <n v="3210.148261076361"/>
  </r>
  <r>
    <x v="10"/>
    <n v="1.4439459506771439"/>
    <n v="0.68"/>
    <n v="-7.0000000000000007E-2"/>
    <n v="0"/>
    <n v="0"/>
    <n v="0"/>
    <n v="0"/>
    <n v="0"/>
    <n v="0"/>
    <n v="0"/>
    <n v="0"/>
    <n v="0"/>
    <n v="0"/>
  </r>
  <r>
    <x v="10"/>
    <n v="1.4439459506771439"/>
    <n v="0.68"/>
    <n v="-7.0000000000000007E-2"/>
    <n v="72.430000000000007"/>
    <n v="104585.00520754555"/>
    <n v="15053.851200000001"/>
    <n v="4344.0884361218359"/>
    <n v="8539.7418266082332"/>
    <n v="6826.59408845902"/>
    <n v="0"/>
    <n v="0"/>
    <n v="132522.68667027561"/>
    <n v="1829.6657002661273"/>
  </r>
  <r>
    <x v="10"/>
    <n v="1.4439459506771439"/>
    <n v="0.68"/>
    <n v="-7.0000000000000007E-2"/>
    <n v="59.33"/>
    <n v="85669.313253674947"/>
    <n v="12331.147199999999"/>
    <n v="3558.3979968950498"/>
    <n v="6995.2075462193343"/>
    <n v="5591.9070449851388"/>
    <n v="0"/>
    <n v="0"/>
    <n v="108554.06599678933"/>
    <n v="1829.66570026612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F5DC0-9929-40A2-A29C-E1420F8347FA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5" firstHeaderRow="0" firstDataRow="1" firstDataCol="1"/>
  <pivotFields count="14">
    <pivotField axis="axisRow" showAll="0">
      <items count="12">
        <item x="3"/>
        <item x="4"/>
        <item x="0"/>
        <item x="10"/>
        <item x="6"/>
        <item x="5"/>
        <item x="2"/>
        <item x="8"/>
        <item x="9"/>
        <item x="7"/>
        <item x="1"/>
        <item t="default"/>
      </items>
    </pivotField>
    <pivotField numFmtId="164" showAll="0"/>
    <pivotField numFmtId="9" showAll="0"/>
    <pivotField numFmtId="9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numFmtId="165" showAll="0"/>
    <pivotField numFmtId="165" showAll="0"/>
    <pivotField numFmtId="165" showAll="0"/>
    <pivotField numFmtId="165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4" baseField="0" baseItem="0" numFmtId="165"/>
    <dataField name="Suma de Costo Ventas" fld="5" baseField="0" baseItem="0" numFmtId="165"/>
    <dataField name="Suma de Gasto Ventas" fld="6" baseField="0" baseItem="0" numFmtId="165"/>
    <dataField name="Suma de Gasto ADM" fld="7" baseField="0" baseItem="0" numFmtId="165"/>
    <dataField name="Suma de Gasto Fin" fld="8" baseField="0" baseItem="0" numFmtId="165"/>
    <dataField name="Suma de Depreciación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19A0-09DB-4FEA-89FA-BF3E3551F465}">
  <dimension ref="B2:BZ37"/>
  <sheetViews>
    <sheetView showGridLines="0" tabSelected="1" zoomScale="80" zoomScaleNormal="80" workbookViewId="0">
      <pane xSplit="4" ySplit="6" topLeftCell="AR7" activePane="bottomRight" state="frozen"/>
      <selection pane="topRight" activeCell="E1" sqref="E1"/>
      <selection pane="bottomLeft" activeCell="A7" sqref="A7"/>
      <selection pane="bottomRight" activeCell="AY29" sqref="AY29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customWidth="1" outlineLevel="2"/>
    <col min="8" max="8" width="11.77734375" customWidth="1" outlineLevel="2"/>
    <col min="9" max="9" width="10.5546875" customWidth="1" outlineLevel="2"/>
    <col min="10" max="10" width="14.109375" customWidth="1" outlineLevel="2"/>
    <col min="11" max="11" width="13.77734375" customWidth="1" outlineLevel="2"/>
    <col min="12" max="12" width="13.44140625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9.6640625" customWidth="1" outlineLevel="1"/>
    <col min="24" max="25" width="11.5546875" customWidth="1" outlineLevel="1"/>
    <col min="26" max="47" width="12.6640625" customWidth="1" outlineLevel="1"/>
    <col min="48" max="49" width="11.5546875" customWidth="1" outlineLevel="1"/>
    <col min="50" max="50" width="12.6640625" customWidth="1" outlineLevel="1"/>
    <col min="53" max="53" width="12.6640625" bestFit="1" customWidth="1"/>
    <col min="54" max="59" width="12.6640625" hidden="1" customWidth="1" outlineLevel="1"/>
    <col min="60" max="60" width="12" bestFit="1" customWidth="1" collapsed="1"/>
    <col min="65" max="65" width="14.77734375" customWidth="1"/>
    <col min="66" max="66" width="12.6640625" bestFit="1" customWidth="1"/>
    <col min="67" max="67" width="12.44140625" bestFit="1" customWidth="1"/>
    <col min="70" max="70" width="12.6640625" bestFit="1" customWidth="1"/>
    <col min="73" max="73" width="12.6640625" bestFit="1" customWidth="1"/>
  </cols>
  <sheetData>
    <row r="2" spans="2:78" ht="15.6" x14ac:dyDescent="0.3">
      <c r="C2" s="55" t="s">
        <v>82</v>
      </c>
    </row>
    <row r="3" spans="2:78" x14ac:dyDescent="0.3">
      <c r="C3" s="56" t="s">
        <v>111</v>
      </c>
      <c r="G3" s="51"/>
      <c r="M3" s="57"/>
      <c r="N3" s="51"/>
      <c r="O3" s="51"/>
      <c r="P3" s="51"/>
    </row>
    <row r="4" spans="2:78" ht="15" thickBot="1" x14ac:dyDescent="0.35">
      <c r="C4" s="56"/>
      <c r="G4" s="58"/>
      <c r="M4" s="58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  <c r="BK4" s="60"/>
    </row>
    <row r="5" spans="2:78" ht="15" thickBot="1" x14ac:dyDescent="0.35">
      <c r="F5" s="61" t="s">
        <v>83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3"/>
      <c r="X5" s="64">
        <v>46174</v>
      </c>
      <c r="Y5" s="64"/>
      <c r="Z5" s="64"/>
      <c r="AA5" s="65">
        <v>46182</v>
      </c>
      <c r="AB5" s="66"/>
      <c r="AC5" s="67"/>
      <c r="AD5" s="65">
        <v>46185</v>
      </c>
      <c r="AE5" s="66"/>
      <c r="AF5" s="67"/>
      <c r="AG5" s="65">
        <v>46188</v>
      </c>
      <c r="AH5" s="66"/>
      <c r="AI5" s="67"/>
      <c r="AJ5" s="65">
        <v>46192</v>
      </c>
      <c r="AK5" s="66"/>
      <c r="AL5" s="67"/>
      <c r="AM5" s="65">
        <v>46195</v>
      </c>
      <c r="AN5" s="66"/>
      <c r="AO5" s="67"/>
      <c r="AP5" s="65">
        <v>46196</v>
      </c>
      <c r="AQ5" s="66"/>
      <c r="AR5" s="67"/>
      <c r="AS5" s="65">
        <v>46199</v>
      </c>
      <c r="AT5" s="66"/>
      <c r="AU5" s="67"/>
      <c r="AV5" s="65">
        <v>46203</v>
      </c>
      <c r="AW5" s="66"/>
      <c r="AX5" s="67"/>
      <c r="AY5" s="68" t="s">
        <v>84</v>
      </c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M5" s="70" t="s">
        <v>85</v>
      </c>
      <c r="BN5" s="71"/>
      <c r="BO5" s="71"/>
      <c r="BP5" s="71"/>
      <c r="BQ5" s="71"/>
      <c r="BR5" s="71"/>
      <c r="BS5" s="71"/>
      <c r="BT5" s="71"/>
      <c r="BU5" s="72"/>
    </row>
    <row r="6" spans="2:78" s="82" customFormat="1" ht="29.4" thickBot="1" x14ac:dyDescent="0.35">
      <c r="B6" s="73" t="s">
        <v>86</v>
      </c>
      <c r="C6" s="74" t="s">
        <v>87</v>
      </c>
      <c r="D6" s="75" t="s">
        <v>88</v>
      </c>
      <c r="E6" s="76" t="s">
        <v>89</v>
      </c>
      <c r="F6" s="77" t="s">
        <v>55</v>
      </c>
      <c r="G6" s="78" t="s">
        <v>56</v>
      </c>
      <c r="H6" s="78" t="s">
        <v>57</v>
      </c>
      <c r="I6" s="78" t="s">
        <v>58</v>
      </c>
      <c r="J6" s="78" t="s">
        <v>59</v>
      </c>
      <c r="K6" s="78" t="s">
        <v>60</v>
      </c>
      <c r="L6" s="79" t="s">
        <v>61</v>
      </c>
      <c r="M6" s="80" t="s">
        <v>90</v>
      </c>
      <c r="N6" s="80" t="s">
        <v>91</v>
      </c>
      <c r="O6" s="80" t="s">
        <v>92</v>
      </c>
      <c r="P6" s="80" t="s">
        <v>93</v>
      </c>
      <c r="Q6" s="81" t="s">
        <v>94</v>
      </c>
      <c r="R6" s="81" t="s">
        <v>95</v>
      </c>
      <c r="S6" s="81" t="s">
        <v>96</v>
      </c>
      <c r="T6" s="81" t="s">
        <v>97</v>
      </c>
      <c r="U6" s="81" t="s">
        <v>98</v>
      </c>
      <c r="V6" s="81" t="s">
        <v>99</v>
      </c>
      <c r="X6" s="83" t="s">
        <v>100</v>
      </c>
      <c r="Y6" s="84" t="s">
        <v>101</v>
      </c>
      <c r="Z6" s="85" t="s">
        <v>102</v>
      </c>
      <c r="AA6" s="83" t="s">
        <v>100</v>
      </c>
      <c r="AB6" s="84" t="s">
        <v>101</v>
      </c>
      <c r="AC6" s="85" t="s">
        <v>102</v>
      </c>
      <c r="AD6" s="83" t="s">
        <v>100</v>
      </c>
      <c r="AE6" s="84" t="s">
        <v>101</v>
      </c>
      <c r="AF6" s="85" t="s">
        <v>102</v>
      </c>
      <c r="AG6" s="83" t="s">
        <v>100</v>
      </c>
      <c r="AH6" s="84" t="s">
        <v>101</v>
      </c>
      <c r="AI6" s="85" t="s">
        <v>102</v>
      </c>
      <c r="AJ6" s="83" t="s">
        <v>100</v>
      </c>
      <c r="AK6" s="84" t="s">
        <v>101</v>
      </c>
      <c r="AL6" s="85" t="s">
        <v>102</v>
      </c>
      <c r="AM6" s="83" t="s">
        <v>100</v>
      </c>
      <c r="AN6" s="84" t="s">
        <v>101</v>
      </c>
      <c r="AO6" s="85" t="s">
        <v>102</v>
      </c>
      <c r="AP6" s="83" t="s">
        <v>100</v>
      </c>
      <c r="AQ6" s="84" t="s">
        <v>101</v>
      </c>
      <c r="AR6" s="85" t="s">
        <v>102</v>
      </c>
      <c r="AS6" s="83" t="s">
        <v>100</v>
      </c>
      <c r="AT6" s="84" t="s">
        <v>101</v>
      </c>
      <c r="AU6" s="85" t="s">
        <v>102</v>
      </c>
      <c r="AV6" s="83" t="s">
        <v>100</v>
      </c>
      <c r="AW6" s="84" t="s">
        <v>101</v>
      </c>
      <c r="AX6" s="85" t="s">
        <v>102</v>
      </c>
      <c r="AY6" s="86" t="s">
        <v>100</v>
      </c>
      <c r="AZ6" s="87" t="s">
        <v>101</v>
      </c>
      <c r="BA6" s="87" t="s">
        <v>102</v>
      </c>
      <c r="BB6" s="87" t="s">
        <v>55</v>
      </c>
      <c r="BC6" s="87" t="s">
        <v>56</v>
      </c>
      <c r="BD6" s="87" t="s">
        <v>103</v>
      </c>
      <c r="BE6" s="88" t="s">
        <v>58</v>
      </c>
      <c r="BF6" s="87" t="s">
        <v>59</v>
      </c>
      <c r="BG6" s="87" t="s">
        <v>104</v>
      </c>
      <c r="BH6" s="88" t="s">
        <v>105</v>
      </c>
      <c r="BI6" s="87" t="s">
        <v>106</v>
      </c>
      <c r="BJ6" s="87" t="s">
        <v>98</v>
      </c>
      <c r="BK6" s="88" t="s">
        <v>107</v>
      </c>
      <c r="BM6" s="89" t="s">
        <v>102</v>
      </c>
      <c r="BN6" s="89" t="s">
        <v>55</v>
      </c>
      <c r="BO6" s="89" t="s">
        <v>56</v>
      </c>
      <c r="BP6" s="89" t="s">
        <v>103</v>
      </c>
      <c r="BQ6" s="90" t="s">
        <v>58</v>
      </c>
      <c r="BR6" s="89" t="s">
        <v>59</v>
      </c>
      <c r="BS6" s="89" t="s">
        <v>104</v>
      </c>
      <c r="BT6" s="90" t="s">
        <v>105</v>
      </c>
      <c r="BU6" s="90" t="s">
        <v>98</v>
      </c>
    </row>
    <row r="7" spans="2:78" x14ac:dyDescent="0.3">
      <c r="B7" s="50">
        <v>10005721</v>
      </c>
      <c r="C7" s="52" t="s">
        <v>73</v>
      </c>
      <c r="D7" s="91">
        <f>TD!F4</f>
        <v>591.56000000000006</v>
      </c>
      <c r="E7" s="92">
        <f t="shared" ref="E7:E18" si="0">IFERROR(F7/D7,0)</f>
        <v>1984.5861732240987</v>
      </c>
      <c r="F7" s="93">
        <f>TD!G4</f>
        <v>1174001.796632448</v>
      </c>
      <c r="G7" s="51">
        <f>TD!H4</f>
        <v>122949.83039999999</v>
      </c>
      <c r="H7" s="51">
        <f>TD!I4</f>
        <v>35479.621086182968</v>
      </c>
      <c r="I7" s="51">
        <f>TD!J4</f>
        <v>69746.923580676041</v>
      </c>
      <c r="J7" s="51">
        <f>TD!K4</f>
        <v>55755.073850183864</v>
      </c>
      <c r="K7" s="94">
        <v>0</v>
      </c>
      <c r="L7" s="95">
        <v>0</v>
      </c>
      <c r="M7" s="96">
        <f>F7+G7+H7+I7</f>
        <v>1402178.1716993072</v>
      </c>
      <c r="N7" s="97">
        <f>IFERROR(M7/D7,0)</f>
        <v>2370.3059228130824</v>
      </c>
      <c r="O7" s="97">
        <f>F7+G7+H7-J7</f>
        <v>1276676.1742684473</v>
      </c>
      <c r="P7" s="97">
        <f t="shared" ref="P7:P18" si="1">IFERROR(O7/D7,0)</f>
        <v>2158.1516232815729</v>
      </c>
      <c r="Q7" s="98">
        <v>2000</v>
      </c>
      <c r="R7" s="98">
        <f>Q7*D7</f>
        <v>1183120.0000000002</v>
      </c>
      <c r="S7" s="98">
        <f t="shared" ref="S7:S17" si="2">R7-M7+(Q7-$BD$22)*D7*0.03</f>
        <v>-185590.85898747423</v>
      </c>
      <c r="T7" s="99">
        <f t="shared" ref="T7:T17" si="3">IFERROR(S7/R7,0)</f>
        <v>-0.15686562562333001</v>
      </c>
      <c r="U7" s="98">
        <f t="shared" ref="U7:U17" si="4">R7-(M7-J7-I7)+(Q7-$BD$22)*D7*0.03</f>
        <v>-60088.861556614153</v>
      </c>
      <c r="V7" s="99">
        <f t="shared" ref="V7:V18" si="5">IFERROR(U7/R7,0)</f>
        <v>-5.0788475857575004E-2</v>
      </c>
      <c r="X7" s="100" cm="1">
        <f t="array" ref="X7">SUM([3]Hoja2!$I$6:$I$26*([3]Hoja2!$F$6:$F$26=X$5)*([3]Hoja2!$K$6:$K$26=$C7))</f>
        <v>0</v>
      </c>
      <c r="Y7" s="100" cm="1">
        <f t="array" ref="Y7">SUM([3]Hoja2!$J$6:$J$26*([3]Hoja2!$F$6:$F$26=X$5)*([3]Hoja2!$K$6:$K$26=$C7))</f>
        <v>0</v>
      </c>
      <c r="Z7" s="101">
        <f>IFERROR(Y7/X7,0)</f>
        <v>0</v>
      </c>
      <c r="AA7" s="100" cm="1">
        <f t="array" ref="AA7">SUM([3]Hoja2!$I$6:$I$26*([3]Hoja2!$F$6:$F$26=AA$5)*([3]Hoja2!$K$6:$K$26=$C7))</f>
        <v>0</v>
      </c>
      <c r="AB7" s="100" cm="1">
        <f t="array" ref="AB7">SUM([3]Hoja2!$J$6:$J$26*([3]Hoja2!$F$6:$F$26=AA$5)*([3]Hoja2!$K$6:$K$26=$C7))</f>
        <v>0</v>
      </c>
      <c r="AC7" s="101">
        <f>IFERROR(AB7/AA7,0)</f>
        <v>0</v>
      </c>
      <c r="AD7" s="100" cm="1">
        <f t="array" ref="AD7">SUM([3]Hoja2!$I$6:$I$26*([3]Hoja2!$F$6:$F$26=AD$5)*([3]Hoja2!$K$6:$K$26=$C7))</f>
        <v>0</v>
      </c>
      <c r="AE7" s="100" cm="1">
        <f t="array" ref="AE7">SUM([3]Hoja2!$J$6:$J$26*([3]Hoja2!$F$6:$F$26=AD$5)*([3]Hoja2!$K$6:$K$26=$C7))</f>
        <v>0</v>
      </c>
      <c r="AF7" s="101">
        <f>IFERROR(AE7/AD7,0)</f>
        <v>0</v>
      </c>
      <c r="AG7" s="100" cm="1">
        <f t="array" ref="AG7">SUM([3]Hoja2!$I$6:$I$26*([3]Hoja2!$F$6:$F$26=AG$5)*([3]Hoja2!$K$6:$K$26=$C7))</f>
        <v>0</v>
      </c>
      <c r="AH7" s="100" cm="1">
        <f t="array" ref="AH7">SUM([3]Hoja2!$J$6:$J$26*([3]Hoja2!$F$6:$F$26=AG$5)*([3]Hoja2!$K$6:$K$26=$C7))</f>
        <v>0</v>
      </c>
      <c r="AI7" s="101">
        <f>IFERROR(AH7/AG7,0)</f>
        <v>0</v>
      </c>
      <c r="AJ7" s="100" cm="1">
        <f t="array" ref="AJ7">SUM([3]Hoja2!$I$6:$I$26*([3]Hoja2!$F$6:$F$26=AJ$5)*([3]Hoja2!$K$6:$K$26=$C7))</f>
        <v>54</v>
      </c>
      <c r="AK7" s="100" cm="1">
        <f t="array" ref="AK7">SUM([3]Hoja2!$J$6:$J$26*([3]Hoja2!$F$6:$F$26=AJ$5)*([3]Hoja2!$K$6:$K$26=$C7))</f>
        <v>109080</v>
      </c>
      <c r="AL7" s="101">
        <f>IFERROR(AK7/AJ7,0)</f>
        <v>2020</v>
      </c>
      <c r="AM7" s="100" cm="1">
        <f t="array" ref="AM7">SUM([3]Hoja2!$I$6:$I$26*([3]Hoja2!$F$6:$F$26=AM$5)*([3]Hoja2!$K$6:$K$26=$C7))</f>
        <v>48</v>
      </c>
      <c r="AN7" s="100" cm="1">
        <f t="array" ref="AN7">SUM([3]Hoja2!$J$6:$J$26*([3]Hoja2!$F$6:$F$26=AM$5)*([3]Hoja2!$K$6:$K$26=$C7))</f>
        <v>81600</v>
      </c>
      <c r="AO7" s="101">
        <f>IFERROR(AN7/AM7,0)</f>
        <v>1700</v>
      </c>
      <c r="AP7" s="100" cm="1">
        <f t="array" ref="AP7">SUM([3]Hoja2!$I$6:$I$26*([3]Hoja2!$F$6:$F$26=AP$5)*([3]Hoja2!$K$6:$K$26=$C7))</f>
        <v>27</v>
      </c>
      <c r="AQ7" s="100" cm="1">
        <f t="array" ref="AQ7">SUM([3]Hoja2!$J$6:$J$26*([3]Hoja2!$F$6:$F$26=AP$5)*([3]Hoja2!$K$6:$K$26=$C7))</f>
        <v>54540</v>
      </c>
      <c r="AR7" s="101">
        <f>IFERROR(AQ7/AP7,0)</f>
        <v>2020</v>
      </c>
      <c r="AS7" s="100" cm="1">
        <f t="array" ref="AS7">SUM([3]Hoja2!$I$6:$I$26*([3]Hoja2!$F$6:$F$26=AS$5)*([3]Hoja2!$K$6:$K$26=$C7))</f>
        <v>0</v>
      </c>
      <c r="AT7" s="100" cm="1">
        <f t="array" ref="AT7">SUM([3]Hoja2!$J$6:$J$26*([3]Hoja2!$F$6:$F$26=AS$5)*([3]Hoja2!$K$6:$K$26=$C7))</f>
        <v>0</v>
      </c>
      <c r="AU7" s="101">
        <f>IFERROR(AT7/AS7,0)</f>
        <v>0</v>
      </c>
      <c r="AV7" s="100" cm="1">
        <f t="array" ref="AV7">SUM([3]Hoja2!$I$6:$I$26*([3]Hoja2!$F$6:$F$26=AV$5)*([3]Hoja2!$K$6:$K$26=$C7))</f>
        <v>0</v>
      </c>
      <c r="AW7" s="100" cm="1">
        <f t="array" ref="AW7">SUM([3]Hoja2!$J$6:$J$26*([3]Hoja2!$F$6:$F$26=AV$5)*([3]Hoja2!$K$6:$K$26=$C7))</f>
        <v>0</v>
      </c>
      <c r="AX7" s="101">
        <f>IFERROR(AW7/AV7,0)</f>
        <v>0</v>
      </c>
      <c r="AY7" s="102">
        <f t="shared" ref="AY7:AY17" si="6">X7+AA7+AD7+AG7+AJ7+AM7+AV7+AP7+AS7</f>
        <v>129</v>
      </c>
      <c r="AZ7" s="103">
        <f t="shared" ref="AZ7:AZ17" si="7">Y7+AB7+AE7+AH7+AK7+AN7+AW7+AQ7+AT7</f>
        <v>245220</v>
      </c>
      <c r="BA7" s="104">
        <f>IFERROR(AZ7/AY7,0)</f>
        <v>1900.9302325581396</v>
      </c>
      <c r="BB7" s="103">
        <f t="shared" ref="BB7:BB13" si="8">-IFERROR(F7/D7*AY7,0)</f>
        <v>-256011.61634590873</v>
      </c>
      <c r="BC7" s="104">
        <f t="shared" ref="BC7:BC17" si="9">-207.84*AY7</f>
        <v>-26811.360000000001</v>
      </c>
      <c r="BD7" s="103">
        <f t="shared" ref="BD7:BD17" si="10">$BD$18/$AY$18*$AY7</f>
        <v>-9167.0051909059694</v>
      </c>
      <c r="BE7" s="104">
        <f t="shared" ref="BE7:BE17" si="11">$BE$18/$AY$18*$AY7</f>
        <v>-18020.778997630638</v>
      </c>
      <c r="BF7" s="103">
        <f t="shared" ref="BF7:BF17" si="12">$BF$18/$AY$18*$AY7</f>
        <v>-14405.651350178157</v>
      </c>
      <c r="BG7" s="104">
        <f t="shared" ref="BG7:BG17" si="13">(AZ7-AY7*$BD$22)*0.03</f>
        <v>6914.7326320684615</v>
      </c>
      <c r="BH7" s="103">
        <f>AZ7+SUM(BB7:BE7,BG7)</f>
        <v>-57876.027902376896</v>
      </c>
      <c r="BI7" s="105">
        <f>IFERROR(BH7/AZ7,0)</f>
        <v>-0.23601675190594934</v>
      </c>
      <c r="BJ7" s="106">
        <f t="shared" ref="BJ7:BJ17" si="14">AZ7+BB7+BC7+BD7+BG7-BF7</f>
        <v>-25449.597554568078</v>
      </c>
      <c r="BK7" s="107">
        <f t="shared" ref="BK7:BK18" si="15">IFERROR(BJ7/AZ7,0)</f>
        <v>-0.1037827157432839</v>
      </c>
      <c r="BM7" s="108">
        <f t="shared" ref="BM7:BM18" si="16">BA7</f>
        <v>1900.9302325581396</v>
      </c>
      <c r="BN7" s="109">
        <f t="shared" ref="BN7:BT18" si="17">IFERROR(BB7/$AY7,0)</f>
        <v>-1984.5861732240987</v>
      </c>
      <c r="BO7" s="109">
        <f t="shared" si="17"/>
        <v>-207.84</v>
      </c>
      <c r="BP7" s="109">
        <f t="shared" si="17"/>
        <v>-71.062055743457123</v>
      </c>
      <c r="BQ7" s="109">
        <f t="shared" si="17"/>
        <v>-139.69596122194292</v>
      </c>
      <c r="BR7" s="109">
        <f t="shared" si="17"/>
        <v>-111.67171589285394</v>
      </c>
      <c r="BS7" s="109">
        <f t="shared" si="17"/>
        <v>53.602578543166366</v>
      </c>
      <c r="BT7" s="109">
        <f t="shared" si="17"/>
        <v>-448.65137908819298</v>
      </c>
      <c r="BU7" s="109">
        <f t="shared" ref="BU7:BU18" si="18">IFERROR(BJ7/$AY7,0)</f>
        <v>-197.28370197339595</v>
      </c>
      <c r="BV7" s="51">
        <f t="shared" ref="BV7:BV18" si="19">BU7-BT7</f>
        <v>251.36767711479703</v>
      </c>
      <c r="BW7" s="58"/>
      <c r="BY7" s="51"/>
      <c r="BZ7" s="58"/>
    </row>
    <row r="8" spans="2:78" x14ac:dyDescent="0.3">
      <c r="B8" s="50">
        <v>10005779</v>
      </c>
      <c r="C8" s="53" t="s">
        <v>74</v>
      </c>
      <c r="D8" s="91">
        <f>TD!F5</f>
        <v>273.58000000000004</v>
      </c>
      <c r="E8" s="92">
        <f t="shared" si="0"/>
        <v>1622.0103956383477</v>
      </c>
      <c r="F8" s="51">
        <f>TD!G5</f>
        <v>443749.60403873923</v>
      </c>
      <c r="G8" s="51">
        <f>TD!H5</f>
        <v>56860.867200000001</v>
      </c>
      <c r="H8" s="51">
        <f>TD!I5</f>
        <v>16408.335142264415</v>
      </c>
      <c r="I8" s="51">
        <f>TD!J5</f>
        <v>32256.006750289664</v>
      </c>
      <c r="J8" s="51">
        <f>TD!K5</f>
        <v>25785.166515540775</v>
      </c>
      <c r="K8" s="94">
        <v>0</v>
      </c>
      <c r="L8" s="95">
        <v>0</v>
      </c>
      <c r="M8" s="96">
        <f t="shared" ref="M8:M17" si="20">F8+G8+H8+I8</f>
        <v>549274.81313129328</v>
      </c>
      <c r="N8" s="97">
        <f>IFERROR(M8/D8,0)</f>
        <v>2007.7301452273309</v>
      </c>
      <c r="O8" s="97">
        <f>F8+G8+H8-J8</f>
        <v>491233.63986546284</v>
      </c>
      <c r="P8" s="97">
        <f t="shared" si="1"/>
        <v>1795.5758456958213</v>
      </c>
      <c r="Q8" s="98">
        <v>1350</v>
      </c>
      <c r="R8" s="98">
        <f t="shared" ref="R8:R14" si="21">Q8*D8</f>
        <v>369333.00000000006</v>
      </c>
      <c r="S8" s="98">
        <f t="shared" si="2"/>
        <v>-169798.92448415144</v>
      </c>
      <c r="T8" s="99">
        <f t="shared" si="3"/>
        <v>-0.45974479530437684</v>
      </c>
      <c r="U8" s="98">
        <f t="shared" si="4"/>
        <v>-111757.75121832101</v>
      </c>
      <c r="V8" s="99">
        <f t="shared" si="5"/>
        <v>-0.30259346231807338</v>
      </c>
      <c r="X8" s="100" cm="1">
        <f t="array" ref="X8">SUM([3]Hoja2!$I$6:$I$26*([3]Hoja2!$F$6:$F$26=X$5)*([3]Hoja2!$K$6:$K$26=$C8))</f>
        <v>0</v>
      </c>
      <c r="Y8" s="100" cm="1">
        <f t="array" ref="Y8">SUM([3]Hoja2!$J$6:$J$26*([3]Hoja2!$F$6:$F$26=X$5)*([3]Hoja2!$K$6:$K$26=$C8))</f>
        <v>0</v>
      </c>
      <c r="Z8" s="110">
        <f t="shared" ref="Z8:Z18" si="22">IFERROR(Y8/X8,0)</f>
        <v>0</v>
      </c>
      <c r="AA8" s="100" cm="1">
        <f t="array" ref="AA8">SUM([3]Hoja2!$I$6:$I$26*([3]Hoja2!$F$6:$F$26=AA$5)*([3]Hoja2!$K$6:$K$26=$C8))</f>
        <v>22.5</v>
      </c>
      <c r="AB8" s="100" cm="1">
        <f t="array" ref="AB8">SUM([3]Hoja2!$J$6:$J$26*([3]Hoja2!$F$6:$F$26=AA$5)*([3]Hoja2!$K$6:$K$26=$C8))</f>
        <v>29250</v>
      </c>
      <c r="AC8" s="110">
        <f t="shared" ref="AC8:AC18" si="23">IFERROR(AB8/AA8,0)</f>
        <v>1300</v>
      </c>
      <c r="AD8" s="100" cm="1">
        <f t="array" ref="AD8">SUM([3]Hoja2!$I$6:$I$26*([3]Hoja2!$F$6:$F$26=AD$5)*([3]Hoja2!$K$6:$K$26=$C8))</f>
        <v>0</v>
      </c>
      <c r="AE8" s="100" cm="1">
        <f t="array" ref="AE8">SUM([3]Hoja2!$J$6:$J$26*([3]Hoja2!$F$6:$F$26=AD$5)*([3]Hoja2!$K$6:$K$26=$C8))</f>
        <v>0</v>
      </c>
      <c r="AF8" s="110">
        <f t="shared" ref="AF8:AF18" si="24">IFERROR(AE8/AD8,0)</f>
        <v>0</v>
      </c>
      <c r="AG8" s="100" cm="1">
        <f t="array" ref="AG8">SUM([3]Hoja2!$I$6:$I$26*([3]Hoja2!$F$6:$F$26=AG$5)*([3]Hoja2!$K$6:$K$26=$C8))</f>
        <v>0</v>
      </c>
      <c r="AH8" s="100" cm="1">
        <f t="array" ref="AH8">SUM([3]Hoja2!$J$6:$J$26*([3]Hoja2!$F$6:$F$26=AG$5)*([3]Hoja2!$K$6:$K$26=$C8))</f>
        <v>0</v>
      </c>
      <c r="AI8" s="110">
        <f t="shared" ref="AI8:AI18" si="25">IFERROR(AH8/AG8,0)</f>
        <v>0</v>
      </c>
      <c r="AJ8" s="100" cm="1">
        <f t="array" ref="AJ8">SUM([3]Hoja2!$I$6:$I$26*([3]Hoja2!$F$6:$F$26=AJ$5)*([3]Hoja2!$K$6:$K$26=$C8))</f>
        <v>0</v>
      </c>
      <c r="AK8" s="100" cm="1">
        <f t="array" ref="AK8">SUM([3]Hoja2!$J$6:$J$26*([3]Hoja2!$F$6:$F$26=AJ$5)*([3]Hoja2!$K$6:$K$26=$C8))</f>
        <v>0</v>
      </c>
      <c r="AL8" s="110">
        <f t="shared" ref="AL8:AL18" si="26">IFERROR(AK8/AJ8,0)</f>
        <v>0</v>
      </c>
      <c r="AM8" s="100" cm="1">
        <f t="array" ref="AM8">SUM([3]Hoja2!$I$6:$I$26*([3]Hoja2!$F$6:$F$26=AM$5)*([3]Hoja2!$K$6:$K$26=$C8))</f>
        <v>0</v>
      </c>
      <c r="AN8" s="100" cm="1">
        <f t="array" ref="AN8">SUM([3]Hoja2!$J$6:$J$26*([3]Hoja2!$F$6:$F$26=AM$5)*([3]Hoja2!$K$6:$K$26=$C8))</f>
        <v>0</v>
      </c>
      <c r="AO8" s="110">
        <f t="shared" ref="AO8:AO18" si="27">IFERROR(AN8/AM8,0)</f>
        <v>0</v>
      </c>
      <c r="AP8" s="100" cm="1">
        <f t="array" ref="AP8">SUM([3]Hoja2!$I$6:$I$26*([3]Hoja2!$F$6:$F$26=AP$5)*([3]Hoja2!$K$6:$K$26=$C8))</f>
        <v>0</v>
      </c>
      <c r="AQ8" s="100" cm="1">
        <f t="array" ref="AQ8">SUM([3]Hoja2!$J$6:$J$26*([3]Hoja2!$F$6:$F$26=AP$5)*([3]Hoja2!$K$6:$K$26=$C8))</f>
        <v>0</v>
      </c>
      <c r="AR8" s="110">
        <f t="shared" ref="AR8:AR18" si="28">IFERROR(AQ8/AP8,0)</f>
        <v>0</v>
      </c>
      <c r="AS8" s="100" cm="1">
        <f t="array" ref="AS8">SUM([3]Hoja2!$I$6:$I$26*([3]Hoja2!$F$6:$F$26=AS$5)*([3]Hoja2!$K$6:$K$26=$C8))</f>
        <v>26</v>
      </c>
      <c r="AT8" s="100" cm="1">
        <f t="array" ref="AT8">SUM([3]Hoja2!$J$6:$J$26*([3]Hoja2!$F$6:$F$26=AS$5)*([3]Hoja2!$K$6:$K$26=$C8))</f>
        <v>35100</v>
      </c>
      <c r="AU8" s="110">
        <f t="shared" ref="AU8:AU18" si="29">IFERROR(AT8/AS8,0)</f>
        <v>1350</v>
      </c>
      <c r="AV8" s="100" cm="1">
        <f t="array" ref="AV8">SUM([3]Hoja2!$I$6:$I$26*([3]Hoja2!$F$6:$F$26=AV$5)*([3]Hoja2!$K$6:$K$26=$C8))</f>
        <v>0</v>
      </c>
      <c r="AW8" s="100" cm="1">
        <f t="array" ref="AW8">SUM([3]Hoja2!$J$6:$J$26*([3]Hoja2!$F$6:$F$26=AV$5)*([3]Hoja2!$K$6:$K$26=$C8))</f>
        <v>0</v>
      </c>
      <c r="AX8" s="110">
        <f t="shared" ref="AX8:AX18" si="30">IFERROR(AW8/AV8,0)</f>
        <v>0</v>
      </c>
      <c r="AY8" s="102">
        <f t="shared" si="6"/>
        <v>48.5</v>
      </c>
      <c r="AZ8" s="103">
        <f t="shared" si="7"/>
        <v>64350</v>
      </c>
      <c r="BA8" s="104">
        <f t="shared" ref="BA8:BA18" si="31">IFERROR(AZ8/AY8,0)</f>
        <v>1326.8041237113403</v>
      </c>
      <c r="BB8" s="103">
        <f t="shared" si="8"/>
        <v>-78667.504188459861</v>
      </c>
      <c r="BC8" s="104">
        <f t="shared" si="9"/>
        <v>-10080.24</v>
      </c>
      <c r="BD8" s="103">
        <f t="shared" si="10"/>
        <v>-3446.5097035576705</v>
      </c>
      <c r="BE8" s="104">
        <f t="shared" si="11"/>
        <v>-6775.254119264232</v>
      </c>
      <c r="BF8" s="103">
        <f t="shared" si="12"/>
        <v>-5416.0782208034161</v>
      </c>
      <c r="BG8" s="104">
        <f t="shared" si="13"/>
        <v>1764.3715709714759</v>
      </c>
      <c r="BH8" s="103">
        <f t="shared" ref="BH8:BH16" si="32">AZ8+SUM(BB8:BE8,BG8)</f>
        <v>-32855.136440310307</v>
      </c>
      <c r="BI8" s="105">
        <f t="shared" ref="BI8:BI18" si="33">IFERROR(BH8/AZ8,0)</f>
        <v>-0.51056933085175304</v>
      </c>
      <c r="BJ8" s="106">
        <f t="shared" si="14"/>
        <v>-20663.80410024264</v>
      </c>
      <c r="BK8" s="107">
        <f t="shared" si="15"/>
        <v>-0.32111583683360745</v>
      </c>
      <c r="BM8" s="108">
        <f t="shared" si="16"/>
        <v>1326.8041237113403</v>
      </c>
      <c r="BN8" s="109">
        <f t="shared" si="17"/>
        <v>-1622.0103956383477</v>
      </c>
      <c r="BO8" s="109">
        <f t="shared" si="17"/>
        <v>-207.84</v>
      </c>
      <c r="BP8" s="109">
        <f t="shared" si="17"/>
        <v>-71.062055743457123</v>
      </c>
      <c r="BQ8" s="109">
        <f t="shared" si="17"/>
        <v>-139.69596122194292</v>
      </c>
      <c r="BR8" s="109">
        <f t="shared" si="17"/>
        <v>-111.67171589285394</v>
      </c>
      <c r="BS8" s="109">
        <f t="shared" si="17"/>
        <v>36.378795277762386</v>
      </c>
      <c r="BT8" s="109">
        <f t="shared" si="17"/>
        <v>-677.42549361464546</v>
      </c>
      <c r="BU8" s="109">
        <f t="shared" si="18"/>
        <v>-426.05781649984823</v>
      </c>
      <c r="BV8" s="51">
        <f t="shared" si="19"/>
        <v>251.36767711479723</v>
      </c>
    </row>
    <row r="9" spans="2:78" x14ac:dyDescent="0.3">
      <c r="B9" s="50">
        <v>10006719</v>
      </c>
      <c r="C9" s="53" t="s">
        <v>75</v>
      </c>
      <c r="D9" s="91">
        <f>TD!F6</f>
        <v>67.28</v>
      </c>
      <c r="E9" s="92">
        <f t="shared" si="0"/>
        <v>1882.6723610599079</v>
      </c>
      <c r="F9" s="51">
        <f>TD!G6</f>
        <v>126666.1964521106</v>
      </c>
      <c r="G9" s="51">
        <f>TD!H6</f>
        <v>13983.475200000001</v>
      </c>
      <c r="H9" s="51">
        <f>TD!I6</f>
        <v>4035.2101336777173</v>
      </c>
      <c r="I9" s="51">
        <f>TD!J6</f>
        <v>7932.5394186690837</v>
      </c>
      <c r="J9" s="51">
        <f>TD!K6</f>
        <v>6341.2018538108905</v>
      </c>
      <c r="K9" s="94">
        <v>0</v>
      </c>
      <c r="L9" s="95">
        <v>0</v>
      </c>
      <c r="M9" s="96">
        <f t="shared" si="20"/>
        <v>152617.42120445741</v>
      </c>
      <c r="N9" s="97">
        <f t="shared" ref="N9:N14" si="34">IFERROR(M9/D9,0)</f>
        <v>2268.3921106488915</v>
      </c>
      <c r="O9" s="97">
        <f>F9+G9+H9-J9</f>
        <v>138343.67993197741</v>
      </c>
      <c r="P9" s="97">
        <f t="shared" si="1"/>
        <v>2056.2378111173812</v>
      </c>
      <c r="Q9" s="111">
        <v>2300</v>
      </c>
      <c r="R9" s="111">
        <f t="shared" si="21"/>
        <v>154744</v>
      </c>
      <c r="S9" s="111">
        <f t="shared" si="2"/>
        <v>6538.4426985314758</v>
      </c>
      <c r="T9" s="112">
        <f t="shared" si="3"/>
        <v>4.2253287355448199E-2</v>
      </c>
      <c r="U9" s="111">
        <f t="shared" si="4"/>
        <v>20812.183971011469</v>
      </c>
      <c r="V9" s="112">
        <f t="shared" si="5"/>
        <v>0.1344942871517569</v>
      </c>
      <c r="X9" s="100" cm="1">
        <f t="array" ref="X9">SUM([3]Hoja2!$I$6:$I$26*([3]Hoja2!$F$6:$F$26=X$5)*([3]Hoja2!$K$6:$K$26=$C9))</f>
        <v>0</v>
      </c>
      <c r="Y9" s="100" cm="1">
        <f t="array" ref="Y9">SUM([3]Hoja2!$J$6:$J$26*([3]Hoja2!$F$6:$F$26=X$5)*([3]Hoja2!$K$6:$K$26=$C9))</f>
        <v>0</v>
      </c>
      <c r="Z9" s="110">
        <f t="shared" si="22"/>
        <v>0</v>
      </c>
      <c r="AA9" s="100" cm="1">
        <f t="array" ref="AA9">SUM([3]Hoja2!$I$6:$I$26*([3]Hoja2!$F$6:$F$26=AA$5)*([3]Hoja2!$K$6:$K$26=$C9))</f>
        <v>0</v>
      </c>
      <c r="AB9" s="100" cm="1">
        <f t="array" ref="AB9">SUM([3]Hoja2!$J$6:$J$26*([3]Hoja2!$F$6:$F$26=AA$5)*([3]Hoja2!$K$6:$K$26=$C9))</f>
        <v>0</v>
      </c>
      <c r="AC9" s="110">
        <f t="shared" si="23"/>
        <v>0</v>
      </c>
      <c r="AD9" s="100" cm="1">
        <f t="array" ref="AD9">SUM([3]Hoja2!$I$6:$I$26*([3]Hoja2!$F$6:$F$26=AD$5)*([3]Hoja2!$K$6:$K$26=$C9))</f>
        <v>69</v>
      </c>
      <c r="AE9" s="100" cm="1">
        <f t="array" ref="AE9">SUM([3]Hoja2!$J$6:$J$26*([3]Hoja2!$F$6:$F$26=AD$5)*([3]Hoja2!$K$6:$K$26=$C9))</f>
        <v>144900</v>
      </c>
      <c r="AF9" s="110">
        <f t="shared" si="24"/>
        <v>2100</v>
      </c>
      <c r="AG9" s="100" cm="1">
        <f t="array" ref="AG9">SUM([3]Hoja2!$I$6:$I$26*([3]Hoja2!$F$6:$F$26=AG$5)*([3]Hoja2!$K$6:$K$26=$C9))</f>
        <v>0</v>
      </c>
      <c r="AH9" s="100" cm="1">
        <f t="array" ref="AH9">SUM([3]Hoja2!$J$6:$J$26*([3]Hoja2!$F$6:$F$26=AG$5)*([3]Hoja2!$K$6:$K$26=$C9))</f>
        <v>0</v>
      </c>
      <c r="AI9" s="110">
        <f t="shared" si="25"/>
        <v>0</v>
      </c>
      <c r="AJ9" s="100" cm="1">
        <f t="array" ref="AJ9">SUM([3]Hoja2!$I$6:$I$26*([3]Hoja2!$F$6:$F$26=AJ$5)*([3]Hoja2!$K$6:$K$26=$C9))</f>
        <v>27</v>
      </c>
      <c r="AK9" s="100" cm="1">
        <f t="array" ref="AK9">SUM([3]Hoja2!$J$6:$J$26*([3]Hoja2!$F$6:$F$26=AJ$5)*([3]Hoja2!$K$6:$K$26=$C9))</f>
        <v>59400</v>
      </c>
      <c r="AL9" s="110">
        <f t="shared" si="26"/>
        <v>2200</v>
      </c>
      <c r="AM9" s="100" cm="1">
        <f t="array" ref="AM9">SUM([3]Hoja2!$I$6:$I$26*([3]Hoja2!$F$6:$F$26=AM$5)*([3]Hoja2!$K$6:$K$26=$C9))</f>
        <v>0</v>
      </c>
      <c r="AN9" s="100" cm="1">
        <f t="array" ref="AN9">SUM([3]Hoja2!$J$6:$J$26*([3]Hoja2!$F$6:$F$26=AM$5)*([3]Hoja2!$K$6:$K$26=$C9))</f>
        <v>0</v>
      </c>
      <c r="AO9" s="110">
        <f t="shared" si="27"/>
        <v>0</v>
      </c>
      <c r="AP9" s="100" cm="1">
        <f t="array" ref="AP9">SUM([3]Hoja2!$I$6:$I$26*([3]Hoja2!$F$6:$F$26=AP$5)*([3]Hoja2!$K$6:$K$26=$C9))</f>
        <v>0</v>
      </c>
      <c r="AQ9" s="100" cm="1">
        <f t="array" ref="AQ9">SUM([3]Hoja2!$J$6:$J$26*([3]Hoja2!$F$6:$F$26=AP$5)*([3]Hoja2!$K$6:$K$26=$C9))</f>
        <v>0</v>
      </c>
      <c r="AR9" s="110">
        <f t="shared" si="28"/>
        <v>0</v>
      </c>
      <c r="AS9" s="100" cm="1">
        <f t="array" ref="AS9">SUM([3]Hoja2!$I$6:$I$26*([3]Hoja2!$F$6:$F$26=AS$5)*([3]Hoja2!$K$6:$K$26=$C9))</f>
        <v>0</v>
      </c>
      <c r="AT9" s="100" cm="1">
        <f t="array" ref="AT9">SUM([3]Hoja2!$J$6:$J$26*([3]Hoja2!$F$6:$F$26=AS$5)*([3]Hoja2!$K$6:$K$26=$C9))</f>
        <v>0</v>
      </c>
      <c r="AU9" s="110">
        <f t="shared" si="29"/>
        <v>0</v>
      </c>
      <c r="AV9" s="100" cm="1">
        <f t="array" ref="AV9">SUM([3]Hoja2!$I$6:$I$26*([3]Hoja2!$F$6:$F$26=AV$5)*([3]Hoja2!$K$6:$K$26=$C9))</f>
        <v>0</v>
      </c>
      <c r="AW9" s="100" cm="1">
        <f t="array" ref="AW9">SUM([3]Hoja2!$J$6:$J$26*([3]Hoja2!$F$6:$F$26=AV$5)*([3]Hoja2!$K$6:$K$26=$C9))</f>
        <v>0</v>
      </c>
      <c r="AX9" s="110">
        <f t="shared" si="30"/>
        <v>0</v>
      </c>
      <c r="AY9" s="102">
        <f t="shared" si="6"/>
        <v>96</v>
      </c>
      <c r="AZ9" s="103">
        <f t="shared" si="7"/>
        <v>204300</v>
      </c>
      <c r="BA9" s="104">
        <f t="shared" si="31"/>
        <v>2128.125</v>
      </c>
      <c r="BB9" s="103">
        <f t="shared" si="8"/>
        <v>-180736.54666175117</v>
      </c>
      <c r="BC9" s="104">
        <f t="shared" si="9"/>
        <v>-19952.64</v>
      </c>
      <c r="BD9" s="103">
        <f t="shared" si="10"/>
        <v>-6821.9573513718842</v>
      </c>
      <c r="BE9" s="104">
        <f t="shared" si="11"/>
        <v>-13410.812277306521</v>
      </c>
      <c r="BF9" s="103">
        <f t="shared" si="12"/>
        <v>-10720.484725713977</v>
      </c>
      <c r="BG9" s="104">
        <f t="shared" si="13"/>
        <v>5800.1684703765295</v>
      </c>
      <c r="BH9" s="103">
        <f t="shared" si="32"/>
        <v>-10821.787820053054</v>
      </c>
      <c r="BI9" s="105">
        <f t="shared" si="33"/>
        <v>-5.2970082330166687E-2</v>
      </c>
      <c r="BJ9" s="106">
        <f t="shared" si="14"/>
        <v>13309.509182967453</v>
      </c>
      <c r="BK9" s="107">
        <f t="shared" si="15"/>
        <v>6.5146887826566094E-2</v>
      </c>
      <c r="BM9" s="108">
        <f t="shared" si="16"/>
        <v>2128.125</v>
      </c>
      <c r="BN9" s="109">
        <f t="shared" si="17"/>
        <v>-1882.6723610599081</v>
      </c>
      <c r="BO9" s="109">
        <f t="shared" si="17"/>
        <v>-207.84</v>
      </c>
      <c r="BP9" s="109">
        <f t="shared" si="17"/>
        <v>-71.062055743457123</v>
      </c>
      <c r="BQ9" s="109">
        <f t="shared" si="17"/>
        <v>-139.69596122194292</v>
      </c>
      <c r="BR9" s="109">
        <f t="shared" si="17"/>
        <v>-111.67171589285392</v>
      </c>
      <c r="BS9" s="109">
        <f t="shared" si="17"/>
        <v>60.418421566422182</v>
      </c>
      <c r="BT9" s="109">
        <f t="shared" si="17"/>
        <v>-112.72695645888598</v>
      </c>
      <c r="BU9" s="109">
        <f t="shared" si="18"/>
        <v>138.64072065591097</v>
      </c>
      <c r="BV9" s="51">
        <f t="shared" si="19"/>
        <v>251.36767711479695</v>
      </c>
    </row>
    <row r="10" spans="2:78" x14ac:dyDescent="0.3">
      <c r="B10" s="50">
        <v>10007050</v>
      </c>
      <c r="C10" s="53" t="s">
        <v>76</v>
      </c>
      <c r="D10" s="91">
        <f>TD!F7</f>
        <v>131.76</v>
      </c>
      <c r="E10" s="92">
        <f t="shared" si="0"/>
        <v>1443.9459506771441</v>
      </c>
      <c r="F10" s="51">
        <f>TD!G7</f>
        <v>190254.31846122048</v>
      </c>
      <c r="G10" s="51">
        <f>TD!H7</f>
        <v>27384.9984</v>
      </c>
      <c r="H10" s="51">
        <f>TD!I7</f>
        <v>7902.4864330168857</v>
      </c>
      <c r="I10" s="51">
        <f>TD!J7</f>
        <v>15534.949372827567</v>
      </c>
      <c r="J10" s="51">
        <f>TD!K7</f>
        <v>12418.501133444159</v>
      </c>
      <c r="K10" s="94">
        <v>0</v>
      </c>
      <c r="L10" s="95">
        <v>0</v>
      </c>
      <c r="M10" s="96">
        <f t="shared" si="20"/>
        <v>241076.75266706495</v>
      </c>
      <c r="N10" s="97">
        <f t="shared" si="34"/>
        <v>1829.6657002661275</v>
      </c>
      <c r="O10" s="97">
        <f>F10+G10+H10-J10</f>
        <v>213123.30216079322</v>
      </c>
      <c r="P10" s="97">
        <f t="shared" si="1"/>
        <v>1617.5114007346178</v>
      </c>
      <c r="Q10" s="111">
        <v>2300</v>
      </c>
      <c r="R10" s="111">
        <f t="shared" si="21"/>
        <v>303048</v>
      </c>
      <c r="S10" s="111">
        <f t="shared" si="2"/>
        <v>70611.366058526837</v>
      </c>
      <c r="T10" s="112">
        <f t="shared" si="3"/>
        <v>0.23300390056534553</v>
      </c>
      <c r="U10" s="111">
        <f t="shared" si="4"/>
        <v>98564.816564798573</v>
      </c>
      <c r="V10" s="112">
        <f t="shared" si="5"/>
        <v>0.32524490036165415</v>
      </c>
      <c r="X10" s="100" cm="1">
        <f t="array" ref="X10">SUM([3]Hoja2!$I$6:$I$26*([3]Hoja2!$F$6:$F$26=X$5)*([3]Hoja2!$K$6:$K$26=$C10))</f>
        <v>0</v>
      </c>
      <c r="Y10" s="100" cm="1">
        <f t="array" ref="Y10">SUM([3]Hoja2!$J$6:$J$26*([3]Hoja2!$F$6:$F$26=X$5)*([3]Hoja2!$K$6:$K$26=$C10))</f>
        <v>0</v>
      </c>
      <c r="Z10" s="110">
        <f t="shared" si="22"/>
        <v>0</v>
      </c>
      <c r="AA10" s="100" cm="1">
        <f t="array" ref="AA10">SUM([3]Hoja2!$I$6:$I$26*([3]Hoja2!$F$6:$F$26=AA$5)*([3]Hoja2!$K$6:$K$26=$C10))</f>
        <v>0</v>
      </c>
      <c r="AB10" s="100" cm="1">
        <f t="array" ref="AB10">SUM([3]Hoja2!$J$6:$J$26*([3]Hoja2!$F$6:$F$26=AA$5)*([3]Hoja2!$K$6:$K$26=$C10))</f>
        <v>0</v>
      </c>
      <c r="AC10" s="110">
        <f t="shared" si="23"/>
        <v>0</v>
      </c>
      <c r="AD10" s="100" cm="1">
        <f t="array" ref="AD10">SUM([3]Hoja2!$I$6:$I$26*([3]Hoja2!$F$6:$F$26=AD$5)*([3]Hoja2!$K$6:$K$26=$C10))</f>
        <v>0</v>
      </c>
      <c r="AE10" s="100" cm="1">
        <f t="array" ref="AE10">SUM([3]Hoja2!$J$6:$J$26*([3]Hoja2!$F$6:$F$26=AD$5)*([3]Hoja2!$K$6:$K$26=$C10))</f>
        <v>0</v>
      </c>
      <c r="AF10" s="110">
        <f t="shared" si="24"/>
        <v>0</v>
      </c>
      <c r="AG10" s="100" cm="1">
        <f t="array" ref="AG10">SUM([3]Hoja2!$I$6:$I$26*([3]Hoja2!$F$6:$F$26=AG$5)*([3]Hoja2!$K$6:$K$26=$C10))</f>
        <v>0</v>
      </c>
      <c r="AH10" s="100" cm="1">
        <f t="array" ref="AH10">SUM([3]Hoja2!$J$6:$J$26*([3]Hoja2!$F$6:$F$26=AG$5)*([3]Hoja2!$K$6:$K$26=$C10))</f>
        <v>0</v>
      </c>
      <c r="AI10" s="110">
        <f t="shared" si="25"/>
        <v>0</v>
      </c>
      <c r="AJ10" s="100" cm="1">
        <f t="array" ref="AJ10">SUM([3]Hoja2!$I$6:$I$26*([3]Hoja2!$F$6:$F$26=AJ$5)*([3]Hoja2!$K$6:$K$26=$C10))</f>
        <v>0</v>
      </c>
      <c r="AK10" s="100" cm="1">
        <f t="array" ref="AK10">SUM([3]Hoja2!$J$6:$J$26*([3]Hoja2!$F$6:$F$26=AJ$5)*([3]Hoja2!$K$6:$K$26=$C10))</f>
        <v>0</v>
      </c>
      <c r="AL10" s="110">
        <f t="shared" si="26"/>
        <v>0</v>
      </c>
      <c r="AM10" s="100" cm="1">
        <f t="array" ref="AM10">SUM([3]Hoja2!$I$6:$I$26*([3]Hoja2!$F$6:$F$26=AM$5)*([3]Hoja2!$K$6:$K$26=$C10))</f>
        <v>0</v>
      </c>
      <c r="AN10" s="100" cm="1">
        <f t="array" ref="AN10">SUM([3]Hoja2!$J$6:$J$26*([3]Hoja2!$F$6:$F$26=AM$5)*([3]Hoja2!$K$6:$K$26=$C10))</f>
        <v>0</v>
      </c>
      <c r="AO10" s="110">
        <f t="shared" si="27"/>
        <v>0</v>
      </c>
      <c r="AP10" s="100" cm="1">
        <f t="array" ref="AP10">SUM([3]Hoja2!$I$6:$I$26*([3]Hoja2!$F$6:$F$26=AP$5)*([3]Hoja2!$K$6:$K$26=$C10))</f>
        <v>0</v>
      </c>
      <c r="AQ10" s="100" cm="1">
        <f t="array" ref="AQ10">SUM([3]Hoja2!$J$6:$J$26*([3]Hoja2!$F$6:$F$26=AP$5)*([3]Hoja2!$K$6:$K$26=$C10))</f>
        <v>0</v>
      </c>
      <c r="AR10" s="110">
        <f t="shared" si="28"/>
        <v>0</v>
      </c>
      <c r="AS10" s="100" cm="1">
        <f t="array" ref="AS10">SUM([3]Hoja2!$I$6:$I$26*([3]Hoja2!$F$6:$F$26=AS$5)*([3]Hoja2!$K$6:$K$26=$C10))</f>
        <v>0</v>
      </c>
      <c r="AT10" s="100" cm="1">
        <f t="array" ref="AT10">SUM([3]Hoja2!$J$6:$J$26*([3]Hoja2!$F$6:$F$26=AS$5)*([3]Hoja2!$K$6:$K$26=$C10))</f>
        <v>0</v>
      </c>
      <c r="AU10" s="110">
        <f t="shared" si="29"/>
        <v>0</v>
      </c>
      <c r="AV10" s="100" cm="1">
        <f t="array" ref="AV10">SUM([3]Hoja2!$I$6:$I$26*([3]Hoja2!$F$6:$F$26=AV$5)*([3]Hoja2!$K$6:$K$26=$C10))</f>
        <v>0</v>
      </c>
      <c r="AW10" s="100" cm="1">
        <f t="array" ref="AW10">SUM([3]Hoja2!$J$6:$J$26*([3]Hoja2!$F$6:$F$26=AV$5)*([3]Hoja2!$K$6:$K$26=$C10))</f>
        <v>0</v>
      </c>
      <c r="AX10" s="110">
        <f t="shared" si="30"/>
        <v>0</v>
      </c>
      <c r="AY10" s="102">
        <f t="shared" si="6"/>
        <v>0</v>
      </c>
      <c r="AZ10" s="103">
        <f t="shared" si="7"/>
        <v>0</v>
      </c>
      <c r="BA10" s="104">
        <f t="shared" si="31"/>
        <v>0</v>
      </c>
      <c r="BB10" s="103">
        <f t="shared" si="8"/>
        <v>0</v>
      </c>
      <c r="BC10" s="104">
        <f t="shared" si="9"/>
        <v>0</v>
      </c>
      <c r="BD10" s="103">
        <f t="shared" si="10"/>
        <v>0</v>
      </c>
      <c r="BE10" s="104">
        <f t="shared" si="11"/>
        <v>0</v>
      </c>
      <c r="BF10" s="103">
        <f t="shared" si="12"/>
        <v>0</v>
      </c>
      <c r="BG10" s="104">
        <f t="shared" si="13"/>
        <v>0</v>
      </c>
      <c r="BH10" s="103">
        <f t="shared" si="32"/>
        <v>0</v>
      </c>
      <c r="BI10" s="105">
        <f t="shared" si="33"/>
        <v>0</v>
      </c>
      <c r="BJ10" s="106">
        <f t="shared" si="14"/>
        <v>0</v>
      </c>
      <c r="BK10" s="107">
        <f t="shared" si="15"/>
        <v>0</v>
      </c>
      <c r="BM10" s="108">
        <f t="shared" si="16"/>
        <v>0</v>
      </c>
      <c r="BN10" s="109">
        <f t="shared" si="17"/>
        <v>0</v>
      </c>
      <c r="BO10" s="109">
        <f t="shared" si="17"/>
        <v>0</v>
      </c>
      <c r="BP10" s="109">
        <f t="shared" si="17"/>
        <v>0</v>
      </c>
      <c r="BQ10" s="109">
        <f t="shared" si="17"/>
        <v>0</v>
      </c>
      <c r="BR10" s="109">
        <f t="shared" si="17"/>
        <v>0</v>
      </c>
      <c r="BS10" s="109">
        <f t="shared" si="17"/>
        <v>0</v>
      </c>
      <c r="BT10" s="109">
        <f t="shared" si="17"/>
        <v>0</v>
      </c>
      <c r="BU10" s="109">
        <f t="shared" si="18"/>
        <v>0</v>
      </c>
      <c r="BV10" s="51">
        <f t="shared" si="19"/>
        <v>0</v>
      </c>
    </row>
    <row r="11" spans="2:78" x14ac:dyDescent="0.3">
      <c r="B11" s="50">
        <v>10007162</v>
      </c>
      <c r="C11" s="53" t="s">
        <v>77</v>
      </c>
      <c r="D11" s="91">
        <f>TD!F8</f>
        <v>102.56</v>
      </c>
      <c r="E11" s="92">
        <f t="shared" si="0"/>
        <v>1740.6977734802119</v>
      </c>
      <c r="F11" s="51">
        <f>TD!G8</f>
        <v>178525.96364813054</v>
      </c>
      <c r="G11" s="51">
        <f>TD!H8</f>
        <v>21316.070400000004</v>
      </c>
      <c r="H11" s="51">
        <f>TD!I8</f>
        <v>6151.1764463434411</v>
      </c>
      <c r="I11" s="51">
        <f>TD!J8</f>
        <v>12092.170671502696</v>
      </c>
      <c r="J11" s="51">
        <f>TD!K8</f>
        <v>9666.3742884489438</v>
      </c>
      <c r="K11" s="94">
        <v>0</v>
      </c>
      <c r="L11" s="95">
        <v>0</v>
      </c>
      <c r="M11" s="96">
        <f t="shared" si="20"/>
        <v>218085.38116597669</v>
      </c>
      <c r="N11" s="97">
        <f t="shared" si="34"/>
        <v>2126.4175230691953</v>
      </c>
      <c r="O11" s="97">
        <f>F11+G11+H11-J11</f>
        <v>196326.83620602504</v>
      </c>
      <c r="P11" s="97">
        <f t="shared" si="1"/>
        <v>1914.2632235376855</v>
      </c>
      <c r="Q11" s="111">
        <v>2300</v>
      </c>
      <c r="R11" s="111">
        <f t="shared" si="21"/>
        <v>235888</v>
      </c>
      <c r="S11" s="111">
        <f t="shared" si="2"/>
        <v>24527.957149875565</v>
      </c>
      <c r="T11" s="112">
        <f t="shared" si="3"/>
        <v>0.10398136891183768</v>
      </c>
      <c r="U11" s="111">
        <f t="shared" si="4"/>
        <v>46286.502109827226</v>
      </c>
      <c r="V11" s="112">
        <f t="shared" si="5"/>
        <v>0.19622236870814636</v>
      </c>
      <c r="X11" s="100" cm="1">
        <f t="array" ref="X11">SUM([3]Hoja2!$I$6:$I$26*([3]Hoja2!$F$6:$F$26=X$5)*([3]Hoja2!$K$6:$K$26=$C11))</f>
        <v>0</v>
      </c>
      <c r="Y11" s="100" cm="1">
        <f t="array" ref="Y11">SUM([3]Hoja2!$J$6:$J$26*([3]Hoja2!$F$6:$F$26=X$5)*([3]Hoja2!$K$6:$K$26=$C11))</f>
        <v>0</v>
      </c>
      <c r="Z11" s="110">
        <f t="shared" si="22"/>
        <v>0</v>
      </c>
      <c r="AA11" s="100" cm="1">
        <f t="array" ref="AA11">SUM([3]Hoja2!$I$6:$I$26*([3]Hoja2!$F$6:$F$26=AA$5)*([3]Hoja2!$K$6:$K$26=$C11))</f>
        <v>0</v>
      </c>
      <c r="AB11" s="100" cm="1">
        <f t="array" ref="AB11">SUM([3]Hoja2!$J$6:$J$26*([3]Hoja2!$F$6:$F$26=AA$5)*([3]Hoja2!$K$6:$K$26=$C11))</f>
        <v>0</v>
      </c>
      <c r="AC11" s="110">
        <f t="shared" si="23"/>
        <v>0</v>
      </c>
      <c r="AD11" s="100" cm="1">
        <f t="array" ref="AD11">SUM([3]Hoja2!$I$6:$I$26*([3]Hoja2!$F$6:$F$26=AD$5)*([3]Hoja2!$K$6:$K$26=$C11))</f>
        <v>27</v>
      </c>
      <c r="AE11" s="100" cm="1">
        <f t="array" ref="AE11">SUM([3]Hoja2!$J$6:$J$26*([3]Hoja2!$F$6:$F$26=AD$5)*([3]Hoja2!$K$6:$K$26=$C11))</f>
        <v>82350</v>
      </c>
      <c r="AF11" s="110">
        <f t="shared" si="24"/>
        <v>3050</v>
      </c>
      <c r="AG11" s="100" cm="1">
        <f t="array" ref="AG11">SUM([3]Hoja2!$I$6:$I$26*([3]Hoja2!$F$6:$F$26=AG$5)*([3]Hoja2!$K$6:$K$26=$C11))</f>
        <v>26</v>
      </c>
      <c r="AH11" s="100" cm="1">
        <f t="array" ref="AH11">SUM([3]Hoja2!$J$6:$J$26*([3]Hoja2!$F$6:$F$26=AG$5)*([3]Hoja2!$K$6:$K$26=$C11))</f>
        <v>67600</v>
      </c>
      <c r="AI11" s="110">
        <f t="shared" si="25"/>
        <v>2600</v>
      </c>
      <c r="AJ11" s="100" cm="1">
        <f t="array" ref="AJ11">SUM([3]Hoja2!$I$6:$I$26*([3]Hoja2!$F$6:$F$26=AJ$5)*([3]Hoja2!$K$6:$K$26=$C11))</f>
        <v>0</v>
      </c>
      <c r="AK11" s="100" cm="1">
        <f t="array" ref="AK11">SUM([3]Hoja2!$J$6:$J$26*([3]Hoja2!$F$6:$F$26=AJ$5)*([3]Hoja2!$K$6:$K$26=$C11))</f>
        <v>0</v>
      </c>
      <c r="AL11" s="110">
        <f t="shared" si="26"/>
        <v>0</v>
      </c>
      <c r="AM11" s="100" cm="1">
        <f t="array" ref="AM11">SUM([3]Hoja2!$I$6:$I$26*([3]Hoja2!$F$6:$F$26=AM$5)*([3]Hoja2!$K$6:$K$26=$C11))</f>
        <v>52</v>
      </c>
      <c r="AN11" s="100" cm="1">
        <f t="array" ref="AN11">SUM([3]Hoja2!$J$6:$J$26*([3]Hoja2!$F$6:$F$26=AM$5)*([3]Hoja2!$K$6:$K$26=$C11))</f>
        <v>135200</v>
      </c>
      <c r="AO11" s="110">
        <f t="shared" si="27"/>
        <v>2600</v>
      </c>
      <c r="AP11" s="100" cm="1">
        <f t="array" ref="AP11">SUM([3]Hoja2!$I$6:$I$26*([3]Hoja2!$F$6:$F$26=AP$5)*([3]Hoja2!$K$6:$K$26=$C11))</f>
        <v>0</v>
      </c>
      <c r="AQ11" s="100" cm="1">
        <f t="array" ref="AQ11">SUM([3]Hoja2!$J$6:$J$26*([3]Hoja2!$F$6:$F$26=AP$5)*([3]Hoja2!$K$6:$K$26=$C11))</f>
        <v>0</v>
      </c>
      <c r="AR11" s="110">
        <f t="shared" si="28"/>
        <v>0</v>
      </c>
      <c r="AS11" s="100" cm="1">
        <f t="array" ref="AS11">SUM([3]Hoja2!$I$6:$I$26*([3]Hoja2!$F$6:$F$26=AS$5)*([3]Hoja2!$K$6:$K$26=$C11))</f>
        <v>0</v>
      </c>
      <c r="AT11" s="100" cm="1">
        <f t="array" ref="AT11">SUM([3]Hoja2!$J$6:$J$26*([3]Hoja2!$F$6:$F$26=AS$5)*([3]Hoja2!$K$6:$K$26=$C11))</f>
        <v>0</v>
      </c>
      <c r="AU11" s="110">
        <f t="shared" si="29"/>
        <v>0</v>
      </c>
      <c r="AV11" s="100" cm="1">
        <f t="array" ref="AV11">SUM([3]Hoja2!$I$6:$I$26*([3]Hoja2!$F$6:$F$26=AV$5)*([3]Hoja2!$K$6:$K$26=$C11))</f>
        <v>162</v>
      </c>
      <c r="AW11" s="100" cm="1">
        <f t="array" ref="AW11">SUM([3]Hoja2!$J$6:$J$26*([3]Hoja2!$F$6:$F$26=AV$5)*([3]Hoja2!$K$6:$K$26=$C11))</f>
        <v>437400</v>
      </c>
      <c r="AX11" s="110">
        <f t="shared" si="30"/>
        <v>2700</v>
      </c>
      <c r="AY11" s="102">
        <f t="shared" si="6"/>
        <v>267</v>
      </c>
      <c r="AZ11" s="103">
        <f t="shared" si="7"/>
        <v>722550</v>
      </c>
      <c r="BA11" s="104">
        <f t="shared" si="31"/>
        <v>2706.1797752808989</v>
      </c>
      <c r="BB11" s="103">
        <f t="shared" si="8"/>
        <v>-464766.30551921658</v>
      </c>
      <c r="BC11" s="104">
        <f t="shared" si="9"/>
        <v>-55493.279999999999</v>
      </c>
      <c r="BD11" s="103">
        <f t="shared" si="10"/>
        <v>-18973.568883503052</v>
      </c>
      <c r="BE11" s="104">
        <f t="shared" si="11"/>
        <v>-37298.821646258759</v>
      </c>
      <c r="BF11" s="103">
        <f t="shared" si="12"/>
        <v>-29816.348143392002</v>
      </c>
      <c r="BG11" s="104">
        <f t="shared" si="13"/>
        <v>20761.937308234723</v>
      </c>
      <c r="BH11" s="103">
        <f t="shared" si="32"/>
        <v>166779.96125925623</v>
      </c>
      <c r="BI11" s="105">
        <f t="shared" si="33"/>
        <v>0.23082134282645661</v>
      </c>
      <c r="BJ11" s="106">
        <f t="shared" si="14"/>
        <v>233895.13104890709</v>
      </c>
      <c r="BK11" s="107">
        <f t="shared" si="15"/>
        <v>0.32370788325916144</v>
      </c>
      <c r="BM11" s="108">
        <f t="shared" si="16"/>
        <v>2706.1797752808989</v>
      </c>
      <c r="BN11" s="109">
        <f t="shared" si="17"/>
        <v>-1740.6977734802119</v>
      </c>
      <c r="BO11" s="109">
        <f t="shared" si="17"/>
        <v>-207.84</v>
      </c>
      <c r="BP11" s="109">
        <f t="shared" si="17"/>
        <v>-71.062055743457123</v>
      </c>
      <c r="BQ11" s="109">
        <f t="shared" si="17"/>
        <v>-139.69596122194292</v>
      </c>
      <c r="BR11" s="109">
        <f t="shared" si="17"/>
        <v>-111.67171589285394</v>
      </c>
      <c r="BS11" s="109">
        <f t="shared" si="17"/>
        <v>77.760064824849152</v>
      </c>
      <c r="BT11" s="109">
        <f t="shared" si="17"/>
        <v>624.64404966013569</v>
      </c>
      <c r="BU11" s="109">
        <f t="shared" si="18"/>
        <v>876.01172677493287</v>
      </c>
      <c r="BV11" s="51">
        <f t="shared" si="19"/>
        <v>251.36767711479717</v>
      </c>
    </row>
    <row r="12" spans="2:78" x14ac:dyDescent="0.3">
      <c r="B12" s="50">
        <v>10007567</v>
      </c>
      <c r="C12" s="53" t="s">
        <v>78</v>
      </c>
      <c r="D12" s="91">
        <f>TD!F9</f>
        <v>77.599999999999994</v>
      </c>
      <c r="E12" s="92">
        <f t="shared" si="0"/>
        <v>1682.659207042434</v>
      </c>
      <c r="F12" s="51">
        <f>TD!G9</f>
        <v>130574.35446649286</v>
      </c>
      <c r="G12" s="51">
        <f>TD!H9</f>
        <v>16128.384000000002</v>
      </c>
      <c r="H12" s="51">
        <f>TD!I9</f>
        <v>4654.1662659540852</v>
      </c>
      <c r="I12" s="51">
        <f>TD!J9</f>
        <v>9149.3023021510253</v>
      </c>
      <c r="J12" s="51">
        <f>TD!K9</f>
        <v>7313.8713414941321</v>
      </c>
      <c r="K12" s="94">
        <v>0</v>
      </c>
      <c r="L12" s="95">
        <v>0</v>
      </c>
      <c r="M12" s="96">
        <f t="shared" si="20"/>
        <v>160506.20703459796</v>
      </c>
      <c r="N12" s="97">
        <f t="shared" si="34"/>
        <v>2068.3789566314172</v>
      </c>
      <c r="O12" s="97">
        <f>F12+G12+H12-J12</f>
        <v>144043.0333909528</v>
      </c>
      <c r="P12" s="97">
        <f t="shared" si="1"/>
        <v>1856.2246570999073</v>
      </c>
      <c r="Q12" s="111">
        <v>2700</v>
      </c>
      <c r="R12" s="111">
        <f t="shared" si="21"/>
        <v>209519.99999999997</v>
      </c>
      <c r="S12" s="111">
        <f t="shared" si="2"/>
        <v>55033.587478956375</v>
      </c>
      <c r="T12" s="112">
        <f t="shared" si="3"/>
        <v>0.26266507960555741</v>
      </c>
      <c r="U12" s="111">
        <f t="shared" si="4"/>
        <v>71496.761122601529</v>
      </c>
      <c r="V12" s="112">
        <f t="shared" si="5"/>
        <v>0.34124074609870914</v>
      </c>
      <c r="X12" s="100" cm="1">
        <f t="array" ref="X12">SUM([3]Hoja2!$I$6:$I$26*([3]Hoja2!$F$6:$F$26=X$5)*([3]Hoja2!$K$6:$K$26=$C12))</f>
        <v>0</v>
      </c>
      <c r="Y12" s="100" cm="1">
        <f t="array" ref="Y12">SUM([3]Hoja2!$J$6:$J$26*([3]Hoja2!$F$6:$F$26=X$5)*([3]Hoja2!$K$6:$K$26=$C12))</f>
        <v>0</v>
      </c>
      <c r="Z12" s="110">
        <f t="shared" si="22"/>
        <v>0</v>
      </c>
      <c r="AA12" s="100" cm="1">
        <f t="array" ref="AA12">SUM([3]Hoja2!$I$6:$I$26*([3]Hoja2!$F$6:$F$26=AA$5)*([3]Hoja2!$K$6:$K$26=$C12))</f>
        <v>0</v>
      </c>
      <c r="AB12" s="100" cm="1">
        <f t="array" ref="AB12">SUM([3]Hoja2!$J$6:$J$26*([3]Hoja2!$F$6:$F$26=AA$5)*([3]Hoja2!$K$6:$K$26=$C12))</f>
        <v>0</v>
      </c>
      <c r="AC12" s="110">
        <f t="shared" si="23"/>
        <v>0</v>
      </c>
      <c r="AD12" s="100" cm="1">
        <f t="array" ref="AD12">SUM([3]Hoja2!$I$6:$I$26*([3]Hoja2!$F$6:$F$26=AD$5)*([3]Hoja2!$K$6:$K$26=$C12))</f>
        <v>0</v>
      </c>
      <c r="AE12" s="100" cm="1">
        <f t="array" ref="AE12">SUM([3]Hoja2!$J$6:$J$26*([3]Hoja2!$F$6:$F$26=AD$5)*([3]Hoja2!$K$6:$K$26=$C12))</f>
        <v>0</v>
      </c>
      <c r="AF12" s="110">
        <f t="shared" si="24"/>
        <v>0</v>
      </c>
      <c r="AG12" s="100" cm="1">
        <f t="array" ref="AG12">SUM([3]Hoja2!$I$6:$I$26*([3]Hoja2!$F$6:$F$26=AG$5)*([3]Hoja2!$K$6:$K$26=$C12))</f>
        <v>0</v>
      </c>
      <c r="AH12" s="100" cm="1">
        <f t="array" ref="AH12">SUM([3]Hoja2!$J$6:$J$26*([3]Hoja2!$F$6:$F$26=AG$5)*([3]Hoja2!$K$6:$K$26=$C12))</f>
        <v>0</v>
      </c>
      <c r="AI12" s="110">
        <f t="shared" si="25"/>
        <v>0</v>
      </c>
      <c r="AJ12" s="100" cm="1">
        <f t="array" ref="AJ12">SUM([3]Hoja2!$I$6:$I$26*([3]Hoja2!$F$6:$F$26=AJ$5)*([3]Hoja2!$K$6:$K$26=$C12))</f>
        <v>0</v>
      </c>
      <c r="AK12" s="100" cm="1">
        <f t="array" ref="AK12">SUM([3]Hoja2!$J$6:$J$26*([3]Hoja2!$F$6:$F$26=AJ$5)*([3]Hoja2!$K$6:$K$26=$C12))</f>
        <v>0</v>
      </c>
      <c r="AL12" s="110">
        <f t="shared" si="26"/>
        <v>0</v>
      </c>
      <c r="AM12" s="100" cm="1">
        <f t="array" ref="AM12">SUM([3]Hoja2!$I$6:$I$26*([3]Hoja2!$F$6:$F$26=AM$5)*([3]Hoja2!$K$6:$K$26=$C12))</f>
        <v>27</v>
      </c>
      <c r="AN12" s="100" cm="1">
        <f t="array" ref="AN12">SUM([3]Hoja2!$J$6:$J$26*([3]Hoja2!$F$6:$F$26=AM$5)*([3]Hoja2!$K$6:$K$26=$C12))</f>
        <v>73710</v>
      </c>
      <c r="AO12" s="110">
        <f t="shared" si="27"/>
        <v>2730</v>
      </c>
      <c r="AP12" s="100" cm="1">
        <f t="array" ref="AP12">SUM([3]Hoja2!$I$6:$I$26*([3]Hoja2!$F$6:$F$26=AP$5)*([3]Hoja2!$K$6:$K$26=$C12))</f>
        <v>0</v>
      </c>
      <c r="AQ12" s="100" cm="1">
        <f t="array" ref="AQ12">SUM([3]Hoja2!$J$6:$J$26*([3]Hoja2!$F$6:$F$26=AP$5)*([3]Hoja2!$K$6:$K$26=$C12))</f>
        <v>0</v>
      </c>
      <c r="AR12" s="110">
        <f t="shared" si="28"/>
        <v>0</v>
      </c>
      <c r="AS12" s="100" cm="1">
        <f t="array" ref="AS12">SUM([3]Hoja2!$I$6:$I$26*([3]Hoja2!$F$6:$F$26=AS$5)*([3]Hoja2!$K$6:$K$26=$C12))</f>
        <v>0</v>
      </c>
      <c r="AT12" s="100" cm="1">
        <f t="array" ref="AT12">SUM([3]Hoja2!$J$6:$J$26*([3]Hoja2!$F$6:$F$26=AS$5)*([3]Hoja2!$K$6:$K$26=$C12))</f>
        <v>0</v>
      </c>
      <c r="AU12" s="110">
        <f t="shared" si="29"/>
        <v>0</v>
      </c>
      <c r="AV12" s="100" cm="1">
        <f t="array" ref="AV12">SUM([3]Hoja2!$I$6:$I$26*([3]Hoja2!$F$6:$F$26=AV$5)*([3]Hoja2!$K$6:$K$26=$C12))</f>
        <v>0</v>
      </c>
      <c r="AW12" s="100" cm="1">
        <f t="array" ref="AW12">SUM([3]Hoja2!$J$6:$J$26*([3]Hoja2!$F$6:$F$26=AV$5)*([3]Hoja2!$K$6:$K$26=$C12))</f>
        <v>0</v>
      </c>
      <c r="AX12" s="110">
        <f t="shared" si="30"/>
        <v>0</v>
      </c>
      <c r="AY12" s="102">
        <f t="shared" si="6"/>
        <v>27</v>
      </c>
      <c r="AZ12" s="103">
        <f t="shared" si="7"/>
        <v>73710</v>
      </c>
      <c r="BA12" s="104">
        <f t="shared" si="31"/>
        <v>2730</v>
      </c>
      <c r="BB12" s="103">
        <f t="shared" si="8"/>
        <v>-45431.798590145714</v>
      </c>
      <c r="BC12" s="104">
        <f t="shared" si="9"/>
        <v>-5611.68</v>
      </c>
      <c r="BD12" s="103">
        <f t="shared" si="10"/>
        <v>-1918.6755050733423</v>
      </c>
      <c r="BE12" s="104">
        <f t="shared" si="11"/>
        <v>-3771.7909529924591</v>
      </c>
      <c r="BF12" s="103">
        <f t="shared" si="12"/>
        <v>-3015.1363291070566</v>
      </c>
      <c r="BG12" s="104">
        <f t="shared" si="13"/>
        <v>2118.8161322933988</v>
      </c>
      <c r="BH12" s="103">
        <f t="shared" si="32"/>
        <v>19094.871084081882</v>
      </c>
      <c r="BI12" s="105">
        <f t="shared" si="33"/>
        <v>0.25905401009472095</v>
      </c>
      <c r="BJ12" s="106">
        <f t="shared" si="14"/>
        <v>25881.7983661814</v>
      </c>
      <c r="BK12" s="107">
        <f t="shared" si="15"/>
        <v>0.35113008229794329</v>
      </c>
      <c r="BM12" s="108">
        <f t="shared" si="16"/>
        <v>2730</v>
      </c>
      <c r="BN12" s="109">
        <f t="shared" si="17"/>
        <v>-1682.6592070424338</v>
      </c>
      <c r="BO12" s="109">
        <f t="shared" si="17"/>
        <v>-207.84</v>
      </c>
      <c r="BP12" s="109">
        <f t="shared" si="17"/>
        <v>-71.062055743457123</v>
      </c>
      <c r="BQ12" s="109">
        <f t="shared" si="17"/>
        <v>-139.69596122194292</v>
      </c>
      <c r="BR12" s="109">
        <f t="shared" si="17"/>
        <v>-111.67171589285395</v>
      </c>
      <c r="BS12" s="109">
        <f t="shared" si="17"/>
        <v>78.474671566422174</v>
      </c>
      <c r="BT12" s="109">
        <f t="shared" si="17"/>
        <v>707.21744755858822</v>
      </c>
      <c r="BU12" s="109">
        <f t="shared" si="18"/>
        <v>958.58512467338517</v>
      </c>
      <c r="BV12" s="51">
        <f t="shared" si="19"/>
        <v>251.36767711479695</v>
      </c>
    </row>
    <row r="13" spans="2:78" x14ac:dyDescent="0.3">
      <c r="B13" s="50">
        <v>10007969</v>
      </c>
      <c r="C13" s="53" t="s">
        <v>7</v>
      </c>
      <c r="D13" s="91">
        <f>TD!F10</f>
        <v>34.46</v>
      </c>
      <c r="E13" s="92">
        <f t="shared" si="0"/>
        <v>1368.5038142857145</v>
      </c>
      <c r="F13" s="51">
        <f>TD!G10</f>
        <v>47158.641440285719</v>
      </c>
      <c r="G13" s="51">
        <f>TD!H10</f>
        <v>7162.1664000000001</v>
      </c>
      <c r="H13" s="51">
        <f>TD!I10</f>
        <v>2066.7856897522911</v>
      </c>
      <c r="I13" s="51">
        <f>TD!J10</f>
        <v>4062.9504810840767</v>
      </c>
      <c r="J13" s="51">
        <f>TD!K10</f>
        <v>3247.8866807717495</v>
      </c>
      <c r="K13" s="94">
        <v>0</v>
      </c>
      <c r="L13" s="95">
        <v>0</v>
      </c>
      <c r="M13" s="96">
        <f t="shared" si="20"/>
        <v>60450.544011122089</v>
      </c>
      <c r="N13" s="97">
        <f t="shared" si="34"/>
        <v>1754.2235638746979</v>
      </c>
      <c r="O13" s="97">
        <f>F13+G13+H13-J13</f>
        <v>53139.706849266266</v>
      </c>
      <c r="P13" s="97">
        <f t="shared" si="1"/>
        <v>1542.0692643431883</v>
      </c>
      <c r="Q13" s="111">
        <v>1800</v>
      </c>
      <c r="R13" s="111">
        <f t="shared" si="21"/>
        <v>62028</v>
      </c>
      <c r="S13" s="111">
        <f t="shared" si="2"/>
        <v>3320.2591710568195</v>
      </c>
      <c r="T13" s="112">
        <f t="shared" si="3"/>
        <v>5.352839316206906E-2</v>
      </c>
      <c r="U13" s="111">
        <f t="shared" si="4"/>
        <v>10631.096332912643</v>
      </c>
      <c r="V13" s="112">
        <f t="shared" si="5"/>
        <v>0.17139189290179666</v>
      </c>
      <c r="X13" s="100" cm="1">
        <f t="array" ref="X13">SUM([3]Hoja2!$I$6:$I$26*([3]Hoja2!$F$6:$F$26=X$5)*([3]Hoja2!$K$6:$K$26=$C13))</f>
        <v>0</v>
      </c>
      <c r="Y13" s="100" cm="1">
        <f t="array" ref="Y13">SUM([3]Hoja2!$J$6:$J$26*([3]Hoja2!$F$6:$F$26=X$5)*([3]Hoja2!$K$6:$K$26=$C13))</f>
        <v>0</v>
      </c>
      <c r="Z13" s="110">
        <f t="shared" si="22"/>
        <v>0</v>
      </c>
      <c r="AA13" s="100" cm="1">
        <f t="array" ref="AA13">SUM([3]Hoja2!$I$6:$I$26*([3]Hoja2!$F$6:$F$26=AA$5)*([3]Hoja2!$K$6:$K$26=$C13))</f>
        <v>0</v>
      </c>
      <c r="AB13" s="100" cm="1">
        <f t="array" ref="AB13">SUM([3]Hoja2!$J$6:$J$26*([3]Hoja2!$F$6:$F$26=AA$5)*([3]Hoja2!$K$6:$K$26=$C13))</f>
        <v>0</v>
      </c>
      <c r="AC13" s="110">
        <f t="shared" si="23"/>
        <v>0</v>
      </c>
      <c r="AD13" s="100" cm="1">
        <f t="array" ref="AD13">SUM([3]Hoja2!$I$6:$I$26*([3]Hoja2!$F$6:$F$26=AD$5)*([3]Hoja2!$K$6:$K$26=$C13))</f>
        <v>0</v>
      </c>
      <c r="AE13" s="100" cm="1">
        <f t="array" ref="AE13">SUM([3]Hoja2!$J$6:$J$26*([3]Hoja2!$F$6:$F$26=AD$5)*([3]Hoja2!$K$6:$K$26=$C13))</f>
        <v>0</v>
      </c>
      <c r="AF13" s="110">
        <f t="shared" si="24"/>
        <v>0</v>
      </c>
      <c r="AG13" s="100" cm="1">
        <f t="array" ref="AG13">SUM([3]Hoja2!$I$6:$I$26*([3]Hoja2!$F$6:$F$26=AG$5)*([3]Hoja2!$K$6:$K$26=$C13))</f>
        <v>0</v>
      </c>
      <c r="AH13" s="100" cm="1">
        <f t="array" ref="AH13">SUM([3]Hoja2!$J$6:$J$26*([3]Hoja2!$F$6:$F$26=AG$5)*([3]Hoja2!$K$6:$K$26=$C13))</f>
        <v>0</v>
      </c>
      <c r="AI13" s="110">
        <f t="shared" si="25"/>
        <v>0</v>
      </c>
      <c r="AJ13" s="100" cm="1">
        <f t="array" ref="AJ13">SUM([3]Hoja2!$I$6:$I$26*([3]Hoja2!$F$6:$F$26=AJ$5)*([3]Hoja2!$K$6:$K$26=$C13))</f>
        <v>27</v>
      </c>
      <c r="AK13" s="100" cm="1">
        <f t="array" ref="AK13">SUM([3]Hoja2!$J$6:$J$26*([3]Hoja2!$F$6:$F$26=AJ$5)*([3]Hoja2!$K$6:$K$26=$C13))</f>
        <v>46710</v>
      </c>
      <c r="AL13" s="110">
        <f t="shared" si="26"/>
        <v>1730</v>
      </c>
      <c r="AM13" s="100" cm="1">
        <f t="array" ref="AM13">SUM([3]Hoja2!$I$6:$I$26*([3]Hoja2!$F$6:$F$26=AM$5)*([3]Hoja2!$K$6:$K$26=$C13))</f>
        <v>0</v>
      </c>
      <c r="AN13" s="100" cm="1">
        <f t="array" ref="AN13">SUM([3]Hoja2!$J$6:$J$26*([3]Hoja2!$F$6:$F$26=AM$5)*([3]Hoja2!$K$6:$K$26=$C13))</f>
        <v>0</v>
      </c>
      <c r="AO13" s="110">
        <f t="shared" si="27"/>
        <v>0</v>
      </c>
      <c r="AP13" s="100" cm="1">
        <f t="array" ref="AP13">SUM([3]Hoja2!$I$6:$I$26*([3]Hoja2!$F$6:$F$26=AP$5)*([3]Hoja2!$K$6:$K$26=$C13))</f>
        <v>0</v>
      </c>
      <c r="AQ13" s="100" cm="1">
        <f t="array" ref="AQ13">SUM([3]Hoja2!$J$6:$J$26*([3]Hoja2!$F$6:$F$26=AP$5)*([3]Hoja2!$K$6:$K$26=$C13))</f>
        <v>0</v>
      </c>
      <c r="AR13" s="110">
        <f t="shared" si="28"/>
        <v>0</v>
      </c>
      <c r="AS13" s="100" cm="1">
        <f t="array" ref="AS13">SUM([3]Hoja2!$I$6:$I$26*([3]Hoja2!$F$6:$F$26=AS$5)*([3]Hoja2!$K$6:$K$26=$C13))</f>
        <v>0</v>
      </c>
      <c r="AT13" s="100" cm="1">
        <f t="array" ref="AT13">SUM([3]Hoja2!$J$6:$J$26*([3]Hoja2!$F$6:$F$26=AS$5)*([3]Hoja2!$K$6:$K$26=$C13))</f>
        <v>0</v>
      </c>
      <c r="AU13" s="110">
        <f t="shared" si="29"/>
        <v>0</v>
      </c>
      <c r="AV13" s="100" cm="1">
        <f t="array" ref="AV13">SUM([3]Hoja2!$I$6:$I$26*([3]Hoja2!$F$6:$F$26=AV$5)*([3]Hoja2!$K$6:$K$26=$C13))</f>
        <v>0</v>
      </c>
      <c r="AW13" s="100" cm="1">
        <f t="array" ref="AW13">SUM([3]Hoja2!$J$6:$J$26*([3]Hoja2!$F$6:$F$26=AV$5)*([3]Hoja2!$K$6:$K$26=$C13))</f>
        <v>0</v>
      </c>
      <c r="AX13" s="110">
        <f t="shared" si="30"/>
        <v>0</v>
      </c>
      <c r="AY13" s="102">
        <f t="shared" si="6"/>
        <v>27</v>
      </c>
      <c r="AZ13" s="103">
        <f t="shared" si="7"/>
        <v>46710</v>
      </c>
      <c r="BA13" s="104">
        <f t="shared" si="31"/>
        <v>1730</v>
      </c>
      <c r="BB13" s="103">
        <f t="shared" si="8"/>
        <v>-36949.602985714293</v>
      </c>
      <c r="BC13" s="104">
        <f t="shared" si="9"/>
        <v>-5611.68</v>
      </c>
      <c r="BD13" s="103">
        <f t="shared" si="10"/>
        <v>-1918.6755050733423</v>
      </c>
      <c r="BE13" s="104">
        <f t="shared" si="11"/>
        <v>-3771.7909529924591</v>
      </c>
      <c r="BF13" s="103">
        <f t="shared" si="12"/>
        <v>-3015.1363291070566</v>
      </c>
      <c r="BG13" s="104">
        <f t="shared" si="13"/>
        <v>1308.8161322933991</v>
      </c>
      <c r="BH13" s="103">
        <f t="shared" si="32"/>
        <v>-232.93331148669677</v>
      </c>
      <c r="BI13" s="105">
        <f t="shared" si="33"/>
        <v>-4.9867975056025853E-3</v>
      </c>
      <c r="BJ13" s="106">
        <f t="shared" si="14"/>
        <v>6553.9939706128198</v>
      </c>
      <c r="BK13" s="107">
        <f t="shared" si="15"/>
        <v>0.14031243782086961</v>
      </c>
      <c r="BM13" s="108">
        <f t="shared" si="16"/>
        <v>1730</v>
      </c>
      <c r="BN13" s="109">
        <f t="shared" si="17"/>
        <v>-1368.5038142857145</v>
      </c>
      <c r="BO13" s="109">
        <f t="shared" si="17"/>
        <v>-207.84</v>
      </c>
      <c r="BP13" s="109">
        <f t="shared" si="17"/>
        <v>-71.062055743457123</v>
      </c>
      <c r="BQ13" s="109">
        <f t="shared" si="17"/>
        <v>-139.69596122194292</v>
      </c>
      <c r="BR13" s="109">
        <f t="shared" si="17"/>
        <v>-111.67171589285395</v>
      </c>
      <c r="BS13" s="109">
        <f t="shared" si="17"/>
        <v>48.474671566422188</v>
      </c>
      <c r="BT13" s="109">
        <f t="shared" si="17"/>
        <v>-8.6271596846924723</v>
      </c>
      <c r="BU13" s="109">
        <f t="shared" si="18"/>
        <v>242.74051743010443</v>
      </c>
      <c r="BV13" s="51">
        <f t="shared" si="19"/>
        <v>251.36767711479689</v>
      </c>
    </row>
    <row r="14" spans="2:78" x14ac:dyDescent="0.3">
      <c r="B14" s="50">
        <v>10009239</v>
      </c>
      <c r="C14" s="53" t="s">
        <v>79</v>
      </c>
      <c r="D14" s="91">
        <f>TD!F11</f>
        <v>0</v>
      </c>
      <c r="E14" s="92">
        <f t="shared" si="0"/>
        <v>0</v>
      </c>
      <c r="F14" s="51">
        <f>TD!G11</f>
        <v>0</v>
      </c>
      <c r="G14" s="51">
        <f>TD!H11</f>
        <v>0</v>
      </c>
      <c r="H14" s="51">
        <f>TD!I11</f>
        <v>0</v>
      </c>
      <c r="I14" s="51">
        <f>TD!J11</f>
        <v>0</v>
      </c>
      <c r="J14" s="51">
        <f>TD!K11</f>
        <v>0</v>
      </c>
      <c r="K14" s="94">
        <v>0</v>
      </c>
      <c r="L14" s="95">
        <v>0</v>
      </c>
      <c r="M14" s="96">
        <f t="shared" si="20"/>
        <v>0</v>
      </c>
      <c r="N14" s="97">
        <f t="shared" si="34"/>
        <v>0</v>
      </c>
      <c r="O14" s="97">
        <f>F14+G14+H14-J14</f>
        <v>0</v>
      </c>
      <c r="P14" s="97">
        <f t="shared" si="1"/>
        <v>0</v>
      </c>
      <c r="Q14" s="98">
        <v>3900</v>
      </c>
      <c r="R14" s="98">
        <f t="shared" si="21"/>
        <v>0</v>
      </c>
      <c r="S14" s="98">
        <f t="shared" si="2"/>
        <v>0</v>
      </c>
      <c r="T14" s="99">
        <f t="shared" si="3"/>
        <v>0</v>
      </c>
      <c r="U14" s="98">
        <f t="shared" si="4"/>
        <v>0</v>
      </c>
      <c r="V14" s="99">
        <f t="shared" si="5"/>
        <v>0</v>
      </c>
      <c r="X14" s="100" cm="1">
        <f t="array" ref="X14">SUM([3]Hoja2!$I$6:$I$26*([3]Hoja2!$F$6:$F$26=X$5)*([3]Hoja2!$K$6:$K$26=$C14))</f>
        <v>0</v>
      </c>
      <c r="Y14" s="100" cm="1">
        <f t="array" ref="Y14">SUM([3]Hoja2!$J$6:$J$26*([3]Hoja2!$F$6:$F$26=X$5)*([3]Hoja2!$K$6:$K$26=$C14))</f>
        <v>0</v>
      </c>
      <c r="Z14" s="110">
        <f t="shared" si="22"/>
        <v>0</v>
      </c>
      <c r="AA14" s="100" cm="1">
        <f t="array" ref="AA14">SUM([3]Hoja2!$I$6:$I$26*([3]Hoja2!$F$6:$F$26=AA$5)*([3]Hoja2!$K$6:$K$26=$C14))</f>
        <v>0</v>
      </c>
      <c r="AB14" s="100" cm="1">
        <f t="array" ref="AB14">SUM([3]Hoja2!$J$6:$J$26*([3]Hoja2!$F$6:$F$26=AA$5)*([3]Hoja2!$K$6:$K$26=$C14))</f>
        <v>0</v>
      </c>
      <c r="AC14" s="110">
        <f t="shared" si="23"/>
        <v>0</v>
      </c>
      <c r="AD14" s="100" cm="1">
        <f t="array" ref="AD14">SUM([3]Hoja2!$I$6:$I$26*([3]Hoja2!$F$6:$F$26=AD$5)*([3]Hoja2!$K$6:$K$26=$C14))</f>
        <v>108</v>
      </c>
      <c r="AE14" s="100" cm="1">
        <f t="array" ref="AE14">SUM([3]Hoja2!$J$6:$J$26*([3]Hoja2!$F$6:$F$26=AD$5)*([3]Hoja2!$K$6:$K$26=$C14))</f>
        <v>421200</v>
      </c>
      <c r="AF14" s="110">
        <f t="shared" si="24"/>
        <v>3900</v>
      </c>
      <c r="AG14" s="100" cm="1">
        <f t="array" ref="AG14">SUM([3]Hoja2!$I$6:$I$26*([3]Hoja2!$F$6:$F$26=AG$5)*([3]Hoja2!$K$6:$K$26=$C14))</f>
        <v>0</v>
      </c>
      <c r="AH14" s="100" cm="1">
        <f t="array" ref="AH14">SUM([3]Hoja2!$J$6:$J$26*([3]Hoja2!$F$6:$F$26=AG$5)*([3]Hoja2!$K$6:$K$26=$C14))</f>
        <v>0</v>
      </c>
      <c r="AI14" s="110">
        <f t="shared" si="25"/>
        <v>0</v>
      </c>
      <c r="AJ14" s="100" cm="1">
        <f t="array" ref="AJ14">SUM([3]Hoja2!$I$6:$I$26*([3]Hoja2!$F$6:$F$26=AJ$5)*([3]Hoja2!$K$6:$K$26=$C14))</f>
        <v>0</v>
      </c>
      <c r="AK14" s="100" cm="1">
        <f t="array" ref="AK14">SUM([3]Hoja2!$J$6:$J$26*([3]Hoja2!$F$6:$F$26=AJ$5)*([3]Hoja2!$K$6:$K$26=$C14))</f>
        <v>0</v>
      </c>
      <c r="AL14" s="110">
        <f t="shared" si="26"/>
        <v>0</v>
      </c>
      <c r="AM14" s="100" cm="1">
        <f t="array" ref="AM14">SUM([3]Hoja2!$I$6:$I$26*([3]Hoja2!$F$6:$F$26=AM$5)*([3]Hoja2!$K$6:$K$26=$C14))</f>
        <v>0</v>
      </c>
      <c r="AN14" s="100" cm="1">
        <f t="array" ref="AN14">SUM([3]Hoja2!$J$6:$J$26*([3]Hoja2!$F$6:$F$26=AM$5)*([3]Hoja2!$K$6:$K$26=$C14))</f>
        <v>0</v>
      </c>
      <c r="AO14" s="110">
        <f t="shared" si="27"/>
        <v>0</v>
      </c>
      <c r="AP14" s="100" cm="1">
        <f t="array" ref="AP14">SUM([3]Hoja2!$I$6:$I$26*([3]Hoja2!$F$6:$F$26=AP$5)*([3]Hoja2!$K$6:$K$26=$C14))</f>
        <v>0</v>
      </c>
      <c r="AQ14" s="100" cm="1">
        <f t="array" ref="AQ14">SUM([3]Hoja2!$J$6:$J$26*([3]Hoja2!$F$6:$F$26=AP$5)*([3]Hoja2!$K$6:$K$26=$C14))</f>
        <v>0</v>
      </c>
      <c r="AR14" s="110">
        <f t="shared" si="28"/>
        <v>0</v>
      </c>
      <c r="AS14" s="100" cm="1">
        <f t="array" ref="AS14">SUM([3]Hoja2!$I$6:$I$26*([3]Hoja2!$F$6:$F$26=AS$5)*([3]Hoja2!$K$6:$K$26=$C14))</f>
        <v>162</v>
      </c>
      <c r="AT14" s="100" cm="1">
        <f t="array" ref="AT14">SUM([3]Hoja2!$J$6:$J$26*([3]Hoja2!$F$6:$F$26=AS$5)*([3]Hoja2!$K$6:$K$26=$C14))</f>
        <v>638550</v>
      </c>
      <c r="AU14" s="110">
        <f t="shared" si="29"/>
        <v>3941.6666666666665</v>
      </c>
      <c r="AV14" s="100" cm="1">
        <f t="array" ref="AV14">SUM([3]Hoja2!$I$6:$I$26*([3]Hoja2!$F$6:$F$26=AV$5)*([3]Hoja2!$K$6:$K$26=$C14))</f>
        <v>54</v>
      </c>
      <c r="AW14" s="100" cm="1">
        <f t="array" ref="AW14">SUM([3]Hoja2!$J$6:$J$26*([3]Hoja2!$F$6:$F$26=AV$5)*([3]Hoja2!$K$6:$K$26=$C14))</f>
        <v>213300</v>
      </c>
      <c r="AX14" s="110">
        <f t="shared" si="30"/>
        <v>3950</v>
      </c>
      <c r="AY14" s="102">
        <f t="shared" si="6"/>
        <v>324</v>
      </c>
      <c r="AZ14" s="103">
        <f t="shared" si="7"/>
        <v>1273050</v>
      </c>
      <c r="BA14" s="104">
        <f t="shared" si="31"/>
        <v>3929.1666666666665</v>
      </c>
      <c r="BB14" s="103">
        <f>-AY14*'Stock Libre'!H36*1000</f>
        <v>-1054580.3892796412</v>
      </c>
      <c r="BC14" s="104">
        <f t="shared" si="9"/>
        <v>-67340.160000000003</v>
      </c>
      <c r="BD14" s="103">
        <f t="shared" si="10"/>
        <v>-23024.106060880109</v>
      </c>
      <c r="BE14" s="104">
        <f t="shared" si="11"/>
        <v>-45261.491435909506</v>
      </c>
      <c r="BF14" s="103">
        <f t="shared" si="12"/>
        <v>-36181.635949284675</v>
      </c>
      <c r="BG14" s="104">
        <f t="shared" si="13"/>
        <v>37081.693587520786</v>
      </c>
      <c r="BH14" s="103">
        <f t="shared" si="32"/>
        <v>119925.54681109032</v>
      </c>
      <c r="BI14" s="105">
        <f t="shared" si="33"/>
        <v>9.4203328079093762E-2</v>
      </c>
      <c r="BJ14" s="106">
        <f t="shared" si="14"/>
        <v>201368.67419628415</v>
      </c>
      <c r="BK14" s="107">
        <f t="shared" si="15"/>
        <v>0.15817813455581803</v>
      </c>
      <c r="BM14" s="108">
        <f t="shared" si="16"/>
        <v>3929.1666666666665</v>
      </c>
      <c r="BN14" s="109">
        <f t="shared" si="17"/>
        <v>-3254.8777446902504</v>
      </c>
      <c r="BO14" s="109">
        <f t="shared" si="17"/>
        <v>-207.84</v>
      </c>
      <c r="BP14" s="109">
        <f t="shared" si="17"/>
        <v>-71.062055743457123</v>
      </c>
      <c r="BQ14" s="109">
        <f t="shared" si="17"/>
        <v>-139.69596122194292</v>
      </c>
      <c r="BR14" s="109">
        <f t="shared" si="17"/>
        <v>-111.67171589285394</v>
      </c>
      <c r="BS14" s="109">
        <f t="shared" si="17"/>
        <v>114.44967156642218</v>
      </c>
      <c r="BT14" s="109">
        <f t="shared" si="17"/>
        <v>370.14057657743928</v>
      </c>
      <c r="BU14" s="109">
        <f t="shared" si="18"/>
        <v>621.50825369223503</v>
      </c>
      <c r="BV14" s="51">
        <f t="shared" si="19"/>
        <v>251.36767711479575</v>
      </c>
    </row>
    <row r="15" spans="2:78" x14ac:dyDescent="0.3">
      <c r="B15" s="50">
        <v>10009334</v>
      </c>
      <c r="C15" s="53" t="s">
        <v>80</v>
      </c>
      <c r="D15" s="91">
        <f>TD!F12</f>
        <v>2.8260000000000001</v>
      </c>
      <c r="E15" s="92">
        <f t="shared" si="0"/>
        <v>2824.4285114873778</v>
      </c>
      <c r="F15" s="51">
        <f>TD!G12</f>
        <v>7981.8349734633293</v>
      </c>
      <c r="G15" s="51">
        <f>TD!H12</f>
        <v>587.35584000000006</v>
      </c>
      <c r="H15" s="51">
        <f>TD!I12</f>
        <v>169.49321994312174</v>
      </c>
      <c r="I15" s="51">
        <f>TD!J12</f>
        <v>333.19495239534535</v>
      </c>
      <c r="J15" s="51">
        <f>TD!K12</f>
        <v>266.35309808070122</v>
      </c>
      <c r="K15" s="94">
        <v>0</v>
      </c>
      <c r="L15" s="95">
        <v>0</v>
      </c>
      <c r="M15" s="96">
        <f t="shared" si="20"/>
        <v>9071.8789858017954</v>
      </c>
      <c r="N15" s="97">
        <f>IFERROR(M15/D15,0)</f>
        <v>3210.1482610763605</v>
      </c>
      <c r="O15" s="97">
        <f>F15+G15+H15-J15</f>
        <v>8472.33093532575</v>
      </c>
      <c r="P15" s="97">
        <f t="shared" si="1"/>
        <v>2997.9939615448511</v>
      </c>
      <c r="Q15" s="111">
        <v>3900</v>
      </c>
      <c r="R15" s="111">
        <f>Q15*D15</f>
        <v>11021.4</v>
      </c>
      <c r="S15" s="111">
        <f t="shared" si="2"/>
        <v>2270.4830360449132</v>
      </c>
      <c r="T15" s="112">
        <f t="shared" si="3"/>
        <v>0.20600677192052855</v>
      </c>
      <c r="U15" s="111">
        <f t="shared" si="4"/>
        <v>2870.0310865209585</v>
      </c>
      <c r="V15" s="112">
        <f t="shared" si="5"/>
        <v>0.26040531026194119</v>
      </c>
      <c r="X15" s="100" cm="1">
        <f t="array" ref="X15">SUM([3]Hoja2!$I$6:$I$26*([3]Hoja2!$F$6:$F$26=X$5)*([3]Hoja2!$K$6:$K$26=$C15))</f>
        <v>0</v>
      </c>
      <c r="Y15" s="100" cm="1">
        <f t="array" ref="Y15">SUM([3]Hoja2!$J$6:$J$26*([3]Hoja2!$F$6:$F$26=X$5)*([3]Hoja2!$K$6:$K$26=$C15))</f>
        <v>0</v>
      </c>
      <c r="Z15" s="110">
        <f t="shared" si="22"/>
        <v>0</v>
      </c>
      <c r="AA15" s="100" cm="1">
        <f t="array" ref="AA15">SUM([3]Hoja2!$I$6:$I$26*([3]Hoja2!$F$6:$F$26=AA$5)*([3]Hoja2!$K$6:$K$26=$C15))</f>
        <v>26.28</v>
      </c>
      <c r="AB15" s="100" cm="1">
        <f t="array" ref="AB15">SUM([3]Hoja2!$J$6:$J$26*([3]Hoja2!$F$6:$F$26=AA$5)*([3]Hoja2!$K$6:$K$26=$C15))</f>
        <v>113004</v>
      </c>
      <c r="AC15" s="110">
        <f t="shared" si="23"/>
        <v>4300</v>
      </c>
      <c r="AD15" s="100" cm="1">
        <f t="array" ref="AD15">SUM([3]Hoja2!$I$6:$I$26*([3]Hoja2!$F$6:$F$26=AD$5)*([3]Hoja2!$K$6:$K$26=$C15))</f>
        <v>0</v>
      </c>
      <c r="AE15" s="100" cm="1">
        <f t="array" ref="AE15">SUM([3]Hoja2!$J$6:$J$26*([3]Hoja2!$F$6:$F$26=AD$5)*([3]Hoja2!$K$6:$K$26=$C15))</f>
        <v>0</v>
      </c>
      <c r="AF15" s="110">
        <f t="shared" si="24"/>
        <v>0</v>
      </c>
      <c r="AG15" s="100" cm="1">
        <f t="array" ref="AG15">SUM([3]Hoja2!$I$6:$I$26*([3]Hoja2!$F$6:$F$26=AG$5)*([3]Hoja2!$K$6:$K$26=$C15))</f>
        <v>0</v>
      </c>
      <c r="AH15" s="100" cm="1">
        <f t="array" ref="AH15">SUM([3]Hoja2!$J$6:$J$26*([3]Hoja2!$F$6:$F$26=AG$5)*([3]Hoja2!$K$6:$K$26=$C15))</f>
        <v>0</v>
      </c>
      <c r="AI15" s="110">
        <f t="shared" si="25"/>
        <v>0</v>
      </c>
      <c r="AJ15" s="100" cm="1">
        <f t="array" ref="AJ15">SUM([3]Hoja2!$I$6:$I$26*([3]Hoja2!$F$6:$F$26=AJ$5)*([3]Hoja2!$K$6:$K$26=$C15))</f>
        <v>54</v>
      </c>
      <c r="AK15" s="100" cm="1">
        <f t="array" ref="AK15">SUM([3]Hoja2!$J$6:$J$26*([3]Hoja2!$F$6:$F$26=AJ$5)*([3]Hoja2!$K$6:$K$26=$C15))</f>
        <v>232200</v>
      </c>
      <c r="AL15" s="110">
        <f t="shared" si="26"/>
        <v>4300</v>
      </c>
      <c r="AM15" s="100" cm="1">
        <f t="array" ref="AM15">SUM([3]Hoja2!$I$6:$I$26*([3]Hoja2!$F$6:$F$26=AM$5)*([3]Hoja2!$K$6:$K$26=$C15))</f>
        <v>0</v>
      </c>
      <c r="AN15" s="100" cm="1">
        <f t="array" ref="AN15">SUM([3]Hoja2!$J$6:$J$26*([3]Hoja2!$F$6:$F$26=AM$5)*([3]Hoja2!$K$6:$K$26=$C15))</f>
        <v>0</v>
      </c>
      <c r="AO15" s="110">
        <f t="shared" si="27"/>
        <v>0</v>
      </c>
      <c r="AP15" s="100" cm="1">
        <f t="array" ref="AP15">SUM([3]Hoja2!$I$6:$I$26*([3]Hoja2!$F$6:$F$26=AP$5)*([3]Hoja2!$K$6:$K$26=$C15))</f>
        <v>27</v>
      </c>
      <c r="AQ15" s="100" cm="1">
        <f t="array" ref="AQ15">SUM([3]Hoja2!$J$6:$J$26*([3]Hoja2!$F$6:$F$26=AP$5)*([3]Hoja2!$K$6:$K$26=$C15))</f>
        <v>116100</v>
      </c>
      <c r="AR15" s="110">
        <f t="shared" si="28"/>
        <v>4300</v>
      </c>
      <c r="AS15" s="100" cm="1">
        <f t="array" ref="AS15">SUM([3]Hoja2!$I$6:$I$26*([3]Hoja2!$F$6:$F$26=AS$5)*([3]Hoja2!$K$6:$K$26=$C15))</f>
        <v>54</v>
      </c>
      <c r="AT15" s="100" cm="1">
        <f t="array" ref="AT15">SUM([3]Hoja2!$J$6:$J$26*([3]Hoja2!$F$6:$F$26=AS$5)*([3]Hoja2!$K$6:$K$26=$C15))</f>
        <v>213300</v>
      </c>
      <c r="AU15" s="110">
        <f t="shared" si="29"/>
        <v>3950</v>
      </c>
      <c r="AV15" s="100" cm="1">
        <f t="array" ref="AV15">SUM([3]Hoja2!$I$6:$I$26*([3]Hoja2!$F$6:$F$26=AV$5)*([3]Hoja2!$K$6:$K$26=$C15))</f>
        <v>0</v>
      </c>
      <c r="AW15" s="100" cm="1">
        <f t="array" ref="AW15">SUM([3]Hoja2!$J$6:$J$26*([3]Hoja2!$F$6:$F$26=AV$5)*([3]Hoja2!$K$6:$K$26=$C15))</f>
        <v>0</v>
      </c>
      <c r="AX15" s="110">
        <f t="shared" si="30"/>
        <v>0</v>
      </c>
      <c r="AY15" s="102">
        <f t="shared" si="6"/>
        <v>161.28</v>
      </c>
      <c r="AZ15" s="103">
        <f t="shared" si="7"/>
        <v>674604</v>
      </c>
      <c r="BA15" s="104">
        <f t="shared" si="31"/>
        <v>4182.8125</v>
      </c>
      <c r="BB15" s="103">
        <f>-AY15*'[2]Stock Libre'!H47*1000</f>
        <v>-455523.83033268427</v>
      </c>
      <c r="BC15" s="104">
        <f t="shared" si="9"/>
        <v>-33520.4352</v>
      </c>
      <c r="BD15" s="103">
        <f t="shared" si="10"/>
        <v>-11460.888350304765</v>
      </c>
      <c r="BE15" s="104">
        <f t="shared" si="11"/>
        <v>-22530.164625874953</v>
      </c>
      <c r="BF15" s="103">
        <f t="shared" si="12"/>
        <v>-18010.414339199484</v>
      </c>
      <c r="BG15" s="104">
        <f t="shared" si="13"/>
        <v>19685.683030232569</v>
      </c>
      <c r="BH15" s="103">
        <f t="shared" si="32"/>
        <v>171254.36452136858</v>
      </c>
      <c r="BI15" s="105">
        <f t="shared" si="33"/>
        <v>0.25385910033348241</v>
      </c>
      <c r="BJ15" s="106">
        <f t="shared" si="14"/>
        <v>211794.94348644302</v>
      </c>
      <c r="BK15" s="107">
        <f t="shared" si="15"/>
        <v>0.3139544732709012</v>
      </c>
      <c r="BM15" s="108">
        <f t="shared" si="16"/>
        <v>4182.8125</v>
      </c>
      <c r="BN15" s="109">
        <f t="shared" si="17"/>
        <v>-2824.4285114873778</v>
      </c>
      <c r="BO15" s="109">
        <f t="shared" si="17"/>
        <v>-207.84</v>
      </c>
      <c r="BP15" s="109">
        <f t="shared" si="17"/>
        <v>-71.062055743457123</v>
      </c>
      <c r="BQ15" s="109">
        <f t="shared" si="17"/>
        <v>-139.69596122194292</v>
      </c>
      <c r="BR15" s="109">
        <f t="shared" si="17"/>
        <v>-111.67171589285394</v>
      </c>
      <c r="BS15" s="109">
        <f t="shared" si="17"/>
        <v>122.05904656642218</v>
      </c>
      <c r="BT15" s="109">
        <f t="shared" si="17"/>
        <v>1061.8450181136445</v>
      </c>
      <c r="BU15" s="109">
        <f t="shared" si="18"/>
        <v>1313.2126952284414</v>
      </c>
      <c r="BV15" s="51">
        <f t="shared" si="19"/>
        <v>251.36767711479683</v>
      </c>
    </row>
    <row r="16" spans="2:78" x14ac:dyDescent="0.3">
      <c r="B16" s="50">
        <v>10009386</v>
      </c>
      <c r="C16" s="53" t="s">
        <v>81</v>
      </c>
      <c r="D16" s="91">
        <f>TD!F13</f>
        <v>17.14</v>
      </c>
      <c r="E16" s="92">
        <f t="shared" si="0"/>
        <v>1742.1709268610136</v>
      </c>
      <c r="F16" s="51">
        <f>TD!G13</f>
        <v>29860.809686397773</v>
      </c>
      <c r="G16" s="51">
        <f>TD!H13</f>
        <v>3562.3776000000003</v>
      </c>
      <c r="H16" s="51">
        <f>TD!I13</f>
        <v>1027.9949716295494</v>
      </c>
      <c r="I16" s="51">
        <f>TD!J13</f>
        <v>2020.8639363256261</v>
      </c>
      <c r="J16" s="51">
        <f>TD!K13</f>
        <v>1615.4607576444512</v>
      </c>
      <c r="K16" s="94">
        <v>0</v>
      </c>
      <c r="L16" s="95">
        <v>0</v>
      </c>
      <c r="M16" s="96">
        <f t="shared" si="20"/>
        <v>36472.046194352952</v>
      </c>
      <c r="N16" s="97">
        <f t="shared" ref="N16:N18" si="35">IFERROR(M16/D16,0)</f>
        <v>2127.890676449997</v>
      </c>
      <c r="O16" s="97">
        <f>F16+G16+H16-J16</f>
        <v>32835.721500382875</v>
      </c>
      <c r="P16" s="97">
        <f t="shared" si="1"/>
        <v>1915.7363769184874</v>
      </c>
      <c r="Q16" s="98">
        <v>2000</v>
      </c>
      <c r="R16" s="98">
        <f t="shared" ref="R16:R17" si="36">Q16*D16</f>
        <v>34280</v>
      </c>
      <c r="S16" s="98">
        <f t="shared" si="2"/>
        <v>-1222.3563237044755</v>
      </c>
      <c r="T16" s="99">
        <f t="shared" si="3"/>
        <v>-3.5658002441787497E-2</v>
      </c>
      <c r="U16" s="98">
        <f t="shared" si="4"/>
        <v>2413.9683702656012</v>
      </c>
      <c r="V16" s="99">
        <f t="shared" si="5"/>
        <v>7.0419147323967368E-2</v>
      </c>
      <c r="X16" s="100" cm="1">
        <f t="array" ref="X16">SUM([3]Hoja2!$I$6:$I$26*([3]Hoja2!$F$6:$F$26=X$5)*([3]Hoja2!$K$6:$K$26=$C16))</f>
        <v>0</v>
      </c>
      <c r="Y16" s="100" cm="1">
        <f t="array" ref="Y16">SUM([3]Hoja2!$J$6:$J$26*([3]Hoja2!$F$6:$F$26=X$5)*([3]Hoja2!$K$6:$K$26=$C16))</f>
        <v>0</v>
      </c>
      <c r="Z16" s="110">
        <f t="shared" si="22"/>
        <v>0</v>
      </c>
      <c r="AA16" s="100" cm="1">
        <f t="array" ref="AA16">SUM([3]Hoja2!$I$6:$I$26*([3]Hoja2!$F$6:$F$26=AA$5)*([3]Hoja2!$K$6:$K$26=$C16))</f>
        <v>0</v>
      </c>
      <c r="AB16" s="100" cm="1">
        <f t="array" ref="AB16">SUM([3]Hoja2!$J$6:$J$26*([3]Hoja2!$F$6:$F$26=AA$5)*([3]Hoja2!$K$6:$K$26=$C16))</f>
        <v>0</v>
      </c>
      <c r="AC16" s="110">
        <f t="shared" si="23"/>
        <v>0</v>
      </c>
      <c r="AD16" s="100" cm="1">
        <f t="array" ref="AD16">SUM([3]Hoja2!$I$6:$I$26*([3]Hoja2!$F$6:$F$26=AD$5)*([3]Hoja2!$K$6:$K$26=$C16))</f>
        <v>0</v>
      </c>
      <c r="AE16" s="100" cm="1">
        <f t="array" ref="AE16">SUM([3]Hoja2!$J$6:$J$26*([3]Hoja2!$F$6:$F$26=AD$5)*([3]Hoja2!$K$6:$K$26=$C16))</f>
        <v>0</v>
      </c>
      <c r="AF16" s="110">
        <f t="shared" si="24"/>
        <v>0</v>
      </c>
      <c r="AG16" s="100" cm="1">
        <f t="array" ref="AG16">SUM([3]Hoja2!$I$6:$I$26*([3]Hoja2!$F$6:$F$26=AG$5)*([3]Hoja2!$K$6:$K$26=$C16))</f>
        <v>0</v>
      </c>
      <c r="AH16" s="100" cm="1">
        <f t="array" ref="AH16">SUM([3]Hoja2!$J$6:$J$26*([3]Hoja2!$F$6:$F$26=AG$5)*([3]Hoja2!$K$6:$K$26=$C16))</f>
        <v>0</v>
      </c>
      <c r="AI16" s="110">
        <f t="shared" si="25"/>
        <v>0</v>
      </c>
      <c r="AJ16" s="100" cm="1">
        <f t="array" ref="AJ16">SUM([3]Hoja2!$I$6:$I$26*([3]Hoja2!$F$6:$F$26=AJ$5)*([3]Hoja2!$K$6:$K$26=$C16))</f>
        <v>0</v>
      </c>
      <c r="AK16" s="100" cm="1">
        <f t="array" ref="AK16">SUM([3]Hoja2!$J$6:$J$26*([3]Hoja2!$F$6:$F$26=AJ$5)*([3]Hoja2!$K$6:$K$26=$C16))</f>
        <v>0</v>
      </c>
      <c r="AL16" s="110">
        <f t="shared" si="26"/>
        <v>0</v>
      </c>
      <c r="AM16" s="100" cm="1">
        <f t="array" ref="AM16">SUM([3]Hoja2!$I$6:$I$26*([3]Hoja2!$F$6:$F$26=AM$5)*([3]Hoja2!$K$6:$K$26=$C16))</f>
        <v>0</v>
      </c>
      <c r="AN16" s="100" cm="1">
        <f t="array" ref="AN16">SUM([3]Hoja2!$J$6:$J$26*([3]Hoja2!$F$6:$F$26=AM$5)*([3]Hoja2!$K$6:$K$26=$C16))</f>
        <v>0</v>
      </c>
      <c r="AO16" s="110">
        <f t="shared" si="27"/>
        <v>0</v>
      </c>
      <c r="AP16" s="100" cm="1">
        <f t="array" ref="AP16">SUM([3]Hoja2!$I$6:$I$26*([3]Hoja2!$F$6:$F$26=AP$5)*([3]Hoja2!$K$6:$K$26=$C16))</f>
        <v>0</v>
      </c>
      <c r="AQ16" s="100" cm="1">
        <f t="array" ref="AQ16">SUM([3]Hoja2!$J$6:$J$26*([3]Hoja2!$F$6:$F$26=AP$5)*([3]Hoja2!$K$6:$K$26=$C16))</f>
        <v>0</v>
      </c>
      <c r="AR16" s="110">
        <f t="shared" si="28"/>
        <v>0</v>
      </c>
      <c r="AS16" s="100" cm="1">
        <f t="array" ref="AS16">SUM([3]Hoja2!$I$6:$I$26*([3]Hoja2!$F$6:$F$26=AS$5)*([3]Hoja2!$K$6:$K$26=$C16))</f>
        <v>0</v>
      </c>
      <c r="AT16" s="100" cm="1">
        <f t="array" ref="AT16">SUM([3]Hoja2!$J$6:$J$26*([3]Hoja2!$F$6:$F$26=AS$5)*([3]Hoja2!$K$6:$K$26=$C16))</f>
        <v>0</v>
      </c>
      <c r="AU16" s="110">
        <f t="shared" si="29"/>
        <v>0</v>
      </c>
      <c r="AV16" s="100" cm="1">
        <f t="array" ref="AV16">SUM([3]Hoja2!$I$6:$I$26*([3]Hoja2!$F$6:$F$26=AV$5)*([3]Hoja2!$K$6:$K$26=$C16))</f>
        <v>0</v>
      </c>
      <c r="AW16" s="100" cm="1">
        <f t="array" ref="AW16">SUM([3]Hoja2!$J$6:$J$26*([3]Hoja2!$F$6:$F$26=AV$5)*([3]Hoja2!$K$6:$K$26=$C16))</f>
        <v>0</v>
      </c>
      <c r="AX16" s="110">
        <f t="shared" si="30"/>
        <v>0</v>
      </c>
      <c r="AY16" s="102">
        <f t="shared" si="6"/>
        <v>0</v>
      </c>
      <c r="AZ16" s="103">
        <f t="shared" si="7"/>
        <v>0</v>
      </c>
      <c r="BA16" s="104">
        <f t="shared" si="31"/>
        <v>0</v>
      </c>
      <c r="BB16" s="103">
        <f>-IFERROR(F16/D16*AY16,0)</f>
        <v>0</v>
      </c>
      <c r="BC16" s="104">
        <f t="shared" si="9"/>
        <v>0</v>
      </c>
      <c r="BD16" s="103">
        <f t="shared" si="10"/>
        <v>0</v>
      </c>
      <c r="BE16" s="104">
        <f t="shared" si="11"/>
        <v>0</v>
      </c>
      <c r="BF16" s="103">
        <f t="shared" si="12"/>
        <v>0</v>
      </c>
      <c r="BG16" s="104">
        <f t="shared" si="13"/>
        <v>0</v>
      </c>
      <c r="BH16" s="103">
        <f t="shared" si="32"/>
        <v>0</v>
      </c>
      <c r="BI16" s="105">
        <f t="shared" si="33"/>
        <v>0</v>
      </c>
      <c r="BJ16" s="106">
        <f t="shared" si="14"/>
        <v>0</v>
      </c>
      <c r="BK16" s="107">
        <f t="shared" si="15"/>
        <v>0</v>
      </c>
      <c r="BM16" s="108">
        <f t="shared" si="16"/>
        <v>0</v>
      </c>
      <c r="BN16" s="109">
        <f t="shared" si="17"/>
        <v>0</v>
      </c>
      <c r="BO16" s="109">
        <f t="shared" si="17"/>
        <v>0</v>
      </c>
      <c r="BP16" s="109">
        <f t="shared" si="17"/>
        <v>0</v>
      </c>
      <c r="BQ16" s="109">
        <f t="shared" si="17"/>
        <v>0</v>
      </c>
      <c r="BR16" s="109">
        <f t="shared" si="17"/>
        <v>0</v>
      </c>
      <c r="BS16" s="109">
        <f t="shared" si="17"/>
        <v>0</v>
      </c>
      <c r="BT16" s="109">
        <f t="shared" si="17"/>
        <v>0</v>
      </c>
      <c r="BU16" s="109">
        <f t="shared" si="18"/>
        <v>0</v>
      </c>
      <c r="BV16" s="51">
        <f t="shared" si="19"/>
        <v>0</v>
      </c>
    </row>
    <row r="17" spans="2:74" ht="15" thickBot="1" x14ac:dyDescent="0.35">
      <c r="B17" s="50">
        <v>10009386</v>
      </c>
      <c r="C17" s="53" t="s">
        <v>108</v>
      </c>
      <c r="D17" s="91">
        <f>TD!F14</f>
        <v>11.4</v>
      </c>
      <c r="E17" s="92">
        <f t="shared" si="0"/>
        <v>1416.8704986990335</v>
      </c>
      <c r="F17" s="51">
        <f>TD!G14</f>
        <v>16152.323685168984</v>
      </c>
      <c r="G17" s="51">
        <f>TD!H14</f>
        <v>2369.3760000000002</v>
      </c>
      <c r="H17" s="51">
        <f>TD!I14</f>
        <v>683.73061123552293</v>
      </c>
      <c r="I17" s="51">
        <f>TD!J14</f>
        <v>1344.0985340788877</v>
      </c>
      <c r="J17" s="51">
        <f>TD!K14</f>
        <v>1074.4604805803235</v>
      </c>
      <c r="K17" s="94">
        <v>0</v>
      </c>
      <c r="L17" s="95">
        <v>0</v>
      </c>
      <c r="M17" s="96">
        <f t="shared" si="20"/>
        <v>20549.528830483392</v>
      </c>
      <c r="N17" s="97">
        <f t="shared" si="35"/>
        <v>1802.5902482880167</v>
      </c>
      <c r="O17" s="97">
        <f t="shared" ref="O17" si="37">F17+G17+H17-J17</f>
        <v>18130.969815824181</v>
      </c>
      <c r="P17" s="97">
        <f t="shared" si="1"/>
        <v>1590.4359487565071</v>
      </c>
      <c r="Q17" s="111">
        <v>2000</v>
      </c>
      <c r="R17" s="111">
        <f t="shared" si="36"/>
        <v>22800</v>
      </c>
      <c r="S17" s="111">
        <f t="shared" si="2"/>
        <v>2895.4224253738207</v>
      </c>
      <c r="T17" s="112">
        <f t="shared" si="3"/>
        <v>0.12699221163920266</v>
      </c>
      <c r="U17" s="111">
        <f t="shared" si="4"/>
        <v>5313.9814400330324</v>
      </c>
      <c r="V17" s="112">
        <f t="shared" si="5"/>
        <v>0.23306936140495757</v>
      </c>
      <c r="X17" s="100" cm="1">
        <f t="array" ref="X17">SUM([3]Hoja2!$I$6:$I$26*([3]Hoja2!$F$6:$F$26=X$5)*([3]Hoja2!$K$6:$K$26=$C17))</f>
        <v>26</v>
      </c>
      <c r="Y17" s="100" cm="1">
        <f t="array" ref="Y17">SUM([3]Hoja2!$J$6:$J$26*([3]Hoja2!$F$6:$F$26=X$5)*([3]Hoja2!$K$6:$K$26=$C17))</f>
        <v>36400</v>
      </c>
      <c r="Z17" s="110">
        <f t="shared" si="22"/>
        <v>1400</v>
      </c>
      <c r="AA17" s="100" cm="1">
        <f t="array" ref="AA17">SUM([3]Hoja2!$I$6:$I$26*([3]Hoja2!$F$6:$F$26=AA$5)*([3]Hoja2!$K$6:$K$26=$C17))</f>
        <v>0</v>
      </c>
      <c r="AB17" s="100" cm="1">
        <f t="array" ref="AB17">SUM([3]Hoja2!$J$6:$J$26*([3]Hoja2!$F$6:$F$26=AA$5)*([3]Hoja2!$K$6:$K$26=$C17))</f>
        <v>0</v>
      </c>
      <c r="AC17" s="110">
        <f t="shared" si="23"/>
        <v>0</v>
      </c>
      <c r="AD17" s="100" cm="1">
        <f t="array" ref="AD17">SUM([3]Hoja2!$I$6:$I$26*([3]Hoja2!$F$6:$F$26=AD$5)*([3]Hoja2!$K$6:$K$26=$C17))</f>
        <v>0</v>
      </c>
      <c r="AE17" s="100" cm="1">
        <f t="array" ref="AE17">SUM([3]Hoja2!$J$6:$J$26*([3]Hoja2!$F$6:$F$26=AD$5)*([3]Hoja2!$K$6:$K$26=$C17))</f>
        <v>0</v>
      </c>
      <c r="AF17" s="110">
        <f t="shared" si="24"/>
        <v>0</v>
      </c>
      <c r="AG17" s="100" cm="1">
        <f t="array" ref="AG17">SUM([3]Hoja2!$I$6:$I$26*([3]Hoja2!$F$6:$F$26=AG$5)*([3]Hoja2!$K$6:$K$26=$C17))</f>
        <v>0</v>
      </c>
      <c r="AH17" s="100" cm="1">
        <f t="array" ref="AH17">SUM([3]Hoja2!$J$6:$J$26*([3]Hoja2!$F$6:$F$26=AG$5)*([3]Hoja2!$K$6:$K$26=$C17))</f>
        <v>0</v>
      </c>
      <c r="AI17" s="110">
        <f t="shared" si="25"/>
        <v>0</v>
      </c>
      <c r="AJ17" s="100" cm="1">
        <f t="array" ref="AJ17">SUM([3]Hoja2!$I$6:$I$26*([3]Hoja2!$F$6:$F$26=AJ$5)*([3]Hoja2!$K$6:$K$26=$C17))</f>
        <v>0</v>
      </c>
      <c r="AK17" s="100" cm="1">
        <f t="array" ref="AK17">SUM([3]Hoja2!$J$6:$J$26*([3]Hoja2!$F$6:$F$26=AJ$5)*([3]Hoja2!$K$6:$K$26=$C17))</f>
        <v>0</v>
      </c>
      <c r="AL17" s="110">
        <f t="shared" si="26"/>
        <v>0</v>
      </c>
      <c r="AM17" s="100" cm="1">
        <f t="array" ref="AM17">SUM([3]Hoja2!$I$6:$I$26*([3]Hoja2!$F$6:$F$26=AM$5)*([3]Hoja2!$K$6:$K$26=$C17))</f>
        <v>0</v>
      </c>
      <c r="AN17" s="100" cm="1">
        <f t="array" ref="AN17">SUM([3]Hoja2!$J$6:$J$26*([3]Hoja2!$F$6:$F$26=AM$5)*([3]Hoja2!$K$6:$K$26=$C17))</f>
        <v>0</v>
      </c>
      <c r="AO17" s="110">
        <f t="shared" si="27"/>
        <v>0</v>
      </c>
      <c r="AP17" s="100" cm="1">
        <f t="array" ref="AP17">SUM([3]Hoja2!$I$6:$I$26*([3]Hoja2!$F$6:$F$26=AP$5)*([3]Hoja2!$K$6:$K$26=$C17))</f>
        <v>0</v>
      </c>
      <c r="AQ17" s="100" cm="1">
        <f t="array" ref="AQ17">SUM([3]Hoja2!$J$6:$J$26*([3]Hoja2!$F$6:$F$26=AP$5)*([3]Hoja2!$K$6:$K$26=$C17))</f>
        <v>0</v>
      </c>
      <c r="AR17" s="110">
        <f t="shared" si="28"/>
        <v>0</v>
      </c>
      <c r="AS17" s="100" cm="1">
        <f t="array" ref="AS17">SUM([3]Hoja2!$I$6:$I$26*([3]Hoja2!$F$6:$F$26=AS$5)*([3]Hoja2!$K$6:$K$26=$C17))</f>
        <v>0</v>
      </c>
      <c r="AT17" s="100" cm="1">
        <f t="array" ref="AT17">SUM([3]Hoja2!$J$6:$J$26*([3]Hoja2!$F$6:$F$26=AS$5)*([3]Hoja2!$K$6:$K$26=$C17))</f>
        <v>0</v>
      </c>
      <c r="AU17" s="110">
        <f t="shared" si="29"/>
        <v>0</v>
      </c>
      <c r="AV17" s="100" cm="1">
        <f t="array" ref="AV17">SUM([3]Hoja2!$I$6:$I$26*([3]Hoja2!$F$6:$F$26=AV$5)*([3]Hoja2!$K$6:$K$26=$C17))</f>
        <v>0</v>
      </c>
      <c r="AW17" s="100" cm="1">
        <f t="array" ref="AW17">SUM([3]Hoja2!$J$6:$J$26*([3]Hoja2!$F$6:$F$26=AV$5)*([3]Hoja2!$K$6:$K$26=$C17))</f>
        <v>0</v>
      </c>
      <c r="AX17" s="110">
        <f t="shared" si="30"/>
        <v>0</v>
      </c>
      <c r="AY17" s="102">
        <f t="shared" si="6"/>
        <v>26</v>
      </c>
      <c r="AZ17" s="103">
        <f t="shared" si="7"/>
        <v>36400</v>
      </c>
      <c r="BA17" s="104">
        <f t="shared" si="31"/>
        <v>1400</v>
      </c>
      <c r="BB17" s="103">
        <f>-IFERROR(F17/D17*AY17,0)</f>
        <v>-36838.632966174875</v>
      </c>
      <c r="BC17" s="104">
        <f t="shared" si="9"/>
        <v>-5403.84</v>
      </c>
      <c r="BD17" s="103">
        <f t="shared" si="10"/>
        <v>-1847.6134493298853</v>
      </c>
      <c r="BE17" s="104">
        <f t="shared" si="11"/>
        <v>-3632.0949917705161</v>
      </c>
      <c r="BF17" s="103">
        <f t="shared" si="12"/>
        <v>-2903.4646132142025</v>
      </c>
      <c r="BG17" s="104">
        <f t="shared" si="13"/>
        <v>1002.9414607269767</v>
      </c>
      <c r="BH17" s="103">
        <f>AZ17+SUM(BB17:BE17,BG17)</f>
        <v>-10319.239946548296</v>
      </c>
      <c r="BI17" s="105">
        <f t="shared" si="33"/>
        <v>-0.28349560292715098</v>
      </c>
      <c r="BJ17" s="106">
        <f t="shared" si="14"/>
        <v>-3783.6803415635814</v>
      </c>
      <c r="BK17" s="107">
        <f t="shared" si="15"/>
        <v>-0.10394726213086762</v>
      </c>
      <c r="BM17" s="108">
        <f t="shared" si="16"/>
        <v>1400</v>
      </c>
      <c r="BN17" s="109">
        <f t="shared" si="17"/>
        <v>-1416.8704986990338</v>
      </c>
      <c r="BO17" s="109">
        <f t="shared" si="17"/>
        <v>-207.84</v>
      </c>
      <c r="BP17" s="109">
        <f t="shared" si="17"/>
        <v>-71.062055743457123</v>
      </c>
      <c r="BQ17" s="109">
        <f t="shared" si="17"/>
        <v>-139.69596122194292</v>
      </c>
      <c r="BR17" s="109">
        <f t="shared" si="17"/>
        <v>-111.67171589285394</v>
      </c>
      <c r="BS17" s="109">
        <f t="shared" si="17"/>
        <v>38.574671566422182</v>
      </c>
      <c r="BT17" s="109">
        <f t="shared" si="17"/>
        <v>-396.89384409801136</v>
      </c>
      <c r="BU17" s="109">
        <f t="shared" si="18"/>
        <v>-145.52616698321467</v>
      </c>
      <c r="BV17" s="51">
        <f t="shared" si="19"/>
        <v>251.36767711479669</v>
      </c>
    </row>
    <row r="18" spans="2:74" ht="15" thickBot="1" x14ac:dyDescent="0.35">
      <c r="C18" s="113" t="s">
        <v>109</v>
      </c>
      <c r="D18" s="114">
        <f>SUM(D7:D17)</f>
        <v>1310.1660000000002</v>
      </c>
      <c r="E18" s="115">
        <f t="shared" si="0"/>
        <v>1789.7929296626969</v>
      </c>
      <c r="F18" s="116">
        <f t="shared" ref="F18:K18" si="38">SUM(F7:F17)</f>
        <v>2344925.8434844571</v>
      </c>
      <c r="G18" s="116">
        <f t="shared" si="38"/>
        <v>272304.90143999999</v>
      </c>
      <c r="H18" s="116">
        <f t="shared" si="38"/>
        <v>78579</v>
      </c>
      <c r="I18" s="116">
        <f t="shared" si="38"/>
        <v>154473</v>
      </c>
      <c r="J18" s="116">
        <f t="shared" si="38"/>
        <v>123484.35</v>
      </c>
      <c r="K18" s="116">
        <f t="shared" si="38"/>
        <v>0</v>
      </c>
      <c r="L18" s="117">
        <v>0</v>
      </c>
      <c r="M18" s="118">
        <f>SUM(M7:M17)</f>
        <v>2850282.7449244577</v>
      </c>
      <c r="N18" s="118">
        <f t="shared" si="35"/>
        <v>2175.5126792516808</v>
      </c>
      <c r="O18" s="118">
        <f>SUM(O7:O17)</f>
        <v>2572325.3949244581</v>
      </c>
      <c r="P18" s="118">
        <f t="shared" si="1"/>
        <v>1963.3583797201711</v>
      </c>
      <c r="Q18" s="119">
        <f>R18/D18</f>
        <v>1973.6296011345123</v>
      </c>
      <c r="R18" s="120">
        <f>SUM(R7:R17)</f>
        <v>2585782.4</v>
      </c>
      <c r="S18" s="119">
        <f>SUM(S7:S17)</f>
        <v>-191414.62177696428</v>
      </c>
      <c r="T18" s="121">
        <f t="shared" ref="T18" si="39">S18/R18</f>
        <v>-7.4025804250568136E-2</v>
      </c>
      <c r="U18" s="119">
        <f>SUM(U7:U17)</f>
        <v>86542.728223035883</v>
      </c>
      <c r="V18" s="121">
        <f t="shared" si="5"/>
        <v>3.3468681751038253E-2</v>
      </c>
      <c r="X18" s="122">
        <f>SUM(X7:X17)</f>
        <v>26</v>
      </c>
      <c r="Y18" s="122">
        <f>SUM(Y7:Y17)</f>
        <v>36400</v>
      </c>
      <c r="Z18" s="123">
        <f t="shared" si="22"/>
        <v>1400</v>
      </c>
      <c r="AA18" s="122">
        <f>SUM(AA7:AA17)</f>
        <v>48.78</v>
      </c>
      <c r="AB18" s="122">
        <f>SUM(AB7:AB17)</f>
        <v>142254</v>
      </c>
      <c r="AC18" s="123">
        <f t="shared" si="23"/>
        <v>2916.2361623616234</v>
      </c>
      <c r="AD18" s="122">
        <f>SUM(AD7:AD17)</f>
        <v>204</v>
      </c>
      <c r="AE18" s="122">
        <f>SUM(AE7:AE17)</f>
        <v>648450</v>
      </c>
      <c r="AF18" s="123">
        <f t="shared" si="24"/>
        <v>3178.6764705882351</v>
      </c>
      <c r="AG18" s="122">
        <f>SUM(AG7:AG17)</f>
        <v>26</v>
      </c>
      <c r="AH18" s="122">
        <f>SUM(AH7:AH17)</f>
        <v>67600</v>
      </c>
      <c r="AI18" s="123">
        <f t="shared" si="25"/>
        <v>2600</v>
      </c>
      <c r="AJ18" s="122">
        <f>SUM(AJ7:AJ17)</f>
        <v>162</v>
      </c>
      <c r="AK18" s="122">
        <f>SUM(AK7:AK17)</f>
        <v>447390</v>
      </c>
      <c r="AL18" s="123">
        <f t="shared" si="26"/>
        <v>2761.6666666666665</v>
      </c>
      <c r="AM18" s="122">
        <f>SUM(AM7:AM17)</f>
        <v>127</v>
      </c>
      <c r="AN18" s="122">
        <f>SUM(AN7:AN17)</f>
        <v>290510</v>
      </c>
      <c r="AO18" s="123">
        <f t="shared" si="27"/>
        <v>2287.48031496063</v>
      </c>
      <c r="AP18" s="122">
        <f>SUM(AP7:AP17)</f>
        <v>54</v>
      </c>
      <c r="AQ18" s="122">
        <f>SUM(AQ7:AQ17)</f>
        <v>170640</v>
      </c>
      <c r="AR18" s="123">
        <f t="shared" si="28"/>
        <v>3160</v>
      </c>
      <c r="AS18" s="122">
        <f>SUM(AS7:AS17)</f>
        <v>242</v>
      </c>
      <c r="AT18" s="122">
        <f>SUM(AT7:AT17)</f>
        <v>886950</v>
      </c>
      <c r="AU18" s="123">
        <f t="shared" si="29"/>
        <v>3665.0826446280994</v>
      </c>
      <c r="AV18" s="122">
        <f>SUM(AV7:AV17)</f>
        <v>216</v>
      </c>
      <c r="AW18" s="122">
        <f>SUM(AW7:AW17)</f>
        <v>650700</v>
      </c>
      <c r="AX18" s="123">
        <f t="shared" si="30"/>
        <v>3012.5</v>
      </c>
      <c r="AY18" s="124">
        <f>SUM(AY7:AY17)</f>
        <v>1105.78</v>
      </c>
      <c r="AZ18" s="124">
        <f>SUM(AZ7:AZ17)</f>
        <v>3340894</v>
      </c>
      <c r="BA18" s="125">
        <f t="shared" si="31"/>
        <v>3021.3008012443706</v>
      </c>
      <c r="BB18" s="126">
        <f>SUM(BB7:BB17)</f>
        <v>-2609506.2268696968</v>
      </c>
      <c r="BC18" s="125">
        <f>SUM(BC7:BC17)</f>
        <v>-229825.31519999998</v>
      </c>
      <c r="BD18" s="126">
        <f>-'[2]Stock Libre'!N61</f>
        <v>-78579.000000000015</v>
      </c>
      <c r="BE18" s="125">
        <f>-'[2]Stock Libre'!O61</f>
        <v>-154473.00000000003</v>
      </c>
      <c r="BF18" s="126">
        <f>-'[2]Stock Libre'!P61</f>
        <v>-123484.35000000002</v>
      </c>
      <c r="BG18" s="125">
        <f>SUM(BG7:BG17)</f>
        <v>96439.160324718308</v>
      </c>
      <c r="BH18" s="124">
        <f>SUM(BH7:BH17)</f>
        <v>364949.61825502175</v>
      </c>
      <c r="BI18" s="127">
        <f t="shared" si="33"/>
        <v>0.10923711385486093</v>
      </c>
      <c r="BJ18" s="124">
        <f>SUM(BJ7:BJ17)</f>
        <v>642906.96825502173</v>
      </c>
      <c r="BK18" s="128">
        <f t="shared" si="15"/>
        <v>0.19243560803037202</v>
      </c>
      <c r="BM18" s="129">
        <f t="shared" si="16"/>
        <v>3021.3008012443706</v>
      </c>
      <c r="BN18" s="130">
        <f t="shared" si="17"/>
        <v>-2359.8783002674099</v>
      </c>
      <c r="BO18" s="130">
        <f t="shared" si="17"/>
        <v>-207.84</v>
      </c>
      <c r="BP18" s="130">
        <f t="shared" si="17"/>
        <v>-71.062055743457123</v>
      </c>
      <c r="BQ18" s="130">
        <f t="shared" si="17"/>
        <v>-139.69596122194292</v>
      </c>
      <c r="BR18" s="130">
        <f t="shared" si="17"/>
        <v>-111.67171589285394</v>
      </c>
      <c r="BS18" s="130">
        <f t="shared" si="17"/>
        <v>87.213695603753294</v>
      </c>
      <c r="BT18" s="130">
        <f t="shared" si="17"/>
        <v>330.03817961531388</v>
      </c>
      <c r="BU18" s="130">
        <f t="shared" si="18"/>
        <v>581.4058567301106</v>
      </c>
      <c r="BV18" s="51">
        <f t="shared" si="19"/>
        <v>251.36767711479672</v>
      </c>
    </row>
    <row r="19" spans="2:74" x14ac:dyDescent="0.3">
      <c r="I19" s="58"/>
      <c r="J19" s="58"/>
      <c r="N19" s="51">
        <f>N18-P18</f>
        <v>212.15429953150965</v>
      </c>
      <c r="O19" s="51"/>
    </row>
    <row r="20" spans="2:74" x14ac:dyDescent="0.3">
      <c r="M20" s="131"/>
      <c r="N20" s="131"/>
      <c r="O20" s="131"/>
      <c r="P20" s="132"/>
      <c r="Q20" s="131"/>
      <c r="R20" s="133"/>
      <c r="S20" s="131"/>
      <c r="T20" s="131"/>
      <c r="U20" s="131"/>
      <c r="V20" s="131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56"/>
      <c r="BH20" s="51"/>
      <c r="BN20" s="51"/>
    </row>
    <row r="21" spans="2:74" x14ac:dyDescent="0.3">
      <c r="L21" s="135"/>
      <c r="N21" s="136"/>
      <c r="O21" s="136"/>
      <c r="P21" s="136"/>
      <c r="Q21" s="136"/>
      <c r="R21" s="133"/>
      <c r="S21" s="136"/>
      <c r="T21" s="136"/>
      <c r="U21" s="136"/>
      <c r="V21" s="136"/>
      <c r="W21" s="51"/>
      <c r="X21" s="51"/>
      <c r="Y21" s="137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Y21" s="58"/>
      <c r="AZ21" s="138">
        <v>2407050</v>
      </c>
      <c r="BB21" s="58"/>
      <c r="BC21" s="139"/>
      <c r="BH21" s="140"/>
    </row>
    <row r="22" spans="2:74" x14ac:dyDescent="0.3">
      <c r="G22" s="51"/>
      <c r="L22" s="135"/>
      <c r="N22" s="136"/>
      <c r="O22" s="136"/>
      <c r="P22" s="136"/>
      <c r="Q22" s="136"/>
      <c r="R22" s="133"/>
      <c r="S22" s="136"/>
      <c r="T22" s="136"/>
      <c r="U22" s="136"/>
      <c r="V22" s="136"/>
      <c r="W22" s="51"/>
      <c r="X22" s="51"/>
      <c r="Y22" s="137"/>
      <c r="AZ22" s="140">
        <f>AZ21/AZ18</f>
        <v>0.72048080543710757</v>
      </c>
      <c r="BC22" s="58" t="s">
        <v>110</v>
      </c>
      <c r="BD22">
        <v>114.17761445259386</v>
      </c>
      <c r="BG22" s="138"/>
    </row>
    <row r="23" spans="2:74" x14ac:dyDescent="0.3">
      <c r="G23" s="51"/>
      <c r="L23" s="135"/>
      <c r="N23" s="136"/>
      <c r="O23" s="136"/>
      <c r="P23" s="136"/>
      <c r="Q23" s="136"/>
      <c r="R23" s="136"/>
      <c r="S23" s="136"/>
      <c r="T23" s="136"/>
      <c r="U23" s="136"/>
      <c r="V23" s="136"/>
      <c r="W23" s="51"/>
      <c r="X23" s="51"/>
      <c r="Y23" s="93"/>
      <c r="BC23" s="58"/>
      <c r="BE23" s="51"/>
      <c r="BG23" s="58"/>
    </row>
    <row r="24" spans="2:74" x14ac:dyDescent="0.3">
      <c r="G24" s="51"/>
      <c r="L24" s="135"/>
      <c r="N24" s="136"/>
      <c r="O24" s="136"/>
      <c r="P24" s="136"/>
      <c r="Q24" s="136"/>
      <c r="S24" s="136"/>
      <c r="T24" s="136"/>
      <c r="U24" s="136"/>
      <c r="V24" s="136"/>
      <c r="W24" s="51"/>
      <c r="X24" s="51"/>
      <c r="Y24" s="93"/>
      <c r="BC24" s="58"/>
      <c r="BE24" s="58"/>
    </row>
    <row r="25" spans="2:74" x14ac:dyDescent="0.3">
      <c r="G25" s="51"/>
      <c r="L25" s="135"/>
      <c r="N25" s="136"/>
      <c r="O25" s="136"/>
      <c r="P25" s="136"/>
      <c r="Q25" s="136"/>
      <c r="R25" s="136"/>
      <c r="S25" s="136"/>
      <c r="T25" s="136"/>
      <c r="U25" s="136"/>
      <c r="V25" s="136"/>
      <c r="W25" s="51"/>
      <c r="X25" s="51"/>
      <c r="Y25" s="93"/>
    </row>
    <row r="26" spans="2:74" x14ac:dyDescent="0.3">
      <c r="G26" s="51"/>
      <c r="L26" s="135"/>
      <c r="N26" s="136"/>
      <c r="O26" s="136"/>
      <c r="P26" s="136"/>
      <c r="Q26" s="136"/>
      <c r="R26" s="136"/>
      <c r="S26" s="136"/>
      <c r="T26" s="136"/>
      <c r="U26" s="136"/>
      <c r="V26" s="136"/>
      <c r="W26" s="51"/>
      <c r="X26" s="51"/>
      <c r="Y26" s="93"/>
    </row>
    <row r="27" spans="2:74" x14ac:dyDescent="0.3">
      <c r="G27" s="51"/>
      <c r="L27" s="135"/>
      <c r="N27" s="136"/>
      <c r="O27" s="136"/>
      <c r="P27" s="136"/>
      <c r="Q27" s="136"/>
      <c r="R27" s="136"/>
      <c r="S27" s="136"/>
      <c r="T27" s="136"/>
      <c r="U27" s="136"/>
      <c r="V27" s="136"/>
      <c r="X27" s="51"/>
      <c r="Y27" s="93"/>
    </row>
    <row r="28" spans="2:74" x14ac:dyDescent="0.3">
      <c r="L28" s="135"/>
      <c r="N28" s="136"/>
      <c r="O28" s="136"/>
      <c r="P28" s="136"/>
      <c r="Q28" s="136"/>
      <c r="R28" s="136"/>
      <c r="S28" s="136"/>
      <c r="T28" s="136"/>
      <c r="U28" s="136"/>
      <c r="V28" s="136"/>
      <c r="W28" s="51"/>
      <c r="X28" s="51"/>
      <c r="Y28" s="93"/>
      <c r="AZ28" s="93"/>
    </row>
    <row r="29" spans="2:74" x14ac:dyDescent="0.3">
      <c r="L29" s="135"/>
      <c r="N29" s="136"/>
      <c r="O29" s="136"/>
      <c r="P29" s="136"/>
      <c r="Q29" s="136"/>
      <c r="R29" s="136"/>
      <c r="S29" s="136"/>
      <c r="T29" s="136"/>
      <c r="U29" s="136"/>
      <c r="V29" s="136"/>
      <c r="W29" s="51"/>
      <c r="X29" s="51"/>
      <c r="Y29" s="93"/>
    </row>
    <row r="30" spans="2:74" x14ac:dyDescent="0.3">
      <c r="L30" s="135"/>
      <c r="N30" s="136"/>
      <c r="O30" s="136"/>
      <c r="P30" s="136"/>
      <c r="Q30" s="136"/>
      <c r="R30" s="136"/>
      <c r="S30" s="136"/>
      <c r="T30" s="136"/>
      <c r="U30" s="136"/>
      <c r="V30" s="136"/>
      <c r="W30" s="51"/>
      <c r="X30" s="51"/>
      <c r="Y30" s="93"/>
    </row>
    <row r="31" spans="2:74" x14ac:dyDescent="0.3">
      <c r="L31" s="135"/>
      <c r="N31" s="136"/>
      <c r="O31" s="136"/>
      <c r="P31" s="136"/>
      <c r="Q31" s="136"/>
      <c r="R31" s="136"/>
      <c r="S31" s="136"/>
      <c r="T31" s="136"/>
      <c r="U31" s="136"/>
      <c r="V31" s="136"/>
      <c r="W31" s="51"/>
      <c r="X31" s="51"/>
      <c r="Y31" s="93"/>
    </row>
    <row r="32" spans="2:74" x14ac:dyDescent="0.3">
      <c r="L32" s="135"/>
      <c r="N32" s="136"/>
      <c r="O32" s="136"/>
      <c r="P32" s="136"/>
      <c r="Q32" s="136"/>
      <c r="R32" s="136"/>
      <c r="S32" s="136"/>
      <c r="T32" s="136"/>
      <c r="U32" s="136"/>
      <c r="V32" s="136"/>
      <c r="W32" s="51"/>
      <c r="X32" s="51"/>
      <c r="Y32" s="93"/>
    </row>
    <row r="33" spans="12:25" x14ac:dyDescent="0.3">
      <c r="L33" s="141"/>
      <c r="M33" s="56"/>
      <c r="N33" s="142"/>
      <c r="O33" s="142"/>
      <c r="P33" s="142"/>
      <c r="Q33" s="142"/>
      <c r="R33" s="142"/>
      <c r="S33" s="142"/>
      <c r="T33" s="142"/>
      <c r="U33" s="142"/>
      <c r="V33" s="142"/>
      <c r="Y33" s="142"/>
    </row>
    <row r="35" spans="12:25" x14ac:dyDescent="0.3">
      <c r="N35" s="51"/>
      <c r="O35" s="51"/>
      <c r="P35" s="51"/>
      <c r="Q35" s="51"/>
      <c r="R35" s="51"/>
      <c r="S35" s="51"/>
      <c r="T35" s="51"/>
      <c r="U35" s="51"/>
      <c r="V35" s="51"/>
    </row>
    <row r="36" spans="12:25" x14ac:dyDescent="0.3">
      <c r="N36" s="51"/>
      <c r="O36" s="51"/>
      <c r="P36" s="51"/>
      <c r="Q36" s="51"/>
      <c r="R36" s="51"/>
      <c r="S36" s="51"/>
      <c r="T36" s="51"/>
      <c r="U36" s="51"/>
      <c r="V36" s="51"/>
    </row>
    <row r="37" spans="12:25" x14ac:dyDescent="0.3">
      <c r="N37" s="140"/>
      <c r="O37" s="140"/>
      <c r="P37" s="140"/>
      <c r="Q37" s="140"/>
      <c r="R37" s="140"/>
      <c r="S37" s="140"/>
      <c r="T37" s="140"/>
      <c r="U37" s="140"/>
      <c r="V37" s="140"/>
    </row>
  </sheetData>
  <mergeCells count="13">
    <mergeCell ref="BM5:BU5"/>
    <mergeCell ref="AP5:AR5"/>
    <mergeCell ref="AS5:AU5"/>
    <mergeCell ref="AY4:BI4"/>
    <mergeCell ref="F5:V5"/>
    <mergeCell ref="X5:Z5"/>
    <mergeCell ref="AA5:AC5"/>
    <mergeCell ref="AD5:AF5"/>
    <mergeCell ref="AG5:AI5"/>
    <mergeCell ref="AJ5:AL5"/>
    <mergeCell ref="AM5:AO5"/>
    <mergeCell ref="AV5:AX5"/>
    <mergeCell ref="AY5:B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89D0-4154-475E-8A98-E5FCF98956B8}">
  <dimension ref="B3:K15"/>
  <sheetViews>
    <sheetView zoomScale="90" zoomScaleNormal="90" workbookViewId="0">
      <selection activeCell="F22" sqref="F22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19.3320312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3" spans="2:11" x14ac:dyDescent="0.3">
      <c r="E3" s="49" t="s">
        <v>65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</row>
    <row r="4" spans="2:11" x14ac:dyDescent="0.3">
      <c r="B4" s="54" t="b">
        <f t="shared" ref="B4:B15" si="0">C4=E4</f>
        <v>1</v>
      </c>
      <c r="C4" s="50">
        <v>10005721</v>
      </c>
      <c r="D4" s="52" t="s">
        <v>73</v>
      </c>
      <c r="E4" s="50">
        <v>10005721</v>
      </c>
      <c r="F4" s="51">
        <v>591.56000000000006</v>
      </c>
      <c r="G4" s="51">
        <v>1174001.796632448</v>
      </c>
      <c r="H4" s="51">
        <v>122949.83039999999</v>
      </c>
      <c r="I4" s="51">
        <v>35479.621086182968</v>
      </c>
      <c r="J4" s="51">
        <v>69746.923580676041</v>
      </c>
      <c r="K4" s="51">
        <v>55755.073850183864</v>
      </c>
    </row>
    <row r="5" spans="2:11" x14ac:dyDescent="0.3">
      <c r="B5" s="54" t="b">
        <f t="shared" si="0"/>
        <v>1</v>
      </c>
      <c r="C5" s="50">
        <v>10005779</v>
      </c>
      <c r="D5" s="53" t="s">
        <v>74</v>
      </c>
      <c r="E5" s="50">
        <v>10005779</v>
      </c>
      <c r="F5" s="51">
        <v>273.58000000000004</v>
      </c>
      <c r="G5" s="51">
        <v>443749.60403873923</v>
      </c>
      <c r="H5" s="51">
        <v>56860.867200000001</v>
      </c>
      <c r="I5" s="51">
        <v>16408.335142264415</v>
      </c>
      <c r="J5" s="51">
        <v>32256.006750289664</v>
      </c>
      <c r="K5" s="51">
        <v>25785.166515540775</v>
      </c>
    </row>
    <row r="6" spans="2:11" x14ac:dyDescent="0.3">
      <c r="B6" s="54" t="b">
        <f t="shared" si="0"/>
        <v>1</v>
      </c>
      <c r="C6" s="50">
        <v>10006719</v>
      </c>
      <c r="D6" s="53" t="s">
        <v>75</v>
      </c>
      <c r="E6" s="50">
        <v>10006719</v>
      </c>
      <c r="F6" s="51">
        <v>67.28</v>
      </c>
      <c r="G6" s="51">
        <v>126666.1964521106</v>
      </c>
      <c r="H6" s="51">
        <v>13983.475200000001</v>
      </c>
      <c r="I6" s="51">
        <v>4035.2101336777173</v>
      </c>
      <c r="J6" s="51">
        <v>7932.5394186690837</v>
      </c>
      <c r="K6" s="51">
        <v>6341.2018538108905</v>
      </c>
    </row>
    <row r="7" spans="2:11" x14ac:dyDescent="0.3">
      <c r="B7" s="54" t="b">
        <f t="shared" si="0"/>
        <v>1</v>
      </c>
      <c r="C7" s="50">
        <v>10007050</v>
      </c>
      <c r="D7" s="53" t="s">
        <v>76</v>
      </c>
      <c r="E7" s="50">
        <v>10007050</v>
      </c>
      <c r="F7" s="51">
        <v>131.76</v>
      </c>
      <c r="G7" s="51">
        <v>190254.31846122048</v>
      </c>
      <c r="H7" s="51">
        <v>27384.9984</v>
      </c>
      <c r="I7" s="51">
        <v>7902.4864330168857</v>
      </c>
      <c r="J7" s="51">
        <v>15534.949372827567</v>
      </c>
      <c r="K7" s="51">
        <v>12418.501133444159</v>
      </c>
    </row>
    <row r="8" spans="2:11" x14ac:dyDescent="0.3">
      <c r="B8" s="54" t="b">
        <f t="shared" si="0"/>
        <v>1</v>
      </c>
      <c r="C8" s="50">
        <v>10007162</v>
      </c>
      <c r="D8" s="53" t="s">
        <v>77</v>
      </c>
      <c r="E8" s="50">
        <v>10007162</v>
      </c>
      <c r="F8" s="51">
        <v>102.56</v>
      </c>
      <c r="G8" s="51">
        <v>178525.96364813054</v>
      </c>
      <c r="H8" s="51">
        <v>21316.070400000004</v>
      </c>
      <c r="I8" s="51">
        <v>6151.1764463434411</v>
      </c>
      <c r="J8" s="51">
        <v>12092.170671502696</v>
      </c>
      <c r="K8" s="51">
        <v>9666.3742884489438</v>
      </c>
    </row>
    <row r="9" spans="2:11" x14ac:dyDescent="0.3">
      <c r="B9" s="54" t="b">
        <f t="shared" si="0"/>
        <v>1</v>
      </c>
      <c r="C9" s="50">
        <v>10007567</v>
      </c>
      <c r="D9" s="53" t="s">
        <v>78</v>
      </c>
      <c r="E9" s="50">
        <v>10007567</v>
      </c>
      <c r="F9" s="51">
        <v>77.599999999999994</v>
      </c>
      <c r="G9" s="51">
        <v>130574.35446649286</v>
      </c>
      <c r="H9" s="51">
        <v>16128.384000000002</v>
      </c>
      <c r="I9" s="51">
        <v>4654.1662659540852</v>
      </c>
      <c r="J9" s="51">
        <v>9149.3023021510253</v>
      </c>
      <c r="K9" s="51">
        <v>7313.8713414941321</v>
      </c>
    </row>
    <row r="10" spans="2:11" x14ac:dyDescent="0.3">
      <c r="B10" s="54" t="b">
        <f t="shared" si="0"/>
        <v>1</v>
      </c>
      <c r="C10" s="50">
        <v>10007969</v>
      </c>
      <c r="D10" s="53" t="s">
        <v>7</v>
      </c>
      <c r="E10" s="50">
        <v>10007969</v>
      </c>
      <c r="F10" s="51">
        <v>34.46</v>
      </c>
      <c r="G10" s="51">
        <v>47158.641440285719</v>
      </c>
      <c r="H10" s="51">
        <v>7162.1664000000001</v>
      </c>
      <c r="I10" s="51">
        <v>2066.7856897522911</v>
      </c>
      <c r="J10" s="51">
        <v>4062.9504810840767</v>
      </c>
      <c r="K10" s="51">
        <v>3247.8866807717495</v>
      </c>
    </row>
    <row r="11" spans="2:11" x14ac:dyDescent="0.3">
      <c r="B11" s="54" t="b">
        <f t="shared" si="0"/>
        <v>1</v>
      </c>
      <c r="C11" s="50">
        <v>10009239</v>
      </c>
      <c r="D11" s="53" t="s">
        <v>79</v>
      </c>
      <c r="E11" s="50">
        <v>10009239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</row>
    <row r="12" spans="2:11" x14ac:dyDescent="0.3">
      <c r="B12" s="54" t="b">
        <f t="shared" si="0"/>
        <v>1</v>
      </c>
      <c r="C12" s="50">
        <v>10009334</v>
      </c>
      <c r="D12" s="53" t="s">
        <v>80</v>
      </c>
      <c r="E12" s="50">
        <v>10009334</v>
      </c>
      <c r="F12" s="51">
        <v>2.8260000000000001</v>
      </c>
      <c r="G12" s="51">
        <v>7981.8349734633293</v>
      </c>
      <c r="H12" s="51">
        <v>587.35584000000006</v>
      </c>
      <c r="I12" s="51">
        <v>169.49321994312174</v>
      </c>
      <c r="J12" s="51">
        <v>333.19495239534535</v>
      </c>
      <c r="K12" s="51">
        <v>266.35309808070122</v>
      </c>
    </row>
    <row r="13" spans="2:11" x14ac:dyDescent="0.3">
      <c r="B13" s="54" t="b">
        <f t="shared" si="0"/>
        <v>1</v>
      </c>
      <c r="C13" s="50">
        <v>10009386</v>
      </c>
      <c r="D13" s="53" t="s">
        <v>81</v>
      </c>
      <c r="E13" s="50">
        <v>10009386</v>
      </c>
      <c r="F13" s="51">
        <v>17.14</v>
      </c>
      <c r="G13" s="51">
        <v>29860.809686397773</v>
      </c>
      <c r="H13" s="51">
        <v>3562.3776000000003</v>
      </c>
      <c r="I13" s="51">
        <v>1027.9949716295494</v>
      </c>
      <c r="J13" s="51">
        <v>2020.8639363256261</v>
      </c>
      <c r="K13" s="51">
        <v>1615.4607576444512</v>
      </c>
    </row>
    <row r="14" spans="2:11" x14ac:dyDescent="0.3">
      <c r="B14" s="54" t="b">
        <f t="shared" si="0"/>
        <v>0</v>
      </c>
      <c r="E14" s="50">
        <v>10009207</v>
      </c>
      <c r="F14" s="51">
        <v>11.4</v>
      </c>
      <c r="G14" s="51">
        <v>16152.323685168984</v>
      </c>
      <c r="H14" s="51">
        <v>2369.3760000000002</v>
      </c>
      <c r="I14" s="51">
        <v>683.73061123552293</v>
      </c>
      <c r="J14" s="51">
        <v>1344.0985340788877</v>
      </c>
      <c r="K14" s="51">
        <v>1074.4604805803235</v>
      </c>
    </row>
    <row r="15" spans="2:11" x14ac:dyDescent="0.3">
      <c r="B15" s="54" t="b">
        <f t="shared" si="0"/>
        <v>0</v>
      </c>
      <c r="E15" s="50" t="s">
        <v>66</v>
      </c>
      <c r="F15" s="51">
        <v>1310.1660000000002</v>
      </c>
      <c r="G15" s="51">
        <v>2344925.8434844571</v>
      </c>
      <c r="H15" s="51">
        <v>272304.90143999999</v>
      </c>
      <c r="I15" s="51">
        <v>78579</v>
      </c>
      <c r="J15" s="51">
        <v>154473</v>
      </c>
      <c r="K15" s="51">
        <v>123484.35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8EE9-CEED-4EEE-9354-833AE8E4F865}">
  <dimension ref="A1:T54"/>
  <sheetViews>
    <sheetView topLeftCell="A21" zoomScale="70" zoomScaleNormal="70" workbookViewId="0">
      <selection activeCell="G6" sqref="G6"/>
    </sheetView>
  </sheetViews>
  <sheetFormatPr baseColWidth="10" defaultColWidth="10.88671875" defaultRowHeight="15.6" x14ac:dyDescent="0.3"/>
  <cols>
    <col min="1" max="1" width="10" style="2" bestFit="1" customWidth="1"/>
    <col min="2" max="2" width="53" style="2" bestFit="1" customWidth="1"/>
    <col min="3" max="3" width="14.21875" style="2" bestFit="1" customWidth="1"/>
    <col min="4" max="4" width="15.6640625" style="2" bestFit="1" customWidth="1"/>
    <col min="5" max="5" width="15.6640625" style="2" customWidth="1"/>
    <col min="6" max="6" width="7.88671875" style="2" customWidth="1"/>
    <col min="7" max="9" width="10.88671875" style="2"/>
    <col min="10" max="10" width="15.6640625" style="2" bestFit="1" customWidth="1"/>
    <col min="11" max="11" width="12.6640625" style="2" bestFit="1" customWidth="1"/>
    <col min="12" max="12" width="13.109375" style="2" bestFit="1" customWidth="1"/>
    <col min="13" max="13" width="13.33203125" style="2" bestFit="1" customWidth="1"/>
    <col min="14" max="15" width="10.88671875" style="2"/>
    <col min="16" max="16" width="13.5546875" style="2" bestFit="1" customWidth="1"/>
    <col min="17" max="17" width="13.77734375" style="2" bestFit="1" customWidth="1"/>
    <col min="18" max="18" width="13.33203125" style="2" bestFit="1" customWidth="1"/>
    <col min="19" max="19" width="16.77734375" style="2" bestFit="1" customWidth="1"/>
    <col min="20" max="20" width="22.44140625" style="2" bestFit="1" customWidth="1"/>
    <col min="21" max="16384" width="10.88671875" style="2"/>
  </cols>
  <sheetData>
    <row r="1" spans="1:20" ht="16.2" thickBot="1" x14ac:dyDescent="0.35">
      <c r="A1" s="1" t="s">
        <v>0</v>
      </c>
      <c r="B1" s="1" t="s">
        <v>1</v>
      </c>
      <c r="C1" s="43" t="s">
        <v>47</v>
      </c>
      <c r="D1" s="44" t="s">
        <v>48</v>
      </c>
      <c r="E1" s="45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5" t="s">
        <v>54</v>
      </c>
      <c r="L1" s="16" t="s">
        <v>55</v>
      </c>
      <c r="M1" s="16" t="s">
        <v>56</v>
      </c>
      <c r="N1" s="16" t="s">
        <v>57</v>
      </c>
      <c r="O1" s="16" t="s">
        <v>58</v>
      </c>
      <c r="P1" s="16" t="s">
        <v>59</v>
      </c>
      <c r="Q1" s="16" t="s">
        <v>60</v>
      </c>
      <c r="R1" s="17" t="s">
        <v>61</v>
      </c>
      <c r="S1" s="18" t="s">
        <v>62</v>
      </c>
      <c r="T1" s="18" t="s">
        <v>63</v>
      </c>
    </row>
    <row r="2" spans="1:20" x14ac:dyDescent="0.3">
      <c r="A2" s="3">
        <v>10009178</v>
      </c>
      <c r="B2" s="3" t="s">
        <v>2</v>
      </c>
      <c r="C2" s="39">
        <v>13600</v>
      </c>
      <c r="D2" s="40"/>
      <c r="E2" s="41">
        <f>+C2-D2</f>
        <v>13600</v>
      </c>
      <c r="G2" s="19">
        <v>10006719</v>
      </c>
      <c r="H2" s="20">
        <f>IFERROR(INDEX([1]Resumen!$K$3:$K$63,MATCH(G2,[1]Resumen!$C$3:$C$63,0)),0)*(1+I2*J2)/1000-51.89/1000</f>
        <v>1.8826723610599079</v>
      </c>
      <c r="I2" s="21">
        <v>0.71</v>
      </c>
      <c r="J2" s="22">
        <v>-7.0000000000000007E-2</v>
      </c>
      <c r="K2" s="23">
        <f>IF(E2&lt;0,0,E2)/1000</f>
        <v>13.6</v>
      </c>
      <c r="L2" s="24">
        <f>IFERROR(H2*K2,0)*1000</f>
        <v>25604.344110414746</v>
      </c>
      <c r="M2" s="25">
        <f>207.84*K2</f>
        <v>2826.6239999999998</v>
      </c>
      <c r="N2" s="24">
        <f t="shared" ref="N2:N44" si="0">$N$48/$K$46*K2</f>
        <v>815.67862393009739</v>
      </c>
      <c r="O2" s="24">
        <f t="shared" ref="O2:O44" si="1">$O$48/$K$46*K2</f>
        <v>1603.4859704800765</v>
      </c>
      <c r="P2" s="24">
        <f t="shared" ref="P2:P44" si="2">$P$48/$K$46*K2</f>
        <v>1281.812503148456</v>
      </c>
      <c r="Q2" s="24">
        <v>0</v>
      </c>
      <c r="R2" s="26">
        <v>0</v>
      </c>
      <c r="S2" s="27">
        <f>L2+M2+N2+O2</f>
        <v>30850.132704824919</v>
      </c>
      <c r="T2" s="27">
        <f>IFERROR(S2/K2,0)</f>
        <v>2268.392110648891</v>
      </c>
    </row>
    <row r="3" spans="1:20" x14ac:dyDescent="0.3">
      <c r="A3" s="4">
        <v>10006668</v>
      </c>
      <c r="B3" s="4" t="s">
        <v>3</v>
      </c>
      <c r="C3" s="39">
        <v>3280</v>
      </c>
      <c r="D3" s="40"/>
      <c r="E3" s="41">
        <f t="shared" ref="E3:E45" si="3">+C3-D3</f>
        <v>3280</v>
      </c>
      <c r="G3" s="19">
        <v>10006719</v>
      </c>
      <c r="H3" s="20">
        <f>IFERROR(INDEX([1]Resumen!$K$3:$K$63,MATCH(G3,[1]Resumen!$C$3:$C$63,0)),0)*(1+I3*J3)/1000-51.89/1000</f>
        <v>1.8826723610599079</v>
      </c>
      <c r="I3" s="22">
        <v>0.71</v>
      </c>
      <c r="J3" s="22">
        <v>-7.0000000000000007E-2</v>
      </c>
      <c r="K3" s="23">
        <f>IF(E3&lt;0,0,E3)/1000</f>
        <v>3.28</v>
      </c>
      <c r="L3" s="24">
        <f t="shared" ref="L3:L43" si="4">IFERROR(H3*K3,0)*1000</f>
        <v>6175.1653442764982</v>
      </c>
      <c r="M3" s="25">
        <f t="shared" ref="M3:M42" si="5">207.84*K3</f>
        <v>681.71519999999998</v>
      </c>
      <c r="N3" s="24">
        <f t="shared" si="0"/>
        <v>196.72249165372938</v>
      </c>
      <c r="O3" s="24">
        <f t="shared" si="1"/>
        <v>386.72308699813613</v>
      </c>
      <c r="P3" s="24">
        <f t="shared" si="2"/>
        <v>309.14301546521585</v>
      </c>
      <c r="Q3" s="24">
        <v>0</v>
      </c>
      <c r="R3" s="26">
        <v>0</v>
      </c>
      <c r="S3" s="27">
        <f t="shared" ref="S3:S50" si="6">L3+M3+N3+O3</f>
        <v>7440.3261229283635</v>
      </c>
      <c r="T3" s="27">
        <f t="shared" ref="T3:T50" si="7">IFERROR(S3/K3,0)</f>
        <v>2268.3921106488915</v>
      </c>
    </row>
    <row r="4" spans="1:20" x14ac:dyDescent="0.3">
      <c r="A4" s="4">
        <v>10006719</v>
      </c>
      <c r="B4" s="4" t="s">
        <v>4</v>
      </c>
      <c r="C4" s="39">
        <v>15280</v>
      </c>
      <c r="D4" s="40"/>
      <c r="E4" s="41">
        <f t="shared" si="3"/>
        <v>15280</v>
      </c>
      <c r="G4" s="19">
        <v>10006719</v>
      </c>
      <c r="H4" s="20">
        <f>IFERROR(INDEX([1]Resumen!$K$3:$K$63,MATCH(G4,[1]Resumen!$C$3:$C$63,0)),0)*(1+I4*J4)/1000-51.89/1000</f>
        <v>1.8826723610599079</v>
      </c>
      <c r="I4" s="22">
        <v>0.71</v>
      </c>
      <c r="J4" s="22">
        <v>-7.0000000000000007E-2</v>
      </c>
      <c r="K4" s="23">
        <f>IF(E4&lt;0,0,E4)/1000</f>
        <v>15.28</v>
      </c>
      <c r="L4" s="24">
        <f t="shared" si="4"/>
        <v>28767.233676995391</v>
      </c>
      <c r="M4" s="25">
        <f t="shared" si="5"/>
        <v>3175.7952</v>
      </c>
      <c r="N4" s="24">
        <f t="shared" si="0"/>
        <v>916.43892453322712</v>
      </c>
      <c r="O4" s="24">
        <f t="shared" si="1"/>
        <v>1801.5636491864389</v>
      </c>
      <c r="P4" s="24">
        <f t="shared" si="2"/>
        <v>1440.1540476550299</v>
      </c>
      <c r="Q4" s="24">
        <v>0</v>
      </c>
      <c r="R4" s="26">
        <v>0</v>
      </c>
      <c r="S4" s="27">
        <f t="shared" si="6"/>
        <v>34661.031450715062</v>
      </c>
      <c r="T4" s="27">
        <f t="shared" si="7"/>
        <v>2268.3921106488915</v>
      </c>
    </row>
    <row r="5" spans="1:20" x14ac:dyDescent="0.3">
      <c r="A5" s="5">
        <v>10010005</v>
      </c>
      <c r="B5" s="5" t="s">
        <v>5</v>
      </c>
      <c r="C5" s="39">
        <v>35120</v>
      </c>
      <c r="D5" s="40"/>
      <c r="E5" s="41">
        <f t="shared" si="3"/>
        <v>35120</v>
      </c>
      <c r="G5" s="19">
        <v>10006719</v>
      </c>
      <c r="H5" s="20">
        <f>IFERROR(INDEX([1]Resumen!$K$3:$K$63,MATCH(G5,[1]Resumen!$C$3:$C$63,0)),0)*(1+I5*J5)/1000-51.89/1000</f>
        <v>1.8826723610599079</v>
      </c>
      <c r="I5" s="22">
        <v>0.71</v>
      </c>
      <c r="J5" s="22">
        <v>-7.0000000000000007E-2</v>
      </c>
      <c r="K5" s="23">
        <f t="shared" ref="K5:K44" si="8">IF(E5&lt;0,0,E5)/1000</f>
        <v>35.119999999999997</v>
      </c>
      <c r="L5" s="24">
        <f t="shared" si="4"/>
        <v>66119.453320423956</v>
      </c>
      <c r="M5" s="25">
        <f t="shared" si="5"/>
        <v>7299.3407999999999</v>
      </c>
      <c r="N5" s="24">
        <f t="shared" si="0"/>
        <v>2106.3700935606635</v>
      </c>
      <c r="O5" s="24">
        <f t="shared" si="1"/>
        <v>4140.7667120044325</v>
      </c>
      <c r="P5" s="24">
        <f t="shared" si="2"/>
        <v>3310.0922875421888</v>
      </c>
      <c r="Q5" s="24">
        <v>0</v>
      </c>
      <c r="R5" s="26">
        <v>0</v>
      </c>
      <c r="S5" s="27">
        <f t="shared" si="6"/>
        <v>79665.930925989058</v>
      </c>
      <c r="T5" s="27">
        <f t="shared" si="7"/>
        <v>2268.3921106488915</v>
      </c>
    </row>
    <row r="6" spans="1:20" x14ac:dyDescent="0.3">
      <c r="A6" s="4">
        <v>10009207</v>
      </c>
      <c r="B6" s="4" t="s">
        <v>6</v>
      </c>
      <c r="C6" s="39">
        <v>11400</v>
      </c>
      <c r="D6" s="40"/>
      <c r="E6" s="41">
        <f t="shared" si="3"/>
        <v>11400</v>
      </c>
      <c r="G6" s="28">
        <v>10009207</v>
      </c>
      <c r="H6" s="20">
        <f>IFERROR(INDEX([1]Resumen!$K$3:$K$63,MATCH(G6,[1]Resumen!$C$3:$C$63,0)),0)*(1+I6*J6)/1000-51.89/1000</f>
        <v>1.4168704986990337</v>
      </c>
      <c r="I6" s="22">
        <v>0.71</v>
      </c>
      <c r="J6" s="22">
        <v>-7.0000000000000007E-2</v>
      </c>
      <c r="K6" s="23">
        <f t="shared" si="8"/>
        <v>11.4</v>
      </c>
      <c r="L6" s="24">
        <f t="shared" si="4"/>
        <v>16152.323685168984</v>
      </c>
      <c r="M6" s="25">
        <f t="shared" si="5"/>
        <v>2369.3760000000002</v>
      </c>
      <c r="N6" s="24">
        <f t="shared" si="0"/>
        <v>683.73061123552293</v>
      </c>
      <c r="O6" s="24">
        <f t="shared" si="1"/>
        <v>1344.0985340788877</v>
      </c>
      <c r="P6" s="24">
        <f t="shared" si="2"/>
        <v>1074.4604805803235</v>
      </c>
      <c r="Q6" s="24">
        <v>0</v>
      </c>
      <c r="R6" s="26">
        <v>0</v>
      </c>
      <c r="S6" s="27">
        <f t="shared" si="6"/>
        <v>20549.528830483392</v>
      </c>
      <c r="T6" s="27">
        <f t="shared" si="7"/>
        <v>1802.5902482880167</v>
      </c>
    </row>
    <row r="7" spans="1:20" x14ac:dyDescent="0.3">
      <c r="A7" s="4">
        <v>10007969</v>
      </c>
      <c r="B7" s="4" t="s">
        <v>7</v>
      </c>
      <c r="C7" s="39">
        <v>34460</v>
      </c>
      <c r="D7" s="40"/>
      <c r="E7" s="41">
        <f t="shared" si="3"/>
        <v>34460</v>
      </c>
      <c r="G7" s="28">
        <v>10007969</v>
      </c>
      <c r="H7" s="20">
        <f>IFERROR(INDEX([1]Resumen!$K$3:$K$63,MATCH(G7,[1]Resumen!$C$3:$C$63,0)),0)*(1+I7*J7)/1000-51.89/1000</f>
        <v>1.3685038142857144</v>
      </c>
      <c r="I7" s="22">
        <v>0.71</v>
      </c>
      <c r="J7" s="22">
        <v>-7.0000000000000007E-2</v>
      </c>
      <c r="K7" s="23">
        <f t="shared" si="8"/>
        <v>34.46</v>
      </c>
      <c r="L7" s="24">
        <f t="shared" si="4"/>
        <v>47158.641440285719</v>
      </c>
      <c r="M7" s="25">
        <f t="shared" si="5"/>
        <v>7162.1664000000001</v>
      </c>
      <c r="N7" s="24">
        <f t="shared" si="0"/>
        <v>2066.7856897522911</v>
      </c>
      <c r="O7" s="24">
        <f t="shared" si="1"/>
        <v>4062.9504810840767</v>
      </c>
      <c r="P7" s="24">
        <f t="shared" si="2"/>
        <v>3247.8866807717495</v>
      </c>
      <c r="Q7" s="24">
        <v>0</v>
      </c>
      <c r="R7" s="26">
        <v>0</v>
      </c>
      <c r="S7" s="27">
        <f t="shared" si="6"/>
        <v>60450.544011122089</v>
      </c>
      <c r="T7" s="27">
        <f t="shared" si="7"/>
        <v>1754.2235638746979</v>
      </c>
    </row>
    <row r="8" spans="1:20" x14ac:dyDescent="0.3">
      <c r="A8" s="6">
        <v>10004433</v>
      </c>
      <c r="B8" s="6" t="s">
        <v>8</v>
      </c>
      <c r="C8" s="39">
        <v>1400</v>
      </c>
      <c r="D8" s="40"/>
      <c r="E8" s="41">
        <f t="shared" si="3"/>
        <v>1400</v>
      </c>
      <c r="G8" s="29">
        <v>10005721</v>
      </c>
      <c r="H8" s="20">
        <f>IFERROR(INDEX([1]Resumen!$K$3:$K$63,MATCH(G8,[1]Resumen!$C$3:$C$63,0)),0)*(1+I8*J8)/1000-51.89/1000</f>
        <v>1.9845861732240995</v>
      </c>
      <c r="I8" s="21">
        <v>0.67</v>
      </c>
      <c r="J8" s="22">
        <v>-7.0000000000000007E-2</v>
      </c>
      <c r="K8" s="23">
        <f t="shared" si="8"/>
        <v>1.4</v>
      </c>
      <c r="L8" s="24">
        <f t="shared" si="4"/>
        <v>2778.420642513739</v>
      </c>
      <c r="M8" s="25">
        <f t="shared" si="5"/>
        <v>290.976</v>
      </c>
      <c r="N8" s="24">
        <f t="shared" si="0"/>
        <v>83.966917169274737</v>
      </c>
      <c r="O8" s="24">
        <f t="shared" si="1"/>
        <v>165.064732255302</v>
      </c>
      <c r="P8" s="24">
        <f t="shared" si="2"/>
        <v>131.95128708881163</v>
      </c>
      <c r="Q8" s="24">
        <v>0</v>
      </c>
      <c r="R8" s="26">
        <v>0</v>
      </c>
      <c r="S8" s="27">
        <f t="shared" si="6"/>
        <v>3318.4282919383159</v>
      </c>
      <c r="T8" s="27">
        <f t="shared" si="7"/>
        <v>2370.3059228130828</v>
      </c>
    </row>
    <row r="9" spans="1:20" x14ac:dyDescent="0.3">
      <c r="A9" s="6">
        <v>10004434</v>
      </c>
      <c r="B9" s="6" t="s">
        <v>9</v>
      </c>
      <c r="C9" s="39">
        <v>2140</v>
      </c>
      <c r="D9" s="40">
        <v>2140</v>
      </c>
      <c r="E9" s="41">
        <f t="shared" si="3"/>
        <v>0</v>
      </c>
      <c r="G9" s="29">
        <v>10005721</v>
      </c>
      <c r="H9" s="20">
        <f>IFERROR(INDEX([1]Resumen!$K$3:$K$63,MATCH(G9,[1]Resumen!$C$3:$C$63,0)),0)*(1+I9*J9)/1000-51.89/1000</f>
        <v>1.9845861732240995</v>
      </c>
      <c r="I9" s="22">
        <v>0.67</v>
      </c>
      <c r="J9" s="22">
        <v>-7.0000000000000007E-2</v>
      </c>
      <c r="K9" s="23">
        <f t="shared" si="8"/>
        <v>0</v>
      </c>
      <c r="L9" s="24">
        <f t="shared" si="4"/>
        <v>0</v>
      </c>
      <c r="M9" s="25">
        <f t="shared" si="5"/>
        <v>0</v>
      </c>
      <c r="N9" s="24">
        <f t="shared" si="0"/>
        <v>0</v>
      </c>
      <c r="O9" s="24">
        <f t="shared" si="1"/>
        <v>0</v>
      </c>
      <c r="P9" s="24">
        <f t="shared" si="2"/>
        <v>0</v>
      </c>
      <c r="Q9" s="24">
        <v>0</v>
      </c>
      <c r="R9" s="26">
        <v>0</v>
      </c>
      <c r="S9" s="27">
        <f t="shared" si="6"/>
        <v>0</v>
      </c>
      <c r="T9" s="27">
        <f t="shared" si="7"/>
        <v>0</v>
      </c>
    </row>
    <row r="10" spans="1:20" x14ac:dyDescent="0.3">
      <c r="A10" s="6">
        <v>10010125</v>
      </c>
      <c r="B10" s="6" t="s">
        <v>10</v>
      </c>
      <c r="C10" s="39">
        <v>220</v>
      </c>
      <c r="D10" s="40">
        <v>220</v>
      </c>
      <c r="E10" s="41">
        <f t="shared" si="3"/>
        <v>0</v>
      </c>
      <c r="G10" s="29">
        <v>10005721</v>
      </c>
      <c r="H10" s="20">
        <f>IFERROR(INDEX([1]Resumen!$K$3:$K$63,MATCH(G10,[1]Resumen!$C$3:$C$63,0)),0)*(1+I10*J10)/1000-51.89/1000</f>
        <v>1.9845861732240995</v>
      </c>
      <c r="I10" s="22">
        <v>0.67</v>
      </c>
      <c r="J10" s="22">
        <v>-7.0000000000000007E-2</v>
      </c>
      <c r="K10" s="23">
        <f t="shared" si="8"/>
        <v>0</v>
      </c>
      <c r="L10" s="24">
        <f t="shared" si="4"/>
        <v>0</v>
      </c>
      <c r="M10" s="25">
        <f t="shared" si="5"/>
        <v>0</v>
      </c>
      <c r="N10" s="24">
        <f t="shared" si="0"/>
        <v>0</v>
      </c>
      <c r="O10" s="24">
        <f t="shared" si="1"/>
        <v>0</v>
      </c>
      <c r="P10" s="24">
        <f t="shared" si="2"/>
        <v>0</v>
      </c>
      <c r="Q10" s="24">
        <v>0</v>
      </c>
      <c r="R10" s="26">
        <v>0</v>
      </c>
      <c r="S10" s="27">
        <f t="shared" si="6"/>
        <v>0</v>
      </c>
      <c r="T10" s="27">
        <f t="shared" si="7"/>
        <v>0</v>
      </c>
    </row>
    <row r="11" spans="1:20" x14ac:dyDescent="0.3">
      <c r="A11" s="6">
        <v>10004435</v>
      </c>
      <c r="B11" s="6" t="s">
        <v>11</v>
      </c>
      <c r="C11" s="39">
        <v>14400</v>
      </c>
      <c r="D11" s="40"/>
      <c r="E11" s="41">
        <f t="shared" si="3"/>
        <v>14400</v>
      </c>
      <c r="G11" s="29">
        <v>10005721</v>
      </c>
      <c r="H11" s="20">
        <f>IFERROR(INDEX([1]Resumen!$K$3:$K$63,MATCH(G11,[1]Resumen!$C$3:$C$63,0)),0)*(1+I11*J11)/1000-51.89/1000</f>
        <v>1.9845861732240995</v>
      </c>
      <c r="I11" s="22">
        <v>0.67</v>
      </c>
      <c r="J11" s="22">
        <v>-7.0000000000000007E-2</v>
      </c>
      <c r="K11" s="23">
        <f t="shared" si="8"/>
        <v>14.4</v>
      </c>
      <c r="L11" s="24">
        <f t="shared" si="4"/>
        <v>28578.040894427035</v>
      </c>
      <c r="M11" s="25">
        <f t="shared" si="5"/>
        <v>2992.8960000000002</v>
      </c>
      <c r="N11" s="24">
        <f t="shared" si="0"/>
        <v>863.65971945539729</v>
      </c>
      <c r="O11" s="24">
        <f t="shared" si="1"/>
        <v>1697.8086746259635</v>
      </c>
      <c r="P11" s="24">
        <f t="shared" si="2"/>
        <v>1357.2132386277769</v>
      </c>
      <c r="Q11" s="24">
        <v>0</v>
      </c>
      <c r="R11" s="26">
        <v>0</v>
      </c>
      <c r="S11" s="27">
        <f t="shared" si="6"/>
        <v>34132.405288508395</v>
      </c>
      <c r="T11" s="27">
        <f t="shared" si="7"/>
        <v>2370.3059228130828</v>
      </c>
    </row>
    <row r="12" spans="1:20" x14ac:dyDescent="0.3">
      <c r="A12" s="4">
        <v>10005708</v>
      </c>
      <c r="B12" s="4" t="s">
        <v>12</v>
      </c>
      <c r="C12" s="39">
        <v>1080</v>
      </c>
      <c r="D12" s="40"/>
      <c r="E12" s="41">
        <f t="shared" si="3"/>
        <v>1080</v>
      </c>
      <c r="G12" s="29">
        <v>10005721</v>
      </c>
      <c r="H12" s="20">
        <f>IFERROR(INDEX([1]Resumen!$K$3:$K$63,MATCH(G12,[1]Resumen!$C$3:$C$63,0)),0)*(1+I12*J12)/1000-51.89/1000</f>
        <v>1.9845861732240995</v>
      </c>
      <c r="I12" s="22">
        <v>0.67</v>
      </c>
      <c r="J12" s="22">
        <v>-7.0000000000000007E-2</v>
      </c>
      <c r="K12" s="23">
        <f t="shared" si="8"/>
        <v>1.08</v>
      </c>
      <c r="L12" s="24">
        <f t="shared" si="4"/>
        <v>2143.3530670820278</v>
      </c>
      <c r="M12" s="25">
        <f t="shared" si="5"/>
        <v>224.46720000000002</v>
      </c>
      <c r="N12" s="24">
        <f t="shared" si="0"/>
        <v>64.774478959154806</v>
      </c>
      <c r="O12" s="24">
        <f t="shared" si="1"/>
        <v>127.33565059694727</v>
      </c>
      <c r="P12" s="24">
        <f t="shared" si="2"/>
        <v>101.79099289708327</v>
      </c>
      <c r="Q12" s="24">
        <v>0</v>
      </c>
      <c r="R12" s="26">
        <v>0</v>
      </c>
      <c r="S12" s="27">
        <f t="shared" si="6"/>
        <v>2559.9303966381299</v>
      </c>
      <c r="T12" s="27">
        <f t="shared" si="7"/>
        <v>2370.3059228130833</v>
      </c>
    </row>
    <row r="13" spans="1:20" x14ac:dyDescent="0.3">
      <c r="A13" s="3">
        <v>10005721</v>
      </c>
      <c r="B13" s="3" t="s">
        <v>13</v>
      </c>
      <c r="C13" s="39">
        <v>530420</v>
      </c>
      <c r="D13" s="40"/>
      <c r="E13" s="41">
        <f t="shared" si="3"/>
        <v>530420</v>
      </c>
      <c r="G13" s="29">
        <v>10005721</v>
      </c>
      <c r="H13" s="20">
        <f>IFERROR(INDEX([1]Resumen!$K$3:$K$63,MATCH(G13,[1]Resumen!$C$3:$C$63,0)),0)*(1+I13*J13)/1000-51.89/1000</f>
        <v>1.9845861732240995</v>
      </c>
      <c r="I13" s="22">
        <v>0.67</v>
      </c>
      <c r="J13" s="22">
        <v>-7.0000000000000007E-2</v>
      </c>
      <c r="K13" s="23">
        <f t="shared" si="8"/>
        <v>530.41999999999996</v>
      </c>
      <c r="L13" s="24">
        <f t="shared" si="4"/>
        <v>1052664.1980015268</v>
      </c>
      <c r="M13" s="25">
        <f t="shared" si="5"/>
        <v>110242.49279999999</v>
      </c>
      <c r="N13" s="24">
        <f t="shared" si="0"/>
        <v>31812.665860661931</v>
      </c>
      <c r="O13" s="24">
        <f t="shared" si="1"/>
        <v>62538.310916326627</v>
      </c>
      <c r="P13" s="24">
        <f t="shared" si="2"/>
        <v>49992.572641176761</v>
      </c>
      <c r="Q13" s="24">
        <v>0</v>
      </c>
      <c r="R13" s="26">
        <v>0</v>
      </c>
      <c r="S13" s="27">
        <f t="shared" si="6"/>
        <v>1257257.6675785154</v>
      </c>
      <c r="T13" s="27">
        <f t="shared" si="7"/>
        <v>2370.3059228130828</v>
      </c>
    </row>
    <row r="14" spans="1:20" x14ac:dyDescent="0.3">
      <c r="A14" s="4">
        <v>10005711</v>
      </c>
      <c r="B14" s="4" t="s">
        <v>14</v>
      </c>
      <c r="C14" s="39">
        <v>11340</v>
      </c>
      <c r="D14" s="40"/>
      <c r="E14" s="41">
        <f t="shared" si="3"/>
        <v>11340</v>
      </c>
      <c r="G14" s="29">
        <v>10005721</v>
      </c>
      <c r="H14" s="20">
        <f>IFERROR(INDEX([1]Resumen!$K$3:$K$63,MATCH(G14,[1]Resumen!$C$3:$C$63,0)),0)*(1+I14*J14)/1000-51.89/1000</f>
        <v>1.9845861732240995</v>
      </c>
      <c r="I14" s="22">
        <v>0.67</v>
      </c>
      <c r="J14" s="22">
        <v>-7.0000000000000007E-2</v>
      </c>
      <c r="K14" s="23">
        <f t="shared" si="8"/>
        <v>11.34</v>
      </c>
      <c r="L14" s="24">
        <f t="shared" si="4"/>
        <v>22505.207204361286</v>
      </c>
      <c r="M14" s="25">
        <f t="shared" si="5"/>
        <v>2356.9056</v>
      </c>
      <c r="N14" s="24">
        <f t="shared" si="0"/>
        <v>680.13202907112532</v>
      </c>
      <c r="O14" s="24">
        <f t="shared" si="1"/>
        <v>1337.0243312679463</v>
      </c>
      <c r="P14" s="24">
        <f t="shared" si="2"/>
        <v>1068.8054254193744</v>
      </c>
      <c r="Q14" s="24">
        <v>0</v>
      </c>
      <c r="R14" s="26">
        <v>0</v>
      </c>
      <c r="S14" s="27">
        <f t="shared" si="6"/>
        <v>26879.269164700356</v>
      </c>
      <c r="T14" s="27">
        <f t="shared" si="7"/>
        <v>2370.3059228130824</v>
      </c>
    </row>
    <row r="15" spans="1:20" x14ac:dyDescent="0.3">
      <c r="A15" s="4">
        <v>10010126</v>
      </c>
      <c r="B15" s="4" t="s">
        <v>15</v>
      </c>
      <c r="C15" s="39">
        <v>3300</v>
      </c>
      <c r="D15" s="40">
        <v>3300</v>
      </c>
      <c r="E15" s="41">
        <f t="shared" si="3"/>
        <v>0</v>
      </c>
      <c r="G15" s="29">
        <v>10005721</v>
      </c>
      <c r="H15" s="20">
        <f>IFERROR(INDEX([1]Resumen!$K$3:$K$63,MATCH(G15,[1]Resumen!$C$3:$C$63,0)),0)*(1+I15*J15)/1000-51.89/1000</f>
        <v>1.9845861732240995</v>
      </c>
      <c r="I15" s="22">
        <v>0.67</v>
      </c>
      <c r="J15" s="22">
        <v>-7.0000000000000007E-2</v>
      </c>
      <c r="K15" s="23">
        <f t="shared" si="8"/>
        <v>0</v>
      </c>
      <c r="L15" s="24">
        <f t="shared" si="4"/>
        <v>0</v>
      </c>
      <c r="M15" s="25">
        <f t="shared" si="5"/>
        <v>0</v>
      </c>
      <c r="N15" s="24">
        <f t="shared" si="0"/>
        <v>0</v>
      </c>
      <c r="O15" s="24">
        <f t="shared" si="1"/>
        <v>0</v>
      </c>
      <c r="P15" s="24">
        <f t="shared" si="2"/>
        <v>0</v>
      </c>
      <c r="Q15" s="24">
        <v>0</v>
      </c>
      <c r="R15" s="26">
        <v>0</v>
      </c>
      <c r="S15" s="27">
        <f t="shared" si="6"/>
        <v>0</v>
      </c>
      <c r="T15" s="27">
        <f t="shared" si="7"/>
        <v>0</v>
      </c>
    </row>
    <row r="16" spans="1:20" x14ac:dyDescent="0.3">
      <c r="A16" s="4">
        <v>10005718</v>
      </c>
      <c r="B16" s="4" t="s">
        <v>16</v>
      </c>
      <c r="C16" s="39">
        <v>380</v>
      </c>
      <c r="D16" s="40">
        <v>32480</v>
      </c>
      <c r="E16" s="42">
        <f t="shared" si="3"/>
        <v>-32100</v>
      </c>
      <c r="G16" s="29">
        <v>10005721</v>
      </c>
      <c r="H16" s="20">
        <f>IFERROR(INDEX([1]Resumen!$K$3:$K$63,MATCH(G16,[1]Resumen!$C$3:$C$63,0)),0)*(1+I16*J16)/1000-51.89/1000</f>
        <v>1.9845861732240995</v>
      </c>
      <c r="I16" s="22">
        <v>0.67</v>
      </c>
      <c r="J16" s="22">
        <v>-7.0000000000000007E-2</v>
      </c>
      <c r="K16" s="23">
        <f t="shared" si="8"/>
        <v>0</v>
      </c>
      <c r="L16" s="24">
        <f t="shared" si="4"/>
        <v>0</v>
      </c>
      <c r="M16" s="25">
        <f t="shared" si="5"/>
        <v>0</v>
      </c>
      <c r="N16" s="24">
        <f t="shared" si="0"/>
        <v>0</v>
      </c>
      <c r="O16" s="24">
        <f t="shared" si="1"/>
        <v>0</v>
      </c>
      <c r="P16" s="24">
        <f t="shared" si="2"/>
        <v>0</v>
      </c>
      <c r="Q16" s="24">
        <v>0</v>
      </c>
      <c r="R16" s="26">
        <v>0</v>
      </c>
      <c r="S16" s="27">
        <f t="shared" si="6"/>
        <v>0</v>
      </c>
      <c r="T16" s="27">
        <f t="shared" si="7"/>
        <v>0</v>
      </c>
    </row>
    <row r="17" spans="1:20" x14ac:dyDescent="0.3">
      <c r="A17" s="7">
        <v>10009972</v>
      </c>
      <c r="B17" s="7" t="s">
        <v>17</v>
      </c>
      <c r="C17" s="39">
        <v>29720</v>
      </c>
      <c r="D17" s="40"/>
      <c r="E17" s="41">
        <f t="shared" si="3"/>
        <v>29720</v>
      </c>
      <c r="G17" s="29">
        <v>10005721</v>
      </c>
      <c r="H17" s="20">
        <f>IFERROR(INDEX([1]Resumen!$K$3:$K$63,MATCH(G17,[1]Resumen!$C$3:$C$63,0)),0)*(1+I17*J17)/1000-51.89/1000</f>
        <v>1.9845861732240995</v>
      </c>
      <c r="I17" s="22">
        <v>0.67</v>
      </c>
      <c r="J17" s="22">
        <v>-7.0000000000000007E-2</v>
      </c>
      <c r="K17" s="23">
        <f t="shared" si="8"/>
        <v>29.72</v>
      </c>
      <c r="L17" s="24">
        <f t="shared" si="4"/>
        <v>58981.901068220235</v>
      </c>
      <c r="M17" s="25">
        <f t="shared" si="5"/>
        <v>6177.0047999999997</v>
      </c>
      <c r="N17" s="24">
        <f t="shared" si="0"/>
        <v>1782.4976987648893</v>
      </c>
      <c r="O17" s="24">
        <f t="shared" si="1"/>
        <v>3504.0884590196965</v>
      </c>
      <c r="P17" s="24">
        <f t="shared" si="2"/>
        <v>2801.1373230567729</v>
      </c>
      <c r="Q17" s="24">
        <v>0</v>
      </c>
      <c r="R17" s="26">
        <v>0</v>
      </c>
      <c r="S17" s="27">
        <f t="shared" si="6"/>
        <v>70445.492026004824</v>
      </c>
      <c r="T17" s="27">
        <f t="shared" si="7"/>
        <v>2370.3059228130828</v>
      </c>
    </row>
    <row r="18" spans="1:20" x14ac:dyDescent="0.3">
      <c r="A18" s="3">
        <v>10009298</v>
      </c>
      <c r="B18" s="3" t="s">
        <v>18</v>
      </c>
      <c r="C18" s="39">
        <v>3200</v>
      </c>
      <c r="D18" s="40"/>
      <c r="E18" s="41">
        <f t="shared" si="3"/>
        <v>3200</v>
      </c>
      <c r="G18" s="29">
        <v>10005721</v>
      </c>
      <c r="H18" s="20">
        <f>IFERROR(INDEX([1]Resumen!$K$3:$K$63,MATCH(G18,[1]Resumen!$C$3:$C$63,0)),0)*(1+I18*J18)/1000-51.89/1000</f>
        <v>1.9845861732240995</v>
      </c>
      <c r="I18" s="22">
        <v>0.67</v>
      </c>
      <c r="J18" s="22">
        <v>-7.0000000000000007E-2</v>
      </c>
      <c r="K18" s="23">
        <f>IF(E18&lt;0,0,E18)/1000</f>
        <v>3.2</v>
      </c>
      <c r="L18" s="24">
        <f t="shared" si="4"/>
        <v>6350.6757543171188</v>
      </c>
      <c r="M18" s="25">
        <f t="shared" si="5"/>
        <v>665.08800000000008</v>
      </c>
      <c r="N18" s="24">
        <f t="shared" si="0"/>
        <v>191.9243821011994</v>
      </c>
      <c r="O18" s="24">
        <f t="shared" si="1"/>
        <v>377.29081658354744</v>
      </c>
      <c r="P18" s="24">
        <f t="shared" si="2"/>
        <v>301.60294191728377</v>
      </c>
      <c r="Q18" s="24">
        <v>0</v>
      </c>
      <c r="R18" s="26">
        <v>0</v>
      </c>
      <c r="S18" s="27">
        <f t="shared" si="6"/>
        <v>7584.9789530018661</v>
      </c>
      <c r="T18" s="27">
        <f t="shared" si="7"/>
        <v>2370.3059228130828</v>
      </c>
    </row>
    <row r="19" spans="1:20" x14ac:dyDescent="0.3">
      <c r="A19" s="8">
        <v>10009184</v>
      </c>
      <c r="B19" s="8" t="s">
        <v>19</v>
      </c>
      <c r="C19" s="39">
        <v>95200</v>
      </c>
      <c r="D19" s="40"/>
      <c r="E19" s="41">
        <f t="shared" si="3"/>
        <v>95200</v>
      </c>
      <c r="G19" s="30">
        <v>10005779</v>
      </c>
      <c r="H19" s="20">
        <f>IFERROR(INDEX([1]Resumen!$K$3:$K$63,MATCH(G19,[1]Resumen!$C$3:$C$63,0)),0)*(1+I19*J19)/1000-51.89/1000</f>
        <v>1.622010395638348</v>
      </c>
      <c r="I19" s="21">
        <v>0.65</v>
      </c>
      <c r="J19" s="22">
        <v>-7.0000000000000007E-2</v>
      </c>
      <c r="K19" s="23">
        <f>IF(E19&lt;0,0,E19)/1000</f>
        <v>95.2</v>
      </c>
      <c r="L19" s="24">
        <f t="shared" si="4"/>
        <v>154415.38966477074</v>
      </c>
      <c r="M19" s="25">
        <f t="shared" si="5"/>
        <v>19786.368000000002</v>
      </c>
      <c r="N19" s="24">
        <f t="shared" si="0"/>
        <v>5709.7503675106818</v>
      </c>
      <c r="O19" s="24">
        <f t="shared" si="1"/>
        <v>11224.401793360537</v>
      </c>
      <c r="P19" s="24">
        <f t="shared" si="2"/>
        <v>8972.6875220391921</v>
      </c>
      <c r="Q19" s="24">
        <v>0</v>
      </c>
      <c r="R19" s="26">
        <v>0</v>
      </c>
      <c r="S19" s="27">
        <f t="shared" si="6"/>
        <v>191135.90982564198</v>
      </c>
      <c r="T19" s="27">
        <f t="shared" si="7"/>
        <v>2007.7301452273316</v>
      </c>
    </row>
    <row r="20" spans="1:20" x14ac:dyDescent="0.3">
      <c r="A20" s="4">
        <v>10009271</v>
      </c>
      <c r="B20" s="4" t="s">
        <v>20</v>
      </c>
      <c r="C20" s="39">
        <v>40100</v>
      </c>
      <c r="D20" s="40"/>
      <c r="E20" s="41">
        <f t="shared" si="3"/>
        <v>40100</v>
      </c>
      <c r="G20" s="30">
        <v>10005779</v>
      </c>
      <c r="H20" s="20">
        <f>IFERROR(INDEX([1]Resumen!$K$3:$K$63,MATCH(G20,[1]Resumen!$C$3:$C$63,0)),0)*(1+I20*J20)/1000-51.89/1000</f>
        <v>1.622010395638348</v>
      </c>
      <c r="I20" s="22">
        <v>0.65</v>
      </c>
      <c r="J20" s="22">
        <v>-7.0000000000000007E-2</v>
      </c>
      <c r="K20" s="23">
        <f>IF(E20&lt;0,0,E20)/1000</f>
        <v>40.1</v>
      </c>
      <c r="L20" s="24">
        <f t="shared" si="4"/>
        <v>65042.616865097756</v>
      </c>
      <c r="M20" s="25">
        <f t="shared" si="5"/>
        <v>8334.384</v>
      </c>
      <c r="N20" s="24">
        <f t="shared" si="0"/>
        <v>2405.0524132056548</v>
      </c>
      <c r="O20" s="24">
        <f t="shared" si="1"/>
        <v>4727.9255453125788</v>
      </c>
      <c r="P20" s="24">
        <f t="shared" si="2"/>
        <v>3779.461865900962</v>
      </c>
      <c r="Q20" s="24">
        <v>0</v>
      </c>
      <c r="R20" s="26">
        <v>0</v>
      </c>
      <c r="S20" s="27">
        <f t="shared" si="6"/>
        <v>80509.978823615995</v>
      </c>
      <c r="T20" s="27">
        <f t="shared" si="7"/>
        <v>2007.7301452273314</v>
      </c>
    </row>
    <row r="21" spans="1:20" x14ac:dyDescent="0.3">
      <c r="A21" s="4">
        <v>10009183</v>
      </c>
      <c r="B21" s="4" t="s">
        <v>21</v>
      </c>
      <c r="C21" s="39">
        <v>1040</v>
      </c>
      <c r="D21" s="40"/>
      <c r="E21" s="41">
        <f t="shared" si="3"/>
        <v>1040</v>
      </c>
      <c r="G21" s="30">
        <v>10005779</v>
      </c>
      <c r="H21" s="20">
        <f>IFERROR(INDEX([1]Resumen!$K$3:$K$63,MATCH(G21,[1]Resumen!$C$3:$C$63,0)),0)*(1+I21*J21)/1000-51.89/1000</f>
        <v>1.622010395638348</v>
      </c>
      <c r="I21" s="22">
        <v>0.65</v>
      </c>
      <c r="J21" s="22">
        <v>-7.0000000000000007E-2</v>
      </c>
      <c r="K21" s="23">
        <f t="shared" si="8"/>
        <v>1.04</v>
      </c>
      <c r="L21" s="24">
        <f t="shared" si="4"/>
        <v>1686.8908114638821</v>
      </c>
      <c r="M21" s="25">
        <f t="shared" si="5"/>
        <v>216.15360000000001</v>
      </c>
      <c r="N21" s="24">
        <f t="shared" si="0"/>
        <v>62.375424182889809</v>
      </c>
      <c r="O21" s="24">
        <f t="shared" si="1"/>
        <v>122.61951538965292</v>
      </c>
      <c r="P21" s="24">
        <f t="shared" si="2"/>
        <v>98.02095612311723</v>
      </c>
      <c r="Q21" s="24">
        <v>0</v>
      </c>
      <c r="R21" s="26">
        <v>0</v>
      </c>
      <c r="S21" s="27">
        <f t="shared" si="6"/>
        <v>2088.0393510364252</v>
      </c>
      <c r="T21" s="27">
        <f t="shared" si="7"/>
        <v>2007.7301452273318</v>
      </c>
    </row>
    <row r="22" spans="1:20" x14ac:dyDescent="0.3">
      <c r="A22" s="8">
        <v>10005779</v>
      </c>
      <c r="B22" s="8" t="s">
        <v>22</v>
      </c>
      <c r="C22" s="39">
        <v>72960</v>
      </c>
      <c r="D22" s="40">
        <v>24000</v>
      </c>
      <c r="E22" s="41">
        <f t="shared" si="3"/>
        <v>48960</v>
      </c>
      <c r="G22" s="30">
        <v>10005779</v>
      </c>
      <c r="H22" s="20">
        <f>IFERROR(INDEX([1]Resumen!$K$3:$K$63,MATCH(G22,[1]Resumen!$C$3:$C$63,0)),0)*(1+I22*J22)/1000-51.89/1000</f>
        <v>1.622010395638348</v>
      </c>
      <c r="I22" s="22">
        <v>0.65</v>
      </c>
      <c r="J22" s="22">
        <v>-7.0000000000000007E-2</v>
      </c>
      <c r="K22" s="23">
        <f t="shared" si="8"/>
        <v>48.96</v>
      </c>
      <c r="L22" s="24">
        <f t="shared" si="4"/>
        <v>79413.628970453516</v>
      </c>
      <c r="M22" s="25">
        <f t="shared" si="5"/>
        <v>10175.8464</v>
      </c>
      <c r="N22" s="24">
        <f t="shared" si="0"/>
        <v>2936.4430461483507</v>
      </c>
      <c r="O22" s="24">
        <f t="shared" si="1"/>
        <v>5772.5494937282756</v>
      </c>
      <c r="P22" s="24">
        <f t="shared" si="2"/>
        <v>4614.5250113344418</v>
      </c>
      <c r="Q22" s="24">
        <v>0</v>
      </c>
      <c r="R22" s="26">
        <v>0</v>
      </c>
      <c r="S22" s="27">
        <f t="shared" si="6"/>
        <v>98298.467910330146</v>
      </c>
      <c r="T22" s="27">
        <f t="shared" si="7"/>
        <v>2007.7301452273314</v>
      </c>
    </row>
    <row r="23" spans="1:20" x14ac:dyDescent="0.3">
      <c r="A23" s="8">
        <v>10005776</v>
      </c>
      <c r="B23" s="8" t="s">
        <v>23</v>
      </c>
      <c r="C23" s="39">
        <v>146280</v>
      </c>
      <c r="D23" s="40">
        <v>58000</v>
      </c>
      <c r="E23" s="41">
        <f t="shared" si="3"/>
        <v>88280</v>
      </c>
      <c r="G23" s="30">
        <v>10005779</v>
      </c>
      <c r="H23" s="20">
        <f>IFERROR(INDEX([1]Resumen!$K$3:$K$63,MATCH(G23,[1]Resumen!$C$3:$C$63,0)),0)*(1+I23*J23)/1000-51.89/1000</f>
        <v>1.622010395638348</v>
      </c>
      <c r="I23" s="22">
        <v>0.65</v>
      </c>
      <c r="J23" s="22">
        <v>-7.0000000000000007E-2</v>
      </c>
      <c r="K23" s="23">
        <f t="shared" si="8"/>
        <v>88.28</v>
      </c>
      <c r="L23" s="24">
        <f t="shared" si="4"/>
        <v>143191.07772695334</v>
      </c>
      <c r="M23" s="25">
        <f t="shared" si="5"/>
        <v>18348.1152</v>
      </c>
      <c r="N23" s="24">
        <f t="shared" si="0"/>
        <v>5294.7138912168384</v>
      </c>
      <c r="O23" s="24">
        <f t="shared" si="1"/>
        <v>10408.510402498616</v>
      </c>
      <c r="P23" s="24">
        <f t="shared" si="2"/>
        <v>8320.4711601430663</v>
      </c>
      <c r="Q23" s="24">
        <v>0</v>
      </c>
      <c r="R23" s="26">
        <v>0</v>
      </c>
      <c r="S23" s="27">
        <f t="shared" si="6"/>
        <v>177242.41722066881</v>
      </c>
      <c r="T23" s="27">
        <f t="shared" si="7"/>
        <v>2007.7301452273314</v>
      </c>
    </row>
    <row r="24" spans="1:20" x14ac:dyDescent="0.3">
      <c r="A24" s="8">
        <v>10005781</v>
      </c>
      <c r="B24" s="8" t="s">
        <v>24</v>
      </c>
      <c r="C24" s="39">
        <v>5940</v>
      </c>
      <c r="D24" s="40">
        <v>104000</v>
      </c>
      <c r="E24" s="42">
        <f t="shared" si="3"/>
        <v>-98060</v>
      </c>
      <c r="G24" s="30">
        <v>10005779</v>
      </c>
      <c r="H24" s="20">
        <f>IFERROR(INDEX([1]Resumen!$K$3:$K$63,MATCH(G24,[1]Resumen!$C$3:$C$63,0)),0)*(1+I24*J24)/1000-51.89/1000</f>
        <v>1.622010395638348</v>
      </c>
      <c r="I24" s="22">
        <v>0.65</v>
      </c>
      <c r="J24" s="22">
        <v>-7.0000000000000007E-2</v>
      </c>
      <c r="K24" s="23">
        <f t="shared" si="8"/>
        <v>0</v>
      </c>
      <c r="L24" s="24">
        <f t="shared" si="4"/>
        <v>0</v>
      </c>
      <c r="M24" s="25">
        <f t="shared" si="5"/>
        <v>0</v>
      </c>
      <c r="N24" s="24">
        <f t="shared" si="0"/>
        <v>0</v>
      </c>
      <c r="O24" s="24">
        <f t="shared" si="1"/>
        <v>0</v>
      </c>
      <c r="P24" s="24">
        <f t="shared" si="2"/>
        <v>0</v>
      </c>
      <c r="Q24" s="24">
        <v>0</v>
      </c>
      <c r="R24" s="26">
        <v>0</v>
      </c>
      <c r="S24" s="27">
        <f t="shared" si="6"/>
        <v>0</v>
      </c>
      <c r="T24" s="27">
        <f t="shared" si="7"/>
        <v>0</v>
      </c>
    </row>
    <row r="25" spans="1:20" x14ac:dyDescent="0.3">
      <c r="A25" s="9">
        <v>10007567</v>
      </c>
      <c r="B25" s="9" t="s">
        <v>25</v>
      </c>
      <c r="C25" s="39">
        <v>71520</v>
      </c>
      <c r="D25" s="40">
        <v>27000</v>
      </c>
      <c r="E25" s="41">
        <f t="shared" si="3"/>
        <v>44520</v>
      </c>
      <c r="G25" s="31">
        <v>10007567</v>
      </c>
      <c r="H25" s="20">
        <f>IFERROR(INDEX([1]Resumen!$K$3:$K$63,MATCH(G25,[1]Resumen!$C$3:$C$63,0)),0)*(1+I25*J25)/1000-51.89/1000</f>
        <v>1.6826592070424338</v>
      </c>
      <c r="I25" s="21">
        <v>0.68</v>
      </c>
      <c r="J25" s="22">
        <v>-7.0000000000000007E-2</v>
      </c>
      <c r="K25" s="23">
        <f t="shared" si="8"/>
        <v>44.52</v>
      </c>
      <c r="L25" s="24">
        <f t="shared" si="4"/>
        <v>74911.987897529165</v>
      </c>
      <c r="M25" s="25">
        <f t="shared" si="5"/>
        <v>9253.0368000000017</v>
      </c>
      <c r="N25" s="24">
        <f t="shared" si="0"/>
        <v>2670.147965982937</v>
      </c>
      <c r="O25" s="24">
        <f t="shared" si="1"/>
        <v>5249.0584857186041</v>
      </c>
      <c r="P25" s="24">
        <f t="shared" si="2"/>
        <v>4196.0509294242111</v>
      </c>
      <c r="Q25" s="24">
        <v>0</v>
      </c>
      <c r="R25" s="26">
        <v>0</v>
      </c>
      <c r="S25" s="27">
        <f t="shared" si="6"/>
        <v>92084.231149230705</v>
      </c>
      <c r="T25" s="27">
        <f t="shared" si="7"/>
        <v>2068.3789566314172</v>
      </c>
    </row>
    <row r="26" spans="1:20" x14ac:dyDescent="0.3">
      <c r="A26" s="9">
        <v>10009975</v>
      </c>
      <c r="B26" s="9" t="s">
        <v>26</v>
      </c>
      <c r="C26" s="39">
        <v>33080</v>
      </c>
      <c r="D26" s="40"/>
      <c r="E26" s="41">
        <f t="shared" si="3"/>
        <v>33080</v>
      </c>
      <c r="G26" s="31">
        <v>10007567</v>
      </c>
      <c r="H26" s="20">
        <f>IFERROR(INDEX([1]Resumen!$K$3:$K$63,MATCH(G26,[1]Resumen!$C$3:$C$63,0)),0)*(1+I26*J26)/1000-51.89/1000</f>
        <v>1.6826592070424338</v>
      </c>
      <c r="I26" s="22">
        <v>0.68</v>
      </c>
      <c r="J26" s="22">
        <v>-7.0000000000000007E-2</v>
      </c>
      <c r="K26" s="23">
        <f t="shared" si="8"/>
        <v>33.08</v>
      </c>
      <c r="L26" s="24">
        <f t="shared" si="4"/>
        <v>55662.366568963706</v>
      </c>
      <c r="M26" s="25">
        <f t="shared" si="5"/>
        <v>6875.3472000000002</v>
      </c>
      <c r="N26" s="24">
        <f t="shared" si="0"/>
        <v>1984.0182999711487</v>
      </c>
      <c r="O26" s="24">
        <f t="shared" si="1"/>
        <v>3900.2438164324212</v>
      </c>
      <c r="P26" s="24">
        <f t="shared" si="2"/>
        <v>3117.8204120699206</v>
      </c>
      <c r="Q26" s="24">
        <v>0</v>
      </c>
      <c r="R26" s="26">
        <v>0</v>
      </c>
      <c r="S26" s="27">
        <f t="shared" si="6"/>
        <v>68421.975885367268</v>
      </c>
      <c r="T26" s="27">
        <f t="shared" si="7"/>
        <v>2068.3789566314167</v>
      </c>
    </row>
    <row r="27" spans="1:20" x14ac:dyDescent="0.3">
      <c r="A27" s="4">
        <v>10009186</v>
      </c>
      <c r="B27" s="4" t="s">
        <v>27</v>
      </c>
      <c r="C27" s="39">
        <v>1300</v>
      </c>
      <c r="D27" s="40"/>
      <c r="E27" s="41">
        <f t="shared" si="3"/>
        <v>1300</v>
      </c>
      <c r="G27" s="31">
        <v>10007162</v>
      </c>
      <c r="H27" s="20">
        <f>IFERROR(INDEX([1]Resumen!$K$3:$K$63,MATCH(G27,[1]Resumen!$C$3:$C$63,0)),0)*(1+I27*J27)/1000-51.89/1000</f>
        <v>1.7406977734802118</v>
      </c>
      <c r="I27" s="22">
        <v>0.68</v>
      </c>
      <c r="J27" s="22">
        <v>-7.0000000000000007E-2</v>
      </c>
      <c r="K27" s="23">
        <f t="shared" si="8"/>
        <v>1.3</v>
      </c>
      <c r="L27" s="24">
        <f t="shared" si="4"/>
        <v>2262.9071055242753</v>
      </c>
      <c r="M27" s="25">
        <f t="shared" si="5"/>
        <v>270.19200000000001</v>
      </c>
      <c r="N27" s="24">
        <f t="shared" si="0"/>
        <v>77.969280228612263</v>
      </c>
      <c r="O27" s="24">
        <f t="shared" si="1"/>
        <v>153.27439423706616</v>
      </c>
      <c r="P27" s="24">
        <f t="shared" si="2"/>
        <v>122.52619515389654</v>
      </c>
      <c r="Q27" s="24">
        <v>0</v>
      </c>
      <c r="R27" s="26">
        <v>0</v>
      </c>
      <c r="S27" s="27">
        <f t="shared" si="6"/>
        <v>2764.3427799899537</v>
      </c>
      <c r="T27" s="27">
        <f t="shared" si="7"/>
        <v>2126.4175230691949</v>
      </c>
    </row>
    <row r="28" spans="1:20" x14ac:dyDescent="0.3">
      <c r="A28" s="4">
        <v>10009777</v>
      </c>
      <c r="B28" s="4" t="s">
        <v>28</v>
      </c>
      <c r="C28" s="39">
        <v>15920</v>
      </c>
      <c r="D28" s="40"/>
      <c r="E28" s="41">
        <f t="shared" si="3"/>
        <v>15920</v>
      </c>
      <c r="G28" s="31">
        <v>10007162</v>
      </c>
      <c r="H28" s="20">
        <f>IFERROR(INDEX([1]Resumen!$K$3:$K$63,MATCH(G28,[1]Resumen!$C$3:$C$63,0)),0)*(1+I28*J28)/1000-51.89/1000</f>
        <v>1.7406977734802118</v>
      </c>
      <c r="I28" s="22">
        <v>0.68</v>
      </c>
      <c r="J28" s="22">
        <v>-7.0000000000000007E-2</v>
      </c>
      <c r="K28" s="23">
        <f t="shared" si="8"/>
        <v>15.92</v>
      </c>
      <c r="L28" s="24">
        <f t="shared" si="4"/>
        <v>27711.908553804969</v>
      </c>
      <c r="M28" s="25">
        <f t="shared" si="5"/>
        <v>3308.8128000000002</v>
      </c>
      <c r="N28" s="24">
        <f t="shared" si="0"/>
        <v>954.82380095346696</v>
      </c>
      <c r="O28" s="24">
        <f t="shared" si="1"/>
        <v>1877.0218125031486</v>
      </c>
      <c r="P28" s="24">
        <f t="shared" si="2"/>
        <v>1500.4746360384868</v>
      </c>
      <c r="Q28" s="24">
        <v>0</v>
      </c>
      <c r="R28" s="26">
        <v>0</v>
      </c>
      <c r="S28" s="27">
        <f t="shared" si="6"/>
        <v>33852.566967261584</v>
      </c>
      <c r="T28" s="27">
        <f t="shared" si="7"/>
        <v>2126.4175230691949</v>
      </c>
    </row>
    <row r="29" spans="1:20" x14ac:dyDescent="0.3">
      <c r="A29" s="4">
        <v>10009989</v>
      </c>
      <c r="B29" s="4" t="s">
        <v>29</v>
      </c>
      <c r="C29" s="39">
        <v>181160</v>
      </c>
      <c r="D29" s="40">
        <v>162000</v>
      </c>
      <c r="E29" s="41">
        <f t="shared" si="3"/>
        <v>19160</v>
      </c>
      <c r="G29" s="31">
        <v>10007162</v>
      </c>
      <c r="H29" s="20">
        <f>IFERROR(INDEX([1]Resumen!$K$3:$K$63,MATCH(G29,[1]Resumen!$C$3:$C$63,0)),0)*(1+I29*J29)/1000-51.89/1000</f>
        <v>1.7406977734802118</v>
      </c>
      <c r="I29" s="22">
        <v>0.68</v>
      </c>
      <c r="J29" s="22">
        <v>-7.0000000000000007E-2</v>
      </c>
      <c r="K29" s="23">
        <f t="shared" si="8"/>
        <v>19.16</v>
      </c>
      <c r="L29" s="24">
        <f t="shared" si="4"/>
        <v>33351.769339880862</v>
      </c>
      <c r="M29" s="25">
        <f t="shared" si="5"/>
        <v>3982.2144000000003</v>
      </c>
      <c r="N29" s="24">
        <f t="shared" si="0"/>
        <v>1149.1472378309313</v>
      </c>
      <c r="O29" s="24">
        <f t="shared" si="1"/>
        <v>2259.0287642939902</v>
      </c>
      <c r="P29" s="24">
        <f t="shared" si="2"/>
        <v>1805.8476147297365</v>
      </c>
      <c r="Q29" s="24">
        <v>0</v>
      </c>
      <c r="R29" s="26">
        <v>0</v>
      </c>
      <c r="S29" s="27">
        <f t="shared" si="6"/>
        <v>40742.159742005781</v>
      </c>
      <c r="T29" s="27">
        <f t="shared" si="7"/>
        <v>2126.4175230691953</v>
      </c>
    </row>
    <row r="30" spans="1:20" x14ac:dyDescent="0.3">
      <c r="A30" s="10">
        <v>10009187</v>
      </c>
      <c r="B30" s="10" t="s">
        <v>30</v>
      </c>
      <c r="C30" s="39">
        <v>340</v>
      </c>
      <c r="D30" s="40"/>
      <c r="E30" s="41">
        <f t="shared" si="3"/>
        <v>340</v>
      </c>
      <c r="G30" s="31">
        <v>10007162</v>
      </c>
      <c r="H30" s="20">
        <f>IFERROR(INDEX([1]Resumen!$K$3:$K$63,MATCH(G30,[1]Resumen!$C$3:$C$63,0)),0)*(1+I30*J30)/1000-51.89/1000</f>
        <v>1.7406977734802118</v>
      </c>
      <c r="I30" s="22">
        <v>0.68</v>
      </c>
      <c r="J30" s="22">
        <v>-7.0000000000000007E-2</v>
      </c>
      <c r="K30" s="23">
        <f t="shared" si="8"/>
        <v>0.34</v>
      </c>
      <c r="L30" s="24">
        <f t="shared" si="4"/>
        <v>591.83724298327206</v>
      </c>
      <c r="M30" s="25">
        <f t="shared" si="5"/>
        <v>70.665600000000012</v>
      </c>
      <c r="N30" s="24">
        <f t="shared" si="0"/>
        <v>20.391965598252437</v>
      </c>
      <c r="O30" s="24">
        <f t="shared" si="1"/>
        <v>40.087149262001915</v>
      </c>
      <c r="P30" s="24">
        <f t="shared" si="2"/>
        <v>32.045312578711403</v>
      </c>
      <c r="Q30" s="24">
        <v>0</v>
      </c>
      <c r="R30" s="26">
        <v>0</v>
      </c>
      <c r="S30" s="27">
        <f t="shared" si="6"/>
        <v>722.98195784352652</v>
      </c>
      <c r="T30" s="27">
        <f t="shared" si="7"/>
        <v>2126.4175230691953</v>
      </c>
    </row>
    <row r="31" spans="1:20" x14ac:dyDescent="0.3">
      <c r="A31" s="10">
        <v>10007161</v>
      </c>
      <c r="B31" s="10" t="s">
        <v>31</v>
      </c>
      <c r="C31" s="39">
        <v>29580</v>
      </c>
      <c r="D31" s="40"/>
      <c r="E31" s="41">
        <f t="shared" si="3"/>
        <v>29580</v>
      </c>
      <c r="G31" s="31">
        <v>10007162</v>
      </c>
      <c r="H31" s="20">
        <f>IFERROR(INDEX([1]Resumen!$K$3:$K$63,MATCH(G31,[1]Resumen!$C$3:$C$63,0)),0)*(1+I31*J31)/1000-51.89/1000</f>
        <v>1.7406977734802118</v>
      </c>
      <c r="I31" s="22">
        <v>0.68</v>
      </c>
      <c r="J31" s="22">
        <v>-7.0000000000000007E-2</v>
      </c>
      <c r="K31" s="23">
        <f t="shared" si="8"/>
        <v>29.58</v>
      </c>
      <c r="L31" s="24">
        <f t="shared" si="4"/>
        <v>51489.840139544664</v>
      </c>
      <c r="M31" s="25">
        <f t="shared" si="5"/>
        <v>6147.9071999999996</v>
      </c>
      <c r="N31" s="24">
        <f t="shared" si="0"/>
        <v>1774.1010070479617</v>
      </c>
      <c r="O31" s="24">
        <f t="shared" si="1"/>
        <v>3487.5819857941665</v>
      </c>
      <c r="P31" s="24">
        <f t="shared" si="2"/>
        <v>2787.9421943478915</v>
      </c>
      <c r="Q31" s="24">
        <v>0</v>
      </c>
      <c r="R31" s="26">
        <v>0</v>
      </c>
      <c r="S31" s="27">
        <f t="shared" si="6"/>
        <v>62899.430332386793</v>
      </c>
      <c r="T31" s="27">
        <f t="shared" si="7"/>
        <v>2126.4175230691953</v>
      </c>
    </row>
    <row r="32" spans="1:20" x14ac:dyDescent="0.3">
      <c r="A32" s="10">
        <v>10009658</v>
      </c>
      <c r="B32" s="10" t="s">
        <v>32</v>
      </c>
      <c r="C32" s="39">
        <v>2680</v>
      </c>
      <c r="D32" s="40"/>
      <c r="E32" s="41">
        <f t="shared" si="3"/>
        <v>2680</v>
      </c>
      <c r="G32" s="31">
        <v>10007162</v>
      </c>
      <c r="H32" s="20">
        <f>IFERROR(INDEX([1]Resumen!$K$3:$K$63,MATCH(G32,[1]Resumen!$C$3:$C$63,0)),0)*(1+I32*J32)/1000-51.89/1000</f>
        <v>1.7406977734802118</v>
      </c>
      <c r="I32" s="22">
        <v>0.68</v>
      </c>
      <c r="J32" s="22">
        <v>-7.0000000000000007E-2</v>
      </c>
      <c r="K32" s="23">
        <f t="shared" si="8"/>
        <v>2.68</v>
      </c>
      <c r="L32" s="24">
        <f t="shared" si="4"/>
        <v>4665.0700329269675</v>
      </c>
      <c r="M32" s="25">
        <f t="shared" si="5"/>
        <v>557.01120000000003</v>
      </c>
      <c r="N32" s="24">
        <f t="shared" si="0"/>
        <v>160.7366700097545</v>
      </c>
      <c r="O32" s="24">
        <f t="shared" si="1"/>
        <v>315.98105888872101</v>
      </c>
      <c r="P32" s="24">
        <f t="shared" si="2"/>
        <v>252.59246385572516</v>
      </c>
      <c r="Q32" s="24">
        <v>0</v>
      </c>
      <c r="R32" s="26">
        <v>0</v>
      </c>
      <c r="S32" s="27">
        <f t="shared" si="6"/>
        <v>5698.7989618254433</v>
      </c>
      <c r="T32" s="27">
        <f t="shared" si="7"/>
        <v>2126.4175230691953</v>
      </c>
    </row>
    <row r="33" spans="1:20" x14ac:dyDescent="0.3">
      <c r="A33" s="10">
        <v>10007163</v>
      </c>
      <c r="B33" s="10" t="s">
        <v>33</v>
      </c>
      <c r="C33" s="39">
        <v>2400</v>
      </c>
      <c r="D33" s="40"/>
      <c r="E33" s="41">
        <f t="shared" si="3"/>
        <v>2400</v>
      </c>
      <c r="G33" s="31">
        <v>10007162</v>
      </c>
      <c r="H33" s="20">
        <f>IFERROR(INDEX([1]Resumen!$K$3:$K$63,MATCH(G33,[1]Resumen!$C$3:$C$63,0)),0)*(1+I33*J33)/1000-51.89/1000</f>
        <v>1.7406977734802118</v>
      </c>
      <c r="I33" s="22">
        <v>0.68</v>
      </c>
      <c r="J33" s="22">
        <v>-7.0000000000000007E-2</v>
      </c>
      <c r="K33" s="23">
        <f t="shared" si="8"/>
        <v>2.4</v>
      </c>
      <c r="L33" s="24">
        <f t="shared" si="4"/>
        <v>4177.6746563525085</v>
      </c>
      <c r="M33" s="25">
        <f t="shared" si="5"/>
        <v>498.81599999999997</v>
      </c>
      <c r="N33" s="24">
        <f t="shared" si="0"/>
        <v>143.94328657589955</v>
      </c>
      <c r="O33" s="24">
        <f t="shared" si="1"/>
        <v>282.96811243766058</v>
      </c>
      <c r="P33" s="24">
        <f t="shared" si="2"/>
        <v>226.20220643796281</v>
      </c>
      <c r="Q33" s="24">
        <v>0</v>
      </c>
      <c r="R33" s="26">
        <v>0</v>
      </c>
      <c r="S33" s="27">
        <f t="shared" si="6"/>
        <v>5103.4020553660685</v>
      </c>
      <c r="T33" s="27">
        <f t="shared" si="7"/>
        <v>2126.4175230691953</v>
      </c>
    </row>
    <row r="34" spans="1:20" x14ac:dyDescent="0.3">
      <c r="A34" s="10">
        <v>10007162</v>
      </c>
      <c r="B34" s="10" t="s">
        <v>34</v>
      </c>
      <c r="C34" s="39">
        <v>31180</v>
      </c>
      <c r="D34" s="40"/>
      <c r="E34" s="41">
        <f t="shared" si="3"/>
        <v>31180</v>
      </c>
      <c r="G34" s="31">
        <v>10007162</v>
      </c>
      <c r="H34" s="20">
        <f>IFERROR(INDEX([1]Resumen!$K$3:$K$63,MATCH(G34,[1]Resumen!$C$3:$C$63,0)),0)*(1+I34*J34)/1000-51.89/1000</f>
        <v>1.7406977734802118</v>
      </c>
      <c r="I34" s="22">
        <v>0.68</v>
      </c>
      <c r="J34" s="22">
        <v>-7.0000000000000007E-2</v>
      </c>
      <c r="K34" s="23">
        <f t="shared" si="8"/>
        <v>31.18</v>
      </c>
      <c r="L34" s="24">
        <f t="shared" si="4"/>
        <v>54274.956577113</v>
      </c>
      <c r="M34" s="25">
        <f t="shared" si="5"/>
        <v>6480.4512000000004</v>
      </c>
      <c r="N34" s="24">
        <f t="shared" si="0"/>
        <v>1870.0631980985615</v>
      </c>
      <c r="O34" s="24">
        <f t="shared" si="1"/>
        <v>3676.2273940859404</v>
      </c>
      <c r="P34" s="24">
        <f t="shared" si="2"/>
        <v>2938.7436653065338</v>
      </c>
      <c r="Q34" s="24">
        <v>0</v>
      </c>
      <c r="R34" s="26">
        <v>0</v>
      </c>
      <c r="S34" s="27">
        <f t="shared" si="6"/>
        <v>66301.698369297505</v>
      </c>
      <c r="T34" s="27">
        <f t="shared" si="7"/>
        <v>2126.4175230691953</v>
      </c>
    </row>
    <row r="35" spans="1:20" x14ac:dyDescent="0.3">
      <c r="A35" s="10">
        <v>10009336</v>
      </c>
      <c r="B35" s="10" t="s">
        <v>35</v>
      </c>
      <c r="C35" s="39">
        <v>17140</v>
      </c>
      <c r="D35" s="40"/>
      <c r="E35" s="41">
        <f t="shared" si="3"/>
        <v>17140</v>
      </c>
      <c r="G35" s="32">
        <v>10009386</v>
      </c>
      <c r="H35" s="20">
        <f>IFERROR(INDEX([1]Resumen!$K$3:$K$63,MATCH(G35,[1]Resumen!$C$3:$C$63,0)),0)*(1+I35*J35)/1000-51.89/1000</f>
        <v>1.7421709268610135</v>
      </c>
      <c r="I35" s="22">
        <v>0.68</v>
      </c>
      <c r="J35" s="22">
        <v>-7.0000000000000007E-2</v>
      </c>
      <c r="K35" s="23">
        <f t="shared" ref="K35:K43" si="9">IF(E35&lt;0,0,E35)/1000</f>
        <v>17.14</v>
      </c>
      <c r="L35" s="24">
        <f t="shared" ref="L35:L43" si="10">IFERROR(H35*K35,0)*1000</f>
        <v>29860.809686397773</v>
      </c>
      <c r="M35" s="25">
        <f t="shared" ref="M35:M43" si="11">207.84*K35</f>
        <v>3562.3776000000003</v>
      </c>
      <c r="N35" s="24">
        <f t="shared" si="0"/>
        <v>1027.9949716295494</v>
      </c>
      <c r="O35" s="24">
        <f t="shared" si="1"/>
        <v>2020.8639363256261</v>
      </c>
      <c r="P35" s="24">
        <f t="shared" si="2"/>
        <v>1615.4607576444512</v>
      </c>
      <c r="Q35" s="24">
        <v>0</v>
      </c>
      <c r="R35" s="26">
        <v>0</v>
      </c>
      <c r="S35" s="27">
        <f t="shared" ref="S35:S43" si="12">L35+M35+N35+O35</f>
        <v>36472.046194352952</v>
      </c>
      <c r="T35" s="27">
        <f t="shared" ref="T35:T43" si="13">IFERROR(S35/K35,0)</f>
        <v>2127.890676449997</v>
      </c>
    </row>
    <row r="36" spans="1:20" x14ac:dyDescent="0.3">
      <c r="A36" s="11">
        <v>10009239</v>
      </c>
      <c r="B36" s="11" t="s">
        <v>36</v>
      </c>
      <c r="C36" s="39">
        <v>156690</v>
      </c>
      <c r="D36" s="40">
        <v>215400</v>
      </c>
      <c r="E36" s="42">
        <f t="shared" si="3"/>
        <v>-58710</v>
      </c>
      <c r="G36" s="33">
        <v>10009239</v>
      </c>
      <c r="H36" s="20">
        <f>IFERROR(INDEX([1]Resumen!$K$3:$K$63,MATCH(G36,[1]Resumen!$C$3:$C$63,0)),0)*(1+I36*J36)/1000-51.89/1000</f>
        <v>3.2548777446902504</v>
      </c>
      <c r="I36" s="21">
        <v>0.56000000000000005</v>
      </c>
      <c r="J36" s="22">
        <v>-7.0000000000000007E-2</v>
      </c>
      <c r="K36" s="23">
        <f t="shared" si="9"/>
        <v>0</v>
      </c>
      <c r="L36" s="24">
        <f t="shared" si="10"/>
        <v>0</v>
      </c>
      <c r="M36" s="25">
        <f t="shared" si="11"/>
        <v>0</v>
      </c>
      <c r="N36" s="24">
        <f t="shared" si="0"/>
        <v>0</v>
      </c>
      <c r="O36" s="24">
        <f t="shared" si="1"/>
        <v>0</v>
      </c>
      <c r="P36" s="24">
        <f t="shared" si="2"/>
        <v>0</v>
      </c>
      <c r="Q36" s="24">
        <v>0</v>
      </c>
      <c r="R36" s="26">
        <v>0</v>
      </c>
      <c r="S36" s="27">
        <f t="shared" si="12"/>
        <v>0</v>
      </c>
      <c r="T36" s="27">
        <f t="shared" si="13"/>
        <v>0</v>
      </c>
    </row>
    <row r="37" spans="1:20" x14ac:dyDescent="0.3">
      <c r="A37" s="11">
        <v>10009251</v>
      </c>
      <c r="B37" s="11" t="s">
        <v>37</v>
      </c>
      <c r="C37" s="39">
        <v>600</v>
      </c>
      <c r="D37" s="40">
        <v>600</v>
      </c>
      <c r="E37" s="41">
        <f t="shared" si="3"/>
        <v>0</v>
      </c>
      <c r="G37" s="33">
        <v>10009239</v>
      </c>
      <c r="H37" s="20">
        <f>IFERROR(INDEX([1]Resumen!$K$3:$K$63,MATCH(G37,[1]Resumen!$C$3:$C$63,0)),0)*(1+I37*J37)/1000-51.89/1000</f>
        <v>3.2548777446902504</v>
      </c>
      <c r="I37" s="21">
        <v>0.56000000000000005</v>
      </c>
      <c r="J37" s="22">
        <v>-7.0000000000000007E-2</v>
      </c>
      <c r="K37" s="23">
        <f t="shared" si="9"/>
        <v>0</v>
      </c>
      <c r="L37" s="24">
        <f t="shared" si="10"/>
        <v>0</v>
      </c>
      <c r="M37" s="25">
        <f t="shared" si="11"/>
        <v>0</v>
      </c>
      <c r="N37" s="24">
        <f t="shared" si="0"/>
        <v>0</v>
      </c>
      <c r="O37" s="24">
        <f t="shared" si="1"/>
        <v>0</v>
      </c>
      <c r="P37" s="24">
        <f t="shared" si="2"/>
        <v>0</v>
      </c>
      <c r="Q37" s="24">
        <v>0</v>
      </c>
      <c r="R37" s="26">
        <v>0</v>
      </c>
      <c r="S37" s="27">
        <f t="shared" si="12"/>
        <v>0</v>
      </c>
      <c r="T37" s="27">
        <f t="shared" si="13"/>
        <v>0</v>
      </c>
    </row>
    <row r="38" spans="1:20" x14ac:dyDescent="0.3">
      <c r="A38" s="5">
        <v>10009241</v>
      </c>
      <c r="B38" s="5" t="s">
        <v>38</v>
      </c>
      <c r="C38" s="39">
        <v>260</v>
      </c>
      <c r="D38" s="40">
        <v>260</v>
      </c>
      <c r="E38" s="41">
        <f t="shared" si="3"/>
        <v>0</v>
      </c>
      <c r="G38" s="34">
        <v>10009334</v>
      </c>
      <c r="H38" s="20">
        <f>IFERROR(INDEX([1]Resumen!$K$3:$K$63,MATCH(G38,[1]Resumen!$C$3:$C$63,0)),0)*(1+I38*J38)/1000-51.89/1000</f>
        <v>2.8244285114873775</v>
      </c>
      <c r="I38" s="21">
        <v>0.68</v>
      </c>
      <c r="J38" s="22">
        <v>-7.0000000000000007E-2</v>
      </c>
      <c r="K38" s="23">
        <f t="shared" si="9"/>
        <v>0</v>
      </c>
      <c r="L38" s="24">
        <f t="shared" si="10"/>
        <v>0</v>
      </c>
      <c r="M38" s="25">
        <f t="shared" si="11"/>
        <v>0</v>
      </c>
      <c r="N38" s="24">
        <f t="shared" si="0"/>
        <v>0</v>
      </c>
      <c r="O38" s="24">
        <f t="shared" si="1"/>
        <v>0</v>
      </c>
      <c r="P38" s="24">
        <f t="shared" si="2"/>
        <v>0</v>
      </c>
      <c r="Q38" s="24">
        <v>0</v>
      </c>
      <c r="R38" s="26">
        <v>0</v>
      </c>
      <c r="S38" s="27">
        <f t="shared" si="12"/>
        <v>0</v>
      </c>
      <c r="T38" s="27">
        <f t="shared" si="13"/>
        <v>0</v>
      </c>
    </row>
    <row r="39" spans="1:20" x14ac:dyDescent="0.3">
      <c r="A39" s="5">
        <v>10009331</v>
      </c>
      <c r="B39" s="5" t="s">
        <v>39</v>
      </c>
      <c r="C39" s="39">
        <v>49428</v>
      </c>
      <c r="D39" s="40">
        <v>49068</v>
      </c>
      <c r="E39" s="41">
        <f t="shared" si="3"/>
        <v>360</v>
      </c>
      <c r="G39" s="34">
        <v>10009334</v>
      </c>
      <c r="H39" s="20">
        <f>IFERROR(INDEX([1]Resumen!$K$3:$K$63,MATCH(G39,[1]Resumen!$C$3:$C$63,0)),0)*(1+I39*J39)/1000-51.89/1000</f>
        <v>2.8244285114873775</v>
      </c>
      <c r="I39" s="21">
        <v>0.68</v>
      </c>
      <c r="J39" s="22">
        <v>-7.0000000000000007E-2</v>
      </c>
      <c r="K39" s="23">
        <f t="shared" si="9"/>
        <v>0.36</v>
      </c>
      <c r="L39" s="24">
        <f t="shared" si="10"/>
        <v>1016.7942641354559</v>
      </c>
      <c r="M39" s="25">
        <f t="shared" si="11"/>
        <v>74.822400000000002</v>
      </c>
      <c r="N39" s="24">
        <f t="shared" si="0"/>
        <v>21.591492986384932</v>
      </c>
      <c r="O39" s="24">
        <f t="shared" si="1"/>
        <v>42.445216865649087</v>
      </c>
      <c r="P39" s="24">
        <f t="shared" si="2"/>
        <v>33.930330965694424</v>
      </c>
      <c r="Q39" s="24">
        <v>0</v>
      </c>
      <c r="R39" s="26">
        <v>0</v>
      </c>
      <c r="S39" s="27">
        <f t="shared" si="12"/>
        <v>1155.6533739874901</v>
      </c>
      <c r="T39" s="27">
        <f t="shared" si="13"/>
        <v>3210.1482610763615</v>
      </c>
    </row>
    <row r="40" spans="1:20" x14ac:dyDescent="0.3">
      <c r="A40" s="5">
        <v>10009334</v>
      </c>
      <c r="B40" s="5" t="s">
        <v>40</v>
      </c>
      <c r="C40" s="39">
        <v>7398</v>
      </c>
      <c r="D40" s="40">
        <v>4932</v>
      </c>
      <c r="E40" s="41">
        <f t="shared" si="3"/>
        <v>2466</v>
      </c>
      <c r="G40" s="34">
        <v>10009334</v>
      </c>
      <c r="H40" s="20">
        <f>IFERROR(INDEX([1]Resumen!$K$3:$K$63,MATCH(G40,[1]Resumen!$C$3:$C$63,0)),0)*(1+I40*J40)/1000-51.89/1000</f>
        <v>2.8244285114873775</v>
      </c>
      <c r="I40" s="21">
        <v>0.68</v>
      </c>
      <c r="J40" s="22">
        <v>-7.0000000000000007E-2</v>
      </c>
      <c r="K40" s="23">
        <f t="shared" si="9"/>
        <v>2.4660000000000002</v>
      </c>
      <c r="L40" s="24">
        <f t="shared" si="10"/>
        <v>6965.0407093278736</v>
      </c>
      <c r="M40" s="25">
        <f t="shared" si="11"/>
        <v>512.53344000000004</v>
      </c>
      <c r="N40" s="24">
        <f t="shared" si="0"/>
        <v>147.90172695673681</v>
      </c>
      <c r="O40" s="24">
        <f t="shared" si="1"/>
        <v>290.7497355296963</v>
      </c>
      <c r="P40" s="24">
        <f t="shared" si="2"/>
        <v>232.42276711500682</v>
      </c>
      <c r="Q40" s="24">
        <v>0</v>
      </c>
      <c r="R40" s="26">
        <v>0</v>
      </c>
      <c r="S40" s="27">
        <f t="shared" si="12"/>
        <v>7916.2256118143068</v>
      </c>
      <c r="T40" s="27">
        <f t="shared" si="13"/>
        <v>3210.148261076361</v>
      </c>
    </row>
    <row r="41" spans="1:20" x14ac:dyDescent="0.3">
      <c r="A41" s="4">
        <v>10007050</v>
      </c>
      <c r="B41" s="4" t="s">
        <v>41</v>
      </c>
      <c r="C41" s="39">
        <v>26200</v>
      </c>
      <c r="D41" s="40">
        <v>54000</v>
      </c>
      <c r="E41" s="42">
        <f t="shared" si="3"/>
        <v>-27800</v>
      </c>
      <c r="G41" s="33">
        <v>10007050</v>
      </c>
      <c r="H41" s="20">
        <f>IFERROR(INDEX([1]Resumen!$K$3:$K$63,MATCH(G41,[1]Resumen!$C$3:$C$63,0)),0)*(1+I41*J41)/1000-51.89/1000</f>
        <v>1.4439459506771439</v>
      </c>
      <c r="I41" s="21">
        <v>0.68</v>
      </c>
      <c r="J41" s="22">
        <v>-7.0000000000000007E-2</v>
      </c>
      <c r="K41" s="23">
        <f t="shared" si="9"/>
        <v>0</v>
      </c>
      <c r="L41" s="24">
        <f t="shared" si="10"/>
        <v>0</v>
      </c>
      <c r="M41" s="25">
        <f t="shared" si="11"/>
        <v>0</v>
      </c>
      <c r="N41" s="24">
        <f t="shared" si="0"/>
        <v>0</v>
      </c>
      <c r="O41" s="24">
        <f t="shared" si="1"/>
        <v>0</v>
      </c>
      <c r="P41" s="24">
        <f t="shared" si="2"/>
        <v>0</v>
      </c>
      <c r="Q41" s="24">
        <v>0</v>
      </c>
      <c r="R41" s="26">
        <v>0</v>
      </c>
      <c r="S41" s="27">
        <f t="shared" si="12"/>
        <v>0</v>
      </c>
      <c r="T41" s="27">
        <f t="shared" si="13"/>
        <v>0</v>
      </c>
    </row>
    <row r="42" spans="1:20" x14ac:dyDescent="0.3">
      <c r="A42" s="4">
        <v>10009337</v>
      </c>
      <c r="B42" s="4" t="s">
        <v>42</v>
      </c>
      <c r="C42" s="39">
        <v>72430</v>
      </c>
      <c r="D42" s="40"/>
      <c r="E42" s="41">
        <f t="shared" si="3"/>
        <v>72430</v>
      </c>
      <c r="G42" s="33">
        <v>10007050</v>
      </c>
      <c r="H42" s="20">
        <f>IFERROR(INDEX([1]Resumen!$K$3:$K$63,MATCH(G42,[1]Resumen!$C$3:$C$63,0)),0)*(1+I42*J42)/1000-51.89/1000</f>
        <v>1.4439459506771439</v>
      </c>
      <c r="I42" s="21">
        <v>0.68</v>
      </c>
      <c r="J42" s="22">
        <v>-7.0000000000000007E-2</v>
      </c>
      <c r="K42" s="23">
        <f t="shared" si="9"/>
        <v>72.430000000000007</v>
      </c>
      <c r="L42" s="24">
        <f t="shared" si="10"/>
        <v>104585.00520754555</v>
      </c>
      <c r="M42" s="25">
        <f>207.84*K42</f>
        <v>15053.851200000001</v>
      </c>
      <c r="N42" s="24">
        <f t="shared" si="0"/>
        <v>4344.0884361218359</v>
      </c>
      <c r="O42" s="24">
        <f t="shared" si="1"/>
        <v>8539.7418266082332</v>
      </c>
      <c r="P42" s="24">
        <f t="shared" si="2"/>
        <v>6826.59408845902</v>
      </c>
      <c r="Q42" s="24">
        <v>0</v>
      </c>
      <c r="R42" s="26">
        <v>0</v>
      </c>
      <c r="S42" s="27">
        <f t="shared" si="12"/>
        <v>132522.68667027561</v>
      </c>
      <c r="T42" s="27">
        <f t="shared" si="13"/>
        <v>1829.6657002661273</v>
      </c>
    </row>
    <row r="43" spans="1:20" x14ac:dyDescent="0.3">
      <c r="A43" s="4">
        <v>10009332</v>
      </c>
      <c r="B43" s="4" t="s">
        <v>43</v>
      </c>
      <c r="C43" s="39">
        <v>59330</v>
      </c>
      <c r="D43" s="40"/>
      <c r="E43" s="41">
        <f t="shared" si="3"/>
        <v>59330</v>
      </c>
      <c r="G43" s="33">
        <v>10007050</v>
      </c>
      <c r="H43" s="20">
        <f>IFERROR(INDEX([1]Resumen!$K$3:$K$63,MATCH(G43,[1]Resumen!$C$3:$C$63,0)),0)*(1+I43*J43)/1000-51.89/1000</f>
        <v>1.4439459506771439</v>
      </c>
      <c r="I43" s="21">
        <v>0.68</v>
      </c>
      <c r="J43" s="22">
        <v>-7.0000000000000007E-2</v>
      </c>
      <c r="K43" s="23">
        <f t="shared" si="9"/>
        <v>59.33</v>
      </c>
      <c r="L43" s="24">
        <f>IFERROR(H43*K43,0)*1000</f>
        <v>85669.313253674947</v>
      </c>
      <c r="M43" s="25">
        <f>207.84*K43</f>
        <v>12331.147199999999</v>
      </c>
      <c r="N43" s="24">
        <f t="shared" si="0"/>
        <v>3558.3979968950498</v>
      </c>
      <c r="O43" s="24">
        <f t="shared" si="1"/>
        <v>6995.2075462193343</v>
      </c>
      <c r="P43" s="24">
        <f t="shared" si="2"/>
        <v>5591.9070449851388</v>
      </c>
      <c r="Q43" s="24">
        <v>0</v>
      </c>
      <c r="R43" s="26">
        <v>0</v>
      </c>
      <c r="S43" s="27">
        <f t="shared" si="12"/>
        <v>108554.06599678933</v>
      </c>
      <c r="T43" s="27">
        <f t="shared" si="13"/>
        <v>1829.6657002661273</v>
      </c>
    </row>
    <row r="44" spans="1:20" x14ac:dyDescent="0.3">
      <c r="A44" s="12">
        <v>10009650</v>
      </c>
      <c r="B44" s="4" t="s">
        <v>44</v>
      </c>
      <c r="C44" s="39">
        <v>147160</v>
      </c>
      <c r="D44" s="40"/>
      <c r="E44" s="41">
        <f>+C44-D44</f>
        <v>147160</v>
      </c>
      <c r="H44" s="20"/>
      <c r="I44" s="21"/>
      <c r="J44" s="22"/>
      <c r="K44" s="23"/>
      <c r="L44" s="24"/>
      <c r="M44" s="25"/>
      <c r="N44" s="24"/>
      <c r="O44" s="24"/>
      <c r="P44" s="24"/>
      <c r="Q44" s="24"/>
      <c r="R44" s="26"/>
      <c r="S44" s="27"/>
      <c r="T44" s="27"/>
    </row>
    <row r="45" spans="1:20" ht="16.2" thickBot="1" x14ac:dyDescent="0.35">
      <c r="A45" s="12"/>
      <c r="B45" s="4" t="s">
        <v>45</v>
      </c>
      <c r="C45" s="39">
        <v>90960</v>
      </c>
      <c r="D45" s="40"/>
      <c r="E45" s="41">
        <f t="shared" si="3"/>
        <v>90960</v>
      </c>
      <c r="K45" s="23"/>
      <c r="L45" s="24"/>
      <c r="M45" s="25"/>
      <c r="N45" s="24"/>
      <c r="O45" s="24"/>
      <c r="P45" s="24"/>
      <c r="Q45" s="24"/>
      <c r="R45" s="26"/>
      <c r="S45" s="27"/>
      <c r="T45" s="27"/>
    </row>
    <row r="46" spans="1:20" ht="16.2" thickBot="1" x14ac:dyDescent="0.35">
      <c r="A46" s="13"/>
      <c r="B46" s="13" t="s">
        <v>46</v>
      </c>
      <c r="C46" s="46">
        <f>SUM(C2:C45)</f>
        <v>2069016</v>
      </c>
      <c r="D46" s="47">
        <f>SUM(D2:D45)</f>
        <v>737400</v>
      </c>
      <c r="E46" s="48">
        <f>+E45+E44+E43+E42+E40+E39+E38+E37+E35+E34+E33+E32+E31+E30+E29+E28+E27+E26+E25+E23+E22+E21+E20+E19+E18+E17+E15+E14+E13+E12+E11+E10+E9+E8+E7+E6+E5+E4+E3+E2</f>
        <v>1548286</v>
      </c>
      <c r="K46" s="35">
        <f t="shared" ref="K46:M46" si="14">SUM(K2:K45)</f>
        <v>1310.1660000000002</v>
      </c>
      <c r="L46" s="36">
        <f t="shared" si="14"/>
        <v>2344925.843484458</v>
      </c>
      <c r="M46" s="36">
        <f t="shared" ref="M46:P46" si="15">SUM(M2:M45)</f>
        <v>272304.90143999999</v>
      </c>
      <c r="N46" s="36">
        <f t="shared" si="15"/>
        <v>78579</v>
      </c>
      <c r="O46" s="36">
        <f t="shared" si="15"/>
        <v>154473.00000000006</v>
      </c>
      <c r="P46" s="36">
        <f t="shared" ref="P46:Q46" si="16">SUM(P2:P45)</f>
        <v>123484.34999999999</v>
      </c>
      <c r="Q46" s="36">
        <f t="shared" ref="Q46:S46" si="17">SUM(Q2:Q45)</f>
        <v>0</v>
      </c>
      <c r="R46" s="37">
        <f t="shared" si="17"/>
        <v>0</v>
      </c>
      <c r="S46" s="38">
        <f t="shared" si="17"/>
        <v>2850282.7449244573</v>
      </c>
      <c r="T46" s="38">
        <f>IFERROR(S46/K46,0)</f>
        <v>2175.5126792516803</v>
      </c>
    </row>
    <row r="47" spans="1:20" ht="16.2" thickBot="1" x14ac:dyDescent="0.35">
      <c r="K47"/>
      <c r="L47"/>
      <c r="M47"/>
      <c r="N47"/>
      <c r="O47"/>
      <c r="P47"/>
      <c r="Q47"/>
      <c r="R47"/>
      <c r="S47"/>
      <c r="T47"/>
    </row>
    <row r="48" spans="1:20" ht="16.2" thickBot="1" x14ac:dyDescent="0.35">
      <c r="L48"/>
      <c r="M48" t="s">
        <v>64</v>
      </c>
      <c r="N48" s="36">
        <v>78579.000000000015</v>
      </c>
      <c r="O48" s="36">
        <v>154473.00000000003</v>
      </c>
      <c r="P48" s="36">
        <v>123484.35000000002</v>
      </c>
      <c r="Q48"/>
      <c r="R48"/>
      <c r="S48"/>
      <c r="T48"/>
    </row>
    <row r="49" spans="12:20" x14ac:dyDescent="0.3">
      <c r="L49" s="24"/>
      <c r="M49" s="25"/>
      <c r="N49" s="24"/>
      <c r="O49" s="24"/>
      <c r="P49" s="24"/>
      <c r="Q49"/>
      <c r="R49"/>
      <c r="S49"/>
      <c r="T49"/>
    </row>
    <row r="50" spans="12:20" x14ac:dyDescent="0.3">
      <c r="L50" s="24"/>
      <c r="M50" s="25"/>
      <c r="N50" s="24"/>
      <c r="O50" s="24"/>
      <c r="P50" s="24"/>
      <c r="Q50"/>
      <c r="R50"/>
      <c r="S50"/>
      <c r="T50"/>
    </row>
    <row r="51" spans="12:20" x14ac:dyDescent="0.3">
      <c r="Q51"/>
      <c r="R51"/>
      <c r="S51"/>
      <c r="T51"/>
    </row>
    <row r="52" spans="12:20" x14ac:dyDescent="0.3">
      <c r="Q52"/>
      <c r="R52"/>
      <c r="S52"/>
      <c r="T52"/>
    </row>
    <row r="53" spans="12:20" x14ac:dyDescent="0.3">
      <c r="Q53"/>
      <c r="R53"/>
      <c r="S53"/>
      <c r="T53"/>
    </row>
    <row r="54" spans="12:20" x14ac:dyDescent="0.3">
      <c r="Q54"/>
      <c r="R54"/>
      <c r="S54"/>
      <c r="T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22-6-2026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2026-06-22T17:27:39Z</dcterms:created>
  <dcterms:modified xsi:type="dcterms:W3CDTF">2026-06-22T22:09:47Z</dcterms:modified>
</cp:coreProperties>
</file>