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38AB71C2-35A6-468A-BA03-CCF205CBDB85}" xr6:coauthVersionLast="47" xr6:coauthVersionMax="47" xr10:uidLastSave="{00000000-0000-0000-0000-000000000000}"/>
  <bookViews>
    <workbookView xWindow="-108" yWindow="-108" windowWidth="23256" windowHeight="13896" xr2:uid="{E49F44D6-2AA4-4DB6-B5AA-2D3E646476D9}"/>
  </bookViews>
  <sheets>
    <sheet name="Abril2026" sheetId="23" r:id="rId1"/>
    <sheet name="Marzo2026" sheetId="21" r:id="rId2"/>
    <sheet name="Febrero2026" sheetId="20" r:id="rId3"/>
    <sheet name="Enero2026" sheetId="19" r:id="rId4"/>
    <sheet name="Hoja1" sheetId="22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0" i="23" l="1"/>
  <c r="BE30" i="23"/>
  <c r="BD30" i="23"/>
  <c r="AV15" i="23"/>
  <c r="AV16" i="23"/>
  <c r="AV17" i="23"/>
  <c r="AV49" i="23" l="1"/>
  <c r="BC47" i="23"/>
  <c r="AU47" i="23"/>
  <c r="AV47" i="23" s="1"/>
  <c r="AT47" i="23"/>
  <c r="BC46" i="23"/>
  <c r="AT46" i="23"/>
  <c r="AU46" i="23" s="1"/>
  <c r="AV46" i="23" s="1"/>
  <c r="BB50" i="23"/>
  <c r="BJ49" i="23"/>
  <c r="BC48" i="23"/>
  <c r="AT48" i="23"/>
  <c r="AU48" i="23" s="1"/>
  <c r="AV48" i="23" s="1"/>
  <c r="BC45" i="23"/>
  <c r="AT45" i="23"/>
  <c r="AU45" i="23" s="1"/>
  <c r="AV45" i="23" s="1"/>
  <c r="BC44" i="23"/>
  <c r="AT44" i="23"/>
  <c r="AU44" i="23" s="1"/>
  <c r="AV44" i="23" s="1"/>
  <c r="BC43" i="23"/>
  <c r="AT43" i="23"/>
  <c r="AU43" i="23" s="1"/>
  <c r="AV43" i="23" s="1"/>
  <c r="BC42" i="23"/>
  <c r="AT42" i="23"/>
  <c r="AU42" i="23" s="1"/>
  <c r="AV42" i="23" s="1"/>
  <c r="BC41" i="23"/>
  <c r="AT41" i="23"/>
  <c r="AU41" i="23" s="1"/>
  <c r="AV41" i="23" s="1"/>
  <c r="BC40" i="23"/>
  <c r="AT40" i="23"/>
  <c r="AU40" i="23" s="1"/>
  <c r="AV40" i="23" s="1"/>
  <c r="BC39" i="23"/>
  <c r="AT39" i="23"/>
  <c r="AU39" i="23" s="1"/>
  <c r="AV39" i="23" s="1"/>
  <c r="BC38" i="23"/>
  <c r="AT38" i="23"/>
  <c r="AU38" i="23" s="1"/>
  <c r="AV38" i="23" s="1"/>
  <c r="BC37" i="23"/>
  <c r="AT37" i="23"/>
  <c r="AU37" i="23" s="1"/>
  <c r="AV37" i="23" s="1"/>
  <c r="BC36" i="23"/>
  <c r="AT36" i="23"/>
  <c r="AU36" i="23" s="1"/>
  <c r="AV36" i="23" s="1"/>
  <c r="BC35" i="23"/>
  <c r="AT35" i="23"/>
  <c r="AU35" i="23" s="1"/>
  <c r="AV35" i="23" s="1"/>
  <c r="BC34" i="23"/>
  <c r="AT34" i="23"/>
  <c r="AU34" i="23" s="1"/>
  <c r="AV34" i="23" s="1"/>
  <c r="BC33" i="23"/>
  <c r="AT33" i="23"/>
  <c r="AU33" i="23" s="1"/>
  <c r="AV33" i="23" s="1"/>
  <c r="BC32" i="23"/>
  <c r="AT32" i="23"/>
  <c r="AU32" i="23" s="1"/>
  <c r="AV32" i="23" s="1"/>
  <c r="BC31" i="23"/>
  <c r="AT31" i="23"/>
  <c r="AU31" i="23" s="1"/>
  <c r="AV31" i="23" s="1"/>
  <c r="BC30" i="23"/>
  <c r="AT30" i="23"/>
  <c r="AU30" i="23" s="1"/>
  <c r="AV30" i="23" s="1"/>
  <c r="BC29" i="23"/>
  <c r="AT29" i="23"/>
  <c r="AU29" i="23" s="1"/>
  <c r="AV29" i="23" s="1"/>
  <c r="BC28" i="23"/>
  <c r="AT28" i="23"/>
  <c r="AU28" i="23" s="1"/>
  <c r="AV28" i="23" s="1"/>
  <c r="BC27" i="23"/>
  <c r="AT27" i="23"/>
  <c r="AU27" i="23" s="1"/>
  <c r="AV27" i="23" s="1"/>
  <c r="BC26" i="23"/>
  <c r="AT26" i="23"/>
  <c r="AU26" i="23" s="1"/>
  <c r="AV26" i="23" s="1"/>
  <c r="BC25" i="23"/>
  <c r="AT25" i="23"/>
  <c r="AU25" i="23" s="1"/>
  <c r="AV25" i="23" s="1"/>
  <c r="BC24" i="23"/>
  <c r="AT24" i="23"/>
  <c r="AU24" i="23" s="1"/>
  <c r="AV24" i="23" s="1"/>
  <c r="BC23" i="23"/>
  <c r="AT23" i="23"/>
  <c r="AV23" i="23" s="1"/>
  <c r="BC22" i="23"/>
  <c r="AT22" i="23"/>
  <c r="AU22" i="23" s="1"/>
  <c r="AV22" i="23" s="1"/>
  <c r="BC21" i="23"/>
  <c r="AT21" i="23"/>
  <c r="AU21" i="23" s="1"/>
  <c r="AV21" i="23" s="1"/>
  <c r="BC20" i="23"/>
  <c r="AT20" i="23"/>
  <c r="AU20" i="23" s="1"/>
  <c r="AV20" i="23" s="1"/>
  <c r="BC19" i="23"/>
  <c r="AT19" i="23"/>
  <c r="AU19" i="23" s="1"/>
  <c r="AV19" i="23" s="1"/>
  <c r="BC18" i="23"/>
  <c r="AT18" i="23"/>
  <c r="AU18" i="23" s="1"/>
  <c r="AV18" i="23" s="1"/>
  <c r="BC17" i="23"/>
  <c r="AT17" i="23"/>
  <c r="AU17" i="23" s="1"/>
  <c r="BC16" i="23"/>
  <c r="AT16" i="23"/>
  <c r="AU16" i="23" s="1"/>
  <c r="BC15" i="23"/>
  <c r="AT15" i="23"/>
  <c r="AU15" i="23" s="1"/>
  <c r="BC14" i="23"/>
  <c r="AT14" i="23"/>
  <c r="AU14" i="23" s="1"/>
  <c r="AV14" i="23" s="1"/>
  <c r="BC13" i="23"/>
  <c r="AT13" i="23"/>
  <c r="AU13" i="23" s="1"/>
  <c r="AV13" i="23" s="1"/>
  <c r="BC12" i="23"/>
  <c r="AT12" i="23"/>
  <c r="AV12" i="23" s="1"/>
  <c r="BC11" i="23"/>
  <c r="AT11" i="23"/>
  <c r="AU11" i="23" s="1"/>
  <c r="AV11" i="23" s="1"/>
  <c r="BC10" i="23"/>
  <c r="AT10" i="23"/>
  <c r="AU10" i="23" s="1"/>
  <c r="AV10" i="23" s="1"/>
  <c r="BC9" i="23"/>
  <c r="AT9" i="23"/>
  <c r="AU9" i="23" s="1"/>
  <c r="AV9" i="23" s="1"/>
  <c r="BC8" i="23"/>
  <c r="AT8" i="23"/>
  <c r="AU8" i="23" s="1"/>
  <c r="AV8" i="23" s="1"/>
  <c r="BC7" i="23"/>
  <c r="AT7" i="23"/>
  <c r="AU7" i="23" s="1"/>
  <c r="AV7" i="23" s="1"/>
  <c r="BC6" i="23"/>
  <c r="AT6" i="23"/>
  <c r="AU6" i="23" s="1"/>
  <c r="AV6" i="23" s="1"/>
  <c r="BC5" i="23"/>
  <c r="AT5" i="23"/>
  <c r="AU5" i="23" s="1"/>
  <c r="AV5" i="23" s="1"/>
  <c r="BC4" i="23"/>
  <c r="AT4" i="23"/>
  <c r="AU4" i="23" s="1"/>
  <c r="AV4" i="23" s="1"/>
  <c r="BC3" i="23"/>
  <c r="AT3" i="23"/>
  <c r="AU3" i="23" s="1"/>
  <c r="AV3" i="23" s="1"/>
  <c r="AX3" i="23" l="1"/>
  <c r="BH47" i="23"/>
  <c r="AX47" i="23"/>
  <c r="AW47" i="23"/>
  <c r="AW46" i="23"/>
  <c r="BH3" i="23"/>
  <c r="AW36" i="23"/>
  <c r="AW24" i="23"/>
  <c r="AW11" i="23"/>
  <c r="AW42" i="23"/>
  <c r="AW35" i="23"/>
  <c r="AW41" i="23"/>
  <c r="AW37" i="23"/>
  <c r="AW40" i="23"/>
  <c r="AW3" i="23"/>
  <c r="AW15" i="23"/>
  <c r="AW33" i="23"/>
  <c r="AW39" i="23"/>
  <c r="AW48" i="23"/>
  <c r="AW4" i="23"/>
  <c r="AW22" i="23"/>
  <c r="AW25" i="23"/>
  <c r="AW28" i="23"/>
  <c r="AW34" i="23"/>
  <c r="AW9" i="23"/>
  <c r="AW21" i="23"/>
  <c r="AW27" i="23"/>
  <c r="AW45" i="23"/>
  <c r="AX46" i="23" l="1"/>
  <c r="BH46" i="23"/>
  <c r="AX19" i="23"/>
  <c r="BH19" i="23"/>
  <c r="AX7" i="23"/>
  <c r="BH7" i="23"/>
  <c r="AX39" i="23"/>
  <c r="BH39" i="23"/>
  <c r="AW7" i="23"/>
  <c r="AX17" i="23"/>
  <c r="BH17" i="23"/>
  <c r="AX37" i="23"/>
  <c r="BH37" i="23"/>
  <c r="AX11" i="23"/>
  <c r="BH11" i="23"/>
  <c r="AX9" i="23"/>
  <c r="BH9" i="23"/>
  <c r="BH22" i="23"/>
  <c r="AX22" i="23"/>
  <c r="AW17" i="23"/>
  <c r="AX36" i="23"/>
  <c r="BH36" i="23"/>
  <c r="AX43" i="23"/>
  <c r="BH43" i="23"/>
  <c r="AX44" i="23"/>
  <c r="BH44" i="23"/>
  <c r="AX6" i="23"/>
  <c r="BH6" i="23"/>
  <c r="AW43" i="23"/>
  <c r="AW19" i="23"/>
  <c r="AW44" i="23"/>
  <c r="AX41" i="23"/>
  <c r="BH41" i="23"/>
  <c r="AW6" i="23"/>
  <c r="BH16" i="23"/>
  <c r="AX16" i="23"/>
  <c r="AX38" i="23"/>
  <c r="BH38" i="23"/>
  <c r="AX5" i="23"/>
  <c r="BH5" i="23"/>
  <c r="AX30" i="23"/>
  <c r="AV50" i="23"/>
  <c r="BH34" i="23"/>
  <c r="AX34" i="23"/>
  <c r="AW16" i="23"/>
  <c r="AW38" i="23"/>
  <c r="AX33" i="23"/>
  <c r="BH33" i="23"/>
  <c r="AX35" i="23"/>
  <c r="BH35" i="23"/>
  <c r="AW30" i="23"/>
  <c r="AX31" i="23"/>
  <c r="BH31" i="23"/>
  <c r="AX13" i="23"/>
  <c r="BH13" i="23"/>
  <c r="AX32" i="23"/>
  <c r="BH32" i="23"/>
  <c r="AX29" i="23"/>
  <c r="BH29" i="23"/>
  <c r="AX24" i="23"/>
  <c r="BH24" i="23"/>
  <c r="AX14" i="23"/>
  <c r="BH14" i="23"/>
  <c r="AX45" i="23"/>
  <c r="BH45" i="23"/>
  <c r="AW31" i="23"/>
  <c r="AW13" i="23"/>
  <c r="AW32" i="23"/>
  <c r="AX15" i="23"/>
  <c r="BH15" i="23"/>
  <c r="AW29" i="23"/>
  <c r="AW5" i="23"/>
  <c r="AW14" i="23"/>
  <c r="BH10" i="23"/>
  <c r="AX10" i="23"/>
  <c r="AX26" i="23"/>
  <c r="BH26" i="23"/>
  <c r="AX23" i="23"/>
  <c r="BH23" i="23"/>
  <c r="AX8" i="23"/>
  <c r="BH8" i="23"/>
  <c r="AX18" i="23"/>
  <c r="BH18" i="23"/>
  <c r="AX27" i="23"/>
  <c r="BH27" i="23"/>
  <c r="BH28" i="23"/>
  <c r="AX28" i="23"/>
  <c r="AW10" i="23"/>
  <c r="AW26" i="23"/>
  <c r="AW23" i="23"/>
  <c r="AW8" i="23"/>
  <c r="AW18" i="23"/>
  <c r="BH4" i="23"/>
  <c r="AX4" i="23"/>
  <c r="AX20" i="23"/>
  <c r="BH20" i="23"/>
  <c r="AX12" i="23"/>
  <c r="BH12" i="23"/>
  <c r="AX21" i="23"/>
  <c r="BH21" i="23"/>
  <c r="AX25" i="23"/>
  <c r="BH25" i="23"/>
  <c r="BH48" i="23"/>
  <c r="AX48" i="23"/>
  <c r="AW20" i="23"/>
  <c r="BH40" i="23"/>
  <c r="AX40" i="23"/>
  <c r="AX42" i="23"/>
  <c r="BH42" i="23"/>
  <c r="AW12" i="23"/>
  <c r="AZ47" i="23" l="1"/>
  <c r="BA47" i="23"/>
  <c r="AY47" i="23"/>
  <c r="AY46" i="23"/>
  <c r="BA46" i="23"/>
  <c r="AZ46" i="23"/>
  <c r="AW50" i="23"/>
  <c r="AZ43" i="23"/>
  <c r="AZ37" i="23"/>
  <c r="AZ31" i="23"/>
  <c r="AZ25" i="23"/>
  <c r="AZ19" i="23"/>
  <c r="AZ13" i="23"/>
  <c r="AZ7" i="23"/>
  <c r="AY43" i="23"/>
  <c r="BA42" i="23"/>
  <c r="AY37" i="23"/>
  <c r="BA36" i="23"/>
  <c r="AY31" i="23"/>
  <c r="BA30" i="23"/>
  <c r="BA24" i="23"/>
  <c r="AY19" i="23"/>
  <c r="BA18" i="23"/>
  <c r="AY13" i="23"/>
  <c r="AY7" i="23"/>
  <c r="BA6" i="23"/>
  <c r="AY25" i="23"/>
  <c r="BA12" i="23"/>
  <c r="AZ48" i="23"/>
  <c r="AZ45" i="23"/>
  <c r="AZ44" i="23"/>
  <c r="AY42" i="23"/>
  <c r="AY41" i="23"/>
  <c r="AY40" i="23"/>
  <c r="AZ39" i="23"/>
  <c r="AZ38" i="23"/>
  <c r="AY36" i="23"/>
  <c r="AY35" i="23"/>
  <c r="AY34" i="23"/>
  <c r="AZ33" i="23"/>
  <c r="AZ32" i="23"/>
  <c r="AY30" i="23"/>
  <c r="AY29" i="23"/>
  <c r="AY28" i="23"/>
  <c r="AZ27" i="23"/>
  <c r="AZ26" i="23"/>
  <c r="AY24" i="23"/>
  <c r="AY23" i="23"/>
  <c r="AY22" i="23"/>
  <c r="AZ21" i="23"/>
  <c r="AZ20" i="23"/>
  <c r="AY18" i="23"/>
  <c r="AY17" i="23"/>
  <c r="AY16" i="23"/>
  <c r="BD16" i="23" s="1"/>
  <c r="AZ15" i="23"/>
  <c r="AZ14" i="23"/>
  <c r="AY12" i="23"/>
  <c r="AY11" i="23"/>
  <c r="AY10" i="23"/>
  <c r="AZ9" i="23"/>
  <c r="AZ8" i="23"/>
  <c r="BA7" i="23"/>
  <c r="AZ6" i="23"/>
  <c r="AZ5" i="23"/>
  <c r="AZ4" i="23"/>
  <c r="BA3" i="23"/>
  <c r="AY8" i="23"/>
  <c r="AY6" i="23"/>
  <c r="AY5" i="23"/>
  <c r="AZ3" i="23"/>
  <c r="AY3" i="23"/>
  <c r="AY48" i="23"/>
  <c r="AY45" i="23"/>
  <c r="AY44" i="23"/>
  <c r="AY39" i="23"/>
  <c r="AY38" i="23"/>
  <c r="AY33" i="23"/>
  <c r="BD33" i="23" s="1"/>
  <c r="AY32" i="23"/>
  <c r="AY27" i="23"/>
  <c r="AY26" i="23"/>
  <c r="AY21" i="23"/>
  <c r="AY20" i="23"/>
  <c r="AY15" i="23"/>
  <c r="AY14" i="23"/>
  <c r="AY9" i="23"/>
  <c r="AY4" i="23"/>
  <c r="BA45" i="23"/>
  <c r="AZ42" i="23"/>
  <c r="AZ36" i="23"/>
  <c r="BA33" i="23"/>
  <c r="BA27" i="23"/>
  <c r="AZ24" i="23"/>
  <c r="BA21" i="23"/>
  <c r="AZ18" i="23"/>
  <c r="BA22" i="23"/>
  <c r="AZ34" i="23"/>
  <c r="BA31" i="23"/>
  <c r="AZ22" i="23"/>
  <c r="BA19" i="23"/>
  <c r="AZ16" i="23"/>
  <c r="BA13" i="23"/>
  <c r="AZ10" i="23"/>
  <c r="BA4" i="23"/>
  <c r="BA41" i="23"/>
  <c r="BA35" i="23"/>
  <c r="BA29" i="23"/>
  <c r="BA23" i="23"/>
  <c r="BA17" i="23"/>
  <c r="BA11" i="23"/>
  <c r="BA44" i="23"/>
  <c r="AZ41" i="23"/>
  <c r="BA38" i="23"/>
  <c r="AZ35" i="23"/>
  <c r="BA32" i="23"/>
  <c r="AZ29" i="23"/>
  <c r="BA26" i="23"/>
  <c r="AZ23" i="23"/>
  <c r="BA20" i="23"/>
  <c r="AZ17" i="23"/>
  <c r="BA14" i="23"/>
  <c r="AZ11" i="23"/>
  <c r="BA8" i="23"/>
  <c r="BA5" i="23"/>
  <c r="BA39" i="23"/>
  <c r="AZ30" i="23"/>
  <c r="BA15" i="23"/>
  <c r="AZ12" i="23"/>
  <c r="BA9" i="23"/>
  <c r="BA40" i="23"/>
  <c r="BA34" i="23"/>
  <c r="BA28" i="23"/>
  <c r="BA16" i="23"/>
  <c r="BA10" i="23"/>
  <c r="BA43" i="23"/>
  <c r="AZ40" i="23"/>
  <c r="BA37" i="23"/>
  <c r="AZ28" i="23"/>
  <c r="BA25" i="23"/>
  <c r="BA48" i="23"/>
  <c r="AX50" i="23"/>
  <c r="BH50" i="23"/>
  <c r="BG50" i="23" s="1"/>
  <c r="BD19" i="23" l="1"/>
  <c r="BE19" i="23" s="1"/>
  <c r="BD3" i="23"/>
  <c r="BE3" i="23" s="1"/>
  <c r="BD32" i="23"/>
  <c r="BI32" i="23" s="1"/>
  <c r="BJ32" i="23" s="1"/>
  <c r="BD47" i="23"/>
  <c r="BD46" i="23"/>
  <c r="BI46" i="23" s="1"/>
  <c r="BJ46" i="23" s="1"/>
  <c r="BE47" i="23"/>
  <c r="BI47" i="23"/>
  <c r="BJ47" i="23" s="1"/>
  <c r="BD11" i="23"/>
  <c r="BE11" i="23" s="1"/>
  <c r="BD9" i="23"/>
  <c r="BI9" i="23" s="1"/>
  <c r="BJ9" i="23" s="1"/>
  <c r="BE46" i="23"/>
  <c r="BD17" i="23"/>
  <c r="BE17" i="23" s="1"/>
  <c r="BD18" i="23"/>
  <c r="BE18" i="23" s="1"/>
  <c r="BD40" i="23"/>
  <c r="BE40" i="23" s="1"/>
  <c r="BD39" i="23"/>
  <c r="BI39" i="23" s="1"/>
  <c r="BJ39" i="23" s="1"/>
  <c r="BD20" i="23"/>
  <c r="BE20" i="23" s="1"/>
  <c r="BD34" i="23"/>
  <c r="BE34" i="23" s="1"/>
  <c r="BD25" i="23"/>
  <c r="BE25" i="23" s="1"/>
  <c r="BD7" i="23"/>
  <c r="BE7" i="23" s="1"/>
  <c r="BD12" i="23"/>
  <c r="BE12" i="23" s="1"/>
  <c r="BD35" i="23"/>
  <c r="BE35" i="23" s="1"/>
  <c r="BD45" i="23"/>
  <c r="BE45" i="23" s="1"/>
  <c r="BD48" i="23"/>
  <c r="BE48" i="23" s="1"/>
  <c r="BD13" i="23"/>
  <c r="BI13" i="23" s="1"/>
  <c r="BJ13" i="23" s="1"/>
  <c r="BD5" i="23"/>
  <c r="BE5" i="23" s="1"/>
  <c r="BD28" i="23"/>
  <c r="BE28" i="23" s="1"/>
  <c r="BD42" i="23"/>
  <c r="BI42" i="23" s="1"/>
  <c r="BJ42" i="23" s="1"/>
  <c r="BD14" i="23"/>
  <c r="BE14" i="23" s="1"/>
  <c r="BD43" i="23"/>
  <c r="BI43" i="23" s="1"/>
  <c r="BJ43" i="23" s="1"/>
  <c r="BD8" i="23"/>
  <c r="BE8" i="23" s="1"/>
  <c r="BD44" i="23"/>
  <c r="BI44" i="23" s="1"/>
  <c r="BJ44" i="23" s="1"/>
  <c r="BD10" i="23"/>
  <c r="BI10" i="23" s="1"/>
  <c r="BJ10" i="23" s="1"/>
  <c r="BD26" i="23"/>
  <c r="BE26" i="23" s="1"/>
  <c r="BD4" i="23"/>
  <c r="BE4" i="23" s="1"/>
  <c r="BD37" i="23"/>
  <c r="BE37" i="23" s="1"/>
  <c r="BD23" i="23"/>
  <c r="BE23" i="23" s="1"/>
  <c r="BD21" i="23"/>
  <c r="BE21" i="23" s="1"/>
  <c r="BD41" i="23"/>
  <c r="BE41" i="23" s="1"/>
  <c r="BD24" i="23"/>
  <c r="BE24" i="23" s="1"/>
  <c r="BD6" i="23"/>
  <c r="BE6" i="23" s="1"/>
  <c r="BD27" i="23"/>
  <c r="BE27" i="23" s="1"/>
  <c r="BD15" i="23"/>
  <c r="BE15" i="23" s="1"/>
  <c r="BD29" i="23"/>
  <c r="BE29" i="23" s="1"/>
  <c r="BD31" i="23"/>
  <c r="BE31" i="23" s="1"/>
  <c r="BD38" i="23"/>
  <c r="BE38" i="23" s="1"/>
  <c r="BI11" i="23"/>
  <c r="BJ11" i="23" s="1"/>
  <c r="BE16" i="23"/>
  <c r="BI16" i="23"/>
  <c r="BJ16" i="23" s="1"/>
  <c r="BE33" i="23"/>
  <c r="BI33" i="23"/>
  <c r="BJ33" i="23" s="1"/>
  <c r="BD36" i="23"/>
  <c r="BD22" i="23"/>
  <c r="BE32" i="23" l="1"/>
  <c r="BI30" i="23"/>
  <c r="BJ30" i="23" s="1"/>
  <c r="BI3" i="23"/>
  <c r="BJ3" i="23" s="1"/>
  <c r="BE9" i="23"/>
  <c r="BI19" i="23"/>
  <c r="BJ19" i="23" s="1"/>
  <c r="BI45" i="23"/>
  <c r="BJ45" i="23" s="1"/>
  <c r="BE43" i="23"/>
  <c r="BE39" i="23"/>
  <c r="BD50" i="23"/>
  <c r="BE50" i="23" s="1"/>
  <c r="BI40" i="23"/>
  <c r="BJ40" i="23" s="1"/>
  <c r="BI12" i="23"/>
  <c r="BJ12" i="23" s="1"/>
  <c r="BI5" i="23"/>
  <c r="BJ5" i="23" s="1"/>
  <c r="BI23" i="23"/>
  <c r="BJ23" i="23" s="1"/>
  <c r="BI20" i="23"/>
  <c r="BJ20" i="23" s="1"/>
  <c r="BE13" i="23"/>
  <c r="BE10" i="23"/>
  <c r="BI17" i="23"/>
  <c r="BJ17" i="23" s="1"/>
  <c r="BI8" i="23"/>
  <c r="BJ8" i="23" s="1"/>
  <c r="BI18" i="23"/>
  <c r="BJ18" i="23" s="1"/>
  <c r="BI25" i="23"/>
  <c r="BJ25" i="23" s="1"/>
  <c r="BI27" i="23"/>
  <c r="BJ27" i="23" s="1"/>
  <c r="BI7" i="23"/>
  <c r="BJ7" i="23" s="1"/>
  <c r="BI34" i="23"/>
  <c r="BJ34" i="23" s="1"/>
  <c r="BI35" i="23"/>
  <c r="BJ35" i="23" s="1"/>
  <c r="BE42" i="23"/>
  <c r="BI28" i="23"/>
  <c r="BJ28" i="23" s="1"/>
  <c r="BI48" i="23"/>
  <c r="BJ48" i="23" s="1"/>
  <c r="BI21" i="23"/>
  <c r="BJ21" i="23" s="1"/>
  <c r="BI6" i="23"/>
  <c r="BJ6" i="23" s="1"/>
  <c r="BI41" i="23"/>
  <c r="BJ41" i="23" s="1"/>
  <c r="BI38" i="23"/>
  <c r="BJ38" i="23" s="1"/>
  <c r="BI26" i="23"/>
  <c r="BJ26" i="23" s="1"/>
  <c r="BI24" i="23"/>
  <c r="BJ24" i="23" s="1"/>
  <c r="BI37" i="23"/>
  <c r="BJ37" i="23" s="1"/>
  <c r="BI31" i="23"/>
  <c r="BJ31" i="23" s="1"/>
  <c r="BE44" i="23"/>
  <c r="BI29" i="23"/>
  <c r="BJ29" i="23" s="1"/>
  <c r="BI15" i="23"/>
  <c r="BJ15" i="23" s="1"/>
  <c r="BI14" i="23"/>
  <c r="BJ14" i="23" s="1"/>
  <c r="BI4" i="23"/>
  <c r="BJ4" i="23" s="1"/>
  <c r="BE22" i="23"/>
  <c r="BI22" i="23"/>
  <c r="BJ22" i="23" s="1"/>
  <c r="BE36" i="23"/>
  <c r="BI36" i="23"/>
  <c r="BJ36" i="23" s="1"/>
  <c r="BI50" i="23" l="1"/>
  <c r="BJ50" i="23" s="1"/>
  <c r="K7" i="23" l="1"/>
  <c r="N54" i="23"/>
  <c r="AH50" i="23"/>
  <c r="R50" i="23"/>
  <c r="R55" i="23" s="1"/>
  <c r="P50" i="23"/>
  <c r="J50" i="23"/>
  <c r="I50" i="23"/>
  <c r="D50" i="23"/>
  <c r="V48" i="23"/>
  <c r="W48" i="23" s="1"/>
  <c r="L48" i="23"/>
  <c r="K48" i="23"/>
  <c r="N48" i="23" s="1"/>
  <c r="Q48" i="23" s="1"/>
  <c r="V47" i="23"/>
  <c r="W47" i="23" s="1"/>
  <c r="L47" i="23"/>
  <c r="K47" i="23"/>
  <c r="N47" i="23" s="1"/>
  <c r="Q47" i="23" s="1"/>
  <c r="V46" i="23"/>
  <c r="W46" i="23" s="1"/>
  <c r="L46" i="23"/>
  <c r="K46" i="23"/>
  <c r="V45" i="23"/>
  <c r="W45" i="23" s="1"/>
  <c r="L45" i="23"/>
  <c r="K45" i="23"/>
  <c r="V44" i="23"/>
  <c r="W44" i="23" s="1"/>
  <c r="L44" i="23"/>
  <c r="K44" i="23"/>
  <c r="V43" i="23"/>
  <c r="W43" i="23" s="1"/>
  <c r="L43" i="23"/>
  <c r="K43" i="23"/>
  <c r="N43" i="23" s="1"/>
  <c r="Q43" i="23" s="1"/>
  <c r="L42" i="23"/>
  <c r="K42" i="23"/>
  <c r="N42" i="23" s="1"/>
  <c r="V41" i="23"/>
  <c r="W41" i="23" s="1"/>
  <c r="K41" i="23"/>
  <c r="L41" i="23"/>
  <c r="N41" i="23" s="1"/>
  <c r="Q41" i="23" s="1"/>
  <c r="V40" i="23"/>
  <c r="K40" i="23"/>
  <c r="L40" i="23"/>
  <c r="V39" i="23"/>
  <c r="W39" i="23" s="1"/>
  <c r="L39" i="23"/>
  <c r="K39" i="23"/>
  <c r="V38" i="23"/>
  <c r="W38" i="23" s="1"/>
  <c r="L38" i="23"/>
  <c r="K38" i="23"/>
  <c r="V37" i="23"/>
  <c r="W37" i="23" s="1"/>
  <c r="L37" i="23"/>
  <c r="K37" i="23"/>
  <c r="V36" i="23"/>
  <c r="L36" i="23"/>
  <c r="K36" i="23"/>
  <c r="V35" i="23"/>
  <c r="W35" i="23" s="1"/>
  <c r="L35" i="23"/>
  <c r="K35" i="23"/>
  <c r="V34" i="23"/>
  <c r="W34" i="23" s="1"/>
  <c r="L34" i="23"/>
  <c r="K34" i="23"/>
  <c r="V33" i="23"/>
  <c r="K33" i="23"/>
  <c r="L33" i="23"/>
  <c r="V32" i="23"/>
  <c r="K32" i="23"/>
  <c r="L32" i="23"/>
  <c r="G51" i="23"/>
  <c r="V31" i="23"/>
  <c r="K31" i="23"/>
  <c r="L31" i="23"/>
  <c r="V30" i="23"/>
  <c r="W30" i="23" s="1"/>
  <c r="L30" i="23"/>
  <c r="K30" i="23"/>
  <c r="V29" i="23"/>
  <c r="K29" i="23"/>
  <c r="V28" i="23"/>
  <c r="W28" i="23" s="1"/>
  <c r="L28" i="23"/>
  <c r="K28" i="23"/>
  <c r="V27" i="23"/>
  <c r="W27" i="23" s="1"/>
  <c r="K27" i="23"/>
  <c r="L27" i="23"/>
  <c r="V26" i="23"/>
  <c r="W26" i="23" s="1"/>
  <c r="L26" i="23"/>
  <c r="K26" i="23"/>
  <c r="V25" i="23"/>
  <c r="W25" i="23" s="1"/>
  <c r="L25" i="23"/>
  <c r="K25" i="23"/>
  <c r="N25" i="23" s="1"/>
  <c r="Q25" i="23" s="1"/>
  <c r="V24" i="23"/>
  <c r="K24" i="23"/>
  <c r="L24" i="23"/>
  <c r="V23" i="23"/>
  <c r="W23" i="23" s="1"/>
  <c r="K23" i="23"/>
  <c r="L23" i="23"/>
  <c r="V22" i="23"/>
  <c r="K22" i="23"/>
  <c r="V21" i="23"/>
  <c r="K21" i="23"/>
  <c r="L21" i="23"/>
  <c r="K20" i="23"/>
  <c r="L20" i="23"/>
  <c r="V19" i="23"/>
  <c r="W19" i="23" s="1"/>
  <c r="L19" i="23"/>
  <c r="K19" i="23"/>
  <c r="V18" i="23"/>
  <c r="W18" i="23" s="1"/>
  <c r="L18" i="23"/>
  <c r="K18" i="23"/>
  <c r="N18" i="23" s="1"/>
  <c r="Q18" i="23" s="1"/>
  <c r="V17" i="23"/>
  <c r="W17" i="23" s="1"/>
  <c r="K17" i="23"/>
  <c r="L17" i="23"/>
  <c r="V16" i="23"/>
  <c r="K16" i="23"/>
  <c r="L16" i="23"/>
  <c r="V15" i="23"/>
  <c r="W15" i="23" s="1"/>
  <c r="L15" i="23"/>
  <c r="K15" i="23"/>
  <c r="V14" i="23"/>
  <c r="W14" i="23" s="1"/>
  <c r="L14" i="23"/>
  <c r="K14" i="23"/>
  <c r="N14" i="23" s="1"/>
  <c r="Q14" i="23" s="1"/>
  <c r="V13" i="23"/>
  <c r="K13" i="23"/>
  <c r="L13" i="23"/>
  <c r="V12" i="23"/>
  <c r="W12" i="23" s="1"/>
  <c r="K12" i="23"/>
  <c r="L12" i="23"/>
  <c r="V11" i="23"/>
  <c r="W11" i="23" s="1"/>
  <c r="L11" i="23"/>
  <c r="K11" i="23"/>
  <c r="N11" i="23" s="1"/>
  <c r="Q11" i="23" s="1"/>
  <c r="V10" i="23"/>
  <c r="W10" i="23" s="1"/>
  <c r="L10" i="23"/>
  <c r="K10" i="23"/>
  <c r="V9" i="23"/>
  <c r="W9" i="23" s="1"/>
  <c r="L9" i="23"/>
  <c r="K9" i="23"/>
  <c r="V8" i="23"/>
  <c r="W8" i="23" s="1"/>
  <c r="L8" i="23"/>
  <c r="K8" i="23"/>
  <c r="V7" i="23"/>
  <c r="L7" i="23"/>
  <c r="V6" i="23"/>
  <c r="W6" i="23" s="1"/>
  <c r="L6" i="23"/>
  <c r="K6" i="23"/>
  <c r="V5" i="23"/>
  <c r="W5" i="23" s="1"/>
  <c r="L5" i="23"/>
  <c r="K5" i="23"/>
  <c r="V4" i="23"/>
  <c r="K4" i="23"/>
  <c r="H50" i="23"/>
  <c r="E51" i="23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V3" i="23"/>
  <c r="W3" i="23" s="1"/>
  <c r="L3" i="23"/>
  <c r="K3" i="23"/>
  <c r="AB21" i="21"/>
  <c r="AB20" i="21"/>
  <c r="AG42" i="21"/>
  <c r="AI42" i="21" s="1"/>
  <c r="AF42" i="21"/>
  <c r="AO31" i="21"/>
  <c r="AQ31" i="21" s="1"/>
  <c r="AO24" i="21"/>
  <c r="AN21" i="21"/>
  <c r="AQ21" i="21"/>
  <c r="AR21" i="21" s="1"/>
  <c r="AH21" i="21"/>
  <c r="AO20" i="21"/>
  <c r="AN20" i="21"/>
  <c r="AH20" i="21"/>
  <c r="AO16" i="21"/>
  <c r="AN16" i="21"/>
  <c r="AQ16" i="21"/>
  <c r="AH16" i="21"/>
  <c r="AN13" i="21"/>
  <c r="AQ48" i="21"/>
  <c r="AR48" i="21" s="1"/>
  <c r="AQ47" i="21"/>
  <c r="AR47" i="21" s="1"/>
  <c r="AQ46" i="21"/>
  <c r="AR46" i="21" s="1"/>
  <c r="AQ45" i="21"/>
  <c r="AR45" i="21" s="1"/>
  <c r="AQ44" i="21"/>
  <c r="AR44" i="21" s="1"/>
  <c r="AQ43" i="21"/>
  <c r="AR43" i="21" s="1"/>
  <c r="AQ41" i="21"/>
  <c r="AR41" i="21" s="1"/>
  <c r="AQ40" i="21"/>
  <c r="AQ39" i="21"/>
  <c r="AR39" i="21" s="1"/>
  <c r="AQ38" i="21"/>
  <c r="AR38" i="21" s="1"/>
  <c r="AQ37" i="21"/>
  <c r="AR37" i="21" s="1"/>
  <c r="AQ36" i="21"/>
  <c r="AQ35" i="21"/>
  <c r="AR35" i="21" s="1"/>
  <c r="AQ34" i="21"/>
  <c r="AR34" i="21" s="1"/>
  <c r="AQ33" i="21"/>
  <c r="AQ32" i="21"/>
  <c r="AQ30" i="21"/>
  <c r="AR30" i="21" s="1"/>
  <c r="AQ28" i="21"/>
  <c r="AR28" i="21" s="1"/>
  <c r="AQ27" i="21"/>
  <c r="AR27" i="21" s="1"/>
  <c r="AQ26" i="21"/>
  <c r="AR26" i="21" s="1"/>
  <c r="AQ25" i="21"/>
  <c r="AR25" i="21" s="1"/>
  <c r="AQ24" i="21"/>
  <c r="AQ23" i="21"/>
  <c r="AR23" i="21" s="1"/>
  <c r="AQ22" i="21"/>
  <c r="AQ20" i="21"/>
  <c r="AR20" i="21" s="1"/>
  <c r="AQ19" i="21"/>
  <c r="AR19" i="21" s="1"/>
  <c r="AQ18" i="21"/>
  <c r="AR18" i="21" s="1"/>
  <c r="AQ17" i="21"/>
  <c r="AR17" i="21" s="1"/>
  <c r="AQ15" i="21"/>
  <c r="AR15" i="21" s="1"/>
  <c r="AQ14" i="21"/>
  <c r="AR14" i="21" s="1"/>
  <c r="AQ13" i="21"/>
  <c r="AQ12" i="21"/>
  <c r="AR12" i="21" s="1"/>
  <c r="AQ11" i="21"/>
  <c r="AR11" i="21" s="1"/>
  <c r="AQ10" i="21"/>
  <c r="AR10" i="21" s="1"/>
  <c r="AQ9" i="21"/>
  <c r="AR9" i="21" s="1"/>
  <c r="AQ8" i="21"/>
  <c r="AR8" i="21" s="1"/>
  <c r="AQ6" i="21"/>
  <c r="AR6" i="21" s="1"/>
  <c r="AQ5" i="21"/>
  <c r="AR5" i="21" s="1"/>
  <c r="AQ4" i="21"/>
  <c r="AQ3" i="21"/>
  <c r="AN7" i="21"/>
  <c r="AQ7" i="21" s="1"/>
  <c r="AO7" i="21"/>
  <c r="AC50" i="21"/>
  <c r="AB13" i="21"/>
  <c r="AB22" i="21"/>
  <c r="AG26" i="21"/>
  <c r="AF26" i="21"/>
  <c r="AI26" i="21" s="1"/>
  <c r="AL26" i="21" s="1"/>
  <c r="AB31" i="21"/>
  <c r="AB29" i="21"/>
  <c r="AB24" i="21"/>
  <c r="AG37" i="21"/>
  <c r="AF37" i="21"/>
  <c r="AI37" i="21" s="1"/>
  <c r="AL37" i="21" s="1"/>
  <c r="AB16" i="21"/>
  <c r="AB50" i="21" s="1"/>
  <c r="AB7" i="21"/>
  <c r="AB4" i="21"/>
  <c r="U51" i="21"/>
  <c r="S51" i="21"/>
  <c r="J51" i="21"/>
  <c r="I51" i="21"/>
  <c r="H51" i="21"/>
  <c r="U50" i="21"/>
  <c r="S50" i="21"/>
  <c r="J50" i="21"/>
  <c r="I50" i="21"/>
  <c r="H50" i="21"/>
  <c r="AA50" i="21"/>
  <c r="N7" i="23" l="1"/>
  <c r="Q7" i="23" s="1"/>
  <c r="W22" i="23"/>
  <c r="N6" i="23"/>
  <c r="Q6" i="23" s="1"/>
  <c r="N17" i="23"/>
  <c r="Q17" i="23" s="1"/>
  <c r="V20" i="23"/>
  <c r="W20" i="23" s="1"/>
  <c r="N24" i="23"/>
  <c r="Q24" i="23" s="1"/>
  <c r="W33" i="23"/>
  <c r="W13" i="23"/>
  <c r="W29" i="23"/>
  <c r="N16" i="23"/>
  <c r="Q16" i="23" s="1"/>
  <c r="N26" i="23"/>
  <c r="Q26" i="23" s="1"/>
  <c r="N30" i="23"/>
  <c r="Q30" i="23" s="1"/>
  <c r="N40" i="23"/>
  <c r="Q40" i="23" s="1"/>
  <c r="N35" i="23"/>
  <c r="Q35" i="23" s="1"/>
  <c r="W16" i="23"/>
  <c r="W7" i="23"/>
  <c r="W36" i="23"/>
  <c r="N44" i="23"/>
  <c r="Q44" i="23" s="1"/>
  <c r="N8" i="23"/>
  <c r="Q8" i="23" s="1"/>
  <c r="W40" i="23"/>
  <c r="N15" i="23"/>
  <c r="Q15" i="23" s="1"/>
  <c r="W21" i="23"/>
  <c r="W31" i="23"/>
  <c r="N34" i="23"/>
  <c r="Q34" i="23" s="1"/>
  <c r="N45" i="23"/>
  <c r="Q45" i="23" s="1"/>
  <c r="N5" i="23"/>
  <c r="Q5" i="23" s="1"/>
  <c r="N19" i="23"/>
  <c r="Q19" i="23" s="1"/>
  <c r="N28" i="23"/>
  <c r="Q28" i="23" s="1"/>
  <c r="N38" i="23"/>
  <c r="Q38" i="23" s="1"/>
  <c r="W32" i="23"/>
  <c r="N39" i="23"/>
  <c r="Q39" i="23" s="1"/>
  <c r="N36" i="23"/>
  <c r="Q36" i="23" s="1"/>
  <c r="N9" i="23"/>
  <c r="Q9" i="23" s="1"/>
  <c r="N37" i="23"/>
  <c r="Q37" i="23" s="1"/>
  <c r="N46" i="23"/>
  <c r="Q46" i="23" s="1"/>
  <c r="N20" i="23"/>
  <c r="Q20" i="23" s="1"/>
  <c r="N12" i="23"/>
  <c r="Q12" i="23" s="1"/>
  <c r="N27" i="23"/>
  <c r="Q27" i="23" s="1"/>
  <c r="A26" i="23"/>
  <c r="A27" i="23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3" i="23" s="1"/>
  <c r="A44" i="23" s="1"/>
  <c r="A45" i="23" s="1"/>
  <c r="A46" i="23" s="1"/>
  <c r="A47" i="23" s="1"/>
  <c r="A48" i="23" s="1"/>
  <c r="N31" i="23"/>
  <c r="Q31" i="23" s="1"/>
  <c r="F51" i="23"/>
  <c r="W24" i="23"/>
  <c r="F50" i="23"/>
  <c r="L22" i="23"/>
  <c r="N22" i="23" s="1"/>
  <c r="Q22" i="23" s="1"/>
  <c r="L29" i="23"/>
  <c r="N29" i="23" s="1"/>
  <c r="Q29" i="23" s="1"/>
  <c r="G50" i="23"/>
  <c r="L4" i="23"/>
  <c r="N4" i="23" s="1"/>
  <c r="Q4" i="23" s="1"/>
  <c r="N13" i="23"/>
  <c r="Q13" i="23" s="1"/>
  <c r="M50" i="23"/>
  <c r="T52" i="23" s="1"/>
  <c r="N23" i="23"/>
  <c r="Q23" i="23" s="1"/>
  <c r="N33" i="23"/>
  <c r="Q33" i="23" s="1"/>
  <c r="H51" i="23"/>
  <c r="N3" i="23"/>
  <c r="O3" i="23" s="1"/>
  <c r="W4" i="23"/>
  <c r="N32" i="23"/>
  <c r="Q32" i="23" s="1"/>
  <c r="N21" i="23"/>
  <c r="Q21" i="23" s="1"/>
  <c r="N10" i="23"/>
  <c r="Q10" i="23" s="1"/>
  <c r="K50" i="23"/>
  <c r="S50" i="23"/>
  <c r="R56" i="23" s="1"/>
  <c r="E50" i="23"/>
  <c r="T50" i="23"/>
  <c r="R54" i="23" s="1"/>
  <c r="AR3" i="21"/>
  <c r="AR22" i="21"/>
  <c r="AR31" i="21"/>
  <c r="AR16" i="21"/>
  <c r="Z22" i="21"/>
  <c r="Z21" i="21"/>
  <c r="Z20" i="21"/>
  <c r="X23" i="21"/>
  <c r="Z31" i="21"/>
  <c r="Z29" i="21"/>
  <c r="Z27" i="21"/>
  <c r="Z24" i="21"/>
  <c r="AH32" i="21"/>
  <c r="AR32" i="21" s="1"/>
  <c r="Z16" i="21"/>
  <c r="Z7" i="21"/>
  <c r="Z4" i="21"/>
  <c r="AG55" i="21"/>
  <c r="Y22" i="21"/>
  <c r="X22" i="21"/>
  <c r="AH22" i="21"/>
  <c r="W22" i="21"/>
  <c r="V22" i="21"/>
  <c r="Y20" i="21"/>
  <c r="X20" i="21"/>
  <c r="W20" i="21"/>
  <c r="V20" i="21"/>
  <c r="Y21" i="21"/>
  <c r="X21" i="21"/>
  <c r="Y12" i="21"/>
  <c r="X12" i="21"/>
  <c r="W12" i="21"/>
  <c r="Y13" i="21"/>
  <c r="X13" i="21"/>
  <c r="W13" i="21"/>
  <c r="Y31" i="21"/>
  <c r="X31" i="21"/>
  <c r="AH31" i="21"/>
  <c r="W31" i="21"/>
  <c r="V31" i="21"/>
  <c r="Y29" i="21"/>
  <c r="X29" i="21"/>
  <c r="W29" i="21"/>
  <c r="V29" i="21"/>
  <c r="Y27" i="21"/>
  <c r="X27" i="21"/>
  <c r="W27" i="21"/>
  <c r="V27" i="21"/>
  <c r="AH24" i="21"/>
  <c r="AR24" i="21" s="1"/>
  <c r="Y24" i="21"/>
  <c r="X24" i="21"/>
  <c r="W24" i="21"/>
  <c r="V24" i="21"/>
  <c r="Y16" i="21"/>
  <c r="X16" i="21"/>
  <c r="W16" i="21"/>
  <c r="V16" i="21"/>
  <c r="Y17" i="21"/>
  <c r="V50" i="23" l="1"/>
  <c r="L50" i="23"/>
  <c r="W50" i="23"/>
  <c r="R57" i="23"/>
  <c r="N50" i="23"/>
  <c r="Q3" i="23"/>
  <c r="Q50" i="23" s="1"/>
  <c r="Z50" i="21"/>
  <c r="Z51" i="21"/>
  <c r="AH40" i="21"/>
  <c r="AR40" i="21" s="1"/>
  <c r="W40" i="21"/>
  <c r="W35" i="21"/>
  <c r="W33" i="21"/>
  <c r="W32" i="21"/>
  <c r="AH7" i="21"/>
  <c r="AR7" i="21" s="1"/>
  <c r="X7" i="21"/>
  <c r="Y7" i="21"/>
  <c r="W7" i="21"/>
  <c r="V7" i="21"/>
  <c r="Y4" i="21"/>
  <c r="X4" i="21"/>
  <c r="AH4" i="21"/>
  <c r="AR4" i="21" s="1"/>
  <c r="W4" i="21"/>
  <c r="V4" i="21"/>
  <c r="C5" i="22"/>
  <c r="C4" i="22"/>
  <c r="AI54" i="21"/>
  <c r="T22" i="21"/>
  <c r="T20" i="21"/>
  <c r="T21" i="21"/>
  <c r="T13" i="21"/>
  <c r="T31" i="21"/>
  <c r="T29" i="21"/>
  <c r="T27" i="21"/>
  <c r="T24" i="21"/>
  <c r="AG43" i="21"/>
  <c r="T44" i="21"/>
  <c r="AG44" i="21" s="1"/>
  <c r="AF44" i="21"/>
  <c r="AF43" i="21"/>
  <c r="T17" i="21"/>
  <c r="T16" i="21"/>
  <c r="T32" i="21"/>
  <c r="T7" i="21"/>
  <c r="T4" i="21"/>
  <c r="Q22" i="21"/>
  <c r="R20" i="21"/>
  <c r="Q20" i="21"/>
  <c r="R12" i="21"/>
  <c r="AH13" i="21"/>
  <c r="AR13" i="21" s="1"/>
  <c r="R31" i="21"/>
  <c r="Q31" i="21"/>
  <c r="R29" i="21"/>
  <c r="Q29" i="21"/>
  <c r="R27" i="21"/>
  <c r="R24" i="21"/>
  <c r="R17" i="21"/>
  <c r="P16" i="21"/>
  <c r="R16" i="21"/>
  <c r="Q16" i="21"/>
  <c r="R41" i="21"/>
  <c r="R40" i="21"/>
  <c r="R32" i="21"/>
  <c r="R35" i="21"/>
  <c r="AH33" i="21"/>
  <c r="AR33" i="21" s="1"/>
  <c r="R7" i="21"/>
  <c r="Q7" i="21"/>
  <c r="R4" i="21"/>
  <c r="Q4" i="21"/>
  <c r="P22" i="21"/>
  <c r="P20" i="21"/>
  <c r="P21" i="21"/>
  <c r="P23" i="21"/>
  <c r="P12" i="21"/>
  <c r="O12" i="21"/>
  <c r="P13" i="21"/>
  <c r="P31" i="21"/>
  <c r="P29" i="21"/>
  <c r="P27" i="21"/>
  <c r="P24" i="21"/>
  <c r="P17" i="21"/>
  <c r="P41" i="21"/>
  <c r="P40" i="21"/>
  <c r="P35" i="21"/>
  <c r="P33" i="21"/>
  <c r="P32" i="21"/>
  <c r="P7" i="21"/>
  <c r="P4" i="21"/>
  <c r="AD7" i="20"/>
  <c r="AG15" i="19"/>
  <c r="AF19" i="19"/>
  <c r="N7" i="21"/>
  <c r="M7" i="21"/>
  <c r="L7" i="21"/>
  <c r="K7" i="21"/>
  <c r="N22" i="21"/>
  <c r="M22" i="21"/>
  <c r="L22" i="21"/>
  <c r="K22" i="21"/>
  <c r="N20" i="21"/>
  <c r="M20" i="21"/>
  <c r="L20" i="21"/>
  <c r="K20" i="21"/>
  <c r="N21" i="21"/>
  <c r="K21" i="21"/>
  <c r="N23" i="21"/>
  <c r="K23" i="21"/>
  <c r="N31" i="21"/>
  <c r="M31" i="21"/>
  <c r="K31" i="21"/>
  <c r="N29" i="21"/>
  <c r="M29" i="21"/>
  <c r="K29" i="21"/>
  <c r="N27" i="21"/>
  <c r="M27" i="21"/>
  <c r="K27" i="21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X50" i="23" l="1"/>
  <c r="N53" i="23"/>
  <c r="N57" i="23" s="1"/>
  <c r="AI50" i="23"/>
  <c r="O50" i="21"/>
  <c r="O51" i="21"/>
  <c r="Q50" i="21"/>
  <c r="Q51" i="21"/>
  <c r="X50" i="21"/>
  <c r="X51" i="21"/>
  <c r="R51" i="21"/>
  <c r="R50" i="21"/>
  <c r="V51" i="21"/>
  <c r="V50" i="21"/>
  <c r="W50" i="21"/>
  <c r="W51" i="21"/>
  <c r="P50" i="21"/>
  <c r="P51" i="21"/>
  <c r="Y50" i="21"/>
  <c r="Y51" i="21"/>
  <c r="T51" i="21"/>
  <c r="T50" i="21"/>
  <c r="AI44" i="21"/>
  <c r="AL44" i="21" s="1"/>
  <c r="AI43" i="21"/>
  <c r="AL43" i="21" s="1"/>
  <c r="M24" i="21"/>
  <c r="L24" i="21"/>
  <c r="N16" i="21"/>
  <c r="M16" i="21"/>
  <c r="L16" i="21"/>
  <c r="K16" i="21"/>
  <c r="N41" i="21"/>
  <c r="L41" i="21"/>
  <c r="N40" i="21"/>
  <c r="L40" i="21"/>
  <c r="N35" i="21"/>
  <c r="L35" i="21"/>
  <c r="N33" i="21"/>
  <c r="L33" i="21"/>
  <c r="N32" i="21"/>
  <c r="L32" i="21"/>
  <c r="N4" i="21"/>
  <c r="M4" i="21"/>
  <c r="L4" i="21"/>
  <c r="K4" i="21"/>
  <c r="AP7" i="20"/>
  <c r="AI7" i="20"/>
  <c r="N50" i="21" l="1"/>
  <c r="N51" i="21"/>
  <c r="K50" i="21"/>
  <c r="K51" i="21"/>
  <c r="L50" i="21"/>
  <c r="L51" i="21"/>
  <c r="M50" i="21"/>
  <c r="M51" i="21"/>
  <c r="AR45" i="20"/>
  <c r="AQ45" i="20"/>
  <c r="AP20" i="20"/>
  <c r="AP17" i="20"/>
  <c r="AN36" i="20"/>
  <c r="AP28" i="20"/>
  <c r="AP16" i="20"/>
  <c r="AP13" i="20"/>
  <c r="AD22" i="20" l="1"/>
  <c r="AD20" i="20"/>
  <c r="AI20" i="20"/>
  <c r="AD21" i="20"/>
  <c r="U23" i="20"/>
  <c r="T23" i="20"/>
  <c r="S23" i="20"/>
  <c r="I23" i="20"/>
  <c r="F23" i="20"/>
  <c r="E23" i="20"/>
  <c r="AD12" i="20"/>
  <c r="AD13" i="20"/>
  <c r="AD30" i="20"/>
  <c r="AD28" i="20"/>
  <c r="AI28" i="20"/>
  <c r="K28" i="20"/>
  <c r="AD26" i="20"/>
  <c r="AD24" i="20"/>
  <c r="AD16" i="20"/>
  <c r="AI16" i="20"/>
  <c r="Y16" i="20"/>
  <c r="AD17" i="20"/>
  <c r="AI17" i="20"/>
  <c r="AI36" i="20"/>
  <c r="AD40" i="20"/>
  <c r="AD39" i="20"/>
  <c r="AD34" i="20"/>
  <c r="V34" i="20"/>
  <c r="U34" i="20"/>
  <c r="T34" i="20"/>
  <c r="S34" i="20"/>
  <c r="M34" i="20"/>
  <c r="L34" i="20"/>
  <c r="AD32" i="20"/>
  <c r="U32" i="20"/>
  <c r="T32" i="20"/>
  <c r="S32" i="20"/>
  <c r="AD31" i="20"/>
  <c r="AO7" i="20"/>
  <c r="AD4" i="20"/>
  <c r="U4" i="20"/>
  <c r="AO29" i="21" l="1"/>
  <c r="AO50" i="21" l="1"/>
  <c r="AQ29" i="21"/>
  <c r="AH29" i="21"/>
  <c r="E57" i="21"/>
  <c r="AR29" i="21" l="1"/>
  <c r="AQ50" i="21"/>
  <c r="F22" i="21"/>
  <c r="E22" i="21"/>
  <c r="F20" i="21"/>
  <c r="E20" i="21"/>
  <c r="F21" i="21"/>
  <c r="E21" i="21"/>
  <c r="F23" i="21"/>
  <c r="AG23" i="21" s="1"/>
  <c r="F12" i="21"/>
  <c r="AG12" i="21" s="1"/>
  <c r="F13" i="21"/>
  <c r="AG13" i="21" s="1"/>
  <c r="F31" i="21"/>
  <c r="AG31" i="21" s="1"/>
  <c r="F29" i="21"/>
  <c r="E29" i="21"/>
  <c r="F27" i="21"/>
  <c r="F24" i="21"/>
  <c r="AH36" i="21"/>
  <c r="AR36" i="21" s="1"/>
  <c r="F16" i="21"/>
  <c r="E16" i="21"/>
  <c r="G41" i="21"/>
  <c r="AG41" i="21" s="1"/>
  <c r="G40" i="21"/>
  <c r="AG40" i="21" s="1"/>
  <c r="G35" i="21"/>
  <c r="AG35" i="21" s="1"/>
  <c r="G33" i="21"/>
  <c r="AG33" i="21" s="1"/>
  <c r="G32" i="21"/>
  <c r="F7" i="21"/>
  <c r="E7" i="21"/>
  <c r="F4" i="21"/>
  <c r="E4" i="21"/>
  <c r="BC50" i="21"/>
  <c r="AN50" i="21"/>
  <c r="AK50" i="21"/>
  <c r="AE50" i="21"/>
  <c r="AD50" i="21"/>
  <c r="D50" i="21"/>
  <c r="AG48" i="21"/>
  <c r="AF48" i="21"/>
  <c r="AI48" i="21" s="1"/>
  <c r="AL48" i="21" s="1"/>
  <c r="AG47" i="21"/>
  <c r="AF47" i="21"/>
  <c r="AG46" i="21"/>
  <c r="AF46" i="21"/>
  <c r="AG45" i="21"/>
  <c r="AF45" i="21"/>
  <c r="AF41" i="21"/>
  <c r="AF40" i="21"/>
  <c r="AG39" i="21"/>
  <c r="AF39" i="21"/>
  <c r="AG38" i="21"/>
  <c r="AF38" i="21"/>
  <c r="AM50" i="21"/>
  <c r="AG36" i="21"/>
  <c r="AF36" i="21"/>
  <c r="AF35" i="21"/>
  <c r="AG34" i="21"/>
  <c r="AF34" i="21"/>
  <c r="AF33" i="21"/>
  <c r="AF32" i="21"/>
  <c r="AF31" i="21"/>
  <c r="AG30" i="21"/>
  <c r="AF30" i="21"/>
  <c r="AF29" i="21"/>
  <c r="AG28" i="21"/>
  <c r="AF28" i="21"/>
  <c r="AF27" i="21"/>
  <c r="AG27" i="21"/>
  <c r="AG25" i="21"/>
  <c r="AF25" i="21"/>
  <c r="AG24" i="21"/>
  <c r="AF24" i="21"/>
  <c r="AF23" i="21"/>
  <c r="AF22" i="21"/>
  <c r="AG22" i="21"/>
  <c r="AF21" i="21"/>
  <c r="AF20" i="21"/>
  <c r="AG19" i="21"/>
  <c r="AF19" i="21"/>
  <c r="AG18" i="21"/>
  <c r="AF18" i="21"/>
  <c r="AF17" i="21"/>
  <c r="AG17" i="21"/>
  <c r="AF16" i="21"/>
  <c r="AG15" i="21"/>
  <c r="AF15" i="21"/>
  <c r="AG14" i="21"/>
  <c r="AF14" i="21"/>
  <c r="AF13" i="21"/>
  <c r="AF12" i="21"/>
  <c r="AG11" i="21"/>
  <c r="AF11" i="21"/>
  <c r="AG10" i="21"/>
  <c r="AF10" i="21"/>
  <c r="AF9" i="21"/>
  <c r="AG9" i="21"/>
  <c r="AG8" i="21"/>
  <c r="AF8" i="21"/>
  <c r="AM54" i="21"/>
  <c r="AG6" i="21"/>
  <c r="AF6" i="21"/>
  <c r="AG5" i="21"/>
  <c r="AF5" i="21"/>
  <c r="AF4" i="21"/>
  <c r="A4" i="2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G3" i="21"/>
  <c r="AF3" i="21"/>
  <c r="Z22" i="20"/>
  <c r="Y22" i="20"/>
  <c r="Z20" i="20"/>
  <c r="Y20" i="20"/>
  <c r="Z21" i="20"/>
  <c r="Z30" i="20"/>
  <c r="Y30" i="20"/>
  <c r="Z28" i="20"/>
  <c r="Y28" i="20"/>
  <c r="Z26" i="20"/>
  <c r="Z24" i="20"/>
  <c r="Z16" i="20"/>
  <c r="Z17" i="20"/>
  <c r="Y17" i="20"/>
  <c r="Z7" i="20"/>
  <c r="Z4" i="20"/>
  <c r="Y4" i="20"/>
  <c r="AI13" i="20"/>
  <c r="A27" i="21" l="1"/>
  <c r="A28" i="21" s="1"/>
  <c r="A29" i="21" s="1"/>
  <c r="A30" i="21" s="1"/>
  <c r="A31" i="21" s="1"/>
  <c r="A32" i="21" s="1"/>
  <c r="A33" i="21" s="1"/>
  <c r="A34" i="21" s="1"/>
  <c r="A35" i="21" s="1"/>
  <c r="A36" i="21" s="1"/>
  <c r="A26" i="21"/>
  <c r="AG20" i="21"/>
  <c r="AI20" i="21" s="1"/>
  <c r="AL20" i="21" s="1"/>
  <c r="AS50" i="21"/>
  <c r="AM55" i="21"/>
  <c r="AR50" i="21"/>
  <c r="AI46" i="21"/>
  <c r="AL46" i="21" s="1"/>
  <c r="AG32" i="21"/>
  <c r="G51" i="21"/>
  <c r="G50" i="21"/>
  <c r="E50" i="21"/>
  <c r="E51" i="21"/>
  <c r="AI25" i="21"/>
  <c r="AL25" i="21" s="1"/>
  <c r="F51" i="21"/>
  <c r="F50" i="21"/>
  <c r="AG21" i="21"/>
  <c r="AI21" i="21" s="1"/>
  <c r="AL21" i="21" s="1"/>
  <c r="AM56" i="21"/>
  <c r="AM57" i="21" s="1"/>
  <c r="AI39" i="21"/>
  <c r="AL39" i="21" s="1"/>
  <c r="AG7" i="21"/>
  <c r="AI7" i="21" s="1"/>
  <c r="AL7" i="21" s="1"/>
  <c r="AG16" i="21"/>
  <c r="AI16" i="21" s="1"/>
  <c r="AL16" i="21" s="1"/>
  <c r="AG29" i="21"/>
  <c r="AI29" i="21" s="1"/>
  <c r="AL29" i="21" s="1"/>
  <c r="AG4" i="21"/>
  <c r="AI4" i="21" s="1"/>
  <c r="AL4" i="21" s="1"/>
  <c r="AI15" i="21"/>
  <c r="AL15" i="21" s="1"/>
  <c r="AI45" i="21"/>
  <c r="AL45" i="21" s="1"/>
  <c r="AI5" i="21"/>
  <c r="AL5" i="21" s="1"/>
  <c r="AI28" i="21"/>
  <c r="AL28" i="21" s="1"/>
  <c r="AI36" i="21"/>
  <c r="AL36" i="21" s="1"/>
  <c r="AH50" i="21"/>
  <c r="AO52" i="21" s="1"/>
  <c r="AI47" i="21"/>
  <c r="AL47" i="21" s="1"/>
  <c r="AI14" i="21"/>
  <c r="AL14" i="21" s="1"/>
  <c r="AI11" i="21"/>
  <c r="AL11" i="21" s="1"/>
  <c r="AI34" i="21"/>
  <c r="AL34" i="21" s="1"/>
  <c r="AI10" i="21"/>
  <c r="AL10" i="21" s="1"/>
  <c r="AI18" i="21"/>
  <c r="AL18" i="21" s="1"/>
  <c r="AI30" i="21"/>
  <c r="AL30" i="21" s="1"/>
  <c r="AI38" i="21"/>
  <c r="AL38" i="21" s="1"/>
  <c r="AI8" i="21"/>
  <c r="AL8" i="21" s="1"/>
  <c r="AI13" i="21"/>
  <c r="AL13" i="21" s="1"/>
  <c r="AI19" i="21"/>
  <c r="AL19" i="21" s="1"/>
  <c r="AI23" i="21"/>
  <c r="AL23" i="21" s="1"/>
  <c r="AI31" i="21"/>
  <c r="AL31" i="21" s="1"/>
  <c r="AI6" i="21"/>
  <c r="AL6" i="21" s="1"/>
  <c r="AI17" i="21"/>
  <c r="AL17" i="21" s="1"/>
  <c r="AI24" i="21"/>
  <c r="AL24" i="21" s="1"/>
  <c r="AI3" i="21"/>
  <c r="AJ3" i="21" s="1"/>
  <c r="AI33" i="21"/>
  <c r="AL33" i="21" s="1"/>
  <c r="AI9" i="21"/>
  <c r="AL9" i="21" s="1"/>
  <c r="AI12" i="21"/>
  <c r="AL12" i="21" s="1"/>
  <c r="AI27" i="21"/>
  <c r="AL27" i="21" s="1"/>
  <c r="AI41" i="21"/>
  <c r="AL41" i="21" s="1"/>
  <c r="AI22" i="21"/>
  <c r="AL22" i="21" s="1"/>
  <c r="AI32" i="21"/>
  <c r="AL32" i="21" s="1"/>
  <c r="AI40" i="21"/>
  <c r="AL40" i="21" s="1"/>
  <c r="AI35" i="21"/>
  <c r="AL35" i="21" s="1"/>
  <c r="AF50" i="21"/>
  <c r="W22" i="20"/>
  <c r="U22" i="20"/>
  <c r="S22" i="20"/>
  <c r="R22" i="20"/>
  <c r="W20" i="20"/>
  <c r="V20" i="20"/>
  <c r="U20" i="20"/>
  <c r="T20" i="20"/>
  <c r="S20" i="20"/>
  <c r="R20" i="20"/>
  <c r="U21" i="20"/>
  <c r="T21" i="20"/>
  <c r="U12" i="20"/>
  <c r="U13" i="20"/>
  <c r="T13" i="20"/>
  <c r="W30" i="20"/>
  <c r="U30" i="20"/>
  <c r="T30" i="20"/>
  <c r="S30" i="20"/>
  <c r="R30" i="20"/>
  <c r="W28" i="20"/>
  <c r="V28" i="20"/>
  <c r="U28" i="20"/>
  <c r="T28" i="20"/>
  <c r="S28" i="20"/>
  <c r="R28" i="20"/>
  <c r="U26" i="20"/>
  <c r="U24" i="20"/>
  <c r="T24" i="20"/>
  <c r="W16" i="20"/>
  <c r="V16" i="20"/>
  <c r="S16" i="20"/>
  <c r="R16" i="20"/>
  <c r="U17" i="20"/>
  <c r="T17" i="20"/>
  <c r="S17" i="20"/>
  <c r="T40" i="20"/>
  <c r="S40" i="20"/>
  <c r="V39" i="20"/>
  <c r="T39" i="20"/>
  <c r="S39" i="20"/>
  <c r="V31" i="20"/>
  <c r="U31" i="20"/>
  <c r="T31" i="20"/>
  <c r="S31" i="20"/>
  <c r="V7" i="20"/>
  <c r="U7" i="20"/>
  <c r="T7" i="20"/>
  <c r="S7" i="20"/>
  <c r="R7" i="20"/>
  <c r="W4" i="20"/>
  <c r="T4" i="20"/>
  <c r="S4" i="20"/>
  <c r="R4" i="20"/>
  <c r="M12" i="20"/>
  <c r="L12" i="20"/>
  <c r="M13" i="20"/>
  <c r="L13" i="20"/>
  <c r="L23" i="20"/>
  <c r="M22" i="20"/>
  <c r="L22" i="20"/>
  <c r="K22" i="20"/>
  <c r="M20" i="20"/>
  <c r="L20" i="20"/>
  <c r="K20" i="20"/>
  <c r="L21" i="20"/>
  <c r="K30" i="20"/>
  <c r="L30" i="20"/>
  <c r="M30" i="20"/>
  <c r="M28" i="20"/>
  <c r="L28" i="20"/>
  <c r="L26" i="20"/>
  <c r="M24" i="20"/>
  <c r="L24" i="20"/>
  <c r="K24" i="20"/>
  <c r="L17" i="20"/>
  <c r="K16" i="20"/>
  <c r="L40" i="20"/>
  <c r="M40" i="20"/>
  <c r="M39" i="20"/>
  <c r="L39" i="20"/>
  <c r="M32" i="20"/>
  <c r="M31" i="20"/>
  <c r="L31" i="20"/>
  <c r="L7" i="20"/>
  <c r="K7" i="20"/>
  <c r="L4" i="20"/>
  <c r="K4" i="20"/>
  <c r="A37" i="21" l="1"/>
  <c r="A38" i="21" s="1"/>
  <c r="A39" i="21" s="1"/>
  <c r="A40" i="21" s="1"/>
  <c r="A41" i="21" s="1"/>
  <c r="E53" i="21"/>
  <c r="AG50" i="21"/>
  <c r="C6" i="22" s="1"/>
  <c r="C8" i="22" s="1"/>
  <c r="AL3" i="21"/>
  <c r="AL50" i="21" s="1"/>
  <c r="AI50" i="21"/>
  <c r="AI53" i="21" s="1"/>
  <c r="I17" i="20"/>
  <c r="H17" i="20"/>
  <c r="I30" i="20"/>
  <c r="H30" i="20"/>
  <c r="I28" i="20"/>
  <c r="H28" i="20"/>
  <c r="H24" i="20"/>
  <c r="I22" i="20"/>
  <c r="H22" i="20"/>
  <c r="I20" i="20"/>
  <c r="H20" i="20"/>
  <c r="H21" i="20"/>
  <c r="I16" i="20"/>
  <c r="H16" i="20"/>
  <c r="H40" i="20"/>
  <c r="H39" i="20"/>
  <c r="H34" i="20"/>
  <c r="H31" i="20"/>
  <c r="H11" i="20"/>
  <c r="I9" i="20"/>
  <c r="H9" i="20"/>
  <c r="J7" i="20"/>
  <c r="I7" i="20"/>
  <c r="I4" i="20"/>
  <c r="G12" i="20"/>
  <c r="E12" i="20"/>
  <c r="G13" i="20"/>
  <c r="F13" i="20"/>
  <c r="E13" i="20"/>
  <c r="G30" i="20"/>
  <c r="F30" i="20"/>
  <c r="E30" i="20"/>
  <c r="G28" i="20"/>
  <c r="F28" i="20"/>
  <c r="E28" i="20"/>
  <c r="G24" i="20"/>
  <c r="F24" i="20"/>
  <c r="E24" i="20"/>
  <c r="G22" i="20"/>
  <c r="F22" i="20"/>
  <c r="E22" i="20"/>
  <c r="G20" i="20"/>
  <c r="F20" i="20"/>
  <c r="E20" i="20"/>
  <c r="G21" i="20"/>
  <c r="G16" i="20"/>
  <c r="F16" i="20"/>
  <c r="G17" i="20"/>
  <c r="F17" i="20"/>
  <c r="E17" i="20"/>
  <c r="G31" i="20"/>
  <c r="F31" i="20"/>
  <c r="G11" i="20"/>
  <c r="G9" i="20"/>
  <c r="AH10" i="20"/>
  <c r="AG10" i="20"/>
  <c r="G7" i="20"/>
  <c r="A43" i="21" l="1"/>
  <c r="A44" i="21" s="1"/>
  <c r="A45" i="21" s="1"/>
  <c r="A46" i="21" s="1"/>
  <c r="A47" i="21" s="1"/>
  <c r="A48" i="21" s="1"/>
  <c r="AI57" i="21"/>
  <c r="BD50" i="21"/>
  <c r="AJ10" i="20"/>
  <c r="AM10" i="20" s="1"/>
  <c r="AG27" i="19"/>
  <c r="AG21" i="19"/>
  <c r="AG19" i="19"/>
  <c r="AG12" i="19"/>
  <c r="AG23" i="19"/>
  <c r="AG16" i="19"/>
  <c r="V45" i="19" l="1"/>
  <c r="O45" i="19"/>
  <c r="AP46" i="20"/>
  <c r="BD46" i="20"/>
  <c r="AO46" i="20"/>
  <c r="AN52" i="20" s="1"/>
  <c r="AN46" i="20"/>
  <c r="AN51" i="20" s="1"/>
  <c r="AF46" i="20"/>
  <c r="AE46" i="20"/>
  <c r="D46" i="20"/>
  <c r="AS44" i="20"/>
  <c r="AH44" i="20"/>
  <c r="AG44" i="20"/>
  <c r="AJ44" i="20" s="1"/>
  <c r="AM44" i="20" s="1"/>
  <c r="AS43" i="20"/>
  <c r="AH43" i="20"/>
  <c r="AG43" i="20"/>
  <c r="AS42" i="20"/>
  <c r="AH42" i="20"/>
  <c r="AG42" i="20"/>
  <c r="AS41" i="20"/>
  <c r="AH41" i="20"/>
  <c r="AG41" i="20"/>
  <c r="AS40" i="20"/>
  <c r="AG40" i="20"/>
  <c r="AH40" i="20"/>
  <c r="AS39" i="20"/>
  <c r="AG39" i="20"/>
  <c r="AH39" i="20"/>
  <c r="AS38" i="20"/>
  <c r="AH38" i="20"/>
  <c r="AG38" i="20"/>
  <c r="AS37" i="20"/>
  <c r="AH37" i="20"/>
  <c r="AG37" i="20"/>
  <c r="AS36" i="20"/>
  <c r="AH36" i="20"/>
  <c r="AG36" i="20"/>
  <c r="AS35" i="20"/>
  <c r="AH35" i="20"/>
  <c r="AG35" i="20"/>
  <c r="AG34" i="20"/>
  <c r="AH34" i="20"/>
  <c r="AS33" i="20"/>
  <c r="AH33" i="20"/>
  <c r="AG33" i="20"/>
  <c r="AS32" i="20"/>
  <c r="AH32" i="20"/>
  <c r="AG32" i="20"/>
  <c r="AS31" i="20"/>
  <c r="AG31" i="20"/>
  <c r="AH31" i="20"/>
  <c r="AS30" i="20"/>
  <c r="AG30" i="20"/>
  <c r="AS29" i="20"/>
  <c r="AH29" i="20"/>
  <c r="AG29" i="20"/>
  <c r="AS28" i="20"/>
  <c r="AG28" i="20"/>
  <c r="AS27" i="20"/>
  <c r="AH27" i="20"/>
  <c r="AG27" i="20"/>
  <c r="AS26" i="20"/>
  <c r="AG26" i="20"/>
  <c r="AH26" i="20"/>
  <c r="AS25" i="20"/>
  <c r="AH25" i="20"/>
  <c r="AG25" i="20"/>
  <c r="AS24" i="20"/>
  <c r="AG24" i="20"/>
  <c r="AS23" i="20"/>
  <c r="AH23" i="20"/>
  <c r="AG23" i="20"/>
  <c r="AS22" i="20"/>
  <c r="AG22" i="20"/>
  <c r="AS21" i="20"/>
  <c r="AG21" i="20"/>
  <c r="AH21" i="20"/>
  <c r="AS20" i="20"/>
  <c r="AG20" i="20"/>
  <c r="AS19" i="20"/>
  <c r="AH19" i="20"/>
  <c r="AG19" i="20"/>
  <c r="AS18" i="20"/>
  <c r="AH18" i="20"/>
  <c r="AG18" i="20"/>
  <c r="AS17" i="20"/>
  <c r="AG17" i="20"/>
  <c r="AH17" i="20"/>
  <c r="AS16" i="20"/>
  <c r="AG16" i="20"/>
  <c r="AS15" i="20"/>
  <c r="AH15" i="20"/>
  <c r="AG15" i="20"/>
  <c r="AJ15" i="20" s="1"/>
  <c r="AM15" i="20" s="1"/>
  <c r="AH14" i="20"/>
  <c r="AG14" i="20"/>
  <c r="AS13" i="20"/>
  <c r="AG13" i="20"/>
  <c r="AH13" i="20"/>
  <c r="A13" i="20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S12" i="20"/>
  <c r="AG12" i="20"/>
  <c r="AH12" i="20"/>
  <c r="AG11" i="20"/>
  <c r="AH11" i="20"/>
  <c r="AG9" i="20"/>
  <c r="AH9" i="20"/>
  <c r="AS8" i="20"/>
  <c r="AH8" i="20"/>
  <c r="AG8" i="20"/>
  <c r="AS7" i="20"/>
  <c r="AG7" i="20"/>
  <c r="AS6" i="20"/>
  <c r="AH6" i="20"/>
  <c r="AG6" i="20"/>
  <c r="AS5" i="20"/>
  <c r="AH5" i="20"/>
  <c r="AG5" i="20"/>
  <c r="AS4" i="20"/>
  <c r="AG4" i="20"/>
  <c r="A4" i="20"/>
  <c r="A5" i="20" s="1"/>
  <c r="A6" i="20" s="1"/>
  <c r="A7" i="20" s="1"/>
  <c r="A8" i="20" s="1"/>
  <c r="A9" i="20" s="1"/>
  <c r="AS3" i="20"/>
  <c r="AH3" i="20"/>
  <c r="AG3" i="20"/>
  <c r="S22" i="19"/>
  <c r="AC34" i="19"/>
  <c r="Z15" i="19"/>
  <c r="U15" i="19"/>
  <c r="S15" i="19"/>
  <c r="R15" i="19"/>
  <c r="Q15" i="19"/>
  <c r="P15" i="19"/>
  <c r="S16" i="19"/>
  <c r="AC35" i="19"/>
  <c r="Z21" i="19"/>
  <c r="U21" i="19"/>
  <c r="S21" i="19"/>
  <c r="R21" i="19"/>
  <c r="Q21" i="19"/>
  <c r="P21" i="19"/>
  <c r="U19" i="19"/>
  <c r="Z19" i="19"/>
  <c r="S19" i="19"/>
  <c r="R19" i="19"/>
  <c r="Q19" i="19"/>
  <c r="P19" i="19"/>
  <c r="Q20" i="19"/>
  <c r="S11" i="19"/>
  <c r="R11" i="19"/>
  <c r="P12" i="19"/>
  <c r="P45" i="19" s="1"/>
  <c r="Q12" i="19"/>
  <c r="S12" i="19"/>
  <c r="U29" i="19"/>
  <c r="T29" i="19"/>
  <c r="S29" i="19"/>
  <c r="R29" i="19"/>
  <c r="Q29" i="19"/>
  <c r="P29" i="19"/>
  <c r="P23" i="19"/>
  <c r="Q23" i="19"/>
  <c r="R23" i="19"/>
  <c r="S23" i="19"/>
  <c r="U23" i="19"/>
  <c r="Z23" i="19"/>
  <c r="Z27" i="19"/>
  <c r="U27" i="19"/>
  <c r="T27" i="19"/>
  <c r="S27" i="19"/>
  <c r="R27" i="19"/>
  <c r="Q27" i="19"/>
  <c r="P27" i="19"/>
  <c r="U25" i="19"/>
  <c r="R25" i="19"/>
  <c r="Q25" i="19"/>
  <c r="P25" i="19"/>
  <c r="P16" i="19"/>
  <c r="S35" i="19"/>
  <c r="T39" i="19"/>
  <c r="T38" i="19"/>
  <c r="S38" i="19"/>
  <c r="S33" i="19"/>
  <c r="R33" i="19"/>
  <c r="T30" i="19"/>
  <c r="T45" i="19" s="1"/>
  <c r="S30" i="19"/>
  <c r="R30" i="19"/>
  <c r="Y10" i="19"/>
  <c r="X10" i="19"/>
  <c r="AA10" i="19" s="1"/>
  <c r="AD10" i="19" s="1"/>
  <c r="Y9" i="19"/>
  <c r="X9" i="19"/>
  <c r="AA9" i="19" s="1"/>
  <c r="AD9" i="19" s="1"/>
  <c r="Q10" i="19"/>
  <c r="Q9" i="19"/>
  <c r="U7" i="19"/>
  <c r="T7" i="19"/>
  <c r="S7" i="19"/>
  <c r="R7" i="19"/>
  <c r="Q7" i="19"/>
  <c r="Z7" i="19"/>
  <c r="U4" i="19"/>
  <c r="U45" i="19" s="1"/>
  <c r="S4" i="19"/>
  <c r="S45" i="19" s="1"/>
  <c r="R4" i="19"/>
  <c r="R45" i="19" s="1"/>
  <c r="Q4" i="19"/>
  <c r="Q45" i="19" s="1"/>
  <c r="M21" i="19"/>
  <c r="L21" i="19"/>
  <c r="N19" i="19"/>
  <c r="M19" i="19"/>
  <c r="K19" i="19"/>
  <c r="N20" i="19"/>
  <c r="M20" i="19"/>
  <c r="L20" i="19"/>
  <c r="L22" i="19"/>
  <c r="L11" i="19"/>
  <c r="M12" i="19"/>
  <c r="K12" i="19"/>
  <c r="AN50" i="20" l="1"/>
  <c r="AP50" i="20" s="1"/>
  <c r="AQ46" i="20"/>
  <c r="AJ37" i="20"/>
  <c r="AM37" i="20" s="1"/>
  <c r="AJ41" i="20"/>
  <c r="AM41" i="20" s="1"/>
  <c r="AJ6" i="20"/>
  <c r="AM6" i="20" s="1"/>
  <c r="AJ34" i="20"/>
  <c r="AM34" i="20" s="1"/>
  <c r="AJ23" i="20"/>
  <c r="AM23" i="20" s="1"/>
  <c r="AJ27" i="20"/>
  <c r="AM27" i="20" s="1"/>
  <c r="AJ42" i="20"/>
  <c r="AM42" i="20" s="1"/>
  <c r="AJ21" i="20"/>
  <c r="AM21" i="20" s="1"/>
  <c r="AH16" i="20"/>
  <c r="AJ16" i="20" s="1"/>
  <c r="AM16" i="20" s="1"/>
  <c r="AJ5" i="20"/>
  <c r="AM5" i="20" s="1"/>
  <c r="AJ8" i="20"/>
  <c r="AM8" i="20" s="1"/>
  <c r="AH28" i="20"/>
  <c r="AJ28" i="20" s="1"/>
  <c r="AM28" i="20" s="1"/>
  <c r="AJ19" i="20"/>
  <c r="AM19" i="20" s="1"/>
  <c r="AJ25" i="20"/>
  <c r="AM25" i="20" s="1"/>
  <c r="AJ32" i="20"/>
  <c r="AM32" i="20" s="1"/>
  <c r="AJ29" i="20"/>
  <c r="AM29" i="20" s="1"/>
  <c r="AJ35" i="20"/>
  <c r="AM35" i="20" s="1"/>
  <c r="AJ12" i="20"/>
  <c r="AM12" i="20" s="1"/>
  <c r="AJ43" i="20"/>
  <c r="AM43" i="20" s="1"/>
  <c r="AJ14" i="20"/>
  <c r="AM14" i="20" s="1"/>
  <c r="AJ36" i="20"/>
  <c r="AM36" i="20" s="1"/>
  <c r="AJ39" i="20"/>
  <c r="AM39" i="20" s="1"/>
  <c r="AJ11" i="20"/>
  <c r="AM11" i="20" s="1"/>
  <c r="AJ18" i="20"/>
  <c r="AM18" i="20" s="1"/>
  <c r="AJ33" i="20"/>
  <c r="AM33" i="20" s="1"/>
  <c r="A32" i="20"/>
  <c r="A35" i="20" s="1"/>
  <c r="A37" i="20" s="1"/>
  <c r="A33" i="20"/>
  <c r="A36" i="20" s="1"/>
  <c r="A38" i="20" s="1"/>
  <c r="A39" i="20" s="1"/>
  <c r="A40" i="20" s="1"/>
  <c r="A41" i="20" s="1"/>
  <c r="A42" i="20" s="1"/>
  <c r="A43" i="20" s="1"/>
  <c r="A44" i="20" s="1"/>
  <c r="AL46" i="20"/>
  <c r="AS14" i="20"/>
  <c r="AJ40" i="20"/>
  <c r="AM40" i="20" s="1"/>
  <c r="AJ17" i="20"/>
  <c r="AM17" i="20" s="1"/>
  <c r="AH22" i="20"/>
  <c r="AJ22" i="20" s="1"/>
  <c r="AM22" i="20" s="1"/>
  <c r="AH24" i="20"/>
  <c r="AJ24" i="20" s="1"/>
  <c r="AM24" i="20" s="1"/>
  <c r="AJ26" i="20"/>
  <c r="AM26" i="20" s="1"/>
  <c r="AJ38" i="20"/>
  <c r="AM38" i="20" s="1"/>
  <c r="AN53" i="20"/>
  <c r="AJ31" i="20"/>
  <c r="AM31" i="20" s="1"/>
  <c r="AJ9" i="20"/>
  <c r="AM9" i="20" s="1"/>
  <c r="AH20" i="20"/>
  <c r="AJ20" i="20" s="1"/>
  <c r="AM20" i="20" s="1"/>
  <c r="AG46" i="20"/>
  <c r="E46" i="20"/>
  <c r="AH7" i="20"/>
  <c r="AJ7" i="20" s="1"/>
  <c r="AM7" i="20" s="1"/>
  <c r="AI46" i="20"/>
  <c r="AJ13" i="20"/>
  <c r="AM13" i="20" s="1"/>
  <c r="AH30" i="20"/>
  <c r="AJ30" i="20" s="1"/>
  <c r="AM30" i="20" s="1"/>
  <c r="AJ3" i="20"/>
  <c r="AK3" i="20" s="1"/>
  <c r="L29" i="19"/>
  <c r="M29" i="19"/>
  <c r="N27" i="19"/>
  <c r="M27" i="19"/>
  <c r="L27" i="19"/>
  <c r="M25" i="19"/>
  <c r="L25" i="19"/>
  <c r="I25" i="19"/>
  <c r="M23" i="19"/>
  <c r="L23" i="19"/>
  <c r="K23" i="19"/>
  <c r="K45" i="19" s="1"/>
  <c r="M16" i="19"/>
  <c r="L16" i="19"/>
  <c r="N15" i="19"/>
  <c r="M15" i="19"/>
  <c r="M30" i="19"/>
  <c r="M7" i="19"/>
  <c r="L7" i="19"/>
  <c r="M4" i="19"/>
  <c r="L4" i="19"/>
  <c r="I21" i="19"/>
  <c r="I19" i="19"/>
  <c r="I20" i="19"/>
  <c r="I12" i="19"/>
  <c r="I22" i="19"/>
  <c r="I29" i="19"/>
  <c r="J27" i="19"/>
  <c r="I27" i="19"/>
  <c r="I23" i="19"/>
  <c r="Z16" i="19"/>
  <c r="I16" i="19"/>
  <c r="I15" i="19"/>
  <c r="J39" i="19"/>
  <c r="X33" i="19"/>
  <c r="J33" i="19"/>
  <c r="Y33" i="19" s="1"/>
  <c r="J30" i="19"/>
  <c r="J7" i="19"/>
  <c r="I7" i="19"/>
  <c r="J4" i="19"/>
  <c r="I4" i="19"/>
  <c r="G21" i="19"/>
  <c r="G19" i="19"/>
  <c r="G27" i="19"/>
  <c r="G23" i="19"/>
  <c r="G15" i="19"/>
  <c r="G7" i="19"/>
  <c r="G4" i="19"/>
  <c r="F21" i="19"/>
  <c r="F19" i="19"/>
  <c r="E19" i="19"/>
  <c r="F20" i="19"/>
  <c r="F29" i="19"/>
  <c r="E29" i="19"/>
  <c r="F27" i="19"/>
  <c r="E27" i="19"/>
  <c r="E23" i="19"/>
  <c r="F15" i="19"/>
  <c r="E15" i="19"/>
  <c r="F16" i="19"/>
  <c r="E16" i="19"/>
  <c r="F7" i="19"/>
  <c r="E7" i="19"/>
  <c r="F4" i="19"/>
  <c r="Z12" i="19"/>
  <c r="L45" i="19" l="1"/>
  <c r="M45" i="19"/>
  <c r="N45" i="19"/>
  <c r="AM3" i="20"/>
  <c r="I45" i="19"/>
  <c r="J45" i="19"/>
  <c r="AA33" i="19"/>
  <c r="AD33" i="19" s="1"/>
  <c r="AQ45" i="19"/>
  <c r="AG45" i="19"/>
  <c r="AF45" i="19"/>
  <c r="AE51" i="19" s="1"/>
  <c r="AE45" i="19"/>
  <c r="AE50" i="19" s="1"/>
  <c r="W45" i="19"/>
  <c r="D45" i="19"/>
  <c r="Y43" i="19"/>
  <c r="X43" i="19"/>
  <c r="AA43" i="19" s="1"/>
  <c r="AD43" i="19" s="1"/>
  <c r="Y42" i="19"/>
  <c r="X42" i="19"/>
  <c r="Y41" i="19"/>
  <c r="X41" i="19"/>
  <c r="Y40" i="19"/>
  <c r="X40" i="19"/>
  <c r="X39" i="19"/>
  <c r="Y39" i="19"/>
  <c r="X38" i="19"/>
  <c r="Y38" i="19"/>
  <c r="Y37" i="19"/>
  <c r="X37" i="19"/>
  <c r="Y36" i="19"/>
  <c r="X36" i="19"/>
  <c r="Y35" i="19"/>
  <c r="X35" i="19"/>
  <c r="Y34" i="19"/>
  <c r="X34" i="19"/>
  <c r="Y32" i="19"/>
  <c r="X32" i="19"/>
  <c r="X31" i="19"/>
  <c r="Y31" i="19"/>
  <c r="X30" i="19"/>
  <c r="Y30" i="19"/>
  <c r="X29" i="19"/>
  <c r="Y29" i="19"/>
  <c r="Y28" i="19"/>
  <c r="X28" i="19"/>
  <c r="X27" i="19"/>
  <c r="Y27" i="19"/>
  <c r="Y26" i="19"/>
  <c r="X26" i="19"/>
  <c r="X25" i="19"/>
  <c r="Y25" i="19"/>
  <c r="X24" i="19"/>
  <c r="Y24" i="19"/>
  <c r="Y23" i="19"/>
  <c r="X23" i="19"/>
  <c r="E45" i="19"/>
  <c r="Y22" i="19"/>
  <c r="X22" i="19"/>
  <c r="X21" i="19"/>
  <c r="Y21" i="19"/>
  <c r="Y20" i="19"/>
  <c r="X20" i="19"/>
  <c r="X19" i="19"/>
  <c r="Y19" i="19"/>
  <c r="Y18" i="19"/>
  <c r="X18" i="19"/>
  <c r="AC17" i="19"/>
  <c r="Y17" i="19"/>
  <c r="X17" i="19"/>
  <c r="X16" i="19"/>
  <c r="X15" i="19"/>
  <c r="Y14" i="19"/>
  <c r="X14" i="19"/>
  <c r="AC13" i="19"/>
  <c r="Y13" i="19"/>
  <c r="X13" i="19"/>
  <c r="Y12" i="19"/>
  <c r="X12" i="19"/>
  <c r="H45" i="19"/>
  <c r="X11" i="19"/>
  <c r="Y11" i="19"/>
  <c r="Y8" i="19"/>
  <c r="X8" i="19"/>
  <c r="X7" i="19"/>
  <c r="Y7" i="19"/>
  <c r="Y6" i="19"/>
  <c r="X6" i="19"/>
  <c r="Y5" i="19"/>
  <c r="X5" i="19"/>
  <c r="X4" i="19"/>
  <c r="G45" i="19"/>
  <c r="Y4" i="19"/>
  <c r="A4" i="19"/>
  <c r="A5" i="19" s="1"/>
  <c r="A6" i="19" s="1"/>
  <c r="A7" i="19" s="1"/>
  <c r="A8" i="19" s="1"/>
  <c r="A9" i="19" s="1"/>
  <c r="Y3" i="19"/>
  <c r="X3" i="19"/>
  <c r="AE49" i="19" l="1"/>
  <c r="AE52" i="19" s="1"/>
  <c r="AG51" i="19"/>
  <c r="AA32" i="19"/>
  <c r="AD32" i="19" s="1"/>
  <c r="AA6" i="19"/>
  <c r="AD6" i="19" s="1"/>
  <c r="AA42" i="19"/>
  <c r="AD42" i="19" s="1"/>
  <c r="AA34" i="19"/>
  <c r="AD34" i="19" s="1"/>
  <c r="AA41" i="19"/>
  <c r="AD41" i="19" s="1"/>
  <c r="AA4" i="19"/>
  <c r="AD4" i="19" s="1"/>
  <c r="AA36" i="19"/>
  <c r="AD36" i="19" s="1"/>
  <c r="AA20" i="19"/>
  <c r="AD20" i="19" s="1"/>
  <c r="AA5" i="19"/>
  <c r="AD5" i="19" s="1"/>
  <c r="AA26" i="19"/>
  <c r="AD26" i="19" s="1"/>
  <c r="AA3" i="19"/>
  <c r="AB3" i="19" s="1"/>
  <c r="Z45" i="19"/>
  <c r="AA8" i="19"/>
  <c r="AD8" i="19" s="1"/>
  <c r="AA14" i="19"/>
  <c r="AD14" i="19" s="1"/>
  <c r="AA37" i="19"/>
  <c r="AD37" i="19" s="1"/>
  <c r="AA35" i="19"/>
  <c r="AD35" i="19" s="1"/>
  <c r="AA31" i="19"/>
  <c r="AD31" i="19" s="1"/>
  <c r="AA24" i="19"/>
  <c r="AD24" i="19" s="1"/>
  <c r="AA27" i="19"/>
  <c r="AD27" i="19" s="1"/>
  <c r="AA39" i="19"/>
  <c r="AD39" i="19" s="1"/>
  <c r="AA17" i="19"/>
  <c r="AD17" i="19" s="1"/>
  <c r="AA28" i="19"/>
  <c r="AD28" i="19" s="1"/>
  <c r="AA40" i="19"/>
  <c r="AD40" i="19" s="1"/>
  <c r="AA12" i="19"/>
  <c r="AD12" i="19" s="1"/>
  <c r="AA13" i="19"/>
  <c r="AD13" i="19" s="1"/>
  <c r="AA19" i="19"/>
  <c r="AD19" i="19" s="1"/>
  <c r="AA22" i="19"/>
  <c r="AD22" i="19" s="1"/>
  <c r="AA18" i="19"/>
  <c r="AD18" i="19" s="1"/>
  <c r="AA25" i="19"/>
  <c r="AD25" i="19" s="1"/>
  <c r="X45" i="19"/>
  <c r="AA23" i="19"/>
  <c r="AD23" i="19" s="1"/>
  <c r="AC45" i="19"/>
  <c r="AA21" i="19"/>
  <c r="AD21" i="19" s="1"/>
  <c r="AA30" i="19"/>
  <c r="AD30" i="19" s="1"/>
  <c r="AA7" i="19"/>
  <c r="AD7" i="19" s="1"/>
  <c r="AA38" i="19"/>
  <c r="AD38" i="19" s="1"/>
  <c r="Y15" i="19"/>
  <c r="AA15" i="19" s="1"/>
  <c r="AD15" i="19" s="1"/>
  <c r="AA29" i="19"/>
  <c r="AD29" i="19" s="1"/>
  <c r="Y16" i="19"/>
  <c r="AA16" i="19" s="1"/>
  <c r="AD16" i="19" s="1"/>
  <c r="AA11" i="19"/>
  <c r="AD11" i="19" s="1"/>
  <c r="F45" i="19"/>
  <c r="A12" i="19" l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D3" i="19"/>
  <c r="AD45" i="19" s="1"/>
  <c r="Y45" i="19"/>
  <c r="AA45" i="19"/>
  <c r="A26" i="19" l="1"/>
  <c r="A27" i="19" s="1"/>
  <c r="A28" i="19" s="1"/>
  <c r="A29" i="19" s="1"/>
  <c r="A30" i="19" s="1"/>
  <c r="AA48" i="19"/>
  <c r="AR45" i="19"/>
  <c r="AA52" i="19" l="1"/>
  <c r="A32" i="19"/>
  <c r="A35" i="19" s="1"/>
  <c r="A37" i="19" s="1"/>
  <c r="A38" i="19" s="1"/>
  <c r="A39" i="19" s="1"/>
  <c r="A40" i="19" s="1"/>
  <c r="A41" i="19" s="1"/>
  <c r="A42" i="19" s="1"/>
  <c r="A43" i="19" s="1"/>
  <c r="A31" i="19"/>
  <c r="A34" i="19" s="1"/>
  <c r="A36" i="19" s="1"/>
  <c r="AH4" i="20" l="1"/>
  <c r="AJ4" i="20" s="1"/>
  <c r="AJ46" i="20" l="1"/>
  <c r="AM4" i="20"/>
  <c r="AM46" i="20" s="1"/>
  <c r="AH46" i="20"/>
  <c r="BE46" i="20" l="1"/>
  <c r="AJ49" i="20"/>
  <c r="AJ53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tc={C700DC4E-D65C-49F0-8039-61BE411CABB8}</author>
  </authors>
  <commentList>
    <comment ref="M50" authorId="0" shapeId="0" xr:uid="{C700DC4E-D65C-49F0-8039-61BE411CABB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tc={C87EF883-30C4-405A-828F-FD6A4F9A477E}</author>
  </authors>
  <commentList>
    <comment ref="AH50" authorId="0" shapeId="0" xr:uid="{C87EF883-30C4-405A-828F-FD6A4F9A477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tc={C2EFD358-6160-43E1-8FDF-2161BD213BE5}</author>
  </authors>
  <commentList>
    <comment ref="AI46" authorId="0" shapeId="0" xr:uid="{C2EFD358-6160-43E1-8FDF-2161BD213BE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tc={53B486A3-A026-4DB1-B13F-7D075C5D5D9E}</author>
  </authors>
  <commentList>
    <comment ref="Z45" authorId="0" shapeId="0" xr:uid="{53B486A3-A026-4DB1-B13F-7D075C5D5D9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Salida por muestreo de calidad
</t>
      </text>
    </comment>
  </commentList>
</comments>
</file>

<file path=xl/sharedStrings.xml><?xml version="1.0" encoding="utf-8"?>
<sst xmlns="http://schemas.openxmlformats.org/spreadsheetml/2006/main" count="403" uniqueCount="126">
  <si>
    <t>MATERIAL</t>
  </si>
  <si>
    <t>ID</t>
  </si>
  <si>
    <t>MOVIMIENTO INVENTARIO</t>
  </si>
  <si>
    <t>INGRESOS</t>
  </si>
  <si>
    <t>STOCK KG</t>
  </si>
  <si>
    <t xml:space="preserve">CODIGO </t>
  </si>
  <si>
    <t>SAP</t>
  </si>
  <si>
    <t>POTA NUCAS FR ABIERTAS 0.1 - 0.3 BL10 S2</t>
  </si>
  <si>
    <t>10004433</t>
  </si>
  <si>
    <t>POTA FILETE C/M C/T FR 0.5-1 BL10 S20</t>
  </si>
  <si>
    <t>10004434</t>
  </si>
  <si>
    <t>POTA FILETE C/M C/T FR 1-2 BL10 S20</t>
  </si>
  <si>
    <t>10007567</t>
  </si>
  <si>
    <t>POTA REJOS OR FR LIMPIOS S/COD BL10 S20</t>
  </si>
  <si>
    <t>10009187</t>
  </si>
  <si>
    <t>POTA REJOS FR C/B S/U S/V S/OR 0.3 - 0.5</t>
  </si>
  <si>
    <t>10007161</t>
  </si>
  <si>
    <t>POTA REJOS FR C/B S/U S/V S/OR 0.5-1 BL1</t>
  </si>
  <si>
    <t>10009186</t>
  </si>
  <si>
    <t>POTA REJOS FR S-S/POR C/UV 0.1 - 0.3 BL1</t>
  </si>
  <si>
    <t>STOCK INICIO</t>
  </si>
  <si>
    <t>Stock Inicial</t>
  </si>
  <si>
    <t>DATA</t>
  </si>
  <si>
    <t>MANUAL</t>
  </si>
  <si>
    <t>DIFERENCIA</t>
  </si>
  <si>
    <t>10009224</t>
  </si>
  <si>
    <t>BONITO ENT FR S/COD BL10 S20</t>
  </si>
  <si>
    <t>10006668</t>
  </si>
  <si>
    <t>POTA ALAS FR C/P C/C &lt; 0.5 BL10 S20</t>
  </si>
  <si>
    <t>10009178</t>
  </si>
  <si>
    <t>POTA ALAS FR C/P C/C (B) S/COD BL10 S20</t>
  </si>
  <si>
    <t>10006719</t>
  </si>
  <si>
    <t>POTA ALAS FR C/P C/C 0.5-1 BL10 S20</t>
  </si>
  <si>
    <t>POTA ALAS FR C/P C/C 0.3 - 0.5 BL10 S20</t>
  </si>
  <si>
    <t>10006720</t>
  </si>
  <si>
    <t>POTA ALAS FR C/P C/C 1-2 BL10 S20</t>
  </si>
  <si>
    <t>10006722</t>
  </si>
  <si>
    <t>POTA ALAS FR C/P C/C 2-UP BL10 S20</t>
  </si>
  <si>
    <t>10009241</t>
  </si>
  <si>
    <t>POTA ALAS PRE COC S/COD BL10 S20</t>
  </si>
  <si>
    <t>10009207</t>
  </si>
  <si>
    <t>POTA LABIOS FR S/COD BL10 S20</t>
  </si>
  <si>
    <t>10009184</t>
  </si>
  <si>
    <t>10005779</t>
  </si>
  <si>
    <t>POTA NUCAS FR ABIERTAS 0.5-1 BL10 S20</t>
  </si>
  <si>
    <t>10005776</t>
  </si>
  <si>
    <t>POTA NUCAS FR ABIERTAS 0.3-0.5 BL10 S20</t>
  </si>
  <si>
    <t>10005781</t>
  </si>
  <si>
    <t>POTA NUCAS FR ABIERTAS 1-2 BL10 S20</t>
  </si>
  <si>
    <t>10007162</t>
  </si>
  <si>
    <t>POTA REJOS FR C/B S/U S/V S/OR 1-2 BL10</t>
  </si>
  <si>
    <t>10009251</t>
  </si>
  <si>
    <t>POTA FILETE PRE COCIDO S/M S/T 0.6 - 1.0</t>
  </si>
  <si>
    <t>10009239</t>
  </si>
  <si>
    <t>POTA FILETE PRE COCIDO S/M S/T C/P S/COD</t>
  </si>
  <si>
    <t>10004435</t>
  </si>
  <si>
    <t>POTA FILETE C/M C/T FR 2-4 BL10 S20</t>
  </si>
  <si>
    <t>10005721</t>
  </si>
  <si>
    <t>POTA FILETE C/M C/T FR 2-4 (B) BL10 S20</t>
  </si>
  <si>
    <t>POTA CONOS</t>
  </si>
  <si>
    <t>POTA NUCAS FR CERRADA 0.1 - 0.3 BL10 S2</t>
  </si>
  <si>
    <t>SALIDAS</t>
  </si>
  <si>
    <t>POTA RECORTE  COCIDO (M) x 15</t>
  </si>
  <si>
    <t>VENTOSAS</t>
  </si>
  <si>
    <t>POTA RECORTE  COCIDO (T) X 15</t>
  </si>
  <si>
    <t>LANGOSTINO COLA PVD</t>
  </si>
  <si>
    <t>CONCHA ABANICO T/SOLO</t>
  </si>
  <si>
    <t>NUEVO STOCK  PARA ACTUALIZAR</t>
  </si>
  <si>
    <t>POTA REJOS FR 1 UP</t>
  </si>
  <si>
    <t>POTA REJOS FR 2 UP</t>
  </si>
  <si>
    <t>Embarques</t>
  </si>
  <si>
    <t>Resumen</t>
  </si>
  <si>
    <t>Embarcado:</t>
  </si>
  <si>
    <t>Reproceso:</t>
  </si>
  <si>
    <t>Muestreo</t>
  </si>
  <si>
    <t>REPROCESO</t>
  </si>
  <si>
    <t>MUESTREO</t>
  </si>
  <si>
    <t>EMBARQUE</t>
  </si>
  <si>
    <t xml:space="preserve">EMBARQUE </t>
  </si>
  <si>
    <t>DIFERENCUA</t>
  </si>
  <si>
    <t>CABALLA ENTERA FR S/COD</t>
  </si>
  <si>
    <t>FILETE  FR  REPROCESO x 10</t>
  </si>
  <si>
    <t>RECORTE FRESCO REPROCESO  x  BL10</t>
  </si>
  <si>
    <t>MEMBRANA FRESCA REPROCESO BL 10</t>
  </si>
  <si>
    <t>TELILLA FRESCA REPROCESO BL 10</t>
  </si>
  <si>
    <t xml:space="preserve"> STOCK   ENERO 2026</t>
  </si>
  <si>
    <t>FECHAS DIAS RECEPCION PRODUCCION ENERO 2026</t>
  </si>
  <si>
    <t>PPTA RECORTES PRECOCIDA B10 S20</t>
  </si>
  <si>
    <t>POTA ALAS PRE COC  3-UP BL10 S20</t>
  </si>
  <si>
    <t>POTA ALAS PRE COC B BL10 S20</t>
  </si>
  <si>
    <t>POTA ALAS PRE COC  3-UP BL9 S18</t>
  </si>
  <si>
    <t>POTA ALAS PRE COC B BL9 S18</t>
  </si>
  <si>
    <t>STOCK AL ENE 2026</t>
  </si>
  <si>
    <t>STOCK A MARZO 2026</t>
  </si>
  <si>
    <t>STOCK AL DIA FEBRERO 2026</t>
  </si>
  <si>
    <t>POTA FILETE C/M C/T FR 2-4 AA BL10 S20</t>
  </si>
  <si>
    <t xml:space="preserve"> STOCK   MARZO 2026</t>
  </si>
  <si>
    <t xml:space="preserve"> STOCK   FEBRERO 2026</t>
  </si>
  <si>
    <t>TUBO ALETA 1.0-1.5</t>
  </si>
  <si>
    <t>TUBO ALETA 0.5-1.0</t>
  </si>
  <si>
    <t>ENERO</t>
  </si>
  <si>
    <t>FEBRERO</t>
  </si>
  <si>
    <t>MARZO</t>
  </si>
  <si>
    <t>PRODUCCION 2026</t>
  </si>
  <si>
    <t>Tn</t>
  </si>
  <si>
    <t>RECORTE TELILLA FRESCA REPROCESO BL 10</t>
  </si>
  <si>
    <t>RECORTE MEMBRANA FRESCA REPROCESO BL 10</t>
  </si>
  <si>
    <t>FILETE  FR S/M S/T C/M 1-2 REPROCESO x 10</t>
  </si>
  <si>
    <t>POTA RECORTE FRESCO POR REPROCESO</t>
  </si>
  <si>
    <t>ABRIL</t>
  </si>
  <si>
    <t>CÓDIGO</t>
  </si>
  <si>
    <t>MATCH</t>
  </si>
  <si>
    <t>CPU</t>
  </si>
  <si>
    <t>TM en Stock</t>
  </si>
  <si>
    <t>Costo Ventas</t>
  </si>
  <si>
    <t>Gasto Ventas</t>
  </si>
  <si>
    <t>Gasto ADM</t>
  </si>
  <si>
    <t>Gasto Fin</t>
  </si>
  <si>
    <t>Depreciación</t>
  </si>
  <si>
    <t>Utilidad Neta</t>
  </si>
  <si>
    <t>Margen Neto</t>
  </si>
  <si>
    <t>Venta Equilibrio</t>
  </si>
  <si>
    <t>Precio Equilibrio x TM</t>
  </si>
  <si>
    <t>Precio Abril x TM</t>
  </si>
  <si>
    <t>Venta Abril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</si>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</sst>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_-* #,##0_-;\-* #,##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color rgb="FFFF0000"/>
      <name val="Cambria"/>
      <family val="1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sz val="11"/>
      <color theme="0"/>
      <name val="Cambria"/>
      <family val="1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Cambria"/>
      <family val="1"/>
    </font>
    <font>
      <b/>
      <sz val="11"/>
      <name val="Cambria"/>
      <family val="1"/>
    </font>
    <font>
      <sz val="11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3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14" fontId="1" fillId="2" borderId="1" xfId="0" applyNumberFormat="1" applyFont="1" applyFill="1" applyBorder="1"/>
    <xf numFmtId="3" fontId="1" fillId="0" borderId="0" xfId="0" applyNumberFormat="1" applyFont="1"/>
    <xf numFmtId="3" fontId="1" fillId="2" borderId="1" xfId="0" applyNumberFormat="1" applyFont="1" applyFill="1" applyBorder="1"/>
    <xf numFmtId="0" fontId="1" fillId="3" borderId="1" xfId="0" applyFont="1" applyFill="1" applyBorder="1"/>
    <xf numFmtId="0" fontId="1" fillId="5" borderId="0" xfId="0" applyFont="1" applyFill="1"/>
    <xf numFmtId="3" fontId="1" fillId="4" borderId="1" xfId="0" applyNumberFormat="1" applyFont="1" applyFill="1" applyBorder="1"/>
    <xf numFmtId="3" fontId="1" fillId="6" borderId="1" xfId="0" applyNumberFormat="1" applyFont="1" applyFill="1" applyBorder="1"/>
    <xf numFmtId="0" fontId="1" fillId="6" borderId="1" xfId="0" applyFont="1" applyFill="1" applyBorder="1"/>
    <xf numFmtId="0" fontId="0" fillId="6" borderId="1" xfId="0" applyFill="1" applyBorder="1" applyAlignment="1">
      <alignment vertical="top"/>
    </xf>
    <xf numFmtId="14" fontId="1" fillId="2" borderId="1" xfId="0" applyNumberFormat="1" applyFont="1" applyFill="1" applyBorder="1" applyAlignment="1">
      <alignment horizontal="center" vertical="center"/>
    </xf>
    <xf numFmtId="3" fontId="2" fillId="6" borderId="1" xfId="0" applyNumberFormat="1" applyFont="1" applyFill="1" applyBorder="1"/>
    <xf numFmtId="0" fontId="3" fillId="0" borderId="0" xfId="0" applyFont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3" fontId="1" fillId="7" borderId="1" xfId="0" applyNumberFormat="1" applyFont="1" applyFill="1" applyBorder="1"/>
    <xf numFmtId="3" fontId="2" fillId="7" borderId="1" xfId="0" applyNumberFormat="1" applyFont="1" applyFill="1" applyBorder="1"/>
    <xf numFmtId="0" fontId="0" fillId="3" borderId="1" xfId="0" applyFill="1" applyBorder="1" applyAlignment="1">
      <alignment vertical="top"/>
    </xf>
    <xf numFmtId="3" fontId="1" fillId="3" borderId="1" xfId="0" applyNumberFormat="1" applyFont="1" applyFill="1" applyBorder="1"/>
    <xf numFmtId="3" fontId="2" fillId="3" borderId="1" xfId="0" applyNumberFormat="1" applyFont="1" applyFill="1" applyBorder="1"/>
    <xf numFmtId="0" fontId="1" fillId="8" borderId="1" xfId="0" applyFont="1" applyFill="1" applyBorder="1"/>
    <xf numFmtId="3" fontId="1" fillId="8" borderId="1" xfId="0" applyNumberFormat="1" applyFont="1" applyFill="1" applyBorder="1"/>
    <xf numFmtId="3" fontId="2" fillId="8" borderId="1" xfId="0" applyNumberFormat="1" applyFont="1" applyFill="1" applyBorder="1"/>
    <xf numFmtId="3" fontId="1" fillId="5" borderId="1" xfId="0" applyNumberFormat="1" applyFont="1" applyFill="1" applyBorder="1"/>
    <xf numFmtId="3" fontId="1" fillId="5" borderId="0" xfId="0" applyNumberFormat="1" applyFont="1" applyFill="1"/>
    <xf numFmtId="0" fontId="1" fillId="9" borderId="1" xfId="0" applyFont="1" applyFill="1" applyBorder="1"/>
    <xf numFmtId="3" fontId="1" fillId="9" borderId="1" xfId="0" applyNumberFormat="1" applyFont="1" applyFill="1" applyBorder="1"/>
    <xf numFmtId="3" fontId="2" fillId="9" borderId="1" xfId="0" applyNumberFormat="1" applyFont="1" applyFill="1" applyBorder="1"/>
    <xf numFmtId="0" fontId="0" fillId="9" borderId="1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3" fontId="1" fillId="8" borderId="3" xfId="0" applyNumberFormat="1" applyFont="1" applyFill="1" applyBorder="1"/>
    <xf numFmtId="0" fontId="1" fillId="5" borderId="0" xfId="0" applyFont="1" applyFill="1" applyAlignment="1">
      <alignment horizontal="center" vertical="center"/>
    </xf>
    <xf numFmtId="3" fontId="4" fillId="2" borderId="1" xfId="0" applyNumberFormat="1" applyFont="1" applyFill="1" applyBorder="1"/>
    <xf numFmtId="3" fontId="1" fillId="9" borderId="2" xfId="0" applyNumberFormat="1" applyFont="1" applyFill="1" applyBorder="1"/>
    <xf numFmtId="0" fontId="1" fillId="5" borderId="1" xfId="0" applyFont="1" applyFill="1" applyBorder="1"/>
    <xf numFmtId="3" fontId="2" fillId="5" borderId="1" xfId="0" applyNumberFormat="1" applyFont="1" applyFill="1" applyBorder="1"/>
    <xf numFmtId="0" fontId="0" fillId="7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3" fontId="3" fillId="10" borderId="1" xfId="0" applyNumberFormat="1" applyFont="1" applyFill="1" applyBorder="1"/>
    <xf numFmtId="3" fontId="1" fillId="10" borderId="1" xfId="0" applyNumberFormat="1" applyFont="1" applyFill="1" applyBorder="1"/>
    <xf numFmtId="0" fontId="1" fillId="10" borderId="1" xfId="0" applyFont="1" applyFill="1" applyBorder="1"/>
    <xf numFmtId="0" fontId="0" fillId="10" borderId="1" xfId="0" applyFill="1" applyBorder="1" applyAlignment="1">
      <alignment vertical="top"/>
    </xf>
    <xf numFmtId="0" fontId="0" fillId="7" borderId="1" xfId="0" applyFill="1" applyBorder="1" applyAlignment="1">
      <alignment horizontal="left" vertical="top"/>
    </xf>
    <xf numFmtId="3" fontId="2" fillId="8" borderId="3" xfId="0" applyNumberFormat="1" applyFont="1" applyFill="1" applyBorder="1"/>
    <xf numFmtId="0" fontId="0" fillId="8" borderId="1" xfId="0" applyFill="1" applyBorder="1" applyAlignment="1">
      <alignment horizontal="center" vertical="top"/>
    </xf>
    <xf numFmtId="0" fontId="1" fillId="11" borderId="1" xfId="0" applyFont="1" applyFill="1" applyBorder="1"/>
    <xf numFmtId="0" fontId="0" fillId="11" borderId="1" xfId="0" applyFill="1" applyBorder="1" applyAlignment="1">
      <alignment vertical="top"/>
    </xf>
    <xf numFmtId="3" fontId="1" fillId="11" borderId="1" xfId="0" applyNumberFormat="1" applyFont="1" applyFill="1" applyBorder="1"/>
    <xf numFmtId="3" fontId="1" fillId="11" borderId="3" xfId="0" applyNumberFormat="1" applyFont="1" applyFill="1" applyBorder="1"/>
    <xf numFmtId="3" fontId="1" fillId="11" borderId="0" xfId="0" applyNumberFormat="1" applyFont="1" applyFill="1"/>
    <xf numFmtId="3" fontId="0" fillId="7" borderId="1" xfId="0" applyNumberFormat="1" applyFill="1" applyBorder="1" applyAlignment="1">
      <alignment vertical="top"/>
    </xf>
    <xf numFmtId="3" fontId="0" fillId="5" borderId="1" xfId="0" applyNumberFormat="1" applyFill="1" applyBorder="1" applyAlignment="1">
      <alignment vertical="top"/>
    </xf>
    <xf numFmtId="3" fontId="0" fillId="3" borderId="1" xfId="0" applyNumberFormat="1" applyFill="1" applyBorder="1" applyAlignment="1">
      <alignment vertical="top"/>
    </xf>
    <xf numFmtId="3" fontId="0" fillId="8" borderId="1" xfId="0" applyNumberFormat="1" applyFill="1" applyBorder="1" applyAlignment="1">
      <alignment vertical="top"/>
    </xf>
    <xf numFmtId="3" fontId="0" fillId="6" borderId="1" xfId="0" applyNumberFormat="1" applyFill="1" applyBorder="1" applyAlignment="1">
      <alignment vertical="top"/>
    </xf>
    <xf numFmtId="3" fontId="0" fillId="9" borderId="1" xfId="0" applyNumberFormat="1" applyFill="1" applyBorder="1" applyAlignment="1">
      <alignment vertical="top"/>
    </xf>
    <xf numFmtId="3" fontId="0" fillId="10" borderId="1" xfId="0" applyNumberFormat="1" applyFill="1" applyBorder="1" applyAlignment="1">
      <alignment vertical="top"/>
    </xf>
    <xf numFmtId="3" fontId="1" fillId="0" borderId="1" xfId="0" applyNumberFormat="1" applyFont="1" applyBorder="1"/>
    <xf numFmtId="14" fontId="1" fillId="0" borderId="0" xfId="0" applyNumberFormat="1" applyFont="1"/>
    <xf numFmtId="164" fontId="1" fillId="11" borderId="0" xfId="0" applyNumberFormat="1" applyFont="1" applyFill="1"/>
    <xf numFmtId="164" fontId="1" fillId="0" borderId="0" xfId="0" applyNumberFormat="1" applyFont="1"/>
    <xf numFmtId="164" fontId="1" fillId="4" borderId="0" xfId="0" applyNumberFormat="1" applyFont="1" applyFill="1"/>
    <xf numFmtId="0" fontId="1" fillId="0" borderId="1" xfId="0" applyFont="1" applyBorder="1"/>
    <xf numFmtId="0" fontId="3" fillId="0" borderId="1" xfId="0" applyFont="1" applyBorder="1"/>
    <xf numFmtId="4" fontId="1" fillId="11" borderId="3" xfId="0" applyNumberFormat="1" applyFont="1" applyFill="1" applyBorder="1"/>
    <xf numFmtId="4" fontId="1" fillId="11" borderId="1" xfId="0" applyNumberFormat="1" applyFont="1" applyFill="1" applyBorder="1"/>
    <xf numFmtId="4" fontId="2" fillId="11" borderId="3" xfId="0" applyNumberFormat="1" applyFont="1" applyFill="1" applyBorder="1"/>
    <xf numFmtId="4" fontId="1" fillId="5" borderId="0" xfId="0" applyNumberFormat="1" applyFont="1" applyFill="1"/>
    <xf numFmtId="164" fontId="1" fillId="11" borderId="1" xfId="0" applyNumberFormat="1" applyFont="1" applyFill="1" applyBorder="1"/>
    <xf numFmtId="164" fontId="0" fillId="11" borderId="1" xfId="0" applyNumberFormat="1" applyFill="1" applyBorder="1" applyAlignment="1">
      <alignment vertical="top"/>
    </xf>
    <xf numFmtId="3" fontId="2" fillId="2" borderId="1" xfId="0" applyNumberFormat="1" applyFont="1" applyFill="1" applyBorder="1"/>
    <xf numFmtId="4" fontId="1" fillId="0" borderId="0" xfId="0" applyNumberFormat="1" applyFont="1"/>
    <xf numFmtId="3" fontId="3" fillId="0" borderId="1" xfId="0" applyNumberFormat="1" applyFont="1" applyBorder="1"/>
    <xf numFmtId="0" fontId="5" fillId="5" borderId="0" xfId="0" applyFont="1" applyFill="1"/>
    <xf numFmtId="3" fontId="5" fillId="5" borderId="0" xfId="0" applyNumberFormat="1" applyFont="1" applyFill="1"/>
    <xf numFmtId="0" fontId="1" fillId="4" borderId="1" xfId="0" applyFont="1" applyFill="1" applyBorder="1"/>
    <xf numFmtId="0" fontId="1" fillId="4" borderId="3" xfId="0" applyFont="1" applyFill="1" applyBorder="1"/>
    <xf numFmtId="3" fontId="1" fillId="4" borderId="2" xfId="0" applyNumberFormat="1" applyFont="1" applyFill="1" applyBorder="1"/>
    <xf numFmtId="4" fontId="1" fillId="4" borderId="3" xfId="0" applyNumberFormat="1" applyFont="1" applyFill="1" applyBorder="1"/>
    <xf numFmtId="0" fontId="3" fillId="4" borderId="1" xfId="0" applyFont="1" applyFill="1" applyBorder="1"/>
    <xf numFmtId="0" fontId="2" fillId="5" borderId="0" xfId="0" applyFont="1" applyFill="1"/>
    <xf numFmtId="3" fontId="2" fillId="5" borderId="0" xfId="0" applyNumberFormat="1" applyFont="1" applyFill="1"/>
    <xf numFmtId="164" fontId="2" fillId="5" borderId="0" xfId="0" applyNumberFormat="1" applyFont="1" applyFill="1"/>
    <xf numFmtId="0" fontId="3" fillId="5" borderId="1" xfId="0" applyFont="1" applyFill="1" applyBorder="1"/>
    <xf numFmtId="3" fontId="3" fillId="5" borderId="1" xfId="0" applyNumberFormat="1" applyFont="1" applyFill="1" applyBorder="1"/>
    <xf numFmtId="0" fontId="0" fillId="0" borderId="1" xfId="0" applyBorder="1"/>
    <xf numFmtId="3" fontId="0" fillId="0" borderId="1" xfId="0" applyNumberFormat="1" applyBorder="1"/>
    <xf numFmtId="3" fontId="1" fillId="10" borderId="2" xfId="0" applyNumberFormat="1" applyFont="1" applyFill="1" applyBorder="1"/>
    <xf numFmtId="3" fontId="1" fillId="10" borderId="0" xfId="0" applyNumberFormat="1" applyFont="1" applyFill="1"/>
    <xf numFmtId="3" fontId="2" fillId="10" borderId="1" xfId="0" applyNumberFormat="1" applyFont="1" applyFill="1" applyBorder="1"/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vertical="top"/>
    </xf>
    <xf numFmtId="3" fontId="2" fillId="4" borderId="1" xfId="0" applyNumberFormat="1" applyFont="1" applyFill="1" applyBorder="1"/>
    <xf numFmtId="164" fontId="1" fillId="5" borderId="0" xfId="0" applyNumberFormat="1" applyFont="1" applyFill="1"/>
    <xf numFmtId="3" fontId="0" fillId="0" borderId="0" xfId="0" applyNumberFormat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13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9" fontId="3" fillId="0" borderId="5" xfId="0" applyNumberFormat="1" applyFont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14" borderId="6" xfId="0" applyFont="1" applyFill="1" applyBorder="1" applyAlignment="1">
      <alignment horizontal="center"/>
    </xf>
    <xf numFmtId="0" fontId="9" fillId="14" borderId="5" xfId="0" applyFont="1" applyFill="1" applyBorder="1" applyAlignment="1">
      <alignment horizontal="center"/>
    </xf>
    <xf numFmtId="9" fontId="9" fillId="14" borderId="7" xfId="0" applyNumberFormat="1" applyFont="1" applyFill="1" applyBorder="1" applyAlignment="1">
      <alignment horizontal="center"/>
    </xf>
    <xf numFmtId="3" fontId="1" fillId="13" borderId="8" xfId="0" applyNumberFormat="1" applyFont="1" applyFill="1" applyBorder="1" applyAlignment="1">
      <alignment horizontal="center"/>
    </xf>
    <xf numFmtId="165" fontId="1" fillId="0" borderId="0" xfId="1" applyNumberFormat="1" applyFont="1" applyBorder="1"/>
    <xf numFmtId="165" fontId="1" fillId="0" borderId="0" xfId="0" applyNumberFormat="1" applyFont="1"/>
    <xf numFmtId="9" fontId="1" fillId="0" borderId="0" xfId="0" applyNumberFormat="1" applyFont="1"/>
    <xf numFmtId="165" fontId="1" fillId="4" borderId="9" xfId="0" applyNumberFormat="1" applyFont="1" applyFill="1" applyBorder="1"/>
    <xf numFmtId="165" fontId="1" fillId="4" borderId="9" xfId="1" applyNumberFormat="1" applyFont="1" applyFill="1" applyBorder="1"/>
    <xf numFmtId="165" fontId="1" fillId="0" borderId="0" xfId="1" applyNumberFormat="1" applyFont="1" applyFill="1" applyBorder="1"/>
    <xf numFmtId="165" fontId="10" fillId="14" borderId="9" xfId="1" applyNumberFormat="1" applyFont="1" applyFill="1" applyBorder="1"/>
    <xf numFmtId="165" fontId="10" fillId="14" borderId="0" xfId="0" applyNumberFormat="1" applyFont="1" applyFill="1"/>
    <xf numFmtId="165" fontId="10" fillId="14" borderId="9" xfId="0" applyNumberFormat="1" applyFont="1" applyFill="1" applyBorder="1"/>
    <xf numFmtId="9" fontId="10" fillId="14" borderId="10" xfId="2" applyFont="1" applyFill="1" applyBorder="1" applyAlignment="1">
      <alignment horizontal="center"/>
    </xf>
    <xf numFmtId="165" fontId="1" fillId="5" borderId="0" xfId="1" applyNumberFormat="1" applyFont="1" applyFill="1" applyBorder="1"/>
    <xf numFmtId="165" fontId="3" fillId="0" borderId="0" xfId="1" applyNumberFormat="1" applyFont="1" applyBorder="1"/>
    <xf numFmtId="0" fontId="1" fillId="13" borderId="8" xfId="0" applyFont="1" applyFill="1" applyBorder="1" applyAlignment="1">
      <alignment horizontal="center"/>
    </xf>
    <xf numFmtId="3" fontId="3" fillId="13" borderId="4" xfId="0" applyNumberFormat="1" applyFont="1" applyFill="1" applyBorder="1" applyAlignment="1">
      <alignment horizontal="center"/>
    </xf>
    <xf numFmtId="165" fontId="3" fillId="0" borderId="5" xfId="1" applyNumberFormat="1" applyFont="1" applyBorder="1"/>
    <xf numFmtId="9" fontId="3" fillId="0" borderId="5" xfId="2" applyFont="1" applyBorder="1"/>
    <xf numFmtId="165" fontId="3" fillId="4" borderId="6" xfId="1" applyNumberFormat="1" applyFont="1" applyFill="1" applyBorder="1"/>
    <xf numFmtId="165" fontId="1" fillId="0" borderId="5" xfId="1" applyNumberFormat="1" applyFont="1" applyFill="1" applyBorder="1"/>
    <xf numFmtId="165" fontId="3" fillId="14" borderId="6" xfId="1" applyNumberFormat="1" applyFont="1" applyFill="1" applyBorder="1"/>
    <xf numFmtId="165" fontId="3" fillId="14" borderId="5" xfId="1" applyNumberFormat="1" applyFont="1" applyFill="1" applyBorder="1"/>
    <xf numFmtId="9" fontId="9" fillId="14" borderId="7" xfId="2" applyFont="1" applyFill="1" applyBorder="1" applyAlignment="1">
      <alignment horizontal="center"/>
    </xf>
    <xf numFmtId="3" fontId="2" fillId="13" borderId="8" xfId="0" applyNumberFormat="1" applyFont="1" applyFill="1" applyBorder="1" applyAlignment="1">
      <alignment horizontal="center"/>
    </xf>
    <xf numFmtId="0" fontId="2" fillId="0" borderId="0" xfId="0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0066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6</xdr:row>
      <xdr:rowOff>0</xdr:rowOff>
    </xdr:from>
    <xdr:to>
      <xdr:col>43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4FC08E13-A5EF-4F9D-A16D-D0494BAB9DB8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6</xdr:row>
      <xdr:rowOff>0</xdr:rowOff>
    </xdr:from>
    <xdr:to>
      <xdr:col>43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DD7D49C2-74B1-42CD-A480-3BC4B3B266D5}"/>
            </a:ext>
          </a:extLst>
        </xdr:cNvPr>
        <xdr:cNvSpPr>
          <a:spLocks noChangeAspect="1" noChangeArrowheads="1"/>
        </xdr:cNvSpPr>
      </xdr:nvSpPr>
      <xdr:spPr bwMode="auto">
        <a:xfrm>
          <a:off x="3108198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6</xdr:row>
      <xdr:rowOff>0</xdr:rowOff>
    </xdr:from>
    <xdr:to>
      <xdr:col>38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FAD73FFF-34BE-4456-BD43-4D4213FF6FED}"/>
            </a:ext>
          </a:extLst>
        </xdr:cNvPr>
        <xdr:cNvSpPr>
          <a:spLocks noChangeAspect="1" noChangeArrowheads="1"/>
        </xdr:cNvSpPr>
      </xdr:nvSpPr>
      <xdr:spPr bwMode="auto">
        <a:xfrm>
          <a:off x="3190494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2E6091D7-19C1-4B62-A896-F4C3E688C746}"/>
            </a:ext>
          </a:extLst>
        </xdr:cNvPr>
        <xdr:cNvSpPr>
          <a:spLocks noChangeAspect="1" noChangeArrowheads="1"/>
        </xdr:cNvSpPr>
      </xdr:nvSpPr>
      <xdr:spPr bwMode="auto">
        <a:xfrm>
          <a:off x="3190494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6</xdr:row>
      <xdr:rowOff>0</xdr:rowOff>
    </xdr:from>
    <xdr:to>
      <xdr:col>39</xdr:col>
      <xdr:colOff>304800</xdr:colOff>
      <xdr:row>7</xdr:row>
      <xdr:rowOff>113971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84DB38A3-56B9-430C-B74E-1750805CFECD}"/>
            </a:ext>
          </a:extLst>
        </xdr:cNvPr>
        <xdr:cNvSpPr>
          <a:spLocks noChangeAspect="1" noChangeArrowheads="1"/>
        </xdr:cNvSpPr>
      </xdr:nvSpPr>
      <xdr:spPr bwMode="auto">
        <a:xfrm>
          <a:off x="2446020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304800</xdr:colOff>
      <xdr:row>7</xdr:row>
      <xdr:rowOff>113971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3F573466-47AB-40A0-85A6-797D94730B28}"/>
            </a:ext>
          </a:extLst>
        </xdr:cNvPr>
        <xdr:cNvSpPr>
          <a:spLocks noChangeAspect="1" noChangeArrowheads="1"/>
        </xdr:cNvSpPr>
      </xdr:nvSpPr>
      <xdr:spPr bwMode="auto">
        <a:xfrm>
          <a:off x="24460200" y="1097280"/>
          <a:ext cx="304800" cy="29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6</xdr:row>
      <xdr:rowOff>0</xdr:rowOff>
    </xdr:from>
    <xdr:to>
      <xdr:col>30</xdr:col>
      <xdr:colOff>304800</xdr:colOff>
      <xdr:row>7</xdr:row>
      <xdr:rowOff>113970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602CF260-BA9A-40A4-98FB-CB77F138146D}"/>
            </a:ext>
          </a:extLst>
        </xdr:cNvPr>
        <xdr:cNvSpPr>
          <a:spLocks noChangeAspect="1" noChangeArrowheads="1"/>
        </xdr:cNvSpPr>
      </xdr:nvSpPr>
      <xdr:spPr bwMode="auto">
        <a:xfrm>
          <a:off x="30060900" y="1264920"/>
          <a:ext cx="304800" cy="2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304800</xdr:colOff>
      <xdr:row>7</xdr:row>
      <xdr:rowOff>113970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AEF1D9ED-A9E5-4727-9302-484472651C8D}"/>
            </a:ext>
          </a:extLst>
        </xdr:cNvPr>
        <xdr:cNvSpPr>
          <a:spLocks noChangeAspect="1" noChangeArrowheads="1"/>
        </xdr:cNvSpPr>
      </xdr:nvSpPr>
      <xdr:spPr bwMode="auto">
        <a:xfrm>
          <a:off x="30060900" y="1264920"/>
          <a:ext cx="304800" cy="29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aydukcorporacion-my.sharepoint.com/personal/katherines_perufrost_com/Documents/PERUFROST/Finanzas/Flujo%20de%20Caja/Flujo%20Semanal/Rentabilidad%20por%20FP%202026.xlsx" TargetMode="External"/><Relationship Id="rId1" Type="http://schemas.openxmlformats.org/officeDocument/2006/relationships/externalLinkPath" Target="https://haydukcorporacion-my.sharepoint.com/personal/katherines_perufrost_com/Documents/PERUFROST/Finanzas/Flujo%20de%20Caja/Flujo%20Semanal/Rentabilidad%20por%20FP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"/>
      <sheetName val="Resumen"/>
      <sheetName val="Detalle Costos"/>
    </sheetNames>
    <sheetDataSet>
      <sheetData sheetId="0"/>
      <sheetData sheetId="1"/>
      <sheetData sheetId="2">
        <row r="5">
          <cell r="C5" t="str">
            <v>ENERO10009178Inventario inicial</v>
          </cell>
          <cell r="L5">
            <v>1.84</v>
          </cell>
        </row>
        <row r="6">
          <cell r="C6" t="str">
            <v>ENERO10009178Revalorización</v>
          </cell>
          <cell r="L6">
            <v>0</v>
          </cell>
        </row>
        <row r="7">
          <cell r="C7" t="str">
            <v>ENERO10009178Entradas</v>
          </cell>
          <cell r="L7">
            <v>1.72</v>
          </cell>
        </row>
        <row r="8">
          <cell r="C8" t="str">
            <v>ENERO10009178Inventario acumulado</v>
          </cell>
          <cell r="L8">
            <v>1.8</v>
          </cell>
        </row>
        <row r="9">
          <cell r="C9" t="str">
            <v>ENERO10009178Inventario final</v>
          </cell>
          <cell r="L9">
            <v>1.8</v>
          </cell>
        </row>
        <row r="10">
          <cell r="C10" t="str">
            <v>FEBRERO10009178Inventario inicial</v>
          </cell>
          <cell r="L10">
            <v>1.8</v>
          </cell>
        </row>
        <row r="11">
          <cell r="C11" t="str">
            <v>FEBRERO10009178Revalorización</v>
          </cell>
          <cell r="L11">
            <v>0</v>
          </cell>
        </row>
        <row r="12">
          <cell r="C12" t="str">
            <v>FEBRERO10009178Entradas</v>
          </cell>
          <cell r="L12">
            <v>1.57</v>
          </cell>
        </row>
        <row r="13">
          <cell r="C13" t="str">
            <v>FEBRERO10009178Inventario acumulado</v>
          </cell>
          <cell r="L13">
            <v>1.73</v>
          </cell>
        </row>
        <row r="14">
          <cell r="C14" t="str">
            <v>FEBRERO10009178Inventario final</v>
          </cell>
          <cell r="L14">
            <v>1.73</v>
          </cell>
        </row>
        <row r="15">
          <cell r="C15" t="str">
            <v>ENERO10006720Inventario inicial</v>
          </cell>
          <cell r="L15">
            <v>1.76</v>
          </cell>
        </row>
        <row r="16">
          <cell r="C16" t="str">
            <v>ENERO10006720Revalorización</v>
          </cell>
          <cell r="L16">
            <v>0</v>
          </cell>
        </row>
        <row r="17">
          <cell r="C17" t="str">
            <v>ENERO10006720Entradas</v>
          </cell>
          <cell r="L17">
            <v>1.71</v>
          </cell>
        </row>
        <row r="18">
          <cell r="C18" t="str">
            <v>ENERO10006720Inv. acumulado</v>
          </cell>
          <cell r="L18">
            <v>1.72</v>
          </cell>
        </row>
        <row r="19">
          <cell r="C19" t="str">
            <v>ENERO10006720Compensación</v>
          </cell>
          <cell r="L19">
            <v>1.72</v>
          </cell>
        </row>
        <row r="20">
          <cell r="C20" t="str">
            <v>ENERO10006720Inventario final</v>
          </cell>
          <cell r="L20">
            <v>1.72</v>
          </cell>
        </row>
        <row r="21">
          <cell r="C21" t="str">
            <v>FEBRERO10006720Inventario inicial</v>
          </cell>
          <cell r="L21">
            <v>1.72</v>
          </cell>
        </row>
        <row r="22">
          <cell r="C22" t="str">
            <v>FEBRERO10006720Revalorización</v>
          </cell>
          <cell r="L22">
            <v>0</v>
          </cell>
        </row>
        <row r="23">
          <cell r="C23" t="str">
            <v>FEBRERO10006720Entradas</v>
          </cell>
          <cell r="L23">
            <v>1.6</v>
          </cell>
        </row>
        <row r="24">
          <cell r="C24" t="str">
            <v>FEBRERO10006720Inventario acumulado</v>
          </cell>
          <cell r="L24">
            <v>1.64</v>
          </cell>
        </row>
        <row r="25">
          <cell r="C25" t="str">
            <v>FEBRERO10006720Compensación</v>
          </cell>
          <cell r="L25">
            <v>1.64</v>
          </cell>
        </row>
        <row r="26">
          <cell r="C26" t="str">
            <v>FEBRERO10006720Inventario final</v>
          </cell>
          <cell r="L26">
            <v>1.64</v>
          </cell>
        </row>
        <row r="27">
          <cell r="C27" t="str">
            <v>ENERO10006722Inventario inicial</v>
          </cell>
          <cell r="L27">
            <v>1.87</v>
          </cell>
        </row>
        <row r="28">
          <cell r="C28" t="str">
            <v>ENERO10006722Revalorización</v>
          </cell>
          <cell r="L28">
            <v>0</v>
          </cell>
        </row>
        <row r="29">
          <cell r="C29" t="str">
            <v>ENERO10006722Inv. acumulado</v>
          </cell>
          <cell r="L29">
            <v>1.87</v>
          </cell>
        </row>
        <row r="30">
          <cell r="C30" t="str">
            <v>ENERO10006722Inventario final</v>
          </cell>
          <cell r="L30">
            <v>1.87</v>
          </cell>
        </row>
        <row r="31">
          <cell r="C31" t="str">
            <v>FEBRERO10006722Inventario inicial</v>
          </cell>
          <cell r="L31">
            <v>1.87</v>
          </cell>
        </row>
        <row r="32">
          <cell r="C32" t="str">
            <v>FEBRERO10006722Revalorización</v>
          </cell>
          <cell r="L32">
            <v>0</v>
          </cell>
        </row>
        <row r="33">
          <cell r="C33" t="str">
            <v>FEBRERO10006722Inventario acumulado</v>
          </cell>
          <cell r="L33">
            <v>1.87</v>
          </cell>
        </row>
        <row r="34">
          <cell r="C34" t="str">
            <v>FEBRERO10006722Inventario final</v>
          </cell>
          <cell r="L34">
            <v>1.87</v>
          </cell>
        </row>
        <row r="35">
          <cell r="C35" t="str">
            <v>ENERO10007969Inventario inicial</v>
          </cell>
          <cell r="L35">
            <v>1.91</v>
          </cell>
        </row>
        <row r="36">
          <cell r="C36" t="str">
            <v>ENERO10007969Revalorización</v>
          </cell>
          <cell r="L36">
            <v>0</v>
          </cell>
        </row>
        <row r="37">
          <cell r="C37" t="str">
            <v>ENERO10007969Entradas</v>
          </cell>
          <cell r="L37">
            <v>1.37</v>
          </cell>
        </row>
        <row r="38">
          <cell r="C38" t="str">
            <v>ENERO10007969Inv. acumulado</v>
          </cell>
          <cell r="L38">
            <v>1.64</v>
          </cell>
        </row>
        <row r="39">
          <cell r="C39" t="str">
            <v>ENERO10007969Compensación</v>
          </cell>
          <cell r="L39">
            <v>1.64</v>
          </cell>
        </row>
        <row r="40">
          <cell r="C40" t="str">
            <v>ENERO10007969Inventario final</v>
          </cell>
          <cell r="L40">
            <v>1.64</v>
          </cell>
        </row>
        <row r="41">
          <cell r="C41" t="str">
            <v>FEBRERO10007969Inventario inicial</v>
          </cell>
          <cell r="L41">
            <v>1.64</v>
          </cell>
        </row>
        <row r="42">
          <cell r="C42" t="str">
            <v>FEBRERO10007969Revalorización</v>
          </cell>
          <cell r="L42">
            <v>0</v>
          </cell>
        </row>
        <row r="43">
          <cell r="C43" t="str">
            <v>FEBRERO10007969Entradas</v>
          </cell>
          <cell r="L43">
            <v>1.21</v>
          </cell>
        </row>
        <row r="44">
          <cell r="C44" t="str">
            <v>FEBRERO10007969Inventario acumulado</v>
          </cell>
          <cell r="L44">
            <v>1.4</v>
          </cell>
        </row>
        <row r="45">
          <cell r="C45" t="str">
            <v>FEBRERO10007969Compensación</v>
          </cell>
          <cell r="L45">
            <v>1.4</v>
          </cell>
        </row>
        <row r="46">
          <cell r="C46" t="str">
            <v>FEBRERO10007969Inventario final</v>
          </cell>
          <cell r="L46">
            <v>1.4</v>
          </cell>
        </row>
        <row r="47">
          <cell r="C47" t="str">
            <v>ENERO10005721Inventario inicial</v>
          </cell>
          <cell r="L47">
            <v>1.8</v>
          </cell>
        </row>
        <row r="48">
          <cell r="C48" t="str">
            <v>ENERO10005721Revalorización</v>
          </cell>
          <cell r="L48">
            <v>0</v>
          </cell>
        </row>
        <row r="49">
          <cell r="C49" t="str">
            <v>ENERO10005721Entradas</v>
          </cell>
          <cell r="L49">
            <v>1.88</v>
          </cell>
        </row>
        <row r="50">
          <cell r="C50" t="str">
            <v>ENERO10005721Inv. acumulado</v>
          </cell>
          <cell r="L50">
            <v>1.86</v>
          </cell>
        </row>
        <row r="51">
          <cell r="C51" t="str">
            <v>ENERO10005721Compensación</v>
          </cell>
          <cell r="L51">
            <v>1.86</v>
          </cell>
        </row>
        <row r="52">
          <cell r="C52" t="str">
            <v>ENERO10005721Inventario final</v>
          </cell>
          <cell r="L52">
            <v>1.86</v>
          </cell>
        </row>
        <row r="53">
          <cell r="C53" t="str">
            <v>FEBRERO10005721Inventario inicial</v>
          </cell>
          <cell r="L53">
            <v>1.86</v>
          </cell>
        </row>
        <row r="54">
          <cell r="C54" t="str">
            <v>FEBRERO10005721Revalorización</v>
          </cell>
          <cell r="L54">
            <v>0</v>
          </cell>
        </row>
        <row r="55">
          <cell r="C55" t="str">
            <v>FEBRERO10005721Entradas</v>
          </cell>
          <cell r="L55">
            <v>1.67</v>
          </cell>
        </row>
        <row r="56">
          <cell r="C56" t="str">
            <v>FEBRERO10005721Inventario acumulado</v>
          </cell>
          <cell r="L56">
            <v>1.74</v>
          </cell>
        </row>
        <row r="57">
          <cell r="C57" t="str">
            <v>FEBRERO10005721Compensación</v>
          </cell>
          <cell r="L57">
            <v>1.74</v>
          </cell>
        </row>
        <row r="58">
          <cell r="C58" t="str">
            <v>FEBRERO10005721Inventario final</v>
          </cell>
          <cell r="L58">
            <v>1.74</v>
          </cell>
        </row>
        <row r="59">
          <cell r="C59" t="str">
            <v>ENERO10005779Inventario inicial</v>
          </cell>
          <cell r="L59">
            <v>1.98</v>
          </cell>
        </row>
        <row r="60">
          <cell r="C60" t="str">
            <v>ENERO10005779Revalorización</v>
          </cell>
          <cell r="L60">
            <v>0</v>
          </cell>
        </row>
        <row r="61">
          <cell r="C61" t="str">
            <v>ENERO10005779Entradas</v>
          </cell>
          <cell r="L61">
            <v>1.88</v>
          </cell>
        </row>
        <row r="62">
          <cell r="C62" t="str">
            <v>ENERO10005779Inv. acumulado</v>
          </cell>
          <cell r="L62">
            <v>1.93</v>
          </cell>
        </row>
        <row r="63">
          <cell r="C63" t="str">
            <v>ENERO10005779Compensación</v>
          </cell>
          <cell r="L63">
            <v>1.93</v>
          </cell>
        </row>
        <row r="64">
          <cell r="C64" t="str">
            <v>ENERO10005779Inventario final</v>
          </cell>
          <cell r="L64">
            <v>1.93</v>
          </cell>
        </row>
        <row r="65">
          <cell r="C65" t="str">
            <v>FEBRERO10005779Inventario inicial</v>
          </cell>
          <cell r="L65">
            <v>1.93</v>
          </cell>
        </row>
        <row r="66">
          <cell r="C66" t="str">
            <v>FEBRERO10005779Revalorización</v>
          </cell>
          <cell r="L66">
            <v>0</v>
          </cell>
        </row>
        <row r="67">
          <cell r="C67" t="str">
            <v>FEBRERO10005779Entradas</v>
          </cell>
          <cell r="L67">
            <v>1.77</v>
          </cell>
        </row>
        <row r="68">
          <cell r="C68" t="str">
            <v>FEBRERO10005779Inventario acumulado</v>
          </cell>
          <cell r="L68">
            <v>1.86</v>
          </cell>
        </row>
        <row r="69">
          <cell r="C69" t="str">
            <v>FEBRERO10005779Compensación</v>
          </cell>
          <cell r="L69">
            <v>1.86</v>
          </cell>
        </row>
        <row r="70">
          <cell r="C70" t="str">
            <v>FEBRERO10005779Inventario final</v>
          </cell>
          <cell r="L70">
            <v>1.86</v>
          </cell>
        </row>
        <row r="71">
          <cell r="C71" t="str">
            <v>ENERO10005781Inventario inicial</v>
          </cell>
          <cell r="L71">
            <v>2.13</v>
          </cell>
        </row>
        <row r="72">
          <cell r="C72" t="str">
            <v>ENERO10005781Revalorización</v>
          </cell>
          <cell r="L72">
            <v>0</v>
          </cell>
        </row>
        <row r="73">
          <cell r="C73" t="str">
            <v>ENERO10005781Entradas</v>
          </cell>
          <cell r="L73">
            <v>1.89</v>
          </cell>
        </row>
        <row r="74">
          <cell r="C74" t="str">
            <v>ENERO10005781Inv. acumulado</v>
          </cell>
          <cell r="L74">
            <v>1.98</v>
          </cell>
        </row>
        <row r="75">
          <cell r="C75" t="str">
            <v>ENERO10005781Compensación</v>
          </cell>
          <cell r="L75">
            <v>1.98</v>
          </cell>
        </row>
        <row r="76">
          <cell r="C76" t="str">
            <v>ENERO10005781Inventario final</v>
          </cell>
          <cell r="L76">
            <v>1.98</v>
          </cell>
        </row>
        <row r="77">
          <cell r="C77" t="str">
            <v>FEBRERO10005781Inventario inicial</v>
          </cell>
          <cell r="L77">
            <v>1.98</v>
          </cell>
        </row>
        <row r="78">
          <cell r="C78" t="str">
            <v>FEBRERO10005781Revalorización</v>
          </cell>
          <cell r="L78">
            <v>0</v>
          </cell>
        </row>
        <row r="79">
          <cell r="C79" t="str">
            <v>FEBRERO10005781Entradas</v>
          </cell>
          <cell r="L79">
            <v>1.77</v>
          </cell>
        </row>
        <row r="80">
          <cell r="C80" t="str">
            <v>FEBRERO10005781Inventario acumulado</v>
          </cell>
          <cell r="L80">
            <v>1.86</v>
          </cell>
        </row>
        <row r="81">
          <cell r="C81" t="str">
            <v>FEBRERO10005781Inventario final</v>
          </cell>
          <cell r="L81">
            <v>1.86</v>
          </cell>
        </row>
        <row r="82">
          <cell r="C82" t="str">
            <v>ENERO10007567Inventario inicial</v>
          </cell>
          <cell r="L82">
            <v>1.91</v>
          </cell>
        </row>
        <row r="83">
          <cell r="C83" t="str">
            <v>ENERO10007567Revalorización</v>
          </cell>
          <cell r="L83">
            <v>0</v>
          </cell>
        </row>
        <row r="84">
          <cell r="C84" t="str">
            <v>ENERO10007567Entradas</v>
          </cell>
          <cell r="L84">
            <v>1.78</v>
          </cell>
        </row>
        <row r="85">
          <cell r="C85" t="str">
            <v>ENERO10007567Inv. acumulado</v>
          </cell>
          <cell r="L85">
            <v>1.83</v>
          </cell>
        </row>
        <row r="86">
          <cell r="C86" t="str">
            <v>ENERO10007567Compensación</v>
          </cell>
          <cell r="L86">
            <v>1.83</v>
          </cell>
        </row>
        <row r="87">
          <cell r="C87" t="str">
            <v>ENERO10007567Inventario final</v>
          </cell>
          <cell r="L87">
            <v>1.83</v>
          </cell>
        </row>
        <row r="88">
          <cell r="C88" t="str">
            <v>FEBRERO10007567Inventario inicial</v>
          </cell>
          <cell r="L88">
            <v>1.83</v>
          </cell>
        </row>
        <row r="89">
          <cell r="C89" t="str">
            <v>FEBRERO10007567Revalorización</v>
          </cell>
          <cell r="L89">
            <v>0</v>
          </cell>
        </row>
        <row r="90">
          <cell r="C90" t="str">
            <v>FEBRERO10007567Entradas</v>
          </cell>
          <cell r="L90">
            <v>1.65</v>
          </cell>
        </row>
        <row r="91">
          <cell r="C91" t="str">
            <v>FEBRERO10007567Inventario acumulado</v>
          </cell>
          <cell r="L91">
            <v>1.7</v>
          </cell>
        </row>
        <row r="92">
          <cell r="C92" t="str">
            <v>FEBRERO10007567Inventario final</v>
          </cell>
          <cell r="L92">
            <v>1.7</v>
          </cell>
        </row>
        <row r="93">
          <cell r="C93" t="str">
            <v>ENERO10007162Inventario inicial</v>
          </cell>
          <cell r="L93">
            <v>1.85</v>
          </cell>
        </row>
        <row r="94">
          <cell r="C94" t="str">
            <v>ENERO10007162Revalorización</v>
          </cell>
          <cell r="L94">
            <v>0</v>
          </cell>
        </row>
        <row r="95">
          <cell r="C95" t="str">
            <v>ENERO10007162Entradas</v>
          </cell>
          <cell r="L95">
            <v>1.78</v>
          </cell>
        </row>
        <row r="96">
          <cell r="C96" t="str">
            <v>ENERO10007162Inv. acumulado</v>
          </cell>
          <cell r="L96">
            <v>1.79</v>
          </cell>
        </row>
        <row r="97">
          <cell r="C97" t="str">
            <v>ENERO10007162Compensación</v>
          </cell>
          <cell r="L97">
            <v>1.79</v>
          </cell>
        </row>
        <row r="98">
          <cell r="C98" t="str">
            <v>ENERO10007162Inventario final</v>
          </cell>
          <cell r="L98">
            <v>1.79</v>
          </cell>
        </row>
        <row r="99">
          <cell r="C99" t="str">
            <v>FEBRERO10007162Inventario inicial</v>
          </cell>
          <cell r="L99">
            <v>1.79</v>
          </cell>
        </row>
        <row r="100">
          <cell r="C100" t="str">
            <v>FEBRERO10007162Revalorización</v>
          </cell>
          <cell r="L100">
            <v>0</v>
          </cell>
        </row>
        <row r="101">
          <cell r="C101" t="str">
            <v>FEBRERO10007162Entradas</v>
          </cell>
          <cell r="L101">
            <v>1.67</v>
          </cell>
        </row>
        <row r="102">
          <cell r="C102" t="str">
            <v>FEBRERO10007162Inventario acumulado</v>
          </cell>
          <cell r="L102">
            <v>1.72</v>
          </cell>
        </row>
        <row r="103">
          <cell r="C103" t="str">
            <v>FEBRERO10007162Compensación</v>
          </cell>
          <cell r="L103">
            <v>1.72</v>
          </cell>
        </row>
        <row r="104">
          <cell r="C104" t="str">
            <v>FEBRERO10007162Inventario final</v>
          </cell>
          <cell r="L104">
            <v>1.72</v>
          </cell>
        </row>
        <row r="105">
          <cell r="C105" t="str">
            <v>ENERO10009639Inventario inicial</v>
          </cell>
          <cell r="L105">
            <v>2.1</v>
          </cell>
        </row>
        <row r="106">
          <cell r="C106" t="str">
            <v>ENERO10009639Revalorización</v>
          </cell>
          <cell r="L106">
            <v>0</v>
          </cell>
        </row>
        <row r="107">
          <cell r="C107" t="str">
            <v>ENERO10009639Entradas</v>
          </cell>
          <cell r="L107">
            <v>1.84</v>
          </cell>
        </row>
        <row r="108">
          <cell r="C108" t="str">
            <v>ENERO10009639Inv. acumulado</v>
          </cell>
          <cell r="L108">
            <v>1.87</v>
          </cell>
        </row>
        <row r="109">
          <cell r="C109" t="str">
            <v>ENERO10009639Compensación</v>
          </cell>
          <cell r="L109">
            <v>1.87</v>
          </cell>
        </row>
        <row r="110">
          <cell r="C110" t="str">
            <v>ENERO10009639Inventario final</v>
          </cell>
          <cell r="L110">
            <v>1.87</v>
          </cell>
        </row>
        <row r="111">
          <cell r="C111" t="str">
            <v>FEBRERO10009639Inventario inicial</v>
          </cell>
          <cell r="L111">
            <v>1.87</v>
          </cell>
        </row>
        <row r="112">
          <cell r="C112" t="str">
            <v>FEBRERO10009639Revalorización</v>
          </cell>
          <cell r="L112">
            <v>0</v>
          </cell>
        </row>
        <row r="113">
          <cell r="C113" t="str">
            <v>FEBRERO10009639Entradas</v>
          </cell>
          <cell r="L113">
            <v>1.67</v>
          </cell>
        </row>
        <row r="114">
          <cell r="C114" t="str">
            <v>FEBRERO10009639Inventario acumulado</v>
          </cell>
          <cell r="L114">
            <v>1.75</v>
          </cell>
        </row>
        <row r="115">
          <cell r="C115" t="str">
            <v>FEBRERO10009639Compensación</v>
          </cell>
          <cell r="L115">
            <v>1.75</v>
          </cell>
        </row>
        <row r="116">
          <cell r="C116" t="str">
            <v>FEBRERO10009639Inventario final</v>
          </cell>
          <cell r="L116">
            <v>1.75</v>
          </cell>
        </row>
        <row r="117">
          <cell r="C117" t="str">
            <v>ENERO10009239Inventario inicial</v>
          </cell>
          <cell r="L117">
            <v>5.01</v>
          </cell>
        </row>
        <row r="118">
          <cell r="C118" t="str">
            <v>ENERO10009239Revalorización</v>
          </cell>
          <cell r="L118">
            <v>0</v>
          </cell>
        </row>
        <row r="119">
          <cell r="C119" t="str">
            <v>ENERO10009239Entradas</v>
          </cell>
          <cell r="L119">
            <v>2.2000000000000002</v>
          </cell>
        </row>
        <row r="120">
          <cell r="C120" t="str">
            <v>ENERO10009239Inv. acumulado</v>
          </cell>
          <cell r="L120">
            <v>2.21</v>
          </cell>
        </row>
        <row r="121">
          <cell r="C121" t="str">
            <v>ENERO10009239Inventario final</v>
          </cell>
          <cell r="L121">
            <v>2.21</v>
          </cell>
        </row>
        <row r="122">
          <cell r="C122" t="str">
            <v>FEBRERO10009239Inventario inicial</v>
          </cell>
          <cell r="L122">
            <v>2.21</v>
          </cell>
        </row>
        <row r="123">
          <cell r="C123" t="str">
            <v>FEBRERO10009239Revalorización</v>
          </cell>
          <cell r="L123">
            <v>0</v>
          </cell>
        </row>
        <row r="124">
          <cell r="C124" t="str">
            <v>FEBRERO10009239Entradas</v>
          </cell>
          <cell r="L124">
            <v>2.0699999999999998</v>
          </cell>
        </row>
        <row r="125">
          <cell r="C125" t="str">
            <v>FEBRERO10009239Inventario acumulado</v>
          </cell>
          <cell r="L125">
            <v>2.11</v>
          </cell>
        </row>
        <row r="126">
          <cell r="C126" t="str">
            <v>FEBRERO10009239Compensación</v>
          </cell>
          <cell r="L126">
            <v>2.11</v>
          </cell>
        </row>
        <row r="127">
          <cell r="C127" t="str">
            <v>FEBRERO10009239Inventario final</v>
          </cell>
          <cell r="L127">
            <v>2.11</v>
          </cell>
        </row>
        <row r="128">
          <cell r="C128" t="str">
            <v>ENERO10007050Inventario inicial</v>
          </cell>
          <cell r="L128">
            <v>0</v>
          </cell>
        </row>
        <row r="129">
          <cell r="C129" t="str">
            <v>ENERO10007050Revalorización</v>
          </cell>
          <cell r="L129">
            <v>0</v>
          </cell>
        </row>
        <row r="130">
          <cell r="C130" t="str">
            <v>ENERO10007050Entradas</v>
          </cell>
          <cell r="L130">
            <v>1.36</v>
          </cell>
        </row>
        <row r="131">
          <cell r="C131" t="str">
            <v>ENERO10007050Inv. acumulado</v>
          </cell>
          <cell r="L131">
            <v>1.36</v>
          </cell>
        </row>
        <row r="132">
          <cell r="C132" t="str">
            <v>ENERO10007050Inventario final</v>
          </cell>
          <cell r="L132">
            <v>1.36</v>
          </cell>
        </row>
        <row r="133">
          <cell r="C133" t="str">
            <v>FEBRERO10007050Inventario inicial</v>
          </cell>
          <cell r="L133">
            <v>1.36</v>
          </cell>
        </row>
        <row r="134">
          <cell r="C134" t="str">
            <v>FEBRERO10007050Revalorización</v>
          </cell>
          <cell r="L134">
            <v>0</v>
          </cell>
        </row>
        <row r="135">
          <cell r="C135" t="str">
            <v>FEBRERO10007050Entradas</v>
          </cell>
          <cell r="L135">
            <v>1.27</v>
          </cell>
        </row>
        <row r="136">
          <cell r="C136" t="str">
            <v>FEBRERO10007050Inventario acumulado</v>
          </cell>
          <cell r="L136">
            <v>1.31</v>
          </cell>
        </row>
        <row r="137">
          <cell r="C137" t="str">
            <v>FEBRERO10007050Inventario final</v>
          </cell>
          <cell r="L137">
            <v>1.31</v>
          </cell>
        </row>
        <row r="138">
          <cell r="C138" t="str">
            <v>ENERO10009331Inventario inicial</v>
          </cell>
          <cell r="L138">
            <v>0</v>
          </cell>
        </row>
        <row r="139">
          <cell r="C139" t="str">
            <v>ENERO10009331Revalorización</v>
          </cell>
          <cell r="L139">
            <v>0</v>
          </cell>
        </row>
        <row r="140">
          <cell r="C140" t="str">
            <v>ENERO10009331Entradas</v>
          </cell>
          <cell r="L140">
            <v>1.93</v>
          </cell>
        </row>
        <row r="141">
          <cell r="C141" t="str">
            <v>ENERO10009331Inv. acumulado</v>
          </cell>
          <cell r="L141">
            <v>1.93</v>
          </cell>
        </row>
        <row r="142">
          <cell r="C142" t="str">
            <v>ENERO10009331Inventario final</v>
          </cell>
          <cell r="L142">
            <v>1.93</v>
          </cell>
        </row>
        <row r="143">
          <cell r="C143" t="str">
            <v>FEBRERO10009331Inventario inicial</v>
          </cell>
          <cell r="L143">
            <v>1.93</v>
          </cell>
        </row>
        <row r="144">
          <cell r="C144" t="str">
            <v>FEBRERO10009331Revalorización</v>
          </cell>
          <cell r="L144">
            <v>0</v>
          </cell>
        </row>
        <row r="145">
          <cell r="C145" t="str">
            <v>FEBRERO10009331Entradas</v>
          </cell>
          <cell r="L145">
            <v>1.76</v>
          </cell>
        </row>
        <row r="146">
          <cell r="C146" t="str">
            <v>FEBRERO10009331Inventario acumulado</v>
          </cell>
          <cell r="L146">
            <v>1.81</v>
          </cell>
        </row>
        <row r="147">
          <cell r="C147" t="str">
            <v>FEBRERO10009331Inventario final</v>
          </cell>
          <cell r="L147">
            <v>1.81</v>
          </cell>
        </row>
        <row r="148">
          <cell r="C148" t="str">
            <v>ENERO10009332Inventario inicial</v>
          </cell>
          <cell r="L148">
            <v>3.11</v>
          </cell>
        </row>
        <row r="149">
          <cell r="C149" t="str">
            <v>ENERO10009332Revalorización</v>
          </cell>
          <cell r="L149">
            <v>0</v>
          </cell>
        </row>
        <row r="150">
          <cell r="C150" t="str">
            <v>ENERO10009332Entradas</v>
          </cell>
          <cell r="L150">
            <v>1.33</v>
          </cell>
        </row>
        <row r="151">
          <cell r="C151" t="str">
            <v>ENERO10009332Inv. acumulado</v>
          </cell>
          <cell r="L151">
            <v>1.94</v>
          </cell>
        </row>
        <row r="152">
          <cell r="C152" t="str">
            <v>ENERO10009332Inventario final</v>
          </cell>
          <cell r="L152">
            <v>1.94</v>
          </cell>
        </row>
        <row r="153">
          <cell r="C153" t="str">
            <v>FEBRERO10009332Inventario inicial</v>
          </cell>
          <cell r="L153">
            <v>1.94</v>
          </cell>
        </row>
        <row r="154">
          <cell r="C154" t="str">
            <v>FEBRERO10009332Revalorización</v>
          </cell>
          <cell r="L154">
            <v>0</v>
          </cell>
        </row>
        <row r="155">
          <cell r="C155" t="str">
            <v>FEBRERO10009332Entradas</v>
          </cell>
          <cell r="L155">
            <v>1.27</v>
          </cell>
        </row>
        <row r="156">
          <cell r="C156" t="str">
            <v>FEBRERO10009332Inventario acumulado</v>
          </cell>
          <cell r="L156">
            <v>1.53</v>
          </cell>
        </row>
        <row r="157">
          <cell r="C157" t="str">
            <v>FEBRERO10009332Compensación</v>
          </cell>
          <cell r="L157">
            <v>1.53</v>
          </cell>
        </row>
        <row r="158">
          <cell r="C158" t="str">
            <v>FEBRERO10009332Inventario final</v>
          </cell>
          <cell r="L158">
            <v>1.53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vid Cruzado (PFRO)" id="{2113452B-73D1-4DD7-B783-BED3B4DD71F3}" userId="S::davidc@perufrost.com::deb45060-f198-4284-95fb-b81c42c8c5a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50" dT="2025-03-25T01:41:33.49" personId="{2113452B-73D1-4DD7-B783-BED3B4DD71F3}" id="{C700DC4E-D65C-49F0-8039-61BE411CABB8}">
    <text xml:space="preserve">Salida por muestreo de calidad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H50" dT="2025-03-25T01:41:33.49" personId="{2113452B-73D1-4DD7-B783-BED3B4DD71F3}" id="{C87EF883-30C4-405A-828F-FD6A4F9A477E}">
    <text xml:space="preserve">Salida por muestreo de calidad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I46" dT="2025-03-25T01:41:33.49" personId="{2113452B-73D1-4DD7-B783-BED3B4DD71F3}" id="{C2EFD358-6160-43E1-8FDF-2161BD213BE5}">
    <text xml:space="preserve">Salida por muestreo de calidad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Z45" dT="2025-03-25T01:41:33.49" personId="{2113452B-73D1-4DD7-B783-BED3B4DD71F3}" id="{53B486A3-A026-4DB1-B13F-7D075C5D5D9E}">
    <text xml:space="preserve">Salida por muestreo de calidad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7501-08BF-43E0-9933-3399EF48FE61}">
  <sheetPr>
    <pageSetUpPr fitToPage="1"/>
  </sheetPr>
  <dimension ref="A1:BJ63"/>
  <sheetViews>
    <sheetView showGridLines="0" tabSelected="1" zoomScale="90" zoomScaleNormal="90" workbookViewId="0">
      <pane xSplit="3" ySplit="2" topLeftCell="AR3" activePane="bottomRight" state="frozen"/>
      <selection pane="topRight" activeCell="D1" sqref="D1"/>
      <selection pane="bottomLeft" activeCell="A3" sqref="A3"/>
      <selection pane="bottomRight" activeCell="BD30" sqref="BD30"/>
    </sheetView>
  </sheetViews>
  <sheetFormatPr baseColWidth="10" defaultRowHeight="14.4" outlineLevelCol="1" x14ac:dyDescent="0.3"/>
  <cols>
    <col min="1" max="1" width="5.5546875" style="3" customWidth="1"/>
    <col min="2" max="2" width="10.109375" style="3" customWidth="1"/>
    <col min="3" max="3" width="37.109375" style="3" customWidth="1"/>
    <col min="4" max="4" width="13.88671875" style="3" bestFit="1" customWidth="1"/>
    <col min="5" max="5" width="12.109375" style="3" customWidth="1"/>
    <col min="6" max="8" width="12" style="3" customWidth="1"/>
    <col min="9" max="9" width="12.21875" style="3" customWidth="1"/>
    <col min="10" max="10" width="1.109375" style="3" customWidth="1"/>
    <col min="11" max="12" width="11.6640625" style="3" customWidth="1"/>
    <col min="13" max="13" width="11.88671875" style="3" customWidth="1"/>
    <col min="14" max="14" width="12.6640625" style="3" customWidth="1"/>
    <col min="15" max="15" width="0.88671875" style="8" customWidth="1"/>
    <col min="16" max="16" width="11.5546875" style="3" hidden="1" customWidth="1"/>
    <col min="17" max="17" width="12.77734375" style="3" hidden="1" customWidth="1"/>
    <col min="18" max="18" width="12.44140625" style="3" hidden="1" customWidth="1"/>
    <col min="19" max="19" width="11.44140625" style="3" hidden="1" customWidth="1"/>
    <col min="20" max="20" width="11.77734375" style="3" hidden="1" customWidth="1"/>
    <col min="21" max="23" width="9.77734375" style="8" hidden="1" customWidth="1"/>
    <col min="24" max="24" width="0" hidden="1" customWidth="1"/>
    <col min="25" max="29" width="9.77734375" style="3" hidden="1" customWidth="1"/>
    <col min="30" max="43" width="0" style="3" hidden="1" customWidth="1"/>
    <col min="44" max="44" width="11.5546875" style="3"/>
    <col min="45" max="47" width="0" style="3" hidden="1" customWidth="1" outlineLevel="1"/>
    <col min="48" max="48" width="12.77734375" style="3" bestFit="1" customWidth="1" collapsed="1"/>
    <col min="49" max="50" width="13.5546875" style="3" bestFit="1" customWidth="1"/>
    <col min="51" max="52" width="11.5546875" style="3"/>
    <col min="53" max="53" width="13.77734375" style="3" bestFit="1" customWidth="1"/>
    <col min="54" max="54" width="13.5546875" style="3" bestFit="1" customWidth="1"/>
    <col min="55" max="55" width="11.5546875" style="3"/>
    <col min="56" max="56" width="16.77734375" style="3" bestFit="1" customWidth="1"/>
    <col min="57" max="57" width="22.6640625" style="3" bestFit="1" customWidth="1"/>
    <col min="58" max="58" width="11.5546875" style="3"/>
    <col min="59" max="59" width="17.88671875" style="3" bestFit="1" customWidth="1"/>
    <col min="60" max="60" width="15.21875" style="3" customWidth="1"/>
    <col min="61" max="61" width="13.5546875" style="3" bestFit="1" customWidth="1"/>
    <col min="62" max="62" width="13.44140625" style="3" bestFit="1" customWidth="1"/>
    <col min="63" max="16384" width="11.5546875" style="3"/>
  </cols>
  <sheetData>
    <row r="1" spans="1:62" ht="15" thickBot="1" x14ac:dyDescent="0.35">
      <c r="A1" s="102" t="s">
        <v>1</v>
      </c>
      <c r="B1" s="2" t="s">
        <v>5</v>
      </c>
      <c r="C1" s="102" t="s">
        <v>0</v>
      </c>
      <c r="D1" s="102" t="s">
        <v>86</v>
      </c>
      <c r="E1" s="102"/>
      <c r="F1" s="102"/>
      <c r="G1" s="102"/>
      <c r="H1" s="102"/>
      <c r="I1" s="102"/>
      <c r="K1" s="102" t="s">
        <v>2</v>
      </c>
      <c r="L1" s="102"/>
      <c r="M1" s="102"/>
      <c r="N1" s="102"/>
      <c r="O1" s="27"/>
      <c r="P1" s="16" t="s">
        <v>22</v>
      </c>
      <c r="Q1" s="98" t="s">
        <v>24</v>
      </c>
    </row>
    <row r="2" spans="1:62" ht="15" thickBot="1" x14ac:dyDescent="0.35">
      <c r="A2" s="102"/>
      <c r="B2" s="2" t="s">
        <v>6</v>
      </c>
      <c r="C2" s="102"/>
      <c r="D2" s="4" t="s">
        <v>20</v>
      </c>
      <c r="E2" s="4">
        <v>46118</v>
      </c>
      <c r="F2" s="4">
        <v>46119</v>
      </c>
      <c r="G2" s="4">
        <v>46120</v>
      </c>
      <c r="H2" s="4">
        <v>46121</v>
      </c>
      <c r="I2" s="13"/>
      <c r="J2" s="34"/>
      <c r="K2" s="2" t="s">
        <v>21</v>
      </c>
      <c r="L2" s="2" t="s">
        <v>3</v>
      </c>
      <c r="M2" s="2" t="s">
        <v>61</v>
      </c>
      <c r="N2" s="2" t="s">
        <v>4</v>
      </c>
      <c r="O2" s="27"/>
      <c r="P2" s="16" t="s">
        <v>23</v>
      </c>
      <c r="Q2" s="99"/>
      <c r="R2" s="65" t="s">
        <v>75</v>
      </c>
      <c r="S2" s="65" t="s">
        <v>76</v>
      </c>
      <c r="T2" s="65" t="s">
        <v>77</v>
      </c>
      <c r="V2" s="8" t="s">
        <v>4</v>
      </c>
      <c r="AS2" s="15" t="s">
        <v>110</v>
      </c>
      <c r="AT2" s="15" t="s">
        <v>111</v>
      </c>
      <c r="AU2" s="104" t="s">
        <v>112</v>
      </c>
      <c r="AV2" s="105" t="s">
        <v>113</v>
      </c>
      <c r="AW2" s="106" t="s">
        <v>114</v>
      </c>
      <c r="AX2" s="106" t="s">
        <v>115</v>
      </c>
      <c r="AY2" s="106" t="s">
        <v>116</v>
      </c>
      <c r="AZ2" s="106" t="s">
        <v>117</v>
      </c>
      <c r="BA2" s="106" t="s">
        <v>118</v>
      </c>
      <c r="BB2" s="106" t="s">
        <v>119</v>
      </c>
      <c r="BC2" s="107" t="s">
        <v>120</v>
      </c>
      <c r="BD2" s="108" t="s">
        <v>121</v>
      </c>
      <c r="BE2" s="108" t="s">
        <v>122</v>
      </c>
      <c r="BF2" s="109"/>
      <c r="BG2" s="110" t="s">
        <v>123</v>
      </c>
      <c r="BH2" s="111" t="s">
        <v>124</v>
      </c>
      <c r="BI2" s="110" t="s">
        <v>119</v>
      </c>
      <c r="BJ2" s="112" t="s">
        <v>120</v>
      </c>
    </row>
    <row r="3" spans="1:62" x14ac:dyDescent="0.3">
      <c r="A3" s="17">
        <v>1</v>
      </c>
      <c r="B3" s="39" t="s">
        <v>27</v>
      </c>
      <c r="C3" s="39" t="s">
        <v>28</v>
      </c>
      <c r="D3" s="53">
        <v>620</v>
      </c>
      <c r="E3" s="18"/>
      <c r="F3" s="18"/>
      <c r="G3" s="18"/>
      <c r="H3" s="18"/>
      <c r="I3" s="18"/>
      <c r="J3" s="27"/>
      <c r="K3" s="18">
        <f>+D3</f>
        <v>620</v>
      </c>
      <c r="L3" s="18">
        <f t="shared" ref="L3:L48" si="0">SUM(E3:I3)</f>
        <v>0</v>
      </c>
      <c r="M3" s="19"/>
      <c r="N3" s="18">
        <f>+K3+L3-M3</f>
        <v>620</v>
      </c>
      <c r="O3" s="27">
        <f>+K3-N3</f>
        <v>0</v>
      </c>
      <c r="P3" s="18">
        <v>620</v>
      </c>
      <c r="Q3" s="18">
        <f>+N3-P3</f>
        <v>0</v>
      </c>
      <c r="R3" s="60"/>
      <c r="S3" s="65"/>
      <c r="T3" s="60"/>
      <c r="U3" s="27"/>
      <c r="V3" s="27">
        <f>SUM(R3:T3)</f>
        <v>0</v>
      </c>
      <c r="W3" s="27">
        <f>+V3-M3</f>
        <v>0</v>
      </c>
      <c r="AN3" s="5"/>
      <c r="AS3" s="3">
        <v>10009178</v>
      </c>
      <c r="AT3" s="3" t="str">
        <f>"FEBRERO"&amp;AS3&amp;"Inventario final"</f>
        <v>FEBRERO10009178Inventario final</v>
      </c>
      <c r="AU3" s="3">
        <f>INDEX('[1]Detalle Costos'!$L$5:$L$158,MATCH(AT3,'[1]Detalle Costos'!$C$5:$C$158,0))</f>
        <v>1.73</v>
      </c>
      <c r="AV3" s="113">
        <f t="shared" ref="AV3:AV49" si="1">IF(ISERROR(AU3),0,N3/1000)</f>
        <v>0.62</v>
      </c>
      <c r="AW3" s="114">
        <f t="shared" ref="AW3:AW46" si="2">IFERROR(AU3*AV3,0)*1000</f>
        <v>1072.5999999999999</v>
      </c>
      <c r="AX3" s="115">
        <f t="shared" ref="AX3:AX46" si="3">182*AV3</f>
        <v>112.84</v>
      </c>
      <c r="AY3" s="114">
        <f>$AY$50/$AV$50*AV3</f>
        <v>20.805461201258549</v>
      </c>
      <c r="AZ3" s="114">
        <f>$AZ$50/$AV$50*AV3</f>
        <v>47.104274698345655</v>
      </c>
      <c r="BA3" s="114">
        <f>$BA$50/$AV$50*AV3</f>
        <v>39.381616884893894</v>
      </c>
      <c r="BB3" s="114">
        <v>0</v>
      </c>
      <c r="BC3" s="116">
        <f>$BC$50</f>
        <v>0</v>
      </c>
      <c r="BD3" s="117">
        <f>AW3+AX3+AY3+AZ3</f>
        <v>1253.3497358996042</v>
      </c>
      <c r="BE3" s="118">
        <f>IFERROR(BD3/AV3,0)</f>
        <v>2021.5318320961358</v>
      </c>
      <c r="BF3" s="119"/>
      <c r="BG3" s="120">
        <v>2150</v>
      </c>
      <c r="BH3" s="121">
        <f t="shared" ref="BH3:BH46" si="4">BG3*AV3</f>
        <v>1333</v>
      </c>
      <c r="BI3" s="122">
        <f>BH3-BD3</f>
        <v>79.650264100395816</v>
      </c>
      <c r="BJ3" s="123">
        <f t="shared" ref="BJ3:BJ48" si="5">IFERROR(BI3/BH3,0)</f>
        <v>5.975263623435545E-2</v>
      </c>
    </row>
    <row r="4" spans="1:62" x14ac:dyDescent="0.3">
      <c r="A4" s="17">
        <f>+A3+1</f>
        <v>2</v>
      </c>
      <c r="B4" s="39" t="s">
        <v>29</v>
      </c>
      <c r="C4" s="39" t="s">
        <v>30</v>
      </c>
      <c r="D4" s="53">
        <v>29100</v>
      </c>
      <c r="E4" s="18"/>
      <c r="F4" s="18"/>
      <c r="G4" s="18"/>
      <c r="H4" s="18"/>
      <c r="I4" s="18"/>
      <c r="J4" s="27"/>
      <c r="K4" s="18">
        <f>+D4</f>
        <v>29100</v>
      </c>
      <c r="L4" s="18">
        <f t="shared" si="0"/>
        <v>0</v>
      </c>
      <c r="M4" s="19"/>
      <c r="N4" s="18">
        <f t="shared" ref="N4:N47" si="6">+K4+L4-M4</f>
        <v>29100</v>
      </c>
      <c r="O4" s="27"/>
      <c r="P4" s="18">
        <v>28000</v>
      </c>
      <c r="Q4" s="18">
        <f t="shared" ref="Q4:Q48" si="7">+N4-P4</f>
        <v>1100</v>
      </c>
      <c r="R4" s="60"/>
      <c r="S4" s="65"/>
      <c r="T4" s="60"/>
      <c r="U4" s="27"/>
      <c r="V4" s="27">
        <f t="shared" ref="V4:V48" si="8">SUM(R4:T4)</f>
        <v>0</v>
      </c>
      <c r="W4" s="27">
        <f t="shared" ref="W4:W48" si="9">+V4-M4</f>
        <v>0</v>
      </c>
      <c r="AK4" s="15"/>
      <c r="AS4" s="3">
        <v>10009178</v>
      </c>
      <c r="AT4" s="3" t="str">
        <f t="shared" ref="AT4:AT46" si="10">"FEBRERO"&amp;AS4&amp;"Inventario final"</f>
        <v>FEBRERO10009178Inventario final</v>
      </c>
      <c r="AU4" s="3">
        <f>INDEX('[1]Detalle Costos'!$L$5:$L$158,MATCH(AT4,'[1]Detalle Costos'!$C$5:$C$158,0))</f>
        <v>1.73</v>
      </c>
      <c r="AV4" s="113">
        <f t="shared" si="1"/>
        <v>29.1</v>
      </c>
      <c r="AW4" s="114">
        <f t="shared" si="2"/>
        <v>50343</v>
      </c>
      <c r="AX4" s="115">
        <f t="shared" si="3"/>
        <v>5296.2</v>
      </c>
      <c r="AY4" s="114">
        <f>$AY$50/$AV$50*AV4</f>
        <v>976.51438863971578</v>
      </c>
      <c r="AZ4" s="114">
        <f>$AZ$50/$AV$50*AV4</f>
        <v>2210.8619253578363</v>
      </c>
      <c r="BA4" s="114">
        <f>$BA$50/$AV$50*AV4</f>
        <v>1848.3952441135684</v>
      </c>
      <c r="BB4" s="114">
        <v>0</v>
      </c>
      <c r="BC4" s="116">
        <f>$BC$50</f>
        <v>0</v>
      </c>
      <c r="BD4" s="117">
        <f t="shared" ref="BD4:BD46" si="11">AW4+AX4+AY4+AZ4</f>
        <v>58826.576313997546</v>
      </c>
      <c r="BE4" s="118">
        <f t="shared" ref="BE4:BE46" si="12">IFERROR(BD4/AV4,0)</f>
        <v>2021.5318320961355</v>
      </c>
      <c r="BF4" s="119"/>
      <c r="BG4" s="120">
        <v>2150</v>
      </c>
      <c r="BH4" s="121">
        <f t="shared" si="4"/>
        <v>62565</v>
      </c>
      <c r="BI4" s="122">
        <f t="shared" ref="BI4:BI46" si="13">BH4-BD4</f>
        <v>3738.4236860024539</v>
      </c>
      <c r="BJ4" s="123">
        <f t="shared" si="5"/>
        <v>5.9752636234355533E-2</v>
      </c>
    </row>
    <row r="5" spans="1:62" x14ac:dyDescent="0.3">
      <c r="A5" s="17">
        <f t="shared" ref="A5:A39" si="14">+A4+1</f>
        <v>3</v>
      </c>
      <c r="B5" s="39" t="s">
        <v>31</v>
      </c>
      <c r="C5" s="39" t="s">
        <v>32</v>
      </c>
      <c r="D5" s="53">
        <v>680</v>
      </c>
      <c r="E5" s="18"/>
      <c r="F5" s="18"/>
      <c r="G5" s="18"/>
      <c r="H5" s="18"/>
      <c r="I5" s="18"/>
      <c r="J5" s="27"/>
      <c r="K5" s="18">
        <f>+D5</f>
        <v>680</v>
      </c>
      <c r="L5" s="18">
        <f t="shared" si="0"/>
        <v>0</v>
      </c>
      <c r="M5" s="19"/>
      <c r="N5" s="18">
        <f t="shared" si="6"/>
        <v>680</v>
      </c>
      <c r="O5" s="27"/>
      <c r="P5" s="18">
        <v>680</v>
      </c>
      <c r="Q5" s="18">
        <f t="shared" si="7"/>
        <v>0</v>
      </c>
      <c r="R5" s="60"/>
      <c r="S5" s="65"/>
      <c r="T5" s="60"/>
      <c r="U5" s="27"/>
      <c r="V5" s="27">
        <f t="shared" si="8"/>
        <v>0</v>
      </c>
      <c r="W5" s="27">
        <f t="shared" si="9"/>
        <v>0</v>
      </c>
      <c r="AS5" s="3">
        <v>10009178</v>
      </c>
      <c r="AT5" s="3" t="str">
        <f t="shared" si="10"/>
        <v>FEBRERO10009178Inventario final</v>
      </c>
      <c r="AU5" s="3">
        <f>INDEX('[1]Detalle Costos'!$L$5:$L$158,MATCH(AT5,'[1]Detalle Costos'!$C$5:$C$158,0))</f>
        <v>1.73</v>
      </c>
      <c r="AV5" s="113">
        <f t="shared" si="1"/>
        <v>0.68</v>
      </c>
      <c r="AW5" s="114">
        <f t="shared" si="2"/>
        <v>1176.4000000000001</v>
      </c>
      <c r="AX5" s="115">
        <f t="shared" si="3"/>
        <v>123.76</v>
      </c>
      <c r="AY5" s="114">
        <f>$AY$50/$AV$50*AV5</f>
        <v>22.818892930412602</v>
      </c>
      <c r="AZ5" s="114">
        <f>$AZ$50/$AV$50*AV5</f>
        <v>51.662752894959752</v>
      </c>
      <c r="BA5" s="114">
        <f>$BA$50/$AV$50*AV5</f>
        <v>43.192741099561047</v>
      </c>
      <c r="BB5" s="114">
        <v>0</v>
      </c>
      <c r="BC5" s="116">
        <f>$BC$50</f>
        <v>0</v>
      </c>
      <c r="BD5" s="117">
        <f t="shared" si="11"/>
        <v>1374.6416458253725</v>
      </c>
      <c r="BE5" s="118">
        <f t="shared" si="12"/>
        <v>2021.531832096136</v>
      </c>
      <c r="BF5" s="119"/>
      <c r="BG5" s="120">
        <v>2150</v>
      </c>
      <c r="BH5" s="121">
        <f t="shared" si="4"/>
        <v>1462</v>
      </c>
      <c r="BI5" s="122">
        <f t="shared" si="13"/>
        <v>87.358354174627493</v>
      </c>
      <c r="BJ5" s="123">
        <f t="shared" si="5"/>
        <v>5.9752636234355332E-2</v>
      </c>
    </row>
    <row r="6" spans="1:62" x14ac:dyDescent="0.3">
      <c r="A6" s="17">
        <f t="shared" si="14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27"/>
      <c r="K6" s="18">
        <f>+D6</f>
        <v>680</v>
      </c>
      <c r="L6" s="18">
        <f t="shared" si="0"/>
        <v>0</v>
      </c>
      <c r="M6" s="19"/>
      <c r="N6" s="18">
        <f t="shared" si="6"/>
        <v>680</v>
      </c>
      <c r="O6" s="27"/>
      <c r="P6" s="18">
        <v>680</v>
      </c>
      <c r="Q6" s="18">
        <f t="shared" si="7"/>
        <v>0</v>
      </c>
      <c r="R6" s="60"/>
      <c r="S6" s="65"/>
      <c r="T6" s="60"/>
      <c r="U6" s="27"/>
      <c r="V6" s="27">
        <f t="shared" si="8"/>
        <v>0</v>
      </c>
      <c r="W6" s="27">
        <f t="shared" si="9"/>
        <v>0</v>
      </c>
      <c r="AS6" s="3">
        <v>10009178</v>
      </c>
      <c r="AT6" s="3" t="str">
        <f t="shared" si="10"/>
        <v>FEBRERO10009178Inventario final</v>
      </c>
      <c r="AU6" s="3">
        <f>INDEX('[1]Detalle Costos'!$L$5:$L$158,MATCH(AT6,'[1]Detalle Costos'!$C$5:$C$158,0))</f>
        <v>1.73</v>
      </c>
      <c r="AV6" s="113">
        <f t="shared" si="1"/>
        <v>0.68</v>
      </c>
      <c r="AW6" s="114">
        <f t="shared" si="2"/>
        <v>1176.4000000000001</v>
      </c>
      <c r="AX6" s="115">
        <f t="shared" si="3"/>
        <v>123.76</v>
      </c>
      <c r="AY6" s="114">
        <f>$AY$50/$AV$50*AV6</f>
        <v>22.818892930412602</v>
      </c>
      <c r="AZ6" s="114">
        <f>$AZ$50/$AV$50*AV6</f>
        <v>51.662752894959752</v>
      </c>
      <c r="BA6" s="114">
        <f>$BA$50/$AV$50*AV6</f>
        <v>43.192741099561047</v>
      </c>
      <c r="BB6" s="114">
        <v>0</v>
      </c>
      <c r="BC6" s="116">
        <f>$BC$50</f>
        <v>0</v>
      </c>
      <c r="BD6" s="117">
        <f t="shared" si="11"/>
        <v>1374.6416458253725</v>
      </c>
      <c r="BE6" s="118">
        <f t="shared" si="12"/>
        <v>2021.531832096136</v>
      </c>
      <c r="BF6" s="119"/>
      <c r="BG6" s="120">
        <v>2150</v>
      </c>
      <c r="BH6" s="121">
        <f t="shared" si="4"/>
        <v>1462</v>
      </c>
      <c r="BI6" s="122">
        <f t="shared" si="13"/>
        <v>87.358354174627493</v>
      </c>
      <c r="BJ6" s="123">
        <f t="shared" si="5"/>
        <v>5.9752636234355332E-2</v>
      </c>
    </row>
    <row r="7" spans="1:62" x14ac:dyDescent="0.3">
      <c r="A7" s="17">
        <f t="shared" si="14"/>
        <v>5</v>
      </c>
      <c r="B7" s="39" t="s">
        <v>34</v>
      </c>
      <c r="C7" s="39" t="s">
        <v>35</v>
      </c>
      <c r="D7" s="53">
        <v>274200</v>
      </c>
      <c r="E7" s="18"/>
      <c r="F7" s="18"/>
      <c r="G7" s="18"/>
      <c r="H7" s="18"/>
      <c r="I7" s="18"/>
      <c r="J7" s="27"/>
      <c r="K7" s="18">
        <f>+D7</f>
        <v>274200</v>
      </c>
      <c r="L7" s="18">
        <f t="shared" si="0"/>
        <v>0</v>
      </c>
      <c r="M7" s="19"/>
      <c r="N7" s="18">
        <f t="shared" si="6"/>
        <v>274200</v>
      </c>
      <c r="O7" s="27"/>
      <c r="P7" s="18">
        <v>253240</v>
      </c>
      <c r="Q7" s="18">
        <f t="shared" si="7"/>
        <v>20960</v>
      </c>
      <c r="R7" s="60"/>
      <c r="S7" s="65"/>
      <c r="T7" s="60"/>
      <c r="U7" s="27"/>
      <c r="V7" s="27">
        <f t="shared" si="8"/>
        <v>0</v>
      </c>
      <c r="W7" s="27">
        <f t="shared" si="9"/>
        <v>0</v>
      </c>
      <c r="AS7" s="3">
        <v>10006720</v>
      </c>
      <c r="AT7" s="3" t="str">
        <f t="shared" si="10"/>
        <v>FEBRERO10006720Inventario final</v>
      </c>
      <c r="AU7" s="3">
        <f>INDEX('[1]Detalle Costos'!$L$5:$L$158,MATCH(AT7,'[1]Detalle Costos'!$C$5:$C$158,0))</f>
        <v>1.64</v>
      </c>
      <c r="AV7" s="113">
        <f t="shared" si="1"/>
        <v>274.2</v>
      </c>
      <c r="AW7" s="114">
        <f t="shared" si="2"/>
        <v>449687.99999999994</v>
      </c>
      <c r="AX7" s="115">
        <f t="shared" si="3"/>
        <v>49904.4</v>
      </c>
      <c r="AY7" s="114">
        <f>$AY$50/$AV$50*AV7</f>
        <v>9201.3830022340226</v>
      </c>
      <c r="AZ7" s="114">
        <f>$AZ$50/$AV$50*AV7</f>
        <v>20832.245358526416</v>
      </c>
      <c r="BA7" s="114">
        <f>$BA$50/$AV$50*AV7</f>
        <v>17416.83766102888</v>
      </c>
      <c r="BB7" s="114">
        <v>0</v>
      </c>
      <c r="BC7" s="116">
        <f>$BC$50</f>
        <v>0</v>
      </c>
      <c r="BD7" s="117">
        <f t="shared" si="11"/>
        <v>529626.02836076042</v>
      </c>
      <c r="BE7" s="118">
        <f t="shared" si="12"/>
        <v>1931.5318320961358</v>
      </c>
      <c r="BF7" s="119"/>
      <c r="BG7" s="120">
        <v>2150</v>
      </c>
      <c r="BH7" s="121">
        <f t="shared" si="4"/>
        <v>589530</v>
      </c>
      <c r="BI7" s="122">
        <f t="shared" si="13"/>
        <v>59903.971639239579</v>
      </c>
      <c r="BJ7" s="123">
        <f t="shared" si="5"/>
        <v>0.10161310135063453</v>
      </c>
    </row>
    <row r="8" spans="1:62" x14ac:dyDescent="0.3">
      <c r="A8" s="17">
        <f t="shared" si="14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27"/>
      <c r="K8" s="18">
        <f t="shared" ref="K8:K48" si="15">+D8</f>
        <v>120</v>
      </c>
      <c r="L8" s="18">
        <f t="shared" si="0"/>
        <v>0</v>
      </c>
      <c r="M8" s="19"/>
      <c r="N8" s="18">
        <f t="shared" si="6"/>
        <v>120</v>
      </c>
      <c r="O8" s="27"/>
      <c r="P8" s="18">
        <v>120</v>
      </c>
      <c r="Q8" s="18">
        <f t="shared" si="7"/>
        <v>0</v>
      </c>
      <c r="R8" s="60"/>
      <c r="S8" s="65"/>
      <c r="T8" s="60"/>
      <c r="U8" s="27"/>
      <c r="V8" s="27">
        <f t="shared" si="8"/>
        <v>0</v>
      </c>
      <c r="W8" s="27">
        <f t="shared" si="9"/>
        <v>0</v>
      </c>
      <c r="AS8" s="3">
        <v>10006722</v>
      </c>
      <c r="AT8" s="3" t="str">
        <f t="shared" si="10"/>
        <v>FEBRERO10006722Inventario final</v>
      </c>
      <c r="AU8" s="3">
        <f>INDEX('[1]Detalle Costos'!$L$5:$L$158,MATCH(AT8,'[1]Detalle Costos'!$C$5:$C$158,0))</f>
        <v>1.87</v>
      </c>
      <c r="AV8" s="113">
        <f t="shared" si="1"/>
        <v>0.12</v>
      </c>
      <c r="AW8" s="114">
        <f t="shared" si="2"/>
        <v>224.4</v>
      </c>
      <c r="AX8" s="115">
        <f t="shared" si="3"/>
        <v>21.84</v>
      </c>
      <c r="AY8" s="114">
        <f>$AY$50/$AV$50*AV8</f>
        <v>4.0268634583081058</v>
      </c>
      <c r="AZ8" s="114">
        <f>$AZ$50/$AV$50*AV8</f>
        <v>9.1169563932281914</v>
      </c>
      <c r="BA8" s="114">
        <f>$BA$50/$AV$50*AV8</f>
        <v>7.6222484293343022</v>
      </c>
      <c r="BB8" s="114">
        <v>0</v>
      </c>
      <c r="BC8" s="116">
        <f>$BC$50</f>
        <v>0</v>
      </c>
      <c r="BD8" s="117">
        <f t="shared" si="11"/>
        <v>259.38381985153632</v>
      </c>
      <c r="BE8" s="118">
        <f t="shared" si="12"/>
        <v>2161.531832096136</v>
      </c>
      <c r="BF8" s="119"/>
      <c r="BG8" s="120">
        <v>2150</v>
      </c>
      <c r="BH8" s="121">
        <f t="shared" si="4"/>
        <v>258</v>
      </c>
      <c r="BI8" s="122">
        <f t="shared" si="13"/>
        <v>-1.383819851536316</v>
      </c>
      <c r="BJ8" s="123">
        <f t="shared" si="5"/>
        <v>-5.3636428354120773E-3</v>
      </c>
    </row>
    <row r="9" spans="1:62" x14ac:dyDescent="0.3">
      <c r="A9" s="17">
        <f t="shared" si="14"/>
        <v>7</v>
      </c>
      <c r="B9" s="39">
        <v>10009331</v>
      </c>
      <c r="C9" s="39" t="s">
        <v>90</v>
      </c>
      <c r="D9" s="53">
        <v>15138</v>
      </c>
      <c r="E9" s="18"/>
      <c r="F9" s="18"/>
      <c r="G9" s="18"/>
      <c r="H9" s="18"/>
      <c r="I9" s="18"/>
      <c r="J9" s="27"/>
      <c r="K9" s="18">
        <f t="shared" si="15"/>
        <v>15138</v>
      </c>
      <c r="L9" s="18">
        <f t="shared" si="0"/>
        <v>0</v>
      </c>
      <c r="M9" s="19"/>
      <c r="N9" s="18">
        <f t="shared" si="6"/>
        <v>15138</v>
      </c>
      <c r="O9" s="27"/>
      <c r="P9" s="18">
        <v>15138</v>
      </c>
      <c r="Q9" s="18">
        <f t="shared" si="7"/>
        <v>0</v>
      </c>
      <c r="R9" s="60"/>
      <c r="S9" s="65"/>
      <c r="T9" s="60"/>
      <c r="U9" s="27"/>
      <c r="V9" s="27">
        <f t="shared" si="8"/>
        <v>0</v>
      </c>
      <c r="W9" s="27">
        <f t="shared" si="9"/>
        <v>0</v>
      </c>
      <c r="AS9" s="3">
        <v>10007050</v>
      </c>
      <c r="AT9" s="3" t="str">
        <f t="shared" si="10"/>
        <v>FEBRERO10007050Inventario final</v>
      </c>
      <c r="AU9" s="3">
        <f>INDEX('[1]Detalle Costos'!$L$5:$L$158,MATCH(AT9,'[1]Detalle Costos'!$C$5:$C$158,0))</f>
        <v>1.31</v>
      </c>
      <c r="AV9" s="113">
        <f t="shared" si="1"/>
        <v>15.138</v>
      </c>
      <c r="AW9" s="114">
        <f t="shared" si="2"/>
        <v>19830.780000000002</v>
      </c>
      <c r="AX9" s="115">
        <f t="shared" si="3"/>
        <v>2755.116</v>
      </c>
      <c r="AY9" s="114">
        <f>$AY$50/$AV$50*AV9</f>
        <v>507.98882526556758</v>
      </c>
      <c r="AZ9" s="114">
        <f>$AZ$50/$AV$50*AV9</f>
        <v>1150.1040490057362</v>
      </c>
      <c r="BA9" s="114">
        <f>$BA$50/$AV$50*AV9</f>
        <v>961.54663936052225</v>
      </c>
      <c r="BB9" s="114">
        <v>0</v>
      </c>
      <c r="BC9" s="116">
        <f>$BC$50</f>
        <v>0</v>
      </c>
      <c r="BD9" s="117">
        <f t="shared" si="11"/>
        <v>24243.988874271305</v>
      </c>
      <c r="BE9" s="118">
        <f t="shared" si="12"/>
        <v>1601.5318320961358</v>
      </c>
      <c r="BF9" s="119"/>
      <c r="BG9" s="120">
        <v>3950</v>
      </c>
      <c r="BH9" s="121">
        <f t="shared" si="4"/>
        <v>59795.1</v>
      </c>
      <c r="BI9" s="122">
        <f t="shared" si="13"/>
        <v>35551.111125728698</v>
      </c>
      <c r="BJ9" s="123">
        <f t="shared" si="5"/>
        <v>0.5945489032668011</v>
      </c>
    </row>
    <row r="10" spans="1:62" x14ac:dyDescent="0.3">
      <c r="A10" s="17">
        <f t="shared" si="14"/>
        <v>8</v>
      </c>
      <c r="B10" s="39"/>
      <c r="C10" s="39" t="s">
        <v>88</v>
      </c>
      <c r="D10" s="53">
        <v>0</v>
      </c>
      <c r="E10" s="18"/>
      <c r="F10" s="18"/>
      <c r="G10" s="18"/>
      <c r="H10" s="18"/>
      <c r="I10" s="18"/>
      <c r="J10" s="27"/>
      <c r="K10" s="18">
        <f t="shared" si="15"/>
        <v>0</v>
      </c>
      <c r="L10" s="18">
        <f t="shared" si="0"/>
        <v>0</v>
      </c>
      <c r="M10" s="19"/>
      <c r="N10" s="18">
        <f t="shared" si="6"/>
        <v>0</v>
      </c>
      <c r="O10" s="27"/>
      <c r="P10" s="18">
        <v>0</v>
      </c>
      <c r="Q10" s="18">
        <f t="shared" si="7"/>
        <v>0</v>
      </c>
      <c r="R10" s="60"/>
      <c r="S10" s="65"/>
      <c r="T10" s="60"/>
      <c r="U10" s="27"/>
      <c r="V10" s="27">
        <f t="shared" si="8"/>
        <v>0</v>
      </c>
      <c r="W10" s="27">
        <f t="shared" si="9"/>
        <v>0</v>
      </c>
      <c r="AS10" s="3">
        <v>10007050</v>
      </c>
      <c r="AT10" s="3" t="str">
        <f t="shared" si="10"/>
        <v>FEBRERO10007050Inventario final</v>
      </c>
      <c r="AU10" s="3">
        <f>INDEX('[1]Detalle Costos'!$L$5:$L$158,MATCH(AT10,'[1]Detalle Costos'!$C$5:$C$158,0))</f>
        <v>1.31</v>
      </c>
      <c r="AV10" s="113">
        <f t="shared" si="1"/>
        <v>0</v>
      </c>
      <c r="AW10" s="114">
        <f t="shared" si="2"/>
        <v>0</v>
      </c>
      <c r="AX10" s="115">
        <f t="shared" si="3"/>
        <v>0</v>
      </c>
      <c r="AY10" s="114">
        <f>$AY$50/$AV$50*AV10</f>
        <v>0</v>
      </c>
      <c r="AZ10" s="114">
        <f>$AZ$50/$AV$50*AV10</f>
        <v>0</v>
      </c>
      <c r="BA10" s="114">
        <f>$BA$50/$AV$50*AV10</f>
        <v>0</v>
      </c>
      <c r="BB10" s="114">
        <v>0</v>
      </c>
      <c r="BC10" s="116">
        <f>$BC$50</f>
        <v>0</v>
      </c>
      <c r="BD10" s="117">
        <f t="shared" si="11"/>
        <v>0</v>
      </c>
      <c r="BE10" s="118">
        <f t="shared" si="12"/>
        <v>0</v>
      </c>
      <c r="BF10" s="119"/>
      <c r="BG10" s="120"/>
      <c r="BH10" s="121">
        <f t="shared" si="4"/>
        <v>0</v>
      </c>
      <c r="BI10" s="122">
        <f t="shared" si="13"/>
        <v>0</v>
      </c>
      <c r="BJ10" s="123">
        <f t="shared" si="5"/>
        <v>0</v>
      </c>
    </row>
    <row r="11" spans="1:62" x14ac:dyDescent="0.3">
      <c r="A11" s="17">
        <f t="shared" si="14"/>
        <v>9</v>
      </c>
      <c r="B11" s="39">
        <v>10009334</v>
      </c>
      <c r="C11" s="39" t="s">
        <v>91</v>
      </c>
      <c r="D11" s="53">
        <v>5472</v>
      </c>
      <c r="E11" s="18"/>
      <c r="F11" s="18"/>
      <c r="G11" s="18"/>
      <c r="H11" s="18"/>
      <c r="I11" s="18"/>
      <c r="J11" s="27"/>
      <c r="K11" s="18">
        <f t="shared" si="15"/>
        <v>5472</v>
      </c>
      <c r="L11" s="18">
        <f t="shared" si="0"/>
        <v>0</v>
      </c>
      <c r="M11" s="19"/>
      <c r="N11" s="18">
        <f t="shared" si="6"/>
        <v>5472</v>
      </c>
      <c r="O11" s="27"/>
      <c r="P11" s="18">
        <v>5472</v>
      </c>
      <c r="Q11" s="18">
        <f t="shared" si="7"/>
        <v>0</v>
      </c>
      <c r="R11" s="60"/>
      <c r="S11" s="65"/>
      <c r="T11" s="60"/>
      <c r="U11" s="27"/>
      <c r="V11" s="27">
        <f t="shared" si="8"/>
        <v>0</v>
      </c>
      <c r="W11" s="27">
        <f t="shared" si="9"/>
        <v>0</v>
      </c>
      <c r="AS11" s="3">
        <v>10007050</v>
      </c>
      <c r="AT11" s="3" t="str">
        <f t="shared" si="10"/>
        <v>FEBRERO10007050Inventario final</v>
      </c>
      <c r="AU11" s="3">
        <f>INDEX('[1]Detalle Costos'!$L$5:$L$158,MATCH(AT11,'[1]Detalle Costos'!$C$5:$C$158,0))</f>
        <v>1.31</v>
      </c>
      <c r="AV11" s="113">
        <f t="shared" si="1"/>
        <v>5.4720000000000004</v>
      </c>
      <c r="AW11" s="114">
        <f t="shared" si="2"/>
        <v>7168.3200000000006</v>
      </c>
      <c r="AX11" s="115">
        <f t="shared" si="3"/>
        <v>995.90400000000011</v>
      </c>
      <c r="AY11" s="114">
        <f>$AY$50/$AV$50*AV11</f>
        <v>183.62497369884966</v>
      </c>
      <c r="AZ11" s="114">
        <f>$AZ$50/$AV$50*AV11</f>
        <v>415.73321153120554</v>
      </c>
      <c r="BA11" s="114">
        <f>$BA$50/$AV$50*AV11</f>
        <v>347.57452837764419</v>
      </c>
      <c r="BB11" s="114">
        <v>0</v>
      </c>
      <c r="BC11" s="116">
        <f>$BC$50</f>
        <v>0</v>
      </c>
      <c r="BD11" s="117">
        <f t="shared" si="11"/>
        <v>8763.582185230056</v>
      </c>
      <c r="BE11" s="118">
        <f t="shared" si="12"/>
        <v>1601.5318320961358</v>
      </c>
      <c r="BF11" s="119"/>
      <c r="BG11" s="120">
        <v>3950</v>
      </c>
      <c r="BH11" s="121">
        <f t="shared" si="4"/>
        <v>21614.400000000001</v>
      </c>
      <c r="BI11" s="122">
        <f t="shared" si="13"/>
        <v>12850.817814769945</v>
      </c>
      <c r="BJ11" s="123">
        <f t="shared" si="5"/>
        <v>0.5945489032668011</v>
      </c>
    </row>
    <row r="12" spans="1:62" s="8" customFormat="1" x14ac:dyDescent="0.25">
      <c r="A12" s="37">
        <f>+A11+1</f>
        <v>10</v>
      </c>
      <c r="B12" s="40" t="s">
        <v>40</v>
      </c>
      <c r="C12" s="40" t="s">
        <v>41</v>
      </c>
      <c r="D12" s="54">
        <v>30840</v>
      </c>
      <c r="E12" s="26"/>
      <c r="F12" s="26"/>
      <c r="G12" s="26"/>
      <c r="H12" s="26"/>
      <c r="I12" s="26"/>
      <c r="J12" s="27"/>
      <c r="K12" s="26">
        <f t="shared" si="15"/>
        <v>30840</v>
      </c>
      <c r="L12" s="26">
        <f t="shared" si="0"/>
        <v>0</v>
      </c>
      <c r="M12" s="38"/>
      <c r="N12" s="26">
        <f t="shared" si="6"/>
        <v>30840</v>
      </c>
      <c r="O12" s="27"/>
      <c r="P12" s="18">
        <v>30440</v>
      </c>
      <c r="Q12" s="18">
        <f t="shared" si="7"/>
        <v>400</v>
      </c>
      <c r="R12" s="60"/>
      <c r="S12" s="65"/>
      <c r="T12" s="60"/>
      <c r="U12" s="27"/>
      <c r="V12" s="27">
        <f t="shared" si="8"/>
        <v>0</v>
      </c>
      <c r="W12" s="27">
        <f t="shared" si="9"/>
        <v>0</v>
      </c>
      <c r="AS12" s="8">
        <v>10009207</v>
      </c>
      <c r="AT12" s="3" t="str">
        <f t="shared" si="10"/>
        <v>FEBRERO10009207Inventario final</v>
      </c>
      <c r="AU12" s="8">
        <v>0</v>
      </c>
      <c r="AV12" s="113">
        <f t="shared" si="1"/>
        <v>30.84</v>
      </c>
      <c r="AW12" s="114">
        <f t="shared" si="2"/>
        <v>0</v>
      </c>
      <c r="AX12" s="115">
        <f t="shared" si="3"/>
        <v>5612.88</v>
      </c>
      <c r="AY12" s="124">
        <f>$AY$50/$AV$50*AV12</f>
        <v>1034.9039087851831</v>
      </c>
      <c r="AZ12" s="114">
        <f>$AZ$50/$AV$50*AV12</f>
        <v>2343.0577930596451</v>
      </c>
      <c r="BA12" s="114">
        <f>$BA$50/$AV$50*AV12</f>
        <v>1958.9178463389155</v>
      </c>
      <c r="BB12" s="114">
        <v>0</v>
      </c>
      <c r="BC12" s="116">
        <f>$BC$50</f>
        <v>0</v>
      </c>
      <c r="BD12" s="117">
        <f t="shared" si="11"/>
        <v>8990.841701844829</v>
      </c>
      <c r="BE12" s="118">
        <f t="shared" si="12"/>
        <v>291.53183209613582</v>
      </c>
      <c r="BF12" s="119"/>
      <c r="BG12" s="120">
        <v>1000</v>
      </c>
      <c r="BH12" s="121">
        <f t="shared" si="4"/>
        <v>30840</v>
      </c>
      <c r="BI12" s="122">
        <f t="shared" si="13"/>
        <v>21849.158298155169</v>
      </c>
      <c r="BJ12" s="123">
        <f t="shared" si="5"/>
        <v>0.70846816790386413</v>
      </c>
    </row>
    <row r="13" spans="1:62" s="8" customFormat="1" x14ac:dyDescent="0.25">
      <c r="A13" s="37">
        <f>+A12+1</f>
        <v>11</v>
      </c>
      <c r="B13" s="40">
        <v>10007969</v>
      </c>
      <c r="C13" s="40" t="s">
        <v>59</v>
      </c>
      <c r="D13" s="54">
        <v>48300</v>
      </c>
      <c r="E13" s="26"/>
      <c r="F13" s="26"/>
      <c r="G13" s="26"/>
      <c r="H13" s="26"/>
      <c r="I13" s="26"/>
      <c r="J13" s="27"/>
      <c r="K13" s="26">
        <f t="shared" si="15"/>
        <v>48300</v>
      </c>
      <c r="L13" s="26">
        <f t="shared" si="0"/>
        <v>0</v>
      </c>
      <c r="M13" s="38"/>
      <c r="N13" s="26">
        <f t="shared" si="6"/>
        <v>48300</v>
      </c>
      <c r="O13" s="27"/>
      <c r="P13" s="18">
        <v>46780</v>
      </c>
      <c r="Q13" s="18">
        <f t="shared" si="7"/>
        <v>1520</v>
      </c>
      <c r="R13" s="60"/>
      <c r="S13" s="65"/>
      <c r="T13" s="60"/>
      <c r="U13" s="27"/>
      <c r="V13" s="27">
        <f t="shared" si="8"/>
        <v>0</v>
      </c>
      <c r="W13" s="27">
        <f t="shared" si="9"/>
        <v>0</v>
      </c>
      <c r="AS13" s="8">
        <v>10007969</v>
      </c>
      <c r="AT13" s="3" t="str">
        <f t="shared" si="10"/>
        <v>FEBRERO10007969Inventario final</v>
      </c>
      <c r="AU13" s="8">
        <f>INDEX('[1]Detalle Costos'!$L$5:$L$158,MATCH(AT13,'[1]Detalle Costos'!$C$5:$C$158,0))</f>
        <v>1.4</v>
      </c>
      <c r="AV13" s="113">
        <f t="shared" si="1"/>
        <v>48.3</v>
      </c>
      <c r="AW13" s="114">
        <f t="shared" si="2"/>
        <v>67619.999999999985</v>
      </c>
      <c r="AX13" s="115">
        <f t="shared" si="3"/>
        <v>8790.6</v>
      </c>
      <c r="AY13" s="124">
        <f>$AY$50/$AV$50*AV13</f>
        <v>1620.8125419690125</v>
      </c>
      <c r="AZ13" s="114">
        <f>$AZ$50/$AV$50*AV13</f>
        <v>3669.5749482743468</v>
      </c>
      <c r="BA13" s="114">
        <f>$BA$50/$AV$50*AV13</f>
        <v>3067.9549928070564</v>
      </c>
      <c r="BB13" s="114">
        <v>0</v>
      </c>
      <c r="BC13" s="116">
        <f>$BC$50</f>
        <v>0</v>
      </c>
      <c r="BD13" s="117">
        <f t="shared" si="11"/>
        <v>81700.987490243351</v>
      </c>
      <c r="BE13" s="118">
        <f t="shared" si="12"/>
        <v>1691.5318320961358</v>
      </c>
      <c r="BF13" s="119"/>
      <c r="BG13" s="120">
        <v>1800</v>
      </c>
      <c r="BH13" s="121">
        <f t="shared" si="4"/>
        <v>86940</v>
      </c>
      <c r="BI13" s="122">
        <f t="shared" si="13"/>
        <v>5239.0125097566488</v>
      </c>
      <c r="BJ13" s="123">
        <f t="shared" si="5"/>
        <v>6.0260093279924647E-2</v>
      </c>
    </row>
    <row r="14" spans="1:62" x14ac:dyDescent="0.3">
      <c r="A14" s="7">
        <f>+A13+1</f>
        <v>12</v>
      </c>
      <c r="B14" s="20" t="s">
        <v>8</v>
      </c>
      <c r="C14" s="20" t="s">
        <v>9</v>
      </c>
      <c r="D14" s="55">
        <v>300</v>
      </c>
      <c r="E14" s="21"/>
      <c r="F14" s="21"/>
      <c r="G14" s="21"/>
      <c r="H14" s="21"/>
      <c r="I14" s="21"/>
      <c r="J14" s="27"/>
      <c r="K14" s="21">
        <f t="shared" si="15"/>
        <v>300</v>
      </c>
      <c r="L14" s="21">
        <f t="shared" si="0"/>
        <v>0</v>
      </c>
      <c r="M14" s="22"/>
      <c r="N14" s="21">
        <f t="shared" si="6"/>
        <v>300</v>
      </c>
      <c r="O14" s="27"/>
      <c r="P14" s="18">
        <v>300</v>
      </c>
      <c r="Q14" s="18">
        <f t="shared" si="7"/>
        <v>0</v>
      </c>
      <c r="R14" s="60"/>
      <c r="S14" s="65"/>
      <c r="T14" s="60"/>
      <c r="U14" s="27"/>
      <c r="V14" s="27">
        <f t="shared" si="8"/>
        <v>0</v>
      </c>
      <c r="W14" s="27">
        <f t="shared" si="9"/>
        <v>0</v>
      </c>
      <c r="AS14" s="3">
        <v>10005721</v>
      </c>
      <c r="AT14" s="3" t="str">
        <f t="shared" si="10"/>
        <v>FEBRERO10005721Inventario final</v>
      </c>
      <c r="AU14" s="3">
        <f>INDEX('[1]Detalle Costos'!$L$5:$L$158,MATCH(AT14,'[1]Detalle Costos'!$C$5:$C$158,0))</f>
        <v>1.74</v>
      </c>
      <c r="AV14" s="113">
        <f t="shared" si="1"/>
        <v>0.3</v>
      </c>
      <c r="AW14" s="114">
        <f t="shared" si="2"/>
        <v>522</v>
      </c>
      <c r="AX14" s="115">
        <f t="shared" si="3"/>
        <v>54.6</v>
      </c>
      <c r="AY14" s="114">
        <f>$AY$50/$AV$50*AV14</f>
        <v>10.067158645770265</v>
      </c>
      <c r="AZ14" s="114">
        <f>$AZ$50/$AV$50*AV14</f>
        <v>22.792390983070476</v>
      </c>
      <c r="BA14" s="114">
        <f>$BA$50/$AV$50*AV14</f>
        <v>19.055621073335754</v>
      </c>
      <c r="BB14" s="114">
        <v>0</v>
      </c>
      <c r="BC14" s="116">
        <f>$BC$50</f>
        <v>0</v>
      </c>
      <c r="BD14" s="117">
        <f t="shared" si="11"/>
        <v>609.45954962884082</v>
      </c>
      <c r="BE14" s="118">
        <f t="shared" si="12"/>
        <v>2031.5318320961362</v>
      </c>
      <c r="BF14" s="119"/>
      <c r="BG14" s="120">
        <v>2100</v>
      </c>
      <c r="BH14" s="121">
        <f t="shared" si="4"/>
        <v>630</v>
      </c>
      <c r="BI14" s="122">
        <f t="shared" si="13"/>
        <v>20.540450371159181</v>
      </c>
      <c r="BJ14" s="123">
        <f t="shared" si="5"/>
        <v>3.2603889478030446E-2</v>
      </c>
    </row>
    <row r="15" spans="1:62" x14ac:dyDescent="0.3">
      <c r="A15" s="7">
        <f t="shared" ref="A15:A17" si="16">+A14+1</f>
        <v>13</v>
      </c>
      <c r="B15" s="20" t="s">
        <v>10</v>
      </c>
      <c r="C15" s="20" t="s">
        <v>11</v>
      </c>
      <c r="D15" s="55">
        <v>1120</v>
      </c>
      <c r="E15" s="21"/>
      <c r="F15" s="21"/>
      <c r="G15" s="21"/>
      <c r="H15" s="21"/>
      <c r="I15" s="21"/>
      <c r="J15" s="27"/>
      <c r="K15" s="21">
        <f t="shared" si="15"/>
        <v>1120</v>
      </c>
      <c r="L15" s="21">
        <f t="shared" si="0"/>
        <v>0</v>
      </c>
      <c r="M15" s="22"/>
      <c r="N15" s="21">
        <f t="shared" si="6"/>
        <v>1120</v>
      </c>
      <c r="O15" s="27"/>
      <c r="P15" s="18">
        <v>1120</v>
      </c>
      <c r="Q15" s="18">
        <f t="shared" si="7"/>
        <v>0</v>
      </c>
      <c r="R15" s="60"/>
      <c r="S15" s="65"/>
      <c r="T15" s="60"/>
      <c r="U15" s="27"/>
      <c r="V15" s="27">
        <f t="shared" si="8"/>
        <v>0</v>
      </c>
      <c r="W15" s="27">
        <f t="shared" si="9"/>
        <v>0</v>
      </c>
      <c r="AS15" s="3">
        <v>10005721</v>
      </c>
      <c r="AT15" s="3" t="str">
        <f t="shared" si="10"/>
        <v>FEBRERO10005721Inventario final</v>
      </c>
      <c r="AU15" s="3">
        <f>INDEX('[1]Detalle Costos'!$L$5:$L$158,MATCH(AT15,'[1]Detalle Costos'!$C$5:$C$158,0))</f>
        <v>1.74</v>
      </c>
      <c r="AV15" s="113">
        <f t="shared" si="1"/>
        <v>1.1200000000000001</v>
      </c>
      <c r="AW15" s="114">
        <f t="shared" si="2"/>
        <v>1948.8000000000002</v>
      </c>
      <c r="AX15" s="115">
        <f t="shared" si="3"/>
        <v>203.84000000000003</v>
      </c>
      <c r="AY15" s="114">
        <f>$AY$50/$AV$50*AV15</f>
        <v>37.584058944208991</v>
      </c>
      <c r="AZ15" s="114">
        <f>$AZ$50/$AV$50*AV15</f>
        <v>85.091593003463117</v>
      </c>
      <c r="BA15" s="114">
        <f>$BA$50/$AV$50*AV15</f>
        <v>71.140985340453497</v>
      </c>
      <c r="BB15" s="114">
        <v>0</v>
      </c>
      <c r="BC15" s="116">
        <f>$BC$50</f>
        <v>0</v>
      </c>
      <c r="BD15" s="117">
        <f t="shared" si="11"/>
        <v>2275.3156519476724</v>
      </c>
      <c r="BE15" s="118">
        <f t="shared" si="12"/>
        <v>2031.531832096136</v>
      </c>
      <c r="BF15" s="119"/>
      <c r="BG15" s="120">
        <v>2100</v>
      </c>
      <c r="BH15" s="121">
        <f t="shared" si="4"/>
        <v>2352</v>
      </c>
      <c r="BI15" s="122">
        <f t="shared" si="13"/>
        <v>76.68434805232755</v>
      </c>
      <c r="BJ15" s="123">
        <f t="shared" si="5"/>
        <v>3.2603889478030418E-2</v>
      </c>
    </row>
    <row r="16" spans="1:62" x14ac:dyDescent="0.3">
      <c r="A16" s="7">
        <f t="shared" si="16"/>
        <v>14</v>
      </c>
      <c r="B16" s="20" t="s">
        <v>57</v>
      </c>
      <c r="C16" s="20" t="s">
        <v>95</v>
      </c>
      <c r="D16" s="55">
        <v>486640</v>
      </c>
      <c r="E16" s="21"/>
      <c r="F16" s="21"/>
      <c r="G16" s="21"/>
      <c r="H16" s="21"/>
      <c r="I16" s="21"/>
      <c r="J16" s="27"/>
      <c r="K16" s="21">
        <f t="shared" si="15"/>
        <v>486640</v>
      </c>
      <c r="L16" s="21">
        <f t="shared" si="0"/>
        <v>0</v>
      </c>
      <c r="M16" s="22">
        <v>125000</v>
      </c>
      <c r="N16" s="21">
        <f t="shared" si="6"/>
        <v>361640</v>
      </c>
      <c r="O16" s="27"/>
      <c r="P16" s="18">
        <v>460180</v>
      </c>
      <c r="Q16" s="18">
        <f t="shared" si="7"/>
        <v>-98540</v>
      </c>
      <c r="R16" s="60"/>
      <c r="S16" s="65"/>
      <c r="T16" s="60">
        <v>125000</v>
      </c>
      <c r="U16" s="27"/>
      <c r="V16" s="27">
        <f t="shared" si="8"/>
        <v>125000</v>
      </c>
      <c r="W16" s="27">
        <f t="shared" si="9"/>
        <v>0</v>
      </c>
      <c r="AL16" s="15"/>
      <c r="AS16" s="3">
        <v>10005721</v>
      </c>
      <c r="AT16" s="3" t="str">
        <f t="shared" si="10"/>
        <v>FEBRERO10005721Inventario final</v>
      </c>
      <c r="AU16" s="3">
        <f>INDEX('[1]Detalle Costos'!$L$5:$L$158,MATCH(AT16,'[1]Detalle Costos'!$C$5:$C$158,0))</f>
        <v>1.74</v>
      </c>
      <c r="AV16" s="135">
        <f>IF(ISERROR(AU16),0,(N16+M16)/1000)</f>
        <v>486.64</v>
      </c>
      <c r="AW16" s="114">
        <f t="shared" si="2"/>
        <v>846753.6</v>
      </c>
      <c r="AX16" s="115">
        <f t="shared" si="3"/>
        <v>88568.48</v>
      </c>
      <c r="AY16" s="114">
        <f>$AY$50/$AV$50*AV16</f>
        <v>16330.273611258806</v>
      </c>
      <c r="AZ16" s="114">
        <f>$AZ$50/$AV$50*AV16</f>
        <v>36972.297160004724</v>
      </c>
      <c r="BA16" s="114">
        <f>$BA$50/$AV$50*AV16</f>
        <v>30910.758130427039</v>
      </c>
      <c r="BB16" s="114">
        <v>0</v>
      </c>
      <c r="BC16" s="116">
        <f>$BC$50</f>
        <v>0</v>
      </c>
      <c r="BD16" s="117">
        <f t="shared" si="11"/>
        <v>988624.65077126352</v>
      </c>
      <c r="BE16" s="118">
        <f t="shared" si="12"/>
        <v>2031.5318320961358</v>
      </c>
      <c r="BF16" s="119"/>
      <c r="BG16" s="120">
        <v>2100</v>
      </c>
      <c r="BH16" s="121">
        <f t="shared" si="4"/>
        <v>1021944</v>
      </c>
      <c r="BI16" s="122">
        <f t="shared" si="13"/>
        <v>33319.349228736479</v>
      </c>
      <c r="BJ16" s="123">
        <f t="shared" si="5"/>
        <v>3.2603889478030577E-2</v>
      </c>
    </row>
    <row r="17" spans="1:62" x14ac:dyDescent="0.3">
      <c r="A17" s="7">
        <f t="shared" si="16"/>
        <v>15</v>
      </c>
      <c r="B17" s="20" t="s">
        <v>55</v>
      </c>
      <c r="C17" s="20" t="s">
        <v>56</v>
      </c>
      <c r="D17" s="55">
        <v>121200</v>
      </c>
      <c r="E17" s="21"/>
      <c r="F17" s="21"/>
      <c r="G17" s="21"/>
      <c r="H17" s="21"/>
      <c r="I17" s="21"/>
      <c r="J17" s="27"/>
      <c r="K17" s="21">
        <f t="shared" si="15"/>
        <v>121200</v>
      </c>
      <c r="L17" s="21">
        <f t="shared" si="0"/>
        <v>0</v>
      </c>
      <c r="M17" s="22">
        <v>46000</v>
      </c>
      <c r="N17" s="21">
        <f>+K17+L17-M17</f>
        <v>75200</v>
      </c>
      <c r="O17" s="27"/>
      <c r="P17" s="18">
        <v>118700</v>
      </c>
      <c r="Q17" s="18">
        <f t="shared" si="7"/>
        <v>-43500</v>
      </c>
      <c r="R17" s="60"/>
      <c r="S17" s="65"/>
      <c r="T17" s="60">
        <v>46000</v>
      </c>
      <c r="U17" s="27"/>
      <c r="V17" s="27">
        <f t="shared" si="8"/>
        <v>46000</v>
      </c>
      <c r="W17" s="27">
        <f t="shared" si="9"/>
        <v>0</v>
      </c>
      <c r="AK17" s="8"/>
      <c r="AS17" s="3">
        <v>10005721</v>
      </c>
      <c r="AT17" s="3" t="str">
        <f t="shared" si="10"/>
        <v>FEBRERO10005721Inventario final</v>
      </c>
      <c r="AU17" s="3">
        <f>INDEX('[1]Detalle Costos'!$L$5:$L$158,MATCH(AT17,'[1]Detalle Costos'!$C$5:$C$158,0))</f>
        <v>1.74</v>
      </c>
      <c r="AV17" s="135">
        <f>IF(ISERROR(AU17),0,(N17+M17)/1000)</f>
        <v>121.2</v>
      </c>
      <c r="AW17" s="114">
        <f t="shared" si="2"/>
        <v>210888</v>
      </c>
      <c r="AX17" s="115">
        <f t="shared" si="3"/>
        <v>22058.400000000001</v>
      </c>
      <c r="AY17" s="114">
        <f>$AY$50/$AV$50*AV17</f>
        <v>4067.1320928911873</v>
      </c>
      <c r="AZ17" s="114">
        <f>$AZ$50/$AV$50*AV17</f>
        <v>9208.1259571604733</v>
      </c>
      <c r="BA17" s="114">
        <f>$BA$50/$AV$50*AV17</f>
        <v>7698.4709136276451</v>
      </c>
      <c r="BB17" s="114">
        <v>0</v>
      </c>
      <c r="BC17" s="116">
        <f>$BC$50</f>
        <v>0</v>
      </c>
      <c r="BD17" s="117">
        <f t="shared" si="11"/>
        <v>246221.65805005163</v>
      </c>
      <c r="BE17" s="118">
        <f t="shared" si="12"/>
        <v>2031.5318320961355</v>
      </c>
      <c r="BF17" s="119"/>
      <c r="BG17" s="120">
        <v>2100</v>
      </c>
      <c r="BH17" s="121">
        <f t="shared" si="4"/>
        <v>254520</v>
      </c>
      <c r="BI17" s="122">
        <f t="shared" si="13"/>
        <v>8298.3419499483716</v>
      </c>
      <c r="BJ17" s="123">
        <f t="shared" si="5"/>
        <v>3.2603889478030688E-2</v>
      </c>
    </row>
    <row r="18" spans="1:62" x14ac:dyDescent="0.3">
      <c r="A18" s="23">
        <f>+A17+1</f>
        <v>16</v>
      </c>
      <c r="B18" s="47" t="s">
        <v>42</v>
      </c>
      <c r="C18" s="32" t="s">
        <v>7</v>
      </c>
      <c r="D18" s="56">
        <v>940</v>
      </c>
      <c r="E18" s="24"/>
      <c r="F18" s="24"/>
      <c r="G18" s="24"/>
      <c r="H18" s="24"/>
      <c r="I18" s="24"/>
      <c r="J18" s="27"/>
      <c r="K18" s="24">
        <f t="shared" si="15"/>
        <v>940</v>
      </c>
      <c r="L18" s="24">
        <f t="shared" si="0"/>
        <v>0</v>
      </c>
      <c r="M18" s="25"/>
      <c r="N18" s="24">
        <f t="shared" si="6"/>
        <v>940</v>
      </c>
      <c r="O18" s="27"/>
      <c r="P18" s="18">
        <v>940</v>
      </c>
      <c r="Q18" s="18">
        <f t="shared" si="7"/>
        <v>0</v>
      </c>
      <c r="R18" s="60"/>
      <c r="S18" s="65"/>
      <c r="T18" s="60"/>
      <c r="U18" s="27"/>
      <c r="V18" s="27">
        <f t="shared" si="8"/>
        <v>0</v>
      </c>
      <c r="W18" s="27">
        <f t="shared" si="9"/>
        <v>0</v>
      </c>
      <c r="AS18" s="3">
        <v>10005779</v>
      </c>
      <c r="AT18" s="3" t="str">
        <f t="shared" si="10"/>
        <v>FEBRERO10005779Inventario final</v>
      </c>
      <c r="AU18" s="3">
        <f>INDEX('[1]Detalle Costos'!$L$5:$L$158,MATCH(AT18,'[1]Detalle Costos'!$C$5:$C$158,0))</f>
        <v>1.86</v>
      </c>
      <c r="AV18" s="113">
        <f t="shared" si="1"/>
        <v>0.94</v>
      </c>
      <c r="AW18" s="114">
        <f t="shared" si="2"/>
        <v>1748.3999999999999</v>
      </c>
      <c r="AX18" s="115">
        <f t="shared" si="3"/>
        <v>171.07999999999998</v>
      </c>
      <c r="AY18" s="114">
        <f>$AY$50/$AV$50*AV18</f>
        <v>31.543763756746831</v>
      </c>
      <c r="AZ18" s="114">
        <f>$AZ$50/$AV$50*AV18</f>
        <v>71.416158413620821</v>
      </c>
      <c r="BA18" s="114">
        <f>$BA$50/$AV$50*AV18</f>
        <v>59.707612696452031</v>
      </c>
      <c r="BB18" s="114">
        <v>0</v>
      </c>
      <c r="BC18" s="116">
        <f>$BC$50</f>
        <v>0</v>
      </c>
      <c r="BD18" s="117">
        <f t="shared" si="11"/>
        <v>2022.4399221703675</v>
      </c>
      <c r="BE18" s="118">
        <f t="shared" si="12"/>
        <v>2151.5318320961355</v>
      </c>
      <c r="BF18" s="119"/>
      <c r="BG18" s="120">
        <v>1200</v>
      </c>
      <c r="BH18" s="121">
        <f t="shared" si="4"/>
        <v>1128</v>
      </c>
      <c r="BI18" s="122">
        <f t="shared" si="13"/>
        <v>-894.43992217036748</v>
      </c>
      <c r="BJ18" s="123">
        <f t="shared" si="5"/>
        <v>-0.79294319341344632</v>
      </c>
    </row>
    <row r="19" spans="1:62" x14ac:dyDescent="0.3">
      <c r="A19" s="23">
        <f t="shared" ref="A19:A23" si="17">+A18+1</f>
        <v>17</v>
      </c>
      <c r="B19" s="47">
        <v>10009271</v>
      </c>
      <c r="C19" s="32" t="s">
        <v>60</v>
      </c>
      <c r="D19" s="56">
        <v>560</v>
      </c>
      <c r="E19" s="24"/>
      <c r="F19" s="24"/>
      <c r="G19" s="24"/>
      <c r="H19" s="24"/>
      <c r="I19" s="24"/>
      <c r="J19" s="27"/>
      <c r="K19" s="24">
        <f t="shared" si="15"/>
        <v>560</v>
      </c>
      <c r="L19" s="24">
        <f t="shared" si="0"/>
        <v>0</v>
      </c>
      <c r="M19" s="25"/>
      <c r="N19" s="24">
        <f t="shared" si="6"/>
        <v>560</v>
      </c>
      <c r="O19" s="27"/>
      <c r="P19" s="18">
        <v>560</v>
      </c>
      <c r="Q19" s="18">
        <f t="shared" si="7"/>
        <v>0</v>
      </c>
      <c r="R19" s="60"/>
      <c r="S19" s="65"/>
      <c r="T19" s="60"/>
      <c r="U19" s="27"/>
      <c r="V19" s="27">
        <f t="shared" si="8"/>
        <v>0</v>
      </c>
      <c r="W19" s="27">
        <f t="shared" si="9"/>
        <v>0</v>
      </c>
      <c r="AS19" s="3">
        <v>10005779</v>
      </c>
      <c r="AT19" s="3" t="str">
        <f t="shared" si="10"/>
        <v>FEBRERO10005779Inventario final</v>
      </c>
      <c r="AU19" s="3">
        <f>INDEX('[1]Detalle Costos'!$L$5:$L$158,MATCH(AT19,'[1]Detalle Costos'!$C$5:$C$158,0))</f>
        <v>1.86</v>
      </c>
      <c r="AV19" s="113">
        <f t="shared" si="1"/>
        <v>0.56000000000000005</v>
      </c>
      <c r="AW19" s="114">
        <f t="shared" si="2"/>
        <v>1041.6000000000001</v>
      </c>
      <c r="AX19" s="115">
        <f t="shared" si="3"/>
        <v>101.92000000000002</v>
      </c>
      <c r="AY19" s="114">
        <f>$AY$50/$AV$50*AV19</f>
        <v>18.792029472104495</v>
      </c>
      <c r="AZ19" s="114">
        <f>$AZ$50/$AV$50*AV19</f>
        <v>42.545796501731559</v>
      </c>
      <c r="BA19" s="114">
        <f>$BA$50/$AV$50*AV19</f>
        <v>35.570492670226749</v>
      </c>
      <c r="BB19" s="114">
        <v>0</v>
      </c>
      <c r="BC19" s="116">
        <f>$BC$50</f>
        <v>0</v>
      </c>
      <c r="BD19" s="117">
        <f t="shared" si="11"/>
        <v>1204.8578259738363</v>
      </c>
      <c r="BE19" s="118">
        <f t="shared" si="12"/>
        <v>2151.531832096136</v>
      </c>
      <c r="BF19" s="119"/>
      <c r="BG19" s="120">
        <v>1200</v>
      </c>
      <c r="BH19" s="121">
        <f t="shared" si="4"/>
        <v>672.00000000000011</v>
      </c>
      <c r="BI19" s="122">
        <f t="shared" si="13"/>
        <v>-532.85782597383616</v>
      </c>
      <c r="BJ19" s="123">
        <f t="shared" si="5"/>
        <v>-0.79294319341344655</v>
      </c>
    </row>
    <row r="20" spans="1:62" x14ac:dyDescent="0.3">
      <c r="A20" s="23">
        <f t="shared" si="17"/>
        <v>18</v>
      </c>
      <c r="B20" s="47" t="s">
        <v>43</v>
      </c>
      <c r="C20" s="32" t="s">
        <v>44</v>
      </c>
      <c r="D20" s="56">
        <v>78780</v>
      </c>
      <c r="E20" s="24"/>
      <c r="F20" s="24"/>
      <c r="G20" s="24"/>
      <c r="H20" s="24"/>
      <c r="I20" s="24"/>
      <c r="J20" s="27"/>
      <c r="K20" s="24">
        <f t="shared" si="15"/>
        <v>78780</v>
      </c>
      <c r="L20" s="24">
        <f t="shared" si="0"/>
        <v>0</v>
      </c>
      <c r="M20" s="25"/>
      <c r="N20" s="24">
        <f t="shared" si="6"/>
        <v>78780</v>
      </c>
      <c r="O20" s="27"/>
      <c r="P20" s="18">
        <v>76560</v>
      </c>
      <c r="Q20" s="18">
        <f t="shared" si="7"/>
        <v>2220</v>
      </c>
      <c r="R20" s="60"/>
      <c r="S20" s="65"/>
      <c r="T20" s="60"/>
      <c r="U20" s="27"/>
      <c r="V20" s="27">
        <f t="shared" si="8"/>
        <v>0</v>
      </c>
      <c r="W20" s="27">
        <f t="shared" si="9"/>
        <v>0</v>
      </c>
      <c r="AS20" s="3">
        <v>10005779</v>
      </c>
      <c r="AT20" s="3" t="str">
        <f t="shared" si="10"/>
        <v>FEBRERO10005779Inventario final</v>
      </c>
      <c r="AU20" s="3">
        <f>INDEX('[1]Detalle Costos'!$L$5:$L$158,MATCH(AT20,'[1]Detalle Costos'!$C$5:$C$158,0))</f>
        <v>1.86</v>
      </c>
      <c r="AV20" s="113">
        <f t="shared" si="1"/>
        <v>78.78</v>
      </c>
      <c r="AW20" s="114">
        <f t="shared" si="2"/>
        <v>146530.79999999999</v>
      </c>
      <c r="AX20" s="115">
        <f t="shared" si="3"/>
        <v>14337.960000000001</v>
      </c>
      <c r="AY20" s="114">
        <f>$AY$50/$AV$50*AV20</f>
        <v>2643.6358603792719</v>
      </c>
      <c r="AZ20" s="114">
        <f>$AZ$50/$AV$50*AV20</f>
        <v>5985.2818721543072</v>
      </c>
      <c r="BA20" s="114">
        <f>$BA$50/$AV$50*AV20</f>
        <v>5004.0060938579691</v>
      </c>
      <c r="BB20" s="114">
        <v>0</v>
      </c>
      <c r="BC20" s="116">
        <f>$BC$50</f>
        <v>0</v>
      </c>
      <c r="BD20" s="117">
        <f t="shared" si="11"/>
        <v>169497.67773253354</v>
      </c>
      <c r="BE20" s="118">
        <f t="shared" si="12"/>
        <v>2151.5318320961355</v>
      </c>
      <c r="BF20" s="119"/>
      <c r="BG20" s="120">
        <v>1200</v>
      </c>
      <c r="BH20" s="121">
        <f t="shared" si="4"/>
        <v>94536</v>
      </c>
      <c r="BI20" s="122">
        <f t="shared" si="13"/>
        <v>-74961.677732533542</v>
      </c>
      <c r="BJ20" s="123">
        <f t="shared" si="5"/>
        <v>-0.7929431934134461</v>
      </c>
    </row>
    <row r="21" spans="1:62" x14ac:dyDescent="0.3">
      <c r="A21" s="23">
        <f t="shared" si="17"/>
        <v>19</v>
      </c>
      <c r="B21" s="47" t="s">
        <v>45</v>
      </c>
      <c r="C21" s="32" t="s">
        <v>46</v>
      </c>
      <c r="D21" s="56">
        <v>3620</v>
      </c>
      <c r="E21" s="24"/>
      <c r="F21" s="24"/>
      <c r="G21" s="24"/>
      <c r="H21" s="24"/>
      <c r="I21" s="24"/>
      <c r="J21" s="27"/>
      <c r="K21" s="24">
        <f t="shared" si="15"/>
        <v>3620</v>
      </c>
      <c r="L21" s="24">
        <f t="shared" si="0"/>
        <v>0</v>
      </c>
      <c r="M21" s="25"/>
      <c r="N21" s="24">
        <f t="shared" si="6"/>
        <v>3620</v>
      </c>
      <c r="O21" s="27"/>
      <c r="P21" s="18">
        <v>3480</v>
      </c>
      <c r="Q21" s="18">
        <f t="shared" si="7"/>
        <v>140</v>
      </c>
      <c r="R21" s="60"/>
      <c r="S21" s="65"/>
      <c r="T21" s="60"/>
      <c r="U21" s="27"/>
      <c r="V21" s="27">
        <f t="shared" si="8"/>
        <v>0</v>
      </c>
      <c r="W21" s="27">
        <f t="shared" si="9"/>
        <v>0</v>
      </c>
      <c r="AS21" s="3">
        <v>10005779</v>
      </c>
      <c r="AT21" s="3" t="str">
        <f t="shared" si="10"/>
        <v>FEBRERO10005779Inventario final</v>
      </c>
      <c r="AU21" s="3">
        <f>INDEX('[1]Detalle Costos'!$L$5:$L$158,MATCH(AT21,'[1]Detalle Costos'!$C$5:$C$158,0))</f>
        <v>1.86</v>
      </c>
      <c r="AV21" s="113">
        <f t="shared" si="1"/>
        <v>3.62</v>
      </c>
      <c r="AW21" s="114">
        <f t="shared" si="2"/>
        <v>6733.2000000000007</v>
      </c>
      <c r="AX21" s="115">
        <f t="shared" si="3"/>
        <v>658.84</v>
      </c>
      <c r="AY21" s="114">
        <f>$AY$50/$AV$50*AV21</f>
        <v>121.4770476589612</v>
      </c>
      <c r="AZ21" s="114">
        <f>$AZ$50/$AV$50*AV21</f>
        <v>275.02818452905041</v>
      </c>
      <c r="BA21" s="114">
        <f>$BA$50/$AV$50*AV21</f>
        <v>229.93782761825145</v>
      </c>
      <c r="BB21" s="114">
        <v>0</v>
      </c>
      <c r="BC21" s="116">
        <f>$BC$50</f>
        <v>0</v>
      </c>
      <c r="BD21" s="117">
        <f t="shared" si="11"/>
        <v>7788.5452321880121</v>
      </c>
      <c r="BE21" s="118">
        <f t="shared" si="12"/>
        <v>2151.531832096136</v>
      </c>
      <c r="BF21" s="119"/>
      <c r="BG21" s="120">
        <v>1200</v>
      </c>
      <c r="BH21" s="121">
        <f t="shared" si="4"/>
        <v>4344</v>
      </c>
      <c r="BI21" s="122">
        <f t="shared" si="13"/>
        <v>-3444.5452321880121</v>
      </c>
      <c r="BJ21" s="123">
        <f t="shared" si="5"/>
        <v>-0.79294319341344666</v>
      </c>
    </row>
    <row r="22" spans="1:62" x14ac:dyDescent="0.3">
      <c r="A22" s="23">
        <f t="shared" si="17"/>
        <v>20</v>
      </c>
      <c r="B22" s="47" t="s">
        <v>47</v>
      </c>
      <c r="C22" s="32" t="s">
        <v>48</v>
      </c>
      <c r="D22" s="56">
        <v>57080</v>
      </c>
      <c r="E22" s="24"/>
      <c r="F22" s="24"/>
      <c r="G22" s="24"/>
      <c r="H22" s="24"/>
      <c r="I22" s="24"/>
      <c r="J22" s="27"/>
      <c r="K22" s="24">
        <f t="shared" si="15"/>
        <v>57080</v>
      </c>
      <c r="L22" s="24">
        <f t="shared" si="0"/>
        <v>0</v>
      </c>
      <c r="M22" s="25"/>
      <c r="N22" s="24">
        <f t="shared" si="6"/>
        <v>57080</v>
      </c>
      <c r="O22" s="27"/>
      <c r="P22" s="18">
        <v>53500</v>
      </c>
      <c r="Q22" s="18">
        <f t="shared" si="7"/>
        <v>3580</v>
      </c>
      <c r="R22" s="60"/>
      <c r="S22" s="65"/>
      <c r="T22" s="60"/>
      <c r="U22" s="27"/>
      <c r="V22" s="27">
        <f t="shared" si="8"/>
        <v>0</v>
      </c>
      <c r="W22" s="27">
        <f t="shared" si="9"/>
        <v>0</v>
      </c>
      <c r="AS22" s="3">
        <v>10005781</v>
      </c>
      <c r="AT22" s="3" t="str">
        <f t="shared" si="10"/>
        <v>FEBRERO10005781Inventario final</v>
      </c>
      <c r="AU22" s="3">
        <f>INDEX('[1]Detalle Costos'!$L$5:$L$158,MATCH(AT22,'[1]Detalle Costos'!$C$5:$C$158,0))</f>
        <v>1.86</v>
      </c>
      <c r="AV22" s="113">
        <f t="shared" si="1"/>
        <v>57.08</v>
      </c>
      <c r="AW22" s="114">
        <f t="shared" si="2"/>
        <v>106168.8</v>
      </c>
      <c r="AX22" s="115">
        <f t="shared" si="3"/>
        <v>10388.56</v>
      </c>
      <c r="AY22" s="114">
        <f>$AY$50/$AV$50*AV22</f>
        <v>1915.4447183352224</v>
      </c>
      <c r="AZ22" s="114">
        <f>$AZ$50/$AV$50*AV22</f>
        <v>4336.6322577122091</v>
      </c>
      <c r="BA22" s="114">
        <f>$BA$50/$AV$50*AV22</f>
        <v>3625.649502886683</v>
      </c>
      <c r="BB22" s="114">
        <v>0</v>
      </c>
      <c r="BC22" s="116">
        <f>$BC$50</f>
        <v>0</v>
      </c>
      <c r="BD22" s="117">
        <f t="shared" si="11"/>
        <v>122809.43697604742</v>
      </c>
      <c r="BE22" s="118">
        <f t="shared" si="12"/>
        <v>2151.5318320961355</v>
      </c>
      <c r="BF22" s="119"/>
      <c r="BG22" s="120">
        <v>1200</v>
      </c>
      <c r="BH22" s="121">
        <f t="shared" si="4"/>
        <v>68496</v>
      </c>
      <c r="BI22" s="122">
        <f t="shared" si="13"/>
        <v>-54313.436976047422</v>
      </c>
      <c r="BJ22" s="123">
        <f t="shared" si="5"/>
        <v>-0.79294319341344632</v>
      </c>
    </row>
    <row r="23" spans="1:62" x14ac:dyDescent="0.3">
      <c r="A23" s="78">
        <f t="shared" si="17"/>
        <v>21</v>
      </c>
      <c r="B23" s="93">
        <v>10009386</v>
      </c>
      <c r="C23" s="93" t="s">
        <v>63</v>
      </c>
      <c r="D23" s="94">
        <v>36360</v>
      </c>
      <c r="E23" s="9"/>
      <c r="F23" s="9"/>
      <c r="G23" s="9"/>
      <c r="H23" s="9"/>
      <c r="I23" s="9"/>
      <c r="J23" s="27"/>
      <c r="K23" s="9">
        <f t="shared" si="15"/>
        <v>36360</v>
      </c>
      <c r="L23" s="9">
        <f t="shared" si="0"/>
        <v>0</v>
      </c>
      <c r="M23" s="95"/>
      <c r="N23" s="9">
        <f t="shared" si="6"/>
        <v>36360</v>
      </c>
      <c r="O23" s="27"/>
      <c r="P23" s="18">
        <v>35840</v>
      </c>
      <c r="Q23" s="18">
        <f t="shared" si="7"/>
        <v>520</v>
      </c>
      <c r="R23" s="60"/>
      <c r="S23" s="65"/>
      <c r="T23" s="60"/>
      <c r="U23" s="27"/>
      <c r="V23" s="27">
        <f t="shared" si="8"/>
        <v>0</v>
      </c>
      <c r="W23" s="27">
        <f t="shared" si="9"/>
        <v>0</v>
      </c>
      <c r="AS23" s="3">
        <v>10009386</v>
      </c>
      <c r="AT23" s="3" t="str">
        <f t="shared" si="10"/>
        <v>FEBRERO10009386Inventario final</v>
      </c>
      <c r="AU23" s="136">
        <v>0</v>
      </c>
      <c r="AV23" s="113">
        <f t="shared" si="1"/>
        <v>36.36</v>
      </c>
      <c r="AW23" s="114">
        <f t="shared" si="2"/>
        <v>0</v>
      </c>
      <c r="AX23" s="115">
        <f t="shared" si="3"/>
        <v>6617.5199999999995</v>
      </c>
      <c r="AY23" s="114">
        <f>$AY$50/$AV$50*AV23</f>
        <v>1220.1396278673562</v>
      </c>
      <c r="AZ23" s="114">
        <f>$AZ$50/$AV$50*AV23</f>
        <v>2762.437787148142</v>
      </c>
      <c r="BA23" s="114">
        <f>$BA$50/$AV$50*AV23</f>
        <v>2309.5412740882934</v>
      </c>
      <c r="BB23" s="114">
        <v>0</v>
      </c>
      <c r="BC23" s="116">
        <f>$BC$50</f>
        <v>0</v>
      </c>
      <c r="BD23" s="117">
        <f t="shared" si="11"/>
        <v>10600.097415015498</v>
      </c>
      <c r="BE23" s="118">
        <f t="shared" si="12"/>
        <v>291.53183209613582</v>
      </c>
      <c r="BF23" s="119"/>
      <c r="BG23" s="120">
        <v>1000</v>
      </c>
      <c r="BH23" s="121">
        <f t="shared" si="4"/>
        <v>36360</v>
      </c>
      <c r="BI23" s="122">
        <f t="shared" si="13"/>
        <v>25759.902584984502</v>
      </c>
      <c r="BJ23" s="123">
        <f t="shared" si="5"/>
        <v>0.70846816790386424</v>
      </c>
    </row>
    <row r="24" spans="1:62" s="8" customFormat="1" x14ac:dyDescent="0.25">
      <c r="A24" s="11">
        <f>+A23+1</f>
        <v>22</v>
      </c>
      <c r="B24" s="12" t="s">
        <v>12</v>
      </c>
      <c r="C24" s="12" t="s">
        <v>13</v>
      </c>
      <c r="D24" s="57">
        <v>107860</v>
      </c>
      <c r="E24" s="10"/>
      <c r="F24" s="10"/>
      <c r="G24" s="10"/>
      <c r="H24" s="10"/>
      <c r="I24" s="10"/>
      <c r="J24" s="26"/>
      <c r="K24" s="10">
        <f t="shared" si="15"/>
        <v>107860</v>
      </c>
      <c r="L24" s="10">
        <f t="shared" si="0"/>
        <v>0</v>
      </c>
      <c r="M24" s="14"/>
      <c r="N24" s="10">
        <f t="shared" si="6"/>
        <v>107860</v>
      </c>
      <c r="O24" s="27"/>
      <c r="P24" s="18">
        <v>105200</v>
      </c>
      <c r="Q24" s="18">
        <f t="shared" si="7"/>
        <v>2660</v>
      </c>
      <c r="R24" s="60"/>
      <c r="S24" s="65"/>
      <c r="T24" s="60"/>
      <c r="U24" s="27"/>
      <c r="V24" s="27">
        <f t="shared" si="8"/>
        <v>0</v>
      </c>
      <c r="W24" s="27">
        <f t="shared" si="9"/>
        <v>0</v>
      </c>
      <c r="AE24" s="3"/>
      <c r="AK24" s="3"/>
      <c r="AL24" s="3"/>
      <c r="AM24" s="3"/>
      <c r="AS24" s="8">
        <v>10007567</v>
      </c>
      <c r="AT24" s="3" t="str">
        <f t="shared" si="10"/>
        <v>FEBRERO10007567Inventario final</v>
      </c>
      <c r="AU24" s="8">
        <f>INDEX('[1]Detalle Costos'!$L$5:$L$158,MATCH(AT24,'[1]Detalle Costos'!$C$5:$C$158,0))</f>
        <v>1.7</v>
      </c>
      <c r="AV24" s="113">
        <f t="shared" si="1"/>
        <v>107.86</v>
      </c>
      <c r="AW24" s="114">
        <f t="shared" si="2"/>
        <v>183362</v>
      </c>
      <c r="AX24" s="115">
        <f t="shared" si="3"/>
        <v>19630.52</v>
      </c>
      <c r="AY24" s="124">
        <f>$AY$50/$AV$50*AV24</f>
        <v>3619.4791051092693</v>
      </c>
      <c r="AZ24" s="114">
        <f>$AZ$50/$AV$50*AV24</f>
        <v>8194.624304779938</v>
      </c>
      <c r="BA24" s="114">
        <f>$BA$50/$AV$50*AV24</f>
        <v>6851.130963233315</v>
      </c>
      <c r="BB24" s="114">
        <v>0</v>
      </c>
      <c r="BC24" s="116">
        <f>$BC$50</f>
        <v>0</v>
      </c>
      <c r="BD24" s="117">
        <f t="shared" si="11"/>
        <v>214806.6234098892</v>
      </c>
      <c r="BE24" s="118">
        <f t="shared" si="12"/>
        <v>1991.5318320961358</v>
      </c>
      <c r="BF24" s="119"/>
      <c r="BG24" s="120">
        <v>2700</v>
      </c>
      <c r="BH24" s="121">
        <f t="shared" si="4"/>
        <v>291222</v>
      </c>
      <c r="BI24" s="122">
        <f t="shared" si="13"/>
        <v>76415.376590110798</v>
      </c>
      <c r="BJ24" s="123">
        <f t="shared" si="5"/>
        <v>0.26239561774217196</v>
      </c>
    </row>
    <row r="25" spans="1:62" x14ac:dyDescent="0.3">
      <c r="A25" s="11">
        <f t="shared" ref="A25:A31" si="18">+A24+1</f>
        <v>23</v>
      </c>
      <c r="B25" s="12" t="s">
        <v>14</v>
      </c>
      <c r="C25" s="12" t="s">
        <v>15</v>
      </c>
      <c r="D25" s="57">
        <v>140</v>
      </c>
      <c r="E25" s="10"/>
      <c r="F25" s="10"/>
      <c r="G25" s="10"/>
      <c r="H25" s="10"/>
      <c r="I25" s="10"/>
      <c r="J25" s="26"/>
      <c r="K25" s="10">
        <f t="shared" si="15"/>
        <v>140</v>
      </c>
      <c r="L25" s="10">
        <f t="shared" si="0"/>
        <v>0</v>
      </c>
      <c r="M25" s="14"/>
      <c r="N25" s="10">
        <f>+K25+L25-M25</f>
        <v>140</v>
      </c>
      <c r="O25" s="27"/>
      <c r="P25" s="18">
        <v>140</v>
      </c>
      <c r="Q25" s="18">
        <f t="shared" si="7"/>
        <v>0</v>
      </c>
      <c r="R25" s="60"/>
      <c r="S25" s="65"/>
      <c r="T25" s="60"/>
      <c r="U25" s="27"/>
      <c r="V25" s="27">
        <f t="shared" si="8"/>
        <v>0</v>
      </c>
      <c r="W25" s="27">
        <f t="shared" si="9"/>
        <v>0</v>
      </c>
      <c r="AE25" s="8"/>
      <c r="AS25" s="3">
        <v>10007162</v>
      </c>
      <c r="AT25" s="3" t="str">
        <f t="shared" si="10"/>
        <v>FEBRERO10007162Inventario final</v>
      </c>
      <c r="AU25" s="3">
        <f>INDEX('[1]Detalle Costos'!$L$5:$L$158,MATCH(AT25,'[1]Detalle Costos'!$C$5:$C$158,0))</f>
        <v>1.72</v>
      </c>
      <c r="AV25" s="113">
        <f t="shared" si="1"/>
        <v>0.14000000000000001</v>
      </c>
      <c r="AW25" s="114">
        <f t="shared" si="2"/>
        <v>240.8</v>
      </c>
      <c r="AX25" s="115">
        <f t="shared" si="3"/>
        <v>25.480000000000004</v>
      </c>
      <c r="AY25" s="114">
        <f>$AY$50/$AV$50*AV25</f>
        <v>4.6980073680261238</v>
      </c>
      <c r="AZ25" s="114">
        <f>$AZ$50/$AV$50*AV25</f>
        <v>10.63644912543289</v>
      </c>
      <c r="BA25" s="114">
        <f>$BA$50/$AV$50*AV25</f>
        <v>8.8926231675566871</v>
      </c>
      <c r="BB25" s="114">
        <v>0</v>
      </c>
      <c r="BC25" s="116">
        <f>$BC$50</f>
        <v>0</v>
      </c>
      <c r="BD25" s="117">
        <f t="shared" si="11"/>
        <v>281.61445649345904</v>
      </c>
      <c r="BE25" s="118">
        <f t="shared" si="12"/>
        <v>2011.5318320961358</v>
      </c>
      <c r="BF25" s="119"/>
      <c r="BG25" s="120">
        <v>2700</v>
      </c>
      <c r="BH25" s="121">
        <f t="shared" si="4"/>
        <v>378.00000000000006</v>
      </c>
      <c r="BI25" s="122">
        <f t="shared" si="13"/>
        <v>96.385543506541012</v>
      </c>
      <c r="BJ25" s="123">
        <f t="shared" si="5"/>
        <v>0.25498821033476454</v>
      </c>
    </row>
    <row r="26" spans="1:62" x14ac:dyDescent="0.3">
      <c r="A26" s="11">
        <f t="shared" si="18"/>
        <v>24</v>
      </c>
      <c r="B26" s="12">
        <v>10009777</v>
      </c>
      <c r="C26" s="12" t="s">
        <v>15</v>
      </c>
      <c r="D26" s="57">
        <v>220</v>
      </c>
      <c r="E26" s="10"/>
      <c r="F26" s="10"/>
      <c r="G26" s="10"/>
      <c r="H26" s="10"/>
      <c r="I26" s="10"/>
      <c r="J26" s="26"/>
      <c r="K26" s="10">
        <f t="shared" si="15"/>
        <v>220</v>
      </c>
      <c r="L26" s="10">
        <f t="shared" si="0"/>
        <v>0</v>
      </c>
      <c r="M26" s="14"/>
      <c r="N26" s="10">
        <f>+K26+L26-M26</f>
        <v>220</v>
      </c>
      <c r="O26" s="27"/>
      <c r="P26" s="18">
        <v>220</v>
      </c>
      <c r="Q26" s="18">
        <f t="shared" si="7"/>
        <v>0</v>
      </c>
      <c r="R26" s="60"/>
      <c r="S26" s="65"/>
      <c r="T26" s="60"/>
      <c r="U26" s="27"/>
      <c r="V26" s="27">
        <f t="shared" si="8"/>
        <v>0</v>
      </c>
      <c r="W26" s="27">
        <f t="shared" si="9"/>
        <v>0</v>
      </c>
      <c r="AE26" s="8"/>
      <c r="AS26" s="3">
        <v>10007162</v>
      </c>
      <c r="AT26" s="3" t="str">
        <f t="shared" si="10"/>
        <v>FEBRERO10007162Inventario final</v>
      </c>
      <c r="AU26" s="3">
        <f>INDEX('[1]Detalle Costos'!$L$5:$L$158,MATCH(AT26,'[1]Detalle Costos'!$C$5:$C$158,0))</f>
        <v>1.72</v>
      </c>
      <c r="AV26" s="113">
        <f t="shared" si="1"/>
        <v>0.22</v>
      </c>
      <c r="AW26" s="114">
        <f t="shared" si="2"/>
        <v>378.40000000000003</v>
      </c>
      <c r="AX26" s="115">
        <f t="shared" si="3"/>
        <v>40.04</v>
      </c>
      <c r="AY26" s="114">
        <f>$AY$50/$AV$50*AV26</f>
        <v>7.3825830068981944</v>
      </c>
      <c r="AZ26" s="114">
        <f>$AZ$50/$AV$50*AV26</f>
        <v>16.714420054251683</v>
      </c>
      <c r="BA26" s="114">
        <f>$BA$50/$AV$50*AV26</f>
        <v>13.974122120446221</v>
      </c>
      <c r="BB26" s="114">
        <v>0</v>
      </c>
      <c r="BC26" s="116">
        <f>$BC$50</f>
        <v>0</v>
      </c>
      <c r="BD26" s="117">
        <f t="shared" si="11"/>
        <v>442.5370030611499</v>
      </c>
      <c r="BE26" s="118">
        <f t="shared" si="12"/>
        <v>2011.531832096136</v>
      </c>
      <c r="BF26" s="119"/>
      <c r="BG26" s="120">
        <v>2700</v>
      </c>
      <c r="BH26" s="121">
        <f t="shared" si="4"/>
        <v>594</v>
      </c>
      <c r="BI26" s="122">
        <f t="shared" si="13"/>
        <v>151.4629969388501</v>
      </c>
      <c r="BJ26" s="123">
        <f t="shared" si="5"/>
        <v>0.25498821033476449</v>
      </c>
    </row>
    <row r="27" spans="1:62" x14ac:dyDescent="0.3">
      <c r="A27" s="11">
        <f>+A25+1</f>
        <v>24</v>
      </c>
      <c r="B27" s="12" t="s">
        <v>16</v>
      </c>
      <c r="C27" s="12" t="s">
        <v>17</v>
      </c>
      <c r="D27" s="57">
        <v>11080</v>
      </c>
      <c r="E27" s="10"/>
      <c r="F27" s="10"/>
      <c r="G27" s="10"/>
      <c r="H27" s="10"/>
      <c r="I27" s="10"/>
      <c r="J27" s="26"/>
      <c r="K27" s="10">
        <f t="shared" si="15"/>
        <v>11080</v>
      </c>
      <c r="L27" s="10">
        <f t="shared" si="0"/>
        <v>0</v>
      </c>
      <c r="M27" s="14"/>
      <c r="N27" s="10">
        <f>+K27+L27-M27</f>
        <v>11080</v>
      </c>
      <c r="O27" s="27"/>
      <c r="P27" s="18">
        <v>10860</v>
      </c>
      <c r="Q27" s="18">
        <f t="shared" si="7"/>
        <v>220</v>
      </c>
      <c r="R27" s="60"/>
      <c r="S27" s="65"/>
      <c r="T27" s="60"/>
      <c r="U27" s="27"/>
      <c r="V27" s="27">
        <f t="shared" si="8"/>
        <v>0</v>
      </c>
      <c r="W27" s="27">
        <f t="shared" si="9"/>
        <v>0</v>
      </c>
      <c r="AS27" s="3">
        <v>10007162</v>
      </c>
      <c r="AT27" s="3" t="str">
        <f t="shared" si="10"/>
        <v>FEBRERO10007162Inventario final</v>
      </c>
      <c r="AU27" s="3">
        <f>INDEX('[1]Detalle Costos'!$L$5:$L$158,MATCH(AT27,'[1]Detalle Costos'!$C$5:$C$158,0))</f>
        <v>1.72</v>
      </c>
      <c r="AV27" s="113">
        <f t="shared" si="1"/>
        <v>11.08</v>
      </c>
      <c r="AW27" s="114">
        <f t="shared" si="2"/>
        <v>19057.600000000002</v>
      </c>
      <c r="AX27" s="115">
        <f t="shared" si="3"/>
        <v>2016.56</v>
      </c>
      <c r="AY27" s="114">
        <f>$AY$50/$AV$50*AV27</f>
        <v>371.81372598378181</v>
      </c>
      <c r="AZ27" s="114">
        <f>$AZ$50/$AV$50*AV27</f>
        <v>841.79897364140299</v>
      </c>
      <c r="BA27" s="114">
        <f>$BA$50/$AV$50*AV27</f>
        <v>703.78760497520057</v>
      </c>
      <c r="BB27" s="114">
        <v>0</v>
      </c>
      <c r="BC27" s="116">
        <f>$BC$50</f>
        <v>0</v>
      </c>
      <c r="BD27" s="117">
        <f t="shared" si="11"/>
        <v>22287.772699625188</v>
      </c>
      <c r="BE27" s="118">
        <f t="shared" si="12"/>
        <v>2011.531832096136</v>
      </c>
      <c r="BF27" s="119"/>
      <c r="BG27" s="120">
        <v>2700</v>
      </c>
      <c r="BH27" s="121">
        <f t="shared" si="4"/>
        <v>29916</v>
      </c>
      <c r="BI27" s="122">
        <f t="shared" si="13"/>
        <v>7628.2273003748123</v>
      </c>
      <c r="BJ27" s="123">
        <f t="shared" si="5"/>
        <v>0.25498821033476443</v>
      </c>
    </row>
    <row r="28" spans="1:62" x14ac:dyDescent="0.3">
      <c r="A28" s="11">
        <f t="shared" si="18"/>
        <v>25</v>
      </c>
      <c r="B28" s="12" t="s">
        <v>18</v>
      </c>
      <c r="C28" s="12" t="s">
        <v>19</v>
      </c>
      <c r="D28" s="57">
        <v>740</v>
      </c>
      <c r="E28" s="10"/>
      <c r="F28" s="10"/>
      <c r="G28" s="10"/>
      <c r="H28" s="10"/>
      <c r="I28" s="10"/>
      <c r="J28" s="26"/>
      <c r="K28" s="10">
        <f t="shared" si="15"/>
        <v>740</v>
      </c>
      <c r="L28" s="10">
        <f t="shared" si="0"/>
        <v>0</v>
      </c>
      <c r="M28" s="14"/>
      <c r="N28" s="10">
        <f t="shared" si="6"/>
        <v>740</v>
      </c>
      <c r="O28" s="27"/>
      <c r="P28" s="18">
        <v>740</v>
      </c>
      <c r="Q28" s="18">
        <f t="shared" si="7"/>
        <v>0</v>
      </c>
      <c r="R28" s="60"/>
      <c r="S28" s="65"/>
      <c r="T28" s="60"/>
      <c r="U28" s="27"/>
      <c r="V28" s="27">
        <f t="shared" si="8"/>
        <v>0</v>
      </c>
      <c r="W28" s="27">
        <f t="shared" si="9"/>
        <v>0</v>
      </c>
      <c r="AS28" s="3">
        <v>10007162</v>
      </c>
      <c r="AT28" s="3" t="str">
        <f t="shared" si="10"/>
        <v>FEBRERO10007162Inventario final</v>
      </c>
      <c r="AU28" s="3">
        <f>INDEX('[1]Detalle Costos'!$L$5:$L$158,MATCH(AT28,'[1]Detalle Costos'!$C$5:$C$158,0))</f>
        <v>1.72</v>
      </c>
      <c r="AV28" s="113">
        <f t="shared" si="1"/>
        <v>0.74</v>
      </c>
      <c r="AW28" s="114">
        <f t="shared" si="2"/>
        <v>1272.8</v>
      </c>
      <c r="AX28" s="115">
        <f t="shared" si="3"/>
        <v>134.68</v>
      </c>
      <c r="AY28" s="114">
        <f>$AY$50/$AV$50*AV28</f>
        <v>24.832324659566655</v>
      </c>
      <c r="AZ28" s="114">
        <f>$AZ$50/$AV$50*AV28</f>
        <v>56.221231091573841</v>
      </c>
      <c r="BA28" s="114">
        <f>$BA$50/$AV$50*AV28</f>
        <v>47.003865314228193</v>
      </c>
      <c r="BB28" s="114">
        <v>0</v>
      </c>
      <c r="BC28" s="116">
        <f>$BC$50</f>
        <v>0</v>
      </c>
      <c r="BD28" s="117">
        <f t="shared" si="11"/>
        <v>1488.5335557511405</v>
      </c>
      <c r="BE28" s="118">
        <f t="shared" si="12"/>
        <v>2011.5318320961358</v>
      </c>
      <c r="BF28" s="119"/>
      <c r="BG28" s="120">
        <v>2700</v>
      </c>
      <c r="BH28" s="121">
        <f t="shared" si="4"/>
        <v>1998</v>
      </c>
      <c r="BI28" s="122">
        <f t="shared" si="13"/>
        <v>509.46644424885949</v>
      </c>
      <c r="BJ28" s="123">
        <f t="shared" si="5"/>
        <v>0.25498821033476449</v>
      </c>
    </row>
    <row r="29" spans="1:62" x14ac:dyDescent="0.3">
      <c r="A29" s="11">
        <f t="shared" si="18"/>
        <v>26</v>
      </c>
      <c r="B29" s="12" t="s">
        <v>49</v>
      </c>
      <c r="C29" s="12" t="s">
        <v>50</v>
      </c>
      <c r="D29" s="57">
        <v>267680</v>
      </c>
      <c r="E29" s="10"/>
      <c r="F29" s="10"/>
      <c r="G29" s="10"/>
      <c r="H29" s="10"/>
      <c r="I29" s="10"/>
      <c r="J29" s="26"/>
      <c r="K29" s="10">
        <f t="shared" si="15"/>
        <v>267680</v>
      </c>
      <c r="L29" s="10">
        <f t="shared" si="0"/>
        <v>0</v>
      </c>
      <c r="M29" s="14"/>
      <c r="N29" s="10">
        <f t="shared" si="6"/>
        <v>267680</v>
      </c>
      <c r="O29" s="27"/>
      <c r="P29" s="18">
        <v>258740</v>
      </c>
      <c r="Q29" s="18">
        <f t="shared" si="7"/>
        <v>8940</v>
      </c>
      <c r="R29" s="60"/>
      <c r="S29" s="65"/>
      <c r="T29" s="60"/>
      <c r="U29" s="27"/>
      <c r="V29" s="27">
        <f t="shared" si="8"/>
        <v>0</v>
      </c>
      <c r="W29" s="27">
        <f t="shared" si="9"/>
        <v>0</v>
      </c>
      <c r="AS29" s="3">
        <v>10007162</v>
      </c>
      <c r="AT29" s="3" t="str">
        <f t="shared" si="10"/>
        <v>FEBRERO10007162Inventario final</v>
      </c>
      <c r="AU29" s="3">
        <f>INDEX('[1]Detalle Costos'!$L$5:$L$158,MATCH(AT29,'[1]Detalle Costos'!$C$5:$C$158,0))</f>
        <v>1.72</v>
      </c>
      <c r="AV29" s="113">
        <f t="shared" si="1"/>
        <v>267.68</v>
      </c>
      <c r="AW29" s="114">
        <f t="shared" si="2"/>
        <v>460409.60000000003</v>
      </c>
      <c r="AX29" s="115">
        <f t="shared" si="3"/>
        <v>48717.760000000002</v>
      </c>
      <c r="AY29" s="114">
        <f>$AY$50/$AV$50*AV29</f>
        <v>8982.5900876659489</v>
      </c>
      <c r="AZ29" s="114">
        <f>$AZ$50/$AV$50*AV29</f>
        <v>20336.890727827686</v>
      </c>
      <c r="BA29" s="114">
        <f>$BA$50/$AV$50*AV29</f>
        <v>17002.695496368382</v>
      </c>
      <c r="BB29" s="114">
        <v>0</v>
      </c>
      <c r="BC29" s="116">
        <f>$BC$50</f>
        <v>0</v>
      </c>
      <c r="BD29" s="117">
        <f t="shared" si="11"/>
        <v>538446.84081549372</v>
      </c>
      <c r="BE29" s="118">
        <f t="shared" si="12"/>
        <v>2011.531832096136</v>
      </c>
      <c r="BF29" s="119"/>
      <c r="BG29" s="120">
        <v>2700</v>
      </c>
      <c r="BH29" s="121">
        <f t="shared" si="4"/>
        <v>722736</v>
      </c>
      <c r="BI29" s="122">
        <f t="shared" si="13"/>
        <v>184289.15918450628</v>
      </c>
      <c r="BJ29" s="123">
        <f t="shared" si="5"/>
        <v>0.25498821033476438</v>
      </c>
    </row>
    <row r="30" spans="1:62" ht="15.6" customHeight="1" x14ac:dyDescent="0.3">
      <c r="A30" s="11">
        <f t="shared" si="18"/>
        <v>27</v>
      </c>
      <c r="B30" s="12">
        <v>10009658</v>
      </c>
      <c r="C30" s="12" t="s">
        <v>68</v>
      </c>
      <c r="D30" s="57">
        <v>1960</v>
      </c>
      <c r="E30" s="10"/>
      <c r="F30" s="10"/>
      <c r="G30" s="10"/>
      <c r="H30" s="10"/>
      <c r="I30" s="10"/>
      <c r="J30" s="26"/>
      <c r="K30" s="10">
        <f t="shared" si="15"/>
        <v>1960</v>
      </c>
      <c r="L30" s="10">
        <f t="shared" si="0"/>
        <v>0</v>
      </c>
      <c r="M30" s="14"/>
      <c r="N30" s="10">
        <f>+K30+L30-M30</f>
        <v>1960</v>
      </c>
      <c r="O30" s="27"/>
      <c r="P30" s="18">
        <v>1960</v>
      </c>
      <c r="Q30" s="18">
        <f t="shared" si="7"/>
        <v>0</v>
      </c>
      <c r="R30" s="60"/>
      <c r="S30" s="65"/>
      <c r="T30" s="60"/>
      <c r="U30" s="27"/>
      <c r="V30" s="27">
        <f t="shared" si="8"/>
        <v>0</v>
      </c>
      <c r="W30" s="27">
        <f t="shared" si="9"/>
        <v>0</v>
      </c>
      <c r="AS30" s="3">
        <v>10009639</v>
      </c>
      <c r="AT30" s="3" t="str">
        <f t="shared" si="10"/>
        <v>FEBRERO10009639Inventario final</v>
      </c>
      <c r="AU30" s="3">
        <f>INDEX('[1]Detalle Costos'!$L$5:$L$158,MATCH(AT30,'[1]Detalle Costos'!$C$5:$C$158,0))</f>
        <v>1.75</v>
      </c>
      <c r="AV30" s="113">
        <f t="shared" si="1"/>
        <v>1.96</v>
      </c>
      <c r="AW30" s="114">
        <f t="shared" si="2"/>
        <v>3429.9999999999995</v>
      </c>
      <c r="AX30" s="115">
        <f t="shared" si="3"/>
        <v>356.71999999999997</v>
      </c>
      <c r="AY30" s="114">
        <f>$AY$50/$AV$50*AV30</f>
        <v>65.77210315236573</v>
      </c>
      <c r="AZ30" s="114">
        <f>$AZ$50/$AV$50*AV30</f>
        <v>148.91028775606046</v>
      </c>
      <c r="BA30" s="114">
        <f>$BA$50/$AV$50*AV30</f>
        <v>124.4967243457936</v>
      </c>
      <c r="BB30" s="114">
        <v>0</v>
      </c>
      <c r="BC30" s="116">
        <f>$BC$50</f>
        <v>0</v>
      </c>
      <c r="BD30" s="117">
        <f>AW30+AX30+AY30+AZ30</f>
        <v>4001.4023909084253</v>
      </c>
      <c r="BE30" s="118">
        <f>IFERROR(BD30/AV30,0)</f>
        <v>2041.5318320961353</v>
      </c>
      <c r="BF30" s="119"/>
      <c r="BG30" s="120">
        <v>2700</v>
      </c>
      <c r="BH30" s="121">
        <f>BG30*AV30</f>
        <v>5292</v>
      </c>
      <c r="BI30" s="122">
        <f t="shared" si="13"/>
        <v>1290.5976090915747</v>
      </c>
      <c r="BJ30" s="123">
        <f t="shared" si="5"/>
        <v>0.24387709922365355</v>
      </c>
    </row>
    <row r="31" spans="1:62" x14ac:dyDescent="0.3">
      <c r="A31" s="11">
        <f t="shared" si="18"/>
        <v>28</v>
      </c>
      <c r="B31" s="12">
        <v>10009639</v>
      </c>
      <c r="C31" s="12" t="s">
        <v>69</v>
      </c>
      <c r="D31" s="57">
        <v>44660</v>
      </c>
      <c r="E31" s="10"/>
      <c r="F31" s="10"/>
      <c r="G31" s="10"/>
      <c r="H31" s="10"/>
      <c r="I31" s="10"/>
      <c r="J31" s="26"/>
      <c r="K31" s="10">
        <f t="shared" si="15"/>
        <v>44660</v>
      </c>
      <c r="L31" s="10">
        <f t="shared" si="0"/>
        <v>0</v>
      </c>
      <c r="M31" s="14"/>
      <c r="N31" s="10">
        <f>+K31+L31-M31</f>
        <v>44660</v>
      </c>
      <c r="O31" s="27"/>
      <c r="P31" s="18">
        <v>40360</v>
      </c>
      <c r="Q31" s="18">
        <f t="shared" si="7"/>
        <v>4300</v>
      </c>
      <c r="R31" s="60"/>
      <c r="S31" s="65"/>
      <c r="T31" s="60"/>
      <c r="U31" s="27"/>
      <c r="V31" s="27">
        <f t="shared" si="8"/>
        <v>0</v>
      </c>
      <c r="W31" s="27">
        <f t="shared" si="9"/>
        <v>0</v>
      </c>
      <c r="AS31" s="3">
        <v>10009639</v>
      </c>
      <c r="AT31" s="3" t="str">
        <f t="shared" si="10"/>
        <v>FEBRERO10009639Inventario final</v>
      </c>
      <c r="AU31" s="3">
        <f>INDEX('[1]Detalle Costos'!$L$5:$L$158,MATCH(AT31,'[1]Detalle Costos'!$C$5:$C$158,0))</f>
        <v>1.75</v>
      </c>
      <c r="AV31" s="113">
        <f t="shared" si="1"/>
        <v>44.66</v>
      </c>
      <c r="AW31" s="114">
        <f t="shared" si="2"/>
        <v>78155</v>
      </c>
      <c r="AX31" s="115">
        <f t="shared" si="3"/>
        <v>8128.119999999999</v>
      </c>
      <c r="AY31" s="114">
        <f>$AY$50/$AV$50*AV31</f>
        <v>1498.6643504003334</v>
      </c>
      <c r="AZ31" s="114">
        <f>$AZ$50/$AV$50*AV31</f>
        <v>3393.0272710130916</v>
      </c>
      <c r="BA31" s="114">
        <f>$BA$50/$AV$50*AV31</f>
        <v>2836.7467904505825</v>
      </c>
      <c r="BB31" s="114">
        <v>0</v>
      </c>
      <c r="BC31" s="116">
        <f>$BC$50</f>
        <v>0</v>
      </c>
      <c r="BD31" s="117">
        <f t="shared" si="11"/>
        <v>91174.811621413421</v>
      </c>
      <c r="BE31" s="118">
        <f t="shared" si="12"/>
        <v>2041.5318320961358</v>
      </c>
      <c r="BF31" s="119"/>
      <c r="BG31" s="120">
        <v>2700</v>
      </c>
      <c r="BH31" s="121">
        <f t="shared" si="4"/>
        <v>120581.99999999999</v>
      </c>
      <c r="BI31" s="122">
        <f t="shared" si="13"/>
        <v>29407.188378586565</v>
      </c>
      <c r="BJ31" s="123">
        <f t="shared" si="5"/>
        <v>0.24387709922365336</v>
      </c>
    </row>
    <row r="32" spans="1:62" x14ac:dyDescent="0.3">
      <c r="A32" s="28">
        <f>+A31+1</f>
        <v>29</v>
      </c>
      <c r="B32" s="31" t="s">
        <v>53</v>
      </c>
      <c r="C32" s="31" t="s">
        <v>54</v>
      </c>
      <c r="D32" s="58">
        <v>194440</v>
      </c>
      <c r="E32" s="29"/>
      <c r="F32" s="29"/>
      <c r="G32" s="29"/>
      <c r="H32" s="29"/>
      <c r="I32" s="29"/>
      <c r="J32" s="26"/>
      <c r="K32" s="29">
        <f t="shared" si="15"/>
        <v>194440</v>
      </c>
      <c r="L32" s="29">
        <f t="shared" si="0"/>
        <v>0</v>
      </c>
      <c r="M32" s="30"/>
      <c r="N32" s="29">
        <f>+K32+L32-M32</f>
        <v>194440</v>
      </c>
      <c r="O32" s="27"/>
      <c r="P32" s="18">
        <v>192120</v>
      </c>
      <c r="Q32" s="18">
        <f t="shared" si="7"/>
        <v>2320</v>
      </c>
      <c r="R32" s="60"/>
      <c r="S32" s="65"/>
      <c r="T32" s="60"/>
      <c r="U32" s="27"/>
      <c r="V32" s="27">
        <f t="shared" si="8"/>
        <v>0</v>
      </c>
      <c r="W32" s="27">
        <f t="shared" si="9"/>
        <v>0</v>
      </c>
      <c r="AS32" s="3">
        <v>10009239</v>
      </c>
      <c r="AT32" s="3" t="str">
        <f t="shared" si="10"/>
        <v>FEBRERO10009239Inventario final</v>
      </c>
      <c r="AU32" s="3">
        <f>INDEX('[1]Detalle Costos'!$L$5:$L$158,MATCH(AT32,'[1]Detalle Costos'!$C$5:$C$158,0))</f>
        <v>2.11</v>
      </c>
      <c r="AV32" s="113">
        <f>IF(ISERROR(AU32),0,N32/1000)</f>
        <v>194.44</v>
      </c>
      <c r="AW32" s="114">
        <f t="shared" si="2"/>
        <v>410268.39999999997</v>
      </c>
      <c r="AX32" s="115">
        <f t="shared" si="3"/>
        <v>35388.080000000002</v>
      </c>
      <c r="AY32" s="114">
        <f>$AY$50/$AV$50*AV32</f>
        <v>6524.8610902785676</v>
      </c>
      <c r="AZ32" s="114">
        <f>$AZ$50/$AV$50*AV32</f>
        <v>14772.508342494079</v>
      </c>
      <c r="BA32" s="114">
        <f>$BA$50/$AV$50*AV32</f>
        <v>12350.583204998014</v>
      </c>
      <c r="BB32" s="114">
        <v>0</v>
      </c>
      <c r="BC32" s="116">
        <f>$BC$50</f>
        <v>0</v>
      </c>
      <c r="BD32" s="117">
        <f t="shared" si="11"/>
        <v>466953.84943277261</v>
      </c>
      <c r="BE32" s="118">
        <f t="shared" si="12"/>
        <v>2401.5318320961355</v>
      </c>
      <c r="BF32" s="119"/>
      <c r="BG32" s="120">
        <v>3950</v>
      </c>
      <c r="BH32" s="121">
        <f t="shared" si="4"/>
        <v>768038</v>
      </c>
      <c r="BI32" s="122">
        <f t="shared" si="13"/>
        <v>301084.15056722739</v>
      </c>
      <c r="BJ32" s="123">
        <f t="shared" si="5"/>
        <v>0.39201725769718088</v>
      </c>
    </row>
    <row r="33" spans="1:62" x14ac:dyDescent="0.3">
      <c r="A33" s="28">
        <f t="shared" si="14"/>
        <v>30</v>
      </c>
      <c r="B33" s="31" t="s">
        <v>51</v>
      </c>
      <c r="C33" s="31" t="s">
        <v>52</v>
      </c>
      <c r="D33" s="58">
        <v>21620</v>
      </c>
      <c r="E33" s="29"/>
      <c r="F33" s="29"/>
      <c r="G33" s="29"/>
      <c r="H33" s="29"/>
      <c r="I33" s="29"/>
      <c r="J33" s="26"/>
      <c r="K33" s="29">
        <f t="shared" si="15"/>
        <v>21620</v>
      </c>
      <c r="L33" s="29">
        <f t="shared" si="0"/>
        <v>0</v>
      </c>
      <c r="M33" s="30"/>
      <c r="N33" s="29">
        <f t="shared" si="6"/>
        <v>21620</v>
      </c>
      <c r="O33" s="27"/>
      <c r="P33" s="18">
        <v>21560</v>
      </c>
      <c r="Q33" s="18">
        <f t="shared" si="7"/>
        <v>60</v>
      </c>
      <c r="R33" s="60"/>
      <c r="S33" s="65"/>
      <c r="T33" s="60"/>
      <c r="U33" s="27"/>
      <c r="V33" s="27">
        <f t="shared" si="8"/>
        <v>0</v>
      </c>
      <c r="W33" s="27">
        <f t="shared" si="9"/>
        <v>0</v>
      </c>
      <c r="AL33" s="5"/>
      <c r="AS33" s="3">
        <v>10009239</v>
      </c>
      <c r="AT33" s="3" t="str">
        <f t="shared" si="10"/>
        <v>FEBRERO10009239Inventario final</v>
      </c>
      <c r="AU33" s="3">
        <f>INDEX('[1]Detalle Costos'!$L$5:$L$158,MATCH(AT33,'[1]Detalle Costos'!$C$5:$C$158,0))</f>
        <v>2.11</v>
      </c>
      <c r="AV33" s="113">
        <f t="shared" si="1"/>
        <v>21.62</v>
      </c>
      <c r="AW33" s="114">
        <f t="shared" si="2"/>
        <v>45618.200000000004</v>
      </c>
      <c r="AX33" s="115">
        <f t="shared" si="3"/>
        <v>3934.84</v>
      </c>
      <c r="AY33" s="114">
        <f>$AY$50/$AV$50*AV33</f>
        <v>725.50656640517718</v>
      </c>
      <c r="AZ33" s="114">
        <f>$AZ$50/$AV$50*AV33</f>
        <v>1642.5716435132792</v>
      </c>
      <c r="BA33" s="114">
        <f>$BA$50/$AV$50*AV33</f>
        <v>1373.2750920183969</v>
      </c>
      <c r="BB33" s="114">
        <v>0</v>
      </c>
      <c r="BC33" s="116">
        <f>$BC$50</f>
        <v>0</v>
      </c>
      <c r="BD33" s="117">
        <f t="shared" si="11"/>
        <v>51921.118209918466</v>
      </c>
      <c r="BE33" s="118">
        <f t="shared" si="12"/>
        <v>2401.531832096136</v>
      </c>
      <c r="BF33" s="119"/>
      <c r="BG33" s="120">
        <v>3950</v>
      </c>
      <c r="BH33" s="121">
        <f t="shared" si="4"/>
        <v>85399</v>
      </c>
      <c r="BI33" s="122">
        <f t="shared" si="13"/>
        <v>33477.881790081534</v>
      </c>
      <c r="BJ33" s="123">
        <f t="shared" si="5"/>
        <v>0.39201725769718071</v>
      </c>
    </row>
    <row r="34" spans="1:62" x14ac:dyDescent="0.3">
      <c r="A34" s="28">
        <f t="shared" si="14"/>
        <v>31</v>
      </c>
      <c r="B34" s="31" t="s">
        <v>38</v>
      </c>
      <c r="C34" s="31" t="s">
        <v>39</v>
      </c>
      <c r="D34" s="58">
        <v>260</v>
      </c>
      <c r="E34" s="29"/>
      <c r="F34" s="29"/>
      <c r="G34" s="29"/>
      <c r="H34" s="29"/>
      <c r="I34" s="29"/>
      <c r="J34" s="26"/>
      <c r="K34" s="29">
        <f t="shared" si="15"/>
        <v>260</v>
      </c>
      <c r="L34" s="29">
        <f t="shared" si="0"/>
        <v>0</v>
      </c>
      <c r="M34" s="30"/>
      <c r="N34" s="29">
        <f t="shared" si="6"/>
        <v>260</v>
      </c>
      <c r="O34" s="27"/>
      <c r="P34" s="18">
        <v>260</v>
      </c>
      <c r="Q34" s="18">
        <f t="shared" si="7"/>
        <v>0</v>
      </c>
      <c r="R34" s="60"/>
      <c r="S34" s="65"/>
      <c r="T34" s="60"/>
      <c r="U34" s="27"/>
      <c r="V34" s="27">
        <f t="shared" si="8"/>
        <v>0</v>
      </c>
      <c r="W34" s="27">
        <f t="shared" si="9"/>
        <v>0</v>
      </c>
      <c r="AL34" s="5"/>
      <c r="AS34" s="3">
        <v>10007050</v>
      </c>
      <c r="AT34" s="3" t="str">
        <f t="shared" si="10"/>
        <v>FEBRERO10007050Inventario final</v>
      </c>
      <c r="AU34" s="3">
        <f>INDEX('[1]Detalle Costos'!$L$5:$L$158,MATCH(AT34,'[1]Detalle Costos'!$C$5:$C$158,0))</f>
        <v>1.31</v>
      </c>
      <c r="AV34" s="113">
        <f t="shared" si="1"/>
        <v>0.26</v>
      </c>
      <c r="AW34" s="114">
        <f t="shared" si="2"/>
        <v>340.6</v>
      </c>
      <c r="AX34" s="115">
        <f t="shared" si="3"/>
        <v>47.32</v>
      </c>
      <c r="AY34" s="114">
        <f>$AY$50/$AV$50*AV34</f>
        <v>8.7248708263342305</v>
      </c>
      <c r="AZ34" s="114">
        <f>$AZ$50/$AV$50*AV34</f>
        <v>19.753405518661079</v>
      </c>
      <c r="BA34" s="114">
        <f>$BA$50/$AV$50*AV34</f>
        <v>16.514871596890988</v>
      </c>
      <c r="BB34" s="114">
        <v>0</v>
      </c>
      <c r="BC34" s="116">
        <f>$BC$50</f>
        <v>0</v>
      </c>
      <c r="BD34" s="117">
        <f t="shared" si="11"/>
        <v>416.39827634499528</v>
      </c>
      <c r="BE34" s="118">
        <f t="shared" si="12"/>
        <v>1601.5318320961355</v>
      </c>
      <c r="BF34" s="119"/>
      <c r="BG34" s="120">
        <v>3950</v>
      </c>
      <c r="BH34" s="121">
        <f t="shared" si="4"/>
        <v>1027</v>
      </c>
      <c r="BI34" s="122">
        <f t="shared" si="13"/>
        <v>610.60172365500466</v>
      </c>
      <c r="BJ34" s="123">
        <f t="shared" si="5"/>
        <v>0.59454890326680099</v>
      </c>
    </row>
    <row r="35" spans="1:62" x14ac:dyDescent="0.3">
      <c r="A35" s="28">
        <f t="shared" si="14"/>
        <v>32</v>
      </c>
      <c r="B35" s="31">
        <v>10007050</v>
      </c>
      <c r="C35" s="31" t="s">
        <v>87</v>
      </c>
      <c r="D35" s="58">
        <v>49620</v>
      </c>
      <c r="E35" s="29"/>
      <c r="F35" s="36"/>
      <c r="G35" s="36"/>
      <c r="H35" s="36"/>
      <c r="I35" s="36"/>
      <c r="J35" s="27"/>
      <c r="K35" s="29">
        <f t="shared" si="15"/>
        <v>49620</v>
      </c>
      <c r="L35" s="29">
        <f t="shared" si="0"/>
        <v>0</v>
      </c>
      <c r="M35" s="30"/>
      <c r="N35" s="29">
        <f t="shared" si="6"/>
        <v>49620</v>
      </c>
      <c r="O35" s="27"/>
      <c r="P35" s="18">
        <v>49100</v>
      </c>
      <c r="Q35" s="18">
        <f t="shared" si="7"/>
        <v>520</v>
      </c>
      <c r="R35" s="60"/>
      <c r="S35" s="65"/>
      <c r="T35" s="60"/>
      <c r="U35" s="27"/>
      <c r="V35" s="27">
        <f t="shared" si="8"/>
        <v>0</v>
      </c>
      <c r="W35" s="27">
        <f t="shared" si="9"/>
        <v>0</v>
      </c>
      <c r="AL35" s="5"/>
      <c r="AS35" s="3">
        <v>10007050</v>
      </c>
      <c r="AT35" s="3" t="str">
        <f t="shared" si="10"/>
        <v>FEBRERO10007050Inventario final</v>
      </c>
      <c r="AU35" s="3">
        <f>INDEX('[1]Detalle Costos'!$L$5:$L$158,MATCH(AT35,'[1]Detalle Costos'!$C$5:$C$158,0))</f>
        <v>1.31</v>
      </c>
      <c r="AV35" s="113">
        <f t="shared" si="1"/>
        <v>49.62</v>
      </c>
      <c r="AW35" s="114">
        <f t="shared" si="2"/>
        <v>65002.200000000004</v>
      </c>
      <c r="AX35" s="115">
        <f t="shared" si="3"/>
        <v>9030.84</v>
      </c>
      <c r="AY35" s="114">
        <f>$AY$50/$AV$50*AV35</f>
        <v>1665.1080400104017</v>
      </c>
      <c r="AZ35" s="114">
        <f>$AZ$50/$AV$50*AV35</f>
        <v>3769.8614685998568</v>
      </c>
      <c r="BA35" s="114">
        <f>$BA$50/$AV$50*AV35</f>
        <v>3151.7997255297337</v>
      </c>
      <c r="BB35" s="114">
        <v>0</v>
      </c>
      <c r="BC35" s="116">
        <f>$BC$50</f>
        <v>0</v>
      </c>
      <c r="BD35" s="117">
        <f t="shared" si="11"/>
        <v>79468.009508610266</v>
      </c>
      <c r="BE35" s="118">
        <f t="shared" si="12"/>
        <v>1601.531832096136</v>
      </c>
      <c r="BF35" s="119"/>
      <c r="BG35" s="120">
        <v>2000</v>
      </c>
      <c r="BH35" s="121">
        <f t="shared" si="4"/>
        <v>99240</v>
      </c>
      <c r="BI35" s="122">
        <f t="shared" si="13"/>
        <v>19771.990491389734</v>
      </c>
      <c r="BJ35" s="123">
        <f t="shared" si="5"/>
        <v>0.19923408395193201</v>
      </c>
    </row>
    <row r="36" spans="1:62" ht="18.600000000000001" customHeight="1" x14ac:dyDescent="0.3">
      <c r="A36" s="43">
        <f t="shared" si="14"/>
        <v>33</v>
      </c>
      <c r="B36" s="44"/>
      <c r="C36" s="44" t="s">
        <v>81</v>
      </c>
      <c r="D36" s="59">
        <v>9450</v>
      </c>
      <c r="E36" s="42"/>
      <c r="F36" s="90"/>
      <c r="G36" s="90"/>
      <c r="H36" s="90"/>
      <c r="I36" s="90"/>
      <c r="J36" s="91"/>
      <c r="K36" s="42">
        <f t="shared" si="15"/>
        <v>9450</v>
      </c>
      <c r="L36" s="42">
        <f t="shared" si="0"/>
        <v>0</v>
      </c>
      <c r="M36" s="92"/>
      <c r="N36" s="42">
        <f t="shared" si="6"/>
        <v>9450</v>
      </c>
      <c r="O36" s="27"/>
      <c r="P36" s="18">
        <v>0</v>
      </c>
      <c r="Q36" s="18">
        <f t="shared" si="7"/>
        <v>9450</v>
      </c>
      <c r="R36" s="60"/>
      <c r="S36" s="65"/>
      <c r="T36" s="60"/>
      <c r="U36" s="27"/>
      <c r="V36" s="27">
        <f t="shared" si="8"/>
        <v>0</v>
      </c>
      <c r="W36" s="27">
        <f t="shared" si="9"/>
        <v>0</v>
      </c>
      <c r="AT36" s="3" t="str">
        <f t="shared" si="10"/>
        <v>FEBREROInventario final</v>
      </c>
      <c r="AU36" s="3" t="e">
        <f>INDEX('[1]Detalle Costos'!$L$5:$L$158,MATCH(AT36,'[1]Detalle Costos'!$C$5:$C$158,0))</f>
        <v>#N/A</v>
      </c>
      <c r="AV36" s="113">
        <f t="shared" si="1"/>
        <v>0</v>
      </c>
      <c r="AW36" s="114">
        <f t="shared" si="2"/>
        <v>0</v>
      </c>
      <c r="AX36" s="115">
        <f t="shared" si="3"/>
        <v>0</v>
      </c>
      <c r="AY36" s="114">
        <f>$AY$50/$AV$50*AV36</f>
        <v>0</v>
      </c>
      <c r="AZ36" s="114">
        <f>$AZ$50/$AV$50*AV36</f>
        <v>0</v>
      </c>
      <c r="BA36" s="114">
        <f>$BA$50/$AV$50*AV36</f>
        <v>0</v>
      </c>
      <c r="BB36" s="114">
        <v>0</v>
      </c>
      <c r="BC36" s="116">
        <f>$BC$50</f>
        <v>0</v>
      </c>
      <c r="BD36" s="117">
        <f t="shared" si="11"/>
        <v>0</v>
      </c>
      <c r="BE36" s="118">
        <f t="shared" si="12"/>
        <v>0</v>
      </c>
      <c r="BF36" s="119"/>
      <c r="BG36" s="120"/>
      <c r="BH36" s="121">
        <f t="shared" si="4"/>
        <v>0</v>
      </c>
      <c r="BI36" s="122">
        <f t="shared" si="13"/>
        <v>0</v>
      </c>
      <c r="BJ36" s="123">
        <f t="shared" si="5"/>
        <v>0</v>
      </c>
    </row>
    <row r="37" spans="1:62" ht="18.600000000000001" customHeight="1" x14ac:dyDescent="0.3">
      <c r="A37" s="43">
        <f t="shared" si="14"/>
        <v>34</v>
      </c>
      <c r="B37" s="44"/>
      <c r="C37" s="44" t="s">
        <v>107</v>
      </c>
      <c r="D37" s="59">
        <v>3460</v>
      </c>
      <c r="E37" s="42"/>
      <c r="F37" s="90"/>
      <c r="G37" s="90"/>
      <c r="H37" s="90"/>
      <c r="I37" s="90"/>
      <c r="J37" s="91"/>
      <c r="K37" s="42">
        <f t="shared" si="15"/>
        <v>3460</v>
      </c>
      <c r="L37" s="42">
        <f t="shared" si="0"/>
        <v>0</v>
      </c>
      <c r="M37" s="92"/>
      <c r="N37" s="42">
        <f t="shared" si="6"/>
        <v>3460</v>
      </c>
      <c r="O37" s="27"/>
      <c r="P37" s="18">
        <v>0</v>
      </c>
      <c r="Q37" s="18">
        <f t="shared" si="7"/>
        <v>3460</v>
      </c>
      <c r="R37" s="60"/>
      <c r="S37" s="65"/>
      <c r="T37" s="60"/>
      <c r="U37" s="27"/>
      <c r="V37" s="27">
        <f t="shared" si="8"/>
        <v>0</v>
      </c>
      <c r="W37" s="27">
        <f t="shared" si="9"/>
        <v>0</v>
      </c>
      <c r="AT37" s="3" t="str">
        <f t="shared" si="10"/>
        <v>FEBREROInventario final</v>
      </c>
      <c r="AU37" s="3" t="e">
        <f>INDEX('[1]Detalle Costos'!$L$5:$L$158,MATCH(AT37,'[1]Detalle Costos'!$C$5:$C$158,0))</f>
        <v>#N/A</v>
      </c>
      <c r="AV37" s="113">
        <f t="shared" si="1"/>
        <v>0</v>
      </c>
      <c r="AW37" s="114">
        <f t="shared" si="2"/>
        <v>0</v>
      </c>
      <c r="AX37" s="115">
        <f t="shared" si="3"/>
        <v>0</v>
      </c>
      <c r="AY37" s="114">
        <f>$AY$50/$AV$50*AV37</f>
        <v>0</v>
      </c>
      <c r="AZ37" s="114">
        <f>$AZ$50/$AV$50*AV37</f>
        <v>0</v>
      </c>
      <c r="BA37" s="114">
        <f>$BA$50/$AV$50*AV37</f>
        <v>0</v>
      </c>
      <c r="BB37" s="114">
        <v>0</v>
      </c>
      <c r="BC37" s="116">
        <f>$BC$50</f>
        <v>0</v>
      </c>
      <c r="BD37" s="117">
        <f t="shared" si="11"/>
        <v>0</v>
      </c>
      <c r="BE37" s="118">
        <f t="shared" si="12"/>
        <v>0</v>
      </c>
      <c r="BF37" s="119"/>
      <c r="BG37" s="120"/>
      <c r="BH37" s="121">
        <f t="shared" si="4"/>
        <v>0</v>
      </c>
      <c r="BI37" s="122">
        <f t="shared" si="13"/>
        <v>0</v>
      </c>
      <c r="BJ37" s="123">
        <f t="shared" si="5"/>
        <v>0</v>
      </c>
    </row>
    <row r="38" spans="1:62" x14ac:dyDescent="0.3">
      <c r="A38" s="43">
        <f t="shared" si="14"/>
        <v>35</v>
      </c>
      <c r="B38" s="44"/>
      <c r="C38" s="44" t="s">
        <v>106</v>
      </c>
      <c r="D38" s="59">
        <v>2380</v>
      </c>
      <c r="E38" s="42"/>
      <c r="F38" s="90"/>
      <c r="G38" s="90"/>
      <c r="H38" s="90"/>
      <c r="I38" s="90"/>
      <c r="J38" s="91"/>
      <c r="K38" s="42">
        <f t="shared" si="15"/>
        <v>2380</v>
      </c>
      <c r="L38" s="42">
        <f t="shared" si="0"/>
        <v>0</v>
      </c>
      <c r="M38" s="92"/>
      <c r="N38" s="42">
        <f t="shared" si="6"/>
        <v>2380</v>
      </c>
      <c r="O38" s="27"/>
      <c r="P38" s="18">
        <v>0</v>
      </c>
      <c r="Q38" s="18">
        <f t="shared" si="7"/>
        <v>2380</v>
      </c>
      <c r="R38" s="60"/>
      <c r="S38" s="65"/>
      <c r="T38" s="60"/>
      <c r="U38" s="27"/>
      <c r="V38" s="27">
        <f t="shared" si="8"/>
        <v>0</v>
      </c>
      <c r="W38" s="27">
        <f t="shared" si="9"/>
        <v>0</v>
      </c>
      <c r="AT38" s="3" t="str">
        <f t="shared" si="10"/>
        <v>FEBREROInventario final</v>
      </c>
      <c r="AU38" s="3" t="e">
        <f>INDEX('[1]Detalle Costos'!$L$5:$L$158,MATCH(AT38,'[1]Detalle Costos'!$C$5:$C$158,0))</f>
        <v>#N/A</v>
      </c>
      <c r="AV38" s="113">
        <f t="shared" si="1"/>
        <v>0</v>
      </c>
      <c r="AW38" s="114">
        <f t="shared" si="2"/>
        <v>0</v>
      </c>
      <c r="AX38" s="115">
        <f t="shared" si="3"/>
        <v>0</v>
      </c>
      <c r="AY38" s="114">
        <f>$AY$50/$AV$50*AV38</f>
        <v>0</v>
      </c>
      <c r="AZ38" s="114">
        <f>$AZ$50/$AV$50*AV38</f>
        <v>0</v>
      </c>
      <c r="BA38" s="114">
        <f>$BA$50/$AV$50*AV38</f>
        <v>0</v>
      </c>
      <c r="BB38" s="114">
        <v>0</v>
      </c>
      <c r="BC38" s="116">
        <f>$BC$50</f>
        <v>0</v>
      </c>
      <c r="BD38" s="117">
        <f t="shared" si="11"/>
        <v>0</v>
      </c>
      <c r="BE38" s="118">
        <f t="shared" si="12"/>
        <v>0</v>
      </c>
      <c r="BF38" s="119"/>
      <c r="BG38" s="120"/>
      <c r="BH38" s="121">
        <f t="shared" si="4"/>
        <v>0</v>
      </c>
      <c r="BI38" s="122">
        <f t="shared" si="13"/>
        <v>0</v>
      </c>
      <c r="BJ38" s="123">
        <f t="shared" si="5"/>
        <v>0</v>
      </c>
    </row>
    <row r="39" spans="1:62" x14ac:dyDescent="0.3">
      <c r="A39" s="43">
        <f t="shared" si="14"/>
        <v>36</v>
      </c>
      <c r="B39" s="44"/>
      <c r="C39" s="44" t="s">
        <v>105</v>
      </c>
      <c r="D39" s="59">
        <v>2200</v>
      </c>
      <c r="E39" s="42"/>
      <c r="F39" s="90"/>
      <c r="G39" s="90"/>
      <c r="H39" s="90"/>
      <c r="I39" s="90"/>
      <c r="J39" s="91"/>
      <c r="K39" s="42">
        <f t="shared" si="15"/>
        <v>2200</v>
      </c>
      <c r="L39" s="42">
        <f t="shared" si="0"/>
        <v>0</v>
      </c>
      <c r="M39" s="92"/>
      <c r="N39" s="42">
        <f t="shared" si="6"/>
        <v>2200</v>
      </c>
      <c r="O39" s="27"/>
      <c r="P39" s="18">
        <v>0</v>
      </c>
      <c r="Q39" s="18">
        <f t="shared" si="7"/>
        <v>2200</v>
      </c>
      <c r="R39" s="60"/>
      <c r="S39" s="65"/>
      <c r="T39" s="60"/>
      <c r="U39" s="27"/>
      <c r="V39" s="27">
        <f t="shared" si="8"/>
        <v>0</v>
      </c>
      <c r="W39" s="27">
        <f t="shared" si="9"/>
        <v>0</v>
      </c>
      <c r="AT39" s="3" t="str">
        <f t="shared" si="10"/>
        <v>FEBREROInventario final</v>
      </c>
      <c r="AU39" s="15" t="e">
        <f>INDEX('[1]Detalle Costos'!$L$5:$L$158,MATCH(AT39,'[1]Detalle Costos'!$C$5:$C$158,0))</f>
        <v>#N/A</v>
      </c>
      <c r="AV39" s="113">
        <f t="shared" si="1"/>
        <v>0</v>
      </c>
      <c r="AW39" s="114">
        <f t="shared" si="2"/>
        <v>0</v>
      </c>
      <c r="AX39" s="115">
        <f t="shared" si="3"/>
        <v>0</v>
      </c>
      <c r="AY39" s="125">
        <f>$AY$50/$AV$50*AV39</f>
        <v>0</v>
      </c>
      <c r="AZ39" s="114">
        <f>$AZ$50/$AV$50*AV39</f>
        <v>0</v>
      </c>
      <c r="BA39" s="114">
        <f>$BA$50/$AV$50*AV39</f>
        <v>0</v>
      </c>
      <c r="BB39" s="114">
        <v>0</v>
      </c>
      <c r="BC39" s="116">
        <f>$BC$50</f>
        <v>0</v>
      </c>
      <c r="BD39" s="117">
        <f t="shared" si="11"/>
        <v>0</v>
      </c>
      <c r="BE39" s="118">
        <f t="shared" si="12"/>
        <v>0</v>
      </c>
      <c r="BF39" s="119"/>
      <c r="BG39" s="120"/>
      <c r="BH39" s="121">
        <f t="shared" si="4"/>
        <v>0</v>
      </c>
      <c r="BI39" s="122">
        <f t="shared" si="13"/>
        <v>0</v>
      </c>
      <c r="BJ39" s="123">
        <f t="shared" si="5"/>
        <v>0</v>
      </c>
    </row>
    <row r="40" spans="1:62" s="15" customFormat="1" x14ac:dyDescent="0.25">
      <c r="A40" s="23">
        <f>+A39+1</f>
        <v>37</v>
      </c>
      <c r="B40" s="32">
        <v>10009337</v>
      </c>
      <c r="C40" s="32" t="s">
        <v>62</v>
      </c>
      <c r="D40" s="56">
        <v>21210</v>
      </c>
      <c r="E40" s="24"/>
      <c r="F40" s="33"/>
      <c r="G40" s="33"/>
      <c r="H40" s="33"/>
      <c r="I40" s="33"/>
      <c r="J40" s="27"/>
      <c r="K40" s="33">
        <f t="shared" si="15"/>
        <v>21210</v>
      </c>
      <c r="L40" s="24">
        <f t="shared" si="0"/>
        <v>0</v>
      </c>
      <c r="M40" s="46"/>
      <c r="N40" s="24">
        <f t="shared" si="6"/>
        <v>21210</v>
      </c>
      <c r="O40" s="27">
        <v>52320</v>
      </c>
      <c r="P40" s="18">
        <v>21210</v>
      </c>
      <c r="Q40" s="18">
        <f t="shared" si="7"/>
        <v>0</v>
      </c>
      <c r="R40" s="60"/>
      <c r="S40" s="65"/>
      <c r="T40" s="60"/>
      <c r="U40" s="27"/>
      <c r="V40" s="27">
        <f t="shared" si="8"/>
        <v>0</v>
      </c>
      <c r="W40" s="27">
        <f t="shared" si="9"/>
        <v>0</v>
      </c>
      <c r="AK40" s="3"/>
      <c r="AL40" s="3"/>
      <c r="AM40" s="3"/>
      <c r="AS40" s="3">
        <v>10009332</v>
      </c>
      <c r="AT40" s="3" t="str">
        <f t="shared" si="10"/>
        <v>FEBRERO10009332Inventario final</v>
      </c>
      <c r="AU40" s="15">
        <f>INDEX('[1]Detalle Costos'!$L$5:$L$158,MATCH(AT40,'[1]Detalle Costos'!$C$5:$C$158,0))</f>
        <v>1.53</v>
      </c>
      <c r="AV40" s="113">
        <f t="shared" si="1"/>
        <v>21.21</v>
      </c>
      <c r="AW40" s="114">
        <f t="shared" si="2"/>
        <v>32451.300000000003</v>
      </c>
      <c r="AX40" s="115">
        <f t="shared" si="3"/>
        <v>3860.2200000000003</v>
      </c>
      <c r="AY40" s="125">
        <f>$AY$50/$AV$50*AV40</f>
        <v>711.74811625595783</v>
      </c>
      <c r="AZ40" s="114">
        <f>$AZ$50/$AV$50*AV40</f>
        <v>1611.4220425030828</v>
      </c>
      <c r="BA40" s="114">
        <f>$BA$50/$AV$50*AV40</f>
        <v>1347.232409884838</v>
      </c>
      <c r="BB40" s="114">
        <v>0</v>
      </c>
      <c r="BC40" s="116">
        <f>$BC$50</f>
        <v>0</v>
      </c>
      <c r="BD40" s="117">
        <f t="shared" si="11"/>
        <v>38634.69015875904</v>
      </c>
      <c r="BE40" s="118">
        <f t="shared" si="12"/>
        <v>1821.5318320961358</v>
      </c>
      <c r="BF40" s="119"/>
      <c r="BG40" s="120">
        <v>2000</v>
      </c>
      <c r="BH40" s="121">
        <f t="shared" si="4"/>
        <v>42420</v>
      </c>
      <c r="BI40" s="122">
        <f t="shared" si="13"/>
        <v>3785.3098412409599</v>
      </c>
      <c r="BJ40" s="123">
        <f t="shared" si="5"/>
        <v>8.9234083951932108E-2</v>
      </c>
    </row>
    <row r="41" spans="1:62" s="15" customFormat="1" x14ac:dyDescent="0.25">
      <c r="A41" s="23">
        <f t="shared" ref="A41:A44" si="19">+A40+1</f>
        <v>38</v>
      </c>
      <c r="B41" s="32">
        <v>10009332</v>
      </c>
      <c r="C41" s="32" t="s">
        <v>64</v>
      </c>
      <c r="D41" s="56">
        <v>39360</v>
      </c>
      <c r="E41" s="24"/>
      <c r="F41" s="33"/>
      <c r="G41" s="33"/>
      <c r="H41" s="33"/>
      <c r="I41" s="33"/>
      <c r="J41" s="27"/>
      <c r="K41" s="33">
        <f t="shared" si="15"/>
        <v>39360</v>
      </c>
      <c r="L41" s="24">
        <f t="shared" si="0"/>
        <v>0</v>
      </c>
      <c r="M41" s="46"/>
      <c r="N41" s="24">
        <f t="shared" si="6"/>
        <v>39360</v>
      </c>
      <c r="O41" s="27"/>
      <c r="P41" s="18">
        <v>39360</v>
      </c>
      <c r="Q41" s="18">
        <f t="shared" si="7"/>
        <v>0</v>
      </c>
      <c r="R41" s="60"/>
      <c r="S41" s="65"/>
      <c r="T41" s="60"/>
      <c r="U41" s="27"/>
      <c r="V41" s="27">
        <f t="shared" si="8"/>
        <v>0</v>
      </c>
      <c r="W41" s="27">
        <f t="shared" si="9"/>
        <v>0</v>
      </c>
      <c r="AK41" s="3"/>
      <c r="AL41" s="3"/>
      <c r="AM41" s="3"/>
      <c r="AS41" s="3">
        <v>10009332</v>
      </c>
      <c r="AT41" s="3" t="str">
        <f t="shared" si="10"/>
        <v>FEBRERO10009332Inventario final</v>
      </c>
      <c r="AU41" s="15">
        <f>INDEX('[1]Detalle Costos'!$L$5:$L$158,MATCH(AT41,'[1]Detalle Costos'!$C$5:$C$158,0))</f>
        <v>1.53</v>
      </c>
      <c r="AV41" s="113">
        <f t="shared" si="1"/>
        <v>39.36</v>
      </c>
      <c r="AW41" s="114">
        <f t="shared" si="2"/>
        <v>60220.799999999996</v>
      </c>
      <c r="AX41" s="115">
        <f t="shared" si="3"/>
        <v>7163.5199999999995</v>
      </c>
      <c r="AY41" s="125">
        <f>$AY$50/$AV$50*AV41</f>
        <v>1320.8112143250587</v>
      </c>
      <c r="AZ41" s="114">
        <f>$AZ$50/$AV$50*AV41</f>
        <v>2990.3616969788468</v>
      </c>
      <c r="BA41" s="114">
        <f>$BA$50/$AV$50*AV41</f>
        <v>2500.0974848216511</v>
      </c>
      <c r="BB41" s="114">
        <v>0</v>
      </c>
      <c r="BC41" s="116">
        <f>$BC$50</f>
        <v>0</v>
      </c>
      <c r="BD41" s="117">
        <f t="shared" si="11"/>
        <v>71695.492911303896</v>
      </c>
      <c r="BE41" s="118">
        <f t="shared" si="12"/>
        <v>1821.5318320961355</v>
      </c>
      <c r="BF41" s="119"/>
      <c r="BG41" s="120">
        <v>2000</v>
      </c>
      <c r="BH41" s="121">
        <f t="shared" si="4"/>
        <v>78720</v>
      </c>
      <c r="BI41" s="122">
        <f t="shared" si="13"/>
        <v>7024.5070886961039</v>
      </c>
      <c r="BJ41" s="123">
        <f t="shared" si="5"/>
        <v>8.9234083951932219E-2</v>
      </c>
    </row>
    <row r="42" spans="1:62" s="15" customFormat="1" x14ac:dyDescent="0.25">
      <c r="A42" s="23"/>
      <c r="B42" s="32"/>
      <c r="C42" s="32" t="s">
        <v>108</v>
      </c>
      <c r="D42" s="56">
        <v>4920</v>
      </c>
      <c r="E42" s="24"/>
      <c r="F42" s="33"/>
      <c r="G42" s="33"/>
      <c r="H42" s="33"/>
      <c r="I42" s="33"/>
      <c r="J42" s="27"/>
      <c r="K42" s="33">
        <f t="shared" si="15"/>
        <v>4920</v>
      </c>
      <c r="L42" s="24">
        <f t="shared" si="0"/>
        <v>0</v>
      </c>
      <c r="M42" s="46"/>
      <c r="N42" s="24">
        <f t="shared" si="6"/>
        <v>4920</v>
      </c>
      <c r="O42" s="27"/>
      <c r="P42" s="18"/>
      <c r="Q42" s="18"/>
      <c r="R42" s="60"/>
      <c r="S42" s="65"/>
      <c r="T42" s="60"/>
      <c r="U42" s="27"/>
      <c r="V42" s="27"/>
      <c r="W42" s="27"/>
      <c r="AK42" s="3"/>
      <c r="AL42" s="3"/>
      <c r="AM42" s="3"/>
      <c r="AT42" s="3" t="str">
        <f t="shared" si="10"/>
        <v>FEBREROInventario final</v>
      </c>
      <c r="AU42" s="15" t="e">
        <f>INDEX('[1]Detalle Costos'!$L$5:$L$158,MATCH(AT42,'[1]Detalle Costos'!$C$5:$C$158,0))</f>
        <v>#N/A</v>
      </c>
      <c r="AV42" s="113">
        <f t="shared" si="1"/>
        <v>0</v>
      </c>
      <c r="AW42" s="114">
        <f t="shared" si="2"/>
        <v>0</v>
      </c>
      <c r="AX42" s="115">
        <f t="shared" si="3"/>
        <v>0</v>
      </c>
      <c r="AY42" s="125">
        <f>$AY$50/$AV$50*AV42</f>
        <v>0</v>
      </c>
      <c r="AZ42" s="114">
        <f>$AZ$50/$AV$50*AV42</f>
        <v>0</v>
      </c>
      <c r="BA42" s="114">
        <f>$BA$50/$AV$50*AV42</f>
        <v>0</v>
      </c>
      <c r="BB42" s="114">
        <v>0</v>
      </c>
      <c r="BC42" s="116">
        <f>$BC$50</f>
        <v>0</v>
      </c>
      <c r="BD42" s="117">
        <f t="shared" si="11"/>
        <v>0</v>
      </c>
      <c r="BE42" s="118">
        <f t="shared" si="12"/>
        <v>0</v>
      </c>
      <c r="BF42" s="119"/>
      <c r="BG42" s="120"/>
      <c r="BH42" s="121">
        <f t="shared" si="4"/>
        <v>0</v>
      </c>
      <c r="BI42" s="122">
        <f t="shared" si="13"/>
        <v>0</v>
      </c>
      <c r="BJ42" s="123">
        <f t="shared" si="5"/>
        <v>0</v>
      </c>
    </row>
    <row r="43" spans="1:62" s="15" customFormat="1" x14ac:dyDescent="0.25">
      <c r="A43" s="23">
        <f>+A41+1</f>
        <v>39</v>
      </c>
      <c r="B43" s="32"/>
      <c r="C43" s="32" t="s">
        <v>99</v>
      </c>
      <c r="D43" s="56">
        <v>20</v>
      </c>
      <c r="E43" s="24"/>
      <c r="F43" s="33"/>
      <c r="G43" s="33"/>
      <c r="H43" s="33"/>
      <c r="I43" s="33"/>
      <c r="J43" s="27"/>
      <c r="K43" s="33">
        <f t="shared" si="15"/>
        <v>20</v>
      </c>
      <c r="L43" s="24">
        <f t="shared" si="0"/>
        <v>0</v>
      </c>
      <c r="M43" s="46"/>
      <c r="N43" s="24">
        <f t="shared" si="6"/>
        <v>20</v>
      </c>
      <c r="O43" s="27"/>
      <c r="P43" s="18">
        <v>20</v>
      </c>
      <c r="Q43" s="18">
        <f t="shared" ref="Q43:Q44" si="20">+N43-P43</f>
        <v>0</v>
      </c>
      <c r="R43" s="60"/>
      <c r="S43" s="65"/>
      <c r="T43" s="60"/>
      <c r="U43" s="27"/>
      <c r="V43" s="27">
        <f t="shared" si="8"/>
        <v>0</v>
      </c>
      <c r="W43" s="27">
        <f t="shared" si="9"/>
        <v>0</v>
      </c>
      <c r="AK43" s="3"/>
      <c r="AL43" s="3"/>
      <c r="AM43" s="3"/>
      <c r="AT43" s="3" t="str">
        <f t="shared" si="10"/>
        <v>FEBREROInventario final</v>
      </c>
      <c r="AU43" s="15" t="e">
        <f>INDEX('[1]Detalle Costos'!$L$5:$L$158,MATCH(AT43,'[1]Detalle Costos'!$C$5:$C$158,0))</f>
        <v>#N/A</v>
      </c>
      <c r="AV43" s="113">
        <f t="shared" si="1"/>
        <v>0</v>
      </c>
      <c r="AW43" s="114">
        <f t="shared" si="2"/>
        <v>0</v>
      </c>
      <c r="AX43" s="115">
        <f t="shared" si="3"/>
        <v>0</v>
      </c>
      <c r="AY43" s="125">
        <f>$AY$50/$AV$50*AV43</f>
        <v>0</v>
      </c>
      <c r="AZ43" s="114">
        <f>$AZ$50/$AV$50*AV43</f>
        <v>0</v>
      </c>
      <c r="BA43" s="114">
        <f>$BA$50/$AV$50*AV43</f>
        <v>0</v>
      </c>
      <c r="BB43" s="114">
        <v>0</v>
      </c>
      <c r="BC43" s="116">
        <f>$BC$50</f>
        <v>0</v>
      </c>
      <c r="BD43" s="117">
        <f t="shared" si="11"/>
        <v>0</v>
      </c>
      <c r="BE43" s="118">
        <f t="shared" si="12"/>
        <v>0</v>
      </c>
      <c r="BF43" s="119"/>
      <c r="BG43" s="120"/>
      <c r="BH43" s="121">
        <f t="shared" si="4"/>
        <v>0</v>
      </c>
      <c r="BI43" s="122">
        <f t="shared" si="13"/>
        <v>0</v>
      </c>
      <c r="BJ43" s="123">
        <f t="shared" si="5"/>
        <v>0</v>
      </c>
    </row>
    <row r="44" spans="1:62" s="15" customFormat="1" x14ac:dyDescent="0.25">
      <c r="A44" s="23">
        <f t="shared" si="19"/>
        <v>40</v>
      </c>
      <c r="B44" s="32"/>
      <c r="C44" s="32" t="s">
        <v>98</v>
      </c>
      <c r="D44" s="56">
        <v>2060</v>
      </c>
      <c r="E44" s="24"/>
      <c r="F44" s="33"/>
      <c r="G44" s="33"/>
      <c r="H44" s="33"/>
      <c r="I44" s="33"/>
      <c r="J44" s="27"/>
      <c r="K44" s="33">
        <f t="shared" si="15"/>
        <v>2060</v>
      </c>
      <c r="L44" s="24">
        <f t="shared" si="0"/>
        <v>0</v>
      </c>
      <c r="M44" s="46"/>
      <c r="N44" s="24">
        <f t="shared" si="6"/>
        <v>2060</v>
      </c>
      <c r="O44" s="27"/>
      <c r="P44" s="18">
        <v>2060</v>
      </c>
      <c r="Q44" s="18">
        <f t="shared" si="20"/>
        <v>0</v>
      </c>
      <c r="R44" s="60"/>
      <c r="S44" s="65"/>
      <c r="T44" s="60"/>
      <c r="U44" s="27"/>
      <c r="V44" s="27">
        <f t="shared" si="8"/>
        <v>0</v>
      </c>
      <c r="W44" s="27">
        <f t="shared" si="9"/>
        <v>0</v>
      </c>
      <c r="AK44" s="3"/>
      <c r="AL44" s="3"/>
      <c r="AM44" s="3"/>
      <c r="AT44" s="3" t="str">
        <f t="shared" si="10"/>
        <v>FEBREROInventario final</v>
      </c>
      <c r="AU44" s="15" t="e">
        <f>INDEX('[1]Detalle Costos'!$L$5:$L$158,MATCH(AT44,'[1]Detalle Costos'!$C$5:$C$158,0))</f>
        <v>#N/A</v>
      </c>
      <c r="AV44" s="113">
        <f t="shared" si="1"/>
        <v>0</v>
      </c>
      <c r="AW44" s="114">
        <f t="shared" si="2"/>
        <v>0</v>
      </c>
      <c r="AX44" s="115">
        <f t="shared" si="3"/>
        <v>0</v>
      </c>
      <c r="AY44" s="125">
        <f>$AY$50/$AV$50*AV44</f>
        <v>0</v>
      </c>
      <c r="AZ44" s="114">
        <f>$AZ$50/$AV$50*AV44</f>
        <v>0</v>
      </c>
      <c r="BA44" s="114">
        <f>$BA$50/$AV$50*AV44</f>
        <v>0</v>
      </c>
      <c r="BB44" s="114">
        <v>0</v>
      </c>
      <c r="BC44" s="116">
        <f>$BC$50</f>
        <v>0</v>
      </c>
      <c r="BD44" s="117">
        <f t="shared" si="11"/>
        <v>0</v>
      </c>
      <c r="BE44" s="118">
        <f t="shared" si="12"/>
        <v>0</v>
      </c>
      <c r="BF44" s="119"/>
      <c r="BG44" s="120"/>
      <c r="BH44" s="121">
        <f t="shared" si="4"/>
        <v>0</v>
      </c>
      <c r="BI44" s="122">
        <f t="shared" si="13"/>
        <v>0</v>
      </c>
      <c r="BJ44" s="123">
        <f t="shared" si="5"/>
        <v>0</v>
      </c>
    </row>
    <row r="45" spans="1:62" s="15" customFormat="1" x14ac:dyDescent="0.25">
      <c r="A45" s="48">
        <f>+A44+1</f>
        <v>41</v>
      </c>
      <c r="B45" s="49"/>
      <c r="C45" s="49" t="s">
        <v>65</v>
      </c>
      <c r="D45" s="72">
        <v>51.174999999999997</v>
      </c>
      <c r="E45" s="50"/>
      <c r="F45" s="51"/>
      <c r="G45" s="51"/>
      <c r="H45" s="51"/>
      <c r="I45" s="51"/>
      <c r="J45" s="52"/>
      <c r="K45" s="67">
        <f t="shared" si="15"/>
        <v>51.174999999999997</v>
      </c>
      <c r="L45" s="68">
        <f t="shared" si="0"/>
        <v>0</v>
      </c>
      <c r="M45" s="69"/>
      <c r="N45" s="71">
        <f t="shared" si="6"/>
        <v>51.174999999999997</v>
      </c>
      <c r="O45" s="70"/>
      <c r="P45" s="9">
        <v>51.174999999999997</v>
      </c>
      <c r="Q45" s="18">
        <f t="shared" si="7"/>
        <v>0</v>
      </c>
      <c r="R45" s="60"/>
      <c r="S45" s="65"/>
      <c r="T45" s="60"/>
      <c r="U45" s="27"/>
      <c r="V45" s="27">
        <f t="shared" si="8"/>
        <v>0</v>
      </c>
      <c r="W45" s="27">
        <f t="shared" si="9"/>
        <v>0</v>
      </c>
      <c r="AK45" s="3"/>
      <c r="AL45" s="3"/>
      <c r="AM45" s="3"/>
      <c r="AT45" s="3" t="str">
        <f t="shared" si="10"/>
        <v>FEBREROInventario final</v>
      </c>
      <c r="AU45" s="15" t="e">
        <f>INDEX('[1]Detalle Costos'!$L$5:$L$158,MATCH(AT45,'[1]Detalle Costos'!$C$5:$C$158,0))</f>
        <v>#N/A</v>
      </c>
      <c r="AV45" s="113">
        <f t="shared" si="1"/>
        <v>0</v>
      </c>
      <c r="AW45" s="114">
        <f t="shared" si="2"/>
        <v>0</v>
      </c>
      <c r="AX45" s="115">
        <f t="shared" si="3"/>
        <v>0</v>
      </c>
      <c r="AY45" s="125">
        <f>$AY$50/$AV$50*AV45</f>
        <v>0</v>
      </c>
      <c r="AZ45" s="114">
        <f>$AZ$50/$AV$50*AV45</f>
        <v>0</v>
      </c>
      <c r="BA45" s="114">
        <f>$BA$50/$AV$50*AV45</f>
        <v>0</v>
      </c>
      <c r="BB45" s="114">
        <v>0</v>
      </c>
      <c r="BC45" s="116">
        <f>$BC$50</f>
        <v>0</v>
      </c>
      <c r="BD45" s="117">
        <f t="shared" si="11"/>
        <v>0</v>
      </c>
      <c r="BE45" s="118">
        <f t="shared" si="12"/>
        <v>0</v>
      </c>
      <c r="BF45" s="119"/>
      <c r="BG45" s="120"/>
      <c r="BH45" s="121">
        <f t="shared" si="4"/>
        <v>0</v>
      </c>
      <c r="BI45" s="122">
        <f t="shared" si="13"/>
        <v>0</v>
      </c>
      <c r="BJ45" s="123">
        <f t="shared" si="5"/>
        <v>0</v>
      </c>
    </row>
    <row r="46" spans="1:62" s="15" customFormat="1" x14ac:dyDescent="0.25">
      <c r="A46" s="48">
        <f t="shared" ref="A46:A47" si="21">+A45+1</f>
        <v>42</v>
      </c>
      <c r="B46" s="49"/>
      <c r="C46" s="49" t="s">
        <v>66</v>
      </c>
      <c r="D46" s="72">
        <v>13.774999999999999</v>
      </c>
      <c r="E46" s="50"/>
      <c r="F46" s="51"/>
      <c r="G46" s="51"/>
      <c r="H46" s="51"/>
      <c r="I46" s="51"/>
      <c r="J46" s="52"/>
      <c r="K46" s="67">
        <f t="shared" si="15"/>
        <v>13.774999999999999</v>
      </c>
      <c r="L46" s="68">
        <f t="shared" si="0"/>
        <v>0</v>
      </c>
      <c r="M46" s="69"/>
      <c r="N46" s="71">
        <f t="shared" si="6"/>
        <v>13.774999999999999</v>
      </c>
      <c r="O46" s="70"/>
      <c r="P46" s="9">
        <v>13.775</v>
      </c>
      <c r="Q46" s="18">
        <f t="shared" si="7"/>
        <v>0</v>
      </c>
      <c r="R46" s="60"/>
      <c r="S46" s="65"/>
      <c r="T46" s="60"/>
      <c r="U46" s="27"/>
      <c r="V46" s="27">
        <f t="shared" si="8"/>
        <v>0</v>
      </c>
      <c r="W46" s="27">
        <f t="shared" si="9"/>
        <v>0</v>
      </c>
      <c r="AK46" s="3"/>
      <c r="AL46" s="3"/>
      <c r="AM46" s="3"/>
      <c r="AT46" s="3" t="str">
        <f t="shared" ref="AT46:AT47" si="22">"FEBRERO"&amp;AS46&amp;"Inventario final"</f>
        <v>FEBREROInventario final</v>
      </c>
      <c r="AU46" s="15" t="e">
        <f>INDEX('[1]Detalle Costos'!$L$5:$L$158,MATCH(AT46,'[1]Detalle Costos'!$C$5:$C$158,0))</f>
        <v>#N/A</v>
      </c>
      <c r="AV46" s="113">
        <f t="shared" si="1"/>
        <v>0</v>
      </c>
      <c r="AW46" s="114">
        <f t="shared" ref="AW46:AW47" si="23">IFERROR(AU46*AV46,0)*1000</f>
        <v>0</v>
      </c>
      <c r="AX46" s="115">
        <f t="shared" ref="AX46:AX47" si="24">182*AV46</f>
        <v>0</v>
      </c>
      <c r="AY46" s="125">
        <f>$AY$50/$AV$50*AV46</f>
        <v>0</v>
      </c>
      <c r="AZ46" s="114">
        <f>$AZ$50/$AV$50*AV46</f>
        <v>0</v>
      </c>
      <c r="BA46" s="114">
        <f>$BA$50/$AV$50*AV46</f>
        <v>0</v>
      </c>
      <c r="BB46" s="114">
        <v>0</v>
      </c>
      <c r="BC46" s="116">
        <f>$BC$50</f>
        <v>0</v>
      </c>
      <c r="BD46" s="117">
        <f t="shared" ref="BD46:BD47" si="25">AW46+AX46+AY46+AZ46</f>
        <v>0</v>
      </c>
      <c r="BE46" s="118">
        <f t="shared" ref="BE46:BE47" si="26">IFERROR(BD46/AV46,0)</f>
        <v>0</v>
      </c>
      <c r="BF46" s="119"/>
      <c r="BG46" s="120"/>
      <c r="BH46" s="121">
        <f t="shared" ref="BH46:BH47" si="27">BG46*AV46</f>
        <v>0</v>
      </c>
      <c r="BI46" s="122">
        <f t="shared" ref="BI46:BI47" si="28">BH46-BD46</f>
        <v>0</v>
      </c>
      <c r="BJ46" s="123">
        <f t="shared" ref="BJ46:BJ47" si="29">IFERROR(BI46/BH46,0)</f>
        <v>0</v>
      </c>
    </row>
    <row r="47" spans="1:62" s="15" customFormat="1" x14ac:dyDescent="0.25">
      <c r="A47" s="48">
        <f t="shared" si="21"/>
        <v>43</v>
      </c>
      <c r="B47" s="49"/>
      <c r="C47" s="49" t="s">
        <v>80</v>
      </c>
      <c r="D47" s="72">
        <v>23.85</v>
      </c>
      <c r="E47" s="50"/>
      <c r="F47" s="51"/>
      <c r="G47" s="51"/>
      <c r="H47" s="51"/>
      <c r="I47" s="51"/>
      <c r="J47" s="52"/>
      <c r="K47" s="67">
        <f t="shared" si="15"/>
        <v>23.85</v>
      </c>
      <c r="L47" s="68">
        <f t="shared" si="0"/>
        <v>0</v>
      </c>
      <c r="M47" s="69"/>
      <c r="N47" s="71">
        <f t="shared" si="6"/>
        <v>23.85</v>
      </c>
      <c r="O47" s="70"/>
      <c r="P47" s="9">
        <v>23.85</v>
      </c>
      <c r="Q47" s="18">
        <f t="shared" si="7"/>
        <v>0</v>
      </c>
      <c r="R47" s="60"/>
      <c r="S47" s="65"/>
      <c r="T47" s="60"/>
      <c r="U47" s="27"/>
      <c r="V47" s="27">
        <f t="shared" si="8"/>
        <v>0</v>
      </c>
      <c r="W47" s="27">
        <f t="shared" si="9"/>
        <v>0</v>
      </c>
      <c r="AK47" s="3"/>
      <c r="AL47" s="3"/>
      <c r="AM47" s="3"/>
      <c r="AT47" s="3" t="str">
        <f t="shared" si="22"/>
        <v>FEBREROInventario final</v>
      </c>
      <c r="AU47" s="15" t="e">
        <f>INDEX('[1]Detalle Costos'!$L$5:$L$158,MATCH(AT47,'[1]Detalle Costos'!$C$5:$C$158,0))</f>
        <v>#N/A</v>
      </c>
      <c r="AV47" s="113">
        <f t="shared" si="1"/>
        <v>0</v>
      </c>
      <c r="AW47" s="114">
        <f t="shared" si="23"/>
        <v>0</v>
      </c>
      <c r="AX47" s="115">
        <f t="shared" si="24"/>
        <v>0</v>
      </c>
      <c r="AY47" s="125">
        <f>$AY$50/$AV$50*AV47</f>
        <v>0</v>
      </c>
      <c r="AZ47" s="114">
        <f>$AZ$50/$AV$50*AV47</f>
        <v>0</v>
      </c>
      <c r="BA47" s="114">
        <f>$BA$50/$AV$50*AV47</f>
        <v>0</v>
      </c>
      <c r="BB47" s="114">
        <v>0</v>
      </c>
      <c r="BC47" s="116">
        <f>$BC$50</f>
        <v>0</v>
      </c>
      <c r="BD47" s="117">
        <f t="shared" si="25"/>
        <v>0</v>
      </c>
      <c r="BE47" s="118">
        <f t="shared" si="26"/>
        <v>0</v>
      </c>
      <c r="BF47" s="119"/>
      <c r="BG47" s="120"/>
      <c r="BH47" s="121">
        <f t="shared" si="27"/>
        <v>0</v>
      </c>
      <c r="BI47" s="122">
        <f t="shared" si="28"/>
        <v>0</v>
      </c>
      <c r="BJ47" s="123">
        <f t="shared" si="29"/>
        <v>0</v>
      </c>
    </row>
    <row r="48" spans="1:62" x14ac:dyDescent="0.3">
      <c r="A48" s="43">
        <f>+A47+1</f>
        <v>44</v>
      </c>
      <c r="B48" s="44" t="s">
        <v>25</v>
      </c>
      <c r="C48" s="44" t="s">
        <v>26</v>
      </c>
      <c r="D48" s="59">
        <v>1120</v>
      </c>
      <c r="E48" s="41"/>
      <c r="F48" s="41"/>
      <c r="G48" s="41"/>
      <c r="H48" s="41"/>
      <c r="I48" s="41"/>
      <c r="J48" s="41"/>
      <c r="K48" s="41">
        <f t="shared" si="15"/>
        <v>1120</v>
      </c>
      <c r="L48" s="42">
        <f t="shared" si="0"/>
        <v>0</v>
      </c>
      <c r="M48" s="42"/>
      <c r="N48" s="42">
        <f>SUM(G48:K48)</f>
        <v>1120</v>
      </c>
      <c r="O48" s="27"/>
      <c r="P48" s="9">
        <v>1120</v>
      </c>
      <c r="Q48" s="18">
        <f t="shared" si="7"/>
        <v>0</v>
      </c>
      <c r="R48" s="60"/>
      <c r="S48" s="65"/>
      <c r="T48" s="60"/>
      <c r="U48" s="27"/>
      <c r="V48" s="27">
        <f t="shared" si="8"/>
        <v>0</v>
      </c>
      <c r="W48" s="27">
        <f t="shared" si="9"/>
        <v>0</v>
      </c>
      <c r="AS48" s="3">
        <v>10009224</v>
      </c>
      <c r="AT48" s="3" t="str">
        <f>"FEBRERO"&amp;AS48&amp;"Inventario final"</f>
        <v>FEBRERO10009224Inventario final</v>
      </c>
      <c r="AU48" s="3" t="e">
        <f>INDEX('[1]Detalle Costos'!$L$5:$L$158,MATCH(AT48,'[1]Detalle Costos'!$C$5:$C$158,0))</f>
        <v>#N/A</v>
      </c>
      <c r="AV48" s="113">
        <f t="shared" si="1"/>
        <v>0</v>
      </c>
      <c r="AW48" s="114">
        <f>IFERROR(AU48*AV48,0)*1000</f>
        <v>0</v>
      </c>
      <c r="AX48" s="115">
        <f>182*AV48</f>
        <v>0</v>
      </c>
      <c r="AY48" s="114">
        <f>$AY$50/$AV$50*AV48</f>
        <v>0</v>
      </c>
      <c r="AZ48" s="114">
        <f>$AZ$50/$AV$50*AV48</f>
        <v>0</v>
      </c>
      <c r="BA48" s="114">
        <f>$BA$50/$AV$50*AV48</f>
        <v>0</v>
      </c>
      <c r="BB48" s="114">
        <v>0</v>
      </c>
      <c r="BC48" s="116">
        <f>$BC$50</f>
        <v>0</v>
      </c>
      <c r="BD48" s="117">
        <f>AW48+AX48+AY48+AZ48</f>
        <v>0</v>
      </c>
      <c r="BE48" s="118">
        <f>IFERROR(BD48/AV48,0)</f>
        <v>0</v>
      </c>
      <c r="BF48" s="119"/>
      <c r="BG48" s="120"/>
      <c r="BH48" s="121">
        <f>BG48*AV48</f>
        <v>0</v>
      </c>
      <c r="BI48" s="122">
        <f>BH48-BD48</f>
        <v>0</v>
      </c>
      <c r="BJ48" s="123">
        <f>IFERROR(BI48/BH48,0)</f>
        <v>0</v>
      </c>
    </row>
    <row r="49" spans="3:62" ht="3.6" customHeight="1" thickBot="1" x14ac:dyDescent="0.35"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27"/>
      <c r="V49" s="27"/>
      <c r="AV49" s="126">
        <f t="shared" si="1"/>
        <v>0</v>
      </c>
      <c r="BD49" s="117"/>
      <c r="BE49" s="117"/>
      <c r="BF49" s="115"/>
      <c r="BG49" s="122"/>
      <c r="BH49" s="121"/>
      <c r="BI49" s="122"/>
      <c r="BJ49" s="123">
        <f>IFERROR(BI49/BH49,0)</f>
        <v>0</v>
      </c>
    </row>
    <row r="50" spans="3:62" ht="16.2" thickBot="1" x14ac:dyDescent="0.35">
      <c r="C50" s="1" t="s">
        <v>93</v>
      </c>
      <c r="D50" s="6">
        <f t="shared" ref="D50:H51" si="30">SUM(D3:D48)</f>
        <v>1978298.8</v>
      </c>
      <c r="E50" s="6">
        <f t="shared" si="30"/>
        <v>0</v>
      </c>
      <c r="F50" s="6">
        <f t="shared" si="30"/>
        <v>0</v>
      </c>
      <c r="G50" s="6">
        <f t="shared" si="30"/>
        <v>0</v>
      </c>
      <c r="H50" s="6">
        <f t="shared" si="30"/>
        <v>0</v>
      </c>
      <c r="I50" s="6">
        <f>SUM(I3:I48)</f>
        <v>0</v>
      </c>
      <c r="J50" s="5">
        <f>SUM(J3:J39)</f>
        <v>0</v>
      </c>
      <c r="K50" s="6">
        <f>SUM(K3:K48)</f>
        <v>1978298.8</v>
      </c>
      <c r="L50" s="6">
        <f>SUM(L3:L48)</f>
        <v>0</v>
      </c>
      <c r="M50" s="73">
        <f>SUM(M3:M48)</f>
        <v>171000</v>
      </c>
      <c r="N50" s="35">
        <f>SUM(N3:N49)</f>
        <v>1807298.8</v>
      </c>
      <c r="O50" s="27"/>
      <c r="P50" s="9">
        <f>SUM(P1:P48)</f>
        <v>1877468.8</v>
      </c>
      <c r="Q50" s="5">
        <f>SUM(Q1:Q48)</f>
        <v>-75090</v>
      </c>
      <c r="R50" s="5">
        <f>SUM(R1:R48)</f>
        <v>0</v>
      </c>
      <c r="S50" s="5">
        <f>SUM(S1:S48)</f>
        <v>0</v>
      </c>
      <c r="T50" s="5">
        <f>SUM(T3:T48)</f>
        <v>171000</v>
      </c>
      <c r="U50" s="27"/>
      <c r="V50" s="5">
        <f>SUM(V3:V48)</f>
        <v>171000</v>
      </c>
      <c r="W50" s="27">
        <f>SUM(R50:T50)</f>
        <v>171000</v>
      </c>
      <c r="X50" s="97">
        <f>+V50-W50</f>
        <v>0</v>
      </c>
      <c r="AH50" s="3">
        <f>SUM(AH4:AH49)</f>
        <v>0</v>
      </c>
      <c r="AI50" s="5">
        <f>+AH50-N50</f>
        <v>-1807298.8</v>
      </c>
      <c r="AT50" s="15" t="s">
        <v>125</v>
      </c>
      <c r="AU50" s="15"/>
      <c r="AV50" s="127">
        <f>SUBTOTAL(9,AV3:AV48)</f>
        <v>1952.5999999999997</v>
      </c>
      <c r="AW50" s="128">
        <f>SUBTOTAL(9,AW3:AW48)</f>
        <v>3280842.8</v>
      </c>
      <c r="AX50" s="128">
        <f>SUBTOTAL(9,AX3:AX48)</f>
        <v>355373.2</v>
      </c>
      <c r="AY50" s="128">
        <v>65523.779905770061</v>
      </c>
      <c r="AZ50" s="128">
        <v>148348.0754451447</v>
      </c>
      <c r="BA50" s="128">
        <v>124026.6856926513</v>
      </c>
      <c r="BB50" s="128">
        <f>SUBTOTAL(9,BB3:BB48)</f>
        <v>0</v>
      </c>
      <c r="BC50" s="129">
        <v>0</v>
      </c>
      <c r="BD50" s="130">
        <f>SUBTOTAL(9,BD3:BD48)</f>
        <v>3850087.8553509153</v>
      </c>
      <c r="BE50" s="130">
        <f>BD50/$AV$50</f>
        <v>1971.7749950583407</v>
      </c>
      <c r="BF50" s="131"/>
      <c r="BG50" s="132">
        <f>BH50/$AV$50</f>
        <v>2349.8635153129167</v>
      </c>
      <c r="BH50" s="133">
        <f>SUBTOTAL(9,BH3:BH48)</f>
        <v>4588343.5</v>
      </c>
      <c r="BI50" s="132">
        <f>SUBTOTAL(9,BI3:BI48)</f>
        <v>738255.64464908524</v>
      </c>
      <c r="BJ50" s="134">
        <f>IFERROR(BI50/BH50,0)</f>
        <v>0.16089807675669557</v>
      </c>
    </row>
    <row r="51" spans="3:62" ht="17.399999999999999" customHeight="1" x14ac:dyDescent="0.3">
      <c r="E51" s="6">
        <f t="shared" si="30"/>
        <v>0</v>
      </c>
      <c r="F51" s="6">
        <f t="shared" si="30"/>
        <v>0</v>
      </c>
      <c r="G51" s="6">
        <f t="shared" si="30"/>
        <v>0</v>
      </c>
      <c r="H51" s="6">
        <f t="shared" si="30"/>
        <v>0</v>
      </c>
      <c r="K51" s="5"/>
      <c r="O51" s="27"/>
      <c r="Q51" s="5"/>
    </row>
    <row r="52" spans="3:62" x14ac:dyDescent="0.3">
      <c r="D52" s="74"/>
      <c r="Q52" s="5"/>
      <c r="S52" s="5"/>
      <c r="T52" s="5">
        <f>+M50-S52</f>
        <v>171000</v>
      </c>
    </row>
    <row r="53" spans="3:62" x14ac:dyDescent="0.3">
      <c r="D53" s="5"/>
      <c r="E53" s="5"/>
      <c r="K53" s="100" t="s">
        <v>96</v>
      </c>
      <c r="L53" s="101"/>
      <c r="M53" s="101"/>
      <c r="N53" s="62">
        <f>ROUND(+N50/1000,0)</f>
        <v>1807</v>
      </c>
      <c r="Q53" s="5" t="s">
        <v>71</v>
      </c>
      <c r="T53" s="3" t="s">
        <v>78</v>
      </c>
      <c r="U53" s="8" t="s">
        <v>79</v>
      </c>
      <c r="V53" s="96">
        <v>642.57680000000005</v>
      </c>
    </row>
    <row r="54" spans="3:62" x14ac:dyDescent="0.3">
      <c r="K54" s="3" t="s">
        <v>70</v>
      </c>
      <c r="L54" s="61"/>
      <c r="M54" s="61"/>
      <c r="N54" s="63">
        <f>+L55+L56</f>
        <v>478</v>
      </c>
      <c r="Q54" s="5" t="s">
        <v>72</v>
      </c>
      <c r="R54" s="3">
        <f>+T50/1000</f>
        <v>171</v>
      </c>
      <c r="T54" s="3">
        <v>0</v>
      </c>
      <c r="U54" s="8">
        <v>0</v>
      </c>
      <c r="V54" s="96">
        <v>49</v>
      </c>
    </row>
    <row r="55" spans="3:62" x14ac:dyDescent="0.3">
      <c r="K55" s="61">
        <v>46118</v>
      </c>
      <c r="L55" s="5">
        <v>478</v>
      </c>
      <c r="M55" s="61"/>
      <c r="N55" s="63">
        <v>0</v>
      </c>
      <c r="Q55" s="3" t="s">
        <v>73</v>
      </c>
      <c r="R55" s="3">
        <f>+R50/1000</f>
        <v>0</v>
      </c>
      <c r="V55" s="96">
        <v>0</v>
      </c>
    </row>
    <row r="56" spans="3:62" x14ac:dyDescent="0.3">
      <c r="K56" s="61"/>
      <c r="L56" s="5"/>
      <c r="M56" s="61"/>
      <c r="N56" s="63">
        <v>0</v>
      </c>
      <c r="Q56" s="3" t="s">
        <v>74</v>
      </c>
      <c r="R56" s="3">
        <f>+S50/1000</f>
        <v>0</v>
      </c>
      <c r="V56" s="96">
        <v>0</v>
      </c>
    </row>
    <row r="57" spans="3:62" x14ac:dyDescent="0.3">
      <c r="K57" s="100" t="s">
        <v>67</v>
      </c>
      <c r="L57" s="101"/>
      <c r="M57" s="101"/>
      <c r="N57" s="64">
        <f>+N53-N54-N55-N56</f>
        <v>1329</v>
      </c>
      <c r="Q57" s="63"/>
      <c r="R57" s="3">
        <f>SUM(R54:R56)</f>
        <v>171</v>
      </c>
      <c r="V57" s="96">
        <v>593.57680000000005</v>
      </c>
    </row>
    <row r="58" spans="3:62" x14ac:dyDescent="0.3">
      <c r="Q58" s="63"/>
      <c r="R58" s="63"/>
    </row>
    <row r="59" spans="3:62" x14ac:dyDescent="0.3">
      <c r="R59" s="63"/>
    </row>
    <row r="60" spans="3:62" x14ac:dyDescent="0.3">
      <c r="L60" s="5"/>
    </row>
    <row r="61" spans="3:62" x14ac:dyDescent="0.3">
      <c r="L61" s="5"/>
      <c r="N61" s="63"/>
    </row>
    <row r="63" spans="3:62" x14ac:dyDescent="0.3">
      <c r="N63" s="63"/>
    </row>
  </sheetData>
  <mergeCells count="7">
    <mergeCell ref="Q1:Q2"/>
    <mergeCell ref="K53:M53"/>
    <mergeCell ref="K57:M57"/>
    <mergeCell ref="A1:A2"/>
    <mergeCell ref="C1:C2"/>
    <mergeCell ref="D1:I1"/>
    <mergeCell ref="K1:N1"/>
  </mergeCells>
  <pageMargins left="0.31496062992125984" right="0.70866141732283472" top="0.15748031496062992" bottom="0.15748031496062992" header="0" footer="0.31496062992125984"/>
  <pageSetup paperSize="32004" scale="26" orientation="landscape" horizontalDpi="203" verticalDpi="20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1046-DC4C-4DC9-9FAB-5E1248EA73DF}">
  <sheetPr>
    <pageSetUpPr fitToPage="1"/>
  </sheetPr>
  <dimension ref="A1:BI63"/>
  <sheetViews>
    <sheetView zoomScale="91" zoomScaleNormal="91" workbookViewId="0">
      <pane xSplit="3" ySplit="2" topLeftCell="AA25" activePane="bottomRight" state="frozen"/>
      <selection pane="topRight" activeCell="D1" sqref="D1"/>
      <selection pane="bottomLeft" activeCell="A3" sqref="A3"/>
      <selection pane="bottomRight" activeCell="AI7" sqref="AI7"/>
    </sheetView>
  </sheetViews>
  <sheetFormatPr baseColWidth="10" defaultRowHeight="14.4" x14ac:dyDescent="0.3"/>
  <cols>
    <col min="1" max="1" width="5.5546875" style="3" customWidth="1"/>
    <col min="2" max="2" width="10.109375" style="3" customWidth="1"/>
    <col min="3" max="3" width="37.109375" style="3" customWidth="1"/>
    <col min="4" max="4" width="13.88671875" style="3" bestFit="1" customWidth="1"/>
    <col min="5" max="5" width="12.109375" style="3" customWidth="1"/>
    <col min="6" max="29" width="12" style="3" customWidth="1"/>
    <col min="30" max="30" width="12.21875" style="3" customWidth="1"/>
    <col min="31" max="31" width="1.109375" style="3" customWidth="1"/>
    <col min="32" max="33" width="11.6640625" style="3" customWidth="1"/>
    <col min="34" max="34" width="11.88671875" style="3" customWidth="1"/>
    <col min="35" max="35" width="12.6640625" style="3" customWidth="1"/>
    <col min="36" max="36" width="0.88671875" style="8" customWidth="1"/>
    <col min="37" max="37" width="11.5546875" style="3" customWidth="1"/>
    <col min="38" max="38" width="12.77734375" style="3" bestFit="1" customWidth="1"/>
    <col min="39" max="39" width="12.44140625" style="3" bestFit="1" customWidth="1"/>
    <col min="40" max="40" width="11.44140625" style="3" bestFit="1" customWidth="1"/>
    <col min="41" max="41" width="11.77734375" style="3" bestFit="1" customWidth="1"/>
    <col min="42" max="44" width="9.77734375" style="8" customWidth="1"/>
    <col min="46" max="50" width="9.77734375" style="3" customWidth="1"/>
    <col min="51" max="16384" width="11.5546875" style="3"/>
  </cols>
  <sheetData>
    <row r="1" spans="1:61" x14ac:dyDescent="0.3">
      <c r="A1" s="102" t="s">
        <v>1</v>
      </c>
      <c r="B1" s="2" t="s">
        <v>5</v>
      </c>
      <c r="C1" s="102" t="s">
        <v>0</v>
      </c>
      <c r="D1" s="102" t="s">
        <v>86</v>
      </c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F1" s="102" t="s">
        <v>2</v>
      </c>
      <c r="AG1" s="102"/>
      <c r="AH1" s="102"/>
      <c r="AI1" s="102"/>
      <c r="AJ1" s="27"/>
      <c r="AK1" s="16" t="s">
        <v>22</v>
      </c>
      <c r="AL1" s="98" t="s">
        <v>24</v>
      </c>
    </row>
    <row r="2" spans="1:61" x14ac:dyDescent="0.3">
      <c r="A2" s="102"/>
      <c r="B2" s="2" t="s">
        <v>6</v>
      </c>
      <c r="C2" s="102"/>
      <c r="D2" s="4" t="s">
        <v>20</v>
      </c>
      <c r="E2" s="4">
        <v>46084</v>
      </c>
      <c r="F2" s="4">
        <v>46085</v>
      </c>
      <c r="G2" s="4">
        <v>46086</v>
      </c>
      <c r="H2" s="4">
        <v>46087</v>
      </c>
      <c r="I2" s="4">
        <v>46180</v>
      </c>
      <c r="J2" s="4">
        <v>46089</v>
      </c>
      <c r="K2" s="4">
        <v>46090</v>
      </c>
      <c r="L2" s="4">
        <v>46091</v>
      </c>
      <c r="M2" s="4">
        <v>46092</v>
      </c>
      <c r="N2" s="4">
        <v>46093</v>
      </c>
      <c r="O2" s="4">
        <v>46094</v>
      </c>
      <c r="P2" s="4">
        <v>46095</v>
      </c>
      <c r="Q2" s="4">
        <v>46097</v>
      </c>
      <c r="R2" s="4">
        <v>46098</v>
      </c>
      <c r="S2" s="4">
        <v>20</v>
      </c>
      <c r="T2" s="4">
        <v>21</v>
      </c>
      <c r="U2" s="4">
        <v>46103</v>
      </c>
      <c r="V2" s="4">
        <v>46104</v>
      </c>
      <c r="W2" s="4">
        <v>46105</v>
      </c>
      <c r="X2" s="4">
        <v>46107</v>
      </c>
      <c r="Y2" s="4">
        <v>46108</v>
      </c>
      <c r="Z2" s="4">
        <v>46109</v>
      </c>
      <c r="AA2" s="4">
        <v>46110</v>
      </c>
      <c r="AB2" s="4">
        <v>46111</v>
      </c>
      <c r="AC2" s="4">
        <v>46112</v>
      </c>
      <c r="AD2" s="13"/>
      <c r="AE2" s="34"/>
      <c r="AF2" s="2" t="s">
        <v>21</v>
      </c>
      <c r="AG2" s="2" t="s">
        <v>3</v>
      </c>
      <c r="AH2" s="2" t="s">
        <v>61</v>
      </c>
      <c r="AI2" s="2" t="s">
        <v>4</v>
      </c>
      <c r="AJ2" s="27"/>
      <c r="AK2" s="16" t="s">
        <v>23</v>
      </c>
      <c r="AL2" s="99"/>
      <c r="AM2" s="65" t="s">
        <v>75</v>
      </c>
      <c r="AN2" s="65" t="s">
        <v>76</v>
      </c>
      <c r="AO2" s="65" t="s">
        <v>77</v>
      </c>
      <c r="AQ2" s="8" t="s">
        <v>4</v>
      </c>
    </row>
    <row r="3" spans="1:61" x14ac:dyDescent="0.3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>
        <v>440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27"/>
      <c r="AF3" s="18">
        <f>+D3</f>
        <v>180</v>
      </c>
      <c r="AG3" s="18">
        <f t="shared" ref="AG3:AG48" si="0">SUM(E3:AD3)</f>
        <v>440</v>
      </c>
      <c r="AH3" s="19"/>
      <c r="AI3" s="18">
        <f>+AF3+AG3-AH3</f>
        <v>620</v>
      </c>
      <c r="AJ3" s="27">
        <f>+AF3-AI3</f>
        <v>-440</v>
      </c>
      <c r="AK3" s="18">
        <v>620</v>
      </c>
      <c r="AL3" s="18">
        <f>+AI3-AK3</f>
        <v>0</v>
      </c>
      <c r="AM3" s="60"/>
      <c r="AN3" s="65"/>
      <c r="AO3" s="60"/>
      <c r="AP3" s="27"/>
      <c r="AQ3" s="27">
        <f>SUM(AM3:AO3)</f>
        <v>0</v>
      </c>
      <c r="AR3" s="27">
        <f>+AQ3-AH3</f>
        <v>0</v>
      </c>
      <c r="BI3" s="5"/>
    </row>
    <row r="4" spans="1:61" x14ac:dyDescent="0.3">
      <c r="A4" s="17">
        <f>+A3+1</f>
        <v>2</v>
      </c>
      <c r="B4" s="39" t="s">
        <v>29</v>
      </c>
      <c r="C4" s="39" t="s">
        <v>30</v>
      </c>
      <c r="D4" s="53">
        <v>25720</v>
      </c>
      <c r="E4" s="18">
        <f>20+820</f>
        <v>840</v>
      </c>
      <c r="F4" s="18">
        <f>340+560</f>
        <v>900</v>
      </c>
      <c r="G4" s="18"/>
      <c r="H4" s="18"/>
      <c r="I4" s="18"/>
      <c r="J4" s="18"/>
      <c r="K4" s="18">
        <f>420+400</f>
        <v>820</v>
      </c>
      <c r="L4" s="18">
        <f>520+320</f>
        <v>840</v>
      </c>
      <c r="M4" s="18">
        <f>140+240</f>
        <v>380</v>
      </c>
      <c r="N4" s="18">
        <f>800+580</f>
        <v>1380</v>
      </c>
      <c r="O4" s="18">
        <v>200</v>
      </c>
      <c r="P4" s="18">
        <f>480+160</f>
        <v>640</v>
      </c>
      <c r="Q4" s="18">
        <f>260+1260</f>
        <v>1520</v>
      </c>
      <c r="R4" s="18">
        <f>80+220</f>
        <v>300</v>
      </c>
      <c r="S4" s="18">
        <v>500</v>
      </c>
      <c r="T4" s="18">
        <f>200+540</f>
        <v>740</v>
      </c>
      <c r="U4" s="18"/>
      <c r="V4" s="18">
        <f>600+800</f>
        <v>1400</v>
      </c>
      <c r="W4" s="18">
        <f>3600+1180</f>
        <v>4780</v>
      </c>
      <c r="X4" s="18">
        <f>1320+1060</f>
        <v>2380</v>
      </c>
      <c r="Y4" s="18">
        <f>140+1200</f>
        <v>1340</v>
      </c>
      <c r="Z4" s="18">
        <f>640+620</f>
        <v>1260</v>
      </c>
      <c r="AA4" s="18">
        <v>1960</v>
      </c>
      <c r="AB4" s="18">
        <f>840+80</f>
        <v>920</v>
      </c>
      <c r="AC4" s="18">
        <v>180</v>
      </c>
      <c r="AD4" s="18"/>
      <c r="AE4" s="27"/>
      <c r="AF4" s="18">
        <f>+D4</f>
        <v>25720</v>
      </c>
      <c r="AG4" s="18">
        <f t="shared" si="0"/>
        <v>23280</v>
      </c>
      <c r="AH4" s="19">
        <f>8000+2000+3900+4000+2000</f>
        <v>19900</v>
      </c>
      <c r="AI4" s="18">
        <f t="shared" ref="AI4:AI47" si="1">+AF4+AG4-AH4</f>
        <v>29100</v>
      </c>
      <c r="AJ4" s="27"/>
      <c r="AK4" s="18">
        <v>28000</v>
      </c>
      <c r="AL4" s="18">
        <f t="shared" ref="AL4:AL48" si="2">+AI4-AK4</f>
        <v>1100</v>
      </c>
      <c r="AM4" s="60"/>
      <c r="AN4" s="65"/>
      <c r="AO4" s="60">
        <v>19900</v>
      </c>
      <c r="AP4" s="27"/>
      <c r="AQ4" s="27">
        <f t="shared" ref="AQ4:AQ48" si="3">SUM(AM4:AO4)</f>
        <v>19900</v>
      </c>
      <c r="AR4" s="27">
        <f t="shared" ref="AR4:AR48" si="4">+AQ4-AH4</f>
        <v>0</v>
      </c>
      <c r="BF4" s="15"/>
    </row>
    <row r="5" spans="1:61" x14ac:dyDescent="0.3">
      <c r="A5" s="17">
        <f t="shared" ref="A5:A39" si="5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>
        <v>20</v>
      </c>
      <c r="U5" s="18"/>
      <c r="V5" s="18"/>
      <c r="W5" s="18"/>
      <c r="X5" s="18"/>
      <c r="Y5" s="18"/>
      <c r="Z5" s="18"/>
      <c r="AA5" s="18"/>
      <c r="AB5" s="18"/>
      <c r="AC5" s="18"/>
      <c r="AD5" s="18"/>
      <c r="AE5" s="27"/>
      <c r="AF5" s="18">
        <f>+D5</f>
        <v>660</v>
      </c>
      <c r="AG5" s="18">
        <f t="shared" si="0"/>
        <v>20</v>
      </c>
      <c r="AH5" s="19"/>
      <c r="AI5" s="18">
        <f t="shared" si="1"/>
        <v>680</v>
      </c>
      <c r="AJ5" s="27"/>
      <c r="AK5" s="18">
        <v>680</v>
      </c>
      <c r="AL5" s="18">
        <f t="shared" si="2"/>
        <v>0</v>
      </c>
      <c r="AM5" s="60"/>
      <c r="AN5" s="65"/>
      <c r="AO5" s="60"/>
      <c r="AP5" s="27"/>
      <c r="AQ5" s="27">
        <f t="shared" si="3"/>
        <v>0</v>
      </c>
      <c r="AR5" s="27">
        <f t="shared" si="4"/>
        <v>0</v>
      </c>
    </row>
    <row r="6" spans="1:61" x14ac:dyDescent="0.3">
      <c r="A6" s="17">
        <f t="shared" si="5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27"/>
      <c r="AF6" s="18">
        <f>+D6</f>
        <v>680</v>
      </c>
      <c r="AG6" s="18">
        <f t="shared" si="0"/>
        <v>0</v>
      </c>
      <c r="AH6" s="19"/>
      <c r="AI6" s="18">
        <f t="shared" si="1"/>
        <v>680</v>
      </c>
      <c r="AJ6" s="27"/>
      <c r="AK6" s="18">
        <v>680</v>
      </c>
      <c r="AL6" s="18">
        <f t="shared" si="2"/>
        <v>0</v>
      </c>
      <c r="AM6" s="60"/>
      <c r="AN6" s="65"/>
      <c r="AO6" s="60"/>
      <c r="AP6" s="27"/>
      <c r="AQ6" s="27">
        <f t="shared" si="3"/>
        <v>0</v>
      </c>
      <c r="AR6" s="27">
        <f t="shared" si="4"/>
        <v>0</v>
      </c>
    </row>
    <row r="7" spans="1:61" x14ac:dyDescent="0.3">
      <c r="A7" s="17">
        <f t="shared" si="5"/>
        <v>5</v>
      </c>
      <c r="B7" s="39" t="s">
        <v>34</v>
      </c>
      <c r="C7" s="39" t="s">
        <v>35</v>
      </c>
      <c r="D7" s="53">
        <v>370620</v>
      </c>
      <c r="E7" s="18">
        <f>12100+6700</f>
        <v>18800</v>
      </c>
      <c r="F7" s="18">
        <f>18560+10800</f>
        <v>29360</v>
      </c>
      <c r="G7" s="18"/>
      <c r="H7" s="18"/>
      <c r="I7" s="18"/>
      <c r="J7" s="18"/>
      <c r="K7" s="18">
        <f>11560+9500</f>
        <v>21060</v>
      </c>
      <c r="L7" s="18">
        <f>14880+6640</f>
        <v>21520</v>
      </c>
      <c r="M7" s="18">
        <f>8020+7140</f>
        <v>15160</v>
      </c>
      <c r="N7" s="18">
        <f>30540+3280</f>
        <v>33820</v>
      </c>
      <c r="O7" s="18">
        <v>11400</v>
      </c>
      <c r="P7" s="18">
        <f>10440+7140</f>
        <v>17580</v>
      </c>
      <c r="Q7" s="18">
        <f>22420+11520</f>
        <v>33940</v>
      </c>
      <c r="R7" s="18">
        <f>8300+260</f>
        <v>8560</v>
      </c>
      <c r="S7" s="18">
        <v>9800</v>
      </c>
      <c r="T7" s="18">
        <f>12940+7680</f>
        <v>20620</v>
      </c>
      <c r="U7" s="18"/>
      <c r="V7" s="18">
        <f>12480+4100</f>
        <v>16580</v>
      </c>
      <c r="W7" s="18">
        <f>29040+12820</f>
        <v>41860</v>
      </c>
      <c r="X7" s="18">
        <f>9160+4600</f>
        <v>13760</v>
      </c>
      <c r="Y7" s="18">
        <f>2300+2880</f>
        <v>5180</v>
      </c>
      <c r="Z7" s="18">
        <f>8580+5100</f>
        <v>13680</v>
      </c>
      <c r="AA7" s="18">
        <v>12420</v>
      </c>
      <c r="AB7" s="18">
        <f>13640+1480</f>
        <v>15120</v>
      </c>
      <c r="AC7" s="18">
        <v>5840</v>
      </c>
      <c r="AD7" s="18"/>
      <c r="AE7" s="27"/>
      <c r="AF7" s="18">
        <v>368800</v>
      </c>
      <c r="AG7" s="18">
        <f t="shared" si="0"/>
        <v>366060</v>
      </c>
      <c r="AH7" s="19">
        <f>116800+48000+100000+25000+40+80+60+50000+95600+25000+80</f>
        <v>460660</v>
      </c>
      <c r="AI7" s="18">
        <f t="shared" si="1"/>
        <v>274200</v>
      </c>
      <c r="AJ7" s="27"/>
      <c r="AK7" s="18">
        <v>253240</v>
      </c>
      <c r="AL7" s="18">
        <f t="shared" si="2"/>
        <v>20960</v>
      </c>
      <c r="AM7" s="60"/>
      <c r="AN7" s="19">
        <f>40+80+60+80</f>
        <v>260</v>
      </c>
      <c r="AO7" s="19">
        <f>116800+48000+100000+25000+50000+95600+25000</f>
        <v>460400</v>
      </c>
      <c r="AP7" s="27"/>
      <c r="AQ7" s="27">
        <f t="shared" si="3"/>
        <v>460660</v>
      </c>
      <c r="AR7" s="27">
        <f t="shared" si="4"/>
        <v>0</v>
      </c>
    </row>
    <row r="8" spans="1:61" x14ac:dyDescent="0.3">
      <c r="A8" s="17">
        <f t="shared" si="5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27"/>
      <c r="AF8" s="18">
        <f t="shared" ref="AF8:AF48" si="6">+D8</f>
        <v>120</v>
      </c>
      <c r="AG8" s="18">
        <f t="shared" si="0"/>
        <v>0</v>
      </c>
      <c r="AH8" s="19"/>
      <c r="AI8" s="18">
        <f t="shared" si="1"/>
        <v>120</v>
      </c>
      <c r="AJ8" s="27"/>
      <c r="AK8" s="18">
        <v>120</v>
      </c>
      <c r="AL8" s="18">
        <f t="shared" si="2"/>
        <v>0</v>
      </c>
      <c r="AM8" s="60"/>
      <c r="AN8" s="65"/>
      <c r="AO8" s="60"/>
      <c r="AP8" s="27"/>
      <c r="AQ8" s="27">
        <f t="shared" si="3"/>
        <v>0</v>
      </c>
      <c r="AR8" s="27">
        <f t="shared" si="4"/>
        <v>0</v>
      </c>
    </row>
    <row r="9" spans="1:61" x14ac:dyDescent="0.3">
      <c r="A9" s="17">
        <f t="shared" si="5"/>
        <v>7</v>
      </c>
      <c r="B9" s="39">
        <v>10009331</v>
      </c>
      <c r="C9" s="39" t="s">
        <v>90</v>
      </c>
      <c r="D9" s="53">
        <v>57168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>
        <v>5364</v>
      </c>
      <c r="Z9" s="18">
        <v>5148</v>
      </c>
      <c r="AA9" s="18"/>
      <c r="AB9" s="18"/>
      <c r="AC9" s="18"/>
      <c r="AD9" s="18"/>
      <c r="AE9" s="27"/>
      <c r="AF9" s="18">
        <f t="shared" si="6"/>
        <v>57168</v>
      </c>
      <c r="AG9" s="18">
        <f t="shared" si="0"/>
        <v>10512</v>
      </c>
      <c r="AH9" s="19">
        <v>52542</v>
      </c>
      <c r="AI9" s="18">
        <f t="shared" si="1"/>
        <v>15138</v>
      </c>
      <c r="AJ9" s="27"/>
      <c r="AK9" s="18">
        <v>15138</v>
      </c>
      <c r="AL9" s="18">
        <f t="shared" si="2"/>
        <v>0</v>
      </c>
      <c r="AM9" s="60"/>
      <c r="AN9" s="65"/>
      <c r="AO9" s="60">
        <v>52542</v>
      </c>
      <c r="AP9" s="27"/>
      <c r="AQ9" s="27">
        <f t="shared" si="3"/>
        <v>52542</v>
      </c>
      <c r="AR9" s="27">
        <f t="shared" si="4"/>
        <v>0</v>
      </c>
    </row>
    <row r="10" spans="1:61" x14ac:dyDescent="0.3">
      <c r="A10" s="17">
        <f t="shared" si="5"/>
        <v>8</v>
      </c>
      <c r="B10" s="39"/>
      <c r="C10" s="39" t="s">
        <v>88</v>
      </c>
      <c r="D10" s="53">
        <v>360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27"/>
      <c r="AF10" s="18">
        <f t="shared" si="6"/>
        <v>360</v>
      </c>
      <c r="AG10" s="18">
        <f t="shared" si="0"/>
        <v>0</v>
      </c>
      <c r="AH10" s="19">
        <v>360</v>
      </c>
      <c r="AI10" s="18">
        <f t="shared" si="1"/>
        <v>0</v>
      </c>
      <c r="AJ10" s="27"/>
      <c r="AK10" s="18">
        <v>0</v>
      </c>
      <c r="AL10" s="18">
        <f t="shared" si="2"/>
        <v>0</v>
      </c>
      <c r="AM10" s="60">
        <v>360</v>
      </c>
      <c r="AN10" s="65"/>
      <c r="AO10" s="60"/>
      <c r="AP10" s="27"/>
      <c r="AQ10" s="27">
        <f t="shared" si="3"/>
        <v>360</v>
      </c>
      <c r="AR10" s="27">
        <f t="shared" si="4"/>
        <v>0</v>
      </c>
    </row>
    <row r="11" spans="1:61" x14ac:dyDescent="0.3">
      <c r="A11" s="17">
        <f t="shared" si="5"/>
        <v>9</v>
      </c>
      <c r="B11" s="39">
        <v>10009334</v>
      </c>
      <c r="C11" s="39" t="s">
        <v>91</v>
      </c>
      <c r="D11" s="53">
        <v>4428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>
        <v>612</v>
      </c>
      <c r="Z11" s="18">
        <v>432</v>
      </c>
      <c r="AA11" s="18"/>
      <c r="AB11" s="18"/>
      <c r="AC11" s="18"/>
      <c r="AD11" s="18"/>
      <c r="AE11" s="27"/>
      <c r="AF11" s="18">
        <f t="shared" si="6"/>
        <v>4428</v>
      </c>
      <c r="AG11" s="18">
        <f t="shared" si="0"/>
        <v>1044</v>
      </c>
      <c r="AH11" s="19"/>
      <c r="AI11" s="18">
        <f t="shared" si="1"/>
        <v>5472</v>
      </c>
      <c r="AJ11" s="27"/>
      <c r="AK11" s="18">
        <v>5472</v>
      </c>
      <c r="AL11" s="18">
        <f t="shared" si="2"/>
        <v>0</v>
      </c>
      <c r="AM11" s="60"/>
      <c r="AN11" s="65"/>
      <c r="AO11" s="60"/>
      <c r="AP11" s="27"/>
      <c r="AQ11" s="27">
        <f t="shared" si="3"/>
        <v>0</v>
      </c>
      <c r="AR11" s="27">
        <f t="shared" si="4"/>
        <v>0</v>
      </c>
    </row>
    <row r="12" spans="1:61" s="8" customFormat="1" x14ac:dyDescent="0.25">
      <c r="A12" s="37">
        <f>+A11+1</f>
        <v>10</v>
      </c>
      <c r="B12" s="40" t="s">
        <v>40</v>
      </c>
      <c r="C12" s="40" t="s">
        <v>41</v>
      </c>
      <c r="D12" s="54">
        <v>22840</v>
      </c>
      <c r="E12" s="26">
        <v>380</v>
      </c>
      <c r="F12" s="26">
        <f>300+360</f>
        <v>660</v>
      </c>
      <c r="G12" s="26"/>
      <c r="H12" s="26"/>
      <c r="I12" s="26"/>
      <c r="J12" s="26"/>
      <c r="K12" s="26">
        <v>600</v>
      </c>
      <c r="L12" s="26">
        <v>300</v>
      </c>
      <c r="M12" s="26">
        <v>740</v>
      </c>
      <c r="N12" s="26">
        <v>340</v>
      </c>
      <c r="O12" s="26">
        <f>240+0</f>
        <v>240</v>
      </c>
      <c r="P12" s="26">
        <f>240+160</f>
        <v>400</v>
      </c>
      <c r="Q12" s="26"/>
      <c r="R12" s="26">
        <f>420+200</f>
        <v>620</v>
      </c>
      <c r="S12" s="26">
        <v>180</v>
      </c>
      <c r="T12" s="26">
        <v>420</v>
      </c>
      <c r="U12" s="26"/>
      <c r="V12" s="26">
        <v>240</v>
      </c>
      <c r="W12" s="26">
        <f>540+480</f>
        <v>1020</v>
      </c>
      <c r="X12" s="26">
        <f>220+20</f>
        <v>240</v>
      </c>
      <c r="Y12" s="26">
        <f>160+300</f>
        <v>460</v>
      </c>
      <c r="Z12" s="26">
        <v>760</v>
      </c>
      <c r="AA12" s="26"/>
      <c r="AB12" s="26">
        <v>320</v>
      </c>
      <c r="AC12" s="26">
        <v>80</v>
      </c>
      <c r="AD12" s="26"/>
      <c r="AE12" s="27"/>
      <c r="AF12" s="26">
        <f t="shared" si="6"/>
        <v>22840</v>
      </c>
      <c r="AG12" s="26">
        <f t="shared" si="0"/>
        <v>8000</v>
      </c>
      <c r="AH12" s="38"/>
      <c r="AI12" s="26">
        <f t="shared" si="1"/>
        <v>30840</v>
      </c>
      <c r="AJ12" s="27"/>
      <c r="AK12" s="18">
        <v>30440</v>
      </c>
      <c r="AL12" s="18">
        <f t="shared" si="2"/>
        <v>400</v>
      </c>
      <c r="AM12" s="26"/>
      <c r="AN12" s="37"/>
      <c r="AO12" s="60"/>
      <c r="AP12" s="27"/>
      <c r="AQ12" s="27">
        <f t="shared" si="3"/>
        <v>0</v>
      </c>
      <c r="AR12" s="27">
        <f t="shared" si="4"/>
        <v>0</v>
      </c>
    </row>
    <row r="13" spans="1:61" s="8" customFormat="1" x14ac:dyDescent="0.25">
      <c r="A13" s="37">
        <f>+A12+1</f>
        <v>11</v>
      </c>
      <c r="B13" s="40">
        <v>10007969</v>
      </c>
      <c r="C13" s="40" t="s">
        <v>59</v>
      </c>
      <c r="D13" s="54">
        <v>60620</v>
      </c>
      <c r="E13" s="26">
        <v>1780</v>
      </c>
      <c r="F13" s="26">
        <f>660+2240</f>
        <v>2900</v>
      </c>
      <c r="G13" s="26"/>
      <c r="H13" s="26"/>
      <c r="I13" s="26"/>
      <c r="J13" s="26"/>
      <c r="K13" s="26">
        <v>3020</v>
      </c>
      <c r="L13" s="26">
        <v>1200</v>
      </c>
      <c r="M13" s="26">
        <v>3380</v>
      </c>
      <c r="N13" s="26">
        <v>1540</v>
      </c>
      <c r="O13" s="26">
        <v>1120</v>
      </c>
      <c r="P13" s="26">
        <f>1020+700</f>
        <v>1720</v>
      </c>
      <c r="Q13" s="26">
        <v>3440</v>
      </c>
      <c r="R13" s="26">
        <v>820</v>
      </c>
      <c r="S13" s="26">
        <v>940</v>
      </c>
      <c r="T13" s="26">
        <f>300+1500</f>
        <v>1800</v>
      </c>
      <c r="U13" s="26"/>
      <c r="V13" s="26">
        <v>2840</v>
      </c>
      <c r="W13" s="26">
        <f>1320+1060</f>
        <v>2380</v>
      </c>
      <c r="X13" s="26">
        <f>780+380</f>
        <v>1160</v>
      </c>
      <c r="Y13" s="26">
        <f>260+1760</f>
        <v>2020</v>
      </c>
      <c r="Z13" s="26">
        <v>2180</v>
      </c>
      <c r="AA13" s="26"/>
      <c r="AB13" s="26">
        <f>720+420</f>
        <v>1140</v>
      </c>
      <c r="AC13" s="26">
        <v>380</v>
      </c>
      <c r="AD13" s="26"/>
      <c r="AE13" s="27"/>
      <c r="AF13" s="26">
        <f t="shared" si="6"/>
        <v>60620</v>
      </c>
      <c r="AG13" s="26">
        <f t="shared" si="0"/>
        <v>35760</v>
      </c>
      <c r="AH13" s="38">
        <f>40+40+48000</f>
        <v>48080</v>
      </c>
      <c r="AI13" s="26">
        <f t="shared" si="1"/>
        <v>48300</v>
      </c>
      <c r="AJ13" s="27"/>
      <c r="AK13" s="18">
        <v>46780</v>
      </c>
      <c r="AL13" s="18">
        <f t="shared" si="2"/>
        <v>1520</v>
      </c>
      <c r="AM13" s="26"/>
      <c r="AN13" s="37">
        <f>40+40</f>
        <v>80</v>
      </c>
      <c r="AO13" s="60">
        <v>48000</v>
      </c>
      <c r="AP13" s="27"/>
      <c r="AQ13" s="27">
        <f t="shared" si="3"/>
        <v>48080</v>
      </c>
      <c r="AR13" s="27">
        <f t="shared" si="4"/>
        <v>0</v>
      </c>
    </row>
    <row r="14" spans="1:61" x14ac:dyDescent="0.3">
      <c r="A14" s="7">
        <f>+A13+1</f>
        <v>12</v>
      </c>
      <c r="B14" s="20" t="s">
        <v>8</v>
      </c>
      <c r="C14" s="20" t="s">
        <v>9</v>
      </c>
      <c r="D14" s="55">
        <v>300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7"/>
      <c r="AF14" s="21">
        <f t="shared" si="6"/>
        <v>300</v>
      </c>
      <c r="AG14" s="21">
        <f t="shared" si="0"/>
        <v>0</v>
      </c>
      <c r="AH14" s="22"/>
      <c r="AI14" s="21">
        <f t="shared" si="1"/>
        <v>300</v>
      </c>
      <c r="AJ14" s="27"/>
      <c r="AK14" s="18">
        <v>300</v>
      </c>
      <c r="AL14" s="18">
        <f t="shared" si="2"/>
        <v>0</v>
      </c>
      <c r="AM14" s="60"/>
      <c r="AN14" s="65"/>
      <c r="AO14" s="60"/>
      <c r="AP14" s="27"/>
      <c r="AQ14" s="27">
        <f t="shared" si="3"/>
        <v>0</v>
      </c>
      <c r="AR14" s="27">
        <f t="shared" si="4"/>
        <v>0</v>
      </c>
    </row>
    <row r="15" spans="1:61" x14ac:dyDescent="0.3">
      <c r="A15" s="7">
        <f t="shared" ref="A15:A17" si="7">+A14+1</f>
        <v>13</v>
      </c>
      <c r="B15" s="20" t="s">
        <v>10</v>
      </c>
      <c r="C15" s="20" t="s">
        <v>11</v>
      </c>
      <c r="D15" s="55">
        <v>1120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7"/>
      <c r="AF15" s="21">
        <f t="shared" si="6"/>
        <v>1120</v>
      </c>
      <c r="AG15" s="21">
        <f t="shared" si="0"/>
        <v>0</v>
      </c>
      <c r="AH15" s="22"/>
      <c r="AI15" s="21">
        <f t="shared" si="1"/>
        <v>1120</v>
      </c>
      <c r="AJ15" s="27"/>
      <c r="AK15" s="18">
        <v>1120</v>
      </c>
      <c r="AL15" s="18">
        <f t="shared" si="2"/>
        <v>0</v>
      </c>
      <c r="AM15" s="60"/>
      <c r="AN15" s="65"/>
      <c r="AO15" s="60"/>
      <c r="AP15" s="27"/>
      <c r="AQ15" s="27">
        <f t="shared" si="3"/>
        <v>0</v>
      </c>
      <c r="AR15" s="27">
        <f t="shared" si="4"/>
        <v>0</v>
      </c>
    </row>
    <row r="16" spans="1:61" x14ac:dyDescent="0.3">
      <c r="A16" s="7">
        <f t="shared" si="7"/>
        <v>14</v>
      </c>
      <c r="B16" s="20" t="s">
        <v>57</v>
      </c>
      <c r="C16" s="20" t="s">
        <v>95</v>
      </c>
      <c r="D16" s="55">
        <v>331000</v>
      </c>
      <c r="E16" s="21">
        <f>10500+10700</f>
        <v>21200</v>
      </c>
      <c r="F16" s="21">
        <f>9840+10700</f>
        <v>20540</v>
      </c>
      <c r="G16" s="21"/>
      <c r="H16" s="21"/>
      <c r="I16" s="21"/>
      <c r="J16" s="21"/>
      <c r="K16" s="21">
        <f>12200+11720</f>
        <v>23920</v>
      </c>
      <c r="L16" s="21">
        <f>6120+220</f>
        <v>6340</v>
      </c>
      <c r="M16" s="21">
        <f>9420+14200</f>
        <v>23620</v>
      </c>
      <c r="N16" s="21">
        <f>4360+3040</f>
        <v>7400</v>
      </c>
      <c r="O16" s="21">
        <v>5920</v>
      </c>
      <c r="P16" s="21">
        <f>4000+4260</f>
        <v>8260</v>
      </c>
      <c r="Q16" s="21">
        <f>2940+5700</f>
        <v>8640</v>
      </c>
      <c r="R16" s="21">
        <f>2360+280</f>
        <v>2640</v>
      </c>
      <c r="S16" s="21">
        <v>5500</v>
      </c>
      <c r="T16" s="21">
        <f>9320+9520</f>
        <v>18840</v>
      </c>
      <c r="U16" s="21"/>
      <c r="V16" s="21">
        <f>7060+10300</f>
        <v>17360</v>
      </c>
      <c r="W16" s="21">
        <f>7340+11000</f>
        <v>18340</v>
      </c>
      <c r="X16" s="21">
        <f>3880+2360</f>
        <v>6240</v>
      </c>
      <c r="Y16" s="21">
        <f>10400+25160</f>
        <v>35560</v>
      </c>
      <c r="Z16" s="21">
        <f>10520+8620</f>
        <v>19140</v>
      </c>
      <c r="AA16" s="21">
        <v>13840</v>
      </c>
      <c r="AB16" s="21">
        <f>10380+9460</f>
        <v>19840</v>
      </c>
      <c r="AC16" s="21">
        <v>6620</v>
      </c>
      <c r="AD16" s="21"/>
      <c r="AE16" s="27"/>
      <c r="AF16" s="21">
        <f t="shared" si="6"/>
        <v>331000</v>
      </c>
      <c r="AG16" s="21">
        <f t="shared" si="0"/>
        <v>289760</v>
      </c>
      <c r="AH16" s="22">
        <f>108000+26000+80+40</f>
        <v>134120</v>
      </c>
      <c r="AI16" s="21">
        <f t="shared" si="1"/>
        <v>486640</v>
      </c>
      <c r="AJ16" s="27"/>
      <c r="AK16" s="18">
        <v>460180</v>
      </c>
      <c r="AL16" s="18">
        <f t="shared" si="2"/>
        <v>26460</v>
      </c>
      <c r="AM16" s="60"/>
      <c r="AN16" s="65">
        <f>80+40</f>
        <v>120</v>
      </c>
      <c r="AO16" s="60">
        <f>108000+26000</f>
        <v>134000</v>
      </c>
      <c r="AP16" s="27"/>
      <c r="AQ16" s="27">
        <f t="shared" si="3"/>
        <v>134120</v>
      </c>
      <c r="AR16" s="27">
        <f t="shared" si="4"/>
        <v>0</v>
      </c>
      <c r="BG16" s="15"/>
    </row>
    <row r="17" spans="1:60" x14ac:dyDescent="0.3">
      <c r="A17" s="7">
        <f t="shared" si="7"/>
        <v>15</v>
      </c>
      <c r="B17" s="20" t="s">
        <v>55</v>
      </c>
      <c r="C17" s="20" t="s">
        <v>56</v>
      </c>
      <c r="D17" s="55">
        <v>83980</v>
      </c>
      <c r="E17" s="21">
        <v>1880</v>
      </c>
      <c r="F17" s="21">
        <v>1280</v>
      </c>
      <c r="G17" s="21"/>
      <c r="H17" s="21"/>
      <c r="I17" s="21"/>
      <c r="J17" s="21"/>
      <c r="K17" s="21">
        <v>1180</v>
      </c>
      <c r="L17" s="21"/>
      <c r="M17" s="21">
        <v>760</v>
      </c>
      <c r="N17" s="21">
        <v>720</v>
      </c>
      <c r="O17" s="21">
        <v>260</v>
      </c>
      <c r="P17" s="21">
        <f>100+200</f>
        <v>300</v>
      </c>
      <c r="Q17" s="21"/>
      <c r="R17" s="21">
        <f>200+80</f>
        <v>280</v>
      </c>
      <c r="S17" s="21">
        <v>1780</v>
      </c>
      <c r="T17" s="21">
        <f>1600+7840</f>
        <v>9440</v>
      </c>
      <c r="U17" s="21"/>
      <c r="V17" s="21">
        <v>5160</v>
      </c>
      <c r="W17" s="21">
        <v>1720</v>
      </c>
      <c r="X17" s="21">
        <v>760</v>
      </c>
      <c r="Y17" s="21">
        <f>60+3620</f>
        <v>3680</v>
      </c>
      <c r="Z17" s="21">
        <v>5560</v>
      </c>
      <c r="AA17" s="21"/>
      <c r="AB17" s="21">
        <v>1180</v>
      </c>
      <c r="AC17" s="21">
        <v>1320</v>
      </c>
      <c r="AD17" s="21"/>
      <c r="AE17" s="27"/>
      <c r="AF17" s="21">
        <f t="shared" si="6"/>
        <v>83980</v>
      </c>
      <c r="AG17" s="21">
        <f t="shared" si="0"/>
        <v>37260</v>
      </c>
      <c r="AH17" s="22">
        <v>40</v>
      </c>
      <c r="AI17" s="21">
        <f>+AF17+AG17-AH17</f>
        <v>121200</v>
      </c>
      <c r="AJ17" s="27"/>
      <c r="AK17" s="18">
        <v>118700</v>
      </c>
      <c r="AL17" s="18">
        <f t="shared" si="2"/>
        <v>2500</v>
      </c>
      <c r="AM17" s="60"/>
      <c r="AN17" s="65">
        <v>40</v>
      </c>
      <c r="AO17" s="60"/>
      <c r="AP17" s="27"/>
      <c r="AQ17" s="27">
        <f t="shared" si="3"/>
        <v>40</v>
      </c>
      <c r="AR17" s="27">
        <f t="shared" si="4"/>
        <v>0</v>
      </c>
      <c r="BF17" s="8"/>
    </row>
    <row r="18" spans="1:60" x14ac:dyDescent="0.3">
      <c r="A18" s="23">
        <f>+A17+1</f>
        <v>16</v>
      </c>
      <c r="B18" s="47" t="s">
        <v>42</v>
      </c>
      <c r="C18" s="32" t="s">
        <v>7</v>
      </c>
      <c r="D18" s="56">
        <v>940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7"/>
      <c r="AF18" s="24">
        <f t="shared" si="6"/>
        <v>940</v>
      </c>
      <c r="AG18" s="24">
        <f t="shared" si="0"/>
        <v>0</v>
      </c>
      <c r="AH18" s="25"/>
      <c r="AI18" s="24">
        <f t="shared" si="1"/>
        <v>940</v>
      </c>
      <c r="AJ18" s="27"/>
      <c r="AK18" s="18">
        <v>940</v>
      </c>
      <c r="AL18" s="18">
        <f t="shared" si="2"/>
        <v>0</v>
      </c>
      <c r="AM18" s="60"/>
      <c r="AN18" s="65"/>
      <c r="AO18" s="60"/>
      <c r="AP18" s="27"/>
      <c r="AQ18" s="27">
        <f t="shared" si="3"/>
        <v>0</v>
      </c>
      <c r="AR18" s="27">
        <f t="shared" si="4"/>
        <v>0</v>
      </c>
    </row>
    <row r="19" spans="1:60" x14ac:dyDescent="0.3">
      <c r="A19" s="23">
        <f t="shared" ref="A19:A23" si="8">+A18+1</f>
        <v>17</v>
      </c>
      <c r="B19" s="47">
        <v>10009271</v>
      </c>
      <c r="C19" s="32" t="s">
        <v>60</v>
      </c>
      <c r="D19" s="56">
        <v>240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>
        <v>320</v>
      </c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7"/>
      <c r="AF19" s="24">
        <f t="shared" si="6"/>
        <v>240</v>
      </c>
      <c r="AG19" s="24">
        <f t="shared" si="0"/>
        <v>320</v>
      </c>
      <c r="AH19" s="25"/>
      <c r="AI19" s="24">
        <f t="shared" si="1"/>
        <v>560</v>
      </c>
      <c r="AJ19" s="27"/>
      <c r="AK19" s="18">
        <v>560</v>
      </c>
      <c r="AL19" s="18">
        <f t="shared" si="2"/>
        <v>0</v>
      </c>
      <c r="AM19" s="60"/>
      <c r="AN19" s="65"/>
      <c r="AO19" s="60"/>
      <c r="AP19" s="27"/>
      <c r="AQ19" s="27">
        <f t="shared" si="3"/>
        <v>0</v>
      </c>
      <c r="AR19" s="27">
        <f t="shared" si="4"/>
        <v>0</v>
      </c>
    </row>
    <row r="20" spans="1:60" x14ac:dyDescent="0.3">
      <c r="A20" s="23">
        <f t="shared" si="8"/>
        <v>18</v>
      </c>
      <c r="B20" s="47" t="s">
        <v>43</v>
      </c>
      <c r="C20" s="32" t="s">
        <v>44</v>
      </c>
      <c r="D20" s="56">
        <v>238560</v>
      </c>
      <c r="E20" s="24">
        <f>1720+3560</f>
        <v>5280</v>
      </c>
      <c r="F20" s="24">
        <f>4460+3840</f>
        <v>8300</v>
      </c>
      <c r="G20" s="24"/>
      <c r="H20" s="24"/>
      <c r="I20" s="24"/>
      <c r="J20" s="24"/>
      <c r="K20" s="24">
        <f>2980+5180</f>
        <v>8160</v>
      </c>
      <c r="L20" s="24">
        <f>3320+80</f>
        <v>3400</v>
      </c>
      <c r="M20" s="24">
        <f>1900+7140</f>
        <v>9040</v>
      </c>
      <c r="N20" s="24">
        <f>3640+160</f>
        <v>3800</v>
      </c>
      <c r="O20" s="24">
        <v>2920</v>
      </c>
      <c r="P20" s="24">
        <f>3040+2060</f>
        <v>5100</v>
      </c>
      <c r="Q20" s="24">
        <f>3360+5640</f>
        <v>9000</v>
      </c>
      <c r="R20" s="24">
        <f>1100+1280</f>
        <v>2380</v>
      </c>
      <c r="S20" s="24">
        <v>780</v>
      </c>
      <c r="T20" s="24">
        <f>2220+2680</f>
        <v>4900</v>
      </c>
      <c r="U20" s="24"/>
      <c r="V20" s="24">
        <f>3120+4200</f>
        <v>7320</v>
      </c>
      <c r="W20" s="24">
        <f>1620+2220</f>
        <v>3840</v>
      </c>
      <c r="X20" s="24">
        <f>1520+880</f>
        <v>2400</v>
      </c>
      <c r="Y20" s="24">
        <f>1280+2900</f>
        <v>4180</v>
      </c>
      <c r="Z20" s="24">
        <f>1140+2760</f>
        <v>3900</v>
      </c>
      <c r="AA20" s="24">
        <v>240</v>
      </c>
      <c r="AB20" s="24">
        <f>1220+1180-900</f>
        <v>1500</v>
      </c>
      <c r="AC20" s="24">
        <v>720</v>
      </c>
      <c r="AD20" s="24"/>
      <c r="AE20" s="27"/>
      <c r="AF20" s="24">
        <f t="shared" si="6"/>
        <v>238560</v>
      </c>
      <c r="AG20" s="24">
        <f t="shared" si="0"/>
        <v>87160</v>
      </c>
      <c r="AH20" s="25">
        <f>40+80+200+20+67800+67800+96000+15000</f>
        <v>246940</v>
      </c>
      <c r="AI20" s="24">
        <f t="shared" si="1"/>
        <v>78780</v>
      </c>
      <c r="AJ20" s="27"/>
      <c r="AK20" s="18">
        <v>76560</v>
      </c>
      <c r="AL20" s="18">
        <f t="shared" si="2"/>
        <v>2220</v>
      </c>
      <c r="AM20" s="60"/>
      <c r="AN20" s="65">
        <f>40+80+200+20</f>
        <v>340</v>
      </c>
      <c r="AO20" s="60">
        <f>67800+67800+96000+15000</f>
        <v>246600</v>
      </c>
      <c r="AP20" s="27"/>
      <c r="AQ20" s="27">
        <f t="shared" si="3"/>
        <v>246940</v>
      </c>
      <c r="AR20" s="27">
        <f t="shared" si="4"/>
        <v>0</v>
      </c>
    </row>
    <row r="21" spans="1:60" x14ac:dyDescent="0.3">
      <c r="A21" s="23">
        <f t="shared" si="8"/>
        <v>19</v>
      </c>
      <c r="B21" s="47" t="s">
        <v>45</v>
      </c>
      <c r="C21" s="32" t="s">
        <v>46</v>
      </c>
      <c r="D21" s="56">
        <v>9720</v>
      </c>
      <c r="E21" s="24">
        <f>40+240</f>
        <v>280</v>
      </c>
      <c r="F21" s="24">
        <f>20+360</f>
        <v>380</v>
      </c>
      <c r="G21" s="24"/>
      <c r="H21" s="24"/>
      <c r="I21" s="24"/>
      <c r="J21" s="24"/>
      <c r="K21" s="24">
        <f>80+220</f>
        <v>300</v>
      </c>
      <c r="L21" s="24">
        <v>140</v>
      </c>
      <c r="M21" s="24">
        <v>420</v>
      </c>
      <c r="N21" s="24">
        <f>160+20</f>
        <v>180</v>
      </c>
      <c r="O21" s="24">
        <v>100</v>
      </c>
      <c r="P21" s="24">
        <f>180+80</f>
        <v>260</v>
      </c>
      <c r="Q21" s="24">
        <v>580</v>
      </c>
      <c r="R21" s="24">
        <v>120</v>
      </c>
      <c r="S21" s="24"/>
      <c r="T21" s="24">
        <f>80+140</f>
        <v>220</v>
      </c>
      <c r="U21" s="24"/>
      <c r="V21" s="24">
        <v>280</v>
      </c>
      <c r="W21" s="24">
        <v>120</v>
      </c>
      <c r="X21" s="24">
        <f>60+20</f>
        <v>80</v>
      </c>
      <c r="Y21" s="24">
        <f>20+120</f>
        <v>140</v>
      </c>
      <c r="Z21" s="24">
        <f>20+160</f>
        <v>180</v>
      </c>
      <c r="AA21" s="24"/>
      <c r="AB21" s="24">
        <f>80+40</f>
        <v>120</v>
      </c>
      <c r="AC21" s="24">
        <v>20</v>
      </c>
      <c r="AD21" s="24"/>
      <c r="AE21" s="27"/>
      <c r="AF21" s="24">
        <f t="shared" si="6"/>
        <v>9720</v>
      </c>
      <c r="AG21" s="24">
        <f t="shared" si="0"/>
        <v>3920</v>
      </c>
      <c r="AH21" s="25">
        <f>20+10000</f>
        <v>10020</v>
      </c>
      <c r="AI21" s="24">
        <f t="shared" si="1"/>
        <v>3620</v>
      </c>
      <c r="AJ21" s="27"/>
      <c r="AK21" s="18">
        <v>3480</v>
      </c>
      <c r="AL21" s="18">
        <f t="shared" si="2"/>
        <v>140</v>
      </c>
      <c r="AM21" s="60"/>
      <c r="AN21" s="65">
        <f>20</f>
        <v>20</v>
      </c>
      <c r="AO21" s="60">
        <v>10000</v>
      </c>
      <c r="AP21" s="27"/>
      <c r="AQ21" s="27">
        <f t="shared" si="3"/>
        <v>10020</v>
      </c>
      <c r="AR21" s="27">
        <f t="shared" si="4"/>
        <v>0</v>
      </c>
    </row>
    <row r="22" spans="1:60" x14ac:dyDescent="0.3">
      <c r="A22" s="23">
        <f t="shared" si="8"/>
        <v>20</v>
      </c>
      <c r="B22" s="47" t="s">
        <v>47</v>
      </c>
      <c r="C22" s="32" t="s">
        <v>48</v>
      </c>
      <c r="D22" s="56">
        <v>67740</v>
      </c>
      <c r="E22" s="24">
        <f>240+500</f>
        <v>740</v>
      </c>
      <c r="F22" s="24">
        <f>580+780</f>
        <v>1360</v>
      </c>
      <c r="G22" s="24"/>
      <c r="H22" s="24"/>
      <c r="I22" s="24"/>
      <c r="J22" s="24"/>
      <c r="K22" s="24">
        <f>580+1240</f>
        <v>1820</v>
      </c>
      <c r="L22" s="24">
        <f>260+540</f>
        <v>800</v>
      </c>
      <c r="M22" s="24">
        <f>360+1520</f>
        <v>1880</v>
      </c>
      <c r="N22" s="24">
        <f>980+20</f>
        <v>1000</v>
      </c>
      <c r="O22" s="24">
        <v>880</v>
      </c>
      <c r="P22" s="24">
        <f>460+260</f>
        <v>720</v>
      </c>
      <c r="Q22" s="24">
        <f>440+800</f>
        <v>1240</v>
      </c>
      <c r="R22" s="24">
        <v>380</v>
      </c>
      <c r="S22" s="24">
        <v>760</v>
      </c>
      <c r="T22" s="24">
        <f>1640+1540</f>
        <v>3180</v>
      </c>
      <c r="U22" s="24"/>
      <c r="V22" s="24">
        <f>2300+2860</f>
        <v>5160</v>
      </c>
      <c r="W22" s="24">
        <f>1760+1740</f>
        <v>3500</v>
      </c>
      <c r="X22" s="24">
        <f>1420+1080</f>
        <v>2500</v>
      </c>
      <c r="Y22" s="24">
        <f>1100+2600</f>
        <v>3700</v>
      </c>
      <c r="Z22" s="24">
        <f>880+3120</f>
        <v>4000</v>
      </c>
      <c r="AA22" s="24">
        <v>220</v>
      </c>
      <c r="AB22" s="24">
        <f>1300+1140</f>
        <v>2440</v>
      </c>
      <c r="AC22" s="24">
        <v>1140</v>
      </c>
      <c r="AD22" s="24"/>
      <c r="AE22" s="27"/>
      <c r="AF22" s="24">
        <f t="shared" si="6"/>
        <v>67740</v>
      </c>
      <c r="AG22" s="24">
        <f t="shared" si="0"/>
        <v>37420</v>
      </c>
      <c r="AH22" s="25">
        <f>40+40+48000</f>
        <v>48080</v>
      </c>
      <c r="AI22" s="24">
        <f t="shared" si="1"/>
        <v>57080</v>
      </c>
      <c r="AJ22" s="27"/>
      <c r="AK22" s="18">
        <v>53500</v>
      </c>
      <c r="AL22" s="18">
        <f t="shared" si="2"/>
        <v>3580</v>
      </c>
      <c r="AM22" s="60"/>
      <c r="AN22" s="65">
        <v>80</v>
      </c>
      <c r="AO22" s="60">
        <v>48000</v>
      </c>
      <c r="AP22" s="27"/>
      <c r="AQ22" s="27">
        <f t="shared" si="3"/>
        <v>48080</v>
      </c>
      <c r="AR22" s="27">
        <f t="shared" si="4"/>
        <v>0</v>
      </c>
    </row>
    <row r="23" spans="1:60" x14ac:dyDescent="0.3">
      <c r="A23" s="78">
        <f t="shared" si="8"/>
        <v>21</v>
      </c>
      <c r="B23" s="93">
        <v>10009386</v>
      </c>
      <c r="C23" s="93" t="s">
        <v>63</v>
      </c>
      <c r="D23" s="94">
        <v>27480</v>
      </c>
      <c r="E23" s="9">
        <v>400</v>
      </c>
      <c r="F23" s="9">
        <f>260+380</f>
        <v>640</v>
      </c>
      <c r="G23" s="9"/>
      <c r="H23" s="9"/>
      <c r="I23" s="9"/>
      <c r="J23" s="9"/>
      <c r="K23" s="9">
        <f>220+400</f>
        <v>620</v>
      </c>
      <c r="L23" s="9">
        <v>300</v>
      </c>
      <c r="M23" s="9">
        <v>740</v>
      </c>
      <c r="N23" s="9">
        <f>200+140</f>
        <v>340</v>
      </c>
      <c r="O23" s="9">
        <v>200</v>
      </c>
      <c r="P23" s="9">
        <f>260+160</f>
        <v>420</v>
      </c>
      <c r="Q23" s="9">
        <v>720</v>
      </c>
      <c r="R23" s="9">
        <v>180</v>
      </c>
      <c r="S23" s="9">
        <v>180</v>
      </c>
      <c r="T23" s="9">
        <v>460</v>
      </c>
      <c r="U23" s="9"/>
      <c r="V23" s="9">
        <v>800</v>
      </c>
      <c r="W23" s="9">
        <v>560</v>
      </c>
      <c r="X23" s="9">
        <f>240+140</f>
        <v>380</v>
      </c>
      <c r="Y23" s="9">
        <v>680</v>
      </c>
      <c r="Z23" s="9">
        <v>740</v>
      </c>
      <c r="AA23" s="9"/>
      <c r="AB23" s="9">
        <v>400</v>
      </c>
      <c r="AC23" s="9">
        <v>120</v>
      </c>
      <c r="AD23" s="9"/>
      <c r="AE23" s="27"/>
      <c r="AF23" s="9">
        <f t="shared" si="6"/>
        <v>27480</v>
      </c>
      <c r="AG23" s="9">
        <f t="shared" si="0"/>
        <v>8880</v>
      </c>
      <c r="AH23" s="95"/>
      <c r="AI23" s="9">
        <f t="shared" si="1"/>
        <v>36360</v>
      </c>
      <c r="AJ23" s="27"/>
      <c r="AK23" s="18">
        <v>35840</v>
      </c>
      <c r="AL23" s="18">
        <f t="shared" si="2"/>
        <v>520</v>
      </c>
      <c r="AM23" s="60"/>
      <c r="AN23" s="65"/>
      <c r="AO23" s="60"/>
      <c r="AP23" s="27"/>
      <c r="AQ23" s="27">
        <f t="shared" si="3"/>
        <v>0</v>
      </c>
      <c r="AR23" s="27">
        <f t="shared" si="4"/>
        <v>0</v>
      </c>
    </row>
    <row r="24" spans="1:60" s="8" customFormat="1" x14ac:dyDescent="0.25">
      <c r="A24" s="11">
        <f>+A23+1</f>
        <v>22</v>
      </c>
      <c r="B24" s="12" t="s">
        <v>12</v>
      </c>
      <c r="C24" s="12" t="s">
        <v>13</v>
      </c>
      <c r="D24" s="57">
        <v>104880</v>
      </c>
      <c r="E24" s="10">
        <v>2660</v>
      </c>
      <c r="F24" s="10">
        <f>1040+3060</f>
        <v>4100</v>
      </c>
      <c r="G24" s="10"/>
      <c r="H24" s="10"/>
      <c r="I24" s="10"/>
      <c r="J24" s="10"/>
      <c r="K24" s="10">
        <v>4380</v>
      </c>
      <c r="L24" s="10">
        <f>600+1200</f>
        <v>1800</v>
      </c>
      <c r="M24" s="10">
        <f>1160+3720</f>
        <v>4880</v>
      </c>
      <c r="N24" s="10">
        <v>2100</v>
      </c>
      <c r="O24" s="10">
        <v>1580</v>
      </c>
      <c r="P24" s="10">
        <f>1600+1060</f>
        <v>2660</v>
      </c>
      <c r="Q24" s="10">
        <v>3620</v>
      </c>
      <c r="R24" s="10">
        <f>1260+1240</f>
        <v>2500</v>
      </c>
      <c r="S24" s="10">
        <v>1300</v>
      </c>
      <c r="T24" s="10">
        <f>200+2620</f>
        <v>2820</v>
      </c>
      <c r="U24" s="10"/>
      <c r="V24" s="10">
        <f>560+640</f>
        <v>1200</v>
      </c>
      <c r="W24" s="10">
        <f>4980+1980</f>
        <v>6960</v>
      </c>
      <c r="X24" s="10">
        <f>1240+620</f>
        <v>1860</v>
      </c>
      <c r="Y24" s="10">
        <f>1060+2180</f>
        <v>3240</v>
      </c>
      <c r="Z24" s="10">
        <f>500+3160</f>
        <v>3660</v>
      </c>
      <c r="AA24" s="10"/>
      <c r="AB24" s="10">
        <f>340+1620</f>
        <v>1960</v>
      </c>
      <c r="AC24" s="10">
        <v>700</v>
      </c>
      <c r="AD24" s="10"/>
      <c r="AE24" s="26"/>
      <c r="AF24" s="10">
        <f t="shared" si="6"/>
        <v>104880</v>
      </c>
      <c r="AG24" s="10">
        <f t="shared" si="0"/>
        <v>53980</v>
      </c>
      <c r="AH24" s="14">
        <f>25000+26000</f>
        <v>51000</v>
      </c>
      <c r="AI24" s="10">
        <f t="shared" si="1"/>
        <v>107860</v>
      </c>
      <c r="AJ24" s="27"/>
      <c r="AK24" s="18">
        <v>105200</v>
      </c>
      <c r="AL24" s="18">
        <f t="shared" si="2"/>
        <v>2660</v>
      </c>
      <c r="AM24" s="60"/>
      <c r="AN24" s="37"/>
      <c r="AO24" s="60">
        <f>25000+26000</f>
        <v>51000</v>
      </c>
      <c r="AP24" s="27"/>
      <c r="AQ24" s="27">
        <f t="shared" si="3"/>
        <v>51000</v>
      </c>
      <c r="AR24" s="27">
        <f t="shared" si="4"/>
        <v>0</v>
      </c>
      <c r="AZ24" s="3"/>
      <c r="BF24" s="3"/>
      <c r="BG24" s="3"/>
      <c r="BH24" s="3"/>
    </row>
    <row r="25" spans="1:60" x14ac:dyDescent="0.3">
      <c r="A25" s="11">
        <f t="shared" ref="A25:A31" si="9">+A24+1</f>
        <v>23</v>
      </c>
      <c r="B25" s="12" t="s">
        <v>14</v>
      </c>
      <c r="C25" s="12" t="s">
        <v>15</v>
      </c>
      <c r="D25" s="57">
        <v>140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26"/>
      <c r="AF25" s="10">
        <f t="shared" si="6"/>
        <v>140</v>
      </c>
      <c r="AG25" s="10">
        <f t="shared" si="0"/>
        <v>0</v>
      </c>
      <c r="AH25" s="14"/>
      <c r="AI25" s="10">
        <f>+AF25+AG25-AH25</f>
        <v>140</v>
      </c>
      <c r="AJ25" s="27"/>
      <c r="AK25" s="18">
        <v>140</v>
      </c>
      <c r="AL25" s="18">
        <f t="shared" si="2"/>
        <v>0</v>
      </c>
      <c r="AM25" s="60"/>
      <c r="AN25" s="65"/>
      <c r="AO25" s="60"/>
      <c r="AP25" s="27"/>
      <c r="AQ25" s="27">
        <f t="shared" si="3"/>
        <v>0</v>
      </c>
      <c r="AR25" s="27">
        <f t="shared" si="4"/>
        <v>0</v>
      </c>
      <c r="AZ25" s="8"/>
    </row>
    <row r="26" spans="1:60" x14ac:dyDescent="0.3">
      <c r="A26" s="11">
        <f t="shared" si="9"/>
        <v>24</v>
      </c>
      <c r="B26" s="12">
        <v>10009777</v>
      </c>
      <c r="C26" s="12" t="s">
        <v>15</v>
      </c>
      <c r="D26" s="57">
        <v>0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>
        <v>220</v>
      </c>
      <c r="W26" s="10"/>
      <c r="X26" s="10"/>
      <c r="Y26" s="10"/>
      <c r="Z26" s="10"/>
      <c r="AA26" s="10"/>
      <c r="AB26" s="10"/>
      <c r="AC26" s="10"/>
      <c r="AD26" s="10"/>
      <c r="AE26" s="26"/>
      <c r="AF26" s="10">
        <f t="shared" si="6"/>
        <v>0</v>
      </c>
      <c r="AG26" s="10">
        <f t="shared" si="0"/>
        <v>220</v>
      </c>
      <c r="AH26" s="14"/>
      <c r="AI26" s="10">
        <f>+AF26+AG26-AH26</f>
        <v>220</v>
      </c>
      <c r="AJ26" s="27"/>
      <c r="AK26" s="18">
        <v>220</v>
      </c>
      <c r="AL26" s="18">
        <f t="shared" ref="AL26" si="10">+AI26-AK26</f>
        <v>0</v>
      </c>
      <c r="AM26" s="60"/>
      <c r="AN26" s="65"/>
      <c r="AO26" s="60"/>
      <c r="AP26" s="27"/>
      <c r="AQ26" s="27">
        <f t="shared" si="3"/>
        <v>0</v>
      </c>
      <c r="AR26" s="27">
        <f t="shared" si="4"/>
        <v>0</v>
      </c>
      <c r="AZ26" s="8"/>
    </row>
    <row r="27" spans="1:60" x14ac:dyDescent="0.3">
      <c r="A27" s="11">
        <f>+A25+1</f>
        <v>24</v>
      </c>
      <c r="B27" s="12" t="s">
        <v>16</v>
      </c>
      <c r="C27" s="12" t="s">
        <v>17</v>
      </c>
      <c r="D27" s="57">
        <v>6240</v>
      </c>
      <c r="E27" s="10">
        <v>260</v>
      </c>
      <c r="F27" s="10">
        <f>140+360</f>
        <v>500</v>
      </c>
      <c r="G27" s="10"/>
      <c r="H27" s="10"/>
      <c r="I27" s="10"/>
      <c r="J27" s="10"/>
      <c r="K27" s="10">
        <f>80+320</f>
        <v>400</v>
      </c>
      <c r="L27" s="10">
        <v>220</v>
      </c>
      <c r="M27" s="10">
        <f>40+480</f>
        <v>520</v>
      </c>
      <c r="N27" s="10">
        <f>60+120</f>
        <v>180</v>
      </c>
      <c r="O27" s="10">
        <v>140</v>
      </c>
      <c r="P27" s="10">
        <f>240+140</f>
        <v>380</v>
      </c>
      <c r="Q27" s="10">
        <v>560</v>
      </c>
      <c r="R27" s="10">
        <f>80+100</f>
        <v>180</v>
      </c>
      <c r="S27" s="10"/>
      <c r="T27" s="10">
        <f>40+220</f>
        <v>260</v>
      </c>
      <c r="U27" s="10"/>
      <c r="V27" s="10">
        <f>40+160</f>
        <v>200</v>
      </c>
      <c r="W27" s="10">
        <f>100+140</f>
        <v>240</v>
      </c>
      <c r="X27" s="10">
        <f>60+120</f>
        <v>180</v>
      </c>
      <c r="Y27" s="10">
        <f>20+160</f>
        <v>180</v>
      </c>
      <c r="Z27" s="10">
        <f>120+100</f>
        <v>220</v>
      </c>
      <c r="AA27" s="10"/>
      <c r="AB27" s="10">
        <v>180</v>
      </c>
      <c r="AC27" s="10">
        <v>40</v>
      </c>
      <c r="AD27" s="10"/>
      <c r="AE27" s="26"/>
      <c r="AF27" s="10">
        <f t="shared" si="6"/>
        <v>6240</v>
      </c>
      <c r="AG27" s="10">
        <f t="shared" si="0"/>
        <v>4840</v>
      </c>
      <c r="AH27" s="14"/>
      <c r="AI27" s="10">
        <f>+AF27+AG27-AH27</f>
        <v>11080</v>
      </c>
      <c r="AJ27" s="27"/>
      <c r="AK27" s="18">
        <v>10860</v>
      </c>
      <c r="AL27" s="18">
        <f t="shared" si="2"/>
        <v>220</v>
      </c>
      <c r="AM27" s="60"/>
      <c r="AN27" s="65"/>
      <c r="AO27" s="60"/>
      <c r="AP27" s="27"/>
      <c r="AQ27" s="27">
        <f t="shared" si="3"/>
        <v>0</v>
      </c>
      <c r="AR27" s="27">
        <f t="shared" si="4"/>
        <v>0</v>
      </c>
    </row>
    <row r="28" spans="1:60" x14ac:dyDescent="0.3">
      <c r="A28" s="11">
        <f t="shared" si="9"/>
        <v>25</v>
      </c>
      <c r="B28" s="12" t="s">
        <v>18</v>
      </c>
      <c r="C28" s="12" t="s">
        <v>19</v>
      </c>
      <c r="D28" s="57">
        <v>200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540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26"/>
      <c r="AF28" s="10">
        <f t="shared" si="6"/>
        <v>200</v>
      </c>
      <c r="AG28" s="10">
        <f t="shared" si="0"/>
        <v>540</v>
      </c>
      <c r="AH28" s="14"/>
      <c r="AI28" s="10">
        <f t="shared" si="1"/>
        <v>740</v>
      </c>
      <c r="AJ28" s="27"/>
      <c r="AK28" s="18">
        <v>740</v>
      </c>
      <c r="AL28" s="18">
        <f t="shared" si="2"/>
        <v>0</v>
      </c>
      <c r="AM28" s="60"/>
      <c r="AN28" s="65"/>
      <c r="AO28" s="60"/>
      <c r="AP28" s="27"/>
      <c r="AQ28" s="27">
        <f t="shared" si="3"/>
        <v>0</v>
      </c>
      <c r="AR28" s="27">
        <f t="shared" si="4"/>
        <v>0</v>
      </c>
    </row>
    <row r="29" spans="1:60" x14ac:dyDescent="0.3">
      <c r="A29" s="11">
        <f t="shared" si="9"/>
        <v>26</v>
      </c>
      <c r="B29" s="12" t="s">
        <v>49</v>
      </c>
      <c r="C29" s="12" t="s">
        <v>50</v>
      </c>
      <c r="D29" s="57">
        <v>288880</v>
      </c>
      <c r="E29" s="10">
        <f>5880+5540</f>
        <v>11420</v>
      </c>
      <c r="F29" s="10">
        <f>7660+10080</f>
        <v>17740</v>
      </c>
      <c r="G29" s="10"/>
      <c r="H29" s="10"/>
      <c r="I29" s="10"/>
      <c r="J29" s="10"/>
      <c r="K29" s="10">
        <f>8420+9320</f>
        <v>17740</v>
      </c>
      <c r="L29" s="10">
        <v>7500</v>
      </c>
      <c r="M29" s="10">
        <f>10580+9480</f>
        <v>20060</v>
      </c>
      <c r="N29" s="10">
        <f>6880+1820</f>
        <v>8700</v>
      </c>
      <c r="O29" s="10">
        <v>6920</v>
      </c>
      <c r="P29" s="10">
        <f>6540+4320</f>
        <v>10860</v>
      </c>
      <c r="Q29" s="10">
        <f>9480+9680</f>
        <v>19160</v>
      </c>
      <c r="R29" s="10">
        <f>5500+480</f>
        <v>5980</v>
      </c>
      <c r="S29" s="10">
        <v>3000</v>
      </c>
      <c r="T29" s="10">
        <f>7780+3180</f>
        <v>10960</v>
      </c>
      <c r="U29" s="10"/>
      <c r="V29" s="10">
        <f>6860+11160</f>
        <v>18020</v>
      </c>
      <c r="W29" s="10">
        <f>5720+4740</f>
        <v>10460</v>
      </c>
      <c r="X29" s="10">
        <f>4340+2240</f>
        <v>6580</v>
      </c>
      <c r="Y29" s="10">
        <f>4340+6720</f>
        <v>11060</v>
      </c>
      <c r="Z29" s="10">
        <f>6820+4880</f>
        <v>11700</v>
      </c>
      <c r="AA29" s="10"/>
      <c r="AB29" s="10">
        <f>4380+2300</f>
        <v>6680</v>
      </c>
      <c r="AC29" s="10">
        <v>2260</v>
      </c>
      <c r="AD29" s="10"/>
      <c r="AE29" s="26"/>
      <c r="AF29" s="10">
        <f t="shared" si="6"/>
        <v>288880</v>
      </c>
      <c r="AG29" s="10">
        <f t="shared" si="0"/>
        <v>206800</v>
      </c>
      <c r="AH29" s="14">
        <f>26000+177000+25000</f>
        <v>228000</v>
      </c>
      <c r="AI29" s="10">
        <f t="shared" si="1"/>
        <v>267680</v>
      </c>
      <c r="AJ29" s="27"/>
      <c r="AK29" s="18">
        <v>258740</v>
      </c>
      <c r="AL29" s="18">
        <f t="shared" si="2"/>
        <v>8940</v>
      </c>
      <c r="AM29" s="60"/>
      <c r="AN29" s="65"/>
      <c r="AO29" s="60">
        <f>26000+177000+25000</f>
        <v>228000</v>
      </c>
      <c r="AP29" s="27"/>
      <c r="AQ29" s="27">
        <f t="shared" si="3"/>
        <v>228000</v>
      </c>
      <c r="AR29" s="27">
        <f t="shared" si="4"/>
        <v>0</v>
      </c>
    </row>
    <row r="30" spans="1:60" ht="15.6" customHeight="1" x14ac:dyDescent="0.3">
      <c r="A30" s="11">
        <f t="shared" si="9"/>
        <v>27</v>
      </c>
      <c r="B30" s="12">
        <v>10009658</v>
      </c>
      <c r="C30" s="12" t="s">
        <v>68</v>
      </c>
      <c r="D30" s="57">
        <v>1960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26"/>
      <c r="AF30" s="10">
        <f t="shared" si="6"/>
        <v>1960</v>
      </c>
      <c r="AG30" s="10">
        <f t="shared" si="0"/>
        <v>0</v>
      </c>
      <c r="AH30" s="14"/>
      <c r="AI30" s="10">
        <f>+AF30+AG30-AH30</f>
        <v>1960</v>
      </c>
      <c r="AJ30" s="27"/>
      <c r="AK30" s="18">
        <v>1960</v>
      </c>
      <c r="AL30" s="18">
        <f t="shared" si="2"/>
        <v>0</v>
      </c>
      <c r="AM30" s="60"/>
      <c r="AN30" s="65"/>
      <c r="AO30" s="60"/>
      <c r="AP30" s="27"/>
      <c r="AQ30" s="27">
        <f t="shared" si="3"/>
        <v>0</v>
      </c>
      <c r="AR30" s="27">
        <f t="shared" si="4"/>
        <v>0</v>
      </c>
    </row>
    <row r="31" spans="1:60" x14ac:dyDescent="0.3">
      <c r="A31" s="11">
        <f t="shared" si="9"/>
        <v>28</v>
      </c>
      <c r="B31" s="12">
        <v>10009639</v>
      </c>
      <c r="C31" s="12" t="s">
        <v>69</v>
      </c>
      <c r="D31" s="57">
        <v>47080</v>
      </c>
      <c r="E31" s="10">
        <v>980</v>
      </c>
      <c r="F31" s="10">
        <f>520+1240</f>
        <v>1760</v>
      </c>
      <c r="G31" s="10"/>
      <c r="H31" s="10"/>
      <c r="I31" s="10"/>
      <c r="J31" s="10"/>
      <c r="K31" s="10">
        <f>640+1460</f>
        <v>2100</v>
      </c>
      <c r="L31" s="10">
        <v>800</v>
      </c>
      <c r="M31" s="10">
        <f>800+1340</f>
        <v>2140</v>
      </c>
      <c r="N31" s="10">
        <f>900+420</f>
        <v>1320</v>
      </c>
      <c r="O31" s="10">
        <v>860</v>
      </c>
      <c r="P31" s="10">
        <f>460+340</f>
        <v>800</v>
      </c>
      <c r="Q31" s="10">
        <f>640+960</f>
        <v>1600</v>
      </c>
      <c r="R31" s="10">
        <f>460+460</f>
        <v>920</v>
      </c>
      <c r="S31" s="10">
        <v>980</v>
      </c>
      <c r="T31" s="10">
        <f>2740+1860</f>
        <v>4600</v>
      </c>
      <c r="U31" s="10"/>
      <c r="V31" s="10">
        <f>2140+4460</f>
        <v>6600</v>
      </c>
      <c r="W31" s="10">
        <f>2700+2240</f>
        <v>4940</v>
      </c>
      <c r="X31" s="10">
        <f>1380+1140</f>
        <v>2520</v>
      </c>
      <c r="Y31" s="10">
        <f>1760+3560</f>
        <v>5320</v>
      </c>
      <c r="Z31" s="10">
        <f>3080+2960</f>
        <v>6040</v>
      </c>
      <c r="AA31" s="10"/>
      <c r="AB31" s="10">
        <f>2020+1080</f>
        <v>3100</v>
      </c>
      <c r="AC31" s="10">
        <v>1200</v>
      </c>
      <c r="AD31" s="10"/>
      <c r="AE31" s="26"/>
      <c r="AF31" s="10">
        <f t="shared" si="6"/>
        <v>47080</v>
      </c>
      <c r="AG31" s="10">
        <f t="shared" si="0"/>
        <v>48580</v>
      </c>
      <c r="AH31" s="14">
        <f>24000+27000</f>
        <v>51000</v>
      </c>
      <c r="AI31" s="10">
        <f>+AF31+AG31-AH31</f>
        <v>44660</v>
      </c>
      <c r="AJ31" s="27"/>
      <c r="AK31" s="18">
        <v>40360</v>
      </c>
      <c r="AL31" s="18">
        <f t="shared" si="2"/>
        <v>4300</v>
      </c>
      <c r="AM31" s="60"/>
      <c r="AN31" s="65"/>
      <c r="AO31" s="60">
        <f>24000+27000</f>
        <v>51000</v>
      </c>
      <c r="AP31" s="27"/>
      <c r="AQ31" s="27">
        <f t="shared" si="3"/>
        <v>51000</v>
      </c>
      <c r="AR31" s="27">
        <f t="shared" si="4"/>
        <v>0</v>
      </c>
    </row>
    <row r="32" spans="1:60" x14ac:dyDescent="0.3">
      <c r="A32" s="28">
        <f>+A31+1</f>
        <v>29</v>
      </c>
      <c r="B32" s="31" t="s">
        <v>53</v>
      </c>
      <c r="C32" s="31" t="s">
        <v>54</v>
      </c>
      <c r="D32" s="58">
        <v>287540</v>
      </c>
      <c r="E32" s="29">
        <v>2980</v>
      </c>
      <c r="F32" s="29">
        <v>4360</v>
      </c>
      <c r="G32" s="29">
        <f>9400+9920</f>
        <v>19320</v>
      </c>
      <c r="H32" s="29">
        <v>6580</v>
      </c>
      <c r="I32" s="29"/>
      <c r="J32" s="29"/>
      <c r="K32" s="29">
        <v>8240</v>
      </c>
      <c r="L32" s="29">
        <f>8740+8460</f>
        <v>17200</v>
      </c>
      <c r="M32" s="29">
        <v>9740</v>
      </c>
      <c r="N32" s="29">
        <f>7920+11360</f>
        <v>19280</v>
      </c>
      <c r="O32" s="29">
        <v>4240</v>
      </c>
      <c r="P32" s="29">
        <f>3540+13020</f>
        <v>16560</v>
      </c>
      <c r="Q32" s="29">
        <v>5120</v>
      </c>
      <c r="R32" s="29">
        <f>11820+13600</f>
        <v>25420</v>
      </c>
      <c r="S32" s="29">
        <v>2360</v>
      </c>
      <c r="T32" s="29">
        <f>2540+2840</f>
        <v>5380</v>
      </c>
      <c r="U32" s="29">
        <v>3660</v>
      </c>
      <c r="V32" s="29">
        <v>7660</v>
      </c>
      <c r="W32" s="29">
        <f>12080+14800</f>
        <v>26880</v>
      </c>
      <c r="X32" s="29">
        <v>10280</v>
      </c>
      <c r="Y32" s="29">
        <v>5960</v>
      </c>
      <c r="Z32" s="29">
        <v>3540</v>
      </c>
      <c r="AA32" s="29"/>
      <c r="AB32" s="29">
        <v>2320</v>
      </c>
      <c r="AC32" s="29"/>
      <c r="AD32" s="29"/>
      <c r="AE32" s="26"/>
      <c r="AF32" s="29">
        <f t="shared" si="6"/>
        <v>287540</v>
      </c>
      <c r="AG32" s="29">
        <f t="shared" si="0"/>
        <v>207080</v>
      </c>
      <c r="AH32" s="30">
        <f>175000+125000+180</f>
        <v>300180</v>
      </c>
      <c r="AI32" s="29">
        <f>+AF32+AG32-AH32</f>
        <v>194440</v>
      </c>
      <c r="AJ32" s="27"/>
      <c r="AK32" s="18">
        <v>192120</v>
      </c>
      <c r="AL32" s="18">
        <f t="shared" si="2"/>
        <v>2320</v>
      </c>
      <c r="AM32" s="60"/>
      <c r="AN32" s="65">
        <v>180</v>
      </c>
      <c r="AO32" s="60">
        <v>300000</v>
      </c>
      <c r="AP32" s="27"/>
      <c r="AQ32" s="27">
        <f t="shared" si="3"/>
        <v>300180</v>
      </c>
      <c r="AR32" s="27">
        <f t="shared" si="4"/>
        <v>0</v>
      </c>
    </row>
    <row r="33" spans="1:60" x14ac:dyDescent="0.3">
      <c r="A33" s="28">
        <f t="shared" si="5"/>
        <v>30</v>
      </c>
      <c r="B33" s="31" t="s">
        <v>51</v>
      </c>
      <c r="C33" s="31" t="s">
        <v>52</v>
      </c>
      <c r="D33" s="58">
        <v>36540</v>
      </c>
      <c r="E33" s="29">
        <v>20</v>
      </c>
      <c r="F33" s="29">
        <v>240</v>
      </c>
      <c r="G33" s="29">
        <f>400+320</f>
        <v>720</v>
      </c>
      <c r="H33" s="29">
        <v>980</v>
      </c>
      <c r="I33" s="29"/>
      <c r="J33" s="29"/>
      <c r="K33" s="29"/>
      <c r="L33" s="29">
        <f>860+620</f>
        <v>1480</v>
      </c>
      <c r="M33" s="29">
        <v>1700</v>
      </c>
      <c r="N33" s="29">
        <f>300+700</f>
        <v>1000</v>
      </c>
      <c r="O33" s="29">
        <v>0</v>
      </c>
      <c r="P33" s="29">
        <f>660+420</f>
        <v>1080</v>
      </c>
      <c r="Q33" s="29">
        <v>120</v>
      </c>
      <c r="R33" s="29">
        <v>540</v>
      </c>
      <c r="S33" s="29"/>
      <c r="T33" s="29">
        <v>80</v>
      </c>
      <c r="U33" s="29">
        <v>80</v>
      </c>
      <c r="V33" s="29"/>
      <c r="W33" s="29">
        <f>60+220</f>
        <v>280</v>
      </c>
      <c r="X33" s="29">
        <v>180</v>
      </c>
      <c r="Y33" s="29">
        <v>100</v>
      </c>
      <c r="Z33" s="29">
        <v>420</v>
      </c>
      <c r="AA33" s="29"/>
      <c r="AB33" s="29">
        <v>60</v>
      </c>
      <c r="AC33" s="29"/>
      <c r="AD33" s="29"/>
      <c r="AE33" s="26"/>
      <c r="AF33" s="29">
        <f t="shared" si="6"/>
        <v>36540</v>
      </c>
      <c r="AG33" s="29">
        <f t="shared" si="0"/>
        <v>9080</v>
      </c>
      <c r="AH33" s="30">
        <f>14000+10000</f>
        <v>24000</v>
      </c>
      <c r="AI33" s="29">
        <f t="shared" si="1"/>
        <v>21620</v>
      </c>
      <c r="AJ33" s="27"/>
      <c r="AK33" s="18">
        <v>21560</v>
      </c>
      <c r="AL33" s="18">
        <f t="shared" si="2"/>
        <v>60</v>
      </c>
      <c r="AM33" s="60"/>
      <c r="AN33" s="65"/>
      <c r="AO33" s="60">
        <v>24000</v>
      </c>
      <c r="AP33" s="27"/>
      <c r="AQ33" s="27">
        <f t="shared" si="3"/>
        <v>24000</v>
      </c>
      <c r="AR33" s="27">
        <f t="shared" si="4"/>
        <v>0</v>
      </c>
      <c r="BG33" s="5"/>
    </row>
    <row r="34" spans="1:60" x14ac:dyDescent="0.3">
      <c r="A34" s="28">
        <f t="shared" si="5"/>
        <v>31</v>
      </c>
      <c r="B34" s="31" t="s">
        <v>38</v>
      </c>
      <c r="C34" s="31" t="s">
        <v>39</v>
      </c>
      <c r="D34" s="58">
        <v>260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6"/>
      <c r="AF34" s="29">
        <f t="shared" si="6"/>
        <v>260</v>
      </c>
      <c r="AG34" s="29">
        <f t="shared" si="0"/>
        <v>0</v>
      </c>
      <c r="AH34" s="30"/>
      <c r="AI34" s="29">
        <f t="shared" si="1"/>
        <v>260</v>
      </c>
      <c r="AJ34" s="27"/>
      <c r="AK34" s="18">
        <v>260</v>
      </c>
      <c r="AL34" s="18">
        <f t="shared" si="2"/>
        <v>0</v>
      </c>
      <c r="AM34" s="60"/>
      <c r="AN34" s="65"/>
      <c r="AO34" s="60"/>
      <c r="AP34" s="27"/>
      <c r="AQ34" s="27">
        <f t="shared" si="3"/>
        <v>0</v>
      </c>
      <c r="AR34" s="27">
        <f t="shared" si="4"/>
        <v>0</v>
      </c>
      <c r="BG34" s="5"/>
    </row>
    <row r="35" spans="1:60" x14ac:dyDescent="0.3">
      <c r="A35" s="28">
        <f t="shared" si="5"/>
        <v>32</v>
      </c>
      <c r="B35" s="31">
        <v>10007050</v>
      </c>
      <c r="C35" s="31" t="s">
        <v>87</v>
      </c>
      <c r="D35" s="58">
        <v>26460</v>
      </c>
      <c r="E35" s="29">
        <v>660</v>
      </c>
      <c r="F35" s="36">
        <v>100</v>
      </c>
      <c r="G35" s="36">
        <f>1520+200</f>
        <v>1720</v>
      </c>
      <c r="H35" s="29">
        <v>1740</v>
      </c>
      <c r="I35" s="29"/>
      <c r="J35" s="36"/>
      <c r="K35" s="36"/>
      <c r="L35" s="36">
        <f>680+1100</f>
        <v>1780</v>
      </c>
      <c r="M35" s="36">
        <v>320</v>
      </c>
      <c r="N35" s="36">
        <f>180+1980</f>
        <v>2160</v>
      </c>
      <c r="O35" s="36">
        <v>0</v>
      </c>
      <c r="P35" s="36">
        <f>560+1140</f>
        <v>1700</v>
      </c>
      <c r="Q35" s="36">
        <v>940</v>
      </c>
      <c r="R35" s="36">
        <f>2160+2220</f>
        <v>4380</v>
      </c>
      <c r="S35" s="36"/>
      <c r="T35" s="36">
        <v>540</v>
      </c>
      <c r="U35" s="36">
        <v>1420</v>
      </c>
      <c r="V35" s="36">
        <v>80</v>
      </c>
      <c r="W35" s="36">
        <f>680+1340</f>
        <v>2020</v>
      </c>
      <c r="X35" s="36">
        <v>860</v>
      </c>
      <c r="Y35" s="36">
        <v>1100</v>
      </c>
      <c r="Z35" s="36">
        <v>1120</v>
      </c>
      <c r="AA35" s="36"/>
      <c r="AB35" s="36">
        <v>520</v>
      </c>
      <c r="AC35" s="36"/>
      <c r="AD35" s="36"/>
      <c r="AE35" s="27"/>
      <c r="AF35" s="29">
        <f t="shared" si="6"/>
        <v>26460</v>
      </c>
      <c r="AG35" s="29">
        <f t="shared" si="0"/>
        <v>23160</v>
      </c>
      <c r="AH35" s="30"/>
      <c r="AI35" s="29">
        <f t="shared" si="1"/>
        <v>49620</v>
      </c>
      <c r="AJ35" s="27"/>
      <c r="AK35" s="18">
        <v>49100</v>
      </c>
      <c r="AL35" s="18">
        <f t="shared" si="2"/>
        <v>520</v>
      </c>
      <c r="AM35" s="60"/>
      <c r="AN35" s="65"/>
      <c r="AO35" s="60"/>
      <c r="AP35" s="27"/>
      <c r="AQ35" s="27">
        <f t="shared" si="3"/>
        <v>0</v>
      </c>
      <c r="AR35" s="27">
        <f t="shared" si="4"/>
        <v>0</v>
      </c>
      <c r="BG35" s="5"/>
    </row>
    <row r="36" spans="1:60" ht="18.600000000000001" customHeight="1" x14ac:dyDescent="0.3">
      <c r="A36" s="43">
        <f t="shared" si="5"/>
        <v>33</v>
      </c>
      <c r="B36" s="44"/>
      <c r="C36" s="44" t="s">
        <v>81</v>
      </c>
      <c r="D36" s="59">
        <v>22290</v>
      </c>
      <c r="E36" s="42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>
        <v>390</v>
      </c>
      <c r="AB36" s="90"/>
      <c r="AC36" s="90">
        <v>9060</v>
      </c>
      <c r="AD36" s="90"/>
      <c r="AE36" s="91"/>
      <c r="AF36" s="42">
        <f t="shared" si="6"/>
        <v>22290</v>
      </c>
      <c r="AG36" s="42">
        <f t="shared" si="0"/>
        <v>9450</v>
      </c>
      <c r="AH36" s="92">
        <f>10080+12210</f>
        <v>22290</v>
      </c>
      <c r="AI36" s="42">
        <f t="shared" si="1"/>
        <v>9450</v>
      </c>
      <c r="AJ36" s="27"/>
      <c r="AK36" s="18">
        <v>0</v>
      </c>
      <c r="AL36" s="18">
        <f t="shared" si="2"/>
        <v>9450</v>
      </c>
      <c r="AM36" s="18">
        <v>22290</v>
      </c>
      <c r="AN36" s="65"/>
      <c r="AO36" s="60"/>
      <c r="AP36" s="27"/>
      <c r="AQ36" s="27">
        <f t="shared" si="3"/>
        <v>22290</v>
      </c>
      <c r="AR36" s="27">
        <f t="shared" si="4"/>
        <v>0</v>
      </c>
    </row>
    <row r="37" spans="1:60" ht="18.600000000000001" customHeight="1" x14ac:dyDescent="0.3">
      <c r="A37" s="43">
        <f t="shared" si="5"/>
        <v>34</v>
      </c>
      <c r="B37" s="44"/>
      <c r="C37" s="44" t="s">
        <v>107</v>
      </c>
      <c r="D37" s="59">
        <v>0</v>
      </c>
      <c r="E37" s="42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>
        <v>3460</v>
      </c>
      <c r="AD37" s="90"/>
      <c r="AE37" s="91"/>
      <c r="AF37" s="42">
        <f t="shared" si="6"/>
        <v>0</v>
      </c>
      <c r="AG37" s="42">
        <f t="shared" si="0"/>
        <v>3460</v>
      </c>
      <c r="AH37" s="92"/>
      <c r="AI37" s="42">
        <f t="shared" si="1"/>
        <v>3460</v>
      </c>
      <c r="AJ37" s="27"/>
      <c r="AK37" s="18">
        <v>0</v>
      </c>
      <c r="AL37" s="18">
        <f t="shared" si="2"/>
        <v>3460</v>
      </c>
      <c r="AM37" s="18"/>
      <c r="AN37" s="65"/>
      <c r="AO37" s="60"/>
      <c r="AP37" s="27"/>
      <c r="AQ37" s="27">
        <f t="shared" si="3"/>
        <v>0</v>
      </c>
      <c r="AR37" s="27">
        <f t="shared" si="4"/>
        <v>0</v>
      </c>
    </row>
    <row r="38" spans="1:60" x14ac:dyDescent="0.3">
      <c r="A38" s="43">
        <f t="shared" si="5"/>
        <v>35</v>
      </c>
      <c r="B38" s="44"/>
      <c r="C38" s="44" t="s">
        <v>106</v>
      </c>
      <c r="D38" s="59">
        <v>2600</v>
      </c>
      <c r="E38" s="42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>
        <v>2380</v>
      </c>
      <c r="AD38" s="90"/>
      <c r="AE38" s="91"/>
      <c r="AF38" s="42">
        <f t="shared" si="6"/>
        <v>2600</v>
      </c>
      <c r="AG38" s="42">
        <f t="shared" si="0"/>
        <v>2380</v>
      </c>
      <c r="AH38" s="92">
        <v>2600</v>
      </c>
      <c r="AI38" s="42">
        <f t="shared" si="1"/>
        <v>2380</v>
      </c>
      <c r="AJ38" s="27"/>
      <c r="AK38" s="18">
        <v>0</v>
      </c>
      <c r="AL38" s="18">
        <f t="shared" si="2"/>
        <v>2380</v>
      </c>
      <c r="AM38" s="18">
        <v>2600</v>
      </c>
      <c r="AN38" s="65"/>
      <c r="AO38" s="60"/>
      <c r="AP38" s="27"/>
      <c r="AQ38" s="27">
        <f t="shared" si="3"/>
        <v>2600</v>
      </c>
      <c r="AR38" s="27">
        <f t="shared" si="4"/>
        <v>0</v>
      </c>
    </row>
    <row r="39" spans="1:60" x14ac:dyDescent="0.3">
      <c r="A39" s="43">
        <f t="shared" si="5"/>
        <v>36</v>
      </c>
      <c r="B39" s="44"/>
      <c r="C39" s="44" t="s">
        <v>105</v>
      </c>
      <c r="D39" s="59">
        <v>2650</v>
      </c>
      <c r="E39" s="42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>
        <v>2200</v>
      </c>
      <c r="AD39" s="90"/>
      <c r="AE39" s="91"/>
      <c r="AF39" s="42">
        <f t="shared" si="6"/>
        <v>2650</v>
      </c>
      <c r="AG39" s="42">
        <f t="shared" si="0"/>
        <v>2200</v>
      </c>
      <c r="AH39" s="92">
        <v>2650</v>
      </c>
      <c r="AI39" s="42">
        <f t="shared" si="1"/>
        <v>2200</v>
      </c>
      <c r="AJ39" s="27"/>
      <c r="AK39" s="18">
        <v>0</v>
      </c>
      <c r="AL39" s="18">
        <f t="shared" si="2"/>
        <v>2200</v>
      </c>
      <c r="AM39" s="18">
        <v>2650</v>
      </c>
      <c r="AN39" s="65"/>
      <c r="AO39" s="60"/>
      <c r="AP39" s="27"/>
      <c r="AQ39" s="27">
        <f t="shared" si="3"/>
        <v>2650</v>
      </c>
      <c r="AR39" s="27">
        <f t="shared" si="4"/>
        <v>0</v>
      </c>
    </row>
    <row r="40" spans="1:60" s="15" customFormat="1" x14ac:dyDescent="0.25">
      <c r="A40" s="23">
        <f>+A39+1</f>
        <v>37</v>
      </c>
      <c r="B40" s="32">
        <v>10009337</v>
      </c>
      <c r="C40" s="32" t="s">
        <v>62</v>
      </c>
      <c r="D40" s="56">
        <v>19455</v>
      </c>
      <c r="E40" s="24"/>
      <c r="F40" s="33">
        <v>570</v>
      </c>
      <c r="G40" s="33">
        <f>3615+30</f>
        <v>3645</v>
      </c>
      <c r="H40" s="33"/>
      <c r="I40" s="33"/>
      <c r="J40" s="33"/>
      <c r="K40" s="33">
        <v>1800</v>
      </c>
      <c r="L40" s="33">
        <f>255+1125</f>
        <v>1380</v>
      </c>
      <c r="M40" s="33">
        <v>735</v>
      </c>
      <c r="N40" s="33">
        <f>1215+1740</f>
        <v>2955</v>
      </c>
      <c r="O40" s="33">
        <v>0</v>
      </c>
      <c r="P40" s="33">
        <f>825+1500</f>
        <v>2325</v>
      </c>
      <c r="Q40" s="33">
        <v>435</v>
      </c>
      <c r="R40" s="33">
        <f>3660+795</f>
        <v>4455</v>
      </c>
      <c r="S40" s="33"/>
      <c r="T40" s="33">
        <v>600</v>
      </c>
      <c r="U40" s="33">
        <v>1005</v>
      </c>
      <c r="V40" s="33">
        <v>1440</v>
      </c>
      <c r="W40" s="33">
        <f>525+2340</f>
        <v>2865</v>
      </c>
      <c r="X40" s="33">
        <v>1305</v>
      </c>
      <c r="Y40" s="33">
        <v>780</v>
      </c>
      <c r="Z40" s="33">
        <v>855</v>
      </c>
      <c r="AA40" s="33"/>
      <c r="AB40" s="33"/>
      <c r="AC40" s="33"/>
      <c r="AD40" s="33"/>
      <c r="AE40" s="27"/>
      <c r="AF40" s="33">
        <f t="shared" si="6"/>
        <v>19455</v>
      </c>
      <c r="AG40" s="24">
        <f t="shared" si="0"/>
        <v>27150</v>
      </c>
      <c r="AH40" s="46">
        <f>25500-105</f>
        <v>25395</v>
      </c>
      <c r="AI40" s="24">
        <f t="shared" si="1"/>
        <v>21210</v>
      </c>
      <c r="AJ40" s="27">
        <v>52320</v>
      </c>
      <c r="AK40" s="18">
        <v>21210</v>
      </c>
      <c r="AL40" s="18">
        <f t="shared" si="2"/>
        <v>0</v>
      </c>
      <c r="AM40" s="18"/>
      <c r="AN40" s="66"/>
      <c r="AO40" s="60">
        <v>25395</v>
      </c>
      <c r="AP40" s="27"/>
      <c r="AQ40" s="27">
        <f t="shared" si="3"/>
        <v>25395</v>
      </c>
      <c r="AR40" s="27">
        <f t="shared" si="4"/>
        <v>0</v>
      </c>
      <c r="BF40" s="3"/>
      <c r="BG40" s="3"/>
      <c r="BH40" s="3"/>
    </row>
    <row r="41" spans="1:60" s="15" customFormat="1" x14ac:dyDescent="0.25">
      <c r="A41" s="23">
        <f t="shared" ref="A41:A44" si="11">+A40+1</f>
        <v>38</v>
      </c>
      <c r="B41" s="32">
        <v>10009332</v>
      </c>
      <c r="C41" s="32" t="s">
        <v>64</v>
      </c>
      <c r="D41" s="56">
        <v>14025</v>
      </c>
      <c r="E41" s="24"/>
      <c r="F41" s="33">
        <v>885</v>
      </c>
      <c r="G41" s="33">
        <f>3150+15</f>
        <v>3165</v>
      </c>
      <c r="H41" s="33"/>
      <c r="I41" s="33"/>
      <c r="J41" s="33"/>
      <c r="K41" s="33">
        <v>525</v>
      </c>
      <c r="L41" s="33">
        <f>1350+1200</f>
        <v>2550</v>
      </c>
      <c r="M41" s="33">
        <v>345</v>
      </c>
      <c r="N41" s="33">
        <f>1410+1650</f>
        <v>3060</v>
      </c>
      <c r="O41" s="33">
        <v>0</v>
      </c>
      <c r="P41" s="33">
        <f>780+1185</f>
        <v>1965</v>
      </c>
      <c r="Q41" s="33">
        <v>1380</v>
      </c>
      <c r="R41" s="33">
        <f>2700+780</f>
        <v>3480</v>
      </c>
      <c r="S41" s="33"/>
      <c r="T41" s="33">
        <v>480</v>
      </c>
      <c r="U41" s="33">
        <v>900</v>
      </c>
      <c r="V41" s="33">
        <v>1650</v>
      </c>
      <c r="W41" s="33">
        <v>2175</v>
      </c>
      <c r="X41" s="33">
        <v>1185</v>
      </c>
      <c r="Y41" s="33">
        <v>1230</v>
      </c>
      <c r="Z41" s="33">
        <v>360</v>
      </c>
      <c r="AA41" s="33"/>
      <c r="AB41" s="33"/>
      <c r="AC41" s="33"/>
      <c r="AD41" s="33"/>
      <c r="AE41" s="27"/>
      <c r="AF41" s="33">
        <f t="shared" si="6"/>
        <v>14025</v>
      </c>
      <c r="AG41" s="24">
        <f t="shared" si="0"/>
        <v>25335</v>
      </c>
      <c r="AH41" s="46"/>
      <c r="AI41" s="24">
        <f t="shared" si="1"/>
        <v>39360</v>
      </c>
      <c r="AJ41" s="27"/>
      <c r="AK41" s="18">
        <v>39360</v>
      </c>
      <c r="AL41" s="18">
        <f t="shared" si="2"/>
        <v>0</v>
      </c>
      <c r="AM41" s="18"/>
      <c r="AN41" s="75"/>
      <c r="AO41" s="60"/>
      <c r="AP41" s="27"/>
      <c r="AQ41" s="27">
        <f t="shared" si="3"/>
        <v>0</v>
      </c>
      <c r="AR41" s="27">
        <f t="shared" si="4"/>
        <v>0</v>
      </c>
      <c r="BF41" s="3"/>
      <c r="BG41" s="3"/>
      <c r="BH41" s="3"/>
    </row>
    <row r="42" spans="1:60" s="15" customFormat="1" x14ac:dyDescent="0.25">
      <c r="A42" s="23"/>
      <c r="B42" s="32"/>
      <c r="C42" s="32" t="s">
        <v>108</v>
      </c>
      <c r="D42" s="56">
        <v>0</v>
      </c>
      <c r="E42" s="24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>
        <v>4920</v>
      </c>
      <c r="AD42" s="33"/>
      <c r="AE42" s="27"/>
      <c r="AF42" s="33">
        <f t="shared" si="6"/>
        <v>0</v>
      </c>
      <c r="AG42" s="24">
        <f t="shared" ref="AG42" si="12">SUM(E42:AD42)</f>
        <v>4920</v>
      </c>
      <c r="AH42" s="46"/>
      <c r="AI42" s="24">
        <f t="shared" ref="AI42" si="13">+AF42+AG42-AH42</f>
        <v>4920</v>
      </c>
      <c r="AJ42" s="27"/>
      <c r="AK42" s="18"/>
      <c r="AL42" s="18"/>
      <c r="AM42" s="18"/>
      <c r="AN42" s="75"/>
      <c r="AO42" s="60"/>
      <c r="AP42" s="27"/>
      <c r="AQ42" s="27"/>
      <c r="AR42" s="27"/>
      <c r="BF42" s="3"/>
      <c r="BG42" s="3"/>
      <c r="BH42" s="3"/>
    </row>
    <row r="43" spans="1:60" s="15" customFormat="1" x14ac:dyDescent="0.25">
      <c r="A43" s="23">
        <f>+A41+1</f>
        <v>39</v>
      </c>
      <c r="B43" s="32"/>
      <c r="C43" s="32" t="s">
        <v>99</v>
      </c>
      <c r="D43" s="56">
        <v>0</v>
      </c>
      <c r="E43" s="24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>
        <v>20</v>
      </c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27"/>
      <c r="AF43" s="33">
        <f t="shared" si="6"/>
        <v>0</v>
      </c>
      <c r="AG43" s="24">
        <f t="shared" si="0"/>
        <v>20</v>
      </c>
      <c r="AH43" s="46"/>
      <c r="AI43" s="24">
        <f t="shared" ref="AI43:AI44" si="14">+AF43+AG43-AH43</f>
        <v>20</v>
      </c>
      <c r="AJ43" s="27"/>
      <c r="AK43" s="18">
        <v>20</v>
      </c>
      <c r="AL43" s="18">
        <f t="shared" ref="AL43:AL44" si="15">+AI43-AK43</f>
        <v>0</v>
      </c>
      <c r="AM43" s="18"/>
      <c r="AN43" s="75"/>
      <c r="AO43" s="60"/>
      <c r="AP43" s="27"/>
      <c r="AQ43" s="27">
        <f t="shared" si="3"/>
        <v>0</v>
      </c>
      <c r="AR43" s="27">
        <f t="shared" si="4"/>
        <v>0</v>
      </c>
      <c r="BF43" s="3"/>
      <c r="BG43" s="3"/>
      <c r="BH43" s="3"/>
    </row>
    <row r="44" spans="1:60" s="15" customFormat="1" x14ac:dyDescent="0.25">
      <c r="A44" s="23">
        <f t="shared" si="11"/>
        <v>40</v>
      </c>
      <c r="B44" s="32"/>
      <c r="C44" s="32" t="s">
        <v>98</v>
      </c>
      <c r="D44" s="56">
        <v>0</v>
      </c>
      <c r="E44" s="24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>
        <f>880+1180</f>
        <v>2060</v>
      </c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27"/>
      <c r="AF44" s="33">
        <f t="shared" si="6"/>
        <v>0</v>
      </c>
      <c r="AG44" s="24">
        <f t="shared" si="0"/>
        <v>2060</v>
      </c>
      <c r="AH44" s="46"/>
      <c r="AI44" s="24">
        <f t="shared" si="14"/>
        <v>2060</v>
      </c>
      <c r="AJ44" s="27"/>
      <c r="AK44" s="18">
        <v>2060</v>
      </c>
      <c r="AL44" s="18">
        <f t="shared" si="15"/>
        <v>0</v>
      </c>
      <c r="AM44" s="18"/>
      <c r="AN44" s="75"/>
      <c r="AO44" s="60"/>
      <c r="AP44" s="27"/>
      <c r="AQ44" s="27">
        <f t="shared" si="3"/>
        <v>0</v>
      </c>
      <c r="AR44" s="27">
        <f t="shared" si="4"/>
        <v>0</v>
      </c>
      <c r="BF44" s="3"/>
      <c r="BG44" s="3"/>
      <c r="BH44" s="3"/>
    </row>
    <row r="45" spans="1:60" s="15" customFormat="1" x14ac:dyDescent="0.25">
      <c r="A45" s="48">
        <f>+A44+1</f>
        <v>41</v>
      </c>
      <c r="B45" s="49"/>
      <c r="C45" s="49" t="s">
        <v>65</v>
      </c>
      <c r="D45" s="72">
        <v>56.174999999999997</v>
      </c>
      <c r="E45" s="50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2"/>
      <c r="AF45" s="67">
        <f t="shared" si="6"/>
        <v>56.174999999999997</v>
      </c>
      <c r="AG45" s="68">
        <f t="shared" si="0"/>
        <v>0</v>
      </c>
      <c r="AH45" s="69">
        <v>5</v>
      </c>
      <c r="AI45" s="71">
        <f t="shared" si="1"/>
        <v>51.174999999999997</v>
      </c>
      <c r="AJ45" s="70"/>
      <c r="AK45" s="9">
        <v>51.174999999999997</v>
      </c>
      <c r="AL45" s="18">
        <f t="shared" si="2"/>
        <v>0</v>
      </c>
      <c r="AM45" s="18"/>
      <c r="AN45" s="66">
        <v>5</v>
      </c>
      <c r="AO45" s="60"/>
      <c r="AP45" s="27"/>
      <c r="AQ45" s="27">
        <f t="shared" si="3"/>
        <v>5</v>
      </c>
      <c r="AR45" s="27">
        <f t="shared" si="4"/>
        <v>0</v>
      </c>
      <c r="BF45" s="3"/>
      <c r="BG45" s="3"/>
      <c r="BH45" s="3"/>
    </row>
    <row r="46" spans="1:60" s="15" customFormat="1" x14ac:dyDescent="0.25">
      <c r="A46" s="48">
        <f t="shared" ref="A46:A47" si="16">+A45+1</f>
        <v>42</v>
      </c>
      <c r="B46" s="49"/>
      <c r="C46" s="49" t="s">
        <v>66</v>
      </c>
      <c r="D46" s="72">
        <v>16.774999999999999</v>
      </c>
      <c r="E46" s="50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2"/>
      <c r="AF46" s="67">
        <f t="shared" si="6"/>
        <v>16.774999999999999</v>
      </c>
      <c r="AG46" s="68">
        <f t="shared" si="0"/>
        <v>0</v>
      </c>
      <c r="AH46" s="69">
        <v>3</v>
      </c>
      <c r="AI46" s="71">
        <f t="shared" si="1"/>
        <v>13.774999999999999</v>
      </c>
      <c r="AJ46" s="70"/>
      <c r="AK46" s="9">
        <v>13.775</v>
      </c>
      <c r="AL46" s="18">
        <f t="shared" si="2"/>
        <v>0</v>
      </c>
      <c r="AM46" s="18"/>
      <c r="AN46" s="66">
        <v>3</v>
      </c>
      <c r="AO46" s="60"/>
      <c r="AP46" s="27"/>
      <c r="AQ46" s="27">
        <f t="shared" si="3"/>
        <v>3</v>
      </c>
      <c r="AR46" s="27">
        <f t="shared" si="4"/>
        <v>0</v>
      </c>
      <c r="BF46" s="3"/>
      <c r="BG46" s="3"/>
      <c r="BH46" s="3"/>
    </row>
    <row r="47" spans="1:60" s="15" customFormat="1" x14ac:dyDescent="0.25">
      <c r="A47" s="48">
        <f t="shared" si="16"/>
        <v>43</v>
      </c>
      <c r="B47" s="49"/>
      <c r="C47" s="49" t="s">
        <v>80</v>
      </c>
      <c r="D47" s="72">
        <v>23.85</v>
      </c>
      <c r="E47" s="50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2"/>
      <c r="AF47" s="67">
        <f t="shared" si="6"/>
        <v>23.85</v>
      </c>
      <c r="AG47" s="68">
        <f t="shared" si="0"/>
        <v>0</v>
      </c>
      <c r="AH47" s="69"/>
      <c r="AI47" s="71">
        <f t="shared" si="1"/>
        <v>23.85</v>
      </c>
      <c r="AJ47" s="70"/>
      <c r="AK47" s="9">
        <v>23.85</v>
      </c>
      <c r="AL47" s="18">
        <f t="shared" si="2"/>
        <v>0</v>
      </c>
      <c r="AM47" s="18"/>
      <c r="AN47" s="66"/>
      <c r="AO47" s="60"/>
      <c r="AP47" s="27"/>
      <c r="AQ47" s="27">
        <f t="shared" si="3"/>
        <v>0</v>
      </c>
      <c r="AR47" s="27">
        <f t="shared" si="4"/>
        <v>0</v>
      </c>
      <c r="BF47" s="3"/>
      <c r="BG47" s="3"/>
      <c r="BH47" s="3"/>
    </row>
    <row r="48" spans="1:60" x14ac:dyDescent="0.3">
      <c r="A48" s="43">
        <f>+A47+1</f>
        <v>44</v>
      </c>
      <c r="B48" s="44" t="s">
        <v>25</v>
      </c>
      <c r="C48" s="44" t="s">
        <v>26</v>
      </c>
      <c r="D48" s="59">
        <v>1120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>
        <f t="shared" si="6"/>
        <v>1120</v>
      </c>
      <c r="AG48" s="42">
        <f t="shared" si="0"/>
        <v>0</v>
      </c>
      <c r="AH48" s="42"/>
      <c r="AI48" s="42">
        <f>SUM(G48:AF48)</f>
        <v>1120</v>
      </c>
      <c r="AJ48" s="27"/>
      <c r="AK48" s="9">
        <v>1120</v>
      </c>
      <c r="AL48" s="18">
        <f t="shared" si="2"/>
        <v>0</v>
      </c>
      <c r="AM48" s="18"/>
      <c r="AN48" s="65"/>
      <c r="AO48" s="60"/>
      <c r="AP48" s="27"/>
      <c r="AQ48" s="27">
        <f t="shared" si="3"/>
        <v>0</v>
      </c>
      <c r="AR48" s="27">
        <f t="shared" si="4"/>
        <v>0</v>
      </c>
    </row>
    <row r="49" spans="3:56" ht="3.6" customHeight="1" x14ac:dyDescent="0.3"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27"/>
      <c r="AQ49" s="27"/>
    </row>
    <row r="50" spans="3:56" ht="15.6" x14ac:dyDescent="0.3">
      <c r="C50" s="1" t="s">
        <v>93</v>
      </c>
      <c r="D50" s="6">
        <f t="shared" ref="D50:AA50" si="17">SUM(D3:D48)</f>
        <v>2166892.7999999998</v>
      </c>
      <c r="E50" s="6">
        <f t="shared" si="17"/>
        <v>70560</v>
      </c>
      <c r="F50" s="6">
        <f t="shared" si="17"/>
        <v>96575</v>
      </c>
      <c r="G50" s="6">
        <f t="shared" si="17"/>
        <v>28570</v>
      </c>
      <c r="H50" s="6">
        <f t="shared" si="17"/>
        <v>9300</v>
      </c>
      <c r="I50" s="6">
        <f t="shared" si="17"/>
        <v>0</v>
      </c>
      <c r="J50" s="6">
        <f t="shared" si="17"/>
        <v>0</v>
      </c>
      <c r="K50" s="6">
        <f t="shared" si="17"/>
        <v>96685</v>
      </c>
      <c r="L50" s="6">
        <f t="shared" si="17"/>
        <v>69550</v>
      </c>
      <c r="M50" s="6">
        <f t="shared" si="17"/>
        <v>96560</v>
      </c>
      <c r="N50" s="6">
        <f t="shared" si="17"/>
        <v>91275</v>
      </c>
      <c r="O50" s="6">
        <f t="shared" si="17"/>
        <v>36980</v>
      </c>
      <c r="P50" s="6">
        <f t="shared" si="17"/>
        <v>73730</v>
      </c>
      <c r="Q50" s="6">
        <f t="shared" si="17"/>
        <v>92015</v>
      </c>
      <c r="R50" s="6">
        <f t="shared" si="17"/>
        <v>64135</v>
      </c>
      <c r="S50" s="6">
        <f t="shared" si="17"/>
        <v>28060</v>
      </c>
      <c r="T50" s="6">
        <f t="shared" si="17"/>
        <v>89740</v>
      </c>
      <c r="U50" s="6">
        <f t="shared" si="17"/>
        <v>7065</v>
      </c>
      <c r="V50" s="6">
        <f t="shared" si="17"/>
        <v>94210</v>
      </c>
      <c r="W50" s="6">
        <f t="shared" si="17"/>
        <v>134940</v>
      </c>
      <c r="X50" s="6">
        <f t="shared" si="17"/>
        <v>54850</v>
      </c>
      <c r="Y50" s="6">
        <f t="shared" si="17"/>
        <v>91886</v>
      </c>
      <c r="Z50" s="6">
        <f t="shared" si="17"/>
        <v>84895</v>
      </c>
      <c r="AA50" s="6">
        <f t="shared" si="17"/>
        <v>29070</v>
      </c>
      <c r="AB50" s="6">
        <f t="shared" ref="AB50:AC50" si="18">SUM(AB3:AB48)</f>
        <v>57800</v>
      </c>
      <c r="AC50" s="6">
        <f t="shared" si="18"/>
        <v>42640</v>
      </c>
      <c r="AD50" s="6">
        <f>SUM(AD3:AD48)</f>
        <v>0</v>
      </c>
      <c r="AE50" s="5">
        <f>SUM(AE3:AE39)</f>
        <v>0</v>
      </c>
      <c r="AF50" s="6">
        <f>SUM(AF3:AF48)</f>
        <v>2165072.7999999998</v>
      </c>
      <c r="AG50" s="6">
        <f>SUM(AG3:AG48)</f>
        <v>1541091</v>
      </c>
      <c r="AH50" s="73">
        <f>SUM(AH3:AH48)</f>
        <v>1727865</v>
      </c>
      <c r="AI50" s="35">
        <f>SUM(AI3:AI49)</f>
        <v>1978298.8</v>
      </c>
      <c r="AJ50" s="27"/>
      <c r="AK50" s="9">
        <f>SUM(AK1:AK48)</f>
        <v>1877468.8</v>
      </c>
      <c r="AL50" s="5">
        <f>SUM(AL1:AL48)</f>
        <v>95910</v>
      </c>
      <c r="AM50" s="5">
        <f>SUM(AM1:AM48)</f>
        <v>27900</v>
      </c>
      <c r="AN50" s="5">
        <f>SUM(AN1:AN48)</f>
        <v>1128</v>
      </c>
      <c r="AO50" s="5">
        <f>SUM(AO3:AO48)</f>
        <v>1698837</v>
      </c>
      <c r="AP50" s="27"/>
      <c r="AQ50" s="5">
        <f>SUM(AQ3:AQ48)</f>
        <v>1727865</v>
      </c>
      <c r="AR50" s="27">
        <f>SUM(AM50:AO50)</f>
        <v>1727865</v>
      </c>
      <c r="AS50" s="97">
        <f>+AQ50-AR50</f>
        <v>0</v>
      </c>
      <c r="BC50" s="3">
        <f>SUM(BC4:BC49)</f>
        <v>0</v>
      </c>
      <c r="BD50" s="5">
        <f>+BC50-AI50</f>
        <v>-1978298.8</v>
      </c>
    </row>
    <row r="51" spans="3:56" ht="17.399999999999999" customHeight="1" x14ac:dyDescent="0.3">
      <c r="E51" s="6">
        <f t="shared" ref="E51:Z51" si="19">SUM(E4:E49)</f>
        <v>70560</v>
      </c>
      <c r="F51" s="6">
        <f t="shared" si="19"/>
        <v>96575</v>
      </c>
      <c r="G51" s="6">
        <f t="shared" si="19"/>
        <v>28570</v>
      </c>
      <c r="H51" s="6">
        <f t="shared" si="19"/>
        <v>9300</v>
      </c>
      <c r="I51" s="6">
        <f t="shared" si="19"/>
        <v>0</v>
      </c>
      <c r="J51" s="6">
        <f t="shared" si="19"/>
        <v>0</v>
      </c>
      <c r="K51" s="6">
        <f t="shared" si="19"/>
        <v>96685</v>
      </c>
      <c r="L51" s="6">
        <f t="shared" si="19"/>
        <v>69550</v>
      </c>
      <c r="M51" s="6">
        <f t="shared" si="19"/>
        <v>96560</v>
      </c>
      <c r="N51" s="6">
        <f t="shared" si="19"/>
        <v>91275</v>
      </c>
      <c r="O51" s="6">
        <f t="shared" si="19"/>
        <v>36980</v>
      </c>
      <c r="P51" s="6">
        <f t="shared" si="19"/>
        <v>73730</v>
      </c>
      <c r="Q51" s="6">
        <f t="shared" si="19"/>
        <v>92015</v>
      </c>
      <c r="R51" s="6">
        <f t="shared" si="19"/>
        <v>64135</v>
      </c>
      <c r="S51" s="6">
        <f t="shared" si="19"/>
        <v>28060</v>
      </c>
      <c r="T51" s="6">
        <f t="shared" si="19"/>
        <v>89300</v>
      </c>
      <c r="U51" s="6">
        <f t="shared" si="19"/>
        <v>7065</v>
      </c>
      <c r="V51" s="6">
        <f t="shared" si="19"/>
        <v>94210</v>
      </c>
      <c r="W51" s="6">
        <f t="shared" si="19"/>
        <v>134940</v>
      </c>
      <c r="X51" s="6">
        <f t="shared" si="19"/>
        <v>54850</v>
      </c>
      <c r="Y51" s="6">
        <f t="shared" si="19"/>
        <v>91886</v>
      </c>
      <c r="Z51" s="6">
        <f t="shared" si="19"/>
        <v>84895</v>
      </c>
      <c r="AJ51" s="27"/>
      <c r="AL51" s="5"/>
    </row>
    <row r="52" spans="3:56" x14ac:dyDescent="0.3">
      <c r="D52" s="74"/>
      <c r="AL52" s="5"/>
      <c r="AN52" s="5"/>
      <c r="AO52" s="5">
        <f>+AH50-AN52</f>
        <v>1727865</v>
      </c>
    </row>
    <row r="53" spans="3:56" x14ac:dyDescent="0.3">
      <c r="D53" s="5"/>
      <c r="E53" s="5">
        <f>+E50+F50</f>
        <v>167135</v>
      </c>
      <c r="AF53" s="100" t="s">
        <v>96</v>
      </c>
      <c r="AG53" s="101"/>
      <c r="AH53" s="101"/>
      <c r="AI53" s="62">
        <f>ROUND(+AI50/1000,0)</f>
        <v>1978</v>
      </c>
      <c r="AL53" s="5" t="s">
        <v>71</v>
      </c>
      <c r="AO53" s="3" t="s">
        <v>78</v>
      </c>
      <c r="AP53" s="8" t="s">
        <v>79</v>
      </c>
      <c r="AQ53" s="96">
        <v>642.57680000000005</v>
      </c>
    </row>
    <row r="54" spans="3:56" x14ac:dyDescent="0.3">
      <c r="AF54" s="3" t="s">
        <v>70</v>
      </c>
      <c r="AG54" s="61"/>
      <c r="AH54" s="61"/>
      <c r="AI54" s="63">
        <f>+AG55+AG56</f>
        <v>324</v>
      </c>
      <c r="AL54" s="5" t="s">
        <v>72</v>
      </c>
      <c r="AM54" s="3">
        <f>+AO50/1000</f>
        <v>1698.837</v>
      </c>
      <c r="AO54" s="3">
        <v>0</v>
      </c>
      <c r="AP54" s="8">
        <v>0</v>
      </c>
      <c r="AQ54" s="96">
        <v>49</v>
      </c>
    </row>
    <row r="55" spans="3:56" x14ac:dyDescent="0.3">
      <c r="E55" s="3">
        <v>115</v>
      </c>
      <c r="AF55" s="61">
        <v>46113</v>
      </c>
      <c r="AG55" s="5">
        <f>27*12</f>
        <v>324</v>
      </c>
      <c r="AH55" s="61"/>
      <c r="AI55" s="63">
        <v>0</v>
      </c>
      <c r="AL55" s="3" t="s">
        <v>73</v>
      </c>
      <c r="AM55" s="3">
        <f>+AM50/1000</f>
        <v>27.9</v>
      </c>
      <c r="AQ55" s="96">
        <v>0</v>
      </c>
    </row>
    <row r="56" spans="3:56" x14ac:dyDescent="0.3">
      <c r="E56" s="3">
        <v>167</v>
      </c>
      <c r="AF56" s="61"/>
      <c r="AG56" s="5"/>
      <c r="AH56" s="61"/>
      <c r="AI56" s="63">
        <v>0</v>
      </c>
      <c r="AL56" s="3" t="s">
        <v>74</v>
      </c>
      <c r="AM56" s="3">
        <f>+AN50/1000</f>
        <v>1.1279999999999999</v>
      </c>
      <c r="AQ56" s="96">
        <v>0</v>
      </c>
    </row>
    <row r="57" spans="3:56" x14ac:dyDescent="0.3">
      <c r="E57" s="3">
        <f>+E56-E55</f>
        <v>52</v>
      </c>
      <c r="AF57" s="100" t="s">
        <v>67</v>
      </c>
      <c r="AG57" s="101"/>
      <c r="AH57" s="101"/>
      <c r="AI57" s="64">
        <f>+AI53-AI54-AI55-AI56</f>
        <v>1654</v>
      </c>
      <c r="AL57" s="63"/>
      <c r="AM57" s="3">
        <f>SUM(AM54:AM56)</f>
        <v>1727.865</v>
      </c>
      <c r="AQ57" s="96">
        <v>593.57680000000005</v>
      </c>
    </row>
    <row r="58" spans="3:56" x14ac:dyDescent="0.3">
      <c r="AL58" s="63"/>
      <c r="AM58" s="63"/>
    </row>
    <row r="59" spans="3:56" x14ac:dyDescent="0.3">
      <c r="AM59" s="63"/>
    </row>
    <row r="60" spans="3:56" x14ac:dyDescent="0.3">
      <c r="AG60" s="5"/>
    </row>
    <row r="61" spans="3:56" x14ac:dyDescent="0.3">
      <c r="AG61" s="5"/>
      <c r="AI61" s="63"/>
    </row>
    <row r="63" spans="3:56" x14ac:dyDescent="0.3">
      <c r="AI63" s="63"/>
    </row>
  </sheetData>
  <mergeCells count="7">
    <mergeCell ref="AL1:AL2"/>
    <mergeCell ref="AF53:AH53"/>
    <mergeCell ref="AF57:AH57"/>
    <mergeCell ref="A1:A2"/>
    <mergeCell ref="C1:C2"/>
    <mergeCell ref="D1:AD1"/>
    <mergeCell ref="AF1:AI1"/>
  </mergeCells>
  <pageMargins left="0.31496062992125984" right="0.70866141732283472" top="0.15748031496062992" bottom="0.15748031496062992" header="0" footer="0.31496062992125984"/>
  <pageSetup paperSize="32004" scale="26" orientation="landscape" horizontalDpi="203" verticalDpi="20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026D-48D5-4203-9DA7-57E844661C99}">
  <sheetPr>
    <pageSetUpPr fitToPage="1"/>
  </sheetPr>
  <dimension ref="A1:BJ59"/>
  <sheetViews>
    <sheetView zoomScale="91" zoomScaleNormal="91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AE2" sqref="AE1:AH1048576"/>
    </sheetView>
  </sheetViews>
  <sheetFormatPr baseColWidth="10" defaultRowHeight="14.4" x14ac:dyDescent="0.3"/>
  <cols>
    <col min="1" max="1" width="5.5546875" style="3" customWidth="1"/>
    <col min="2" max="2" width="10.109375" style="3" customWidth="1"/>
    <col min="3" max="3" width="39.109375" style="3" bestFit="1" customWidth="1"/>
    <col min="4" max="4" width="13.88671875" style="3" bestFit="1" customWidth="1"/>
    <col min="5" max="5" width="12.109375" style="3" customWidth="1"/>
    <col min="6" max="30" width="12" style="3" customWidth="1"/>
    <col min="31" max="31" width="12.21875" style="3" customWidth="1"/>
    <col min="32" max="32" width="1.109375" style="3" customWidth="1"/>
    <col min="33" max="34" width="11.6640625" style="3" customWidth="1"/>
    <col min="35" max="35" width="11.88671875" style="3" customWidth="1"/>
    <col min="36" max="36" width="12.6640625" style="3" customWidth="1"/>
    <col min="37" max="37" width="0.88671875" style="8" customWidth="1"/>
    <col min="38" max="38" width="11.5546875" style="3" customWidth="1"/>
    <col min="39" max="39" width="12.77734375" style="3" bestFit="1" customWidth="1"/>
    <col min="40" max="40" width="12.44140625" style="3" bestFit="1" customWidth="1"/>
    <col min="41" max="41" width="11.44140625" style="3" bestFit="1" customWidth="1"/>
    <col min="42" max="42" width="11.77734375" style="3" bestFit="1" customWidth="1"/>
    <col min="43" max="44" width="9.77734375" style="83" customWidth="1"/>
    <col min="45" max="45" width="9.77734375" style="76" customWidth="1"/>
    <col min="47" max="51" width="9.77734375" style="3" customWidth="1"/>
    <col min="52" max="16384" width="11.5546875" style="3"/>
  </cols>
  <sheetData>
    <row r="1" spans="1:62" x14ac:dyDescent="0.3">
      <c r="A1" s="102" t="s">
        <v>1</v>
      </c>
      <c r="B1" s="2" t="s">
        <v>5</v>
      </c>
      <c r="C1" s="102" t="s">
        <v>0</v>
      </c>
      <c r="D1" s="102" t="s">
        <v>86</v>
      </c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G1" s="102" t="s">
        <v>2</v>
      </c>
      <c r="AH1" s="102"/>
      <c r="AI1" s="102"/>
      <c r="AJ1" s="102"/>
      <c r="AK1" s="27"/>
      <c r="AL1" s="16" t="s">
        <v>22</v>
      </c>
      <c r="AM1" s="98" t="s">
        <v>24</v>
      </c>
    </row>
    <row r="2" spans="1:62" x14ac:dyDescent="0.3">
      <c r="A2" s="102"/>
      <c r="B2" s="2" t="s">
        <v>6</v>
      </c>
      <c r="C2" s="102"/>
      <c r="D2" s="4" t="s">
        <v>20</v>
      </c>
      <c r="E2" s="4">
        <v>46056</v>
      </c>
      <c r="F2" s="4">
        <v>46057</v>
      </c>
      <c r="G2" s="4">
        <v>46058</v>
      </c>
      <c r="H2" s="4">
        <v>46087</v>
      </c>
      <c r="I2" s="4">
        <v>46060</v>
      </c>
      <c r="J2" s="4">
        <v>46061</v>
      </c>
      <c r="K2" s="4">
        <v>46062</v>
      </c>
      <c r="L2" s="4">
        <v>46063</v>
      </c>
      <c r="M2" s="4">
        <v>46064</v>
      </c>
      <c r="N2" s="4">
        <v>46065</v>
      </c>
      <c r="O2" s="4">
        <v>46066</v>
      </c>
      <c r="P2" s="4">
        <v>46067</v>
      </c>
      <c r="Q2" s="4">
        <v>46068</v>
      </c>
      <c r="R2" s="4">
        <v>46069</v>
      </c>
      <c r="S2" s="4">
        <v>46070</v>
      </c>
      <c r="T2" s="4">
        <v>46071</v>
      </c>
      <c r="U2" s="4">
        <v>46072</v>
      </c>
      <c r="V2" s="4">
        <v>46073</v>
      </c>
      <c r="W2" s="4">
        <v>46074</v>
      </c>
      <c r="X2" s="4">
        <v>46075</v>
      </c>
      <c r="Y2" s="4">
        <v>46076</v>
      </c>
      <c r="Z2" s="4">
        <v>46077</v>
      </c>
      <c r="AA2" s="4">
        <v>46078</v>
      </c>
      <c r="AB2" s="4">
        <v>46079</v>
      </c>
      <c r="AC2" s="4">
        <v>46080</v>
      </c>
      <c r="AD2" s="4">
        <v>46081</v>
      </c>
      <c r="AE2" s="13"/>
      <c r="AF2" s="34"/>
      <c r="AG2" s="2" t="s">
        <v>21</v>
      </c>
      <c r="AH2" s="2" t="s">
        <v>3</v>
      </c>
      <c r="AI2" s="2" t="s">
        <v>61</v>
      </c>
      <c r="AJ2" s="2" t="s">
        <v>4</v>
      </c>
      <c r="AK2" s="27"/>
      <c r="AL2" s="16" t="s">
        <v>23</v>
      </c>
      <c r="AM2" s="99"/>
      <c r="AN2" s="65" t="s">
        <v>75</v>
      </c>
      <c r="AO2" s="65" t="s">
        <v>76</v>
      </c>
      <c r="AP2" s="65" t="s">
        <v>77</v>
      </c>
    </row>
    <row r="3" spans="1:62" x14ac:dyDescent="0.3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27"/>
      <c r="AG3" s="18">
        <f t="shared" ref="AG3:AG44" si="0">+D3</f>
        <v>180</v>
      </c>
      <c r="AH3" s="18">
        <f t="shared" ref="AH3:AH44" si="1">SUM(E3:AE3)</f>
        <v>0</v>
      </c>
      <c r="AI3" s="19"/>
      <c r="AJ3" s="18">
        <f>+AG3+AH3-AI3</f>
        <v>180</v>
      </c>
      <c r="AK3" s="27">
        <f>+AG3-AJ3</f>
        <v>0</v>
      </c>
      <c r="AL3" s="9">
        <v>0</v>
      </c>
      <c r="AM3" s="9">
        <f>+AJ3-AL3</f>
        <v>180</v>
      </c>
      <c r="AN3" s="60"/>
      <c r="AO3" s="65"/>
      <c r="AP3" s="60"/>
      <c r="AQ3" s="84"/>
      <c r="AR3" s="84"/>
      <c r="AS3" s="77">
        <f t="shared" ref="AS3:AS44" si="2">+AL3-AR3</f>
        <v>0</v>
      </c>
      <c r="BJ3" s="5"/>
    </row>
    <row r="4" spans="1:62" x14ac:dyDescent="0.3">
      <c r="A4" s="17">
        <f>+A3+1</f>
        <v>2</v>
      </c>
      <c r="B4" s="39" t="s">
        <v>29</v>
      </c>
      <c r="C4" s="39" t="s">
        <v>30</v>
      </c>
      <c r="D4" s="53">
        <v>17900</v>
      </c>
      <c r="E4" s="18">
        <v>20</v>
      </c>
      <c r="F4" s="18">
        <v>60</v>
      </c>
      <c r="G4" s="18"/>
      <c r="H4" s="18"/>
      <c r="I4" s="18">
        <f>100+80</f>
        <v>180</v>
      </c>
      <c r="J4" s="18">
        <v>20</v>
      </c>
      <c r="K4" s="18">
        <f>140+60</f>
        <v>200</v>
      </c>
      <c r="L4" s="18">
        <f>220+120</f>
        <v>340</v>
      </c>
      <c r="M4" s="18">
        <v>360</v>
      </c>
      <c r="N4" s="18">
        <v>220</v>
      </c>
      <c r="O4" s="18">
        <v>60</v>
      </c>
      <c r="P4" s="18">
        <v>140</v>
      </c>
      <c r="Q4" s="18"/>
      <c r="R4" s="18">
        <f>580+60</f>
        <v>640</v>
      </c>
      <c r="S4" s="18">
        <f>360+140</f>
        <v>500</v>
      </c>
      <c r="T4" s="18">
        <f>300+280</f>
        <v>580</v>
      </c>
      <c r="U4" s="18">
        <f>120+300</f>
        <v>420</v>
      </c>
      <c r="V4" s="18">
        <v>440</v>
      </c>
      <c r="W4" s="18">
        <f>20+60</f>
        <v>80</v>
      </c>
      <c r="X4" s="18">
        <v>360</v>
      </c>
      <c r="Y4" s="18">
        <f>140+340</f>
        <v>480</v>
      </c>
      <c r="Z4" s="18">
        <f>660+420</f>
        <v>1080</v>
      </c>
      <c r="AA4" s="18"/>
      <c r="AB4" s="18"/>
      <c r="AC4" s="18"/>
      <c r="AD4" s="18">
        <f>25720-24080</f>
        <v>1640</v>
      </c>
      <c r="AE4" s="18"/>
      <c r="AF4" s="27"/>
      <c r="AG4" s="18">
        <f t="shared" si="0"/>
        <v>17900</v>
      </c>
      <c r="AH4" s="18">
        <f t="shared" si="1"/>
        <v>7820</v>
      </c>
      <c r="AI4" s="19"/>
      <c r="AJ4" s="18">
        <f t="shared" ref="AJ4:AJ43" si="3">+AG4+AH4-AI4</f>
        <v>25720</v>
      </c>
      <c r="AK4" s="27"/>
      <c r="AL4" s="9">
        <v>0</v>
      </c>
      <c r="AM4" s="9">
        <f t="shared" ref="AM4:AM44" si="4">+AJ4-AL4</f>
        <v>25720</v>
      </c>
      <c r="AN4" s="26"/>
      <c r="AO4" s="37"/>
      <c r="AP4" s="26"/>
      <c r="AQ4" s="84"/>
      <c r="AR4" s="84"/>
      <c r="AS4" s="77">
        <f t="shared" si="2"/>
        <v>0</v>
      </c>
      <c r="BG4" s="15"/>
    </row>
    <row r="5" spans="1:62" x14ac:dyDescent="0.3">
      <c r="A5" s="17">
        <f t="shared" ref="A5:A32" si="5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27"/>
      <c r="AG5" s="18">
        <f t="shared" si="0"/>
        <v>660</v>
      </c>
      <c r="AH5" s="18">
        <f t="shared" si="1"/>
        <v>0</v>
      </c>
      <c r="AI5" s="19"/>
      <c r="AJ5" s="18">
        <f t="shared" ref="AJ5:AJ11" si="6">+AG5+AH5-AI5</f>
        <v>660</v>
      </c>
      <c r="AK5" s="27"/>
      <c r="AL5" s="9">
        <v>0</v>
      </c>
      <c r="AM5" s="9">
        <f t="shared" si="4"/>
        <v>660</v>
      </c>
      <c r="AN5" s="26"/>
      <c r="AO5" s="37"/>
      <c r="AP5" s="26"/>
      <c r="AQ5" s="84"/>
      <c r="AR5" s="84"/>
      <c r="AS5" s="77">
        <f t="shared" si="2"/>
        <v>0</v>
      </c>
    </row>
    <row r="6" spans="1:62" x14ac:dyDescent="0.3">
      <c r="A6" s="17">
        <f t="shared" si="5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27"/>
      <c r="AG6" s="18">
        <f t="shared" si="0"/>
        <v>680</v>
      </c>
      <c r="AH6" s="18">
        <f t="shared" si="1"/>
        <v>0</v>
      </c>
      <c r="AI6" s="19"/>
      <c r="AJ6" s="18">
        <f t="shared" si="6"/>
        <v>680</v>
      </c>
      <c r="AK6" s="27"/>
      <c r="AL6" s="9">
        <v>0</v>
      </c>
      <c r="AM6" s="9">
        <f t="shared" si="4"/>
        <v>680</v>
      </c>
      <c r="AN6" s="26"/>
      <c r="AO6" s="37"/>
      <c r="AP6" s="26"/>
      <c r="AQ6" s="84"/>
      <c r="AR6" s="84"/>
      <c r="AS6" s="77">
        <f t="shared" si="2"/>
        <v>0</v>
      </c>
    </row>
    <row r="7" spans="1:62" x14ac:dyDescent="0.3">
      <c r="A7" s="17">
        <f t="shared" si="5"/>
        <v>5</v>
      </c>
      <c r="B7" s="39" t="s">
        <v>34</v>
      </c>
      <c r="C7" s="39" t="s">
        <v>35</v>
      </c>
      <c r="D7" s="53">
        <v>338560</v>
      </c>
      <c r="E7" s="18"/>
      <c r="F7" s="18"/>
      <c r="G7" s="18">
        <f>10440+420</f>
        <v>10860</v>
      </c>
      <c r="H7" s="18">
        <v>5480</v>
      </c>
      <c r="I7" s="18">
        <f>16300+1620</f>
        <v>17920</v>
      </c>
      <c r="J7" s="18">
        <f>19280</f>
        <v>19280</v>
      </c>
      <c r="K7" s="18">
        <f>22340+3580</f>
        <v>25920</v>
      </c>
      <c r="L7" s="18">
        <f>25440+4080</f>
        <v>29520</v>
      </c>
      <c r="M7" s="18">
        <v>16000</v>
      </c>
      <c r="N7" s="18">
        <v>8040</v>
      </c>
      <c r="O7" s="18">
        <v>1120</v>
      </c>
      <c r="P7" s="18">
        <v>1620</v>
      </c>
      <c r="Q7" s="9">
        <v>12420</v>
      </c>
      <c r="R7" s="18">
        <f>19600+5300</f>
        <v>24900</v>
      </c>
      <c r="S7" s="18">
        <f>15340+5140</f>
        <v>20480</v>
      </c>
      <c r="T7" s="18">
        <f>40220+11420</f>
        <v>51640</v>
      </c>
      <c r="U7" s="18">
        <f>18600+4180</f>
        <v>22780</v>
      </c>
      <c r="V7" s="18">
        <f>9100+9980</f>
        <v>19080</v>
      </c>
      <c r="W7" s="18">
        <v>5040</v>
      </c>
      <c r="X7" s="9">
        <v>17420</v>
      </c>
      <c r="Y7" s="18">
        <v>9240</v>
      </c>
      <c r="Z7" s="18">
        <f>39020+9640</f>
        <v>48660</v>
      </c>
      <c r="AA7" s="18"/>
      <c r="AB7" s="18"/>
      <c r="AC7" s="18"/>
      <c r="AD7" s="18">
        <f>(252000-246040)+116800</f>
        <v>122760</v>
      </c>
      <c r="AE7" s="18"/>
      <c r="AF7" s="27"/>
      <c r="AG7" s="18">
        <f t="shared" si="0"/>
        <v>338560</v>
      </c>
      <c r="AH7" s="18">
        <f t="shared" si="1"/>
        <v>490180</v>
      </c>
      <c r="AI7" s="19">
        <f>200+108000+108000+46800+81000+115500+80+140+140+80</f>
        <v>459940</v>
      </c>
      <c r="AJ7" s="18">
        <f t="shared" si="6"/>
        <v>368800</v>
      </c>
      <c r="AK7" s="27"/>
      <c r="AL7" s="9">
        <v>0</v>
      </c>
      <c r="AM7" s="9">
        <f t="shared" si="4"/>
        <v>368800</v>
      </c>
      <c r="AN7" s="26"/>
      <c r="AO7" s="26">
        <f>200+80+140+140+80</f>
        <v>640</v>
      </c>
      <c r="AP7" s="26">
        <f>108000+108000+46800+81000+115500</f>
        <v>459300</v>
      </c>
      <c r="AQ7" s="84"/>
      <c r="AR7" s="84"/>
      <c r="AS7" s="77">
        <f t="shared" si="2"/>
        <v>0</v>
      </c>
    </row>
    <row r="8" spans="1:62" x14ac:dyDescent="0.3">
      <c r="A8" s="17">
        <f t="shared" si="5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27"/>
      <c r="AG8" s="18">
        <f t="shared" si="0"/>
        <v>120</v>
      </c>
      <c r="AH8" s="18">
        <f t="shared" si="1"/>
        <v>0</v>
      </c>
      <c r="AI8" s="19"/>
      <c r="AJ8" s="18">
        <f t="shared" si="6"/>
        <v>120</v>
      </c>
      <c r="AK8" s="27"/>
      <c r="AL8" s="9">
        <v>0</v>
      </c>
      <c r="AM8" s="9">
        <f t="shared" si="4"/>
        <v>120</v>
      </c>
      <c r="AN8" s="26"/>
      <c r="AO8" s="37"/>
      <c r="AP8" s="26"/>
      <c r="AQ8" s="84"/>
      <c r="AR8" s="84"/>
      <c r="AS8" s="77">
        <f t="shared" si="2"/>
        <v>0</v>
      </c>
    </row>
    <row r="9" spans="1:62" x14ac:dyDescent="0.3">
      <c r="A9" s="17">
        <f t="shared" si="5"/>
        <v>7</v>
      </c>
      <c r="B9" s="39"/>
      <c r="C9" s="39" t="s">
        <v>90</v>
      </c>
      <c r="D9" s="53">
        <v>16650</v>
      </c>
      <c r="E9" s="18">
        <v>2124</v>
      </c>
      <c r="F9" s="18">
        <v>8352</v>
      </c>
      <c r="G9" s="18">
        <f>3960+1854</f>
        <v>5814</v>
      </c>
      <c r="H9" s="18">
        <f>4410+2682</f>
        <v>7092</v>
      </c>
      <c r="I9" s="18">
        <f>3294+10818</f>
        <v>14112</v>
      </c>
      <c r="J9" s="18">
        <v>3024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27"/>
      <c r="AG9" s="18">
        <f t="shared" si="0"/>
        <v>16650</v>
      </c>
      <c r="AH9" s="18">
        <f t="shared" si="1"/>
        <v>40518</v>
      </c>
      <c r="AI9" s="19"/>
      <c r="AJ9" s="18">
        <f t="shared" si="6"/>
        <v>57168</v>
      </c>
      <c r="AK9" s="27"/>
      <c r="AL9" s="9">
        <v>0</v>
      </c>
      <c r="AM9" s="9">
        <f t="shared" si="4"/>
        <v>57168</v>
      </c>
      <c r="AN9" s="26"/>
      <c r="AO9" s="37"/>
      <c r="AP9" s="26"/>
      <c r="AQ9" s="84"/>
      <c r="AR9" s="84"/>
      <c r="AS9" s="77"/>
    </row>
    <row r="10" spans="1:62" x14ac:dyDescent="0.3">
      <c r="A10" s="17"/>
      <c r="B10" s="39"/>
      <c r="C10" s="39" t="s">
        <v>88</v>
      </c>
      <c r="D10" s="53">
        <v>0</v>
      </c>
      <c r="E10" s="18"/>
      <c r="F10" s="18"/>
      <c r="G10" s="18">
        <v>360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27"/>
      <c r="AG10" s="18">
        <f t="shared" si="0"/>
        <v>0</v>
      </c>
      <c r="AH10" s="18">
        <f t="shared" ref="AH10" si="7">SUM(E10:AE10)</f>
        <v>360</v>
      </c>
      <c r="AI10" s="19"/>
      <c r="AJ10" s="18">
        <f t="shared" ref="AJ10" si="8">+AG10+AH10-AI10</f>
        <v>360</v>
      </c>
      <c r="AK10" s="27"/>
      <c r="AL10" s="9">
        <v>0</v>
      </c>
      <c r="AM10" s="9">
        <f t="shared" si="4"/>
        <v>360</v>
      </c>
      <c r="AN10" s="26"/>
      <c r="AO10" s="37"/>
      <c r="AP10" s="26"/>
      <c r="AQ10" s="84"/>
      <c r="AR10" s="84"/>
      <c r="AS10" s="77"/>
    </row>
    <row r="11" spans="1:62" x14ac:dyDescent="0.3">
      <c r="A11" s="17"/>
      <c r="B11" s="39"/>
      <c r="C11" s="39" t="s">
        <v>91</v>
      </c>
      <c r="D11" s="53">
        <v>1854</v>
      </c>
      <c r="E11" s="18"/>
      <c r="F11" s="18">
        <v>540</v>
      </c>
      <c r="G11" s="18">
        <f>378+234</f>
        <v>612</v>
      </c>
      <c r="H11" s="18">
        <f>558+54</f>
        <v>612</v>
      </c>
      <c r="I11" s="18">
        <v>342</v>
      </c>
      <c r="J11" s="18">
        <v>468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27"/>
      <c r="AG11" s="18">
        <f t="shared" si="0"/>
        <v>1854</v>
      </c>
      <c r="AH11" s="18">
        <f t="shared" si="1"/>
        <v>2574</v>
      </c>
      <c r="AI11" s="19"/>
      <c r="AJ11" s="18">
        <f t="shared" si="6"/>
        <v>4428</v>
      </c>
      <c r="AK11" s="27"/>
      <c r="AL11" s="9">
        <v>0</v>
      </c>
      <c r="AM11" s="9">
        <f t="shared" si="4"/>
        <v>4428</v>
      </c>
      <c r="AN11" s="26"/>
      <c r="AO11" s="37"/>
      <c r="AP11" s="26"/>
      <c r="AQ11" s="84"/>
      <c r="AR11" s="84"/>
      <c r="AS11" s="77"/>
    </row>
    <row r="12" spans="1:62" s="8" customFormat="1" x14ac:dyDescent="0.25">
      <c r="A12" s="37">
        <v>8</v>
      </c>
      <c r="B12" s="40" t="s">
        <v>40</v>
      </c>
      <c r="C12" s="40" t="s">
        <v>41</v>
      </c>
      <c r="D12" s="54">
        <v>12340</v>
      </c>
      <c r="E12" s="26">
        <f>100+240</f>
        <v>340</v>
      </c>
      <c r="F12" s="26">
        <v>400</v>
      </c>
      <c r="G12" s="26">
        <f>100+400</f>
        <v>500</v>
      </c>
      <c r="H12" s="26">
        <v>800</v>
      </c>
      <c r="I12" s="26"/>
      <c r="J12" s="26">
        <v>680</v>
      </c>
      <c r="K12" s="26">
        <v>360</v>
      </c>
      <c r="L12" s="26">
        <f>300+440</f>
        <v>740</v>
      </c>
      <c r="M12" s="26">
        <f>60+80</f>
        <v>140</v>
      </c>
      <c r="N12" s="26">
        <v>0</v>
      </c>
      <c r="O12" s="26">
        <v>720</v>
      </c>
      <c r="P12" s="26"/>
      <c r="Q12" s="26">
        <v>560</v>
      </c>
      <c r="R12" s="26">
        <v>680</v>
      </c>
      <c r="S12" s="26">
        <v>540</v>
      </c>
      <c r="T12" s="26">
        <v>300</v>
      </c>
      <c r="U12" s="26">
        <f>160+260</f>
        <v>420</v>
      </c>
      <c r="V12" s="26">
        <v>380</v>
      </c>
      <c r="W12" s="26">
        <v>460</v>
      </c>
      <c r="X12" s="26">
        <v>180</v>
      </c>
      <c r="Y12" s="26">
        <v>620</v>
      </c>
      <c r="Z12" s="26">
        <v>400</v>
      </c>
      <c r="AA12" s="26"/>
      <c r="AB12" s="26"/>
      <c r="AC12" s="26"/>
      <c r="AD12" s="26">
        <f>22840-21560</f>
        <v>1280</v>
      </c>
      <c r="AE12" s="26"/>
      <c r="AF12" s="27"/>
      <c r="AG12" s="26">
        <f t="shared" si="0"/>
        <v>12340</v>
      </c>
      <c r="AH12" s="26">
        <f t="shared" si="1"/>
        <v>10500</v>
      </c>
      <c r="AI12" s="38"/>
      <c r="AJ12" s="26">
        <f t="shared" si="3"/>
        <v>22840</v>
      </c>
      <c r="AK12" s="27"/>
      <c r="AL12" s="9">
        <v>0</v>
      </c>
      <c r="AM12" s="9">
        <f t="shared" si="4"/>
        <v>22840</v>
      </c>
      <c r="AN12" s="26"/>
      <c r="AO12" s="37"/>
      <c r="AP12" s="26"/>
      <c r="AQ12" s="84"/>
      <c r="AR12" s="84"/>
      <c r="AS12" s="77">
        <f t="shared" si="2"/>
        <v>0</v>
      </c>
    </row>
    <row r="13" spans="1:62" s="8" customFormat="1" x14ac:dyDescent="0.25">
      <c r="A13" s="37">
        <f>+A12+1</f>
        <v>9</v>
      </c>
      <c r="B13" s="40">
        <v>10007969</v>
      </c>
      <c r="C13" s="40" t="s">
        <v>59</v>
      </c>
      <c r="D13" s="54">
        <v>40960</v>
      </c>
      <c r="E13" s="26">
        <f>440+460</f>
        <v>900</v>
      </c>
      <c r="F13" s="26">
        <f>540+1640</f>
        <v>2180</v>
      </c>
      <c r="G13" s="26">
        <f>340+1880</f>
        <v>2220</v>
      </c>
      <c r="H13" s="26">
        <v>3920</v>
      </c>
      <c r="I13" s="26">
        <v>1400</v>
      </c>
      <c r="J13" s="26">
        <v>1940</v>
      </c>
      <c r="K13" s="26">
        <v>3620</v>
      </c>
      <c r="L13" s="26">
        <f>800+2720</f>
        <v>3520</v>
      </c>
      <c r="M13" s="26">
        <f>140+1640</f>
        <v>1780</v>
      </c>
      <c r="N13" s="26">
        <v>940</v>
      </c>
      <c r="O13" s="26">
        <v>4240</v>
      </c>
      <c r="P13" s="26">
        <v>2900</v>
      </c>
      <c r="Q13" s="26"/>
      <c r="R13" s="26">
        <v>3760</v>
      </c>
      <c r="S13" s="26">
        <v>2640</v>
      </c>
      <c r="T13" s="26">
        <f>240+1240</f>
        <v>1480</v>
      </c>
      <c r="U13" s="26">
        <f>1360+720</f>
        <v>2080</v>
      </c>
      <c r="V13" s="26">
        <v>1860</v>
      </c>
      <c r="W13" s="26">
        <v>3020</v>
      </c>
      <c r="X13" s="26"/>
      <c r="Y13" s="26">
        <v>2940</v>
      </c>
      <c r="Z13" s="26">
        <v>1780</v>
      </c>
      <c r="AA13" s="26"/>
      <c r="AB13" s="26"/>
      <c r="AC13" s="26"/>
      <c r="AD13" s="26">
        <f>60620-56940</f>
        <v>3680</v>
      </c>
      <c r="AE13" s="26"/>
      <c r="AF13" s="27"/>
      <c r="AG13" s="26">
        <f t="shared" si="0"/>
        <v>40960</v>
      </c>
      <c r="AH13" s="26">
        <f t="shared" si="1"/>
        <v>52800</v>
      </c>
      <c r="AI13" s="38">
        <f>9140+24000</f>
        <v>33140</v>
      </c>
      <c r="AJ13" s="26">
        <f t="shared" si="3"/>
        <v>60620</v>
      </c>
      <c r="AK13" s="27"/>
      <c r="AL13" s="9">
        <v>0</v>
      </c>
      <c r="AM13" s="9">
        <f t="shared" si="4"/>
        <v>60620</v>
      </c>
      <c r="AN13" s="26"/>
      <c r="AO13" s="37"/>
      <c r="AP13" s="26">
        <f>9140+24000</f>
        <v>33140</v>
      </c>
      <c r="AQ13" s="84"/>
      <c r="AR13" s="84"/>
      <c r="AS13" s="77">
        <f t="shared" si="2"/>
        <v>0</v>
      </c>
    </row>
    <row r="14" spans="1:62" x14ac:dyDescent="0.3">
      <c r="A14" s="7">
        <f>+A13+1</f>
        <v>10</v>
      </c>
      <c r="B14" s="20" t="s">
        <v>8</v>
      </c>
      <c r="C14" s="20" t="s">
        <v>9</v>
      </c>
      <c r="D14" s="55">
        <v>300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7"/>
      <c r="AG14" s="21">
        <f t="shared" si="0"/>
        <v>300</v>
      </c>
      <c r="AH14" s="21">
        <f t="shared" si="1"/>
        <v>0</v>
      </c>
      <c r="AI14" s="22"/>
      <c r="AJ14" s="21">
        <f t="shared" si="3"/>
        <v>300</v>
      </c>
      <c r="AK14" s="27"/>
      <c r="AL14" s="9">
        <v>0</v>
      </c>
      <c r="AM14" s="9">
        <f t="shared" si="4"/>
        <v>300</v>
      </c>
      <c r="AN14" s="26"/>
      <c r="AO14" s="37"/>
      <c r="AP14" s="26"/>
      <c r="AQ14" s="84"/>
      <c r="AR14" s="84"/>
      <c r="AS14" s="77">
        <f t="shared" si="2"/>
        <v>0</v>
      </c>
    </row>
    <row r="15" spans="1:62" x14ac:dyDescent="0.3">
      <c r="A15" s="7">
        <f t="shared" ref="A15:A17" si="9">+A14+1</f>
        <v>11</v>
      </c>
      <c r="B15" s="20" t="s">
        <v>10</v>
      </c>
      <c r="C15" s="20" t="s">
        <v>11</v>
      </c>
      <c r="D15" s="55">
        <v>1120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7"/>
      <c r="AG15" s="21">
        <f t="shared" si="0"/>
        <v>1120</v>
      </c>
      <c r="AH15" s="21">
        <f t="shared" si="1"/>
        <v>0</v>
      </c>
      <c r="AI15" s="22"/>
      <c r="AJ15" s="21">
        <f t="shared" si="3"/>
        <v>1120</v>
      </c>
      <c r="AK15" s="27"/>
      <c r="AL15" s="9">
        <v>0</v>
      </c>
      <c r="AM15" s="9">
        <f t="shared" si="4"/>
        <v>1120</v>
      </c>
      <c r="AN15" s="26"/>
      <c r="AO15" s="37"/>
      <c r="AP15" s="26"/>
      <c r="AQ15" s="84"/>
      <c r="AR15" s="84"/>
      <c r="AS15" s="77">
        <f t="shared" si="2"/>
        <v>0</v>
      </c>
    </row>
    <row r="16" spans="1:62" x14ac:dyDescent="0.3">
      <c r="A16" s="7">
        <f t="shared" si="9"/>
        <v>12</v>
      </c>
      <c r="B16" s="20" t="s">
        <v>57</v>
      </c>
      <c r="C16" s="20" t="s">
        <v>58</v>
      </c>
      <c r="D16" s="55">
        <v>472180</v>
      </c>
      <c r="E16" s="21">
        <v>10720</v>
      </c>
      <c r="F16" s="21">
        <f>7580+1500</f>
        <v>9080</v>
      </c>
      <c r="G16" s="21">
        <f>240+500</f>
        <v>740</v>
      </c>
      <c r="H16" s="21">
        <f>11320+9040</f>
        <v>20360</v>
      </c>
      <c r="I16" s="21">
        <f>42520+1260</f>
        <v>43780</v>
      </c>
      <c r="J16" s="21">
        <v>65880</v>
      </c>
      <c r="K16" s="21">
        <f>20380+14860</f>
        <v>35240</v>
      </c>
      <c r="L16" s="21">
        <v>2460</v>
      </c>
      <c r="M16" s="21">
        <v>6020</v>
      </c>
      <c r="N16" s="21">
        <v>480</v>
      </c>
      <c r="O16" s="21">
        <v>160</v>
      </c>
      <c r="P16" s="21">
        <v>8520</v>
      </c>
      <c r="Q16" s="21">
        <v>8800</v>
      </c>
      <c r="R16" s="21">
        <f>19420+7380</f>
        <v>26800</v>
      </c>
      <c r="S16" s="21">
        <f>36620+7180</f>
        <v>43800</v>
      </c>
      <c r="T16" s="21">
        <v>0</v>
      </c>
      <c r="U16" s="21"/>
      <c r="V16" s="21">
        <f>7820+8420</f>
        <v>16240</v>
      </c>
      <c r="W16" s="21">
        <f>38380+15400</f>
        <v>53780</v>
      </c>
      <c r="X16" s="21">
        <v>19800</v>
      </c>
      <c r="Y16" s="21">
        <f>32020+27080</f>
        <v>59100</v>
      </c>
      <c r="Z16" s="21">
        <f>14340+7040</f>
        <v>21380</v>
      </c>
      <c r="AA16" s="21"/>
      <c r="AB16" s="21"/>
      <c r="AC16" s="21"/>
      <c r="AD16" s="21">
        <f>331000-226980</f>
        <v>104020</v>
      </c>
      <c r="AE16" s="21"/>
      <c r="AF16" s="27"/>
      <c r="AG16" s="21">
        <f t="shared" si="0"/>
        <v>472180</v>
      </c>
      <c r="AH16" s="21">
        <f t="shared" si="1"/>
        <v>557160</v>
      </c>
      <c r="AI16" s="22">
        <f>135000+54000+135000+108000+108000+135000+23300+40</f>
        <v>698340</v>
      </c>
      <c r="AJ16" s="21">
        <f t="shared" si="3"/>
        <v>331000</v>
      </c>
      <c r="AK16" s="27"/>
      <c r="AL16" s="9">
        <v>0</v>
      </c>
      <c r="AM16" s="9">
        <f t="shared" si="4"/>
        <v>331000</v>
      </c>
      <c r="AN16" s="26"/>
      <c r="AO16" s="37">
        <v>40</v>
      </c>
      <c r="AP16" s="26">
        <f>135000+54000+135000+108000+108000+135000+23300</f>
        <v>698300</v>
      </c>
      <c r="AQ16" s="84"/>
      <c r="AR16" s="84"/>
      <c r="AS16" s="77">
        <f t="shared" si="2"/>
        <v>0</v>
      </c>
      <c r="BH16" s="15"/>
    </row>
    <row r="17" spans="1:61" x14ac:dyDescent="0.3">
      <c r="A17" s="7">
        <f t="shared" si="9"/>
        <v>13</v>
      </c>
      <c r="B17" s="20" t="s">
        <v>55</v>
      </c>
      <c r="C17" s="20" t="s">
        <v>56</v>
      </c>
      <c r="D17" s="55">
        <v>65040</v>
      </c>
      <c r="E17" s="21">
        <f>1120+540</f>
        <v>1660</v>
      </c>
      <c r="F17" s="21">
        <f>2440+10600</f>
        <v>13040</v>
      </c>
      <c r="G17" s="21">
        <f>8800+7820</f>
        <v>16620</v>
      </c>
      <c r="H17" s="21">
        <f>4720+10620</f>
        <v>15340</v>
      </c>
      <c r="I17" s="21">
        <f>7180+14960</f>
        <v>22140</v>
      </c>
      <c r="J17" s="21"/>
      <c r="K17" s="21">
        <v>4140</v>
      </c>
      <c r="L17" s="21">
        <f>2000+3140</f>
        <v>5140</v>
      </c>
      <c r="M17" s="21">
        <v>8540</v>
      </c>
      <c r="N17" s="21">
        <v>8560</v>
      </c>
      <c r="O17" s="21">
        <v>2960</v>
      </c>
      <c r="P17" s="21">
        <v>2420</v>
      </c>
      <c r="Q17" s="21">
        <v>3760</v>
      </c>
      <c r="R17" s="21">
        <v>7480</v>
      </c>
      <c r="S17" s="21">
        <f>240+6660</f>
        <v>6900</v>
      </c>
      <c r="T17" s="21">
        <f>2640+1060</f>
        <v>3700</v>
      </c>
      <c r="U17" s="21">
        <f>2220+4520</f>
        <v>6740</v>
      </c>
      <c r="V17" s="21"/>
      <c r="W17" s="21">
        <v>2840</v>
      </c>
      <c r="X17" s="21">
        <v>4500</v>
      </c>
      <c r="Y17" s="21">
        <f>420+3220</f>
        <v>3640</v>
      </c>
      <c r="Z17" s="21">
        <f>40+1860</f>
        <v>1900</v>
      </c>
      <c r="AA17" s="21"/>
      <c r="AB17" s="21"/>
      <c r="AC17" s="21"/>
      <c r="AD17" s="21">
        <f>83980-72060</f>
        <v>11920</v>
      </c>
      <c r="AE17" s="21"/>
      <c r="AF17" s="27"/>
      <c r="AG17" s="21">
        <f t="shared" si="0"/>
        <v>65040</v>
      </c>
      <c r="AH17" s="21">
        <f t="shared" si="1"/>
        <v>153940</v>
      </c>
      <c r="AI17" s="22">
        <f>54000+81000</f>
        <v>135000</v>
      </c>
      <c r="AJ17" s="21">
        <f>+AG17+AH17-AI17</f>
        <v>83980</v>
      </c>
      <c r="AK17" s="27"/>
      <c r="AL17" s="9">
        <v>0</v>
      </c>
      <c r="AM17" s="9">
        <f t="shared" si="4"/>
        <v>83980</v>
      </c>
      <c r="AN17" s="26"/>
      <c r="AO17" s="37"/>
      <c r="AP17" s="26">
        <f>54000+81000</f>
        <v>135000</v>
      </c>
      <c r="AQ17" s="84"/>
      <c r="AR17" s="84"/>
      <c r="AS17" s="77">
        <f t="shared" si="2"/>
        <v>0</v>
      </c>
      <c r="BG17" s="8"/>
    </row>
    <row r="18" spans="1:61" x14ac:dyDescent="0.3">
      <c r="A18" s="23">
        <f>+A17+1</f>
        <v>14</v>
      </c>
      <c r="B18" s="47" t="s">
        <v>42</v>
      </c>
      <c r="C18" s="32" t="s">
        <v>7</v>
      </c>
      <c r="D18" s="56">
        <v>940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7"/>
      <c r="AG18" s="24">
        <f t="shared" si="0"/>
        <v>940</v>
      </c>
      <c r="AH18" s="24">
        <f t="shared" si="1"/>
        <v>0</v>
      </c>
      <c r="AI18" s="25"/>
      <c r="AJ18" s="24">
        <f t="shared" si="3"/>
        <v>940</v>
      </c>
      <c r="AK18" s="27"/>
      <c r="AL18" s="9">
        <v>0</v>
      </c>
      <c r="AM18" s="9">
        <f t="shared" si="4"/>
        <v>940</v>
      </c>
      <c r="AN18" s="26"/>
      <c r="AO18" s="37"/>
      <c r="AP18" s="26"/>
      <c r="AQ18" s="84"/>
      <c r="AR18" s="84"/>
      <c r="AS18" s="77">
        <f t="shared" si="2"/>
        <v>0</v>
      </c>
    </row>
    <row r="19" spans="1:61" x14ac:dyDescent="0.3">
      <c r="A19" s="23">
        <f t="shared" ref="A19:A23" si="10">+A18+1</f>
        <v>15</v>
      </c>
      <c r="B19" s="47">
        <v>10009271</v>
      </c>
      <c r="C19" s="32" t="s">
        <v>60</v>
      </c>
      <c r="D19" s="56">
        <v>240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7"/>
      <c r="AG19" s="24">
        <f t="shared" si="0"/>
        <v>240</v>
      </c>
      <c r="AH19" s="24">
        <f t="shared" si="1"/>
        <v>0</v>
      </c>
      <c r="AI19" s="25"/>
      <c r="AJ19" s="24">
        <f t="shared" si="3"/>
        <v>240</v>
      </c>
      <c r="AK19" s="27"/>
      <c r="AL19" s="9">
        <v>0</v>
      </c>
      <c r="AM19" s="9">
        <f t="shared" si="4"/>
        <v>240</v>
      </c>
      <c r="AN19" s="26"/>
      <c r="AO19" s="37"/>
      <c r="AP19" s="26"/>
      <c r="AQ19" s="84"/>
      <c r="AR19" s="84"/>
      <c r="AS19" s="77">
        <f t="shared" si="2"/>
        <v>0</v>
      </c>
    </row>
    <row r="20" spans="1:61" x14ac:dyDescent="0.3">
      <c r="A20" s="23">
        <f t="shared" si="10"/>
        <v>16</v>
      </c>
      <c r="B20" s="47" t="s">
        <v>43</v>
      </c>
      <c r="C20" s="32" t="s">
        <v>44</v>
      </c>
      <c r="D20" s="56">
        <v>178040</v>
      </c>
      <c r="E20" s="24">
        <f>1300+660</f>
        <v>1960</v>
      </c>
      <c r="F20" s="24">
        <f>1400+3960</f>
        <v>5360</v>
      </c>
      <c r="G20" s="24">
        <f>3000+2620</f>
        <v>5620</v>
      </c>
      <c r="H20" s="24">
        <f>4900+5680</f>
        <v>10580</v>
      </c>
      <c r="I20" s="24">
        <f>2960+6940</f>
        <v>9900</v>
      </c>
      <c r="J20" s="24"/>
      <c r="K20" s="24">
        <f>960+7480</f>
        <v>8440</v>
      </c>
      <c r="L20" s="24">
        <f>560+8220</f>
        <v>8780</v>
      </c>
      <c r="M20" s="24">
        <f>3240+7140</f>
        <v>10380</v>
      </c>
      <c r="N20" s="24">
        <v>7000</v>
      </c>
      <c r="O20" s="24">
        <v>8080</v>
      </c>
      <c r="P20" s="24">
        <v>5280</v>
      </c>
      <c r="Q20" s="24"/>
      <c r="R20" s="24">
        <f>3320+6380</f>
        <v>9700</v>
      </c>
      <c r="S20" s="24">
        <f>3540+3960</f>
        <v>7500</v>
      </c>
      <c r="T20" s="24">
        <f>2380+1140</f>
        <v>3520</v>
      </c>
      <c r="U20" s="24">
        <f>3900+1920</f>
        <v>5820</v>
      </c>
      <c r="V20" s="24">
        <f>3200+1740</f>
        <v>4940</v>
      </c>
      <c r="W20" s="24">
        <f>4080+4100</f>
        <v>8180</v>
      </c>
      <c r="X20" s="24"/>
      <c r="Y20" s="24">
        <f>2700+5380</f>
        <v>8080</v>
      </c>
      <c r="Z20" s="24">
        <f>2200+3000</f>
        <v>5200</v>
      </c>
      <c r="AA20" s="24"/>
      <c r="AB20" s="24"/>
      <c r="AC20" s="24"/>
      <c r="AD20" s="24">
        <f>238560-229800</f>
        <v>8760</v>
      </c>
      <c r="AE20" s="24"/>
      <c r="AF20" s="27"/>
      <c r="AG20" s="24">
        <f t="shared" si="0"/>
        <v>178040</v>
      </c>
      <c r="AH20" s="24">
        <f t="shared" si="1"/>
        <v>143080</v>
      </c>
      <c r="AI20" s="25">
        <f>14860+100+67600</f>
        <v>82560</v>
      </c>
      <c r="AJ20" s="24">
        <f t="shared" si="3"/>
        <v>238560</v>
      </c>
      <c r="AK20" s="27"/>
      <c r="AL20" s="9">
        <v>0</v>
      </c>
      <c r="AM20" s="9">
        <f t="shared" si="4"/>
        <v>238560</v>
      </c>
      <c r="AN20" s="26"/>
      <c r="AO20" s="37">
        <v>100</v>
      </c>
      <c r="AP20" s="26">
        <f>14860+67600</f>
        <v>82460</v>
      </c>
      <c r="AQ20" s="84"/>
      <c r="AR20" s="84"/>
      <c r="AS20" s="77">
        <f t="shared" si="2"/>
        <v>0</v>
      </c>
    </row>
    <row r="21" spans="1:61" x14ac:dyDescent="0.3">
      <c r="A21" s="23">
        <f t="shared" si="10"/>
        <v>17</v>
      </c>
      <c r="B21" s="47" t="s">
        <v>45</v>
      </c>
      <c r="C21" s="32" t="s">
        <v>46</v>
      </c>
      <c r="D21" s="56">
        <v>6700</v>
      </c>
      <c r="E21" s="24">
        <v>20</v>
      </c>
      <c r="F21" s="24">
        <v>80</v>
      </c>
      <c r="G21" s="24">
        <f>20+40</f>
        <v>60</v>
      </c>
      <c r="H21" s="24">
        <f>40+140</f>
        <v>180</v>
      </c>
      <c r="I21" s="24">
        <v>200</v>
      </c>
      <c r="J21" s="24"/>
      <c r="K21" s="24">
        <v>140</v>
      </c>
      <c r="L21" s="24">
        <f>60+220</f>
        <v>280</v>
      </c>
      <c r="M21" s="24">
        <v>160</v>
      </c>
      <c r="N21" s="24">
        <v>120</v>
      </c>
      <c r="O21" s="24">
        <v>200</v>
      </c>
      <c r="P21" s="24">
        <v>168</v>
      </c>
      <c r="Q21" s="24"/>
      <c r="R21" s="24">
        <v>160</v>
      </c>
      <c r="S21" s="24">
        <v>140</v>
      </c>
      <c r="T21" s="24">
        <f>20+100</f>
        <v>120</v>
      </c>
      <c r="U21" s="24">
        <f>60+60</f>
        <v>120</v>
      </c>
      <c r="V21" s="24">
        <v>200</v>
      </c>
      <c r="W21" s="24">
        <v>220</v>
      </c>
      <c r="X21" s="24"/>
      <c r="Y21" s="24">
        <v>180</v>
      </c>
      <c r="Z21" s="24">
        <f>60+100</f>
        <v>160</v>
      </c>
      <c r="AA21" s="24"/>
      <c r="AB21" s="24"/>
      <c r="AC21" s="24"/>
      <c r="AD21" s="24">
        <f>9720-9608</f>
        <v>112</v>
      </c>
      <c r="AE21" s="24"/>
      <c r="AF21" s="27"/>
      <c r="AG21" s="24">
        <f t="shared" si="0"/>
        <v>6700</v>
      </c>
      <c r="AH21" s="24">
        <f t="shared" si="1"/>
        <v>3020</v>
      </c>
      <c r="AI21" s="25"/>
      <c r="AJ21" s="24">
        <f t="shared" si="3"/>
        <v>9720</v>
      </c>
      <c r="AK21" s="27"/>
      <c r="AL21" s="9">
        <v>0</v>
      </c>
      <c r="AM21" s="9">
        <f t="shared" si="4"/>
        <v>9720</v>
      </c>
      <c r="AN21" s="26"/>
      <c r="AO21" s="37"/>
      <c r="AP21" s="26"/>
      <c r="AQ21" s="84"/>
      <c r="AR21" s="84"/>
      <c r="AS21" s="77">
        <f t="shared" si="2"/>
        <v>0</v>
      </c>
    </row>
    <row r="22" spans="1:61" x14ac:dyDescent="0.3">
      <c r="A22" s="23">
        <f t="shared" si="10"/>
        <v>18</v>
      </c>
      <c r="B22" s="47" t="s">
        <v>47</v>
      </c>
      <c r="C22" s="32" t="s">
        <v>48</v>
      </c>
      <c r="D22" s="56">
        <v>28680</v>
      </c>
      <c r="E22" s="24">
        <f>760+420</f>
        <v>1180</v>
      </c>
      <c r="F22" s="24">
        <f>600+2020</f>
        <v>2620</v>
      </c>
      <c r="G22" s="24">
        <f>780+1460</f>
        <v>2240</v>
      </c>
      <c r="H22" s="24">
        <f>860+2360</f>
        <v>3220</v>
      </c>
      <c r="I22" s="24">
        <f>380+2340</f>
        <v>2720</v>
      </c>
      <c r="J22" s="24"/>
      <c r="K22" s="24">
        <f>200+1880</f>
        <v>2080</v>
      </c>
      <c r="L22" s="24">
        <f>560+2560</f>
        <v>3120</v>
      </c>
      <c r="M22" s="24">
        <f>860+1940</f>
        <v>2800</v>
      </c>
      <c r="N22" s="24">
        <v>1840</v>
      </c>
      <c r="O22" s="24">
        <v>2360</v>
      </c>
      <c r="P22" s="24">
        <v>1400</v>
      </c>
      <c r="Q22" s="24"/>
      <c r="R22" s="24">
        <f>900+1760</f>
        <v>2660</v>
      </c>
      <c r="S22" s="24">
        <f>480+1380</f>
        <v>1860</v>
      </c>
      <c r="T22" s="24">
        <v>980</v>
      </c>
      <c r="U22" s="24">
        <f>1220+300</f>
        <v>1520</v>
      </c>
      <c r="V22" s="24">
        <v>1020</v>
      </c>
      <c r="W22" s="24">
        <f>480+1200</f>
        <v>1680</v>
      </c>
      <c r="X22" s="24"/>
      <c r="Y22" s="24">
        <f>260+1420</f>
        <v>1680</v>
      </c>
      <c r="Z22" s="24">
        <f>440+480</f>
        <v>920</v>
      </c>
      <c r="AA22" s="24"/>
      <c r="AB22" s="24"/>
      <c r="AC22" s="24"/>
      <c r="AD22" s="24">
        <f>67740-66580</f>
        <v>1160</v>
      </c>
      <c r="AE22" s="24"/>
      <c r="AF22" s="27"/>
      <c r="AG22" s="24">
        <f t="shared" si="0"/>
        <v>28680</v>
      </c>
      <c r="AH22" s="24">
        <f t="shared" si="1"/>
        <v>39060</v>
      </c>
      <c r="AI22" s="25"/>
      <c r="AJ22" s="24">
        <f t="shared" si="3"/>
        <v>67740</v>
      </c>
      <c r="AK22" s="27"/>
      <c r="AL22" s="9">
        <v>0</v>
      </c>
      <c r="AM22" s="9">
        <f t="shared" si="4"/>
        <v>67740</v>
      </c>
      <c r="AN22" s="26"/>
      <c r="AO22" s="37"/>
      <c r="AP22" s="26"/>
      <c r="AQ22" s="84"/>
      <c r="AR22" s="84"/>
      <c r="AS22" s="77">
        <f t="shared" si="2"/>
        <v>0</v>
      </c>
    </row>
    <row r="23" spans="1:61" x14ac:dyDescent="0.3">
      <c r="A23" s="23">
        <f t="shared" si="10"/>
        <v>19</v>
      </c>
      <c r="B23" s="32">
        <v>10009386</v>
      </c>
      <c r="C23" s="32" t="s">
        <v>63</v>
      </c>
      <c r="D23" s="56">
        <v>17260</v>
      </c>
      <c r="E23" s="24">
        <f>100+100</f>
        <v>200</v>
      </c>
      <c r="F23" s="24">
        <f>120+320</f>
        <v>440</v>
      </c>
      <c r="G23" s="24">
        <v>560</v>
      </c>
      <c r="H23" s="24"/>
      <c r="I23" s="24">
        <f>260+680</f>
        <v>940</v>
      </c>
      <c r="J23" s="24"/>
      <c r="K23" s="24">
        <v>240</v>
      </c>
      <c r="L23" s="24">
        <f>300+820</f>
        <v>1120</v>
      </c>
      <c r="M23" s="24">
        <v>800</v>
      </c>
      <c r="N23" s="24">
        <v>600</v>
      </c>
      <c r="O23" s="24">
        <v>880</v>
      </c>
      <c r="P23" s="24">
        <v>640</v>
      </c>
      <c r="Q23" s="24"/>
      <c r="R23" s="24">
        <v>560</v>
      </c>
      <c r="S23" s="24">
        <f>180+540</f>
        <v>720</v>
      </c>
      <c r="T23" s="24">
        <f>20+240</f>
        <v>260</v>
      </c>
      <c r="U23" s="24">
        <f>220+220</f>
        <v>440</v>
      </c>
      <c r="V23" s="24">
        <v>440</v>
      </c>
      <c r="W23" s="24">
        <v>520</v>
      </c>
      <c r="X23" s="24"/>
      <c r="Y23" s="24">
        <v>460</v>
      </c>
      <c r="Z23" s="24">
        <v>400</v>
      </c>
      <c r="AA23" s="24"/>
      <c r="AB23" s="24"/>
      <c r="AC23" s="24"/>
      <c r="AD23" s="24"/>
      <c r="AE23" s="24"/>
      <c r="AF23" s="27"/>
      <c r="AG23" s="24">
        <f t="shared" si="0"/>
        <v>17260</v>
      </c>
      <c r="AH23" s="24">
        <f t="shared" si="1"/>
        <v>10220</v>
      </c>
      <c r="AI23" s="25"/>
      <c r="AJ23" s="24">
        <f t="shared" si="3"/>
        <v>27480</v>
      </c>
      <c r="AK23" s="27"/>
      <c r="AL23" s="9">
        <v>0</v>
      </c>
      <c r="AM23" s="9">
        <f t="shared" si="4"/>
        <v>27480</v>
      </c>
      <c r="AN23" s="26"/>
      <c r="AO23" s="37"/>
      <c r="AP23" s="26"/>
      <c r="AQ23" s="84"/>
      <c r="AR23" s="84"/>
      <c r="AS23" s="77">
        <f t="shared" si="2"/>
        <v>0</v>
      </c>
    </row>
    <row r="24" spans="1:61" s="8" customFormat="1" x14ac:dyDescent="0.25">
      <c r="A24" s="11">
        <f>+A23+1</f>
        <v>20</v>
      </c>
      <c r="B24" s="12" t="s">
        <v>12</v>
      </c>
      <c r="C24" s="12" t="s">
        <v>13</v>
      </c>
      <c r="D24" s="57">
        <v>27900</v>
      </c>
      <c r="E24" s="10">
        <f>920+240</f>
        <v>1160</v>
      </c>
      <c r="F24" s="10">
        <f>680+2500</f>
        <v>3180</v>
      </c>
      <c r="G24" s="10">
        <f>880+2300</f>
        <v>3180</v>
      </c>
      <c r="H24" s="10">
        <f>820+4940</f>
        <v>5760</v>
      </c>
      <c r="I24" s="10">
        <v>5280</v>
      </c>
      <c r="J24" s="10">
        <v>300</v>
      </c>
      <c r="K24" s="10">
        <f>420+5060</f>
        <v>5480</v>
      </c>
      <c r="L24" s="10">
        <f>940+4400</f>
        <v>5340</v>
      </c>
      <c r="M24" s="10">
        <f>540+1920</f>
        <v>2460</v>
      </c>
      <c r="N24" s="10">
        <v>3520</v>
      </c>
      <c r="O24" s="10">
        <v>5920</v>
      </c>
      <c r="P24" s="10">
        <v>4480</v>
      </c>
      <c r="Q24" s="10"/>
      <c r="R24" s="10">
        <v>5120</v>
      </c>
      <c r="S24" s="10">
        <v>3940</v>
      </c>
      <c r="T24" s="10">
        <f>1240+520</f>
        <v>1760</v>
      </c>
      <c r="U24" s="10">
        <f>680+2420</f>
        <v>3100</v>
      </c>
      <c r="V24" s="10">
        <v>2640</v>
      </c>
      <c r="W24" s="10">
        <v>4360</v>
      </c>
      <c r="X24" s="10"/>
      <c r="Y24" s="10">
        <v>4600</v>
      </c>
      <c r="Z24" s="10">
        <f>180+2400</f>
        <v>2580</v>
      </c>
      <c r="AA24" s="10"/>
      <c r="AB24" s="10"/>
      <c r="AC24" s="10"/>
      <c r="AD24" s="10">
        <f>104880-102060</f>
        <v>2820</v>
      </c>
      <c r="AE24" s="10"/>
      <c r="AF24" s="26"/>
      <c r="AG24" s="10">
        <f t="shared" si="0"/>
        <v>27900</v>
      </c>
      <c r="AH24" s="10">
        <f t="shared" si="1"/>
        <v>76980</v>
      </c>
      <c r="AI24" s="14"/>
      <c r="AJ24" s="10">
        <f t="shared" si="3"/>
        <v>104880</v>
      </c>
      <c r="AK24" s="27"/>
      <c r="AL24" s="9">
        <v>0</v>
      </c>
      <c r="AM24" s="9">
        <f t="shared" si="4"/>
        <v>104880</v>
      </c>
      <c r="AN24" s="26"/>
      <c r="AO24" s="37"/>
      <c r="AP24" s="26"/>
      <c r="AQ24" s="84"/>
      <c r="AR24" s="84"/>
      <c r="AS24" s="77">
        <f t="shared" si="2"/>
        <v>0</v>
      </c>
      <c r="BA24" s="3"/>
      <c r="BG24" s="3"/>
      <c r="BH24" s="3"/>
      <c r="BI24" s="3"/>
    </row>
    <row r="25" spans="1:61" x14ac:dyDescent="0.3">
      <c r="A25" s="11">
        <f t="shared" ref="A25:A30" si="11">+A24+1</f>
        <v>21</v>
      </c>
      <c r="B25" s="12" t="s">
        <v>14</v>
      </c>
      <c r="C25" s="12" t="s">
        <v>15</v>
      </c>
      <c r="D25" s="57">
        <v>140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26"/>
      <c r="AG25" s="10">
        <f t="shared" si="0"/>
        <v>140</v>
      </c>
      <c r="AH25" s="10">
        <f t="shared" si="1"/>
        <v>0</v>
      </c>
      <c r="AI25" s="14"/>
      <c r="AJ25" s="10">
        <f>+AG25+AH25-AI25</f>
        <v>140</v>
      </c>
      <c r="AK25" s="27"/>
      <c r="AL25" s="9">
        <v>0</v>
      </c>
      <c r="AM25" s="9">
        <f t="shared" si="4"/>
        <v>140</v>
      </c>
      <c r="AN25" s="26"/>
      <c r="AO25" s="37"/>
      <c r="AP25" s="26"/>
      <c r="AQ25" s="84"/>
      <c r="AR25" s="84"/>
      <c r="AS25" s="77">
        <f t="shared" si="2"/>
        <v>0</v>
      </c>
      <c r="BA25" s="8"/>
    </row>
    <row r="26" spans="1:61" x14ac:dyDescent="0.3">
      <c r="A26" s="11">
        <f t="shared" si="11"/>
        <v>22</v>
      </c>
      <c r="B26" s="12" t="s">
        <v>16</v>
      </c>
      <c r="C26" s="12" t="s">
        <v>17</v>
      </c>
      <c r="D26" s="57">
        <v>3020</v>
      </c>
      <c r="E26" s="10">
        <v>40</v>
      </c>
      <c r="F26" s="10">
        <v>80</v>
      </c>
      <c r="G26" s="10">
        <v>180</v>
      </c>
      <c r="H26" s="10">
        <v>240</v>
      </c>
      <c r="I26" s="10">
        <v>180</v>
      </c>
      <c r="J26" s="10">
        <v>60</v>
      </c>
      <c r="K26" s="10">
        <v>160</v>
      </c>
      <c r="L26" s="10">
        <f>80+180</f>
        <v>260</v>
      </c>
      <c r="M26" s="10">
        <v>160</v>
      </c>
      <c r="N26" s="10">
        <v>80</v>
      </c>
      <c r="O26" s="10">
        <v>180</v>
      </c>
      <c r="P26" s="10">
        <v>80</v>
      </c>
      <c r="Q26" s="10">
        <v>80</v>
      </c>
      <c r="R26" s="10">
        <v>140</v>
      </c>
      <c r="S26" s="10">
        <v>160</v>
      </c>
      <c r="T26" s="10">
        <v>80</v>
      </c>
      <c r="U26" s="10">
        <f>40+80</f>
        <v>120</v>
      </c>
      <c r="V26" s="10">
        <v>80</v>
      </c>
      <c r="W26" s="10">
        <v>300</v>
      </c>
      <c r="X26" s="10"/>
      <c r="Y26" s="10">
        <v>200</v>
      </c>
      <c r="Z26" s="10">
        <f>140+100</f>
        <v>240</v>
      </c>
      <c r="AA26" s="10"/>
      <c r="AB26" s="10"/>
      <c r="AC26" s="10"/>
      <c r="AD26" s="10">
        <f>6240-6120</f>
        <v>120</v>
      </c>
      <c r="AE26" s="10"/>
      <c r="AF26" s="26"/>
      <c r="AG26" s="10">
        <f t="shared" si="0"/>
        <v>3020</v>
      </c>
      <c r="AH26" s="10">
        <f t="shared" si="1"/>
        <v>3220</v>
      </c>
      <c r="AI26" s="14"/>
      <c r="AJ26" s="10">
        <f>+AG26+AH26-AI26</f>
        <v>6240</v>
      </c>
      <c r="AK26" s="27"/>
      <c r="AL26" s="9">
        <v>0</v>
      </c>
      <c r="AM26" s="9">
        <f t="shared" si="4"/>
        <v>6240</v>
      </c>
      <c r="AN26" s="26"/>
      <c r="AO26" s="37"/>
      <c r="AP26" s="26"/>
      <c r="AQ26" s="84"/>
      <c r="AR26" s="84"/>
      <c r="AS26" s="77">
        <f t="shared" si="2"/>
        <v>0</v>
      </c>
    </row>
    <row r="27" spans="1:61" x14ac:dyDescent="0.3">
      <c r="A27" s="11">
        <f t="shared" si="11"/>
        <v>23</v>
      </c>
      <c r="B27" s="12" t="s">
        <v>18</v>
      </c>
      <c r="C27" s="12" t="s">
        <v>19</v>
      </c>
      <c r="D27" s="57">
        <v>200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26"/>
      <c r="AG27" s="10">
        <f t="shared" si="0"/>
        <v>200</v>
      </c>
      <c r="AH27" s="10">
        <f t="shared" si="1"/>
        <v>0</v>
      </c>
      <c r="AI27" s="14"/>
      <c r="AJ27" s="10">
        <f t="shared" si="3"/>
        <v>200</v>
      </c>
      <c r="AK27" s="27"/>
      <c r="AL27" s="9">
        <v>0</v>
      </c>
      <c r="AM27" s="9">
        <f t="shared" si="4"/>
        <v>200</v>
      </c>
      <c r="AN27" s="26"/>
      <c r="AO27" s="37"/>
      <c r="AP27" s="26"/>
      <c r="AQ27" s="84"/>
      <c r="AR27" s="84"/>
      <c r="AS27" s="77">
        <f t="shared" si="2"/>
        <v>0</v>
      </c>
    </row>
    <row r="28" spans="1:61" x14ac:dyDescent="0.3">
      <c r="A28" s="11">
        <f t="shared" si="11"/>
        <v>24</v>
      </c>
      <c r="B28" s="12" t="s">
        <v>49</v>
      </c>
      <c r="C28" s="12" t="s">
        <v>50</v>
      </c>
      <c r="D28" s="57">
        <v>203220</v>
      </c>
      <c r="E28" s="10">
        <f>4180+960</f>
        <v>5140</v>
      </c>
      <c r="F28" s="10">
        <f>5120+7980</f>
        <v>13100</v>
      </c>
      <c r="G28" s="10">
        <f>7840+5440</f>
        <v>13280</v>
      </c>
      <c r="H28" s="10">
        <f>10860+13240</f>
        <v>24100</v>
      </c>
      <c r="I28" s="10">
        <f>8440+13720</f>
        <v>22160</v>
      </c>
      <c r="J28" s="10">
        <v>160</v>
      </c>
      <c r="K28" s="10">
        <f>7480+13360</f>
        <v>20840</v>
      </c>
      <c r="L28" s="10">
        <f>8740+13920</f>
        <v>22660</v>
      </c>
      <c r="M28" s="10">
        <f>8140+14700</f>
        <v>22840</v>
      </c>
      <c r="N28" s="10">
        <v>10060</v>
      </c>
      <c r="O28" s="10">
        <v>15560</v>
      </c>
      <c r="P28" s="10">
        <v>9080</v>
      </c>
      <c r="Q28" s="9">
        <v>3380</v>
      </c>
      <c r="R28" s="10">
        <f>8060+12860</f>
        <v>20920</v>
      </c>
      <c r="S28" s="10">
        <f>7320+7520</f>
        <v>14840</v>
      </c>
      <c r="T28" s="10">
        <f>7280+2540</f>
        <v>9820</v>
      </c>
      <c r="U28" s="10">
        <f>5260+7460</f>
        <v>12720</v>
      </c>
      <c r="V28" s="10">
        <f>6980+3980</f>
        <v>10960</v>
      </c>
      <c r="W28" s="9">
        <f>13300+4920</f>
        <v>18220</v>
      </c>
      <c r="X28" s="10"/>
      <c r="Y28" s="10">
        <f>6900+10560</f>
        <v>17460</v>
      </c>
      <c r="Z28" s="10">
        <f>6700+4520</f>
        <v>11220</v>
      </c>
      <c r="AA28" s="10"/>
      <c r="AB28" s="10"/>
      <c r="AC28" s="10"/>
      <c r="AD28" s="10">
        <f>288880-267740</f>
        <v>21140</v>
      </c>
      <c r="AE28" s="10"/>
      <c r="AF28" s="26"/>
      <c r="AG28" s="10">
        <f t="shared" si="0"/>
        <v>203220</v>
      </c>
      <c r="AH28" s="10">
        <f t="shared" si="1"/>
        <v>319660</v>
      </c>
      <c r="AI28" s="14">
        <f>26000+104000+52000+52000</f>
        <v>234000</v>
      </c>
      <c r="AJ28" s="10">
        <f t="shared" si="3"/>
        <v>288880</v>
      </c>
      <c r="AK28" s="27"/>
      <c r="AL28" s="9">
        <v>0</v>
      </c>
      <c r="AM28" s="9">
        <f t="shared" si="4"/>
        <v>288880</v>
      </c>
      <c r="AN28" s="26"/>
      <c r="AO28" s="37"/>
      <c r="AP28" s="26">
        <f>26000+104000+52000+52000</f>
        <v>234000</v>
      </c>
      <c r="AQ28" s="84"/>
      <c r="AR28" s="84"/>
      <c r="AS28" s="77">
        <f t="shared" si="2"/>
        <v>0</v>
      </c>
    </row>
    <row r="29" spans="1:61" ht="15.6" customHeight="1" x14ac:dyDescent="0.3">
      <c r="A29" s="11">
        <f t="shared" si="11"/>
        <v>25</v>
      </c>
      <c r="B29" s="12">
        <v>10009658</v>
      </c>
      <c r="C29" s="12" t="s">
        <v>68</v>
      </c>
      <c r="D29" s="57">
        <v>1960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26"/>
      <c r="AG29" s="10">
        <f t="shared" si="0"/>
        <v>1960</v>
      </c>
      <c r="AH29" s="10">
        <f t="shared" si="1"/>
        <v>0</v>
      </c>
      <c r="AI29" s="14"/>
      <c r="AJ29" s="10">
        <f>+AG29+AH29-AI29</f>
        <v>1960</v>
      </c>
      <c r="AK29" s="27"/>
      <c r="AL29" s="9">
        <v>0</v>
      </c>
      <c r="AM29" s="9">
        <f t="shared" si="4"/>
        <v>1960</v>
      </c>
      <c r="AN29" s="26"/>
      <c r="AO29" s="37"/>
      <c r="AP29" s="26"/>
      <c r="AQ29" s="84"/>
      <c r="AR29" s="84"/>
      <c r="AS29" s="77">
        <f t="shared" si="2"/>
        <v>0</v>
      </c>
    </row>
    <row r="30" spans="1:61" x14ac:dyDescent="0.3">
      <c r="A30" s="11">
        <f t="shared" si="11"/>
        <v>26</v>
      </c>
      <c r="B30" s="12">
        <v>10009639</v>
      </c>
      <c r="C30" s="12" t="s">
        <v>69</v>
      </c>
      <c r="D30" s="57">
        <v>28480</v>
      </c>
      <c r="E30" s="10">
        <f>720+280</f>
        <v>1000</v>
      </c>
      <c r="F30" s="10">
        <f>300+1760</f>
        <v>2060</v>
      </c>
      <c r="G30" s="10">
        <f>680+1360</f>
        <v>2040</v>
      </c>
      <c r="H30" s="10">
        <f>1060+2080</f>
        <v>3140</v>
      </c>
      <c r="I30" s="9">
        <f>760+2120</f>
        <v>2880</v>
      </c>
      <c r="J30" s="10"/>
      <c r="K30" s="10">
        <f>420+2560</f>
        <v>2980</v>
      </c>
      <c r="L30" s="10">
        <f>1280+2340</f>
        <v>3620</v>
      </c>
      <c r="M30" s="10">
        <f>740+1720</f>
        <v>2460</v>
      </c>
      <c r="N30" s="10">
        <v>2000</v>
      </c>
      <c r="O30" s="10">
        <v>2080</v>
      </c>
      <c r="P30" s="10">
        <v>1520</v>
      </c>
      <c r="Q30" s="10">
        <v>860</v>
      </c>
      <c r="R30" s="10">
        <f>1000+2580</f>
        <v>3580</v>
      </c>
      <c r="S30" s="10">
        <f>740+1320</f>
        <v>2060</v>
      </c>
      <c r="T30" s="10">
        <f>660+600</f>
        <v>1260</v>
      </c>
      <c r="U30" s="10">
        <f>780+1320</f>
        <v>2100</v>
      </c>
      <c r="V30" s="10">
        <v>1280</v>
      </c>
      <c r="W30" s="10">
        <f>860+1260</f>
        <v>2120</v>
      </c>
      <c r="X30" s="10"/>
      <c r="Y30" s="10">
        <f>680+1320</f>
        <v>2000</v>
      </c>
      <c r="Z30" s="10">
        <f>1140+460</f>
        <v>1600</v>
      </c>
      <c r="AA30" s="10"/>
      <c r="AB30" s="10"/>
      <c r="AC30" s="10"/>
      <c r="AD30" s="10">
        <f>47080-44300</f>
        <v>2780</v>
      </c>
      <c r="AE30" s="10"/>
      <c r="AF30" s="26"/>
      <c r="AG30" s="10">
        <f t="shared" si="0"/>
        <v>28480</v>
      </c>
      <c r="AH30" s="10">
        <f t="shared" si="1"/>
        <v>45420</v>
      </c>
      <c r="AI30" s="14">
        <v>26820</v>
      </c>
      <c r="AJ30" s="10">
        <f>+AG30+AH30-AI30</f>
        <v>47080</v>
      </c>
      <c r="AK30" s="27"/>
      <c r="AL30" s="9">
        <v>0</v>
      </c>
      <c r="AM30" s="9">
        <f t="shared" si="4"/>
        <v>47080</v>
      </c>
      <c r="AN30" s="26"/>
      <c r="AO30" s="37"/>
      <c r="AP30" s="26">
        <v>26820</v>
      </c>
      <c r="AQ30" s="84"/>
      <c r="AR30" s="84"/>
      <c r="AS30" s="77">
        <f t="shared" si="2"/>
        <v>0</v>
      </c>
    </row>
    <row r="31" spans="1:61" x14ac:dyDescent="0.3">
      <c r="A31" s="28">
        <f>+A30+1</f>
        <v>27</v>
      </c>
      <c r="B31" s="31" t="s">
        <v>53</v>
      </c>
      <c r="C31" s="31" t="s">
        <v>54</v>
      </c>
      <c r="D31" s="58">
        <v>102460</v>
      </c>
      <c r="E31" s="29"/>
      <c r="F31" s="29">
        <f>3540+800</f>
        <v>4340</v>
      </c>
      <c r="G31" s="29">
        <f>5020+5440</f>
        <v>10460</v>
      </c>
      <c r="H31" s="29">
        <f>4600+3380</f>
        <v>7980</v>
      </c>
      <c r="I31" s="29">
        <v>6960</v>
      </c>
      <c r="J31" s="29">
        <v>700</v>
      </c>
      <c r="K31" s="29">
        <v>6120</v>
      </c>
      <c r="L31" s="29">
        <f>7460+9980</f>
        <v>17440</v>
      </c>
      <c r="M31" s="29">
        <f>12120+11300</f>
        <v>23420</v>
      </c>
      <c r="N31" s="29">
        <v>7720</v>
      </c>
      <c r="O31" s="29">
        <v>10440</v>
      </c>
      <c r="P31" s="29">
        <v>8940</v>
      </c>
      <c r="Q31" s="29"/>
      <c r="R31" s="29">
        <v>3660</v>
      </c>
      <c r="S31" s="29">
        <f>5040+7860</f>
        <v>12900</v>
      </c>
      <c r="T31" s="29">
        <f>18080+8920</f>
        <v>27000</v>
      </c>
      <c r="U31" s="29">
        <f>6740+5240</f>
        <v>11980</v>
      </c>
      <c r="V31" s="29">
        <f>10980+2820</f>
        <v>13800</v>
      </c>
      <c r="W31" s="29">
        <v>60</v>
      </c>
      <c r="X31" s="29"/>
      <c r="Y31" s="29"/>
      <c r="Z31" s="29">
        <v>4040</v>
      </c>
      <c r="AA31" s="29"/>
      <c r="AB31" s="29"/>
      <c r="AC31" s="29"/>
      <c r="AD31" s="29">
        <f>287540-253420</f>
        <v>34120</v>
      </c>
      <c r="AE31" s="29"/>
      <c r="AF31" s="26"/>
      <c r="AG31" s="29">
        <f t="shared" si="0"/>
        <v>102460</v>
      </c>
      <c r="AH31" s="29">
        <f t="shared" si="1"/>
        <v>212080</v>
      </c>
      <c r="AI31" s="30">
        <v>27000</v>
      </c>
      <c r="AJ31" s="29">
        <f>+AG31+AH31-AI31</f>
        <v>287540</v>
      </c>
      <c r="AK31" s="27"/>
      <c r="AL31" s="9">
        <v>0</v>
      </c>
      <c r="AM31" s="9">
        <f t="shared" si="4"/>
        <v>287540</v>
      </c>
      <c r="AN31" s="26"/>
      <c r="AO31" s="37"/>
      <c r="AP31" s="26">
        <v>27000</v>
      </c>
      <c r="AQ31" s="84"/>
      <c r="AR31" s="84"/>
      <c r="AS31" s="77">
        <f t="shared" si="2"/>
        <v>0</v>
      </c>
    </row>
    <row r="32" spans="1:61" x14ac:dyDescent="0.3">
      <c r="A32" s="28">
        <f t="shared" si="5"/>
        <v>28</v>
      </c>
      <c r="B32" s="31" t="s">
        <v>51</v>
      </c>
      <c r="C32" s="31" t="s">
        <v>52</v>
      </c>
      <c r="D32" s="58">
        <v>30780</v>
      </c>
      <c r="E32" s="29"/>
      <c r="F32" s="29"/>
      <c r="G32" s="29"/>
      <c r="H32" s="29">
        <v>760</v>
      </c>
      <c r="I32" s="29"/>
      <c r="J32" s="29"/>
      <c r="K32" s="29">
        <v>220</v>
      </c>
      <c r="L32" s="29">
        <v>380</v>
      </c>
      <c r="M32" s="29">
        <f>820+200</f>
        <v>1020</v>
      </c>
      <c r="N32" s="29">
        <v>340</v>
      </c>
      <c r="O32" s="29">
        <v>40</v>
      </c>
      <c r="P32" s="29">
        <v>100</v>
      </c>
      <c r="Q32" s="29">
        <v>60</v>
      </c>
      <c r="R32" s="29"/>
      <c r="S32" s="29">
        <f>220+40</f>
        <v>260</v>
      </c>
      <c r="T32" s="29">
        <f>640+40</f>
        <v>680</v>
      </c>
      <c r="U32" s="29">
        <f>100+140</f>
        <v>240</v>
      </c>
      <c r="V32" s="29">
        <v>80</v>
      </c>
      <c r="W32" s="29"/>
      <c r="X32" s="29"/>
      <c r="Y32" s="29"/>
      <c r="Z32" s="29">
        <v>360</v>
      </c>
      <c r="AA32" s="29"/>
      <c r="AB32" s="29"/>
      <c r="AC32" s="29"/>
      <c r="AD32" s="29">
        <f>36540-35320</f>
        <v>1220</v>
      </c>
      <c r="AE32" s="29"/>
      <c r="AF32" s="26"/>
      <c r="AG32" s="29">
        <f t="shared" si="0"/>
        <v>30780</v>
      </c>
      <c r="AH32" s="29">
        <f t="shared" si="1"/>
        <v>5760</v>
      </c>
      <c r="AI32" s="30"/>
      <c r="AJ32" s="29">
        <f t="shared" si="3"/>
        <v>36540</v>
      </c>
      <c r="AK32" s="27"/>
      <c r="AL32" s="9">
        <v>0</v>
      </c>
      <c r="AM32" s="9">
        <f t="shared" si="4"/>
        <v>36540</v>
      </c>
      <c r="AN32" s="26"/>
      <c r="AO32" s="37"/>
      <c r="AP32" s="26"/>
      <c r="AQ32" s="84"/>
      <c r="AR32" s="84"/>
      <c r="AS32" s="77">
        <f t="shared" si="2"/>
        <v>0</v>
      </c>
      <c r="BH32" s="5"/>
    </row>
    <row r="33" spans="1:61" x14ac:dyDescent="0.3">
      <c r="A33" s="28">
        <f>+A31+1</f>
        <v>28</v>
      </c>
      <c r="B33" s="31" t="s">
        <v>38</v>
      </c>
      <c r="C33" s="31" t="s">
        <v>39</v>
      </c>
      <c r="D33" s="58">
        <v>260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6"/>
      <c r="AG33" s="29">
        <f t="shared" si="0"/>
        <v>260</v>
      </c>
      <c r="AH33" s="29">
        <f t="shared" si="1"/>
        <v>0</v>
      </c>
      <c r="AI33" s="30"/>
      <c r="AJ33" s="29">
        <f t="shared" si="3"/>
        <v>260</v>
      </c>
      <c r="AK33" s="27"/>
      <c r="AL33" s="9">
        <v>0</v>
      </c>
      <c r="AM33" s="9">
        <f t="shared" si="4"/>
        <v>260</v>
      </c>
      <c r="AN33" s="26"/>
      <c r="AO33" s="37"/>
      <c r="AP33" s="26"/>
      <c r="AQ33" s="84"/>
      <c r="AR33" s="84"/>
      <c r="AS33" s="77">
        <f t="shared" si="2"/>
        <v>0</v>
      </c>
      <c r="BH33" s="5"/>
    </row>
    <row r="34" spans="1:61" x14ac:dyDescent="0.3">
      <c r="A34" s="28"/>
      <c r="B34" s="31">
        <v>10007050</v>
      </c>
      <c r="C34" s="31" t="s">
        <v>87</v>
      </c>
      <c r="D34" s="58">
        <v>11740</v>
      </c>
      <c r="E34" s="29"/>
      <c r="F34" s="36">
        <v>540</v>
      </c>
      <c r="G34" s="36">
        <v>380</v>
      </c>
      <c r="H34" s="29">
        <f>1000+160</f>
        <v>1160</v>
      </c>
      <c r="I34" s="29">
        <v>840</v>
      </c>
      <c r="J34" s="36">
        <v>160</v>
      </c>
      <c r="K34" s="36">
        <v>140</v>
      </c>
      <c r="L34" s="36">
        <f>600+340</f>
        <v>940</v>
      </c>
      <c r="M34" s="36">
        <f>220+1840</f>
        <v>2060</v>
      </c>
      <c r="N34" s="36">
        <v>300</v>
      </c>
      <c r="O34" s="36">
        <v>180</v>
      </c>
      <c r="P34" s="36">
        <v>860</v>
      </c>
      <c r="Q34" s="36"/>
      <c r="R34" s="36"/>
      <c r="S34" s="36">
        <f>40+160</f>
        <v>200</v>
      </c>
      <c r="T34" s="36">
        <f>660+1840</f>
        <v>2500</v>
      </c>
      <c r="U34" s="36">
        <f>1200+420</f>
        <v>1620</v>
      </c>
      <c r="V34" s="36">
        <f>940+640</f>
        <v>1580</v>
      </c>
      <c r="W34" s="36">
        <v>40</v>
      </c>
      <c r="X34" s="36"/>
      <c r="Y34" s="36"/>
      <c r="Z34" s="36">
        <v>340</v>
      </c>
      <c r="AA34" s="36"/>
      <c r="AB34" s="36"/>
      <c r="AC34" s="36"/>
      <c r="AD34" s="36">
        <f>26460-25580</f>
        <v>880</v>
      </c>
      <c r="AE34" s="36"/>
      <c r="AF34" s="27"/>
      <c r="AG34" s="29">
        <f t="shared" si="0"/>
        <v>11740</v>
      </c>
      <c r="AH34" s="29">
        <f t="shared" si="1"/>
        <v>14720</v>
      </c>
      <c r="AI34" s="30"/>
      <c r="AJ34" s="29">
        <f t="shared" si="3"/>
        <v>26460</v>
      </c>
      <c r="AK34" s="27"/>
      <c r="AL34" s="9">
        <v>0</v>
      </c>
      <c r="AM34" s="9">
        <f t="shared" si="4"/>
        <v>26460</v>
      </c>
      <c r="AN34" s="26"/>
      <c r="AO34" s="37"/>
      <c r="AP34" s="26"/>
      <c r="AQ34" s="84"/>
      <c r="AR34" s="84"/>
      <c r="AS34" s="77"/>
      <c r="BH34" s="5"/>
    </row>
    <row r="35" spans="1:61" ht="18.600000000000001" customHeight="1" x14ac:dyDescent="0.3">
      <c r="A35" s="28">
        <f>+A32+1</f>
        <v>29</v>
      </c>
      <c r="B35" s="31"/>
      <c r="C35" s="31" t="s">
        <v>81</v>
      </c>
      <c r="D35" s="58">
        <v>4700</v>
      </c>
      <c r="E35" s="29"/>
      <c r="F35" s="36"/>
      <c r="G35" s="36"/>
      <c r="H35" s="36"/>
      <c r="I35" s="36">
        <v>340</v>
      </c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>
        <v>22290</v>
      </c>
      <c r="AE35" s="36"/>
      <c r="AF35" s="27"/>
      <c r="AG35" s="29">
        <f t="shared" si="0"/>
        <v>4700</v>
      </c>
      <c r="AH35" s="29">
        <f t="shared" si="1"/>
        <v>22630</v>
      </c>
      <c r="AI35" s="30">
        <v>5040</v>
      </c>
      <c r="AJ35" s="29">
        <f t="shared" si="3"/>
        <v>22290</v>
      </c>
      <c r="AK35" s="27"/>
      <c r="AL35" s="9">
        <v>0</v>
      </c>
      <c r="AM35" s="9">
        <f t="shared" si="4"/>
        <v>22290</v>
      </c>
      <c r="AN35" s="26">
        <v>5040</v>
      </c>
      <c r="AO35" s="37"/>
      <c r="AP35" s="26"/>
      <c r="AQ35" s="84"/>
      <c r="AR35" s="84"/>
      <c r="AS35" s="77">
        <f t="shared" si="2"/>
        <v>0</v>
      </c>
    </row>
    <row r="36" spans="1:61" ht="18.600000000000001" customHeight="1" x14ac:dyDescent="0.3">
      <c r="A36" s="28">
        <f>+A33+1</f>
        <v>29</v>
      </c>
      <c r="B36" s="31"/>
      <c r="C36" s="31" t="s">
        <v>82</v>
      </c>
      <c r="D36" s="58">
        <v>940</v>
      </c>
      <c r="E36" s="29">
        <v>40</v>
      </c>
      <c r="F36" s="36"/>
      <c r="G36" s="36"/>
      <c r="H36" s="36"/>
      <c r="I36" s="36"/>
      <c r="J36" s="36">
        <v>400</v>
      </c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>
        <v>830</v>
      </c>
      <c r="AE36" s="36"/>
      <c r="AF36" s="27"/>
      <c r="AG36" s="29">
        <f t="shared" si="0"/>
        <v>940</v>
      </c>
      <c r="AH36" s="29">
        <f t="shared" si="1"/>
        <v>1270</v>
      </c>
      <c r="AI36" s="30">
        <f>300+1080</f>
        <v>1380</v>
      </c>
      <c r="AJ36" s="29">
        <f t="shared" si="3"/>
        <v>830</v>
      </c>
      <c r="AK36" s="27"/>
      <c r="AL36" s="9">
        <v>0</v>
      </c>
      <c r="AM36" s="9">
        <f t="shared" si="4"/>
        <v>830</v>
      </c>
      <c r="AN36" s="26">
        <f>300+1080</f>
        <v>1380</v>
      </c>
      <c r="AO36" s="37"/>
      <c r="AP36" s="26"/>
      <c r="AQ36" s="84"/>
      <c r="AR36" s="84"/>
      <c r="AS36" s="77">
        <f t="shared" si="2"/>
        <v>0</v>
      </c>
    </row>
    <row r="37" spans="1:61" x14ac:dyDescent="0.3">
      <c r="A37" s="28">
        <f t="shared" ref="A37:A38" si="12">+A35+1</f>
        <v>30</v>
      </c>
      <c r="B37" s="31"/>
      <c r="C37" s="31" t="s">
        <v>83</v>
      </c>
      <c r="D37" s="58">
        <v>1250</v>
      </c>
      <c r="E37" s="2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>
        <v>2600</v>
      </c>
      <c r="AE37" s="36"/>
      <c r="AF37" s="27"/>
      <c r="AG37" s="29">
        <f t="shared" si="0"/>
        <v>1250</v>
      </c>
      <c r="AH37" s="29">
        <f t="shared" si="1"/>
        <v>2600</v>
      </c>
      <c r="AI37" s="30">
        <v>1250</v>
      </c>
      <c r="AJ37" s="29">
        <f t="shared" si="3"/>
        <v>2600</v>
      </c>
      <c r="AK37" s="27"/>
      <c r="AL37" s="9">
        <v>0</v>
      </c>
      <c r="AM37" s="9">
        <f t="shared" si="4"/>
        <v>2600</v>
      </c>
      <c r="AN37" s="26">
        <v>1250</v>
      </c>
      <c r="AO37" s="37"/>
      <c r="AP37" s="26"/>
      <c r="AQ37" s="84"/>
      <c r="AR37" s="84"/>
      <c r="AS37" s="77">
        <f t="shared" si="2"/>
        <v>0</v>
      </c>
    </row>
    <row r="38" spans="1:61" x14ac:dyDescent="0.3">
      <c r="A38" s="28">
        <f t="shared" si="12"/>
        <v>30</v>
      </c>
      <c r="B38" s="31"/>
      <c r="C38" s="31" t="s">
        <v>84</v>
      </c>
      <c r="D38" s="58">
        <v>1260</v>
      </c>
      <c r="E38" s="29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>
        <v>2650</v>
      </c>
      <c r="AE38" s="36"/>
      <c r="AF38" s="27"/>
      <c r="AG38" s="29">
        <f t="shared" si="0"/>
        <v>1260</v>
      </c>
      <c r="AH38" s="29">
        <f t="shared" si="1"/>
        <v>2650</v>
      </c>
      <c r="AI38" s="30">
        <v>1260</v>
      </c>
      <c r="AJ38" s="29">
        <f t="shared" si="3"/>
        <v>2650</v>
      </c>
      <c r="AK38" s="27"/>
      <c r="AL38" s="9">
        <v>0</v>
      </c>
      <c r="AM38" s="9">
        <f t="shared" si="4"/>
        <v>2650</v>
      </c>
      <c r="AN38" s="26">
        <v>1260</v>
      </c>
      <c r="AO38" s="37"/>
      <c r="AP38" s="26"/>
      <c r="AQ38" s="84"/>
      <c r="AR38" s="84"/>
      <c r="AS38" s="77">
        <f t="shared" si="2"/>
        <v>0</v>
      </c>
    </row>
    <row r="39" spans="1:61" s="15" customFormat="1" x14ac:dyDescent="0.25">
      <c r="A39" s="23">
        <f>+A38+1</f>
        <v>31</v>
      </c>
      <c r="B39" s="32">
        <v>10009337</v>
      </c>
      <c r="C39" s="32" t="s">
        <v>62</v>
      </c>
      <c r="D39" s="56">
        <v>20385</v>
      </c>
      <c r="E39" s="24"/>
      <c r="F39" s="33">
        <v>390</v>
      </c>
      <c r="G39" s="33">
        <v>1455</v>
      </c>
      <c r="H39" s="33">
        <f>1170+360</f>
        <v>1530</v>
      </c>
      <c r="I39" s="33"/>
      <c r="J39" s="33"/>
      <c r="K39" s="33">
        <v>675</v>
      </c>
      <c r="L39" s="33">
        <f>150+1830</f>
        <v>1980</v>
      </c>
      <c r="M39" s="33">
        <f>1185+615</f>
        <v>1800</v>
      </c>
      <c r="N39" s="33">
        <v>990</v>
      </c>
      <c r="O39" s="33">
        <v>2250</v>
      </c>
      <c r="P39" s="33">
        <v>1605</v>
      </c>
      <c r="Q39" s="33"/>
      <c r="R39" s="33"/>
      <c r="S39" s="33">
        <f>1770+1380</f>
        <v>3150</v>
      </c>
      <c r="T39" s="33">
        <f>2900+1035</f>
        <v>3935</v>
      </c>
      <c r="U39" s="33">
        <v>660</v>
      </c>
      <c r="V39" s="33">
        <f>795+2085</f>
        <v>2880</v>
      </c>
      <c r="W39" s="33"/>
      <c r="X39" s="33"/>
      <c r="Y39" s="33"/>
      <c r="Z39" s="33"/>
      <c r="AA39" s="33"/>
      <c r="AB39" s="33"/>
      <c r="AC39" s="33"/>
      <c r="AD39" s="33">
        <f>19455-17060</f>
        <v>2395</v>
      </c>
      <c r="AE39" s="33"/>
      <c r="AF39" s="27"/>
      <c r="AG39" s="33">
        <f t="shared" si="0"/>
        <v>20385</v>
      </c>
      <c r="AH39" s="24">
        <f t="shared" si="1"/>
        <v>25695</v>
      </c>
      <c r="AI39" s="46">
        <v>26625</v>
      </c>
      <c r="AJ39" s="24">
        <f t="shared" si="3"/>
        <v>19455</v>
      </c>
      <c r="AK39" s="27">
        <v>52320</v>
      </c>
      <c r="AL39" s="9">
        <v>0</v>
      </c>
      <c r="AM39" s="9">
        <f t="shared" si="4"/>
        <v>19455</v>
      </c>
      <c r="AN39" s="26"/>
      <c r="AO39" s="86"/>
      <c r="AP39" s="26">
        <v>26625</v>
      </c>
      <c r="AQ39" s="84"/>
      <c r="AR39" s="84"/>
      <c r="AS39" s="77">
        <f t="shared" si="2"/>
        <v>0</v>
      </c>
      <c r="BG39" s="3"/>
      <c r="BH39" s="3"/>
      <c r="BI39" s="3"/>
    </row>
    <row r="40" spans="1:61" s="15" customFormat="1" x14ac:dyDescent="0.25">
      <c r="A40" s="23">
        <f t="shared" ref="A40" si="13">+A39+1</f>
        <v>32</v>
      </c>
      <c r="B40" s="32">
        <v>10009332</v>
      </c>
      <c r="C40" s="32" t="s">
        <v>64</v>
      </c>
      <c r="D40" s="56">
        <v>16230</v>
      </c>
      <c r="E40" s="24"/>
      <c r="F40" s="33">
        <v>375</v>
      </c>
      <c r="G40" s="33">
        <v>1170</v>
      </c>
      <c r="H40" s="33">
        <f>1560+120</f>
        <v>1680</v>
      </c>
      <c r="I40" s="33"/>
      <c r="J40" s="33"/>
      <c r="K40" s="33"/>
      <c r="L40" s="33">
        <f>585+2055</f>
        <v>2640</v>
      </c>
      <c r="M40" s="33">
        <f>1905+555</f>
        <v>2460</v>
      </c>
      <c r="N40" s="33"/>
      <c r="O40" s="33">
        <v>1485</v>
      </c>
      <c r="P40" s="33">
        <v>1985</v>
      </c>
      <c r="Q40" s="33"/>
      <c r="R40" s="33"/>
      <c r="S40" s="33">
        <f>2355+930</f>
        <v>3285</v>
      </c>
      <c r="T40" s="33">
        <f>915+2220</f>
        <v>3135</v>
      </c>
      <c r="U40" s="33">
        <v>495</v>
      </c>
      <c r="V40" s="33">
        <v>2295</v>
      </c>
      <c r="W40" s="33"/>
      <c r="X40" s="33"/>
      <c r="Y40" s="33"/>
      <c r="Z40" s="33">
        <v>555</v>
      </c>
      <c r="AA40" s="33"/>
      <c r="AB40" s="33"/>
      <c r="AC40" s="33"/>
      <c r="AD40" s="33">
        <f>14025-11165</f>
        <v>2860</v>
      </c>
      <c r="AE40" s="33"/>
      <c r="AF40" s="27"/>
      <c r="AG40" s="33">
        <f t="shared" si="0"/>
        <v>16230</v>
      </c>
      <c r="AH40" s="24">
        <f t="shared" si="1"/>
        <v>24420</v>
      </c>
      <c r="AI40" s="46">
        <v>26625</v>
      </c>
      <c r="AJ40" s="24">
        <f t="shared" si="3"/>
        <v>14025</v>
      </c>
      <c r="AK40" s="27"/>
      <c r="AL40" s="9">
        <v>0</v>
      </c>
      <c r="AM40" s="9">
        <f t="shared" si="4"/>
        <v>14025</v>
      </c>
      <c r="AN40" s="26"/>
      <c r="AO40" s="87"/>
      <c r="AP40" s="26">
        <v>26625</v>
      </c>
      <c r="AQ40" s="84"/>
      <c r="AR40" s="84"/>
      <c r="AS40" s="77">
        <f t="shared" si="2"/>
        <v>0</v>
      </c>
      <c r="BG40" s="3"/>
      <c r="BH40" s="3"/>
      <c r="BI40" s="3"/>
    </row>
    <row r="41" spans="1:61" s="15" customFormat="1" x14ac:dyDescent="0.25">
      <c r="A41" s="48">
        <f>+A40+1</f>
        <v>33</v>
      </c>
      <c r="B41" s="49"/>
      <c r="C41" s="49" t="s">
        <v>65</v>
      </c>
      <c r="D41" s="72">
        <v>66.174999999999997</v>
      </c>
      <c r="E41" s="50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2"/>
      <c r="AG41" s="67">
        <f t="shared" si="0"/>
        <v>66.174999999999997</v>
      </c>
      <c r="AH41" s="68">
        <f t="shared" si="1"/>
        <v>0</v>
      </c>
      <c r="AI41" s="69">
        <v>10</v>
      </c>
      <c r="AJ41" s="71">
        <f t="shared" si="3"/>
        <v>56.174999999999997</v>
      </c>
      <c r="AK41" s="70"/>
      <c r="AL41" s="9">
        <v>0</v>
      </c>
      <c r="AM41" s="18">
        <f t="shared" si="4"/>
        <v>56.174999999999997</v>
      </c>
      <c r="AN41" s="26"/>
      <c r="AO41" s="86"/>
      <c r="AP41" s="26"/>
      <c r="AQ41" s="84"/>
      <c r="AR41" s="84"/>
      <c r="AS41" s="77">
        <f t="shared" si="2"/>
        <v>0</v>
      </c>
      <c r="BG41" s="3"/>
      <c r="BH41" s="3"/>
      <c r="BI41" s="3"/>
    </row>
    <row r="42" spans="1:61" s="15" customFormat="1" x14ac:dyDescent="0.25">
      <c r="A42" s="48">
        <f t="shared" ref="A42:A43" si="14">+A41+1</f>
        <v>34</v>
      </c>
      <c r="B42" s="49"/>
      <c r="C42" s="49" t="s">
        <v>66</v>
      </c>
      <c r="D42" s="72">
        <v>26.774999999999999</v>
      </c>
      <c r="E42" s="50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2"/>
      <c r="AG42" s="67">
        <f t="shared" si="0"/>
        <v>26.774999999999999</v>
      </c>
      <c r="AH42" s="68">
        <f t="shared" si="1"/>
        <v>0</v>
      </c>
      <c r="AI42" s="69">
        <v>10</v>
      </c>
      <c r="AJ42" s="71">
        <f t="shared" si="3"/>
        <v>16.774999999999999</v>
      </c>
      <c r="AK42" s="70"/>
      <c r="AL42" s="9">
        <v>0</v>
      </c>
      <c r="AM42" s="18">
        <f t="shared" si="4"/>
        <v>16.774999999999999</v>
      </c>
      <c r="AN42" s="26"/>
      <c r="AO42" s="86"/>
      <c r="AP42" s="26"/>
      <c r="AQ42" s="84"/>
      <c r="AR42" s="84"/>
      <c r="AS42" s="77">
        <f t="shared" si="2"/>
        <v>0</v>
      </c>
      <c r="BG42" s="3"/>
      <c r="BH42" s="3"/>
      <c r="BI42" s="3"/>
    </row>
    <row r="43" spans="1:61" s="15" customFormat="1" x14ac:dyDescent="0.25">
      <c r="A43" s="48">
        <f t="shared" si="14"/>
        <v>35</v>
      </c>
      <c r="B43" s="49"/>
      <c r="C43" s="49" t="s">
        <v>80</v>
      </c>
      <c r="D43" s="72">
        <v>23.85</v>
      </c>
      <c r="E43" s="50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  <c r="AG43" s="67">
        <f t="shared" si="0"/>
        <v>23.85</v>
      </c>
      <c r="AH43" s="68">
        <f t="shared" si="1"/>
        <v>0</v>
      </c>
      <c r="AI43" s="69"/>
      <c r="AJ43" s="71">
        <f t="shared" si="3"/>
        <v>23.85</v>
      </c>
      <c r="AK43" s="70"/>
      <c r="AL43" s="9">
        <v>0</v>
      </c>
      <c r="AM43" s="18">
        <f t="shared" si="4"/>
        <v>23.85</v>
      </c>
      <c r="AN43" s="26"/>
      <c r="AO43" s="86"/>
      <c r="AP43" s="26"/>
      <c r="AQ43" s="84"/>
      <c r="AR43" s="84"/>
      <c r="AS43" s="77">
        <f t="shared" si="2"/>
        <v>0</v>
      </c>
      <c r="BG43" s="3"/>
      <c r="BH43" s="3"/>
      <c r="BI43" s="3"/>
    </row>
    <row r="44" spans="1:61" x14ac:dyDescent="0.3">
      <c r="A44" s="43">
        <f>+A43+1</f>
        <v>36</v>
      </c>
      <c r="B44" s="44" t="s">
        <v>25</v>
      </c>
      <c r="C44" s="44" t="s">
        <v>26</v>
      </c>
      <c r="D44" s="59">
        <v>1120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>
        <f t="shared" si="0"/>
        <v>1120</v>
      </c>
      <c r="AH44" s="42">
        <f t="shared" si="1"/>
        <v>0</v>
      </c>
      <c r="AI44" s="42"/>
      <c r="AJ44" s="42">
        <f>SUM(G44:AG44)</f>
        <v>1120</v>
      </c>
      <c r="AK44" s="27"/>
      <c r="AL44" s="9">
        <v>0</v>
      </c>
      <c r="AM44" s="18">
        <f t="shared" si="4"/>
        <v>1120</v>
      </c>
      <c r="AN44" s="26"/>
      <c r="AO44" s="37"/>
      <c r="AP44" s="26"/>
      <c r="AQ44" s="84"/>
      <c r="AR44" s="84"/>
      <c r="AS44" s="77">
        <f t="shared" si="2"/>
        <v>0</v>
      </c>
    </row>
    <row r="45" spans="1:61" ht="3.6" customHeight="1" x14ac:dyDescent="0.3"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27"/>
      <c r="AQ45" s="84">
        <f t="shared" ref="AQ45" si="15">SUM(AN45:AP45)</f>
        <v>0</v>
      </c>
      <c r="AR45" s="84">
        <f t="shared" ref="AR45" si="16">+AI45-AQ45</f>
        <v>0</v>
      </c>
    </row>
    <row r="46" spans="1:61" ht="15.6" x14ac:dyDescent="0.3">
      <c r="C46" s="1" t="s">
        <v>94</v>
      </c>
      <c r="D46" s="6">
        <f>SUM(D3:D44)</f>
        <v>1656565.8</v>
      </c>
      <c r="E46" s="6">
        <f>SUM(E3:E38)</f>
        <v>26504</v>
      </c>
      <c r="F46" s="6">
        <f t="shared" ref="F46:AD46" si="17">SUM(F3:F38)</f>
        <v>65452</v>
      </c>
      <c r="G46" s="6">
        <f t="shared" si="17"/>
        <v>75726</v>
      </c>
      <c r="H46" s="6">
        <f t="shared" si="17"/>
        <v>110724</v>
      </c>
      <c r="I46" s="6">
        <f t="shared" si="17"/>
        <v>152274</v>
      </c>
      <c r="J46" s="6">
        <f t="shared" si="17"/>
        <v>93072</v>
      </c>
      <c r="K46" s="6">
        <f t="shared" si="17"/>
        <v>116320</v>
      </c>
      <c r="L46" s="6">
        <f t="shared" si="17"/>
        <v>105660</v>
      </c>
      <c r="M46" s="6">
        <f t="shared" si="17"/>
        <v>101400</v>
      </c>
      <c r="N46" s="6">
        <f t="shared" si="17"/>
        <v>51820</v>
      </c>
      <c r="O46" s="6">
        <f t="shared" si="17"/>
        <v>55180</v>
      </c>
      <c r="P46" s="6">
        <f t="shared" si="17"/>
        <v>48148</v>
      </c>
      <c r="Q46" s="6">
        <f t="shared" si="17"/>
        <v>29920</v>
      </c>
      <c r="R46" s="6">
        <f t="shared" si="17"/>
        <v>110760</v>
      </c>
      <c r="S46" s="6">
        <f t="shared" si="17"/>
        <v>119440</v>
      </c>
      <c r="T46" s="6">
        <f t="shared" si="17"/>
        <v>105680</v>
      </c>
      <c r="U46" s="6">
        <f t="shared" si="17"/>
        <v>72220</v>
      </c>
      <c r="V46" s="6">
        <f t="shared" si="17"/>
        <v>75020</v>
      </c>
      <c r="W46" s="6">
        <f t="shared" si="17"/>
        <v>100920</v>
      </c>
      <c r="X46" s="6">
        <f t="shared" si="17"/>
        <v>42260</v>
      </c>
      <c r="Y46" s="6">
        <f t="shared" si="17"/>
        <v>110680</v>
      </c>
      <c r="Z46" s="6">
        <f t="shared" si="17"/>
        <v>102260</v>
      </c>
      <c r="AA46" s="6">
        <f t="shared" si="17"/>
        <v>0</v>
      </c>
      <c r="AB46" s="6">
        <f t="shared" si="17"/>
        <v>0</v>
      </c>
      <c r="AC46" s="6">
        <f t="shared" si="17"/>
        <v>0</v>
      </c>
      <c r="AD46" s="6">
        <f t="shared" si="17"/>
        <v>346782</v>
      </c>
      <c r="AE46" s="6">
        <f>SUM(AE3:AE44)</f>
        <v>0</v>
      </c>
      <c r="AF46" s="5">
        <f>SUM(AF3:AF38)</f>
        <v>0</v>
      </c>
      <c r="AG46" s="6">
        <f>SUM(AG3:AG44)</f>
        <v>1656565.8</v>
      </c>
      <c r="AH46" s="6">
        <f>SUM(AH3:AH44)</f>
        <v>2268337</v>
      </c>
      <c r="AI46" s="73">
        <f>SUM(AI3:AI44)</f>
        <v>1759000</v>
      </c>
      <c r="AJ46" s="35">
        <f>SUM(AJ3:AJ45)</f>
        <v>2165902.7999999998</v>
      </c>
      <c r="AK46" s="27"/>
      <c r="AL46" s="9">
        <f>SUM(AL1:AL44)</f>
        <v>0</v>
      </c>
      <c r="AM46" s="60">
        <f>SUM(AM1:AM44)</f>
        <v>2165902.7999999998</v>
      </c>
      <c r="AN46" s="60">
        <f>SUM(AN1:AN44)</f>
        <v>8930</v>
      </c>
      <c r="AO46" s="60">
        <f>SUM(AO1:AO44)</f>
        <v>780</v>
      </c>
      <c r="AP46" s="60">
        <f>SUM(AP1:AP44)</f>
        <v>1749270</v>
      </c>
      <c r="AQ46" s="84">
        <f>+AP46+AN46+AO46+20</f>
        <v>1759000</v>
      </c>
      <c r="AR46" s="84"/>
      <c r="BD46" s="3">
        <f>SUM(BD4:BD45)</f>
        <v>0</v>
      </c>
      <c r="BE46" s="5">
        <f>+BD46-AJ46</f>
        <v>-2165902.7999999998</v>
      </c>
    </row>
    <row r="47" spans="1:61" ht="3.6" customHeight="1" x14ac:dyDescent="0.3">
      <c r="AK47" s="27"/>
      <c r="AM47" s="5"/>
    </row>
    <row r="48" spans="1:61" x14ac:dyDescent="0.3">
      <c r="D48" s="74"/>
      <c r="AM48" s="5"/>
    </row>
    <row r="49" spans="4:44" x14ac:dyDescent="0.3">
      <c r="D49" s="5"/>
      <c r="AG49" s="100" t="s">
        <v>97</v>
      </c>
      <c r="AH49" s="101"/>
      <c r="AI49" s="101"/>
      <c r="AJ49" s="62">
        <f>+AJ46/1000</f>
        <v>2165.9027999999998</v>
      </c>
      <c r="AM49" s="5" t="s">
        <v>71</v>
      </c>
      <c r="AP49" s="3" t="s">
        <v>78</v>
      </c>
      <c r="AQ49" s="83" t="s">
        <v>79</v>
      </c>
      <c r="AR49" s="85"/>
    </row>
    <row r="50" spans="4:44" x14ac:dyDescent="0.3">
      <c r="AG50" s="3" t="s">
        <v>70</v>
      </c>
      <c r="AH50" s="61"/>
      <c r="AI50" s="61"/>
      <c r="AJ50" s="63">
        <v>0</v>
      </c>
      <c r="AM50" s="5" t="s">
        <v>72</v>
      </c>
      <c r="AN50" s="3">
        <f>+AP46/1000</f>
        <v>1749.27</v>
      </c>
      <c r="AO50" s="3">
        <v>1749.28</v>
      </c>
      <c r="AP50" s="3">
        <f>+AN50-AO50</f>
        <v>-9.9999999999909051E-3</v>
      </c>
      <c r="AQ50" s="83">
        <v>0</v>
      </c>
      <c r="AR50" s="85"/>
    </row>
    <row r="51" spans="4:44" x14ac:dyDescent="0.3">
      <c r="AH51" s="61"/>
      <c r="AI51" s="61"/>
      <c r="AJ51" s="63">
        <v>0</v>
      </c>
      <c r="AM51" s="3" t="s">
        <v>73</v>
      </c>
      <c r="AN51" s="3">
        <f>+AN46/1000</f>
        <v>8.93</v>
      </c>
      <c r="AR51" s="85"/>
    </row>
    <row r="52" spans="4:44" x14ac:dyDescent="0.3">
      <c r="AH52" s="61"/>
      <c r="AI52" s="61"/>
      <c r="AJ52" s="63">
        <v>0</v>
      </c>
      <c r="AM52" s="3" t="s">
        <v>74</v>
      </c>
      <c r="AN52" s="3">
        <f>+AO46/1000</f>
        <v>0.78</v>
      </c>
      <c r="AR52" s="85"/>
    </row>
    <row r="53" spans="4:44" x14ac:dyDescent="0.3">
      <c r="AG53" s="100" t="s">
        <v>67</v>
      </c>
      <c r="AH53" s="101"/>
      <c r="AI53" s="101"/>
      <c r="AJ53" s="64">
        <f>+AJ49-AJ50-AJ51-AJ52</f>
        <v>2165.9027999999998</v>
      </c>
      <c r="AM53" s="63"/>
      <c r="AN53" s="3">
        <f>SUM(AN50:AN52)</f>
        <v>1758.98</v>
      </c>
      <c r="AR53" s="85"/>
    </row>
    <row r="54" spans="4:44" x14ac:dyDescent="0.3">
      <c r="AM54" s="63"/>
      <c r="AN54" s="63"/>
    </row>
    <row r="55" spans="4:44" x14ac:dyDescent="0.3">
      <c r="AN55" s="63"/>
    </row>
    <row r="56" spans="4:44" x14ac:dyDescent="0.3">
      <c r="AH56" s="5"/>
    </row>
    <row r="57" spans="4:44" x14ac:dyDescent="0.3">
      <c r="AH57" s="5"/>
      <c r="AJ57" s="63"/>
    </row>
    <row r="59" spans="4:44" x14ac:dyDescent="0.3">
      <c r="AJ59" s="63"/>
    </row>
  </sheetData>
  <mergeCells count="7">
    <mergeCell ref="AM1:AM2"/>
    <mergeCell ref="AG49:AI49"/>
    <mergeCell ref="AG53:AI53"/>
    <mergeCell ref="A1:A2"/>
    <mergeCell ref="C1:C2"/>
    <mergeCell ref="D1:AE1"/>
    <mergeCell ref="AG1:AJ1"/>
  </mergeCells>
  <pageMargins left="0.31496062992125984" right="0.70866141732283472" top="0.15748031496062992" bottom="0.15748031496062992" header="0" footer="0.31496062992125984"/>
  <pageSetup paperSize="32004" scale="19" orientation="landscape" horizontalDpi="203" verticalDpi="203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1DDB-D93F-4643-B1FD-F5E3C6706CB9}">
  <sheetPr>
    <pageSetUpPr fitToPage="1"/>
  </sheetPr>
  <dimension ref="A1:AW56"/>
  <sheetViews>
    <sheetView zoomScale="91" zoomScaleNormal="91" workbookViewId="0">
      <pane xSplit="3" ySplit="2" topLeftCell="Q27" activePane="bottomRight" state="frozen"/>
      <selection pane="topRight" activeCell="D1" sqref="D1"/>
      <selection pane="bottomLeft" activeCell="A3" sqref="A3"/>
      <selection pane="bottomRight" activeCell="A45" sqref="A45"/>
    </sheetView>
  </sheetViews>
  <sheetFormatPr baseColWidth="10" defaultRowHeight="13.8" x14ac:dyDescent="0.25"/>
  <cols>
    <col min="1" max="1" width="5.5546875" style="3" customWidth="1"/>
    <col min="2" max="2" width="10.109375" style="3" customWidth="1"/>
    <col min="3" max="3" width="20.77734375" style="3" customWidth="1"/>
    <col min="4" max="4" width="13.33203125" style="3" customWidth="1"/>
    <col min="5" max="5" width="12.109375" style="3" customWidth="1"/>
    <col min="6" max="21" width="12" style="3" customWidth="1"/>
    <col min="22" max="22" width="12.21875" style="3" customWidth="1"/>
    <col min="23" max="23" width="1.109375" style="3" customWidth="1"/>
    <col min="24" max="25" width="11.6640625" style="3" customWidth="1"/>
    <col min="26" max="26" width="11.88671875" style="3" customWidth="1"/>
    <col min="27" max="27" width="12.6640625" style="3" customWidth="1"/>
    <col min="28" max="28" width="0.88671875" style="8" customWidth="1"/>
    <col min="29" max="29" width="11.5546875" style="3" customWidth="1"/>
    <col min="30" max="30" width="12.77734375" style="3" bestFit="1" customWidth="1"/>
    <col min="31" max="31" width="12.44140625" style="3" bestFit="1" customWidth="1"/>
    <col min="32" max="32" width="9.77734375" style="3" customWidth="1"/>
    <col min="33" max="33" width="11.77734375" style="3" bestFit="1" customWidth="1"/>
    <col min="34" max="38" width="9.77734375" style="3" customWidth="1"/>
    <col min="39" max="16384" width="11.5546875" style="3"/>
  </cols>
  <sheetData>
    <row r="1" spans="1:49" x14ac:dyDescent="0.25">
      <c r="A1" s="102" t="s">
        <v>1</v>
      </c>
      <c r="B1" s="2" t="s">
        <v>5</v>
      </c>
      <c r="C1" s="102" t="s">
        <v>0</v>
      </c>
      <c r="D1" s="102" t="s">
        <v>86</v>
      </c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X1" s="102" t="s">
        <v>2</v>
      </c>
      <c r="Y1" s="102"/>
      <c r="Z1" s="102"/>
      <c r="AA1" s="102"/>
      <c r="AB1" s="27"/>
      <c r="AC1" s="16" t="s">
        <v>22</v>
      </c>
      <c r="AD1" s="98" t="s">
        <v>24</v>
      </c>
    </row>
    <row r="2" spans="1:49" x14ac:dyDescent="0.25">
      <c r="A2" s="102"/>
      <c r="B2" s="2" t="s">
        <v>6</v>
      </c>
      <c r="C2" s="102"/>
      <c r="D2" s="4" t="s">
        <v>20</v>
      </c>
      <c r="E2" s="4">
        <v>46037</v>
      </c>
      <c r="F2" s="4">
        <v>46038</v>
      </c>
      <c r="G2" s="4">
        <v>46039</v>
      </c>
      <c r="H2" s="4">
        <v>46040</v>
      </c>
      <c r="I2" s="4">
        <v>46041</v>
      </c>
      <c r="J2" s="4">
        <v>46042</v>
      </c>
      <c r="K2" s="4">
        <v>46043</v>
      </c>
      <c r="L2" s="4">
        <v>46044</v>
      </c>
      <c r="M2" s="4">
        <v>46045</v>
      </c>
      <c r="N2" s="4">
        <v>46046</v>
      </c>
      <c r="O2" s="4">
        <v>46047</v>
      </c>
      <c r="P2" s="4">
        <v>46048</v>
      </c>
      <c r="Q2" s="4">
        <v>46049</v>
      </c>
      <c r="R2" s="4">
        <v>46050</v>
      </c>
      <c r="S2" s="4">
        <v>46051</v>
      </c>
      <c r="T2" s="4">
        <v>46052</v>
      </c>
      <c r="U2" s="4">
        <v>46053</v>
      </c>
      <c r="V2" s="13">
        <v>46054</v>
      </c>
      <c r="W2" s="34"/>
      <c r="X2" s="2" t="s">
        <v>21</v>
      </c>
      <c r="Y2" s="2" t="s">
        <v>3</v>
      </c>
      <c r="Z2" s="2" t="s">
        <v>61</v>
      </c>
      <c r="AA2" s="2" t="s">
        <v>4</v>
      </c>
      <c r="AB2" s="27"/>
      <c r="AC2" s="16" t="s">
        <v>23</v>
      </c>
      <c r="AD2" s="99"/>
      <c r="AE2" s="65" t="s">
        <v>75</v>
      </c>
      <c r="AF2" s="65" t="s">
        <v>76</v>
      </c>
      <c r="AG2" s="65" t="s">
        <v>77</v>
      </c>
    </row>
    <row r="3" spans="1:49" ht="14.4" x14ac:dyDescent="0.25">
      <c r="A3" s="17">
        <v>1</v>
      </c>
      <c r="B3" s="39" t="s">
        <v>27</v>
      </c>
      <c r="C3" s="39" t="s">
        <v>28</v>
      </c>
      <c r="D3" s="53">
        <v>180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27"/>
      <c r="X3" s="18">
        <f t="shared" ref="X3:X43" si="0">+D3</f>
        <v>180</v>
      </c>
      <c r="Y3" s="18">
        <f t="shared" ref="Y3:Y43" si="1">SUM(E3:V3)</f>
        <v>0</v>
      </c>
      <c r="Z3" s="19"/>
      <c r="AA3" s="18">
        <f>+X3+Y3-Z3</f>
        <v>180</v>
      </c>
      <c r="AB3" s="27">
        <f>+X3-AA3</f>
        <v>0</v>
      </c>
      <c r="AC3" s="9">
        <v>180</v>
      </c>
      <c r="AD3" s="18">
        <f>+AA3-AC3</f>
        <v>0</v>
      </c>
      <c r="AE3" s="60"/>
      <c r="AF3" s="65"/>
      <c r="AG3" s="60"/>
      <c r="AW3" s="5"/>
    </row>
    <row r="4" spans="1:49" ht="14.4" x14ac:dyDescent="0.25">
      <c r="A4" s="17">
        <f>+A3+1</f>
        <v>2</v>
      </c>
      <c r="B4" s="39" t="s">
        <v>29</v>
      </c>
      <c r="C4" s="39" t="s">
        <v>30</v>
      </c>
      <c r="D4" s="53">
        <v>12980</v>
      </c>
      <c r="E4" s="18">
        <v>120</v>
      </c>
      <c r="F4" s="18">
        <f>20+140</f>
        <v>160</v>
      </c>
      <c r="G4" s="18">
        <f>60+100</f>
        <v>160</v>
      </c>
      <c r="H4" s="18">
        <v>40</v>
      </c>
      <c r="I4" s="18">
        <f>240+260</f>
        <v>500</v>
      </c>
      <c r="J4" s="18">
        <f>80+180</f>
        <v>260</v>
      </c>
      <c r="K4" s="18"/>
      <c r="L4" s="18">
        <f>200+180</f>
        <v>380</v>
      </c>
      <c r="M4" s="18">
        <f>40+200</f>
        <v>240</v>
      </c>
      <c r="N4" s="18">
        <v>260</v>
      </c>
      <c r="O4" s="18">
        <v>540</v>
      </c>
      <c r="P4" s="18"/>
      <c r="Q4" s="18">
        <f>120+20</f>
        <v>140</v>
      </c>
      <c r="R4" s="18">
        <f>200+200</f>
        <v>400</v>
      </c>
      <c r="S4" s="18">
        <f>620+220</f>
        <v>840</v>
      </c>
      <c r="T4" s="18">
        <v>200</v>
      </c>
      <c r="U4" s="18">
        <f>40+20</f>
        <v>60</v>
      </c>
      <c r="V4" s="18">
        <v>620</v>
      </c>
      <c r="W4" s="27"/>
      <c r="X4" s="18">
        <f t="shared" si="0"/>
        <v>12980</v>
      </c>
      <c r="Y4" s="18">
        <f t="shared" si="1"/>
        <v>4920</v>
      </c>
      <c r="Z4" s="19"/>
      <c r="AA4" s="18">
        <f t="shared" ref="AA4:AA42" si="2">+X4+Y4-Z4</f>
        <v>17900</v>
      </c>
      <c r="AB4" s="27"/>
      <c r="AC4" s="78">
        <v>17900</v>
      </c>
      <c r="AD4" s="18">
        <f t="shared" ref="AD4:AD43" si="3">+AA4-AC4</f>
        <v>0</v>
      </c>
      <c r="AE4" s="60"/>
      <c r="AF4" s="65"/>
      <c r="AG4" s="60"/>
      <c r="AT4" s="15"/>
    </row>
    <row r="5" spans="1:49" ht="14.4" x14ac:dyDescent="0.25">
      <c r="A5" s="17">
        <f t="shared" ref="A5:A31" si="4">+A4+1</f>
        <v>3</v>
      </c>
      <c r="B5" s="39" t="s">
        <v>31</v>
      </c>
      <c r="C5" s="39" t="s">
        <v>32</v>
      </c>
      <c r="D5" s="53">
        <v>660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27"/>
      <c r="X5" s="18">
        <f t="shared" si="0"/>
        <v>660</v>
      </c>
      <c r="Y5" s="18">
        <f t="shared" si="1"/>
        <v>0</v>
      </c>
      <c r="Z5" s="19"/>
      <c r="AA5" s="18">
        <f t="shared" ref="AA5:AA10" si="5">+X5+Y5-Z5</f>
        <v>660</v>
      </c>
      <c r="AB5" s="27"/>
      <c r="AC5" s="78">
        <v>660</v>
      </c>
      <c r="AD5" s="18">
        <f t="shared" si="3"/>
        <v>0</v>
      </c>
      <c r="AE5" s="60"/>
      <c r="AF5" s="65"/>
      <c r="AG5" s="60"/>
    </row>
    <row r="6" spans="1:49" ht="14.4" x14ac:dyDescent="0.25">
      <c r="A6" s="17">
        <f t="shared" si="4"/>
        <v>4</v>
      </c>
      <c r="B6" s="45">
        <v>10009265</v>
      </c>
      <c r="C6" s="39" t="s">
        <v>33</v>
      </c>
      <c r="D6" s="53">
        <v>680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27"/>
      <c r="X6" s="18">
        <f t="shared" si="0"/>
        <v>680</v>
      </c>
      <c r="Y6" s="18">
        <f t="shared" si="1"/>
        <v>0</v>
      </c>
      <c r="Z6" s="19"/>
      <c r="AA6" s="18">
        <f t="shared" si="5"/>
        <v>680</v>
      </c>
      <c r="AB6" s="27"/>
      <c r="AC6" s="78">
        <v>680</v>
      </c>
      <c r="AD6" s="18">
        <f t="shared" si="3"/>
        <v>0</v>
      </c>
      <c r="AE6" s="60"/>
      <c r="AF6" s="65"/>
      <c r="AG6" s="60"/>
    </row>
    <row r="7" spans="1:49" ht="14.4" x14ac:dyDescent="0.25">
      <c r="A7" s="17">
        <f t="shared" si="4"/>
        <v>5</v>
      </c>
      <c r="B7" s="39" t="s">
        <v>34</v>
      </c>
      <c r="C7" s="39" t="s">
        <v>35</v>
      </c>
      <c r="D7" s="53">
        <v>95920</v>
      </c>
      <c r="E7" s="18">
        <f>8900+8240</f>
        <v>17140</v>
      </c>
      <c r="F7" s="18">
        <f>5760+5380</f>
        <v>11140</v>
      </c>
      <c r="G7" s="18">
        <f>7560+4900</f>
        <v>12460</v>
      </c>
      <c r="H7" s="18">
        <v>14360</v>
      </c>
      <c r="I7" s="18">
        <f>20740+5980</f>
        <v>26720</v>
      </c>
      <c r="J7" s="18">
        <f>20280+5820</f>
        <v>26100</v>
      </c>
      <c r="K7" s="18">
        <v>3860</v>
      </c>
      <c r="L7" s="18">
        <f>12440+2900</f>
        <v>15340</v>
      </c>
      <c r="M7" s="18">
        <f>13740+4060</f>
        <v>17800</v>
      </c>
      <c r="N7" s="18">
        <v>19440</v>
      </c>
      <c r="O7" s="18">
        <v>22640</v>
      </c>
      <c r="P7" s="18">
        <v>8660</v>
      </c>
      <c r="Q7" s="18">
        <f>3980+2680</f>
        <v>6660</v>
      </c>
      <c r="R7" s="18">
        <f>26300+13960</f>
        <v>40260</v>
      </c>
      <c r="S7" s="18">
        <f>22340+10420</f>
        <v>32760</v>
      </c>
      <c r="T7" s="18">
        <f>10980+320</f>
        <v>11300</v>
      </c>
      <c r="U7" s="18">
        <f>5240+2460</f>
        <v>7700</v>
      </c>
      <c r="V7" s="18">
        <v>18080</v>
      </c>
      <c r="W7" s="27"/>
      <c r="X7" s="18">
        <f t="shared" si="0"/>
        <v>95920</v>
      </c>
      <c r="Y7" s="18">
        <f t="shared" si="1"/>
        <v>312420</v>
      </c>
      <c r="Z7" s="19">
        <f>80+69700</f>
        <v>69780</v>
      </c>
      <c r="AA7" s="18">
        <f t="shared" si="5"/>
        <v>338560</v>
      </c>
      <c r="AB7" s="27"/>
      <c r="AC7" s="78">
        <v>338560</v>
      </c>
      <c r="AD7" s="18">
        <f t="shared" si="3"/>
        <v>0</v>
      </c>
      <c r="AE7" s="60"/>
      <c r="AF7" s="60">
        <v>80</v>
      </c>
      <c r="AG7" s="19">
        <v>69700</v>
      </c>
    </row>
    <row r="8" spans="1:49" ht="14.4" x14ac:dyDescent="0.25">
      <c r="A8" s="17">
        <f t="shared" si="4"/>
        <v>6</v>
      </c>
      <c r="B8" s="39" t="s">
        <v>36</v>
      </c>
      <c r="C8" s="39" t="s">
        <v>37</v>
      </c>
      <c r="D8" s="53">
        <v>120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27"/>
      <c r="X8" s="18">
        <f t="shared" si="0"/>
        <v>120</v>
      </c>
      <c r="Y8" s="18">
        <f t="shared" si="1"/>
        <v>0</v>
      </c>
      <c r="Z8" s="19"/>
      <c r="AA8" s="18">
        <f t="shared" si="5"/>
        <v>120</v>
      </c>
      <c r="AB8" s="27"/>
      <c r="AC8" s="78">
        <v>120</v>
      </c>
      <c r="AD8" s="18">
        <f t="shared" si="3"/>
        <v>0</v>
      </c>
      <c r="AE8" s="60"/>
      <c r="AF8" s="65"/>
      <c r="AG8" s="19"/>
    </row>
    <row r="9" spans="1:49" ht="14.4" x14ac:dyDescent="0.25">
      <c r="A9" s="17">
        <f t="shared" si="4"/>
        <v>7</v>
      </c>
      <c r="B9" s="39"/>
      <c r="C9" s="39" t="s">
        <v>88</v>
      </c>
      <c r="D9" s="53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>
        <v>6390</v>
      </c>
      <c r="Q9" s="18">
        <f>4680+5292</f>
        <v>9972</v>
      </c>
      <c r="R9" s="18">
        <v>288</v>
      </c>
      <c r="S9" s="18"/>
      <c r="T9" s="18"/>
      <c r="U9" s="18"/>
      <c r="V9" s="18"/>
      <c r="W9" s="27"/>
      <c r="X9" s="18">
        <f t="shared" si="0"/>
        <v>0</v>
      </c>
      <c r="Y9" s="18">
        <f t="shared" si="1"/>
        <v>16650</v>
      </c>
      <c r="Z9" s="19"/>
      <c r="AA9" s="18">
        <f t="shared" si="5"/>
        <v>16650</v>
      </c>
      <c r="AB9" s="27"/>
      <c r="AC9" s="78">
        <v>16650</v>
      </c>
      <c r="AD9" s="18">
        <f t="shared" si="3"/>
        <v>0</v>
      </c>
      <c r="AE9" s="60"/>
      <c r="AF9" s="65"/>
      <c r="AG9" s="19"/>
    </row>
    <row r="10" spans="1:49" ht="14.4" x14ac:dyDescent="0.25">
      <c r="A10" s="17"/>
      <c r="B10" s="39"/>
      <c r="C10" s="39" t="s">
        <v>89</v>
      </c>
      <c r="D10" s="53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>
        <f>1332+468</f>
        <v>1800</v>
      </c>
      <c r="R10" s="18">
        <v>54</v>
      </c>
      <c r="S10" s="18"/>
      <c r="T10" s="18"/>
      <c r="U10" s="18"/>
      <c r="V10" s="18"/>
      <c r="W10" s="27"/>
      <c r="X10" s="18">
        <f t="shared" si="0"/>
        <v>0</v>
      </c>
      <c r="Y10" s="18">
        <f t="shared" si="1"/>
        <v>1854</v>
      </c>
      <c r="Z10" s="19"/>
      <c r="AA10" s="18">
        <f t="shared" si="5"/>
        <v>1854</v>
      </c>
      <c r="AB10" s="27"/>
      <c r="AC10" s="78">
        <v>1854</v>
      </c>
      <c r="AD10" s="18">
        <f t="shared" si="3"/>
        <v>0</v>
      </c>
      <c r="AE10" s="60"/>
      <c r="AF10" s="65"/>
      <c r="AG10" s="19"/>
    </row>
    <row r="11" spans="1:49" s="8" customFormat="1" ht="14.4" x14ac:dyDescent="0.25">
      <c r="A11" s="37">
        <v>8</v>
      </c>
      <c r="B11" s="40" t="s">
        <v>40</v>
      </c>
      <c r="C11" s="40" t="s">
        <v>41</v>
      </c>
      <c r="D11" s="54">
        <v>6520</v>
      </c>
      <c r="E11" s="26">
        <v>300</v>
      </c>
      <c r="F11" s="26">
        <v>460</v>
      </c>
      <c r="G11" s="26">
        <v>440</v>
      </c>
      <c r="H11" s="26"/>
      <c r="I11" s="26">
        <v>380</v>
      </c>
      <c r="J11" s="26">
        <v>200</v>
      </c>
      <c r="K11" s="26">
        <v>60</v>
      </c>
      <c r="L11" s="26">
        <f>100+160</f>
        <v>260</v>
      </c>
      <c r="M11" s="26">
        <v>540</v>
      </c>
      <c r="N11" s="26">
        <v>60</v>
      </c>
      <c r="O11" s="26"/>
      <c r="P11" s="26">
        <v>1060</v>
      </c>
      <c r="Q11" s="26">
        <v>380</v>
      </c>
      <c r="R11" s="26">
        <f>240+260</f>
        <v>500</v>
      </c>
      <c r="S11" s="26">
        <f>400+400</f>
        <v>800</v>
      </c>
      <c r="T11" s="26">
        <v>40</v>
      </c>
      <c r="U11" s="26">
        <v>340</v>
      </c>
      <c r="V11" s="26"/>
      <c r="W11" s="27"/>
      <c r="X11" s="26">
        <f t="shared" si="0"/>
        <v>6520</v>
      </c>
      <c r="Y11" s="26">
        <f t="shared" si="1"/>
        <v>5820</v>
      </c>
      <c r="Z11" s="38"/>
      <c r="AA11" s="26">
        <f t="shared" si="2"/>
        <v>12340</v>
      </c>
      <c r="AB11" s="27"/>
      <c r="AC11" s="78">
        <v>12340</v>
      </c>
      <c r="AD11" s="18">
        <f t="shared" si="3"/>
        <v>0</v>
      </c>
      <c r="AE11" s="26"/>
      <c r="AF11" s="37"/>
      <c r="AG11" s="38"/>
    </row>
    <row r="12" spans="1:49" s="8" customFormat="1" ht="14.4" x14ac:dyDescent="0.25">
      <c r="A12" s="37">
        <f>+A11+1</f>
        <v>9</v>
      </c>
      <c r="B12" s="40">
        <v>10007969</v>
      </c>
      <c r="C12" s="40" t="s">
        <v>59</v>
      </c>
      <c r="D12" s="54">
        <v>33140</v>
      </c>
      <c r="E12" s="26">
        <v>1340</v>
      </c>
      <c r="F12" s="26">
        <v>2140</v>
      </c>
      <c r="G12" s="26">
        <v>2280</v>
      </c>
      <c r="H12" s="26"/>
      <c r="I12" s="26">
        <f>720+1540</f>
        <v>2260</v>
      </c>
      <c r="J12" s="26">
        <v>1020</v>
      </c>
      <c r="K12" s="26">
        <f>340+480</f>
        <v>820</v>
      </c>
      <c r="L12" s="26">
        <v>760</v>
      </c>
      <c r="M12" s="26">
        <f>940+1500</f>
        <v>2440</v>
      </c>
      <c r="N12" s="26">
        <v>3440</v>
      </c>
      <c r="O12" s="26"/>
      <c r="P12" s="26">
        <f>120+3620</f>
        <v>3740</v>
      </c>
      <c r="Q12" s="26">
        <f>200+3180</f>
        <v>3380</v>
      </c>
      <c r="R12" s="26">
        <v>3380</v>
      </c>
      <c r="S12" s="26">
        <f>240+1880</f>
        <v>2120</v>
      </c>
      <c r="T12" s="26">
        <v>200</v>
      </c>
      <c r="U12" s="26">
        <v>2520</v>
      </c>
      <c r="V12" s="26"/>
      <c r="W12" s="27"/>
      <c r="X12" s="26">
        <f t="shared" si="0"/>
        <v>33140</v>
      </c>
      <c r="Y12" s="26">
        <f t="shared" si="1"/>
        <v>31840</v>
      </c>
      <c r="Z12" s="38">
        <f>24000+20</f>
        <v>24020</v>
      </c>
      <c r="AA12" s="26">
        <f t="shared" si="2"/>
        <v>40960</v>
      </c>
      <c r="AB12" s="27"/>
      <c r="AC12" s="78">
        <v>40960</v>
      </c>
      <c r="AD12" s="18">
        <f t="shared" si="3"/>
        <v>0</v>
      </c>
      <c r="AE12" s="26"/>
      <c r="AF12" s="37">
        <v>20</v>
      </c>
      <c r="AG12" s="38">
        <f>24000</f>
        <v>24000</v>
      </c>
    </row>
    <row r="13" spans="1:49" ht="14.4" x14ac:dyDescent="0.25">
      <c r="A13" s="7">
        <f>+A12+1</f>
        <v>10</v>
      </c>
      <c r="B13" s="20" t="s">
        <v>8</v>
      </c>
      <c r="C13" s="20" t="s">
        <v>9</v>
      </c>
      <c r="D13" s="55">
        <v>300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7"/>
      <c r="X13" s="21">
        <f t="shared" si="0"/>
        <v>300</v>
      </c>
      <c r="Y13" s="21">
        <f t="shared" si="1"/>
        <v>0</v>
      </c>
      <c r="Z13" s="22"/>
      <c r="AA13" s="21">
        <f t="shared" si="2"/>
        <v>300</v>
      </c>
      <c r="AB13" s="27"/>
      <c r="AC13" s="78">
        <f>120+180</f>
        <v>300</v>
      </c>
      <c r="AD13" s="18">
        <f t="shared" si="3"/>
        <v>0</v>
      </c>
      <c r="AE13" s="60"/>
      <c r="AF13" s="65"/>
      <c r="AG13" s="22"/>
    </row>
    <row r="14" spans="1:49" ht="14.4" x14ac:dyDescent="0.25">
      <c r="A14" s="7">
        <f t="shared" ref="A14:A16" si="6">+A13+1</f>
        <v>11</v>
      </c>
      <c r="B14" s="20" t="s">
        <v>10</v>
      </c>
      <c r="C14" s="20" t="s">
        <v>11</v>
      </c>
      <c r="D14" s="55">
        <v>1120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7"/>
      <c r="X14" s="21">
        <f t="shared" si="0"/>
        <v>1120</v>
      </c>
      <c r="Y14" s="21">
        <f t="shared" si="1"/>
        <v>0</v>
      </c>
      <c r="Z14" s="22"/>
      <c r="AA14" s="21">
        <f t="shared" si="2"/>
        <v>1120</v>
      </c>
      <c r="AB14" s="27"/>
      <c r="AC14" s="9">
        <v>1120</v>
      </c>
      <c r="AD14" s="18">
        <f t="shared" si="3"/>
        <v>0</v>
      </c>
      <c r="AE14" s="60"/>
      <c r="AF14" s="65"/>
      <c r="AG14" s="22"/>
    </row>
    <row r="15" spans="1:49" ht="14.4" x14ac:dyDescent="0.25">
      <c r="A15" s="7">
        <f t="shared" si="6"/>
        <v>12</v>
      </c>
      <c r="B15" s="20" t="s">
        <v>57</v>
      </c>
      <c r="C15" s="20" t="s">
        <v>58</v>
      </c>
      <c r="D15" s="55">
        <v>155380</v>
      </c>
      <c r="E15" s="21">
        <f>14860+12480</f>
        <v>27340</v>
      </c>
      <c r="F15" s="21">
        <f>19020+30620</f>
        <v>49640</v>
      </c>
      <c r="G15" s="21">
        <f>29320+25140</f>
        <v>54460</v>
      </c>
      <c r="H15" s="21"/>
      <c r="I15" s="21">
        <f>22180+240</f>
        <v>22420</v>
      </c>
      <c r="J15" s="21">
        <v>3500</v>
      </c>
      <c r="K15" s="21">
        <v>7760</v>
      </c>
      <c r="L15" s="21">
        <v>3800</v>
      </c>
      <c r="M15" s="21">
        <f>6620+5060</f>
        <v>11680</v>
      </c>
      <c r="N15" s="21">
        <f>6660+20840</f>
        <v>27500</v>
      </c>
      <c r="O15" s="21">
        <v>19200</v>
      </c>
      <c r="P15" s="21">
        <f>21740+11680</f>
        <v>33420</v>
      </c>
      <c r="Q15" s="21">
        <f>42220+16840</f>
        <v>59060</v>
      </c>
      <c r="R15" s="21">
        <f>27860+14020</f>
        <v>41880</v>
      </c>
      <c r="S15" s="21">
        <f>36440+4560</f>
        <v>41000</v>
      </c>
      <c r="T15" s="21"/>
      <c r="U15" s="21">
        <f>21900+27300</f>
        <v>49200</v>
      </c>
      <c r="V15" s="21"/>
      <c r="W15" s="27"/>
      <c r="X15" s="21">
        <f t="shared" si="0"/>
        <v>155380</v>
      </c>
      <c r="Y15" s="21">
        <f t="shared" si="1"/>
        <v>451860</v>
      </c>
      <c r="Z15" s="22">
        <f>60+135000</f>
        <v>135060</v>
      </c>
      <c r="AA15" s="21">
        <f t="shared" si="2"/>
        <v>472180</v>
      </c>
      <c r="AB15" s="27"/>
      <c r="AC15" s="78">
        <v>472180</v>
      </c>
      <c r="AD15" s="18">
        <f t="shared" si="3"/>
        <v>0</v>
      </c>
      <c r="AE15" s="60"/>
      <c r="AF15" s="65">
        <v>60</v>
      </c>
      <c r="AG15" s="22">
        <f>135000</f>
        <v>135000</v>
      </c>
      <c r="AU15" s="15"/>
    </row>
    <row r="16" spans="1:49" ht="14.4" x14ac:dyDescent="0.25">
      <c r="A16" s="7">
        <f t="shared" si="6"/>
        <v>13</v>
      </c>
      <c r="B16" s="20" t="s">
        <v>55</v>
      </c>
      <c r="C16" s="20" t="s">
        <v>56</v>
      </c>
      <c r="D16" s="55">
        <v>55940</v>
      </c>
      <c r="E16" s="21">
        <f>3020+5980</f>
        <v>9000</v>
      </c>
      <c r="F16" s="21">
        <f>1280+6980</f>
        <v>8260</v>
      </c>
      <c r="G16" s="21">
        <v>5160</v>
      </c>
      <c r="H16" s="21"/>
      <c r="I16" s="21">
        <f>920+1580</f>
        <v>2500</v>
      </c>
      <c r="J16" s="21">
        <v>920</v>
      </c>
      <c r="K16" s="21">
        <v>1020</v>
      </c>
      <c r="L16" s="21">
        <f>2140+3420</f>
        <v>5560</v>
      </c>
      <c r="M16" s="21">
        <f>2020+3500</f>
        <v>5520</v>
      </c>
      <c r="N16" s="21">
        <v>1820</v>
      </c>
      <c r="O16" s="21"/>
      <c r="P16" s="21">
        <f>600+1060</f>
        <v>1660</v>
      </c>
      <c r="Q16" s="21">
        <v>1420</v>
      </c>
      <c r="R16" s="21">
        <v>540</v>
      </c>
      <c r="S16" s="21">
        <f>2960+2860</f>
        <v>5820</v>
      </c>
      <c r="T16" s="21">
        <v>820</v>
      </c>
      <c r="U16" s="21">
        <v>6480</v>
      </c>
      <c r="V16" s="21"/>
      <c r="W16" s="27"/>
      <c r="X16" s="21">
        <f t="shared" si="0"/>
        <v>55940</v>
      </c>
      <c r="Y16" s="21">
        <f t="shared" si="1"/>
        <v>56500</v>
      </c>
      <c r="Z16" s="22">
        <f>23600+23800</f>
        <v>47400</v>
      </c>
      <c r="AA16" s="21">
        <f>+X16+Y16-Z16</f>
        <v>65040</v>
      </c>
      <c r="AB16" s="27"/>
      <c r="AC16" s="78">
        <v>65040</v>
      </c>
      <c r="AD16" s="18">
        <f t="shared" si="3"/>
        <v>0</v>
      </c>
      <c r="AE16" s="60"/>
      <c r="AF16" s="65"/>
      <c r="AG16" s="22">
        <f>23600+23800</f>
        <v>47400</v>
      </c>
      <c r="AT16" s="8"/>
    </row>
    <row r="17" spans="1:48" ht="14.4" x14ac:dyDescent="0.25">
      <c r="A17" s="23">
        <f>+A16+1</f>
        <v>14</v>
      </c>
      <c r="B17" s="47" t="s">
        <v>42</v>
      </c>
      <c r="C17" s="32" t="s">
        <v>7</v>
      </c>
      <c r="D17" s="56">
        <v>940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7"/>
      <c r="X17" s="24">
        <f t="shared" si="0"/>
        <v>940</v>
      </c>
      <c r="Y17" s="24">
        <f t="shared" si="1"/>
        <v>0</v>
      </c>
      <c r="Z17" s="25"/>
      <c r="AA17" s="24">
        <f t="shared" si="2"/>
        <v>940</v>
      </c>
      <c r="AB17" s="27"/>
      <c r="AC17" s="9">
        <f>180+760</f>
        <v>940</v>
      </c>
      <c r="AD17" s="18">
        <f t="shared" si="3"/>
        <v>0</v>
      </c>
      <c r="AE17" s="60"/>
      <c r="AF17" s="65"/>
      <c r="AG17" s="25"/>
    </row>
    <row r="18" spans="1:48" ht="14.4" x14ac:dyDescent="0.25">
      <c r="A18" s="23">
        <f t="shared" ref="A18:A22" si="7">+A17+1</f>
        <v>15</v>
      </c>
      <c r="B18" s="47">
        <v>10009271</v>
      </c>
      <c r="C18" s="32" t="s">
        <v>60</v>
      </c>
      <c r="D18" s="56">
        <v>240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7"/>
      <c r="X18" s="24">
        <f t="shared" si="0"/>
        <v>240</v>
      </c>
      <c r="Y18" s="24">
        <f t="shared" si="1"/>
        <v>0</v>
      </c>
      <c r="Z18" s="25"/>
      <c r="AA18" s="24">
        <f t="shared" si="2"/>
        <v>240</v>
      </c>
      <c r="AB18" s="27"/>
      <c r="AC18" s="9">
        <v>240</v>
      </c>
      <c r="AD18" s="18">
        <f t="shared" si="3"/>
        <v>0</v>
      </c>
      <c r="AE18" s="60"/>
      <c r="AF18" s="65"/>
      <c r="AG18" s="25"/>
    </row>
    <row r="19" spans="1:48" ht="14.4" x14ac:dyDescent="0.25">
      <c r="A19" s="23">
        <f t="shared" si="7"/>
        <v>16</v>
      </c>
      <c r="B19" s="47" t="s">
        <v>43</v>
      </c>
      <c r="C19" s="32" t="s">
        <v>44</v>
      </c>
      <c r="D19" s="56">
        <v>96180</v>
      </c>
      <c r="E19" s="24">
        <f>700+3300</f>
        <v>4000</v>
      </c>
      <c r="F19" s="24">
        <f>1560+4720</f>
        <v>6280</v>
      </c>
      <c r="G19" s="24">
        <f>2420+4220</f>
        <v>6640</v>
      </c>
      <c r="H19" s="24"/>
      <c r="I19" s="24">
        <f>3980+2940</f>
        <v>6920</v>
      </c>
      <c r="J19" s="24">
        <v>3160</v>
      </c>
      <c r="K19" s="24">
        <f>980+2760</f>
        <v>3740</v>
      </c>
      <c r="L19" s="24">
        <v>1160</v>
      </c>
      <c r="M19" s="24">
        <f>4020+2700</f>
        <v>6720</v>
      </c>
      <c r="N19" s="24">
        <f>1320+5600</f>
        <v>6920</v>
      </c>
      <c r="O19" s="24"/>
      <c r="P19" s="24">
        <f>4000+5320</f>
        <v>9320</v>
      </c>
      <c r="Q19" s="24">
        <f>2520+7060</f>
        <v>9580</v>
      </c>
      <c r="R19" s="24">
        <f>1920+6740</f>
        <v>8660</v>
      </c>
      <c r="S19" s="24">
        <f>280+4600</f>
        <v>4880</v>
      </c>
      <c r="T19" s="24">
        <v>560</v>
      </c>
      <c r="U19" s="24">
        <f>1860+4520</f>
        <v>6380</v>
      </c>
      <c r="V19" s="24"/>
      <c r="W19" s="27"/>
      <c r="X19" s="24">
        <f t="shared" si="0"/>
        <v>96180</v>
      </c>
      <c r="Y19" s="24">
        <f t="shared" si="1"/>
        <v>84920</v>
      </c>
      <c r="Z19" s="25">
        <f>40+20+3000</f>
        <v>3060</v>
      </c>
      <c r="AA19" s="24">
        <f t="shared" si="2"/>
        <v>178040</v>
      </c>
      <c r="AB19" s="27"/>
      <c r="AC19" s="78">
        <v>178040</v>
      </c>
      <c r="AD19" s="18">
        <f t="shared" si="3"/>
        <v>0</v>
      </c>
      <c r="AE19" s="60"/>
      <c r="AF19" s="65">
        <f>40+20</f>
        <v>60</v>
      </c>
      <c r="AG19" s="25">
        <f>3000</f>
        <v>3000</v>
      </c>
    </row>
    <row r="20" spans="1:48" ht="14.4" x14ac:dyDescent="0.25">
      <c r="A20" s="23">
        <f t="shared" si="7"/>
        <v>17</v>
      </c>
      <c r="B20" s="47" t="s">
        <v>45</v>
      </c>
      <c r="C20" s="32" t="s">
        <v>46</v>
      </c>
      <c r="D20" s="56">
        <v>4900</v>
      </c>
      <c r="E20" s="24">
        <v>100</v>
      </c>
      <c r="F20" s="24">
        <f>20+100</f>
        <v>120</v>
      </c>
      <c r="G20" s="24"/>
      <c r="H20" s="24"/>
      <c r="I20" s="24">
        <f>60+180</f>
        <v>240</v>
      </c>
      <c r="J20" s="24">
        <v>140</v>
      </c>
      <c r="K20" s="24"/>
      <c r="L20" s="24">
        <f>80+20</f>
        <v>100</v>
      </c>
      <c r="M20" s="24">
        <f>40+60</f>
        <v>100</v>
      </c>
      <c r="N20" s="24">
        <f>140+0</f>
        <v>140</v>
      </c>
      <c r="O20" s="24"/>
      <c r="P20" s="24">
        <v>180</v>
      </c>
      <c r="Q20" s="24">
        <f>60+160</f>
        <v>220</v>
      </c>
      <c r="R20" s="24">
        <v>180</v>
      </c>
      <c r="S20" s="24">
        <v>120</v>
      </c>
      <c r="T20" s="24">
        <v>0</v>
      </c>
      <c r="U20" s="24">
        <v>160</v>
      </c>
      <c r="V20" s="24"/>
      <c r="W20" s="27"/>
      <c r="X20" s="24">
        <f t="shared" si="0"/>
        <v>4900</v>
      </c>
      <c r="Y20" s="24">
        <f t="shared" si="1"/>
        <v>1800</v>
      </c>
      <c r="Z20" s="25"/>
      <c r="AA20" s="24">
        <f t="shared" si="2"/>
        <v>6700</v>
      </c>
      <c r="AB20" s="27"/>
      <c r="AC20" s="9">
        <v>6700</v>
      </c>
      <c r="AD20" s="18">
        <f t="shared" si="3"/>
        <v>0</v>
      </c>
      <c r="AE20" s="60"/>
      <c r="AF20" s="65"/>
      <c r="AG20" s="25"/>
    </row>
    <row r="21" spans="1:48" ht="14.4" x14ac:dyDescent="0.25">
      <c r="A21" s="23">
        <f t="shared" si="7"/>
        <v>18</v>
      </c>
      <c r="B21" s="47" t="s">
        <v>47</v>
      </c>
      <c r="C21" s="32" t="s">
        <v>48</v>
      </c>
      <c r="D21" s="56">
        <v>17040</v>
      </c>
      <c r="E21" s="24">
        <v>1720</v>
      </c>
      <c r="F21" s="24">
        <f>640+1520</f>
        <v>2160</v>
      </c>
      <c r="G21" s="24">
        <f>720+1640</f>
        <v>2360</v>
      </c>
      <c r="H21" s="24"/>
      <c r="I21" s="24">
        <f>1260+560</f>
        <v>1820</v>
      </c>
      <c r="J21" s="24">
        <v>660</v>
      </c>
      <c r="K21" s="24">
        <v>300</v>
      </c>
      <c r="L21" s="24">
        <f>980+360</f>
        <v>1340</v>
      </c>
      <c r="M21" s="24">
        <f>1640+1500</f>
        <v>3140</v>
      </c>
      <c r="N21" s="24">
        <v>2040</v>
      </c>
      <c r="O21" s="24"/>
      <c r="P21" s="24">
        <f>780+2240</f>
        <v>3020</v>
      </c>
      <c r="Q21" s="24">
        <f>860+2340</f>
        <v>3200</v>
      </c>
      <c r="R21" s="24">
        <f>960+1580</f>
        <v>2540</v>
      </c>
      <c r="S21" s="24">
        <f>360+1780</f>
        <v>2140</v>
      </c>
      <c r="T21" s="24">
        <v>340</v>
      </c>
      <c r="U21" s="24">
        <f>140+1800</f>
        <v>1940</v>
      </c>
      <c r="V21" s="24"/>
      <c r="W21" s="27"/>
      <c r="X21" s="24">
        <f t="shared" si="0"/>
        <v>17040</v>
      </c>
      <c r="Y21" s="24">
        <f t="shared" si="1"/>
        <v>28720</v>
      </c>
      <c r="Z21" s="25">
        <f>40+17040</f>
        <v>17080</v>
      </c>
      <c r="AA21" s="24">
        <f t="shared" si="2"/>
        <v>28680</v>
      </c>
      <c r="AB21" s="27"/>
      <c r="AC21" s="78">
        <v>28680</v>
      </c>
      <c r="AD21" s="18">
        <f t="shared" si="3"/>
        <v>0</v>
      </c>
      <c r="AE21" s="60"/>
      <c r="AF21" s="65">
        <v>40</v>
      </c>
      <c r="AG21" s="25">
        <f>17040</f>
        <v>17040</v>
      </c>
      <c r="AH21" s="5"/>
      <c r="AI21" s="5"/>
    </row>
    <row r="22" spans="1:48" ht="14.4" x14ac:dyDescent="0.25">
      <c r="A22" s="23">
        <f t="shared" si="7"/>
        <v>19</v>
      </c>
      <c r="B22" s="32">
        <v>10009386</v>
      </c>
      <c r="C22" s="32" t="s">
        <v>63</v>
      </c>
      <c r="D22" s="56">
        <v>9860</v>
      </c>
      <c r="E22" s="24">
        <v>500</v>
      </c>
      <c r="F22" s="24">
        <v>480</v>
      </c>
      <c r="G22" s="24">
        <v>520</v>
      </c>
      <c r="H22" s="24"/>
      <c r="I22" s="24">
        <f>260+280</f>
        <v>540</v>
      </c>
      <c r="J22" s="24">
        <v>260</v>
      </c>
      <c r="K22" s="24">
        <v>100</v>
      </c>
      <c r="L22" s="24">
        <f>140+220</f>
        <v>360</v>
      </c>
      <c r="M22" s="24">
        <v>600</v>
      </c>
      <c r="N22" s="24">
        <v>760</v>
      </c>
      <c r="O22" s="24"/>
      <c r="P22" s="24">
        <v>900</v>
      </c>
      <c r="Q22" s="24">
        <v>860</v>
      </c>
      <c r="R22" s="24">
        <v>440</v>
      </c>
      <c r="S22" s="24">
        <f>20+500</f>
        <v>520</v>
      </c>
      <c r="T22" s="24">
        <v>40</v>
      </c>
      <c r="U22" s="24">
        <v>520</v>
      </c>
      <c r="V22" s="24"/>
      <c r="W22" s="27"/>
      <c r="X22" s="24">
        <f t="shared" si="0"/>
        <v>9860</v>
      </c>
      <c r="Y22" s="24">
        <f t="shared" si="1"/>
        <v>7400</v>
      </c>
      <c r="Z22" s="25"/>
      <c r="AA22" s="24">
        <f t="shared" si="2"/>
        <v>17260</v>
      </c>
      <c r="AB22" s="27"/>
      <c r="AC22" s="78">
        <v>17260</v>
      </c>
      <c r="AD22" s="18">
        <f t="shared" si="3"/>
        <v>0</v>
      </c>
      <c r="AE22" s="60"/>
      <c r="AF22" s="65"/>
      <c r="AG22" s="25"/>
    </row>
    <row r="23" spans="1:48" s="8" customFormat="1" ht="14.4" x14ac:dyDescent="0.25">
      <c r="A23" s="11">
        <f>+A22+1</f>
        <v>20</v>
      </c>
      <c r="B23" s="12" t="s">
        <v>12</v>
      </c>
      <c r="C23" s="12" t="s">
        <v>13</v>
      </c>
      <c r="D23" s="57">
        <v>30440</v>
      </c>
      <c r="E23" s="10">
        <f>220+2060</f>
        <v>2280</v>
      </c>
      <c r="F23" s="10">
        <v>3600</v>
      </c>
      <c r="G23" s="10">
        <f>620+3060</f>
        <v>3680</v>
      </c>
      <c r="H23" s="10"/>
      <c r="I23" s="10">
        <f>380+3340</f>
        <v>3720</v>
      </c>
      <c r="J23" s="10">
        <v>1680</v>
      </c>
      <c r="K23" s="10">
        <f>560+0</f>
        <v>560</v>
      </c>
      <c r="L23" s="10">
        <f>1320+780</f>
        <v>2100</v>
      </c>
      <c r="M23" s="10">
        <f>940+2960</f>
        <v>3900</v>
      </c>
      <c r="N23" s="10">
        <v>4200</v>
      </c>
      <c r="O23" s="10"/>
      <c r="P23" s="10">
        <f>1100+4080</f>
        <v>5180</v>
      </c>
      <c r="Q23" s="10">
        <f>540+2220</f>
        <v>2760</v>
      </c>
      <c r="R23" s="10">
        <f>2060+3500</f>
        <v>5560</v>
      </c>
      <c r="S23" s="10">
        <f>1680+1760</f>
        <v>3440</v>
      </c>
      <c r="T23" s="10">
        <v>360</v>
      </c>
      <c r="U23" s="10">
        <f>880+2520</f>
        <v>3400</v>
      </c>
      <c r="V23" s="10"/>
      <c r="W23" s="26"/>
      <c r="X23" s="10">
        <f t="shared" si="0"/>
        <v>30440</v>
      </c>
      <c r="Y23" s="10">
        <f t="shared" si="1"/>
        <v>46420</v>
      </c>
      <c r="Z23" s="14">
        <f>22660+26300</f>
        <v>48960</v>
      </c>
      <c r="AA23" s="10">
        <f t="shared" si="2"/>
        <v>27900</v>
      </c>
      <c r="AB23" s="27"/>
      <c r="AC23" s="9">
        <v>27900</v>
      </c>
      <c r="AD23" s="18">
        <f t="shared" si="3"/>
        <v>0</v>
      </c>
      <c r="AE23" s="60"/>
      <c r="AF23" s="37"/>
      <c r="AG23" s="14">
        <f>22660+26300</f>
        <v>48960</v>
      </c>
      <c r="AN23" s="3"/>
      <c r="AT23" s="3"/>
      <c r="AU23" s="3"/>
      <c r="AV23" s="3"/>
    </row>
    <row r="24" spans="1:48" ht="14.4" x14ac:dyDescent="0.25">
      <c r="A24" s="11">
        <f t="shared" ref="A24:A29" si="8">+A23+1</f>
        <v>21</v>
      </c>
      <c r="B24" s="12" t="s">
        <v>14</v>
      </c>
      <c r="C24" s="12" t="s">
        <v>15</v>
      </c>
      <c r="D24" s="57">
        <v>140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26"/>
      <c r="X24" s="10">
        <f t="shared" si="0"/>
        <v>140</v>
      </c>
      <c r="Y24" s="10">
        <f t="shared" si="1"/>
        <v>0</v>
      </c>
      <c r="Z24" s="14"/>
      <c r="AA24" s="10">
        <f>+X24+Y24-Z24</f>
        <v>140</v>
      </c>
      <c r="AB24" s="27"/>
      <c r="AC24" s="78">
        <v>140</v>
      </c>
      <c r="AD24" s="18">
        <f t="shared" si="3"/>
        <v>0</v>
      </c>
      <c r="AE24" s="60"/>
      <c r="AF24" s="65"/>
      <c r="AG24" s="14"/>
      <c r="AN24" s="8"/>
    </row>
    <row r="25" spans="1:48" ht="14.4" x14ac:dyDescent="0.25">
      <c r="A25" s="11">
        <f t="shared" si="8"/>
        <v>22</v>
      </c>
      <c r="B25" s="12" t="s">
        <v>16</v>
      </c>
      <c r="C25" s="12" t="s">
        <v>17</v>
      </c>
      <c r="D25" s="57">
        <v>13760</v>
      </c>
      <c r="E25" s="10">
        <v>180</v>
      </c>
      <c r="F25" s="10">
        <v>260</v>
      </c>
      <c r="G25" s="10">
        <v>240</v>
      </c>
      <c r="H25" s="10"/>
      <c r="I25" s="10">
        <f>20+220</f>
        <v>240</v>
      </c>
      <c r="J25" s="10">
        <v>160</v>
      </c>
      <c r="K25" s="10">
        <v>20</v>
      </c>
      <c r="L25" s="10">
        <f>140+80</f>
        <v>220</v>
      </c>
      <c r="M25" s="10">
        <f>20+220</f>
        <v>240</v>
      </c>
      <c r="N25" s="10">
        <v>180</v>
      </c>
      <c r="O25" s="10">
        <v>60</v>
      </c>
      <c r="P25" s="10">
        <f>140+220</f>
        <v>360</v>
      </c>
      <c r="Q25" s="10">
        <f>80+180</f>
        <v>260</v>
      </c>
      <c r="R25" s="10">
        <f>60+200</f>
        <v>260</v>
      </c>
      <c r="S25" s="10">
        <v>120</v>
      </c>
      <c r="T25" s="10"/>
      <c r="U25" s="10">
        <f>120+100</f>
        <v>220</v>
      </c>
      <c r="V25" s="10"/>
      <c r="W25" s="26"/>
      <c r="X25" s="10">
        <f t="shared" si="0"/>
        <v>13760</v>
      </c>
      <c r="Y25" s="10">
        <f t="shared" si="1"/>
        <v>3020</v>
      </c>
      <c r="Z25" s="14">
        <v>13760</v>
      </c>
      <c r="AA25" s="10">
        <f>+X25+Y25-Z25</f>
        <v>3020</v>
      </c>
      <c r="AB25" s="27"/>
      <c r="AC25" s="78">
        <v>3020</v>
      </c>
      <c r="AD25" s="18">
        <f t="shared" si="3"/>
        <v>0</v>
      </c>
      <c r="AE25" s="60"/>
      <c r="AF25" s="65"/>
      <c r="AG25" s="14">
        <v>13760</v>
      </c>
    </row>
    <row r="26" spans="1:48" ht="14.4" x14ac:dyDescent="0.25">
      <c r="A26" s="11">
        <f t="shared" si="8"/>
        <v>23</v>
      </c>
      <c r="B26" s="12" t="s">
        <v>18</v>
      </c>
      <c r="C26" s="12" t="s">
        <v>19</v>
      </c>
      <c r="D26" s="57">
        <v>180</v>
      </c>
      <c r="E26" s="10"/>
      <c r="F26" s="10"/>
      <c r="G26" s="10"/>
      <c r="H26" s="10"/>
      <c r="I26" s="10"/>
      <c r="J26" s="10">
        <v>20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26"/>
      <c r="X26" s="10">
        <f t="shared" si="0"/>
        <v>180</v>
      </c>
      <c r="Y26" s="10">
        <f t="shared" si="1"/>
        <v>20</v>
      </c>
      <c r="Z26" s="14"/>
      <c r="AA26" s="10">
        <f t="shared" si="2"/>
        <v>200</v>
      </c>
      <c r="AB26" s="27"/>
      <c r="AC26" s="9">
        <v>200</v>
      </c>
      <c r="AD26" s="18">
        <f t="shared" si="3"/>
        <v>0</v>
      </c>
      <c r="AE26" s="60"/>
      <c r="AF26" s="65"/>
      <c r="AG26" s="14"/>
    </row>
    <row r="27" spans="1:48" ht="14.4" x14ac:dyDescent="0.25">
      <c r="A27" s="11">
        <f t="shared" si="8"/>
        <v>24</v>
      </c>
      <c r="B27" s="12" t="s">
        <v>49</v>
      </c>
      <c r="C27" s="12" t="s">
        <v>50</v>
      </c>
      <c r="D27" s="57">
        <v>49100</v>
      </c>
      <c r="E27" s="10">
        <f>4140+5100</f>
        <v>9240</v>
      </c>
      <c r="F27" s="10">
        <f>8900+5680</f>
        <v>14580</v>
      </c>
      <c r="G27" s="10">
        <f>4320+11660</f>
        <v>15980</v>
      </c>
      <c r="H27" s="10"/>
      <c r="I27" s="10">
        <f>6980+9040</f>
        <v>16020</v>
      </c>
      <c r="J27" s="10">
        <f>1220+5800</f>
        <v>7020</v>
      </c>
      <c r="K27" s="10">
        <v>2200</v>
      </c>
      <c r="L27" s="10">
        <f>6960+2100</f>
        <v>9060</v>
      </c>
      <c r="M27" s="10">
        <f>8860+8000</f>
        <v>16860</v>
      </c>
      <c r="N27" s="10">
        <f>5300+10580</f>
        <v>15880</v>
      </c>
      <c r="O27" s="10">
        <v>1580</v>
      </c>
      <c r="P27" s="10">
        <f>7840+12220</f>
        <v>20060</v>
      </c>
      <c r="Q27" s="10">
        <f>9120+11040</f>
        <v>20160</v>
      </c>
      <c r="R27" s="10">
        <f>9460+12660</f>
        <v>22120</v>
      </c>
      <c r="S27" s="10">
        <f>5220+5700</f>
        <v>10920</v>
      </c>
      <c r="T27" s="10">
        <f>1260+180</f>
        <v>1440</v>
      </c>
      <c r="U27" s="10">
        <f>10460+3960</f>
        <v>14420</v>
      </c>
      <c r="V27" s="10"/>
      <c r="W27" s="26"/>
      <c r="X27" s="10">
        <f t="shared" si="0"/>
        <v>49100</v>
      </c>
      <c r="Y27" s="10">
        <f t="shared" si="1"/>
        <v>197540</v>
      </c>
      <c r="Z27" s="14">
        <f>40240+20+3160</f>
        <v>43420</v>
      </c>
      <c r="AA27" s="10">
        <f t="shared" si="2"/>
        <v>203220</v>
      </c>
      <c r="AB27" s="27"/>
      <c r="AC27" s="78">
        <v>203220</v>
      </c>
      <c r="AD27" s="18">
        <f t="shared" si="3"/>
        <v>0</v>
      </c>
      <c r="AE27" s="60"/>
      <c r="AF27" s="65">
        <v>20</v>
      </c>
      <c r="AG27" s="14">
        <f>40240+3160</f>
        <v>43400</v>
      </c>
    </row>
    <row r="28" spans="1:48" ht="15.6" customHeight="1" x14ac:dyDescent="0.25">
      <c r="A28" s="11">
        <f t="shared" si="8"/>
        <v>25</v>
      </c>
      <c r="B28" s="12">
        <v>10009658</v>
      </c>
      <c r="C28" s="12" t="s">
        <v>68</v>
      </c>
      <c r="D28" s="57">
        <v>1960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26"/>
      <c r="X28" s="10">
        <f t="shared" si="0"/>
        <v>1960</v>
      </c>
      <c r="Y28" s="10">
        <f t="shared" si="1"/>
        <v>0</v>
      </c>
      <c r="Z28" s="14"/>
      <c r="AA28" s="10">
        <f>+X28+Y28-Z28</f>
        <v>1960</v>
      </c>
      <c r="AB28" s="27"/>
      <c r="AC28" s="78">
        <v>1960</v>
      </c>
      <c r="AD28" s="18">
        <f t="shared" si="3"/>
        <v>0</v>
      </c>
      <c r="AE28" s="60"/>
      <c r="AF28" s="65"/>
      <c r="AG28" s="14"/>
    </row>
    <row r="29" spans="1:48" ht="14.4" x14ac:dyDescent="0.25">
      <c r="A29" s="11">
        <f t="shared" si="8"/>
        <v>26</v>
      </c>
      <c r="B29" s="12">
        <v>10009639</v>
      </c>
      <c r="C29" s="12" t="s">
        <v>69</v>
      </c>
      <c r="D29" s="57">
        <v>3960</v>
      </c>
      <c r="E29" s="10">
        <f>380+960</f>
        <v>1340</v>
      </c>
      <c r="F29" s="10">
        <f>40+1880</f>
        <v>1920</v>
      </c>
      <c r="G29" s="10">
        <v>1820</v>
      </c>
      <c r="H29" s="10"/>
      <c r="I29" s="10">
        <f>940+1040</f>
        <v>1980</v>
      </c>
      <c r="J29" s="10">
        <v>620</v>
      </c>
      <c r="K29" s="10">
        <v>320</v>
      </c>
      <c r="L29" s="10">
        <f>620+380</f>
        <v>1000</v>
      </c>
      <c r="M29" s="10">
        <f>720+1480</f>
        <v>2200</v>
      </c>
      <c r="N29" s="10">
        <v>1780</v>
      </c>
      <c r="O29" s="10">
        <v>540</v>
      </c>
      <c r="P29" s="10">
        <f>840+2020</f>
        <v>2860</v>
      </c>
      <c r="Q29" s="10">
        <f>820+2280</f>
        <v>3100</v>
      </c>
      <c r="R29" s="10">
        <f>940+2200</f>
        <v>3140</v>
      </c>
      <c r="S29" s="10">
        <f>780+940</f>
        <v>1720</v>
      </c>
      <c r="T29" s="10">
        <f>120+120</f>
        <v>240</v>
      </c>
      <c r="U29" s="10">
        <f>1100+1180</f>
        <v>2280</v>
      </c>
      <c r="V29" s="10"/>
      <c r="W29" s="26"/>
      <c r="X29" s="10">
        <f t="shared" si="0"/>
        <v>3960</v>
      </c>
      <c r="Y29" s="10">
        <f t="shared" si="1"/>
        <v>26860</v>
      </c>
      <c r="Z29" s="14">
        <v>2340</v>
      </c>
      <c r="AA29" s="10">
        <f>+X29+Y29-Z29</f>
        <v>28480</v>
      </c>
      <c r="AB29" s="27"/>
      <c r="AC29" s="78">
        <v>28480</v>
      </c>
      <c r="AD29" s="18">
        <f t="shared" si="3"/>
        <v>0</v>
      </c>
      <c r="AE29" s="60"/>
      <c r="AF29" s="65"/>
      <c r="AG29" s="14">
        <v>2340</v>
      </c>
      <c r="AH29" s="5"/>
    </row>
    <row r="30" spans="1:48" ht="14.4" x14ac:dyDescent="0.25">
      <c r="A30" s="28">
        <f>+A29+1</f>
        <v>27</v>
      </c>
      <c r="B30" s="31" t="s">
        <v>53</v>
      </c>
      <c r="C30" s="31" t="s">
        <v>54</v>
      </c>
      <c r="D30" s="58">
        <v>420</v>
      </c>
      <c r="E30" s="29"/>
      <c r="F30" s="29"/>
      <c r="G30" s="29"/>
      <c r="H30" s="29"/>
      <c r="I30" s="29">
        <v>3220</v>
      </c>
      <c r="J30" s="29">
        <f>8980+4680</f>
        <v>13660</v>
      </c>
      <c r="K30" s="29">
        <v>4900</v>
      </c>
      <c r="L30" s="29">
        <v>7600</v>
      </c>
      <c r="M30" s="29">
        <f>3140+6620</f>
        <v>9760</v>
      </c>
      <c r="N30" s="29">
        <v>11060</v>
      </c>
      <c r="O30" s="29">
        <v>8160</v>
      </c>
      <c r="P30" s="29"/>
      <c r="Q30" s="29">
        <v>5020</v>
      </c>
      <c r="R30" s="29">
        <f>5020+5600</f>
        <v>10620</v>
      </c>
      <c r="S30" s="29">
        <f>8360+10600</f>
        <v>18960</v>
      </c>
      <c r="T30" s="29">
        <f>6440+2640</f>
        <v>9080</v>
      </c>
      <c r="U30" s="29"/>
      <c r="V30" s="29"/>
      <c r="W30" s="26"/>
      <c r="X30" s="29">
        <f t="shared" si="0"/>
        <v>420</v>
      </c>
      <c r="Y30" s="29">
        <f t="shared" si="1"/>
        <v>102040</v>
      </c>
      <c r="Z30" s="30"/>
      <c r="AA30" s="29">
        <f>+X30+Y30-Z30</f>
        <v>102460</v>
      </c>
      <c r="AB30" s="27"/>
      <c r="AC30" s="78">
        <v>102460</v>
      </c>
      <c r="AD30" s="18">
        <f t="shared" si="3"/>
        <v>0</v>
      </c>
      <c r="AE30" s="60"/>
      <c r="AF30" s="65"/>
      <c r="AG30" s="30"/>
      <c r="AH30" s="5"/>
    </row>
    <row r="31" spans="1:48" ht="14.4" x14ac:dyDescent="0.25">
      <c r="A31" s="28">
        <f t="shared" si="4"/>
        <v>28</v>
      </c>
      <c r="B31" s="31" t="s">
        <v>51</v>
      </c>
      <c r="C31" s="31" t="s">
        <v>52</v>
      </c>
      <c r="D31" s="58">
        <v>30140</v>
      </c>
      <c r="E31" s="29"/>
      <c r="F31" s="29"/>
      <c r="G31" s="29"/>
      <c r="H31" s="29"/>
      <c r="I31" s="29"/>
      <c r="J31" s="29"/>
      <c r="K31" s="29"/>
      <c r="L31" s="29"/>
      <c r="M31" s="29"/>
      <c r="N31" s="29">
        <v>640</v>
      </c>
      <c r="O31" s="29"/>
      <c r="P31" s="29"/>
      <c r="Q31" s="29"/>
      <c r="R31" s="29"/>
      <c r="S31" s="29"/>
      <c r="T31" s="29"/>
      <c r="U31" s="29"/>
      <c r="V31" s="29"/>
      <c r="W31" s="26"/>
      <c r="X31" s="29">
        <f t="shared" si="0"/>
        <v>30140</v>
      </c>
      <c r="Y31" s="29">
        <f t="shared" si="1"/>
        <v>640</v>
      </c>
      <c r="Z31" s="30"/>
      <c r="AA31" s="29">
        <f t="shared" si="2"/>
        <v>30780</v>
      </c>
      <c r="AB31" s="27"/>
      <c r="AC31" s="78">
        <v>30780</v>
      </c>
      <c r="AD31" s="18">
        <f t="shared" si="3"/>
        <v>0</v>
      </c>
      <c r="AE31" s="60"/>
      <c r="AF31" s="65"/>
      <c r="AG31" s="30"/>
      <c r="AU31" s="5"/>
    </row>
    <row r="32" spans="1:48" ht="14.4" x14ac:dyDescent="0.25">
      <c r="A32" s="28">
        <f>+A30+1</f>
        <v>28</v>
      </c>
      <c r="B32" s="31" t="s">
        <v>38</v>
      </c>
      <c r="C32" s="31" t="s">
        <v>39</v>
      </c>
      <c r="D32" s="58">
        <v>260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6"/>
      <c r="X32" s="29">
        <f t="shared" si="0"/>
        <v>260</v>
      </c>
      <c r="Y32" s="29">
        <f t="shared" si="1"/>
        <v>0</v>
      </c>
      <c r="Z32" s="30"/>
      <c r="AA32" s="29">
        <f t="shared" si="2"/>
        <v>260</v>
      </c>
      <c r="AB32" s="27"/>
      <c r="AC32" s="78">
        <v>260</v>
      </c>
      <c r="AD32" s="18">
        <f t="shared" si="3"/>
        <v>0</v>
      </c>
      <c r="AE32" s="60"/>
      <c r="AF32" s="65"/>
      <c r="AG32" s="30"/>
      <c r="AU32" s="5"/>
    </row>
    <row r="33" spans="1:48" ht="14.4" x14ac:dyDescent="0.25">
      <c r="A33" s="28"/>
      <c r="B33" s="31">
        <v>10007050</v>
      </c>
      <c r="C33" s="31" t="s">
        <v>87</v>
      </c>
      <c r="D33" s="58">
        <v>0</v>
      </c>
      <c r="E33" s="29"/>
      <c r="F33" s="36"/>
      <c r="G33" s="36"/>
      <c r="H33" s="36"/>
      <c r="I33" s="36"/>
      <c r="J33" s="36">
        <f>1080+900</f>
        <v>1980</v>
      </c>
      <c r="K33" s="36">
        <v>680</v>
      </c>
      <c r="L33" s="36">
        <v>0</v>
      </c>
      <c r="M33" s="36">
        <v>1160</v>
      </c>
      <c r="N33" s="36">
        <v>2340</v>
      </c>
      <c r="O33" s="36">
        <v>860</v>
      </c>
      <c r="P33" s="36"/>
      <c r="Q33" s="36">
        <v>500</v>
      </c>
      <c r="R33" s="36">
        <f>720+0</f>
        <v>720</v>
      </c>
      <c r="S33" s="36">
        <f>1240+960</f>
        <v>2200</v>
      </c>
      <c r="T33" s="36">
        <v>1300</v>
      </c>
      <c r="U33" s="36"/>
      <c r="V33" s="36"/>
      <c r="W33" s="27"/>
      <c r="X33" s="29">
        <f t="shared" si="0"/>
        <v>0</v>
      </c>
      <c r="Y33" s="29">
        <f t="shared" si="1"/>
        <v>11740</v>
      </c>
      <c r="Z33" s="30"/>
      <c r="AA33" s="29">
        <f t="shared" ref="AA33" si="9">+X33+Y33-Z33</f>
        <v>11740</v>
      </c>
      <c r="AB33" s="27"/>
      <c r="AC33" s="78">
        <v>11740</v>
      </c>
      <c r="AD33" s="18">
        <f t="shared" si="3"/>
        <v>0</v>
      </c>
      <c r="AE33" s="60"/>
      <c r="AF33" s="65"/>
      <c r="AG33" s="30"/>
      <c r="AU33" s="5"/>
    </row>
    <row r="34" spans="1:48" ht="18.600000000000001" customHeight="1" x14ac:dyDescent="0.25">
      <c r="A34" s="28">
        <f>+A31+1</f>
        <v>29</v>
      </c>
      <c r="B34" s="31"/>
      <c r="C34" s="31" t="s">
        <v>81</v>
      </c>
      <c r="D34" s="58">
        <v>1130</v>
      </c>
      <c r="E34" s="29"/>
      <c r="F34" s="36">
        <v>860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>
        <v>2710</v>
      </c>
      <c r="W34" s="27"/>
      <c r="X34" s="29">
        <f t="shared" si="0"/>
        <v>1130</v>
      </c>
      <c r="Y34" s="29">
        <f t="shared" si="1"/>
        <v>3570</v>
      </c>
      <c r="Z34" s="30"/>
      <c r="AA34" s="29">
        <f t="shared" si="2"/>
        <v>4700</v>
      </c>
      <c r="AB34" s="27"/>
      <c r="AC34" s="80">
        <f>1990+2710</f>
        <v>4700</v>
      </c>
      <c r="AD34" s="18">
        <f t="shared" si="3"/>
        <v>0</v>
      </c>
      <c r="AE34" s="18"/>
      <c r="AF34" s="65"/>
      <c r="AG34" s="30"/>
    </row>
    <row r="35" spans="1:48" ht="18.600000000000001" customHeight="1" x14ac:dyDescent="0.25">
      <c r="A35" s="28">
        <f>+A32+1</f>
        <v>29</v>
      </c>
      <c r="B35" s="31"/>
      <c r="C35" s="31" t="s">
        <v>82</v>
      </c>
      <c r="D35" s="58">
        <v>300</v>
      </c>
      <c r="E35" s="29"/>
      <c r="F35" s="36">
        <v>120</v>
      </c>
      <c r="G35" s="36">
        <v>220</v>
      </c>
      <c r="H35" s="36"/>
      <c r="I35" s="36"/>
      <c r="J35" s="36"/>
      <c r="K35" s="36"/>
      <c r="L35" s="36"/>
      <c r="M35" s="36">
        <v>20</v>
      </c>
      <c r="N35" s="36"/>
      <c r="O35" s="36">
        <v>80</v>
      </c>
      <c r="P35" s="36"/>
      <c r="Q35" s="36"/>
      <c r="R35" s="36">
        <v>20</v>
      </c>
      <c r="S35" s="36">
        <f>40+20</f>
        <v>60</v>
      </c>
      <c r="T35" s="36"/>
      <c r="U35" s="36">
        <v>120</v>
      </c>
      <c r="V35" s="36"/>
      <c r="W35" s="27"/>
      <c r="X35" s="29">
        <f t="shared" si="0"/>
        <v>300</v>
      </c>
      <c r="Y35" s="29">
        <f t="shared" si="1"/>
        <v>640</v>
      </c>
      <c r="Z35" s="30"/>
      <c r="AA35" s="29">
        <f t="shared" si="2"/>
        <v>940</v>
      </c>
      <c r="AB35" s="27"/>
      <c r="AC35" s="80">
        <f>300+640</f>
        <v>940</v>
      </c>
      <c r="AD35" s="18">
        <f t="shared" si="3"/>
        <v>0</v>
      </c>
      <c r="AE35" s="18"/>
      <c r="AF35" s="65"/>
      <c r="AG35" s="30"/>
    </row>
    <row r="36" spans="1:48" ht="14.4" x14ac:dyDescent="0.25">
      <c r="A36" s="28">
        <f t="shared" ref="A36:A37" si="10">+A34+1</f>
        <v>30</v>
      </c>
      <c r="B36" s="31"/>
      <c r="C36" s="31" t="s">
        <v>83</v>
      </c>
      <c r="D36" s="58">
        <v>1250</v>
      </c>
      <c r="E36" s="29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27"/>
      <c r="X36" s="29">
        <f t="shared" si="0"/>
        <v>1250</v>
      </c>
      <c r="Y36" s="29">
        <f t="shared" si="1"/>
        <v>0</v>
      </c>
      <c r="Z36" s="30"/>
      <c r="AA36" s="29">
        <f t="shared" si="2"/>
        <v>1250</v>
      </c>
      <c r="AB36" s="27"/>
      <c r="AC36" s="80">
        <v>1250</v>
      </c>
      <c r="AD36" s="18">
        <f t="shared" si="3"/>
        <v>0</v>
      </c>
      <c r="AE36" s="18"/>
      <c r="AF36" s="65"/>
      <c r="AG36" s="30"/>
    </row>
    <row r="37" spans="1:48" ht="14.4" x14ac:dyDescent="0.25">
      <c r="A37" s="28">
        <f t="shared" si="10"/>
        <v>30</v>
      </c>
      <c r="B37" s="31"/>
      <c r="C37" s="31" t="s">
        <v>84</v>
      </c>
      <c r="D37" s="58">
        <v>1260</v>
      </c>
      <c r="E37" s="29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27"/>
      <c r="X37" s="29">
        <f t="shared" si="0"/>
        <v>1260</v>
      </c>
      <c r="Y37" s="29">
        <f t="shared" si="1"/>
        <v>0</v>
      </c>
      <c r="Z37" s="30"/>
      <c r="AA37" s="29">
        <f t="shared" si="2"/>
        <v>1260</v>
      </c>
      <c r="AB37" s="27"/>
      <c r="AC37" s="80">
        <v>1260</v>
      </c>
      <c r="AD37" s="18">
        <f t="shared" si="3"/>
        <v>0</v>
      </c>
      <c r="AE37" s="18"/>
      <c r="AF37" s="65"/>
      <c r="AG37" s="30"/>
    </row>
    <row r="38" spans="1:48" s="15" customFormat="1" ht="14.4" x14ac:dyDescent="0.25">
      <c r="A38" s="23">
        <f>+A37+1</f>
        <v>31</v>
      </c>
      <c r="B38" s="32">
        <v>10009337</v>
      </c>
      <c r="C38" s="32" t="s">
        <v>62</v>
      </c>
      <c r="D38" s="56">
        <v>9375</v>
      </c>
      <c r="E38" s="24"/>
      <c r="F38" s="33"/>
      <c r="G38" s="33"/>
      <c r="H38" s="33"/>
      <c r="I38" s="33"/>
      <c r="J38" s="33">
        <v>1320</v>
      </c>
      <c r="K38" s="33">
        <v>945</v>
      </c>
      <c r="L38" s="33"/>
      <c r="M38" s="33">
        <v>870</v>
      </c>
      <c r="N38" s="33">
        <v>1890</v>
      </c>
      <c r="O38" s="33">
        <v>810</v>
      </c>
      <c r="P38" s="33"/>
      <c r="Q38" s="33"/>
      <c r="R38" s="33">
        <v>1125</v>
      </c>
      <c r="S38" s="33">
        <f>375+2730</f>
        <v>3105</v>
      </c>
      <c r="T38" s="33">
        <f>450+495</f>
        <v>945</v>
      </c>
      <c r="U38" s="33"/>
      <c r="V38" s="33"/>
      <c r="W38" s="27"/>
      <c r="X38" s="33">
        <f t="shared" si="0"/>
        <v>9375</v>
      </c>
      <c r="Y38" s="24">
        <f t="shared" si="1"/>
        <v>11010</v>
      </c>
      <c r="Z38" s="46"/>
      <c r="AA38" s="24">
        <f t="shared" si="2"/>
        <v>20385</v>
      </c>
      <c r="AB38" s="27">
        <v>52320</v>
      </c>
      <c r="AC38" s="79">
        <v>20385</v>
      </c>
      <c r="AD38" s="18">
        <f t="shared" si="3"/>
        <v>0</v>
      </c>
      <c r="AE38" s="18"/>
      <c r="AF38" s="66"/>
      <c r="AG38" s="46"/>
      <c r="AT38" s="3"/>
      <c r="AU38" s="3"/>
      <c r="AV38" s="3"/>
    </row>
    <row r="39" spans="1:48" s="15" customFormat="1" ht="14.4" x14ac:dyDescent="0.25">
      <c r="A39" s="23">
        <f t="shared" ref="A39" si="11">+A38+1</f>
        <v>32</v>
      </c>
      <c r="B39" s="32">
        <v>10009332</v>
      </c>
      <c r="C39" s="32" t="s">
        <v>64</v>
      </c>
      <c r="D39" s="56">
        <v>5565</v>
      </c>
      <c r="E39" s="24"/>
      <c r="F39" s="33"/>
      <c r="G39" s="33"/>
      <c r="H39" s="33"/>
      <c r="I39" s="33"/>
      <c r="J39" s="33">
        <f>885+315</f>
        <v>1200</v>
      </c>
      <c r="K39" s="33">
        <v>870</v>
      </c>
      <c r="L39" s="33"/>
      <c r="M39" s="33">
        <v>780</v>
      </c>
      <c r="N39" s="33">
        <v>2355</v>
      </c>
      <c r="O39" s="33">
        <v>885</v>
      </c>
      <c r="P39" s="33"/>
      <c r="Q39" s="33"/>
      <c r="R39" s="33">
        <v>1065</v>
      </c>
      <c r="S39" s="33">
        <v>2445</v>
      </c>
      <c r="T39" s="33">
        <f>885+180</f>
        <v>1065</v>
      </c>
      <c r="U39" s="33"/>
      <c r="V39" s="33"/>
      <c r="W39" s="27"/>
      <c r="X39" s="33">
        <f t="shared" si="0"/>
        <v>5565</v>
      </c>
      <c r="Y39" s="24">
        <f t="shared" si="1"/>
        <v>10665</v>
      </c>
      <c r="Z39" s="46"/>
      <c r="AA39" s="24">
        <f t="shared" si="2"/>
        <v>16230</v>
      </c>
      <c r="AB39" s="27"/>
      <c r="AC39" s="79">
        <v>16230</v>
      </c>
      <c r="AD39" s="18">
        <f t="shared" si="3"/>
        <v>0</v>
      </c>
      <c r="AE39" s="18"/>
      <c r="AF39" s="75"/>
      <c r="AG39" s="46"/>
      <c r="AT39" s="3"/>
      <c r="AU39" s="3"/>
      <c r="AV39" s="3"/>
    </row>
    <row r="40" spans="1:48" s="15" customFormat="1" ht="14.4" x14ac:dyDescent="0.25">
      <c r="A40" s="48">
        <f>+A39+1</f>
        <v>33</v>
      </c>
      <c r="B40" s="49"/>
      <c r="C40" s="49" t="s">
        <v>65</v>
      </c>
      <c r="D40" s="72">
        <v>66.174999999999997</v>
      </c>
      <c r="E40" s="50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2"/>
      <c r="X40" s="67">
        <f t="shared" si="0"/>
        <v>66.174999999999997</v>
      </c>
      <c r="Y40" s="68">
        <f t="shared" si="1"/>
        <v>0</v>
      </c>
      <c r="Z40" s="69"/>
      <c r="AA40" s="71">
        <f t="shared" si="2"/>
        <v>66.174999999999997</v>
      </c>
      <c r="AB40" s="70"/>
      <c r="AC40" s="81">
        <v>66.174999999999997</v>
      </c>
      <c r="AD40" s="18">
        <f t="shared" si="3"/>
        <v>0</v>
      </c>
      <c r="AE40" s="18"/>
      <c r="AF40" s="66"/>
      <c r="AG40" s="69"/>
      <c r="AT40" s="3"/>
      <c r="AU40" s="3"/>
      <c r="AV40" s="3"/>
    </row>
    <row r="41" spans="1:48" s="15" customFormat="1" ht="14.4" x14ac:dyDescent="0.25">
      <c r="A41" s="48">
        <f t="shared" ref="A41:A42" si="12">+A40+1</f>
        <v>34</v>
      </c>
      <c r="B41" s="49"/>
      <c r="C41" s="49" t="s">
        <v>66</v>
      </c>
      <c r="D41" s="72">
        <v>26.774999999999999</v>
      </c>
      <c r="E41" s="50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2"/>
      <c r="X41" s="67">
        <f t="shared" si="0"/>
        <v>26.774999999999999</v>
      </c>
      <c r="Y41" s="68">
        <f t="shared" si="1"/>
        <v>0</v>
      </c>
      <c r="Z41" s="69"/>
      <c r="AA41" s="71">
        <f t="shared" si="2"/>
        <v>26.774999999999999</v>
      </c>
      <c r="AB41" s="70"/>
      <c r="AC41" s="81">
        <v>26.774999999999999</v>
      </c>
      <c r="AD41" s="18">
        <f t="shared" si="3"/>
        <v>0</v>
      </c>
      <c r="AE41" s="18"/>
      <c r="AF41" s="66"/>
      <c r="AG41" s="69"/>
      <c r="AT41" s="3"/>
      <c r="AU41" s="3"/>
      <c r="AV41" s="3"/>
    </row>
    <row r="42" spans="1:48" s="15" customFormat="1" ht="14.4" x14ac:dyDescent="0.25">
      <c r="A42" s="48">
        <f t="shared" si="12"/>
        <v>35</v>
      </c>
      <c r="B42" s="49"/>
      <c r="C42" s="49" t="s">
        <v>80</v>
      </c>
      <c r="D42" s="72">
        <v>23.85</v>
      </c>
      <c r="E42" s="50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2"/>
      <c r="X42" s="67">
        <f t="shared" si="0"/>
        <v>23.85</v>
      </c>
      <c r="Y42" s="68">
        <f t="shared" si="1"/>
        <v>0</v>
      </c>
      <c r="Z42" s="69"/>
      <c r="AA42" s="71">
        <f t="shared" si="2"/>
        <v>23.85</v>
      </c>
      <c r="AB42" s="70"/>
      <c r="AC42" s="81">
        <v>23.85</v>
      </c>
      <c r="AD42" s="18">
        <f t="shared" si="3"/>
        <v>0</v>
      </c>
      <c r="AE42" s="18"/>
      <c r="AF42" s="66"/>
      <c r="AG42" s="69"/>
      <c r="AT42" s="3"/>
      <c r="AU42" s="3"/>
      <c r="AV42" s="3"/>
    </row>
    <row r="43" spans="1:48" ht="14.4" x14ac:dyDescent="0.25">
      <c r="A43" s="43">
        <f>+A42+1</f>
        <v>36</v>
      </c>
      <c r="B43" s="44" t="s">
        <v>25</v>
      </c>
      <c r="C43" s="44" t="s">
        <v>26</v>
      </c>
      <c r="D43" s="59">
        <v>1120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>
        <f t="shared" si="0"/>
        <v>1120</v>
      </c>
      <c r="Y43" s="42">
        <f t="shared" si="1"/>
        <v>0</v>
      </c>
      <c r="Z43" s="42"/>
      <c r="AA43" s="42">
        <f>SUM(G43:X43)</f>
        <v>1120</v>
      </c>
      <c r="AB43" s="27"/>
      <c r="AC43" s="82">
        <v>1120</v>
      </c>
      <c r="AD43" s="18">
        <f t="shared" si="3"/>
        <v>0</v>
      </c>
      <c r="AE43" s="18"/>
      <c r="AF43" s="65"/>
      <c r="AG43" s="42"/>
    </row>
    <row r="44" spans="1:48" ht="3.6" customHeight="1" x14ac:dyDescent="0.25"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27"/>
    </row>
    <row r="45" spans="1:48" ht="15" x14ac:dyDescent="0.25">
      <c r="C45" s="1" t="s">
        <v>92</v>
      </c>
      <c r="D45" s="6">
        <f>SUM(D3:D43)</f>
        <v>642576.80000000005</v>
      </c>
      <c r="E45" s="6">
        <f>SUM(E3:E37)</f>
        <v>74600</v>
      </c>
      <c r="F45" s="6">
        <f>SUM(F3:F43)</f>
        <v>102180</v>
      </c>
      <c r="G45" s="6">
        <f>SUM(G3:G43)</f>
        <v>106420</v>
      </c>
      <c r="H45" s="6">
        <f>SUM(H3:H43)</f>
        <v>14400</v>
      </c>
      <c r="I45" s="6">
        <f t="shared" ref="I45:V45" si="13">SUM(I3:I43)</f>
        <v>89480</v>
      </c>
      <c r="J45" s="6">
        <f t="shared" si="13"/>
        <v>63880</v>
      </c>
      <c r="K45" s="6">
        <f t="shared" si="13"/>
        <v>28155</v>
      </c>
      <c r="L45" s="6">
        <f t="shared" si="13"/>
        <v>49040</v>
      </c>
      <c r="M45" s="6">
        <f t="shared" si="13"/>
        <v>84570</v>
      </c>
      <c r="N45" s="6">
        <f t="shared" si="13"/>
        <v>102705</v>
      </c>
      <c r="O45" s="6">
        <f t="shared" si="13"/>
        <v>55355</v>
      </c>
      <c r="P45" s="6">
        <f t="shared" si="13"/>
        <v>96810</v>
      </c>
      <c r="Q45" s="6">
        <f t="shared" si="13"/>
        <v>128472</v>
      </c>
      <c r="R45" s="6">
        <f t="shared" si="13"/>
        <v>143752</v>
      </c>
      <c r="S45" s="6">
        <f t="shared" si="13"/>
        <v>133970</v>
      </c>
      <c r="T45" s="6">
        <f t="shared" si="13"/>
        <v>27930</v>
      </c>
      <c r="U45" s="6">
        <f t="shared" si="13"/>
        <v>95740</v>
      </c>
      <c r="V45" s="6">
        <f t="shared" si="13"/>
        <v>21410</v>
      </c>
      <c r="W45" s="5">
        <f>SUM(W3:W37)</f>
        <v>0</v>
      </c>
      <c r="X45" s="6">
        <f>SUM(X3:X43)</f>
        <v>642576.80000000005</v>
      </c>
      <c r="Y45" s="6">
        <f>SUM(Y3:Y43)</f>
        <v>1418869</v>
      </c>
      <c r="Z45" s="73">
        <f>SUM(Z3:Z43)</f>
        <v>404880</v>
      </c>
      <c r="AA45" s="35">
        <f>SUM(AA3:AA44)</f>
        <v>1656565.8</v>
      </c>
      <c r="AB45" s="27"/>
      <c r="AC45" s="9">
        <f>SUM(AC1:AC43)</f>
        <v>1656565.8</v>
      </c>
      <c r="AD45" s="5">
        <f>SUM(AD1:AD43)</f>
        <v>0</v>
      </c>
      <c r="AE45" s="5">
        <f>SUM(AE1:AE43)</f>
        <v>0</v>
      </c>
      <c r="AF45" s="5">
        <f>SUM(AF1:AF43)</f>
        <v>280</v>
      </c>
      <c r="AG45" s="5">
        <f>SUM(AG1:AG43)</f>
        <v>404600</v>
      </c>
      <c r="AQ45" s="3">
        <f>SUM(AQ4:AQ44)</f>
        <v>0</v>
      </c>
      <c r="AR45" s="5">
        <f>+AQ45-AA45</f>
        <v>-1656565.8</v>
      </c>
    </row>
    <row r="46" spans="1:48" ht="3.6" customHeight="1" x14ac:dyDescent="0.25">
      <c r="AB46" s="27"/>
      <c r="AD46" s="5"/>
    </row>
    <row r="47" spans="1:48" x14ac:dyDescent="0.25">
      <c r="D47" s="74"/>
      <c r="AD47" s="5"/>
      <c r="AG47" s="5"/>
    </row>
    <row r="48" spans="1:48" ht="14.4" x14ac:dyDescent="0.3">
      <c r="D48" s="5"/>
      <c r="X48" s="100" t="s">
        <v>85</v>
      </c>
      <c r="Y48" s="101"/>
      <c r="Z48" s="101"/>
      <c r="AA48" s="62">
        <f>+AA45/1000</f>
        <v>1656.5658000000001</v>
      </c>
      <c r="AD48" s="5" t="s">
        <v>71</v>
      </c>
      <c r="AG48" s="3" t="s">
        <v>78</v>
      </c>
    </row>
    <row r="49" spans="24:33" x14ac:dyDescent="0.25">
      <c r="X49" s="3" t="s">
        <v>70</v>
      </c>
      <c r="Y49" s="61"/>
      <c r="Z49" s="61"/>
      <c r="AA49" s="63"/>
      <c r="AD49" s="5" t="s">
        <v>72</v>
      </c>
      <c r="AE49" s="3">
        <f>+AG45/1000</f>
        <v>404.6</v>
      </c>
      <c r="AG49" s="3">
        <v>0</v>
      </c>
    </row>
    <row r="50" spans="24:33" x14ac:dyDescent="0.25">
      <c r="Y50" s="61"/>
      <c r="Z50" s="61"/>
      <c r="AA50" s="63"/>
      <c r="AD50" s="3" t="s">
        <v>73</v>
      </c>
      <c r="AE50" s="3">
        <f>+AE45/1000</f>
        <v>0</v>
      </c>
    </row>
    <row r="51" spans="24:33" x14ac:dyDescent="0.25">
      <c r="Y51" s="61"/>
      <c r="Z51" s="61"/>
      <c r="AA51" s="63"/>
      <c r="AD51" s="3" t="s">
        <v>74</v>
      </c>
      <c r="AE51" s="3">
        <f>+AF45/1000</f>
        <v>0.28000000000000003</v>
      </c>
      <c r="AG51" s="3">
        <f>+AG45/1000</f>
        <v>404.6</v>
      </c>
    </row>
    <row r="52" spans="24:33" ht="14.4" x14ac:dyDescent="0.3">
      <c r="X52" s="100" t="s">
        <v>67</v>
      </c>
      <c r="Y52" s="101"/>
      <c r="Z52" s="101"/>
      <c r="AA52" s="64">
        <f>+AA48-AA49-AA50-AA51</f>
        <v>1656.5658000000001</v>
      </c>
      <c r="AD52" s="63"/>
      <c r="AE52" s="3">
        <f>SUM(AE49:AE51)</f>
        <v>404.88</v>
      </c>
    </row>
    <row r="53" spans="24:33" x14ac:dyDescent="0.25">
      <c r="AD53" s="63"/>
      <c r="AE53" s="63"/>
    </row>
    <row r="54" spans="24:33" x14ac:dyDescent="0.25">
      <c r="AE54" s="63"/>
    </row>
    <row r="55" spans="24:33" x14ac:dyDescent="0.25">
      <c r="Y55" s="5"/>
    </row>
    <row r="56" spans="24:33" x14ac:dyDescent="0.25">
      <c r="Y56" s="5"/>
      <c r="AA56" s="63"/>
    </row>
  </sheetData>
  <mergeCells count="7">
    <mergeCell ref="AD1:AD2"/>
    <mergeCell ref="X48:Z48"/>
    <mergeCell ref="X52:Z52"/>
    <mergeCell ref="A1:A2"/>
    <mergeCell ref="C1:C2"/>
    <mergeCell ref="D1:V1"/>
    <mergeCell ref="X1:AA1"/>
  </mergeCells>
  <pageMargins left="0.31496062992125984" right="0.70866141732283472" top="0.15748031496062992" bottom="0.15748031496062992" header="0" footer="0.31496062992125984"/>
  <pageSetup paperSize="32004" scale="24" orientation="landscape" horizontalDpi="203" verticalDpi="203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CDAC-5B36-4823-B79F-3948F56C00BD}">
  <dimension ref="B3:D8"/>
  <sheetViews>
    <sheetView workbookViewId="0">
      <selection activeCell="G22" sqref="G22"/>
    </sheetView>
  </sheetViews>
  <sheetFormatPr baseColWidth="10" defaultRowHeight="14.4" x14ac:dyDescent="0.3"/>
  <cols>
    <col min="4" max="4" width="2.88671875" bestFit="1" customWidth="1"/>
  </cols>
  <sheetData>
    <row r="3" spans="2:4" x14ac:dyDescent="0.3">
      <c r="B3" s="103" t="s">
        <v>103</v>
      </c>
      <c r="C3" s="103"/>
      <c r="D3" s="103"/>
    </row>
    <row r="4" spans="2:4" x14ac:dyDescent="0.3">
      <c r="B4" s="88" t="s">
        <v>100</v>
      </c>
      <c r="C4" s="89">
        <f>+Enero2026!Y45</f>
        <v>1418869</v>
      </c>
      <c r="D4" s="88" t="s">
        <v>104</v>
      </c>
    </row>
    <row r="5" spans="2:4" x14ac:dyDescent="0.3">
      <c r="B5" s="88" t="s">
        <v>101</v>
      </c>
      <c r="C5" s="89">
        <f>+Febrero2026!AH46</f>
        <v>2268337</v>
      </c>
      <c r="D5" s="88" t="s">
        <v>104</v>
      </c>
    </row>
    <row r="6" spans="2:4" x14ac:dyDescent="0.3">
      <c r="B6" s="88" t="s">
        <v>102</v>
      </c>
      <c r="C6" s="89">
        <f>+Marzo2026!AG50</f>
        <v>1541091</v>
      </c>
      <c r="D6" s="88" t="s">
        <v>104</v>
      </c>
    </row>
    <row r="7" spans="2:4" x14ac:dyDescent="0.3">
      <c r="B7" s="88" t="s">
        <v>109</v>
      </c>
      <c r="C7" s="89">
        <v>0</v>
      </c>
      <c r="D7" s="88"/>
    </row>
    <row r="8" spans="2:4" x14ac:dyDescent="0.3">
      <c r="C8" s="89">
        <f>SUM(C4:C6)</f>
        <v>5228297</v>
      </c>
      <c r="D8" s="88" t="s">
        <v>104</v>
      </c>
    </row>
  </sheetData>
  <mergeCells count="1">
    <mergeCell ref="B3:D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Abril2026</vt:lpstr>
      <vt:lpstr>Marzo2026</vt:lpstr>
      <vt:lpstr>Febrero2026</vt:lpstr>
      <vt:lpstr>Enero2026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Cruzado (PFRO)</dc:creator>
  <cp:lastModifiedBy>Rodrigo Sebastian Martinez Montalvo (PFRO)</cp:lastModifiedBy>
  <cp:lastPrinted>2025-03-28T22:25:46Z</cp:lastPrinted>
  <dcterms:created xsi:type="dcterms:W3CDTF">2025-03-21T00:36:50Z</dcterms:created>
  <dcterms:modified xsi:type="dcterms:W3CDTF">2026-04-07T15:40:09Z</dcterms:modified>
</cp:coreProperties>
</file>