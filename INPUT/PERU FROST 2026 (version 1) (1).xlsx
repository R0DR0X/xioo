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ercialpf\Desktop\"/>
    </mc:Choice>
  </mc:AlternateContent>
  <xr:revisionPtr revIDLastSave="0" documentId="13_ncr:1_{4A2AEB46-A9C0-4343-BB92-A11A014D12DA}" xr6:coauthVersionLast="47" xr6:coauthVersionMax="47" xr10:uidLastSave="{00000000-0000-0000-0000-000000000000}"/>
  <bookViews>
    <workbookView xWindow="-108" yWindow="-108" windowWidth="23256" windowHeight="13896" xr2:uid="{034E0DE9-1529-4428-BB84-C53197D8511B}"/>
  </bookViews>
  <sheets>
    <sheet name="Hoja1" sheetId="1" r:id="rId1"/>
    <sheet name="Hoja2" sheetId="2" r:id="rId2"/>
    <sheet name="Hoj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1" l="1"/>
  <c r="D80" i="1"/>
  <c r="C70" i="1"/>
  <c r="D94" i="1"/>
  <c r="D86" i="1"/>
  <c r="D78" i="1"/>
  <c r="D77" i="1"/>
  <c r="D25" i="4"/>
  <c r="C24" i="4"/>
  <c r="D10" i="4"/>
  <c r="C63" i="1"/>
  <c r="I92" i="2"/>
  <c r="C13" i="1" l="1"/>
  <c r="C7" i="1"/>
  <c r="B10" i="4" l="1"/>
  <c r="R2" i="1" l="1"/>
  <c r="R3" i="1" s="1"/>
  <c r="R4" i="1" s="1"/>
</calcChain>
</file>

<file path=xl/sharedStrings.xml><?xml version="1.0" encoding="utf-8"?>
<sst xmlns="http://schemas.openxmlformats.org/spreadsheetml/2006/main" count="1366" uniqueCount="416">
  <si>
    <t>DRAFT</t>
  </si>
  <si>
    <t>ORIGINALES</t>
  </si>
  <si>
    <t>CC</t>
  </si>
  <si>
    <t>CO</t>
  </si>
  <si>
    <t>SANIT</t>
  </si>
  <si>
    <t>IV</t>
  </si>
  <si>
    <t>FACT</t>
  </si>
  <si>
    <t>OTROS</t>
  </si>
  <si>
    <t>ITEM</t>
  </si>
  <si>
    <t xml:space="preserve">FP </t>
  </si>
  <si>
    <t>CONSIG/NOTIFY</t>
  </si>
  <si>
    <t>DESTINO</t>
  </si>
  <si>
    <t>QINGDAO, CHINA</t>
  </si>
  <si>
    <t>SHIDAO,CHINA</t>
  </si>
  <si>
    <t>VIGO, ESPAÑA</t>
  </si>
  <si>
    <t>ZARPE</t>
  </si>
  <si>
    <t>LLEGADA</t>
  </si>
  <si>
    <t>-</t>
  </si>
  <si>
    <t>ok</t>
  </si>
  <si>
    <t>HUNAN JINYUEYANG</t>
  </si>
  <si>
    <t>FP164-2026</t>
  </si>
  <si>
    <t>YANTAI, CHINA</t>
  </si>
  <si>
    <t>SZLU9677084</t>
  </si>
  <si>
    <t>FP171-2026</t>
  </si>
  <si>
    <t>BMOU9773030</t>
  </si>
  <si>
    <t>BMOU9830910</t>
  </si>
  <si>
    <t>FBIU5398657</t>
  </si>
  <si>
    <t>ONEU9087190</t>
  </si>
  <si>
    <t>SZLU9687360</t>
  </si>
  <si>
    <t>TSUJINO</t>
  </si>
  <si>
    <t>CP AXTRA</t>
  </si>
  <si>
    <t>LAT KRABANG, TAILANDIA</t>
  </si>
  <si>
    <t>FP159-2026</t>
  </si>
  <si>
    <t>SZLU9544815</t>
  </si>
  <si>
    <t>FP169A-2026</t>
  </si>
  <si>
    <t>ONEU9076641</t>
  </si>
  <si>
    <t>ONEU9093443</t>
  </si>
  <si>
    <t>ONEU9116560</t>
  </si>
  <si>
    <t>SEGU9839854</t>
  </si>
  <si>
    <t>TTNU8412846</t>
  </si>
  <si>
    <t>FP169B-2026</t>
  </si>
  <si>
    <t>FSCU5737556</t>
  </si>
  <si>
    <t>FSCU5752709</t>
  </si>
  <si>
    <t>FSCU5859507</t>
  </si>
  <si>
    <t>TTNU8772190</t>
  </si>
  <si>
    <t>DAIRECK</t>
  </si>
  <si>
    <t>SANYUAN SEAFOODS</t>
  </si>
  <si>
    <t>BL</t>
  </si>
  <si>
    <t>OBSERVACIÓN</t>
  </si>
  <si>
    <t>LONGKOU BOHAI</t>
  </si>
  <si>
    <t>FP179B3-2026</t>
  </si>
  <si>
    <t>TTNU8473590</t>
  </si>
  <si>
    <t>FP179B4-2026</t>
  </si>
  <si>
    <t>KKFU6735032</t>
  </si>
  <si>
    <t>FP179B5-2026</t>
  </si>
  <si>
    <t>SEGU9059523</t>
  </si>
  <si>
    <t>LONGKOU YUNFENG</t>
  </si>
  <si>
    <t>FP181-2026</t>
  </si>
  <si>
    <t>CXRU1183600</t>
  </si>
  <si>
    <t>KKFU6757140</t>
  </si>
  <si>
    <t>SHANDONG SHEENIER</t>
  </si>
  <si>
    <t>KHUNRUNG SEAFOOD</t>
  </si>
  <si>
    <t>VALENCIA, ESPAÑA</t>
  </si>
  <si>
    <t>CODIGO</t>
  </si>
  <si>
    <t>EMPRESA </t>
  </si>
  <si>
    <t>FECHA DE ENTREGA DE CODIGO</t>
  </si>
  <si>
    <t>3370-C</t>
  </si>
  <si>
    <t>PERU FROST S.A.C.</t>
  </si>
  <si>
    <t>3371-C</t>
  </si>
  <si>
    <t>3372-C</t>
  </si>
  <si>
    <t>3373-C</t>
  </si>
  <si>
    <t>3374-C</t>
  </si>
  <si>
    <t>3375-C</t>
  </si>
  <si>
    <t>3376-C</t>
  </si>
  <si>
    <t>3377-C</t>
  </si>
  <si>
    <t>3378-C</t>
  </si>
  <si>
    <t>3379-C</t>
  </si>
  <si>
    <t>3380-C</t>
  </si>
  <si>
    <t>3381-C</t>
  </si>
  <si>
    <t>3382-C</t>
  </si>
  <si>
    <t>3383-C</t>
  </si>
  <si>
    <t>3384-C</t>
  </si>
  <si>
    <t>3385-C</t>
  </si>
  <si>
    <t>3386-C</t>
  </si>
  <si>
    <t>3387-C</t>
  </si>
  <si>
    <t>3388-C</t>
  </si>
  <si>
    <t>3389-C</t>
  </si>
  <si>
    <t>3390-C</t>
  </si>
  <si>
    <t>3391-C</t>
  </si>
  <si>
    <t>3392-C</t>
  </si>
  <si>
    <t>3393-C</t>
  </si>
  <si>
    <t>3394-C</t>
  </si>
  <si>
    <t>3395-C</t>
  </si>
  <si>
    <t>3396-C</t>
  </si>
  <si>
    <t>3397-C</t>
  </si>
  <si>
    <t>3398-C</t>
  </si>
  <si>
    <t>3399-C</t>
  </si>
  <si>
    <t>3400-C</t>
  </si>
  <si>
    <t>3401-C</t>
  </si>
  <si>
    <t>3402-C</t>
  </si>
  <si>
    <t>3403-C</t>
  </si>
  <si>
    <t>3404-C</t>
  </si>
  <si>
    <t>3405-C</t>
  </si>
  <si>
    <t>3406-C</t>
  </si>
  <si>
    <t>3407-C</t>
  </si>
  <si>
    <t>3408-C</t>
  </si>
  <si>
    <t>3409-C</t>
  </si>
  <si>
    <t>3410-C</t>
  </si>
  <si>
    <t>3411-C</t>
  </si>
  <si>
    <t>3412-C</t>
  </si>
  <si>
    <t>3413-C</t>
  </si>
  <si>
    <t>3414-C</t>
  </si>
  <si>
    <t>3415-C</t>
  </si>
  <si>
    <t>3416-C</t>
  </si>
  <si>
    <t>3417-C</t>
  </si>
  <si>
    <t>3418-C</t>
  </si>
  <si>
    <t>3419-C</t>
  </si>
  <si>
    <t>3420-C</t>
  </si>
  <si>
    <t>3421-C</t>
  </si>
  <si>
    <t>3422-C</t>
  </si>
  <si>
    <t>3423-C</t>
  </si>
  <si>
    <t>3424-C</t>
  </si>
  <si>
    <t>3425-C</t>
  </si>
  <si>
    <t>3426-C</t>
  </si>
  <si>
    <t>3427-C</t>
  </si>
  <si>
    <t>3428-C</t>
  </si>
  <si>
    <t>3429-C</t>
  </si>
  <si>
    <t>3430-C</t>
  </si>
  <si>
    <t>3431-C</t>
  </si>
  <si>
    <t>3432-C</t>
  </si>
  <si>
    <t>3433-C</t>
  </si>
  <si>
    <t>3434-C</t>
  </si>
  <si>
    <t>3435-C</t>
  </si>
  <si>
    <t>3436-C</t>
  </si>
  <si>
    <t>3437-C</t>
  </si>
  <si>
    <t>3438-C</t>
  </si>
  <si>
    <t>3439-C</t>
  </si>
  <si>
    <t>3440-C</t>
  </si>
  <si>
    <t>3441-C</t>
  </si>
  <si>
    <t>3442-C</t>
  </si>
  <si>
    <t>3443-C</t>
  </si>
  <si>
    <t>3444-C</t>
  </si>
  <si>
    <t>3445-C</t>
  </si>
  <si>
    <t>3446-C</t>
  </si>
  <si>
    <t>3447-C</t>
  </si>
  <si>
    <t>3448-C</t>
  </si>
  <si>
    <t>3449-C</t>
  </si>
  <si>
    <t>3450-C</t>
  </si>
  <si>
    <t>3451-C</t>
  </si>
  <si>
    <t>3452-C</t>
  </si>
  <si>
    <t>3453-C</t>
  </si>
  <si>
    <t>3454-C</t>
  </si>
  <si>
    <t>3455-C</t>
  </si>
  <si>
    <t>3456-C</t>
  </si>
  <si>
    <t>3457-C</t>
  </si>
  <si>
    <t>3458-C</t>
  </si>
  <si>
    <t>3459-C</t>
  </si>
  <si>
    <t>3460-C</t>
  </si>
  <si>
    <t>3461-C</t>
  </si>
  <si>
    <t>3462-C</t>
  </si>
  <si>
    <t>3463-C</t>
  </si>
  <si>
    <t>3464-C</t>
  </si>
  <si>
    <t>3465-C</t>
  </si>
  <si>
    <t>3466-C</t>
  </si>
  <si>
    <t>3467-C</t>
  </si>
  <si>
    <t>3468-C</t>
  </si>
  <si>
    <t>3469-C</t>
  </si>
  <si>
    <t></t>
  </si>
  <si>
    <t>1239-S</t>
  </si>
  <si>
    <t>1240-S</t>
  </si>
  <si>
    <t>1241-S</t>
  </si>
  <si>
    <t>1242-S</t>
  </si>
  <si>
    <t>1243-S</t>
  </si>
  <si>
    <t>1244-S</t>
  </si>
  <si>
    <t>1245-S</t>
  </si>
  <si>
    <t>1246-S</t>
  </si>
  <si>
    <t>1247-S</t>
  </si>
  <si>
    <t>1248-S</t>
  </si>
  <si>
    <t>1249-S</t>
  </si>
  <si>
    <t>1250-S</t>
  </si>
  <si>
    <t>1251-S</t>
  </si>
  <si>
    <t>1252-J</t>
  </si>
  <si>
    <t>1253-J</t>
  </si>
  <si>
    <t>1254-J</t>
  </si>
  <si>
    <t>1255-J</t>
  </si>
  <si>
    <t>1256-J</t>
  </si>
  <si>
    <t>1257-J</t>
  </si>
  <si>
    <t xml:space="preserve"> OTPU6314627</t>
  </si>
  <si>
    <t>4093-C</t>
  </si>
  <si>
    <t>4094-C</t>
  </si>
  <si>
    <t>4095-C</t>
  </si>
  <si>
    <t>4096-C</t>
  </si>
  <si>
    <t>4097-C</t>
  </si>
  <si>
    <t>4098-C</t>
  </si>
  <si>
    <t>4099-C</t>
  </si>
  <si>
    <t>4100-C</t>
  </si>
  <si>
    <t>4101-C</t>
  </si>
  <si>
    <t>4102-C</t>
  </si>
  <si>
    <t>4103-C</t>
  </si>
  <si>
    <t>4104-C</t>
  </si>
  <si>
    <t>4105-C</t>
  </si>
  <si>
    <t>FACTURADO</t>
  </si>
  <si>
    <t>YANTAI TAIXI</t>
  </si>
  <si>
    <t>YANTAI,CHINA</t>
  </si>
  <si>
    <t>EFECTIVO</t>
  </si>
  <si>
    <t>DUCHA</t>
  </si>
  <si>
    <t>VIDRIO</t>
  </si>
  <si>
    <t>MUDANZA</t>
  </si>
  <si>
    <t>NELIA</t>
  </si>
  <si>
    <t>BATERIA</t>
  </si>
  <si>
    <t>CASA</t>
  </si>
  <si>
    <t>REPORTADO 14/4</t>
  </si>
  <si>
    <t>GLOBAL OCEAN</t>
  </si>
  <si>
    <t>FP198A-2026</t>
  </si>
  <si>
    <t>FBIU5040386</t>
  </si>
  <si>
    <t>OERU4332445</t>
  </si>
  <si>
    <t>OERU4199651</t>
  </si>
  <si>
    <t>SZLU9408320</t>
  </si>
  <si>
    <t>FBIU5341625</t>
  </si>
  <si>
    <t>OERU4331916</t>
  </si>
  <si>
    <t>FP191-2026</t>
  </si>
  <si>
    <t>OERU4032330</t>
  </si>
  <si>
    <t xml:space="preserve">28/04 REPORTADO  </t>
  </si>
  <si>
    <t>TSUJINO &amp; CO., LTD.</t>
  </si>
  <si>
    <t>FP187-2026</t>
  </si>
  <si>
    <t>HACHINOHE,JAPAN</t>
  </si>
  <si>
    <t>KKFU6727931</t>
  </si>
  <si>
    <t>ONEU9041202</t>
  </si>
  <si>
    <t>TCLU1247816</t>
  </si>
  <si>
    <t>TTNU8187874</t>
  </si>
  <si>
    <t>TTNU8898002</t>
  </si>
  <si>
    <t>FP196-2026</t>
  </si>
  <si>
    <t>KKFU6776659</t>
  </si>
  <si>
    <t>SEGU9091700</t>
  </si>
  <si>
    <t>TCLU1392711</t>
  </si>
  <si>
    <t>AVANCE GROUP LTD.</t>
  </si>
  <si>
    <t>FP195-2026</t>
  </si>
  <si>
    <t>YANTAI JIAHONG</t>
  </si>
  <si>
    <t>MAWEI FUZHOU, CHINA</t>
  </si>
  <si>
    <t>CGMU5110446</t>
  </si>
  <si>
    <t>FP198B-2026</t>
  </si>
  <si>
    <t>LONGKOU JIABAO</t>
  </si>
  <si>
    <t>BMOU9874837</t>
  </si>
  <si>
    <t>FP182-2026</t>
  </si>
  <si>
    <t>CP AXTRA PUBLIC</t>
  </si>
  <si>
    <t>LAT KRABANG, THAILAND</t>
  </si>
  <si>
    <t>KKFU6744754</t>
  </si>
  <si>
    <t>FP201-2026</t>
  </si>
  <si>
    <t>SZLU9218681</t>
  </si>
  <si>
    <t>CXRU1501506</t>
  </si>
  <si>
    <t>FP202A-2026</t>
  </si>
  <si>
    <t>DFOU6136992</t>
  </si>
  <si>
    <t>QINGDAO,CHINA</t>
  </si>
  <si>
    <t>FP200-2026</t>
  </si>
  <si>
    <t>QINGDAO HAIYUJIA</t>
  </si>
  <si>
    <t>FBIU5317296</t>
  </si>
  <si>
    <t>FP204-2026</t>
  </si>
  <si>
    <t>KOBE, JAPAN</t>
  </si>
  <si>
    <t>SCEU9000714</t>
  </si>
  <si>
    <t>FP207-2026</t>
  </si>
  <si>
    <t>SENDAI, JAPAN</t>
  </si>
  <si>
    <t>FSCU5744154</t>
  </si>
  <si>
    <t>FP214-2026</t>
  </si>
  <si>
    <t>YAMATSU SUISAN.,LTD.</t>
  </si>
  <si>
    <t>SENDAI, JAPON</t>
  </si>
  <si>
    <t>BMOU9874610</t>
  </si>
  <si>
    <t>FP213-2026</t>
  </si>
  <si>
    <t>FBIU5189209</t>
  </si>
  <si>
    <t>FSCU5793441</t>
  </si>
  <si>
    <t>SZLU9716637</t>
  </si>
  <si>
    <t>FP202B-2026</t>
  </si>
  <si>
    <t>CXRU1491331</t>
  </si>
  <si>
    <t>FP203-2026</t>
  </si>
  <si>
    <t>QINGDAO HAIYUJIA INTE</t>
  </si>
  <si>
    <t>OERU4296327</t>
  </si>
  <si>
    <t>OERU4184733</t>
  </si>
  <si>
    <t xml:space="preserve">QINGDAO HAIYUJIA </t>
  </si>
  <si>
    <t>FP197-2026</t>
  </si>
  <si>
    <t>FBIU5319581</t>
  </si>
  <si>
    <t>OERU4074823</t>
  </si>
  <si>
    <t>OERU4000121</t>
  </si>
  <si>
    <t>TEMU9632890</t>
  </si>
  <si>
    <t>FSCU5361181</t>
  </si>
  <si>
    <t>CAAU4045954</t>
  </si>
  <si>
    <t>FBIU5753427</t>
  </si>
  <si>
    <t>FP210-2026</t>
  </si>
  <si>
    <t>FBIU5675767</t>
  </si>
  <si>
    <t>OERU4331500</t>
  </si>
  <si>
    <t>OERU4286397</t>
  </si>
  <si>
    <t>FBIU5511399</t>
  </si>
  <si>
    <t>TTNU8197297</t>
  </si>
  <si>
    <t>FP208-2026</t>
  </si>
  <si>
    <t>SHENZHEN YUESHI</t>
  </si>
  <si>
    <t>OERU4315279</t>
  </si>
  <si>
    <t>FP198C-2026</t>
  </si>
  <si>
    <t>TEMU9329760</t>
  </si>
  <si>
    <t>OERU4186248</t>
  </si>
  <si>
    <t>OTPU6165950</t>
  </si>
  <si>
    <t>TEMU9536073</t>
  </si>
  <si>
    <t>FP210B-2026</t>
  </si>
  <si>
    <t>FBIU5650671</t>
  </si>
  <si>
    <t>OERU4098321</t>
  </si>
  <si>
    <t>FBIU5627774</t>
  </si>
  <si>
    <t>FP220-2026</t>
  </si>
  <si>
    <t>FSCU5759690</t>
  </si>
  <si>
    <t>FSCU5941744</t>
  </si>
  <si>
    <t>ONEU9090824</t>
  </si>
  <si>
    <t>ONEU9313152</t>
  </si>
  <si>
    <t>ONEU9313445</t>
  </si>
  <si>
    <t>FP199-2026</t>
  </si>
  <si>
    <t>OTPU6090548</t>
  </si>
  <si>
    <t>OERU4016323</t>
  </si>
  <si>
    <t>OTPU6175558</t>
  </si>
  <si>
    <t>FP197B-2026</t>
  </si>
  <si>
    <t>SZLU9669010</t>
  </si>
  <si>
    <t>TTNU8332150</t>
  </si>
  <si>
    <t>FP212-2026</t>
  </si>
  <si>
    <t>KRUNRUNG SEAFOOD</t>
  </si>
  <si>
    <t>ONEU9035508</t>
  </si>
  <si>
    <t>FP211-2026</t>
  </si>
  <si>
    <t>RONGCHENG CITI</t>
  </si>
  <si>
    <t>ONEU9017660</t>
  </si>
  <si>
    <t>FP215-2026</t>
  </si>
  <si>
    <t>TCLU1394798</t>
  </si>
  <si>
    <t>FP217-2026</t>
  </si>
  <si>
    <t>MORU1307350</t>
  </si>
  <si>
    <t>FP223-2026</t>
  </si>
  <si>
    <t>TT INTERBIZ CO LTD</t>
  </si>
  <si>
    <t xml:space="preserve">12/5 reportado </t>
  </si>
  <si>
    <t>9/5 reportado 19/05 CC</t>
  </si>
  <si>
    <t>12/5 reportado 19/05 CC</t>
  </si>
  <si>
    <t>5/5 reportado 15/05 CC</t>
  </si>
  <si>
    <t>12/5 reportado 15/5 CC</t>
  </si>
  <si>
    <t>Xiomara, no aplica CC</t>
  </si>
  <si>
    <t>ventosas noa va cc</t>
  </si>
  <si>
    <t>CATCH NO</t>
  </si>
  <si>
    <t>20/05 reportado</t>
  </si>
  <si>
    <t xml:space="preserve">20/5 reportado </t>
  </si>
  <si>
    <t>20/5 reportado 22/5 CC</t>
  </si>
  <si>
    <t>12/5 reportado 22/5 CC</t>
  </si>
  <si>
    <t xml:space="preserve">pendiente, </t>
  </si>
  <si>
    <t>HARRY</t>
  </si>
  <si>
    <t xml:space="preserve">31/5 reportado </t>
  </si>
  <si>
    <t>31/05 reportado</t>
  </si>
  <si>
    <t xml:space="preserve">31/5 REPORTADO </t>
  </si>
  <si>
    <t>31/05 REPORTADO SIN SANITARIO Y CC</t>
  </si>
  <si>
    <t>GIANT OCEAN</t>
  </si>
  <si>
    <t>FP198D-2026</t>
  </si>
  <si>
    <t>FBIU5469405</t>
  </si>
  <si>
    <t>02/5 REPORTADO SIN CC</t>
  </si>
  <si>
    <t>SHIDAO, HAIYUJIA</t>
  </si>
  <si>
    <t xml:space="preserve">02/5 REPORTADO </t>
  </si>
  <si>
    <t>FP229A-2026</t>
  </si>
  <si>
    <t>SHENZHEN XIECHENG</t>
  </si>
  <si>
    <t>AVANCE</t>
  </si>
  <si>
    <t>MAWEI,CHINA</t>
  </si>
  <si>
    <t>FBIU5652951</t>
  </si>
  <si>
    <t>FBIU5149720</t>
  </si>
  <si>
    <t>FBIU5146110</t>
  </si>
  <si>
    <t>Industrial</t>
  </si>
  <si>
    <t>FP197C-2026</t>
  </si>
  <si>
    <t>SEGU9714440</t>
  </si>
  <si>
    <t>FP229B-2026</t>
  </si>
  <si>
    <t>SEGU9385068</t>
  </si>
  <si>
    <t>TEMU9185404</t>
  </si>
  <si>
    <t xml:space="preserve">TSUJINO </t>
  </si>
  <si>
    <t>FP221-2026</t>
  </si>
  <si>
    <t>KOBE, JAPON</t>
  </si>
  <si>
    <t>FSCU5865393</t>
  </si>
  <si>
    <t>TTNU8248310</t>
  </si>
  <si>
    <t xml:space="preserve">02/05 REPORTADO  </t>
  </si>
  <si>
    <t>12/5 reportado 5/31 CC</t>
  </si>
  <si>
    <t>12/5 reportado 30/5 CC</t>
  </si>
  <si>
    <t>cliente no solicita.</t>
  </si>
  <si>
    <t>cliente no pide CC</t>
  </si>
  <si>
    <t>FP227A-2026</t>
  </si>
  <si>
    <t>FBIU5698572</t>
  </si>
  <si>
    <t>FBIU5344286</t>
  </si>
  <si>
    <t>TEMU9327561</t>
  </si>
  <si>
    <t>OTPU6150523</t>
  </si>
  <si>
    <t>FP224-2026</t>
  </si>
  <si>
    <t>YANTAI HONGCHANG</t>
  </si>
  <si>
    <t>TTNU8867589</t>
  </si>
  <si>
    <t>FP197D-2026</t>
  </si>
  <si>
    <t>SEGU9478577</t>
  </si>
  <si>
    <t>SZLU9220082</t>
  </si>
  <si>
    <t>FP235-2026</t>
  </si>
  <si>
    <t>ZHEJIANG ZHOUFU</t>
  </si>
  <si>
    <t>NINGO, CHINO</t>
  </si>
  <si>
    <t>OTPU6053626</t>
  </si>
  <si>
    <t>SZLU9540846</t>
  </si>
  <si>
    <t>FP237-2026</t>
  </si>
  <si>
    <t>LONKOU SANMING</t>
  </si>
  <si>
    <t>FBIU5782976</t>
  </si>
  <si>
    <t>FBIU5756679</t>
  </si>
  <si>
    <t>OERU4398946</t>
  </si>
  <si>
    <t>FBIU5659690</t>
  </si>
  <si>
    <t>FP198E-2026</t>
  </si>
  <si>
    <t>FBIU5795799</t>
  </si>
  <si>
    <t>SZLU9474810</t>
  </si>
  <si>
    <t>TT INTERBIZ CO., LTD</t>
  </si>
  <si>
    <t xml:space="preserve">KULALIA S.L </t>
  </si>
  <si>
    <t xml:space="preserve"> UACU4762526</t>
  </si>
  <si>
    <t xml:space="preserve">OCEANUS FISH S.L. </t>
  </si>
  <si>
    <t>FP206-2026</t>
  </si>
  <si>
    <t xml:space="preserve"> GLOBAL OCEAN</t>
  </si>
  <si>
    <t xml:space="preserve"> FP216-2026</t>
  </si>
  <si>
    <t xml:space="preserve">UACU4797559 </t>
  </si>
  <si>
    <t xml:space="preserve"> HLBU6182329</t>
  </si>
  <si>
    <t>FP222-2026</t>
  </si>
  <si>
    <t>4/REPORTADO</t>
  </si>
  <si>
    <t>FP239-2026</t>
  </si>
  <si>
    <t xml:space="preserve">HLBU6095965 </t>
  </si>
  <si>
    <t>4/6 REPORTADO</t>
  </si>
  <si>
    <t>28/5 REPORTADO</t>
  </si>
  <si>
    <t>2/6 REPORTADO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</si>
</sst>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FluentSystemIcons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center" wrapText="1"/>
    </xf>
    <xf numFmtId="0" fontId="4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2" fillId="7" borderId="10" xfId="0" applyFont="1" applyFill="1" applyBorder="1" applyAlignment="1">
      <alignment horizontal="center" wrapText="1"/>
    </xf>
    <xf numFmtId="14" fontId="3" fillId="7" borderId="3" xfId="0" applyNumberFormat="1" applyFont="1" applyFill="1" applyBorder="1" applyAlignment="1">
      <alignment horizontal="center" wrapText="1"/>
    </xf>
    <xf numFmtId="0" fontId="0" fillId="7" borderId="0" xfId="0" applyFill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F96E-32D2-49CC-9D2C-B0DDE14FD4CE}">
  <dimension ref="A1:R107"/>
  <sheetViews>
    <sheetView tabSelected="1" zoomScale="85" zoomScaleNormal="85" workbookViewId="0">
      <pane ySplit="1" topLeftCell="A81" activePane="bottomLeft" state="frozen"/>
      <selection pane="bottomLeft" activeCell="Q83" sqref="Q83:Q84"/>
    </sheetView>
  </sheetViews>
  <sheetFormatPr baseColWidth="10" defaultRowHeight="14.4"/>
  <cols>
    <col min="1" max="1" width="11.5546875" style="1"/>
    <col min="2" max="2" width="13.88671875" style="4" bestFit="1" customWidth="1"/>
    <col min="3" max="3" width="24.6640625" style="4" bestFit="1" customWidth="1"/>
    <col min="4" max="4" width="23.33203125" style="4" bestFit="1" customWidth="1"/>
    <col min="5" max="5" width="24" style="4" bestFit="1" customWidth="1"/>
    <col min="6" max="6" width="14.109375" style="4" bestFit="1" customWidth="1"/>
    <col min="7" max="9" width="11.5546875" style="4"/>
    <col min="10" max="10" width="5.21875" style="4" customWidth="1"/>
    <col min="11" max="11" width="7.21875" style="4" customWidth="1"/>
    <col min="12" max="12" width="5.21875" style="4" customWidth="1"/>
    <col min="13" max="13" width="6.77734375" style="4" customWidth="1"/>
    <col min="14" max="14" width="3.44140625" style="4" customWidth="1"/>
    <col min="15" max="15" width="5.77734375" style="10" customWidth="1"/>
    <col min="16" max="16" width="8.5546875" style="4" customWidth="1"/>
    <col min="17" max="17" width="36.77734375" style="4" customWidth="1"/>
    <col min="18" max="18" width="59.109375" style="4" customWidth="1"/>
  </cols>
  <sheetData>
    <row r="1" spans="1:18" s="4" customFormat="1" ht="48.6" customHeight="1" thickBot="1">
      <c r="A1" s="11" t="s">
        <v>8</v>
      </c>
      <c r="B1" s="12" t="s">
        <v>9</v>
      </c>
      <c r="C1" s="12" t="s">
        <v>201</v>
      </c>
      <c r="D1" s="12" t="s">
        <v>10</v>
      </c>
      <c r="E1" s="12" t="s">
        <v>11</v>
      </c>
      <c r="F1" s="12" t="s">
        <v>312</v>
      </c>
      <c r="G1" s="12" t="s">
        <v>15</v>
      </c>
      <c r="H1" s="12" t="s">
        <v>16</v>
      </c>
      <c r="I1" s="12" t="s">
        <v>0</v>
      </c>
      <c r="J1" s="12" t="s">
        <v>47</v>
      </c>
      <c r="K1" s="13" t="s">
        <v>4</v>
      </c>
      <c r="L1" s="13" t="s">
        <v>6</v>
      </c>
      <c r="M1" s="13" t="s">
        <v>3</v>
      </c>
      <c r="N1" s="13" t="s">
        <v>2</v>
      </c>
      <c r="O1" s="14" t="s">
        <v>5</v>
      </c>
      <c r="P1" s="13" t="s">
        <v>7</v>
      </c>
      <c r="Q1" s="15" t="s">
        <v>1</v>
      </c>
      <c r="R1" s="15" t="s">
        <v>48</v>
      </c>
    </row>
    <row r="2" spans="1:18" s="7" customFormat="1" ht="27" customHeight="1">
      <c r="A2" s="5">
        <v>47</v>
      </c>
      <c r="B2" s="5" t="s">
        <v>50</v>
      </c>
      <c r="C2" s="5" t="s">
        <v>45</v>
      </c>
      <c r="D2" s="5" t="s">
        <v>46</v>
      </c>
      <c r="E2" s="5" t="s">
        <v>31</v>
      </c>
      <c r="F2" s="5" t="s">
        <v>51</v>
      </c>
      <c r="G2" s="6">
        <v>46108</v>
      </c>
      <c r="H2" s="6">
        <v>46180</v>
      </c>
      <c r="I2" s="6">
        <v>46119</v>
      </c>
      <c r="J2" s="5" t="s">
        <v>18</v>
      </c>
      <c r="K2" s="5" t="s">
        <v>18</v>
      </c>
      <c r="L2" s="5" t="s">
        <v>18</v>
      </c>
      <c r="M2" s="5" t="s">
        <v>18</v>
      </c>
      <c r="N2" s="5" t="s">
        <v>17</v>
      </c>
      <c r="O2" s="9" t="s">
        <v>17</v>
      </c>
      <c r="P2" s="5" t="s">
        <v>17</v>
      </c>
      <c r="Q2" s="5" t="s">
        <v>222</v>
      </c>
      <c r="R2" s="5" t="e">
        <f>+#REF!</f>
        <v>#REF!</v>
      </c>
    </row>
    <row r="3" spans="1:18" s="7" customFormat="1" ht="27" customHeight="1">
      <c r="A3" s="5">
        <v>48</v>
      </c>
      <c r="B3" s="5" t="s">
        <v>52</v>
      </c>
      <c r="C3" s="5" t="s">
        <v>45</v>
      </c>
      <c r="D3" s="5" t="s">
        <v>46</v>
      </c>
      <c r="E3" s="5" t="s">
        <v>31</v>
      </c>
      <c r="F3" s="5" t="s">
        <v>53</v>
      </c>
      <c r="G3" s="6">
        <v>46108</v>
      </c>
      <c r="H3" s="6">
        <v>46180</v>
      </c>
      <c r="I3" s="6">
        <v>46119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17</v>
      </c>
      <c r="O3" s="9" t="s">
        <v>17</v>
      </c>
      <c r="P3" s="5" t="s">
        <v>17</v>
      </c>
      <c r="Q3" s="5" t="s">
        <v>222</v>
      </c>
      <c r="R3" s="5" t="e">
        <f>+R2</f>
        <v>#REF!</v>
      </c>
    </row>
    <row r="4" spans="1:18" s="7" customFormat="1" ht="27" customHeight="1">
      <c r="A4" s="5">
        <v>49</v>
      </c>
      <c r="B4" s="5" t="s">
        <v>54</v>
      </c>
      <c r="C4" s="5" t="s">
        <v>45</v>
      </c>
      <c r="D4" s="5" t="s">
        <v>46</v>
      </c>
      <c r="E4" s="5" t="s">
        <v>31</v>
      </c>
      <c r="F4" s="5" t="s">
        <v>55</v>
      </c>
      <c r="G4" s="6">
        <v>46108</v>
      </c>
      <c r="H4" s="6">
        <v>46180</v>
      </c>
      <c r="I4" s="6">
        <v>46119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17</v>
      </c>
      <c r="O4" s="9" t="s">
        <v>17</v>
      </c>
      <c r="P4" s="5" t="s">
        <v>17</v>
      </c>
      <c r="Q4" s="5" t="s">
        <v>222</v>
      </c>
      <c r="R4" s="5" t="e">
        <f>+R3</f>
        <v>#REF!</v>
      </c>
    </row>
    <row r="5" spans="1:18">
      <c r="A5" s="44">
        <v>52</v>
      </c>
      <c r="B5" s="44" t="s">
        <v>57</v>
      </c>
      <c r="C5" s="44" t="s">
        <v>29</v>
      </c>
      <c r="D5" s="44" t="s">
        <v>30</v>
      </c>
      <c r="E5" s="44" t="s">
        <v>31</v>
      </c>
      <c r="F5" s="3" t="s">
        <v>58</v>
      </c>
      <c r="G5" s="43">
        <v>46108</v>
      </c>
      <c r="H5" s="43">
        <v>46180</v>
      </c>
      <c r="I5" s="43">
        <v>46119</v>
      </c>
      <c r="J5" s="44" t="s">
        <v>18</v>
      </c>
      <c r="K5" s="44" t="s">
        <v>18</v>
      </c>
      <c r="L5" s="44" t="s">
        <v>18</v>
      </c>
      <c r="M5" s="44"/>
      <c r="N5" s="44" t="s">
        <v>17</v>
      </c>
      <c r="O5" s="44" t="s">
        <v>17</v>
      </c>
      <c r="P5" s="44" t="s">
        <v>17</v>
      </c>
      <c r="Q5" s="44" t="s">
        <v>211</v>
      </c>
      <c r="R5" s="46"/>
    </row>
    <row r="6" spans="1:18">
      <c r="A6" s="44"/>
      <c r="B6" s="44"/>
      <c r="C6" s="44"/>
      <c r="D6" s="44"/>
      <c r="E6" s="44"/>
      <c r="F6" s="3" t="s">
        <v>59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6"/>
    </row>
    <row r="7" spans="1:18" ht="16.2" customHeight="1">
      <c r="A7" s="44">
        <v>71</v>
      </c>
      <c r="B7" s="44" t="s">
        <v>213</v>
      </c>
      <c r="C7" s="44" t="str">
        <f>+D7</f>
        <v>LONGKOU BOHAI</v>
      </c>
      <c r="D7" s="44" t="s">
        <v>49</v>
      </c>
      <c r="E7" s="44" t="s">
        <v>12</v>
      </c>
      <c r="F7" s="3" t="s">
        <v>214</v>
      </c>
      <c r="G7" s="42">
        <v>46129</v>
      </c>
      <c r="H7" s="42">
        <v>46195</v>
      </c>
      <c r="I7" s="42">
        <v>46140</v>
      </c>
      <c r="J7" s="39" t="s">
        <v>18</v>
      </c>
      <c r="K7" s="39" t="s">
        <v>18</v>
      </c>
      <c r="L7" s="39" t="s">
        <v>18</v>
      </c>
      <c r="M7" s="39" t="s">
        <v>18</v>
      </c>
      <c r="N7" s="39" t="s">
        <v>18</v>
      </c>
      <c r="O7" s="39" t="s">
        <v>17</v>
      </c>
      <c r="P7" s="39" t="s">
        <v>18</v>
      </c>
      <c r="Q7" s="55" t="s">
        <v>329</v>
      </c>
      <c r="R7" s="39"/>
    </row>
    <row r="8" spans="1:18" ht="16.2" customHeight="1">
      <c r="A8" s="44"/>
      <c r="B8" s="44"/>
      <c r="C8" s="44"/>
      <c r="D8" s="44"/>
      <c r="E8" s="44"/>
      <c r="F8" s="3" t="s">
        <v>215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8"/>
      <c r="R8" s="41"/>
    </row>
    <row r="9" spans="1:18" ht="16.2" customHeight="1">
      <c r="A9" s="44"/>
      <c r="B9" s="44"/>
      <c r="C9" s="44"/>
      <c r="D9" s="44"/>
      <c r="E9" s="44"/>
      <c r="F9" s="3" t="s">
        <v>216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8"/>
      <c r="R9" s="41"/>
    </row>
    <row r="10" spans="1:18" ht="16.2" customHeight="1">
      <c r="A10" s="44"/>
      <c r="B10" s="44"/>
      <c r="C10" s="44"/>
      <c r="D10" s="44"/>
      <c r="E10" s="44"/>
      <c r="F10" s="3" t="s">
        <v>217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8"/>
      <c r="R10" s="41"/>
    </row>
    <row r="11" spans="1:18" ht="16.2" customHeight="1">
      <c r="A11" s="44"/>
      <c r="B11" s="44"/>
      <c r="C11" s="44"/>
      <c r="D11" s="44"/>
      <c r="E11" s="44"/>
      <c r="F11" s="3" t="s">
        <v>218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8"/>
      <c r="R11" s="41"/>
    </row>
    <row r="12" spans="1:18" ht="16.2" customHeight="1">
      <c r="A12" s="44"/>
      <c r="B12" s="44"/>
      <c r="C12" s="44"/>
      <c r="D12" s="44"/>
      <c r="E12" s="44"/>
      <c r="F12" s="3" t="s">
        <v>219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9"/>
      <c r="R12" s="40"/>
    </row>
    <row r="13" spans="1:18" ht="16.2" customHeight="1">
      <c r="A13" s="3">
        <v>72</v>
      </c>
      <c r="B13" s="3" t="s">
        <v>220</v>
      </c>
      <c r="C13" s="3" t="str">
        <f>+D13</f>
        <v>YANTAI TAIXI</v>
      </c>
      <c r="D13" s="3" t="s">
        <v>202</v>
      </c>
      <c r="E13" s="3" t="s">
        <v>21</v>
      </c>
      <c r="F13" s="3" t="s">
        <v>221</v>
      </c>
      <c r="G13" s="2">
        <v>46129</v>
      </c>
      <c r="H13" s="2">
        <v>46202</v>
      </c>
      <c r="I13" s="2">
        <v>46141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18</v>
      </c>
      <c r="O13" s="8" t="s">
        <v>17</v>
      </c>
      <c r="P13" s="3" t="s">
        <v>18</v>
      </c>
      <c r="Q13" s="5" t="s">
        <v>331</v>
      </c>
      <c r="R13" s="5"/>
    </row>
    <row r="14" spans="1:18">
      <c r="A14" s="44">
        <v>75</v>
      </c>
      <c r="B14" s="44" t="s">
        <v>224</v>
      </c>
      <c r="C14" s="44" t="s">
        <v>223</v>
      </c>
      <c r="D14" s="44" t="s">
        <v>223</v>
      </c>
      <c r="E14" s="44" t="s">
        <v>225</v>
      </c>
      <c r="F14" s="3" t="s">
        <v>226</v>
      </c>
      <c r="G14" s="45">
        <v>46134</v>
      </c>
      <c r="H14" s="45">
        <v>46176</v>
      </c>
      <c r="I14" s="43">
        <v>46146</v>
      </c>
      <c r="J14" s="44" t="s">
        <v>18</v>
      </c>
      <c r="K14" s="44" t="s">
        <v>18</v>
      </c>
      <c r="L14" s="44" t="s">
        <v>18</v>
      </c>
      <c r="M14" s="44" t="s">
        <v>18</v>
      </c>
      <c r="N14" s="44" t="s">
        <v>18</v>
      </c>
      <c r="O14" s="44" t="s">
        <v>17</v>
      </c>
      <c r="P14" s="44" t="s">
        <v>18</v>
      </c>
      <c r="Q14" s="46" t="s">
        <v>332</v>
      </c>
      <c r="R14" s="44"/>
    </row>
    <row r="15" spans="1:18">
      <c r="A15" s="44"/>
      <c r="B15" s="44"/>
      <c r="C15" s="44"/>
      <c r="D15" s="44"/>
      <c r="E15" s="44"/>
      <c r="F15" s="3" t="s">
        <v>227</v>
      </c>
      <c r="G15" s="46"/>
      <c r="H15" s="46"/>
      <c r="I15" s="44"/>
      <c r="J15" s="44"/>
      <c r="K15" s="44"/>
      <c r="L15" s="44"/>
      <c r="M15" s="44"/>
      <c r="N15" s="44"/>
      <c r="O15" s="44"/>
      <c r="P15" s="44"/>
      <c r="Q15" s="46"/>
      <c r="R15" s="44"/>
    </row>
    <row r="16" spans="1:18">
      <c r="A16" s="44"/>
      <c r="B16" s="44"/>
      <c r="C16" s="44"/>
      <c r="D16" s="44"/>
      <c r="E16" s="44"/>
      <c r="F16" s="3" t="s">
        <v>228</v>
      </c>
      <c r="G16" s="46"/>
      <c r="H16" s="46"/>
      <c r="I16" s="44"/>
      <c r="J16" s="44"/>
      <c r="K16" s="44"/>
      <c r="L16" s="44"/>
      <c r="M16" s="44"/>
      <c r="N16" s="44"/>
      <c r="O16" s="44"/>
      <c r="P16" s="44"/>
      <c r="Q16" s="46"/>
      <c r="R16" s="44"/>
    </row>
    <row r="17" spans="1:18">
      <c r="A17" s="44"/>
      <c r="B17" s="44"/>
      <c r="C17" s="44"/>
      <c r="D17" s="44"/>
      <c r="E17" s="44"/>
      <c r="F17" s="3" t="s">
        <v>229</v>
      </c>
      <c r="G17" s="46"/>
      <c r="H17" s="46"/>
      <c r="I17" s="44"/>
      <c r="J17" s="44"/>
      <c r="K17" s="44"/>
      <c r="L17" s="44"/>
      <c r="M17" s="44"/>
      <c r="N17" s="44"/>
      <c r="O17" s="44"/>
      <c r="P17" s="44"/>
      <c r="Q17" s="46"/>
      <c r="R17" s="44"/>
    </row>
    <row r="18" spans="1:18">
      <c r="A18" s="44"/>
      <c r="B18" s="44"/>
      <c r="C18" s="44"/>
      <c r="D18" s="44"/>
      <c r="E18" s="44"/>
      <c r="F18" s="3" t="s">
        <v>230</v>
      </c>
      <c r="G18" s="46"/>
      <c r="H18" s="46"/>
      <c r="I18" s="44"/>
      <c r="J18" s="44"/>
      <c r="K18" s="44"/>
      <c r="L18" s="44"/>
      <c r="M18" s="44"/>
      <c r="N18" s="44"/>
      <c r="O18" s="44"/>
      <c r="P18" s="44"/>
      <c r="Q18" s="46"/>
      <c r="R18" s="44"/>
    </row>
    <row r="19" spans="1:18">
      <c r="A19" s="44">
        <v>76</v>
      </c>
      <c r="B19" s="44" t="s">
        <v>231</v>
      </c>
      <c r="C19" s="44" t="s">
        <v>56</v>
      </c>
      <c r="D19" s="44" t="s">
        <v>56</v>
      </c>
      <c r="E19" s="44" t="s">
        <v>12</v>
      </c>
      <c r="F19" s="3" t="s">
        <v>232</v>
      </c>
      <c r="G19" s="43">
        <v>46134</v>
      </c>
      <c r="H19" s="43">
        <v>46180</v>
      </c>
      <c r="I19" s="43">
        <v>46148</v>
      </c>
      <c r="J19" s="44" t="s">
        <v>18</v>
      </c>
      <c r="K19" s="44" t="s">
        <v>18</v>
      </c>
      <c r="L19" s="44" t="s">
        <v>18</v>
      </c>
      <c r="M19" s="44" t="s">
        <v>18</v>
      </c>
      <c r="N19" s="44" t="s">
        <v>18</v>
      </c>
      <c r="O19" s="44" t="s">
        <v>17</v>
      </c>
      <c r="P19" s="44" t="s">
        <v>18</v>
      </c>
      <c r="Q19" s="46" t="s">
        <v>328</v>
      </c>
      <c r="R19" s="44" t="s">
        <v>333</v>
      </c>
    </row>
    <row r="20" spans="1:18">
      <c r="A20" s="44"/>
      <c r="B20" s="44"/>
      <c r="C20" s="44"/>
      <c r="D20" s="44"/>
      <c r="E20" s="44"/>
      <c r="F20" s="3" t="s">
        <v>233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6"/>
      <c r="R20" s="44"/>
    </row>
    <row r="21" spans="1:18">
      <c r="A21" s="44"/>
      <c r="B21" s="44"/>
      <c r="C21" s="44"/>
      <c r="D21" s="44"/>
      <c r="E21" s="44"/>
      <c r="F21" s="3" t="s">
        <v>234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6"/>
      <c r="R21" s="44"/>
    </row>
    <row r="22" spans="1:18" s="33" customFormat="1" ht="22.2" customHeight="1">
      <c r="A22" s="3">
        <v>77</v>
      </c>
      <c r="B22" s="3" t="s">
        <v>236</v>
      </c>
      <c r="C22" s="3" t="s">
        <v>235</v>
      </c>
      <c r="D22" s="3" t="s">
        <v>237</v>
      </c>
      <c r="E22" s="3" t="s">
        <v>238</v>
      </c>
      <c r="F22" s="3" t="s">
        <v>239</v>
      </c>
      <c r="G22" s="2">
        <v>46135</v>
      </c>
      <c r="H22" s="2">
        <v>46199</v>
      </c>
      <c r="I22" s="2">
        <v>46146</v>
      </c>
      <c r="J22" s="3" t="s">
        <v>18</v>
      </c>
      <c r="K22" s="3" t="s">
        <v>18</v>
      </c>
      <c r="L22" s="3" t="s">
        <v>18</v>
      </c>
      <c r="M22" s="3" t="s">
        <v>18</v>
      </c>
      <c r="N22" s="3" t="s">
        <v>18</v>
      </c>
      <c r="O22" s="8" t="s">
        <v>17</v>
      </c>
      <c r="P22" s="3" t="s">
        <v>18</v>
      </c>
      <c r="Q22" s="5" t="s">
        <v>328</v>
      </c>
      <c r="R22" s="3" t="s">
        <v>334</v>
      </c>
    </row>
    <row r="23" spans="1:18" s="33" customFormat="1" ht="22.2" customHeight="1">
      <c r="A23" s="3">
        <v>78</v>
      </c>
      <c r="B23" s="3" t="s">
        <v>240</v>
      </c>
      <c r="C23" s="3" t="s">
        <v>241</v>
      </c>
      <c r="D23" s="3" t="s">
        <v>241</v>
      </c>
      <c r="E23" s="3" t="s">
        <v>12</v>
      </c>
      <c r="F23" s="3" t="s">
        <v>242</v>
      </c>
      <c r="G23" s="2">
        <v>46134</v>
      </c>
      <c r="H23" s="2">
        <v>46180</v>
      </c>
      <c r="I23" s="2">
        <v>46148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8" t="s">
        <v>17</v>
      </c>
      <c r="P23" s="3" t="s">
        <v>18</v>
      </c>
      <c r="Q23" s="5" t="s">
        <v>339</v>
      </c>
      <c r="R23" s="3"/>
    </row>
    <row r="24" spans="1:18" s="33" customFormat="1" ht="22.2" customHeight="1">
      <c r="A24" s="3">
        <v>80</v>
      </c>
      <c r="B24" s="3" t="s">
        <v>243</v>
      </c>
      <c r="C24" s="3" t="s">
        <v>223</v>
      </c>
      <c r="D24" s="3" t="s">
        <v>244</v>
      </c>
      <c r="E24" s="3" t="s">
        <v>245</v>
      </c>
      <c r="F24" s="3" t="s">
        <v>246</v>
      </c>
      <c r="G24" s="2">
        <v>46134</v>
      </c>
      <c r="H24" s="2">
        <v>46187</v>
      </c>
      <c r="I24" s="2">
        <v>46148</v>
      </c>
      <c r="J24" s="3" t="s">
        <v>18</v>
      </c>
      <c r="K24" s="3" t="s">
        <v>18</v>
      </c>
      <c r="L24" s="3" t="s">
        <v>18</v>
      </c>
      <c r="M24" s="3" t="s">
        <v>18</v>
      </c>
      <c r="N24" s="3" t="s">
        <v>17</v>
      </c>
      <c r="O24" s="8" t="s">
        <v>17</v>
      </c>
      <c r="P24" s="3" t="s">
        <v>17</v>
      </c>
      <c r="Q24" s="5" t="s">
        <v>328</v>
      </c>
      <c r="R24" s="3"/>
    </row>
    <row r="25" spans="1:18" s="33" customFormat="1" ht="21.6" customHeight="1">
      <c r="A25" s="44">
        <v>81</v>
      </c>
      <c r="B25" s="44" t="s">
        <v>247</v>
      </c>
      <c r="C25" s="44" t="s">
        <v>60</v>
      </c>
      <c r="D25" s="44" t="s">
        <v>60</v>
      </c>
      <c r="E25" s="44" t="s">
        <v>203</v>
      </c>
      <c r="F25" s="3" t="s">
        <v>248</v>
      </c>
      <c r="G25" s="43">
        <v>46136</v>
      </c>
      <c r="H25" s="43">
        <v>46209</v>
      </c>
      <c r="I25" s="43">
        <v>46148</v>
      </c>
      <c r="J25" s="44" t="s">
        <v>18</v>
      </c>
      <c r="K25" s="44" t="s">
        <v>18</v>
      </c>
      <c r="L25" s="44" t="s">
        <v>18</v>
      </c>
      <c r="M25" s="44" t="s">
        <v>18</v>
      </c>
      <c r="N25" s="44" t="s">
        <v>18</v>
      </c>
      <c r="O25" s="44" t="s">
        <v>17</v>
      </c>
      <c r="P25" s="44" t="s">
        <v>18</v>
      </c>
      <c r="Q25" s="46" t="s">
        <v>330</v>
      </c>
      <c r="R25" s="44"/>
    </row>
    <row r="26" spans="1:18" s="33" customFormat="1" ht="21.6" customHeight="1">
      <c r="A26" s="44"/>
      <c r="B26" s="44"/>
      <c r="C26" s="44"/>
      <c r="D26" s="44"/>
      <c r="E26" s="44"/>
      <c r="F26" s="3" t="s">
        <v>249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6"/>
      <c r="R26" s="44"/>
    </row>
    <row r="27" spans="1:18" s="33" customFormat="1" ht="22.2" customHeight="1">
      <c r="A27" s="3">
        <v>82</v>
      </c>
      <c r="B27" s="3" t="s">
        <v>250</v>
      </c>
      <c r="C27" s="3" t="s">
        <v>19</v>
      </c>
      <c r="D27" s="3" t="s">
        <v>19</v>
      </c>
      <c r="E27" s="3" t="s">
        <v>252</v>
      </c>
      <c r="F27" s="3" t="s">
        <v>251</v>
      </c>
      <c r="G27" s="2">
        <v>46136</v>
      </c>
      <c r="H27" s="2">
        <v>46202</v>
      </c>
      <c r="I27" s="2">
        <v>46148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8" t="s">
        <v>17</v>
      </c>
      <c r="P27" s="3" t="s">
        <v>18</v>
      </c>
      <c r="Q27" s="3" t="s">
        <v>342</v>
      </c>
      <c r="R27" s="3" t="s">
        <v>335</v>
      </c>
    </row>
    <row r="28" spans="1:18" s="33" customFormat="1" ht="22.2" customHeight="1">
      <c r="A28" s="3">
        <v>83</v>
      </c>
      <c r="B28" s="3" t="s">
        <v>253</v>
      </c>
      <c r="C28" s="3" t="s">
        <v>254</v>
      </c>
      <c r="D28" s="3" t="s">
        <v>254</v>
      </c>
      <c r="E28" s="3" t="s">
        <v>252</v>
      </c>
      <c r="F28" s="3" t="s">
        <v>255</v>
      </c>
      <c r="G28" s="2">
        <v>46136</v>
      </c>
      <c r="H28" s="2">
        <v>46202</v>
      </c>
      <c r="I28" s="2">
        <v>46148</v>
      </c>
      <c r="J28" s="3" t="s">
        <v>18</v>
      </c>
      <c r="K28" s="3" t="s">
        <v>18</v>
      </c>
      <c r="L28" s="3" t="s">
        <v>18</v>
      </c>
      <c r="M28" s="3" t="s">
        <v>18</v>
      </c>
      <c r="N28" s="3" t="s">
        <v>18</v>
      </c>
      <c r="O28" s="8" t="s">
        <v>17</v>
      </c>
      <c r="P28" s="3" t="s">
        <v>18</v>
      </c>
      <c r="Q28" s="3" t="s">
        <v>338</v>
      </c>
      <c r="R28" s="3"/>
    </row>
    <row r="29" spans="1:18" s="33" customFormat="1" ht="22.2" customHeight="1">
      <c r="A29" s="3">
        <v>86</v>
      </c>
      <c r="B29" s="3" t="s">
        <v>256</v>
      </c>
      <c r="C29" s="3" t="s">
        <v>223</v>
      </c>
      <c r="D29" s="3" t="s">
        <v>223</v>
      </c>
      <c r="E29" s="3" t="s">
        <v>257</v>
      </c>
      <c r="F29" s="3" t="s">
        <v>258</v>
      </c>
      <c r="G29" s="2">
        <v>46141</v>
      </c>
      <c r="H29" s="2">
        <v>46192</v>
      </c>
      <c r="I29" s="2">
        <v>46149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8" t="s">
        <v>17</v>
      </c>
      <c r="P29" s="3" t="s">
        <v>18</v>
      </c>
      <c r="Q29" s="5" t="s">
        <v>332</v>
      </c>
      <c r="R29" s="3"/>
    </row>
    <row r="30" spans="1:18" s="33" customFormat="1" ht="22.2" customHeight="1">
      <c r="A30" s="3">
        <v>87</v>
      </c>
      <c r="B30" s="3" t="s">
        <v>259</v>
      </c>
      <c r="C30" s="3" t="s">
        <v>223</v>
      </c>
      <c r="D30" s="3" t="s">
        <v>223</v>
      </c>
      <c r="E30" s="3" t="s">
        <v>260</v>
      </c>
      <c r="F30" s="3" t="s">
        <v>261</v>
      </c>
      <c r="G30" s="2">
        <v>46141</v>
      </c>
      <c r="H30" s="2">
        <v>46183</v>
      </c>
      <c r="I30" s="2">
        <v>46149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8" t="s">
        <v>17</v>
      </c>
      <c r="P30" s="3" t="s">
        <v>18</v>
      </c>
      <c r="Q30" s="5" t="s">
        <v>332</v>
      </c>
      <c r="R30" s="3"/>
    </row>
    <row r="31" spans="1:18" s="33" customFormat="1" ht="22.2" customHeight="1">
      <c r="A31" s="3">
        <v>91</v>
      </c>
      <c r="B31" s="3" t="s">
        <v>262</v>
      </c>
      <c r="C31" s="3" t="s">
        <v>223</v>
      </c>
      <c r="D31" s="3" t="s">
        <v>263</v>
      </c>
      <c r="E31" s="3" t="s">
        <v>264</v>
      </c>
      <c r="F31" s="3" t="s">
        <v>265</v>
      </c>
      <c r="G31" s="2">
        <v>46141</v>
      </c>
      <c r="H31" s="2">
        <v>46183</v>
      </c>
      <c r="I31" s="2">
        <v>46150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8" t="s">
        <v>17</v>
      </c>
      <c r="P31" s="3" t="s">
        <v>18</v>
      </c>
      <c r="Q31" s="3" t="s">
        <v>336</v>
      </c>
      <c r="R31" s="3"/>
    </row>
    <row r="32" spans="1:18" s="33" customFormat="1" ht="22.2" customHeight="1">
      <c r="A32" s="44">
        <v>92</v>
      </c>
      <c r="B32" s="43" t="s">
        <v>266</v>
      </c>
      <c r="C32" s="43" t="s">
        <v>223</v>
      </c>
      <c r="D32" s="43" t="s">
        <v>223</v>
      </c>
      <c r="E32" s="43" t="s">
        <v>257</v>
      </c>
      <c r="F32" s="3" t="s">
        <v>267</v>
      </c>
      <c r="G32" s="43">
        <v>46141</v>
      </c>
      <c r="H32" s="43">
        <v>46183</v>
      </c>
      <c r="I32" s="43">
        <v>46150</v>
      </c>
      <c r="J32" s="43" t="s">
        <v>18</v>
      </c>
      <c r="K32" s="43" t="s">
        <v>18</v>
      </c>
      <c r="L32" s="43" t="s">
        <v>18</v>
      </c>
      <c r="M32" s="43" t="s">
        <v>18</v>
      </c>
      <c r="N32" s="43" t="s">
        <v>18</v>
      </c>
      <c r="O32" s="43" t="s">
        <v>17</v>
      </c>
      <c r="P32" s="43" t="s">
        <v>18</v>
      </c>
      <c r="Q32" s="45" t="s">
        <v>332</v>
      </c>
      <c r="R32" s="43"/>
    </row>
    <row r="33" spans="1:18">
      <c r="A33" s="44"/>
      <c r="B33" s="43"/>
      <c r="C33" s="43"/>
      <c r="D33" s="43"/>
      <c r="E33" s="43"/>
      <c r="F33" s="3" t="s">
        <v>268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5"/>
      <c r="R33" s="43"/>
    </row>
    <row r="34" spans="1:18">
      <c r="A34" s="44"/>
      <c r="B34" s="43"/>
      <c r="C34" s="43"/>
      <c r="D34" s="43"/>
      <c r="E34" s="43"/>
      <c r="F34" s="3" t="s">
        <v>269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5"/>
      <c r="R34" s="43"/>
    </row>
    <row r="35" spans="1:18" s="33" customFormat="1" ht="22.2" customHeight="1">
      <c r="A35" s="3">
        <v>93</v>
      </c>
      <c r="B35" s="3" t="s">
        <v>270</v>
      </c>
      <c r="C35" s="3" t="s">
        <v>19</v>
      </c>
      <c r="D35" s="3" t="s">
        <v>19</v>
      </c>
      <c r="E35" s="3" t="s">
        <v>252</v>
      </c>
      <c r="F35" s="3" t="s">
        <v>271</v>
      </c>
      <c r="G35" s="2">
        <v>46141</v>
      </c>
      <c r="H35" s="2">
        <v>46199</v>
      </c>
      <c r="I35" s="2">
        <v>46150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18</v>
      </c>
      <c r="O35" s="8" t="s">
        <v>17</v>
      </c>
      <c r="P35" s="3" t="s">
        <v>18</v>
      </c>
      <c r="Q35" s="3" t="s">
        <v>343</v>
      </c>
      <c r="R35" s="3" t="s">
        <v>335</v>
      </c>
    </row>
    <row r="36" spans="1:18">
      <c r="A36" s="44">
        <v>94</v>
      </c>
      <c r="B36" s="43" t="s">
        <v>272</v>
      </c>
      <c r="C36" s="43" t="s">
        <v>276</v>
      </c>
      <c r="D36" s="43" t="s">
        <v>273</v>
      </c>
      <c r="E36" s="43" t="s">
        <v>13</v>
      </c>
      <c r="F36" s="3" t="s">
        <v>274</v>
      </c>
      <c r="G36" s="43">
        <v>46141</v>
      </c>
      <c r="H36" s="43">
        <v>46187</v>
      </c>
      <c r="I36" s="43">
        <v>46150</v>
      </c>
      <c r="J36" s="43" t="s">
        <v>18</v>
      </c>
      <c r="K36" s="43" t="s">
        <v>18</v>
      </c>
      <c r="L36" s="43" t="s">
        <v>18</v>
      </c>
      <c r="M36" s="43" t="s">
        <v>18</v>
      </c>
      <c r="N36" s="43" t="s">
        <v>18</v>
      </c>
      <c r="O36" s="43" t="s">
        <v>17</v>
      </c>
      <c r="P36" s="43" t="s">
        <v>18</v>
      </c>
      <c r="Q36" s="45" t="s">
        <v>371</v>
      </c>
      <c r="R36" s="43"/>
    </row>
    <row r="37" spans="1:18">
      <c r="A37" s="44"/>
      <c r="B37" s="44"/>
      <c r="C37" s="44"/>
      <c r="D37" s="44"/>
      <c r="E37" s="44"/>
      <c r="F37" s="3" t="s">
        <v>275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6"/>
      <c r="R37" s="44"/>
    </row>
    <row r="38" spans="1:18">
      <c r="A38" s="44">
        <v>95</v>
      </c>
      <c r="B38" s="44" t="s">
        <v>277</v>
      </c>
      <c r="C38" s="44" t="s">
        <v>56</v>
      </c>
      <c r="D38" s="44" t="s">
        <v>56</v>
      </c>
      <c r="E38" s="44" t="s">
        <v>252</v>
      </c>
      <c r="F38" s="3" t="s">
        <v>278</v>
      </c>
      <c r="G38" s="43">
        <v>46141</v>
      </c>
      <c r="H38" s="43">
        <v>46202</v>
      </c>
      <c r="I38" s="43">
        <v>46150</v>
      </c>
      <c r="J38" s="44" t="s">
        <v>18</v>
      </c>
      <c r="K38" s="44" t="s">
        <v>18</v>
      </c>
      <c r="L38" s="44" t="s">
        <v>18</v>
      </c>
      <c r="M38" s="44" t="s">
        <v>18</v>
      </c>
      <c r="N38" s="44" t="s">
        <v>18</v>
      </c>
      <c r="O38" s="44" t="s">
        <v>17</v>
      </c>
      <c r="P38" s="44" t="s">
        <v>18</v>
      </c>
      <c r="Q38" s="44" t="s">
        <v>337</v>
      </c>
      <c r="R38" s="44" t="s">
        <v>333</v>
      </c>
    </row>
    <row r="39" spans="1:18">
      <c r="A39" s="44"/>
      <c r="B39" s="44"/>
      <c r="C39" s="44"/>
      <c r="D39" s="44"/>
      <c r="E39" s="44"/>
      <c r="F39" s="3" t="s">
        <v>279</v>
      </c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</row>
    <row r="40" spans="1:18">
      <c r="A40" s="44"/>
      <c r="B40" s="44"/>
      <c r="C40" s="44"/>
      <c r="D40" s="44"/>
      <c r="E40" s="44"/>
      <c r="F40" s="3" t="s">
        <v>280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1:18">
      <c r="A41" s="44"/>
      <c r="B41" s="44"/>
      <c r="C41" s="44"/>
      <c r="D41" s="44"/>
      <c r="E41" s="44"/>
      <c r="F41" s="3" t="s">
        <v>281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</row>
    <row r="42" spans="1:18">
      <c r="A42" s="44"/>
      <c r="B42" s="44"/>
      <c r="C42" s="44"/>
      <c r="D42" s="44"/>
      <c r="E42" s="44"/>
      <c r="F42" s="3" t="s">
        <v>282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A43" s="44"/>
      <c r="B43" s="44"/>
      <c r="C43" s="44"/>
      <c r="D43" s="44"/>
      <c r="E43" s="44"/>
      <c r="F43" s="3" t="s">
        <v>283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</row>
    <row r="44" spans="1:18">
      <c r="A44" s="44"/>
      <c r="B44" s="44"/>
      <c r="C44" s="44"/>
      <c r="D44" s="44"/>
      <c r="E44" s="44"/>
      <c r="F44" s="3" t="s">
        <v>284</v>
      </c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1:18">
      <c r="A45" s="44">
        <v>96</v>
      </c>
      <c r="B45" s="44" t="s">
        <v>285</v>
      </c>
      <c r="C45" s="44" t="s">
        <v>254</v>
      </c>
      <c r="D45" s="44" t="s">
        <v>254</v>
      </c>
      <c r="E45" s="44" t="s">
        <v>13</v>
      </c>
      <c r="F45" s="3" t="s">
        <v>286</v>
      </c>
      <c r="G45" s="43">
        <v>46141</v>
      </c>
      <c r="H45" s="43">
        <v>46202</v>
      </c>
      <c r="I45" s="43">
        <v>46146</v>
      </c>
      <c r="J45" s="44" t="s">
        <v>18</v>
      </c>
      <c r="K45" s="44" t="s">
        <v>18</v>
      </c>
      <c r="L45" s="44" t="s">
        <v>18</v>
      </c>
      <c r="M45" s="44" t="s">
        <v>18</v>
      </c>
      <c r="N45" s="44" t="s">
        <v>18</v>
      </c>
      <c r="O45" s="44" t="s">
        <v>17</v>
      </c>
      <c r="P45" s="44" t="s">
        <v>18</v>
      </c>
      <c r="Q45" s="46" t="s">
        <v>372</v>
      </c>
      <c r="R45" s="44"/>
    </row>
    <row r="46" spans="1:18">
      <c r="A46" s="44"/>
      <c r="B46" s="44"/>
      <c r="C46" s="44"/>
      <c r="D46" s="44"/>
      <c r="E46" s="44"/>
      <c r="F46" s="3" t="s">
        <v>287</v>
      </c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6"/>
      <c r="R46" s="44"/>
    </row>
    <row r="47" spans="1:18">
      <c r="A47" s="44"/>
      <c r="B47" s="44"/>
      <c r="C47" s="44"/>
      <c r="D47" s="44"/>
      <c r="E47" s="44"/>
      <c r="F47" s="3" t="s">
        <v>288</v>
      </c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6"/>
      <c r="R47" s="44"/>
    </row>
    <row r="48" spans="1:18">
      <c r="A48" s="44"/>
      <c r="B48" s="44"/>
      <c r="C48" s="44"/>
      <c r="D48" s="44"/>
      <c r="E48" s="44"/>
      <c r="F48" s="3" t="s">
        <v>289</v>
      </c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6"/>
      <c r="R48" s="44"/>
    </row>
    <row r="49" spans="1:18">
      <c r="A49" s="44"/>
      <c r="B49" s="44"/>
      <c r="C49" s="44"/>
      <c r="D49" s="44"/>
      <c r="E49" s="44"/>
      <c r="F49" s="3" t="s">
        <v>290</v>
      </c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6"/>
      <c r="R49" s="44"/>
    </row>
    <row r="50" spans="1:18" s="33" customFormat="1" ht="22.2" customHeight="1">
      <c r="A50" s="3">
        <v>97</v>
      </c>
      <c r="B50" s="3" t="s">
        <v>291</v>
      </c>
      <c r="C50" s="3" t="s">
        <v>292</v>
      </c>
      <c r="D50" s="3" t="s">
        <v>292</v>
      </c>
      <c r="E50" s="3" t="s">
        <v>13</v>
      </c>
      <c r="F50" s="3" t="s">
        <v>293</v>
      </c>
      <c r="G50" s="2">
        <v>46141</v>
      </c>
      <c r="H50" s="2">
        <v>46200</v>
      </c>
      <c r="I50" s="2">
        <v>46150</v>
      </c>
      <c r="J50" s="3" t="s">
        <v>18</v>
      </c>
      <c r="K50" s="3" t="s">
        <v>18</v>
      </c>
      <c r="L50" s="3" t="s">
        <v>18</v>
      </c>
      <c r="M50" s="3" t="s">
        <v>18</v>
      </c>
      <c r="N50" s="3" t="s">
        <v>18</v>
      </c>
      <c r="O50" s="8" t="s">
        <v>17</v>
      </c>
      <c r="P50" s="3" t="s">
        <v>18</v>
      </c>
      <c r="Q50" s="3" t="s">
        <v>0</v>
      </c>
      <c r="R50" s="3" t="s">
        <v>373</v>
      </c>
    </row>
    <row r="51" spans="1:18">
      <c r="A51" s="44">
        <v>98</v>
      </c>
      <c r="B51" s="43" t="s">
        <v>294</v>
      </c>
      <c r="C51" s="43" t="s">
        <v>241</v>
      </c>
      <c r="D51" s="43" t="s">
        <v>241</v>
      </c>
      <c r="E51" s="43" t="s">
        <v>252</v>
      </c>
      <c r="F51" s="3" t="s">
        <v>295</v>
      </c>
      <c r="G51" s="43">
        <v>46150</v>
      </c>
      <c r="H51" s="43">
        <v>46209</v>
      </c>
      <c r="I51" s="43">
        <v>46161</v>
      </c>
      <c r="J51" s="43" t="s">
        <v>18</v>
      </c>
      <c r="K51" s="43" t="s">
        <v>18</v>
      </c>
      <c r="L51" s="43" t="s">
        <v>18</v>
      </c>
      <c r="M51" s="43" t="s">
        <v>18</v>
      </c>
      <c r="N51" s="43" t="s">
        <v>18</v>
      </c>
      <c r="O51" s="43" t="s">
        <v>17</v>
      </c>
      <c r="P51" s="43" t="s">
        <v>18</v>
      </c>
      <c r="Q51" s="53" t="s">
        <v>349</v>
      </c>
      <c r="R51" s="43"/>
    </row>
    <row r="52" spans="1:18">
      <c r="A52" s="44"/>
      <c r="B52" s="44"/>
      <c r="C52" s="44"/>
      <c r="D52" s="44"/>
      <c r="E52" s="44"/>
      <c r="F52" s="3" t="s">
        <v>296</v>
      </c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54"/>
      <c r="R52" s="44"/>
    </row>
    <row r="53" spans="1:18">
      <c r="A53" s="44"/>
      <c r="B53" s="44"/>
      <c r="C53" s="44"/>
      <c r="D53" s="44"/>
      <c r="E53" s="44"/>
      <c r="F53" s="3" t="s">
        <v>297</v>
      </c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54"/>
      <c r="R53" s="44"/>
    </row>
    <row r="54" spans="1:18">
      <c r="A54" s="44"/>
      <c r="B54" s="44"/>
      <c r="C54" s="44"/>
      <c r="D54" s="44"/>
      <c r="E54" s="44"/>
      <c r="F54" s="3" t="s">
        <v>298</v>
      </c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54"/>
      <c r="R54" s="44"/>
    </row>
    <row r="55" spans="1:18">
      <c r="A55" s="39">
        <v>99</v>
      </c>
      <c r="B55" s="39" t="s">
        <v>299</v>
      </c>
      <c r="C55" s="39" t="s">
        <v>350</v>
      </c>
      <c r="D55" s="39" t="s">
        <v>254</v>
      </c>
      <c r="E55" s="39" t="s">
        <v>13</v>
      </c>
      <c r="F55" s="3" t="s">
        <v>300</v>
      </c>
      <c r="G55" s="42">
        <v>46154</v>
      </c>
      <c r="H55" s="42">
        <v>46202</v>
      </c>
      <c r="I55" s="42">
        <v>46164</v>
      </c>
      <c r="J55" s="39" t="s">
        <v>18</v>
      </c>
      <c r="K55" s="39" t="s">
        <v>18</v>
      </c>
      <c r="L55" s="39" t="s">
        <v>18</v>
      </c>
      <c r="M55" s="39" t="s">
        <v>18</v>
      </c>
      <c r="N55" s="39" t="s">
        <v>18</v>
      </c>
      <c r="O55" s="39" t="s">
        <v>17</v>
      </c>
      <c r="P55" s="39" t="s">
        <v>18</v>
      </c>
      <c r="Q55" s="50" t="s">
        <v>349</v>
      </c>
      <c r="R55" s="39"/>
    </row>
    <row r="56" spans="1:18">
      <c r="A56" s="41"/>
      <c r="B56" s="41"/>
      <c r="C56" s="41"/>
      <c r="D56" s="41"/>
      <c r="E56" s="41"/>
      <c r="F56" s="3" t="s">
        <v>301</v>
      </c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51"/>
      <c r="R56" s="41"/>
    </row>
    <row r="57" spans="1:18">
      <c r="A57" s="40"/>
      <c r="B57" s="40"/>
      <c r="C57" s="40"/>
      <c r="D57" s="40"/>
      <c r="E57" s="40"/>
      <c r="F57" s="3" t="s">
        <v>302</v>
      </c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52"/>
      <c r="R57" s="40"/>
    </row>
    <row r="58" spans="1:18" hidden="1">
      <c r="A58" s="44">
        <v>100</v>
      </c>
      <c r="B58" s="44" t="s">
        <v>303</v>
      </c>
      <c r="C58" s="44" t="s">
        <v>29</v>
      </c>
      <c r="D58" s="44" t="s">
        <v>30</v>
      </c>
      <c r="E58" s="44" t="s">
        <v>31</v>
      </c>
      <c r="F58" s="3" t="s">
        <v>304</v>
      </c>
      <c r="G58" s="43">
        <v>46154</v>
      </c>
      <c r="H58" s="43">
        <v>46199</v>
      </c>
      <c r="I58" s="43">
        <v>46162</v>
      </c>
      <c r="J58" s="44" t="s">
        <v>18</v>
      </c>
      <c r="K58" s="44" t="s">
        <v>18</v>
      </c>
      <c r="L58" s="44" t="s">
        <v>18</v>
      </c>
      <c r="M58" s="44" t="s">
        <v>18</v>
      </c>
      <c r="N58" s="44" t="s">
        <v>17</v>
      </c>
      <c r="O58" s="44" t="s">
        <v>17</v>
      </c>
      <c r="P58" s="44" t="s">
        <v>18</v>
      </c>
      <c r="Q58" s="44" t="s">
        <v>344</v>
      </c>
      <c r="R58" s="44"/>
    </row>
    <row r="59" spans="1:18" hidden="1">
      <c r="A59" s="44"/>
      <c r="B59" s="44"/>
      <c r="C59" s="44"/>
      <c r="D59" s="44"/>
      <c r="E59" s="44"/>
      <c r="F59" s="3" t="s">
        <v>305</v>
      </c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</row>
    <row r="60" spans="1:18" ht="13.8" hidden="1" customHeight="1">
      <c r="A60" s="44"/>
      <c r="B60" s="44"/>
      <c r="C60" s="44"/>
      <c r="D60" s="44"/>
      <c r="E60" s="44"/>
      <c r="F60" s="3" t="s">
        <v>306</v>
      </c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</row>
    <row r="61" spans="1:18" hidden="1">
      <c r="A61" s="44"/>
      <c r="B61" s="44"/>
      <c r="C61" s="44"/>
      <c r="D61" s="44"/>
      <c r="E61" s="44"/>
      <c r="F61" s="3" t="s">
        <v>307</v>
      </c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</row>
    <row r="62" spans="1:18" hidden="1">
      <c r="A62" s="44"/>
      <c r="B62" s="44"/>
      <c r="C62" s="44"/>
      <c r="D62" s="44"/>
      <c r="E62" s="44"/>
      <c r="F62" s="3" t="s">
        <v>308</v>
      </c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</row>
    <row r="63" spans="1:18">
      <c r="A63" s="39">
        <v>101</v>
      </c>
      <c r="B63" s="39" t="s">
        <v>309</v>
      </c>
      <c r="C63" s="39" t="str">
        <f>+D63</f>
        <v>LONGKOU BOHAI</v>
      </c>
      <c r="D63" s="39" t="s">
        <v>49</v>
      </c>
      <c r="E63" s="39" t="s">
        <v>12</v>
      </c>
      <c r="F63" s="3" t="s">
        <v>310</v>
      </c>
      <c r="G63" s="42">
        <v>46154</v>
      </c>
      <c r="H63" s="42">
        <v>46199</v>
      </c>
      <c r="I63" s="42">
        <v>46167</v>
      </c>
      <c r="J63" s="39" t="s">
        <v>18</v>
      </c>
      <c r="K63" s="39" t="s">
        <v>18</v>
      </c>
      <c r="L63" s="39" t="s">
        <v>18</v>
      </c>
      <c r="M63" s="39" t="s">
        <v>18</v>
      </c>
      <c r="N63" s="39" t="s">
        <v>18</v>
      </c>
      <c r="O63" s="39" t="s">
        <v>17</v>
      </c>
      <c r="P63" s="39" t="s">
        <v>18</v>
      </c>
      <c r="Q63" s="50" t="s">
        <v>345</v>
      </c>
      <c r="R63" s="39"/>
    </row>
    <row r="64" spans="1:18">
      <c r="A64" s="41"/>
      <c r="B64" s="41"/>
      <c r="C64" s="41"/>
      <c r="D64" s="41"/>
      <c r="E64" s="41"/>
      <c r="F64" s="3" t="s">
        <v>311</v>
      </c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51"/>
      <c r="R64" s="41"/>
    </row>
    <row r="65" spans="1:18">
      <c r="A65" s="40"/>
      <c r="B65" s="40"/>
      <c r="C65" s="40"/>
      <c r="D65" s="40"/>
      <c r="E65" s="40"/>
      <c r="F65" s="3" t="s">
        <v>312</v>
      </c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52"/>
      <c r="R65" s="40"/>
    </row>
    <row r="66" spans="1:18">
      <c r="A66" s="44">
        <v>102</v>
      </c>
      <c r="B66" s="43" t="s">
        <v>313</v>
      </c>
      <c r="C66" s="43" t="s">
        <v>56</v>
      </c>
      <c r="D66" s="43" t="s">
        <v>56</v>
      </c>
      <c r="E66" s="43" t="s">
        <v>12</v>
      </c>
      <c r="F66" s="3" t="s">
        <v>314</v>
      </c>
      <c r="G66" s="43">
        <v>46154</v>
      </c>
      <c r="H66" s="43">
        <v>46199</v>
      </c>
      <c r="I66" s="43">
        <v>46167</v>
      </c>
      <c r="J66" s="43" t="s">
        <v>18</v>
      </c>
      <c r="K66" s="43" t="s">
        <v>18</v>
      </c>
      <c r="L66" s="43" t="s">
        <v>18</v>
      </c>
      <c r="M66" s="43" t="s">
        <v>18</v>
      </c>
      <c r="N66" s="43" t="s">
        <v>18</v>
      </c>
      <c r="O66" s="43" t="s">
        <v>17</v>
      </c>
      <c r="P66" s="43" t="s">
        <v>18</v>
      </c>
      <c r="Q66" s="45" t="s">
        <v>0</v>
      </c>
      <c r="R66" s="43"/>
    </row>
    <row r="67" spans="1:18">
      <c r="A67" s="44"/>
      <c r="B67" s="44"/>
      <c r="C67" s="44"/>
      <c r="D67" s="44"/>
      <c r="E67" s="44"/>
      <c r="F67" s="3" t="s">
        <v>315</v>
      </c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6"/>
      <c r="R67" s="44"/>
    </row>
    <row r="68" spans="1:18" s="33" customFormat="1" ht="22.2" hidden="1" customHeight="1">
      <c r="A68" s="3">
        <v>103</v>
      </c>
      <c r="B68" s="3" t="s">
        <v>316</v>
      </c>
      <c r="C68" s="3" t="s">
        <v>45</v>
      </c>
      <c r="D68" s="3" t="s">
        <v>317</v>
      </c>
      <c r="E68" s="3" t="s">
        <v>31</v>
      </c>
      <c r="F68" s="3" t="s">
        <v>318</v>
      </c>
      <c r="G68" s="2">
        <v>46154</v>
      </c>
      <c r="H68" s="2">
        <v>46200</v>
      </c>
      <c r="I68" s="2">
        <v>46164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17</v>
      </c>
      <c r="O68" s="8" t="s">
        <v>17</v>
      </c>
      <c r="P68" s="3" t="s">
        <v>18</v>
      </c>
      <c r="Q68" s="5" t="s">
        <v>351</v>
      </c>
      <c r="R68" s="3"/>
    </row>
    <row r="69" spans="1:18" s="33" customFormat="1" ht="22.2" customHeight="1">
      <c r="A69" s="3">
        <v>104</v>
      </c>
      <c r="B69" s="3" t="s">
        <v>319</v>
      </c>
      <c r="C69" s="3" t="s">
        <v>346</v>
      </c>
      <c r="D69" s="3" t="s">
        <v>320</v>
      </c>
      <c r="E69" s="3" t="s">
        <v>13</v>
      </c>
      <c r="F69" s="3" t="s">
        <v>321</v>
      </c>
      <c r="G69" s="2">
        <v>46154</v>
      </c>
      <c r="H69" s="2">
        <v>46210</v>
      </c>
      <c r="I69" s="2">
        <v>46167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8" t="s">
        <v>17</v>
      </c>
      <c r="P69" s="3" t="s">
        <v>18</v>
      </c>
      <c r="Q69" s="3" t="s">
        <v>0</v>
      </c>
      <c r="R69" s="3" t="s">
        <v>340</v>
      </c>
    </row>
    <row r="70" spans="1:18" s="33" customFormat="1" ht="22.2" customHeight="1">
      <c r="A70" s="3">
        <v>105</v>
      </c>
      <c r="B70" s="3" t="s">
        <v>322</v>
      </c>
      <c r="C70" s="3" t="str">
        <f>+D70</f>
        <v>HUNAN JINYUEYANG</v>
      </c>
      <c r="D70" s="3" t="s">
        <v>19</v>
      </c>
      <c r="E70" s="3" t="s">
        <v>12</v>
      </c>
      <c r="F70" s="3" t="s">
        <v>323</v>
      </c>
      <c r="G70" s="2">
        <v>46154</v>
      </c>
      <c r="H70" s="2">
        <v>46208</v>
      </c>
      <c r="I70" s="2">
        <v>46167</v>
      </c>
      <c r="J70" s="3" t="s">
        <v>18</v>
      </c>
      <c r="K70" s="3" t="s">
        <v>18</v>
      </c>
      <c r="L70" s="3" t="s">
        <v>18</v>
      </c>
      <c r="M70" s="3" t="s">
        <v>18</v>
      </c>
      <c r="N70" s="3" t="s">
        <v>18</v>
      </c>
      <c r="O70" s="8" t="s">
        <v>17</v>
      </c>
      <c r="P70" s="3" t="s">
        <v>18</v>
      </c>
      <c r="Q70" s="3" t="s">
        <v>0</v>
      </c>
      <c r="R70" s="3" t="s">
        <v>374</v>
      </c>
    </row>
    <row r="71" spans="1:18" s="33" customFormat="1" ht="22.2" hidden="1" customHeight="1">
      <c r="A71" s="3">
        <v>106</v>
      </c>
      <c r="B71" s="3" t="s">
        <v>324</v>
      </c>
      <c r="C71" s="3" t="s">
        <v>45</v>
      </c>
      <c r="D71" s="3" t="s">
        <v>61</v>
      </c>
      <c r="E71" s="3" t="s">
        <v>31</v>
      </c>
      <c r="F71" s="3" t="s">
        <v>325</v>
      </c>
      <c r="G71" s="2">
        <v>46154</v>
      </c>
      <c r="H71" s="2">
        <v>46215</v>
      </c>
      <c r="I71" s="2">
        <v>46164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17</v>
      </c>
      <c r="O71" s="8" t="s">
        <v>17</v>
      </c>
      <c r="P71" s="3" t="s">
        <v>18</v>
      </c>
      <c r="Q71" s="5"/>
      <c r="R71" s="3"/>
    </row>
    <row r="72" spans="1:18" s="33" customFormat="1" ht="22.2" customHeight="1">
      <c r="A72" s="3">
        <v>107</v>
      </c>
      <c r="B72" s="3" t="s">
        <v>326</v>
      </c>
      <c r="C72" s="3" t="s">
        <v>400</v>
      </c>
      <c r="D72" s="3" t="s">
        <v>327</v>
      </c>
      <c r="E72" s="3" t="s">
        <v>31</v>
      </c>
      <c r="F72" s="3" t="s">
        <v>399</v>
      </c>
      <c r="G72" s="2">
        <v>46157</v>
      </c>
      <c r="H72" s="2">
        <v>46232</v>
      </c>
      <c r="I72" s="2">
        <v>46169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17</v>
      </c>
      <c r="O72" s="8" t="s">
        <v>17</v>
      </c>
      <c r="P72" s="3" t="s">
        <v>17</v>
      </c>
      <c r="Q72" s="3" t="s">
        <v>0</v>
      </c>
      <c r="R72" s="3"/>
    </row>
    <row r="73" spans="1:18" s="33" customFormat="1" ht="21.6" customHeight="1">
      <c r="A73" s="3">
        <v>108</v>
      </c>
      <c r="B73" s="3" t="s">
        <v>347</v>
      </c>
      <c r="C73" s="3" t="s">
        <v>241</v>
      </c>
      <c r="D73" s="3" t="s">
        <v>241</v>
      </c>
      <c r="E73" s="3" t="s">
        <v>12</v>
      </c>
      <c r="F73" s="3" t="s">
        <v>348</v>
      </c>
      <c r="G73" s="2">
        <v>46157</v>
      </c>
      <c r="H73" s="2">
        <v>46216</v>
      </c>
      <c r="I73" s="2">
        <v>46168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8" t="s">
        <v>17</v>
      </c>
      <c r="P73" s="3" t="s">
        <v>18</v>
      </c>
      <c r="Q73" s="37" t="s">
        <v>349</v>
      </c>
      <c r="R73" s="3"/>
    </row>
    <row r="74" spans="1:18">
      <c r="A74" s="39">
        <v>109</v>
      </c>
      <c r="B74" s="39" t="s">
        <v>352</v>
      </c>
      <c r="C74" s="39" t="s">
        <v>354</v>
      </c>
      <c r="D74" s="39" t="s">
        <v>353</v>
      </c>
      <c r="E74" s="39" t="s">
        <v>355</v>
      </c>
      <c r="F74" s="3" t="s">
        <v>356</v>
      </c>
      <c r="G74" s="42">
        <v>46157</v>
      </c>
      <c r="H74" s="42">
        <v>46160</v>
      </c>
      <c r="I74" s="42">
        <v>46169</v>
      </c>
      <c r="J74" s="39" t="s">
        <v>18</v>
      </c>
      <c r="K74" s="39" t="s">
        <v>18</v>
      </c>
      <c r="L74" s="39" t="s">
        <v>18</v>
      </c>
      <c r="M74" s="39" t="s">
        <v>18</v>
      </c>
      <c r="N74" s="39" t="s">
        <v>18</v>
      </c>
      <c r="O74" s="39" t="s">
        <v>17</v>
      </c>
      <c r="P74" s="39" t="s">
        <v>18</v>
      </c>
      <c r="Q74" s="47" t="s">
        <v>0</v>
      </c>
      <c r="R74" s="39" t="s">
        <v>359</v>
      </c>
    </row>
    <row r="75" spans="1:18">
      <c r="A75" s="41"/>
      <c r="B75" s="41"/>
      <c r="C75" s="41"/>
      <c r="D75" s="41"/>
      <c r="E75" s="41"/>
      <c r="F75" s="3" t="s">
        <v>357</v>
      </c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8"/>
      <c r="R75" s="41"/>
    </row>
    <row r="76" spans="1:18">
      <c r="A76" s="40"/>
      <c r="B76" s="40"/>
      <c r="C76" s="40"/>
      <c r="D76" s="40"/>
      <c r="E76" s="40"/>
      <c r="F76" s="3" t="s">
        <v>358</v>
      </c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9"/>
      <c r="R76" s="40"/>
    </row>
    <row r="77" spans="1:18" s="33" customFormat="1" ht="22.2" customHeight="1">
      <c r="A77" s="34">
        <v>110</v>
      </c>
      <c r="B77" s="34" t="s">
        <v>360</v>
      </c>
      <c r="C77" s="34" t="s">
        <v>56</v>
      </c>
      <c r="D77" s="34" t="str">
        <f>+C77</f>
        <v>LONGKOU YUNFENG</v>
      </c>
      <c r="E77" s="34" t="s">
        <v>12</v>
      </c>
      <c r="F77" s="3" t="s">
        <v>361</v>
      </c>
      <c r="G77" s="36">
        <v>46157</v>
      </c>
      <c r="H77" s="36">
        <v>46216</v>
      </c>
      <c r="I77" s="36">
        <v>46170</v>
      </c>
      <c r="J77" s="34" t="s">
        <v>18</v>
      </c>
      <c r="K77" s="34" t="s">
        <v>18</v>
      </c>
      <c r="L77" s="34" t="s">
        <v>18</v>
      </c>
      <c r="M77" s="34" t="s">
        <v>18</v>
      </c>
      <c r="N77" s="34" t="s">
        <v>18</v>
      </c>
      <c r="O77" s="34" t="s">
        <v>17</v>
      </c>
      <c r="P77" s="34" t="s">
        <v>18</v>
      </c>
      <c r="Q77" s="34" t="s">
        <v>0</v>
      </c>
      <c r="R77" s="3"/>
    </row>
    <row r="78" spans="1:18" hidden="1">
      <c r="A78" s="44">
        <v>111</v>
      </c>
      <c r="B78" s="43" t="s">
        <v>366</v>
      </c>
      <c r="C78" s="43" t="s">
        <v>365</v>
      </c>
      <c r="D78" s="43" t="str">
        <f>+C78</f>
        <v xml:space="preserve">TSUJINO </v>
      </c>
      <c r="E78" s="43" t="s">
        <v>367</v>
      </c>
      <c r="F78" s="3" t="s">
        <v>368</v>
      </c>
      <c r="G78" s="43">
        <v>46157</v>
      </c>
      <c r="H78" s="43">
        <v>46189</v>
      </c>
      <c r="I78" s="43">
        <v>46171</v>
      </c>
      <c r="J78" s="43" t="s">
        <v>18</v>
      </c>
      <c r="K78" s="43" t="s">
        <v>18</v>
      </c>
      <c r="L78" s="43" t="s">
        <v>18</v>
      </c>
      <c r="M78" s="43" t="s">
        <v>18</v>
      </c>
      <c r="N78" s="43" t="s">
        <v>17</v>
      </c>
      <c r="O78" s="43" t="s">
        <v>17</v>
      </c>
      <c r="P78" s="43" t="s">
        <v>18</v>
      </c>
      <c r="Q78" s="45" t="s">
        <v>370</v>
      </c>
      <c r="R78" s="43"/>
    </row>
    <row r="79" spans="1:18" ht="19.2" hidden="1" customHeight="1">
      <c r="A79" s="44">
        <v>112</v>
      </c>
      <c r="B79" s="44"/>
      <c r="C79" s="44"/>
      <c r="D79" s="44"/>
      <c r="E79" s="44"/>
      <c r="F79" s="38" t="s">
        <v>369</v>
      </c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6"/>
      <c r="R79" s="44"/>
    </row>
    <row r="80" spans="1:18" s="33" customFormat="1" ht="22.2" hidden="1" customHeight="1">
      <c r="A80" s="34">
        <v>112</v>
      </c>
      <c r="B80" s="34" t="s">
        <v>409</v>
      </c>
      <c r="C80" s="34" t="s">
        <v>401</v>
      </c>
      <c r="D80" s="34" t="str">
        <f>+C80</f>
        <v xml:space="preserve">KULALIA S.L </v>
      </c>
      <c r="E80" s="34" t="s">
        <v>14</v>
      </c>
      <c r="F80" s="3" t="s">
        <v>402</v>
      </c>
      <c r="G80" s="36">
        <v>46160</v>
      </c>
      <c r="H80" s="36">
        <v>46189</v>
      </c>
      <c r="I80" s="36"/>
      <c r="J80" s="34" t="s">
        <v>18</v>
      </c>
      <c r="K80" s="34" t="s">
        <v>18</v>
      </c>
      <c r="L80" s="34" t="s">
        <v>18</v>
      </c>
      <c r="M80" s="34" t="s">
        <v>18</v>
      </c>
      <c r="N80" s="34" t="s">
        <v>18</v>
      </c>
      <c r="O80" s="34"/>
      <c r="P80" s="34" t="s">
        <v>18</v>
      </c>
      <c r="Q80" s="34" t="s">
        <v>410</v>
      </c>
      <c r="R80" s="3"/>
    </row>
    <row r="81" spans="1:18" s="33" customFormat="1" ht="22.2" customHeight="1">
      <c r="A81" s="3">
        <v>113</v>
      </c>
      <c r="B81" s="3" t="s">
        <v>404</v>
      </c>
      <c r="C81" s="3" t="s">
        <v>403</v>
      </c>
      <c r="D81" s="3" t="s">
        <v>403</v>
      </c>
      <c r="E81" s="3" t="s">
        <v>62</v>
      </c>
      <c r="F81" s="3" t="s">
        <v>407</v>
      </c>
      <c r="G81" s="2">
        <v>46160</v>
      </c>
      <c r="H81" s="2">
        <v>46192</v>
      </c>
      <c r="I81" s="2"/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8" t="s">
        <v>17</v>
      </c>
      <c r="P81" s="3" t="s">
        <v>18</v>
      </c>
      <c r="Q81" s="3" t="s">
        <v>414</v>
      </c>
      <c r="R81" s="3"/>
    </row>
    <row r="82" spans="1:18" s="33" customFormat="1" ht="22.2" customHeight="1">
      <c r="A82" s="3">
        <v>114</v>
      </c>
      <c r="B82" s="3" t="s">
        <v>406</v>
      </c>
      <c r="C82" s="3" t="s">
        <v>405</v>
      </c>
      <c r="D82" s="3" t="s">
        <v>405</v>
      </c>
      <c r="E82" s="34" t="s">
        <v>14</v>
      </c>
      <c r="F82" s="3" t="s">
        <v>408</v>
      </c>
      <c r="G82" s="2">
        <v>46160</v>
      </c>
      <c r="H82" s="2">
        <v>46189</v>
      </c>
      <c r="I82" s="2"/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8" t="s">
        <v>17</v>
      </c>
      <c r="P82" s="3" t="s">
        <v>18</v>
      </c>
      <c r="Q82" s="3" t="s">
        <v>415</v>
      </c>
      <c r="R82" s="3"/>
    </row>
    <row r="83" spans="1:18" s="33" customFormat="1" ht="22.2" customHeight="1">
      <c r="A83" s="39">
        <v>115</v>
      </c>
      <c r="B83" s="39" t="s">
        <v>383</v>
      </c>
      <c r="C83" s="39" t="s">
        <v>56</v>
      </c>
      <c r="D83" s="39" t="s">
        <v>56</v>
      </c>
      <c r="E83" s="39" t="s">
        <v>12</v>
      </c>
      <c r="F83" s="3" t="s">
        <v>384</v>
      </c>
      <c r="G83" s="42">
        <v>46165</v>
      </c>
      <c r="H83" s="42">
        <v>46207</v>
      </c>
      <c r="I83" s="42">
        <v>46174</v>
      </c>
      <c r="J83" s="39" t="s">
        <v>18</v>
      </c>
      <c r="K83" s="39" t="s">
        <v>18</v>
      </c>
      <c r="L83" s="39" t="s">
        <v>18</v>
      </c>
      <c r="M83" s="39" t="s">
        <v>18</v>
      </c>
      <c r="N83" s="39" t="s">
        <v>18</v>
      </c>
      <c r="O83" s="39" t="s">
        <v>17</v>
      </c>
      <c r="P83" s="39" t="s">
        <v>18</v>
      </c>
      <c r="Q83" s="39" t="s">
        <v>0</v>
      </c>
      <c r="R83" s="39"/>
    </row>
    <row r="84" spans="1:18" s="33" customFormat="1" ht="22.2" customHeight="1">
      <c r="A84" s="40"/>
      <c r="B84" s="40"/>
      <c r="C84" s="40"/>
      <c r="D84" s="40"/>
      <c r="E84" s="40"/>
      <c r="F84" s="35" t="s">
        <v>385</v>
      </c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</row>
    <row r="85" spans="1:18" s="33" customFormat="1" ht="22.2" customHeight="1">
      <c r="A85" s="3">
        <v>116</v>
      </c>
      <c r="B85" s="3" t="s">
        <v>397</v>
      </c>
      <c r="C85" s="3" t="s">
        <v>241</v>
      </c>
      <c r="D85" s="3" t="s">
        <v>241</v>
      </c>
      <c r="E85" s="3" t="s">
        <v>12</v>
      </c>
      <c r="F85" s="3" t="s">
        <v>398</v>
      </c>
      <c r="G85" s="2">
        <v>46165</v>
      </c>
      <c r="H85" s="2">
        <v>46206</v>
      </c>
      <c r="I85" s="2"/>
      <c r="J85" s="3" t="s">
        <v>18</v>
      </c>
      <c r="K85" s="3" t="s">
        <v>18</v>
      </c>
      <c r="L85" s="3" t="s">
        <v>18</v>
      </c>
      <c r="M85" s="3" t="s">
        <v>18</v>
      </c>
      <c r="N85" s="3" t="s">
        <v>18</v>
      </c>
      <c r="O85" s="8" t="s">
        <v>17</v>
      </c>
      <c r="P85" s="3" t="s">
        <v>18</v>
      </c>
      <c r="Q85" s="3" t="s">
        <v>0</v>
      </c>
      <c r="R85" s="3"/>
    </row>
    <row r="86" spans="1:18" s="33" customFormat="1" ht="22.2" customHeight="1">
      <c r="A86" s="3">
        <v>117</v>
      </c>
      <c r="B86" s="3" t="s">
        <v>380</v>
      </c>
      <c r="C86" s="3" t="s">
        <v>381</v>
      </c>
      <c r="D86" s="3" t="str">
        <f>+C86</f>
        <v>YANTAI HONGCHANG</v>
      </c>
      <c r="E86" s="3" t="s">
        <v>21</v>
      </c>
      <c r="F86" s="3" t="s">
        <v>382</v>
      </c>
      <c r="G86" s="2">
        <v>46165</v>
      </c>
      <c r="H86" s="2">
        <v>46216</v>
      </c>
      <c r="I86" s="2">
        <v>46174</v>
      </c>
      <c r="J86" s="3" t="s">
        <v>18</v>
      </c>
      <c r="K86" s="3" t="s">
        <v>18</v>
      </c>
      <c r="L86" s="3" t="s">
        <v>18</v>
      </c>
      <c r="M86" s="3" t="s">
        <v>18</v>
      </c>
      <c r="N86" s="3" t="s">
        <v>18</v>
      </c>
      <c r="O86" s="8"/>
      <c r="P86" s="3" t="s">
        <v>18</v>
      </c>
      <c r="Q86" s="3" t="s">
        <v>0</v>
      </c>
      <c r="R86" s="3"/>
    </row>
    <row r="87" spans="1:18" s="33" customFormat="1" ht="22.2" customHeight="1">
      <c r="A87" s="39">
        <v>118</v>
      </c>
      <c r="B87" s="39" t="s">
        <v>375</v>
      </c>
      <c r="C87" s="39" t="s">
        <v>241</v>
      </c>
      <c r="D87" s="39" t="s">
        <v>241</v>
      </c>
      <c r="E87" s="39" t="s">
        <v>12</v>
      </c>
      <c r="F87" s="3" t="s">
        <v>376</v>
      </c>
      <c r="G87" s="42">
        <v>46165</v>
      </c>
      <c r="H87" s="42">
        <v>46228</v>
      </c>
      <c r="I87" s="42">
        <v>46176</v>
      </c>
      <c r="J87" s="39" t="s">
        <v>18</v>
      </c>
      <c r="K87" s="39" t="s">
        <v>18</v>
      </c>
      <c r="L87" s="39" t="s">
        <v>18</v>
      </c>
      <c r="M87" s="39" t="s">
        <v>18</v>
      </c>
      <c r="N87" s="39" t="s">
        <v>18</v>
      </c>
      <c r="O87" s="39" t="s">
        <v>17</v>
      </c>
      <c r="P87" s="39" t="s">
        <v>18</v>
      </c>
      <c r="Q87" s="39" t="s">
        <v>0</v>
      </c>
      <c r="R87" s="39"/>
    </row>
    <row r="88" spans="1:18" s="33" customFormat="1" ht="22.2" customHeight="1">
      <c r="A88" s="41"/>
      <c r="B88" s="41"/>
      <c r="C88" s="41"/>
      <c r="D88" s="41"/>
      <c r="E88" s="41"/>
      <c r="F88" s="3" t="s">
        <v>377</v>
      </c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s="33" customFormat="1" ht="22.2" customHeight="1">
      <c r="A89" s="41"/>
      <c r="B89" s="41"/>
      <c r="C89" s="41"/>
      <c r="D89" s="41"/>
      <c r="E89" s="41"/>
      <c r="F89" s="3" t="s">
        <v>378</v>
      </c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spans="1:18" s="33" customFormat="1" ht="22.2" customHeight="1">
      <c r="A90" s="40"/>
      <c r="B90" s="40" t="s">
        <v>375</v>
      </c>
      <c r="C90" s="40" t="s">
        <v>241</v>
      </c>
      <c r="D90" s="40" t="s">
        <v>241</v>
      </c>
      <c r="E90" s="40" t="s">
        <v>12</v>
      </c>
      <c r="F90" s="3" t="s">
        <v>379</v>
      </c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</row>
    <row r="91" spans="1:18" s="33" customFormat="1" ht="22.2" customHeight="1">
      <c r="A91" s="39">
        <v>119</v>
      </c>
      <c r="B91" s="39" t="s">
        <v>362</v>
      </c>
      <c r="C91" s="39" t="s">
        <v>354</v>
      </c>
      <c r="D91" s="39" t="s">
        <v>353</v>
      </c>
      <c r="E91" s="39" t="s">
        <v>13</v>
      </c>
      <c r="F91" s="3" t="s">
        <v>363</v>
      </c>
      <c r="G91" s="42">
        <v>46165</v>
      </c>
      <c r="H91" s="42">
        <v>46218</v>
      </c>
      <c r="I91" s="42">
        <v>46170</v>
      </c>
      <c r="J91" s="39" t="s">
        <v>18</v>
      </c>
      <c r="K91" s="39" t="s">
        <v>18</v>
      </c>
      <c r="L91" s="39" t="s">
        <v>18</v>
      </c>
      <c r="M91" s="39" t="s">
        <v>18</v>
      </c>
      <c r="N91" s="39" t="s">
        <v>18</v>
      </c>
      <c r="O91" s="39" t="s">
        <v>17</v>
      </c>
      <c r="P91" s="39" t="s">
        <v>18</v>
      </c>
      <c r="Q91" s="39" t="s">
        <v>0</v>
      </c>
      <c r="R91" s="39"/>
    </row>
    <row r="92" spans="1:18" s="33" customFormat="1" ht="22.2" customHeight="1">
      <c r="A92" s="40"/>
      <c r="B92" s="40"/>
      <c r="C92" s="40"/>
      <c r="D92" s="40"/>
      <c r="E92" s="40"/>
      <c r="F92" s="35" t="s">
        <v>364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</row>
    <row r="93" spans="1:18" s="33" customFormat="1" ht="22.2" customHeight="1">
      <c r="A93" s="3">
        <v>120</v>
      </c>
      <c r="B93" s="3"/>
      <c r="C93" s="3"/>
      <c r="D93" s="3"/>
      <c r="E93" s="3"/>
      <c r="F93" s="3"/>
      <c r="G93" s="2"/>
      <c r="H93" s="2"/>
      <c r="I93" s="2"/>
      <c r="J93" s="3"/>
      <c r="K93" s="3"/>
      <c r="L93" s="3"/>
      <c r="M93" s="3"/>
      <c r="N93" s="3"/>
      <c r="O93" s="8"/>
      <c r="P93" s="3"/>
      <c r="Q93" s="3"/>
      <c r="R93" s="3"/>
    </row>
    <row r="94" spans="1:18" s="33" customFormat="1" ht="22.2" customHeight="1">
      <c r="A94" s="39">
        <v>121</v>
      </c>
      <c r="B94" s="39" t="s">
        <v>386</v>
      </c>
      <c r="C94" s="39" t="s">
        <v>387</v>
      </c>
      <c r="D94" s="39" t="str">
        <f>+C94</f>
        <v>ZHEJIANG ZHOUFU</v>
      </c>
      <c r="E94" s="39" t="s">
        <v>388</v>
      </c>
      <c r="F94" s="3" t="s">
        <v>389</v>
      </c>
      <c r="G94" s="42">
        <v>46165</v>
      </c>
      <c r="H94" s="42">
        <v>46178</v>
      </c>
      <c r="I94" s="42"/>
      <c r="J94" s="39" t="s">
        <v>18</v>
      </c>
      <c r="K94" s="39" t="s">
        <v>18</v>
      </c>
      <c r="L94" s="39" t="s">
        <v>18</v>
      </c>
      <c r="M94" s="39" t="s">
        <v>18</v>
      </c>
      <c r="N94" s="39" t="s">
        <v>18</v>
      </c>
      <c r="O94" s="39" t="s">
        <v>17</v>
      </c>
      <c r="P94" s="39" t="s">
        <v>18</v>
      </c>
      <c r="Q94" s="39" t="s">
        <v>0</v>
      </c>
      <c r="R94" s="39"/>
    </row>
    <row r="95" spans="1:18" s="33" customFormat="1" ht="22.2" customHeight="1">
      <c r="A95" s="40"/>
      <c r="B95" s="40"/>
      <c r="C95" s="40"/>
      <c r="D95" s="40"/>
      <c r="E95" s="40"/>
      <c r="F95" s="35" t="s">
        <v>390</v>
      </c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</row>
    <row r="96" spans="1:18" s="33" customFormat="1" ht="22.2" customHeight="1">
      <c r="A96" s="39">
        <v>122</v>
      </c>
      <c r="B96" s="39" t="s">
        <v>391</v>
      </c>
      <c r="C96" s="39" t="s">
        <v>392</v>
      </c>
      <c r="D96" s="39" t="s">
        <v>392</v>
      </c>
      <c r="E96" s="39" t="s">
        <v>21</v>
      </c>
      <c r="F96" s="3" t="s">
        <v>393</v>
      </c>
      <c r="G96" s="42">
        <v>46165</v>
      </c>
      <c r="H96" s="42">
        <v>46209</v>
      </c>
      <c r="I96" s="39"/>
      <c r="J96" s="39" t="s">
        <v>18</v>
      </c>
      <c r="K96" s="39" t="s">
        <v>18</v>
      </c>
      <c r="L96" s="39" t="s">
        <v>18</v>
      </c>
      <c r="M96" s="39" t="s">
        <v>18</v>
      </c>
      <c r="N96" s="39" t="s">
        <v>18</v>
      </c>
      <c r="O96" s="39" t="s">
        <v>17</v>
      </c>
      <c r="P96" s="39" t="s">
        <v>18</v>
      </c>
      <c r="Q96" s="39" t="s">
        <v>0</v>
      </c>
      <c r="R96" s="39"/>
    </row>
    <row r="97" spans="1:18" s="33" customFormat="1" ht="22.2" customHeight="1">
      <c r="A97" s="41"/>
      <c r="B97" s="41"/>
      <c r="C97" s="41"/>
      <c r="D97" s="41"/>
      <c r="E97" s="41"/>
      <c r="F97" s="3" t="s">
        <v>394</v>
      </c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spans="1:18" s="33" customFormat="1" ht="22.2" customHeight="1">
      <c r="A98" s="41"/>
      <c r="B98" s="41"/>
      <c r="C98" s="41"/>
      <c r="D98" s="41"/>
      <c r="E98" s="41"/>
      <c r="F98" s="3" t="s">
        <v>395</v>
      </c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spans="1:18" s="33" customFormat="1" ht="22.2" customHeight="1">
      <c r="A99" s="40"/>
      <c r="B99" s="40"/>
      <c r="C99" s="40"/>
      <c r="D99" s="40"/>
      <c r="E99" s="40"/>
      <c r="F99" s="3" t="s">
        <v>396</v>
      </c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</row>
    <row r="100" spans="1:18" s="33" customFormat="1" ht="22.2" customHeight="1">
      <c r="A100" s="3">
        <v>123</v>
      </c>
      <c r="B100" s="34" t="s">
        <v>411</v>
      </c>
      <c r="C100" s="34" t="s">
        <v>212</v>
      </c>
      <c r="D100" s="34" t="str">
        <f>+C100</f>
        <v>GLOBAL OCEAN</v>
      </c>
      <c r="E100" s="34" t="s">
        <v>14</v>
      </c>
      <c r="F100" s="3" t="s">
        <v>412</v>
      </c>
      <c r="G100" s="36">
        <v>46168</v>
      </c>
      <c r="H100" s="34">
        <v>1676</v>
      </c>
      <c r="I100" s="34"/>
      <c r="J100" s="34" t="s">
        <v>18</v>
      </c>
      <c r="K100" s="34" t="s">
        <v>18</v>
      </c>
      <c r="L100" s="34" t="s">
        <v>18</v>
      </c>
      <c r="M100" s="34" t="s">
        <v>18</v>
      </c>
      <c r="N100" s="34" t="s">
        <v>18</v>
      </c>
      <c r="O100" s="34" t="s">
        <v>18</v>
      </c>
      <c r="P100" s="34" t="s">
        <v>18</v>
      </c>
      <c r="Q100" s="34" t="s">
        <v>413</v>
      </c>
      <c r="R100" s="34"/>
    </row>
    <row r="101" spans="1:18" s="33" customFormat="1" ht="22.2" customHeight="1">
      <c r="A101" s="3">
        <v>124</v>
      </c>
      <c r="B101" s="3"/>
      <c r="C101" s="3"/>
      <c r="D101" s="3"/>
      <c r="E101" s="3"/>
      <c r="F101" s="3"/>
      <c r="G101" s="2"/>
      <c r="H101" s="2"/>
      <c r="I101" s="2"/>
      <c r="J101" s="3"/>
      <c r="K101" s="3"/>
      <c r="L101" s="3"/>
      <c r="M101" s="3"/>
      <c r="N101" s="3"/>
      <c r="O101" s="8"/>
      <c r="P101" s="3"/>
      <c r="Q101" s="3"/>
      <c r="R101" s="3"/>
    </row>
    <row r="102" spans="1:18" s="33" customFormat="1" ht="22.2" customHeight="1">
      <c r="A102" s="3">
        <v>125</v>
      </c>
      <c r="B102" s="3"/>
      <c r="C102" s="3"/>
      <c r="D102" s="3"/>
      <c r="E102" s="3"/>
      <c r="F102" s="3"/>
      <c r="G102" s="2"/>
      <c r="H102" s="2"/>
      <c r="I102" s="2"/>
      <c r="J102" s="3"/>
      <c r="K102" s="3"/>
      <c r="L102" s="3"/>
      <c r="M102" s="3"/>
      <c r="N102" s="3"/>
      <c r="O102" s="8"/>
      <c r="P102" s="3"/>
      <c r="Q102" s="3"/>
      <c r="R102" s="3"/>
    </row>
    <row r="103" spans="1:18" s="33" customFormat="1" ht="22.2" customHeight="1">
      <c r="A103" s="3">
        <v>126</v>
      </c>
      <c r="B103" s="3"/>
      <c r="C103" s="3"/>
      <c r="D103" s="3"/>
      <c r="E103" s="3"/>
      <c r="F103" s="3"/>
      <c r="G103" s="2"/>
      <c r="H103" s="2"/>
      <c r="I103" s="2"/>
      <c r="J103" s="3"/>
      <c r="K103" s="3"/>
      <c r="L103" s="3"/>
      <c r="M103" s="3"/>
      <c r="N103" s="3"/>
      <c r="O103" s="8"/>
      <c r="P103" s="3"/>
      <c r="Q103" s="3"/>
      <c r="R103" s="3"/>
    </row>
    <row r="104" spans="1:18" s="33" customFormat="1" ht="22.2" customHeight="1">
      <c r="A104" s="3">
        <v>127</v>
      </c>
      <c r="B104" s="3"/>
      <c r="C104" s="3"/>
      <c r="D104" s="3"/>
      <c r="E104" s="3"/>
      <c r="F104" s="3"/>
      <c r="G104" s="2"/>
      <c r="H104" s="2"/>
      <c r="I104" s="2"/>
      <c r="J104" s="3"/>
      <c r="K104" s="3"/>
      <c r="L104" s="3"/>
      <c r="M104" s="3"/>
      <c r="N104" s="3"/>
      <c r="O104" s="8"/>
      <c r="P104" s="3"/>
      <c r="Q104" s="3"/>
      <c r="R104" s="3"/>
    </row>
    <row r="105" spans="1:18" s="33" customFormat="1" ht="22.2" customHeight="1">
      <c r="A105" s="3">
        <v>128</v>
      </c>
      <c r="B105" s="3"/>
      <c r="C105" s="3"/>
      <c r="D105" s="3"/>
      <c r="E105" s="3"/>
      <c r="F105" s="3"/>
      <c r="G105" s="2"/>
      <c r="H105" s="2"/>
      <c r="I105" s="2"/>
      <c r="J105" s="3"/>
      <c r="K105" s="3"/>
      <c r="L105" s="3"/>
      <c r="M105" s="3"/>
      <c r="N105" s="3"/>
      <c r="O105" s="8"/>
      <c r="P105" s="3"/>
      <c r="Q105" s="3"/>
      <c r="R105" s="3"/>
    </row>
    <row r="106" spans="1:18" s="33" customFormat="1" ht="22.2" customHeight="1">
      <c r="A106" s="3">
        <v>129</v>
      </c>
      <c r="B106" s="3"/>
      <c r="C106" s="3"/>
      <c r="D106" s="3"/>
      <c r="E106" s="3"/>
      <c r="F106" s="3"/>
      <c r="G106" s="2"/>
      <c r="H106" s="2"/>
      <c r="I106" s="2"/>
      <c r="J106" s="3"/>
      <c r="K106" s="3"/>
      <c r="L106" s="3"/>
      <c r="M106" s="3"/>
      <c r="N106" s="3"/>
      <c r="O106" s="8"/>
      <c r="P106" s="3"/>
      <c r="Q106" s="3"/>
      <c r="R106" s="3"/>
    </row>
    <row r="107" spans="1:18" s="33" customFormat="1" ht="22.2" customHeight="1">
      <c r="A107" s="3">
        <v>130</v>
      </c>
      <c r="B107" s="3"/>
      <c r="C107" s="3"/>
      <c r="D107" s="3"/>
      <c r="E107" s="3"/>
      <c r="F107" s="3"/>
      <c r="G107" s="2"/>
      <c r="H107" s="2"/>
      <c r="I107" s="2"/>
      <c r="J107" s="3"/>
      <c r="K107" s="3"/>
      <c r="L107" s="3"/>
      <c r="M107" s="3"/>
      <c r="N107" s="3"/>
      <c r="O107" s="8"/>
      <c r="P107" s="3"/>
      <c r="Q107" s="3"/>
      <c r="R107" s="3"/>
    </row>
  </sheetData>
  <mergeCells count="357">
    <mergeCell ref="A7:A12"/>
    <mergeCell ref="B7:B12"/>
    <mergeCell ref="C7:C12"/>
    <mergeCell ref="D7:D12"/>
    <mergeCell ref="E7:E12"/>
    <mergeCell ref="R5:R6"/>
    <mergeCell ref="A5:A6"/>
    <mergeCell ref="B5:B6"/>
    <mergeCell ref="C5:C6"/>
    <mergeCell ref="D5:D6"/>
    <mergeCell ref="E5:E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L14:L18"/>
    <mergeCell ref="M14:M18"/>
    <mergeCell ref="N14:N18"/>
    <mergeCell ref="O14:O18"/>
    <mergeCell ref="P14:P18"/>
    <mergeCell ref="Q14:Q18"/>
    <mergeCell ref="R14:R18"/>
    <mergeCell ref="G7:G12"/>
    <mergeCell ref="H7:H12"/>
    <mergeCell ref="I7:I12"/>
    <mergeCell ref="J7:J12"/>
    <mergeCell ref="K7:K12"/>
    <mergeCell ref="L7:L12"/>
    <mergeCell ref="M7:M12"/>
    <mergeCell ref="N7:N12"/>
    <mergeCell ref="O7:O12"/>
    <mergeCell ref="P7:P12"/>
    <mergeCell ref="Q7:Q12"/>
    <mergeCell ref="R7:R12"/>
    <mergeCell ref="A14:A18"/>
    <mergeCell ref="B14:B18"/>
    <mergeCell ref="C14:C18"/>
    <mergeCell ref="D14:D18"/>
    <mergeCell ref="G14:G18"/>
    <mergeCell ref="H14:H18"/>
    <mergeCell ref="I14:I18"/>
    <mergeCell ref="J14:J18"/>
    <mergeCell ref="K14:K18"/>
    <mergeCell ref="E14:E18"/>
    <mergeCell ref="G19:G21"/>
    <mergeCell ref="A19:A21"/>
    <mergeCell ref="B19:B21"/>
    <mergeCell ref="C19:C21"/>
    <mergeCell ref="D19:D21"/>
    <mergeCell ref="E19:E21"/>
    <mergeCell ref="H19:H21"/>
    <mergeCell ref="I19:I21"/>
    <mergeCell ref="J19:J21"/>
    <mergeCell ref="K25:K26"/>
    <mergeCell ref="K19:K21"/>
    <mergeCell ref="L19:L21"/>
    <mergeCell ref="M19:M21"/>
    <mergeCell ref="N19:N21"/>
    <mergeCell ref="O19:O21"/>
    <mergeCell ref="P19:P21"/>
    <mergeCell ref="Q19:Q21"/>
    <mergeCell ref="R19:R21"/>
    <mergeCell ref="L25:L26"/>
    <mergeCell ref="M25:M26"/>
    <mergeCell ref="N25:N26"/>
    <mergeCell ref="O25:O26"/>
    <mergeCell ref="P25:P26"/>
    <mergeCell ref="Q25:Q26"/>
    <mergeCell ref="R25:R26"/>
    <mergeCell ref="A25:A26"/>
    <mergeCell ref="B25:B26"/>
    <mergeCell ref="C25:C26"/>
    <mergeCell ref="D25:D26"/>
    <mergeCell ref="G25:G26"/>
    <mergeCell ref="H25:H26"/>
    <mergeCell ref="I25:I26"/>
    <mergeCell ref="J25:J26"/>
    <mergeCell ref="E25:E26"/>
    <mergeCell ref="K32:K34"/>
    <mergeCell ref="L32:L34"/>
    <mergeCell ref="M32:M34"/>
    <mergeCell ref="N32:N34"/>
    <mergeCell ref="O32:O34"/>
    <mergeCell ref="P32:P34"/>
    <mergeCell ref="Q32:Q34"/>
    <mergeCell ref="R32:R34"/>
    <mergeCell ref="G32:G34"/>
    <mergeCell ref="H32:H34"/>
    <mergeCell ref="I32:I34"/>
    <mergeCell ref="A36:A37"/>
    <mergeCell ref="B36:B37"/>
    <mergeCell ref="C36:C37"/>
    <mergeCell ref="D36:D37"/>
    <mergeCell ref="E36:E37"/>
    <mergeCell ref="H36:H37"/>
    <mergeCell ref="I36:I37"/>
    <mergeCell ref="J36:J37"/>
    <mergeCell ref="J32:J34"/>
    <mergeCell ref="A32:A34"/>
    <mergeCell ref="B32:B34"/>
    <mergeCell ref="C32:C34"/>
    <mergeCell ref="D32:D34"/>
    <mergeCell ref="E32:E34"/>
    <mergeCell ref="K36:K37"/>
    <mergeCell ref="L36:L37"/>
    <mergeCell ref="M36:M37"/>
    <mergeCell ref="N36:N37"/>
    <mergeCell ref="O36:O37"/>
    <mergeCell ref="P36:P37"/>
    <mergeCell ref="Q36:Q37"/>
    <mergeCell ref="R36:R37"/>
    <mergeCell ref="E38:E44"/>
    <mergeCell ref="G38:G44"/>
    <mergeCell ref="H38:H44"/>
    <mergeCell ref="I38:I44"/>
    <mergeCell ref="J38:J44"/>
    <mergeCell ref="K38:K44"/>
    <mergeCell ref="L38:L44"/>
    <mergeCell ref="M38:M44"/>
    <mergeCell ref="N38:N44"/>
    <mergeCell ref="O38:O44"/>
    <mergeCell ref="P38:P44"/>
    <mergeCell ref="Q38:Q44"/>
    <mergeCell ref="R38:R44"/>
    <mergeCell ref="G36:G37"/>
    <mergeCell ref="P45:P49"/>
    <mergeCell ref="Q45:Q49"/>
    <mergeCell ref="R45:R49"/>
    <mergeCell ref="B45:B49"/>
    <mergeCell ref="C45:C49"/>
    <mergeCell ref="D45:D49"/>
    <mergeCell ref="A45:A49"/>
    <mergeCell ref="B38:B44"/>
    <mergeCell ref="C38:C44"/>
    <mergeCell ref="D38:D44"/>
    <mergeCell ref="A38:A44"/>
    <mergeCell ref="E45:E49"/>
    <mergeCell ref="G45:G49"/>
    <mergeCell ref="H45:H49"/>
    <mergeCell ref="I45:I49"/>
    <mergeCell ref="J45:J49"/>
    <mergeCell ref="K45:K49"/>
    <mergeCell ref="L45:L49"/>
    <mergeCell ref="M45:M49"/>
    <mergeCell ref="N45:N49"/>
    <mergeCell ref="O45:O49"/>
    <mergeCell ref="P51:P54"/>
    <mergeCell ref="Q51:Q54"/>
    <mergeCell ref="R51:R54"/>
    <mergeCell ref="B51:B54"/>
    <mergeCell ref="C51:C54"/>
    <mergeCell ref="D51:D54"/>
    <mergeCell ref="E51:E54"/>
    <mergeCell ref="A51:A54"/>
    <mergeCell ref="G51:G54"/>
    <mergeCell ref="H51:H54"/>
    <mergeCell ref="I51:I54"/>
    <mergeCell ref="J51:J54"/>
    <mergeCell ref="K51:K54"/>
    <mergeCell ref="L51:L54"/>
    <mergeCell ref="M51:M54"/>
    <mergeCell ref="N51:N54"/>
    <mergeCell ref="O51:O54"/>
    <mergeCell ref="C55:C57"/>
    <mergeCell ref="A55:A57"/>
    <mergeCell ref="B55:B57"/>
    <mergeCell ref="D55:D57"/>
    <mergeCell ref="E55:E57"/>
    <mergeCell ref="G55:G57"/>
    <mergeCell ref="H55:H57"/>
    <mergeCell ref="E58:E62"/>
    <mergeCell ref="A58:A62"/>
    <mergeCell ref="B58:B62"/>
    <mergeCell ref="C58:C62"/>
    <mergeCell ref="D58:D62"/>
    <mergeCell ref="G58:G62"/>
    <mergeCell ref="H58:H62"/>
    <mergeCell ref="P58:P62"/>
    <mergeCell ref="Q58:Q62"/>
    <mergeCell ref="R58:R62"/>
    <mergeCell ref="R55:R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I58:I62"/>
    <mergeCell ref="J58:J62"/>
    <mergeCell ref="K58:K62"/>
    <mergeCell ref="L58:L62"/>
    <mergeCell ref="M58:M62"/>
    <mergeCell ref="N58:N62"/>
    <mergeCell ref="O58:O62"/>
    <mergeCell ref="E63:E65"/>
    <mergeCell ref="G63:G65"/>
    <mergeCell ref="A63:A65"/>
    <mergeCell ref="B63:B65"/>
    <mergeCell ref="C63:C65"/>
    <mergeCell ref="D63:D65"/>
    <mergeCell ref="H63:H65"/>
    <mergeCell ref="I63:I65"/>
    <mergeCell ref="J63:J65"/>
    <mergeCell ref="A66:A67"/>
    <mergeCell ref="B66:B67"/>
    <mergeCell ref="C66:C67"/>
    <mergeCell ref="D66:D67"/>
    <mergeCell ref="E66:E67"/>
    <mergeCell ref="G66:G67"/>
    <mergeCell ref="H66:H67"/>
    <mergeCell ref="I66:I67"/>
    <mergeCell ref="J66:J67"/>
    <mergeCell ref="R66:R67"/>
    <mergeCell ref="K63:K65"/>
    <mergeCell ref="L63:L65"/>
    <mergeCell ref="M63:M65"/>
    <mergeCell ref="N63:N65"/>
    <mergeCell ref="O63:O65"/>
    <mergeCell ref="P63:P65"/>
    <mergeCell ref="Q63:Q65"/>
    <mergeCell ref="R63:R65"/>
    <mergeCell ref="K66:K67"/>
    <mergeCell ref="L66:L67"/>
    <mergeCell ref="M66:M67"/>
    <mergeCell ref="N66:N67"/>
    <mergeCell ref="O66:O67"/>
    <mergeCell ref="P66:P67"/>
    <mergeCell ref="Q66:Q67"/>
    <mergeCell ref="K74:K76"/>
    <mergeCell ref="L74:L76"/>
    <mergeCell ref="M74:M76"/>
    <mergeCell ref="N74:N76"/>
    <mergeCell ref="O74:O76"/>
    <mergeCell ref="P74:P76"/>
    <mergeCell ref="Q74:Q76"/>
    <mergeCell ref="R74:R76"/>
    <mergeCell ref="A74:A76"/>
    <mergeCell ref="B74:B76"/>
    <mergeCell ref="C74:C76"/>
    <mergeCell ref="D74:D76"/>
    <mergeCell ref="E74:E76"/>
    <mergeCell ref="G74:G76"/>
    <mergeCell ref="H74:H76"/>
    <mergeCell ref="I74:I76"/>
    <mergeCell ref="J74:J76"/>
    <mergeCell ref="Q91:Q92"/>
    <mergeCell ref="A78:A79"/>
    <mergeCell ref="B78:B79"/>
    <mergeCell ref="C78:C79"/>
    <mergeCell ref="D78:D79"/>
    <mergeCell ref="E78:E79"/>
    <mergeCell ref="G78:G79"/>
    <mergeCell ref="H78:H79"/>
    <mergeCell ref="A91:A92"/>
    <mergeCell ref="B91:B92"/>
    <mergeCell ref="C91:C92"/>
    <mergeCell ref="D91:D92"/>
    <mergeCell ref="E91:E92"/>
    <mergeCell ref="G91:G92"/>
    <mergeCell ref="H91:H92"/>
    <mergeCell ref="I91:I92"/>
    <mergeCell ref="J91:J92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A87:A90"/>
    <mergeCell ref="B87:B90"/>
    <mergeCell ref="C87:C90"/>
    <mergeCell ref="D87:D90"/>
    <mergeCell ref="E87:E90"/>
    <mergeCell ref="G87:G90"/>
    <mergeCell ref="H87:H90"/>
    <mergeCell ref="I87:I90"/>
    <mergeCell ref="J87:J90"/>
    <mergeCell ref="K87:K90"/>
    <mergeCell ref="L87:L90"/>
    <mergeCell ref="M87:M90"/>
    <mergeCell ref="N87:N90"/>
    <mergeCell ref="O87:O90"/>
    <mergeCell ref="P87:P90"/>
    <mergeCell ref="Q87:Q90"/>
    <mergeCell ref="R87:R90"/>
    <mergeCell ref="A83:A84"/>
    <mergeCell ref="B83:B84"/>
    <mergeCell ref="C83:C84"/>
    <mergeCell ref="N83:N84"/>
    <mergeCell ref="O83:O84"/>
    <mergeCell ref="P83:P84"/>
    <mergeCell ref="A94:A95"/>
    <mergeCell ref="B94:B95"/>
    <mergeCell ref="C94:C95"/>
    <mergeCell ref="D94:D95"/>
    <mergeCell ref="E94:E95"/>
    <mergeCell ref="G94:G95"/>
    <mergeCell ref="H94:H95"/>
    <mergeCell ref="I94:I95"/>
    <mergeCell ref="J94:J95"/>
    <mergeCell ref="D83:D84"/>
    <mergeCell ref="E83:E84"/>
    <mergeCell ref="G83:G84"/>
    <mergeCell ref="H83:H84"/>
    <mergeCell ref="I83:I84"/>
    <mergeCell ref="J83:J84"/>
    <mergeCell ref="K83:K84"/>
    <mergeCell ref="L83:L84"/>
    <mergeCell ref="M83:M84"/>
    <mergeCell ref="P91:P92"/>
    <mergeCell ref="A96:A99"/>
    <mergeCell ref="B96:B99"/>
    <mergeCell ref="C96:C99"/>
    <mergeCell ref="D96:D99"/>
    <mergeCell ref="E96:E99"/>
    <mergeCell ref="G96:G99"/>
    <mergeCell ref="H96:H99"/>
    <mergeCell ref="I96:I99"/>
    <mergeCell ref="J96:J99"/>
    <mergeCell ref="R83:R84"/>
    <mergeCell ref="K96:K99"/>
    <mergeCell ref="L96:L99"/>
    <mergeCell ref="M96:M99"/>
    <mergeCell ref="N96:N99"/>
    <mergeCell ref="O96:O99"/>
    <mergeCell ref="P96:P99"/>
    <mergeCell ref="Q96:Q99"/>
    <mergeCell ref="R96:R99"/>
    <mergeCell ref="R91:R92"/>
    <mergeCell ref="R94:R95"/>
    <mergeCell ref="Q83:Q84"/>
    <mergeCell ref="K94:K95"/>
    <mergeCell ref="L94:L95"/>
    <mergeCell ref="M94:M95"/>
    <mergeCell ref="N94:N95"/>
    <mergeCell ref="O94:O95"/>
    <mergeCell ref="P94:P95"/>
    <mergeCell ref="Q94:Q95"/>
    <mergeCell ref="K91:K92"/>
    <mergeCell ref="L91:L92"/>
    <mergeCell ref="M91:M92"/>
    <mergeCell ref="N91:N92"/>
    <mergeCell ref="O91:O9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4D01-CF57-4080-86F9-5C85E379FE56}">
  <sheetPr>
    <pageSetUpPr fitToPage="1"/>
  </sheetPr>
  <dimension ref="A1:I141"/>
  <sheetViews>
    <sheetView topLeftCell="A128" workbookViewId="0">
      <selection activeCell="H134" sqref="H134"/>
    </sheetView>
  </sheetViews>
  <sheetFormatPr baseColWidth="10" defaultRowHeight="14.4"/>
  <cols>
    <col min="1" max="1" width="8.77734375" bestFit="1" customWidth="1"/>
    <col min="2" max="2" width="20.5546875" customWidth="1"/>
    <col min="3" max="3" width="26.21875" customWidth="1"/>
    <col min="4" max="4" width="8.77734375" bestFit="1" customWidth="1"/>
    <col min="5" max="5" width="11.88671875" bestFit="1" customWidth="1"/>
    <col min="6" max="6" width="12.5546875" bestFit="1" customWidth="1"/>
  </cols>
  <sheetData>
    <row r="1" spans="1:6" ht="18.600000000000001" customHeight="1">
      <c r="A1" s="16" t="s">
        <v>63</v>
      </c>
      <c r="B1" s="17" t="s">
        <v>64</v>
      </c>
      <c r="C1" s="17" t="s">
        <v>65</v>
      </c>
      <c r="D1" s="16" t="s">
        <v>63</v>
      </c>
    </row>
    <row r="2" spans="1:6" ht="18.600000000000001" customHeight="1">
      <c r="A2" s="18" t="s">
        <v>66</v>
      </c>
      <c r="B2" s="19" t="s">
        <v>67</v>
      </c>
      <c r="C2" s="20">
        <v>46109</v>
      </c>
      <c r="D2" s="18" t="s">
        <v>66</v>
      </c>
      <c r="E2" t="s">
        <v>34</v>
      </c>
      <c r="F2" t="s">
        <v>38</v>
      </c>
    </row>
    <row r="3" spans="1:6" ht="18.600000000000001" customHeight="1">
      <c r="A3" s="18" t="s">
        <v>68</v>
      </c>
      <c r="B3" s="19" t="s">
        <v>67</v>
      </c>
      <c r="C3" s="20">
        <v>46109</v>
      </c>
      <c r="D3" s="18" t="s">
        <v>68</v>
      </c>
      <c r="E3" t="s">
        <v>34</v>
      </c>
      <c r="F3" t="s">
        <v>38</v>
      </c>
    </row>
    <row r="4" spans="1:6" ht="18.600000000000001" customHeight="1">
      <c r="A4" s="18" t="s">
        <v>69</v>
      </c>
      <c r="B4" s="19" t="s">
        <v>67</v>
      </c>
      <c r="C4" s="20">
        <v>46109</v>
      </c>
      <c r="D4" s="18" t="s">
        <v>69</v>
      </c>
      <c r="E4" t="s">
        <v>34</v>
      </c>
      <c r="F4" t="s">
        <v>38</v>
      </c>
    </row>
    <row r="5" spans="1:6" ht="18.600000000000001" customHeight="1">
      <c r="A5" s="18" t="s">
        <v>70</v>
      </c>
      <c r="B5" s="19" t="s">
        <v>67</v>
      </c>
      <c r="C5" s="20">
        <v>46109</v>
      </c>
      <c r="D5" s="18" t="s">
        <v>70</v>
      </c>
      <c r="E5" t="s">
        <v>34</v>
      </c>
      <c r="F5" t="s">
        <v>38</v>
      </c>
    </row>
    <row r="6" spans="1:6" ht="18.600000000000001" customHeight="1">
      <c r="A6" s="18" t="s">
        <v>71</v>
      </c>
      <c r="B6" s="19" t="s">
        <v>67</v>
      </c>
      <c r="C6" s="20">
        <v>46109</v>
      </c>
      <c r="D6" s="18" t="s">
        <v>71</v>
      </c>
      <c r="E6" t="s">
        <v>34</v>
      </c>
      <c r="F6" t="s">
        <v>38</v>
      </c>
    </row>
    <row r="7" spans="1:6" ht="18.600000000000001" customHeight="1">
      <c r="A7" s="18" t="s">
        <v>72</v>
      </c>
      <c r="B7" s="19" t="s">
        <v>67</v>
      </c>
      <c r="C7" s="20">
        <v>46109</v>
      </c>
      <c r="D7" s="18" t="s">
        <v>72</v>
      </c>
      <c r="E7" t="s">
        <v>34</v>
      </c>
      <c r="F7" t="s">
        <v>38</v>
      </c>
    </row>
    <row r="8" spans="1:6" ht="18.600000000000001" customHeight="1">
      <c r="A8" s="18" t="s">
        <v>73</v>
      </c>
      <c r="B8" s="19" t="s">
        <v>67</v>
      </c>
      <c r="C8" s="20">
        <v>46109</v>
      </c>
      <c r="D8" s="18" t="s">
        <v>73</v>
      </c>
      <c r="E8" t="s">
        <v>34</v>
      </c>
      <c r="F8" t="s">
        <v>38</v>
      </c>
    </row>
    <row r="9" spans="1:6" ht="18.600000000000001" customHeight="1">
      <c r="A9" s="18" t="s">
        <v>74</v>
      </c>
      <c r="B9" s="19" t="s">
        <v>67</v>
      </c>
      <c r="C9" s="20">
        <v>46109</v>
      </c>
      <c r="D9" s="18" t="s">
        <v>74</v>
      </c>
      <c r="E9" t="s">
        <v>34</v>
      </c>
      <c r="F9" t="s">
        <v>38</v>
      </c>
    </row>
    <row r="10" spans="1:6" ht="18.600000000000001" customHeight="1">
      <c r="A10" s="18" t="s">
        <v>75</v>
      </c>
      <c r="B10" s="19" t="s">
        <v>67</v>
      </c>
      <c r="C10" s="20">
        <v>46109</v>
      </c>
      <c r="D10" s="18" t="s">
        <v>75</v>
      </c>
      <c r="E10" t="s">
        <v>34</v>
      </c>
      <c r="F10" t="s">
        <v>38</v>
      </c>
    </row>
    <row r="11" spans="1:6" ht="18.600000000000001" customHeight="1">
      <c r="A11" s="18" t="s">
        <v>76</v>
      </c>
      <c r="B11" s="19" t="s">
        <v>67</v>
      </c>
      <c r="C11" s="20">
        <v>46109</v>
      </c>
      <c r="D11" s="18" t="s">
        <v>76</v>
      </c>
      <c r="E11" t="s">
        <v>34</v>
      </c>
      <c r="F11" t="s">
        <v>38</v>
      </c>
    </row>
    <row r="12" spans="1:6" ht="18.600000000000001" customHeight="1">
      <c r="A12" s="18" t="s">
        <v>77</v>
      </c>
      <c r="B12" s="19" t="s">
        <v>67</v>
      </c>
      <c r="C12" s="20">
        <v>46109</v>
      </c>
      <c r="D12" s="18" t="s">
        <v>77</v>
      </c>
      <c r="E12" t="s">
        <v>34</v>
      </c>
      <c r="F12" t="s">
        <v>38</v>
      </c>
    </row>
    <row r="13" spans="1:6" ht="18.600000000000001" customHeight="1">
      <c r="A13" s="18" t="s">
        <v>78</v>
      </c>
      <c r="B13" s="19" t="s">
        <v>67</v>
      </c>
      <c r="C13" s="20">
        <v>46109</v>
      </c>
      <c r="D13" s="18" t="s">
        <v>78</v>
      </c>
      <c r="E13" t="s">
        <v>34</v>
      </c>
      <c r="F13" t="s">
        <v>38</v>
      </c>
    </row>
    <row r="14" spans="1:6" ht="18.600000000000001" customHeight="1">
      <c r="A14" s="18" t="s">
        <v>79</v>
      </c>
      <c r="B14" s="19" t="s">
        <v>67</v>
      </c>
      <c r="C14" s="20">
        <v>46109</v>
      </c>
      <c r="D14" s="18" t="s">
        <v>79</v>
      </c>
      <c r="E14" t="s">
        <v>34</v>
      </c>
      <c r="F14" t="s">
        <v>38</v>
      </c>
    </row>
    <row r="15" spans="1:6" ht="18.600000000000001" customHeight="1">
      <c r="A15" s="18" t="s">
        <v>80</v>
      </c>
      <c r="B15" s="19" t="s">
        <v>67</v>
      </c>
      <c r="C15" s="20">
        <v>46109</v>
      </c>
      <c r="D15" s="18" t="s">
        <v>80</v>
      </c>
      <c r="E15" t="s">
        <v>34</v>
      </c>
      <c r="F15" t="s">
        <v>37</v>
      </c>
    </row>
    <row r="16" spans="1:6" ht="18.600000000000001" customHeight="1">
      <c r="A16" s="18" t="s">
        <v>81</v>
      </c>
      <c r="B16" s="19" t="s">
        <v>67</v>
      </c>
      <c r="C16" s="20">
        <v>46109</v>
      </c>
      <c r="D16" s="18" t="s">
        <v>81</v>
      </c>
      <c r="E16" t="s">
        <v>34</v>
      </c>
      <c r="F16" t="s">
        <v>37</v>
      </c>
    </row>
    <row r="17" spans="1:6" ht="18.600000000000001" customHeight="1">
      <c r="A17" s="18" t="s">
        <v>82</v>
      </c>
      <c r="B17" s="19" t="s">
        <v>67</v>
      </c>
      <c r="C17" s="20">
        <v>46109</v>
      </c>
      <c r="D17" s="18" t="s">
        <v>82</v>
      </c>
      <c r="E17" t="s">
        <v>34</v>
      </c>
      <c r="F17" t="s">
        <v>37</v>
      </c>
    </row>
    <row r="18" spans="1:6" ht="18.600000000000001" customHeight="1">
      <c r="A18" s="18" t="s">
        <v>83</v>
      </c>
      <c r="B18" s="19" t="s">
        <v>67</v>
      </c>
      <c r="C18" s="20">
        <v>46109</v>
      </c>
      <c r="D18" s="18" t="s">
        <v>83</v>
      </c>
      <c r="E18" t="s">
        <v>34</v>
      </c>
      <c r="F18" t="s">
        <v>37</v>
      </c>
    </row>
    <row r="19" spans="1:6" ht="18.600000000000001" customHeight="1">
      <c r="A19" s="18" t="s">
        <v>84</v>
      </c>
      <c r="B19" s="19" t="s">
        <v>67</v>
      </c>
      <c r="C19" s="20">
        <v>46109</v>
      </c>
      <c r="D19" s="18" t="s">
        <v>84</v>
      </c>
      <c r="E19" t="s">
        <v>34</v>
      </c>
      <c r="F19" t="s">
        <v>37</v>
      </c>
    </row>
    <row r="20" spans="1:6" ht="18.600000000000001" customHeight="1">
      <c r="A20" s="18" t="s">
        <v>85</v>
      </c>
      <c r="B20" s="19" t="s">
        <v>67</v>
      </c>
      <c r="C20" s="20">
        <v>46109</v>
      </c>
      <c r="D20" s="18" t="s">
        <v>85</v>
      </c>
      <c r="E20" t="s">
        <v>34</v>
      </c>
      <c r="F20" t="s">
        <v>37</v>
      </c>
    </row>
    <row r="21" spans="1:6" ht="18.600000000000001" customHeight="1">
      <c r="A21" s="18" t="s">
        <v>86</v>
      </c>
      <c r="B21" s="19" t="s">
        <v>67</v>
      </c>
      <c r="C21" s="20">
        <v>46109</v>
      </c>
      <c r="D21" s="18" t="s">
        <v>86</v>
      </c>
      <c r="E21" t="s">
        <v>34</v>
      </c>
      <c r="F21" t="s">
        <v>39</v>
      </c>
    </row>
    <row r="22" spans="1:6" ht="18.600000000000001" customHeight="1">
      <c r="A22" s="18" t="s">
        <v>87</v>
      </c>
      <c r="B22" s="19" t="s">
        <v>67</v>
      </c>
      <c r="C22" s="20">
        <v>46109</v>
      </c>
      <c r="D22" s="18" t="s">
        <v>87</v>
      </c>
      <c r="E22" t="s">
        <v>34</v>
      </c>
      <c r="F22" t="s">
        <v>39</v>
      </c>
    </row>
    <row r="23" spans="1:6" ht="18.600000000000001" customHeight="1">
      <c r="A23" s="18" t="s">
        <v>88</v>
      </c>
      <c r="B23" s="19" t="s">
        <v>67</v>
      </c>
      <c r="C23" s="20">
        <v>46109</v>
      </c>
      <c r="D23" s="18" t="s">
        <v>88</v>
      </c>
      <c r="E23" t="s">
        <v>34</v>
      </c>
      <c r="F23" t="s">
        <v>39</v>
      </c>
    </row>
    <row r="24" spans="1:6" ht="18.600000000000001" customHeight="1">
      <c r="A24" s="18" t="s">
        <v>89</v>
      </c>
      <c r="B24" s="19" t="s">
        <v>67</v>
      </c>
      <c r="C24" s="20">
        <v>46109</v>
      </c>
      <c r="D24" s="18" t="s">
        <v>89</v>
      </c>
      <c r="E24" t="s">
        <v>34</v>
      </c>
      <c r="F24" t="s">
        <v>39</v>
      </c>
    </row>
    <row r="25" spans="1:6" ht="18.600000000000001" customHeight="1">
      <c r="A25" s="18" t="s">
        <v>90</v>
      </c>
      <c r="B25" s="19" t="s">
        <v>67</v>
      </c>
      <c r="C25" s="20">
        <v>46109</v>
      </c>
      <c r="D25" s="18" t="s">
        <v>90</v>
      </c>
      <c r="E25" t="s">
        <v>34</v>
      </c>
      <c r="F25" t="s">
        <v>35</v>
      </c>
    </row>
    <row r="26" spans="1:6" ht="18.600000000000001" customHeight="1">
      <c r="A26" s="18" t="s">
        <v>91</v>
      </c>
      <c r="B26" s="19" t="s">
        <v>67</v>
      </c>
      <c r="C26" s="20">
        <v>46109</v>
      </c>
      <c r="D26" s="18" t="s">
        <v>91</v>
      </c>
      <c r="E26" t="s">
        <v>34</v>
      </c>
      <c r="F26" t="s">
        <v>35</v>
      </c>
    </row>
    <row r="27" spans="1:6" ht="18.600000000000001" customHeight="1">
      <c r="A27" s="18" t="s">
        <v>92</v>
      </c>
      <c r="B27" s="19" t="s">
        <v>67</v>
      </c>
      <c r="C27" s="20">
        <v>46109</v>
      </c>
      <c r="D27" s="18" t="s">
        <v>92</v>
      </c>
      <c r="E27" t="s">
        <v>34</v>
      </c>
      <c r="F27" t="s">
        <v>35</v>
      </c>
    </row>
    <row r="28" spans="1:6" ht="18.600000000000001" customHeight="1">
      <c r="A28" s="18" t="s">
        <v>93</v>
      </c>
      <c r="B28" s="19" t="s">
        <v>67</v>
      </c>
      <c r="C28" s="20">
        <v>46109</v>
      </c>
      <c r="D28" s="18" t="s">
        <v>93</v>
      </c>
      <c r="E28" t="s">
        <v>34</v>
      </c>
      <c r="F28" t="s">
        <v>35</v>
      </c>
    </row>
    <row r="29" spans="1:6" ht="18.600000000000001" customHeight="1">
      <c r="A29" s="18" t="s">
        <v>94</v>
      </c>
      <c r="B29" s="19" t="s">
        <v>67</v>
      </c>
      <c r="C29" s="20">
        <v>46109</v>
      </c>
      <c r="D29" s="18" t="s">
        <v>94</v>
      </c>
      <c r="E29" t="s">
        <v>34</v>
      </c>
      <c r="F29" t="s">
        <v>35</v>
      </c>
    </row>
    <row r="30" spans="1:6" ht="18.600000000000001" customHeight="1">
      <c r="A30" s="18" t="s">
        <v>95</v>
      </c>
      <c r="B30" s="19" t="s">
        <v>67</v>
      </c>
      <c r="C30" s="20">
        <v>46109</v>
      </c>
      <c r="D30" s="18" t="s">
        <v>95</v>
      </c>
      <c r="E30" t="s">
        <v>34</v>
      </c>
      <c r="F30" t="s">
        <v>35</v>
      </c>
    </row>
    <row r="31" spans="1:6" ht="18.600000000000001" customHeight="1">
      <c r="A31" s="18" t="s">
        <v>96</v>
      </c>
      <c r="B31" s="19" t="s">
        <v>67</v>
      </c>
      <c r="C31" s="20">
        <v>46109</v>
      </c>
      <c r="D31" s="18" t="s">
        <v>96</v>
      </c>
      <c r="E31" t="s">
        <v>34</v>
      </c>
      <c r="F31" t="s">
        <v>35</v>
      </c>
    </row>
    <row r="32" spans="1:6" ht="18.600000000000001" customHeight="1">
      <c r="A32" s="18" t="s">
        <v>97</v>
      </c>
      <c r="B32" s="19" t="s">
        <v>67</v>
      </c>
      <c r="C32" s="20">
        <v>46109</v>
      </c>
      <c r="D32" s="18" t="s">
        <v>97</v>
      </c>
      <c r="E32" t="s">
        <v>34</v>
      </c>
      <c r="F32" t="s">
        <v>35</v>
      </c>
    </row>
    <row r="33" spans="1:6" ht="18.600000000000001" customHeight="1">
      <c r="A33" s="18" t="s">
        <v>98</v>
      </c>
      <c r="B33" s="19" t="s">
        <v>67</v>
      </c>
      <c r="C33" s="20">
        <v>46109</v>
      </c>
      <c r="D33" s="18" t="s">
        <v>98</v>
      </c>
      <c r="E33" t="s">
        <v>34</v>
      </c>
      <c r="F33" t="s">
        <v>35</v>
      </c>
    </row>
    <row r="34" spans="1:6" ht="18.600000000000001" customHeight="1">
      <c r="A34" s="18" t="s">
        <v>99</v>
      </c>
      <c r="B34" s="19" t="s">
        <v>67</v>
      </c>
      <c r="C34" s="20">
        <v>46109</v>
      </c>
      <c r="D34" s="18" t="s">
        <v>99</v>
      </c>
      <c r="E34" t="s">
        <v>34</v>
      </c>
      <c r="F34" t="s">
        <v>36</v>
      </c>
    </row>
    <row r="35" spans="1:6" ht="18.600000000000001" customHeight="1">
      <c r="A35" s="18" t="s">
        <v>100</v>
      </c>
      <c r="B35" s="19" t="s">
        <v>67</v>
      </c>
      <c r="C35" s="20">
        <v>46109</v>
      </c>
      <c r="D35" s="18" t="s">
        <v>100</v>
      </c>
      <c r="E35" t="s">
        <v>34</v>
      </c>
      <c r="F35" t="s">
        <v>36</v>
      </c>
    </row>
    <row r="36" spans="1:6" ht="18.600000000000001" customHeight="1">
      <c r="A36" s="18" t="s">
        <v>101</v>
      </c>
      <c r="B36" s="19" t="s">
        <v>67</v>
      </c>
      <c r="C36" s="20">
        <v>46109</v>
      </c>
      <c r="D36" s="18" t="s">
        <v>101</v>
      </c>
      <c r="E36" t="s">
        <v>34</v>
      </c>
      <c r="F36" t="s">
        <v>36</v>
      </c>
    </row>
    <row r="37" spans="1:6" ht="18.600000000000001" customHeight="1">
      <c r="A37" s="18" t="s">
        <v>102</v>
      </c>
      <c r="B37" s="19" t="s">
        <v>67</v>
      </c>
      <c r="C37" s="20">
        <v>46109</v>
      </c>
      <c r="D37" s="18" t="s">
        <v>102</v>
      </c>
      <c r="E37" t="s">
        <v>34</v>
      </c>
      <c r="F37" t="s">
        <v>36</v>
      </c>
    </row>
    <row r="38" spans="1:6" ht="18.600000000000001" customHeight="1">
      <c r="A38" s="18" t="s">
        <v>103</v>
      </c>
      <c r="B38" s="19" t="s">
        <v>67</v>
      </c>
      <c r="C38" s="20">
        <v>46109</v>
      </c>
      <c r="D38" s="18" t="s">
        <v>103</v>
      </c>
      <c r="E38" t="s">
        <v>34</v>
      </c>
      <c r="F38" t="s">
        <v>36</v>
      </c>
    </row>
    <row r="39" spans="1:6" s="31" customFormat="1" ht="18.600000000000001" customHeight="1">
      <c r="A39" s="28" t="s">
        <v>104</v>
      </c>
      <c r="B39" s="29" t="s">
        <v>67</v>
      </c>
      <c r="C39" s="30">
        <v>46109</v>
      </c>
      <c r="D39" s="28" t="s">
        <v>104</v>
      </c>
      <c r="E39" s="31" t="s">
        <v>40</v>
      </c>
      <c r="F39" s="31" t="s">
        <v>41</v>
      </c>
    </row>
    <row r="40" spans="1:6" ht="18.600000000000001" customHeight="1">
      <c r="A40" s="18" t="s">
        <v>105</v>
      </c>
      <c r="B40" s="19" t="s">
        <v>67</v>
      </c>
      <c r="C40" s="20">
        <v>46109</v>
      </c>
      <c r="D40" s="18" t="s">
        <v>105</v>
      </c>
      <c r="E40" s="31" t="s">
        <v>40</v>
      </c>
      <c r="F40" s="31" t="s">
        <v>41</v>
      </c>
    </row>
    <row r="41" spans="1:6" ht="18.600000000000001" customHeight="1">
      <c r="A41" s="18" t="s">
        <v>106</v>
      </c>
      <c r="B41" s="19" t="s">
        <v>67</v>
      </c>
      <c r="C41" s="20">
        <v>46109</v>
      </c>
      <c r="D41" s="18" t="s">
        <v>106</v>
      </c>
      <c r="E41" s="31" t="s">
        <v>40</v>
      </c>
      <c r="F41" s="31" t="s">
        <v>41</v>
      </c>
    </row>
    <row r="42" spans="1:6" ht="18.600000000000001" customHeight="1">
      <c r="A42" s="18" t="s">
        <v>107</v>
      </c>
      <c r="B42" s="19" t="s">
        <v>67</v>
      </c>
      <c r="C42" s="20">
        <v>46109</v>
      </c>
      <c r="D42" s="18" t="s">
        <v>107</v>
      </c>
      <c r="E42" s="31" t="s">
        <v>40</v>
      </c>
      <c r="F42" s="31" t="s">
        <v>41</v>
      </c>
    </row>
    <row r="43" spans="1:6" ht="18.600000000000001" customHeight="1">
      <c r="A43" s="18" t="s">
        <v>108</v>
      </c>
      <c r="B43" s="19" t="s">
        <v>67</v>
      </c>
      <c r="C43" s="20">
        <v>46109</v>
      </c>
      <c r="D43" s="18" t="s">
        <v>108</v>
      </c>
      <c r="E43" s="31" t="s">
        <v>40</v>
      </c>
      <c r="F43" s="31" t="s">
        <v>41</v>
      </c>
    </row>
    <row r="44" spans="1:6" ht="18.600000000000001" customHeight="1">
      <c r="A44" s="18" t="s">
        <v>109</v>
      </c>
      <c r="B44" s="19" t="s">
        <v>67</v>
      </c>
      <c r="C44" s="20">
        <v>46109</v>
      </c>
      <c r="D44" s="18" t="s">
        <v>109</v>
      </c>
      <c r="E44" s="31" t="s">
        <v>40</v>
      </c>
      <c r="F44" s="31" t="s">
        <v>41</v>
      </c>
    </row>
    <row r="45" spans="1:6" ht="18.600000000000001" customHeight="1">
      <c r="A45" s="18" t="s">
        <v>110</v>
      </c>
      <c r="B45" s="19" t="s">
        <v>67</v>
      </c>
      <c r="C45" s="20">
        <v>46109</v>
      </c>
      <c r="D45" s="18" t="s">
        <v>110</v>
      </c>
      <c r="E45" s="31" t="s">
        <v>40</v>
      </c>
      <c r="F45" s="31" t="s">
        <v>41</v>
      </c>
    </row>
    <row r="46" spans="1:6" ht="18.600000000000001" customHeight="1">
      <c r="A46" s="18" t="s">
        <v>111</v>
      </c>
      <c r="B46" s="19" t="s">
        <v>67</v>
      </c>
      <c r="C46" s="20">
        <v>46109</v>
      </c>
      <c r="D46" s="18" t="s">
        <v>111</v>
      </c>
      <c r="E46" s="31" t="s">
        <v>40</v>
      </c>
      <c r="F46" s="31" t="s">
        <v>41</v>
      </c>
    </row>
    <row r="47" spans="1:6" ht="18.600000000000001" customHeight="1">
      <c r="A47" s="18" t="s">
        <v>112</v>
      </c>
      <c r="B47" s="19" t="s">
        <v>67</v>
      </c>
      <c r="C47" s="20">
        <v>46109</v>
      </c>
      <c r="D47" s="18" t="s">
        <v>112</v>
      </c>
      <c r="E47" s="31" t="s">
        <v>40</v>
      </c>
      <c r="F47" s="31" t="s">
        <v>41</v>
      </c>
    </row>
    <row r="48" spans="1:6" ht="18.600000000000001" customHeight="1">
      <c r="A48" s="18" t="s">
        <v>113</v>
      </c>
      <c r="B48" s="19" t="s">
        <v>67</v>
      </c>
      <c r="C48" s="20">
        <v>46109</v>
      </c>
      <c r="D48" s="18" t="s">
        <v>113</v>
      </c>
      <c r="E48" s="31" t="s">
        <v>40</v>
      </c>
      <c r="F48" s="31" t="s">
        <v>41</v>
      </c>
    </row>
    <row r="49" spans="1:6" ht="18.600000000000001" customHeight="1">
      <c r="A49" s="18" t="s">
        <v>114</v>
      </c>
      <c r="B49" s="19" t="s">
        <v>67</v>
      </c>
      <c r="C49" s="20">
        <v>46109</v>
      </c>
      <c r="D49" s="18" t="s">
        <v>114</v>
      </c>
      <c r="E49" s="31" t="s">
        <v>40</v>
      </c>
      <c r="F49" s="31" t="s">
        <v>41</v>
      </c>
    </row>
    <row r="50" spans="1:6" ht="18.600000000000001" customHeight="1">
      <c r="A50" s="18" t="s">
        <v>115</v>
      </c>
      <c r="B50" s="19" t="s">
        <v>67</v>
      </c>
      <c r="C50" s="20">
        <v>46109</v>
      </c>
      <c r="D50" s="18" t="s">
        <v>115</v>
      </c>
      <c r="E50" s="31" t="s">
        <v>40</v>
      </c>
      <c r="F50" s="31" t="s">
        <v>43</v>
      </c>
    </row>
    <row r="51" spans="1:6" ht="18.600000000000001" customHeight="1">
      <c r="A51" s="18" t="s">
        <v>116</v>
      </c>
      <c r="B51" s="19" t="s">
        <v>67</v>
      </c>
      <c r="C51" s="20">
        <v>46109</v>
      </c>
      <c r="D51" s="18" t="s">
        <v>116</v>
      </c>
      <c r="E51" s="31" t="s">
        <v>40</v>
      </c>
      <c r="F51" s="31" t="s">
        <v>43</v>
      </c>
    </row>
    <row r="52" spans="1:6" ht="18.600000000000001" customHeight="1">
      <c r="A52" s="18" t="s">
        <v>117</v>
      </c>
      <c r="B52" s="19" t="s">
        <v>67</v>
      </c>
      <c r="C52" s="20">
        <v>46109</v>
      </c>
      <c r="D52" s="18" t="s">
        <v>117</v>
      </c>
      <c r="E52" s="31" t="s">
        <v>40</v>
      </c>
      <c r="F52" s="31" t="s">
        <v>43</v>
      </c>
    </row>
    <row r="53" spans="1:6" ht="18.600000000000001" customHeight="1">
      <c r="A53" s="18" t="s">
        <v>118</v>
      </c>
      <c r="B53" s="19" t="s">
        <v>67</v>
      </c>
      <c r="C53" s="20">
        <v>46109</v>
      </c>
      <c r="D53" s="18" t="s">
        <v>118</v>
      </c>
      <c r="E53" s="31" t="s">
        <v>40</v>
      </c>
      <c r="F53" s="31" t="s">
        <v>43</v>
      </c>
    </row>
    <row r="54" spans="1:6" ht="18.600000000000001" customHeight="1">
      <c r="A54" s="18" t="s">
        <v>119</v>
      </c>
      <c r="B54" s="19" t="s">
        <v>67</v>
      </c>
      <c r="C54" s="20">
        <v>46109</v>
      </c>
      <c r="D54" s="18" t="s">
        <v>119</v>
      </c>
      <c r="E54" s="31" t="s">
        <v>40</v>
      </c>
      <c r="F54" s="31" t="s">
        <v>43</v>
      </c>
    </row>
    <row r="55" spans="1:6" ht="18.600000000000001" customHeight="1">
      <c r="A55" s="18" t="s">
        <v>120</v>
      </c>
      <c r="B55" s="19" t="s">
        <v>67</v>
      </c>
      <c r="C55" s="20">
        <v>46109</v>
      </c>
      <c r="D55" s="18" t="s">
        <v>120</v>
      </c>
      <c r="E55" s="31" t="s">
        <v>40</v>
      </c>
      <c r="F55" s="31" t="s">
        <v>43</v>
      </c>
    </row>
    <row r="56" spans="1:6" ht="18.600000000000001" customHeight="1">
      <c r="A56" s="18" t="s">
        <v>121</v>
      </c>
      <c r="B56" s="19" t="s">
        <v>67</v>
      </c>
      <c r="C56" s="20">
        <v>46109</v>
      </c>
      <c r="D56" s="18" t="s">
        <v>121</v>
      </c>
      <c r="E56" s="31" t="s">
        <v>40</v>
      </c>
      <c r="F56" s="31" t="s">
        <v>43</v>
      </c>
    </row>
    <row r="57" spans="1:6" ht="18.600000000000001" customHeight="1">
      <c r="A57" s="18" t="s">
        <v>122</v>
      </c>
      <c r="B57" s="19" t="s">
        <v>67</v>
      </c>
      <c r="C57" s="20">
        <v>46109</v>
      </c>
      <c r="D57" s="18" t="s">
        <v>122</v>
      </c>
      <c r="E57" s="31" t="s">
        <v>40</v>
      </c>
      <c r="F57" s="31" t="s">
        <v>43</v>
      </c>
    </row>
    <row r="58" spans="1:6" ht="18.600000000000001" customHeight="1">
      <c r="A58" s="18" t="s">
        <v>123</v>
      </c>
      <c r="B58" s="19" t="s">
        <v>67</v>
      </c>
      <c r="C58" s="20">
        <v>46109</v>
      </c>
      <c r="D58" s="18" t="s">
        <v>123</v>
      </c>
      <c r="E58" s="31" t="s">
        <v>40</v>
      </c>
      <c r="F58" s="31" t="s">
        <v>43</v>
      </c>
    </row>
    <row r="59" spans="1:6" ht="18.600000000000001" customHeight="1">
      <c r="A59" s="18" t="s">
        <v>124</v>
      </c>
      <c r="B59" s="19" t="s">
        <v>67</v>
      </c>
      <c r="C59" s="20">
        <v>46109</v>
      </c>
      <c r="D59" s="18" t="s">
        <v>124</v>
      </c>
      <c r="E59" s="31" t="s">
        <v>40</v>
      </c>
      <c r="F59" s="31" t="s">
        <v>43</v>
      </c>
    </row>
    <row r="60" spans="1:6" ht="18.600000000000001" customHeight="1">
      <c r="A60" s="18" t="s">
        <v>125</v>
      </c>
      <c r="B60" s="19" t="s">
        <v>67</v>
      </c>
      <c r="C60" s="20">
        <v>46109</v>
      </c>
      <c r="D60" s="18" t="s">
        <v>125</v>
      </c>
      <c r="E60" s="31" t="s">
        <v>40</v>
      </c>
      <c r="F60" s="31" t="s">
        <v>43</v>
      </c>
    </row>
    <row r="61" spans="1:6" ht="18.600000000000001" customHeight="1">
      <c r="A61" s="18" t="s">
        <v>126</v>
      </c>
      <c r="B61" s="19" t="s">
        <v>67</v>
      </c>
      <c r="C61" s="20">
        <v>46109</v>
      </c>
      <c r="D61" s="18" t="s">
        <v>126</v>
      </c>
      <c r="E61" s="31" t="s">
        <v>40</v>
      </c>
      <c r="F61" s="31" t="s">
        <v>43</v>
      </c>
    </row>
    <row r="62" spans="1:6" ht="18.600000000000001" customHeight="1">
      <c r="A62" s="18" t="s">
        <v>127</v>
      </c>
      <c r="B62" s="19" t="s">
        <v>67</v>
      </c>
      <c r="C62" s="20">
        <v>46109</v>
      </c>
      <c r="D62" s="18" t="s">
        <v>127</v>
      </c>
      <c r="E62" s="31" t="s">
        <v>40</v>
      </c>
      <c r="F62" s="31" t="s">
        <v>43</v>
      </c>
    </row>
    <row r="63" spans="1:6" ht="18.600000000000001" customHeight="1">
      <c r="A63" s="18" t="s">
        <v>128</v>
      </c>
      <c r="B63" s="19" t="s">
        <v>67</v>
      </c>
      <c r="C63" s="20">
        <v>46109</v>
      </c>
      <c r="D63" s="18" t="s">
        <v>128</v>
      </c>
      <c r="E63" s="31" t="s">
        <v>40</v>
      </c>
      <c r="F63" s="31" t="s">
        <v>44</v>
      </c>
    </row>
    <row r="64" spans="1:6" ht="18.600000000000001" customHeight="1">
      <c r="A64" s="18" t="s">
        <v>129</v>
      </c>
      <c r="B64" s="19" t="s">
        <v>67</v>
      </c>
      <c r="C64" s="20">
        <v>46109</v>
      </c>
      <c r="D64" s="18" t="s">
        <v>129</v>
      </c>
      <c r="E64" s="31" t="s">
        <v>40</v>
      </c>
      <c r="F64" s="31" t="s">
        <v>44</v>
      </c>
    </row>
    <row r="65" spans="1:6" ht="18.600000000000001" customHeight="1">
      <c r="A65" s="18" t="s">
        <v>130</v>
      </c>
      <c r="B65" s="19" t="s">
        <v>67</v>
      </c>
      <c r="C65" s="20">
        <v>46109</v>
      </c>
      <c r="D65" s="18" t="s">
        <v>130</v>
      </c>
      <c r="E65" s="31" t="s">
        <v>40</v>
      </c>
      <c r="F65" s="31" t="s">
        <v>44</v>
      </c>
    </row>
    <row r="66" spans="1:6" ht="18.600000000000001" customHeight="1">
      <c r="A66" s="18" t="s">
        <v>131</v>
      </c>
      <c r="B66" s="19" t="s">
        <v>67</v>
      </c>
      <c r="C66" s="20">
        <v>46109</v>
      </c>
      <c r="D66" s="18" t="s">
        <v>131</v>
      </c>
      <c r="E66" s="31" t="s">
        <v>40</v>
      </c>
      <c r="F66" s="31" t="s">
        <v>44</v>
      </c>
    </row>
    <row r="67" spans="1:6" ht="18.600000000000001" customHeight="1">
      <c r="A67" s="18" t="s">
        <v>132</v>
      </c>
      <c r="B67" s="19" t="s">
        <v>67</v>
      </c>
      <c r="C67" s="20">
        <v>46109</v>
      </c>
      <c r="D67" s="18" t="s">
        <v>132</v>
      </c>
      <c r="E67" s="31" t="s">
        <v>40</v>
      </c>
      <c r="F67" s="31" t="s">
        <v>44</v>
      </c>
    </row>
    <row r="68" spans="1:6" ht="18.600000000000001" customHeight="1">
      <c r="A68" s="18" t="s">
        <v>133</v>
      </c>
      <c r="B68" s="19" t="s">
        <v>67</v>
      </c>
      <c r="C68" s="20">
        <v>46109</v>
      </c>
      <c r="D68" s="18" t="s">
        <v>133</v>
      </c>
      <c r="E68" s="31" t="s">
        <v>40</v>
      </c>
      <c r="F68" s="31" t="s">
        <v>44</v>
      </c>
    </row>
    <row r="69" spans="1:6" ht="18.600000000000001" customHeight="1">
      <c r="A69" s="18" t="s">
        <v>134</v>
      </c>
      <c r="B69" s="19" t="s">
        <v>67</v>
      </c>
      <c r="C69" s="20">
        <v>46109</v>
      </c>
      <c r="D69" s="18" t="s">
        <v>134</v>
      </c>
      <c r="E69" s="31" t="s">
        <v>40</v>
      </c>
      <c r="F69" s="31" t="s">
        <v>44</v>
      </c>
    </row>
    <row r="70" spans="1:6" ht="18.600000000000001" customHeight="1">
      <c r="A70" s="18" t="s">
        <v>135</v>
      </c>
      <c r="B70" s="19" t="s">
        <v>67</v>
      </c>
      <c r="C70" s="20">
        <v>46109</v>
      </c>
      <c r="D70" s="18" t="s">
        <v>135</v>
      </c>
      <c r="E70" s="31" t="s">
        <v>40</v>
      </c>
      <c r="F70" s="31" t="s">
        <v>44</v>
      </c>
    </row>
    <row r="71" spans="1:6" ht="18.600000000000001" customHeight="1">
      <c r="A71" s="18" t="s">
        <v>136</v>
      </c>
      <c r="B71" s="19" t="s">
        <v>67</v>
      </c>
      <c r="C71" s="20">
        <v>46109</v>
      </c>
      <c r="D71" s="18" t="s">
        <v>136</v>
      </c>
      <c r="E71" s="31" t="s">
        <v>40</v>
      </c>
      <c r="F71" s="31" t="s">
        <v>187</v>
      </c>
    </row>
    <row r="72" spans="1:6" ht="18.600000000000001" customHeight="1">
      <c r="A72" s="18" t="s">
        <v>137</v>
      </c>
      <c r="B72" s="19" t="s">
        <v>67</v>
      </c>
      <c r="C72" s="20">
        <v>46109</v>
      </c>
      <c r="D72" s="18" t="s">
        <v>137</v>
      </c>
      <c r="E72" s="31" t="s">
        <v>40</v>
      </c>
      <c r="F72" s="31" t="s">
        <v>187</v>
      </c>
    </row>
    <row r="73" spans="1:6" ht="18.600000000000001" customHeight="1">
      <c r="A73" s="18" t="s">
        <v>138</v>
      </c>
      <c r="B73" s="19" t="s">
        <v>67</v>
      </c>
      <c r="C73" s="20">
        <v>46109</v>
      </c>
      <c r="D73" s="18" t="s">
        <v>138</v>
      </c>
      <c r="E73" s="31" t="s">
        <v>40</v>
      </c>
      <c r="F73" s="31" t="s">
        <v>187</v>
      </c>
    </row>
    <row r="74" spans="1:6" ht="18.600000000000001" customHeight="1">
      <c r="A74" s="18" t="s">
        <v>139</v>
      </c>
      <c r="B74" s="19" t="s">
        <v>67</v>
      </c>
      <c r="C74" s="20">
        <v>46109</v>
      </c>
      <c r="D74" s="18" t="s">
        <v>139</v>
      </c>
      <c r="E74" s="31" t="s">
        <v>40</v>
      </c>
      <c r="F74" s="31" t="s">
        <v>187</v>
      </c>
    </row>
    <row r="75" spans="1:6" ht="18.600000000000001" customHeight="1">
      <c r="A75" s="18" t="s">
        <v>140</v>
      </c>
      <c r="B75" s="19" t="s">
        <v>67</v>
      </c>
      <c r="C75" s="20">
        <v>46109</v>
      </c>
      <c r="D75" s="18" t="s">
        <v>140</v>
      </c>
      <c r="E75" s="31" t="s">
        <v>40</v>
      </c>
      <c r="F75" s="31" t="s">
        <v>187</v>
      </c>
    </row>
    <row r="76" spans="1:6" ht="18.600000000000001" customHeight="1">
      <c r="A76" s="18" t="s">
        <v>141</v>
      </c>
      <c r="B76" s="19" t="s">
        <v>67</v>
      </c>
      <c r="C76" s="20">
        <v>46109</v>
      </c>
      <c r="D76" s="18" t="s">
        <v>141</v>
      </c>
      <c r="E76" s="31" t="s">
        <v>40</v>
      </c>
      <c r="F76" s="31" t="s">
        <v>187</v>
      </c>
    </row>
    <row r="77" spans="1:6" ht="18.600000000000001" customHeight="1">
      <c r="A77" s="18" t="s">
        <v>142</v>
      </c>
      <c r="B77" s="19" t="s">
        <v>67</v>
      </c>
      <c r="C77" s="20">
        <v>46109</v>
      </c>
      <c r="D77" s="18" t="s">
        <v>142</v>
      </c>
      <c r="E77" s="31" t="s">
        <v>40</v>
      </c>
      <c r="F77" s="31" t="s">
        <v>187</v>
      </c>
    </row>
    <row r="78" spans="1:6" ht="18.600000000000001" customHeight="1">
      <c r="A78" s="18" t="s">
        <v>143</v>
      </c>
      <c r="B78" s="19" t="s">
        <v>67</v>
      </c>
      <c r="C78" s="20">
        <v>46109</v>
      </c>
      <c r="D78" s="18" t="s">
        <v>143</v>
      </c>
      <c r="E78" s="31" t="s">
        <v>40</v>
      </c>
      <c r="F78" s="31" t="s">
        <v>187</v>
      </c>
    </row>
    <row r="79" spans="1:6" ht="18.600000000000001" customHeight="1">
      <c r="A79" s="18" t="s">
        <v>144</v>
      </c>
      <c r="B79" s="19" t="s">
        <v>67</v>
      </c>
      <c r="C79" s="20">
        <v>46109</v>
      </c>
      <c r="D79" s="18" t="s">
        <v>144</v>
      </c>
      <c r="E79" s="31" t="s">
        <v>40</v>
      </c>
      <c r="F79" s="31" t="s">
        <v>187</v>
      </c>
    </row>
    <row r="80" spans="1:6" ht="18.600000000000001" customHeight="1">
      <c r="A80" s="18" t="s">
        <v>145</v>
      </c>
      <c r="B80" s="19" t="s">
        <v>67</v>
      </c>
      <c r="C80" s="20">
        <v>46109</v>
      </c>
      <c r="D80" s="18" t="s">
        <v>145</v>
      </c>
      <c r="E80" s="31" t="s">
        <v>40</v>
      </c>
      <c r="F80" s="31" t="s">
        <v>187</v>
      </c>
    </row>
    <row r="81" spans="1:9" ht="18.600000000000001" customHeight="1">
      <c r="A81" s="18" t="s">
        <v>146</v>
      </c>
      <c r="B81" s="19" t="s">
        <v>67</v>
      </c>
      <c r="C81" s="20">
        <v>46109</v>
      </c>
      <c r="D81" s="18" t="s">
        <v>146</v>
      </c>
      <c r="E81" s="31" t="s">
        <v>40</v>
      </c>
      <c r="F81" s="31" t="s">
        <v>187</v>
      </c>
    </row>
    <row r="82" spans="1:9" ht="18.600000000000001" customHeight="1">
      <c r="A82" s="18" t="s">
        <v>147</v>
      </c>
      <c r="B82" s="19" t="s">
        <v>67</v>
      </c>
      <c r="C82" s="20">
        <v>46109</v>
      </c>
      <c r="D82" s="18" t="s">
        <v>147</v>
      </c>
      <c r="E82" s="31" t="s">
        <v>40</v>
      </c>
      <c r="F82" s="31" t="s">
        <v>187</v>
      </c>
    </row>
    <row r="83" spans="1:9" ht="18.600000000000001" customHeight="1">
      <c r="A83" s="18" t="s">
        <v>148</v>
      </c>
      <c r="B83" s="19" t="s">
        <v>67</v>
      </c>
      <c r="C83" s="20">
        <v>46109</v>
      </c>
      <c r="D83" s="18" t="s">
        <v>148</v>
      </c>
      <c r="E83" s="31" t="s">
        <v>40</v>
      </c>
      <c r="F83" s="31" t="s">
        <v>42</v>
      </c>
    </row>
    <row r="84" spans="1:9" ht="18.600000000000001" customHeight="1">
      <c r="A84" s="18" t="s">
        <v>149</v>
      </c>
      <c r="B84" s="19" t="s">
        <v>67</v>
      </c>
      <c r="C84" s="20">
        <v>46109</v>
      </c>
      <c r="D84" s="18" t="s">
        <v>149</v>
      </c>
      <c r="E84" s="31" t="s">
        <v>40</v>
      </c>
      <c r="F84" s="31" t="s">
        <v>42</v>
      </c>
    </row>
    <row r="85" spans="1:9" ht="18.600000000000001" customHeight="1">
      <c r="A85" s="18" t="s">
        <v>150</v>
      </c>
      <c r="B85" s="19" t="s">
        <v>67</v>
      </c>
      <c r="C85" s="20">
        <v>46109</v>
      </c>
      <c r="D85" s="18" t="s">
        <v>150</v>
      </c>
      <c r="E85" s="31" t="s">
        <v>40</v>
      </c>
      <c r="F85" s="31" t="s">
        <v>42</v>
      </c>
    </row>
    <row r="86" spans="1:9" ht="18.600000000000001" customHeight="1">
      <c r="A86" s="18" t="s">
        <v>151</v>
      </c>
      <c r="B86" s="19" t="s">
        <v>67</v>
      </c>
      <c r="C86" s="20">
        <v>46109</v>
      </c>
      <c r="D86" s="18" t="s">
        <v>151</v>
      </c>
      <c r="E86" s="31" t="s">
        <v>40</v>
      </c>
      <c r="F86" s="31" t="s">
        <v>42</v>
      </c>
    </row>
    <row r="87" spans="1:9" ht="18.600000000000001" customHeight="1">
      <c r="A87" s="18" t="s">
        <v>152</v>
      </c>
      <c r="B87" s="19" t="s">
        <v>67</v>
      </c>
      <c r="C87" s="20">
        <v>46109</v>
      </c>
      <c r="D87" s="18" t="s">
        <v>152</v>
      </c>
      <c r="E87" s="31" t="s">
        <v>40</v>
      </c>
      <c r="F87" s="31" t="s">
        <v>42</v>
      </c>
    </row>
    <row r="88" spans="1:9" ht="18.600000000000001" customHeight="1">
      <c r="A88" s="18" t="s">
        <v>153</v>
      </c>
      <c r="B88" s="19" t="s">
        <v>67</v>
      </c>
      <c r="C88" s="20">
        <v>46109</v>
      </c>
      <c r="D88" s="18" t="s">
        <v>153</v>
      </c>
      <c r="E88" s="31" t="s">
        <v>40</v>
      </c>
      <c r="F88" s="31" t="s">
        <v>42</v>
      </c>
    </row>
    <row r="89" spans="1:9" ht="18.600000000000001" customHeight="1">
      <c r="A89" s="18" t="s">
        <v>154</v>
      </c>
      <c r="B89" s="19" t="s">
        <v>67</v>
      </c>
      <c r="C89" s="20">
        <v>46109</v>
      </c>
      <c r="D89" s="18" t="s">
        <v>154</v>
      </c>
      <c r="E89" s="31" t="s">
        <v>40</v>
      </c>
      <c r="F89" s="31" t="s">
        <v>42</v>
      </c>
    </row>
    <row r="90" spans="1:9" ht="18.600000000000001" customHeight="1">
      <c r="A90" s="18" t="s">
        <v>155</v>
      </c>
      <c r="B90" s="19" t="s">
        <v>67</v>
      </c>
      <c r="C90" s="20">
        <v>46109</v>
      </c>
      <c r="D90" s="18" t="s">
        <v>155</v>
      </c>
      <c r="E90" s="31" t="s">
        <v>40</v>
      </c>
      <c r="F90" s="31" t="s">
        <v>42</v>
      </c>
    </row>
    <row r="91" spans="1:9" ht="18.600000000000001" customHeight="1">
      <c r="A91" s="18" t="s">
        <v>156</v>
      </c>
      <c r="B91" s="19" t="s">
        <v>67</v>
      </c>
      <c r="C91" s="20">
        <v>46109</v>
      </c>
      <c r="D91" s="18" t="s">
        <v>156</v>
      </c>
      <c r="E91" s="31" t="s">
        <v>40</v>
      </c>
      <c r="F91" s="31" t="s">
        <v>42</v>
      </c>
    </row>
    <row r="92" spans="1:9" ht="18.600000000000001" customHeight="1">
      <c r="A92" s="18" t="s">
        <v>157</v>
      </c>
      <c r="B92" s="19" t="s">
        <v>67</v>
      </c>
      <c r="C92" s="20">
        <v>46109</v>
      </c>
      <c r="D92" s="18" t="s">
        <v>157</v>
      </c>
      <c r="E92" s="31" t="s">
        <v>40</v>
      </c>
      <c r="F92" s="31" t="s">
        <v>42</v>
      </c>
      <c r="I92">
        <f>57+5</f>
        <v>62</v>
      </c>
    </row>
    <row r="93" spans="1:9" ht="18.600000000000001" customHeight="1">
      <c r="A93" s="25" t="s">
        <v>158</v>
      </c>
      <c r="B93" s="26" t="s">
        <v>67</v>
      </c>
      <c r="C93" s="27">
        <v>46109</v>
      </c>
      <c r="D93" s="25" t="s">
        <v>158</v>
      </c>
      <c r="E93" s="31" t="s">
        <v>40</v>
      </c>
      <c r="F93" s="31" t="s">
        <v>42</v>
      </c>
    </row>
    <row r="94" spans="1:9" ht="18.600000000000001" customHeight="1">
      <c r="A94" s="25" t="s">
        <v>159</v>
      </c>
      <c r="B94" s="26" t="s">
        <v>67</v>
      </c>
      <c r="C94" s="27">
        <v>46109</v>
      </c>
      <c r="D94" s="25" t="s">
        <v>159</v>
      </c>
      <c r="E94" s="31" t="s">
        <v>40</v>
      </c>
      <c r="F94" s="31" t="s">
        <v>42</v>
      </c>
    </row>
    <row r="95" spans="1:9" ht="18.600000000000001" customHeight="1">
      <c r="A95" s="25" t="s">
        <v>160</v>
      </c>
      <c r="B95" s="26" t="s">
        <v>67</v>
      </c>
      <c r="C95" s="27">
        <v>46109</v>
      </c>
      <c r="D95" s="25" t="s">
        <v>160</v>
      </c>
      <c r="E95" s="31" t="s">
        <v>40</v>
      </c>
      <c r="F95" s="31" t="s">
        <v>42</v>
      </c>
    </row>
    <row r="96" spans="1:9" ht="18.600000000000001" customHeight="1">
      <c r="A96" s="25" t="s">
        <v>161</v>
      </c>
      <c r="B96" s="26" t="s">
        <v>67</v>
      </c>
      <c r="C96" s="27">
        <v>46109</v>
      </c>
      <c r="D96" s="25" t="s">
        <v>161</v>
      </c>
      <c r="E96" t="s">
        <v>20</v>
      </c>
      <c r="F96" s="7" t="s">
        <v>22</v>
      </c>
      <c r="G96">
        <v>1</v>
      </c>
    </row>
    <row r="97" spans="1:7" ht="18.600000000000001" customHeight="1">
      <c r="A97" s="25" t="s">
        <v>162</v>
      </c>
      <c r="B97" s="26" t="s">
        <v>67</v>
      </c>
      <c r="C97" s="27">
        <v>46109</v>
      </c>
      <c r="D97" s="25" t="s">
        <v>162</v>
      </c>
      <c r="E97" t="s">
        <v>20</v>
      </c>
      <c r="F97" s="7" t="s">
        <v>22</v>
      </c>
      <c r="G97">
        <v>2</v>
      </c>
    </row>
    <row r="98" spans="1:7" ht="18.600000000000001" customHeight="1">
      <c r="A98" s="25" t="s">
        <v>163</v>
      </c>
      <c r="B98" s="26" t="s">
        <v>67</v>
      </c>
      <c r="C98" s="27">
        <v>46109</v>
      </c>
      <c r="D98" s="25" t="s">
        <v>163</v>
      </c>
      <c r="E98" t="s">
        <v>20</v>
      </c>
      <c r="F98" s="7" t="s">
        <v>22</v>
      </c>
      <c r="G98">
        <v>3</v>
      </c>
    </row>
    <row r="99" spans="1:7" ht="18.600000000000001" customHeight="1">
      <c r="A99" s="25" t="s">
        <v>164</v>
      </c>
      <c r="B99" s="26" t="s">
        <v>67</v>
      </c>
      <c r="C99" s="27">
        <v>46109</v>
      </c>
      <c r="D99" s="25" t="s">
        <v>164</v>
      </c>
      <c r="E99" t="s">
        <v>20</v>
      </c>
      <c r="F99" s="7" t="s">
        <v>22</v>
      </c>
      <c r="G99">
        <v>4</v>
      </c>
    </row>
    <row r="100" spans="1:7" ht="18.600000000000001" customHeight="1">
      <c r="A100" s="25" t="s">
        <v>165</v>
      </c>
      <c r="B100" s="26" t="s">
        <v>67</v>
      </c>
      <c r="C100" s="27">
        <v>46109</v>
      </c>
      <c r="D100" s="25" t="s">
        <v>165</v>
      </c>
      <c r="E100" t="s">
        <v>20</v>
      </c>
      <c r="F100" s="7" t="s">
        <v>22</v>
      </c>
      <c r="G100">
        <v>5</v>
      </c>
    </row>
    <row r="101" spans="1:7" ht="18.600000000000001" customHeight="1">
      <c r="A101" s="25" t="s">
        <v>166</v>
      </c>
      <c r="B101" s="26" t="s">
        <v>67</v>
      </c>
      <c r="C101" s="27">
        <v>46109</v>
      </c>
      <c r="D101" s="25" t="s">
        <v>166</v>
      </c>
      <c r="E101" t="s">
        <v>20</v>
      </c>
      <c r="F101" s="7" t="s">
        <v>22</v>
      </c>
      <c r="G101">
        <v>6</v>
      </c>
    </row>
    <row r="102" spans="1:7" ht="18.600000000000001" customHeight="1">
      <c r="A102" s="25" t="s">
        <v>188</v>
      </c>
      <c r="B102" s="26" t="s">
        <v>67</v>
      </c>
      <c r="C102" s="27">
        <v>46119</v>
      </c>
      <c r="D102" s="25" t="s">
        <v>188</v>
      </c>
      <c r="E102" t="s">
        <v>20</v>
      </c>
      <c r="F102" s="7" t="s">
        <v>22</v>
      </c>
      <c r="G102">
        <v>7</v>
      </c>
    </row>
    <row r="103" spans="1:7" ht="18.600000000000001" customHeight="1">
      <c r="A103" s="25" t="s">
        <v>189</v>
      </c>
      <c r="B103" s="26" t="s">
        <v>67</v>
      </c>
      <c r="C103" s="27">
        <v>46119</v>
      </c>
      <c r="D103" s="25" t="s">
        <v>189</v>
      </c>
      <c r="E103" t="s">
        <v>20</v>
      </c>
      <c r="F103" s="7" t="s">
        <v>22</v>
      </c>
      <c r="G103">
        <v>8</v>
      </c>
    </row>
    <row r="104" spans="1:7" ht="18.600000000000001" customHeight="1">
      <c r="A104" s="25" t="s">
        <v>190</v>
      </c>
      <c r="B104" s="26" t="s">
        <v>67</v>
      </c>
      <c r="C104" s="27">
        <v>46119</v>
      </c>
      <c r="D104" s="25" t="s">
        <v>190</v>
      </c>
      <c r="E104" t="s">
        <v>20</v>
      </c>
      <c r="F104" s="7" t="s">
        <v>22</v>
      </c>
      <c r="G104">
        <v>9</v>
      </c>
    </row>
    <row r="105" spans="1:7" ht="18.600000000000001" customHeight="1">
      <c r="A105" s="25" t="s">
        <v>191</v>
      </c>
      <c r="B105" s="26" t="s">
        <v>67</v>
      </c>
      <c r="C105" s="27">
        <v>46119</v>
      </c>
      <c r="D105" s="25" t="s">
        <v>191</v>
      </c>
      <c r="E105" t="s">
        <v>20</v>
      </c>
      <c r="F105" s="7" t="s">
        <v>22</v>
      </c>
      <c r="G105">
        <v>10</v>
      </c>
    </row>
    <row r="106" spans="1:7" ht="18.600000000000001" customHeight="1">
      <c r="A106" s="25" t="s">
        <v>192</v>
      </c>
      <c r="B106" s="26" t="s">
        <v>67</v>
      </c>
      <c r="C106" s="27">
        <v>46119</v>
      </c>
      <c r="D106" s="25" t="s">
        <v>192</v>
      </c>
      <c r="E106" t="s">
        <v>20</v>
      </c>
      <c r="F106" s="7" t="s">
        <v>22</v>
      </c>
      <c r="G106">
        <v>11</v>
      </c>
    </row>
    <row r="107" spans="1:7" ht="18.600000000000001" customHeight="1">
      <c r="A107" s="25" t="s">
        <v>193</v>
      </c>
      <c r="B107" s="26" t="s">
        <v>67</v>
      </c>
      <c r="C107" s="27">
        <v>46119</v>
      </c>
      <c r="D107" s="25" t="s">
        <v>193</v>
      </c>
      <c r="E107" t="s">
        <v>20</v>
      </c>
      <c r="F107" s="7" t="s">
        <v>22</v>
      </c>
      <c r="G107">
        <v>12</v>
      </c>
    </row>
    <row r="108" spans="1:7" ht="18.600000000000001" customHeight="1">
      <c r="A108" s="25" t="s">
        <v>194</v>
      </c>
      <c r="B108" s="26" t="s">
        <v>67</v>
      </c>
      <c r="C108" s="27">
        <v>46119</v>
      </c>
      <c r="D108" s="25" t="s">
        <v>194</v>
      </c>
      <c r="E108" t="s">
        <v>20</v>
      </c>
      <c r="F108" s="7" t="s">
        <v>22</v>
      </c>
      <c r="G108">
        <v>13</v>
      </c>
    </row>
    <row r="109" spans="1:7" ht="18.600000000000001" customHeight="1">
      <c r="A109" s="25" t="s">
        <v>195</v>
      </c>
      <c r="B109" s="26" t="s">
        <v>67</v>
      </c>
      <c r="C109" s="27">
        <v>46119</v>
      </c>
      <c r="D109" s="25" t="s">
        <v>195</v>
      </c>
      <c r="E109" t="s">
        <v>20</v>
      </c>
      <c r="F109" s="7" t="s">
        <v>22</v>
      </c>
      <c r="G109">
        <v>14</v>
      </c>
    </row>
    <row r="110" spans="1:7" ht="18.600000000000001" customHeight="1">
      <c r="A110" s="25" t="s">
        <v>196</v>
      </c>
      <c r="B110" s="26" t="s">
        <v>67</v>
      </c>
      <c r="C110" s="27">
        <v>46119</v>
      </c>
      <c r="D110" s="25" t="s">
        <v>196</v>
      </c>
      <c r="E110" t="s">
        <v>20</v>
      </c>
      <c r="F110" s="7" t="s">
        <v>22</v>
      </c>
      <c r="G110">
        <v>15</v>
      </c>
    </row>
    <row r="111" spans="1:7" ht="18.600000000000001" customHeight="1">
      <c r="A111" s="25" t="s">
        <v>197</v>
      </c>
      <c r="B111" s="26" t="s">
        <v>67</v>
      </c>
      <c r="C111" s="27">
        <v>46119</v>
      </c>
      <c r="D111" s="25" t="s">
        <v>197</v>
      </c>
      <c r="E111" t="s">
        <v>20</v>
      </c>
      <c r="F111" s="7" t="s">
        <v>22</v>
      </c>
      <c r="G111">
        <v>16</v>
      </c>
    </row>
    <row r="112" spans="1:7" ht="18.600000000000001" customHeight="1">
      <c r="A112" s="25" t="s">
        <v>198</v>
      </c>
      <c r="B112" s="26" t="s">
        <v>67</v>
      </c>
      <c r="C112" s="27">
        <v>46119</v>
      </c>
      <c r="D112" s="25" t="s">
        <v>198</v>
      </c>
      <c r="E112" t="s">
        <v>20</v>
      </c>
      <c r="F112" s="7" t="s">
        <v>22</v>
      </c>
      <c r="G112">
        <v>17</v>
      </c>
    </row>
    <row r="113" spans="1:7" ht="18.600000000000001" customHeight="1">
      <c r="A113" s="25" t="s">
        <v>199</v>
      </c>
      <c r="B113" s="26" t="s">
        <v>67</v>
      </c>
      <c r="C113" s="27">
        <v>46119</v>
      </c>
      <c r="D113" s="25" t="s">
        <v>199</v>
      </c>
      <c r="E113" t="s">
        <v>20</v>
      </c>
      <c r="F113" s="7" t="s">
        <v>22</v>
      </c>
      <c r="G113">
        <v>18</v>
      </c>
    </row>
    <row r="114" spans="1:7" ht="18.600000000000001" customHeight="1">
      <c r="A114" s="25" t="s">
        <v>200</v>
      </c>
      <c r="B114" s="26" t="s">
        <v>67</v>
      </c>
      <c r="C114" s="27">
        <v>46119</v>
      </c>
      <c r="D114" s="25" t="s">
        <v>200</v>
      </c>
      <c r="E114" t="s">
        <v>20</v>
      </c>
      <c r="F114" s="7" t="s">
        <v>22</v>
      </c>
      <c r="G114">
        <v>19</v>
      </c>
    </row>
    <row r="115" spans="1:7" ht="18.600000000000001" customHeight="1">
      <c r="D115" s="32"/>
    </row>
    <row r="116" spans="1:7" ht="18.600000000000001" customHeight="1">
      <c r="D116" s="32"/>
    </row>
    <row r="117" spans="1:7" ht="18.600000000000001" customHeight="1">
      <c r="D117" s="32"/>
    </row>
    <row r="118" spans="1:7" ht="18.600000000000001" customHeight="1">
      <c r="D118" s="32"/>
    </row>
    <row r="119" spans="1:7" ht="18.600000000000001" customHeight="1">
      <c r="A119" s="21" t="s">
        <v>167</v>
      </c>
      <c r="D119" s="21" t="s">
        <v>167</v>
      </c>
    </row>
    <row r="120" spans="1:7" ht="18.600000000000001" customHeight="1">
      <c r="A120" s="22" t="s">
        <v>63</v>
      </c>
      <c r="B120" s="23" t="s">
        <v>64</v>
      </c>
      <c r="C120" s="24" t="s">
        <v>65</v>
      </c>
      <c r="D120" s="22" t="s">
        <v>63</v>
      </c>
    </row>
    <row r="121" spans="1:7" ht="18.600000000000001" customHeight="1">
      <c r="A121" s="18" t="s">
        <v>168</v>
      </c>
      <c r="B121" s="19" t="s">
        <v>67</v>
      </c>
      <c r="C121" s="20">
        <v>46109</v>
      </c>
      <c r="D121" s="18" t="s">
        <v>168</v>
      </c>
      <c r="E121" t="s">
        <v>34</v>
      </c>
      <c r="F121" t="s">
        <v>38</v>
      </c>
    </row>
    <row r="122" spans="1:7" ht="18.600000000000001" customHeight="1">
      <c r="A122" s="18" t="s">
        <v>169</v>
      </c>
      <c r="B122" s="19" t="s">
        <v>67</v>
      </c>
      <c r="C122" s="20">
        <v>46109</v>
      </c>
      <c r="D122" s="18" t="s">
        <v>169</v>
      </c>
      <c r="E122" t="s">
        <v>34</v>
      </c>
      <c r="F122" t="s">
        <v>37</v>
      </c>
    </row>
    <row r="123" spans="1:7" ht="18.600000000000001" customHeight="1">
      <c r="A123" s="18" t="s">
        <v>170</v>
      </c>
      <c r="B123" s="19" t="s">
        <v>67</v>
      </c>
      <c r="C123" s="20">
        <v>46109</v>
      </c>
      <c r="D123" s="18" t="s">
        <v>170</v>
      </c>
      <c r="E123" t="s">
        <v>34</v>
      </c>
      <c r="F123" t="s">
        <v>39</v>
      </c>
    </row>
    <row r="124" spans="1:7" ht="18.600000000000001" customHeight="1">
      <c r="A124" s="18" t="s">
        <v>171</v>
      </c>
      <c r="B124" s="19" t="s">
        <v>67</v>
      </c>
      <c r="C124" s="20">
        <v>46109</v>
      </c>
      <c r="D124" s="18" t="s">
        <v>171</v>
      </c>
      <c r="E124" t="s">
        <v>34</v>
      </c>
      <c r="F124" t="s">
        <v>35</v>
      </c>
    </row>
    <row r="125" spans="1:7" ht="18.600000000000001" customHeight="1">
      <c r="A125" s="18" t="s">
        <v>172</v>
      </c>
      <c r="B125" s="19" t="s">
        <v>67</v>
      </c>
      <c r="C125" s="20">
        <v>46109</v>
      </c>
      <c r="D125" s="18" t="s">
        <v>172</v>
      </c>
      <c r="E125" t="s">
        <v>34</v>
      </c>
      <c r="F125" t="s">
        <v>36</v>
      </c>
    </row>
    <row r="126" spans="1:7" s="31" customFormat="1" ht="18.600000000000001" customHeight="1">
      <c r="A126" s="28" t="s">
        <v>173</v>
      </c>
      <c r="B126" s="29" t="s">
        <v>67</v>
      </c>
      <c r="C126" s="30">
        <v>46109</v>
      </c>
      <c r="D126" s="28" t="s">
        <v>173</v>
      </c>
      <c r="E126" s="31" t="s">
        <v>40</v>
      </c>
      <c r="F126" s="31" t="s">
        <v>41</v>
      </c>
    </row>
    <row r="127" spans="1:7" ht="18.600000000000001" customHeight="1">
      <c r="A127" s="18" t="s">
        <v>174</v>
      </c>
      <c r="B127" s="19" t="s">
        <v>67</v>
      </c>
      <c r="C127" s="20">
        <v>46109</v>
      </c>
      <c r="D127" s="18" t="s">
        <v>174</v>
      </c>
      <c r="E127" s="31" t="s">
        <v>40</v>
      </c>
      <c r="F127" s="31" t="s">
        <v>43</v>
      </c>
    </row>
    <row r="128" spans="1:7" ht="18.600000000000001" customHeight="1">
      <c r="A128" s="18" t="s">
        <v>175</v>
      </c>
      <c r="B128" s="19" t="s">
        <v>67</v>
      </c>
      <c r="C128" s="20">
        <v>46109</v>
      </c>
      <c r="D128" s="18" t="s">
        <v>175</v>
      </c>
      <c r="E128" s="31" t="s">
        <v>40</v>
      </c>
      <c r="F128" s="31" t="s">
        <v>44</v>
      </c>
    </row>
    <row r="129" spans="1:6" ht="18.600000000000001" customHeight="1">
      <c r="A129" s="18" t="s">
        <v>176</v>
      </c>
      <c r="B129" s="19" t="s">
        <v>67</v>
      </c>
      <c r="C129" s="20">
        <v>46109</v>
      </c>
      <c r="D129" s="18" t="s">
        <v>176</v>
      </c>
      <c r="E129" s="31" t="s">
        <v>40</v>
      </c>
      <c r="F129" s="31" t="s">
        <v>187</v>
      </c>
    </row>
    <row r="130" spans="1:6" ht="18.600000000000001" customHeight="1">
      <c r="A130" s="18" t="s">
        <v>177</v>
      </c>
      <c r="B130" s="19" t="s">
        <v>67</v>
      </c>
      <c r="C130" s="20">
        <v>46109</v>
      </c>
      <c r="D130" s="18" t="s">
        <v>177</v>
      </c>
      <c r="E130" s="31" t="s">
        <v>40</v>
      </c>
      <c r="F130" s="31" t="s">
        <v>42</v>
      </c>
    </row>
    <row r="131" spans="1:6" ht="18.600000000000001" customHeight="1">
      <c r="A131" s="18" t="s">
        <v>178</v>
      </c>
      <c r="B131" s="19" t="s">
        <v>67</v>
      </c>
      <c r="C131" s="20">
        <v>46109</v>
      </c>
      <c r="D131" s="18" t="s">
        <v>178</v>
      </c>
      <c r="E131" s="7" t="s">
        <v>20</v>
      </c>
      <c r="F131" s="7" t="s">
        <v>22</v>
      </c>
    </row>
    <row r="132" spans="1:6" ht="18.600000000000001" customHeight="1">
      <c r="A132" s="18" t="s">
        <v>179</v>
      </c>
      <c r="B132" s="19" t="s">
        <v>67</v>
      </c>
      <c r="C132" s="20">
        <v>46109</v>
      </c>
      <c r="D132" s="18" t="s">
        <v>179</v>
      </c>
    </row>
    <row r="133" spans="1:6" ht="18.600000000000001" customHeight="1">
      <c r="A133" s="18" t="s">
        <v>180</v>
      </c>
      <c r="B133" s="19" t="s">
        <v>67</v>
      </c>
      <c r="C133" s="20">
        <v>46109</v>
      </c>
      <c r="D133" s="18" t="s">
        <v>180</v>
      </c>
    </row>
    <row r="136" spans="1:6" ht="18.600000000000001" customHeight="1">
      <c r="A136" s="25" t="s">
        <v>181</v>
      </c>
      <c r="B136" s="26" t="s">
        <v>67</v>
      </c>
      <c r="C136" s="27">
        <v>46109</v>
      </c>
      <c r="D136" s="25" t="s">
        <v>181</v>
      </c>
      <c r="E136" t="s">
        <v>32</v>
      </c>
      <c r="F136" t="s">
        <v>33</v>
      </c>
    </row>
    <row r="137" spans="1:6" ht="18.600000000000001" customHeight="1">
      <c r="A137" s="25" t="s">
        <v>182</v>
      </c>
      <c r="B137" s="26" t="s">
        <v>67</v>
      </c>
      <c r="C137" s="27">
        <v>46109</v>
      </c>
      <c r="D137" s="25" t="s">
        <v>182</v>
      </c>
      <c r="E137" t="s">
        <v>23</v>
      </c>
      <c r="F137" t="s">
        <v>24</v>
      </c>
    </row>
    <row r="138" spans="1:6" ht="18.600000000000001" customHeight="1">
      <c r="A138" s="25" t="s">
        <v>183</v>
      </c>
      <c r="B138" s="26" t="s">
        <v>67</v>
      </c>
      <c r="C138" s="27">
        <v>46109</v>
      </c>
      <c r="D138" s="25" t="s">
        <v>183</v>
      </c>
      <c r="E138" t="s">
        <v>23</v>
      </c>
      <c r="F138" t="s">
        <v>27</v>
      </c>
    </row>
    <row r="139" spans="1:6" ht="18.600000000000001" customHeight="1">
      <c r="A139" s="25" t="s">
        <v>184</v>
      </c>
      <c r="B139" s="26" t="s">
        <v>67</v>
      </c>
      <c r="C139" s="27">
        <v>46109</v>
      </c>
      <c r="D139" s="25" t="s">
        <v>184</v>
      </c>
      <c r="E139" t="s">
        <v>23</v>
      </c>
      <c r="F139" t="s">
        <v>25</v>
      </c>
    </row>
    <row r="140" spans="1:6" ht="18.600000000000001" customHeight="1">
      <c r="A140" s="25" t="s">
        <v>185</v>
      </c>
      <c r="B140" s="26" t="s">
        <v>67</v>
      </c>
      <c r="C140" s="27">
        <v>46109</v>
      </c>
      <c r="D140" s="25" t="s">
        <v>185</v>
      </c>
      <c r="E140" t="s">
        <v>23</v>
      </c>
      <c r="F140" t="s">
        <v>26</v>
      </c>
    </row>
    <row r="141" spans="1:6" ht="18.600000000000001" customHeight="1">
      <c r="A141" s="25" t="s">
        <v>186</v>
      </c>
      <c r="B141" s="26" t="s">
        <v>67</v>
      </c>
      <c r="C141" s="27">
        <v>46109</v>
      </c>
      <c r="D141" s="25" t="s">
        <v>186</v>
      </c>
      <c r="E141" t="s">
        <v>23</v>
      </c>
      <c r="F141" t="s">
        <v>28</v>
      </c>
    </row>
  </sheetData>
  <phoneticPr fontId="5" type="noConversion"/>
  <pageMargins left="0.7" right="0.7" top="0.75" bottom="0.75" header="0.3" footer="0.3"/>
  <pageSetup scale="2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43CD-5A76-43B5-A836-5A920D2BEA45}">
  <dimension ref="A1:D25"/>
  <sheetViews>
    <sheetView workbookViewId="0">
      <selection activeCell="D25" sqref="D25"/>
    </sheetView>
  </sheetViews>
  <sheetFormatPr baseColWidth="10" defaultRowHeight="14.4"/>
  <sheetData>
    <row r="1" spans="1:4">
      <c r="B1">
        <v>1200</v>
      </c>
      <c r="C1" t="s">
        <v>204</v>
      </c>
    </row>
    <row r="3" spans="1:4">
      <c r="B3">
        <v>1100</v>
      </c>
      <c r="C3" t="s">
        <v>205</v>
      </c>
    </row>
    <row r="4" spans="1:4">
      <c r="B4">
        <v>4000</v>
      </c>
      <c r="C4" t="s">
        <v>206</v>
      </c>
    </row>
    <row r="5" spans="1:4">
      <c r="B5">
        <v>1400</v>
      </c>
      <c r="C5" t="s">
        <v>207</v>
      </c>
    </row>
    <row r="6" spans="1:4">
      <c r="B6">
        <v>15000</v>
      </c>
      <c r="C6" t="s">
        <v>208</v>
      </c>
    </row>
    <row r="7" spans="1:4">
      <c r="B7">
        <v>300</v>
      </c>
      <c r="C7" t="s">
        <v>209</v>
      </c>
    </row>
    <row r="8" spans="1:4">
      <c r="B8">
        <v>400</v>
      </c>
      <c r="C8" t="s">
        <v>210</v>
      </c>
    </row>
    <row r="10" spans="1:4">
      <c r="A10">
        <v>75000</v>
      </c>
      <c r="B10">
        <f>SUM(B1:B8)</f>
        <v>23400</v>
      </c>
      <c r="D10">
        <f>+A10-B10</f>
        <v>51600</v>
      </c>
    </row>
    <row r="18" spans="1:4">
      <c r="A18" t="s">
        <v>341</v>
      </c>
      <c r="B18">
        <v>2800</v>
      </c>
    </row>
    <row r="19" spans="1:4">
      <c r="A19" t="s">
        <v>210</v>
      </c>
      <c r="B19">
        <v>2000</v>
      </c>
    </row>
    <row r="20" spans="1:4">
      <c r="C20">
        <v>800</v>
      </c>
    </row>
    <row r="21" spans="1:4">
      <c r="C21">
        <v>2600</v>
      </c>
    </row>
    <row r="22" spans="1:4">
      <c r="C22">
        <v>2500</v>
      </c>
    </row>
    <row r="23" spans="1:4">
      <c r="C23">
        <v>3000</v>
      </c>
    </row>
    <row r="24" spans="1:4">
      <c r="C24">
        <f>SUM(C20:C23)</f>
        <v>8900</v>
      </c>
      <c r="D24">
        <v>11300</v>
      </c>
    </row>
    <row r="25" spans="1:4">
      <c r="D25">
        <f>+D24-C24</f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Peñaranda Castro, Harry</dc:creator>
  <cp:lastModifiedBy>Comercialpf (PFRO)</cp:lastModifiedBy>
  <cp:lastPrinted>2026-04-24T16:56:04Z</cp:lastPrinted>
  <dcterms:created xsi:type="dcterms:W3CDTF">2026-03-25T21:27:28Z</dcterms:created>
  <dcterms:modified xsi:type="dcterms:W3CDTF">2026-06-05T16:26:35Z</dcterms:modified>
</cp:coreProperties>
</file>