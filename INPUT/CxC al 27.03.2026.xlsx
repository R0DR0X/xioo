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Xitanium\Downloads\INPUT\"/>
    </mc:Choice>
  </mc:AlternateContent>
  <xr:revisionPtr revIDLastSave="0" documentId="13_ncr:1_{59B8E12F-F264-45DA-97C8-B8BEC8FFC21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EN" sheetId="2" r:id="rId1"/>
    <sheet name="Data" sheetId="1" r:id="rId2"/>
    <sheet name="Hoja2" sheetId="3" r:id="rId3"/>
    <sheet name="DÍAS" sheetId="4" r:id="rId4"/>
  </sheets>
  <definedNames>
    <definedName name="_xlnm._FilterDatabase" localSheetId="1" hidden="1">Data!$A$1:$R$71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1" l="1"/>
  <c r="P44" i="1"/>
  <c r="M70" i="1"/>
  <c r="M69" i="1"/>
  <c r="M68" i="1"/>
  <c r="M67" i="1"/>
  <c r="M62" i="1"/>
  <c r="M58" i="1"/>
  <c r="M52" i="1"/>
  <c r="M51" i="1"/>
  <c r="M50" i="1"/>
  <c r="M49" i="1"/>
  <c r="M33" i="1"/>
  <c r="M32" i="1"/>
  <c r="M24" i="1"/>
  <c r="M23" i="1"/>
  <c r="M22" i="1"/>
  <c r="M21" i="1"/>
  <c r="M20" i="1"/>
  <c r="M19" i="1"/>
  <c r="Q19" i="1"/>
  <c r="L71" i="1"/>
  <c r="L70" i="1"/>
  <c r="L69" i="1"/>
  <c r="L68" i="1"/>
  <c r="L67" i="1"/>
  <c r="L62" i="1"/>
  <c r="L60" i="1"/>
  <c r="L59" i="1"/>
  <c r="L58" i="1"/>
  <c r="L52" i="1"/>
  <c r="L51" i="1"/>
  <c r="L50" i="1"/>
  <c r="L49" i="1"/>
  <c r="L42" i="1"/>
  <c r="L33" i="1"/>
  <c r="L32" i="1"/>
  <c r="L24" i="1"/>
  <c r="L23" i="1"/>
  <c r="L22" i="1"/>
  <c r="L21" i="1"/>
  <c r="L20" i="1"/>
  <c r="L19" i="1"/>
  <c r="Q71" i="1"/>
  <c r="Q70" i="1"/>
  <c r="Q69" i="1"/>
  <c r="Q68" i="1"/>
  <c r="Q67" i="1"/>
  <c r="Q62" i="1"/>
  <c r="Q60" i="1"/>
  <c r="Q59" i="1"/>
  <c r="Q58" i="1"/>
  <c r="Q52" i="1"/>
  <c r="Q51" i="1"/>
  <c r="Q50" i="1"/>
  <c r="Q49" i="1"/>
  <c r="Q43" i="1"/>
  <c r="Q42" i="1"/>
  <c r="Q33" i="1"/>
  <c r="Q32" i="1"/>
  <c r="Q24" i="1"/>
  <c r="Q23" i="1"/>
  <c r="Q22" i="1"/>
  <c r="Q21" i="1"/>
  <c r="Q20" i="1"/>
  <c r="O71" i="1"/>
  <c r="O60" i="1"/>
  <c r="P71" i="1"/>
  <c r="P70" i="1"/>
  <c r="P69" i="1"/>
  <c r="P68" i="1"/>
  <c r="P67" i="1"/>
  <c r="P62" i="1"/>
  <c r="P60" i="1"/>
  <c r="P59" i="1"/>
  <c r="P58" i="1"/>
  <c r="P52" i="1"/>
  <c r="P51" i="1"/>
  <c r="P50" i="1"/>
  <c r="P49" i="1"/>
  <c r="P43" i="1"/>
  <c r="P42" i="1"/>
  <c r="P33" i="1"/>
  <c r="P32" i="1"/>
  <c r="P31" i="1"/>
  <c r="P30" i="1"/>
  <c r="P29" i="1"/>
  <c r="P28" i="1"/>
  <c r="P24" i="1"/>
  <c r="P23" i="1"/>
  <c r="P22" i="1"/>
  <c r="P21" i="1"/>
  <c r="P20" i="1"/>
  <c r="P19" i="1"/>
  <c r="O62" i="1"/>
  <c r="O33" i="1"/>
  <c r="P54" i="1"/>
  <c r="P55" i="1"/>
  <c r="P56" i="1"/>
  <c r="P57" i="1"/>
  <c r="P53" i="1"/>
  <c r="O54" i="1"/>
  <c r="O55" i="1"/>
  <c r="O56" i="1"/>
  <c r="O57" i="1"/>
  <c r="O53" i="1"/>
  <c r="P61" i="1"/>
  <c r="O61" i="1"/>
  <c r="P66" i="1"/>
  <c r="P65" i="1"/>
  <c r="P64" i="1"/>
  <c r="P63" i="1"/>
  <c r="P48" i="1"/>
  <c r="P47" i="1"/>
  <c r="P46" i="1"/>
  <c r="P45" i="1"/>
  <c r="P41" i="1"/>
  <c r="P40" i="1"/>
  <c r="P39" i="1"/>
  <c r="P38" i="1"/>
  <c r="P37" i="1"/>
  <c r="P36" i="1"/>
  <c r="P35" i="1"/>
  <c r="P34" i="1"/>
  <c r="P27" i="1"/>
  <c r="P26" i="1"/>
  <c r="P25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66" i="1"/>
  <c r="O65" i="1"/>
  <c r="O64" i="1"/>
  <c r="O63" i="1"/>
  <c r="O48" i="1"/>
  <c r="O47" i="1"/>
  <c r="O46" i="1"/>
  <c r="O45" i="1"/>
  <c r="O41" i="1"/>
  <c r="O40" i="1"/>
  <c r="O39" i="1"/>
  <c r="O38" i="1"/>
  <c r="O37" i="1"/>
  <c r="O36" i="1"/>
  <c r="O35" i="1"/>
  <c r="O34" i="1"/>
  <c r="O27" i="1"/>
  <c r="O26" i="1"/>
  <c r="O25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<sst xmlns="http://schemas.openxmlformats.org/spreadsheetml/2006/main" count="664" uniqueCount="224">
  <si>
    <t>1000013966</t>
  </si>
  <si>
    <t>ARKANO TRADING SOCIEDAD ANONIMA CER</t>
  </si>
  <si>
    <t>1200005220</t>
  </si>
  <si>
    <t>01-0F101-0004694</t>
  </si>
  <si>
    <t>DF</t>
  </si>
  <si>
    <t>PEN</t>
  </si>
  <si>
    <t>1200005228</t>
  </si>
  <si>
    <t>01-0F101-0004700</t>
  </si>
  <si>
    <t>1200005242</t>
  </si>
  <si>
    <t>01-0F101-0004710</t>
  </si>
  <si>
    <t>1200005264</t>
  </si>
  <si>
    <t>01-0F101-0004729</t>
  </si>
  <si>
    <t>1200005271</t>
  </si>
  <si>
    <t>01-0F101-0004736</t>
  </si>
  <si>
    <t>1200005296</t>
  </si>
  <si>
    <t>01-0F101-0004758</t>
  </si>
  <si>
    <t>1200005302</t>
  </si>
  <si>
    <t>01-0F101-0004762</t>
  </si>
  <si>
    <t>1200005304</t>
  </si>
  <si>
    <t>01-0F101-0004763</t>
  </si>
  <si>
    <t>1200005313</t>
  </si>
  <si>
    <t>01-0F101-0004772</t>
  </si>
  <si>
    <t>1200005346</t>
  </si>
  <si>
    <t>01-0F101-0004803</t>
  </si>
  <si>
    <t>1200005422</t>
  </si>
  <si>
    <t>01-0F101-0004855</t>
  </si>
  <si>
    <t>1200000045</t>
  </si>
  <si>
    <t>01-0F101-0005160</t>
  </si>
  <si>
    <t>1200000090</t>
  </si>
  <si>
    <t>01-0F101-0005198</t>
  </si>
  <si>
    <t>1200000113</t>
  </si>
  <si>
    <t>01-0F101-0005211</t>
  </si>
  <si>
    <t>1200000132</t>
  </si>
  <si>
    <t>01-0F101-0005224</t>
  </si>
  <si>
    <t>1200000133</t>
  </si>
  <si>
    <t>01-0F101-0005225</t>
  </si>
  <si>
    <t>1200000141</t>
  </si>
  <si>
    <t>01-0F101-0005231</t>
  </si>
  <si>
    <t>2000001028</t>
  </si>
  <si>
    <t>AVANCE GROUP LTD</t>
  </si>
  <si>
    <t>1200000359</t>
  </si>
  <si>
    <t>01-0F002-0000246</t>
  </si>
  <si>
    <t>DE</t>
  </si>
  <si>
    <t>USD</t>
  </si>
  <si>
    <t>1200000360</t>
  </si>
  <si>
    <t>01-0F002-0000247</t>
  </si>
  <si>
    <t>1200000361</t>
  </si>
  <si>
    <t>01-0F002-0000248</t>
  </si>
  <si>
    <t>1200000374</t>
  </si>
  <si>
    <t>01-0F002-0000249</t>
  </si>
  <si>
    <t>1200000375</t>
  </si>
  <si>
    <t>01-0F002-0000250</t>
  </si>
  <si>
    <t>1200000376</t>
  </si>
  <si>
    <t>01-0F002-0000251</t>
  </si>
  <si>
    <t>1000013678</t>
  </si>
  <si>
    <t>CORPORACION NACIONAL PERU EXPORTACI</t>
  </si>
  <si>
    <t>1200000439</t>
  </si>
  <si>
    <t>01-0F101-0005458</t>
  </si>
  <si>
    <t>1200000453</t>
  </si>
  <si>
    <t>01-0F101-0005470</t>
  </si>
  <si>
    <t>1200000468</t>
  </si>
  <si>
    <t>01-0F101-0005482</t>
  </si>
  <si>
    <t>2000001381</t>
  </si>
  <si>
    <t>DAIRECK SA</t>
  </si>
  <si>
    <t>1300000829</t>
  </si>
  <si>
    <t>ANTICIPO DAIRECK</t>
  </si>
  <si>
    <t>DZ</t>
  </si>
  <si>
    <t>1300001251</t>
  </si>
  <si>
    <t>SALDO A FAVOR</t>
  </si>
  <si>
    <t>ZV</t>
  </si>
  <si>
    <t>1300001579</t>
  </si>
  <si>
    <t>AB</t>
  </si>
  <si>
    <t>2000001361</t>
  </si>
  <si>
    <t>GLOBAL OCEAN FLEXTRADING, S. L</t>
  </si>
  <si>
    <t>1100015436</t>
  </si>
  <si>
    <t>COMPEN GLOBAL</t>
  </si>
  <si>
    <t>1200000199</t>
  </si>
  <si>
    <t>01-0F002-0000235</t>
  </si>
  <si>
    <t>2000001398</t>
  </si>
  <si>
    <t>Hunan Jinyueyang Import and Export</t>
  </si>
  <si>
    <t>1300000819</t>
  </si>
  <si>
    <t>FT-0F002-0000252</t>
  </si>
  <si>
    <t>1000006830</t>
  </si>
  <si>
    <t>JAHFISH E.I.R.L.</t>
  </si>
  <si>
    <t>1200000128</t>
  </si>
  <si>
    <t>01-0F101-0005222</t>
  </si>
  <si>
    <t>1200000129</t>
  </si>
  <si>
    <t>01-0F101-0005223</t>
  </si>
  <si>
    <t>1200000167</t>
  </si>
  <si>
    <t>01-0F101-0005247</t>
  </si>
  <si>
    <t>1200000168</t>
  </si>
  <si>
    <t>01-0F101-0005248</t>
  </si>
  <si>
    <t>1200000207</t>
  </si>
  <si>
    <t>01-0F101-0005276</t>
  </si>
  <si>
    <t>1200000208</t>
  </si>
  <si>
    <t>01-0F101-0005277</t>
  </si>
  <si>
    <t>1200000466</t>
  </si>
  <si>
    <t>01-0F101-0005480</t>
  </si>
  <si>
    <t>1200000467</t>
  </si>
  <si>
    <t>01-0F101-0005481</t>
  </si>
  <si>
    <t>2000001172</t>
  </si>
  <si>
    <t>KULALIA SL</t>
  </si>
  <si>
    <t>1200000443</t>
  </si>
  <si>
    <t>2000001409</t>
  </si>
  <si>
    <t>Longkou Yunfeng Aquatic Food Co.,Lt</t>
  </si>
  <si>
    <t>1300001581</t>
  </si>
  <si>
    <t>6002007</t>
  </si>
  <si>
    <t>NAVAPEZ E.I.R.L.</t>
  </si>
  <si>
    <t>1200005141</t>
  </si>
  <si>
    <t>01-0F101-0004638</t>
  </si>
  <si>
    <t>1200005142</t>
  </si>
  <si>
    <t>01-0F101-0004639</t>
  </si>
  <si>
    <t>1200005158</t>
  </si>
  <si>
    <t>01-0F101-0004653</t>
  </si>
  <si>
    <t>1200005159</t>
  </si>
  <si>
    <t>01-0F101-0004654</t>
  </si>
  <si>
    <t>2000001369</t>
  </si>
  <si>
    <t>OVERSEA ATLANTIC FISH S.L.</t>
  </si>
  <si>
    <t>1300001253</t>
  </si>
  <si>
    <t>FT-0F002-0000238</t>
  </si>
  <si>
    <t>1300000817</t>
  </si>
  <si>
    <t>FT-0F002-0000239</t>
  </si>
  <si>
    <t>1200000407</t>
  </si>
  <si>
    <t>1200000408</t>
  </si>
  <si>
    <t>1000013925</t>
  </si>
  <si>
    <t>PEGASUS ENTERPRISE S.A.C.</t>
  </si>
  <si>
    <t>1300006898</t>
  </si>
  <si>
    <t>FT-0F003-0000101</t>
  </si>
  <si>
    <t>1200005124</t>
  </si>
  <si>
    <t>01-0F003-0000129</t>
  </si>
  <si>
    <t>1200000182</t>
  </si>
  <si>
    <t>01-0F003-0000168</t>
  </si>
  <si>
    <t>1200000382</t>
  </si>
  <si>
    <t>01-0F003-0000174</t>
  </si>
  <si>
    <t>1200000383</t>
  </si>
  <si>
    <t>01-0F003-0000175</t>
  </si>
  <si>
    <t>2000001411</t>
  </si>
  <si>
    <t>Pesciro Asia International LTD.</t>
  </si>
  <si>
    <t>1200000411</t>
  </si>
  <si>
    <t>1200000456</t>
  </si>
  <si>
    <t>2000000267</t>
  </si>
  <si>
    <t>PESCIRO SLU</t>
  </si>
  <si>
    <t>1200000454</t>
  </si>
  <si>
    <t>6000434</t>
  </si>
  <si>
    <t>PESQUERA HAYDUK S.A.</t>
  </si>
  <si>
    <t>1200004540</t>
  </si>
  <si>
    <t>01-0F003-0000083</t>
  </si>
  <si>
    <t>2000001410</t>
  </si>
  <si>
    <t>SACRAMENTO CO., LTD</t>
  </si>
  <si>
    <t>1300000822</t>
  </si>
  <si>
    <t>FT-0F002-0000254</t>
  </si>
  <si>
    <t>1000001965</t>
  </si>
  <si>
    <t>SERVICIOS DIESEL EXPRESS E.I.R.L.</t>
  </si>
  <si>
    <t>1200000463</t>
  </si>
  <si>
    <t>01-0F101-0005477</t>
  </si>
  <si>
    <t>1000013801</t>
  </si>
  <si>
    <t>STL 5.0 S.A.C.</t>
  </si>
  <si>
    <t>1200000370</t>
  </si>
  <si>
    <t>01-0F101-0005409</t>
  </si>
  <si>
    <t>1200000371</t>
  </si>
  <si>
    <t>01-0F101-0005410</t>
  </si>
  <si>
    <t>1000013794</t>
  </si>
  <si>
    <t>TECAMPA EIRL</t>
  </si>
  <si>
    <t>1300005699</t>
  </si>
  <si>
    <t>FT-0F101-0004285</t>
  </si>
  <si>
    <t>2000000786</t>
  </si>
  <si>
    <t>TSUJINO &amp; CO., LTD</t>
  </si>
  <si>
    <t>1200000409</t>
  </si>
  <si>
    <t>01-0F002-0000258</t>
  </si>
  <si>
    <t>1200000410</t>
  </si>
  <si>
    <t>01-0F002-0000259</t>
  </si>
  <si>
    <t>1200000422</t>
  </si>
  <si>
    <t>01-0F002-0000261</t>
  </si>
  <si>
    <t>1200000423</t>
  </si>
  <si>
    <t>01-0F002-0000262</t>
  </si>
  <si>
    <t>1200000455</t>
  </si>
  <si>
    <t>01-0F002-0000266</t>
  </si>
  <si>
    <t>Deudor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</si>
  <si>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</si>
  <si>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</si>
  <si>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</si>
  <si>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</si>
  <si>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</si>
  <si>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</si>
  <si>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</si>
  <si>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</si>
  <si>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</si>
  <si>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UNIDAD DE NEGOCIO</t>
  </si>
  <si>
    <t>NACIONAL</t>
  </si>
  <si>
    <t>EXPORTACIÓN</t>
  </si>
  <si>
    <t>CISTERNA COMBUSTIBLE MUELLE</t>
  </si>
  <si>
    <t>OTROS</t>
  </si>
  <si>
    <t>Etiquetas de fila</t>
  </si>
  <si>
    <t>Suma de Importe en moneda doc.</t>
  </si>
  <si>
    <t>Total general</t>
  </si>
  <si>
    <t>Etiquetas de columna</t>
  </si>
  <si>
    <t>Mar</t>
  </si>
  <si>
    <t>Vcto finanzas SEMANA PASADA</t>
  </si>
  <si>
    <t>Vcto finanzas</t>
  </si>
  <si>
    <t>USD HOMOL</t>
  </si>
  <si>
    <t>(Todas)</t>
  </si>
  <si>
    <t>Suma de USD HOMOL</t>
  </si>
  <si>
    <t>(Varios elementos)</t>
  </si>
  <si>
    <t>FT-0F002-0000264</t>
  </si>
  <si>
    <t>FT-0F002-0000260</t>
  </si>
  <si>
    <t>FT-0F002-0000267</t>
  </si>
  <si>
    <t>FT-0F002-0000265</t>
  </si>
  <si>
    <t>DÍAS ATRASADOS</t>
  </si>
  <si>
    <t>ANTIGÜEDAD</t>
  </si>
  <si>
    <t>0-45</t>
  </si>
  <si>
    <t>Suma de DÍAS ATRASADOS</t>
  </si>
  <si>
    <t>DÍAS VENCIDOS</t>
  </si>
  <si>
    <t>FECHA IDEAL DE PAGO</t>
  </si>
  <si>
    <t>46-60</t>
  </si>
  <si>
    <t>Suma de DÍAS VENCIDOS</t>
  </si>
  <si>
    <t>&lt;12/10/2025</t>
  </si>
  <si>
    <t>Abr</t>
  </si>
  <si>
    <t>May</t>
  </si>
  <si>
    <t>FT-0F002-0000256</t>
  </si>
  <si>
    <t>FT-0F002-0000257</t>
  </si>
  <si>
    <t>ANTICIPO LONGKOU Y</t>
  </si>
  <si>
    <t>Total Mar</t>
  </si>
  <si>
    <t>Total Abr</t>
  </si>
  <si>
    <t>Total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</si>
</sst>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2" fillId="3" borderId="0" xfId="2" applyFont="1" applyFill="1" applyAlignment="1">
      <alignment vertical="top" wrapText="1"/>
    </xf>
    <xf numFmtId="0" fontId="2" fillId="4" borderId="0" xfId="2" applyFont="1" applyFill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2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5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/>
    </xf>
    <xf numFmtId="1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0" xfId="0" applyNumberFormat="1" applyFill="1" applyAlignment="1">
      <alignment horizontal="right" vertical="top"/>
    </xf>
  </cellXfs>
  <cellStyles count="3">
    <cellStyle name="Millares" xfId="1" builtinId="3"/>
    <cellStyle name="Normal" xfId="0" builtinId="0"/>
    <cellStyle name="Normal 2" xfId="2" xr:uid="{BC3708A8-E7CE-447F-8E56-3199CF596C7D}"/>
  </cellStyles>
  <dxfs count="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11.484499652775" createdVersion="8" refreshedVersion="8" minRefreshableVersion="3" recordCount="77" xr:uid="{81AA03AF-1E53-4D9B-905C-38B9AAD96352}">
  <cacheSource type="worksheet">
    <worksheetSource ref="A1:P1048576" sheet="Data"/>
  </cacheSource>
  <cacheFields count="16">
    <cacheField name="Deudor" numFmtId="0">
      <sharedItems containsBlank="1"/>
    </cacheField>
    <cacheField name="Nombre de cliente" numFmtId="0">
      <sharedItems containsBlank="1" count="21">
        <s v="ARKANO TRADING SOCIEDAD ANONIMA CER"/>
        <s v="AVANCE GROUP LTD"/>
        <s v="CORPORACION NACIONAL PERU EXPORTACI"/>
        <s v="DAIRECK SA"/>
        <s v="GLOBAL OCEAN FLEXTRADING, S. L"/>
        <s v="Hunan Jinyueyang Import and Export"/>
        <s v="JAHFISH E.I.R.L."/>
        <s v="KULALIA SL"/>
        <s v="Longkou Yunfeng Aquatic Food Co.,Lt"/>
        <s v="NAVAPEZ E.I.R.L."/>
        <s v="OVERSEA ATLANTIC FISH S.L."/>
        <s v="PEGASUS ENTERPRISE S.A.C."/>
        <s v="Pesciro Asia International LTD."/>
        <s v="PESCIRO SLU"/>
        <s v="PESQUERA HAYDUK S.A."/>
        <s v="SACRAMENTO CO., LTD"/>
        <s v="SERVICIOS DIESEL EXPRESS E.I.R.L."/>
        <s v="STL 5.0 S.A.C."/>
        <s v="TECAMPA EIRL"/>
        <s v="TSUJINO &amp; CO., LTD"/>
        <m/>
      </sharedItems>
    </cacheField>
    <cacheField name="Nº documento" numFmtId="0">
      <sharedItems containsBlank="1"/>
    </cacheField>
    <cacheField name="Referencia" numFmtId="0">
      <sharedItems containsBlank="1" count="85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47"/>
        <s v="01-0F002-0000248"/>
        <s v="01-0F002-0000249"/>
        <s v="01-0F002-0000250"/>
        <s v="01-0F002-0000251"/>
        <s v="01-0F101-0005458"/>
        <s v="01-0F101-0005470"/>
        <s v="01-0F101-0005482"/>
        <s v="ANTICIPO DAIRECK"/>
        <s v="SALDO A FAVOR"/>
        <s v="COMPEN GLOBAL"/>
        <s v="01-0F002-0000235"/>
        <s v="FT-0F002-0000252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FT-0F002-0000264"/>
        <s v="ANTICIPO LONGKOU Y"/>
        <s v="01-0F101-0004638"/>
        <s v="01-0F101-0004639"/>
        <s v="01-0F101-0004653"/>
        <s v="01-0F101-0004654"/>
        <s v="FT-0F002-0000238"/>
        <s v="FT-0F002-0000239"/>
        <s v="FT-0F002-0000256"/>
        <s v="FT-0F002-0000257"/>
        <s v="FT-0F003-0000101"/>
        <s v="01-0F003-0000129"/>
        <s v="01-0F003-0000168"/>
        <s v="01-0F003-0000174"/>
        <s v="01-0F003-0000175"/>
        <s v="FT-0F002-0000260"/>
        <s v="FT-0F002-0000267"/>
        <s v="FT-0F002-0000265"/>
        <s v="01-0F003-0000083"/>
        <s v="FT-0F002-0000254"/>
        <s v="01-0F101-0005477"/>
        <s v="01-0F101-0005409"/>
        <s v="01-0F101-0005410"/>
        <s v="FT-0F101-0004285"/>
        <s v="01-0F002-0000258"/>
        <s v="01-0F002-0000259"/>
        <s v="01-0F002-0000261"/>
        <s v="01-0F002-0000262"/>
        <s v="01-0F002-0000266"/>
        <m/>
        <s v="01-0F002-0000230" u="1"/>
        <s v="01-0F002-0000256" u="1"/>
        <s v="01-0F002-0000257" u="1"/>
        <s v="01-0F002-0000236" u="1"/>
        <s v="01-0F002-0000245" u="1"/>
        <s v="FT-0F002-0000213" u="1"/>
        <s v="01-0F002-0000243" u="1"/>
        <s v="01-0F002-0000244" u="1"/>
        <s v="ANTICIPO KULALIA" u="1"/>
        <s v="07-0F002-0000041" u="1"/>
        <s v="01-0F002-0000263" u="1"/>
        <s v="01-0F002-0000264" u="1"/>
        <s v="ANTICIPO PESCIRO" u="1"/>
        <s v="01-0F002-0000260" u="1"/>
        <s v="01-0F002-0000267" u="1"/>
        <s v="01-0F002-0000265" u="1"/>
      </sharedItems>
    </cacheField>
    <cacheField name="Clase de documento" numFmtId="0">
      <sharedItems containsBlank="1" count="7">
        <s v="DF"/>
        <s v="DE"/>
        <s v="DZ"/>
        <s v="ZV"/>
        <s v="AB"/>
        <m/>
        <s v="DC" u="1"/>
      </sharedItems>
    </cacheField>
    <cacheField name="Fecha de documento" numFmtId="0">
      <sharedItems containsNonDate="0" containsDate="1" containsString="0" containsBlank="1" minDate="2025-09-05T00:00:00" maxDate="2026-03-28T00:00:00" count="52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2-23T00:00:00"/>
        <d v="2026-02-28T00:00:00"/>
        <d v="2026-03-17T00:00:00"/>
        <d v="2026-03-19T00:00:00"/>
        <d v="2026-03-21T00:00:00"/>
        <d v="2026-03-09T00:00:00"/>
        <d v="2026-03-13T00:00:00"/>
        <d v="2025-09-05T00:00:00"/>
        <d v="2026-02-01T00:00:00"/>
        <d v="2026-01-14T00:00:00"/>
        <d v="2026-01-29T00:00:00"/>
        <d v="2026-02-05T00:00:00"/>
        <d v="2026-03-15T00:00:00"/>
        <d v="2026-03-27T00:00:00"/>
        <d v="2025-11-03T00:00:00"/>
        <d v="2025-11-06T00:00:00"/>
        <d v="2026-02-15T00:00:00"/>
        <d v="2026-02-16T00:00:00"/>
        <d v="2026-03-07T00:00:00"/>
        <d v="2025-10-21T00:00:00"/>
        <d v="2025-11-04T00:00:00"/>
        <d v="2026-01-31T00:00:00"/>
        <d v="2026-03-03T00:00:00"/>
        <d v="2026-03-18T00:00:00"/>
        <d v="2025-10-07T00:00:00"/>
        <d v="2026-03-20T00:00:00"/>
        <d v="2026-02-27T00:00:00"/>
        <d v="2025-10-12T00:00:00"/>
        <d v="2026-03-10T00:00:00"/>
        <m/>
        <d v="2026-02-02T00:00:00" u="1"/>
        <d v="2026-01-20T00:00:00" u="1"/>
        <d v="2026-02-13T00:00:00" u="1"/>
        <d v="2026-02-22T00:00:00" u="1"/>
        <d v="2025-12-22T00:00:00" u="1"/>
        <d v="2026-01-15T00:00:00" u="1"/>
        <d v="2026-02-17T00:00:00" u="1"/>
        <d v="2026-02-18T00:00:00" u="1"/>
        <d v="2026-02-19T00:00:00" u="1"/>
        <d v="2026-03-14T00:00:00" u="1"/>
        <d v="2026-02-20T00:00:00" u="1"/>
        <d v="2026-02-24T00:00:00" u="1"/>
      </sharedItems>
    </cacheField>
    <cacheField name="Demora tras vencimiento neto" numFmtId="0">
      <sharedItems containsString="0" containsBlank="1" containsNumber="1" containsInteger="1" minValue="-40" maxValue="199"/>
    </cacheField>
    <cacheField name="Fecha de pago" numFmtId="0">
      <sharedItems containsNonDate="0" containsDate="1" containsString="0" containsBlank="1" minDate="2025-09-05T00:00:00" maxDate="2026-05-03T00:00:00"/>
    </cacheField>
    <cacheField name="Importe en moneda doc." numFmtId="0">
      <sharedItems containsString="0" containsBlank="1" containsNumber="1" minValue="-48045" maxValue="456300"/>
    </cacheField>
    <cacheField name="Moneda del documento" numFmtId="0">
      <sharedItems containsBlank="1"/>
    </cacheField>
    <cacheField name="UNIDAD DE NEGOCIO" numFmtId="0">
      <sharedItems containsBlank="1" count="5">
        <s v="NACIONAL"/>
        <s v="EXPORTACIÓN"/>
        <s v="CISTERNA COMBUSTIBLE MUELLE"/>
        <s v="OTROS"/>
        <m/>
      </sharedItems>
    </cacheField>
    <cacheField name="FECHA IDEAL DE PAGO" numFmtId="0">
      <sharedItems containsNonDate="0" containsDate="1" containsString="0" containsBlank="1" minDate="2026-03-18T00:00:00" maxDate="2026-05-03T00:00:00"/>
    </cacheField>
    <cacheField name="DÍAS VENCIDOS" numFmtId="0">
      <sharedItems containsString="0" containsBlank="1" containsNumber="1" containsInteger="1" minValue="-10" maxValue="30"/>
    </cacheField>
    <cacheField name="Vcto finanzas SEMANA PASADA" numFmtId="0">
      <sharedItems containsNonDate="0" containsDate="1" containsString="0" containsBlank="1" minDate="2026-03-20T00:00:00" maxDate="2026-04-30T00:00:00"/>
    </cacheField>
    <cacheField name="Vcto finanzas" numFmtId="0">
      <sharedItems containsNonDate="0" containsDate="1" containsString="0" containsBlank="1" minDate="2025-10-12T00:00:00" maxDate="2026-05-03T00:00:00"/>
    </cacheField>
    <cacheField name="USD HOMOL" numFmtId="0">
      <sharedItems containsString="0" containsBlank="1" containsNumber="1" minValue="-48045" maxValue="456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11.485050578704" createdVersion="8" refreshedVersion="8" minRefreshableVersion="3" recordCount="70" xr:uid="{40901B69-5C2D-4BA0-8BA0-2F5C6823EA13}">
  <cacheSource type="worksheet">
    <worksheetSource ref="A1:R71" sheet="Data"/>
  </cacheSource>
  <cacheFields count="21">
    <cacheField name="Deudor" numFmtId="0">
      <sharedItems/>
    </cacheField>
    <cacheField name="Nombre de cliente" numFmtId="0">
      <sharedItems count="20">
        <s v="ARKANO TRADING SOCIEDAD ANONIMA CER"/>
        <s v="AVANCE GROUP LTD"/>
        <s v="CORPORACION NACIONAL PERU EXPORTACI"/>
        <s v="DAIRECK SA"/>
        <s v="GLOBAL OCEAN FLEXTRADING, S. L"/>
        <s v="Hunan Jinyueyang Import and Export"/>
        <s v="JAHFISH E.I.R.L."/>
        <s v="KULALIA SL"/>
        <s v="Longkou Yunfeng Aquatic Food Co.,Lt"/>
        <s v="NAVAPEZ E.I.R.L."/>
        <s v="OVERSEA ATLANTIC FISH S.L."/>
        <s v="PEGASUS ENTERPRISE S.A.C."/>
        <s v="Pesciro Asia International LTD."/>
        <s v="PESCIRO SLU"/>
        <s v="PESQUERA HAYDUK S.A."/>
        <s v="SACRAMENTO CO., LTD"/>
        <s v="SERVICIOS DIESEL EXPRESS E.I.R.L."/>
        <s v="STL 5.0 S.A.C."/>
        <s v="TECAMPA EIRL"/>
        <s v="TSUJINO &amp; CO., LTD"/>
      </sharedItems>
    </cacheField>
    <cacheField name="Nº documento" numFmtId="0">
      <sharedItems/>
    </cacheField>
    <cacheField name="Referencia" numFmtId="0">
      <sharedItems count="7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002-0000246"/>
        <s v="01-0F002-0000247"/>
        <s v="01-0F002-0000248"/>
        <s v="01-0F002-0000249"/>
        <s v="01-0F002-0000250"/>
        <s v="01-0F002-0000251"/>
        <s v="01-0F101-0005458"/>
        <s v="01-0F101-0005470"/>
        <s v="01-0F101-0005482"/>
        <s v="ANTICIPO DAIRECK"/>
        <s v="SALDO A FAVOR"/>
        <s v="COMPEN GLOBAL"/>
        <s v="01-0F002-0000235"/>
        <s v="FT-0F002-0000252"/>
        <s v="01-0F101-0005222"/>
        <s v="01-0F101-0005223"/>
        <s v="01-0F101-0005247"/>
        <s v="01-0F101-0005248"/>
        <s v="01-0F101-0005276"/>
        <s v="01-0F101-0005277"/>
        <s v="01-0F101-0005480"/>
        <s v="01-0F101-0005481"/>
        <s v="FT-0F002-0000264"/>
        <s v="ANTICIPO LONGKOU Y"/>
        <s v="01-0F101-0004638"/>
        <s v="01-0F101-0004639"/>
        <s v="01-0F101-0004653"/>
        <s v="01-0F101-0004654"/>
        <s v="FT-0F002-0000238"/>
        <s v="FT-0F002-0000239"/>
        <s v="FT-0F002-0000256"/>
        <s v="FT-0F002-0000257"/>
        <s v="FT-0F003-0000101"/>
        <s v="01-0F003-0000129"/>
        <s v="01-0F003-0000168"/>
        <s v="01-0F003-0000174"/>
        <s v="01-0F003-0000175"/>
        <s v="FT-0F002-0000260"/>
        <s v="FT-0F002-0000267"/>
        <s v="FT-0F002-0000265"/>
        <s v="01-0F003-0000083"/>
        <s v="FT-0F002-0000254"/>
        <s v="01-0F101-0005477"/>
        <s v="01-0F101-0005409"/>
        <s v="01-0F101-0005410"/>
        <s v="FT-0F101-0004285"/>
        <s v="01-0F002-0000258"/>
        <s v="01-0F002-0000259"/>
        <s v="01-0F002-0000261"/>
        <s v="01-0F002-0000262"/>
        <s v="01-0F002-0000266"/>
        <s v="01-0F002-0000230" u="1"/>
        <s v="01-0F002-0000256" u="1"/>
        <s v="01-0F002-0000257" u="1"/>
        <s v="01-0F002-0000236" u="1"/>
        <s v="01-0F002-0000245" u="1"/>
        <s v="FT-0F002-0000213" u="1"/>
        <s v="01-0F002-0000243" u="1"/>
        <s v="01-0F002-0000244" u="1"/>
      </sharedItems>
    </cacheField>
    <cacheField name="Clase de documento" numFmtId="0">
      <sharedItems count="5">
        <s v="DF"/>
        <s v="DE"/>
        <s v="DZ"/>
        <s v="ZV"/>
        <s v="AB"/>
      </sharedItems>
    </cacheField>
    <cacheField name="Fecha de documento" numFmtId="14">
      <sharedItems containsSemiMixedTypes="0" containsNonDate="0" containsDate="1" containsString="0" minDate="2025-09-05T00:00:00" maxDate="2026-03-28T00:00:00"/>
    </cacheField>
    <cacheField name="Demora tras vencimiento neto" numFmtId="3">
      <sharedItems containsSemiMixedTypes="0" containsString="0" containsNumber="1" containsInteger="1" minValue="-40" maxValue="199"/>
    </cacheField>
    <cacheField name="Fecha de pago" numFmtId="14">
      <sharedItems containsSemiMixedTypes="0" containsNonDate="0" containsDate="1" containsString="0" minDate="2025-09-05T00:00:00" maxDate="2026-05-03T00:00:00"/>
    </cacheField>
    <cacheField name="Importe en moneda doc." numFmtId="4">
      <sharedItems containsSemiMixedTypes="0" containsString="0" containsNumber="1" minValue="-48045" maxValue="456300"/>
    </cacheField>
    <cacheField name="Moneda del documento" numFmtId="0">
      <sharedItems/>
    </cacheField>
    <cacheField name="UNIDAD DE NEGOCIO" numFmtId="0">
      <sharedItems count="4">
        <s v="NACIONAL"/>
        <s v="EXPORTACIÓN"/>
        <s v="CISTERNA COMBUSTIBLE MUELLE"/>
        <s v="OTROS"/>
      </sharedItems>
    </cacheField>
    <cacheField name="FECHA IDEAL DE PAGO" numFmtId="0">
      <sharedItems containsNonDate="0" containsDate="1" containsString="0" containsBlank="1" minDate="2026-03-18T00:00:00" maxDate="2026-05-03T00:00:00"/>
    </cacheField>
    <cacheField name="DÍAS VENCIDOS" numFmtId="0">
      <sharedItems containsString="0" containsBlank="1" containsNumber="1" containsInteger="1" minValue="-10" maxValue="30"/>
    </cacheField>
    <cacheField name="Vcto finanzas SEMANA PASADA" numFmtId="0">
      <sharedItems containsNonDate="0" containsDate="1" containsString="0" containsBlank="1" minDate="2026-03-20T00:00:00" maxDate="2026-04-30T00:00:00"/>
    </cacheField>
    <cacheField name="Vcto finanzas" numFmtId="14">
      <sharedItems containsNonDate="0" containsDate="1" containsString="0" containsBlank="1" minDate="2025-10-12T00:00:00" maxDate="2026-05-03T00:00:00" count="36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24T00:00:00"/>
        <d v="2026-04-03T00:00:00"/>
        <d v="2026-03-24T00:00:00"/>
        <d v="2026-03-26T00:00:00"/>
        <d v="2026-03-28T00:00:00"/>
        <m/>
        <d v="2026-03-31T00:00:00"/>
        <d v="2026-04-14T00:00:00"/>
        <d v="2026-01-21T00:00:00"/>
        <d v="2026-02-05T00:00:00"/>
        <d v="2026-02-12T00:00:00"/>
        <d v="2026-04-29T00:00:00"/>
        <d v="2025-11-10T00:00:00"/>
        <d v="2025-11-13T00:00:00"/>
        <d v="2026-04-07T00:00:00"/>
        <d v="2026-04-21T00:00:00"/>
        <d v="2025-10-21T00:00:00"/>
        <d v="2025-11-11T00:00:00"/>
        <d v="2026-02-07T00:00:00"/>
        <d v="2026-03-10T00:00:00"/>
        <d v="2026-05-02T00:00:00"/>
        <d v="2025-10-14T00:00:00"/>
        <d v="2026-03-27T00:00:00"/>
        <d v="2026-03-06T00:00:00"/>
        <d v="2025-10-12T00:00:00"/>
        <d v="2026-03-30T00:00:00" u="1"/>
      </sharedItems>
      <fieldGroup par="20"/>
    </cacheField>
    <cacheField name="USD HOMOL" numFmtId="0">
      <sharedItems containsSemiMixedTypes="0" containsString="0" containsNumber="1" minValue="-48045" maxValue="456300"/>
    </cacheField>
    <cacheField name="DÍAS ATRASADOS" numFmtId="0">
      <sharedItems containsString="0" containsBlank="1" containsNumber="1" containsInteger="1" minValue="3" maxValue="57"/>
    </cacheField>
    <cacheField name="ANTIGÜEDAD" numFmtId="0">
      <sharedItems containsBlank="1" count="5">
        <m/>
        <s v="0-45"/>
        <s v="46-60"/>
        <s v="60-100" u="1"/>
        <s v="45-60" u="1"/>
      </sharedItems>
    </cacheField>
    <cacheField name="Meses (Vcto finanzas)" numFmtId="0" databaseField="0">
      <fieldGroup base="14">
        <rangePr groupBy="months" startDate="2025-10-12T00:00:00" endDate="2026-05-03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05/2026"/>
        </groupItems>
      </fieldGroup>
    </cacheField>
    <cacheField name="Trimestres (Vcto finanzas)" numFmtId="0" databaseField="0">
      <fieldGroup base="14">
        <rangePr groupBy="quarters" startDate="2025-10-12T00:00:00" endDate="2026-05-03T00:00:00"/>
        <groupItems count="6">
          <s v="&lt;12/10/2025"/>
          <s v="Trim.1"/>
          <s v="Trim.2"/>
          <s v="Trim.3"/>
          <s v="Trim.4"/>
          <s v="&gt;3/05/2026"/>
        </groupItems>
      </fieldGroup>
    </cacheField>
    <cacheField name="Años (Vcto finanzas)" numFmtId="0" databaseField="0">
      <fieldGroup base="14">
        <rangePr groupBy="years" startDate="2025-10-12T00:00:00" endDate="2026-05-03T00:00:00"/>
        <groupItems count="4">
          <s v="&lt;12/10/2025"/>
          <s v="2025"/>
          <s v="2026"/>
          <s v="&gt;3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1000013966"/>
    <x v="0"/>
    <s v="1200005220"/>
    <x v="0"/>
    <x v="0"/>
    <x v="0"/>
    <n v="117"/>
    <d v="2025-11-26T00:00:00"/>
    <n v="42.48"/>
    <s v="PEN"/>
    <x v="0"/>
    <m/>
    <m/>
    <m/>
    <d v="2025-11-26T00:00:00"/>
    <n v="12.217428817946505"/>
  </r>
  <r>
    <s v="1000013966"/>
    <x v="0"/>
    <s v="1200005228"/>
    <x v="1"/>
    <x v="0"/>
    <x v="0"/>
    <n v="117"/>
    <d v="2025-11-26T00:00:00"/>
    <n v="14.16"/>
    <s v="PEN"/>
    <x v="0"/>
    <m/>
    <m/>
    <m/>
    <d v="2025-11-26T00:00:00"/>
    <n v="4.072476272648835"/>
  </r>
  <r>
    <s v="1000013966"/>
    <x v="0"/>
    <s v="1200005242"/>
    <x v="2"/>
    <x v="0"/>
    <x v="0"/>
    <n v="117"/>
    <d v="2025-11-26T00:00:00"/>
    <n v="14.16"/>
    <s v="PEN"/>
    <x v="0"/>
    <m/>
    <m/>
    <m/>
    <d v="2025-11-26T00:00:00"/>
    <n v="4.072476272648835"/>
  </r>
  <r>
    <s v="1000013966"/>
    <x v="0"/>
    <s v="1200005264"/>
    <x v="3"/>
    <x v="0"/>
    <x v="1"/>
    <n v="116"/>
    <d v="2025-11-27T00:00:00"/>
    <n v="28.32"/>
    <s v="PEN"/>
    <x v="0"/>
    <m/>
    <m/>
    <m/>
    <d v="2025-11-27T00:00:00"/>
    <n v="8.1449525452976701"/>
  </r>
  <r>
    <s v="1000013966"/>
    <x v="0"/>
    <s v="1200005271"/>
    <x v="4"/>
    <x v="0"/>
    <x v="1"/>
    <n v="116"/>
    <d v="2025-11-27T00:00:00"/>
    <n v="14.16"/>
    <s v="PEN"/>
    <x v="0"/>
    <m/>
    <m/>
    <m/>
    <d v="2025-11-27T00:00:00"/>
    <n v="4.072476272648835"/>
  </r>
  <r>
    <s v="1000013966"/>
    <x v="0"/>
    <s v="1200005296"/>
    <x v="5"/>
    <x v="0"/>
    <x v="2"/>
    <n v="115"/>
    <d v="2025-11-28T00:00:00"/>
    <n v="28.32"/>
    <s v="PEN"/>
    <x v="0"/>
    <m/>
    <m/>
    <m/>
    <d v="2025-11-28T00:00:00"/>
    <n v="8.1449525452976701"/>
  </r>
  <r>
    <s v="1000013966"/>
    <x v="0"/>
    <s v="1200005302"/>
    <x v="6"/>
    <x v="0"/>
    <x v="2"/>
    <n v="115"/>
    <d v="2025-11-28T00:00:00"/>
    <n v="42.48"/>
    <s v="PEN"/>
    <x v="0"/>
    <m/>
    <m/>
    <m/>
    <d v="2025-11-28T00:00:00"/>
    <n v="12.217428817946505"/>
  </r>
  <r>
    <s v="1000013966"/>
    <x v="0"/>
    <s v="1200005304"/>
    <x v="7"/>
    <x v="0"/>
    <x v="2"/>
    <n v="115"/>
    <d v="2025-11-28T00:00:00"/>
    <n v="42.48"/>
    <s v="PEN"/>
    <x v="0"/>
    <m/>
    <m/>
    <m/>
    <d v="2025-11-28T00:00:00"/>
    <n v="12.217428817946505"/>
  </r>
  <r>
    <s v="1000013966"/>
    <x v="0"/>
    <s v="1200005313"/>
    <x v="8"/>
    <x v="0"/>
    <x v="2"/>
    <n v="115"/>
    <d v="2025-11-28T00:00:00"/>
    <n v="14.16"/>
    <s v="PEN"/>
    <x v="0"/>
    <m/>
    <m/>
    <m/>
    <d v="2025-11-28T00:00:00"/>
    <n v="4.072476272648835"/>
  </r>
  <r>
    <s v="1000013966"/>
    <x v="0"/>
    <s v="1200005346"/>
    <x v="9"/>
    <x v="0"/>
    <x v="3"/>
    <n v="114"/>
    <d v="2025-11-29T00:00:00"/>
    <n v="28.32"/>
    <s v="PEN"/>
    <x v="0"/>
    <m/>
    <m/>
    <m/>
    <d v="2025-11-29T00:00:00"/>
    <n v="8.1449525452976701"/>
  </r>
  <r>
    <s v="1000013966"/>
    <x v="0"/>
    <s v="1200005422"/>
    <x v="10"/>
    <x v="0"/>
    <x v="4"/>
    <n v="109"/>
    <d v="2025-12-04T00:00:00"/>
    <n v="14.16"/>
    <s v="PEN"/>
    <x v="0"/>
    <m/>
    <m/>
    <m/>
    <d v="2025-12-04T00:00:00"/>
    <n v="4.072476272648835"/>
  </r>
  <r>
    <s v="1000013966"/>
    <x v="0"/>
    <s v="1200000045"/>
    <x v="11"/>
    <x v="0"/>
    <x v="5"/>
    <n v="69"/>
    <d v="2026-01-13T00:00:00"/>
    <n v="14.16"/>
    <s v="PEN"/>
    <x v="0"/>
    <m/>
    <m/>
    <m/>
    <d v="2026-01-13T00:00:00"/>
    <n v="4.072476272648835"/>
  </r>
  <r>
    <s v="1000013966"/>
    <x v="0"/>
    <s v="1200000090"/>
    <x v="12"/>
    <x v="0"/>
    <x v="6"/>
    <n v="67"/>
    <d v="2026-01-15T00:00:00"/>
    <n v="14.16"/>
    <s v="PEN"/>
    <x v="0"/>
    <m/>
    <m/>
    <m/>
    <d v="2026-01-15T00:00:00"/>
    <n v="4.072476272648835"/>
  </r>
  <r>
    <s v="1000013966"/>
    <x v="0"/>
    <s v="1200000113"/>
    <x v="13"/>
    <x v="0"/>
    <x v="7"/>
    <n v="65"/>
    <d v="2026-01-17T00:00:00"/>
    <n v="14.16"/>
    <s v="PEN"/>
    <x v="0"/>
    <m/>
    <m/>
    <m/>
    <d v="2026-01-17T00:00:00"/>
    <n v="4.072476272648835"/>
  </r>
  <r>
    <s v="1000013966"/>
    <x v="0"/>
    <s v="1200000132"/>
    <x v="14"/>
    <x v="0"/>
    <x v="8"/>
    <n v="59"/>
    <d v="2026-01-23T00:00:00"/>
    <n v="14.16"/>
    <s v="PEN"/>
    <x v="0"/>
    <m/>
    <m/>
    <m/>
    <d v="2026-01-23T00:00:00"/>
    <n v="4.072476272648835"/>
  </r>
  <r>
    <s v="1000013966"/>
    <x v="0"/>
    <s v="1200000133"/>
    <x v="15"/>
    <x v="0"/>
    <x v="8"/>
    <n v="59"/>
    <d v="2026-01-23T00:00:00"/>
    <n v="14.16"/>
    <s v="PEN"/>
    <x v="0"/>
    <m/>
    <m/>
    <m/>
    <d v="2026-01-23T00:00:00"/>
    <n v="4.072476272648835"/>
  </r>
  <r>
    <s v="1000013966"/>
    <x v="0"/>
    <s v="1200000141"/>
    <x v="16"/>
    <x v="0"/>
    <x v="9"/>
    <n v="56"/>
    <d v="2026-01-26T00:00:00"/>
    <n v="14.16"/>
    <s v="PEN"/>
    <x v="0"/>
    <m/>
    <m/>
    <m/>
    <d v="2026-01-26T00:00:00"/>
    <n v="4.072476272648835"/>
  </r>
  <r>
    <s v="2000001028"/>
    <x v="1"/>
    <s v="1200000359"/>
    <x v="17"/>
    <x v="1"/>
    <x v="10"/>
    <n v="-17"/>
    <d v="2026-04-09T00:00:00"/>
    <n v="70200"/>
    <s v="USD"/>
    <x v="1"/>
    <d v="2026-04-09T00:00:00"/>
    <n v="25"/>
    <d v="2026-04-24T00:00:00"/>
    <d v="2026-04-24T00:00:00"/>
    <n v="70200"/>
  </r>
  <r>
    <s v="2000001028"/>
    <x v="1"/>
    <s v="1200000360"/>
    <x v="18"/>
    <x v="1"/>
    <x v="10"/>
    <n v="-17"/>
    <d v="2026-04-09T00:00:00"/>
    <n v="121500"/>
    <s v="USD"/>
    <x v="1"/>
    <d v="2026-04-09T00:00:00"/>
    <n v="25"/>
    <d v="2026-04-24T00:00:00"/>
    <d v="2026-04-03T00:00:00"/>
    <n v="121500"/>
  </r>
  <r>
    <s v="2000001028"/>
    <x v="1"/>
    <s v="1200000361"/>
    <x v="19"/>
    <x v="1"/>
    <x v="10"/>
    <n v="-17"/>
    <d v="2026-04-09T00:00:00"/>
    <n v="173250"/>
    <s v="USD"/>
    <x v="1"/>
    <d v="2026-04-09T00:00:00"/>
    <n v="25"/>
    <d v="2026-04-24T00:00:00"/>
    <d v="2026-04-03T00:00:00"/>
    <n v="173250"/>
  </r>
  <r>
    <s v="2000001028"/>
    <x v="1"/>
    <s v="1200000374"/>
    <x v="20"/>
    <x v="1"/>
    <x v="11"/>
    <n v="-22"/>
    <d v="2026-04-14T00:00:00"/>
    <n v="175500"/>
    <s v="USD"/>
    <x v="1"/>
    <d v="2026-04-14T00:00:00"/>
    <n v="30"/>
    <d v="2026-04-29T00:00:00"/>
    <d v="2026-04-03T00:00:00"/>
    <n v="175500"/>
  </r>
  <r>
    <s v="2000001028"/>
    <x v="1"/>
    <s v="1200000375"/>
    <x v="21"/>
    <x v="1"/>
    <x v="11"/>
    <n v="-22"/>
    <d v="2026-04-14T00:00:00"/>
    <n v="70200"/>
    <s v="USD"/>
    <x v="1"/>
    <d v="2026-04-14T00:00:00"/>
    <n v="30"/>
    <d v="2026-04-29T00:00:00"/>
    <d v="2026-04-03T00:00:00"/>
    <n v="70200"/>
  </r>
  <r>
    <s v="2000001028"/>
    <x v="1"/>
    <s v="1200000376"/>
    <x v="22"/>
    <x v="1"/>
    <x v="11"/>
    <n v="-22"/>
    <d v="2026-04-14T00:00:00"/>
    <n v="456300"/>
    <s v="USD"/>
    <x v="1"/>
    <d v="2026-04-14T00:00:00"/>
    <n v="30"/>
    <d v="2026-04-29T00:00:00"/>
    <d v="2026-04-03T00:00:00"/>
    <n v="456300"/>
  </r>
  <r>
    <s v="1000013678"/>
    <x v="2"/>
    <s v="1200000439"/>
    <x v="23"/>
    <x v="0"/>
    <x v="12"/>
    <n v="-1"/>
    <d v="2026-03-24T00:00:00"/>
    <n v="424.8"/>
    <s v="PEN"/>
    <x v="0"/>
    <m/>
    <m/>
    <m/>
    <d v="2026-03-24T00:00:00"/>
    <n v="122.17428817946507"/>
  </r>
  <r>
    <s v="1000013678"/>
    <x v="2"/>
    <s v="1200000453"/>
    <x v="24"/>
    <x v="0"/>
    <x v="13"/>
    <n v="-3"/>
    <d v="2026-03-26T00:00:00"/>
    <n v="283.2"/>
    <s v="PEN"/>
    <x v="0"/>
    <m/>
    <m/>
    <m/>
    <d v="2026-03-26T00:00:00"/>
    <n v="81.449525452976701"/>
  </r>
  <r>
    <s v="1000013678"/>
    <x v="2"/>
    <s v="1200000468"/>
    <x v="25"/>
    <x v="0"/>
    <x v="14"/>
    <n v="-5"/>
    <d v="2026-03-28T00:00:00"/>
    <n v="354"/>
    <s v="PEN"/>
    <x v="0"/>
    <m/>
    <m/>
    <m/>
    <d v="2026-03-28T00:00:00"/>
    <n v="101.81190681622088"/>
  </r>
  <r>
    <s v="2000001381"/>
    <x v="3"/>
    <s v="1300000829"/>
    <x v="26"/>
    <x v="2"/>
    <x v="15"/>
    <n v="0"/>
    <d v="2026-03-31T00:00:00"/>
    <n v="-48045"/>
    <s v="USD"/>
    <x v="1"/>
    <m/>
    <m/>
    <m/>
    <m/>
    <n v="-48045"/>
  </r>
  <r>
    <s v="2000001381"/>
    <x v="3"/>
    <s v="1300001251"/>
    <x v="27"/>
    <x v="3"/>
    <x v="16"/>
    <n v="0"/>
    <d v="2026-03-13T00:00:00"/>
    <n v="-15658"/>
    <s v="USD"/>
    <x v="1"/>
    <m/>
    <m/>
    <m/>
    <m/>
    <n v="-15658"/>
  </r>
  <r>
    <s v="2000001381"/>
    <x v="3"/>
    <s v="1300001579"/>
    <x v="26"/>
    <x v="2"/>
    <x v="12"/>
    <n v="0"/>
    <d v="2026-03-31T00:00:00"/>
    <n v="-8700"/>
    <s v="USD"/>
    <x v="1"/>
    <m/>
    <m/>
    <m/>
    <m/>
    <n v="-8700"/>
  </r>
  <r>
    <s v="2000001361"/>
    <x v="4"/>
    <s v="1100015436"/>
    <x v="28"/>
    <x v="4"/>
    <x v="17"/>
    <n v="199"/>
    <d v="2025-09-05T00:00:00"/>
    <n v="20964"/>
    <s v="USD"/>
    <x v="1"/>
    <m/>
    <m/>
    <m/>
    <m/>
    <n v="20964"/>
  </r>
  <r>
    <s v="2000001361"/>
    <x v="4"/>
    <s v="1200000199"/>
    <x v="29"/>
    <x v="1"/>
    <x v="18"/>
    <n v="-10"/>
    <d v="2026-04-02T00:00:00"/>
    <n v="77585"/>
    <s v="USD"/>
    <x v="1"/>
    <d v="2026-03-18T00:00:00"/>
    <n v="-10"/>
    <d v="2026-03-20T00:00:00"/>
    <d v="2026-03-31T00:00:00"/>
    <n v="77585"/>
  </r>
  <r>
    <s v="2000001398"/>
    <x v="5"/>
    <s v="1300000819"/>
    <x v="30"/>
    <x v="3"/>
    <x v="11"/>
    <n v="23"/>
    <d v="2026-02-28T00:00:00"/>
    <n v="53862.5"/>
    <s v="USD"/>
    <x v="1"/>
    <d v="2026-04-14T00:00:00"/>
    <n v="15"/>
    <d v="2026-04-14T00:00:00"/>
    <d v="2026-04-14T00:00:00"/>
    <n v="53862.5"/>
  </r>
  <r>
    <s v="1000006830"/>
    <x v="6"/>
    <s v="1200000128"/>
    <x v="31"/>
    <x v="0"/>
    <x v="19"/>
    <n v="61"/>
    <d v="2026-01-21T00:00:00"/>
    <n v="231.52"/>
    <s v="PEN"/>
    <x v="0"/>
    <m/>
    <m/>
    <m/>
    <d v="2026-01-21T00:00:00"/>
    <n v="66.586137474834629"/>
  </r>
  <r>
    <s v="1000006830"/>
    <x v="6"/>
    <s v="1200000129"/>
    <x v="32"/>
    <x v="0"/>
    <x v="19"/>
    <n v="61"/>
    <d v="2026-01-21T00:00:00"/>
    <n v="23.6"/>
    <s v="PEN"/>
    <x v="0"/>
    <m/>
    <m/>
    <m/>
    <d v="2026-01-21T00:00:00"/>
    <n v="6.7874604544147257"/>
  </r>
  <r>
    <s v="1000006830"/>
    <x v="6"/>
    <s v="1200000167"/>
    <x v="33"/>
    <x v="0"/>
    <x v="20"/>
    <n v="46"/>
    <d v="2026-02-05T00:00:00"/>
    <n v="251.1"/>
    <s v="PEN"/>
    <x v="0"/>
    <m/>
    <m/>
    <m/>
    <d v="2026-02-05T00:00:00"/>
    <n v="72.217428817946512"/>
  </r>
  <r>
    <s v="1000006830"/>
    <x v="6"/>
    <s v="1200000168"/>
    <x v="34"/>
    <x v="0"/>
    <x v="20"/>
    <n v="46"/>
    <d v="2026-02-05T00:00:00"/>
    <n v="47.2"/>
    <s v="PEN"/>
    <x v="0"/>
    <m/>
    <m/>
    <m/>
    <d v="2026-02-05T00:00:00"/>
    <n v="13.574920908829451"/>
  </r>
  <r>
    <s v="1000006830"/>
    <x v="6"/>
    <s v="1200000207"/>
    <x v="35"/>
    <x v="0"/>
    <x v="21"/>
    <n v="39"/>
    <d v="2026-02-12T00:00:00"/>
    <n v="333.94"/>
    <s v="PEN"/>
    <x v="0"/>
    <m/>
    <m/>
    <m/>
    <d v="2026-02-12T00:00:00"/>
    <n v="96.042565429968363"/>
  </r>
  <r>
    <s v="1000006830"/>
    <x v="6"/>
    <s v="1200000208"/>
    <x v="36"/>
    <x v="0"/>
    <x v="21"/>
    <n v="39"/>
    <d v="2026-02-12T00:00:00"/>
    <n v="47.2"/>
    <s v="PEN"/>
    <x v="0"/>
    <m/>
    <m/>
    <m/>
    <d v="2026-02-12T00:00:00"/>
    <n v="13.574920908829451"/>
  </r>
  <r>
    <s v="1000006830"/>
    <x v="6"/>
    <s v="1200000466"/>
    <x v="37"/>
    <x v="0"/>
    <x v="14"/>
    <n v="-5"/>
    <d v="2026-03-28T00:00:00"/>
    <n v="367.07"/>
    <s v="PEN"/>
    <x v="0"/>
    <m/>
    <m/>
    <m/>
    <d v="2026-03-28T00:00:00"/>
    <n v="105.57089444923785"/>
  </r>
  <r>
    <s v="1000006830"/>
    <x v="6"/>
    <s v="1200000467"/>
    <x v="38"/>
    <x v="0"/>
    <x v="14"/>
    <n v="-5"/>
    <d v="2026-03-28T00:00:00"/>
    <n v="135.69999999999999"/>
    <s v="PEN"/>
    <x v="0"/>
    <m/>
    <m/>
    <m/>
    <d v="2026-03-28T00:00:00"/>
    <n v="39.027897612884672"/>
  </r>
  <r>
    <s v="2000001172"/>
    <x v="7"/>
    <s v="1200000443"/>
    <x v="39"/>
    <x v="1"/>
    <x v="22"/>
    <n v="-37"/>
    <d v="2026-04-29T00:00:00"/>
    <n v="147743.07"/>
    <s v="USD"/>
    <x v="1"/>
    <d v="2026-04-29T00:00:00"/>
    <m/>
    <m/>
    <d v="2026-04-29T00:00:00"/>
    <n v="147743.07"/>
  </r>
  <r>
    <s v="2000001409"/>
    <x v="8"/>
    <s v="1300001581"/>
    <x v="27"/>
    <x v="3"/>
    <x v="12"/>
    <n v="0"/>
    <d v="2026-03-17T00:00:00"/>
    <n v="-7410"/>
    <s v="USD"/>
    <x v="1"/>
    <m/>
    <m/>
    <m/>
    <m/>
    <n v="-7410"/>
  </r>
  <r>
    <s v="2000001409"/>
    <x v="8"/>
    <s v="1300001581"/>
    <x v="40"/>
    <x v="3"/>
    <x v="23"/>
    <n v="0"/>
    <d v="2026-03-17T00:00:00"/>
    <n v="-35590"/>
    <s v="USD"/>
    <x v="1"/>
    <m/>
    <m/>
    <m/>
    <m/>
    <n v="-35590"/>
  </r>
  <r>
    <s v="6002007"/>
    <x v="9"/>
    <s v="1200005141"/>
    <x v="41"/>
    <x v="0"/>
    <x v="24"/>
    <n v="133"/>
    <d v="2025-11-10T00:00:00"/>
    <n v="1403.26"/>
    <s v="PEN"/>
    <x v="0"/>
    <m/>
    <m/>
    <m/>
    <d v="2025-11-10T00:00:00"/>
    <n v="403.58354903652577"/>
  </r>
  <r>
    <s v="6002007"/>
    <x v="9"/>
    <s v="1200005142"/>
    <x v="42"/>
    <x v="0"/>
    <x v="24"/>
    <n v="133"/>
    <d v="2025-11-10T00:00:00"/>
    <n v="141.6"/>
    <s v="PEN"/>
    <x v="0"/>
    <m/>
    <m/>
    <m/>
    <d v="2025-11-10T00:00:00"/>
    <n v="40.72476272648835"/>
  </r>
  <r>
    <s v="6002007"/>
    <x v="9"/>
    <s v="1200005158"/>
    <x v="43"/>
    <x v="0"/>
    <x v="25"/>
    <n v="130"/>
    <d v="2025-11-13T00:00:00"/>
    <n v="1193.22"/>
    <s v="PEN"/>
    <x v="0"/>
    <m/>
    <m/>
    <m/>
    <d v="2025-11-13T00:00:00"/>
    <n v="343.17515099223471"/>
  </r>
  <r>
    <s v="6002007"/>
    <x v="9"/>
    <s v="1200005159"/>
    <x v="44"/>
    <x v="0"/>
    <x v="25"/>
    <n v="130"/>
    <d v="2025-11-13T00:00:00"/>
    <n v="106.2"/>
    <s v="PEN"/>
    <x v="0"/>
    <m/>
    <m/>
    <m/>
    <d v="2025-11-13T00:00:00"/>
    <n v="30.543572044866266"/>
  </r>
  <r>
    <s v="2000001369"/>
    <x v="10"/>
    <s v="1300001253"/>
    <x v="45"/>
    <x v="3"/>
    <x v="26"/>
    <n v="36"/>
    <d v="2026-02-15T00:00:00"/>
    <n v="12898"/>
    <s v="USD"/>
    <x v="1"/>
    <d v="2026-04-01T00:00:00"/>
    <n v="0"/>
    <d v="2026-03-30T00:00:00"/>
    <d v="2026-04-07T00:00:00"/>
    <n v="12898"/>
  </r>
  <r>
    <s v="2000001369"/>
    <x v="10"/>
    <s v="1300000817"/>
    <x v="46"/>
    <x v="3"/>
    <x v="27"/>
    <n v="35"/>
    <d v="2026-02-16T00:00:00"/>
    <n v="30190"/>
    <s v="USD"/>
    <x v="1"/>
    <d v="2026-04-02T00:00:00"/>
    <n v="0"/>
    <d v="2026-03-30T00:00:00"/>
    <d v="2026-04-07T00:00:00"/>
    <n v="30190"/>
  </r>
  <r>
    <s v="2000001369"/>
    <x v="10"/>
    <s v="1200000407"/>
    <x v="47"/>
    <x v="1"/>
    <x v="28"/>
    <n v="-29"/>
    <d v="2026-04-21T00:00:00"/>
    <n v="40616"/>
    <s v="USD"/>
    <x v="1"/>
    <d v="2026-04-21T00:00:00"/>
    <n v="22"/>
    <d v="2026-04-21T00:00:00"/>
    <d v="2026-04-21T00:00:00"/>
    <n v="40616"/>
  </r>
  <r>
    <s v="2000001369"/>
    <x v="10"/>
    <s v="1200000408"/>
    <x v="48"/>
    <x v="1"/>
    <x v="28"/>
    <n v="-29"/>
    <d v="2026-04-21T00:00:00"/>
    <n v="40736"/>
    <s v="USD"/>
    <x v="1"/>
    <d v="2026-04-21T00:00:00"/>
    <n v="22"/>
    <d v="2026-04-21T00:00:00"/>
    <d v="2026-04-21T00:00:00"/>
    <n v="40736"/>
  </r>
  <r>
    <s v="1000013925"/>
    <x v="11"/>
    <s v="1300006898"/>
    <x v="49"/>
    <x v="3"/>
    <x v="29"/>
    <n v="153"/>
    <d v="2025-10-21T00:00:00"/>
    <n v="4460"/>
    <s v="PEN"/>
    <x v="2"/>
    <m/>
    <m/>
    <m/>
    <d v="2025-10-21T00:00:00"/>
    <n v="1282.7149841817659"/>
  </r>
  <r>
    <s v="1000013925"/>
    <x v="11"/>
    <s v="1200005124"/>
    <x v="50"/>
    <x v="0"/>
    <x v="30"/>
    <n v="132"/>
    <d v="2025-11-11T00:00:00"/>
    <n v="7097.98"/>
    <s v="PEN"/>
    <x v="2"/>
    <m/>
    <m/>
    <m/>
    <d v="2025-11-11T00:00:00"/>
    <n v="2041.4092608570606"/>
  </r>
  <r>
    <s v="1000013925"/>
    <x v="11"/>
    <s v="1200000182"/>
    <x v="51"/>
    <x v="0"/>
    <x v="31"/>
    <n v="44"/>
    <d v="2026-02-07T00:00:00"/>
    <n v="4003.46"/>
    <s v="PEN"/>
    <x v="2"/>
    <m/>
    <m/>
    <m/>
    <d v="2026-02-07T00:00:00"/>
    <n v="1151.4121368996261"/>
  </r>
  <r>
    <s v="1000013925"/>
    <x v="11"/>
    <s v="1200000382"/>
    <x v="52"/>
    <x v="0"/>
    <x v="32"/>
    <n v="13"/>
    <d v="2026-03-10T00:00:00"/>
    <n v="4956"/>
    <s v="PEN"/>
    <x v="2"/>
    <m/>
    <m/>
    <m/>
    <d v="2026-03-10T00:00:00"/>
    <n v="1425.3666954270923"/>
  </r>
  <r>
    <s v="1000013925"/>
    <x v="11"/>
    <s v="1200000383"/>
    <x v="53"/>
    <x v="0"/>
    <x v="32"/>
    <n v="13"/>
    <d v="2026-03-10T00:00:00"/>
    <n v="4956"/>
    <s v="PEN"/>
    <x v="2"/>
    <m/>
    <m/>
    <m/>
    <d v="2026-03-10T00:00:00"/>
    <n v="1425.3666954270923"/>
  </r>
  <r>
    <s v="2000001411"/>
    <x v="12"/>
    <s v="1200000411"/>
    <x v="54"/>
    <x v="1"/>
    <x v="28"/>
    <n v="-29"/>
    <d v="2026-04-21T00:00:00"/>
    <n v="156680"/>
    <s v="USD"/>
    <x v="1"/>
    <d v="2026-04-21T00:00:00"/>
    <n v="22"/>
    <d v="2026-04-21T00:00:00"/>
    <d v="2026-04-21T00:00:00"/>
    <n v="156680"/>
  </r>
  <r>
    <s v="2000001411"/>
    <x v="12"/>
    <s v="1200000456"/>
    <x v="55"/>
    <x v="1"/>
    <x v="33"/>
    <n v="-40"/>
    <d v="2026-05-02T00:00:00"/>
    <n v="125360"/>
    <s v="USD"/>
    <x v="1"/>
    <d v="2026-05-02T00:00:00"/>
    <m/>
    <m/>
    <d v="2026-05-02T00:00:00"/>
    <n v="125360"/>
  </r>
  <r>
    <s v="2000000267"/>
    <x v="13"/>
    <s v="1200000454"/>
    <x v="56"/>
    <x v="1"/>
    <x v="33"/>
    <n v="-40"/>
    <d v="2026-05-02T00:00:00"/>
    <n v="31275"/>
    <s v="USD"/>
    <x v="1"/>
    <d v="2026-05-02T00:00:00"/>
    <m/>
    <m/>
    <d v="2026-05-02T00:00:00"/>
    <n v="31275"/>
  </r>
  <r>
    <s v="6000434"/>
    <x v="14"/>
    <s v="1200004540"/>
    <x v="57"/>
    <x v="0"/>
    <x v="34"/>
    <n v="160"/>
    <d v="2025-10-14T00:00:00"/>
    <n v="790"/>
    <s v="PEN"/>
    <x v="3"/>
    <m/>
    <m/>
    <m/>
    <d v="2025-10-14T00:00:00"/>
    <n v="227.20736266896751"/>
  </r>
  <r>
    <s v="2000001410"/>
    <x v="15"/>
    <s v="1300000822"/>
    <x v="58"/>
    <x v="3"/>
    <x v="11"/>
    <n v="23"/>
    <d v="2026-02-28T00:00:00"/>
    <n v="73490"/>
    <s v="USD"/>
    <x v="1"/>
    <d v="2026-04-14T00:00:00"/>
    <n v="15"/>
    <d v="2026-04-14T00:00:00"/>
    <d v="2026-04-14T00:00:00"/>
    <n v="73490"/>
  </r>
  <r>
    <s v="1000001965"/>
    <x v="16"/>
    <s v="1200000463"/>
    <x v="59"/>
    <x v="0"/>
    <x v="35"/>
    <n v="-4"/>
    <d v="2026-03-27T00:00:00"/>
    <n v="590"/>
    <s v="PEN"/>
    <x v="0"/>
    <m/>
    <m/>
    <m/>
    <d v="2026-03-27T00:00:00"/>
    <n v="169.68651136036814"/>
  </r>
  <r>
    <s v="1000013801"/>
    <x v="17"/>
    <s v="1200000370"/>
    <x v="60"/>
    <x v="0"/>
    <x v="36"/>
    <n v="17"/>
    <d v="2026-03-06T00:00:00"/>
    <n v="665.52"/>
    <s v="PEN"/>
    <x v="0"/>
    <m/>
    <m/>
    <m/>
    <d v="2026-03-06T00:00:00"/>
    <n v="191.40638481449525"/>
  </r>
  <r>
    <s v="1000013801"/>
    <x v="17"/>
    <s v="1200000371"/>
    <x v="61"/>
    <x v="0"/>
    <x v="36"/>
    <n v="17"/>
    <d v="2026-03-06T00:00:00"/>
    <n v="123.9"/>
    <s v="PEN"/>
    <x v="0"/>
    <m/>
    <m/>
    <m/>
    <d v="2026-03-06T00:00:00"/>
    <n v="35.634167385677308"/>
  </r>
  <r>
    <s v="1000013794"/>
    <x v="18"/>
    <s v="1300005699"/>
    <x v="62"/>
    <x v="2"/>
    <x v="37"/>
    <n v="162"/>
    <d v="2025-10-12T00:00:00"/>
    <n v="56.64"/>
    <s v="PEN"/>
    <x v="0"/>
    <m/>
    <m/>
    <m/>
    <d v="2025-10-12T00:00:00"/>
    <n v="16.28990509059534"/>
  </r>
  <r>
    <s v="2000000786"/>
    <x v="19"/>
    <s v="1200000409"/>
    <x v="63"/>
    <x v="1"/>
    <x v="28"/>
    <n v="-29"/>
    <d v="2026-04-21T00:00:00"/>
    <n v="39610"/>
    <s v="USD"/>
    <x v="1"/>
    <d v="2026-04-21T00:00:00"/>
    <n v="22"/>
    <d v="2026-04-21T00:00:00"/>
    <d v="2026-04-21T00:00:00"/>
    <n v="39610"/>
  </r>
  <r>
    <s v="2000000786"/>
    <x v="19"/>
    <s v="1200000410"/>
    <x v="64"/>
    <x v="1"/>
    <x v="28"/>
    <n v="-29"/>
    <d v="2026-04-21T00:00:00"/>
    <n v="94640"/>
    <s v="USD"/>
    <x v="1"/>
    <d v="2026-04-21T00:00:00"/>
    <n v="22"/>
    <d v="2026-04-21T00:00:00"/>
    <d v="2026-04-21T00:00:00"/>
    <n v="94640"/>
  </r>
  <r>
    <s v="2000000786"/>
    <x v="19"/>
    <s v="1200000422"/>
    <x v="65"/>
    <x v="1"/>
    <x v="38"/>
    <n v="-32"/>
    <d v="2026-04-24T00:00:00"/>
    <n v="76800"/>
    <s v="USD"/>
    <x v="1"/>
    <d v="2026-04-24T00:00:00"/>
    <n v="25"/>
    <d v="2026-04-24T00:00:00"/>
    <d v="2026-04-24T00:00:00"/>
    <n v="76800"/>
  </r>
  <r>
    <s v="2000000786"/>
    <x v="19"/>
    <s v="1200000423"/>
    <x v="66"/>
    <x v="1"/>
    <x v="38"/>
    <n v="-32"/>
    <d v="2026-04-24T00:00:00"/>
    <n v="186880"/>
    <s v="USD"/>
    <x v="1"/>
    <d v="2026-04-24T00:00:00"/>
    <n v="25"/>
    <d v="2026-04-24T00:00:00"/>
    <d v="2026-04-24T00:00:00"/>
    <n v="186880"/>
  </r>
  <r>
    <s v="2000000786"/>
    <x v="19"/>
    <s v="1200000455"/>
    <x v="67"/>
    <x v="1"/>
    <x v="33"/>
    <n v="-40"/>
    <d v="2026-05-02T00:00:00"/>
    <n v="216000"/>
    <s v="USD"/>
    <x v="1"/>
    <d v="2026-05-02T00:00:00"/>
    <m/>
    <m/>
    <d v="2026-05-02T00:00:00"/>
    <n v="216000"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  <r>
    <m/>
    <x v="20"/>
    <m/>
    <x v="68"/>
    <x v="5"/>
    <x v="39"/>
    <m/>
    <m/>
    <m/>
    <m/>
    <x v="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1000013966"/>
    <x v="0"/>
    <s v="1200005220"/>
    <x v="0"/>
    <x v="0"/>
    <d v="2025-11-19T00:00:00"/>
    <n v="117"/>
    <d v="2025-11-26T00:00:00"/>
    <n v="42.48"/>
    <s v="PEN"/>
    <x v="0"/>
    <m/>
    <m/>
    <m/>
    <x v="0"/>
    <n v="12.217428817946505"/>
    <m/>
    <x v="0"/>
  </r>
  <r>
    <s v="1000013966"/>
    <x v="0"/>
    <s v="1200005228"/>
    <x v="1"/>
    <x v="0"/>
    <d v="2025-11-19T00:00:00"/>
    <n v="117"/>
    <d v="2025-11-26T00:00:00"/>
    <n v="14.16"/>
    <s v="PEN"/>
    <x v="0"/>
    <m/>
    <m/>
    <m/>
    <x v="0"/>
    <n v="4.072476272648835"/>
    <m/>
    <x v="0"/>
  </r>
  <r>
    <s v="1000013966"/>
    <x v="0"/>
    <s v="1200005242"/>
    <x v="2"/>
    <x v="0"/>
    <d v="2025-11-19T00:00:00"/>
    <n v="117"/>
    <d v="2025-11-26T00:00:00"/>
    <n v="14.16"/>
    <s v="PEN"/>
    <x v="0"/>
    <m/>
    <m/>
    <m/>
    <x v="0"/>
    <n v="4.072476272648835"/>
    <m/>
    <x v="0"/>
  </r>
  <r>
    <s v="1000013966"/>
    <x v="0"/>
    <s v="1200005264"/>
    <x v="3"/>
    <x v="0"/>
    <d v="2025-11-20T00:00:00"/>
    <n v="116"/>
    <d v="2025-11-27T00:00:00"/>
    <n v="28.32"/>
    <s v="PEN"/>
    <x v="0"/>
    <m/>
    <m/>
    <m/>
    <x v="1"/>
    <n v="8.1449525452976701"/>
    <m/>
    <x v="0"/>
  </r>
  <r>
    <s v="1000013966"/>
    <x v="0"/>
    <s v="1200005271"/>
    <x v="4"/>
    <x v="0"/>
    <d v="2025-11-20T00:00:00"/>
    <n v="116"/>
    <d v="2025-11-27T00:00:00"/>
    <n v="14.16"/>
    <s v="PEN"/>
    <x v="0"/>
    <m/>
    <m/>
    <m/>
    <x v="1"/>
    <n v="4.072476272648835"/>
    <m/>
    <x v="0"/>
  </r>
  <r>
    <s v="1000013966"/>
    <x v="0"/>
    <s v="1200005296"/>
    <x v="5"/>
    <x v="0"/>
    <d v="2025-11-21T00:00:00"/>
    <n v="115"/>
    <d v="2025-11-28T00:00:00"/>
    <n v="28.32"/>
    <s v="PEN"/>
    <x v="0"/>
    <m/>
    <m/>
    <m/>
    <x v="2"/>
    <n v="8.1449525452976701"/>
    <m/>
    <x v="0"/>
  </r>
  <r>
    <s v="1000013966"/>
    <x v="0"/>
    <s v="1200005302"/>
    <x v="6"/>
    <x v="0"/>
    <d v="2025-11-21T00:00:00"/>
    <n v="115"/>
    <d v="2025-11-28T00:00:00"/>
    <n v="42.48"/>
    <s v="PEN"/>
    <x v="0"/>
    <m/>
    <m/>
    <m/>
    <x v="2"/>
    <n v="12.217428817946505"/>
    <m/>
    <x v="0"/>
  </r>
  <r>
    <s v="1000013966"/>
    <x v="0"/>
    <s v="1200005304"/>
    <x v="7"/>
    <x v="0"/>
    <d v="2025-11-21T00:00:00"/>
    <n v="115"/>
    <d v="2025-11-28T00:00:00"/>
    <n v="42.48"/>
    <s v="PEN"/>
    <x v="0"/>
    <m/>
    <m/>
    <m/>
    <x v="2"/>
    <n v="12.217428817946505"/>
    <m/>
    <x v="0"/>
  </r>
  <r>
    <s v="1000013966"/>
    <x v="0"/>
    <s v="1200005313"/>
    <x v="8"/>
    <x v="0"/>
    <d v="2025-11-21T00:00:00"/>
    <n v="115"/>
    <d v="2025-11-28T00:00:00"/>
    <n v="14.16"/>
    <s v="PEN"/>
    <x v="0"/>
    <m/>
    <m/>
    <m/>
    <x v="2"/>
    <n v="4.072476272648835"/>
    <m/>
    <x v="0"/>
  </r>
  <r>
    <s v="1000013966"/>
    <x v="0"/>
    <s v="1200005346"/>
    <x v="9"/>
    <x v="0"/>
    <d v="2025-11-22T00:00:00"/>
    <n v="114"/>
    <d v="2025-11-29T00:00:00"/>
    <n v="28.32"/>
    <s v="PEN"/>
    <x v="0"/>
    <m/>
    <m/>
    <m/>
    <x v="3"/>
    <n v="8.1449525452976701"/>
    <m/>
    <x v="0"/>
  </r>
  <r>
    <s v="1000013966"/>
    <x v="0"/>
    <s v="1200005422"/>
    <x v="10"/>
    <x v="0"/>
    <d v="2025-11-27T00:00:00"/>
    <n v="109"/>
    <d v="2025-12-04T00:00:00"/>
    <n v="14.16"/>
    <s v="PEN"/>
    <x v="0"/>
    <m/>
    <m/>
    <m/>
    <x v="4"/>
    <n v="4.072476272648835"/>
    <m/>
    <x v="0"/>
  </r>
  <r>
    <s v="1000013966"/>
    <x v="0"/>
    <s v="1200000045"/>
    <x v="11"/>
    <x v="0"/>
    <d v="2026-01-06T00:00:00"/>
    <n v="69"/>
    <d v="2026-01-13T00:00:00"/>
    <n v="14.16"/>
    <s v="PEN"/>
    <x v="0"/>
    <m/>
    <m/>
    <m/>
    <x v="5"/>
    <n v="4.072476272648835"/>
    <m/>
    <x v="0"/>
  </r>
  <r>
    <s v="1000013966"/>
    <x v="0"/>
    <s v="1200000090"/>
    <x v="12"/>
    <x v="0"/>
    <d v="2026-01-08T00:00:00"/>
    <n v="67"/>
    <d v="2026-01-15T00:00:00"/>
    <n v="14.16"/>
    <s v="PEN"/>
    <x v="0"/>
    <m/>
    <m/>
    <m/>
    <x v="6"/>
    <n v="4.072476272648835"/>
    <m/>
    <x v="0"/>
  </r>
  <r>
    <s v="1000013966"/>
    <x v="0"/>
    <s v="1200000113"/>
    <x v="13"/>
    <x v="0"/>
    <d v="2026-01-10T00:00:00"/>
    <n v="65"/>
    <d v="2026-01-17T00:00:00"/>
    <n v="14.16"/>
    <s v="PEN"/>
    <x v="0"/>
    <m/>
    <m/>
    <m/>
    <x v="7"/>
    <n v="4.072476272648835"/>
    <m/>
    <x v="0"/>
  </r>
  <r>
    <s v="1000013966"/>
    <x v="0"/>
    <s v="1200000132"/>
    <x v="14"/>
    <x v="0"/>
    <d v="2026-01-16T00:00:00"/>
    <n v="59"/>
    <d v="2026-01-23T00:00:00"/>
    <n v="14.16"/>
    <s v="PEN"/>
    <x v="0"/>
    <m/>
    <m/>
    <m/>
    <x v="8"/>
    <n v="4.072476272648835"/>
    <m/>
    <x v="0"/>
  </r>
  <r>
    <s v="1000013966"/>
    <x v="0"/>
    <s v="1200000133"/>
    <x v="15"/>
    <x v="0"/>
    <d v="2026-01-16T00:00:00"/>
    <n v="59"/>
    <d v="2026-01-23T00:00:00"/>
    <n v="14.16"/>
    <s v="PEN"/>
    <x v="0"/>
    <m/>
    <m/>
    <m/>
    <x v="8"/>
    <n v="4.072476272648835"/>
    <m/>
    <x v="0"/>
  </r>
  <r>
    <s v="1000013966"/>
    <x v="0"/>
    <s v="1200000141"/>
    <x v="16"/>
    <x v="0"/>
    <d v="2026-01-19T00:00:00"/>
    <n v="56"/>
    <d v="2026-01-26T00:00:00"/>
    <n v="14.16"/>
    <s v="PEN"/>
    <x v="0"/>
    <m/>
    <m/>
    <m/>
    <x v="9"/>
    <n v="4.072476272648835"/>
    <m/>
    <x v="0"/>
  </r>
  <r>
    <s v="2000001028"/>
    <x v="1"/>
    <s v="1200000359"/>
    <x v="17"/>
    <x v="1"/>
    <d v="2026-02-23T00:00:00"/>
    <n v="-17"/>
    <d v="2026-04-09T00:00:00"/>
    <n v="70200"/>
    <s v="USD"/>
    <x v="1"/>
    <d v="2026-04-09T00:00:00"/>
    <n v="25"/>
    <d v="2026-04-24T00:00:00"/>
    <x v="10"/>
    <n v="70200"/>
    <n v="35"/>
    <x v="1"/>
  </r>
  <r>
    <s v="2000001028"/>
    <x v="1"/>
    <s v="1200000360"/>
    <x v="18"/>
    <x v="1"/>
    <d v="2026-02-23T00:00:00"/>
    <n v="-17"/>
    <d v="2026-04-09T00:00:00"/>
    <n v="121500"/>
    <s v="USD"/>
    <x v="1"/>
    <d v="2026-04-09T00:00:00"/>
    <n v="25"/>
    <d v="2026-04-24T00:00:00"/>
    <x v="11"/>
    <n v="121500"/>
    <n v="35"/>
    <x v="1"/>
  </r>
  <r>
    <s v="2000001028"/>
    <x v="1"/>
    <s v="1200000361"/>
    <x v="19"/>
    <x v="1"/>
    <d v="2026-02-23T00:00:00"/>
    <n v="-17"/>
    <d v="2026-04-09T00:00:00"/>
    <n v="173250"/>
    <s v="USD"/>
    <x v="1"/>
    <d v="2026-04-09T00:00:00"/>
    <n v="25"/>
    <d v="2026-04-24T00:00:00"/>
    <x v="11"/>
    <n v="173250"/>
    <n v="35"/>
    <x v="1"/>
  </r>
  <r>
    <s v="2000001028"/>
    <x v="1"/>
    <s v="1200000374"/>
    <x v="20"/>
    <x v="1"/>
    <d v="2026-02-28T00:00:00"/>
    <n v="-22"/>
    <d v="2026-04-14T00:00:00"/>
    <n v="175500"/>
    <s v="USD"/>
    <x v="1"/>
    <d v="2026-04-14T00:00:00"/>
    <n v="30"/>
    <d v="2026-04-29T00:00:00"/>
    <x v="11"/>
    <n v="175500"/>
    <n v="30"/>
    <x v="1"/>
  </r>
  <r>
    <s v="2000001028"/>
    <x v="1"/>
    <s v="1200000375"/>
    <x v="21"/>
    <x v="1"/>
    <d v="2026-02-28T00:00:00"/>
    <n v="-22"/>
    <d v="2026-04-14T00:00:00"/>
    <n v="70200"/>
    <s v="USD"/>
    <x v="1"/>
    <d v="2026-04-14T00:00:00"/>
    <n v="30"/>
    <d v="2026-04-29T00:00:00"/>
    <x v="11"/>
    <n v="70200"/>
    <n v="30"/>
    <x v="1"/>
  </r>
  <r>
    <s v="2000001028"/>
    <x v="1"/>
    <s v="1200000376"/>
    <x v="22"/>
    <x v="1"/>
    <d v="2026-02-28T00:00:00"/>
    <n v="-22"/>
    <d v="2026-04-14T00:00:00"/>
    <n v="456300"/>
    <s v="USD"/>
    <x v="1"/>
    <d v="2026-04-14T00:00:00"/>
    <n v="30"/>
    <d v="2026-04-29T00:00:00"/>
    <x v="11"/>
    <n v="456300"/>
    <n v="30"/>
    <x v="1"/>
  </r>
  <r>
    <s v="1000013678"/>
    <x v="2"/>
    <s v="1200000439"/>
    <x v="23"/>
    <x v="0"/>
    <d v="2026-03-17T00:00:00"/>
    <n v="-1"/>
    <d v="2026-03-24T00:00:00"/>
    <n v="424.8"/>
    <s v="PEN"/>
    <x v="0"/>
    <m/>
    <m/>
    <m/>
    <x v="12"/>
    <n v="122.17428817946507"/>
    <m/>
    <x v="0"/>
  </r>
  <r>
    <s v="1000013678"/>
    <x v="2"/>
    <s v="1200000453"/>
    <x v="24"/>
    <x v="0"/>
    <d v="2026-03-19T00:00:00"/>
    <n v="-3"/>
    <d v="2026-03-26T00:00:00"/>
    <n v="283.2"/>
    <s v="PEN"/>
    <x v="0"/>
    <m/>
    <m/>
    <m/>
    <x v="13"/>
    <n v="81.449525452976701"/>
    <m/>
    <x v="0"/>
  </r>
  <r>
    <s v="1000013678"/>
    <x v="2"/>
    <s v="1200000468"/>
    <x v="25"/>
    <x v="0"/>
    <d v="2026-03-21T00:00:00"/>
    <n v="-5"/>
    <d v="2026-03-28T00:00:00"/>
    <n v="354"/>
    <s v="PEN"/>
    <x v="0"/>
    <m/>
    <m/>
    <m/>
    <x v="14"/>
    <n v="101.81190681622088"/>
    <m/>
    <x v="0"/>
  </r>
  <r>
    <s v="2000001381"/>
    <x v="3"/>
    <s v="1300000829"/>
    <x v="26"/>
    <x v="2"/>
    <d v="2026-03-09T00:00:00"/>
    <n v="0"/>
    <d v="2026-03-31T00:00:00"/>
    <n v="-48045"/>
    <s v="USD"/>
    <x v="1"/>
    <m/>
    <m/>
    <m/>
    <x v="15"/>
    <n v="-48045"/>
    <m/>
    <x v="0"/>
  </r>
  <r>
    <s v="2000001381"/>
    <x v="3"/>
    <s v="1300001251"/>
    <x v="27"/>
    <x v="3"/>
    <d v="2026-03-13T00:00:00"/>
    <n v="0"/>
    <d v="2026-03-13T00:00:00"/>
    <n v="-15658"/>
    <s v="USD"/>
    <x v="1"/>
    <m/>
    <m/>
    <m/>
    <x v="15"/>
    <n v="-15658"/>
    <m/>
    <x v="0"/>
  </r>
  <r>
    <s v="2000001381"/>
    <x v="3"/>
    <s v="1300001579"/>
    <x v="26"/>
    <x v="2"/>
    <d v="2026-03-17T00:00:00"/>
    <n v="0"/>
    <d v="2026-03-31T00:00:00"/>
    <n v="-8700"/>
    <s v="USD"/>
    <x v="1"/>
    <m/>
    <m/>
    <m/>
    <x v="15"/>
    <n v="-8700"/>
    <m/>
    <x v="0"/>
  </r>
  <r>
    <s v="2000001361"/>
    <x v="4"/>
    <s v="1100015436"/>
    <x v="28"/>
    <x v="4"/>
    <d v="2025-09-05T00:00:00"/>
    <n v="199"/>
    <d v="2025-09-05T00:00:00"/>
    <n v="20964"/>
    <s v="USD"/>
    <x v="1"/>
    <m/>
    <m/>
    <m/>
    <x v="15"/>
    <n v="20964"/>
    <m/>
    <x v="0"/>
  </r>
  <r>
    <s v="2000001361"/>
    <x v="4"/>
    <s v="1200000199"/>
    <x v="29"/>
    <x v="1"/>
    <d v="2026-02-01T00:00:00"/>
    <n v="-10"/>
    <d v="2026-04-02T00:00:00"/>
    <n v="77585"/>
    <s v="USD"/>
    <x v="1"/>
    <d v="2026-03-18T00:00:00"/>
    <n v="-10"/>
    <d v="2026-03-20T00:00:00"/>
    <x v="16"/>
    <n v="77585"/>
    <n v="57"/>
    <x v="2"/>
  </r>
  <r>
    <s v="2000001398"/>
    <x v="5"/>
    <s v="1300000819"/>
    <x v="30"/>
    <x v="3"/>
    <d v="2026-02-28T00:00:00"/>
    <n v="23"/>
    <d v="2026-02-28T00:00:00"/>
    <n v="53862.5"/>
    <s v="USD"/>
    <x v="1"/>
    <d v="2026-04-14T00:00:00"/>
    <n v="15"/>
    <d v="2026-04-14T00:00:00"/>
    <x v="17"/>
    <n v="53862.5"/>
    <n v="30"/>
    <x v="1"/>
  </r>
  <r>
    <s v="1000006830"/>
    <x v="6"/>
    <s v="1200000128"/>
    <x v="31"/>
    <x v="0"/>
    <d v="2026-01-14T00:00:00"/>
    <n v="61"/>
    <d v="2026-01-21T00:00:00"/>
    <n v="231.52"/>
    <s v="PEN"/>
    <x v="0"/>
    <m/>
    <m/>
    <m/>
    <x v="18"/>
    <n v="66.586137474834629"/>
    <m/>
    <x v="0"/>
  </r>
  <r>
    <s v="1000006830"/>
    <x v="6"/>
    <s v="1200000129"/>
    <x v="32"/>
    <x v="0"/>
    <d v="2026-01-14T00:00:00"/>
    <n v="61"/>
    <d v="2026-01-21T00:00:00"/>
    <n v="23.6"/>
    <s v="PEN"/>
    <x v="0"/>
    <m/>
    <m/>
    <m/>
    <x v="18"/>
    <n v="6.7874604544147257"/>
    <m/>
    <x v="0"/>
  </r>
  <r>
    <s v="1000006830"/>
    <x v="6"/>
    <s v="1200000167"/>
    <x v="33"/>
    <x v="0"/>
    <d v="2026-01-29T00:00:00"/>
    <n v="46"/>
    <d v="2026-02-05T00:00:00"/>
    <n v="251.1"/>
    <s v="PEN"/>
    <x v="0"/>
    <m/>
    <m/>
    <m/>
    <x v="19"/>
    <n v="72.217428817946512"/>
    <m/>
    <x v="0"/>
  </r>
  <r>
    <s v="1000006830"/>
    <x v="6"/>
    <s v="1200000168"/>
    <x v="34"/>
    <x v="0"/>
    <d v="2026-01-29T00:00:00"/>
    <n v="46"/>
    <d v="2026-02-05T00:00:00"/>
    <n v="47.2"/>
    <s v="PEN"/>
    <x v="0"/>
    <m/>
    <m/>
    <m/>
    <x v="19"/>
    <n v="13.574920908829451"/>
    <m/>
    <x v="0"/>
  </r>
  <r>
    <s v="1000006830"/>
    <x v="6"/>
    <s v="1200000207"/>
    <x v="35"/>
    <x v="0"/>
    <d v="2026-02-05T00:00:00"/>
    <n v="39"/>
    <d v="2026-02-12T00:00:00"/>
    <n v="333.94"/>
    <s v="PEN"/>
    <x v="0"/>
    <m/>
    <m/>
    <m/>
    <x v="20"/>
    <n v="96.042565429968363"/>
    <m/>
    <x v="0"/>
  </r>
  <r>
    <s v="1000006830"/>
    <x v="6"/>
    <s v="1200000208"/>
    <x v="36"/>
    <x v="0"/>
    <d v="2026-02-05T00:00:00"/>
    <n v="39"/>
    <d v="2026-02-12T00:00:00"/>
    <n v="47.2"/>
    <s v="PEN"/>
    <x v="0"/>
    <m/>
    <m/>
    <m/>
    <x v="20"/>
    <n v="13.574920908829451"/>
    <m/>
    <x v="0"/>
  </r>
  <r>
    <s v="1000006830"/>
    <x v="6"/>
    <s v="1200000466"/>
    <x v="37"/>
    <x v="0"/>
    <d v="2026-03-21T00:00:00"/>
    <n v="-5"/>
    <d v="2026-03-28T00:00:00"/>
    <n v="367.07"/>
    <s v="PEN"/>
    <x v="0"/>
    <m/>
    <m/>
    <m/>
    <x v="14"/>
    <n v="105.57089444923785"/>
    <m/>
    <x v="0"/>
  </r>
  <r>
    <s v="1000006830"/>
    <x v="6"/>
    <s v="1200000467"/>
    <x v="38"/>
    <x v="0"/>
    <d v="2026-03-21T00:00:00"/>
    <n v="-5"/>
    <d v="2026-03-28T00:00:00"/>
    <n v="135.69999999999999"/>
    <s v="PEN"/>
    <x v="0"/>
    <m/>
    <m/>
    <m/>
    <x v="14"/>
    <n v="39.027897612884672"/>
    <m/>
    <x v="0"/>
  </r>
  <r>
    <s v="2000001172"/>
    <x v="7"/>
    <s v="1200000443"/>
    <x v="39"/>
    <x v="1"/>
    <d v="2026-03-15T00:00:00"/>
    <n v="-37"/>
    <d v="2026-04-29T00:00:00"/>
    <n v="147743.07"/>
    <s v="USD"/>
    <x v="1"/>
    <d v="2026-04-29T00:00:00"/>
    <m/>
    <m/>
    <x v="21"/>
    <n v="147743.07"/>
    <n v="15"/>
    <x v="1"/>
  </r>
  <r>
    <s v="2000001409"/>
    <x v="8"/>
    <s v="1300001581"/>
    <x v="27"/>
    <x v="3"/>
    <d v="2026-03-17T00:00:00"/>
    <n v="0"/>
    <d v="2026-03-17T00:00:00"/>
    <n v="-7410"/>
    <s v="USD"/>
    <x v="1"/>
    <m/>
    <m/>
    <m/>
    <x v="15"/>
    <n v="-7410"/>
    <n v="13"/>
    <x v="1"/>
  </r>
  <r>
    <s v="2000001409"/>
    <x v="8"/>
    <s v="1300001581"/>
    <x v="40"/>
    <x v="3"/>
    <d v="2026-03-27T00:00:00"/>
    <n v="0"/>
    <d v="2026-03-17T00:00:00"/>
    <n v="-35590"/>
    <s v="USD"/>
    <x v="1"/>
    <m/>
    <m/>
    <m/>
    <x v="15"/>
    <n v="-35590"/>
    <n v="3"/>
    <x v="1"/>
  </r>
  <r>
    <s v="6002007"/>
    <x v="9"/>
    <s v="1200005141"/>
    <x v="41"/>
    <x v="0"/>
    <d v="2025-11-03T00:00:00"/>
    <n v="133"/>
    <d v="2025-11-10T00:00:00"/>
    <n v="1403.26"/>
    <s v="PEN"/>
    <x v="0"/>
    <m/>
    <m/>
    <m/>
    <x v="22"/>
    <n v="403.58354903652577"/>
    <m/>
    <x v="0"/>
  </r>
  <r>
    <s v="6002007"/>
    <x v="9"/>
    <s v="1200005142"/>
    <x v="42"/>
    <x v="0"/>
    <d v="2025-11-03T00:00:00"/>
    <n v="133"/>
    <d v="2025-11-10T00:00:00"/>
    <n v="141.6"/>
    <s v="PEN"/>
    <x v="0"/>
    <m/>
    <m/>
    <m/>
    <x v="22"/>
    <n v="40.72476272648835"/>
    <m/>
    <x v="0"/>
  </r>
  <r>
    <s v="6002007"/>
    <x v="9"/>
    <s v="1200005158"/>
    <x v="43"/>
    <x v="0"/>
    <d v="2025-11-06T00:00:00"/>
    <n v="130"/>
    <d v="2025-11-13T00:00:00"/>
    <n v="1193.22"/>
    <s v="PEN"/>
    <x v="0"/>
    <m/>
    <m/>
    <m/>
    <x v="23"/>
    <n v="343.17515099223471"/>
    <m/>
    <x v="0"/>
  </r>
  <r>
    <s v="6002007"/>
    <x v="9"/>
    <s v="1200005159"/>
    <x v="44"/>
    <x v="0"/>
    <d v="2025-11-06T00:00:00"/>
    <n v="130"/>
    <d v="2025-11-13T00:00:00"/>
    <n v="106.2"/>
    <s v="PEN"/>
    <x v="0"/>
    <m/>
    <m/>
    <m/>
    <x v="23"/>
    <n v="30.543572044866266"/>
    <m/>
    <x v="0"/>
  </r>
  <r>
    <s v="2000001369"/>
    <x v="10"/>
    <s v="1300001253"/>
    <x v="45"/>
    <x v="3"/>
    <d v="2026-02-15T00:00:00"/>
    <n v="36"/>
    <d v="2026-02-15T00:00:00"/>
    <n v="12898"/>
    <s v="USD"/>
    <x v="1"/>
    <d v="2026-04-01T00:00:00"/>
    <n v="0"/>
    <d v="2026-03-30T00:00:00"/>
    <x v="24"/>
    <n v="12898"/>
    <n v="43"/>
    <x v="1"/>
  </r>
  <r>
    <s v="2000001369"/>
    <x v="10"/>
    <s v="1300000817"/>
    <x v="46"/>
    <x v="3"/>
    <d v="2026-02-16T00:00:00"/>
    <n v="35"/>
    <d v="2026-02-16T00:00:00"/>
    <n v="30190"/>
    <s v="USD"/>
    <x v="1"/>
    <d v="2026-04-02T00:00:00"/>
    <n v="0"/>
    <d v="2026-03-30T00:00:00"/>
    <x v="24"/>
    <n v="30190"/>
    <n v="42"/>
    <x v="1"/>
  </r>
  <r>
    <s v="2000001369"/>
    <x v="10"/>
    <s v="1200000407"/>
    <x v="47"/>
    <x v="1"/>
    <d v="2026-03-07T00:00:00"/>
    <n v="-29"/>
    <d v="2026-04-21T00:00:00"/>
    <n v="40616"/>
    <s v="USD"/>
    <x v="1"/>
    <d v="2026-04-21T00:00:00"/>
    <n v="22"/>
    <d v="2026-04-21T00:00:00"/>
    <x v="25"/>
    <n v="40616"/>
    <n v="23"/>
    <x v="1"/>
  </r>
  <r>
    <s v="2000001369"/>
    <x v="10"/>
    <s v="1200000408"/>
    <x v="48"/>
    <x v="1"/>
    <d v="2026-03-07T00:00:00"/>
    <n v="-29"/>
    <d v="2026-04-21T00:00:00"/>
    <n v="40736"/>
    <s v="USD"/>
    <x v="1"/>
    <d v="2026-04-21T00:00:00"/>
    <n v="22"/>
    <d v="2026-04-21T00:00:00"/>
    <x v="25"/>
    <n v="40736"/>
    <n v="23"/>
    <x v="1"/>
  </r>
  <r>
    <s v="1000013925"/>
    <x v="11"/>
    <s v="1300006898"/>
    <x v="49"/>
    <x v="3"/>
    <d v="2025-10-21T00:00:00"/>
    <n v="153"/>
    <d v="2025-10-21T00:00:00"/>
    <n v="4460"/>
    <s v="PEN"/>
    <x v="2"/>
    <m/>
    <m/>
    <m/>
    <x v="26"/>
    <n v="1282.7149841817659"/>
    <m/>
    <x v="0"/>
  </r>
  <r>
    <s v="1000013925"/>
    <x v="11"/>
    <s v="1200005124"/>
    <x v="50"/>
    <x v="0"/>
    <d v="2025-11-04T00:00:00"/>
    <n v="132"/>
    <d v="2025-11-11T00:00:00"/>
    <n v="7097.98"/>
    <s v="PEN"/>
    <x v="2"/>
    <m/>
    <m/>
    <m/>
    <x v="27"/>
    <n v="2041.4092608570606"/>
    <m/>
    <x v="0"/>
  </r>
  <r>
    <s v="1000013925"/>
    <x v="11"/>
    <s v="1200000182"/>
    <x v="51"/>
    <x v="0"/>
    <d v="2026-01-31T00:00:00"/>
    <n v="44"/>
    <d v="2026-02-07T00:00:00"/>
    <n v="4003.46"/>
    <s v="PEN"/>
    <x v="2"/>
    <m/>
    <m/>
    <m/>
    <x v="28"/>
    <n v="1151.4121368996261"/>
    <m/>
    <x v="0"/>
  </r>
  <r>
    <s v="1000013925"/>
    <x v="11"/>
    <s v="1200000382"/>
    <x v="52"/>
    <x v="0"/>
    <d v="2026-03-03T00:00:00"/>
    <n v="13"/>
    <d v="2026-03-10T00:00:00"/>
    <n v="4956"/>
    <s v="PEN"/>
    <x v="2"/>
    <m/>
    <m/>
    <m/>
    <x v="29"/>
    <n v="1425.3666954270923"/>
    <m/>
    <x v="0"/>
  </r>
  <r>
    <s v="1000013925"/>
    <x v="11"/>
    <s v="1200000383"/>
    <x v="53"/>
    <x v="0"/>
    <d v="2026-03-03T00:00:00"/>
    <n v="13"/>
    <d v="2026-03-10T00:00:00"/>
    <n v="4956"/>
    <s v="PEN"/>
    <x v="2"/>
    <m/>
    <m/>
    <m/>
    <x v="29"/>
    <n v="1425.3666954270923"/>
    <m/>
    <x v="0"/>
  </r>
  <r>
    <s v="2000001411"/>
    <x v="12"/>
    <s v="1200000411"/>
    <x v="54"/>
    <x v="1"/>
    <d v="2026-03-07T00:00:00"/>
    <n v="-29"/>
    <d v="2026-04-21T00:00:00"/>
    <n v="156680"/>
    <s v="USD"/>
    <x v="1"/>
    <d v="2026-04-21T00:00:00"/>
    <n v="22"/>
    <d v="2026-04-21T00:00:00"/>
    <x v="25"/>
    <n v="156680"/>
    <n v="23"/>
    <x v="1"/>
  </r>
  <r>
    <s v="2000001411"/>
    <x v="12"/>
    <s v="1200000456"/>
    <x v="55"/>
    <x v="1"/>
    <d v="2026-03-18T00:00:00"/>
    <n v="-40"/>
    <d v="2026-05-02T00:00:00"/>
    <n v="125360"/>
    <s v="USD"/>
    <x v="1"/>
    <d v="2026-05-02T00:00:00"/>
    <m/>
    <m/>
    <x v="30"/>
    <n v="125360"/>
    <n v="12"/>
    <x v="1"/>
  </r>
  <r>
    <s v="2000000267"/>
    <x v="13"/>
    <s v="1200000454"/>
    <x v="56"/>
    <x v="1"/>
    <d v="2026-03-18T00:00:00"/>
    <n v="-40"/>
    <d v="2026-05-02T00:00:00"/>
    <n v="31275"/>
    <s v="USD"/>
    <x v="1"/>
    <d v="2026-05-02T00:00:00"/>
    <m/>
    <m/>
    <x v="30"/>
    <n v="31275"/>
    <n v="12"/>
    <x v="1"/>
  </r>
  <r>
    <s v="6000434"/>
    <x v="14"/>
    <s v="1200004540"/>
    <x v="57"/>
    <x v="0"/>
    <d v="2025-10-07T00:00:00"/>
    <n v="160"/>
    <d v="2025-10-14T00:00:00"/>
    <n v="790"/>
    <s v="PEN"/>
    <x v="3"/>
    <m/>
    <m/>
    <m/>
    <x v="31"/>
    <n v="227.20736266896751"/>
    <m/>
    <x v="0"/>
  </r>
  <r>
    <s v="2000001410"/>
    <x v="15"/>
    <s v="1300000822"/>
    <x v="58"/>
    <x v="3"/>
    <d v="2026-02-28T00:00:00"/>
    <n v="23"/>
    <d v="2026-02-28T00:00:00"/>
    <n v="73490"/>
    <s v="USD"/>
    <x v="1"/>
    <d v="2026-04-14T00:00:00"/>
    <n v="15"/>
    <d v="2026-04-14T00:00:00"/>
    <x v="17"/>
    <n v="73490"/>
    <n v="30"/>
    <x v="1"/>
  </r>
  <r>
    <s v="1000001965"/>
    <x v="16"/>
    <s v="1200000463"/>
    <x v="59"/>
    <x v="0"/>
    <d v="2026-03-20T00:00:00"/>
    <n v="-4"/>
    <d v="2026-03-27T00:00:00"/>
    <n v="590"/>
    <s v="PEN"/>
    <x v="0"/>
    <m/>
    <m/>
    <m/>
    <x v="32"/>
    <n v="169.68651136036814"/>
    <m/>
    <x v="0"/>
  </r>
  <r>
    <s v="1000013801"/>
    <x v="17"/>
    <s v="1200000370"/>
    <x v="60"/>
    <x v="0"/>
    <d v="2026-02-27T00:00:00"/>
    <n v="17"/>
    <d v="2026-03-06T00:00:00"/>
    <n v="665.52"/>
    <s v="PEN"/>
    <x v="0"/>
    <m/>
    <m/>
    <m/>
    <x v="33"/>
    <n v="191.40638481449525"/>
    <m/>
    <x v="0"/>
  </r>
  <r>
    <s v="1000013801"/>
    <x v="17"/>
    <s v="1200000371"/>
    <x v="61"/>
    <x v="0"/>
    <d v="2026-02-27T00:00:00"/>
    <n v="17"/>
    <d v="2026-03-06T00:00:00"/>
    <n v="123.9"/>
    <s v="PEN"/>
    <x v="0"/>
    <m/>
    <m/>
    <m/>
    <x v="33"/>
    <n v="35.634167385677308"/>
    <m/>
    <x v="0"/>
  </r>
  <r>
    <s v="1000013794"/>
    <x v="18"/>
    <s v="1300005699"/>
    <x v="62"/>
    <x v="2"/>
    <d v="2025-10-12T00:00:00"/>
    <n v="162"/>
    <d v="2025-10-12T00:00:00"/>
    <n v="56.64"/>
    <s v="PEN"/>
    <x v="0"/>
    <m/>
    <m/>
    <m/>
    <x v="34"/>
    <n v="16.28990509059534"/>
    <m/>
    <x v="0"/>
  </r>
  <r>
    <s v="2000000786"/>
    <x v="19"/>
    <s v="1200000409"/>
    <x v="63"/>
    <x v="1"/>
    <d v="2026-03-07T00:00:00"/>
    <n v="-29"/>
    <d v="2026-04-21T00:00:00"/>
    <n v="39610"/>
    <s v="USD"/>
    <x v="1"/>
    <d v="2026-04-21T00:00:00"/>
    <n v="22"/>
    <d v="2026-04-21T00:00:00"/>
    <x v="25"/>
    <n v="39610"/>
    <n v="23"/>
    <x v="1"/>
  </r>
  <r>
    <s v="2000000786"/>
    <x v="19"/>
    <s v="1200000410"/>
    <x v="64"/>
    <x v="1"/>
    <d v="2026-03-07T00:00:00"/>
    <n v="-29"/>
    <d v="2026-04-21T00:00:00"/>
    <n v="94640"/>
    <s v="USD"/>
    <x v="1"/>
    <d v="2026-04-21T00:00:00"/>
    <n v="22"/>
    <d v="2026-04-21T00:00:00"/>
    <x v="25"/>
    <n v="94640"/>
    <n v="23"/>
    <x v="1"/>
  </r>
  <r>
    <s v="2000000786"/>
    <x v="19"/>
    <s v="1200000422"/>
    <x v="65"/>
    <x v="1"/>
    <d v="2026-03-10T00:00:00"/>
    <n v="-32"/>
    <d v="2026-04-24T00:00:00"/>
    <n v="76800"/>
    <s v="USD"/>
    <x v="1"/>
    <d v="2026-04-24T00:00:00"/>
    <n v="25"/>
    <d v="2026-04-24T00:00:00"/>
    <x v="10"/>
    <n v="76800"/>
    <n v="20"/>
    <x v="1"/>
  </r>
  <r>
    <s v="2000000786"/>
    <x v="19"/>
    <s v="1200000423"/>
    <x v="66"/>
    <x v="1"/>
    <d v="2026-03-10T00:00:00"/>
    <n v="-32"/>
    <d v="2026-04-24T00:00:00"/>
    <n v="186880"/>
    <s v="USD"/>
    <x v="1"/>
    <d v="2026-04-24T00:00:00"/>
    <n v="25"/>
    <d v="2026-04-24T00:00:00"/>
    <x v="10"/>
    <n v="186880"/>
    <n v="20"/>
    <x v="1"/>
  </r>
  <r>
    <s v="2000000786"/>
    <x v="19"/>
    <s v="1200000455"/>
    <x v="67"/>
    <x v="1"/>
    <d v="2026-03-18T00:00:00"/>
    <n v="-40"/>
    <d v="2026-05-02T00:00:00"/>
    <n v="216000"/>
    <s v="USD"/>
    <x v="1"/>
    <d v="2026-05-02T00:00:00"/>
    <m/>
    <m/>
    <x v="30"/>
    <n v="216000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3B146-7780-4C1D-8814-B57F365C135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8" firstHeaderRow="1" firstDataRow="3" firstDataCol="1" rowPageCount="1" colPageCount="1"/>
  <pivotFields count="21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dataField="1" numFmtId="4" showAll="0"/>
    <pivotField showAll="0"/>
    <pivotField axis="axisRow" showAll="0">
      <items count="5">
        <item h="1" x="2"/>
        <item x="1"/>
        <item h="1" x="0"/>
        <item h="1" x="3"/>
        <item t="default"/>
      </items>
    </pivotField>
    <pivotField showAll="0"/>
    <pivotField showAll="0"/>
    <pivotField showAll="0"/>
    <pivotField axis="axisCol" showAll="0">
      <items count="37">
        <item x="34"/>
        <item x="31"/>
        <item x="26"/>
        <item x="22"/>
        <item x="27"/>
        <item x="23"/>
        <item x="0"/>
        <item x="1"/>
        <item x="2"/>
        <item x="3"/>
        <item x="4"/>
        <item x="5"/>
        <item x="6"/>
        <item x="7"/>
        <item x="18"/>
        <item x="8"/>
        <item x="9"/>
        <item x="19"/>
        <item x="28"/>
        <item x="20"/>
        <item x="33"/>
        <item x="29"/>
        <item x="12"/>
        <item x="13"/>
        <item x="32"/>
        <item x="14"/>
        <item m="1" x="35"/>
        <item x="16"/>
        <item x="11"/>
        <item x="24"/>
        <item x="17"/>
        <item x="25"/>
        <item x="10"/>
        <item x="21"/>
        <item x="30"/>
        <item x="15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x="2"/>
        <item sd="0" x="3"/>
        <item t="default"/>
      </items>
    </pivotField>
  </pivotFields>
  <rowFields count="2">
    <field x="10"/>
    <field x="1"/>
  </rowFields>
  <rowItems count="13">
    <i>
      <x v="1"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9"/>
    </i>
    <i t="grand">
      <x/>
    </i>
  </rowItems>
  <colFields count="2">
    <field x="18"/>
    <field x="14"/>
  </colFields>
  <colItems count="13">
    <i>
      <x/>
    </i>
    <i>
      <x v="3"/>
      <x v="27"/>
    </i>
    <i t="default">
      <x v="3"/>
    </i>
    <i>
      <x v="4"/>
      <x v="28"/>
    </i>
    <i r="1">
      <x v="29"/>
    </i>
    <i r="1">
      <x v="30"/>
    </i>
    <i r="1">
      <x v="31"/>
    </i>
    <i r="1">
      <x v="32"/>
    </i>
    <i r="1">
      <x v="33"/>
    </i>
    <i t="default">
      <x v="4"/>
    </i>
    <i>
      <x v="5"/>
      <x v="34"/>
    </i>
    <i t="default">
      <x v="5"/>
    </i>
    <i t="grand">
      <x/>
    </i>
  </colItems>
  <pageFields count="1">
    <pageField fld="4" hier="-1"/>
  </pageFields>
  <dataFields count="1">
    <dataField name="Suma de Importe en moneda doc.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0559E-A6E4-491D-BF55-A8D147B7C22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4" firstHeaderRow="1" firstDataRow="1" firstDataCol="1" rowPageCount="3" colPageCount="1"/>
  <pivotFields count="16"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Row" showAll="0">
      <items count="86">
        <item m="1" x="69"/>
        <item x="29"/>
        <item m="1" x="72"/>
        <item m="1" x="75"/>
        <item m="1" x="76"/>
        <item m="1" x="73"/>
        <item x="17"/>
        <item x="18"/>
        <item x="19"/>
        <item x="20"/>
        <item x="21"/>
        <item x="22"/>
        <item m="1" x="70"/>
        <item m="1" x="71"/>
        <item x="63"/>
        <item x="64"/>
        <item m="1" x="82"/>
        <item x="65"/>
        <item x="66"/>
        <item m="1" x="79"/>
        <item m="1" x="80"/>
        <item m="1" x="84"/>
        <item x="67"/>
        <item m="1" x="83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1"/>
        <item x="32"/>
        <item x="14"/>
        <item x="15"/>
        <item x="16"/>
        <item x="33"/>
        <item x="34"/>
        <item x="35"/>
        <item x="36"/>
        <item x="60"/>
        <item x="61"/>
        <item x="23"/>
        <item x="24"/>
        <item x="59"/>
        <item x="37"/>
        <item x="38"/>
        <item x="25"/>
        <item m="1" x="78"/>
        <item x="26"/>
        <item m="1" x="77"/>
        <item m="1" x="81"/>
        <item x="28"/>
        <item m="1" x="74"/>
        <item x="45"/>
        <item x="46"/>
        <item x="30"/>
        <item x="58"/>
        <item x="49"/>
        <item x="62"/>
        <item x="27"/>
        <item x="68"/>
        <item x="39"/>
        <item x="54"/>
        <item x="55"/>
        <item x="56"/>
        <item x="40"/>
        <item x="47"/>
        <item x="48"/>
        <item t="default"/>
      </items>
    </pivotField>
    <pivotField axis="axisPage" multipleItemSelectionAllowed="1" showAll="0">
      <items count="8">
        <item x="4"/>
        <item m="1" x="6"/>
        <item x="1"/>
        <item x="0"/>
        <item x="2"/>
        <item x="3"/>
        <item x="5"/>
        <item t="default"/>
      </items>
    </pivotField>
    <pivotField axis="axisPage" showAll="0">
      <items count="53">
        <item x="17"/>
        <item x="34"/>
        <item x="37"/>
        <item x="29"/>
        <item x="24"/>
        <item x="30"/>
        <item x="25"/>
        <item x="0"/>
        <item x="1"/>
        <item x="2"/>
        <item x="3"/>
        <item x="4"/>
        <item m="1" x="44"/>
        <item x="5"/>
        <item x="6"/>
        <item x="7"/>
        <item x="19"/>
        <item m="1" x="45"/>
        <item x="8"/>
        <item x="9"/>
        <item m="1" x="41"/>
        <item x="20"/>
        <item x="31"/>
        <item x="18"/>
        <item m="1" x="40"/>
        <item x="21"/>
        <item m="1" x="42"/>
        <item x="26"/>
        <item x="27"/>
        <item m="1" x="46"/>
        <item m="1" x="47"/>
        <item m="1" x="48"/>
        <item m="1" x="50"/>
        <item m="1" x="43"/>
        <item x="10"/>
        <item m="1" x="51"/>
        <item x="36"/>
        <item x="11"/>
        <item x="32"/>
        <item x="28"/>
        <item x="15"/>
        <item x="38"/>
        <item x="16"/>
        <item m="1" x="49"/>
        <item x="22"/>
        <item x="12"/>
        <item x="33"/>
        <item x="13"/>
        <item x="35"/>
        <item x="14"/>
        <item x="39"/>
        <item x="2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2"/>
        <item x="1"/>
        <item h="1" x="0"/>
        <item h="1" x="3"/>
        <item h="1" x="4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3"/>
  </rowFields>
  <rowItems count="39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65"/>
    </i>
    <i r="1">
      <x v="76"/>
    </i>
    <i>
      <x v="4"/>
    </i>
    <i r="1">
      <x v="1"/>
    </i>
    <i r="1">
      <x v="68"/>
    </i>
    <i>
      <x v="5"/>
    </i>
    <i r="1">
      <x v="72"/>
    </i>
    <i>
      <x v="7"/>
    </i>
    <i r="1">
      <x v="78"/>
    </i>
    <i>
      <x v="8"/>
    </i>
    <i r="1">
      <x v="76"/>
    </i>
    <i r="1">
      <x v="82"/>
    </i>
    <i>
      <x v="10"/>
    </i>
    <i r="1">
      <x v="70"/>
    </i>
    <i r="1">
      <x v="71"/>
    </i>
    <i r="1">
      <x v="83"/>
    </i>
    <i r="1">
      <x v="84"/>
    </i>
    <i>
      <x v="12"/>
    </i>
    <i r="1">
      <x v="79"/>
    </i>
    <i r="1">
      <x v="80"/>
    </i>
    <i>
      <x v="13"/>
    </i>
    <i r="1">
      <x v="81"/>
    </i>
    <i>
      <x v="15"/>
    </i>
    <i r="1">
      <x v="73"/>
    </i>
    <i>
      <x v="19"/>
    </i>
    <i r="1">
      <x v="14"/>
    </i>
    <i r="1">
      <x v="15"/>
    </i>
    <i r="1">
      <x v="17"/>
    </i>
    <i r="1">
      <x v="18"/>
    </i>
    <i r="1">
      <x v="2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4885-0E38-462C-9A45-60766236540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35" firstHeaderRow="0" firstDataRow="1" firstDataCol="1" rowPageCount="2" colPageCount="1"/>
  <pivotFields count="21">
    <pivotField showAll="0"/>
    <pivotField axis="axisRow" showAll="0">
      <items count="21">
        <item x="0"/>
        <item x="1"/>
        <item x="2"/>
        <item sd="0" x="3"/>
        <item x="4"/>
        <item x="5"/>
        <item x="6"/>
        <item x="7"/>
        <item sd="0"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7">
        <item m="1" x="68"/>
        <item x="29"/>
        <item m="1" x="71"/>
        <item m="1" x="74"/>
        <item m="1" x="75"/>
        <item m="1" x="72"/>
        <item x="17"/>
        <item x="18"/>
        <item x="19"/>
        <item x="20"/>
        <item x="21"/>
        <item x="22"/>
        <item m="1" x="69"/>
        <item m="1" x="70"/>
        <item x="63"/>
        <item x="64"/>
        <item x="65"/>
        <item x="66"/>
        <item x="67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1"/>
        <item x="32"/>
        <item x="14"/>
        <item x="15"/>
        <item x="16"/>
        <item x="33"/>
        <item x="34"/>
        <item x="35"/>
        <item x="36"/>
        <item x="60"/>
        <item x="61"/>
        <item x="23"/>
        <item x="24"/>
        <item x="59"/>
        <item x="37"/>
        <item x="38"/>
        <item x="25"/>
        <item x="26"/>
        <item x="28"/>
        <item m="1" x="73"/>
        <item x="45"/>
        <item x="46"/>
        <item x="30"/>
        <item x="58"/>
        <item x="54"/>
        <item x="39"/>
        <item x="56"/>
        <item x="55"/>
        <item x="49"/>
        <item x="62"/>
        <item x="27"/>
        <item x="40"/>
        <item x="47"/>
        <item x="48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>
      <items count="37">
        <item x="34"/>
        <item x="31"/>
        <item x="26"/>
        <item x="22"/>
        <item x="27"/>
        <item x="23"/>
        <item x="0"/>
        <item x="1"/>
        <item x="2"/>
        <item x="3"/>
        <item x="4"/>
        <item x="5"/>
        <item x="6"/>
        <item x="7"/>
        <item x="18"/>
        <item x="8"/>
        <item x="9"/>
        <item x="19"/>
        <item x="28"/>
        <item x="20"/>
        <item x="33"/>
        <item x="29"/>
        <item x="12"/>
        <item x="13"/>
        <item x="32"/>
        <item x="14"/>
        <item m="1" x="35"/>
        <item x="16"/>
        <item x="17"/>
        <item x="25"/>
        <item x="10"/>
        <item x="21"/>
        <item x="30"/>
        <item x="15"/>
        <item x="11"/>
        <item x="24"/>
        <item t="default"/>
      </items>
    </pivotField>
    <pivotField dataField="1" showAll="0"/>
    <pivotField dataField="1" showAll="0"/>
    <pivotField axis="axisPage" multipleItemSelectionAllowed="1" showAll="0">
      <items count="6">
        <item x="1"/>
        <item h="1" m="1" x="4"/>
        <item h="1" m="1" x="3"/>
        <item h="1" x="0"/>
        <item h="1"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31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 v="64"/>
    </i>
    <i>
      <x v="7"/>
    </i>
    <i r="1">
      <x v="67"/>
    </i>
    <i>
      <x v="8"/>
    </i>
    <i>
      <x v="10"/>
    </i>
    <i r="1">
      <x v="62"/>
    </i>
    <i r="1">
      <x v="63"/>
    </i>
    <i r="1">
      <x v="74"/>
    </i>
    <i r="1">
      <x v="75"/>
    </i>
    <i>
      <x v="12"/>
    </i>
    <i r="1">
      <x v="66"/>
    </i>
    <i r="1">
      <x v="69"/>
    </i>
    <i>
      <x v="13"/>
    </i>
    <i r="1">
      <x v="68"/>
    </i>
    <i>
      <x v="15"/>
    </i>
    <i r="1">
      <x v="65"/>
    </i>
    <i>
      <x v="19"/>
    </i>
    <i r="1">
      <x v="14"/>
    </i>
    <i r="1">
      <x v="15"/>
    </i>
    <i r="1">
      <x v="16"/>
    </i>
    <i r="1">
      <x v="17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9CAC0-25A5-4DBD-9091-74FD25655C81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8:I19" firstHeaderRow="0" firstDataRow="1" firstDataCol="1" rowPageCount="2" colPageCount="1"/>
  <pivotFields count="21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7">
        <item m="1" x="68"/>
        <item x="29"/>
        <item m="1" x="71"/>
        <item m="1" x="74"/>
        <item m="1" x="75"/>
        <item m="1" x="72"/>
        <item x="17"/>
        <item x="18"/>
        <item x="19"/>
        <item x="20"/>
        <item x="21"/>
        <item x="22"/>
        <item m="1" x="69"/>
        <item m="1" x="70"/>
        <item x="63"/>
        <item x="64"/>
        <item x="65"/>
        <item x="66"/>
        <item x="67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1"/>
        <item x="32"/>
        <item x="14"/>
        <item x="15"/>
        <item x="16"/>
        <item x="33"/>
        <item x="34"/>
        <item x="35"/>
        <item x="36"/>
        <item x="60"/>
        <item x="61"/>
        <item x="23"/>
        <item x="24"/>
        <item x="59"/>
        <item x="37"/>
        <item x="38"/>
        <item x="25"/>
        <item x="26"/>
        <item x="28"/>
        <item m="1" x="73"/>
        <item x="45"/>
        <item x="46"/>
        <item x="30"/>
        <item x="58"/>
        <item x="54"/>
        <item x="39"/>
        <item x="56"/>
        <item x="55"/>
        <item x="49"/>
        <item x="62"/>
        <item x="27"/>
        <item x="40"/>
        <item x="47"/>
        <item x="48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>
      <items count="37">
        <item x="34"/>
        <item x="31"/>
        <item x="26"/>
        <item x="22"/>
        <item x="27"/>
        <item x="23"/>
        <item x="0"/>
        <item x="1"/>
        <item x="2"/>
        <item x="3"/>
        <item x="4"/>
        <item x="5"/>
        <item x="6"/>
        <item x="7"/>
        <item x="18"/>
        <item x="8"/>
        <item x="9"/>
        <item x="19"/>
        <item x="28"/>
        <item x="20"/>
        <item x="33"/>
        <item x="29"/>
        <item x="12"/>
        <item x="13"/>
        <item x="32"/>
        <item x="14"/>
        <item m="1" x="35"/>
        <item x="16"/>
        <item x="17"/>
        <item x="25"/>
        <item x="10"/>
        <item x="21"/>
        <item x="30"/>
        <item x="15"/>
        <item x="11"/>
        <item x="24"/>
        <item t="default"/>
      </items>
    </pivotField>
    <pivotField dataField="1" showAll="0"/>
    <pivotField dataField="1" showAll="0"/>
    <pivotField axis="axisPage" multipleItemSelectionAllowed="1" showAll="0">
      <items count="6">
        <item h="1" x="1"/>
        <item h="1" m="1" x="4"/>
        <item m="1" x="3"/>
        <item h="1" x="0"/>
        <item h="1"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76F04-516E-4F5F-93F1-491515CEABE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1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77">
        <item m="1" x="68"/>
        <item x="29"/>
        <item m="1" x="71"/>
        <item m="1" x="74"/>
        <item m="1" x="75"/>
        <item m="1" x="72"/>
        <item x="17"/>
        <item x="18"/>
        <item x="19"/>
        <item x="20"/>
        <item x="21"/>
        <item x="22"/>
        <item m="1" x="69"/>
        <item m="1" x="70"/>
        <item x="63"/>
        <item x="64"/>
        <item x="65"/>
        <item x="66"/>
        <item x="67"/>
        <item x="57"/>
        <item x="50"/>
        <item x="51"/>
        <item x="52"/>
        <item x="53"/>
        <item x="41"/>
        <item x="42"/>
        <item x="43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1"/>
        <item x="32"/>
        <item x="14"/>
        <item x="15"/>
        <item x="16"/>
        <item x="33"/>
        <item x="34"/>
        <item x="35"/>
        <item x="36"/>
        <item x="60"/>
        <item x="61"/>
        <item x="23"/>
        <item x="24"/>
        <item x="59"/>
        <item x="37"/>
        <item x="38"/>
        <item x="25"/>
        <item x="26"/>
        <item x="28"/>
        <item m="1" x="73"/>
        <item x="45"/>
        <item x="46"/>
        <item x="30"/>
        <item x="58"/>
        <item x="54"/>
        <item x="39"/>
        <item x="56"/>
        <item x="55"/>
        <item x="49"/>
        <item x="62"/>
        <item x="27"/>
        <item x="40"/>
        <item x="47"/>
        <item x="48"/>
        <item t="default"/>
      </items>
    </pivotField>
    <pivotField axis="axisPage" multipleItemSelectionAllowed="1" showAll="0">
      <items count="6">
        <item h="1" x="4"/>
        <item x="1"/>
        <item h="1" x="0"/>
        <item h="1" x="2"/>
        <item x="3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showAll="0"/>
    <pivotField showAll="0"/>
    <pivotField dataField="1" showAll="0"/>
    <pivotField showAll="0"/>
    <pivotField showAll="0">
      <items count="37">
        <item x="34"/>
        <item x="31"/>
        <item x="26"/>
        <item x="22"/>
        <item x="27"/>
        <item x="23"/>
        <item x="0"/>
        <item x="1"/>
        <item x="2"/>
        <item x="3"/>
        <item x="4"/>
        <item x="5"/>
        <item x="6"/>
        <item x="7"/>
        <item x="18"/>
        <item x="8"/>
        <item x="9"/>
        <item x="19"/>
        <item x="28"/>
        <item x="20"/>
        <item x="33"/>
        <item x="29"/>
        <item x="12"/>
        <item x="13"/>
        <item x="32"/>
        <item x="14"/>
        <item m="1" x="35"/>
        <item x="16"/>
        <item x="17"/>
        <item x="25"/>
        <item x="10"/>
        <item x="21"/>
        <item x="30"/>
        <item x="15"/>
        <item x="11"/>
        <item x="24"/>
        <item t="default"/>
      </items>
    </pivotField>
    <pivotField dataField="1" showAll="0"/>
    <pivotField dataField="1" showAll="0"/>
    <pivotField axis="axisPage" multipleItemSelectionAllowed="1" showAll="0">
      <items count="6">
        <item h="1" x="1"/>
        <item m="1" x="4"/>
        <item h="1" m="1" x="3"/>
        <item h="1"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3">
    <i>
      <x v="4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Suma de DÍAS VENCIDOS" fld="12" baseField="0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D3E3-ADC2-47AB-9EAF-8216BB4103F8}">
  <dimension ref="A1:N18"/>
  <sheetViews>
    <sheetView workbookViewId="0">
      <selection activeCell="G18" sqref="G18:J18"/>
    </sheetView>
  </sheetViews>
  <sheetFormatPr baseColWidth="10" defaultRowHeight="12.75" x14ac:dyDescent="0.2"/>
  <cols>
    <col min="1" max="1" width="37" bestFit="1" customWidth="1"/>
    <col min="2" max="2" width="22.140625" bestFit="1" customWidth="1"/>
    <col min="3" max="3" width="10.140625" bestFit="1" customWidth="1"/>
    <col min="4" max="4" width="9.140625" bestFit="1" customWidth="1"/>
    <col min="5" max="5" width="10.140625" bestFit="1" customWidth="1"/>
    <col min="6" max="6" width="9.140625" bestFit="1" customWidth="1"/>
    <col min="7" max="10" width="10.140625" bestFit="1" customWidth="1"/>
    <col min="11" max="11" width="11.7109375" bestFit="1" customWidth="1"/>
    <col min="12" max="13" width="10.140625" bestFit="1" customWidth="1"/>
    <col min="14" max="14" width="12.28515625" bestFit="1" customWidth="1"/>
    <col min="15" max="15" width="15" bestFit="1" customWidth="1"/>
    <col min="16" max="16" width="11" bestFit="1" customWidth="1"/>
    <col min="17" max="17" width="14" bestFit="1" customWidth="1"/>
    <col min="18" max="18" width="12.7109375" bestFit="1" customWidth="1"/>
    <col min="19" max="19" width="15.7109375" bestFit="1" customWidth="1"/>
    <col min="20" max="20" width="12.28515625" bestFit="1" customWidth="1"/>
  </cols>
  <sheetData>
    <row r="1" spans="1:14" x14ac:dyDescent="0.2">
      <c r="A1" s="6" t="s">
        <v>181</v>
      </c>
      <c r="B1" t="s">
        <v>202</v>
      </c>
    </row>
    <row r="3" spans="1:14" x14ac:dyDescent="0.2">
      <c r="A3" s="6" t="s">
        <v>193</v>
      </c>
      <c r="B3" s="6" t="s">
        <v>195</v>
      </c>
    </row>
    <row r="4" spans="1:14" x14ac:dyDescent="0.2">
      <c r="B4" t="s">
        <v>215</v>
      </c>
      <c r="C4" t="s">
        <v>196</v>
      </c>
      <c r="D4" t="s">
        <v>221</v>
      </c>
      <c r="E4" t="s">
        <v>216</v>
      </c>
      <c r="K4" t="s">
        <v>222</v>
      </c>
      <c r="L4" t="s">
        <v>217</v>
      </c>
      <c r="M4" t="s">
        <v>223</v>
      </c>
      <c r="N4" t="s">
        <v>194</v>
      </c>
    </row>
    <row r="5" spans="1:14" x14ac:dyDescent="0.2">
      <c r="A5" s="6" t="s">
        <v>192</v>
      </c>
      <c r="C5" s="12">
        <v>46112</v>
      </c>
      <c r="E5" s="12">
        <v>46115</v>
      </c>
      <c r="F5" s="12">
        <v>46119</v>
      </c>
      <c r="G5" s="12">
        <v>46126</v>
      </c>
      <c r="H5" s="12">
        <v>46133</v>
      </c>
      <c r="I5" s="12">
        <v>46136</v>
      </c>
      <c r="J5" s="12">
        <v>46141</v>
      </c>
      <c r="L5" s="12">
        <v>46144</v>
      </c>
    </row>
    <row r="6" spans="1:14" x14ac:dyDescent="0.2">
      <c r="A6" s="7" t="s">
        <v>189</v>
      </c>
      <c r="B6" s="8">
        <v>-58658</v>
      </c>
      <c r="C6" s="8">
        <v>77585</v>
      </c>
      <c r="D6" s="8">
        <v>77585</v>
      </c>
      <c r="E6" s="8">
        <v>996750</v>
      </c>
      <c r="F6" s="8">
        <v>43088</v>
      </c>
      <c r="G6" s="8">
        <v>127352.5</v>
      </c>
      <c r="H6" s="8">
        <v>372282</v>
      </c>
      <c r="I6" s="8">
        <v>333880</v>
      </c>
      <c r="J6" s="8">
        <v>147743.07</v>
      </c>
      <c r="K6" s="8">
        <v>2021095.57</v>
      </c>
      <c r="L6" s="8">
        <v>372635</v>
      </c>
      <c r="M6" s="8">
        <v>372635</v>
      </c>
      <c r="N6" s="8">
        <v>2412657.5700000003</v>
      </c>
    </row>
    <row r="7" spans="1:14" x14ac:dyDescent="0.2">
      <c r="A7" s="9" t="s">
        <v>39</v>
      </c>
      <c r="B7" s="8"/>
      <c r="C7" s="8"/>
      <c r="D7" s="8"/>
      <c r="E7" s="8">
        <v>996750</v>
      </c>
      <c r="F7" s="8"/>
      <c r="G7" s="8"/>
      <c r="H7" s="8"/>
      <c r="I7" s="8">
        <v>70200</v>
      </c>
      <c r="J7" s="8"/>
      <c r="K7" s="8">
        <v>1066950</v>
      </c>
      <c r="L7" s="8"/>
      <c r="M7" s="8"/>
      <c r="N7" s="8">
        <v>1066950</v>
      </c>
    </row>
    <row r="8" spans="1:14" x14ac:dyDescent="0.2">
      <c r="A8" s="9" t="s">
        <v>63</v>
      </c>
      <c r="B8" s="8">
        <v>-15658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v>-15658</v>
      </c>
    </row>
    <row r="9" spans="1:14" x14ac:dyDescent="0.2">
      <c r="A9" s="9" t="s">
        <v>73</v>
      </c>
      <c r="B9" s="8"/>
      <c r="C9" s="8">
        <v>77585</v>
      </c>
      <c r="D9" s="8">
        <v>77585</v>
      </c>
      <c r="E9" s="8"/>
      <c r="F9" s="8"/>
      <c r="G9" s="8"/>
      <c r="H9" s="8"/>
      <c r="I9" s="8"/>
      <c r="J9" s="8"/>
      <c r="K9" s="8"/>
      <c r="L9" s="8"/>
      <c r="M9" s="8"/>
      <c r="N9" s="8">
        <v>77585</v>
      </c>
    </row>
    <row r="10" spans="1:14" x14ac:dyDescent="0.2">
      <c r="A10" s="9" t="s">
        <v>79</v>
      </c>
      <c r="B10" s="8"/>
      <c r="C10" s="8"/>
      <c r="D10" s="8"/>
      <c r="E10" s="8"/>
      <c r="F10" s="8"/>
      <c r="G10" s="8">
        <v>53862.5</v>
      </c>
      <c r="H10" s="8"/>
      <c r="I10" s="8"/>
      <c r="J10" s="8"/>
      <c r="K10" s="8">
        <v>53862.5</v>
      </c>
      <c r="L10" s="8"/>
      <c r="M10" s="8"/>
      <c r="N10" s="8">
        <v>53862.5</v>
      </c>
    </row>
    <row r="11" spans="1:14" x14ac:dyDescent="0.2">
      <c r="A11" s="9" t="s">
        <v>101</v>
      </c>
      <c r="B11" s="8"/>
      <c r="C11" s="8"/>
      <c r="D11" s="8"/>
      <c r="E11" s="8"/>
      <c r="F11" s="8"/>
      <c r="G11" s="8"/>
      <c r="H11" s="8"/>
      <c r="I11" s="8"/>
      <c r="J11" s="8">
        <v>147743.07</v>
      </c>
      <c r="K11" s="8">
        <v>147743.07</v>
      </c>
      <c r="L11" s="8"/>
      <c r="M11" s="8"/>
      <c r="N11" s="8">
        <v>147743.07</v>
      </c>
    </row>
    <row r="12" spans="1:14" x14ac:dyDescent="0.2">
      <c r="A12" s="9" t="s">
        <v>104</v>
      </c>
      <c r="B12" s="8">
        <v>-43000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>
        <v>-43000</v>
      </c>
    </row>
    <row r="13" spans="1:14" x14ac:dyDescent="0.2">
      <c r="A13" s="9" t="s">
        <v>117</v>
      </c>
      <c r="B13" s="8"/>
      <c r="C13" s="8"/>
      <c r="D13" s="8"/>
      <c r="E13" s="8"/>
      <c r="F13" s="8">
        <v>43088</v>
      </c>
      <c r="G13" s="8"/>
      <c r="H13" s="8">
        <v>81352</v>
      </c>
      <c r="I13" s="8"/>
      <c r="J13" s="8"/>
      <c r="K13" s="8">
        <v>124440</v>
      </c>
      <c r="L13" s="8"/>
      <c r="M13" s="8"/>
      <c r="N13" s="8">
        <v>124440</v>
      </c>
    </row>
    <row r="14" spans="1:14" x14ac:dyDescent="0.2">
      <c r="A14" s="9" t="s">
        <v>137</v>
      </c>
      <c r="B14" s="8"/>
      <c r="C14" s="8"/>
      <c r="D14" s="8"/>
      <c r="E14" s="8"/>
      <c r="F14" s="8"/>
      <c r="G14" s="8"/>
      <c r="H14" s="8">
        <v>156680</v>
      </c>
      <c r="I14" s="8"/>
      <c r="J14" s="8"/>
      <c r="K14" s="8">
        <v>156680</v>
      </c>
      <c r="L14" s="8">
        <v>125360</v>
      </c>
      <c r="M14" s="8">
        <v>125360</v>
      </c>
      <c r="N14" s="8">
        <v>282040</v>
      </c>
    </row>
    <row r="15" spans="1:14" x14ac:dyDescent="0.2">
      <c r="A15" s="9" t="s">
        <v>141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>
        <v>31275</v>
      </c>
      <c r="M15" s="8">
        <v>31275</v>
      </c>
      <c r="N15" s="8">
        <v>31275</v>
      </c>
    </row>
    <row r="16" spans="1:14" x14ac:dyDescent="0.2">
      <c r="A16" s="9" t="s">
        <v>148</v>
      </c>
      <c r="B16" s="8"/>
      <c r="C16" s="8"/>
      <c r="D16" s="8"/>
      <c r="E16" s="8"/>
      <c r="F16" s="8"/>
      <c r="G16" s="8">
        <v>73490</v>
      </c>
      <c r="H16" s="8"/>
      <c r="I16" s="8"/>
      <c r="J16" s="8"/>
      <c r="K16" s="8">
        <v>73490</v>
      </c>
      <c r="L16" s="8"/>
      <c r="M16" s="8"/>
      <c r="N16" s="8">
        <v>73490</v>
      </c>
    </row>
    <row r="17" spans="1:14" x14ac:dyDescent="0.2">
      <c r="A17" s="9" t="s">
        <v>166</v>
      </c>
      <c r="B17" s="8"/>
      <c r="C17" s="8"/>
      <c r="D17" s="8"/>
      <c r="E17" s="8"/>
      <c r="F17" s="8"/>
      <c r="G17" s="8"/>
      <c r="H17" s="8">
        <v>134250</v>
      </c>
      <c r="I17" s="8">
        <v>263680</v>
      </c>
      <c r="J17" s="8"/>
      <c r="K17" s="8">
        <v>397930</v>
      </c>
      <c r="L17" s="8">
        <v>216000</v>
      </c>
      <c r="M17" s="8">
        <v>216000</v>
      </c>
      <c r="N17" s="8">
        <v>613930</v>
      </c>
    </row>
    <row r="18" spans="1:14" x14ac:dyDescent="0.2">
      <c r="A18" s="7" t="s">
        <v>194</v>
      </c>
      <c r="B18" s="8">
        <v>-58658</v>
      </c>
      <c r="C18" s="8">
        <v>77585</v>
      </c>
      <c r="D18" s="8">
        <v>77585</v>
      </c>
      <c r="E18" s="8">
        <v>996750</v>
      </c>
      <c r="F18" s="8">
        <v>43088</v>
      </c>
      <c r="G18" s="8">
        <v>127352.5</v>
      </c>
      <c r="H18" s="8">
        <v>372282</v>
      </c>
      <c r="I18" s="8">
        <v>333880</v>
      </c>
      <c r="J18" s="8">
        <v>147743.07</v>
      </c>
      <c r="K18" s="8">
        <v>2021095.57</v>
      </c>
      <c r="L18" s="8">
        <v>372635</v>
      </c>
      <c r="M18" s="8">
        <v>372635</v>
      </c>
      <c r="N18" s="8">
        <v>2412657.5700000003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3"/>
  <sheetViews>
    <sheetView tabSelected="1" topLeftCell="F1" workbookViewId="0">
      <selection activeCell="I1" sqref="I1"/>
    </sheetView>
  </sheetViews>
  <sheetFormatPr baseColWidth="10" defaultColWidth="8.85546875" defaultRowHeight="12.75" outlineLevelRow="2" x14ac:dyDescent="0.2"/>
  <cols>
    <col min="1" max="1" width="12" bestFit="1" customWidth="1"/>
    <col min="2" max="2" width="41" customWidth="1"/>
    <col min="3" max="3" width="14" customWidth="1"/>
    <col min="4" max="4" width="18" bestFit="1" customWidth="1"/>
    <col min="5" max="5" width="12" bestFit="1" customWidth="1"/>
    <col min="6" max="6" width="20" bestFit="1" customWidth="1"/>
    <col min="7" max="7" width="18" bestFit="1" customWidth="1"/>
    <col min="8" max="8" width="15" bestFit="1" customWidth="1"/>
    <col min="9" max="9" width="12" bestFit="1" customWidth="1"/>
    <col min="10" max="10" width="14" hidden="1" customWidth="1"/>
    <col min="11" max="11" width="26" hidden="1" customWidth="1"/>
    <col min="12" max="12" width="13.140625" customWidth="1"/>
    <col min="13" max="13" width="10.28515625" customWidth="1"/>
    <col min="14" max="14" width="19.140625" customWidth="1"/>
    <col min="15" max="15" width="12.7109375" bestFit="1" customWidth="1"/>
    <col min="16" max="16" width="12.28515625" bestFit="1" customWidth="1"/>
    <col min="17" max="17" width="13.28515625" customWidth="1"/>
    <col min="18" max="18" width="12.7109375" bestFit="1" customWidth="1"/>
    <col min="19" max="19" width="15.28515625" bestFit="1" customWidth="1"/>
  </cols>
  <sheetData>
    <row r="1" spans="1:18" ht="32.450000000000003" customHeight="1" x14ac:dyDescent="0.2">
      <c r="A1" s="1" t="s">
        <v>177</v>
      </c>
      <c r="B1" s="1" t="s">
        <v>178</v>
      </c>
      <c r="C1" s="1" t="s">
        <v>179</v>
      </c>
      <c r="D1" s="1" t="s">
        <v>180</v>
      </c>
      <c r="E1" s="5" t="s">
        <v>181</v>
      </c>
      <c r="F1" s="24" t="s">
        <v>182</v>
      </c>
      <c r="G1" s="5" t="s">
        <v>183</v>
      </c>
      <c r="H1" s="1" t="s">
        <v>184</v>
      </c>
      <c r="I1" s="5" t="s">
        <v>185</v>
      </c>
      <c r="J1" s="5" t="s">
        <v>186</v>
      </c>
      <c r="K1" s="1" t="s">
        <v>187</v>
      </c>
      <c r="L1" s="19" t="s">
        <v>212</v>
      </c>
      <c r="M1" s="20" t="s">
        <v>211</v>
      </c>
      <c r="N1" s="10" t="s">
        <v>197</v>
      </c>
      <c r="O1" s="11" t="s">
        <v>198</v>
      </c>
      <c r="P1" s="11" t="s">
        <v>199</v>
      </c>
      <c r="Q1" s="16" t="s">
        <v>207</v>
      </c>
      <c r="R1" s="15" t="s">
        <v>208</v>
      </c>
    </row>
    <row r="2" spans="1:18" hidden="1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45980</v>
      </c>
      <c r="G2" s="3">
        <v>117</v>
      </c>
      <c r="H2" s="2">
        <v>45987</v>
      </c>
      <c r="I2" s="4">
        <v>42.48</v>
      </c>
      <c r="J2" t="s">
        <v>5</v>
      </c>
      <c r="K2" t="s">
        <v>188</v>
      </c>
      <c r="L2" s="13"/>
      <c r="M2" s="13"/>
      <c r="O2" s="12">
        <f>H2</f>
        <v>45987</v>
      </c>
      <c r="P2" s="13">
        <f>I2/3.477</f>
        <v>12.217428817946505</v>
      </c>
    </row>
    <row r="3" spans="1:18" hidden="1" outlineLevel="2" x14ac:dyDescent="0.2">
      <c r="A3" t="s">
        <v>0</v>
      </c>
      <c r="B3" t="s">
        <v>1</v>
      </c>
      <c r="C3" t="s">
        <v>6</v>
      </c>
      <c r="D3" t="s">
        <v>7</v>
      </c>
      <c r="E3" t="s">
        <v>4</v>
      </c>
      <c r="F3" s="2">
        <v>45980</v>
      </c>
      <c r="G3" s="3">
        <v>117</v>
      </c>
      <c r="H3" s="2">
        <v>45987</v>
      </c>
      <c r="I3" s="4">
        <v>14.16</v>
      </c>
      <c r="J3" t="s">
        <v>5</v>
      </c>
      <c r="K3" t="s">
        <v>188</v>
      </c>
      <c r="L3" s="13"/>
      <c r="M3" s="13"/>
      <c r="O3" s="12">
        <f t="shared" ref="O3:O18" si="0">H3</f>
        <v>45987</v>
      </c>
      <c r="P3" s="13">
        <f t="shared" ref="P3:P18" si="1">I3/3.477</f>
        <v>4.072476272648835</v>
      </c>
    </row>
    <row r="4" spans="1:18" hidden="1" outlineLevel="2" x14ac:dyDescent="0.2">
      <c r="A4" t="s">
        <v>0</v>
      </c>
      <c r="B4" t="s">
        <v>1</v>
      </c>
      <c r="C4" t="s">
        <v>8</v>
      </c>
      <c r="D4" t="s">
        <v>9</v>
      </c>
      <c r="E4" t="s">
        <v>4</v>
      </c>
      <c r="F4" s="2">
        <v>45980</v>
      </c>
      <c r="G4" s="3">
        <v>117</v>
      </c>
      <c r="H4" s="2">
        <v>45987</v>
      </c>
      <c r="I4" s="4">
        <v>14.16</v>
      </c>
      <c r="J4" t="s">
        <v>5</v>
      </c>
      <c r="K4" t="s">
        <v>188</v>
      </c>
      <c r="L4" s="13"/>
      <c r="M4" s="13"/>
      <c r="O4" s="12">
        <f t="shared" si="0"/>
        <v>45987</v>
      </c>
      <c r="P4" s="13">
        <f t="shared" si="1"/>
        <v>4.072476272648835</v>
      </c>
    </row>
    <row r="5" spans="1:18" hidden="1" outlineLevel="2" x14ac:dyDescent="0.2">
      <c r="A5" t="s">
        <v>0</v>
      </c>
      <c r="B5" t="s">
        <v>1</v>
      </c>
      <c r="C5" t="s">
        <v>10</v>
      </c>
      <c r="D5" t="s">
        <v>11</v>
      </c>
      <c r="E5" t="s">
        <v>4</v>
      </c>
      <c r="F5" s="2">
        <v>45981</v>
      </c>
      <c r="G5" s="3">
        <v>116</v>
      </c>
      <c r="H5" s="2">
        <v>45988</v>
      </c>
      <c r="I5" s="4">
        <v>28.32</v>
      </c>
      <c r="J5" t="s">
        <v>5</v>
      </c>
      <c r="K5" t="s">
        <v>188</v>
      </c>
      <c r="L5" s="13"/>
      <c r="M5" s="13"/>
      <c r="O5" s="12">
        <f t="shared" si="0"/>
        <v>45988</v>
      </c>
      <c r="P5" s="13">
        <f t="shared" si="1"/>
        <v>8.1449525452976701</v>
      </c>
    </row>
    <row r="6" spans="1:18" hidden="1" outlineLevel="2" x14ac:dyDescent="0.2">
      <c r="A6" t="s">
        <v>0</v>
      </c>
      <c r="B6" t="s">
        <v>1</v>
      </c>
      <c r="C6" t="s">
        <v>12</v>
      </c>
      <c r="D6" t="s">
        <v>13</v>
      </c>
      <c r="E6" t="s">
        <v>4</v>
      </c>
      <c r="F6" s="2">
        <v>45981</v>
      </c>
      <c r="G6" s="3">
        <v>116</v>
      </c>
      <c r="H6" s="2">
        <v>45988</v>
      </c>
      <c r="I6" s="4">
        <v>14.16</v>
      </c>
      <c r="J6" t="s">
        <v>5</v>
      </c>
      <c r="K6" t="s">
        <v>188</v>
      </c>
      <c r="L6" s="13"/>
      <c r="M6" s="13"/>
      <c r="O6" s="12">
        <f t="shared" si="0"/>
        <v>45988</v>
      </c>
      <c r="P6" s="13">
        <f t="shared" si="1"/>
        <v>4.072476272648835</v>
      </c>
    </row>
    <row r="7" spans="1:18" hidden="1" outlineLevel="2" x14ac:dyDescent="0.2">
      <c r="A7" t="s">
        <v>0</v>
      </c>
      <c r="B7" t="s">
        <v>1</v>
      </c>
      <c r="C7" t="s">
        <v>14</v>
      </c>
      <c r="D7" t="s">
        <v>15</v>
      </c>
      <c r="E7" t="s">
        <v>4</v>
      </c>
      <c r="F7" s="2">
        <v>45982</v>
      </c>
      <c r="G7" s="3">
        <v>115</v>
      </c>
      <c r="H7" s="2">
        <v>45989</v>
      </c>
      <c r="I7" s="4">
        <v>28.32</v>
      </c>
      <c r="J7" t="s">
        <v>5</v>
      </c>
      <c r="K7" t="s">
        <v>188</v>
      </c>
      <c r="L7" s="13"/>
      <c r="M7" s="13"/>
      <c r="O7" s="12">
        <f t="shared" si="0"/>
        <v>45989</v>
      </c>
      <c r="P7" s="13">
        <f t="shared" si="1"/>
        <v>8.1449525452976701</v>
      </c>
    </row>
    <row r="8" spans="1:18" hidden="1" outlineLevel="2" x14ac:dyDescent="0.2">
      <c r="A8" t="s">
        <v>0</v>
      </c>
      <c r="B8" t="s">
        <v>1</v>
      </c>
      <c r="C8" t="s">
        <v>16</v>
      </c>
      <c r="D8" t="s">
        <v>17</v>
      </c>
      <c r="E8" t="s">
        <v>4</v>
      </c>
      <c r="F8" s="2">
        <v>45982</v>
      </c>
      <c r="G8" s="3">
        <v>115</v>
      </c>
      <c r="H8" s="2">
        <v>45989</v>
      </c>
      <c r="I8" s="4">
        <v>42.48</v>
      </c>
      <c r="J8" t="s">
        <v>5</v>
      </c>
      <c r="K8" t="s">
        <v>188</v>
      </c>
      <c r="L8" s="13"/>
      <c r="M8" s="13"/>
      <c r="O8" s="12">
        <f t="shared" si="0"/>
        <v>45989</v>
      </c>
      <c r="P8" s="13">
        <f t="shared" si="1"/>
        <v>12.217428817946505</v>
      </c>
    </row>
    <row r="9" spans="1:18" hidden="1" outlineLevel="2" x14ac:dyDescent="0.2">
      <c r="A9" t="s">
        <v>0</v>
      </c>
      <c r="B9" t="s">
        <v>1</v>
      </c>
      <c r="C9" t="s">
        <v>18</v>
      </c>
      <c r="D9" t="s">
        <v>19</v>
      </c>
      <c r="E9" t="s">
        <v>4</v>
      </c>
      <c r="F9" s="2">
        <v>45982</v>
      </c>
      <c r="G9" s="3">
        <v>115</v>
      </c>
      <c r="H9" s="2">
        <v>45989</v>
      </c>
      <c r="I9" s="4">
        <v>42.48</v>
      </c>
      <c r="J9" t="s">
        <v>5</v>
      </c>
      <c r="K9" t="s">
        <v>188</v>
      </c>
      <c r="L9" s="13"/>
      <c r="M9" s="13"/>
      <c r="O9" s="12">
        <f t="shared" si="0"/>
        <v>45989</v>
      </c>
      <c r="P9" s="13">
        <f t="shared" si="1"/>
        <v>12.217428817946505</v>
      </c>
    </row>
    <row r="10" spans="1:18" hidden="1" outlineLevel="2" x14ac:dyDescent="0.2">
      <c r="A10" t="s">
        <v>0</v>
      </c>
      <c r="B10" t="s">
        <v>1</v>
      </c>
      <c r="C10" t="s">
        <v>20</v>
      </c>
      <c r="D10" t="s">
        <v>21</v>
      </c>
      <c r="E10" t="s">
        <v>4</v>
      </c>
      <c r="F10" s="2">
        <v>45982</v>
      </c>
      <c r="G10" s="3">
        <v>115</v>
      </c>
      <c r="H10" s="2">
        <v>45989</v>
      </c>
      <c r="I10" s="4">
        <v>14.16</v>
      </c>
      <c r="J10" t="s">
        <v>5</v>
      </c>
      <c r="K10" t="s">
        <v>188</v>
      </c>
      <c r="L10" s="13"/>
      <c r="M10" s="13"/>
      <c r="O10" s="12">
        <f t="shared" si="0"/>
        <v>45989</v>
      </c>
      <c r="P10" s="13">
        <f t="shared" si="1"/>
        <v>4.072476272648835</v>
      </c>
    </row>
    <row r="11" spans="1:18" hidden="1" outlineLevel="2" x14ac:dyDescent="0.2">
      <c r="A11" t="s">
        <v>0</v>
      </c>
      <c r="B11" t="s">
        <v>1</v>
      </c>
      <c r="C11" t="s">
        <v>22</v>
      </c>
      <c r="D11" t="s">
        <v>23</v>
      </c>
      <c r="E11" t="s">
        <v>4</v>
      </c>
      <c r="F11" s="2">
        <v>45983</v>
      </c>
      <c r="G11" s="3">
        <v>114</v>
      </c>
      <c r="H11" s="2">
        <v>45990</v>
      </c>
      <c r="I11" s="4">
        <v>28.32</v>
      </c>
      <c r="J11" t="s">
        <v>5</v>
      </c>
      <c r="K11" t="s">
        <v>188</v>
      </c>
      <c r="L11" s="13"/>
      <c r="M11" s="13"/>
      <c r="O11" s="12">
        <f t="shared" si="0"/>
        <v>45990</v>
      </c>
      <c r="P11" s="13">
        <f t="shared" si="1"/>
        <v>8.1449525452976701</v>
      </c>
    </row>
    <row r="12" spans="1:18" hidden="1" outlineLevel="2" x14ac:dyDescent="0.2">
      <c r="A12" t="s">
        <v>0</v>
      </c>
      <c r="B12" t="s">
        <v>1</v>
      </c>
      <c r="C12" t="s">
        <v>24</v>
      </c>
      <c r="D12" t="s">
        <v>25</v>
      </c>
      <c r="E12" t="s">
        <v>4</v>
      </c>
      <c r="F12" s="2">
        <v>45988</v>
      </c>
      <c r="G12" s="3">
        <v>109</v>
      </c>
      <c r="H12" s="2">
        <v>45995</v>
      </c>
      <c r="I12" s="4">
        <v>14.16</v>
      </c>
      <c r="J12" t="s">
        <v>5</v>
      </c>
      <c r="K12" t="s">
        <v>188</v>
      </c>
      <c r="L12" s="13"/>
      <c r="M12" s="13"/>
      <c r="O12" s="12">
        <f t="shared" si="0"/>
        <v>45995</v>
      </c>
      <c r="P12" s="13">
        <f t="shared" si="1"/>
        <v>4.072476272648835</v>
      </c>
    </row>
    <row r="13" spans="1:18" hidden="1" outlineLevel="2" x14ac:dyDescent="0.2">
      <c r="A13" t="s">
        <v>0</v>
      </c>
      <c r="B13" t="s">
        <v>1</v>
      </c>
      <c r="C13" t="s">
        <v>26</v>
      </c>
      <c r="D13" t="s">
        <v>27</v>
      </c>
      <c r="E13" t="s">
        <v>4</v>
      </c>
      <c r="F13" s="2">
        <v>46028</v>
      </c>
      <c r="G13" s="3">
        <v>69</v>
      </c>
      <c r="H13" s="2">
        <v>46035</v>
      </c>
      <c r="I13" s="4">
        <v>14.16</v>
      </c>
      <c r="J13" t="s">
        <v>5</v>
      </c>
      <c r="K13" t="s">
        <v>188</v>
      </c>
      <c r="L13" s="13"/>
      <c r="M13" s="13"/>
      <c r="O13" s="12">
        <f t="shared" si="0"/>
        <v>46035</v>
      </c>
      <c r="P13" s="13">
        <f t="shared" si="1"/>
        <v>4.072476272648835</v>
      </c>
    </row>
    <row r="14" spans="1:18" hidden="1" outlineLevel="2" x14ac:dyDescent="0.2">
      <c r="A14" t="s">
        <v>0</v>
      </c>
      <c r="B14" t="s">
        <v>1</v>
      </c>
      <c r="C14" t="s">
        <v>28</v>
      </c>
      <c r="D14" t="s">
        <v>29</v>
      </c>
      <c r="E14" t="s">
        <v>4</v>
      </c>
      <c r="F14" s="2">
        <v>46030</v>
      </c>
      <c r="G14" s="3">
        <v>67</v>
      </c>
      <c r="H14" s="2">
        <v>46037</v>
      </c>
      <c r="I14" s="4">
        <v>14.16</v>
      </c>
      <c r="J14" t="s">
        <v>5</v>
      </c>
      <c r="K14" t="s">
        <v>188</v>
      </c>
      <c r="L14" s="13"/>
      <c r="M14" s="13"/>
      <c r="O14" s="12">
        <f t="shared" si="0"/>
        <v>46037</v>
      </c>
      <c r="P14" s="13">
        <f t="shared" si="1"/>
        <v>4.072476272648835</v>
      </c>
    </row>
    <row r="15" spans="1:18" hidden="1" outlineLevel="2" x14ac:dyDescent="0.2">
      <c r="A15" t="s">
        <v>0</v>
      </c>
      <c r="B15" t="s">
        <v>1</v>
      </c>
      <c r="C15" t="s">
        <v>30</v>
      </c>
      <c r="D15" t="s">
        <v>31</v>
      </c>
      <c r="E15" t="s">
        <v>4</v>
      </c>
      <c r="F15" s="2">
        <v>46032</v>
      </c>
      <c r="G15" s="3">
        <v>65</v>
      </c>
      <c r="H15" s="2">
        <v>46039</v>
      </c>
      <c r="I15" s="4">
        <v>14.16</v>
      </c>
      <c r="J15" t="s">
        <v>5</v>
      </c>
      <c r="K15" t="s">
        <v>188</v>
      </c>
      <c r="L15" s="13"/>
      <c r="M15" s="13"/>
      <c r="O15" s="12">
        <f t="shared" si="0"/>
        <v>46039</v>
      </c>
      <c r="P15" s="13">
        <f t="shared" si="1"/>
        <v>4.072476272648835</v>
      </c>
    </row>
    <row r="16" spans="1:18" hidden="1" outlineLevel="2" x14ac:dyDescent="0.2">
      <c r="A16" t="s">
        <v>0</v>
      </c>
      <c r="B16" t="s">
        <v>1</v>
      </c>
      <c r="C16" t="s">
        <v>32</v>
      </c>
      <c r="D16" t="s">
        <v>33</v>
      </c>
      <c r="E16" t="s">
        <v>4</v>
      </c>
      <c r="F16" s="2">
        <v>46038</v>
      </c>
      <c r="G16" s="3">
        <v>59</v>
      </c>
      <c r="H16" s="2">
        <v>46045</v>
      </c>
      <c r="I16" s="4">
        <v>14.16</v>
      </c>
      <c r="J16" t="s">
        <v>5</v>
      </c>
      <c r="K16" t="s">
        <v>188</v>
      </c>
      <c r="L16" s="13"/>
      <c r="M16" s="13"/>
      <c r="O16" s="12">
        <f t="shared" si="0"/>
        <v>46045</v>
      </c>
      <c r="P16" s="13">
        <f t="shared" si="1"/>
        <v>4.072476272648835</v>
      </c>
    </row>
    <row r="17" spans="1:18" hidden="1" outlineLevel="2" x14ac:dyDescent="0.2">
      <c r="A17" t="s">
        <v>0</v>
      </c>
      <c r="B17" t="s">
        <v>1</v>
      </c>
      <c r="C17" t="s">
        <v>34</v>
      </c>
      <c r="D17" t="s">
        <v>35</v>
      </c>
      <c r="E17" t="s">
        <v>4</v>
      </c>
      <c r="F17" s="2">
        <v>46038</v>
      </c>
      <c r="G17" s="3">
        <v>59</v>
      </c>
      <c r="H17" s="2">
        <v>46045</v>
      </c>
      <c r="I17" s="4">
        <v>14.16</v>
      </c>
      <c r="J17" t="s">
        <v>5</v>
      </c>
      <c r="K17" t="s">
        <v>188</v>
      </c>
      <c r="L17" s="13"/>
      <c r="M17" s="13"/>
      <c r="O17" s="12">
        <f t="shared" si="0"/>
        <v>46045</v>
      </c>
      <c r="P17" s="13">
        <f t="shared" si="1"/>
        <v>4.072476272648835</v>
      </c>
    </row>
    <row r="18" spans="1:18" hidden="1" outlineLevel="2" x14ac:dyDescent="0.2">
      <c r="A18" t="s">
        <v>0</v>
      </c>
      <c r="B18" t="s">
        <v>1</v>
      </c>
      <c r="C18" t="s">
        <v>36</v>
      </c>
      <c r="D18" t="s">
        <v>37</v>
      </c>
      <c r="E18" t="s">
        <v>4</v>
      </c>
      <c r="F18" s="2">
        <v>46041</v>
      </c>
      <c r="G18" s="3">
        <v>56</v>
      </c>
      <c r="H18" s="2">
        <v>46048</v>
      </c>
      <c r="I18" s="4">
        <v>14.16</v>
      </c>
      <c r="J18" t="s">
        <v>5</v>
      </c>
      <c r="K18" t="s">
        <v>188</v>
      </c>
      <c r="L18" s="13"/>
      <c r="M18" s="13"/>
      <c r="O18" s="12">
        <f t="shared" si="0"/>
        <v>46048</v>
      </c>
      <c r="P18" s="13">
        <f t="shared" si="1"/>
        <v>4.072476272648835</v>
      </c>
    </row>
    <row r="19" spans="1:18" outlineLevel="2" x14ac:dyDescent="0.2">
      <c r="A19" t="s">
        <v>38</v>
      </c>
      <c r="B19" t="s">
        <v>39</v>
      </c>
      <c r="C19" t="s">
        <v>40</v>
      </c>
      <c r="D19" t="s">
        <v>41</v>
      </c>
      <c r="E19" t="s">
        <v>42</v>
      </c>
      <c r="F19" s="25">
        <v>46076</v>
      </c>
      <c r="G19" s="3">
        <v>-17</v>
      </c>
      <c r="H19" s="2">
        <v>46121</v>
      </c>
      <c r="I19" s="4">
        <v>70200</v>
      </c>
      <c r="J19" t="s">
        <v>43</v>
      </c>
      <c r="K19" t="s">
        <v>189</v>
      </c>
      <c r="L19" s="12">
        <f t="shared" ref="L19:L24" si="2">F19+45</f>
        <v>46121</v>
      </c>
      <c r="M19" s="21">
        <f ca="1">N19-TODAY()</f>
        <v>25</v>
      </c>
      <c r="N19" s="12">
        <v>46136</v>
      </c>
      <c r="O19" s="22">
        <v>46136</v>
      </c>
      <c r="P19" s="23">
        <f>I19</f>
        <v>70200</v>
      </c>
      <c r="Q19" s="17">
        <f ca="1">TODAY()-F19</f>
        <v>35</v>
      </c>
      <c r="R19" s="18" t="s">
        <v>209</v>
      </c>
    </row>
    <row r="20" spans="1:18" outlineLevel="2" x14ac:dyDescent="0.2">
      <c r="A20" t="s">
        <v>38</v>
      </c>
      <c r="B20" t="s">
        <v>39</v>
      </c>
      <c r="C20" t="s">
        <v>44</v>
      </c>
      <c r="D20" t="s">
        <v>45</v>
      </c>
      <c r="E20" t="s">
        <v>42</v>
      </c>
      <c r="F20" s="25">
        <v>46076</v>
      </c>
      <c r="G20" s="3">
        <v>-17</v>
      </c>
      <c r="H20" s="2">
        <v>46121</v>
      </c>
      <c r="I20" s="4">
        <v>121500</v>
      </c>
      <c r="J20" t="s">
        <v>43</v>
      </c>
      <c r="K20" t="s">
        <v>189</v>
      </c>
      <c r="L20" s="12">
        <f t="shared" si="2"/>
        <v>46121</v>
      </c>
      <c r="M20" s="21">
        <f t="shared" ref="M20:M24" ca="1" si="3">N20-TODAY()</f>
        <v>25</v>
      </c>
      <c r="N20" s="12">
        <v>46136</v>
      </c>
      <c r="O20" s="22">
        <v>46115</v>
      </c>
      <c r="P20" s="23">
        <f t="shared" ref="P20:P24" si="4">I20</f>
        <v>121500</v>
      </c>
      <c r="Q20" s="17">
        <f t="shared" ref="Q20:Q24" ca="1" si="5">TODAY()-F20</f>
        <v>35</v>
      </c>
      <c r="R20" s="18" t="s">
        <v>209</v>
      </c>
    </row>
    <row r="21" spans="1:18" outlineLevel="2" x14ac:dyDescent="0.2">
      <c r="A21" t="s">
        <v>38</v>
      </c>
      <c r="B21" t="s">
        <v>39</v>
      </c>
      <c r="C21" t="s">
        <v>46</v>
      </c>
      <c r="D21" t="s">
        <v>47</v>
      </c>
      <c r="E21" t="s">
        <v>42</v>
      </c>
      <c r="F21" s="25">
        <v>46076</v>
      </c>
      <c r="G21" s="3">
        <v>-17</v>
      </c>
      <c r="H21" s="2">
        <v>46121</v>
      </c>
      <c r="I21" s="4">
        <v>173250</v>
      </c>
      <c r="J21" t="s">
        <v>43</v>
      </c>
      <c r="K21" t="s">
        <v>189</v>
      </c>
      <c r="L21" s="12">
        <f t="shared" si="2"/>
        <v>46121</v>
      </c>
      <c r="M21" s="21">
        <f t="shared" ca="1" si="3"/>
        <v>25</v>
      </c>
      <c r="N21" s="12">
        <v>46136</v>
      </c>
      <c r="O21" s="22">
        <v>46115</v>
      </c>
      <c r="P21" s="23">
        <f t="shared" si="4"/>
        <v>173250</v>
      </c>
      <c r="Q21" s="17">
        <f t="shared" ca="1" si="5"/>
        <v>35</v>
      </c>
      <c r="R21" s="18" t="s">
        <v>209</v>
      </c>
    </row>
    <row r="22" spans="1:18" outlineLevel="2" x14ac:dyDescent="0.2">
      <c r="A22" t="s">
        <v>38</v>
      </c>
      <c r="B22" t="s">
        <v>39</v>
      </c>
      <c r="C22" t="s">
        <v>48</v>
      </c>
      <c r="D22" t="s">
        <v>49</v>
      </c>
      <c r="E22" t="s">
        <v>42</v>
      </c>
      <c r="F22" s="25">
        <v>46081</v>
      </c>
      <c r="G22" s="3">
        <v>-22</v>
      </c>
      <c r="H22" s="2">
        <v>46126</v>
      </c>
      <c r="I22" s="4">
        <v>175500</v>
      </c>
      <c r="J22" t="s">
        <v>43</v>
      </c>
      <c r="K22" t="s">
        <v>189</v>
      </c>
      <c r="L22" s="12">
        <f t="shared" si="2"/>
        <v>46126</v>
      </c>
      <c r="M22" s="21">
        <f t="shared" ca="1" si="3"/>
        <v>30</v>
      </c>
      <c r="N22" s="12">
        <v>46141</v>
      </c>
      <c r="O22" s="22">
        <v>46115</v>
      </c>
      <c r="P22" s="23">
        <f t="shared" si="4"/>
        <v>175500</v>
      </c>
      <c r="Q22" s="17">
        <f t="shared" ca="1" si="5"/>
        <v>30</v>
      </c>
      <c r="R22" s="18" t="s">
        <v>209</v>
      </c>
    </row>
    <row r="23" spans="1:18" outlineLevel="2" x14ac:dyDescent="0.2">
      <c r="A23" t="s">
        <v>38</v>
      </c>
      <c r="B23" t="s">
        <v>39</v>
      </c>
      <c r="C23" t="s">
        <v>50</v>
      </c>
      <c r="D23" t="s">
        <v>51</v>
      </c>
      <c r="E23" t="s">
        <v>42</v>
      </c>
      <c r="F23" s="25">
        <v>46081</v>
      </c>
      <c r="G23" s="3">
        <v>-22</v>
      </c>
      <c r="H23" s="2">
        <v>46126</v>
      </c>
      <c r="I23" s="4">
        <v>70200</v>
      </c>
      <c r="J23" t="s">
        <v>43</v>
      </c>
      <c r="K23" t="s">
        <v>189</v>
      </c>
      <c r="L23" s="12">
        <f t="shared" si="2"/>
        <v>46126</v>
      </c>
      <c r="M23" s="21">
        <f t="shared" ca="1" si="3"/>
        <v>30</v>
      </c>
      <c r="N23" s="12">
        <v>46141</v>
      </c>
      <c r="O23" s="22">
        <v>46115</v>
      </c>
      <c r="P23" s="23">
        <f t="shared" si="4"/>
        <v>70200</v>
      </c>
      <c r="Q23" s="17">
        <f t="shared" ca="1" si="5"/>
        <v>30</v>
      </c>
      <c r="R23" s="18" t="s">
        <v>209</v>
      </c>
    </row>
    <row r="24" spans="1:18" outlineLevel="2" x14ac:dyDescent="0.2">
      <c r="A24" t="s">
        <v>38</v>
      </c>
      <c r="B24" t="s">
        <v>39</v>
      </c>
      <c r="C24" t="s">
        <v>52</v>
      </c>
      <c r="D24" t="s">
        <v>53</v>
      </c>
      <c r="E24" t="s">
        <v>42</v>
      </c>
      <c r="F24" s="25">
        <v>46081</v>
      </c>
      <c r="G24" s="3">
        <v>-22</v>
      </c>
      <c r="H24" s="2">
        <v>46126</v>
      </c>
      <c r="I24" s="4">
        <v>456300</v>
      </c>
      <c r="J24" t="s">
        <v>43</v>
      </c>
      <c r="K24" t="s">
        <v>189</v>
      </c>
      <c r="L24" s="12">
        <f t="shared" si="2"/>
        <v>46126</v>
      </c>
      <c r="M24" s="21">
        <f t="shared" ca="1" si="3"/>
        <v>30</v>
      </c>
      <c r="N24" s="12">
        <v>46141</v>
      </c>
      <c r="O24" s="22">
        <v>46115</v>
      </c>
      <c r="P24" s="23">
        <f t="shared" si="4"/>
        <v>456300</v>
      </c>
      <c r="Q24" s="17">
        <f t="shared" ca="1" si="5"/>
        <v>30</v>
      </c>
      <c r="R24" s="18" t="s">
        <v>209</v>
      </c>
    </row>
    <row r="25" spans="1:18" hidden="1" outlineLevel="2" x14ac:dyDescent="0.2">
      <c r="A25" t="s">
        <v>54</v>
      </c>
      <c r="B25" t="s">
        <v>55</v>
      </c>
      <c r="C25" t="s">
        <v>56</v>
      </c>
      <c r="D25" t="s">
        <v>57</v>
      </c>
      <c r="E25" t="s">
        <v>4</v>
      </c>
      <c r="F25" s="2">
        <v>46098</v>
      </c>
      <c r="G25" s="3">
        <v>-1</v>
      </c>
      <c r="H25" s="2">
        <v>46105</v>
      </c>
      <c r="I25" s="4">
        <v>424.8</v>
      </c>
      <c r="J25" t="s">
        <v>5</v>
      </c>
      <c r="K25" t="s">
        <v>188</v>
      </c>
      <c r="L25" s="12"/>
      <c r="M25" s="12"/>
      <c r="O25" s="12">
        <f t="shared" ref="O25:O27" si="6">H25</f>
        <v>46105</v>
      </c>
      <c r="P25" s="13">
        <f t="shared" ref="P25:P27" si="7">I25/3.477</f>
        <v>122.17428817946507</v>
      </c>
    </row>
    <row r="26" spans="1:18" hidden="1" outlineLevel="2" x14ac:dyDescent="0.2">
      <c r="A26" t="s">
        <v>54</v>
      </c>
      <c r="B26" t="s">
        <v>55</v>
      </c>
      <c r="C26" t="s">
        <v>58</v>
      </c>
      <c r="D26" t="s">
        <v>59</v>
      </c>
      <c r="E26" t="s">
        <v>4</v>
      </c>
      <c r="F26" s="2">
        <v>46100</v>
      </c>
      <c r="G26" s="3">
        <v>-3</v>
      </c>
      <c r="H26" s="2">
        <v>46107</v>
      </c>
      <c r="I26" s="4">
        <v>283.2</v>
      </c>
      <c r="J26" t="s">
        <v>5</v>
      </c>
      <c r="K26" t="s">
        <v>188</v>
      </c>
      <c r="L26" s="12"/>
      <c r="M26" s="12"/>
      <c r="O26" s="12">
        <f t="shared" si="6"/>
        <v>46107</v>
      </c>
      <c r="P26" s="13">
        <f t="shared" si="7"/>
        <v>81.449525452976701</v>
      </c>
    </row>
    <row r="27" spans="1:18" hidden="1" outlineLevel="2" x14ac:dyDescent="0.2">
      <c r="A27" t="s">
        <v>54</v>
      </c>
      <c r="B27" t="s">
        <v>55</v>
      </c>
      <c r="C27" t="s">
        <v>60</v>
      </c>
      <c r="D27" t="s">
        <v>61</v>
      </c>
      <c r="E27" t="s">
        <v>4</v>
      </c>
      <c r="F27" s="2">
        <v>46102</v>
      </c>
      <c r="G27" s="3">
        <v>-5</v>
      </c>
      <c r="H27" s="2">
        <v>46109</v>
      </c>
      <c r="I27" s="4">
        <v>354</v>
      </c>
      <c r="J27" t="s">
        <v>5</v>
      </c>
      <c r="K27" t="s">
        <v>188</v>
      </c>
      <c r="L27" s="12"/>
      <c r="M27" s="12"/>
      <c r="O27" s="12">
        <f t="shared" si="6"/>
        <v>46109</v>
      </c>
      <c r="P27" s="13">
        <f t="shared" si="7"/>
        <v>101.81190681622088</v>
      </c>
    </row>
    <row r="28" spans="1:18" hidden="1" outlineLevel="2" x14ac:dyDescent="0.2">
      <c r="A28" t="s">
        <v>62</v>
      </c>
      <c r="B28" t="s">
        <v>63</v>
      </c>
      <c r="C28" t="s">
        <v>64</v>
      </c>
      <c r="D28" t="s">
        <v>65</v>
      </c>
      <c r="E28" t="s">
        <v>66</v>
      </c>
      <c r="F28" s="2">
        <v>46090</v>
      </c>
      <c r="G28" s="3">
        <v>0</v>
      </c>
      <c r="H28" s="2">
        <v>46112</v>
      </c>
      <c r="I28" s="4">
        <v>-48045</v>
      </c>
      <c r="J28" t="s">
        <v>43</v>
      </c>
      <c r="K28" t="s">
        <v>189</v>
      </c>
      <c r="L28" s="12"/>
      <c r="M28" s="21"/>
      <c r="O28" s="12"/>
      <c r="P28" s="8">
        <f t="shared" ref="P28:P33" si="8">I28</f>
        <v>-48045</v>
      </c>
      <c r="Q28" s="17"/>
      <c r="R28" s="18"/>
    </row>
    <row r="29" spans="1:18" hidden="1" outlineLevel="2" x14ac:dyDescent="0.2">
      <c r="A29" t="s">
        <v>62</v>
      </c>
      <c r="B29" t="s">
        <v>63</v>
      </c>
      <c r="C29" t="s">
        <v>67</v>
      </c>
      <c r="D29" t="s">
        <v>68</v>
      </c>
      <c r="E29" t="s">
        <v>69</v>
      </c>
      <c r="F29" s="2">
        <v>46094</v>
      </c>
      <c r="G29" s="3">
        <v>0</v>
      </c>
      <c r="H29" s="2">
        <v>46094</v>
      </c>
      <c r="I29" s="4">
        <v>-15658</v>
      </c>
      <c r="J29" t="s">
        <v>43</v>
      </c>
      <c r="K29" t="s">
        <v>189</v>
      </c>
      <c r="L29" s="12"/>
      <c r="M29" s="21"/>
      <c r="O29" s="12"/>
      <c r="P29" s="8">
        <f t="shared" si="8"/>
        <v>-15658</v>
      </c>
      <c r="Q29" s="17"/>
      <c r="R29" s="18"/>
    </row>
    <row r="30" spans="1:18" hidden="1" outlineLevel="2" x14ac:dyDescent="0.2">
      <c r="A30" t="s">
        <v>62</v>
      </c>
      <c r="B30" t="s">
        <v>63</v>
      </c>
      <c r="C30" t="s">
        <v>70</v>
      </c>
      <c r="D30" t="s">
        <v>65</v>
      </c>
      <c r="E30" t="s">
        <v>66</v>
      </c>
      <c r="F30" s="2">
        <v>46098</v>
      </c>
      <c r="G30" s="3">
        <v>0</v>
      </c>
      <c r="H30" s="2">
        <v>46112</v>
      </c>
      <c r="I30" s="4">
        <v>-8700</v>
      </c>
      <c r="J30" t="s">
        <v>43</v>
      </c>
      <c r="K30" t="s">
        <v>189</v>
      </c>
      <c r="L30" s="12"/>
      <c r="M30" s="21"/>
      <c r="O30" s="12"/>
      <c r="P30" s="8">
        <f t="shared" si="8"/>
        <v>-8700</v>
      </c>
      <c r="Q30" s="17"/>
      <c r="R30" s="18"/>
    </row>
    <row r="31" spans="1:18" hidden="1" outlineLevel="2" x14ac:dyDescent="0.2">
      <c r="A31" t="s">
        <v>72</v>
      </c>
      <c r="B31" t="s">
        <v>73</v>
      </c>
      <c r="C31" t="s">
        <v>74</v>
      </c>
      <c r="D31" t="s">
        <v>75</v>
      </c>
      <c r="E31" t="s">
        <v>71</v>
      </c>
      <c r="F31" s="2">
        <v>45905</v>
      </c>
      <c r="G31" s="3">
        <v>199</v>
      </c>
      <c r="H31" s="2">
        <v>45905</v>
      </c>
      <c r="I31" s="4">
        <v>20964</v>
      </c>
      <c r="J31" t="s">
        <v>43</v>
      </c>
      <c r="K31" t="s">
        <v>189</v>
      </c>
      <c r="L31" s="12"/>
      <c r="M31" s="21"/>
      <c r="N31" s="12"/>
      <c r="O31" s="12"/>
      <c r="P31" s="8">
        <f t="shared" si="8"/>
        <v>20964</v>
      </c>
      <c r="Q31" s="17"/>
      <c r="R31" s="18"/>
    </row>
    <row r="32" spans="1:18" outlineLevel="2" x14ac:dyDescent="0.2">
      <c r="A32" t="s">
        <v>72</v>
      </c>
      <c r="B32" t="s">
        <v>73</v>
      </c>
      <c r="C32" t="s">
        <v>76</v>
      </c>
      <c r="D32" t="s">
        <v>77</v>
      </c>
      <c r="E32" t="s">
        <v>42</v>
      </c>
      <c r="F32" s="25">
        <v>46054</v>
      </c>
      <c r="G32" s="3">
        <v>-10</v>
      </c>
      <c r="H32" s="2">
        <v>46114</v>
      </c>
      <c r="I32" s="4">
        <v>77585</v>
      </c>
      <c r="J32" t="s">
        <v>43</v>
      </c>
      <c r="K32" t="s">
        <v>189</v>
      </c>
      <c r="L32" s="12">
        <f>F32+45</f>
        <v>46099</v>
      </c>
      <c r="M32" s="21">
        <f t="shared" ref="M32:M33" ca="1" si="9">N32-TODAY()</f>
        <v>-10</v>
      </c>
      <c r="N32" s="12">
        <v>46101</v>
      </c>
      <c r="O32" s="22">
        <v>46112</v>
      </c>
      <c r="P32" s="23">
        <f t="shared" si="8"/>
        <v>77585</v>
      </c>
      <c r="Q32" s="17">
        <f t="shared" ref="Q32:Q33" ca="1" si="10">TODAY()-F32</f>
        <v>57</v>
      </c>
      <c r="R32" s="18" t="s">
        <v>213</v>
      </c>
    </row>
    <row r="33" spans="1:18" outlineLevel="2" x14ac:dyDescent="0.2">
      <c r="A33" t="s">
        <v>78</v>
      </c>
      <c r="B33" t="s">
        <v>79</v>
      </c>
      <c r="C33" t="s">
        <v>80</v>
      </c>
      <c r="D33" t="s">
        <v>81</v>
      </c>
      <c r="E33" t="s">
        <v>69</v>
      </c>
      <c r="F33" s="25">
        <v>46081</v>
      </c>
      <c r="G33" s="3">
        <v>23</v>
      </c>
      <c r="H33" s="2">
        <v>46081</v>
      </c>
      <c r="I33" s="4">
        <v>53862.5</v>
      </c>
      <c r="J33" t="s">
        <v>43</v>
      </c>
      <c r="K33" t="s">
        <v>189</v>
      </c>
      <c r="L33" s="12">
        <f>F33+45</f>
        <v>46126</v>
      </c>
      <c r="M33" s="21">
        <f t="shared" ca="1" si="9"/>
        <v>15</v>
      </c>
      <c r="N33" s="12">
        <v>46126</v>
      </c>
      <c r="O33" s="22">
        <f t="shared" ref="O33" si="11">H33+45</f>
        <v>46126</v>
      </c>
      <c r="P33" s="23">
        <f t="shared" si="8"/>
        <v>53862.5</v>
      </c>
      <c r="Q33" s="17">
        <f t="shared" ca="1" si="10"/>
        <v>30</v>
      </c>
      <c r="R33" s="18" t="s">
        <v>209</v>
      </c>
    </row>
    <row r="34" spans="1:18" hidden="1" outlineLevel="2" x14ac:dyDescent="0.2">
      <c r="A34" t="s">
        <v>82</v>
      </c>
      <c r="B34" t="s">
        <v>83</v>
      </c>
      <c r="C34" t="s">
        <v>84</v>
      </c>
      <c r="D34" t="s">
        <v>85</v>
      </c>
      <c r="E34" t="s">
        <v>4</v>
      </c>
      <c r="F34" s="2">
        <v>46036</v>
      </c>
      <c r="G34" s="3">
        <v>61</v>
      </c>
      <c r="H34" s="2">
        <v>46043</v>
      </c>
      <c r="I34" s="4">
        <v>231.52</v>
      </c>
      <c r="J34" t="s">
        <v>5</v>
      </c>
      <c r="K34" t="s">
        <v>188</v>
      </c>
      <c r="L34" s="12"/>
      <c r="M34" s="12"/>
      <c r="O34" s="12">
        <f t="shared" ref="O34:O41" si="12">H34</f>
        <v>46043</v>
      </c>
      <c r="P34" s="13">
        <f t="shared" ref="P34:P41" si="13">I34/3.477</f>
        <v>66.586137474834629</v>
      </c>
    </row>
    <row r="35" spans="1:18" hidden="1" outlineLevel="2" x14ac:dyDescent="0.2">
      <c r="A35" t="s">
        <v>82</v>
      </c>
      <c r="B35" t="s">
        <v>83</v>
      </c>
      <c r="C35" t="s">
        <v>86</v>
      </c>
      <c r="D35" t="s">
        <v>87</v>
      </c>
      <c r="E35" t="s">
        <v>4</v>
      </c>
      <c r="F35" s="2">
        <v>46036</v>
      </c>
      <c r="G35" s="3">
        <v>61</v>
      </c>
      <c r="H35" s="2">
        <v>46043</v>
      </c>
      <c r="I35" s="4">
        <v>23.6</v>
      </c>
      <c r="J35" t="s">
        <v>5</v>
      </c>
      <c r="K35" t="s">
        <v>188</v>
      </c>
      <c r="L35" s="12"/>
      <c r="M35" s="12"/>
      <c r="O35" s="12">
        <f t="shared" si="12"/>
        <v>46043</v>
      </c>
      <c r="P35" s="13">
        <f t="shared" si="13"/>
        <v>6.7874604544147257</v>
      </c>
    </row>
    <row r="36" spans="1:18" hidden="1" outlineLevel="2" x14ac:dyDescent="0.2">
      <c r="A36" t="s">
        <v>82</v>
      </c>
      <c r="B36" t="s">
        <v>83</v>
      </c>
      <c r="C36" t="s">
        <v>88</v>
      </c>
      <c r="D36" t="s">
        <v>89</v>
      </c>
      <c r="E36" t="s">
        <v>4</v>
      </c>
      <c r="F36" s="2">
        <v>46051</v>
      </c>
      <c r="G36" s="3">
        <v>46</v>
      </c>
      <c r="H36" s="2">
        <v>46058</v>
      </c>
      <c r="I36" s="4">
        <v>251.1</v>
      </c>
      <c r="J36" t="s">
        <v>5</v>
      </c>
      <c r="K36" t="s">
        <v>188</v>
      </c>
      <c r="L36" s="12"/>
      <c r="M36" s="12"/>
      <c r="O36" s="12">
        <f t="shared" si="12"/>
        <v>46058</v>
      </c>
      <c r="P36" s="13">
        <f t="shared" si="13"/>
        <v>72.217428817946512</v>
      </c>
    </row>
    <row r="37" spans="1:18" hidden="1" outlineLevel="2" x14ac:dyDescent="0.2">
      <c r="A37" t="s">
        <v>82</v>
      </c>
      <c r="B37" t="s">
        <v>83</v>
      </c>
      <c r="C37" t="s">
        <v>90</v>
      </c>
      <c r="D37" t="s">
        <v>91</v>
      </c>
      <c r="E37" t="s">
        <v>4</v>
      </c>
      <c r="F37" s="2">
        <v>46051</v>
      </c>
      <c r="G37" s="3">
        <v>46</v>
      </c>
      <c r="H37" s="2">
        <v>46058</v>
      </c>
      <c r="I37" s="4">
        <v>47.2</v>
      </c>
      <c r="J37" t="s">
        <v>5</v>
      </c>
      <c r="K37" t="s">
        <v>188</v>
      </c>
      <c r="L37" s="12"/>
      <c r="M37" s="12"/>
      <c r="O37" s="12">
        <f t="shared" si="12"/>
        <v>46058</v>
      </c>
      <c r="P37" s="13">
        <f t="shared" si="13"/>
        <v>13.574920908829451</v>
      </c>
    </row>
    <row r="38" spans="1:18" hidden="1" outlineLevel="2" x14ac:dyDescent="0.2">
      <c r="A38" t="s">
        <v>82</v>
      </c>
      <c r="B38" t="s">
        <v>83</v>
      </c>
      <c r="C38" t="s">
        <v>92</v>
      </c>
      <c r="D38" t="s">
        <v>93</v>
      </c>
      <c r="E38" t="s">
        <v>4</v>
      </c>
      <c r="F38" s="2">
        <v>46058</v>
      </c>
      <c r="G38" s="3">
        <v>39</v>
      </c>
      <c r="H38" s="2">
        <v>46065</v>
      </c>
      <c r="I38" s="4">
        <v>333.94</v>
      </c>
      <c r="J38" t="s">
        <v>5</v>
      </c>
      <c r="K38" t="s">
        <v>188</v>
      </c>
      <c r="L38" s="12"/>
      <c r="M38" s="12"/>
      <c r="O38" s="12">
        <f t="shared" si="12"/>
        <v>46065</v>
      </c>
      <c r="P38" s="13">
        <f t="shared" si="13"/>
        <v>96.042565429968363</v>
      </c>
    </row>
    <row r="39" spans="1:18" hidden="1" outlineLevel="2" x14ac:dyDescent="0.2">
      <c r="A39" t="s">
        <v>82</v>
      </c>
      <c r="B39" t="s">
        <v>83</v>
      </c>
      <c r="C39" t="s">
        <v>94</v>
      </c>
      <c r="D39" t="s">
        <v>95</v>
      </c>
      <c r="E39" t="s">
        <v>4</v>
      </c>
      <c r="F39" s="2">
        <v>46058</v>
      </c>
      <c r="G39" s="3">
        <v>39</v>
      </c>
      <c r="H39" s="2">
        <v>46065</v>
      </c>
      <c r="I39" s="4">
        <v>47.2</v>
      </c>
      <c r="J39" t="s">
        <v>5</v>
      </c>
      <c r="K39" t="s">
        <v>188</v>
      </c>
      <c r="L39" s="12"/>
      <c r="M39" s="12"/>
      <c r="O39" s="12">
        <f t="shared" si="12"/>
        <v>46065</v>
      </c>
      <c r="P39" s="13">
        <f t="shared" si="13"/>
        <v>13.574920908829451</v>
      </c>
    </row>
    <row r="40" spans="1:18" hidden="1" outlineLevel="2" x14ac:dyDescent="0.2">
      <c r="A40" t="s">
        <v>82</v>
      </c>
      <c r="B40" t="s">
        <v>83</v>
      </c>
      <c r="C40" t="s">
        <v>96</v>
      </c>
      <c r="D40" t="s">
        <v>97</v>
      </c>
      <c r="E40" t="s">
        <v>4</v>
      </c>
      <c r="F40" s="2">
        <v>46102</v>
      </c>
      <c r="G40" s="3">
        <v>-5</v>
      </c>
      <c r="H40" s="2">
        <v>46109</v>
      </c>
      <c r="I40" s="4">
        <v>367.07</v>
      </c>
      <c r="J40" t="s">
        <v>5</v>
      </c>
      <c r="K40" t="s">
        <v>188</v>
      </c>
      <c r="L40" s="12"/>
      <c r="M40" s="12"/>
      <c r="O40" s="12">
        <f t="shared" si="12"/>
        <v>46109</v>
      </c>
      <c r="P40" s="13">
        <f t="shared" si="13"/>
        <v>105.57089444923785</v>
      </c>
    </row>
    <row r="41" spans="1:18" hidden="1" outlineLevel="2" x14ac:dyDescent="0.2">
      <c r="A41" t="s">
        <v>82</v>
      </c>
      <c r="B41" t="s">
        <v>83</v>
      </c>
      <c r="C41" t="s">
        <v>98</v>
      </c>
      <c r="D41" t="s">
        <v>99</v>
      </c>
      <c r="E41" t="s">
        <v>4</v>
      </c>
      <c r="F41" s="2">
        <v>46102</v>
      </c>
      <c r="G41" s="3">
        <v>-5</v>
      </c>
      <c r="H41" s="2">
        <v>46109</v>
      </c>
      <c r="I41" s="4">
        <v>135.69999999999999</v>
      </c>
      <c r="J41" t="s">
        <v>5</v>
      </c>
      <c r="K41" t="s">
        <v>188</v>
      </c>
      <c r="L41" s="12"/>
      <c r="M41" s="12"/>
      <c r="O41" s="12">
        <f t="shared" si="12"/>
        <v>46109</v>
      </c>
      <c r="P41" s="13">
        <f t="shared" si="13"/>
        <v>39.027897612884672</v>
      </c>
    </row>
    <row r="42" spans="1:18" outlineLevel="2" x14ac:dyDescent="0.2">
      <c r="A42" t="s">
        <v>100</v>
      </c>
      <c r="B42" t="s">
        <v>101</v>
      </c>
      <c r="C42" t="s">
        <v>102</v>
      </c>
      <c r="D42" s="15" t="s">
        <v>203</v>
      </c>
      <c r="E42" t="s">
        <v>42</v>
      </c>
      <c r="F42" s="25">
        <v>46096</v>
      </c>
      <c r="G42" s="3">
        <v>-37</v>
      </c>
      <c r="H42" s="2">
        <v>46141</v>
      </c>
      <c r="I42" s="4">
        <v>147743.07</v>
      </c>
      <c r="J42" t="s">
        <v>43</v>
      </c>
      <c r="K42" t="s">
        <v>189</v>
      </c>
      <c r="L42" s="12">
        <f>F42+45</f>
        <v>46141</v>
      </c>
      <c r="M42" s="21"/>
      <c r="O42" s="22">
        <v>46141</v>
      </c>
      <c r="P42" s="23">
        <f t="shared" ref="P42:P43" si="14">I42</f>
        <v>147743.07</v>
      </c>
      <c r="Q42" s="17">
        <f t="shared" ref="Q42:Q43" ca="1" si="15">TODAY()-F42</f>
        <v>15</v>
      </c>
      <c r="R42" s="18" t="s">
        <v>209</v>
      </c>
    </row>
    <row r="43" spans="1:18" hidden="1" outlineLevel="2" x14ac:dyDescent="0.2">
      <c r="A43" t="s">
        <v>103</v>
      </c>
      <c r="B43" t="s">
        <v>104</v>
      </c>
      <c r="C43" t="s">
        <v>105</v>
      </c>
      <c r="D43" t="s">
        <v>68</v>
      </c>
      <c r="E43" t="s">
        <v>69</v>
      </c>
      <c r="F43" s="2">
        <v>46098</v>
      </c>
      <c r="G43" s="3">
        <v>0</v>
      </c>
      <c r="H43" s="2">
        <v>46098</v>
      </c>
      <c r="I43" s="4">
        <v>-7410</v>
      </c>
      <c r="J43" t="s">
        <v>43</v>
      </c>
      <c r="K43" t="s">
        <v>189</v>
      </c>
      <c r="L43" s="12"/>
      <c r="M43" s="21"/>
      <c r="O43" s="12"/>
      <c r="P43" s="8">
        <f t="shared" si="14"/>
        <v>-7410</v>
      </c>
      <c r="Q43" s="17">
        <f t="shared" ca="1" si="15"/>
        <v>13</v>
      </c>
      <c r="R43" s="18" t="s">
        <v>209</v>
      </c>
    </row>
    <row r="44" spans="1:18" hidden="1" outlineLevel="2" x14ac:dyDescent="0.2">
      <c r="A44" t="s">
        <v>103</v>
      </c>
      <c r="B44" t="s">
        <v>104</v>
      </c>
      <c r="C44" t="s">
        <v>105</v>
      </c>
      <c r="D44" t="s">
        <v>220</v>
      </c>
      <c r="E44" t="s">
        <v>69</v>
      </c>
      <c r="F44" s="2">
        <v>46108</v>
      </c>
      <c r="G44" s="3">
        <v>0</v>
      </c>
      <c r="H44" s="2">
        <v>46098</v>
      </c>
      <c r="I44" s="4">
        <v>-35590</v>
      </c>
      <c r="J44" t="s">
        <v>43</v>
      </c>
      <c r="K44" t="s">
        <v>189</v>
      </c>
      <c r="L44" s="12"/>
      <c r="M44" s="21"/>
      <c r="O44" s="12"/>
      <c r="P44" s="8">
        <f t="shared" ref="P44" si="16">I44</f>
        <v>-35590</v>
      </c>
      <c r="Q44" s="17">
        <f t="shared" ref="Q44" ca="1" si="17">TODAY()-F44</f>
        <v>3</v>
      </c>
      <c r="R44" s="18" t="s">
        <v>209</v>
      </c>
    </row>
    <row r="45" spans="1:18" hidden="1" outlineLevel="2" x14ac:dyDescent="0.2">
      <c r="A45" t="s">
        <v>106</v>
      </c>
      <c r="B45" t="s">
        <v>107</v>
      </c>
      <c r="C45" t="s">
        <v>108</v>
      </c>
      <c r="D45" t="s">
        <v>109</v>
      </c>
      <c r="E45" t="s">
        <v>4</v>
      </c>
      <c r="F45" s="2">
        <v>45964</v>
      </c>
      <c r="G45" s="3">
        <v>133</v>
      </c>
      <c r="H45" s="2">
        <v>45971</v>
      </c>
      <c r="I45" s="4">
        <v>1403.26</v>
      </c>
      <c r="J45" t="s">
        <v>5</v>
      </c>
      <c r="K45" t="s">
        <v>188</v>
      </c>
      <c r="L45" s="12"/>
      <c r="M45" s="12"/>
      <c r="O45" s="12">
        <f t="shared" ref="O45:O48" si="18">H45</f>
        <v>45971</v>
      </c>
      <c r="P45" s="13">
        <f t="shared" ref="P45:P48" si="19">I45/3.477</f>
        <v>403.58354903652577</v>
      </c>
    </row>
    <row r="46" spans="1:18" hidden="1" outlineLevel="2" x14ac:dyDescent="0.2">
      <c r="A46" t="s">
        <v>106</v>
      </c>
      <c r="B46" t="s">
        <v>107</v>
      </c>
      <c r="C46" t="s">
        <v>110</v>
      </c>
      <c r="D46" t="s">
        <v>111</v>
      </c>
      <c r="E46" t="s">
        <v>4</v>
      </c>
      <c r="F46" s="2">
        <v>45964</v>
      </c>
      <c r="G46" s="3">
        <v>133</v>
      </c>
      <c r="H46" s="2">
        <v>45971</v>
      </c>
      <c r="I46" s="4">
        <v>141.6</v>
      </c>
      <c r="J46" t="s">
        <v>5</v>
      </c>
      <c r="K46" t="s">
        <v>188</v>
      </c>
      <c r="L46" s="12"/>
      <c r="M46" s="12"/>
      <c r="O46" s="12">
        <f t="shared" si="18"/>
        <v>45971</v>
      </c>
      <c r="P46" s="13">
        <f t="shared" si="19"/>
        <v>40.72476272648835</v>
      </c>
    </row>
    <row r="47" spans="1:18" hidden="1" outlineLevel="2" x14ac:dyDescent="0.2">
      <c r="A47" t="s">
        <v>106</v>
      </c>
      <c r="B47" t="s">
        <v>107</v>
      </c>
      <c r="C47" t="s">
        <v>112</v>
      </c>
      <c r="D47" t="s">
        <v>113</v>
      </c>
      <c r="E47" t="s">
        <v>4</v>
      </c>
      <c r="F47" s="2">
        <v>45967</v>
      </c>
      <c r="G47" s="3">
        <v>130</v>
      </c>
      <c r="H47" s="2">
        <v>45974</v>
      </c>
      <c r="I47" s="4">
        <v>1193.22</v>
      </c>
      <c r="J47" t="s">
        <v>5</v>
      </c>
      <c r="K47" t="s">
        <v>188</v>
      </c>
      <c r="L47" s="12"/>
      <c r="M47" s="12"/>
      <c r="O47" s="12">
        <f t="shared" si="18"/>
        <v>45974</v>
      </c>
      <c r="P47" s="13">
        <f t="shared" si="19"/>
        <v>343.17515099223471</v>
      </c>
    </row>
    <row r="48" spans="1:18" hidden="1" outlineLevel="2" x14ac:dyDescent="0.2">
      <c r="A48" t="s">
        <v>106</v>
      </c>
      <c r="B48" t="s">
        <v>107</v>
      </c>
      <c r="C48" t="s">
        <v>114</v>
      </c>
      <c r="D48" t="s">
        <v>115</v>
      </c>
      <c r="E48" t="s">
        <v>4</v>
      </c>
      <c r="F48" s="2">
        <v>45967</v>
      </c>
      <c r="G48" s="3">
        <v>130</v>
      </c>
      <c r="H48" s="2">
        <v>45974</v>
      </c>
      <c r="I48" s="4">
        <v>106.2</v>
      </c>
      <c r="J48" t="s">
        <v>5</v>
      </c>
      <c r="K48" t="s">
        <v>188</v>
      </c>
      <c r="L48" s="12"/>
      <c r="M48" s="12"/>
      <c r="O48" s="12">
        <f t="shared" si="18"/>
        <v>45974</v>
      </c>
      <c r="P48" s="13">
        <f t="shared" si="19"/>
        <v>30.543572044866266</v>
      </c>
    </row>
    <row r="49" spans="1:18" outlineLevel="2" x14ac:dyDescent="0.2">
      <c r="A49" t="s">
        <v>116</v>
      </c>
      <c r="B49" t="s">
        <v>117</v>
      </c>
      <c r="C49" t="s">
        <v>118</v>
      </c>
      <c r="D49" t="s">
        <v>119</v>
      </c>
      <c r="E49" t="s">
        <v>69</v>
      </c>
      <c r="F49" s="25">
        <v>46068</v>
      </c>
      <c r="G49" s="3">
        <v>36</v>
      </c>
      <c r="H49" s="2">
        <v>46068</v>
      </c>
      <c r="I49" s="4">
        <v>12898</v>
      </c>
      <c r="J49" t="s">
        <v>43</v>
      </c>
      <c r="K49" t="s">
        <v>189</v>
      </c>
      <c r="L49" s="12">
        <f>F49+45</f>
        <v>46113</v>
      </c>
      <c r="M49" s="21">
        <f t="shared" ref="M49:M52" ca="1" si="20">N49-TODAY()</f>
        <v>0</v>
      </c>
      <c r="N49" s="12">
        <v>46111</v>
      </c>
      <c r="O49" s="22">
        <v>46119</v>
      </c>
      <c r="P49" s="23">
        <f t="shared" ref="P49:P52" si="21">I49</f>
        <v>12898</v>
      </c>
      <c r="Q49" s="17">
        <f t="shared" ref="Q49:Q52" ca="1" si="22">TODAY()-F49</f>
        <v>43</v>
      </c>
      <c r="R49" s="18" t="s">
        <v>209</v>
      </c>
    </row>
    <row r="50" spans="1:18" outlineLevel="2" x14ac:dyDescent="0.2">
      <c r="A50" t="s">
        <v>116</v>
      </c>
      <c r="B50" t="s">
        <v>117</v>
      </c>
      <c r="C50" t="s">
        <v>120</v>
      </c>
      <c r="D50" t="s">
        <v>121</v>
      </c>
      <c r="E50" t="s">
        <v>69</v>
      </c>
      <c r="F50" s="25">
        <v>46069</v>
      </c>
      <c r="G50" s="3">
        <v>35</v>
      </c>
      <c r="H50" s="2">
        <v>46069</v>
      </c>
      <c r="I50" s="4">
        <v>30190</v>
      </c>
      <c r="J50" t="s">
        <v>43</v>
      </c>
      <c r="K50" t="s">
        <v>189</v>
      </c>
      <c r="L50" s="12">
        <f>F50+45</f>
        <v>46114</v>
      </c>
      <c r="M50" s="21">
        <f t="shared" ca="1" si="20"/>
        <v>0</v>
      </c>
      <c r="N50" s="12">
        <v>46111</v>
      </c>
      <c r="O50" s="22">
        <v>46119</v>
      </c>
      <c r="P50" s="23">
        <f t="shared" si="21"/>
        <v>30190</v>
      </c>
      <c r="Q50" s="17">
        <f t="shared" ca="1" si="22"/>
        <v>42</v>
      </c>
      <c r="R50" s="18" t="s">
        <v>209</v>
      </c>
    </row>
    <row r="51" spans="1:18" outlineLevel="2" x14ac:dyDescent="0.2">
      <c r="A51" t="s">
        <v>116</v>
      </c>
      <c r="B51" t="s">
        <v>117</v>
      </c>
      <c r="C51" t="s">
        <v>122</v>
      </c>
      <c r="D51" t="s">
        <v>218</v>
      </c>
      <c r="E51" t="s">
        <v>42</v>
      </c>
      <c r="F51" s="25">
        <v>46088</v>
      </c>
      <c r="G51" s="3">
        <v>-29</v>
      </c>
      <c r="H51" s="2">
        <v>46133</v>
      </c>
      <c r="I51" s="4">
        <v>40616</v>
      </c>
      <c r="J51" t="s">
        <v>43</v>
      </c>
      <c r="K51" t="s">
        <v>189</v>
      </c>
      <c r="L51" s="12">
        <f>F51+45</f>
        <v>46133</v>
      </c>
      <c r="M51" s="21">
        <f t="shared" ca="1" si="20"/>
        <v>22</v>
      </c>
      <c r="N51" s="12">
        <v>46133</v>
      </c>
      <c r="O51" s="22">
        <v>46133</v>
      </c>
      <c r="P51" s="23">
        <f t="shared" si="21"/>
        <v>40616</v>
      </c>
      <c r="Q51" s="17">
        <f t="shared" ca="1" si="22"/>
        <v>23</v>
      </c>
      <c r="R51" s="18" t="s">
        <v>209</v>
      </c>
    </row>
    <row r="52" spans="1:18" outlineLevel="2" x14ac:dyDescent="0.2">
      <c r="A52" t="s">
        <v>116</v>
      </c>
      <c r="B52" t="s">
        <v>117</v>
      </c>
      <c r="C52" t="s">
        <v>123</v>
      </c>
      <c r="D52" t="s">
        <v>219</v>
      </c>
      <c r="E52" t="s">
        <v>42</v>
      </c>
      <c r="F52" s="25">
        <v>46088</v>
      </c>
      <c r="G52" s="3">
        <v>-29</v>
      </c>
      <c r="H52" s="2">
        <v>46133</v>
      </c>
      <c r="I52" s="4">
        <v>40736</v>
      </c>
      <c r="J52" t="s">
        <v>43</v>
      </c>
      <c r="K52" t="s">
        <v>189</v>
      </c>
      <c r="L52" s="12">
        <f>F52+45</f>
        <v>46133</v>
      </c>
      <c r="M52" s="21">
        <f t="shared" ca="1" si="20"/>
        <v>22</v>
      </c>
      <c r="N52" s="12">
        <v>46133</v>
      </c>
      <c r="O52" s="22">
        <v>46133</v>
      </c>
      <c r="P52" s="23">
        <f t="shared" si="21"/>
        <v>40736</v>
      </c>
      <c r="Q52" s="17">
        <f t="shared" ca="1" si="22"/>
        <v>23</v>
      </c>
      <c r="R52" s="18" t="s">
        <v>209</v>
      </c>
    </row>
    <row r="53" spans="1:18" hidden="1" outlineLevel="2" x14ac:dyDescent="0.2">
      <c r="A53" t="s">
        <v>124</v>
      </c>
      <c r="B53" t="s">
        <v>125</v>
      </c>
      <c r="C53" t="s">
        <v>126</v>
      </c>
      <c r="D53" t="s">
        <v>127</v>
      </c>
      <c r="E53" t="s">
        <v>69</v>
      </c>
      <c r="F53" s="2">
        <v>45951</v>
      </c>
      <c r="G53" s="3">
        <v>153</v>
      </c>
      <c r="H53" s="2">
        <v>45951</v>
      </c>
      <c r="I53" s="4">
        <v>4460</v>
      </c>
      <c r="J53" t="s">
        <v>5</v>
      </c>
      <c r="K53" t="s">
        <v>190</v>
      </c>
      <c r="L53" s="12"/>
      <c r="M53" s="12"/>
      <c r="O53" s="12">
        <f>H53</f>
        <v>45951</v>
      </c>
      <c r="P53" s="13">
        <f>I53/3.477</f>
        <v>1282.7149841817659</v>
      </c>
    </row>
    <row r="54" spans="1:18" hidden="1" outlineLevel="2" x14ac:dyDescent="0.2">
      <c r="A54" t="s">
        <v>124</v>
      </c>
      <c r="B54" t="s">
        <v>125</v>
      </c>
      <c r="C54" t="s">
        <v>128</v>
      </c>
      <c r="D54" t="s">
        <v>129</v>
      </c>
      <c r="E54" t="s">
        <v>4</v>
      </c>
      <c r="F54" s="2">
        <v>45965</v>
      </c>
      <c r="G54" s="3">
        <v>132</v>
      </c>
      <c r="H54" s="2">
        <v>45972</v>
      </c>
      <c r="I54" s="4">
        <v>7097.98</v>
      </c>
      <c r="J54" t="s">
        <v>5</v>
      </c>
      <c r="K54" t="s">
        <v>190</v>
      </c>
      <c r="L54" s="12"/>
      <c r="M54" s="12"/>
      <c r="O54" s="12">
        <f t="shared" ref="O54:O57" si="23">H54</f>
        <v>45972</v>
      </c>
      <c r="P54" s="13">
        <f t="shared" ref="P54:P57" si="24">I54/3.477</f>
        <v>2041.4092608570606</v>
      </c>
    </row>
    <row r="55" spans="1:18" hidden="1" outlineLevel="2" x14ac:dyDescent="0.2">
      <c r="A55" t="s">
        <v>124</v>
      </c>
      <c r="B55" t="s">
        <v>125</v>
      </c>
      <c r="C55" t="s">
        <v>130</v>
      </c>
      <c r="D55" t="s">
        <v>131</v>
      </c>
      <c r="E55" t="s">
        <v>4</v>
      </c>
      <c r="F55" s="2">
        <v>46053</v>
      </c>
      <c r="G55" s="3">
        <v>44</v>
      </c>
      <c r="H55" s="2">
        <v>46060</v>
      </c>
      <c r="I55" s="4">
        <v>4003.46</v>
      </c>
      <c r="J55" t="s">
        <v>5</v>
      </c>
      <c r="K55" t="s">
        <v>190</v>
      </c>
      <c r="L55" s="12"/>
      <c r="M55" s="12"/>
      <c r="O55" s="12">
        <f t="shared" si="23"/>
        <v>46060</v>
      </c>
      <c r="P55" s="13">
        <f t="shared" si="24"/>
        <v>1151.4121368996261</v>
      </c>
    </row>
    <row r="56" spans="1:18" hidden="1" outlineLevel="2" x14ac:dyDescent="0.2">
      <c r="A56" t="s">
        <v>124</v>
      </c>
      <c r="B56" t="s">
        <v>125</v>
      </c>
      <c r="C56" t="s">
        <v>132</v>
      </c>
      <c r="D56" t="s">
        <v>133</v>
      </c>
      <c r="E56" t="s">
        <v>4</v>
      </c>
      <c r="F56" s="2">
        <v>46084</v>
      </c>
      <c r="G56" s="3">
        <v>13</v>
      </c>
      <c r="H56" s="2">
        <v>46091</v>
      </c>
      <c r="I56" s="4">
        <v>4956</v>
      </c>
      <c r="J56" t="s">
        <v>5</v>
      </c>
      <c r="K56" t="s">
        <v>190</v>
      </c>
      <c r="L56" s="12"/>
      <c r="M56" s="12"/>
      <c r="O56" s="12">
        <f t="shared" si="23"/>
        <v>46091</v>
      </c>
      <c r="P56" s="13">
        <f t="shared" si="24"/>
        <v>1425.3666954270923</v>
      </c>
    </row>
    <row r="57" spans="1:18" hidden="1" outlineLevel="2" x14ac:dyDescent="0.2">
      <c r="A57" t="s">
        <v>124</v>
      </c>
      <c r="B57" t="s">
        <v>125</v>
      </c>
      <c r="C57" t="s">
        <v>134</v>
      </c>
      <c r="D57" t="s">
        <v>135</v>
      </c>
      <c r="E57" t="s">
        <v>4</v>
      </c>
      <c r="F57" s="2">
        <v>46084</v>
      </c>
      <c r="G57" s="3">
        <v>13</v>
      </c>
      <c r="H57" s="2">
        <v>46091</v>
      </c>
      <c r="I57" s="4">
        <v>4956</v>
      </c>
      <c r="J57" t="s">
        <v>5</v>
      </c>
      <c r="K57" t="s">
        <v>190</v>
      </c>
      <c r="L57" s="12"/>
      <c r="M57" s="12"/>
      <c r="O57" s="12">
        <f t="shared" si="23"/>
        <v>46091</v>
      </c>
      <c r="P57" s="13">
        <f t="shared" si="24"/>
        <v>1425.3666954270923</v>
      </c>
    </row>
    <row r="58" spans="1:18" outlineLevel="2" x14ac:dyDescent="0.2">
      <c r="A58" t="s">
        <v>136</v>
      </c>
      <c r="B58" t="s">
        <v>137</v>
      </c>
      <c r="C58" t="s">
        <v>138</v>
      </c>
      <c r="D58" s="15" t="s">
        <v>204</v>
      </c>
      <c r="E58" t="s">
        <v>42</v>
      </c>
      <c r="F58" s="25">
        <v>46088</v>
      </c>
      <c r="G58" s="3">
        <v>-29</v>
      </c>
      <c r="H58" s="2">
        <v>46133</v>
      </c>
      <c r="I58" s="4">
        <v>156680</v>
      </c>
      <c r="J58" t="s">
        <v>43</v>
      </c>
      <c r="K58" t="s">
        <v>189</v>
      </c>
      <c r="L58" s="12">
        <f>F58+45</f>
        <v>46133</v>
      </c>
      <c r="M58" s="21">
        <f t="shared" ref="M58" ca="1" si="25">N58-TODAY()</f>
        <v>22</v>
      </c>
      <c r="N58" s="12">
        <v>46133</v>
      </c>
      <c r="O58" s="22">
        <v>46133</v>
      </c>
      <c r="P58" s="23">
        <f t="shared" ref="P58:P60" si="26">I58</f>
        <v>156680</v>
      </c>
      <c r="Q58" s="17">
        <f t="shared" ref="Q58:Q60" ca="1" si="27">TODAY()-F58</f>
        <v>23</v>
      </c>
      <c r="R58" s="18" t="s">
        <v>209</v>
      </c>
    </row>
    <row r="59" spans="1:18" outlineLevel="2" x14ac:dyDescent="0.2">
      <c r="A59" t="s">
        <v>136</v>
      </c>
      <c r="B59" t="s">
        <v>137</v>
      </c>
      <c r="C59" t="s">
        <v>139</v>
      </c>
      <c r="D59" s="15" t="s">
        <v>205</v>
      </c>
      <c r="E59" t="s">
        <v>42</v>
      </c>
      <c r="F59" s="25">
        <v>46099</v>
      </c>
      <c r="G59" s="3">
        <v>-40</v>
      </c>
      <c r="H59" s="2">
        <v>46144</v>
      </c>
      <c r="I59" s="4">
        <v>125360</v>
      </c>
      <c r="J59" t="s">
        <v>43</v>
      </c>
      <c r="K59" t="s">
        <v>189</v>
      </c>
      <c r="L59" s="12">
        <f>F59+45</f>
        <v>46144</v>
      </c>
      <c r="M59" s="21"/>
      <c r="N59" s="12"/>
      <c r="O59" s="22">
        <v>46144</v>
      </c>
      <c r="P59" s="23">
        <f t="shared" si="26"/>
        <v>125360</v>
      </c>
      <c r="Q59" s="17">
        <f t="shared" ca="1" si="27"/>
        <v>12</v>
      </c>
      <c r="R59" s="18" t="s">
        <v>209</v>
      </c>
    </row>
    <row r="60" spans="1:18" outlineLevel="2" x14ac:dyDescent="0.2">
      <c r="A60" t="s">
        <v>140</v>
      </c>
      <c r="B60" t="s">
        <v>141</v>
      </c>
      <c r="C60" t="s">
        <v>142</v>
      </c>
      <c r="D60" s="15" t="s">
        <v>206</v>
      </c>
      <c r="E60" t="s">
        <v>42</v>
      </c>
      <c r="F60" s="25">
        <v>46099</v>
      </c>
      <c r="G60" s="3">
        <v>-40</v>
      </c>
      <c r="H60" s="2">
        <v>46144</v>
      </c>
      <c r="I60" s="4">
        <v>31275</v>
      </c>
      <c r="J60" t="s">
        <v>43</v>
      </c>
      <c r="K60" t="s">
        <v>189</v>
      </c>
      <c r="L60" s="12">
        <f>F60+45</f>
        <v>46144</v>
      </c>
      <c r="M60" s="21"/>
      <c r="O60" s="22">
        <f>H60</f>
        <v>46144</v>
      </c>
      <c r="P60" s="23">
        <f t="shared" si="26"/>
        <v>31275</v>
      </c>
      <c r="Q60" s="17">
        <f t="shared" ca="1" si="27"/>
        <v>12</v>
      </c>
      <c r="R60" s="18" t="s">
        <v>209</v>
      </c>
    </row>
    <row r="61" spans="1:18" ht="13.9" hidden="1" customHeight="1" outlineLevel="2" x14ac:dyDescent="0.2">
      <c r="A61" t="s">
        <v>143</v>
      </c>
      <c r="B61" t="s">
        <v>144</v>
      </c>
      <c r="C61" t="s">
        <v>145</v>
      </c>
      <c r="D61" t="s">
        <v>146</v>
      </c>
      <c r="E61" t="s">
        <v>4</v>
      </c>
      <c r="F61" s="2">
        <v>45937</v>
      </c>
      <c r="G61" s="3">
        <v>160</v>
      </c>
      <c r="H61" s="2">
        <v>45944</v>
      </c>
      <c r="I61" s="4">
        <v>790</v>
      </c>
      <c r="J61" t="s">
        <v>5</v>
      </c>
      <c r="K61" t="s">
        <v>191</v>
      </c>
      <c r="L61" s="12"/>
      <c r="M61" s="12"/>
      <c r="O61" s="12">
        <f>H61</f>
        <v>45944</v>
      </c>
      <c r="P61" s="13">
        <f>I61/3.477</f>
        <v>227.20736266896751</v>
      </c>
    </row>
    <row r="62" spans="1:18" outlineLevel="2" x14ac:dyDescent="0.2">
      <c r="A62" t="s">
        <v>147</v>
      </c>
      <c r="B62" t="s">
        <v>148</v>
      </c>
      <c r="C62" t="s">
        <v>149</v>
      </c>
      <c r="D62" t="s">
        <v>150</v>
      </c>
      <c r="E62" t="s">
        <v>69</v>
      </c>
      <c r="F62" s="25">
        <v>46081</v>
      </c>
      <c r="G62" s="3">
        <v>23</v>
      </c>
      <c r="H62" s="2">
        <v>46081</v>
      </c>
      <c r="I62" s="4">
        <v>73490</v>
      </c>
      <c r="J62" t="s">
        <v>43</v>
      </c>
      <c r="K62" t="s">
        <v>189</v>
      </c>
      <c r="L62" s="12">
        <f>F62+45</f>
        <v>46126</v>
      </c>
      <c r="M62" s="21">
        <f ca="1">N62-TODAY()</f>
        <v>15</v>
      </c>
      <c r="N62" s="12">
        <v>46126</v>
      </c>
      <c r="O62" s="22">
        <f>H62+45</f>
        <v>46126</v>
      </c>
      <c r="P62" s="23">
        <f>I62</f>
        <v>73490</v>
      </c>
      <c r="Q62" s="17">
        <f ca="1">TODAY()-F62</f>
        <v>30</v>
      </c>
      <c r="R62" s="18" t="s">
        <v>209</v>
      </c>
    </row>
    <row r="63" spans="1:18" hidden="1" outlineLevel="2" x14ac:dyDescent="0.2">
      <c r="A63" t="s">
        <v>151</v>
      </c>
      <c r="B63" t="s">
        <v>152</v>
      </c>
      <c r="C63" t="s">
        <v>153</v>
      </c>
      <c r="D63" t="s">
        <v>154</v>
      </c>
      <c r="E63" t="s">
        <v>4</v>
      </c>
      <c r="F63" s="2">
        <v>46101</v>
      </c>
      <c r="G63" s="3">
        <v>-4</v>
      </c>
      <c r="H63" s="2">
        <v>46108</v>
      </c>
      <c r="I63" s="4">
        <v>590</v>
      </c>
      <c r="J63" t="s">
        <v>5</v>
      </c>
      <c r="K63" t="s">
        <v>188</v>
      </c>
      <c r="L63" s="12"/>
      <c r="M63" s="12"/>
      <c r="O63" s="12">
        <f t="shared" ref="O63:O66" si="28">H63</f>
        <v>46108</v>
      </c>
      <c r="P63" s="13">
        <f t="shared" ref="P63:P66" si="29">I63/3.477</f>
        <v>169.68651136036814</v>
      </c>
    </row>
    <row r="64" spans="1:18" hidden="1" outlineLevel="2" x14ac:dyDescent="0.2">
      <c r="A64" t="s">
        <v>155</v>
      </c>
      <c r="B64" t="s">
        <v>156</v>
      </c>
      <c r="C64" t="s">
        <v>157</v>
      </c>
      <c r="D64" t="s">
        <v>158</v>
      </c>
      <c r="E64" t="s">
        <v>4</v>
      </c>
      <c r="F64" s="2">
        <v>46080</v>
      </c>
      <c r="G64" s="3">
        <v>17</v>
      </c>
      <c r="H64" s="2">
        <v>46087</v>
      </c>
      <c r="I64" s="4">
        <v>665.52</v>
      </c>
      <c r="J64" t="s">
        <v>5</v>
      </c>
      <c r="K64" t="s">
        <v>188</v>
      </c>
      <c r="L64" s="12"/>
      <c r="M64" s="12"/>
      <c r="O64" s="12">
        <f t="shared" si="28"/>
        <v>46087</v>
      </c>
      <c r="P64" s="13">
        <f t="shared" si="29"/>
        <v>191.40638481449525</v>
      </c>
    </row>
    <row r="65" spans="1:18" hidden="1" outlineLevel="2" x14ac:dyDescent="0.2">
      <c r="A65" t="s">
        <v>155</v>
      </c>
      <c r="B65" t="s">
        <v>156</v>
      </c>
      <c r="C65" t="s">
        <v>159</v>
      </c>
      <c r="D65" t="s">
        <v>160</v>
      </c>
      <c r="E65" t="s">
        <v>4</v>
      </c>
      <c r="F65" s="2">
        <v>46080</v>
      </c>
      <c r="G65" s="3">
        <v>17</v>
      </c>
      <c r="H65" s="2">
        <v>46087</v>
      </c>
      <c r="I65" s="4">
        <v>123.9</v>
      </c>
      <c r="J65" t="s">
        <v>5</v>
      </c>
      <c r="K65" t="s">
        <v>188</v>
      </c>
      <c r="L65" s="12"/>
      <c r="M65" s="12"/>
      <c r="O65" s="12">
        <f t="shared" si="28"/>
        <v>46087</v>
      </c>
      <c r="P65" s="13">
        <f t="shared" si="29"/>
        <v>35.634167385677308</v>
      </c>
    </row>
    <row r="66" spans="1:18" hidden="1" outlineLevel="2" x14ac:dyDescent="0.2">
      <c r="A66" t="s">
        <v>161</v>
      </c>
      <c r="B66" t="s">
        <v>162</v>
      </c>
      <c r="C66" t="s">
        <v>163</v>
      </c>
      <c r="D66" t="s">
        <v>164</v>
      </c>
      <c r="E66" t="s">
        <v>66</v>
      </c>
      <c r="F66" s="2">
        <v>45942</v>
      </c>
      <c r="G66" s="3">
        <v>162</v>
      </c>
      <c r="H66" s="2">
        <v>45942</v>
      </c>
      <c r="I66" s="4">
        <v>56.64</v>
      </c>
      <c r="J66" t="s">
        <v>5</v>
      </c>
      <c r="K66" t="s">
        <v>188</v>
      </c>
      <c r="L66" s="12"/>
      <c r="M66" s="12"/>
      <c r="O66" s="12">
        <f t="shared" si="28"/>
        <v>45942</v>
      </c>
      <c r="P66" s="13">
        <f t="shared" si="29"/>
        <v>16.28990509059534</v>
      </c>
    </row>
    <row r="67" spans="1:18" outlineLevel="2" x14ac:dyDescent="0.2">
      <c r="A67" t="s">
        <v>165</v>
      </c>
      <c r="B67" t="s">
        <v>166</v>
      </c>
      <c r="C67" t="s">
        <v>167</v>
      </c>
      <c r="D67" t="s">
        <v>168</v>
      </c>
      <c r="E67" t="s">
        <v>42</v>
      </c>
      <c r="F67" s="25">
        <v>46088</v>
      </c>
      <c r="G67" s="3">
        <v>-29</v>
      </c>
      <c r="H67" s="2">
        <v>46133</v>
      </c>
      <c r="I67" s="4">
        <v>39610</v>
      </c>
      <c r="J67" t="s">
        <v>43</v>
      </c>
      <c r="K67" t="s">
        <v>189</v>
      </c>
      <c r="L67" s="12">
        <f t="shared" ref="L67:L71" si="30">F67+45</f>
        <v>46133</v>
      </c>
      <c r="M67" s="21">
        <f t="shared" ref="M67:M70" ca="1" si="31">N67-TODAY()</f>
        <v>22</v>
      </c>
      <c r="N67" s="12">
        <v>46133</v>
      </c>
      <c r="O67" s="22">
        <v>46133</v>
      </c>
      <c r="P67" s="23">
        <f t="shared" ref="P67:P71" si="32">I67</f>
        <v>39610</v>
      </c>
      <c r="Q67" s="17">
        <f t="shared" ref="Q67:Q71" ca="1" si="33">TODAY()-F67</f>
        <v>23</v>
      </c>
      <c r="R67" s="18" t="s">
        <v>209</v>
      </c>
    </row>
    <row r="68" spans="1:18" outlineLevel="2" x14ac:dyDescent="0.2">
      <c r="A68" t="s">
        <v>165</v>
      </c>
      <c r="B68" t="s">
        <v>166</v>
      </c>
      <c r="C68" t="s">
        <v>169</v>
      </c>
      <c r="D68" t="s">
        <v>170</v>
      </c>
      <c r="E68" t="s">
        <v>42</v>
      </c>
      <c r="F68" s="25">
        <v>46088</v>
      </c>
      <c r="G68" s="3">
        <v>-29</v>
      </c>
      <c r="H68" s="2">
        <v>46133</v>
      </c>
      <c r="I68" s="4">
        <v>94640</v>
      </c>
      <c r="J68" t="s">
        <v>43</v>
      </c>
      <c r="K68" t="s">
        <v>189</v>
      </c>
      <c r="L68" s="12">
        <f t="shared" si="30"/>
        <v>46133</v>
      </c>
      <c r="M68" s="21">
        <f t="shared" ca="1" si="31"/>
        <v>22</v>
      </c>
      <c r="N68" s="12">
        <v>46133</v>
      </c>
      <c r="O68" s="22">
        <v>46133</v>
      </c>
      <c r="P68" s="23">
        <f t="shared" si="32"/>
        <v>94640</v>
      </c>
      <c r="Q68" s="17">
        <f t="shared" ca="1" si="33"/>
        <v>23</v>
      </c>
      <c r="R68" s="18" t="s">
        <v>209</v>
      </c>
    </row>
    <row r="69" spans="1:18" outlineLevel="2" x14ac:dyDescent="0.2">
      <c r="A69" t="s">
        <v>165</v>
      </c>
      <c r="B69" t="s">
        <v>166</v>
      </c>
      <c r="C69" t="s">
        <v>171</v>
      </c>
      <c r="D69" t="s">
        <v>172</v>
      </c>
      <c r="E69" t="s">
        <v>42</v>
      </c>
      <c r="F69" s="25">
        <v>46091</v>
      </c>
      <c r="G69" s="3">
        <v>-32</v>
      </c>
      <c r="H69" s="2">
        <v>46136</v>
      </c>
      <c r="I69" s="4">
        <v>76800</v>
      </c>
      <c r="J69" t="s">
        <v>43</v>
      </c>
      <c r="K69" t="s">
        <v>189</v>
      </c>
      <c r="L69" s="12">
        <f t="shared" si="30"/>
        <v>46136</v>
      </c>
      <c r="M69" s="21">
        <f t="shared" ca="1" si="31"/>
        <v>25</v>
      </c>
      <c r="N69" s="12">
        <v>46136</v>
      </c>
      <c r="O69" s="22">
        <v>46136</v>
      </c>
      <c r="P69" s="23">
        <f t="shared" si="32"/>
        <v>76800</v>
      </c>
      <c r="Q69" s="17">
        <f t="shared" ca="1" si="33"/>
        <v>20</v>
      </c>
      <c r="R69" s="18" t="s">
        <v>209</v>
      </c>
    </row>
    <row r="70" spans="1:18" outlineLevel="2" x14ac:dyDescent="0.2">
      <c r="A70" t="s">
        <v>165</v>
      </c>
      <c r="B70" t="s">
        <v>166</v>
      </c>
      <c r="C70" t="s">
        <v>173</v>
      </c>
      <c r="D70" t="s">
        <v>174</v>
      </c>
      <c r="E70" t="s">
        <v>42</v>
      </c>
      <c r="F70" s="25">
        <v>46091</v>
      </c>
      <c r="G70" s="3">
        <v>-32</v>
      </c>
      <c r="H70" s="2">
        <v>46136</v>
      </c>
      <c r="I70" s="4">
        <v>186880</v>
      </c>
      <c r="J70" t="s">
        <v>43</v>
      </c>
      <c r="K70" t="s">
        <v>189</v>
      </c>
      <c r="L70" s="12">
        <f t="shared" si="30"/>
        <v>46136</v>
      </c>
      <c r="M70" s="21">
        <f t="shared" ca="1" si="31"/>
        <v>25</v>
      </c>
      <c r="N70" s="12">
        <v>46136</v>
      </c>
      <c r="O70" s="22">
        <v>46136</v>
      </c>
      <c r="P70" s="23">
        <f t="shared" si="32"/>
        <v>186880</v>
      </c>
      <c r="Q70" s="17">
        <f t="shared" ca="1" si="33"/>
        <v>20</v>
      </c>
      <c r="R70" s="18" t="s">
        <v>209</v>
      </c>
    </row>
    <row r="71" spans="1:18" outlineLevel="2" x14ac:dyDescent="0.2">
      <c r="A71" t="s">
        <v>165</v>
      </c>
      <c r="B71" t="s">
        <v>166</v>
      </c>
      <c r="C71" t="s">
        <v>175</v>
      </c>
      <c r="D71" t="s">
        <v>176</v>
      </c>
      <c r="E71" t="s">
        <v>42</v>
      </c>
      <c r="F71" s="25">
        <v>46099</v>
      </c>
      <c r="G71" s="3">
        <v>-40</v>
      </c>
      <c r="H71" s="2">
        <v>46144</v>
      </c>
      <c r="I71" s="4">
        <v>216000</v>
      </c>
      <c r="J71" t="s">
        <v>43</v>
      </c>
      <c r="K71" t="s">
        <v>189</v>
      </c>
      <c r="L71" s="12">
        <f t="shared" si="30"/>
        <v>46144</v>
      </c>
      <c r="M71" s="21"/>
      <c r="N71" s="12"/>
      <c r="O71" s="22">
        <f>H71</f>
        <v>46144</v>
      </c>
      <c r="P71" s="23">
        <f t="shared" si="32"/>
        <v>216000</v>
      </c>
      <c r="Q71" s="17">
        <f t="shared" ca="1" si="33"/>
        <v>12</v>
      </c>
      <c r="R71" s="18" t="s">
        <v>209</v>
      </c>
    </row>
    <row r="73" spans="1:18" x14ac:dyDescent="0.2">
      <c r="N73" s="12"/>
    </row>
  </sheetData>
  <autoFilter ref="A1:R71" xr:uid="{00000000-0001-0000-0000-000000000000}">
    <filterColumn colId="4">
      <filters>
        <filter val="DE"/>
        <filter val="ZV"/>
      </filters>
    </filterColumn>
    <filterColumn colId="10">
      <filters>
        <filter val="EXPORTACIÓN"/>
      </filters>
    </filterColumn>
    <filterColumn colId="15">
      <customFilters>
        <customFilter operator="greaterThan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795F-B7FE-42D7-B196-4148D1F5DDA4}">
  <dimension ref="A1:B44"/>
  <sheetViews>
    <sheetView workbookViewId="0">
      <selection activeCell="A14" sqref="A14"/>
    </sheetView>
  </sheetViews>
  <sheetFormatPr baseColWidth="10" defaultRowHeight="12.75" x14ac:dyDescent="0.2"/>
  <cols>
    <col min="1" max="1" width="36.7109375" bestFit="1" customWidth="1"/>
    <col min="2" max="2" width="20.42578125" bestFit="1" customWidth="1"/>
  </cols>
  <sheetData>
    <row r="1" spans="1:2" x14ac:dyDescent="0.2">
      <c r="A1" s="6" t="s">
        <v>182</v>
      </c>
      <c r="B1" t="s">
        <v>200</v>
      </c>
    </row>
    <row r="2" spans="1:2" x14ac:dyDescent="0.2">
      <c r="A2" s="6" t="s">
        <v>187</v>
      </c>
      <c r="B2" t="s">
        <v>189</v>
      </c>
    </row>
    <row r="3" spans="1:2" x14ac:dyDescent="0.2">
      <c r="A3" s="6" t="s">
        <v>181</v>
      </c>
      <c r="B3" t="s">
        <v>200</v>
      </c>
    </row>
    <row r="5" spans="1:2" x14ac:dyDescent="0.2">
      <c r="A5" s="6" t="s">
        <v>192</v>
      </c>
      <c r="B5" t="s">
        <v>201</v>
      </c>
    </row>
    <row r="6" spans="1:2" x14ac:dyDescent="0.2">
      <c r="A6" s="7" t="s">
        <v>39</v>
      </c>
      <c r="B6" s="14">
        <v>1066950</v>
      </c>
    </row>
    <row r="7" spans="1:2" x14ac:dyDescent="0.2">
      <c r="A7" s="9" t="s">
        <v>41</v>
      </c>
      <c r="B7" s="14">
        <v>70200</v>
      </c>
    </row>
    <row r="8" spans="1:2" x14ac:dyDescent="0.2">
      <c r="A8" s="9" t="s">
        <v>45</v>
      </c>
      <c r="B8" s="14">
        <v>121500</v>
      </c>
    </row>
    <row r="9" spans="1:2" x14ac:dyDescent="0.2">
      <c r="A9" s="9" t="s">
        <v>47</v>
      </c>
      <c r="B9" s="14">
        <v>173250</v>
      </c>
    </row>
    <row r="10" spans="1:2" x14ac:dyDescent="0.2">
      <c r="A10" s="9" t="s">
        <v>49</v>
      </c>
      <c r="B10" s="14">
        <v>175500</v>
      </c>
    </row>
    <row r="11" spans="1:2" x14ac:dyDescent="0.2">
      <c r="A11" s="9" t="s">
        <v>51</v>
      </c>
      <c r="B11" s="14">
        <v>70200</v>
      </c>
    </row>
    <row r="12" spans="1:2" x14ac:dyDescent="0.2">
      <c r="A12" s="9" t="s">
        <v>53</v>
      </c>
      <c r="B12" s="14">
        <v>456300</v>
      </c>
    </row>
    <row r="13" spans="1:2" x14ac:dyDescent="0.2">
      <c r="A13" s="7" t="s">
        <v>63</v>
      </c>
      <c r="B13" s="14">
        <v>-72403</v>
      </c>
    </row>
    <row r="14" spans="1:2" x14ac:dyDescent="0.2">
      <c r="A14" s="9" t="s">
        <v>65</v>
      </c>
      <c r="B14" s="14">
        <v>-56745</v>
      </c>
    </row>
    <row r="15" spans="1:2" x14ac:dyDescent="0.2">
      <c r="A15" s="9" t="s">
        <v>68</v>
      </c>
      <c r="B15" s="14">
        <v>-15658</v>
      </c>
    </row>
    <row r="16" spans="1:2" x14ac:dyDescent="0.2">
      <c r="A16" s="7" t="s">
        <v>73</v>
      </c>
      <c r="B16" s="14">
        <v>98549</v>
      </c>
    </row>
    <row r="17" spans="1:2" x14ac:dyDescent="0.2">
      <c r="A17" s="9" t="s">
        <v>77</v>
      </c>
      <c r="B17" s="14">
        <v>77585</v>
      </c>
    </row>
    <row r="18" spans="1:2" x14ac:dyDescent="0.2">
      <c r="A18" s="9" t="s">
        <v>75</v>
      </c>
      <c r="B18" s="14">
        <v>20964</v>
      </c>
    </row>
    <row r="19" spans="1:2" x14ac:dyDescent="0.2">
      <c r="A19" s="7" t="s">
        <v>79</v>
      </c>
      <c r="B19" s="14">
        <v>53862.5</v>
      </c>
    </row>
    <row r="20" spans="1:2" x14ac:dyDescent="0.2">
      <c r="A20" s="9" t="s">
        <v>81</v>
      </c>
      <c r="B20" s="14">
        <v>53862.5</v>
      </c>
    </row>
    <row r="21" spans="1:2" x14ac:dyDescent="0.2">
      <c r="A21" s="7" t="s">
        <v>101</v>
      </c>
      <c r="B21" s="14">
        <v>147743.07</v>
      </c>
    </row>
    <row r="22" spans="1:2" x14ac:dyDescent="0.2">
      <c r="A22" s="9" t="s">
        <v>203</v>
      </c>
      <c r="B22" s="14">
        <v>147743.07</v>
      </c>
    </row>
    <row r="23" spans="1:2" x14ac:dyDescent="0.2">
      <c r="A23" s="7" t="s">
        <v>104</v>
      </c>
      <c r="B23" s="14">
        <v>-43000</v>
      </c>
    </row>
    <row r="24" spans="1:2" x14ac:dyDescent="0.2">
      <c r="A24" s="9" t="s">
        <v>68</v>
      </c>
      <c r="B24" s="14">
        <v>-7410</v>
      </c>
    </row>
    <row r="25" spans="1:2" x14ac:dyDescent="0.2">
      <c r="A25" s="9" t="s">
        <v>220</v>
      </c>
      <c r="B25" s="14">
        <v>-35590</v>
      </c>
    </row>
    <row r="26" spans="1:2" x14ac:dyDescent="0.2">
      <c r="A26" s="7" t="s">
        <v>117</v>
      </c>
      <c r="B26" s="14">
        <v>124440</v>
      </c>
    </row>
    <row r="27" spans="1:2" x14ac:dyDescent="0.2">
      <c r="A27" s="9" t="s">
        <v>119</v>
      </c>
      <c r="B27" s="14">
        <v>12898</v>
      </c>
    </row>
    <row r="28" spans="1:2" x14ac:dyDescent="0.2">
      <c r="A28" s="9" t="s">
        <v>121</v>
      </c>
      <c r="B28" s="14">
        <v>30190</v>
      </c>
    </row>
    <row r="29" spans="1:2" x14ac:dyDescent="0.2">
      <c r="A29" s="9" t="s">
        <v>218</v>
      </c>
      <c r="B29" s="14">
        <v>40616</v>
      </c>
    </row>
    <row r="30" spans="1:2" x14ac:dyDescent="0.2">
      <c r="A30" s="9" t="s">
        <v>219</v>
      </c>
      <c r="B30" s="14">
        <v>40736</v>
      </c>
    </row>
    <row r="31" spans="1:2" x14ac:dyDescent="0.2">
      <c r="A31" s="7" t="s">
        <v>137</v>
      </c>
      <c r="B31" s="14">
        <v>282040</v>
      </c>
    </row>
    <row r="32" spans="1:2" x14ac:dyDescent="0.2">
      <c r="A32" s="9" t="s">
        <v>204</v>
      </c>
      <c r="B32" s="14">
        <v>156680</v>
      </c>
    </row>
    <row r="33" spans="1:2" x14ac:dyDescent="0.2">
      <c r="A33" s="9" t="s">
        <v>205</v>
      </c>
      <c r="B33" s="14">
        <v>125360</v>
      </c>
    </row>
    <row r="34" spans="1:2" x14ac:dyDescent="0.2">
      <c r="A34" s="7" t="s">
        <v>141</v>
      </c>
      <c r="B34" s="14">
        <v>31275</v>
      </c>
    </row>
    <row r="35" spans="1:2" x14ac:dyDescent="0.2">
      <c r="A35" s="9" t="s">
        <v>206</v>
      </c>
      <c r="B35" s="14">
        <v>31275</v>
      </c>
    </row>
    <row r="36" spans="1:2" x14ac:dyDescent="0.2">
      <c r="A36" s="7" t="s">
        <v>148</v>
      </c>
      <c r="B36" s="14">
        <v>73490</v>
      </c>
    </row>
    <row r="37" spans="1:2" x14ac:dyDescent="0.2">
      <c r="A37" s="9" t="s">
        <v>150</v>
      </c>
      <c r="B37" s="14">
        <v>73490</v>
      </c>
    </row>
    <row r="38" spans="1:2" x14ac:dyDescent="0.2">
      <c r="A38" s="7" t="s">
        <v>166</v>
      </c>
      <c r="B38" s="14">
        <v>613930</v>
      </c>
    </row>
    <row r="39" spans="1:2" x14ac:dyDescent="0.2">
      <c r="A39" s="9" t="s">
        <v>168</v>
      </c>
      <c r="B39" s="14">
        <v>39610</v>
      </c>
    </row>
    <row r="40" spans="1:2" x14ac:dyDescent="0.2">
      <c r="A40" s="9" t="s">
        <v>170</v>
      </c>
      <c r="B40" s="14">
        <v>94640</v>
      </c>
    </row>
    <row r="41" spans="1:2" x14ac:dyDescent="0.2">
      <c r="A41" s="9" t="s">
        <v>172</v>
      </c>
      <c r="B41" s="14">
        <v>76800</v>
      </c>
    </row>
    <row r="42" spans="1:2" x14ac:dyDescent="0.2">
      <c r="A42" s="9" t="s">
        <v>174</v>
      </c>
      <c r="B42" s="14">
        <v>186880</v>
      </c>
    </row>
    <row r="43" spans="1:2" x14ac:dyDescent="0.2">
      <c r="A43" s="9" t="s">
        <v>176</v>
      </c>
      <c r="B43" s="14">
        <v>216000</v>
      </c>
    </row>
    <row r="44" spans="1:2" x14ac:dyDescent="0.2">
      <c r="A44" s="7" t="s">
        <v>194</v>
      </c>
      <c r="B44" s="14">
        <v>2376876.5700000003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6BEF-4716-4AFB-BD41-CA71F4FBE23D}">
  <dimension ref="A1:I37"/>
  <sheetViews>
    <sheetView zoomScale="90" zoomScaleNormal="90" workbookViewId="0">
      <selection activeCell="F16" sqref="F16"/>
    </sheetView>
  </sheetViews>
  <sheetFormatPr baseColWidth="10" defaultRowHeight="12.75" x14ac:dyDescent="0.2"/>
  <cols>
    <col min="1" max="1" width="36.7109375" bestFit="1" customWidth="1"/>
    <col min="2" max="2" width="23.7109375" bestFit="1" customWidth="1"/>
    <col min="3" max="3" width="25.42578125" bestFit="1" customWidth="1"/>
    <col min="4" max="4" width="20.42578125" bestFit="1" customWidth="1"/>
    <col min="5" max="5" width="4.85546875" customWidth="1"/>
    <col min="6" max="6" width="36.140625" bestFit="1" customWidth="1"/>
    <col min="7" max="7" width="23.7109375" bestFit="1" customWidth="1"/>
    <col min="8" max="8" width="25.42578125" bestFit="1" customWidth="1"/>
    <col min="9" max="9" width="20.42578125" bestFit="1" customWidth="1"/>
    <col min="10" max="10" width="25.42578125" bestFit="1" customWidth="1"/>
    <col min="11" max="18" width="3" bestFit="1" customWidth="1"/>
    <col min="19" max="19" width="10.7109375" bestFit="1" customWidth="1"/>
    <col min="20" max="20" width="12.28515625" bestFit="1" customWidth="1"/>
  </cols>
  <sheetData>
    <row r="1" spans="1:9" x14ac:dyDescent="0.2">
      <c r="A1" s="6" t="s">
        <v>181</v>
      </c>
      <c r="B1" t="s">
        <v>202</v>
      </c>
      <c r="F1" s="6" t="s">
        <v>181</v>
      </c>
      <c r="G1" t="s">
        <v>202</v>
      </c>
    </row>
    <row r="2" spans="1:9" x14ac:dyDescent="0.2">
      <c r="A2" s="6" t="s">
        <v>208</v>
      </c>
      <c r="B2" t="s">
        <v>209</v>
      </c>
      <c r="F2" s="6" t="s">
        <v>208</v>
      </c>
      <c r="G2" t="s">
        <v>213</v>
      </c>
    </row>
    <row r="4" spans="1:9" x14ac:dyDescent="0.2">
      <c r="A4" s="6" t="s">
        <v>192</v>
      </c>
      <c r="B4" t="s">
        <v>214</v>
      </c>
      <c r="C4" t="s">
        <v>210</v>
      </c>
      <c r="D4" t="s">
        <v>201</v>
      </c>
      <c r="F4" s="6" t="s">
        <v>192</v>
      </c>
      <c r="G4" t="s">
        <v>214</v>
      </c>
      <c r="H4" t="s">
        <v>210</v>
      </c>
      <c r="I4" t="s">
        <v>201</v>
      </c>
    </row>
    <row r="5" spans="1:9" x14ac:dyDescent="0.2">
      <c r="A5" s="7" t="s">
        <v>39</v>
      </c>
      <c r="B5" s="14">
        <v>165</v>
      </c>
      <c r="C5" s="14">
        <v>195</v>
      </c>
      <c r="D5" s="14">
        <v>1066950</v>
      </c>
      <c r="E5" s="14"/>
      <c r="F5" s="7" t="s">
        <v>73</v>
      </c>
      <c r="G5" s="14">
        <v>-10</v>
      </c>
      <c r="H5" s="14">
        <v>57</v>
      </c>
      <c r="I5" s="14">
        <v>77585</v>
      </c>
    </row>
    <row r="6" spans="1:9" x14ac:dyDescent="0.2">
      <c r="A6" s="9" t="s">
        <v>41</v>
      </c>
      <c r="B6" s="14">
        <v>25</v>
      </c>
      <c r="C6" s="14">
        <v>35</v>
      </c>
      <c r="D6" s="14">
        <v>70200</v>
      </c>
      <c r="E6" s="14"/>
      <c r="F6" s="9" t="s">
        <v>77</v>
      </c>
      <c r="G6" s="14">
        <v>-10</v>
      </c>
      <c r="H6" s="14">
        <v>57</v>
      </c>
      <c r="I6" s="14">
        <v>77585</v>
      </c>
    </row>
    <row r="7" spans="1:9" x14ac:dyDescent="0.2">
      <c r="A7" s="9" t="s">
        <v>45</v>
      </c>
      <c r="B7" s="14">
        <v>25</v>
      </c>
      <c r="C7" s="14">
        <v>35</v>
      </c>
      <c r="D7" s="14">
        <v>121500</v>
      </c>
      <c r="E7" s="14"/>
      <c r="F7" s="7" t="s">
        <v>194</v>
      </c>
      <c r="G7" s="14">
        <v>-10</v>
      </c>
      <c r="H7" s="14">
        <v>57</v>
      </c>
      <c r="I7" s="14">
        <v>77585</v>
      </c>
    </row>
    <row r="8" spans="1:9" x14ac:dyDescent="0.2">
      <c r="A8" s="9" t="s">
        <v>47</v>
      </c>
      <c r="B8" s="14">
        <v>25</v>
      </c>
      <c r="C8" s="14">
        <v>35</v>
      </c>
      <c r="D8" s="14">
        <v>173250</v>
      </c>
      <c r="E8" s="14"/>
    </row>
    <row r="9" spans="1:9" x14ac:dyDescent="0.2">
      <c r="A9" s="9" t="s">
        <v>49</v>
      </c>
      <c r="B9" s="14">
        <v>30</v>
      </c>
      <c r="C9" s="14">
        <v>30</v>
      </c>
      <c r="D9" s="14">
        <v>175500</v>
      </c>
      <c r="E9" s="14"/>
    </row>
    <row r="10" spans="1:9" x14ac:dyDescent="0.2">
      <c r="A10" s="9" t="s">
        <v>51</v>
      </c>
      <c r="B10" s="14">
        <v>30</v>
      </c>
      <c r="C10" s="14">
        <v>30</v>
      </c>
      <c r="D10" s="14">
        <v>70200</v>
      </c>
      <c r="E10" s="14"/>
    </row>
    <row r="11" spans="1:9" x14ac:dyDescent="0.2">
      <c r="A11" s="9" t="s">
        <v>53</v>
      </c>
      <c r="B11" s="14">
        <v>30</v>
      </c>
      <c r="C11" s="14">
        <v>30</v>
      </c>
      <c r="D11" s="14">
        <v>456300</v>
      </c>
      <c r="E11" s="14"/>
    </row>
    <row r="12" spans="1:9" x14ac:dyDescent="0.2">
      <c r="A12" s="7" t="s">
        <v>79</v>
      </c>
      <c r="B12" s="14">
        <v>15</v>
      </c>
      <c r="C12" s="14">
        <v>30</v>
      </c>
      <c r="D12" s="14">
        <v>53862.5</v>
      </c>
      <c r="E12" s="14"/>
    </row>
    <row r="13" spans="1:9" x14ac:dyDescent="0.2">
      <c r="A13" s="9" t="s">
        <v>81</v>
      </c>
      <c r="B13" s="14">
        <v>15</v>
      </c>
      <c r="C13" s="14">
        <v>30</v>
      </c>
      <c r="D13" s="14">
        <v>53862.5</v>
      </c>
      <c r="E13" s="14"/>
    </row>
    <row r="14" spans="1:9" x14ac:dyDescent="0.2">
      <c r="A14" s="7" t="s">
        <v>101</v>
      </c>
      <c r="B14" s="14"/>
      <c r="C14" s="14">
        <v>15</v>
      </c>
      <c r="D14" s="14">
        <v>147743.07</v>
      </c>
      <c r="E14" s="14"/>
    </row>
    <row r="15" spans="1:9" x14ac:dyDescent="0.2">
      <c r="A15" s="9" t="s">
        <v>203</v>
      </c>
      <c r="B15" s="14"/>
      <c r="C15" s="14">
        <v>15</v>
      </c>
      <c r="D15" s="14">
        <v>147743.07</v>
      </c>
      <c r="E15" s="14"/>
      <c r="F15" s="6" t="s">
        <v>181</v>
      </c>
      <c r="G15" t="s">
        <v>202</v>
      </c>
    </row>
    <row r="16" spans="1:9" x14ac:dyDescent="0.2">
      <c r="A16" s="7" t="s">
        <v>104</v>
      </c>
      <c r="B16" s="14"/>
      <c r="C16" s="14">
        <v>16</v>
      </c>
      <c r="D16" s="14">
        <v>-43000</v>
      </c>
      <c r="E16" s="14"/>
      <c r="F16" s="6" t="s">
        <v>208</v>
      </c>
      <c r="G16" t="s">
        <v>202</v>
      </c>
    </row>
    <row r="17" spans="1:9" x14ac:dyDescent="0.2">
      <c r="A17" s="7" t="s">
        <v>117</v>
      </c>
      <c r="B17" s="14">
        <v>44</v>
      </c>
      <c r="C17" s="14">
        <v>131</v>
      </c>
      <c r="D17" s="14">
        <v>124440</v>
      </c>
      <c r="E17" s="14"/>
    </row>
    <row r="18" spans="1:9" x14ac:dyDescent="0.2">
      <c r="A18" s="9" t="s">
        <v>119</v>
      </c>
      <c r="B18" s="14">
        <v>0</v>
      </c>
      <c r="C18" s="14">
        <v>43</v>
      </c>
      <c r="D18" s="14">
        <v>12898</v>
      </c>
      <c r="E18" s="14"/>
      <c r="F18" s="6" t="s">
        <v>192</v>
      </c>
      <c r="G18" t="s">
        <v>214</v>
      </c>
      <c r="H18" t="s">
        <v>210</v>
      </c>
      <c r="I18" t="s">
        <v>201</v>
      </c>
    </row>
    <row r="19" spans="1:9" x14ac:dyDescent="0.2">
      <c r="A19" s="9" t="s">
        <v>121</v>
      </c>
      <c r="B19" s="14">
        <v>0</v>
      </c>
      <c r="C19" s="14">
        <v>42</v>
      </c>
      <c r="D19" s="14">
        <v>30190</v>
      </c>
      <c r="E19" s="14"/>
      <c r="F19" s="7" t="s">
        <v>194</v>
      </c>
      <c r="G19" s="14"/>
      <c r="H19" s="14"/>
      <c r="I19" s="14"/>
    </row>
    <row r="20" spans="1:9" x14ac:dyDescent="0.2">
      <c r="A20" s="9" t="s">
        <v>218</v>
      </c>
      <c r="B20" s="14">
        <v>22</v>
      </c>
      <c r="C20" s="14">
        <v>23</v>
      </c>
      <c r="D20" s="14">
        <v>40616</v>
      </c>
      <c r="E20" s="14"/>
    </row>
    <row r="21" spans="1:9" x14ac:dyDescent="0.2">
      <c r="A21" s="9" t="s">
        <v>219</v>
      </c>
      <c r="B21" s="14">
        <v>22</v>
      </c>
      <c r="C21" s="14">
        <v>23</v>
      </c>
      <c r="D21" s="14">
        <v>40736</v>
      </c>
      <c r="E21" s="14"/>
    </row>
    <row r="22" spans="1:9" x14ac:dyDescent="0.2">
      <c r="A22" s="7" t="s">
        <v>137</v>
      </c>
      <c r="B22" s="14">
        <v>22</v>
      </c>
      <c r="C22" s="14">
        <v>35</v>
      </c>
      <c r="D22" s="14">
        <v>282040</v>
      </c>
      <c r="E22" s="14"/>
    </row>
    <row r="23" spans="1:9" x14ac:dyDescent="0.2">
      <c r="A23" s="9" t="s">
        <v>204</v>
      </c>
      <c r="B23" s="14">
        <v>22</v>
      </c>
      <c r="C23" s="14">
        <v>23</v>
      </c>
      <c r="D23" s="14">
        <v>156680</v>
      </c>
      <c r="E23" s="14"/>
    </row>
    <row r="24" spans="1:9" x14ac:dyDescent="0.2">
      <c r="A24" s="9" t="s">
        <v>205</v>
      </c>
      <c r="B24" s="14"/>
      <c r="C24" s="14">
        <v>12</v>
      </c>
      <c r="D24" s="14">
        <v>125360</v>
      </c>
      <c r="E24" s="14"/>
    </row>
    <row r="25" spans="1:9" x14ac:dyDescent="0.2">
      <c r="A25" s="7" t="s">
        <v>141</v>
      </c>
      <c r="B25" s="14"/>
      <c r="C25" s="14">
        <v>12</v>
      </c>
      <c r="D25" s="14">
        <v>31275</v>
      </c>
      <c r="E25" s="14"/>
    </row>
    <row r="26" spans="1:9" x14ac:dyDescent="0.2">
      <c r="A26" s="9" t="s">
        <v>206</v>
      </c>
      <c r="B26" s="14"/>
      <c r="C26" s="14">
        <v>12</v>
      </c>
      <c r="D26" s="14">
        <v>31275</v>
      </c>
      <c r="E26" s="14"/>
    </row>
    <row r="27" spans="1:9" x14ac:dyDescent="0.2">
      <c r="A27" s="7" t="s">
        <v>148</v>
      </c>
      <c r="B27" s="14">
        <v>15</v>
      </c>
      <c r="C27" s="14">
        <v>30</v>
      </c>
      <c r="D27" s="14">
        <v>73490</v>
      </c>
      <c r="E27" s="14"/>
    </row>
    <row r="28" spans="1:9" x14ac:dyDescent="0.2">
      <c r="A28" s="9" t="s">
        <v>150</v>
      </c>
      <c r="B28" s="14">
        <v>15</v>
      </c>
      <c r="C28" s="14">
        <v>30</v>
      </c>
      <c r="D28" s="14">
        <v>73490</v>
      </c>
      <c r="E28" s="14"/>
    </row>
    <row r="29" spans="1:9" x14ac:dyDescent="0.2">
      <c r="A29" s="7" t="s">
        <v>166</v>
      </c>
      <c r="B29" s="14">
        <v>94</v>
      </c>
      <c r="C29" s="14">
        <v>98</v>
      </c>
      <c r="D29" s="14">
        <v>613930</v>
      </c>
      <c r="E29" s="14"/>
    </row>
    <row r="30" spans="1:9" x14ac:dyDescent="0.2">
      <c r="A30" s="9" t="s">
        <v>168</v>
      </c>
      <c r="B30" s="14">
        <v>22</v>
      </c>
      <c r="C30" s="14">
        <v>23</v>
      </c>
      <c r="D30" s="14">
        <v>39610</v>
      </c>
      <c r="E30" s="14"/>
    </row>
    <row r="31" spans="1:9" x14ac:dyDescent="0.2">
      <c r="A31" s="9" t="s">
        <v>170</v>
      </c>
      <c r="B31" s="14">
        <v>22</v>
      </c>
      <c r="C31" s="14">
        <v>23</v>
      </c>
      <c r="D31" s="14">
        <v>94640</v>
      </c>
      <c r="E31" s="14"/>
    </row>
    <row r="32" spans="1:9" x14ac:dyDescent="0.2">
      <c r="A32" s="9" t="s">
        <v>172</v>
      </c>
      <c r="B32" s="14">
        <v>25</v>
      </c>
      <c r="C32" s="14">
        <v>20</v>
      </c>
      <c r="D32" s="14">
        <v>76800</v>
      </c>
      <c r="E32" s="14"/>
    </row>
    <row r="33" spans="1:5" x14ac:dyDescent="0.2">
      <c r="A33" s="9" t="s">
        <v>174</v>
      </c>
      <c r="B33" s="14">
        <v>25</v>
      </c>
      <c r="C33" s="14">
        <v>20</v>
      </c>
      <c r="D33" s="14">
        <v>186880</v>
      </c>
      <c r="E33" s="14"/>
    </row>
    <row r="34" spans="1:5" x14ac:dyDescent="0.2">
      <c r="A34" s="9" t="s">
        <v>176</v>
      </c>
      <c r="B34" s="14"/>
      <c r="C34" s="14">
        <v>12</v>
      </c>
      <c r="D34" s="14">
        <v>216000</v>
      </c>
      <c r="E34" s="14"/>
    </row>
    <row r="35" spans="1:5" x14ac:dyDescent="0.2">
      <c r="A35" s="7" t="s">
        <v>194</v>
      </c>
      <c r="B35" s="14">
        <v>355</v>
      </c>
      <c r="C35" s="14">
        <v>562</v>
      </c>
      <c r="D35" s="14">
        <v>2350730.5700000003</v>
      </c>
      <c r="E35" s="14"/>
    </row>
    <row r="36" spans="1:5" x14ac:dyDescent="0.2">
      <c r="E36" s="14"/>
    </row>
    <row r="37" spans="1:5" x14ac:dyDescent="0.2">
      <c r="E3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Data</vt:lpstr>
      <vt:lpstr>Hoja2</vt:lpstr>
      <vt:lpstr>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Xitanium</cp:lastModifiedBy>
  <cp:revision>1</cp:revision>
  <dcterms:created xsi:type="dcterms:W3CDTF">2026-03-30T16:44:06Z</dcterms:created>
  <dcterms:modified xsi:type="dcterms:W3CDTF">2026-03-30T17:31:53Z</dcterms:modified>
  <cp:category/>
</cp:coreProperties>
</file>