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ydukcorporacion-my.sharepoint.com/personal/katherines_perufrost_com/Documents/PERUFROST/Finanzas/Flujo de Caja/Flujo Semanal/"/>
    </mc:Choice>
  </mc:AlternateContent>
  <xr:revisionPtr revIDLastSave="1066" documentId="13_ncr:1_{A27148C6-0F40-4AAB-BA3E-85D50157335D}" xr6:coauthVersionLast="47" xr6:coauthVersionMax="47" xr10:uidLastSave="{81613D49-DA84-487F-9F9C-EAEBBBC66536}"/>
  <bookViews>
    <workbookView xWindow="-108" yWindow="-108" windowWidth="23256" windowHeight="13896" activeTab="1" xr2:uid="{D0C09B95-B007-4212-AB74-70908523E143}"/>
  </bookViews>
  <sheets>
    <sheet name="TD" sheetId="3" r:id="rId1"/>
    <sheet name="Resumen" sheetId="1" r:id="rId2"/>
    <sheet name="Detalle Costos" sheetId="2" r:id="rId3"/>
  </sheets>
  <definedNames>
    <definedName name="_xlnm._FilterDatabase" localSheetId="2" hidden="1">'Detalle Costos'!$A$4:$U$158</definedName>
    <definedName name="_xlnm._FilterDatabase" localSheetId="1" hidden="1">Resumen!$C$3:$BQ$71</definedName>
  </definedNames>
  <calcPr calcId="191028"/>
  <pivotCaches>
    <pivotCache cacheId="7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1" i="1" l="1"/>
  <c r="S4" i="1"/>
  <c r="S8" i="1"/>
  <c r="S9" i="1"/>
  <c r="S10" i="1"/>
  <c r="S11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1" i="1"/>
  <c r="G73" i="1"/>
  <c r="AW71" i="1"/>
  <c r="BP71" i="1" s="1"/>
  <c r="AT71" i="1"/>
  <c r="BN71" i="1" s="1"/>
  <c r="AP71" i="1"/>
  <c r="BK71" i="1" s="1"/>
  <c r="AN71" i="1"/>
  <c r="BI71" i="1" s="1"/>
  <c r="AM71" i="1"/>
  <c r="AA71" i="1"/>
  <c r="G71" i="1"/>
  <c r="P71" i="1" s="1"/>
  <c r="AW70" i="1"/>
  <c r="BP70" i="1" s="1"/>
  <c r="AT70" i="1"/>
  <c r="BN70" i="1" s="1"/>
  <c r="AP70" i="1"/>
  <c r="BK70" i="1" s="1"/>
  <c r="AN70" i="1"/>
  <c r="BI70" i="1" s="1"/>
  <c r="AA70" i="1"/>
  <c r="R70" i="1"/>
  <c r="AM70" i="1" s="1"/>
  <c r="P70" i="1"/>
  <c r="S70" i="1" s="1"/>
  <c r="P13" i="1"/>
  <c r="Q70" i="1" l="1"/>
  <c r="Q71" i="1"/>
  <c r="AQ71" i="1"/>
  <c r="BL71" i="1" s="1"/>
  <c r="BA71" i="1"/>
  <c r="P73" i="1"/>
  <c r="AO71" i="1"/>
  <c r="BJ71" i="1" s="1"/>
  <c r="BH71" i="1"/>
  <c r="AB71" i="1"/>
  <c r="AG71" i="1" s="1"/>
  <c r="AO70" i="1"/>
  <c r="BJ70" i="1" s="1"/>
  <c r="AQ70" i="1"/>
  <c r="BL70" i="1" s="1"/>
  <c r="BA70" i="1"/>
  <c r="BH70" i="1"/>
  <c r="AB70" i="1"/>
  <c r="AG70" i="1" s="1"/>
  <c r="AK71" i="1" l="1"/>
  <c r="AF71" i="1"/>
  <c r="BE71" i="1" s="1"/>
  <c r="AE71" i="1"/>
  <c r="BD71" i="1" s="1"/>
  <c r="BF71" i="1"/>
  <c r="AD71" i="1"/>
  <c r="BC71" i="1" s="1"/>
  <c r="AC71" i="1"/>
  <c r="BB71" i="1" s="1"/>
  <c r="AK70" i="1"/>
  <c r="AD70" i="1"/>
  <c r="BC70" i="1" s="1"/>
  <c r="AF70" i="1"/>
  <c r="BE70" i="1" s="1"/>
  <c r="AE70" i="1"/>
  <c r="BD70" i="1" s="1"/>
  <c r="BF70" i="1"/>
  <c r="AC70" i="1"/>
  <c r="BB70" i="1" s="1"/>
  <c r="AR71" i="1" l="1"/>
  <c r="AL71" i="1"/>
  <c r="BG71" i="1"/>
  <c r="AR70" i="1"/>
  <c r="AL70" i="1"/>
  <c r="BG70" i="1"/>
  <c r="AX71" i="1" l="1"/>
  <c r="AU71" i="1"/>
  <c r="AS71" i="1"/>
  <c r="BM71" i="1"/>
  <c r="BM70" i="1"/>
  <c r="AS70" i="1"/>
  <c r="AX70" i="1"/>
  <c r="AU70" i="1"/>
  <c r="BO71" i="1" l="1"/>
  <c r="AV71" i="1"/>
  <c r="BQ71" i="1"/>
  <c r="AY71" i="1"/>
  <c r="BO70" i="1"/>
  <c r="AV70" i="1"/>
  <c r="BQ70" i="1"/>
  <c r="AY70" i="1"/>
  <c r="AG88" i="1" l="1"/>
  <c r="AG85" i="1"/>
  <c r="AG81" i="1"/>
  <c r="AG79" i="1"/>
  <c r="AG86" i="1" l="1"/>
  <c r="AG89" i="1" s="1"/>
  <c r="T60" i="3"/>
  <c r="T61" i="3"/>
  <c r="T62" i="3"/>
  <c r="T63" i="3"/>
  <c r="T64" i="3"/>
  <c r="T65" i="3"/>
  <c r="T66" i="3"/>
  <c r="T67" i="3"/>
  <c r="T68" i="3"/>
  <c r="AA66" i="3"/>
  <c r="AA67" i="3"/>
  <c r="AA68" i="3"/>
  <c r="M66" i="3"/>
  <c r="M67" i="3"/>
  <c r="M68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M39" i="3"/>
  <c r="M40" i="3"/>
  <c r="F29" i="3"/>
  <c r="F30" i="3"/>
  <c r="F31" i="3"/>
  <c r="F32" i="3"/>
  <c r="F33" i="3"/>
  <c r="F34" i="3"/>
  <c r="F35" i="3"/>
  <c r="F36" i="3"/>
  <c r="F37" i="3"/>
  <c r="F38" i="3"/>
  <c r="F39" i="3"/>
  <c r="F40" i="3"/>
  <c r="AA19" i="1"/>
  <c r="AI21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12" i="1"/>
  <c r="AT13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12" i="1"/>
  <c r="AP13" i="1"/>
  <c r="C35" i="1"/>
  <c r="AM35" i="1"/>
  <c r="AN35" i="1"/>
  <c r="AP35" i="1"/>
  <c r="AT35" i="1"/>
  <c r="AW35" i="1"/>
  <c r="AG35" i="1"/>
  <c r="AK35" i="1" s="1"/>
  <c r="C15" i="1"/>
  <c r="AG15" i="1"/>
  <c r="AM15" i="1"/>
  <c r="AN15" i="1"/>
  <c r="AP15" i="1"/>
  <c r="AT15" i="1"/>
  <c r="AW15" i="1"/>
  <c r="P20" i="1"/>
  <c r="Q20" i="1" s="1"/>
  <c r="P19" i="1"/>
  <c r="Q19" i="1" s="1"/>
  <c r="P21" i="1"/>
  <c r="Q21" i="1" s="1"/>
  <c r="P17" i="1"/>
  <c r="Q17" i="1" s="1"/>
  <c r="P14" i="1"/>
  <c r="Q14" i="1" s="1"/>
  <c r="P10" i="1"/>
  <c r="Q10" i="1" s="1"/>
  <c r="P9" i="1"/>
  <c r="Q9" i="1" s="1"/>
  <c r="P4" i="1"/>
  <c r="O7" i="1"/>
  <c r="AJ13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I29" i="1"/>
  <c r="AI28" i="1"/>
  <c r="AI27" i="1"/>
  <c r="AI26" i="1"/>
  <c r="AI25" i="1"/>
  <c r="Q4" i="1" l="1"/>
  <c r="Q73" i="1" s="1"/>
  <c r="O9" i="1"/>
  <c r="AO15" i="1"/>
  <c r="AO35" i="1"/>
  <c r="AR35" i="1" s="1"/>
  <c r="AL35" i="1"/>
  <c r="O10" i="1"/>
  <c r="AK15" i="1"/>
  <c r="O14" i="1"/>
  <c r="O17" i="1"/>
  <c r="O21" i="1"/>
  <c r="O4" i="1"/>
  <c r="O19" i="1"/>
  <c r="O20" i="1"/>
  <c r="AJ4" i="1"/>
  <c r="AH4" i="1"/>
  <c r="AS35" i="1" l="1"/>
  <c r="AU35" i="1"/>
  <c r="AV35" i="1" s="1"/>
  <c r="AX35" i="1"/>
  <c r="AY35" i="1" s="1"/>
  <c r="AR15" i="1"/>
  <c r="AL15" i="1"/>
  <c r="AI4" i="1"/>
  <c r="AI17" i="1" l="1"/>
  <c r="AS15" i="1"/>
  <c r="AU15" i="1"/>
  <c r="AV15" i="1" s="1"/>
  <c r="AX15" i="1"/>
  <c r="AY15" i="1" s="1"/>
  <c r="AI20" i="1" l="1"/>
  <c r="AI19" i="1"/>
  <c r="AB19" i="1" s="1"/>
  <c r="AI33" i="1"/>
  <c r="AI31" i="1"/>
  <c r="AI23" i="1"/>
  <c r="AI22" i="1"/>
  <c r="AH33" i="1"/>
  <c r="AH32" i="1"/>
  <c r="AI32" i="1" s="1"/>
  <c r="AH31" i="1"/>
  <c r="AJ31" i="1" s="1"/>
  <c r="AH23" i="1"/>
  <c r="AJ23" i="1" s="1"/>
  <c r="AH22" i="1"/>
  <c r="AH16" i="1"/>
  <c r="AI16" i="1" s="1"/>
  <c r="AH34" i="1"/>
  <c r="AH21" i="1"/>
  <c r="AJ21" i="1" s="1"/>
  <c r="AH18" i="1"/>
  <c r="AJ18" i="1" s="1"/>
  <c r="AJ22" i="1" l="1"/>
  <c r="AJ33" i="1"/>
  <c r="AJ34" i="1"/>
  <c r="AI30" i="1" l="1"/>
  <c r="AJ30" i="1" s="1"/>
  <c r="AH12" i="1"/>
  <c r="AJ24" i="1"/>
  <c r="AH29" i="1"/>
  <c r="AJ29" i="1" s="1"/>
  <c r="AH28" i="1"/>
  <c r="AJ28" i="1" s="1"/>
  <c r="AH27" i="1"/>
  <c r="AJ27" i="1" s="1"/>
  <c r="AH26" i="1"/>
  <c r="AJ26" i="1" s="1"/>
  <c r="AH25" i="1"/>
  <c r="AJ25" i="1" s="1"/>
  <c r="AI14" i="1"/>
  <c r="AI11" i="1"/>
  <c r="AI10" i="1"/>
  <c r="AI9" i="1"/>
  <c r="AI8" i="1"/>
  <c r="AI7" i="1"/>
  <c r="AI5" i="1"/>
  <c r="AI6" i="1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I73" i="1" l="1"/>
  <c r="AJ12" i="1"/>
  <c r="AJ73" i="1" s="1"/>
  <c r="AH73" i="1"/>
  <c r="AW4" i="1"/>
  <c r="AW5" i="1"/>
  <c r="AW6" i="1"/>
  <c r="AW7" i="1"/>
  <c r="AW8" i="1"/>
  <c r="AW9" i="1"/>
  <c r="AW10" i="1"/>
  <c r="AW11" i="1"/>
  <c r="AW14" i="1"/>
  <c r="AT4" i="1"/>
  <c r="AT5" i="1"/>
  <c r="AT6" i="1"/>
  <c r="AT7" i="1"/>
  <c r="AT8" i="1"/>
  <c r="AT9" i="1"/>
  <c r="AT10" i="1"/>
  <c r="AT11" i="1"/>
  <c r="AT14" i="1"/>
  <c r="AP4" i="1"/>
  <c r="AP5" i="1"/>
  <c r="AP6" i="1"/>
  <c r="AP7" i="1"/>
  <c r="AP8" i="1"/>
  <c r="AP9" i="1"/>
  <c r="AP10" i="1"/>
  <c r="AP11" i="1"/>
  <c r="AP14" i="1"/>
  <c r="AT73" i="1" l="1"/>
  <c r="AP73" i="1"/>
  <c r="BA5" i="1"/>
  <c r="BA6" i="1"/>
  <c r="BA7" i="1"/>
  <c r="BA8" i="1"/>
  <c r="BA9" i="1"/>
  <c r="BA10" i="1"/>
  <c r="BA11" i="1"/>
  <c r="BA12" i="1"/>
  <c r="BA13" i="1"/>
  <c r="BA14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4" i="1"/>
  <c r="T29" i="3"/>
  <c r="T30" i="3"/>
  <c r="T31" i="3"/>
  <c r="T32" i="3"/>
  <c r="T33" i="3"/>
  <c r="T34" i="3"/>
  <c r="T35" i="3"/>
  <c r="T36" i="3"/>
  <c r="T37" i="3"/>
  <c r="T38" i="3"/>
  <c r="T39" i="3"/>
  <c r="T51" i="3"/>
  <c r="T52" i="3"/>
  <c r="T53" i="3"/>
  <c r="T54" i="3"/>
  <c r="T55" i="3"/>
  <c r="T56" i="3"/>
  <c r="T57" i="3"/>
  <c r="T58" i="3"/>
  <c r="T59" i="3"/>
  <c r="M30" i="3"/>
  <c r="M31" i="3"/>
  <c r="M32" i="3"/>
  <c r="M33" i="3"/>
  <c r="M34" i="3"/>
  <c r="M35" i="3"/>
  <c r="M36" i="3"/>
  <c r="M37" i="3"/>
  <c r="M38" i="3"/>
  <c r="M29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51" i="3"/>
  <c r="P8" i="3"/>
  <c r="Q8" i="3"/>
  <c r="R8" i="3"/>
  <c r="S8" i="3"/>
  <c r="P9" i="3"/>
  <c r="Q9" i="3"/>
  <c r="R9" i="3"/>
  <c r="S9" i="3"/>
  <c r="P10" i="3"/>
  <c r="Q10" i="3"/>
  <c r="R10" i="3"/>
  <c r="S10" i="3"/>
  <c r="P11" i="3"/>
  <c r="Q11" i="3"/>
  <c r="R11" i="3"/>
  <c r="S11" i="3"/>
  <c r="P12" i="3"/>
  <c r="Q12" i="3"/>
  <c r="R12" i="3"/>
  <c r="S12" i="3"/>
  <c r="P13" i="3"/>
  <c r="Q13" i="3"/>
  <c r="R13" i="3"/>
  <c r="S13" i="3"/>
  <c r="P14" i="3"/>
  <c r="Q14" i="3"/>
  <c r="R14" i="3"/>
  <c r="S14" i="3"/>
  <c r="P15" i="3"/>
  <c r="Q15" i="3"/>
  <c r="R15" i="3"/>
  <c r="S15" i="3"/>
  <c r="P16" i="3"/>
  <c r="Q16" i="3"/>
  <c r="R16" i="3"/>
  <c r="S16" i="3"/>
  <c r="P17" i="3"/>
  <c r="Q17" i="3"/>
  <c r="R17" i="3"/>
  <c r="S17" i="3"/>
  <c r="P18" i="3"/>
  <c r="Q18" i="3"/>
  <c r="R18" i="3"/>
  <c r="S18" i="3"/>
  <c r="I8" i="3"/>
  <c r="J8" i="3"/>
  <c r="K8" i="3"/>
  <c r="L8" i="3"/>
  <c r="I9" i="3"/>
  <c r="J9" i="3"/>
  <c r="K9" i="3"/>
  <c r="L9" i="3"/>
  <c r="I10" i="3"/>
  <c r="J10" i="3"/>
  <c r="K10" i="3"/>
  <c r="L10" i="3"/>
  <c r="I11" i="3"/>
  <c r="J11" i="3"/>
  <c r="K11" i="3"/>
  <c r="L11" i="3"/>
  <c r="I12" i="3"/>
  <c r="J12" i="3"/>
  <c r="K12" i="3"/>
  <c r="L12" i="3"/>
  <c r="I13" i="3"/>
  <c r="J13" i="3"/>
  <c r="K13" i="3"/>
  <c r="L13" i="3"/>
  <c r="I14" i="3"/>
  <c r="J14" i="3"/>
  <c r="K14" i="3"/>
  <c r="L14" i="3"/>
  <c r="I15" i="3"/>
  <c r="J15" i="3"/>
  <c r="K15" i="3"/>
  <c r="L15" i="3"/>
  <c r="I16" i="3"/>
  <c r="J16" i="3"/>
  <c r="K16" i="3"/>
  <c r="L16" i="3"/>
  <c r="I17" i="3"/>
  <c r="J17" i="3"/>
  <c r="K17" i="3"/>
  <c r="L17" i="3"/>
  <c r="I18" i="3"/>
  <c r="J18" i="3"/>
  <c r="K18" i="3"/>
  <c r="L18" i="3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AW12" i="1"/>
  <c r="BP12" i="1" s="1"/>
  <c r="AW13" i="1"/>
  <c r="BP13" i="1" s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N12" i="1"/>
  <c r="BN13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P4" i="1"/>
  <c r="BP5" i="1"/>
  <c r="BP6" i="1"/>
  <c r="BP7" i="1"/>
  <c r="BP8" i="1"/>
  <c r="BP9" i="1"/>
  <c r="BP10" i="1"/>
  <c r="BP11" i="1"/>
  <c r="BP14" i="1"/>
  <c r="BN4" i="1"/>
  <c r="BN5" i="1"/>
  <c r="BN6" i="1"/>
  <c r="BN7" i="1"/>
  <c r="BN8" i="1"/>
  <c r="BN9" i="1"/>
  <c r="BN10" i="1"/>
  <c r="BN11" i="1"/>
  <c r="BN14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12" i="1"/>
  <c r="BK13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4" i="1"/>
  <c r="BK5" i="1"/>
  <c r="BK6" i="1"/>
  <c r="BK7" i="1"/>
  <c r="BK8" i="1"/>
  <c r="BK9" i="1"/>
  <c r="BK10" i="1"/>
  <c r="BK11" i="1"/>
  <c r="BK14" i="1"/>
  <c r="AQ8" i="1"/>
  <c r="BL8" i="1" s="1"/>
  <c r="AQ9" i="1"/>
  <c r="BL9" i="1" s="1"/>
  <c r="AQ10" i="1"/>
  <c r="BL10" i="1" s="1"/>
  <c r="AQ11" i="1"/>
  <c r="BL11" i="1" s="1"/>
  <c r="AQ14" i="1"/>
  <c r="BL14" i="1" s="1"/>
  <c r="AQ16" i="1"/>
  <c r="BL16" i="1" s="1"/>
  <c r="AQ17" i="1"/>
  <c r="BL17" i="1" s="1"/>
  <c r="AQ18" i="1"/>
  <c r="BL18" i="1" s="1"/>
  <c r="AQ19" i="1"/>
  <c r="BL19" i="1" s="1"/>
  <c r="AQ20" i="1"/>
  <c r="BL20" i="1" s="1"/>
  <c r="AQ21" i="1"/>
  <c r="BL21" i="1" s="1"/>
  <c r="AQ22" i="1"/>
  <c r="BL22" i="1" s="1"/>
  <c r="AQ23" i="1"/>
  <c r="BL23" i="1" s="1"/>
  <c r="AQ24" i="1"/>
  <c r="BL24" i="1" s="1"/>
  <c r="AQ25" i="1"/>
  <c r="BL25" i="1" s="1"/>
  <c r="AQ26" i="1"/>
  <c r="BL26" i="1" s="1"/>
  <c r="AQ27" i="1"/>
  <c r="BL27" i="1" s="1"/>
  <c r="AQ28" i="1"/>
  <c r="BL28" i="1" s="1"/>
  <c r="AQ29" i="1"/>
  <c r="BL29" i="1" s="1"/>
  <c r="AQ30" i="1"/>
  <c r="BL30" i="1" s="1"/>
  <c r="AQ34" i="1"/>
  <c r="BL34" i="1" s="1"/>
  <c r="AQ36" i="1"/>
  <c r="BL36" i="1" s="1"/>
  <c r="AQ37" i="1"/>
  <c r="BL37" i="1" s="1"/>
  <c r="AQ38" i="1"/>
  <c r="BL38" i="1" s="1"/>
  <c r="AQ39" i="1"/>
  <c r="BL39" i="1" s="1"/>
  <c r="AQ40" i="1"/>
  <c r="BL40" i="1" s="1"/>
  <c r="AQ41" i="1"/>
  <c r="BL41" i="1" s="1"/>
  <c r="AQ42" i="1"/>
  <c r="BL42" i="1" s="1"/>
  <c r="AQ43" i="1"/>
  <c r="BL43" i="1" s="1"/>
  <c r="AQ44" i="1"/>
  <c r="BL44" i="1" s="1"/>
  <c r="AQ45" i="1"/>
  <c r="BL45" i="1" s="1"/>
  <c r="AQ46" i="1"/>
  <c r="BL46" i="1" s="1"/>
  <c r="AQ47" i="1"/>
  <c r="BL47" i="1" s="1"/>
  <c r="AQ48" i="1"/>
  <c r="BL48" i="1" s="1"/>
  <c r="AQ49" i="1"/>
  <c r="AQ50" i="1"/>
  <c r="BL50" i="1" s="1"/>
  <c r="AQ51" i="1"/>
  <c r="BL51" i="1" s="1"/>
  <c r="AQ52" i="1"/>
  <c r="BL52" i="1" s="1"/>
  <c r="AQ53" i="1"/>
  <c r="BL53" i="1" s="1"/>
  <c r="AQ54" i="1"/>
  <c r="BL54" i="1" s="1"/>
  <c r="AQ55" i="1"/>
  <c r="BL55" i="1" s="1"/>
  <c r="AQ56" i="1"/>
  <c r="BL56" i="1" s="1"/>
  <c r="AQ57" i="1"/>
  <c r="BL57" i="1" s="1"/>
  <c r="AQ58" i="1"/>
  <c r="BL58" i="1" s="1"/>
  <c r="AQ59" i="1"/>
  <c r="BL59" i="1" s="1"/>
  <c r="AQ60" i="1"/>
  <c r="BL60" i="1" s="1"/>
  <c r="AQ61" i="1"/>
  <c r="BL61" i="1" s="1"/>
  <c r="AQ62" i="1"/>
  <c r="BL62" i="1" s="1"/>
  <c r="AQ63" i="1"/>
  <c r="BL63" i="1" s="1"/>
  <c r="AQ64" i="1"/>
  <c r="BL64" i="1" s="1"/>
  <c r="AQ65" i="1"/>
  <c r="BL65" i="1" s="1"/>
  <c r="AQ66" i="1"/>
  <c r="BL66" i="1" s="1"/>
  <c r="AQ67" i="1"/>
  <c r="AQ68" i="1"/>
  <c r="BL68" i="1" s="1"/>
  <c r="AQ69" i="1"/>
  <c r="BL69" i="1" s="1"/>
  <c r="AQ4" i="1"/>
  <c r="BL4" i="1" s="1"/>
  <c r="AN4" i="1"/>
  <c r="BI4" i="1" s="1"/>
  <c r="AN5" i="1"/>
  <c r="BI5" i="1" s="1"/>
  <c r="AN6" i="1"/>
  <c r="BI6" i="1" s="1"/>
  <c r="AN7" i="1"/>
  <c r="BI7" i="1" s="1"/>
  <c r="AN8" i="1"/>
  <c r="BI8" i="1" s="1"/>
  <c r="AN9" i="1"/>
  <c r="BI9" i="1" s="1"/>
  <c r="AN10" i="1"/>
  <c r="BI10" i="1" s="1"/>
  <c r="AN11" i="1"/>
  <c r="BI11" i="1" s="1"/>
  <c r="AN12" i="1"/>
  <c r="BI12" i="1" s="1"/>
  <c r="AN13" i="1"/>
  <c r="BI13" i="1" s="1"/>
  <c r="AN14" i="1"/>
  <c r="BI14" i="1" s="1"/>
  <c r="AN16" i="1"/>
  <c r="BI16" i="1" s="1"/>
  <c r="AN17" i="1"/>
  <c r="BI17" i="1" s="1"/>
  <c r="AN18" i="1"/>
  <c r="BI18" i="1" s="1"/>
  <c r="AN19" i="1"/>
  <c r="BI19" i="1" s="1"/>
  <c r="AN20" i="1"/>
  <c r="BI20" i="1" s="1"/>
  <c r="AN21" i="1"/>
  <c r="BI21" i="1" s="1"/>
  <c r="AN22" i="1"/>
  <c r="BI22" i="1" s="1"/>
  <c r="AN23" i="1"/>
  <c r="BI23" i="1" s="1"/>
  <c r="AN24" i="1"/>
  <c r="BI24" i="1" s="1"/>
  <c r="AN25" i="1"/>
  <c r="BI25" i="1" s="1"/>
  <c r="AN26" i="1"/>
  <c r="BI26" i="1" s="1"/>
  <c r="AN27" i="1"/>
  <c r="BI27" i="1" s="1"/>
  <c r="AN28" i="1"/>
  <c r="BI28" i="1" s="1"/>
  <c r="AN29" i="1"/>
  <c r="BI29" i="1" s="1"/>
  <c r="AN30" i="1"/>
  <c r="BI30" i="1" s="1"/>
  <c r="AN31" i="1"/>
  <c r="BI31" i="1" s="1"/>
  <c r="AN32" i="1"/>
  <c r="BI32" i="1" s="1"/>
  <c r="AN33" i="1"/>
  <c r="BI33" i="1" s="1"/>
  <c r="AN34" i="1"/>
  <c r="BI34" i="1" s="1"/>
  <c r="AN36" i="1"/>
  <c r="BI36" i="1" s="1"/>
  <c r="AN37" i="1"/>
  <c r="BI37" i="1" s="1"/>
  <c r="AN38" i="1"/>
  <c r="BI38" i="1" s="1"/>
  <c r="AN39" i="1"/>
  <c r="BI39" i="1" s="1"/>
  <c r="AN40" i="1"/>
  <c r="BI40" i="1" s="1"/>
  <c r="AN41" i="1"/>
  <c r="BI41" i="1" s="1"/>
  <c r="AN42" i="1"/>
  <c r="BI42" i="1" s="1"/>
  <c r="AN43" i="1"/>
  <c r="BI43" i="1" s="1"/>
  <c r="AN44" i="1"/>
  <c r="BI44" i="1" s="1"/>
  <c r="AN45" i="1"/>
  <c r="BI45" i="1" s="1"/>
  <c r="AN46" i="1"/>
  <c r="BI46" i="1" s="1"/>
  <c r="AN47" i="1"/>
  <c r="BI47" i="1" s="1"/>
  <c r="AN48" i="1"/>
  <c r="BI48" i="1" s="1"/>
  <c r="AN49" i="1"/>
  <c r="AN50" i="1"/>
  <c r="BI50" i="1" s="1"/>
  <c r="AN51" i="1"/>
  <c r="BI51" i="1" s="1"/>
  <c r="AN52" i="1"/>
  <c r="BI52" i="1" s="1"/>
  <c r="AN53" i="1"/>
  <c r="BI53" i="1" s="1"/>
  <c r="AN54" i="1"/>
  <c r="BI54" i="1" s="1"/>
  <c r="AN55" i="1"/>
  <c r="BI55" i="1" s="1"/>
  <c r="AN56" i="1"/>
  <c r="BI56" i="1" s="1"/>
  <c r="AN57" i="1"/>
  <c r="BI57" i="1" s="1"/>
  <c r="AN58" i="1"/>
  <c r="BI58" i="1" s="1"/>
  <c r="AN59" i="1"/>
  <c r="BI59" i="1" s="1"/>
  <c r="AN60" i="1"/>
  <c r="BI60" i="1" s="1"/>
  <c r="AN61" i="1"/>
  <c r="BI61" i="1" s="1"/>
  <c r="AN62" i="1"/>
  <c r="BI62" i="1" s="1"/>
  <c r="AN63" i="1"/>
  <c r="BI63" i="1" s="1"/>
  <c r="AN64" i="1"/>
  <c r="BI64" i="1" s="1"/>
  <c r="AN65" i="1"/>
  <c r="BI65" i="1" s="1"/>
  <c r="AN66" i="1"/>
  <c r="BI66" i="1" s="1"/>
  <c r="AN67" i="1"/>
  <c r="AN68" i="1"/>
  <c r="BI68" i="1" s="1"/>
  <c r="AN69" i="1"/>
  <c r="BI69" i="1" s="1"/>
  <c r="AM8" i="1"/>
  <c r="BH8" i="1" s="1"/>
  <c r="AM9" i="1"/>
  <c r="BH9" i="1" s="1"/>
  <c r="AM10" i="1"/>
  <c r="BH10" i="1" s="1"/>
  <c r="AM11" i="1"/>
  <c r="BH11" i="1" s="1"/>
  <c r="AM14" i="1"/>
  <c r="BH14" i="1" s="1"/>
  <c r="AM16" i="1"/>
  <c r="BH16" i="1" s="1"/>
  <c r="AM17" i="1"/>
  <c r="BH17" i="1" s="1"/>
  <c r="AM18" i="1"/>
  <c r="BH18" i="1" s="1"/>
  <c r="AM19" i="1"/>
  <c r="BH19" i="1" s="1"/>
  <c r="AM20" i="1"/>
  <c r="BH20" i="1" s="1"/>
  <c r="AM21" i="1"/>
  <c r="BH21" i="1" s="1"/>
  <c r="AM22" i="1"/>
  <c r="BH22" i="1" s="1"/>
  <c r="AM23" i="1"/>
  <c r="BH23" i="1" s="1"/>
  <c r="AM24" i="1"/>
  <c r="BH24" i="1" s="1"/>
  <c r="AM25" i="1"/>
  <c r="BH25" i="1" s="1"/>
  <c r="AM26" i="1"/>
  <c r="BH26" i="1" s="1"/>
  <c r="AM27" i="1"/>
  <c r="BH27" i="1" s="1"/>
  <c r="AM28" i="1"/>
  <c r="BH28" i="1" s="1"/>
  <c r="AM29" i="1"/>
  <c r="BH29" i="1" s="1"/>
  <c r="AM30" i="1"/>
  <c r="BH30" i="1" s="1"/>
  <c r="AM34" i="1"/>
  <c r="BH34" i="1" s="1"/>
  <c r="AM36" i="1"/>
  <c r="BH36" i="1" s="1"/>
  <c r="AM37" i="1"/>
  <c r="BH37" i="1" s="1"/>
  <c r="AM38" i="1"/>
  <c r="BH38" i="1" s="1"/>
  <c r="AM39" i="1"/>
  <c r="BH39" i="1" s="1"/>
  <c r="AM40" i="1"/>
  <c r="BH40" i="1" s="1"/>
  <c r="AM41" i="1"/>
  <c r="BH41" i="1" s="1"/>
  <c r="AM42" i="1"/>
  <c r="BH42" i="1" s="1"/>
  <c r="AM43" i="1"/>
  <c r="BH43" i="1" s="1"/>
  <c r="AM44" i="1"/>
  <c r="BH44" i="1" s="1"/>
  <c r="AM45" i="1"/>
  <c r="BH45" i="1" s="1"/>
  <c r="AM46" i="1"/>
  <c r="BH46" i="1" s="1"/>
  <c r="AM47" i="1"/>
  <c r="BH47" i="1" s="1"/>
  <c r="AM48" i="1"/>
  <c r="BH48" i="1" s="1"/>
  <c r="AM49" i="1"/>
  <c r="AM50" i="1"/>
  <c r="BH50" i="1" s="1"/>
  <c r="AM51" i="1"/>
  <c r="BH51" i="1" s="1"/>
  <c r="AM52" i="1"/>
  <c r="BH52" i="1" s="1"/>
  <c r="AM53" i="1"/>
  <c r="BH53" i="1" s="1"/>
  <c r="AM54" i="1"/>
  <c r="BH54" i="1" s="1"/>
  <c r="AM55" i="1"/>
  <c r="BH55" i="1" s="1"/>
  <c r="AM56" i="1"/>
  <c r="BH56" i="1" s="1"/>
  <c r="AM57" i="1"/>
  <c r="BH57" i="1" s="1"/>
  <c r="AM58" i="1"/>
  <c r="BH58" i="1" s="1"/>
  <c r="AM59" i="1"/>
  <c r="BH59" i="1" s="1"/>
  <c r="AM60" i="1"/>
  <c r="BH60" i="1" s="1"/>
  <c r="AM61" i="1"/>
  <c r="BH61" i="1" s="1"/>
  <c r="AM62" i="1"/>
  <c r="BH62" i="1" s="1"/>
  <c r="AM63" i="1"/>
  <c r="BH63" i="1" s="1"/>
  <c r="AM64" i="1"/>
  <c r="BH64" i="1" s="1"/>
  <c r="AM65" i="1"/>
  <c r="BH65" i="1" s="1"/>
  <c r="AM66" i="1"/>
  <c r="BH66" i="1" s="1"/>
  <c r="AM67" i="1"/>
  <c r="AM68" i="1"/>
  <c r="BH68" i="1" s="1"/>
  <c r="AM69" i="1"/>
  <c r="BH69" i="1" s="1"/>
  <c r="AM4" i="1"/>
  <c r="BH4" i="1" s="1"/>
  <c r="AA4" i="1"/>
  <c r="AA5" i="1"/>
  <c r="AA6" i="1"/>
  <c r="AA7" i="1"/>
  <c r="AA8" i="1"/>
  <c r="AA9" i="1"/>
  <c r="AA10" i="1"/>
  <c r="AA11" i="1"/>
  <c r="AA14" i="1"/>
  <c r="W131" i="2"/>
  <c r="X131" i="2" s="1"/>
  <c r="W143" i="2"/>
  <c r="W144" i="2"/>
  <c r="Z144" i="2" s="1"/>
  <c r="W145" i="2"/>
  <c r="AG19" i="1"/>
  <c r="AG42" i="1"/>
  <c r="AA49" i="1"/>
  <c r="AA30" i="1"/>
  <c r="AA66" i="1"/>
  <c r="AA67" i="1"/>
  <c r="AA43" i="1"/>
  <c r="AA55" i="1"/>
  <c r="AA54" i="1"/>
  <c r="AA53" i="1"/>
  <c r="AA45" i="1"/>
  <c r="AA44" i="1"/>
  <c r="AA41" i="1"/>
  <c r="AA69" i="1"/>
  <c r="AA68" i="1"/>
  <c r="AA64" i="1"/>
  <c r="AA63" i="1"/>
  <c r="AA62" i="1"/>
  <c r="AA61" i="1"/>
  <c r="AA60" i="1"/>
  <c r="AA59" i="1"/>
  <c r="AA58" i="1"/>
  <c r="AA57" i="1"/>
  <c r="AA56" i="1"/>
  <c r="AA40" i="1"/>
  <c r="AA39" i="1"/>
  <c r="AA52" i="1"/>
  <c r="AA51" i="1"/>
  <c r="AA47" i="1"/>
  <c r="AA38" i="1"/>
  <c r="AA65" i="1"/>
  <c r="AA48" i="1"/>
  <c r="AA46" i="1"/>
  <c r="AA50" i="1"/>
  <c r="AA36" i="1"/>
  <c r="AA37" i="1"/>
  <c r="P5" i="2"/>
  <c r="W5" i="2" s="1"/>
  <c r="P6" i="2"/>
  <c r="P7" i="2"/>
  <c r="P8" i="2"/>
  <c r="W8" i="2" s="1"/>
  <c r="P9" i="2"/>
  <c r="W9" i="2" s="1"/>
  <c r="P10" i="2"/>
  <c r="W10" i="2" s="1"/>
  <c r="P11" i="2"/>
  <c r="W11" i="2" s="1"/>
  <c r="P12" i="2"/>
  <c r="P13" i="2"/>
  <c r="W13" i="2" s="1"/>
  <c r="Z13" i="2" s="1"/>
  <c r="P14" i="2"/>
  <c r="W14" i="2" s="1"/>
  <c r="P15" i="2"/>
  <c r="W15" i="2" s="1"/>
  <c r="P16" i="2"/>
  <c r="P17" i="2"/>
  <c r="W17" i="2" s="1"/>
  <c r="P18" i="2"/>
  <c r="P19" i="2"/>
  <c r="W19" i="2" s="1"/>
  <c r="P20" i="2"/>
  <c r="W20" i="2" s="1"/>
  <c r="P21" i="2"/>
  <c r="W21" i="2" s="1"/>
  <c r="Z21" i="2" s="1"/>
  <c r="P22" i="2"/>
  <c r="W22" i="2" s="1"/>
  <c r="P23" i="2"/>
  <c r="P24" i="2"/>
  <c r="W24" i="2" s="1"/>
  <c r="P25" i="2"/>
  <c r="W25" i="2" s="1"/>
  <c r="P26" i="2"/>
  <c r="W26" i="2" s="1"/>
  <c r="X26" i="2" s="1"/>
  <c r="P27" i="2"/>
  <c r="W27" i="2" s="1"/>
  <c r="P28" i="2"/>
  <c r="P29" i="2"/>
  <c r="W29" i="2" s="1"/>
  <c r="P30" i="2"/>
  <c r="P31" i="2"/>
  <c r="W31" i="2" s="1"/>
  <c r="Z31" i="2" s="1"/>
  <c r="P32" i="2"/>
  <c r="W32" i="2" s="1"/>
  <c r="X32" i="2" s="1"/>
  <c r="P33" i="2"/>
  <c r="W33" i="2" s="1"/>
  <c r="P34" i="2"/>
  <c r="W34" i="2" s="1"/>
  <c r="P35" i="2"/>
  <c r="P36" i="2"/>
  <c r="W36" i="2" s="1"/>
  <c r="P37" i="2"/>
  <c r="W37" i="2" s="1"/>
  <c r="Z37" i="2" s="1"/>
  <c r="P38" i="2"/>
  <c r="P39" i="2"/>
  <c r="W39" i="2" s="1"/>
  <c r="P40" i="2"/>
  <c r="P41" i="2"/>
  <c r="W41" i="2" s="1"/>
  <c r="P42" i="2"/>
  <c r="P43" i="2"/>
  <c r="P44" i="2"/>
  <c r="W44" i="2" s="1"/>
  <c r="Z44" i="2" s="1"/>
  <c r="P45" i="2"/>
  <c r="P46" i="2"/>
  <c r="P47" i="2"/>
  <c r="W47" i="2" s="1"/>
  <c r="P48" i="2"/>
  <c r="W48" i="2" s="1"/>
  <c r="P49" i="2"/>
  <c r="W49" i="2" s="1"/>
  <c r="P50" i="2"/>
  <c r="W50" i="2" s="1"/>
  <c r="P51" i="2"/>
  <c r="W51" i="2" s="1"/>
  <c r="P52" i="2"/>
  <c r="P53" i="2"/>
  <c r="W53" i="2" s="1"/>
  <c r="AA53" i="2" s="1"/>
  <c r="P54" i="2"/>
  <c r="P55" i="2"/>
  <c r="P56" i="2"/>
  <c r="W56" i="2" s="1"/>
  <c r="P57" i="2"/>
  <c r="W57" i="2" s="1"/>
  <c r="P58" i="2"/>
  <c r="W58" i="2" s="1"/>
  <c r="Z58" i="2" s="1"/>
  <c r="P59" i="2"/>
  <c r="W59" i="2" s="1"/>
  <c r="AA59" i="2" s="1"/>
  <c r="P60" i="2"/>
  <c r="P61" i="2"/>
  <c r="P62" i="2"/>
  <c r="P63" i="2"/>
  <c r="W63" i="2" s="1"/>
  <c r="Y63" i="2" s="1"/>
  <c r="P64" i="2"/>
  <c r="W64" i="2" s="1"/>
  <c r="Z64" i="2" s="1"/>
  <c r="P65" i="2"/>
  <c r="W65" i="2" s="1"/>
  <c r="P66" i="2"/>
  <c r="W66" i="2" s="1"/>
  <c r="P67" i="2"/>
  <c r="P68" i="2"/>
  <c r="W68" i="2" s="1"/>
  <c r="P69" i="2"/>
  <c r="W69" i="2" s="1"/>
  <c r="P70" i="2"/>
  <c r="W70" i="2" s="1"/>
  <c r="P71" i="2"/>
  <c r="W71" i="2" s="1"/>
  <c r="P72" i="2"/>
  <c r="W72" i="2" s="1"/>
  <c r="P73" i="2"/>
  <c r="W73" i="2" s="1"/>
  <c r="P74" i="2"/>
  <c r="P75" i="2"/>
  <c r="P76" i="2"/>
  <c r="W76" i="2" s="1"/>
  <c r="P77" i="2"/>
  <c r="W77" i="2" s="1"/>
  <c r="Y77" i="2" s="1"/>
  <c r="P78" i="2"/>
  <c r="W78" i="2" s="1"/>
  <c r="P79" i="2"/>
  <c r="P80" i="2"/>
  <c r="W80" i="2" s="1"/>
  <c r="Y80" i="2" s="1"/>
  <c r="P81" i="2"/>
  <c r="W81" i="2" s="1"/>
  <c r="P82" i="2"/>
  <c r="W82" i="2" s="1"/>
  <c r="P83" i="2"/>
  <c r="P84" i="2"/>
  <c r="W84" i="2" s="1"/>
  <c r="X84" i="2" s="1"/>
  <c r="P85" i="2"/>
  <c r="W85" i="2" s="1"/>
  <c r="P86" i="2"/>
  <c r="P87" i="2"/>
  <c r="W87" i="2" s="1"/>
  <c r="P88" i="2"/>
  <c r="W88" i="2" s="1"/>
  <c r="P89" i="2"/>
  <c r="W89" i="2" s="1"/>
  <c r="X89" i="2" s="1"/>
  <c r="P90" i="2"/>
  <c r="W90" i="2" s="1"/>
  <c r="P91" i="2"/>
  <c r="P92" i="2"/>
  <c r="W92" i="2" s="1"/>
  <c r="X92" i="2" s="1"/>
  <c r="P93" i="2"/>
  <c r="P94" i="2"/>
  <c r="W94" i="2" s="1"/>
  <c r="P95" i="2"/>
  <c r="P96" i="2"/>
  <c r="W96" i="2" s="1"/>
  <c r="Z96" i="2" s="1"/>
  <c r="P97" i="2"/>
  <c r="W97" i="2" s="1"/>
  <c r="P98" i="2"/>
  <c r="P99" i="2"/>
  <c r="W99" i="2" s="1"/>
  <c r="P100" i="2"/>
  <c r="W100" i="2" s="1"/>
  <c r="Z100" i="2" s="1"/>
  <c r="P101" i="2"/>
  <c r="W101" i="2" s="1"/>
  <c r="P102" i="2"/>
  <c r="W102" i="2" s="1"/>
  <c r="P103" i="2"/>
  <c r="P104" i="2"/>
  <c r="W104" i="2" s="1"/>
  <c r="P105" i="2"/>
  <c r="W105" i="2" s="1"/>
  <c r="P106" i="2"/>
  <c r="W106" i="2" s="1"/>
  <c r="P107" i="2"/>
  <c r="W107" i="2" s="1"/>
  <c r="X107" i="2" s="1"/>
  <c r="P108" i="2"/>
  <c r="W108" i="2" s="1"/>
  <c r="Z108" i="2" s="1"/>
  <c r="P109" i="2"/>
  <c r="P110" i="2"/>
  <c r="P111" i="2"/>
  <c r="W111" i="2" s="1"/>
  <c r="P112" i="2"/>
  <c r="W112" i="2" s="1"/>
  <c r="P113" i="2"/>
  <c r="W113" i="2" s="1"/>
  <c r="X113" i="2" s="1"/>
  <c r="P114" i="2"/>
  <c r="W114" i="2" s="1"/>
  <c r="X114" i="2" s="1"/>
  <c r="P115" i="2"/>
  <c r="P116" i="2"/>
  <c r="P117" i="2"/>
  <c r="W117" i="2" s="1"/>
  <c r="P118" i="2"/>
  <c r="W118" i="2" s="1"/>
  <c r="P119" i="2"/>
  <c r="W119" i="2" s="1"/>
  <c r="P120" i="2"/>
  <c r="W120" i="2" s="1"/>
  <c r="P121" i="2"/>
  <c r="W121" i="2" s="1"/>
  <c r="P122" i="2"/>
  <c r="W122" i="2" s="1"/>
  <c r="Z122" i="2" s="1"/>
  <c r="P123" i="2"/>
  <c r="W123" i="2" s="1"/>
  <c r="Z123" i="2" s="1"/>
  <c r="P124" i="2"/>
  <c r="P125" i="2"/>
  <c r="W125" i="2" s="1"/>
  <c r="Y125" i="2" s="1"/>
  <c r="P126" i="2"/>
  <c r="W126" i="2" s="1"/>
  <c r="P127" i="2"/>
  <c r="W127" i="2" s="1"/>
  <c r="P128" i="2"/>
  <c r="W128" i="2" s="1"/>
  <c r="P129" i="2"/>
  <c r="W129" i="2" s="1"/>
  <c r="P130" i="2"/>
  <c r="W130" i="2" s="1"/>
  <c r="Z130" i="2" s="1"/>
  <c r="P131" i="2"/>
  <c r="P132" i="2"/>
  <c r="P133" i="2"/>
  <c r="P134" i="2"/>
  <c r="W134" i="2" s="1"/>
  <c r="X134" i="2" s="1"/>
  <c r="P135" i="2"/>
  <c r="W135" i="2" s="1"/>
  <c r="P136" i="2"/>
  <c r="P137" i="2"/>
  <c r="W137" i="2" s="1"/>
  <c r="P138" i="2"/>
  <c r="W138" i="2" s="1"/>
  <c r="P139" i="2"/>
  <c r="W139" i="2" s="1"/>
  <c r="P140" i="2"/>
  <c r="W140" i="2" s="1"/>
  <c r="Z140" i="2" s="1"/>
  <c r="P141" i="2"/>
  <c r="P142" i="2"/>
  <c r="W142" i="2" s="1"/>
  <c r="P143" i="2"/>
  <c r="P144" i="2"/>
  <c r="P145" i="2"/>
  <c r="P146" i="2"/>
  <c r="P147" i="2"/>
  <c r="W147" i="2" s="1"/>
  <c r="P148" i="2"/>
  <c r="W148" i="2" s="1"/>
  <c r="P149" i="2"/>
  <c r="W149" i="2" s="1"/>
  <c r="X149" i="2" s="1"/>
  <c r="P150" i="2"/>
  <c r="W150" i="2" s="1"/>
  <c r="Z150" i="2" s="1"/>
  <c r="P151" i="2"/>
  <c r="P152" i="2"/>
  <c r="P153" i="2"/>
  <c r="W153" i="2" s="1"/>
  <c r="P154" i="2"/>
  <c r="P155" i="2"/>
  <c r="W155" i="2" s="1"/>
  <c r="X155" i="2" s="1"/>
  <c r="P156" i="2"/>
  <c r="W156" i="2" s="1"/>
  <c r="Z156" i="2" s="1"/>
  <c r="P157" i="2"/>
  <c r="P158" i="2"/>
  <c r="R7" i="1"/>
  <c r="S7" i="1" s="1"/>
  <c r="R6" i="1"/>
  <c r="R5" i="1"/>
  <c r="S5" i="1" s="1"/>
  <c r="AQ5" i="1" s="1"/>
  <c r="BL5" i="1" s="1"/>
  <c r="R13" i="1"/>
  <c r="R12" i="1"/>
  <c r="R33" i="1"/>
  <c r="R32" i="1"/>
  <c r="R31" i="1"/>
  <c r="AM13" i="1" l="1"/>
  <c r="BH13" i="1" s="1"/>
  <c r="S13" i="1"/>
  <c r="AQ13" i="1" s="1"/>
  <c r="BL13" i="1" s="1"/>
  <c r="AM6" i="1"/>
  <c r="BH6" i="1" s="1"/>
  <c r="S6" i="1"/>
  <c r="AQ6" i="1" s="1"/>
  <c r="BL6" i="1" s="1"/>
  <c r="AM31" i="1"/>
  <c r="BH31" i="1" s="1"/>
  <c r="S31" i="1"/>
  <c r="AQ31" i="1" s="1"/>
  <c r="BL31" i="1" s="1"/>
  <c r="AM32" i="1"/>
  <c r="BH32" i="1" s="1"/>
  <c r="S32" i="1"/>
  <c r="AQ32" i="1" s="1"/>
  <c r="BL32" i="1" s="1"/>
  <c r="AM33" i="1"/>
  <c r="BH33" i="1" s="1"/>
  <c r="S33" i="1"/>
  <c r="AQ33" i="1" s="1"/>
  <c r="BL33" i="1" s="1"/>
  <c r="AM12" i="1"/>
  <c r="BH12" i="1" s="1"/>
  <c r="S12" i="1"/>
  <c r="AQ12" i="1" s="1"/>
  <c r="BL12" i="1" s="1"/>
  <c r="AM5" i="1"/>
  <c r="BH5" i="1" s="1"/>
  <c r="R73" i="1"/>
  <c r="AW73" i="1"/>
  <c r="BH49" i="1"/>
  <c r="BL49" i="1"/>
  <c r="BI49" i="1"/>
  <c r="AN73" i="1"/>
  <c r="BL67" i="1"/>
  <c r="BI67" i="1"/>
  <c r="BI73" i="1"/>
  <c r="BH67" i="1"/>
  <c r="AA131" i="2"/>
  <c r="AA122" i="2"/>
  <c r="AA155" i="2"/>
  <c r="W154" i="2"/>
  <c r="Z154" i="2" s="1"/>
  <c r="Z155" i="2"/>
  <c r="Y155" i="2"/>
  <c r="AA123" i="2"/>
  <c r="W132" i="2"/>
  <c r="Y132" i="2" s="1"/>
  <c r="Z131" i="2"/>
  <c r="X29" i="2"/>
  <c r="AA29" i="2"/>
  <c r="Z107" i="2"/>
  <c r="AA112" i="2"/>
  <c r="W46" i="2"/>
  <c r="Z46" i="2" s="1"/>
  <c r="AA107" i="2"/>
  <c r="Y107" i="2"/>
  <c r="X59" i="2"/>
  <c r="Z59" i="2"/>
  <c r="Y59" i="2"/>
  <c r="W23" i="2"/>
  <c r="X23" i="2" s="1"/>
  <c r="AA37" i="2"/>
  <c r="BP16" i="1"/>
  <c r="AM7" i="1"/>
  <c r="BH7" i="1" s="1"/>
  <c r="S73" i="1"/>
  <c r="AO12" i="1"/>
  <c r="BJ12" i="1" s="1"/>
  <c r="X128" i="2"/>
  <c r="Z128" i="2"/>
  <c r="Y128" i="2"/>
  <c r="Z142" i="2"/>
  <c r="AA142" i="2"/>
  <c r="Z72" i="2"/>
  <c r="X72" i="2"/>
  <c r="Y72" i="2"/>
  <c r="Z36" i="2"/>
  <c r="X36" i="2"/>
  <c r="Y36" i="2"/>
  <c r="Z119" i="2"/>
  <c r="X119" i="2"/>
  <c r="Y119" i="2"/>
  <c r="X71" i="2"/>
  <c r="Y71" i="2"/>
  <c r="Z71" i="2"/>
  <c r="AA71" i="2"/>
  <c r="Z118" i="2"/>
  <c r="AA118" i="2"/>
  <c r="Z94" i="2"/>
  <c r="AA94" i="2"/>
  <c r="Z57" i="2"/>
  <c r="X57" i="2"/>
  <c r="Y57" i="2"/>
  <c r="AA17" i="2"/>
  <c r="X17" i="2"/>
  <c r="Y17" i="2"/>
  <c r="Z17" i="2"/>
  <c r="Z147" i="2"/>
  <c r="X147" i="2"/>
  <c r="Y147" i="2"/>
  <c r="Z135" i="2"/>
  <c r="X135" i="2"/>
  <c r="Z111" i="2"/>
  <c r="X111" i="2"/>
  <c r="Y111" i="2"/>
  <c r="X39" i="2"/>
  <c r="Y39" i="2"/>
  <c r="X27" i="2"/>
  <c r="Y27" i="2"/>
  <c r="W75" i="2"/>
  <c r="AA75" i="2" s="1"/>
  <c r="X77" i="2"/>
  <c r="AA147" i="2"/>
  <c r="Y44" i="2"/>
  <c r="W95" i="2"/>
  <c r="AA95" i="2" s="1"/>
  <c r="Y131" i="2"/>
  <c r="AA58" i="2"/>
  <c r="X44" i="2"/>
  <c r="AA111" i="2"/>
  <c r="X156" i="2"/>
  <c r="AA92" i="2"/>
  <c r="AA128" i="2"/>
  <c r="Z53" i="2"/>
  <c r="X123" i="2"/>
  <c r="AA44" i="2"/>
  <c r="Y140" i="2"/>
  <c r="X140" i="2"/>
  <c r="Y53" i="2"/>
  <c r="AA49" i="2"/>
  <c r="W152" i="2"/>
  <c r="W83" i="2"/>
  <c r="AA83" i="2" s="1"/>
  <c r="X125" i="2"/>
  <c r="X96" i="2"/>
  <c r="X53" i="2"/>
  <c r="W116" i="2"/>
  <c r="AA116" i="2" s="1"/>
  <c r="Y92" i="2"/>
  <c r="W35" i="2"/>
  <c r="AA35" i="2" s="1"/>
  <c r="AA13" i="2"/>
  <c r="Z92" i="2"/>
  <c r="Y123" i="2"/>
  <c r="X50" i="2"/>
  <c r="AA50" i="2"/>
  <c r="Y50" i="2"/>
  <c r="Z50" i="2"/>
  <c r="Z120" i="2"/>
  <c r="X120" i="2"/>
  <c r="Y120" i="2"/>
  <c r="AA120" i="2"/>
  <c r="W124" i="2"/>
  <c r="AA124" i="2" s="1"/>
  <c r="AA150" i="2"/>
  <c r="X47" i="2"/>
  <c r="Z47" i="2"/>
  <c r="Y47" i="2"/>
  <c r="AA47" i="2"/>
  <c r="AA88" i="2"/>
  <c r="AA76" i="2"/>
  <c r="W151" i="2"/>
  <c r="AA151" i="2" s="1"/>
  <c r="X127" i="2"/>
  <c r="Y127" i="2"/>
  <c r="Z127" i="2"/>
  <c r="W103" i="2"/>
  <c r="W79" i="2"/>
  <c r="AA79" i="2" s="1"/>
  <c r="W55" i="2"/>
  <c r="AA55" i="2" s="1"/>
  <c r="W43" i="2"/>
  <c r="AA43" i="2" s="1"/>
  <c r="X19" i="2"/>
  <c r="Y19" i="2"/>
  <c r="X104" i="2"/>
  <c r="Z104" i="2"/>
  <c r="Y104" i="2"/>
  <c r="Z19" i="2"/>
  <c r="Z138" i="2"/>
  <c r="X138" i="2"/>
  <c r="Z114" i="2"/>
  <c r="Y114" i="2"/>
  <c r="AA114" i="2"/>
  <c r="Z90" i="2"/>
  <c r="X90" i="2"/>
  <c r="Z66" i="2"/>
  <c r="AA66" i="2"/>
  <c r="Y101" i="2"/>
  <c r="Z101" i="2"/>
  <c r="AA101" i="2"/>
  <c r="AA139" i="2"/>
  <c r="X143" i="2"/>
  <c r="Y143" i="2"/>
  <c r="X101" i="2"/>
  <c r="X148" i="2"/>
  <c r="Y148" i="2"/>
  <c r="Z148" i="2"/>
  <c r="X112" i="2"/>
  <c r="Y112" i="2"/>
  <c r="X88" i="2"/>
  <c r="Y88" i="2"/>
  <c r="X76" i="2"/>
  <c r="Y76" i="2"/>
  <c r="X64" i="2"/>
  <c r="Y64" i="2"/>
  <c r="W40" i="2"/>
  <c r="AA40" i="2" s="1"/>
  <c r="W28" i="2"/>
  <c r="AA28" i="2" s="1"/>
  <c r="W16" i="2"/>
  <c r="AA16" i="2" s="1"/>
  <c r="Z33" i="2"/>
  <c r="X33" i="2"/>
  <c r="Y33" i="2"/>
  <c r="X14" i="2"/>
  <c r="Y14" i="2"/>
  <c r="Z14" i="2"/>
  <c r="AA138" i="2"/>
  <c r="Z112" i="2"/>
  <c r="AA100" i="2"/>
  <c r="Y137" i="2"/>
  <c r="AA137" i="2"/>
  <c r="Z137" i="2"/>
  <c r="X137" i="2"/>
  <c r="X10" i="2"/>
  <c r="Y10" i="2"/>
  <c r="Z10" i="2"/>
  <c r="AA144" i="2"/>
  <c r="Y138" i="2"/>
  <c r="W158" i="2"/>
  <c r="W38" i="2"/>
  <c r="Z5" i="2"/>
  <c r="X5" i="2"/>
  <c r="Y144" i="2"/>
  <c r="X73" i="2"/>
  <c r="Y73" i="2"/>
  <c r="Z73" i="2"/>
  <c r="X37" i="2"/>
  <c r="Y37" i="2"/>
  <c r="X49" i="2"/>
  <c r="Y49" i="2"/>
  <c r="Z49" i="2"/>
  <c r="AA134" i="2"/>
  <c r="AA90" i="2"/>
  <c r="Z26" i="2"/>
  <c r="Z87" i="2"/>
  <c r="X87" i="2"/>
  <c r="Y87" i="2"/>
  <c r="AA87" i="2"/>
  <c r="X25" i="2"/>
  <c r="Y25" i="2"/>
  <c r="Z25" i="2"/>
  <c r="AA143" i="2"/>
  <c r="Y90" i="2"/>
  <c r="Y26" i="2"/>
  <c r="Z69" i="2"/>
  <c r="X69" i="2"/>
  <c r="Y69" i="2"/>
  <c r="Z24" i="2"/>
  <c r="X24" i="2"/>
  <c r="Y24" i="2"/>
  <c r="Y150" i="2"/>
  <c r="Y134" i="2"/>
  <c r="W110" i="2"/>
  <c r="Z68" i="2"/>
  <c r="X68" i="2"/>
  <c r="Y68" i="2"/>
  <c r="AA68" i="2"/>
  <c r="X150" i="2"/>
  <c r="Y66" i="2"/>
  <c r="Y41" i="2"/>
  <c r="X41" i="2"/>
  <c r="Z41" i="2"/>
  <c r="AA41" i="2"/>
  <c r="Z88" i="2"/>
  <c r="Z76" i="2"/>
  <c r="X66" i="2"/>
  <c r="Y32" i="2"/>
  <c r="X139" i="2"/>
  <c r="Y139" i="2"/>
  <c r="W115" i="2"/>
  <c r="AA115" i="2" s="1"/>
  <c r="W91" i="2"/>
  <c r="AA91" i="2" s="1"/>
  <c r="W67" i="2"/>
  <c r="AA67" i="2" s="1"/>
  <c r="X31" i="2"/>
  <c r="Y31" i="2"/>
  <c r="W7" i="2"/>
  <c r="AA7" i="2" s="1"/>
  <c r="X145" i="2"/>
  <c r="Y145" i="2"/>
  <c r="Z145" i="2"/>
  <c r="X82" i="2"/>
  <c r="Y82" i="2"/>
  <c r="Z82" i="2"/>
  <c r="AA82" i="2"/>
  <c r="AA104" i="2"/>
  <c r="AA31" i="2"/>
  <c r="Z126" i="2"/>
  <c r="X126" i="2"/>
  <c r="Y126" i="2"/>
  <c r="AA126" i="2"/>
  <c r="Z102" i="2"/>
  <c r="X102" i="2"/>
  <c r="AA102" i="2"/>
  <c r="Z78" i="2"/>
  <c r="X78" i="2"/>
  <c r="X121" i="2"/>
  <c r="Y121" i="2"/>
  <c r="Z121" i="2"/>
  <c r="Y102" i="2"/>
  <c r="Z99" i="2"/>
  <c r="X99" i="2"/>
  <c r="Z139" i="2"/>
  <c r="W136" i="2"/>
  <c r="AA136" i="2" s="1"/>
  <c r="X100" i="2"/>
  <c r="Y100" i="2"/>
  <c r="W52" i="2"/>
  <c r="AA52" i="2" s="1"/>
  <c r="X122" i="2"/>
  <c r="Y122" i="2"/>
  <c r="W98" i="2"/>
  <c r="W74" i="2"/>
  <c r="AA74" i="2" s="1"/>
  <c r="W62" i="2"/>
  <c r="AA14" i="2"/>
  <c r="Z9" i="2"/>
  <c r="X9" i="2"/>
  <c r="Y9" i="2"/>
  <c r="AA99" i="2"/>
  <c r="AA26" i="2"/>
  <c r="X97" i="2"/>
  <c r="Y97" i="2"/>
  <c r="Z97" i="2"/>
  <c r="X8" i="2"/>
  <c r="AA8" i="2"/>
  <c r="Y8" i="2"/>
  <c r="Z8" i="2"/>
  <c r="X144" i="2"/>
  <c r="Y99" i="2"/>
  <c r="AA78" i="2"/>
  <c r="X70" i="2"/>
  <c r="Y70" i="2"/>
  <c r="Z70" i="2"/>
  <c r="AA70" i="2"/>
  <c r="Z48" i="2"/>
  <c r="X48" i="2"/>
  <c r="Y48" i="2"/>
  <c r="AA5" i="2"/>
  <c r="Z134" i="2"/>
  <c r="Y78" i="2"/>
  <c r="W86" i="2"/>
  <c r="Y5" i="2"/>
  <c r="Z143" i="2"/>
  <c r="AA127" i="2"/>
  <c r="Z129" i="2"/>
  <c r="X129" i="2"/>
  <c r="Y129" i="2"/>
  <c r="X85" i="2"/>
  <c r="Y85" i="2"/>
  <c r="Z85" i="2"/>
  <c r="Z32" i="2"/>
  <c r="X106" i="2"/>
  <c r="Y106" i="2"/>
  <c r="Z106" i="2"/>
  <c r="Z84" i="2"/>
  <c r="AA84" i="2"/>
  <c r="X65" i="2"/>
  <c r="Z65" i="2"/>
  <c r="Y65" i="2"/>
  <c r="AA65" i="2"/>
  <c r="AA32" i="2"/>
  <c r="W146" i="2"/>
  <c r="Z105" i="2"/>
  <c r="X105" i="2"/>
  <c r="Y105" i="2"/>
  <c r="Z63" i="2"/>
  <c r="AA63" i="2"/>
  <c r="X63" i="2"/>
  <c r="AA148" i="2"/>
  <c r="AA106" i="2"/>
  <c r="Y84" i="2"/>
  <c r="AA64" i="2"/>
  <c r="AA19" i="2"/>
  <c r="AA10" i="2"/>
  <c r="AA145" i="2"/>
  <c r="AA121" i="2"/>
  <c r="W109" i="2"/>
  <c r="AA109" i="2" s="1"/>
  <c r="AA85" i="2"/>
  <c r="W61" i="2"/>
  <c r="AA61" i="2" s="1"/>
  <c r="AA25" i="2"/>
  <c r="X58" i="2"/>
  <c r="Y58" i="2"/>
  <c r="X22" i="2"/>
  <c r="Y22" i="2"/>
  <c r="AA80" i="2"/>
  <c r="X11" i="2"/>
  <c r="Z11" i="2"/>
  <c r="AA11" i="2"/>
  <c r="Y11" i="2"/>
  <c r="Z153" i="2"/>
  <c r="X153" i="2"/>
  <c r="Y153" i="2"/>
  <c r="Z117" i="2"/>
  <c r="X117" i="2"/>
  <c r="Y117" i="2"/>
  <c r="Z22" i="2"/>
  <c r="AA153" i="2"/>
  <c r="W141" i="2"/>
  <c r="AA105" i="2"/>
  <c r="AA81" i="2"/>
  <c r="AA57" i="2"/>
  <c r="W45" i="2"/>
  <c r="AA21" i="2"/>
  <c r="AA9" i="2"/>
  <c r="Y149" i="2"/>
  <c r="AA149" i="2"/>
  <c r="Z149" i="2"/>
  <c r="Y113" i="2"/>
  <c r="AA113" i="2"/>
  <c r="Z113" i="2"/>
  <c r="AA156" i="2"/>
  <c r="AA140" i="2"/>
  <c r="AA135" i="2"/>
  <c r="AA119" i="2"/>
  <c r="Y108" i="2"/>
  <c r="AA96" i="2"/>
  <c r="X80" i="2"/>
  <c r="Y21" i="2"/>
  <c r="W157" i="2"/>
  <c r="AA157" i="2" s="1"/>
  <c r="AA97" i="2"/>
  <c r="AA73" i="2"/>
  <c r="X13" i="2"/>
  <c r="Y13" i="2"/>
  <c r="Z81" i="2"/>
  <c r="X81" i="2"/>
  <c r="Y81" i="2"/>
  <c r="Z39" i="2"/>
  <c r="AA39" i="2"/>
  <c r="Y154" i="2"/>
  <c r="X118" i="2"/>
  <c r="Y118" i="2"/>
  <c r="W133" i="2"/>
  <c r="Z80" i="2"/>
  <c r="AA22" i="2"/>
  <c r="X56" i="2"/>
  <c r="Z56" i="2"/>
  <c r="Y56" i="2"/>
  <c r="X20" i="2"/>
  <c r="Y20" i="2"/>
  <c r="Z20" i="2"/>
  <c r="AA108" i="2"/>
  <c r="AA129" i="2"/>
  <c r="AA117" i="2"/>
  <c r="W93" i="2"/>
  <c r="AA93" i="2" s="1"/>
  <c r="AA69" i="2"/>
  <c r="AA33" i="2"/>
  <c r="AA56" i="2"/>
  <c r="AA20" i="2"/>
  <c r="X130" i="2"/>
  <c r="Y130" i="2"/>
  <c r="Y89" i="2"/>
  <c r="AA89" i="2"/>
  <c r="Z89" i="2"/>
  <c r="Z51" i="2"/>
  <c r="AA51" i="2"/>
  <c r="X51" i="2"/>
  <c r="Y51" i="2"/>
  <c r="X34" i="2"/>
  <c r="Y34" i="2"/>
  <c r="AA34" i="2"/>
  <c r="Z34" i="2"/>
  <c r="Z15" i="2"/>
  <c r="AA15" i="2"/>
  <c r="X15" i="2"/>
  <c r="Y15" i="2"/>
  <c r="Y156" i="2"/>
  <c r="Y135" i="2"/>
  <c r="AA130" i="2"/>
  <c r="X108" i="2"/>
  <c r="Y96" i="2"/>
  <c r="AA72" i="2"/>
  <c r="X21" i="2"/>
  <c r="AA36" i="2"/>
  <c r="X142" i="2"/>
  <c r="Y142" i="2"/>
  <c r="W12" i="2"/>
  <c r="Z125" i="2"/>
  <c r="Z77" i="2"/>
  <c r="Y29" i="2"/>
  <c r="AA48" i="2"/>
  <c r="AA24" i="2"/>
  <c r="X94" i="2"/>
  <c r="Y94" i="2"/>
  <c r="AA125" i="2"/>
  <c r="AA77" i="2"/>
  <c r="Z29" i="2"/>
  <c r="W60" i="2"/>
  <c r="AA60" i="2" s="1"/>
  <c r="Z27" i="2"/>
  <c r="AA27" i="2"/>
  <c r="W54" i="2"/>
  <c r="W42" i="2"/>
  <c r="W30" i="2"/>
  <c r="W18" i="2"/>
  <c r="W6" i="2"/>
  <c r="AA6" i="2" s="1"/>
  <c r="BA73" i="1"/>
  <c r="AK19" i="1"/>
  <c r="BF19" i="1"/>
  <c r="AK42" i="1"/>
  <c r="BF42" i="1"/>
  <c r="AO59" i="1"/>
  <c r="BJ59" i="1" s="1"/>
  <c r="BK73" i="1"/>
  <c r="BN73" i="1"/>
  <c r="AO26" i="1"/>
  <c r="BJ26" i="1" s="1"/>
  <c r="AO20" i="1"/>
  <c r="BJ20" i="1" s="1"/>
  <c r="AO65" i="1"/>
  <c r="BJ65" i="1" s="1"/>
  <c r="AO41" i="1"/>
  <c r="BJ41" i="1" s="1"/>
  <c r="AO21" i="1"/>
  <c r="BJ21" i="1" s="1"/>
  <c r="AO39" i="1"/>
  <c r="BJ39" i="1" s="1"/>
  <c r="AO62" i="1"/>
  <c r="BJ62" i="1" s="1"/>
  <c r="AO63" i="1"/>
  <c r="BJ63" i="1" s="1"/>
  <c r="AO38" i="1"/>
  <c r="BJ38" i="1" s="1"/>
  <c r="AO51" i="1"/>
  <c r="BJ51" i="1" s="1"/>
  <c r="AO50" i="1"/>
  <c r="BJ50" i="1" s="1"/>
  <c r="AO36" i="1"/>
  <c r="BJ36" i="1" s="1"/>
  <c r="AO48" i="1"/>
  <c r="BJ48" i="1" s="1"/>
  <c r="AO13" i="1"/>
  <c r="BJ13" i="1" s="1"/>
  <c r="AO47" i="1"/>
  <c r="BJ47" i="1" s="1"/>
  <c r="AO58" i="1"/>
  <c r="BJ58" i="1" s="1"/>
  <c r="AO46" i="1"/>
  <c r="BJ46" i="1" s="1"/>
  <c r="AO60" i="1"/>
  <c r="BJ60" i="1" s="1"/>
  <c r="AO66" i="1"/>
  <c r="BJ66" i="1" s="1"/>
  <c r="AO54" i="1"/>
  <c r="BJ54" i="1" s="1"/>
  <c r="AO42" i="1"/>
  <c r="AO55" i="1"/>
  <c r="BJ55" i="1" s="1"/>
  <c r="AO67" i="1"/>
  <c r="AO34" i="1"/>
  <c r="BJ34" i="1" s="1"/>
  <c r="AO43" i="1"/>
  <c r="BJ43" i="1" s="1"/>
  <c r="AO29" i="1"/>
  <c r="BJ29" i="1" s="1"/>
  <c r="AO17" i="1"/>
  <c r="BJ17" i="1" s="1"/>
  <c r="AO53" i="1"/>
  <c r="BJ53" i="1" s="1"/>
  <c r="AO11" i="1"/>
  <c r="BJ11" i="1" s="1"/>
  <c r="AO37" i="1"/>
  <c r="BJ37" i="1" s="1"/>
  <c r="AO24" i="1"/>
  <c r="BJ24" i="1" s="1"/>
  <c r="AO19" i="1"/>
  <c r="AO8" i="1"/>
  <c r="BJ8" i="1" s="1"/>
  <c r="AO64" i="1"/>
  <c r="BJ64" i="1" s="1"/>
  <c r="AO52" i="1"/>
  <c r="BJ52" i="1" s="1"/>
  <c r="AO40" i="1"/>
  <c r="BJ40" i="1" s="1"/>
  <c r="AO30" i="1"/>
  <c r="BJ30" i="1" s="1"/>
  <c r="AO18" i="1"/>
  <c r="BJ18" i="1" s="1"/>
  <c r="AO6" i="1"/>
  <c r="BJ6" i="1" s="1"/>
  <c r="AO28" i="1"/>
  <c r="BJ28" i="1" s="1"/>
  <c r="AO16" i="1"/>
  <c r="BJ16" i="1" s="1"/>
  <c r="AO61" i="1"/>
  <c r="BJ61" i="1" s="1"/>
  <c r="AO49" i="1"/>
  <c r="AO27" i="1"/>
  <c r="BJ27" i="1" s="1"/>
  <c r="AO14" i="1"/>
  <c r="BJ14" i="1" s="1"/>
  <c r="AO25" i="1"/>
  <c r="BJ25" i="1" s="1"/>
  <c r="AO10" i="1"/>
  <c r="BJ10" i="1" s="1"/>
  <c r="AO4" i="1"/>
  <c r="BJ4" i="1" s="1"/>
  <c r="AO9" i="1"/>
  <c r="BJ9" i="1" s="1"/>
  <c r="AO23" i="1"/>
  <c r="BJ23" i="1" s="1"/>
  <c r="AO5" i="1"/>
  <c r="BJ5" i="1" s="1"/>
  <c r="AO68" i="1"/>
  <c r="BJ68" i="1" s="1"/>
  <c r="AO56" i="1"/>
  <c r="BJ56" i="1" s="1"/>
  <c r="AO44" i="1"/>
  <c r="BJ44" i="1" s="1"/>
  <c r="AO22" i="1"/>
  <c r="BJ22" i="1" s="1"/>
  <c r="AO69" i="1"/>
  <c r="BJ69" i="1" s="1"/>
  <c r="AO57" i="1"/>
  <c r="BJ57" i="1" s="1"/>
  <c r="AO45" i="1"/>
  <c r="BJ45" i="1" s="1"/>
  <c r="AO32" i="1" l="1"/>
  <c r="BJ32" i="1" s="1"/>
  <c r="AO33" i="1"/>
  <c r="BJ33" i="1" s="1"/>
  <c r="AO31" i="1"/>
  <c r="BJ31" i="1" s="1"/>
  <c r="AM73" i="1"/>
  <c r="BH73" i="1" s="1"/>
  <c r="BJ49" i="1"/>
  <c r="BJ67" i="1"/>
  <c r="X154" i="2"/>
  <c r="Z132" i="2"/>
  <c r="X132" i="2"/>
  <c r="Y46" i="2"/>
  <c r="X46" i="2"/>
  <c r="AA132" i="2"/>
  <c r="AA154" i="2"/>
  <c r="AA23" i="2"/>
  <c r="Y23" i="2"/>
  <c r="Z23" i="2"/>
  <c r="AA46" i="2"/>
  <c r="BP73" i="1"/>
  <c r="AO7" i="1"/>
  <c r="BJ7" i="1" s="1"/>
  <c r="AQ7" i="1"/>
  <c r="AQ73" i="1" s="1"/>
  <c r="Y83" i="2"/>
  <c r="Z83" i="2"/>
  <c r="X83" i="2"/>
  <c r="Y152" i="2"/>
  <c r="Z152" i="2"/>
  <c r="X152" i="2"/>
  <c r="Z95" i="2"/>
  <c r="Y95" i="2"/>
  <c r="X95" i="2"/>
  <c r="X116" i="2"/>
  <c r="Y116" i="2"/>
  <c r="Z116" i="2"/>
  <c r="Z75" i="2"/>
  <c r="X75" i="2"/>
  <c r="Y75" i="2"/>
  <c r="X35" i="2"/>
  <c r="Z35" i="2"/>
  <c r="Y35" i="2"/>
  <c r="AA152" i="2"/>
  <c r="Z18" i="2"/>
  <c r="X18" i="2"/>
  <c r="Y18" i="2"/>
  <c r="Z141" i="2"/>
  <c r="X141" i="2"/>
  <c r="Y141" i="2"/>
  <c r="X86" i="2"/>
  <c r="Y86" i="2"/>
  <c r="Z86" i="2"/>
  <c r="X103" i="2"/>
  <c r="Y103" i="2"/>
  <c r="Z103" i="2"/>
  <c r="Z30" i="2"/>
  <c r="X30" i="2"/>
  <c r="Y30" i="2"/>
  <c r="X38" i="2"/>
  <c r="Z38" i="2"/>
  <c r="Y38" i="2"/>
  <c r="AA18" i="2"/>
  <c r="Z42" i="2"/>
  <c r="X42" i="2"/>
  <c r="Y42" i="2"/>
  <c r="AA38" i="2"/>
  <c r="X16" i="2"/>
  <c r="Y16" i="2"/>
  <c r="Z16" i="2"/>
  <c r="X124" i="2"/>
  <c r="Y124" i="2"/>
  <c r="Z124" i="2"/>
  <c r="Z54" i="2"/>
  <c r="X54" i="2"/>
  <c r="Y54" i="2"/>
  <c r="X146" i="2"/>
  <c r="Z146" i="2"/>
  <c r="Y146" i="2"/>
  <c r="Z62" i="2"/>
  <c r="X62" i="2"/>
  <c r="Y62" i="2"/>
  <c r="X52" i="2"/>
  <c r="Y52" i="2"/>
  <c r="Z52" i="2"/>
  <c r="X7" i="2"/>
  <c r="Y7" i="2"/>
  <c r="Z7" i="2"/>
  <c r="AA86" i="2"/>
  <c r="AA62" i="2"/>
  <c r="X110" i="2"/>
  <c r="Y110" i="2"/>
  <c r="Z110" i="2"/>
  <c r="AA110" i="2"/>
  <c r="X28" i="2"/>
  <c r="Y28" i="2"/>
  <c r="Z28" i="2"/>
  <c r="X158" i="2"/>
  <c r="Z158" i="2"/>
  <c r="Y158" i="2"/>
  <c r="X151" i="2"/>
  <c r="Y151" i="2"/>
  <c r="Z151" i="2"/>
  <c r="Z12" i="2"/>
  <c r="X12" i="2"/>
  <c r="Y12" i="2"/>
  <c r="Z45" i="2"/>
  <c r="X45" i="2"/>
  <c r="Y45" i="2"/>
  <c r="X74" i="2"/>
  <c r="Y74" i="2"/>
  <c r="Z74" i="2"/>
  <c r="AA30" i="2"/>
  <c r="X40" i="2"/>
  <c r="Y40" i="2"/>
  <c r="Z40" i="2"/>
  <c r="Z60" i="2"/>
  <c r="X60" i="2"/>
  <c r="Y60" i="2"/>
  <c r="Z93" i="2"/>
  <c r="X93" i="2"/>
  <c r="Y93" i="2"/>
  <c r="X133" i="2"/>
  <c r="Y133" i="2"/>
  <c r="Z133" i="2"/>
  <c r="AA45" i="2"/>
  <c r="X98" i="2"/>
  <c r="Y98" i="2"/>
  <c r="Z98" i="2"/>
  <c r="AA54" i="2"/>
  <c r="X67" i="2"/>
  <c r="Y67" i="2"/>
  <c r="Z67" i="2"/>
  <c r="AA42" i="2"/>
  <c r="AA133" i="2"/>
  <c r="X61" i="2"/>
  <c r="Y61" i="2"/>
  <c r="Z61" i="2"/>
  <c r="X91" i="2"/>
  <c r="Y91" i="2"/>
  <c r="Z91" i="2"/>
  <c r="AA158" i="2"/>
  <c r="X43" i="2"/>
  <c r="Y43" i="2"/>
  <c r="Z43" i="2"/>
  <c r="X136" i="2"/>
  <c r="Y136" i="2"/>
  <c r="Z136" i="2"/>
  <c r="AA98" i="2"/>
  <c r="X55" i="2"/>
  <c r="Y55" i="2"/>
  <c r="Z55" i="2"/>
  <c r="X79" i="2"/>
  <c r="Y79" i="2"/>
  <c r="Z79" i="2"/>
  <c r="Z6" i="2"/>
  <c r="X6" i="2"/>
  <c r="Y6" i="2"/>
  <c r="AA12" i="2"/>
  <c r="X157" i="2"/>
  <c r="Y157" i="2"/>
  <c r="Z157" i="2"/>
  <c r="AA141" i="2"/>
  <c r="X109" i="2"/>
  <c r="Y109" i="2"/>
  <c r="Z109" i="2"/>
  <c r="AA146" i="2"/>
  <c r="X115" i="2"/>
  <c r="Y115" i="2"/>
  <c r="Z115" i="2"/>
  <c r="AA103" i="2"/>
  <c r="AR19" i="1"/>
  <c r="AU19" i="1" s="1"/>
  <c r="BJ19" i="1"/>
  <c r="AL42" i="1"/>
  <c r="BG42" i="1"/>
  <c r="AR42" i="1"/>
  <c r="AS42" i="1" s="1"/>
  <c r="BJ42" i="1"/>
  <c r="AL19" i="1"/>
  <c r="BG19" i="1"/>
  <c r="AO73" i="1" l="1"/>
  <c r="BJ73" i="1" s="1"/>
  <c r="BL7" i="1"/>
  <c r="BL73" i="1"/>
  <c r="AS19" i="1"/>
  <c r="AV19" i="1"/>
  <c r="BO19" i="1"/>
  <c r="AX42" i="1"/>
  <c r="BM42" i="1"/>
  <c r="AU42" i="1"/>
  <c r="AX19" i="1"/>
  <c r="BM19" i="1"/>
  <c r="AY19" i="1" l="1"/>
  <c r="BQ19" i="1"/>
  <c r="AV42" i="1"/>
  <c r="BO42" i="1"/>
  <c r="AY42" i="1"/>
  <c r="BQ42" i="1"/>
  <c r="C4" i="1" l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AA17" i="1"/>
  <c r="AA21" i="1"/>
  <c r="AA34" i="1"/>
  <c r="AA18" i="1"/>
  <c r="AA13" i="1"/>
  <c r="AA22" i="1"/>
  <c r="AA23" i="1"/>
  <c r="AA31" i="1"/>
  <c r="AA32" i="1"/>
  <c r="AA33" i="1"/>
  <c r="AA16" i="1"/>
  <c r="AA24" i="1"/>
  <c r="AA12" i="1"/>
  <c r="AA20" i="1"/>
  <c r="AA25" i="1"/>
  <c r="AA26" i="1"/>
  <c r="AA27" i="1"/>
  <c r="AA28" i="1"/>
  <c r="AA29" i="1"/>
  <c r="AA75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AB34" i="1" l="1"/>
  <c r="AB22" i="1"/>
  <c r="AG22" i="1" s="1"/>
  <c r="AB25" i="1"/>
  <c r="AG25" i="1" s="1"/>
  <c r="AB30" i="1"/>
  <c r="AG30" i="1" s="1"/>
  <c r="AB33" i="1"/>
  <c r="AB12" i="1"/>
  <c r="AG12" i="1" s="1"/>
  <c r="AB16" i="1"/>
  <c r="AG16" i="1" s="1"/>
  <c r="AB20" i="1"/>
  <c r="AG20" i="1" s="1"/>
  <c r="AB23" i="1"/>
  <c r="AG23" i="1" s="1"/>
  <c r="AB27" i="1"/>
  <c r="AG27" i="1" s="1"/>
  <c r="AB29" i="1"/>
  <c r="AG29" i="1" s="1"/>
  <c r="AB32" i="1"/>
  <c r="AG32" i="1" s="1"/>
  <c r="AB13" i="1"/>
  <c r="AG13" i="1" s="1"/>
  <c r="AB18" i="1"/>
  <c r="AG18" i="1" s="1"/>
  <c r="AB21" i="1"/>
  <c r="AG21" i="1" s="1"/>
  <c r="AB24" i="1"/>
  <c r="AG24" i="1" s="1"/>
  <c r="AB26" i="1"/>
  <c r="AG26" i="1" s="1"/>
  <c r="AB28" i="1"/>
  <c r="AG28" i="1" s="1"/>
  <c r="AB31" i="1"/>
  <c r="AG31" i="1" s="1"/>
  <c r="AC19" i="1"/>
  <c r="BB19" i="1" s="1"/>
  <c r="AD35" i="1"/>
  <c r="AE15" i="1"/>
  <c r="AE35" i="1"/>
  <c r="AC35" i="1"/>
  <c r="AF35" i="1"/>
  <c r="AC15" i="1"/>
  <c r="AD15" i="1"/>
  <c r="AF15" i="1"/>
  <c r="AB17" i="1"/>
  <c r="AG17" i="1" s="1"/>
  <c r="AD42" i="1"/>
  <c r="BC42" i="1" s="1"/>
  <c r="AB5" i="1"/>
  <c r="AG5" i="1" s="1"/>
  <c r="AF42" i="1"/>
  <c r="BE42" i="1" s="1"/>
  <c r="AE42" i="1"/>
  <c r="BD42" i="1" s="1"/>
  <c r="AB10" i="1"/>
  <c r="AG10" i="1" s="1"/>
  <c r="AF10" i="1" s="1"/>
  <c r="BE10" i="1" s="1"/>
  <c r="AF19" i="1"/>
  <c r="BE19" i="1" s="1"/>
  <c r="AB4" i="1"/>
  <c r="AD19" i="1"/>
  <c r="BC19" i="1" s="1"/>
  <c r="AE19" i="1"/>
  <c r="BD19" i="1" s="1"/>
  <c r="AB6" i="1"/>
  <c r="AG6" i="1" s="1"/>
  <c r="BF6" i="1" s="1"/>
  <c r="AB9" i="1"/>
  <c r="AG9" i="1" s="1"/>
  <c r="AK9" i="1" s="1"/>
  <c r="BG9" i="1" s="1"/>
  <c r="AB14" i="1"/>
  <c r="AG14" i="1" s="1"/>
  <c r="AE14" i="1" s="1"/>
  <c r="BD14" i="1" s="1"/>
  <c r="AB11" i="1"/>
  <c r="AG11" i="1" s="1"/>
  <c r="BF11" i="1" s="1"/>
  <c r="AB8" i="1"/>
  <c r="AG8" i="1" s="1"/>
  <c r="BF8" i="1" s="1"/>
  <c r="AB7" i="1"/>
  <c r="AG7" i="1" s="1"/>
  <c r="AC42" i="1"/>
  <c r="BB42" i="1" s="1"/>
  <c r="AB50" i="1"/>
  <c r="AG50" i="1" s="1"/>
  <c r="AB68" i="1"/>
  <c r="AG68" i="1" s="1"/>
  <c r="AB61" i="1"/>
  <c r="AG61" i="1" s="1"/>
  <c r="AB53" i="1"/>
  <c r="AG53" i="1" s="1"/>
  <c r="AB49" i="1"/>
  <c r="AG49" i="1" s="1"/>
  <c r="AB67" i="1"/>
  <c r="AG67" i="1" s="1"/>
  <c r="AB59" i="1"/>
  <c r="AG59" i="1" s="1"/>
  <c r="AB56" i="1"/>
  <c r="AG56" i="1" s="1"/>
  <c r="AB63" i="1"/>
  <c r="AG63" i="1" s="1"/>
  <c r="AB60" i="1"/>
  <c r="AG60" i="1" s="1"/>
  <c r="AB57" i="1"/>
  <c r="AG57" i="1" s="1"/>
  <c r="AB37" i="1"/>
  <c r="AG37" i="1" s="1"/>
  <c r="AB43" i="1"/>
  <c r="AG43" i="1" s="1"/>
  <c r="AB48" i="1"/>
  <c r="AG48" i="1" s="1"/>
  <c r="AB39" i="1"/>
  <c r="AG39" i="1" s="1"/>
  <c r="AB38" i="1"/>
  <c r="AG38" i="1" s="1"/>
  <c r="AB44" i="1"/>
  <c r="AG44" i="1" s="1"/>
  <c r="AB69" i="1"/>
  <c r="AG69" i="1" s="1"/>
  <c r="AB62" i="1"/>
  <c r="AG62" i="1" s="1"/>
  <c r="AB45" i="1"/>
  <c r="AG45" i="1" s="1"/>
  <c r="AB36" i="1"/>
  <c r="AG36" i="1" s="1"/>
  <c r="AB47" i="1"/>
  <c r="AG47" i="1" s="1"/>
  <c r="AB58" i="1"/>
  <c r="AG58" i="1" s="1"/>
  <c r="AB40" i="1"/>
  <c r="AG40" i="1" s="1"/>
  <c r="AB66" i="1"/>
  <c r="AG66" i="1" s="1"/>
  <c r="AB46" i="1"/>
  <c r="AG46" i="1" s="1"/>
  <c r="AB41" i="1"/>
  <c r="AG41" i="1" s="1"/>
  <c r="AB51" i="1"/>
  <c r="AG51" i="1" s="1"/>
  <c r="AB54" i="1"/>
  <c r="AG54" i="1" s="1"/>
  <c r="AB64" i="1"/>
  <c r="AG64" i="1" s="1"/>
  <c r="AB55" i="1"/>
  <c r="AG55" i="1" s="1"/>
  <c r="AB52" i="1"/>
  <c r="AG52" i="1" s="1"/>
  <c r="AB65" i="1"/>
  <c r="AG65" i="1" s="1"/>
  <c r="AG34" i="1"/>
  <c r="AG33" i="1"/>
  <c r="AG4" i="1" l="1"/>
  <c r="AK4" i="1" s="1"/>
  <c r="BG4" i="1" s="1"/>
  <c r="AF14" i="1"/>
  <c r="BE14" i="1" s="1"/>
  <c r="AC11" i="1"/>
  <c r="BB11" i="1" s="1"/>
  <c r="AD14" i="1"/>
  <c r="BC14" i="1" s="1"/>
  <c r="AC8" i="1"/>
  <c r="BB8" i="1" s="1"/>
  <c r="AK11" i="1"/>
  <c r="BG11" i="1" s="1"/>
  <c r="BF10" i="1"/>
  <c r="AK10" i="1"/>
  <c r="BG10" i="1" s="1"/>
  <c r="AD8" i="1"/>
  <c r="BC8" i="1" s="1"/>
  <c r="AE8" i="1"/>
  <c r="BD8" i="1" s="1"/>
  <c r="AC14" i="1"/>
  <c r="BB14" i="1" s="1"/>
  <c r="AF8" i="1"/>
  <c r="BE8" i="1" s="1"/>
  <c r="AE11" i="1"/>
  <c r="BD11" i="1" s="1"/>
  <c r="AE10" i="1"/>
  <c r="BD10" i="1" s="1"/>
  <c r="AD10" i="1"/>
  <c r="BC10" i="1" s="1"/>
  <c r="AF11" i="1"/>
  <c r="BE11" i="1" s="1"/>
  <c r="AD11" i="1"/>
  <c r="BC11" i="1" s="1"/>
  <c r="AC10" i="1"/>
  <c r="BB10" i="1" s="1"/>
  <c r="AC6" i="1"/>
  <c r="BB6" i="1" s="1"/>
  <c r="AC4" i="1"/>
  <c r="BB4" i="1" s="1"/>
  <c r="AF6" i="1"/>
  <c r="BE6" i="1" s="1"/>
  <c r="AK8" i="1"/>
  <c r="AR8" i="1" s="1"/>
  <c r="BM8" i="1" s="1"/>
  <c r="AE6" i="1"/>
  <c r="BD6" i="1" s="1"/>
  <c r="AK6" i="1"/>
  <c r="AC9" i="1"/>
  <c r="BB9" i="1" s="1"/>
  <c r="AE9" i="1"/>
  <c r="BD9" i="1" s="1"/>
  <c r="AD9" i="1"/>
  <c r="BC9" i="1" s="1"/>
  <c r="AD6" i="1"/>
  <c r="BC6" i="1" s="1"/>
  <c r="BF9" i="1"/>
  <c r="AF9" i="1"/>
  <c r="BE9" i="1" s="1"/>
  <c r="BF14" i="1"/>
  <c r="AK14" i="1"/>
  <c r="AK17" i="1"/>
  <c r="BG17" i="1" s="1"/>
  <c r="BF17" i="1"/>
  <c r="AK18" i="1"/>
  <c r="BG18" i="1" s="1"/>
  <c r="BF18" i="1"/>
  <c r="AK34" i="1"/>
  <c r="BG34" i="1" s="1"/>
  <c r="BF34" i="1"/>
  <c r="AK66" i="1"/>
  <c r="BG66" i="1" s="1"/>
  <c r="BF66" i="1"/>
  <c r="AK43" i="1"/>
  <c r="BG43" i="1" s="1"/>
  <c r="BF43" i="1"/>
  <c r="AK50" i="1"/>
  <c r="BG50" i="1" s="1"/>
  <c r="BF50" i="1"/>
  <c r="AK63" i="1"/>
  <c r="BG63" i="1" s="1"/>
  <c r="BF63" i="1"/>
  <c r="AK26" i="1"/>
  <c r="BG26" i="1" s="1"/>
  <c r="BF26" i="1"/>
  <c r="AK29" i="1"/>
  <c r="BG29" i="1" s="1"/>
  <c r="BF29" i="1"/>
  <c r="AK36" i="1"/>
  <c r="BG36" i="1" s="1"/>
  <c r="BF36" i="1"/>
  <c r="AK33" i="1"/>
  <c r="BG33" i="1" s="1"/>
  <c r="BF33" i="1"/>
  <c r="AK25" i="1"/>
  <c r="BG25" i="1" s="1"/>
  <c r="BF25" i="1"/>
  <c r="AK16" i="1"/>
  <c r="BG16" i="1" s="1"/>
  <c r="BF16" i="1"/>
  <c r="AK55" i="1"/>
  <c r="BG55" i="1" s="1"/>
  <c r="BF55" i="1"/>
  <c r="AK45" i="1"/>
  <c r="BG45" i="1" s="1"/>
  <c r="BF45" i="1"/>
  <c r="AK56" i="1"/>
  <c r="BG56" i="1" s="1"/>
  <c r="BF56" i="1"/>
  <c r="AK65" i="1"/>
  <c r="BG65" i="1" s="1"/>
  <c r="BF65" i="1"/>
  <c r="AK60" i="1"/>
  <c r="BG60" i="1" s="1"/>
  <c r="BF60" i="1"/>
  <c r="AK27" i="1"/>
  <c r="BG27" i="1" s="1"/>
  <c r="BF27" i="1"/>
  <c r="AK64" i="1"/>
  <c r="BG64" i="1" s="1"/>
  <c r="BF64" i="1"/>
  <c r="AK62" i="1"/>
  <c r="BG62" i="1" s="1"/>
  <c r="BF62" i="1"/>
  <c r="AK59" i="1"/>
  <c r="BG59" i="1" s="1"/>
  <c r="BF59" i="1"/>
  <c r="AK40" i="1"/>
  <c r="BG40" i="1" s="1"/>
  <c r="BF40" i="1"/>
  <c r="AK58" i="1"/>
  <c r="BG58" i="1" s="1"/>
  <c r="BF58" i="1"/>
  <c r="AK47" i="1"/>
  <c r="BG47" i="1" s="1"/>
  <c r="BF47" i="1"/>
  <c r="AK69" i="1"/>
  <c r="BG69" i="1" s="1"/>
  <c r="BF69" i="1"/>
  <c r="AK67" i="1"/>
  <c r="BF67" i="1"/>
  <c r="AK12" i="1"/>
  <c r="BG12" i="1" s="1"/>
  <c r="BF12" i="1"/>
  <c r="AK7" i="1"/>
  <c r="BG7" i="1" s="1"/>
  <c r="BF7" i="1"/>
  <c r="AK24" i="1"/>
  <c r="BG24" i="1" s="1"/>
  <c r="BF24" i="1"/>
  <c r="AK54" i="1"/>
  <c r="BG54" i="1" s="1"/>
  <c r="BF54" i="1"/>
  <c r="AK44" i="1"/>
  <c r="BG44" i="1" s="1"/>
  <c r="BF44" i="1"/>
  <c r="AK49" i="1"/>
  <c r="BF49" i="1"/>
  <c r="AK5" i="1"/>
  <c r="BG5" i="1" s="1"/>
  <c r="BF5" i="1"/>
  <c r="AK57" i="1"/>
  <c r="BG57" i="1" s="1"/>
  <c r="BF57" i="1"/>
  <c r="AK52" i="1"/>
  <c r="BG52" i="1" s="1"/>
  <c r="BF52" i="1"/>
  <c r="AK30" i="1"/>
  <c r="BG30" i="1" s="1"/>
  <c r="BF30" i="1"/>
  <c r="AK23" i="1"/>
  <c r="BG23" i="1" s="1"/>
  <c r="BF23" i="1"/>
  <c r="AK20" i="1"/>
  <c r="BG20" i="1" s="1"/>
  <c r="BF20" i="1"/>
  <c r="AK51" i="1"/>
  <c r="BG51" i="1" s="1"/>
  <c r="BF51" i="1"/>
  <c r="AK38" i="1"/>
  <c r="BG38" i="1" s="1"/>
  <c r="BF38" i="1"/>
  <c r="AK53" i="1"/>
  <c r="BG53" i="1" s="1"/>
  <c r="BF53" i="1"/>
  <c r="AK37" i="1"/>
  <c r="BG37" i="1" s="1"/>
  <c r="BF37" i="1"/>
  <c r="AK13" i="1"/>
  <c r="BG13" i="1" s="1"/>
  <c r="BF13" i="1"/>
  <c r="AK22" i="1"/>
  <c r="BG22" i="1" s="1"/>
  <c r="BF22" i="1"/>
  <c r="AK21" i="1"/>
  <c r="BG21" i="1" s="1"/>
  <c r="BF21" i="1"/>
  <c r="AK41" i="1"/>
  <c r="BG41" i="1" s="1"/>
  <c r="BF41" i="1"/>
  <c r="AK39" i="1"/>
  <c r="BG39" i="1" s="1"/>
  <c r="BF39" i="1"/>
  <c r="AK61" i="1"/>
  <c r="BG61" i="1" s="1"/>
  <c r="BF61" i="1"/>
  <c r="AR9" i="1"/>
  <c r="AU9" i="1" s="1"/>
  <c r="AK28" i="1"/>
  <c r="BG28" i="1" s="1"/>
  <c r="BF28" i="1"/>
  <c r="AK31" i="1"/>
  <c r="BG31" i="1" s="1"/>
  <c r="BF31" i="1"/>
  <c r="AK32" i="1"/>
  <c r="BG32" i="1" s="1"/>
  <c r="BF32" i="1"/>
  <c r="AK46" i="1"/>
  <c r="BG46" i="1" s="1"/>
  <c r="BF46" i="1"/>
  <c r="AK48" i="1"/>
  <c r="BG48" i="1" s="1"/>
  <c r="BF48" i="1"/>
  <c r="AK68" i="1"/>
  <c r="BG68" i="1" s="1"/>
  <c r="BF68" i="1"/>
  <c r="AL9" i="1"/>
  <c r="AD32" i="1"/>
  <c r="BC32" i="1" s="1"/>
  <c r="AC28" i="1"/>
  <c r="BB28" i="1" s="1"/>
  <c r="AF34" i="1"/>
  <c r="BE34" i="1" s="1"/>
  <c r="AF32" i="1"/>
  <c r="BE32" i="1" s="1"/>
  <c r="AC32" i="1"/>
  <c r="BB32" i="1" s="1"/>
  <c r="AC7" i="1"/>
  <c r="BB7" i="1" s="1"/>
  <c r="AD7" i="1"/>
  <c r="BC7" i="1" s="1"/>
  <c r="AE7" i="1"/>
  <c r="BD7" i="1" s="1"/>
  <c r="AF7" i="1"/>
  <c r="BE7" i="1" s="1"/>
  <c r="AC5" i="1"/>
  <c r="BB5" i="1" s="1"/>
  <c r="AD5" i="1"/>
  <c r="BC5" i="1" s="1"/>
  <c r="AE5" i="1"/>
  <c r="BD5" i="1" s="1"/>
  <c r="AF5" i="1"/>
  <c r="BE5" i="1" s="1"/>
  <c r="AE18" i="1"/>
  <c r="BD18" i="1" s="1"/>
  <c r="AF17" i="1"/>
  <c r="BE17" i="1" s="1"/>
  <c r="AE17" i="1"/>
  <c r="BD17" i="1" s="1"/>
  <c r="AD17" i="1"/>
  <c r="BC17" i="1" s="1"/>
  <c r="AC17" i="1"/>
  <c r="BB17" i="1" s="1"/>
  <c r="AF28" i="1"/>
  <c r="BE28" i="1" s="1"/>
  <c r="AD26" i="1"/>
  <c r="BC26" i="1" s="1"/>
  <c r="AC26" i="1"/>
  <c r="BB26" i="1" s="1"/>
  <c r="AE26" i="1"/>
  <c r="BD26" i="1" s="1"/>
  <c r="AC16" i="1"/>
  <c r="BB16" i="1" s="1"/>
  <c r="AF24" i="1"/>
  <c r="BE24" i="1" s="1"/>
  <c r="AE24" i="1"/>
  <c r="BD24" i="1" s="1"/>
  <c r="AF23" i="1"/>
  <c r="BE23" i="1" s="1"/>
  <c r="AD28" i="1"/>
  <c r="BC28" i="1" s="1"/>
  <c r="AD12" i="1"/>
  <c r="BC12" i="1" s="1"/>
  <c r="AF26" i="1"/>
  <c r="BE26" i="1" s="1"/>
  <c r="AE16" i="1"/>
  <c r="BD16" i="1" s="1"/>
  <c r="AE23" i="1"/>
  <c r="BD23" i="1" s="1"/>
  <c r="AD31" i="1"/>
  <c r="BC31" i="1" s="1"/>
  <c r="AF22" i="1"/>
  <c r="BE22" i="1" s="1"/>
  <c r="AD27" i="1"/>
  <c r="BC27" i="1" s="1"/>
  <c r="AF16" i="1"/>
  <c r="BE16" i="1" s="1"/>
  <c r="AC13" i="1"/>
  <c r="BB13" i="1" s="1"/>
  <c r="AC23" i="1"/>
  <c r="BB23" i="1" s="1"/>
  <c r="AF31" i="1"/>
  <c r="BE31" i="1" s="1"/>
  <c r="AE22" i="1"/>
  <c r="BD22" i="1" s="1"/>
  <c r="AC27" i="1"/>
  <c r="BB27" i="1" s="1"/>
  <c r="AE28" i="1"/>
  <c r="BD28" i="1" s="1"/>
  <c r="AD23" i="1"/>
  <c r="BC23" i="1" s="1"/>
  <c r="AE31" i="1"/>
  <c r="BD31" i="1" s="1"/>
  <c r="AD22" i="1"/>
  <c r="BC22" i="1" s="1"/>
  <c r="AF27" i="1"/>
  <c r="BE27" i="1" s="1"/>
  <c r="AE32" i="1"/>
  <c r="BD32" i="1" s="1"/>
  <c r="AC31" i="1"/>
  <c r="BB31" i="1" s="1"/>
  <c r="AC22" i="1"/>
  <c r="BB22" i="1" s="1"/>
  <c r="AE27" i="1"/>
  <c r="BD27" i="1" s="1"/>
  <c r="AD57" i="1"/>
  <c r="BC57" i="1" s="1"/>
  <c r="AE57" i="1"/>
  <c r="BD57" i="1" s="1"/>
  <c r="AF57" i="1"/>
  <c r="BE57" i="1" s="1"/>
  <c r="AC57" i="1"/>
  <c r="BB57" i="1" s="1"/>
  <c r="AE47" i="1"/>
  <c r="BD47" i="1" s="1"/>
  <c r="AC47" i="1"/>
  <c r="BB47" i="1" s="1"/>
  <c r="AD47" i="1"/>
  <c r="BC47" i="1" s="1"/>
  <c r="AF47" i="1"/>
  <c r="BE47" i="1" s="1"/>
  <c r="AF63" i="1"/>
  <c r="BE63" i="1" s="1"/>
  <c r="AD63" i="1"/>
  <c r="BC63" i="1" s="1"/>
  <c r="AC63" i="1"/>
  <c r="BB63" i="1" s="1"/>
  <c r="AE63" i="1"/>
  <c r="BD63" i="1" s="1"/>
  <c r="AC56" i="1"/>
  <c r="BB56" i="1" s="1"/>
  <c r="AE56" i="1"/>
  <c r="BD56" i="1" s="1"/>
  <c r="AF56" i="1"/>
  <c r="BE56" i="1" s="1"/>
  <c r="AD56" i="1"/>
  <c r="BC56" i="1" s="1"/>
  <c r="AD64" i="1"/>
  <c r="BC64" i="1" s="1"/>
  <c r="AF64" i="1"/>
  <c r="BE64" i="1" s="1"/>
  <c r="AE64" i="1"/>
  <c r="BD64" i="1" s="1"/>
  <c r="AC64" i="1"/>
  <c r="BB64" i="1" s="1"/>
  <c r="AF33" i="1"/>
  <c r="BE33" i="1" s="1"/>
  <c r="AF30" i="1"/>
  <c r="BE30" i="1" s="1"/>
  <c r="AD30" i="1"/>
  <c r="BC30" i="1" s="1"/>
  <c r="AC30" i="1"/>
  <c r="BB30" i="1" s="1"/>
  <c r="AE30" i="1"/>
  <c r="BD30" i="1" s="1"/>
  <c r="AD67" i="1"/>
  <c r="AC67" i="1"/>
  <c r="AE67" i="1"/>
  <c r="AF67" i="1"/>
  <c r="AF54" i="1"/>
  <c r="BE54" i="1" s="1"/>
  <c r="AD54" i="1"/>
  <c r="BC54" i="1" s="1"/>
  <c r="AC54" i="1"/>
  <c r="BB54" i="1" s="1"/>
  <c r="AE54" i="1"/>
  <c r="BD54" i="1" s="1"/>
  <c r="AC33" i="1"/>
  <c r="BB33" i="1" s="1"/>
  <c r="AC53" i="1"/>
  <c r="BB53" i="1" s="1"/>
  <c r="AF53" i="1"/>
  <c r="BE53" i="1" s="1"/>
  <c r="AD53" i="1"/>
  <c r="BC53" i="1" s="1"/>
  <c r="AE53" i="1"/>
  <c r="BD53" i="1" s="1"/>
  <c r="AC41" i="1"/>
  <c r="BB41" i="1" s="1"/>
  <c r="AE41" i="1"/>
  <c r="BD41" i="1" s="1"/>
  <c r="AF41" i="1"/>
  <c r="BE41" i="1" s="1"/>
  <c r="AD41" i="1"/>
  <c r="BC41" i="1" s="1"/>
  <c r="AE21" i="1"/>
  <c r="BD21" i="1" s="1"/>
  <c r="AC46" i="1"/>
  <c r="BB46" i="1" s="1"/>
  <c r="AD46" i="1"/>
  <c r="BC46" i="1" s="1"/>
  <c r="AF46" i="1"/>
  <c r="BE46" i="1" s="1"/>
  <c r="AE46" i="1"/>
  <c r="BD46" i="1" s="1"/>
  <c r="AC48" i="1"/>
  <c r="BB48" i="1" s="1"/>
  <c r="AD48" i="1"/>
  <c r="BC48" i="1" s="1"/>
  <c r="AE48" i="1"/>
  <c r="BD48" i="1" s="1"/>
  <c r="AF48" i="1"/>
  <c r="BE48" i="1" s="1"/>
  <c r="AD68" i="1"/>
  <c r="BC68" i="1" s="1"/>
  <c r="AC68" i="1"/>
  <c r="BB68" i="1" s="1"/>
  <c r="AF68" i="1"/>
  <c r="BE68" i="1" s="1"/>
  <c r="AE68" i="1"/>
  <c r="BD68" i="1" s="1"/>
  <c r="AD20" i="1"/>
  <c r="BC20" i="1" s="1"/>
  <c r="AE34" i="1"/>
  <c r="BD34" i="1" s="1"/>
  <c r="AD18" i="1"/>
  <c r="BC18" i="1" s="1"/>
  <c r="AC12" i="1"/>
  <c r="BB12" i="1" s="1"/>
  <c r="AD25" i="1"/>
  <c r="BC25" i="1" s="1"/>
  <c r="AC21" i="1"/>
  <c r="BB21" i="1" s="1"/>
  <c r="AE29" i="1"/>
  <c r="BD29" i="1" s="1"/>
  <c r="AC58" i="1"/>
  <c r="BB58" i="1" s="1"/>
  <c r="AD58" i="1"/>
  <c r="BC58" i="1" s="1"/>
  <c r="AF58" i="1"/>
  <c r="BE58" i="1" s="1"/>
  <c r="AE58" i="1"/>
  <c r="BD58" i="1" s="1"/>
  <c r="AF52" i="1"/>
  <c r="BE52" i="1" s="1"/>
  <c r="AC52" i="1"/>
  <c r="BB52" i="1" s="1"/>
  <c r="AE52" i="1"/>
  <c r="BD52" i="1" s="1"/>
  <c r="AD52" i="1"/>
  <c r="BC52" i="1" s="1"/>
  <c r="AC60" i="1"/>
  <c r="BB60" i="1" s="1"/>
  <c r="AD60" i="1"/>
  <c r="BC60" i="1" s="1"/>
  <c r="AF60" i="1"/>
  <c r="BE60" i="1" s="1"/>
  <c r="AE60" i="1"/>
  <c r="BD60" i="1" s="1"/>
  <c r="AD36" i="1"/>
  <c r="BC36" i="1" s="1"/>
  <c r="AC36" i="1"/>
  <c r="BB36" i="1" s="1"/>
  <c r="AE36" i="1"/>
  <c r="BD36" i="1" s="1"/>
  <c r="AF36" i="1"/>
  <c r="BE36" i="1" s="1"/>
  <c r="AF45" i="1"/>
  <c r="BE45" i="1" s="1"/>
  <c r="AC45" i="1"/>
  <c r="BB45" i="1" s="1"/>
  <c r="AD45" i="1"/>
  <c r="BC45" i="1" s="1"/>
  <c r="AE45" i="1"/>
  <c r="BD45" i="1" s="1"/>
  <c r="AD16" i="1"/>
  <c r="BC16" i="1" s="1"/>
  <c r="AD59" i="1"/>
  <c r="BC59" i="1" s="1"/>
  <c r="AC59" i="1"/>
  <c r="BB59" i="1" s="1"/>
  <c r="AE59" i="1"/>
  <c r="BD59" i="1" s="1"/>
  <c r="AF59" i="1"/>
  <c r="BE59" i="1" s="1"/>
  <c r="AE33" i="1"/>
  <c r="BD33" i="1" s="1"/>
  <c r="AE49" i="1"/>
  <c r="AC49" i="1"/>
  <c r="AF49" i="1"/>
  <c r="AD49" i="1"/>
  <c r="AD24" i="1"/>
  <c r="BC24" i="1" s="1"/>
  <c r="AD38" i="1"/>
  <c r="BC38" i="1" s="1"/>
  <c r="AF38" i="1"/>
  <c r="BE38" i="1" s="1"/>
  <c r="AE38" i="1"/>
  <c r="BD38" i="1" s="1"/>
  <c r="AC38" i="1"/>
  <c r="BB38" i="1" s="1"/>
  <c r="AC24" i="1"/>
  <c r="BB24" i="1" s="1"/>
  <c r="AE13" i="1"/>
  <c r="BD13" i="1" s="1"/>
  <c r="AD39" i="1"/>
  <c r="BC39" i="1" s="1"/>
  <c r="AC39" i="1"/>
  <c r="BB39" i="1" s="1"/>
  <c r="AF39" i="1"/>
  <c r="BE39" i="1" s="1"/>
  <c r="AE39" i="1"/>
  <c r="BD39" i="1" s="1"/>
  <c r="AC61" i="1"/>
  <c r="BB61" i="1" s="1"/>
  <c r="AE61" i="1"/>
  <c r="BD61" i="1" s="1"/>
  <c r="AD61" i="1"/>
  <c r="BC61" i="1" s="1"/>
  <c r="AF61" i="1"/>
  <c r="BE61" i="1" s="1"/>
  <c r="AE25" i="1"/>
  <c r="BD25" i="1" s="1"/>
  <c r="AF66" i="1"/>
  <c r="BE66" i="1" s="1"/>
  <c r="AD66" i="1"/>
  <c r="BC66" i="1" s="1"/>
  <c r="AC66" i="1"/>
  <c r="BB66" i="1" s="1"/>
  <c r="AE66" i="1"/>
  <c r="BD66" i="1" s="1"/>
  <c r="AC43" i="1"/>
  <c r="BB43" i="1" s="1"/>
  <c r="AD43" i="1"/>
  <c r="BC43" i="1" s="1"/>
  <c r="AE43" i="1"/>
  <c r="BD43" i="1" s="1"/>
  <c r="AF43" i="1"/>
  <c r="BE43" i="1" s="1"/>
  <c r="AD50" i="1"/>
  <c r="BC50" i="1" s="1"/>
  <c r="AE50" i="1"/>
  <c r="BD50" i="1" s="1"/>
  <c r="AF50" i="1"/>
  <c r="BE50" i="1" s="1"/>
  <c r="AC50" i="1"/>
  <c r="BB50" i="1" s="1"/>
  <c r="AF20" i="1"/>
  <c r="BE20" i="1" s="1"/>
  <c r="AD34" i="1"/>
  <c r="BC34" i="1" s="1"/>
  <c r="AF18" i="1"/>
  <c r="BE18" i="1" s="1"/>
  <c r="AE12" i="1"/>
  <c r="BD12" i="1" s="1"/>
  <c r="AF25" i="1"/>
  <c r="BE25" i="1" s="1"/>
  <c r="AF21" i="1"/>
  <c r="BE21" i="1" s="1"/>
  <c r="AD29" i="1"/>
  <c r="BC29" i="1" s="1"/>
  <c r="AF65" i="1"/>
  <c r="BE65" i="1" s="1"/>
  <c r="AE65" i="1"/>
  <c r="BD65" i="1" s="1"/>
  <c r="AC65" i="1"/>
  <c r="BB65" i="1" s="1"/>
  <c r="AD65" i="1"/>
  <c r="BC65" i="1" s="1"/>
  <c r="AD55" i="1"/>
  <c r="BC55" i="1" s="1"/>
  <c r="AE55" i="1"/>
  <c r="BD55" i="1" s="1"/>
  <c r="AF55" i="1"/>
  <c r="BE55" i="1" s="1"/>
  <c r="AC55" i="1"/>
  <c r="BB55" i="1" s="1"/>
  <c r="AF62" i="1"/>
  <c r="BE62" i="1" s="1"/>
  <c r="AE62" i="1"/>
  <c r="BD62" i="1" s="1"/>
  <c r="AC62" i="1"/>
  <c r="BB62" i="1" s="1"/>
  <c r="AD62" i="1"/>
  <c r="BC62" i="1" s="1"/>
  <c r="AE69" i="1"/>
  <c r="BD69" i="1" s="1"/>
  <c r="AF69" i="1"/>
  <c r="BE69" i="1" s="1"/>
  <c r="AD69" i="1"/>
  <c r="BC69" i="1" s="1"/>
  <c r="AC69" i="1"/>
  <c r="BB69" i="1" s="1"/>
  <c r="AD13" i="1"/>
  <c r="BC13" i="1" s="1"/>
  <c r="AF44" i="1"/>
  <c r="BE44" i="1" s="1"/>
  <c r="AD44" i="1"/>
  <c r="BC44" i="1" s="1"/>
  <c r="AE44" i="1"/>
  <c r="BD44" i="1" s="1"/>
  <c r="AC44" i="1"/>
  <c r="BB44" i="1" s="1"/>
  <c r="AF13" i="1"/>
  <c r="BE13" i="1" s="1"/>
  <c r="AF51" i="1"/>
  <c r="BE51" i="1" s="1"/>
  <c r="AD51" i="1"/>
  <c r="BC51" i="1" s="1"/>
  <c r="AE51" i="1"/>
  <c r="BD51" i="1" s="1"/>
  <c r="AC51" i="1"/>
  <c r="BB51" i="1" s="1"/>
  <c r="AD33" i="1"/>
  <c r="BC33" i="1" s="1"/>
  <c r="AE20" i="1"/>
  <c r="BD20" i="1" s="1"/>
  <c r="AF29" i="1"/>
  <c r="BE29" i="1" s="1"/>
  <c r="AE40" i="1"/>
  <c r="BD40" i="1" s="1"/>
  <c r="AD40" i="1"/>
  <c r="BC40" i="1" s="1"/>
  <c r="AF40" i="1"/>
  <c r="BE40" i="1" s="1"/>
  <c r="AC40" i="1"/>
  <c r="BB40" i="1" s="1"/>
  <c r="AC37" i="1"/>
  <c r="BB37" i="1" s="1"/>
  <c r="AE37" i="1"/>
  <c r="BD37" i="1" s="1"/>
  <c r="AF37" i="1"/>
  <c r="BE37" i="1" s="1"/>
  <c r="AD37" i="1"/>
  <c r="BC37" i="1" s="1"/>
  <c r="AC20" i="1"/>
  <c r="BB20" i="1" s="1"/>
  <c r="AC34" i="1"/>
  <c r="BB34" i="1" s="1"/>
  <c r="AC18" i="1"/>
  <c r="BB18" i="1" s="1"/>
  <c r="AF12" i="1"/>
  <c r="BE12" i="1" s="1"/>
  <c r="AC25" i="1"/>
  <c r="BB25" i="1" s="1"/>
  <c r="AD21" i="1"/>
  <c r="BC21" i="1" s="1"/>
  <c r="AC29" i="1"/>
  <c r="BB29" i="1" s="1"/>
  <c r="AD4" i="1" l="1"/>
  <c r="BC4" i="1" s="1"/>
  <c r="AG73" i="1"/>
  <c r="BF73" i="1" s="1"/>
  <c r="BE49" i="1"/>
  <c r="BB49" i="1"/>
  <c r="AC73" i="1"/>
  <c r="BB73" i="1" s="1"/>
  <c r="BC49" i="1"/>
  <c r="BD49" i="1"/>
  <c r="BG49" i="1"/>
  <c r="AK73" i="1"/>
  <c r="BE67" i="1"/>
  <c r="BC67" i="1"/>
  <c r="BD67" i="1"/>
  <c r="BB67" i="1"/>
  <c r="BG67" i="1"/>
  <c r="AF4" i="1"/>
  <c r="BE4" i="1" s="1"/>
  <c r="AE4" i="1"/>
  <c r="BD4" i="1" s="1"/>
  <c r="BF4" i="1"/>
  <c r="AR4" i="1"/>
  <c r="AL4" i="1"/>
  <c r="AR11" i="1"/>
  <c r="AU11" i="1" s="1"/>
  <c r="BO11" i="1" s="1"/>
  <c r="AL11" i="1"/>
  <c r="AL10" i="1"/>
  <c r="AR10" i="1"/>
  <c r="BM10" i="1" s="1"/>
  <c r="AR44" i="1"/>
  <c r="AX44" i="1" s="1"/>
  <c r="AL56" i="1"/>
  <c r="AR36" i="1"/>
  <c r="AU36" i="1" s="1"/>
  <c r="AR34" i="1"/>
  <c r="BM34" i="1" s="1"/>
  <c r="AL65" i="1"/>
  <c r="AL49" i="1"/>
  <c r="AR40" i="1"/>
  <c r="AX40" i="1" s="1"/>
  <c r="AR26" i="1"/>
  <c r="AS26" i="1" s="1"/>
  <c r="AL26" i="1"/>
  <c r="AR31" i="1"/>
  <c r="AS31" i="1" s="1"/>
  <c r="AL31" i="1"/>
  <c r="AR41" i="1"/>
  <c r="AX41" i="1" s="1"/>
  <c r="AL41" i="1"/>
  <c r="AU8" i="1"/>
  <c r="BO8" i="1" s="1"/>
  <c r="AR30" i="1"/>
  <c r="AS30" i="1" s="1"/>
  <c r="AR21" i="1"/>
  <c r="BM21" i="1" s="1"/>
  <c r="AR65" i="1"/>
  <c r="AS65" i="1" s="1"/>
  <c r="AL33" i="1"/>
  <c r="AL50" i="1"/>
  <c r="AR59" i="1"/>
  <c r="AU59" i="1" s="1"/>
  <c r="AR54" i="1"/>
  <c r="AS54" i="1" s="1"/>
  <c r="AL59" i="1"/>
  <c r="AL54" i="1"/>
  <c r="BG8" i="1"/>
  <c r="AL8" i="1"/>
  <c r="AR24" i="1"/>
  <c r="AS24" i="1" s="1"/>
  <c r="AR33" i="1"/>
  <c r="AS33" i="1" s="1"/>
  <c r="AS8" i="1"/>
  <c r="AR60" i="1"/>
  <c r="AU60" i="1" s="1"/>
  <c r="AL24" i="1"/>
  <c r="AL60" i="1"/>
  <c r="AL62" i="1"/>
  <c r="AL32" i="1"/>
  <c r="AR52" i="1"/>
  <c r="BM52" i="1" s="1"/>
  <c r="AL40" i="1"/>
  <c r="AR12" i="1"/>
  <c r="AU12" i="1" s="1"/>
  <c r="AR55" i="1"/>
  <c r="AX55" i="1" s="1"/>
  <c r="AL63" i="1"/>
  <c r="AL21" i="1"/>
  <c r="AL55" i="1"/>
  <c r="BG14" i="1"/>
  <c r="AL14" i="1"/>
  <c r="AR14" i="1"/>
  <c r="AL34" i="1"/>
  <c r="AR17" i="1"/>
  <c r="AS17" i="1" s="1"/>
  <c r="AR29" i="1"/>
  <c r="AX29" i="1" s="1"/>
  <c r="AR57" i="1"/>
  <c r="AX57" i="1" s="1"/>
  <c r="BG6" i="1"/>
  <c r="AL6" i="1"/>
  <c r="AR6" i="1"/>
  <c r="AL57" i="1"/>
  <c r="AR49" i="1"/>
  <c r="AL47" i="1"/>
  <c r="AR38" i="1"/>
  <c r="AX38" i="1" s="1"/>
  <c r="AL29" i="1"/>
  <c r="AL52" i="1"/>
  <c r="AL38" i="1"/>
  <c r="AR45" i="1"/>
  <c r="BM45" i="1" s="1"/>
  <c r="AR20" i="1"/>
  <c r="BM20" i="1" s="1"/>
  <c r="AR58" i="1"/>
  <c r="AU58" i="1" s="1"/>
  <c r="AR43" i="1"/>
  <c r="BM43" i="1" s="1"/>
  <c r="AL45" i="1"/>
  <c r="AR61" i="1"/>
  <c r="AU61" i="1" s="1"/>
  <c r="AL20" i="1"/>
  <c r="AR67" i="1"/>
  <c r="AL17" i="1"/>
  <c r="AL43" i="1"/>
  <c r="AR25" i="1"/>
  <c r="AS25" i="1" s="1"/>
  <c r="AR68" i="1"/>
  <c r="AU68" i="1" s="1"/>
  <c r="AL61" i="1"/>
  <c r="AL67" i="1"/>
  <c r="AL30" i="1"/>
  <c r="AR47" i="1"/>
  <c r="AU47" i="1" s="1"/>
  <c r="AL7" i="1"/>
  <c r="AR64" i="1"/>
  <c r="AS64" i="1" s="1"/>
  <c r="AL64" i="1"/>
  <c r="AR51" i="1"/>
  <c r="BM51" i="1" s="1"/>
  <c r="AR18" i="1"/>
  <c r="AX18" i="1" s="1"/>
  <c r="AR66" i="1"/>
  <c r="AS66" i="1" s="1"/>
  <c r="AL25" i="1"/>
  <c r="AR48" i="1"/>
  <c r="BM48" i="1" s="1"/>
  <c r="AR16" i="1"/>
  <c r="AX16" i="1" s="1"/>
  <c r="AR39" i="1"/>
  <c r="BM39" i="1" s="1"/>
  <c r="AR69" i="1"/>
  <c r="AX69" i="1" s="1"/>
  <c r="AS9" i="1"/>
  <c r="AX8" i="1"/>
  <c r="BQ8" i="1" s="1"/>
  <c r="AR7" i="1"/>
  <c r="AS7" i="1" s="1"/>
  <c r="AL18" i="1"/>
  <c r="AL66" i="1"/>
  <c r="AR63" i="1"/>
  <c r="AX63" i="1" s="1"/>
  <c r="AR32" i="1"/>
  <c r="AS32" i="1" s="1"/>
  <c r="AL16" i="1"/>
  <c r="AL39" i="1"/>
  <c r="AL69" i="1"/>
  <c r="AV9" i="1"/>
  <c r="BO9" i="1"/>
  <c r="AR50" i="1"/>
  <c r="AS50" i="1" s="1"/>
  <c r="AR56" i="1"/>
  <c r="AS56" i="1" s="1"/>
  <c r="AR62" i="1"/>
  <c r="AS62" i="1" s="1"/>
  <c r="AR28" i="1"/>
  <c r="AS28" i="1" s="1"/>
  <c r="AR53" i="1"/>
  <c r="AR23" i="1"/>
  <c r="AU23" i="1" s="1"/>
  <c r="AL37" i="1"/>
  <c r="AL36" i="1"/>
  <c r="AX9" i="1"/>
  <c r="BM9" i="1"/>
  <c r="AL28" i="1"/>
  <c r="AL53" i="1"/>
  <c r="AL23" i="1"/>
  <c r="AL68" i="1"/>
  <c r="AR22" i="1"/>
  <c r="AS22" i="1" s="1"/>
  <c r="AR37" i="1"/>
  <c r="AS37" i="1" s="1"/>
  <c r="AL12" i="1"/>
  <c r="AL48" i="1"/>
  <c r="AL22" i="1"/>
  <c r="AL51" i="1"/>
  <c r="AL44" i="1"/>
  <c r="AL58" i="1"/>
  <c r="AR5" i="1"/>
  <c r="AU5" i="1" s="1"/>
  <c r="AR46" i="1"/>
  <c r="AS46" i="1" s="1"/>
  <c r="AR27" i="1"/>
  <c r="AS27" i="1" s="1"/>
  <c r="AR13" i="1"/>
  <c r="AU13" i="1" s="1"/>
  <c r="AL5" i="1"/>
  <c r="AL46" i="1"/>
  <c r="AL27" i="1"/>
  <c r="AL13" i="1"/>
  <c r="AD73" i="1" l="1"/>
  <c r="BC73" i="1" s="1"/>
  <c r="AE73" i="1"/>
  <c r="BD73" i="1" s="1"/>
  <c r="AF73" i="1"/>
  <c r="BE73" i="1" s="1"/>
  <c r="BM49" i="1"/>
  <c r="AR73" i="1"/>
  <c r="AS67" i="1"/>
  <c r="AS36" i="1"/>
  <c r="AU44" i="1"/>
  <c r="AV44" i="1" s="1"/>
  <c r="AV11" i="1"/>
  <c r="AS11" i="1"/>
  <c r="AU10" i="1"/>
  <c r="AV10" i="1" s="1"/>
  <c r="AX10" i="1"/>
  <c r="AY10" i="1" s="1"/>
  <c r="AX11" i="1"/>
  <c r="BQ11" i="1" s="1"/>
  <c r="BM11" i="1"/>
  <c r="BM36" i="1"/>
  <c r="AX36" i="1"/>
  <c r="AY36" i="1" s="1"/>
  <c r="AS10" i="1"/>
  <c r="AS44" i="1"/>
  <c r="BM44" i="1"/>
  <c r="AX34" i="1"/>
  <c r="AY34" i="1" s="1"/>
  <c r="BM26" i="1"/>
  <c r="AX26" i="1"/>
  <c r="AY26" i="1" s="1"/>
  <c r="AU26" i="1"/>
  <c r="AV26" i="1" s="1"/>
  <c r="AU40" i="1"/>
  <c r="AV40" i="1" s="1"/>
  <c r="AS40" i="1"/>
  <c r="AX21" i="1"/>
  <c r="AY21" i="1" s="1"/>
  <c r="AU34" i="1"/>
  <c r="AV34" i="1" s="1"/>
  <c r="AS34" i="1"/>
  <c r="BM40" i="1"/>
  <c r="BM60" i="1"/>
  <c r="AU33" i="1"/>
  <c r="AV33" i="1" s="1"/>
  <c r="BM12" i="1"/>
  <c r="AU41" i="1"/>
  <c r="AV41" i="1" s="1"/>
  <c r="AU21" i="1"/>
  <c r="AV21" i="1" s="1"/>
  <c r="AX24" i="1"/>
  <c r="AY24" i="1" s="1"/>
  <c r="AX12" i="1"/>
  <c r="BQ12" i="1" s="1"/>
  <c r="AX60" i="1"/>
  <c r="AY60" i="1" s="1"/>
  <c r="BM64" i="1"/>
  <c r="BM31" i="1"/>
  <c r="AS41" i="1"/>
  <c r="BM65" i="1"/>
  <c r="AX31" i="1"/>
  <c r="AY31" i="1" s="1"/>
  <c r="AU64" i="1"/>
  <c r="AV64" i="1" s="1"/>
  <c r="AY8" i="1"/>
  <c r="AX7" i="1"/>
  <c r="BQ7" i="1" s="1"/>
  <c r="AU46" i="1"/>
  <c r="AV46" i="1" s="1"/>
  <c r="AS61" i="1"/>
  <c r="AX65" i="1"/>
  <c r="BQ65" i="1" s="1"/>
  <c r="BM24" i="1"/>
  <c r="BM67" i="1"/>
  <c r="AU31" i="1"/>
  <c r="AV31" i="1" s="1"/>
  <c r="AX39" i="1"/>
  <c r="AY39" i="1" s="1"/>
  <c r="AU54" i="1"/>
  <c r="AV54" i="1" s="1"/>
  <c r="BM54" i="1"/>
  <c r="BM41" i="1"/>
  <c r="AS60" i="1"/>
  <c r="AU57" i="1"/>
  <c r="AV57" i="1" s="1"/>
  <c r="AX54" i="1"/>
  <c r="AY54" i="1" s="1"/>
  <c r="AS69" i="1"/>
  <c r="AS47" i="1"/>
  <c r="BM30" i="1"/>
  <c r="AU39" i="1"/>
  <c r="BO39" i="1" s="1"/>
  <c r="AU55" i="1"/>
  <c r="AV55" i="1" s="1"/>
  <c r="AS12" i="1"/>
  <c r="AU65" i="1"/>
  <c r="AV65" i="1" s="1"/>
  <c r="AV8" i="1"/>
  <c r="AX30" i="1"/>
  <c r="BQ30" i="1" s="1"/>
  <c r="AX47" i="1"/>
  <c r="AY47" i="1" s="1"/>
  <c r="AS57" i="1"/>
  <c r="BM61" i="1"/>
  <c r="BM55" i="1"/>
  <c r="BM33" i="1"/>
  <c r="BM47" i="1"/>
  <c r="AU30" i="1"/>
  <c r="BO30" i="1" s="1"/>
  <c r="AS39" i="1"/>
  <c r="AS55" i="1"/>
  <c r="AU29" i="1"/>
  <c r="AV29" i="1" s="1"/>
  <c r="AU69" i="1"/>
  <c r="BO69" i="1" s="1"/>
  <c r="AX61" i="1"/>
  <c r="AY61" i="1" s="1"/>
  <c r="AX59" i="1"/>
  <c r="AY59" i="1" s="1"/>
  <c r="AX52" i="1"/>
  <c r="AY52" i="1" s="1"/>
  <c r="AU24" i="1"/>
  <c r="BO24" i="1" s="1"/>
  <c r="AX33" i="1"/>
  <c r="AY33" i="1" s="1"/>
  <c r="AU52" i="1"/>
  <c r="AV52" i="1" s="1"/>
  <c r="AS29" i="1"/>
  <c r="AS59" i="1"/>
  <c r="BM29" i="1"/>
  <c r="BM59" i="1"/>
  <c r="AS21" i="1"/>
  <c r="AU38" i="1"/>
  <c r="AV38" i="1" s="1"/>
  <c r="BM17" i="1"/>
  <c r="AU48" i="1"/>
  <c r="AV48" i="1" s="1"/>
  <c r="AX49" i="1"/>
  <c r="AU17" i="1"/>
  <c r="AV17" i="1" s="1"/>
  <c r="AX64" i="1"/>
  <c r="BQ64" i="1" s="1"/>
  <c r="AX4" i="1"/>
  <c r="BM4" i="1"/>
  <c r="AS4" i="1"/>
  <c r="AU4" i="1"/>
  <c r="AS52" i="1"/>
  <c r="AS13" i="1"/>
  <c r="AU49" i="1"/>
  <c r="AU62" i="1"/>
  <c r="AV62" i="1" s="1"/>
  <c r="AS49" i="1"/>
  <c r="AX17" i="1"/>
  <c r="AY17" i="1" s="1"/>
  <c r="BM32" i="1"/>
  <c r="AS48" i="1"/>
  <c r="AS38" i="1"/>
  <c r="AX20" i="1"/>
  <c r="AY20" i="1" s="1"/>
  <c r="AS58" i="1"/>
  <c r="AX14" i="1"/>
  <c r="AS14" i="1"/>
  <c r="BM14" i="1"/>
  <c r="AU14" i="1"/>
  <c r="BM6" i="1"/>
  <c r="AS6" i="1"/>
  <c r="AX6" i="1"/>
  <c r="AU6" i="1"/>
  <c r="AU22" i="1"/>
  <c r="BO22" i="1" s="1"/>
  <c r="BM63" i="1"/>
  <c r="AX67" i="1"/>
  <c r="BM58" i="1"/>
  <c r="AU51" i="1"/>
  <c r="AV51" i="1" s="1"/>
  <c r="AU27" i="1"/>
  <c r="AV27" i="1" s="1"/>
  <c r="AS23" i="1"/>
  <c r="AU7" i="1"/>
  <c r="BO7" i="1" s="1"/>
  <c r="AX58" i="1"/>
  <c r="AY58" i="1" s="1"/>
  <c r="AU20" i="1"/>
  <c r="AV20" i="1" s="1"/>
  <c r="AU63" i="1"/>
  <c r="AV63" i="1" s="1"/>
  <c r="AU37" i="1"/>
  <c r="AV37" i="1" s="1"/>
  <c r="BM57" i="1"/>
  <c r="BM69" i="1"/>
  <c r="BM38" i="1"/>
  <c r="AX32" i="1"/>
  <c r="AY32" i="1" s="1"/>
  <c r="AS20" i="1"/>
  <c r="BM7" i="1"/>
  <c r="AX48" i="1"/>
  <c r="AY48" i="1" s="1"/>
  <c r="AU16" i="1"/>
  <c r="BO16" i="1" s="1"/>
  <c r="AU18" i="1"/>
  <c r="AV18" i="1" s="1"/>
  <c r="AU32" i="1"/>
  <c r="AV32" i="1" s="1"/>
  <c r="AU28" i="1"/>
  <c r="AV28" i="1" s="1"/>
  <c r="AS18" i="1"/>
  <c r="BM68" i="1"/>
  <c r="AU43" i="1"/>
  <c r="AV43" i="1" s="1"/>
  <c r="BM18" i="1"/>
  <c r="AX45" i="1"/>
  <c r="BQ45" i="1" s="1"/>
  <c r="AS68" i="1"/>
  <c r="AX43" i="1"/>
  <c r="AY43" i="1" s="1"/>
  <c r="AX25" i="1"/>
  <c r="AY25" i="1" s="1"/>
  <c r="BM66" i="1"/>
  <c r="AS16" i="1"/>
  <c r="AU45" i="1"/>
  <c r="AV45" i="1" s="1"/>
  <c r="AS45" i="1"/>
  <c r="AX51" i="1"/>
  <c r="AY51" i="1" s="1"/>
  <c r="AU67" i="1"/>
  <c r="AU25" i="1"/>
  <c r="BO25" i="1" s="1"/>
  <c r="AU56" i="1"/>
  <c r="AV56" i="1" s="1"/>
  <c r="AU50" i="1"/>
  <c r="AV50" i="1" s="1"/>
  <c r="AU66" i="1"/>
  <c r="AV66" i="1" s="1"/>
  <c r="AX66" i="1"/>
  <c r="AY66" i="1" s="1"/>
  <c r="BM16" i="1"/>
  <c r="AS63" i="1"/>
  <c r="AS51" i="1"/>
  <c r="AX68" i="1"/>
  <c r="AY68" i="1" s="1"/>
  <c r="AS43" i="1"/>
  <c r="BM25" i="1"/>
  <c r="AV5" i="1"/>
  <c r="BO5" i="1"/>
  <c r="AV13" i="1"/>
  <c r="BO13" i="1"/>
  <c r="AV61" i="1"/>
  <c r="BO61" i="1"/>
  <c r="AX13" i="1"/>
  <c r="BM13" i="1"/>
  <c r="AY38" i="1"/>
  <c r="BQ38" i="1"/>
  <c r="AY9" i="1"/>
  <c r="BQ9" i="1"/>
  <c r="AY16" i="1"/>
  <c r="BQ16" i="1"/>
  <c r="AX62" i="1"/>
  <c r="BM62" i="1"/>
  <c r="AX27" i="1"/>
  <c r="BM27" i="1"/>
  <c r="AY69" i="1"/>
  <c r="BQ69" i="1"/>
  <c r="AX28" i="1"/>
  <c r="BM28" i="1"/>
  <c r="AX53" i="1"/>
  <c r="BM53" i="1"/>
  <c r="AY63" i="1"/>
  <c r="BQ63" i="1"/>
  <c r="AY41" i="1"/>
  <c r="BQ41" i="1"/>
  <c r="AY44" i="1"/>
  <c r="BQ44" i="1"/>
  <c r="AX56" i="1"/>
  <c r="BM56" i="1"/>
  <c r="AX50" i="1"/>
  <c r="BM50" i="1"/>
  <c r="AV47" i="1"/>
  <c r="BO47" i="1"/>
  <c r="AX5" i="1"/>
  <c r="BM5" i="1"/>
  <c r="AV68" i="1"/>
  <c r="BO68" i="1"/>
  <c r="AX46" i="1"/>
  <c r="BM46" i="1"/>
  <c r="AY29" i="1"/>
  <c r="BQ29" i="1"/>
  <c r="AY55" i="1"/>
  <c r="BQ55" i="1"/>
  <c r="AY18" i="1"/>
  <c r="BQ18" i="1"/>
  <c r="AY57" i="1"/>
  <c r="BQ57" i="1"/>
  <c r="AY40" i="1"/>
  <c r="BQ40" i="1"/>
  <c r="AV36" i="1"/>
  <c r="BO36" i="1"/>
  <c r="AV23" i="1"/>
  <c r="BO23" i="1"/>
  <c r="AS5" i="1"/>
  <c r="AV60" i="1"/>
  <c r="BO60" i="1"/>
  <c r="AV58" i="1"/>
  <c r="BO58" i="1"/>
  <c r="AV12" i="1"/>
  <c r="BO12" i="1"/>
  <c r="AU53" i="1"/>
  <c r="AV59" i="1"/>
  <c r="BO59" i="1"/>
  <c r="AX22" i="1"/>
  <c r="BM22" i="1"/>
  <c r="AX23" i="1"/>
  <c r="BM23" i="1"/>
  <c r="AL73" i="1"/>
  <c r="BG73" i="1"/>
  <c r="AS53" i="1"/>
  <c r="AX37" i="1"/>
  <c r="BM37" i="1"/>
  <c r="AV49" i="1" l="1"/>
  <c r="AU73" i="1"/>
  <c r="AV73" i="1" s="1"/>
  <c r="AY49" i="1"/>
  <c r="AX73" i="1"/>
  <c r="AY67" i="1"/>
  <c r="AV67" i="1"/>
  <c r="BO44" i="1"/>
  <c r="BO26" i="1"/>
  <c r="BQ54" i="1"/>
  <c r="BQ36" i="1"/>
  <c r="BQ10" i="1"/>
  <c r="AY11" i="1"/>
  <c r="BO10" i="1"/>
  <c r="BO33" i="1"/>
  <c r="BQ34" i="1"/>
  <c r="BQ26" i="1"/>
  <c r="BO40" i="1"/>
  <c r="AY12" i="1"/>
  <c r="BQ21" i="1"/>
  <c r="BQ24" i="1"/>
  <c r="BO34" i="1"/>
  <c r="BO38" i="1"/>
  <c r="BO41" i="1"/>
  <c r="BO21" i="1"/>
  <c r="BQ59" i="1"/>
  <c r="BQ60" i="1"/>
  <c r="BQ61" i="1"/>
  <c r="BO46" i="1"/>
  <c r="BO62" i="1"/>
  <c r="BO31" i="1"/>
  <c r="AY65" i="1"/>
  <c r="BO49" i="1"/>
  <c r="AV24" i="1"/>
  <c r="AY7" i="1"/>
  <c r="BO64" i="1"/>
  <c r="BQ52" i="1"/>
  <c r="BO37" i="1"/>
  <c r="BQ31" i="1"/>
  <c r="AV39" i="1"/>
  <c r="AV22" i="1"/>
  <c r="BO28" i="1"/>
  <c r="BQ39" i="1"/>
  <c r="BO27" i="1"/>
  <c r="BQ17" i="1"/>
  <c r="AY64" i="1"/>
  <c r="BO57" i="1"/>
  <c r="BO65" i="1"/>
  <c r="BO48" i="1"/>
  <c r="BQ20" i="1"/>
  <c r="BO54" i="1"/>
  <c r="AV30" i="1"/>
  <c r="BO29" i="1"/>
  <c r="BQ47" i="1"/>
  <c r="AY30" i="1"/>
  <c r="BQ49" i="1"/>
  <c r="AV69" i="1"/>
  <c r="BO17" i="1"/>
  <c r="BO52" i="1"/>
  <c r="BQ33" i="1"/>
  <c r="BO55" i="1"/>
  <c r="BO51" i="1"/>
  <c r="BO20" i="1"/>
  <c r="BQ48" i="1"/>
  <c r="BO66" i="1"/>
  <c r="AV7" i="1"/>
  <c r="BO4" i="1"/>
  <c r="AV4" i="1"/>
  <c r="BQ4" i="1"/>
  <c r="AY4" i="1"/>
  <c r="BQ32" i="1"/>
  <c r="BQ67" i="1"/>
  <c r="BO50" i="1"/>
  <c r="BO43" i="1"/>
  <c r="AV14" i="1"/>
  <c r="BO14" i="1"/>
  <c r="BQ25" i="1"/>
  <c r="AV25" i="1"/>
  <c r="AY45" i="1"/>
  <c r="AV16" i="1"/>
  <c r="AY6" i="1"/>
  <c r="BQ6" i="1"/>
  <c r="BQ43" i="1"/>
  <c r="BO56" i="1"/>
  <c r="BQ58" i="1"/>
  <c r="BO32" i="1"/>
  <c r="BO63" i="1"/>
  <c r="AV6" i="1"/>
  <c r="BO6" i="1"/>
  <c r="AY14" i="1"/>
  <c r="BQ14" i="1"/>
  <c r="BQ51" i="1"/>
  <c r="BQ68" i="1"/>
  <c r="BO67" i="1"/>
  <c r="BO45" i="1"/>
  <c r="BO18" i="1"/>
  <c r="BQ66" i="1"/>
  <c r="AY62" i="1"/>
  <c r="BQ62" i="1"/>
  <c r="AY50" i="1"/>
  <c r="BQ50" i="1"/>
  <c r="AY56" i="1"/>
  <c r="BQ56" i="1"/>
  <c r="AS73" i="1"/>
  <c r="BM73" i="1"/>
  <c r="AY5" i="1"/>
  <c r="BQ5" i="1"/>
  <c r="AY53" i="1"/>
  <c r="BQ53" i="1"/>
  <c r="AY28" i="1"/>
  <c r="BQ28" i="1"/>
  <c r="AY37" i="1"/>
  <c r="BQ37" i="1"/>
  <c r="AY13" i="1"/>
  <c r="BQ13" i="1"/>
  <c r="AV53" i="1"/>
  <c r="BO53" i="1"/>
  <c r="AY46" i="1"/>
  <c r="BQ46" i="1"/>
  <c r="AY27" i="1"/>
  <c r="BQ27" i="1"/>
  <c r="AY23" i="1"/>
  <c r="BQ23" i="1"/>
  <c r="AY22" i="1"/>
  <c r="BQ22" i="1"/>
  <c r="BO73" i="1" l="1"/>
  <c r="AY73" i="1"/>
  <c r="BQ73" i="1"/>
</calcChain>
</file>

<file path=xl/sharedStrings.xml><?xml version="1.0" encoding="utf-8"?>
<sst xmlns="http://schemas.openxmlformats.org/spreadsheetml/2006/main" count="1960" uniqueCount="445">
  <si>
    <t>ANÁLISIS DE RENTABILIDAD</t>
  </si>
  <si>
    <t>EEFF PERU FROST (USD)</t>
  </si>
  <si>
    <t>Etiquetas de columna</t>
  </si>
  <si>
    <t>ANÁLISIS UNITARIO</t>
  </si>
  <si>
    <t>ANÁLISIS VÉRTICAL</t>
  </si>
  <si>
    <t>Valores</t>
  </si>
  <si>
    <t>ENERO</t>
  </si>
  <si>
    <t>FEBRERO</t>
  </si>
  <si>
    <t>MARZO</t>
  </si>
  <si>
    <t>Total general</t>
  </si>
  <si>
    <t>NOMBRE</t>
  </si>
  <si>
    <t>TOTAL</t>
  </si>
  <si>
    <t xml:space="preserve">Suma de  Cantidad </t>
  </si>
  <si>
    <t>Suma de VALOR 
CFR</t>
  </si>
  <si>
    <t>Suma de COSTO 
VENTAS</t>
  </si>
  <si>
    <t>Suma de UTILIDAD 
BRUTA</t>
  </si>
  <si>
    <t>Suma de GASTO
VENTAS</t>
  </si>
  <si>
    <t>Suma de GASTO 
ADM</t>
  </si>
  <si>
    <t>Suma de DRAWBACK</t>
  </si>
  <si>
    <t>Suma de UTILIDAD 
OPERATIVA</t>
  </si>
  <si>
    <t>Suma de GASTO 
FINANCIERO</t>
  </si>
  <si>
    <t>Suma de UTILIDAD 
NETA</t>
  </si>
  <si>
    <t>Suma de DEPRECIACIÓN</t>
  </si>
  <si>
    <t>Suma de EBITDA</t>
  </si>
  <si>
    <t>ANÁLISIS POR PRODUCTO</t>
  </si>
  <si>
    <t>RANKING DE VENTAS (USD)</t>
  </si>
  <si>
    <t>UTILIDAD NETA (USD)</t>
  </si>
  <si>
    <t>EBITDA (USD)</t>
  </si>
  <si>
    <t>Etiquetas de fila</t>
  </si>
  <si>
    <t>%</t>
  </si>
  <si>
    <t>MG</t>
  </si>
  <si>
    <t>POTA REJOS CONGELADOS</t>
  </si>
  <si>
    <t>POTA ALAS CONGELADAS</t>
  </si>
  <si>
    <t>POTA FILETE CONGELADO</t>
  </si>
  <si>
    <t>POTA FILETE PRECOCIDO</t>
  </si>
  <si>
    <t>POTA NUCAS</t>
  </si>
  <si>
    <t>POTA ALAS COCIDAS</t>
  </si>
  <si>
    <t>POTA REPRODUCTORES</t>
  </si>
  <si>
    <t>POTA CONOS</t>
  </si>
  <si>
    <t>POTA MEMBRANA PRECOCIDA</t>
  </si>
  <si>
    <t>POTA  TELILLA PRECOCIDA</t>
  </si>
  <si>
    <t>ANÁLISIS POR CLIENTE</t>
  </si>
  <si>
    <t>UTILIDAD BRUTA (USD)</t>
  </si>
  <si>
    <t>NETO</t>
  </si>
  <si>
    <t>EBITDA</t>
  </si>
  <si>
    <t>BRUTO</t>
  </si>
  <si>
    <t>TSUJINO</t>
  </si>
  <si>
    <t>KULALIA</t>
  </si>
  <si>
    <t>AVANCE GROUP</t>
  </si>
  <si>
    <t>Pesciro Asia International LTD.</t>
  </si>
  <si>
    <t>LONGKOU JIABAO AQUATIC</t>
  </si>
  <si>
    <t>OVERSEA</t>
  </si>
  <si>
    <t>LONGKOU BOHAI</t>
  </si>
  <si>
    <t>DAIRECK S.A.</t>
  </si>
  <si>
    <t>Longkou Yunfeng Aquatic</t>
  </si>
  <si>
    <t>FOOD &amp; BEVERAGES TRADERS</t>
  </si>
  <si>
    <t>GLOBAL OCEAN</t>
  </si>
  <si>
    <t>SACRAMENTO CO., LTD</t>
  </si>
  <si>
    <t xml:space="preserve">Hunan Jinyueyang </t>
  </si>
  <si>
    <t>OCEANUS FISH</t>
  </si>
  <si>
    <t>Pesciro SL</t>
  </si>
  <si>
    <t>SHANDONG SHEENIER</t>
  </si>
  <si>
    <t>MES LINK</t>
  </si>
  <si>
    <t>MES 
EJERCICIO</t>
  </si>
  <si>
    <t>FP</t>
  </si>
  <si>
    <t>Emision</t>
  </si>
  <si>
    <t>Fecha Embarque</t>
  </si>
  <si>
    <t xml:space="preserve"> Cantidad </t>
  </si>
  <si>
    <t>Producto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</si>
  <si>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</si>
  <si>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</si>
  <si>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</si>
  <si>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</si>
  <si>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</si>
  <si>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</si>
  <si>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Precio TM</t>
  </si>
  <si>
    <t>VALOR 
CFR</t>
  </si>
  <si>
    <t xml:space="preserve"> FOB / TM </t>
  </si>
  <si>
    <t>Costo Flete</t>
  </si>
  <si>
    <t>VALOR 
FOB</t>
  </si>
  <si>
    <t>Cantidad de FCL (Contenedores)</t>
  </si>
  <si>
    <t>M/V Nave</t>
  </si>
  <si>
    <t>Booking</t>
  </si>
  <si>
    <t xml:space="preserve"> Naviera </t>
  </si>
  <si>
    <t>Puerto</t>
  </si>
  <si>
    <t>CÓDIGO</t>
  </si>
  <si>
    <t>Categoría</t>
  </si>
  <si>
    <t>MATCH</t>
  </si>
  <si>
    <t>COSTO 
UNITARIO</t>
  </si>
  <si>
    <t>Materia Prima</t>
  </si>
  <si>
    <t>MOD</t>
  </si>
  <si>
    <t>Envases</t>
  </si>
  <si>
    <t>CIF</t>
  </si>
  <si>
    <t>COSTO 
VENTAS</t>
  </si>
  <si>
    <t>UTILIDAD 
BRUTA</t>
  </si>
  <si>
    <t>MARGEN 
BRUTO</t>
  </si>
  <si>
    <t>Flete</t>
  </si>
  <si>
    <t>SS Logístico</t>
  </si>
  <si>
    <t>GASTO
VENTAS</t>
  </si>
  <si>
    <t>GASTO 
ADM</t>
  </si>
  <si>
    <t>DRAWBACK</t>
  </si>
  <si>
    <t>UTILIDAD 
OPERATIVA</t>
  </si>
  <si>
    <t>MARGEN 
OPERATIVO</t>
  </si>
  <si>
    <t>GASTO 
FINANCIERO</t>
  </si>
  <si>
    <t>UTILIDAD 
NETA</t>
  </si>
  <si>
    <t>MARGEN 
NETO</t>
  </si>
  <si>
    <t>DEPRECIACIÓN</t>
  </si>
  <si>
    <t>MARGEN 
EBITDA</t>
  </si>
  <si>
    <t>PRECIO 
CFR</t>
  </si>
  <si>
    <t>127-2025</t>
  </si>
  <si>
    <t>Rejos</t>
  </si>
  <si>
    <t>España</t>
  </si>
  <si>
    <t>Valencia</t>
  </si>
  <si>
    <t>Ignacio / Ives</t>
  </si>
  <si>
    <t>MERSIN EXPRESS 603N</t>
  </si>
  <si>
    <t>HAPAG</t>
  </si>
  <si>
    <t>PAITA</t>
  </si>
  <si>
    <t>Compensación</t>
  </si>
  <si>
    <t>128-2025B</t>
  </si>
  <si>
    <t>Nucas</t>
  </si>
  <si>
    <t>1000-up</t>
  </si>
  <si>
    <t xml:space="preserve">Tailandia </t>
  </si>
  <si>
    <t>Lat Krabang</t>
  </si>
  <si>
    <t>Julieta</t>
  </si>
  <si>
    <t>ECO SIROCCO 26005S</t>
  </si>
  <si>
    <t>COSCO</t>
  </si>
  <si>
    <t>500 - 1 kg.</t>
  </si>
  <si>
    <t>1 - 2 kgs.</t>
  </si>
  <si>
    <t>129-2025</t>
  </si>
  <si>
    <t>Conos</t>
  </si>
  <si>
    <t>Tailandia</t>
  </si>
  <si>
    <t>Bangkok</t>
  </si>
  <si>
    <t>Jose</t>
  </si>
  <si>
    <t>ECO MARIN 26002S</t>
  </si>
  <si>
    <t>137-2025</t>
  </si>
  <si>
    <t>Filete</t>
  </si>
  <si>
    <t>2 - 4 kg</t>
  </si>
  <si>
    <t>Taiwan</t>
  </si>
  <si>
    <t>KAOHSIUNG</t>
  </si>
  <si>
    <t>ECO MARIN 25052N</t>
  </si>
  <si>
    <t>LIMF26385300</t>
  </si>
  <si>
    <t>ONE</t>
  </si>
  <si>
    <t>140-2025</t>
  </si>
  <si>
    <t>2-4kg</t>
  </si>
  <si>
    <t xml:space="preserve">Japón </t>
  </si>
  <si>
    <t>Sendai</t>
  </si>
  <si>
    <t>ECO SIROCCO 26003S</t>
  </si>
  <si>
    <t>LIMG00358300</t>
  </si>
  <si>
    <t>145-2025</t>
  </si>
  <si>
    <t>500-1 / 1-2</t>
  </si>
  <si>
    <t>Vigo</t>
  </si>
  <si>
    <t>Jorge</t>
  </si>
  <si>
    <t>IZMIT EXPRESS 604N</t>
  </si>
  <si>
    <t>146-2026</t>
  </si>
  <si>
    <t xml:space="preserve">10 cm - up </t>
  </si>
  <si>
    <t>ECO MARIN 26006S</t>
  </si>
  <si>
    <t>500-up</t>
  </si>
  <si>
    <t>147-2026</t>
  </si>
  <si>
    <t>Alas</t>
  </si>
  <si>
    <t>1 - 2 KGS.</t>
  </si>
  <si>
    <t>ECO MARIN 26004N</t>
  </si>
  <si>
    <t>LIMG01524600</t>
  </si>
  <si>
    <t>148-2026</t>
  </si>
  <si>
    <t>2-4 (B)</t>
  </si>
  <si>
    <t xml:space="preserve">España </t>
  </si>
  <si>
    <t>ODYSSEUS 606N</t>
  </si>
  <si>
    <t>149-2026</t>
  </si>
  <si>
    <t>Entradas</t>
  </si>
  <si>
    <t>150-2026A</t>
  </si>
  <si>
    <t>1-2 KG</t>
  </si>
  <si>
    <t>Avelino</t>
  </si>
  <si>
    <t xml:space="preserve">CAPE SPENCER 608N </t>
  </si>
  <si>
    <t>151-2025</t>
  </si>
  <si>
    <t>Membrana</t>
  </si>
  <si>
    <t xml:space="preserve">China </t>
  </si>
  <si>
    <t>Qingdao</t>
  </si>
  <si>
    <t>ECO SIROCCO 26009S</t>
  </si>
  <si>
    <t>Telilla</t>
  </si>
  <si>
    <t>152-2026</t>
  </si>
  <si>
    <t>2-UP KG</t>
  </si>
  <si>
    <t xml:space="preserve">GEMLIK EXPRESS 607N </t>
  </si>
  <si>
    <t>156-2026A</t>
  </si>
  <si>
    <t>2-4 kg 100%  blanco, No polyphosphate,no medicine</t>
  </si>
  <si>
    <t>CMA CGM IMAGINATION / 0DVITN1MA</t>
  </si>
  <si>
    <t>LMM0571149</t>
  </si>
  <si>
    <t>CMA CGM</t>
  </si>
  <si>
    <t>156-2026B</t>
  </si>
  <si>
    <t>CMA CGM EXCELLENCE 0DVNNN1MA</t>
  </si>
  <si>
    <t>LMM0571699</t>
  </si>
  <si>
    <t>157-2026</t>
  </si>
  <si>
    <t>ECO SIROCCO 26007S</t>
  </si>
  <si>
    <t>160-2026</t>
  </si>
  <si>
    <t>162-2026A</t>
  </si>
  <si>
    <t>1-2 kg</t>
  </si>
  <si>
    <t>James</t>
  </si>
  <si>
    <t>ECO SIROCCO 26007N</t>
  </si>
  <si>
    <t>LIMG02628500</t>
  </si>
  <si>
    <t>162-2026B</t>
  </si>
  <si>
    <t>Dalian</t>
  </si>
  <si>
    <t>LIMG02851300</t>
  </si>
  <si>
    <t>162-2026C</t>
  </si>
  <si>
    <t xml:space="preserve">Xiamen </t>
  </si>
  <si>
    <t>LIMG02630500</t>
  </si>
  <si>
    <t>164-2026</t>
  </si>
  <si>
    <t>Daruma</t>
  </si>
  <si>
    <t>Yantai</t>
  </si>
  <si>
    <t>julia</t>
  </si>
  <si>
    <t>168-2026A</t>
  </si>
  <si>
    <t xml:space="preserve">Filete </t>
  </si>
  <si>
    <t>2-4 AA</t>
  </si>
  <si>
    <t>ECO MARIN 26008N</t>
  </si>
  <si>
    <t>168-2026B</t>
  </si>
  <si>
    <t>shidao</t>
  </si>
  <si>
    <t>ECO MARIN 26008S</t>
  </si>
  <si>
    <t>168-2026C</t>
  </si>
  <si>
    <t>170-2026A</t>
  </si>
  <si>
    <t>9 FCL 1-2 / 1 FCL 2-UP</t>
  </si>
  <si>
    <t>Ramon</t>
  </si>
  <si>
    <t>CAPE SABLE 609N</t>
  </si>
  <si>
    <t>150-2026B</t>
  </si>
  <si>
    <t>LEONIDAS Z 610N</t>
  </si>
  <si>
    <t>Inventario final</t>
  </si>
  <si>
    <t>150-2026C</t>
  </si>
  <si>
    <t>159-2026A</t>
  </si>
  <si>
    <t>B</t>
  </si>
  <si>
    <t>ECO SIROCCO 26009N</t>
  </si>
  <si>
    <t>LIMG03265300</t>
  </si>
  <si>
    <t>161-2026A</t>
  </si>
  <si>
    <t>LIMG03094300</t>
  </si>
  <si>
    <t>ONE LINE</t>
  </si>
  <si>
    <t>163-2026</t>
  </si>
  <si>
    <t>1-up</t>
  </si>
  <si>
    <t>korea</t>
  </si>
  <si>
    <t>Busan</t>
  </si>
  <si>
    <t>ECO MARIN 26010S</t>
  </si>
  <si>
    <t>167-2026</t>
  </si>
  <si>
    <t>ECO SIROCCO 26011S</t>
  </si>
  <si>
    <t>169-2026A</t>
  </si>
  <si>
    <t>1-UP</t>
  </si>
  <si>
    <t>LIMG02789600</t>
  </si>
  <si>
    <t>169-2026B</t>
  </si>
  <si>
    <t>ECO MARIN 26010N</t>
  </si>
  <si>
    <t>LIMG03633900</t>
  </si>
  <si>
    <t>170-2026B</t>
  </si>
  <si>
    <t>CMA CGM BOLDNESS / 0DVODN1MA</t>
  </si>
  <si>
    <t>LMM0575562</t>
  </si>
  <si>
    <t>171-2026</t>
  </si>
  <si>
    <t>Shidao</t>
  </si>
  <si>
    <t>LIMG03093900</t>
  </si>
  <si>
    <t>172-2026A</t>
  </si>
  <si>
    <t xml:space="preserve">1-2 KG </t>
  </si>
  <si>
    <t>LMM0575536</t>
  </si>
  <si>
    <t>172-2026B</t>
  </si>
  <si>
    <t xml:space="preserve">0.3 - UP </t>
  </si>
  <si>
    <t>174-2026</t>
  </si>
  <si>
    <t>LIMG03595900</t>
  </si>
  <si>
    <t>175-2026</t>
  </si>
  <si>
    <t>Klaipeda</t>
  </si>
  <si>
    <t>Lituania</t>
  </si>
  <si>
    <t>CMA CGM VOLTAIRE / 0DVOFN1MA</t>
  </si>
  <si>
    <t>LMM0575667</t>
  </si>
  <si>
    <t>176-2026A</t>
  </si>
  <si>
    <t>161-2026B</t>
  </si>
  <si>
    <t>ECO SIROCCO 26013S</t>
  </si>
  <si>
    <t>165-2026</t>
  </si>
  <si>
    <t>CMA CGM BETTER WAYS 0DVOHN1MA</t>
  </si>
  <si>
    <t>LMM0577574</t>
  </si>
  <si>
    <t>ECO MARIN 26012S</t>
  </si>
  <si>
    <t xml:space="preserve"> 1-2 </t>
  </si>
  <si>
    <t>176-2026B</t>
  </si>
  <si>
    <t>LIMG04326900</t>
  </si>
  <si>
    <t>177-2026A</t>
  </si>
  <si>
    <t>Korea</t>
  </si>
  <si>
    <t>LIMG04588500</t>
  </si>
  <si>
    <t>179-2026A</t>
  </si>
  <si>
    <t>Laem chabang</t>
  </si>
  <si>
    <t>ACER FOOD</t>
  </si>
  <si>
    <t>ECO MARIN 26012N</t>
  </si>
  <si>
    <t>LIMG03918800</t>
  </si>
  <si>
    <t>179-2026B1</t>
  </si>
  <si>
    <t>LIMG03924500</t>
  </si>
  <si>
    <t>179-2026B2</t>
  </si>
  <si>
    <t>LIMG03933500</t>
  </si>
  <si>
    <t>179-2026B3</t>
  </si>
  <si>
    <t>LIMG03937900</t>
  </si>
  <si>
    <t>179-2026B4</t>
  </si>
  <si>
    <t>LIMG03938300</t>
  </si>
  <si>
    <t>179-2026B5</t>
  </si>
  <si>
    <t>LIMG03940300</t>
  </si>
  <si>
    <t>179-2026C1</t>
  </si>
  <si>
    <t>KHUNRUNG</t>
  </si>
  <si>
    <t>179-2026C2</t>
  </si>
  <si>
    <t>181-2026</t>
  </si>
  <si>
    <t>500-1000</t>
  </si>
  <si>
    <t>LIMG04324700</t>
  </si>
  <si>
    <t>183-2026</t>
  </si>
  <si>
    <t xml:space="preserve">2- UP LIMPIOS </t>
  </si>
  <si>
    <t>184-2026</t>
  </si>
  <si>
    <t>China</t>
  </si>
  <si>
    <t>185-2026</t>
  </si>
  <si>
    <t xml:space="preserve">Daruma </t>
  </si>
  <si>
    <t>189-2026</t>
  </si>
  <si>
    <t>300-500</t>
  </si>
  <si>
    <t>MES</t>
  </si>
  <si>
    <t>PRODUCTO</t>
  </si>
  <si>
    <t>Cant.oper.</t>
  </si>
  <si>
    <t>Un.</t>
  </si>
  <si>
    <t>Val.prov.</t>
  </si>
  <si>
    <t>Dif.prec.</t>
  </si>
  <si>
    <t>DifTpoCam</t>
  </si>
  <si>
    <t>Valor real</t>
  </si>
  <si>
    <t>Precio</t>
  </si>
  <si>
    <t>Mater.Prim</t>
  </si>
  <si>
    <t>Envases y</t>
  </si>
  <si>
    <t>Servicio de Terceros</t>
  </si>
  <si>
    <t>CIF-Otros</t>
  </si>
  <si>
    <t>CIF-Gastos</t>
  </si>
  <si>
    <t>CIF-Manten</t>
  </si>
  <si>
    <t>CIF-Serv.</t>
  </si>
  <si>
    <t>CIF-Deprec</t>
  </si>
  <si>
    <t>CIF- Otros 2</t>
  </si>
  <si>
    <t>POTA ALAS FR C/P C/C (B) S/COD BL10 S20</t>
  </si>
  <si>
    <t>Inventario inicial</t>
  </si>
  <si>
    <t>KG</t>
  </si>
  <si>
    <t>Revalorización</t>
  </si>
  <si>
    <t>Inventario acumulado</t>
  </si>
  <si>
    <t>4,137.55-</t>
  </si>
  <si>
    <t>3,502.80-</t>
  </si>
  <si>
    <t>2,200.35-</t>
  </si>
  <si>
    <t>0.12-</t>
  </si>
  <si>
    <t>2,835.10-</t>
  </si>
  <si>
    <t>0.02-</t>
  </si>
  <si>
    <t>POTA ALAS FR C/P C/C 1-2 BL10 S20</t>
  </si>
  <si>
    <t>Inv. acumulado</t>
  </si>
  <si>
    <t>16,077.05-</t>
  </si>
  <si>
    <t>5,733.20-</t>
  </si>
  <si>
    <t>89,328.33-</t>
  </si>
  <si>
    <t>0.15-</t>
  </si>
  <si>
    <t>99,672.18-</t>
  </si>
  <si>
    <t>55,222.48-</t>
  </si>
  <si>
    <t>0.01-</t>
  </si>
  <si>
    <t>44,449.70-</t>
  </si>
  <si>
    <t>POTA ALAS FR C/P C/C 2-UP BL10 S20</t>
  </si>
  <si>
    <t>0.37-</t>
  </si>
  <si>
    <t>0.06-</t>
  </si>
  <si>
    <t>16,616.79-</t>
  </si>
  <si>
    <t>5,734.40-</t>
  </si>
  <si>
    <t>37,221.26-</t>
  </si>
  <si>
    <t>48,103.65-</t>
  </si>
  <si>
    <t>16,991.63-</t>
  </si>
  <si>
    <t>31,112.02-</t>
  </si>
  <si>
    <t>POTA FILETE C/M C/T FR 2-4 (B) BL10 S20</t>
  </si>
  <si>
    <t>140,352.17-</t>
  </si>
  <si>
    <t>163,134.40-</t>
  </si>
  <si>
    <t>83,798.54-</t>
  </si>
  <si>
    <t>61,016.31-</t>
  </si>
  <si>
    <t>41,351.43-</t>
  </si>
  <si>
    <t>19,664.88-</t>
  </si>
  <si>
    <t>POTA NUCAS FR ABIERTAS 0.5-1 BL10 S20</t>
  </si>
  <si>
    <t>31,211.16-</t>
  </si>
  <si>
    <t>23,140.00-</t>
  </si>
  <si>
    <t>30,434.64-</t>
  </si>
  <si>
    <t>0.16-</t>
  </si>
  <si>
    <t>38,505.80-</t>
  </si>
  <si>
    <t>0.17-</t>
  </si>
  <si>
    <t>9,918.74-</t>
  </si>
  <si>
    <t>0.04-</t>
  </si>
  <si>
    <t>28,587.06-</t>
  </si>
  <si>
    <t>0.13-</t>
  </si>
  <si>
    <t>POTA NUCAS FR ABIERTAS 1-2 BL10 S20</t>
  </si>
  <si>
    <t>2,656.74-</t>
  </si>
  <si>
    <t>0.03-</t>
  </si>
  <si>
    <t>1,723.20-</t>
  </si>
  <si>
    <t>14,186.06-</t>
  </si>
  <si>
    <t>18,566.00-</t>
  </si>
  <si>
    <t>0.05-</t>
  </si>
  <si>
    <t>POTA REJOS OR FR LIMPIOS S/COD BL10 S20</t>
  </si>
  <si>
    <t>1,678.37-</t>
  </si>
  <si>
    <t>558.00-</t>
  </si>
  <si>
    <t>19,787.46-</t>
  </si>
  <si>
    <t>22,023.83-</t>
  </si>
  <si>
    <t>POTA REJOS FR C/B S/U S/V S/OR 1-2 BL10</t>
  </si>
  <si>
    <t>50,436.61-</t>
  </si>
  <si>
    <t>38,615.60-</t>
  </si>
  <si>
    <t>58,618.42-</t>
  </si>
  <si>
    <t>70,439.43-</t>
  </si>
  <si>
    <t>28,019.51-</t>
  </si>
  <si>
    <t>42,419.92-</t>
  </si>
  <si>
    <t>POTA REJOS FR 2 UP</t>
  </si>
  <si>
    <t>5,017.38-</t>
  </si>
  <si>
    <t>1,419.00-</t>
  </si>
  <si>
    <t>19,306.03-</t>
  </si>
  <si>
    <t>25,742.41-</t>
  </si>
  <si>
    <t>9,355.17-</t>
  </si>
  <si>
    <t>16,387.24-</t>
  </si>
  <si>
    <t>POTA FILETE PRE COCIDO S/M S/T C/P S/COD</t>
  </si>
  <si>
    <t>600,280.66-</t>
  </si>
  <si>
    <t>313,588.80-</t>
  </si>
  <si>
    <t>647,203.81-</t>
  </si>
  <si>
    <t>933,895.67-</t>
  </si>
  <si>
    <t>0.11-</t>
  </si>
  <si>
    <t>78,172.07-</t>
  </si>
  <si>
    <t>855,723.60-</t>
  </si>
  <si>
    <t>0.10-</t>
  </si>
  <si>
    <t>PPTA RECORTES PRECOCIDA B10 S20</t>
  </si>
  <si>
    <t>13,761.55-</t>
  </si>
  <si>
    <t>2,700.20-</t>
  </si>
  <si>
    <t>15,739.71-</t>
  </si>
  <si>
    <t>26,801.06-</t>
  </si>
  <si>
    <t>POTA ALAS PRE COC 0.3 - UP BL9 S18</t>
  </si>
  <si>
    <t>37,945.18-</t>
  </si>
  <si>
    <t>99,139.19-</t>
  </si>
  <si>
    <t>137,084.37-</t>
  </si>
  <si>
    <t>POTA RECORTES LAM PRE COC (T) BL7.5 S15</t>
  </si>
  <si>
    <t>26,343.41-</t>
  </si>
  <si>
    <t>7,303.50-</t>
  </si>
  <si>
    <t>46,968.50-</t>
  </si>
  <si>
    <t>66,008.41-</t>
  </si>
  <si>
    <t>42,069.99-</t>
  </si>
  <si>
    <t>23,938.42-</t>
  </si>
  <si>
    <t>Cant</t>
  </si>
  <si>
    <t>C.U</t>
  </si>
  <si>
    <t>Cotos Vta</t>
  </si>
  <si>
    <t>RESIDUOS DE POTA</t>
  </si>
  <si>
    <t>Residuos</t>
  </si>
  <si>
    <t>PROVEEDORA DE PRODUCTOS MARINOS</t>
  </si>
  <si>
    <t>Ventas</t>
  </si>
  <si>
    <t>Costo Ventas</t>
  </si>
  <si>
    <t>Utilidad Bruta</t>
  </si>
  <si>
    <t>Materia Prima, Mano obra, CIF: Payer, Depreciación, Electricidad, Mantenimiento, Calidad, etc)</t>
  </si>
  <si>
    <t>Gasto Ventas</t>
  </si>
  <si>
    <t>Gasto Adm</t>
  </si>
  <si>
    <t>Fletes</t>
  </si>
  <si>
    <t>Port</t>
  </si>
  <si>
    <t>Equipo Lima, ss contabilidad, sistemas, mantenimiento,</t>
  </si>
  <si>
    <t>Ingreso Div</t>
  </si>
  <si>
    <t>Drawback</t>
  </si>
  <si>
    <t>Utd Operativa</t>
  </si>
  <si>
    <t>Gasto Financ</t>
  </si>
  <si>
    <t>Utd Neta</t>
  </si>
  <si>
    <t>Intereses por financiamientos</t>
  </si>
  <si>
    <t>X</t>
  </si>
  <si>
    <t>2 - UP</t>
  </si>
  <si>
    <t>153-2026</t>
  </si>
  <si>
    <t>CAPE SKAGEN 614N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</si>
</sst>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;[Red]#,##0.00"/>
    <numFmt numFmtId="165" formatCode="_-* #,##0_-;\-* #,##0_-;_-* &quot;-&quot;??_-;_-@_-"/>
    <numFmt numFmtId="166" formatCode="_-* #,##0.000_-;\-* #,##0.000_-;_-* &quot;-&quot;??_-;_-@_-"/>
    <numFmt numFmtId="167" formatCode="_-* #,##0.0_-;\-* #,##0.0_-;_-* &quot;-&quot;??_-;_-@_-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Inter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2"/>
      <color rgb="FF242424"/>
      <name val="Segoe UI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i/>
      <sz val="11"/>
      <color rgb="FFFF0000"/>
      <name val="Aptos Narrow"/>
      <family val="2"/>
      <scheme val="minor"/>
    </font>
    <font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theme="9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left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/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5" fillId="0" borderId="1" xfId="1" applyNumberFormat="1" applyFont="1" applyBorder="1" applyAlignment="1">
      <alignment vertical="center" wrapText="1"/>
    </xf>
    <xf numFmtId="165" fontId="16" fillId="0" borderId="1" xfId="1" applyNumberFormat="1" applyFont="1" applyBorder="1" applyAlignment="1">
      <alignment horizontal="left" vertical="center" wrapText="1" indent="1" readingOrder="1"/>
    </xf>
    <xf numFmtId="165" fontId="0" fillId="0" borderId="1" xfId="1" applyNumberFormat="1" applyFont="1" applyBorder="1"/>
    <xf numFmtId="165" fontId="15" fillId="0" borderId="1" xfId="1" applyNumberFormat="1" applyFont="1" applyBorder="1" applyAlignment="1">
      <alignment horizontal="right" vertical="center" wrapText="1"/>
    </xf>
    <xf numFmtId="165" fontId="16" fillId="0" borderId="1" xfId="1" applyNumberFormat="1" applyFont="1" applyBorder="1" applyAlignment="1">
      <alignment horizontal="right" vertical="center" wrapText="1" indent="1" readingOrder="1"/>
    </xf>
    <xf numFmtId="165" fontId="1" fillId="0" borderId="1" xfId="1" applyNumberFormat="1" applyFont="1" applyBorder="1" applyAlignment="1">
      <alignment horizontal="right"/>
    </xf>
    <xf numFmtId="165" fontId="16" fillId="0" borderId="1" xfId="1" applyNumberFormat="1" applyFont="1" applyBorder="1" applyAlignment="1">
      <alignment horizontal="right" vertical="center" wrapText="1" readingOrder="1"/>
    </xf>
    <xf numFmtId="165" fontId="0" fillId="0" borderId="1" xfId="1" applyNumberFormat="1" applyFont="1" applyBorder="1" applyAlignment="1">
      <alignment horizontal="right"/>
    </xf>
    <xf numFmtId="166" fontId="15" fillId="0" borderId="1" xfId="1" applyNumberFormat="1" applyFont="1" applyBorder="1" applyAlignment="1">
      <alignment horizontal="right" vertical="center" wrapText="1"/>
    </xf>
    <xf numFmtId="166" fontId="16" fillId="0" borderId="1" xfId="1" applyNumberFormat="1" applyFont="1" applyBorder="1" applyAlignment="1">
      <alignment horizontal="right" vertical="center" wrapText="1" indent="1" readingOrder="1"/>
    </xf>
    <xf numFmtId="0" fontId="0" fillId="0" borderId="2" xfId="0" applyBorder="1"/>
    <xf numFmtId="16" fontId="0" fillId="0" borderId="1" xfId="0" applyNumberFormat="1" applyBorder="1"/>
    <xf numFmtId="43" fontId="1" fillId="0" borderId="1" xfId="1" applyFont="1" applyFill="1" applyBorder="1"/>
    <xf numFmtId="0" fontId="0" fillId="0" borderId="1" xfId="0" applyBorder="1" applyAlignment="1">
      <alignment horizontal="center" vertical="center"/>
    </xf>
    <xf numFmtId="1" fontId="1" fillId="0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3" fontId="0" fillId="0" borderId="1" xfId="1" applyFont="1" applyFill="1" applyBorder="1"/>
    <xf numFmtId="0" fontId="0" fillId="0" borderId="1" xfId="0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Fill="1" applyBorder="1"/>
    <xf numFmtId="1" fontId="6" fillId="0" borderId="1" xfId="1" applyNumberFormat="1" applyFont="1" applyFill="1" applyBorder="1" applyAlignment="1">
      <alignment horizontal="right"/>
    </xf>
    <xf numFmtId="43" fontId="4" fillId="0" borderId="1" xfId="1" applyFont="1" applyFill="1" applyBorder="1"/>
    <xf numFmtId="43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/>
    <xf numFmtId="165" fontId="4" fillId="0" borderId="1" xfId="1" applyNumberFormat="1" applyFont="1" applyFill="1" applyBorder="1"/>
    <xf numFmtId="165" fontId="1" fillId="0" borderId="1" xfId="1" applyNumberFormat="1" applyFont="1" applyFill="1" applyBorder="1"/>
    <xf numFmtId="43" fontId="2" fillId="2" borderId="1" xfId="1" applyFont="1" applyFill="1" applyBorder="1" applyAlignment="1">
      <alignment horizontal="center" vertical="center" wrapText="1"/>
    </xf>
    <xf numFmtId="4" fontId="4" fillId="0" borderId="1" xfId="1" applyNumberFormat="1" applyFont="1" applyFill="1" applyBorder="1"/>
    <xf numFmtId="0" fontId="0" fillId="0" borderId="3" xfId="0" applyBorder="1"/>
    <xf numFmtId="165" fontId="4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4" fillId="0" borderId="1" xfId="0" applyNumberFormat="1" applyFont="1" applyBorder="1"/>
    <xf numFmtId="0" fontId="4" fillId="0" borderId="0" xfId="0" applyFont="1"/>
    <xf numFmtId="0" fontId="15" fillId="0" borderId="6" xfId="0" applyFont="1" applyBorder="1" applyAlignment="1">
      <alignment vertical="center" wrapText="1"/>
    </xf>
    <xf numFmtId="165" fontId="15" fillId="0" borderId="0" xfId="1" applyNumberFormat="1" applyFont="1" applyBorder="1" applyAlignment="1">
      <alignment horizontal="right" vertical="center" wrapText="1"/>
    </xf>
    <xf numFmtId="165" fontId="0" fillId="0" borderId="0" xfId="1" applyNumberFormat="1" applyFont="1"/>
    <xf numFmtId="165" fontId="16" fillId="0" borderId="0" xfId="1" applyNumberFormat="1" applyFont="1" applyBorder="1" applyAlignment="1">
      <alignment horizontal="right" vertical="center" wrapText="1" readingOrder="1"/>
    </xf>
    <xf numFmtId="165" fontId="0" fillId="0" borderId="0" xfId="0" applyNumberFormat="1"/>
    <xf numFmtId="0" fontId="8" fillId="0" borderId="1" xfId="0" applyFont="1" applyBorder="1"/>
    <xf numFmtId="1" fontId="0" fillId="0" borderId="1" xfId="0" applyNumberFormat="1" applyBorder="1"/>
    <xf numFmtId="164" fontId="4" fillId="0" borderId="1" xfId="0" applyNumberFormat="1" applyFont="1" applyBorder="1"/>
    <xf numFmtId="0" fontId="6" fillId="0" borderId="1" xfId="0" applyFont="1" applyBorder="1" applyAlignment="1">
      <alignment horizontal="left"/>
    </xf>
    <xf numFmtId="43" fontId="1" fillId="0" borderId="2" xfId="1" applyFont="1" applyFill="1" applyBorder="1"/>
    <xf numFmtId="165" fontId="1" fillId="0" borderId="2" xfId="1" applyNumberFormat="1" applyFont="1" applyFill="1" applyBorder="1"/>
    <xf numFmtId="1" fontId="6" fillId="0" borderId="1" xfId="0" applyNumberFormat="1" applyFont="1" applyBorder="1"/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" fontId="6" fillId="0" borderId="1" xfId="1" applyNumberFormat="1" applyFont="1" applyFill="1" applyBorder="1"/>
    <xf numFmtId="4" fontId="4" fillId="0" borderId="1" xfId="0" applyNumberFormat="1" applyFont="1" applyBorder="1"/>
    <xf numFmtId="0" fontId="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9" fontId="0" fillId="0" borderId="0" xfId="2" applyFont="1"/>
    <xf numFmtId="9" fontId="0" fillId="0" borderId="0" xfId="2" applyFont="1" applyAlignment="1">
      <alignment horizontal="center"/>
    </xf>
    <xf numFmtId="43" fontId="2" fillId="6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/>
    </xf>
    <xf numFmtId="0" fontId="0" fillId="0" borderId="0" xfId="0" pivotButton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23" fillId="0" borderId="0" xfId="0" applyFont="1" applyAlignment="1">
      <alignment horizontal="left"/>
    </xf>
    <xf numFmtId="165" fontId="23" fillId="0" borderId="0" xfId="0" applyNumberFormat="1" applyFont="1"/>
    <xf numFmtId="0" fontId="4" fillId="7" borderId="8" xfId="0" applyFont="1" applyFill="1" applyBorder="1" applyAlignment="1">
      <alignment horizontal="center"/>
    </xf>
    <xf numFmtId="165" fontId="4" fillId="0" borderId="0" xfId="1" applyNumberFormat="1" applyFont="1"/>
    <xf numFmtId="9" fontId="4" fillId="0" borderId="0" xfId="2" applyFont="1"/>
    <xf numFmtId="9" fontId="4" fillId="0" borderId="0" xfId="2" applyFont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24" fillId="0" borderId="0" xfId="0" applyFont="1"/>
    <xf numFmtId="43" fontId="25" fillId="3" borderId="1" xfId="1" applyFont="1" applyFill="1" applyBorder="1" applyAlignment="1">
      <alignment horizontal="center" vertical="center" wrapText="1"/>
    </xf>
    <xf numFmtId="165" fontId="4" fillId="0" borderId="1" xfId="1" applyNumberFormat="1" applyFont="1" applyBorder="1"/>
    <xf numFmtId="9" fontId="23" fillId="0" borderId="3" xfId="2" applyFont="1" applyBorder="1" applyAlignment="1">
      <alignment horizontal="center"/>
    </xf>
    <xf numFmtId="9" fontId="23" fillId="0" borderId="1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1" xfId="2" applyFont="1" applyFill="1" applyBorder="1" applyAlignment="1">
      <alignment horizontal="center"/>
    </xf>
    <xf numFmtId="165" fontId="4" fillId="0" borderId="2" xfId="1" applyNumberFormat="1" applyFont="1" applyFill="1" applyBorder="1"/>
    <xf numFmtId="0" fontId="0" fillId="5" borderId="4" xfId="0" applyFill="1" applyBorder="1"/>
    <xf numFmtId="0" fontId="8" fillId="0" borderId="1" xfId="0" applyFont="1" applyBorder="1" applyAlignment="1">
      <alignment vertical="center"/>
    </xf>
    <xf numFmtId="9" fontId="23" fillId="0" borderId="7" xfId="2" applyFont="1" applyFill="1" applyBorder="1" applyAlignment="1">
      <alignment horizontal="center"/>
    </xf>
    <xf numFmtId="0" fontId="22" fillId="0" borderId="1" xfId="0" applyFont="1" applyBorder="1"/>
    <xf numFmtId="16" fontId="0" fillId="0" borderId="1" xfId="0" applyNumberFormat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9" fontId="4" fillId="5" borderId="4" xfId="2" applyFont="1" applyFill="1" applyBorder="1" applyAlignment="1">
      <alignment horizontal="center"/>
    </xf>
    <xf numFmtId="43" fontId="2" fillId="9" borderId="1" xfId="1" applyFont="1" applyFill="1" applyBorder="1" applyAlignment="1">
      <alignment horizontal="center" vertical="center" wrapText="1"/>
    </xf>
    <xf numFmtId="43" fontId="0" fillId="0" borderId="0" xfId="0" applyNumberFormat="1"/>
    <xf numFmtId="165" fontId="0" fillId="8" borderId="1" xfId="1" applyNumberFormat="1" applyFont="1" applyFill="1" applyBorder="1"/>
    <xf numFmtId="43" fontId="0" fillId="0" borderId="0" xfId="1" applyFont="1"/>
    <xf numFmtId="165" fontId="0" fillId="0" borderId="9" xfId="1" applyNumberFormat="1" applyFont="1" applyFill="1" applyBorder="1" applyAlignment="1">
      <alignment vertical="top"/>
    </xf>
    <xf numFmtId="4" fontId="0" fillId="0" borderId="0" xfId="0" applyNumberFormat="1"/>
    <xf numFmtId="43" fontId="0" fillId="0" borderId="1" xfId="1" applyFont="1" applyBorder="1"/>
    <xf numFmtId="9" fontId="23" fillId="0" borderId="7" xfId="2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5" fontId="0" fillId="10" borderId="0" xfId="1" applyNumberFormat="1" applyFont="1" applyFill="1" applyAlignment="1">
      <alignment vertical="top"/>
    </xf>
    <xf numFmtId="165" fontId="0" fillId="0" borderId="0" xfId="1" applyNumberFormat="1" applyFont="1" applyAlignment="1">
      <alignment vertical="top"/>
    </xf>
    <xf numFmtId="9" fontId="1" fillId="0" borderId="0" xfId="2" applyFont="1"/>
    <xf numFmtId="165" fontId="4" fillId="12" borderId="0" xfId="0" applyNumberFormat="1" applyFont="1" applyFill="1"/>
    <xf numFmtId="0" fontId="26" fillId="0" borderId="0" xfId="0" applyFont="1"/>
    <xf numFmtId="167" fontId="4" fillId="5" borderId="4" xfId="1" applyNumberFormat="1" applyFont="1" applyFill="1" applyBorder="1" applyAlignment="1">
      <alignment horizontal="center"/>
    </xf>
    <xf numFmtId="0" fontId="0" fillId="0" borderId="5" xfId="0" applyBorder="1"/>
    <xf numFmtId="43" fontId="0" fillId="0" borderId="5" xfId="0" applyNumberFormat="1" applyBorder="1"/>
    <xf numFmtId="0" fontId="26" fillId="0" borderId="0" xfId="0" applyFont="1" applyAlignment="1">
      <alignment horizontal="left" indent="2"/>
    </xf>
    <xf numFmtId="43" fontId="0" fillId="0" borderId="5" xfId="1" applyFont="1" applyBorder="1"/>
    <xf numFmtId="0" fontId="27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6" fontId="3" fillId="11" borderId="1" xfId="0" applyNumberFormat="1" applyFont="1" applyFill="1" applyBorder="1" applyAlignment="1">
      <alignment horizontal="center"/>
    </xf>
    <xf numFmtId="43" fontId="3" fillId="11" borderId="1" xfId="1" applyFont="1" applyFill="1" applyBorder="1" applyAlignment="1">
      <alignment horizontal="center"/>
    </xf>
    <xf numFmtId="2" fontId="28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43" fontId="3" fillId="11" borderId="1" xfId="1" applyFont="1" applyFill="1" applyBorder="1"/>
    <xf numFmtId="164" fontId="27" fillId="11" borderId="1" xfId="0" applyNumberFormat="1" applyFont="1" applyFill="1" applyBorder="1"/>
    <xf numFmtId="43" fontId="27" fillId="11" borderId="1" xfId="1" applyFont="1" applyFill="1" applyBorder="1"/>
    <xf numFmtId="165" fontId="3" fillId="11" borderId="1" xfId="1" applyNumberFormat="1" applyFont="1" applyFill="1" applyBorder="1"/>
    <xf numFmtId="165" fontId="27" fillId="11" borderId="1" xfId="1" applyNumberFormat="1" applyFont="1" applyFill="1" applyBorder="1"/>
    <xf numFmtId="9" fontId="29" fillId="11" borderId="1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4" xfId="0" applyNumberForma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43" fontId="1" fillId="0" borderId="4" xfId="1" applyFont="1" applyFill="1" applyBorder="1"/>
    <xf numFmtId="164" fontId="4" fillId="0" borderId="4" xfId="0" applyNumberFormat="1" applyFont="1" applyBorder="1"/>
    <xf numFmtId="43" fontId="6" fillId="0" borderId="4" xfId="1" applyFont="1" applyFill="1" applyBorder="1"/>
    <xf numFmtId="43" fontId="4" fillId="0" borderId="4" xfId="1" applyFont="1" applyFill="1" applyBorder="1"/>
    <xf numFmtId="1" fontId="6" fillId="0" borderId="4" xfId="0" applyNumberFormat="1" applyFont="1" applyBorder="1"/>
    <xf numFmtId="0" fontId="8" fillId="0" borderId="4" xfId="0" applyFont="1" applyBorder="1"/>
    <xf numFmtId="0" fontId="9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0" fillId="0" borderId="10" xfId="0" applyBorder="1"/>
    <xf numFmtId="43" fontId="1" fillId="0" borderId="10" xfId="1" applyFont="1" applyFill="1" applyBorder="1"/>
    <xf numFmtId="165" fontId="1" fillId="0" borderId="10" xfId="1" applyNumberFormat="1" applyFont="1" applyFill="1" applyBorder="1"/>
    <xf numFmtId="165" fontId="4" fillId="0" borderId="10" xfId="1" applyNumberFormat="1" applyFont="1" applyFill="1" applyBorder="1"/>
    <xf numFmtId="9" fontId="23" fillId="0" borderId="4" xfId="2" applyFont="1" applyFill="1" applyBorder="1" applyAlignment="1">
      <alignment horizontal="center"/>
    </xf>
    <xf numFmtId="165" fontId="0" fillId="0" borderId="4" xfId="1" applyNumberFormat="1" applyFont="1" applyFill="1" applyBorder="1"/>
    <xf numFmtId="165" fontId="4" fillId="0" borderId="4" xfId="1" applyNumberFormat="1" applyFont="1" applyFill="1" applyBorder="1"/>
    <xf numFmtId="165" fontId="0" fillId="0" borderId="4" xfId="1" applyNumberFormat="1" applyFont="1" applyBorder="1"/>
    <xf numFmtId="1" fontId="3" fillId="11" borderId="1" xfId="0" applyNumberFormat="1" applyFont="1" applyFill="1" applyBorder="1"/>
    <xf numFmtId="0" fontId="30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left"/>
    </xf>
    <xf numFmtId="0" fontId="3" fillId="11" borderId="2" xfId="0" applyFont="1" applyFill="1" applyBorder="1"/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/>
    <xf numFmtId="43" fontId="0" fillId="0" borderId="1" xfId="1" applyFont="1" applyFill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/>
    <xf numFmtId="164" fontId="0" fillId="0" borderId="1" xfId="0" applyNumberFormat="1" applyBorder="1"/>
    <xf numFmtId="43" fontId="3" fillId="11" borderId="2" xfId="1" applyFont="1" applyFill="1" applyBorder="1"/>
    <xf numFmtId="165" fontId="3" fillId="11" borderId="2" xfId="1" applyNumberFormat="1" applyFont="1" applyFill="1" applyBorder="1"/>
    <xf numFmtId="165" fontId="27" fillId="11" borderId="2" xfId="1" applyNumberFormat="1" applyFont="1" applyFill="1" applyBorder="1"/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68">
    <dxf>
      <fill>
        <patternFill patternType="solid">
          <fgColor rgb="FFE49EDD"/>
          <bgColor rgb="FF00000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_-* #,##0_-;\-* #,##0_-;_-* &quot;-&quot;??_-;_-@_-"/>
    </dxf>
    <dxf>
      <fill>
        <patternFill patternType="solid">
          <fgColor rgb="FFE49EDD"/>
          <bgColor rgb="FF00000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19.420822685184" createdVersion="8" refreshedVersion="8" minRefreshableVersion="3" recordCount="68" xr:uid="{A5A16CD0-092B-4F46-B008-3B1377491C55}">
  <cacheSource type="worksheet">
    <worksheetSource ref="B3:AX71" sheet="Resumen"/>
  </cacheSource>
  <cacheFields count="49">
    <cacheField name="MES LINK" numFmtId="0">
      <sharedItems/>
    </cacheField>
    <cacheField name="MES _x000a_EJERCICIO" numFmtId="0">
      <sharedItems count="3">
        <s v="ENERO"/>
        <s v="FEBRERO"/>
        <s v="MARZO"/>
      </sharedItems>
    </cacheField>
    <cacheField name="FP" numFmtId="0">
      <sharedItems containsBlank="1"/>
    </cacheField>
    <cacheField name="Emision" numFmtId="16">
      <sharedItems containsSemiMixedTypes="0" containsNonDate="0" containsDate="1" containsString="0" minDate="1900-01-14T00:00:00" maxDate="2026-02-28T00:00:00"/>
    </cacheField>
    <cacheField name="Fecha Embarque" numFmtId="16">
      <sharedItems containsSemiMixedTypes="0" containsNonDate="0" containsDate="1" containsString="0" minDate="2026-01-09T00:00:00" maxDate="2026-03-30T00:00:00"/>
    </cacheField>
    <cacheField name=" Cantidad " numFmtId="43">
      <sharedItems containsSemiMixedTypes="0" containsString="0" containsNumber="1" minValue="0" maxValue="351"/>
    </cacheField>
    <cacheField name="Producto" numFmtId="0">
      <sharedItems count="11">
        <s v="POTA REPRODUCTORES"/>
        <s v="POTA NUCAS"/>
        <s v="POTA REJOS CONGELADOS"/>
        <s v="POTA CONOS"/>
        <s v="POTA FILETE CONGELADO"/>
        <s v="POTA ALAS CONGELADAS"/>
        <s v="RESIDUOS DE POTA"/>
        <s v="POTA MEMBRANA PRECOCIDA"/>
        <s v="POTA  TELILLA PRECOCIDA"/>
        <s v="POTA FILETE PRECOCIDO"/>
        <s v="POTA ALAS COCIDAS"/>
      </sharedItems>
    </cacheField>
    <cacheField name="Corte" numFmtId="0">
      <sharedItems/>
    </cacheField>
    <cacheField name="Espec." numFmtId="0">
      <sharedItems containsBlank="1"/>
    </cacheField>
    <cacheField name="País" numFmtId="0">
      <sharedItems/>
    </cacheField>
    <cacheField name="Puerto " numFmtId="0">
      <sharedItems/>
    </cacheField>
    <cacheField name="Cliente (Razón Social)" numFmtId="0">
      <sharedItems count="17">
        <s v="OCEANUS FISH"/>
        <s v="DAIRECK S.A."/>
        <s v="TSUJINO"/>
        <s v="GLOBAL OCEAN"/>
        <s v="PROVEEDORA DE PRODUCTOS MARINOS"/>
        <s v="FOOD &amp; BEVERAGES TRADERS"/>
        <s v="OVERSEA"/>
        <s v="Hunan Jinyueyang "/>
        <s v="Longkou Yunfeng Aquatic"/>
        <s v="AVANCE GROUP"/>
        <s v="SACRAMENTO CO., LTD"/>
        <s v="KULALIA"/>
        <s v="Pesciro Asia International LTD."/>
        <s v="Pesciro SL"/>
        <s v="SHANDONG SHEENIER"/>
        <s v="LONGKOU JIABAO AQUATIC"/>
        <s v="LONGKOU BOHAI"/>
      </sharedItems>
    </cacheField>
    <cacheField name="Contacto " numFmtId="0">
      <sharedItems containsBlank="1"/>
    </cacheField>
    <cacheField name="Precio TM" numFmtId="0">
      <sharedItems containsSemiMixedTypes="0" containsString="0" containsNumber="1" minValue="0" maxValue="3400"/>
    </cacheField>
    <cacheField name="VALOR _x000a_CFR" numFmtId="0">
      <sharedItems containsSemiMixedTypes="0" containsString="0" containsNumber="1" minValue="4350" maxValue="669600"/>
    </cacheField>
    <cacheField name=" FOB / TM " numFmtId="0">
      <sharedItems containsSemiMixedTypes="0" containsString="0" containsNumber="1" minValue="0" maxValue="3292.5925925925926"/>
    </cacheField>
    <cacheField name="Costo Flete" numFmtId="0">
      <sharedItems containsSemiMixedTypes="0" containsString="0" containsNumber="1" minValue="0" maxValue="40339"/>
    </cacheField>
    <cacheField name="VALOR _x000a_FOB" numFmtId="0">
      <sharedItems containsSemiMixedTypes="0" containsString="0" containsNumber="1" minValue="3937.5" maxValue="646400"/>
    </cacheField>
    <cacheField name="Cantidad de FCL (Contenedores)" numFmtId="0">
      <sharedItems containsString="0" containsBlank="1" containsNumber="1" containsInteger="1" minValue="0" maxValue="13"/>
    </cacheField>
    <cacheField name="M/V Nave" numFmtId="0">
      <sharedItems containsBlank="1"/>
    </cacheField>
    <cacheField name="Booking" numFmtId="0">
      <sharedItems containsBlank="1" containsMixedTypes="1" containsNumber="1" containsInteger="1" minValue="11400418" maxValue="6447908790"/>
    </cacheField>
    <cacheField name=" Naviera " numFmtId="0">
      <sharedItems containsBlank="1" containsMixedTypes="1" containsNumber="1" containsInteger="1" minValue="1" maxValue="1"/>
    </cacheField>
    <cacheField name="Puerto" numFmtId="0">
      <sharedItems containsBlank="1"/>
    </cacheField>
    <cacheField name="CÓDIGO" numFmtId="0">
      <sharedItems containsString="0" containsBlank="1" containsNumber="1" containsInteger="1" minValue="10005721" maxValue="10009332"/>
    </cacheField>
    <cacheField name="Categoría" numFmtId="0">
      <sharedItems containsBlank="1"/>
    </cacheField>
    <cacheField name="MATCH" numFmtId="0">
      <sharedItems containsBlank="1"/>
    </cacheField>
    <cacheField name="COSTO _x000a_UNITARIO" numFmtId="43">
      <sharedItems containsSemiMixedTypes="0" containsString="0" containsNumber="1" minValue="0" maxValue="2114.7381481481502"/>
    </cacheField>
    <cacheField name="Materia Prima" numFmtId="165">
      <sharedItems containsSemiMixedTypes="0" containsString="0" containsNumber="1" minValue="0" maxValue="370785.71870256303"/>
    </cacheField>
    <cacheField name="MOD" numFmtId="165">
      <sharedItems containsSemiMixedTypes="0" containsString="0" containsNumber="1" minValue="0" maxValue="151457.49655569636"/>
    </cacheField>
    <cacheField name="Envases" numFmtId="165">
      <sharedItems containsSemiMixedTypes="0" containsString="0" containsNumber="1" minValue="0" maxValue="6516.3554632679306"/>
    </cacheField>
    <cacheField name="CIF" numFmtId="165">
      <sharedItems containsSemiMixedTypes="0" containsString="0" containsNumber="1" minValue="0" maxValue="111218.93164828864"/>
    </cacheField>
    <cacheField name="COSTO _x000a_VENTAS" numFmtId="165">
      <sharedItems containsSemiMixedTypes="0" containsString="0" containsNumber="1" minValue="0" maxValue="611014.73302305548"/>
    </cacheField>
    <cacheField name="Cant" numFmtId="0">
      <sharedItems containsString="0" containsBlank="1" containsNumber="1" minValue="3" maxValue="351"/>
    </cacheField>
    <cacheField name="C.U" numFmtId="0">
      <sharedItems containsString="0" containsBlank="1" containsNumber="1" minValue="1397.2773083886541" maxValue="2114.7381481481502"/>
    </cacheField>
    <cacheField name="Cotos Vta" numFmtId="165">
      <sharedItems containsString="0" containsBlank="1" containsNumber="1" minValue="5803.9692134831503" maxValue="611014.73302305548"/>
    </cacheField>
    <cacheField name="UTILIDAD _x000a_BRUTA" numFmtId="165">
      <sharedItems containsSemiMixedTypes="0" containsString="0" containsNumber="1" minValue="-154714.73302305548" maxValue="213840"/>
    </cacheField>
    <cacheField name="MARGEN _x000a_BRUTO" numFmtId="9">
      <sharedItems containsSemiMixedTypes="0" containsString="0" containsNumber="1" minValue="-0.69090909090909092" maxValue="1"/>
    </cacheField>
    <cacheField name="Flete" numFmtId="165">
      <sharedItems containsSemiMixedTypes="0" containsString="0" containsNumber="1" minValue="0" maxValue="40339"/>
    </cacheField>
    <cacheField name="SS Logístico" numFmtId="165">
      <sharedItems containsSemiMixedTypes="0" containsString="0" containsNumber="1" minValue="0" maxValue="20250"/>
    </cacheField>
    <cacheField name="GASTO_x000a_VENTAS" numFmtId="165">
      <sharedItems containsSemiMixedTypes="0" containsString="0" containsNumber="1" minValue="0" maxValue="60589"/>
    </cacheField>
    <cacheField name="GASTO _x000a_ADM" numFmtId="165">
      <sharedItems containsSemiMixedTypes="0" containsString="0" containsNumber="1" minValue="0" maxValue="17439.677419354837"/>
    </cacheField>
    <cacheField name="DRAWBACK" numFmtId="165">
      <sharedItems containsSemiMixedTypes="0" containsString="0" containsNumber="1" minValue="0" maxValue="19392"/>
    </cacheField>
    <cacheField name="UTILIDAD _x000a_OPERATIVA" numFmtId="165">
      <sharedItems containsSemiMixedTypes="0" containsString="0" containsNumber="1" minValue="-216911.72306833483" maxValue="189931.17684529905"/>
    </cacheField>
    <cacheField name="MARGEN _x000a_OPERATIVO" numFmtId="9">
      <sharedItems containsSemiMixedTypes="0" containsString="0" containsNumber="1" minValue="-0.88256874223358972" maxValue="1"/>
    </cacheField>
    <cacheField name="GASTO _x000a_FINANCIERO" numFmtId="165">
      <sharedItems containsSemiMixedTypes="0" containsString="0" containsNumber="1" minValue="0" maxValue="38105.129032258068"/>
    </cacheField>
    <cacheField name="UTILIDAD _x000a_NETA" numFmtId="165">
      <sharedItems containsSemiMixedTypes="0" containsString="0" containsNumber="1" minValue="-248804.76473755101" maxValue="178504.68386301855"/>
    </cacheField>
    <cacheField name="MARGEN _x000a_NETO" numFmtId="9">
      <sharedItems containsSemiMixedTypes="0" containsString="0" containsNumber="1" minValue="-1.0050158295542055" maxValue="1"/>
    </cacheField>
    <cacheField name="DEPRECIACIÓN" numFmtId="165">
      <sharedItems containsSemiMixedTypes="0" containsString="0" containsNumber="1" minValue="0" maxValue="35863.548387096773"/>
    </cacheField>
    <cacheField name="EBITDA" numFmtId="165">
      <sharedItems containsSemiMixedTypes="0" containsString="0" containsNumber="1" minValue="-190245.26963261311" maxValue="203282.17274078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ENERO"/>
    <x v="0"/>
    <s v="127-2025"/>
    <d v="1900-11-20T00:00:00"/>
    <d v="2026-01-11T00:00:00"/>
    <n v="26"/>
    <x v="0"/>
    <s v="Rejos"/>
    <m/>
    <s v="España"/>
    <s v="Valencia"/>
    <x v="0"/>
    <s v="Ignacio / Ives"/>
    <n v="2848.6153846153848"/>
    <n v="74064"/>
    <n v="2670.3846153846152"/>
    <n v="4634"/>
    <n v="69430"/>
    <n v="1"/>
    <s v="MERSIN EXPRESS 603N"/>
    <n v="26106924"/>
    <s v="HAPAG"/>
    <s v="PAITA"/>
    <n v="10007567"/>
    <s v="Compensación"/>
    <s v="ENERO10007567Compensación"/>
    <n v="1830"/>
    <n v="31604.018542872498"/>
    <n v="7767.6489739716217"/>
    <n v="466.19181744573058"/>
    <n v="7742.1406657101552"/>
    <n v="47580"/>
    <n v="22.658000000000001"/>
    <n v="1829.8234619119073"/>
    <n v="41460.14"/>
    <n v="26484"/>
    <n v="0.35758263123784834"/>
    <n v="4634"/>
    <n v="1500"/>
    <n v="6134"/>
    <n v="6297.6612903225805"/>
    <n v="2082.9"/>
    <n v="16135.23870967742"/>
    <n v="0.21785535090836872"/>
    <n v="13760.185483870968"/>
    <n v="2375.0532258064522"/>
    <n v="3.206757973923164E-2"/>
    <n v="12950.725806451614"/>
    <n v="29085.964516129032"/>
  </r>
  <r>
    <s v="ENERO"/>
    <x v="0"/>
    <s v="128-2025B"/>
    <d v="1900-11-20T00:00:00"/>
    <d v="2026-01-31T00:00:00"/>
    <n v="17.04"/>
    <x v="1"/>
    <s v="Nucas"/>
    <s v="1000-up"/>
    <s v="Tailandia "/>
    <s v="Lat Krabang"/>
    <x v="1"/>
    <s v="Julieta"/>
    <n v="1850"/>
    <n v="31524"/>
    <n v="1656.3380281690143"/>
    <n v="2343"/>
    <n v="29181"/>
    <n v="1"/>
    <s v="ECO SIROCCO 26005S"/>
    <n v="6443191850"/>
    <s v="COSCO"/>
    <s v="PAITA"/>
    <n v="10005779"/>
    <s v="Compensación"/>
    <s v="ENERO10005779Compensación"/>
    <n v="1930"/>
    <n v="20697.484505029512"/>
    <n v="6988.7487369194496"/>
    <n v="251.1516477056781"/>
    <n v="4949.8151103453556"/>
    <n v="32887.199999999997"/>
    <n v="17.04"/>
    <n v="1977.4951253481865"/>
    <n v="33696.516935933098"/>
    <n v="-1363.1999999999971"/>
    <n v="-4.3243243243243148E-2"/>
    <n v="2343"/>
    <n v="983.07692307692309"/>
    <n v="3326.0769230769229"/>
    <n v="4127.3903225806453"/>
    <n v="875.43"/>
    <n v="-7941.2372456575649"/>
    <n v="-0.25191083763664396"/>
    <n v="9018.213870967742"/>
    <n v="-16959.451116625307"/>
    <n v="-0.5379853799208637"/>
    <n v="8487.706451612903"/>
    <n v="546.46920595533811"/>
  </r>
  <r>
    <s v="ENERO"/>
    <x v="0"/>
    <s v="128-2025B"/>
    <d v="1900-11-20T00:00:00"/>
    <d v="2026-01-31T00:00:00"/>
    <n v="3"/>
    <x v="1"/>
    <s v="Nucas"/>
    <s v="500 - 1 kg."/>
    <s v="Tailandia "/>
    <s v="Lat Krabang"/>
    <x v="1"/>
    <s v="Julieta"/>
    <n v="1450"/>
    <n v="4350"/>
    <n v="1450"/>
    <n v="412.5"/>
    <n v="3937.5"/>
    <n v="0"/>
    <m/>
    <n v="6443191850"/>
    <s v="COSCO"/>
    <s v="PAITA"/>
    <n v="10005781"/>
    <s v="Compensación"/>
    <s v="ENERO10005781Compensación"/>
    <n v="1980"/>
    <n v="3757.0131752477705"/>
    <n v="1227.8049305981747"/>
    <n v="49.950511210059688"/>
    <n v="905.2313829439945"/>
    <n v="5940"/>
    <n v="3"/>
    <n v="1934.6564044943834"/>
    <n v="5803.9692134831503"/>
    <n v="-1590"/>
    <n v="-0.36551724137931035"/>
    <n v="412.5"/>
    <n v="173.07692307692309"/>
    <n v="585.57692307692309"/>
    <n v="726.65322580645159"/>
    <n v="118.125"/>
    <n v="-2784.1051488833746"/>
    <n v="-0.64002417215709761"/>
    <n v="1587.7137096774195"/>
    <n v="-4371.8188585607941"/>
    <n v="-1.0050158295542055"/>
    <n v="1494.3145161290322"/>
    <n v="-1289.7906327543424"/>
  </r>
  <r>
    <s v="ENERO"/>
    <x v="0"/>
    <s v="128-2025B"/>
    <d v="1900-11-20T00:00:00"/>
    <d v="2026-01-31T00:00:00"/>
    <n v="3.96"/>
    <x v="2"/>
    <s v="Rejos"/>
    <s v="1 - 2 kgs."/>
    <s v="Tailandia "/>
    <s v="Lat Krabang"/>
    <x v="1"/>
    <s v="Julieta"/>
    <n v="2234.3434343434342"/>
    <n v="8848"/>
    <n v="2800"/>
    <n v="544.5"/>
    <n v="8303.5"/>
    <n v="0"/>
    <m/>
    <n v="6443191850"/>
    <s v="COSCO"/>
    <s v="PAITA"/>
    <n v="10007162"/>
    <s v="Compensación"/>
    <s v="ENERO10007162Compensación"/>
    <n v="1790"/>
    <n v="4604.3695814081602"/>
    <n v="1214.8181219670928"/>
    <n v="61.899522527468079"/>
    <n v="1207.3127740972786"/>
    <n v="7088.4"/>
    <n v="3.16"/>
    <n v="1842.6970447733067"/>
    <n v="5822.9226614836498"/>
    <n v="1759.6000000000004"/>
    <n v="0.198869801084991"/>
    <n v="544.5"/>
    <n v="228.46153846153845"/>
    <n v="772.96153846153845"/>
    <n v="959.18225806451608"/>
    <n v="249.10499999999999"/>
    <n v="276.56120347394585"/>
    <n v="3.1256917209984837E-2"/>
    <n v="2095.7820967741936"/>
    <n v="-1819.2208933002478"/>
    <n v="-0.20560814797697194"/>
    <n v="1972.4951612903226"/>
    <n v="2249.0563647642684"/>
  </r>
  <r>
    <s v="ENERO"/>
    <x v="0"/>
    <s v="129-2025"/>
    <d v="2025-11-21T00:00:00"/>
    <d v="2026-01-09T00:00:00"/>
    <n v="24"/>
    <x v="3"/>
    <s v="Conos"/>
    <m/>
    <s v="Tailandia"/>
    <s v="Bangkok"/>
    <x v="2"/>
    <s v="Jose"/>
    <n v="2100"/>
    <n v="50400"/>
    <n v="1962.5"/>
    <n v="3300"/>
    <n v="47100"/>
    <n v="1"/>
    <s v="ECO MARIN 26002S"/>
    <n v="6440924270"/>
    <s v="COSCO"/>
    <s v="PAITA"/>
    <n v="10007969"/>
    <s v="Compensación"/>
    <s v="ENERO10007969Compensación"/>
    <n v="1640"/>
    <n v="30431.61897971667"/>
    <n v="5331.8120500864879"/>
    <n v="403.53076527325976"/>
    <n v="3193.03820492358"/>
    <n v="39360"/>
    <n v="24"/>
    <n v="1644.316650390625"/>
    <n v="39463.599609375"/>
    <n v="11040"/>
    <n v="0.21904761904761905"/>
    <n v="3300"/>
    <n v="1384.6153846153848"/>
    <n v="4684.6153846153848"/>
    <n v="5813.2258064516127"/>
    <n v="1413"/>
    <n v="1955.1588089330025"/>
    <n v="3.8792833510575449E-2"/>
    <n v="12701.709677419356"/>
    <n v="-10746.550868486353"/>
    <n v="-0.21322521564457048"/>
    <n v="11954.516129032258"/>
    <n v="13909.674937965261"/>
  </r>
  <r>
    <s v="ENERO"/>
    <x v="0"/>
    <s v="137-2025"/>
    <d v="2025-12-09T00:00:00"/>
    <d v="2026-01-21T00:00:00"/>
    <n v="24"/>
    <x v="4"/>
    <s v="Filete"/>
    <s v="2 - 4 kg"/>
    <s v="Taiwan"/>
    <s v="KAOHSIUNG"/>
    <x v="2"/>
    <s v="Jose"/>
    <n v="1966.6666666666667"/>
    <n v="47200"/>
    <n v="1841.5416666666667"/>
    <n v="3003"/>
    <n v="44197"/>
    <n v="1"/>
    <s v="ECO MARIN 25052N"/>
    <s v="LIMF26385300"/>
    <s v="ONE"/>
    <s v="PAITA"/>
    <n v="10005721"/>
    <s v="Compensación"/>
    <s v="ENERO10005721Compensación"/>
    <n v="1860"/>
    <n v="27074.763257694456"/>
    <n v="9821.5947948746671"/>
    <n v="427.38654616783856"/>
    <n v="7316.2554012630353"/>
    <n v="44640"/>
    <n v="23.7"/>
    <n v="1889.3858510966963"/>
    <n v="44778.444670991703"/>
    <n v="2560"/>
    <n v="5.4237288135593219E-2"/>
    <n v="3003"/>
    <n v="1384.6153846153848"/>
    <n v="4387.6153846153848"/>
    <n v="5813.2258064516127"/>
    <n v="1325.9099999999999"/>
    <n v="-6314.9311910669976"/>
    <n v="-0.13379091506497875"/>
    <n v="12701.709677419356"/>
    <n v="-19016.640868486353"/>
    <n v="-0.4028949336543719"/>
    <n v="11954.516129032258"/>
    <n v="5639.58493796526"/>
  </r>
  <r>
    <s v="ENERO"/>
    <x v="0"/>
    <s v="140-2025"/>
    <d v="1900-12-12T00:00:00"/>
    <d v="2026-01-16T00:00:00"/>
    <n v="24"/>
    <x v="4"/>
    <s v="Filete"/>
    <s v="2-4kg"/>
    <s v="Japón "/>
    <s v="Sendai"/>
    <x v="2"/>
    <s v="Jose"/>
    <n v="1983.3333333333333"/>
    <n v="47600"/>
    <n v="1845.7083333333333"/>
    <n v="3303"/>
    <n v="44297"/>
    <n v="1"/>
    <s v="ECO SIROCCO 26003S"/>
    <s v="LIMG00358300"/>
    <s v="ONE"/>
    <s v="PAITA"/>
    <n v="10005721"/>
    <s v="Compensación"/>
    <s v="ENERO10005721Compensación"/>
    <n v="1860"/>
    <n v="27074.763257694456"/>
    <n v="9821.5947948746671"/>
    <n v="427.38654616783856"/>
    <n v="7316.2554012630353"/>
    <n v="44640"/>
    <n v="23.7"/>
    <n v="1889.3858510966963"/>
    <n v="44778.444670991703"/>
    <n v="2960"/>
    <n v="6.2184873949579833E-2"/>
    <n v="3303"/>
    <n v="1384.6153846153848"/>
    <n v="4687.6153846153848"/>
    <n v="5813.2258064516127"/>
    <n v="1328.9099999999999"/>
    <n v="-6211.9311910669976"/>
    <n v="-0.1305027561148529"/>
    <n v="12701.709677419356"/>
    <n v="-18913.640868486353"/>
    <n v="-0.39734539639677213"/>
    <n v="11954.516129032258"/>
    <n v="5742.58493796526"/>
  </r>
  <r>
    <s v="ENERO"/>
    <x v="0"/>
    <s v="145-2025"/>
    <d v="2025-12-29T00:00:00"/>
    <d v="2026-01-19T00:00:00"/>
    <n v="54"/>
    <x v="2"/>
    <s v="Rejos"/>
    <s v="500-1 / 1-2"/>
    <s v="España"/>
    <s v="Vigo"/>
    <x v="3"/>
    <s v="Jorge"/>
    <n v="2600"/>
    <n v="140400"/>
    <n v="2430.962962962963"/>
    <n v="9128"/>
    <n v="131272"/>
    <n v="2"/>
    <s v="IZMIT EXPRESS 604N"/>
    <n v="28952064"/>
    <s v="HAPAG"/>
    <s v="PAITA"/>
    <n v="10007162"/>
    <s v="Compensación"/>
    <s v="ENERO10007162Compensación"/>
    <n v="1790"/>
    <n v="62786.857928293095"/>
    <n v="16565.701663187629"/>
    <n v="844.08439810183756"/>
    <n v="16463.356010417436"/>
    <n v="96660"/>
    <n v="54"/>
    <n v="1842.6970447733056"/>
    <n v="99505.640417758506"/>
    <n v="43740"/>
    <n v="0.31153846153846154"/>
    <n v="9128"/>
    <n v="3115.3846153846152"/>
    <n v="12243.384615384615"/>
    <n v="13079.758064516129"/>
    <n v="3938.16"/>
    <n v="22355.017320099254"/>
    <n v="0.15922377008617702"/>
    <n v="28578.846774193549"/>
    <n v="-6223.8294540942952"/>
    <n v="-4.4329269616056231E-2"/>
    <n v="26897.661290322583"/>
    <n v="49252.678610421834"/>
  </r>
  <r>
    <s v="FEBRERO"/>
    <x v="1"/>
    <s v="146-2026"/>
    <d v="2026-01-05T00:00:00"/>
    <d v="2026-02-06T00:00:00"/>
    <n v="10"/>
    <x v="3"/>
    <s v="Conos"/>
    <s v="10 cm - up "/>
    <s v="Tailandia"/>
    <s v="Lat Krabang"/>
    <x v="2"/>
    <s v="Jose"/>
    <n v="2100"/>
    <n v="21000"/>
    <n v="2100"/>
    <n v="1458.3333333333335"/>
    <n v="19541.666666666668"/>
    <n v="1"/>
    <s v="ECO MARIN 26006S"/>
    <n v="6444023300"/>
    <s v="COSCO"/>
    <s v="PAITA"/>
    <n v="10007969"/>
    <s v="Compensación"/>
    <s v="FEBRERO10007969Compensación"/>
    <n v="1397.2773083886541"/>
    <n v="11301.83162341581"/>
    <n v="2127.4652987326494"/>
    <n v="166.83162341581172"/>
    <n v="376.64453832227065"/>
    <n v="13972.773083886541"/>
    <n v="10"/>
    <n v="1397.2773083886541"/>
    <n v="13972.773083886541"/>
    <n v="7027.2269161134591"/>
    <n v="0.33462985314825994"/>
    <n v="1458.3333333333335"/>
    <n v="576.92307692307691"/>
    <n v="2035.2564102564104"/>
    <n v="401.33390442391237"/>
    <n v="586.25"/>
    <n v="5176.8866014331361"/>
    <n v="0.24651840959205409"/>
    <n v="908.63366578963473"/>
    <n v="4268.2529356435016"/>
    <n v="0.20325013979254769"/>
    <n v="755.57945297680976"/>
    <n v="5932.4660544099461"/>
  </r>
  <r>
    <s v="FEBRERO"/>
    <x v="1"/>
    <s v="146-2026"/>
    <d v="2026-01-05T00:00:00"/>
    <d v="2026-02-06T00:00:00"/>
    <n v="14"/>
    <x v="1"/>
    <s v="Nucas"/>
    <s v="500-up"/>
    <s v="Tailandia "/>
    <s v="Lat Krabang"/>
    <x v="2"/>
    <s v="Jose"/>
    <n v="1700"/>
    <n v="23456"/>
    <n v="1700"/>
    <n v="2041.6666666666667"/>
    <n v="21414.333333333332"/>
    <n v="0"/>
    <m/>
    <m/>
    <m/>
    <m/>
    <n v="10005779"/>
    <s v="Compensación"/>
    <s v="FEBRERO10005779Compensación"/>
    <n v="1859.71452825612"/>
    <n v="15847.870967741903"/>
    <n v="5732.4074702886119"/>
    <n v="189.92020373514393"/>
    <n v="4265.8047538200244"/>
    <n v="26036.003395585682"/>
    <n v="14.849"/>
    <n v="1859.71452825612"/>
    <n v="27614.901030075125"/>
    <n v="-2580.0033955856816"/>
    <n v="-0.10999332348165423"/>
    <n v="2041.6666666666667"/>
    <n v="807.69230769230774"/>
    <n v="2849.3589743589746"/>
    <n v="561.8674661934773"/>
    <n v="642.42999999999995"/>
    <n v="-5348.7998361381333"/>
    <n v="-0.22803546368256025"/>
    <n v="1272.0871321054888"/>
    <n v="-6620.8869682436216"/>
    <n v="-0.2822683734755978"/>
    <n v="1057.8112341675337"/>
    <n v="-4290.9886019705991"/>
  </r>
  <r>
    <s v="ENERO"/>
    <x v="0"/>
    <s v="147-2026"/>
    <d v="2026-01-10T00:00:00"/>
    <d v="2026-01-28T00:00:00"/>
    <n v="72"/>
    <x v="5"/>
    <s v="Alas"/>
    <s v="1 - 2 kgs."/>
    <s v="Tailandia "/>
    <s v="Bangkok"/>
    <x v="2"/>
    <s v="Jose"/>
    <n v="1887.7083333333333"/>
    <n v="135915"/>
    <n v="1754.25"/>
    <n v="9609"/>
    <n v="126306"/>
    <n v="3"/>
    <s v="ECO MARIN 26004N"/>
    <s v="LIMG01524600"/>
    <s v="ONE"/>
    <s v="PAITA"/>
    <n v="10006720"/>
    <s v="Compensación"/>
    <s v="ENERO10006720Compensación"/>
    <n v="1720"/>
    <n v="81764.360643671505"/>
    <n v="18919.257644210982"/>
    <n v="1185.8373623695809"/>
    <n v="21970.544349747925"/>
    <n v="123840"/>
    <n v="69.7"/>
    <n v="1723.9159631619368"/>
    <n v="120156.942632387"/>
    <n v="12075"/>
    <n v="8.8842291137843504E-2"/>
    <n v="9609"/>
    <n v="4153.8461538461543"/>
    <n v="13762.846153846154"/>
    <n v="17439.677419354837"/>
    <n v="3789.18"/>
    <n v="-15338.343573200989"/>
    <n v="-0.11285247083251289"/>
    <n v="38105.129032258068"/>
    <n v="-53443.472605459057"/>
    <n v="-0.39321246812683702"/>
    <n v="35863.548387096773"/>
    <n v="20525.204813895783"/>
  </r>
  <r>
    <s v="ENERO"/>
    <x v="0"/>
    <m/>
    <d v="2026-01-31T00:00:00"/>
    <d v="2026-01-31T00:00:00"/>
    <n v="0"/>
    <x v="6"/>
    <s v="Residuos"/>
    <s v="Residuos"/>
    <s v="Residuos"/>
    <s v="Residuos"/>
    <x v="4"/>
    <m/>
    <n v="0"/>
    <n v="24314.28"/>
    <n v="0"/>
    <n v="0"/>
    <n v="24314.28"/>
    <m/>
    <m/>
    <m/>
    <m/>
    <m/>
    <m/>
    <m/>
    <m/>
    <n v="0"/>
    <n v="0"/>
    <n v="0"/>
    <n v="0"/>
    <n v="0"/>
    <n v="0"/>
    <m/>
    <m/>
    <m/>
    <n v="24314.28"/>
    <n v="1"/>
    <n v="0"/>
    <n v="0"/>
    <n v="0"/>
    <n v="0"/>
    <n v="0"/>
    <n v="24314.28"/>
    <n v="1"/>
    <n v="0"/>
    <n v="24314.28"/>
    <n v="1"/>
    <n v="0"/>
    <n v="24314.28"/>
  </r>
  <r>
    <s v="FEBRERO"/>
    <x v="1"/>
    <s v="148-2026"/>
    <d v="1900-01-14T00:00:00"/>
    <d v="2026-02-02T00:00:00"/>
    <n v="135"/>
    <x v="4"/>
    <s v="Filete"/>
    <s v="2-4 (B)"/>
    <s v="España "/>
    <s v="Vigo"/>
    <x v="5"/>
    <s v="Jorge"/>
    <n v="1650"/>
    <n v="222750"/>
    <n v="1480.962962962963"/>
    <n v="22820"/>
    <n v="199930"/>
    <n v="5"/>
    <s v="ODYSSEUS 606N"/>
    <n v="59582082"/>
    <s v="HAPAG"/>
    <s v="PAITA"/>
    <n v="10005721"/>
    <s v="Compensación"/>
    <s v="FEBRERO10005721Compensación"/>
    <n v="1861.4473333333335"/>
    <n v="152495.08195455416"/>
    <n v="50378.668938514202"/>
    <n v="2680.0173531310843"/>
    <n v="45741.621753800559"/>
    <n v="251295.39"/>
    <n v="135"/>
    <n v="1861.4473333333335"/>
    <n v="251295.39"/>
    <n v="-28545.390000000014"/>
    <n v="-0.12814989898989906"/>
    <n v="22820"/>
    <n v="7788.461538461539"/>
    <n v="30608.461538461539"/>
    <n v="5418.0077097228168"/>
    <n v="5997.9"/>
    <n v="-58573.959248184365"/>
    <n v="-0.26295829067647303"/>
    <n v="12266.554488160069"/>
    <n v="-70840.513736344437"/>
    <n v="-0.31802699769402665"/>
    <n v="10256.328244508353"/>
    <n v="-48317.631003676011"/>
  </r>
  <r>
    <s v="FEBRERO"/>
    <x v="1"/>
    <s v="149-2026"/>
    <d v="1900-01-15T00:00:00"/>
    <d v="2026-02-02T00:00:00"/>
    <n v="27"/>
    <x v="0"/>
    <s v="Rejos"/>
    <m/>
    <s v="España "/>
    <s v="Vigo"/>
    <x v="3"/>
    <s v="Jorge"/>
    <n v="2873.5185185185187"/>
    <n v="77585"/>
    <n v="2711.8888888888887"/>
    <n v="4364"/>
    <n v="73221"/>
    <n v="1"/>
    <m/>
    <m/>
    <m/>
    <m/>
    <n v="10007567"/>
    <s v="Entradas"/>
    <s v="FEBRERO10007567Entradas"/>
    <n v="1829.8234619119073"/>
    <n v="30498.568502492959"/>
    <n v="8738.5729424640977"/>
    <n v="554.4620338671225"/>
    <n v="9613.6299927973178"/>
    <n v="49405.233471621497"/>
    <n v="26.302"/>
    <n v="1829.8234619119073"/>
    <n v="48129"/>
    <n v="28179.766528378503"/>
    <n v="0.36321152965622866"/>
    <n v="4364"/>
    <n v="1557.6923076923076"/>
    <n v="5921.6923076923076"/>
    <n v="1083.6015419445635"/>
    <n v="2196.63"/>
    <n v="23371.10267874163"/>
    <n v="0.30123223147182615"/>
    <n v="2453.3108976320141"/>
    <n v="20917.791781109616"/>
    <n v="0.26961128802100426"/>
    <n v="2051.2656489016708"/>
    <n v="25422.3683276433"/>
  </r>
  <r>
    <s v="FEBRERO"/>
    <x v="1"/>
    <s v="150-2026A"/>
    <d v="1900-11-20T00:00:00"/>
    <d v="2026-02-16T00:00:00"/>
    <n v="26"/>
    <x v="2"/>
    <s v="Rejos"/>
    <s v="1-2 KG"/>
    <s v="España "/>
    <s v="Vigo"/>
    <x v="6"/>
    <s v="Avelino"/>
    <n v="2600"/>
    <n v="67600"/>
    <n v="2432.1538461538462"/>
    <n v="4364"/>
    <n v="63236"/>
    <n v="1"/>
    <s v="CAPE SPENCER 608N "/>
    <n v="11400418"/>
    <s v="HAPAG"/>
    <s v="PAITA"/>
    <n v="10007162"/>
    <s v="Compensación"/>
    <s v="FEBRERO10007162Compensación"/>
    <n v="1715.2908173076921"/>
    <n v="27996.817500000001"/>
    <n v="7988.6674999999996"/>
    <n v="415.92750000000001"/>
    <n v="8196.1487499999894"/>
    <n v="44597.561249999999"/>
    <n v="26"/>
    <n v="1715.2908173076921"/>
    <n v="44597.561249999999"/>
    <n v="23002.438750000001"/>
    <n v="0.34027276257396449"/>
    <n v="4364"/>
    <n v="1500"/>
    <n v="5864"/>
    <n v="1043.4681515021723"/>
    <n v="1897.08"/>
    <n v="17992.05059849783"/>
    <n v="0.26615459465233476"/>
    <n v="2362.4475310530506"/>
    <n v="15629.603067444779"/>
    <n v="0.23120714596811803"/>
    <n v="1975.2928470904976"/>
    <n v="19967.343445588329"/>
  </r>
  <r>
    <s v="FEBRERO"/>
    <x v="1"/>
    <s v="151-2025"/>
    <d v="1900-01-25T00:00:00"/>
    <d v="2026-02-27T00:00:00"/>
    <n v="27"/>
    <x v="7"/>
    <s v="Membran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n v="10009332"/>
    <s v="Entradas"/>
    <s v="FEBRERO10009332Entradas"/>
    <n v="1529.9064788732392"/>
    <n v="34256.33985501268"/>
    <n v="6268.5857518887296"/>
    <n v="633.18765349791158"/>
    <n v="149.36166917813952"/>
    <n v="41307.47492957746"/>
    <n v="26.625"/>
    <n v="1529.9064788732392"/>
    <n v="40733.759999999995"/>
    <n v="-2701.22492957746"/>
    <n v="-6.9968591344081857E-2"/>
    <n v="2900"/>
    <n v="1557.6923076923076"/>
    <n v="4457.6923076923076"/>
    <n v="1083.6015419445635"/>
    <n v="1071.1875"/>
    <n v="-7171.3312792143315"/>
    <n v="-0.18575570741044084"/>
    <n v="2453.3108976320141"/>
    <n v="-9624.642176846346"/>
    <n v="-0.24930269520728757"/>
    <n v="2051.2656489016708"/>
    <n v="-5120.0656303126607"/>
  </r>
  <r>
    <s v="FEBRERO"/>
    <x v="1"/>
    <s v="151-2025"/>
    <d v="1900-01-25T00:00:00"/>
    <d v="2026-02-27T00:00:00"/>
    <n v="27"/>
    <x v="8"/>
    <s v="Telill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n v="10009332"/>
    <s v="Compensación"/>
    <s v="FEBRERO10009332Compensación"/>
    <n v="1515.6443192488266"/>
    <n v="33289.300963905443"/>
    <n v="5812.6541155582836"/>
    <n v="581.72151401397002"/>
    <n v="1238.7200262406191"/>
    <n v="40922.396619718318"/>
    <n v="26.625"/>
    <n v="1515.6443192488266"/>
    <n v="40354.030000000006"/>
    <n v="-2316.1466197183181"/>
    <n v="-5.9994084370233271E-2"/>
    <n v="2900"/>
    <n v="1557.6923076923076"/>
    <n v="4457.6923076923076"/>
    <n v="1083.6015419445635"/>
    <n v="1071.1875"/>
    <n v="-6786.2529693551896"/>
    <n v="-0.17578120043659226"/>
    <n v="2453.3108976320141"/>
    <n v="-9239.5638669872042"/>
    <n v="-0.23932818823343899"/>
    <n v="2051.2656489016708"/>
    <n v="-4734.9873204535188"/>
  </r>
  <r>
    <s v="FEBRERO"/>
    <x v="1"/>
    <s v="152-2026"/>
    <d v="1900-01-25T00:00:00"/>
    <d v="2026-02-09T00:00:00"/>
    <n v="27"/>
    <x v="2"/>
    <s v="Rejos"/>
    <s v="2-UP KG"/>
    <s v="España "/>
    <s v="Vigo"/>
    <x v="6"/>
    <s v="Avelino"/>
    <n v="2781.2962962962961"/>
    <n v="75095"/>
    <n v="2619.6666666666665"/>
    <n v="4364"/>
    <n v="70731"/>
    <n v="1"/>
    <s v="GEMLIK EXPRESS 607N "/>
    <n v="24312444"/>
    <s v="HAPAG"/>
    <s v="PAITA"/>
    <n v="10007162"/>
    <s v="Compensación"/>
    <s v="FEBRERO10007162Compensación"/>
    <n v="1751.18680089485"/>
    <n v="29682.043351029039"/>
    <n v="8469.533190762013"/>
    <n v="440.96362330772524"/>
    <n v="8689.5034590621635"/>
    <n v="47282.04362416095"/>
    <n v="27"/>
    <n v="1751.18680089485"/>
    <n v="47282.04362416095"/>
    <n v="27812.95637583905"/>
    <n v="0.37037028265316002"/>
    <n v="4364"/>
    <n v="1557.6923076923076"/>
    <n v="5921.6923076923076"/>
    <n v="1083.6015419445635"/>
    <n v="2121.9299999999998"/>
    <n v="22929.592526202177"/>
    <n v="0.30534113491180742"/>
    <n v="2453.3108976320141"/>
    <n v="20476.281628570163"/>
    <n v="0.27267170422225401"/>
    <n v="2051.2656489016708"/>
    <n v="24980.858175103847"/>
  </r>
  <r>
    <s v="FEBRERO"/>
    <x v="1"/>
    <s v="156-2026A"/>
    <d v="1900-01-26T00:00:00"/>
    <d v="2026-02-09T00:00:00"/>
    <n v="54"/>
    <x v="4"/>
    <s v="Filete"/>
    <s v="2-4 kg 100%  blanco, No polyphosphate,no medicine"/>
    <s v="China "/>
    <s v="Qingdao"/>
    <x v="8"/>
    <m/>
    <n v="1650"/>
    <n v="89100"/>
    <n v="1534.962962962963"/>
    <n v="6212"/>
    <n v="82888"/>
    <n v="2"/>
    <s v="CMA CGM IMAGINATION / 0DVITN1MA"/>
    <s v="LMM0571149"/>
    <s v="CMA CGM"/>
    <s v="PAITA"/>
    <n v="10005721"/>
    <s v="Compensación"/>
    <s v="FEBRERO10005721Compensación"/>
    <n v="1740.7827151654001"/>
    <n v="57043.95672347123"/>
    <n v="18845.188801374748"/>
    <n v="1002.5162251181431"/>
    <n v="17110.604868967483"/>
    <n v="94002.266618931608"/>
    <n v="54"/>
    <n v="1740.7827151654001"/>
    <n v="94002.266618931608"/>
    <n v="-4902.2666189316078"/>
    <n v="-5.5019827372969787E-2"/>
    <n v="6212"/>
    <n v="3115.3846153846152"/>
    <n v="9327.3846153846152"/>
    <n v="2167.2030838891269"/>
    <n v="2486.64"/>
    <n v="-13910.214318205351"/>
    <n v="-0.15611912815045287"/>
    <n v="4906.6217952640282"/>
    <n v="-18816.836113469381"/>
    <n v="-0.21118783516800652"/>
    <n v="4102.5312978033417"/>
    <n v="-9807.6830204020098"/>
  </r>
  <r>
    <s v="FEBRERO"/>
    <x v="1"/>
    <s v="156-2026B"/>
    <d v="1900-01-26T00:00:00"/>
    <d v="2026-02-18T00:00:00"/>
    <n v="81"/>
    <x v="4"/>
    <s v="Filete"/>
    <s v="2-4 kg 100%  blanco, No polyphosphate,no medicine"/>
    <s v="China "/>
    <s v="Qingdao"/>
    <x v="8"/>
    <m/>
    <n v="1650"/>
    <n v="133650"/>
    <n v="1534.962962962963"/>
    <n v="9318"/>
    <n v="124332"/>
    <n v="3"/>
    <s v="CMA CGM EXCELLENCE 0DVNNN1MA"/>
    <s v="LMM0571699"/>
    <s v="CMA CGM"/>
    <s v="PAITA"/>
    <n v="10005721"/>
    <s v="Compensación"/>
    <s v="FEBRERO10005721Compensación"/>
    <n v="1740.7827151654001"/>
    <n v="85565.935085206846"/>
    <n v="28267.783202062124"/>
    <n v="1503.7743376772146"/>
    <n v="25665.907303451222"/>
    <n v="141003.39992839741"/>
    <n v="81"/>
    <n v="1740.7827151654001"/>
    <n v="141003.39992839741"/>
    <n v="-7353.3999283974117"/>
    <n v="-5.5019827372969787E-2"/>
    <n v="9318"/>
    <n v="4673.0769230769229"/>
    <n v="13991.076923076922"/>
    <n v="3250.8046258336904"/>
    <n v="3729.96"/>
    <n v="-20865.321477308025"/>
    <n v="-0.15611912815045287"/>
    <n v="7359.9326928960418"/>
    <n v="-28225.254170204069"/>
    <n v="-0.21118783516800649"/>
    <n v="6153.7969467050116"/>
    <n v="-14711.524530603014"/>
  </r>
  <r>
    <s v="FEBRERO"/>
    <x v="1"/>
    <s v="157-2026"/>
    <d v="1900-01-27T00:00:00"/>
    <d v="2026-02-13T00:00:00"/>
    <n v="24"/>
    <x v="3"/>
    <s v="Conos"/>
    <m/>
    <s v="Tailandia"/>
    <s v="Lat Krabang"/>
    <x v="2"/>
    <s v="Jose"/>
    <n v="2000"/>
    <n v="48000"/>
    <n v="1854.1666666666667"/>
    <n v="3500"/>
    <n v="44500"/>
    <n v="1"/>
    <s v="ECO SIROCCO 26007S"/>
    <n v="6445030580"/>
    <s v="COSCO"/>
    <s v="PAITA"/>
    <n v="10007969"/>
    <s v="Compensación"/>
    <s v="FEBRERO10007969Compensación"/>
    <n v="1397.2773083886541"/>
    <n v="27124.395896197944"/>
    <n v="5105.9167169583588"/>
    <n v="400.3958961979481"/>
    <n v="903.94689197344962"/>
    <n v="33534.655401327698"/>
    <n v="23.14"/>
    <n v="1397.2773083886541"/>
    <n v="32332.996916113458"/>
    <n v="14465.344598672302"/>
    <n v="0.30136134580567298"/>
    <n v="3500"/>
    <n v="1384.6153846153848"/>
    <n v="4884.6153846153848"/>
    <n v="963.20137061738978"/>
    <n v="1335"/>
    <n v="9952.5278434395277"/>
    <n v="0.20734433007165684"/>
    <n v="2180.7207978951237"/>
    <n v="7771.807045544404"/>
    <n v="0.1619126467821751"/>
    <n v="1823.3472434681516"/>
    <n v="11775.875086907679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10"/>
    <s v="COSCO"/>
    <s v="PAITA"/>
    <n v="10006720"/>
    <s v="Compensación"/>
    <s v="FEBRERO10006720Compensación"/>
    <n v="1639.7681689527499"/>
    <n v="114801.79673416038"/>
    <n v="26268.81436969294"/>
    <n v="1720.5907250163245"/>
    <n v="34303.760418027356"/>
    <n v="177094.96224689699"/>
    <n v="108"/>
    <n v="1639.7681689527499"/>
    <n v="177094.96224689699"/>
    <n v="-4294.9622468969901"/>
    <n v="-2.4855105595468694E-2"/>
    <n v="11600"/>
    <n v="6230.7692307692305"/>
    <n v="17830.76923076923"/>
    <n v="4334.4061677782538"/>
    <n v="4836"/>
    <n v="-21624.137645444476"/>
    <n v="-0.12513968544817405"/>
    <n v="9813.2435905280563"/>
    <n v="-31437.381235972534"/>
    <n v="-0.18192928956002624"/>
    <n v="8205.0625956066833"/>
    <n v="-13419.075049837793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30"/>
    <s v="COSCO"/>
    <s v="PAITA"/>
    <n v="10006720"/>
    <s v="Compensación"/>
    <s v="FEBRERO10006720Compensación"/>
    <n v="1639.7681689527499"/>
    <n v="114801.79673416038"/>
    <n v="26268.81436969294"/>
    <n v="1720.5907250163245"/>
    <n v="34303.760418027356"/>
    <n v="177094.96224689699"/>
    <n v="108"/>
    <n v="1639.7681689527499"/>
    <n v="177094.96224689699"/>
    <n v="-4294.9622468969901"/>
    <n v="-2.4855105595468694E-2"/>
    <n v="11600"/>
    <n v="6230.7692307692305"/>
    <n v="17830.76923076923"/>
    <n v="4334.4061677782538"/>
    <n v="4836"/>
    <n v="-21624.137645444476"/>
    <n v="-0.12513968544817405"/>
    <n v="9813.2435905280563"/>
    <n v="-31437.381235972534"/>
    <n v="-0.18192928956002624"/>
    <n v="8205.0625956066833"/>
    <n v="-13419.075049837793"/>
  </r>
  <r>
    <s v="FEBRERO"/>
    <x v="1"/>
    <s v="162-2026A"/>
    <d v="1900-02-02T00:00:00"/>
    <d v="2026-02-17T00:00:00"/>
    <n v="115.5"/>
    <x v="5"/>
    <s v="Alas"/>
    <s v="1-2 KG"/>
    <s v="China "/>
    <s v="Qingdao"/>
    <x v="9"/>
    <s v="James"/>
    <n v="1500"/>
    <n v="173250"/>
    <n v="1382.987012987013"/>
    <n v="13515"/>
    <n v="159735"/>
    <n v="5"/>
    <s v="ECO SIROCCO 26007N"/>
    <s v="LIMG02628500"/>
    <s v="ONE"/>
    <s v="PAITA"/>
    <n v="10006720"/>
    <s v="Compensación"/>
    <s v="FEBRERO10006720Compensación"/>
    <n v="1639.7681689527499"/>
    <n v="122774.14372958818"/>
    <n v="28093.037589810505"/>
    <n v="1840.0761920313471"/>
    <n v="36685.966002612593"/>
    <n v="189393.22351404262"/>
    <n v="115.5"/>
    <n v="1639.7681689527499"/>
    <n v="189393.22351404262"/>
    <n v="-16143.22351404262"/>
    <n v="-9.3178779301833312E-2"/>
    <n v="13515"/>
    <n v="6663.461538461539"/>
    <n v="20178.461538461539"/>
    <n v="4635.406596096188"/>
    <n v="4792.05"/>
    <n v="-36165.041648600345"/>
    <n v="-0.20874482914055034"/>
    <n v="10494.718839870282"/>
    <n v="-46659.760488470623"/>
    <n v="-0.26932040685985931"/>
    <n v="8774.8586091904799"/>
    <n v="-27390.183039409865"/>
  </r>
  <r>
    <s v="FEBRERO"/>
    <x v="1"/>
    <s v="162-2026B"/>
    <d v="1900-02-02T00:00:00"/>
    <d v="2026-02-17T00:00:00"/>
    <n v="46.8"/>
    <x v="5"/>
    <s v="Alas"/>
    <s v="1-2 KG"/>
    <s v="China "/>
    <s v="Dalian"/>
    <x v="9"/>
    <s v="James"/>
    <n v="1500"/>
    <n v="70200"/>
    <n v="1380.2136752136753"/>
    <n v="5606"/>
    <n v="64594"/>
    <n v="2"/>
    <s v="ECO SIROCCO 26007N"/>
    <s v="LIMG02851300"/>
    <s v="ONE"/>
    <s v="PAITA"/>
    <n v="10006720"/>
    <s v="Compensación"/>
    <s v="FEBRERO10006720Compensación"/>
    <n v="1639.7681689527499"/>
    <n v="49747.4452514695"/>
    <n v="11383.152893533606"/>
    <n v="745.5893141737406"/>
    <n v="14864.962847811854"/>
    <n v="76741.150306988697"/>
    <n v="46.8"/>
    <n v="1639.7681689527499"/>
    <n v="76741.150306988697"/>
    <n v="-6541.1503069886967"/>
    <n v="-9.3178779301833284E-2"/>
    <n v="5606"/>
    <n v="2700"/>
    <n v="8306"/>
    <n v="1878.2426727039099"/>
    <n v="1937.82"/>
    <n v="-14787.572979692606"/>
    <n v="-0.21064918774490893"/>
    <n v="4252.4055558954906"/>
    <n v="-19039.978535588096"/>
    <n v="-0.27122476546421787"/>
    <n v="3555.5271247628957"/>
    <n v="-11232.045854929711"/>
  </r>
  <r>
    <s v="FEBRERO"/>
    <x v="1"/>
    <s v="162-2026C"/>
    <d v="1900-02-02T00:00:00"/>
    <d v="2026-02-17T00:00:00"/>
    <n v="81"/>
    <x v="5"/>
    <s v="Alas"/>
    <s v="1-2 KG"/>
    <s v="China "/>
    <s v="Xiamen "/>
    <x v="9"/>
    <s v="James"/>
    <n v="1500"/>
    <n v="121500"/>
    <n v="1385.0740740740741"/>
    <n v="9309"/>
    <n v="112191"/>
    <n v="3"/>
    <s v="ECO SIROCCO 26007N"/>
    <s v="LIMG02630500"/>
    <s v="ONE"/>
    <s v="PAITA"/>
    <n v="10006720"/>
    <s v="Compensación"/>
    <s v="FEBRERO10006720Compensación"/>
    <n v="1639.7681689527499"/>
    <n v="86101.347550620267"/>
    <n v="19701.610777269703"/>
    <n v="1290.4430437622432"/>
    <n v="25727.820313520515"/>
    <n v="132821.22168517273"/>
    <n v="81"/>
    <n v="1639.7681689527499"/>
    <n v="132821.22168517273"/>
    <n v="-11321.221685172728"/>
    <n v="-9.3178779301833159E-2"/>
    <n v="9309"/>
    <n v="4673.0769230769229"/>
    <n v="13982.076923076922"/>
    <n v="3250.8046258336904"/>
    <n v="3365.73"/>
    <n v="-25188.373234083341"/>
    <n v="-0.20731171386076824"/>
    <n v="7359.9326928960418"/>
    <n v="-32548.305926979381"/>
    <n v="-0.26788729158007724"/>
    <n v="6153.7969467050116"/>
    <n v="-19034.576287378331"/>
  </r>
  <r>
    <s v="FEBRERO"/>
    <x v="1"/>
    <s v="164-2026"/>
    <d v="1900-02-08T00:00:00"/>
    <d v="2026-02-27T00:00:00"/>
    <n v="27"/>
    <x v="9"/>
    <s v="Daruma"/>
    <m/>
    <s v="China "/>
    <s v="Yantai"/>
    <x v="10"/>
    <s v="julia"/>
    <n v="3400"/>
    <n v="91800"/>
    <n v="3292.5925925925926"/>
    <n v="2900"/>
    <n v="88900"/>
    <n v="1"/>
    <s v="ECO SIROCCO 26009S"/>
    <n v="6445569300"/>
    <s v="COSCO"/>
    <s v="PAITA"/>
    <n v="10009239"/>
    <s v="Compensación"/>
    <s v="FEBRERO10009239Compensación"/>
    <n v="2114.7381481481502"/>
    <n v="29045.690000000031"/>
    <n v="18974.700000000023"/>
    <n v="365.21000000000038"/>
    <n v="8712.3300000000127"/>
    <n v="57097.930000000058"/>
    <n v="27"/>
    <n v="2114.7381481481502"/>
    <n v="57097.930000000058"/>
    <n v="34702.069999999942"/>
    <n v="0.37801819172113227"/>
    <n v="2900"/>
    <n v="1557.6923076923076"/>
    <n v="4457.6923076923076"/>
    <n v="1083.6015419445635"/>
    <n v="2667"/>
    <n v="31827.776150363068"/>
    <n v="0.34670780120221206"/>
    <n v="2453.3108976320141"/>
    <n v="29374.465252731054"/>
    <n v="0.31998328162016398"/>
    <n v="2051.2656489016708"/>
    <n v="33879.041799264742"/>
  </r>
  <r>
    <s v="FEBRERO"/>
    <x v="1"/>
    <s v="168-2026A"/>
    <d v="1900-02-11T00:00:00"/>
    <d v="2026-02-24T00:00:00"/>
    <n v="351"/>
    <x v="4"/>
    <s v="Filete "/>
    <s v="2-4 AA"/>
    <s v="China "/>
    <s v="Qingdao"/>
    <x v="9"/>
    <s v="James"/>
    <n v="1300"/>
    <n v="456300"/>
    <n v="1300"/>
    <n v="40339"/>
    <n v="415961"/>
    <n v="13"/>
    <s v="ECO MARIN 26008N"/>
    <n v="6445505270"/>
    <s v="COSCO"/>
    <s v="PAITA"/>
    <n v="10005721"/>
    <s v="Compensación"/>
    <s v="FEBRERO10005721Compensación"/>
    <n v="1740.7827151654001"/>
    <n v="370785.71870256303"/>
    <n v="122493.72720893587"/>
    <n v="6516.3554632679306"/>
    <n v="111218.93164828864"/>
    <n v="611014.73302305548"/>
    <n v="351"/>
    <n v="1740.7827151654001"/>
    <n v="611014.73302305548"/>
    <n v="-154714.73302305548"/>
    <n v="-0.33906362705030785"/>
    <n v="40339"/>
    <n v="20250"/>
    <n v="60589"/>
    <n v="14086.820045279324"/>
    <n v="12478.83"/>
    <n v="-216911.72306833483"/>
    <n v="-0.47537085923369454"/>
    <n v="31893.041669216182"/>
    <n v="-248804.76473755101"/>
    <n v="-0.54526575660212806"/>
    <n v="26666.453435721716"/>
    <n v="-190245.26963261311"/>
  </r>
  <r>
    <s v="FEBRERO"/>
    <x v="1"/>
    <s v="168-2026B"/>
    <d v="1900-02-11T00:00:00"/>
    <d v="2026-02-22T00:00:00"/>
    <n v="135"/>
    <x v="4"/>
    <s v="Filete "/>
    <s v="2-4 AA"/>
    <s v="China "/>
    <s v="shidao"/>
    <x v="9"/>
    <s v="James"/>
    <n v="1300"/>
    <n v="175500"/>
    <n v="1300"/>
    <n v="15515"/>
    <n v="159985"/>
    <n v="5"/>
    <s v="ECO MARIN 26008S"/>
    <n v="6445260920"/>
    <s v="COSCO"/>
    <s v="PAITA"/>
    <n v="10005721"/>
    <s v="Compensación"/>
    <s v="FEBRERO10005721Compensación"/>
    <n v="1763.7777777777778"/>
    <n v="144493.71301319491"/>
    <n v="47735.316039620215"/>
    <n v="2539.3976863405351"/>
    <n v="43341.573260844343"/>
    <n v="238110"/>
    <n v="135"/>
    <n v="1763.7777777777778"/>
    <n v="238110"/>
    <n v="-62610"/>
    <n v="-0.35675213675213674"/>
    <n v="15515"/>
    <n v="7788.461538461539"/>
    <n v="23303.461538461539"/>
    <n v="5418.0077097228168"/>
    <n v="4799.55"/>
    <n v="-86531.919248184349"/>
    <n v="-0.49305936893552338"/>
    <n v="12266.554488160069"/>
    <n v="-98798.473736344415"/>
    <n v="-0.56295426630395673"/>
    <n v="10256.328244508353"/>
    <n v="-76275.591003676003"/>
  </r>
  <r>
    <s v="FEBRERO"/>
    <x v="1"/>
    <s v="168-2026C"/>
    <d v="1900-02-11T00:00:00"/>
    <d v="2026-02-22T00:00:00"/>
    <n v="54"/>
    <x v="4"/>
    <s v="Filete "/>
    <s v="2-4 AA"/>
    <s v="China "/>
    <s v="Xiamen "/>
    <x v="9"/>
    <s v="James"/>
    <n v="1300"/>
    <n v="70200"/>
    <n v="1300"/>
    <n v="6206"/>
    <n v="63994"/>
    <n v="2"/>
    <s v="ECO MARIN 26008S"/>
    <n v="6445502930"/>
    <s v="COSCO"/>
    <s v="PAITA"/>
    <n v="10005721"/>
    <s v="Compensación"/>
    <s v="FEBRERO10005721Compensación"/>
    <n v="1740.7827151654001"/>
    <n v="57043.95672347123"/>
    <n v="18845.188801374748"/>
    <n v="1002.5162251181431"/>
    <n v="17110.604868967483"/>
    <n v="94002.266618931608"/>
    <n v="54"/>
    <n v="1740.7827151654001"/>
    <n v="94002.266618931608"/>
    <n v="-23802.266618931608"/>
    <n v="-0.33906362705030779"/>
    <n v="6206"/>
    <n v="3115.3846153846152"/>
    <n v="9321.3846153846152"/>
    <n v="2167.2030838891269"/>
    <n v="1919.82"/>
    <n v="-33371.034318205355"/>
    <n v="-0.47537085923369449"/>
    <n v="4906.6217952640282"/>
    <n v="-38277.656113469384"/>
    <n v="-0.54526575660212795"/>
    <n v="4102.5312978033417"/>
    <n v="-29268.503020402015"/>
  </r>
  <r>
    <s v="FEBRERO"/>
    <x v="1"/>
    <s v="170-2026A"/>
    <d v="1900-02-11T00:00:00"/>
    <d v="2026-02-23T00:00:00"/>
    <n v="156"/>
    <x v="2"/>
    <s v="Rejos"/>
    <s v="9 FCL 1-2 / 1 FCL 2-UP"/>
    <s v="España "/>
    <s v="Vigo"/>
    <x v="11"/>
    <s v="Ramon"/>
    <n v="2500"/>
    <n v="390000"/>
    <n v="2337.2307692307691"/>
    <n v="25392"/>
    <n v="364608"/>
    <n v="4"/>
    <s v="CAPE SABLE 609N"/>
    <n v="11428031"/>
    <s v="HAPAG"/>
    <s v="PAITA"/>
    <n v="10007162"/>
    <s v="Compensación"/>
    <s v="FEBRERO10007162Compensación"/>
    <n v="1715.2908173076921"/>
    <n v="167980.905"/>
    <n v="47932.004999999997"/>
    <n v="2495.5650000000001"/>
    <n v="49176.892499999936"/>
    <n v="267585.36749999999"/>
    <n v="156"/>
    <n v="1715.2908173076921"/>
    <n v="267585.36749999999"/>
    <n v="122414.63250000001"/>
    <n v="0.31388367307692311"/>
    <n v="25392"/>
    <n v="9000"/>
    <n v="34392"/>
    <n v="6260.8089090130334"/>
    <n v="10938.24"/>
    <n v="92700.063590986974"/>
    <n v="0.23769247074612046"/>
    <n v="14174.685186318302"/>
    <n v="78525.378404668678"/>
    <n v="0.20134712411453506"/>
    <n v="11851.757082542987"/>
    <n v="104551.82067352996"/>
  </r>
  <r>
    <s v="FEBRERO"/>
    <x v="1"/>
    <m/>
    <d v="2026-02-27T00:00:00"/>
    <d v="2026-02-27T00:00:00"/>
    <n v="0"/>
    <x v="6"/>
    <s v="Residuos"/>
    <s v="Residuos"/>
    <s v="Residuos"/>
    <s v="Residuos"/>
    <x v="4"/>
    <m/>
    <n v="0"/>
    <n v="40026"/>
    <n v="0"/>
    <n v="0"/>
    <n v="40026"/>
    <m/>
    <m/>
    <m/>
    <m/>
    <m/>
    <m/>
    <m/>
    <m/>
    <n v="0"/>
    <n v="0"/>
    <n v="0"/>
    <n v="0"/>
    <n v="0"/>
    <n v="0"/>
    <m/>
    <m/>
    <m/>
    <n v="40026"/>
    <n v="1"/>
    <n v="0"/>
    <n v="0"/>
    <n v="0"/>
    <n v="0"/>
    <n v="0"/>
    <n v="40026"/>
    <n v="1"/>
    <n v="0"/>
    <n v="40026"/>
    <n v="1"/>
    <n v="0"/>
    <n v="40026"/>
  </r>
  <r>
    <s v="FEBRERO"/>
    <x v="2"/>
    <s v="150-2026B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51077247"/>
    <m/>
    <m/>
    <n v="10007162"/>
    <s v="Inventario final"/>
    <s v="FEBRERO10007162Inventario final"/>
    <n v="1720"/>
    <n v="28073.680096465938"/>
    <n v="8010.6001950438958"/>
    <n v="417.07006125095137"/>
    <n v="8218.6496472392118"/>
    <n v="44720"/>
    <m/>
    <m/>
    <m/>
    <n v="22880"/>
    <n v="0.33846153846153848"/>
    <n v="4232"/>
    <n v="1500"/>
    <n v="5732"/>
    <n v="919.54352788066876"/>
    <n v="1901.04"/>
    <n v="18129.496472119332"/>
    <n v="0.26818781763490135"/>
    <n v="1375.4111923115427"/>
    <n v="16754.08527980779"/>
    <n v="0.24784149822200874"/>
    <n v="1607.0643207528283"/>
    <n v="19736.560792872158"/>
  </r>
  <r>
    <s v="FEBRERO"/>
    <x v="2"/>
    <s v="150-2026C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37563181"/>
    <m/>
    <m/>
    <n v="10007162"/>
    <s v="Inventario final"/>
    <s v="FEBRERO10007162Inventario final"/>
    <n v="1720"/>
    <n v="28073.680096465938"/>
    <n v="8010.6001950438958"/>
    <n v="417.07006125095137"/>
    <n v="8218.6496472392118"/>
    <n v="44720"/>
    <m/>
    <m/>
    <m/>
    <n v="22880"/>
    <n v="0.33846153846153848"/>
    <n v="4232"/>
    <n v="1500"/>
    <n v="5732"/>
    <n v="919.54352788066876"/>
    <n v="1901.04"/>
    <n v="18129.496472119332"/>
    <n v="0.26818781763490135"/>
    <n v="1375.4111923115427"/>
    <n v="16754.08527980779"/>
    <n v="0.24784149822200874"/>
    <n v="1607.0643207528283"/>
    <n v="19736.560792872158"/>
  </r>
  <r>
    <s v="FEBRERO"/>
    <x v="2"/>
    <s v="159-2026A"/>
    <d v="1900-01-29T00:00:00"/>
    <d v="2026-03-03T00:00:00"/>
    <n v="24"/>
    <x v="4"/>
    <s v="Filete"/>
    <s v="B"/>
    <s v="Japón "/>
    <s v="Sendai"/>
    <x v="2"/>
    <s v="Jose"/>
    <n v="1700"/>
    <n v="40800"/>
    <n v="1562.375"/>
    <n v="3303"/>
    <n v="37497"/>
    <n v="1"/>
    <s v="ECO SIROCCO 26009N"/>
    <s v="LIMG03265300"/>
    <s v="ONE"/>
    <s v="PAITA"/>
    <n v="10005721"/>
    <s v="Inventario final"/>
    <s v="FEBRERO10005721Inventario final"/>
    <n v="1740"/>
    <n v="25341.469852777249"/>
    <n v="8371.8734501256513"/>
    <n v="445.36290049708072"/>
    <n v="7601.2937966000209"/>
    <n v="41760"/>
    <m/>
    <m/>
    <m/>
    <n v="-960"/>
    <n v="-2.3529411764705882E-2"/>
    <n v="3303"/>
    <n v="1384.6153846153848"/>
    <n v="4687.6153846153848"/>
    <n v="848.80941035138653"/>
    <n v="1124.9099999999999"/>
    <n v="-5371.5147949667717"/>
    <n v="-0.13165477438644049"/>
    <n v="1269.6103313645008"/>
    <n v="-6641.1251263312724"/>
    <n v="-0.16277267466498216"/>
    <n v="1483.443988387226"/>
    <n v="-3888.0708065795457"/>
  </r>
  <r>
    <s v="FEBRERO"/>
    <x v="2"/>
    <s v="161-2026A"/>
    <d v="1900-01-29T00:00:00"/>
    <d v="2026-03-04T00:00:00"/>
    <n v="72"/>
    <x v="1"/>
    <s v="Nucas"/>
    <s v="500-up"/>
    <s v="Tailandia "/>
    <s v="Lat Krabang"/>
    <x v="2"/>
    <s v="Jose"/>
    <n v="1400"/>
    <n v="100800"/>
    <n v="1266.5416666666667"/>
    <n v="9609"/>
    <n v="91191"/>
    <n v="3"/>
    <s v="ECO SIROCCO 26009N"/>
    <s v="LIMG03094300"/>
    <s v="ONE LINE"/>
    <s v="PAITA"/>
    <n v="10005779"/>
    <s v="Inventario final"/>
    <s v="FEBRERO10005779Inventario final"/>
    <n v="1860"/>
    <n v="81515.847234083616"/>
    <n v="29485.475655513077"/>
    <n v="976.89119234288887"/>
    <n v="21941.78591806041"/>
    <n v="133920"/>
    <m/>
    <m/>
    <m/>
    <n v="-33120"/>
    <n v="-0.32857142857142857"/>
    <n v="9609"/>
    <n v="4153.8461538461543"/>
    <n v="13762.846153846154"/>
    <n v="2546.4282310541598"/>
    <n v="2735.73"/>
    <n v="-46693.544384900313"/>
    <n v="-0.46322960699305865"/>
    <n v="3808.8309940935028"/>
    <n v="-50502.375378993813"/>
    <n v="-0.50101562875985928"/>
    <n v="4450.3319651616785"/>
    <n v="-42243.212419738637"/>
  </r>
  <r>
    <s v="FEBRERO"/>
    <x v="2"/>
    <s v="161-2026B"/>
    <d v="1900-01-29T00:00:00"/>
    <d v="2026-03-27T00:00:00"/>
    <n v="48"/>
    <x v="1"/>
    <s v="Nucas"/>
    <s v="500-up"/>
    <s v="Tailandia "/>
    <s v="Lat Krabang"/>
    <x v="2"/>
    <s v="Jose"/>
    <n v="1400"/>
    <n v="67200"/>
    <n v="1254.1666666666667"/>
    <n v="7000"/>
    <n v="60200"/>
    <n v="2"/>
    <s v="ECO SIROCCO 26013S"/>
    <n v="6446527790"/>
    <s v="COSCO"/>
    <s v="PAITA"/>
    <n v="10005779"/>
    <s v="Inventario final"/>
    <s v="FEBRERO10005779Inventario final"/>
    <n v="1860"/>
    <n v="54343.898156055744"/>
    <n v="19656.983770342053"/>
    <n v="651.26079489525921"/>
    <n v="14627.857278706941"/>
    <n v="89280"/>
    <m/>
    <m/>
    <m/>
    <n v="-22080"/>
    <n v="-0.32857142857142857"/>
    <n v="7000"/>
    <n v="2769.2307692307695"/>
    <n v="9769.2307692307695"/>
    <n v="1697.6188207027731"/>
    <n v="1806"/>
    <n v="-31740.849589933539"/>
    <n v="-0.47233407127877292"/>
    <n v="2539.2206627290016"/>
    <n v="-34280.070252662539"/>
    <n v="-0.51012009304557349"/>
    <n v="2966.887976774452"/>
    <n v="-28773.961613159088"/>
  </r>
  <r>
    <s v="FEBRERO"/>
    <x v="2"/>
    <s v="163-2026"/>
    <d v="1900-02-02T00:00:00"/>
    <d v="2026-03-06T00:00:00"/>
    <n v="48"/>
    <x v="5"/>
    <s v="Alas"/>
    <s v="1-up"/>
    <s v="korea"/>
    <s v="Busan"/>
    <x v="2"/>
    <s v="Jose"/>
    <n v="1600"/>
    <n v="76800"/>
    <n v="1479.1666666666667"/>
    <n v="5800"/>
    <n v="71000"/>
    <n v="2"/>
    <s v="ECO MARIN 26010S"/>
    <n v="6445718250"/>
    <s v="COSCO"/>
    <s v="PAITA"/>
    <n v="10006720"/>
    <s v="Inventario final"/>
    <s v="FEBRERO10006720Inventario final"/>
    <n v="1640"/>
    <n v="51030.234029991967"/>
    <n v="11676.679950572587"/>
    <n v="764.81419043806204"/>
    <n v="15248.271828997389"/>
    <n v="78720"/>
    <m/>
    <m/>
    <m/>
    <n v="-1920"/>
    <n v="-2.5000000000000001E-2"/>
    <n v="5800"/>
    <n v="2769.2307692307695"/>
    <n v="8569.2307692307695"/>
    <n v="1697.6188207027731"/>
    <n v="2130"/>
    <n v="-10056.849589933543"/>
    <n v="-0.13094856236892635"/>
    <n v="2539.2206627290016"/>
    <n v="-12596.070252662545"/>
    <n v="-0.16401133141487689"/>
    <n v="2966.887976774452"/>
    <n v="-7089.961613159091"/>
  </r>
  <r>
    <s v="FEBRERO"/>
    <x v="2"/>
    <s v="165-2026"/>
    <d v="1900-02-08T00:00:00"/>
    <d v="2026-03-24T00:00:00"/>
    <n v="27"/>
    <x v="7"/>
    <s v="Membrana"/>
    <m/>
    <s v="China "/>
    <s v="Qingdao"/>
    <x v="8"/>
    <m/>
    <n v="1400"/>
    <n v="37800"/>
    <n v="1271.6296296296296"/>
    <n v="3466"/>
    <n v="34334"/>
    <n v="1"/>
    <s v="CMA CGM BETTER WAYS 0DVOHN1MA"/>
    <s v="LMM0577574"/>
    <s v="CMA CGM"/>
    <s v="PAITA"/>
    <m/>
    <m/>
    <m/>
    <n v="0"/>
    <n v="0"/>
    <n v="0"/>
    <n v="0"/>
    <n v="0"/>
    <n v="0"/>
    <m/>
    <m/>
    <m/>
    <n v="37800"/>
    <n v="1"/>
    <n v="3466"/>
    <n v="1557.6923076923076"/>
    <n v="5023.6923076923076"/>
    <n v="954.91058664530988"/>
    <n v="1030.02"/>
    <n v="32851.417105662382"/>
    <n v="0.86908510861540689"/>
    <n v="1428.3116227850635"/>
    <n v="31423.105482877319"/>
    <n v="0.83129908684860632"/>
    <n v="1668.8744869356292"/>
    <n v="34520.291592598012"/>
  </r>
  <r>
    <s v="FEBRERO"/>
    <x v="2"/>
    <s v="167-2026"/>
    <d v="1900-02-10T00:00:00"/>
    <d v="2026-03-23T00:00:00"/>
    <n v="48"/>
    <x v="3"/>
    <s v="Conos"/>
    <m/>
    <s v="Tailandia"/>
    <s v="Bangkok"/>
    <x v="2"/>
    <s v="Jose"/>
    <n v="1600"/>
    <n v="76800"/>
    <n v="1462.5"/>
    <n v="6600"/>
    <n v="70200"/>
    <n v="2"/>
    <s v="ECO MARIN 26012S"/>
    <n v="6446513180"/>
    <s v="COSCO"/>
    <s v="PAITA"/>
    <n v="10007969"/>
    <s v="Inventario final"/>
    <s v="FEBRERO10007969Inventario final"/>
    <n v="1400"/>
    <n v="54354.508379726183"/>
    <n v="10231.733201803394"/>
    <n v="802.340930980042"/>
    <n v="1811.4174874903686"/>
    <n v="67200"/>
    <m/>
    <m/>
    <m/>
    <n v="9600"/>
    <n v="0.125"/>
    <n v="6600"/>
    <n v="2769.2307692307695"/>
    <n v="9369.2307692307695"/>
    <n v="1697.6188207027731"/>
    <n v="2106"/>
    <n v="639.15041006645743"/>
    <n v="8.3222709644069984E-3"/>
    <n v="2539.2206627290016"/>
    <n v="-1900.0702526625441"/>
    <n v="-2.4740498081543542E-2"/>
    <n v="2966.887976774452"/>
    <n v="3606.0383868409094"/>
  </r>
  <r>
    <s v="FEBRERO"/>
    <x v="2"/>
    <s v="169-2026A"/>
    <d v="1900-02-11T00:00:00"/>
    <d v="2026-03-03T00:00:00"/>
    <n v="116.8"/>
    <x v="5"/>
    <s v="Alas"/>
    <s v="1-up"/>
    <s v="China "/>
    <s v="Qingdao"/>
    <x v="2"/>
    <s v="Jose"/>
    <n v="1600"/>
    <n v="186880"/>
    <n v="1484.2893835616439"/>
    <n v="13515"/>
    <n v="173365"/>
    <n v="5"/>
    <s v="ECO SIROCCO 26009N"/>
    <s v="LIMG02789600"/>
    <s v="ONE"/>
    <s v="PAITA"/>
    <n v="10006720"/>
    <s v="Inventario final"/>
    <s v="FEBRERO10006720Inventario final"/>
    <n v="1640"/>
    <n v="124173.56947298045"/>
    <n v="28413.254546393295"/>
    <n v="1861.0478633992841"/>
    <n v="37104.128117226981"/>
    <n v="191552"/>
    <m/>
    <m/>
    <m/>
    <n v="-4672"/>
    <n v="-2.5000000000000001E-2"/>
    <n v="13515"/>
    <n v="6738.4615384615381"/>
    <n v="20253.461538461539"/>
    <n v="4130.8724637100813"/>
    <n v="5200.95"/>
    <n v="-23855.384002171621"/>
    <n v="-0.12765081336778478"/>
    <n v="6178.7702793072376"/>
    <n v="-30034.154281478859"/>
    <n v="-0.16071358241373535"/>
    <n v="7219.4274101511664"/>
    <n v="-16635.956592020455"/>
  </r>
  <r>
    <s v="FEBRERO"/>
    <x v="2"/>
    <s v="169-2026B"/>
    <d v="1900-02-11T00:00:00"/>
    <d v="2026-03-10T00:00:00"/>
    <n v="135"/>
    <x v="5"/>
    <s v="Alas"/>
    <s v="1-up"/>
    <s v="China "/>
    <s v="Qingdao"/>
    <x v="2"/>
    <s v="Jose"/>
    <n v="1600"/>
    <n v="216000"/>
    <n v="1519.911111111111"/>
    <n v="10812"/>
    <n v="205188"/>
    <n v="4"/>
    <s v="ECO MARIN 26010N"/>
    <s v="LIMG03633900"/>
    <s v="ONE"/>
    <s v="PAITA"/>
    <n v="10006720"/>
    <s v="Inventario final"/>
    <s v="FEBRERO10006720Inventario final"/>
    <n v="1640"/>
    <n v="143522.5332093524"/>
    <n v="32840.6623609854"/>
    <n v="2151.0399106070495"/>
    <n v="42885.764519055156"/>
    <n v="221400"/>
    <m/>
    <m/>
    <m/>
    <n v="-5400"/>
    <n v="-2.5000000000000001E-2"/>
    <n v="10812"/>
    <n v="7788.461538461539"/>
    <n v="18600.461538461539"/>
    <n v="4774.5529332265496"/>
    <n v="6155.6399999999994"/>
    <n v="-22619.37447168809"/>
    <n v="-0.10471932625781523"/>
    <n v="7141.5581139253172"/>
    <n v="-29760.932585613409"/>
    <n v="-0.13778209530376578"/>
    <n v="8344.3724346781455"/>
    <n v="-14275.002037009945"/>
  </r>
  <r>
    <s v="FEBRERO"/>
    <x v="2"/>
    <s v="170-2026B"/>
    <d v="1900-02-11T00:00:00"/>
    <d v="2026-03-11T00:00:00"/>
    <n v="78"/>
    <x v="2"/>
    <s v="Rejos"/>
    <s v=" 1-2 "/>
    <s v="España "/>
    <s v="Vigo"/>
    <x v="11"/>
    <s v="Ramon"/>
    <n v="2400"/>
    <n v="187200"/>
    <n v="2243.0865384615386"/>
    <n v="12239.25"/>
    <n v="174960.75"/>
    <n v="3"/>
    <s v="CMA CGM BOLDNESS / 0DVODN1MA"/>
    <s v="LMM0575562"/>
    <s v="CMA CGM"/>
    <m/>
    <n v="10007162"/>
    <s v="Inventario final"/>
    <s v="FEBRERO10007162Inventario final"/>
    <n v="1720"/>
    <n v="84221.040289397817"/>
    <n v="24031.800585131685"/>
    <n v="1251.2101837528539"/>
    <n v="24655.948941717637"/>
    <n v="134160"/>
    <m/>
    <m/>
    <m/>
    <n v="53040"/>
    <n v="0.28333333333333333"/>
    <n v="12239.25"/>
    <n v="4500"/>
    <n v="16739.25"/>
    <n v="2758.6305836420065"/>
    <n v="5248.8225000000002"/>
    <n v="38790.941916357995"/>
    <n v="0.20721657006601493"/>
    <n v="4126.2335769346282"/>
    <n v="34664.708339423363"/>
    <n v="0.18517472403538121"/>
    <n v="4821.1929622584848"/>
    <n v="43612.134878616482"/>
  </r>
  <r>
    <s v="FEBRERO"/>
    <x v="2"/>
    <s v="171-2026"/>
    <d v="1900-02-12T00:00:00"/>
    <d v="2026-03-04T00:00:00"/>
    <n v="135"/>
    <x v="4"/>
    <s v="Filete "/>
    <s v="2-4 AA"/>
    <s v="China "/>
    <s v="shidao"/>
    <x v="12"/>
    <m/>
    <n v="1450"/>
    <n v="195750"/>
    <n v="1338.7777777777778"/>
    <n v="15015"/>
    <n v="180735"/>
    <n v="5"/>
    <s v="ECO SIROCCO 26009N"/>
    <s v="LIMG03093900"/>
    <s v="ONE"/>
    <s v="PAITA"/>
    <n v="10005721"/>
    <s v="Inventario final"/>
    <s v="FEBRERO10005721Inventario final"/>
    <n v="1740"/>
    <n v="142545.76792187203"/>
    <n v="47091.788156956783"/>
    <n v="2505.1663152960791"/>
    <n v="42757.277605875119"/>
    <n v="234900"/>
    <m/>
    <m/>
    <m/>
    <n v="-39150"/>
    <n v="-0.2"/>
    <n v="15015"/>
    <n v="7788.461538461539"/>
    <n v="22803.461538461539"/>
    <n v="4774.5529332265496"/>
    <n v="5422.05"/>
    <n v="-61305.964471688087"/>
    <n v="-0.31318500368678459"/>
    <n v="7141.5581139253172"/>
    <n v="-68447.522585613406"/>
    <n v="-0.34966805918576455"/>
    <n v="8344.3724346781455"/>
    <n v="-52961.592037009941"/>
  </r>
  <r>
    <s v="FEBRERO"/>
    <x v="2"/>
    <s v="172-2026A"/>
    <d v="1900-02-15T00:00:00"/>
    <d v="2026-03-11T00:00:00"/>
    <n v="150"/>
    <x v="2"/>
    <s v="Rejos"/>
    <s v="1-2 KG "/>
    <s v="España "/>
    <s v="Vigo"/>
    <x v="11"/>
    <s v="Ramon"/>
    <n v="2300"/>
    <n v="345000"/>
    <n v="2139.1"/>
    <n v="24135"/>
    <n v="320865"/>
    <n v="6"/>
    <s v="CMA CGM BOLDNESS / 0DVODN1MA"/>
    <s v="LMM0575536"/>
    <s v="CMA CGM"/>
    <m/>
    <n v="10007162"/>
    <s v="Inventario final"/>
    <s v="FEBRERO10007162Inventario final"/>
    <n v="1720"/>
    <n v="161963.53901807271"/>
    <n v="46215.001125253242"/>
    <n v="2406.1734302939499"/>
    <n v="47415.286426380073"/>
    <n v="258000"/>
    <m/>
    <m/>
    <m/>
    <n v="87000"/>
    <n v="0.25217391304347825"/>
    <n v="24135"/>
    <n v="8653.8461538461543"/>
    <n v="32788.846153846156"/>
    <n v="5305.0588146961663"/>
    <n v="9625.9499999999989"/>
    <n v="58532.045031457674"/>
    <n v="0.16965810154045702"/>
    <n v="7935.0645710281306"/>
    <n v="50596.980460429542"/>
    <n v="0.14665791437805664"/>
    <n v="9271.5249274201633"/>
    <n v="67803.569958877837"/>
  </r>
  <r>
    <s v="FEBRERO"/>
    <x v="2"/>
    <s v="172-2026A"/>
    <d v="1900-02-15T00:00:00"/>
    <d v="2026-03-11T00:00:00"/>
    <n v="25"/>
    <x v="0"/>
    <s v="Rejos"/>
    <m/>
    <s v="España "/>
    <s v="Vigo"/>
    <x v="11"/>
    <s v="Ramon"/>
    <n v="2500"/>
    <n v="62500"/>
    <n v="2336.7199999999998"/>
    <n v="4082"/>
    <n v="58418"/>
    <n v="1"/>
    <s v="CMA CGM BOLDNESS / 0DVODN1MA"/>
    <s v="LMM0575536"/>
    <s v="CMA CGM"/>
    <m/>
    <n v="10007567"/>
    <s v="Inventario final"/>
    <s v="FEBRERO10007567Inventario final"/>
    <n v="1700"/>
    <n v="26806.783508435394"/>
    <n v="7351.4498031009725"/>
    <n v="459.62755284063434"/>
    <n v="7882.1391356229988"/>
    <n v="42500"/>
    <m/>
    <m/>
    <m/>
    <n v="20000"/>
    <n v="0.32"/>
    <n v="4082"/>
    <n v="1442.3076923076924"/>
    <n v="5524.3076923076924"/>
    <n v="884.17646911602765"/>
    <n v="1752.54"/>
    <n v="15344.055838576282"/>
    <n v="0.24550489341722051"/>
    <n v="1322.5107618380218"/>
    <n v="14021.545076738259"/>
    <n v="0.22434472122781215"/>
    <n v="1545.2541545700271"/>
    <n v="16889.309993146308"/>
  </r>
  <r>
    <s v="FEBRERO"/>
    <x v="2"/>
    <s v="172-2026B"/>
    <d v="1900-02-15T00:00:00"/>
    <d v="2026-03-27T00:00:00"/>
    <n v="54"/>
    <x v="10"/>
    <s v="Alas"/>
    <s v="0.3 - UP "/>
    <s v="China "/>
    <s v="Qingdao"/>
    <x v="11"/>
    <s v="Ramon"/>
    <n v="3350"/>
    <n v="180900"/>
    <n v="3242.5925925925926"/>
    <n v="5800"/>
    <n v="175100"/>
    <n v="2"/>
    <s v="ECO SIROCCO 26013S"/>
    <n v="6446512380"/>
    <s v="COSCO"/>
    <s v="PAITA"/>
    <n v="10009331"/>
    <s v="Inventario final"/>
    <s v="FEBRERO10009331Inventario final"/>
    <n v="1810"/>
    <n v="56742.198519184363"/>
    <n v="22722.689817285758"/>
    <n v="1023.6040864186556"/>
    <n v="17251.507577111213"/>
    <n v="97740"/>
    <m/>
    <m/>
    <m/>
    <n v="83160"/>
    <n v="0.45970149253731341"/>
    <n v="5800"/>
    <n v="3115.3846153846152"/>
    <n v="8915.3846153846152"/>
    <n v="1909.8211732906198"/>
    <n v="5253"/>
    <n v="77587.79421132477"/>
    <n v="0.42889880713833484"/>
    <n v="2856.623245570127"/>
    <n v="74731.170965754645"/>
    <n v="0.41310763386265698"/>
    <n v="3337.7489738712584"/>
    <n v="80925.543185196031"/>
  </r>
  <r>
    <s v="FEBRERO"/>
    <x v="2"/>
    <s v="174-2026"/>
    <d v="1900-02-17T00:00:00"/>
    <d v="2026-03-10T00:00:00"/>
    <n v="108"/>
    <x v="4"/>
    <s v="Filete "/>
    <s v="2-4 AA"/>
    <s v="China "/>
    <s v="shidao"/>
    <x v="12"/>
    <m/>
    <n v="1450"/>
    <n v="156600"/>
    <n v="1338.7777777777778"/>
    <n v="12012"/>
    <n v="144588"/>
    <n v="4"/>
    <s v="ECO MARIN 26010N"/>
    <s v="LIMG03595900"/>
    <m/>
    <m/>
    <n v="10005721"/>
    <s v="Inventario final"/>
    <s v="FEBRERO10005721Inventario final"/>
    <n v="1740"/>
    <n v="114036.61433749762"/>
    <n v="37673.430525565425"/>
    <n v="2004.1330522368633"/>
    <n v="34205.822084700092"/>
    <n v="187920"/>
    <m/>
    <m/>
    <m/>
    <n v="-31320"/>
    <n v="-0.2"/>
    <n v="12012"/>
    <n v="6230.7692307692305"/>
    <n v="18242.76923076923"/>
    <n v="3819.6423465812395"/>
    <n v="4337.6399999999994"/>
    <n v="-49044.771577350475"/>
    <n v="-0.31318500368678465"/>
    <n v="5713.246491140254"/>
    <n v="-54758.018068490732"/>
    <n v="-0.34966805918576455"/>
    <n v="6675.4979477425168"/>
    <n v="-42369.27362960796"/>
  </r>
  <r>
    <s v="FEBRERO"/>
    <x v="2"/>
    <s v="175-2026"/>
    <d v="1900-02-17T00:00:00"/>
    <d v="2026-03-18T00:00:00"/>
    <n v="26"/>
    <x v="4"/>
    <s v="Filete "/>
    <s v="2-4 AA"/>
    <s v="Klaipeda"/>
    <s v="Lituania"/>
    <x v="13"/>
    <m/>
    <n v="1500"/>
    <n v="39000"/>
    <n v="1230.9615384615386"/>
    <n v="6995"/>
    <n v="32005"/>
    <n v="1"/>
    <s v="CMA CGM VOLTAIRE / 0DVOFN1MA"/>
    <s v="LMM0575667"/>
    <n v="1"/>
    <s v="CMA CGM"/>
    <n v="10005721"/>
    <s v="Inventario final"/>
    <s v="FEBRERO10005721Inventario final"/>
    <n v="1740"/>
    <n v="27453.259007175351"/>
    <n v="9069.5295709694547"/>
    <n v="482.47647553850408"/>
    <n v="8234.7349463166884"/>
    <n v="45240"/>
    <m/>
    <m/>
    <m/>
    <n v="-6240"/>
    <n v="-0.16"/>
    <n v="6995"/>
    <n v="1500"/>
    <n v="8495"/>
    <n v="919.54352788066876"/>
    <n v="960.15"/>
    <n v="-14694.393527880669"/>
    <n v="-0.37677932122770946"/>
    <n v="1375.4111923115427"/>
    <n v="-16069.804720192213"/>
    <n v="-0.41204627487672341"/>
    <n v="1607.0643207528283"/>
    <n v="-13087.329207127841"/>
  </r>
  <r>
    <s v="FEBRERO"/>
    <x v="2"/>
    <s v="176-2026A"/>
    <d v="1900-02-17T00:00:00"/>
    <d v="2026-03-23T00:00:00"/>
    <n v="54"/>
    <x v="5"/>
    <s v="Alas"/>
    <s v="1-up"/>
    <s v="China "/>
    <s v="Qingdao"/>
    <x v="2"/>
    <s v="Jose"/>
    <n v="1600"/>
    <n v="86400"/>
    <n v="1492.5925925925926"/>
    <n v="5800"/>
    <n v="80600"/>
    <n v="2"/>
    <s v="ECO SIROCCO 26011S"/>
    <n v="6446527810"/>
    <s v="COSCO"/>
    <s v="PAITA"/>
    <n v="10006720"/>
    <s v="Inventario final"/>
    <s v="FEBRERO10006720Inventario final"/>
    <n v="1640"/>
    <n v="57409.013283740962"/>
    <n v="13136.264944394159"/>
    <n v="860.41596424281977"/>
    <n v="17154.305807622062"/>
    <n v="88560"/>
    <m/>
    <m/>
    <m/>
    <n v="-2160"/>
    <n v="-2.5000000000000001E-2"/>
    <n v="5800"/>
    <n v="3115.3846153846152"/>
    <n v="8915.3846153846152"/>
    <n v="1909.8211732906198"/>
    <n v="2418"/>
    <n v="-10567.205788675235"/>
    <n v="-0.12230562255411152"/>
    <n v="2856.623245570127"/>
    <n v="-13423.829034245362"/>
    <n v="-0.15536839160006205"/>
    <n v="3337.7489738712584"/>
    <n v="-7229.4568148039771"/>
  </r>
  <r>
    <s v="FEBRERO"/>
    <x v="2"/>
    <s v="176-2026B"/>
    <d v="1900-02-17T00:00:00"/>
    <d v="2026-03-27T00:00:00"/>
    <n v="81"/>
    <x v="5"/>
    <s v="Alas"/>
    <s v="1-up"/>
    <s v="China "/>
    <s v="Qingdao"/>
    <x v="2"/>
    <s v="Jose"/>
    <n v="1600"/>
    <n v="129600"/>
    <n v="1499.5185185185185"/>
    <n v="8139"/>
    <n v="121461"/>
    <n v="3"/>
    <s v="ECO SIROCCO 26013S"/>
    <s v="LIMG04326900"/>
    <s v="ONE LINE"/>
    <s v="PAITA"/>
    <n v="10006720"/>
    <s v="Inventario final"/>
    <s v="FEBRERO10006720Inventario final"/>
    <n v="1640"/>
    <n v="86113.519925611443"/>
    <n v="19704.39741659124"/>
    <n v="1290.6239463642296"/>
    <n v="25731.458711433093"/>
    <n v="132840"/>
    <m/>
    <m/>
    <m/>
    <n v="-3240"/>
    <n v="-2.5000000000000001E-2"/>
    <n v="8139"/>
    <n v="4673.0769230769229"/>
    <n v="12812.076923076922"/>
    <n v="2864.7317599359299"/>
    <n v="3643.83"/>
    <n v="-15272.978683012852"/>
    <n v="-0.1178470577392967"/>
    <n v="4284.9348683551907"/>
    <n v="-19557.913551368045"/>
    <n v="-0.15090982678524725"/>
    <n v="5006.623460806888"/>
    <n v="-10266.355222205964"/>
  </r>
  <r>
    <s v="FEBRERO"/>
    <x v="2"/>
    <s v="177-2026A"/>
    <d v="1900-02-18T00:00:00"/>
    <d v="2026-03-27T00:00:00"/>
    <n v="48"/>
    <x v="5"/>
    <s v="Alas"/>
    <s v="1-up"/>
    <s v="korea"/>
    <s v="Busan"/>
    <x v="2"/>
    <s v="Jose"/>
    <n v="1600"/>
    <n v="76800"/>
    <n v="1486.9583333333333"/>
    <n v="5426"/>
    <n v="71374"/>
    <n v="2"/>
    <s v="ECO SIROCCO 26013S"/>
    <s v="LIMG04588500"/>
    <s v="ONE LINE"/>
    <s v="PAITA"/>
    <n v="10006720"/>
    <s v="Inventario final"/>
    <s v="FEBRERO10006720Inventario final"/>
    <n v="1640"/>
    <n v="51030.234029991967"/>
    <n v="11676.679950572587"/>
    <n v="764.81419043806204"/>
    <n v="15248.271828997389"/>
    <n v="78720"/>
    <m/>
    <m/>
    <m/>
    <n v="-1920"/>
    <n v="-2.5000000000000001E-2"/>
    <n v="5426"/>
    <n v="2769.2307692307695"/>
    <n v="8195.2307692307695"/>
    <n v="1697.6188207027731"/>
    <n v="2141.2199999999998"/>
    <n v="-9671.6295899335437"/>
    <n v="-0.12593267695225968"/>
    <n v="2539.2206627290016"/>
    <n v="-12210.850252662545"/>
    <n v="-0.15899544599821022"/>
    <n v="2966.887976774452"/>
    <n v="-6704.7416131590917"/>
  </r>
  <r>
    <s v="FEBRERO"/>
    <x v="2"/>
    <s v="179-2026A"/>
    <d v="1900-02-22T00:00:00"/>
    <d v="2026-03-20T00:00:00"/>
    <n v="24"/>
    <x v="1"/>
    <s v="Nucas"/>
    <s v="500-up"/>
    <s v="Tailandia "/>
    <s v="Laem chabang"/>
    <x v="1"/>
    <s v="ACER FOOD"/>
    <n v="1100"/>
    <n v="26400"/>
    <n v="966.54166666666663"/>
    <n v="3203"/>
    <n v="23197"/>
    <n v="1"/>
    <s v="ECO MARIN 26012N"/>
    <s v="LIMG039188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203"/>
    <n v="1384.6153846153848"/>
    <n v="4587.6153846153848"/>
    <n v="848.80941035138653"/>
    <n v="695.91"/>
    <n v="-22980.51479496677"/>
    <n v="-0.87047404526389283"/>
    <n v="1269.6103313645008"/>
    <n v="-24250.12512633127"/>
    <n v="-0.91856534569436632"/>
    <n v="1483.443988387226"/>
    <n v="-21497.070806579544"/>
  </r>
  <r>
    <s v="FEBRERO"/>
    <x v="2"/>
    <s v="179-2026B1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245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2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335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3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79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4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83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5"/>
    <d v="1900-02-22T00:00:00"/>
    <d v="2026-03-27T00:00:00"/>
    <n v="24"/>
    <x v="1"/>
    <s v="Nucas"/>
    <s v="500-up"/>
    <s v="Tailandia "/>
    <s v="Lat Krabang"/>
    <x v="1"/>
    <s v="Julieta"/>
    <n v="1100"/>
    <n v="26400"/>
    <n v="966.54166666666663"/>
    <n v="3203"/>
    <n v="23197"/>
    <n v="1"/>
    <s v="ECO SIROCCO 26013S"/>
    <s v="LIMG039403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203"/>
    <n v="1384.6153846153848"/>
    <n v="4587.6153846153848"/>
    <n v="848.80941035138653"/>
    <n v="695.91"/>
    <n v="-22980.51479496677"/>
    <n v="-0.87047404526389283"/>
    <n v="1269.6103313645008"/>
    <n v="-24250.12512633127"/>
    <n v="-0.91856534569436632"/>
    <n v="1483.443988387226"/>
    <n v="-21497.070806579544"/>
  </r>
  <r>
    <s v="FEBRERO"/>
    <x v="2"/>
    <s v="179-2026C1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40"/>
    <s v="COSCO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5840"/>
    <n v="-0.55000000000000004"/>
    <n v="3500"/>
    <n v="1384.6153846153848"/>
    <n v="4884.6153846153848"/>
    <n v="848.80941035138653"/>
    <n v="759"/>
    <n v="-20814.42479496677"/>
    <n v="-0.72272308315856837"/>
    <n v="1269.6103313645008"/>
    <n v="-22084.03512633127"/>
    <n v="-0.76680677521983576"/>
    <n v="1483.443988387226"/>
    <n v="-19330.980806579544"/>
  </r>
  <r>
    <s v="FEBRERO"/>
    <x v="2"/>
    <s v="179-2026C2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20"/>
    <s v="COSCO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5840"/>
    <n v="-0.55000000000000004"/>
    <n v="3500"/>
    <n v="1384.6153846153848"/>
    <n v="4884.6153846153848"/>
    <n v="848.80941035138653"/>
    <n v="759"/>
    <n v="-20814.42479496677"/>
    <n v="-0.72272308315856837"/>
    <n v="1269.6103313645008"/>
    <n v="-22084.03512633127"/>
    <n v="-0.76680677521983576"/>
    <n v="1483.443988387226"/>
    <n v="-19330.980806579544"/>
  </r>
  <r>
    <s v="FEBRERO"/>
    <x v="2"/>
    <s v="181-2026"/>
    <d v="2026-02-24T00:00:00"/>
    <d v="2026-03-27T00:00:00"/>
    <n v="48"/>
    <x v="1"/>
    <s v="Nucas"/>
    <s v="500-1000"/>
    <s v="Tailandia "/>
    <s v="Lat Krabang"/>
    <x v="2"/>
    <s v="Jose"/>
    <n v="1200"/>
    <n v="57600"/>
    <n v="1126.8125"/>
    <n v="3513"/>
    <n v="54087"/>
    <n v="1"/>
    <s v="ECO SIROCCO 26013S"/>
    <s v="LIMG04324700"/>
    <s v="ONE LINE"/>
    <s v="PAITA"/>
    <n v="10005779"/>
    <s v="Inventario final"/>
    <s v="FEBRERO10005779Inventario final"/>
    <n v="1860"/>
    <n v="54343.898156055744"/>
    <n v="19656.983770342053"/>
    <n v="651.26079489525921"/>
    <n v="14627.857278706941"/>
    <n v="89280"/>
    <m/>
    <m/>
    <m/>
    <n v="-31680"/>
    <n v="-0.55000000000000004"/>
    <n v="3513"/>
    <n v="2769.2307692307695"/>
    <n v="6282.2307692307695"/>
    <n v="1697.6188207027731"/>
    <n v="1622.61"/>
    <n v="-38037.239589933539"/>
    <n v="-0.66036874288079062"/>
    <n v="2539.2206627290016"/>
    <n v="-40576.460252662539"/>
    <n v="-0.704452434942058"/>
    <n v="2966.887976774452"/>
    <n v="-35070.351613159088"/>
  </r>
  <r>
    <s v="FEBRERO"/>
    <x v="2"/>
    <s v="183-2026"/>
    <d v="1900-02-26T00:00:00"/>
    <d v="2026-03-27T00:00:00"/>
    <n v="27"/>
    <x v="2"/>
    <s v="Rejos"/>
    <s v="2- UP LIMPIOS "/>
    <s v="China "/>
    <s v="Yantai"/>
    <x v="14"/>
    <m/>
    <n v="2600"/>
    <n v="70200"/>
    <n v="2485.1851851851852"/>
    <n v="3100"/>
    <n v="67100"/>
    <n v="1"/>
    <s v="ECO SIROCCO 26013S"/>
    <n v="6447908790"/>
    <s v="COSCO"/>
    <s v="PAITA"/>
    <n v="10007162"/>
    <s v="Inventario final"/>
    <s v="FEBRERO10007162Inventario final"/>
    <n v="1720"/>
    <n v="29153.437023253089"/>
    <n v="8318.700202545584"/>
    <n v="433.11121745291103"/>
    <n v="8534.7515567484133"/>
    <n v="46440"/>
    <m/>
    <m/>
    <m/>
    <n v="23760"/>
    <n v="0.33846153846153848"/>
    <n v="3100"/>
    <n v="1557.6923076923076"/>
    <n v="4657.6923076923076"/>
    <n v="954.91058664530988"/>
    <n v="2013"/>
    <n v="20160.397105662381"/>
    <n v="0.28718514395530459"/>
    <n v="1428.3116227850635"/>
    <n v="18732.085482877319"/>
    <n v="0.26683882454241198"/>
    <n v="1668.8744869356292"/>
    <n v="21829.271592598012"/>
  </r>
  <r>
    <s v="FEBRERO"/>
    <x v="2"/>
    <s v="184-2026"/>
    <d v="1900-02-27T00:00:00"/>
    <d v="2026-03-23T00:00:00"/>
    <n v="216"/>
    <x v="9"/>
    <s v="Daruma"/>
    <m/>
    <s v="China"/>
    <s v="Qingdao"/>
    <x v="15"/>
    <s v="James"/>
    <n v="3100"/>
    <n v="669600"/>
    <n v="2992.5925925925926"/>
    <n v="23200"/>
    <n v="646400"/>
    <n v="8"/>
    <s v="ECO MARIN 26012N"/>
    <n v="6447338820"/>
    <s v="COSCO"/>
    <s v="PAITA"/>
    <n v="10009239"/>
    <s v="Inventario final"/>
    <s v="FEBRERO10009239Inventario final"/>
    <n v="2110"/>
    <n v="231844.88712129934"/>
    <n v="151457.49655569636"/>
    <n v="2915.1833890104826"/>
    <n v="69542.432933993783"/>
    <n v="455760"/>
    <m/>
    <m/>
    <m/>
    <n v="213840"/>
    <n v="0.3193548387096774"/>
    <n v="23200"/>
    <n v="12461.538461538461"/>
    <n v="35661.538461538461"/>
    <n v="7639.284693162479"/>
    <n v="19392"/>
    <n v="189931.17684529905"/>
    <n v="0.28364871093981342"/>
    <n v="11426.492982280508"/>
    <n v="178504.68386301855"/>
    <n v="0.26658405594835505"/>
    <n v="13350.995895485034"/>
    <n v="203282.1727407841"/>
  </r>
  <r>
    <s v="FEBRERO"/>
    <x v="2"/>
    <s v="185-2026"/>
    <d v="1900-02-27T00:00:00"/>
    <d v="2026-03-23T00:00:00"/>
    <n v="108"/>
    <x v="9"/>
    <s v="Daruma "/>
    <m/>
    <s v="China "/>
    <s v="Qingdao"/>
    <x v="16"/>
    <s v="James"/>
    <n v="3100"/>
    <n v="334800"/>
    <n v="2992.5925925925926"/>
    <n v="11600"/>
    <n v="323200"/>
    <n v="4"/>
    <s v="ECO MARIN 26012N"/>
    <n v="6447338860"/>
    <s v="COSCO"/>
    <s v="PAITA"/>
    <n v="10009239"/>
    <s v="Inventario final"/>
    <s v="FEBRERO10009239Inventario final"/>
    <n v="2110"/>
    <n v="115922.44356064967"/>
    <n v="75728.748277848179"/>
    <n v="1457.5916945052413"/>
    <n v="34771.216466996892"/>
    <n v="227880"/>
    <m/>
    <m/>
    <m/>
    <n v="106920"/>
    <n v="0.3193548387096774"/>
    <n v="11600"/>
    <n v="6230.7692307692305"/>
    <n v="17830.76923076923"/>
    <n v="3819.6423465812395"/>
    <n v="9696"/>
    <n v="94965.588422649525"/>
    <n v="0.28364871093981342"/>
    <n v="5713.246491140254"/>
    <n v="89252.341931509276"/>
    <n v="0.26658405594835505"/>
    <n v="6675.4979477425168"/>
    <n v="101641.08637039205"/>
  </r>
  <r>
    <s v="FEBRERO"/>
    <x v="2"/>
    <s v="189-2026"/>
    <d v="1900-03-08T00:00:00"/>
    <d v="2026-03-27T00:00:00"/>
    <n v="10"/>
    <x v="1"/>
    <s v="Nucas"/>
    <s v="300-500"/>
    <s v="Tailandia "/>
    <s v="Lat Krabang"/>
    <x v="1"/>
    <s v="Julieta"/>
    <n v="1130"/>
    <n v="11300"/>
    <n v="990"/>
    <n v="1400"/>
    <n v="9900"/>
    <n v="1"/>
    <s v="ECO SIROCCO 26013S"/>
    <n v="6447908000"/>
    <s v="COSCO"/>
    <s v="PAITA"/>
    <n v="10005779"/>
    <s v="Inventario final"/>
    <s v="FEBRERO10005779Inventario final"/>
    <n v="1860"/>
    <n v="11321.645449178281"/>
    <n v="4095.2049521545941"/>
    <n v="135.67933226984567"/>
    <n v="3047.4702663972794"/>
    <n v="18600"/>
    <m/>
    <m/>
    <m/>
    <n v="-7300"/>
    <n v="-0.64601769911504425"/>
    <n v="1400"/>
    <n v="576.92307692307691"/>
    <n v="1976.9230769230769"/>
    <n v="353.67058764641109"/>
    <n v="297"/>
    <n v="-9333.5936645694874"/>
    <n v="-0.82598174022738824"/>
    <n v="529.00430473520873"/>
    <n v="-9862.5979693046957"/>
    <n v="-0.87279628046944213"/>
    <n v="618.10166182801083"/>
    <n v="-8715.4920027414773"/>
  </r>
  <r>
    <s v="FEBRERO"/>
    <x v="2"/>
    <s v="189-2026"/>
    <d v="1900-03-08T00:00:00"/>
    <d v="2026-03-27T00:00:00"/>
    <n v="15"/>
    <x v="1"/>
    <s v="Nucas"/>
    <s v="500-1000"/>
    <s v="Tailandia "/>
    <s v="Lat Krabang"/>
    <x v="1"/>
    <s v="Julieta"/>
    <n v="1200"/>
    <n v="18000"/>
    <n v="1060"/>
    <n v="2100"/>
    <n v="15900"/>
    <n v="0"/>
    <s v="ECO SIROCCO 26013S"/>
    <n v="6447908000"/>
    <s v="COSCO"/>
    <s v="PAITA"/>
    <n v="10005779"/>
    <s v="Inventario final"/>
    <s v="FEBRERO10005779Inventario final"/>
    <n v="1860"/>
    <n v="16982.468173767422"/>
    <n v="6142.8074282318912"/>
    <n v="203.51899840476852"/>
    <n v="4571.2053995959195"/>
    <n v="27900"/>
    <m/>
    <m/>
    <m/>
    <n v="-9900"/>
    <n v="-0.55000000000000004"/>
    <n v="2100"/>
    <n v="865.38461538461536"/>
    <n v="2965.3846153846152"/>
    <n v="530.50588146961661"/>
    <n v="477"/>
    <n v="-12918.890496854232"/>
    <n v="-0.71771613871412399"/>
    <n v="793.5064571028131"/>
    <n v="-13712.396953957044"/>
    <n v="-0.76179983077539137"/>
    <n v="927.15249274201619"/>
    <n v="-11991.738004112216"/>
  </r>
  <r>
    <s v="FEBRERO"/>
    <x v="2"/>
    <s v="170-2026B"/>
    <d v="1900-02-11T00:00:00"/>
    <d v="2026-03-11T00:00:00"/>
    <n v="24"/>
    <x v="2"/>
    <s v="Rejos"/>
    <s v="2 - UP"/>
    <s v="España "/>
    <s v="Vigo"/>
    <x v="11"/>
    <s v="Ramon"/>
    <n v="2400"/>
    <n v="57600"/>
    <n v="2230.0104166666665"/>
    <n v="4079.75"/>
    <n v="53520.25"/>
    <n v="1"/>
    <s v="CMA CGM BOLDNESS / 0DVODN1MA"/>
    <s v="LMM0575562"/>
    <s v="CMA CGM"/>
    <m/>
    <n v="10007162"/>
    <s v="Inventario final"/>
    <s v="FEBRERO10007162Inventario final"/>
    <n v="1720"/>
    <n v="25914.166242891635"/>
    <n v="7394.4001800405185"/>
    <n v="384.98774884703204"/>
    <n v="7586.4458282208116"/>
    <n v="41280"/>
    <m/>
    <m/>
    <m/>
    <n v="16320"/>
    <n v="0.28333333333333333"/>
    <n v="4079.75"/>
    <n v="1384.6153846153848"/>
    <n v="5464.3653846153848"/>
    <n v="848.80941035138653"/>
    <n v="1605.6074999999998"/>
    <n v="11612.432705033229"/>
    <n v="0.20160473446238245"/>
    <n v="1269.6103313645008"/>
    <n v="10342.822373668729"/>
    <n v="0.17956288843174875"/>
    <n v="1483.443988387226"/>
    <n v="13095.876693420454"/>
  </r>
  <r>
    <s v="FEBRERO"/>
    <x v="2"/>
    <s v="153-2026"/>
    <d v="1900-01-25T00:00:00"/>
    <d v="2026-03-29T00:00:00"/>
    <n v="26"/>
    <x v="0"/>
    <s v="Rejos"/>
    <m/>
    <s v="España "/>
    <s v="Valencia"/>
    <x v="0"/>
    <s v="Ignacio / Ives"/>
    <n v="2950"/>
    <n v="76700"/>
    <n v="2793.0865384615386"/>
    <n v="4079.75"/>
    <n v="72620.25"/>
    <n v="1"/>
    <s v="CAPE SKAGEN 614N"/>
    <n v="19449468"/>
    <s v="HAPAG"/>
    <m/>
    <n v="10007567"/>
    <s v="Inventario final"/>
    <s v="FEBRERO10007567Inventario final"/>
    <n v="1700"/>
    <n v="27879.054848772808"/>
    <n v="7645.5077952250113"/>
    <n v="478.01265495425969"/>
    <n v="8197.4247010479194"/>
    <n v="44200"/>
    <m/>
    <m/>
    <m/>
    <n v="32500"/>
    <n v="0.42372881355932202"/>
    <n v="4079.75"/>
    <n v="1500"/>
    <n v="5579.75"/>
    <n v="919.54352788066876"/>
    <n v="2178.6075000000001"/>
    <n v="28179.313972119329"/>
    <n v="0.36739653157913077"/>
    <n v="1375.4111923115427"/>
    <n v="26803.902779807788"/>
    <n v="0.34946418226607284"/>
    <n v="1607.0643207528283"/>
    <n v="29786.3782928721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189F0-47DB-47C5-B4C6-E84DD35D2CC6}" name="TablaDinámica7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E40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2">
        <item x="2"/>
        <item x="5"/>
        <item x="4"/>
        <item x="9"/>
        <item x="1"/>
        <item x="10"/>
        <item x="0"/>
        <item x="3"/>
        <item x="7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VALOR _x000a_CFR" fld="14" baseField="0" baseItem="0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90DE6-AE32-47B0-94D4-18B7DC602421}" name="TablaDinámica2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E1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dataField="1" numFmtId="165" showAll="0"/>
    <pivotField dataField="1" showAll="0"/>
    <pivotField dataField="1" numFmtId="165" showAll="0"/>
    <pivotField dataField="1" showAll="0"/>
    <pivotField showAll="0"/>
    <pivotField dataField="1" showAll="0"/>
    <pivotField dataField="1" showAll="0"/>
    <pivotField numFmtId="9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4">
    <i>
      <x/>
    </i>
    <i>
      <x v="1"/>
    </i>
    <i>
      <x v="2"/>
    </i>
    <i t="grand">
      <x/>
    </i>
  </colItems>
  <dataFields count="12">
    <dataField name="Suma de  Cantidad " fld="5" baseField="0" baseItem="0"/>
    <dataField name="Suma de VALOR _x000a_CFR" fld="14" baseField="0" baseItem="0"/>
    <dataField name="Suma de COSTO _x000a_VENTAS" fld="31" baseField="0" baseItem="0" numFmtId="165"/>
    <dataField name="Suma de UTILIDAD _x000a_BRUTA" fld="35" baseField="0" baseItem="0" numFmtId="165"/>
    <dataField name="Suma de GASTO_x000a_VENTAS" fld="39" baseField="0" baseItem="0" numFmtId="165"/>
    <dataField name="Suma de GASTO _x000a_ADM" fld="40" baseField="0" baseItem="0"/>
    <dataField name="Suma de DRAWBACK" fld="41" baseField="0" baseItem="0" numFmtId="165"/>
    <dataField name="Suma de UTILIDAD _x000a_OPERATIVA" fld="42" baseField="0" baseItem="0"/>
    <dataField name="Suma de GASTO _x000a_FINANCIERO" fld="44" baseField="0" baseItem="0"/>
    <dataField name="Suma de UTILIDAD _x000a_NETA" fld="45" baseField="0" baseItem="0"/>
    <dataField name="Suma de DEPRECIACIÓN" fld="47" baseField="0" baseItem="0"/>
    <dataField name="Suma de EBITDA" fld="48" baseField="0" baseItem="0"/>
  </dataFields>
  <formats count="15">
    <format dxfId="61">
      <pivotArea outline="0" collapsedLevelsAreSubtotals="1" fieldPosition="0"/>
    </format>
    <format dxfId="60">
      <pivotArea collapsedLevelsAreSubtotals="1" fieldPosition="0">
        <references count="1">
          <reference field="4294967294" count="1">
            <x v="3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8">
      <pivotArea collapsedLevelsAreSubtotals="1" fieldPosition="0">
        <references count="1">
          <reference field="4294967294" count="1">
            <x v="7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6">
      <pivotArea collapsedLevelsAreSubtotals="1" fieldPosition="0">
        <references count="1">
          <reference field="4294967294" count="1">
            <x v="9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4">
      <pivotArea collapsedLevelsAreSubtotals="1" fieldPosition="0">
        <references count="1">
          <reference field="4294967294" count="1">
            <x v="1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2">
      <pivotArea collapsedLevelsAreSubtotals="1" fieldPosition="0">
        <references count="1">
          <reference field="4294967294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">
      <pivotArea collapsedLevelsAreSubtotals="1" fieldPosition="0">
        <references count="1">
          <reference field="4294967294" count="1">
            <x v="0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">
      <pivotArea collapsedLevelsAreSubtotals="1" fieldPosition="0">
        <references count="2">
          <reference field="4294967294" count="1">
            <x v="9"/>
          </reference>
          <reference field="1" count="0" selected="0"/>
        </references>
      </pivotArea>
    </format>
    <format dxfId="47">
      <pivotArea field="1" grandCol="1" collapsedLevelsAreSubtotals="1" axis="axisCol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1F805-2B4A-4821-B71B-EE46597FAE85}" name="TablaDinámica4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9:E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x="0"/>
        <item x="13"/>
        <item x="14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VALOR _x000a_CFR" fld="14" baseField="0" baseItem="0"/>
  </dataFields>
  <formats count="1"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60C1E-8F59-4AC2-81DB-052EBD689B9F}" name="TablaDinámica9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27:S40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2">
        <item x="2"/>
        <item x="5"/>
        <item x="4"/>
        <item x="9"/>
        <item x="1"/>
        <item x="10"/>
        <item x="0"/>
        <item x="3"/>
        <item x="7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EBITDA" fld="48" baseField="0" baseItem="0"/>
  </dataFields>
  <formats count="1"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EA078-F94B-4EB3-ADA9-DE632E74DFB2}" name="TablaDinámica8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7:L40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2">
        <item x="2"/>
        <item x="5"/>
        <item x="4"/>
        <item x="9"/>
        <item x="1"/>
        <item x="10"/>
        <item x="0"/>
        <item x="3"/>
        <item x="7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UTILIDAD _x000a_NETA" fld="45" baseField="0" baseItem="0"/>
  </dataFields>
  <formats count="1"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BE572-1B8E-49A7-A212-67D2F2040830}" name="TablaDinámica5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9:L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x="0"/>
        <item x="13"/>
        <item x="14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UTILIDAD _x000a_NETA" fld="45" baseField="0" baseItem="0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3805A-4039-4593-A3BB-09942CEF70B2}" name="TablaDinámica10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49:Z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x="0"/>
        <item x="13"/>
        <item x="14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UTILIDAD _x000a_BRUTA" fld="35" baseField="0" baseItem="0" numFmtId="165"/>
  </dataFields>
  <formats count="1"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7ED9D-B197-48DF-AD0E-AC62545EAED9}" name="TablaDinámica6" cacheId="72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9:S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x="0"/>
        <item x="13"/>
        <item x="14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EBITDA" fld="48" baseField="0" baseItem="0"/>
  </dataFields>
  <formats count="1"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334C-21BE-48A2-AF1B-C2A868C004CD}">
  <dimension ref="A1:AA68"/>
  <sheetViews>
    <sheetView showGridLines="0" zoomScale="110" zoomScaleNormal="110" workbookViewId="0">
      <selection activeCell="B12" sqref="B12"/>
    </sheetView>
  </sheetViews>
  <sheetFormatPr baseColWidth="10" defaultColWidth="11.44140625" defaultRowHeight="14.4"/>
  <cols>
    <col min="1" max="1" width="34.77734375" bestFit="1" customWidth="1"/>
    <col min="2" max="2" width="21.21875" bestFit="1" customWidth="1"/>
    <col min="3" max="4" width="10.44140625" bestFit="1" customWidth="1"/>
    <col min="5" max="5" width="11.6640625" bestFit="1" customWidth="1"/>
    <col min="6" max="7" width="7.109375" customWidth="1"/>
    <col min="8" max="8" width="34.77734375" bestFit="1" customWidth="1"/>
    <col min="9" max="9" width="21.21875" bestFit="1" customWidth="1"/>
    <col min="10" max="11" width="8.88671875" bestFit="1" customWidth="1"/>
    <col min="12" max="12" width="11.6640625" bestFit="1" customWidth="1"/>
    <col min="13" max="14" width="7.109375" customWidth="1"/>
    <col min="15" max="15" width="34.77734375" bestFit="1" customWidth="1"/>
    <col min="16" max="16" width="21.21875" bestFit="1" customWidth="1"/>
    <col min="17" max="18" width="8.88671875" bestFit="1" customWidth="1"/>
    <col min="19" max="19" width="11.6640625" bestFit="1" customWidth="1"/>
    <col min="20" max="20" width="7.109375" customWidth="1"/>
    <col min="21" max="21" width="11.5546875" customWidth="1"/>
    <col min="22" max="22" width="34.77734375" bestFit="1" customWidth="1"/>
    <col min="23" max="23" width="21.21875" bestFit="1" customWidth="1"/>
    <col min="24" max="25" width="8.88671875" bestFit="1" customWidth="1"/>
    <col min="26" max="26" width="11.6640625" bestFit="1" customWidth="1"/>
  </cols>
  <sheetData>
    <row r="1" spans="1:19">
      <c r="H1" s="114">
        <v>64340.28</v>
      </c>
    </row>
    <row r="2" spans="1:19">
      <c r="A2" s="53" t="s">
        <v>0</v>
      </c>
    </row>
    <row r="4" spans="1:19">
      <c r="A4" s="189" t="s">
        <v>1</v>
      </c>
      <c r="B4" s="189"/>
      <c r="C4" s="189"/>
      <c r="D4" s="189"/>
      <c r="E4" s="189"/>
    </row>
    <row r="5" spans="1:19">
      <c r="B5" s="77" t="s">
        <v>2</v>
      </c>
      <c r="H5" s="189" t="s">
        <v>3</v>
      </c>
      <c r="I5" s="189"/>
      <c r="J5" s="189"/>
      <c r="K5" s="189"/>
      <c r="L5" s="189"/>
      <c r="O5" s="189" t="s">
        <v>4</v>
      </c>
      <c r="P5" s="189"/>
      <c r="Q5" s="189"/>
      <c r="R5" s="189"/>
      <c r="S5" s="189"/>
    </row>
    <row r="6" spans="1:19">
      <c r="A6" s="77" t="s">
        <v>5</v>
      </c>
      <c r="B6" t="s">
        <v>6</v>
      </c>
      <c r="C6" t="s">
        <v>7</v>
      </c>
      <c r="D6" t="s">
        <v>8</v>
      </c>
      <c r="E6" t="s">
        <v>9</v>
      </c>
      <c r="H6" s="82" t="s">
        <v>10</v>
      </c>
      <c r="I6" s="82" t="s">
        <v>6</v>
      </c>
      <c r="J6" s="82" t="s">
        <v>7</v>
      </c>
      <c r="K6" s="82" t="s">
        <v>8</v>
      </c>
      <c r="L6" s="82" t="s">
        <v>11</v>
      </c>
      <c r="O6" s="82" t="s">
        <v>10</v>
      </c>
      <c r="P6" s="82" t="s">
        <v>6</v>
      </c>
      <c r="Q6" s="82" t="s">
        <v>7</v>
      </c>
      <c r="R6" s="82" t="s">
        <v>8</v>
      </c>
      <c r="S6" s="82" t="s">
        <v>11</v>
      </c>
    </row>
    <row r="7" spans="1:19">
      <c r="A7" s="80" t="s">
        <v>12</v>
      </c>
      <c r="B7" s="81">
        <v>248</v>
      </c>
      <c r="C7" s="81">
        <v>1634.3</v>
      </c>
      <c r="D7" s="81">
        <v>1995.8</v>
      </c>
      <c r="E7" s="81">
        <v>3878.1</v>
      </c>
      <c r="H7" s="80"/>
      <c r="O7" s="80"/>
    </row>
    <row r="8" spans="1:19">
      <c r="A8" s="1" t="s">
        <v>13</v>
      </c>
      <c r="B8" s="58">
        <v>564615.28</v>
      </c>
      <c r="C8" s="58">
        <v>2769824.5</v>
      </c>
      <c r="D8" s="58">
        <v>3909830</v>
      </c>
      <c r="E8" s="58">
        <v>7244269.7800000003</v>
      </c>
      <c r="H8" s="1" t="s">
        <v>13</v>
      </c>
      <c r="I8" s="56">
        <f t="shared" ref="I8:I18" si="0">B8/B$7</f>
        <v>2276.6745161290323</v>
      </c>
      <c r="J8" s="56">
        <f t="shared" ref="J8:J18" si="1">C8/C$7</f>
        <v>1694.8078688123355</v>
      </c>
      <c r="K8" s="56">
        <f t="shared" ref="K8:K18" si="2">D8/D$7</f>
        <v>1959.0289608177172</v>
      </c>
      <c r="L8" s="56">
        <f t="shared" ref="L8:L18" si="3">E8/E$7</f>
        <v>1867.9945798200151</v>
      </c>
      <c r="O8" s="1" t="s">
        <v>13</v>
      </c>
      <c r="P8" s="74">
        <f t="shared" ref="P8:P18" si="4">B8/B$8</f>
        <v>1</v>
      </c>
      <c r="Q8" s="74">
        <f t="shared" ref="Q8:Q18" si="5">C8/C$8</f>
        <v>1</v>
      </c>
      <c r="R8" s="74">
        <f t="shared" ref="R8:R18" si="6">D8/D$8</f>
        <v>1</v>
      </c>
      <c r="S8" s="74">
        <f t="shared" ref="S8:S18" si="7">E8/E$8</f>
        <v>1</v>
      </c>
    </row>
    <row r="9" spans="1:19">
      <c r="A9" s="1" t="s">
        <v>14</v>
      </c>
      <c r="B9" s="58">
        <v>442635.6</v>
      </c>
      <c r="C9" s="58">
        <v>2804315.0154651925</v>
      </c>
      <c r="D9" s="58">
        <v>3522312</v>
      </c>
      <c r="E9" s="58">
        <v>6769262.6154651921</v>
      </c>
      <c r="H9" s="1" t="s">
        <v>14</v>
      </c>
      <c r="I9" s="56">
        <f t="shared" si="0"/>
        <v>1784.8209677419354</v>
      </c>
      <c r="J9" s="56">
        <f t="shared" si="1"/>
        <v>1715.9120207215276</v>
      </c>
      <c r="K9" s="56">
        <f t="shared" si="2"/>
        <v>1764.8622106423491</v>
      </c>
      <c r="L9" s="56">
        <f t="shared" si="3"/>
        <v>1745.5100733516908</v>
      </c>
      <c r="O9" s="1" t="s">
        <v>14</v>
      </c>
      <c r="P9" s="74">
        <f t="shared" si="4"/>
        <v>0.7839596547936144</v>
      </c>
      <c r="Q9" s="74">
        <f t="shared" si="5"/>
        <v>1.012452238567892</v>
      </c>
      <c r="R9" s="74">
        <f t="shared" si="6"/>
        <v>0.90088622778995509</v>
      </c>
      <c r="S9" s="74">
        <f t="shared" si="7"/>
        <v>0.93442994546583436</v>
      </c>
    </row>
    <row r="10" spans="1:19">
      <c r="A10" s="78" t="s">
        <v>15</v>
      </c>
      <c r="B10" s="79">
        <v>121979.68</v>
      </c>
      <c r="C10" s="79">
        <v>-34490.515465192351</v>
      </c>
      <c r="D10" s="79">
        <v>387518</v>
      </c>
      <c r="E10" s="79">
        <v>475007.16453480767</v>
      </c>
      <c r="H10" s="78" t="s">
        <v>15</v>
      </c>
      <c r="I10" s="83">
        <f t="shared" si="0"/>
        <v>491.85354838709674</v>
      </c>
      <c r="J10" s="83">
        <f t="shared" si="1"/>
        <v>-21.10415190919192</v>
      </c>
      <c r="K10" s="83">
        <f t="shared" si="2"/>
        <v>194.16675017536826</v>
      </c>
      <c r="L10" s="83">
        <f t="shared" si="3"/>
        <v>122.4845064683241</v>
      </c>
      <c r="O10" s="78" t="s">
        <v>15</v>
      </c>
      <c r="P10" s="85">
        <f t="shared" si="4"/>
        <v>0.21604034520638546</v>
      </c>
      <c r="Q10" s="85">
        <f t="shared" si="5"/>
        <v>-1.2452238567892064E-2</v>
      </c>
      <c r="R10" s="85">
        <f t="shared" si="6"/>
        <v>9.9113772210044943E-2</v>
      </c>
      <c r="S10" s="85">
        <f t="shared" si="7"/>
        <v>6.5570054534165575E-2</v>
      </c>
    </row>
    <row r="11" spans="1:19">
      <c r="A11" s="1" t="s">
        <v>16</v>
      </c>
      <c r="B11" s="58">
        <v>50584.692307692312</v>
      </c>
      <c r="C11" s="58">
        <v>300510.53846153844</v>
      </c>
      <c r="D11" s="58">
        <v>363885.05769230763</v>
      </c>
      <c r="E11" s="58">
        <v>714980.28846153838</v>
      </c>
      <c r="H11" s="1" t="s">
        <v>16</v>
      </c>
      <c r="I11" s="56">
        <f t="shared" si="0"/>
        <v>203.97053349875932</v>
      </c>
      <c r="J11" s="56">
        <f t="shared" si="1"/>
        <v>183.87721866336562</v>
      </c>
      <c r="K11" s="56">
        <f t="shared" si="2"/>
        <v>182.32541221179861</v>
      </c>
      <c r="L11" s="56">
        <f t="shared" si="3"/>
        <v>184.36355134254876</v>
      </c>
      <c r="O11" s="1" t="s">
        <v>16</v>
      </c>
      <c r="P11" s="74">
        <f t="shared" si="4"/>
        <v>8.9591433493780598E-2</v>
      </c>
      <c r="Q11" s="74">
        <f t="shared" si="5"/>
        <v>0.1084944329366494</v>
      </c>
      <c r="R11" s="74">
        <f t="shared" si="6"/>
        <v>9.3069278636745745E-2</v>
      </c>
      <c r="S11" s="74">
        <f t="shared" si="7"/>
        <v>9.8695977672650717E-2</v>
      </c>
    </row>
    <row r="12" spans="1:19">
      <c r="A12" s="1" t="s">
        <v>17</v>
      </c>
      <c r="B12" s="58">
        <v>60070</v>
      </c>
      <c r="C12" s="58">
        <v>65590</v>
      </c>
      <c r="D12" s="58">
        <v>70585.575882470715</v>
      </c>
      <c r="E12" s="58">
        <v>196245.5758824707</v>
      </c>
      <c r="H12" s="1" t="s">
        <v>17</v>
      </c>
      <c r="I12" s="56">
        <f t="shared" si="0"/>
        <v>242.21774193548387</v>
      </c>
      <c r="J12" s="56">
        <f t="shared" si="1"/>
        <v>40.133390442391239</v>
      </c>
      <c r="K12" s="56">
        <f t="shared" si="2"/>
        <v>35.367058764641108</v>
      </c>
      <c r="L12" s="56">
        <f t="shared" si="3"/>
        <v>50.603536753170552</v>
      </c>
      <c r="O12" s="1" t="s">
        <v>17</v>
      </c>
      <c r="P12" s="74">
        <f t="shared" si="4"/>
        <v>0.10639102788716592</v>
      </c>
      <c r="Q12" s="74">
        <f t="shared" si="5"/>
        <v>2.3680200676974298E-2</v>
      </c>
      <c r="R12" s="74">
        <f t="shared" si="6"/>
        <v>1.8053361880815973E-2</v>
      </c>
      <c r="S12" s="74">
        <f t="shared" si="7"/>
        <v>2.708976637290152E-2</v>
      </c>
    </row>
    <row r="13" spans="1:19">
      <c r="A13" s="1" t="s">
        <v>18</v>
      </c>
      <c r="B13" s="58">
        <v>15120.72</v>
      </c>
      <c r="C13" s="58">
        <v>75707.235000000015</v>
      </c>
      <c r="D13" s="58">
        <v>109832.61750000001</v>
      </c>
      <c r="E13" s="58">
        <v>200660.57250000001</v>
      </c>
      <c r="H13" s="1" t="s">
        <v>18</v>
      </c>
      <c r="I13" s="56">
        <f t="shared" si="0"/>
        <v>60.970645161290321</v>
      </c>
      <c r="J13" s="56">
        <f t="shared" si="1"/>
        <v>46.323952150767923</v>
      </c>
      <c r="K13" s="56">
        <f t="shared" si="2"/>
        <v>55.031875688946791</v>
      </c>
      <c r="L13" s="56">
        <f t="shared" si="3"/>
        <v>51.74197996441557</v>
      </c>
      <c r="O13" s="1" t="s">
        <v>18</v>
      </c>
      <c r="P13" s="74">
        <f t="shared" si="4"/>
        <v>2.6780571719560969E-2</v>
      </c>
      <c r="Q13" s="74">
        <f t="shared" si="5"/>
        <v>2.7332863508139238E-2</v>
      </c>
      <c r="R13" s="74">
        <f t="shared" si="6"/>
        <v>2.8091404869265417E-2</v>
      </c>
      <c r="S13" s="74">
        <f t="shared" si="7"/>
        <v>2.7699213115169215E-2</v>
      </c>
    </row>
    <row r="14" spans="1:19">
      <c r="A14" s="78" t="s">
        <v>19</v>
      </c>
      <c r="B14" s="79">
        <v>26445.707692307697</v>
      </c>
      <c r="C14" s="79">
        <v>-324883.81892673089</v>
      </c>
      <c r="D14" s="79">
        <v>62879.983925221597</v>
      </c>
      <c r="E14" s="79">
        <v>-235558.12730920158</v>
      </c>
      <c r="H14" s="78" t="s">
        <v>19</v>
      </c>
      <c r="I14" s="83">
        <f t="shared" si="0"/>
        <v>106.63591811414393</v>
      </c>
      <c r="J14" s="83">
        <f t="shared" si="1"/>
        <v>-198.79080886418095</v>
      </c>
      <c r="K14" s="83">
        <f t="shared" si="2"/>
        <v>31.506154887875336</v>
      </c>
      <c r="L14" s="83">
        <f t="shared" si="3"/>
        <v>-60.740601662979699</v>
      </c>
      <c r="O14" s="78" t="s">
        <v>19</v>
      </c>
      <c r="P14" s="85">
        <f t="shared" si="4"/>
        <v>4.6838455544999942E-2</v>
      </c>
      <c r="Q14" s="85">
        <f t="shared" si="5"/>
        <v>-0.11729400867337655</v>
      </c>
      <c r="R14" s="85">
        <f t="shared" si="6"/>
        <v>1.6082536561748618E-2</v>
      </c>
      <c r="S14" s="85">
        <f t="shared" si="7"/>
        <v>-3.2516476396217478E-2</v>
      </c>
    </row>
    <row r="15" spans="1:19">
      <c r="A15" s="1" t="s">
        <v>20</v>
      </c>
      <c r="B15" s="58">
        <v>131251</v>
      </c>
      <c r="C15" s="58">
        <v>148498</v>
      </c>
      <c r="D15" s="58">
        <v>105578.67913905295</v>
      </c>
      <c r="E15" s="58">
        <v>385327.67913905298</v>
      </c>
      <c r="H15" s="1" t="s">
        <v>20</v>
      </c>
      <c r="I15" s="56">
        <f t="shared" si="0"/>
        <v>529.23790322580646</v>
      </c>
      <c r="J15" s="56">
        <f t="shared" si="1"/>
        <v>90.863366578963479</v>
      </c>
      <c r="K15" s="56">
        <f t="shared" si="2"/>
        <v>52.900430473520871</v>
      </c>
      <c r="L15" s="56">
        <f t="shared" si="3"/>
        <v>99.359913137632603</v>
      </c>
      <c r="O15" s="1" t="s">
        <v>20</v>
      </c>
      <c r="P15" s="74">
        <f t="shared" si="4"/>
        <v>0.23246094225434352</v>
      </c>
      <c r="Q15" s="74">
        <f t="shared" si="5"/>
        <v>5.3612783048167856E-2</v>
      </c>
      <c r="R15" s="74">
        <f t="shared" si="6"/>
        <v>2.7003393789257576E-2</v>
      </c>
      <c r="S15" s="74">
        <f t="shared" si="7"/>
        <v>5.3190685996105047E-2</v>
      </c>
    </row>
    <row r="16" spans="1:19">
      <c r="A16" s="78" t="s">
        <v>21</v>
      </c>
      <c r="B16" s="121">
        <v>-104805.2923076923</v>
      </c>
      <c r="C16" s="121">
        <v>-473381.81892673089</v>
      </c>
      <c r="D16" s="121">
        <v>-42698.695213831394</v>
      </c>
      <c r="E16" s="121">
        <v>-620885.80644825462</v>
      </c>
      <c r="H16" s="78" t="s">
        <v>21</v>
      </c>
      <c r="I16" s="83">
        <f t="shared" si="0"/>
        <v>-422.60198511166249</v>
      </c>
      <c r="J16" s="83">
        <f t="shared" si="1"/>
        <v>-289.65417544314442</v>
      </c>
      <c r="K16" s="83">
        <f t="shared" si="2"/>
        <v>-21.394275585645552</v>
      </c>
      <c r="L16" s="83">
        <f t="shared" si="3"/>
        <v>-160.10051480061233</v>
      </c>
      <c r="O16" s="78" t="s">
        <v>21</v>
      </c>
      <c r="P16" s="85">
        <f t="shared" si="4"/>
        <v>-0.18562248670934356</v>
      </c>
      <c r="Q16" s="85">
        <f t="shared" si="5"/>
        <v>-0.17090679172154441</v>
      </c>
      <c r="R16" s="85">
        <f t="shared" si="6"/>
        <v>-1.0920857227508969E-2</v>
      </c>
      <c r="S16" s="85">
        <f t="shared" si="7"/>
        <v>-8.5707162392322525E-2</v>
      </c>
    </row>
    <row r="17" spans="1:20">
      <c r="A17" s="1" t="s">
        <v>22</v>
      </c>
      <c r="B17" s="58">
        <v>123530</v>
      </c>
      <c r="C17" s="58">
        <v>124152.39344367619</v>
      </c>
      <c r="D17" s="58">
        <v>123360.72966763443</v>
      </c>
      <c r="E17" s="58">
        <v>371043.12311131059</v>
      </c>
      <c r="H17" s="1" t="s">
        <v>22</v>
      </c>
      <c r="I17" s="56">
        <f t="shared" si="0"/>
        <v>498.10483870967744</v>
      </c>
      <c r="J17" s="56">
        <f t="shared" si="1"/>
        <v>75.966709565976984</v>
      </c>
      <c r="K17" s="56">
        <f t="shared" si="2"/>
        <v>61.810166182801098</v>
      </c>
      <c r="L17" s="56">
        <f t="shared" si="3"/>
        <v>95.676522810476939</v>
      </c>
      <c r="O17" s="1" t="s">
        <v>22</v>
      </c>
      <c r="P17" s="74">
        <f t="shared" si="4"/>
        <v>0.21878614408026648</v>
      </c>
      <c r="Q17" s="74">
        <f t="shared" si="5"/>
        <v>4.4823198525277032E-2</v>
      </c>
      <c r="R17" s="74">
        <f t="shared" si="6"/>
        <v>3.1551430539853251E-2</v>
      </c>
      <c r="S17" s="74">
        <f t="shared" si="7"/>
        <v>5.1218843911043657E-2</v>
      </c>
    </row>
    <row r="18" spans="1:20">
      <c r="A18" s="78" t="s">
        <v>23</v>
      </c>
      <c r="B18" s="79">
        <v>149975.70769230768</v>
      </c>
      <c r="C18" s="79">
        <v>-200731.42548305463</v>
      </c>
      <c r="D18" s="79">
        <v>186240.71359285596</v>
      </c>
      <c r="E18" s="79">
        <v>135484.99580210901</v>
      </c>
      <c r="H18" s="78" t="s">
        <v>23</v>
      </c>
      <c r="I18" s="83">
        <f t="shared" si="0"/>
        <v>604.74075682382124</v>
      </c>
      <c r="J18" s="83">
        <f t="shared" si="1"/>
        <v>-122.8240992982039</v>
      </c>
      <c r="K18" s="83">
        <f t="shared" si="2"/>
        <v>93.316321070676395</v>
      </c>
      <c r="L18" s="83">
        <f t="shared" si="3"/>
        <v>34.935921147497233</v>
      </c>
      <c r="O18" s="78" t="s">
        <v>23</v>
      </c>
      <c r="P18" s="85">
        <f t="shared" si="4"/>
        <v>0.26562459962526641</v>
      </c>
      <c r="Q18" s="85">
        <f t="shared" si="5"/>
        <v>-7.2470810148099502E-2</v>
      </c>
      <c r="R18" s="85">
        <f t="shared" si="6"/>
        <v>4.7633967101601851E-2</v>
      </c>
      <c r="S18" s="85">
        <f t="shared" si="7"/>
        <v>1.8702367514826183E-2</v>
      </c>
    </row>
    <row r="21" spans="1:20">
      <c r="A21" s="56"/>
    </row>
    <row r="24" spans="1:20">
      <c r="A24" s="88" t="s">
        <v>24</v>
      </c>
    </row>
    <row r="26" spans="1:20">
      <c r="A26" s="189" t="s">
        <v>25</v>
      </c>
      <c r="B26" s="189"/>
      <c r="C26" s="189"/>
      <c r="D26" s="189"/>
      <c r="E26" s="189"/>
      <c r="H26" s="189" t="s">
        <v>26</v>
      </c>
      <c r="I26" s="189"/>
      <c r="J26" s="189"/>
      <c r="K26" s="189"/>
      <c r="L26" s="189"/>
      <c r="O26" s="189" t="s">
        <v>27</v>
      </c>
      <c r="P26" s="189"/>
      <c r="Q26" s="189"/>
      <c r="R26" s="189"/>
      <c r="S26" s="189"/>
    </row>
    <row r="27" spans="1:20">
      <c r="A27" s="77" t="s">
        <v>13</v>
      </c>
      <c r="B27" s="77" t="s">
        <v>2</v>
      </c>
      <c r="F27" s="86"/>
      <c r="H27" s="77" t="s">
        <v>21</v>
      </c>
      <c r="I27" s="77" t="s">
        <v>2</v>
      </c>
      <c r="M27" s="86"/>
      <c r="O27" s="77" t="s">
        <v>23</v>
      </c>
      <c r="P27" s="77" t="s">
        <v>2</v>
      </c>
      <c r="T27" s="86"/>
    </row>
    <row r="28" spans="1:20">
      <c r="A28" s="77" t="s">
        <v>28</v>
      </c>
      <c r="B28" t="s">
        <v>6</v>
      </c>
      <c r="C28" t="s">
        <v>7</v>
      </c>
      <c r="D28" t="s">
        <v>8</v>
      </c>
      <c r="E28" t="s">
        <v>9</v>
      </c>
      <c r="F28" s="87" t="s">
        <v>29</v>
      </c>
      <c r="H28" s="77" t="s">
        <v>28</v>
      </c>
      <c r="I28" t="s">
        <v>6</v>
      </c>
      <c r="J28" t="s">
        <v>7</v>
      </c>
      <c r="K28" t="s">
        <v>8</v>
      </c>
      <c r="L28" t="s">
        <v>9</v>
      </c>
      <c r="M28" s="87" t="s">
        <v>30</v>
      </c>
      <c r="O28" s="77" t="s">
        <v>28</v>
      </c>
      <c r="P28" t="s">
        <v>6</v>
      </c>
      <c r="Q28" t="s">
        <v>7</v>
      </c>
      <c r="R28" t="s">
        <v>8</v>
      </c>
      <c r="S28" t="s">
        <v>9</v>
      </c>
      <c r="T28" s="87" t="s">
        <v>30</v>
      </c>
    </row>
    <row r="29" spans="1:20">
      <c r="A29" s="1" t="s">
        <v>31</v>
      </c>
      <c r="B29" s="58">
        <v>149248</v>
      </c>
      <c r="C29" s="58">
        <v>532695</v>
      </c>
      <c r="D29" s="58">
        <v>795200</v>
      </c>
      <c r="E29" s="58">
        <v>1477143</v>
      </c>
      <c r="F29" s="73">
        <f t="shared" ref="F29:F40" si="8">E29/$E$40</f>
        <v>0.20390502353709969</v>
      </c>
      <c r="H29" s="1" t="s">
        <v>31</v>
      </c>
      <c r="I29" s="58">
        <v>-8043.0503473945428</v>
      </c>
      <c r="J29" s="58">
        <v>114631.26310068362</v>
      </c>
      <c r="K29" s="58">
        <v>147844.76721601453</v>
      </c>
      <c r="L29" s="58">
        <v>254432.97996930359</v>
      </c>
      <c r="M29" s="73">
        <f>L29/E29</f>
        <v>0.17224668158012027</v>
      </c>
      <c r="O29" s="1" t="s">
        <v>31</v>
      </c>
      <c r="P29" s="58">
        <v>51501.734975186104</v>
      </c>
      <c r="Q29" s="58">
        <v>149500.02229422214</v>
      </c>
      <c r="R29" s="58">
        <v>185813.97470925711</v>
      </c>
      <c r="S29" s="58">
        <v>386815.73197866534</v>
      </c>
      <c r="T29" s="73">
        <f t="shared" ref="T29:T39" si="9">S29/E29</f>
        <v>0.26186749148773364</v>
      </c>
    </row>
    <row r="30" spans="1:20">
      <c r="A30" s="1" t="s">
        <v>32</v>
      </c>
      <c r="B30" s="58">
        <v>135915</v>
      </c>
      <c r="C30" s="58">
        <v>710550</v>
      </c>
      <c r="D30" s="58">
        <v>772480</v>
      </c>
      <c r="E30" s="58">
        <v>1618945</v>
      </c>
      <c r="F30" s="73">
        <f t="shared" si="8"/>
        <v>0.22347939118302687</v>
      </c>
      <c r="H30" s="1" t="s">
        <v>32</v>
      </c>
      <c r="I30" s="58">
        <v>-53443.472605459057</v>
      </c>
      <c r="J30" s="58">
        <v>-161122.80742298317</v>
      </c>
      <c r="K30" s="58">
        <v>-117583.74995803079</v>
      </c>
      <c r="L30" s="58">
        <v>-332150.02998647303</v>
      </c>
      <c r="M30" s="73">
        <f t="shared" ref="M30:M38" si="10">L30/E30</f>
        <v>-0.20516449291759326</v>
      </c>
      <c r="O30" s="1" t="s">
        <v>32</v>
      </c>
      <c r="P30" s="58">
        <v>20525.204813895783</v>
      </c>
      <c r="Q30" s="58">
        <v>-84494.955281393486</v>
      </c>
      <c r="R30" s="58">
        <v>-62201.473892358525</v>
      </c>
      <c r="S30" s="58">
        <v>-126171.22435985622</v>
      </c>
      <c r="T30" s="73">
        <f t="shared" si="9"/>
        <v>-7.7934225288602277E-2</v>
      </c>
    </row>
    <row r="31" spans="1:20">
      <c r="A31" s="1" t="s">
        <v>33</v>
      </c>
      <c r="B31" s="58">
        <v>94800</v>
      </c>
      <c r="C31" s="58">
        <v>1147500</v>
      </c>
      <c r="D31" s="58">
        <v>432150</v>
      </c>
      <c r="E31" s="58">
        <v>1674450</v>
      </c>
      <c r="F31" s="73">
        <f t="shared" si="8"/>
        <v>0.2311413090416409</v>
      </c>
      <c r="H31" s="1" t="s">
        <v>33</v>
      </c>
      <c r="I31" s="58">
        <v>-37930.281736972705</v>
      </c>
      <c r="J31" s="58">
        <v>-503763.4986073827</v>
      </c>
      <c r="K31" s="58">
        <v>-145916.47050062762</v>
      </c>
      <c r="L31" s="58">
        <v>-687610.25084498303</v>
      </c>
      <c r="M31" s="73">
        <f t="shared" si="10"/>
        <v>-0.41064842237450089</v>
      </c>
      <c r="O31" s="1" t="s">
        <v>33</v>
      </c>
      <c r="P31" s="58">
        <v>11382.16987593052</v>
      </c>
      <c r="Q31" s="58">
        <v>-368626.20221137221</v>
      </c>
      <c r="R31" s="58">
        <v>-112306.26568032529</v>
      </c>
      <c r="S31" s="58">
        <v>-469550.29801576695</v>
      </c>
      <c r="T31" s="73">
        <f t="shared" si="9"/>
        <v>-0.28042061453956041</v>
      </c>
    </row>
    <row r="32" spans="1:20">
      <c r="A32" s="1" t="s">
        <v>34</v>
      </c>
      <c r="B32" s="58"/>
      <c r="C32" s="58">
        <v>91800</v>
      </c>
      <c r="D32" s="58">
        <v>1004400</v>
      </c>
      <c r="E32" s="58">
        <v>1096200</v>
      </c>
      <c r="F32" s="73">
        <f t="shared" si="8"/>
        <v>0.15131959925435023</v>
      </c>
      <c r="H32" s="1" t="s">
        <v>34</v>
      </c>
      <c r="I32" s="58"/>
      <c r="J32" s="58">
        <v>29374.465252731054</v>
      </c>
      <c r="K32" s="58">
        <v>267757.02579452784</v>
      </c>
      <c r="L32" s="58">
        <v>297131.4910472589</v>
      </c>
      <c r="M32" s="73">
        <f t="shared" si="10"/>
        <v>0.2710559122854031</v>
      </c>
      <c r="O32" s="1" t="s">
        <v>34</v>
      </c>
      <c r="P32" s="58"/>
      <c r="Q32" s="58">
        <v>33879.041799264742</v>
      </c>
      <c r="R32" s="58">
        <v>304923.25911117613</v>
      </c>
      <c r="S32" s="58">
        <v>338802.30091044086</v>
      </c>
      <c r="T32" s="73">
        <f t="shared" si="9"/>
        <v>0.30906978736584645</v>
      </c>
    </row>
    <row r="33" spans="1:27">
      <c r="A33" s="1" t="s">
        <v>35</v>
      </c>
      <c r="B33" s="58">
        <v>35874</v>
      </c>
      <c r="C33" s="58">
        <v>23456</v>
      </c>
      <c r="D33" s="58">
        <v>470900</v>
      </c>
      <c r="E33" s="58">
        <v>530230</v>
      </c>
      <c r="F33" s="73">
        <f t="shared" si="8"/>
        <v>7.3193022361461524E-2</v>
      </c>
      <c r="H33" s="1" t="s">
        <v>35</v>
      </c>
      <c r="I33" s="58">
        <v>-21331.2699751861</v>
      </c>
      <c r="J33" s="58">
        <v>-6620.8869682436216</v>
      </c>
      <c r="K33" s="58">
        <v>-339879.92181823083</v>
      </c>
      <c r="L33" s="58">
        <v>-367832.07876166055</v>
      </c>
      <c r="M33" s="73">
        <f t="shared" si="10"/>
        <v>-0.69372174105890005</v>
      </c>
      <c r="O33" s="1" t="s">
        <v>35</v>
      </c>
      <c r="P33" s="58">
        <v>-743.32142679900426</v>
      </c>
      <c r="Q33" s="58">
        <v>-4290.9886019705991</v>
      </c>
      <c r="R33" s="58">
        <v>-295716.34210554685</v>
      </c>
      <c r="S33" s="58">
        <v>-300750.65213431645</v>
      </c>
      <c r="T33" s="73">
        <f t="shared" si="9"/>
        <v>-0.56720791380026869</v>
      </c>
    </row>
    <row r="34" spans="1:27">
      <c r="A34" s="1" t="s">
        <v>36</v>
      </c>
      <c r="B34" s="58"/>
      <c r="C34" s="58"/>
      <c r="D34" s="58">
        <v>180900</v>
      </c>
      <c r="E34" s="58">
        <v>180900</v>
      </c>
      <c r="F34" s="73">
        <f t="shared" si="8"/>
        <v>2.4971460960693265E-2</v>
      </c>
      <c r="H34" s="1" t="s">
        <v>36</v>
      </c>
      <c r="I34" s="58"/>
      <c r="J34" s="58"/>
      <c r="K34" s="58">
        <v>74731.170965754645</v>
      </c>
      <c r="L34" s="58">
        <v>74731.170965754645</v>
      </c>
      <c r="M34" s="73">
        <f t="shared" si="10"/>
        <v>0.41310763386265698</v>
      </c>
      <c r="O34" s="1" t="s">
        <v>36</v>
      </c>
      <c r="P34" s="58"/>
      <c r="Q34" s="58"/>
      <c r="R34" s="58">
        <v>80925.543185196031</v>
      </c>
      <c r="S34" s="58">
        <v>80925.543185196031</v>
      </c>
      <c r="T34" s="73">
        <f t="shared" si="9"/>
        <v>0.44734960301379784</v>
      </c>
    </row>
    <row r="35" spans="1:27">
      <c r="A35" s="1" t="s">
        <v>37</v>
      </c>
      <c r="B35" s="58">
        <v>74064</v>
      </c>
      <c r="C35" s="58">
        <v>77585</v>
      </c>
      <c r="D35" s="58">
        <v>139200</v>
      </c>
      <c r="E35" s="58">
        <v>290849</v>
      </c>
      <c r="F35" s="73">
        <f t="shared" si="8"/>
        <v>4.0148836091523914E-2</v>
      </c>
      <c r="H35" s="1" t="s">
        <v>37</v>
      </c>
      <c r="I35" s="58">
        <v>2375.0532258064522</v>
      </c>
      <c r="J35" s="58">
        <v>20917.791781109616</v>
      </c>
      <c r="K35" s="58">
        <v>40825.447856546045</v>
      </c>
      <c r="L35" s="58">
        <v>64118.292863462113</v>
      </c>
      <c r="M35" s="73">
        <f t="shared" si="10"/>
        <v>0.22045216886928307</v>
      </c>
      <c r="O35" s="1" t="s">
        <v>37</v>
      </c>
      <c r="P35" s="58">
        <v>29085.964516129032</v>
      </c>
      <c r="Q35" s="58">
        <v>25422.3683276433</v>
      </c>
      <c r="R35" s="58">
        <v>46675.688286018463</v>
      </c>
      <c r="S35" s="58">
        <v>101184.0211297908</v>
      </c>
      <c r="T35" s="73">
        <f t="shared" si="9"/>
        <v>0.34789193406128538</v>
      </c>
    </row>
    <row r="36" spans="1:27">
      <c r="A36" s="1" t="s">
        <v>38</v>
      </c>
      <c r="B36" s="58">
        <v>50400</v>
      </c>
      <c r="C36" s="58">
        <v>69000</v>
      </c>
      <c r="D36" s="58">
        <v>76800</v>
      </c>
      <c r="E36" s="58">
        <v>196200</v>
      </c>
      <c r="F36" s="73">
        <f t="shared" si="8"/>
        <v>2.7083475071796675E-2</v>
      </c>
      <c r="H36" s="1" t="s">
        <v>38</v>
      </c>
      <c r="I36" s="58">
        <v>-10746.550868486353</v>
      </c>
      <c r="J36" s="58">
        <v>12040.059981187906</v>
      </c>
      <c r="K36" s="58">
        <v>-1900.0702526625441</v>
      </c>
      <c r="L36" s="58">
        <v>-606.56113996099111</v>
      </c>
      <c r="M36" s="73">
        <f t="shared" si="10"/>
        <v>-3.0915450558664176E-3</v>
      </c>
      <c r="O36" s="1" t="s">
        <v>38</v>
      </c>
      <c r="P36" s="58">
        <v>13909.674937965261</v>
      </c>
      <c r="Q36" s="58">
        <v>17708.341141317625</v>
      </c>
      <c r="R36" s="58">
        <v>3606.0383868409094</v>
      </c>
      <c r="S36" s="58">
        <v>35224.054466123795</v>
      </c>
      <c r="T36" s="73">
        <f t="shared" si="9"/>
        <v>0.17953136832886746</v>
      </c>
    </row>
    <row r="37" spans="1:27">
      <c r="A37" s="1" t="s">
        <v>39</v>
      </c>
      <c r="B37" s="58"/>
      <c r="C37" s="58">
        <v>38606.25</v>
      </c>
      <c r="D37" s="58">
        <v>37800</v>
      </c>
      <c r="E37" s="58">
        <v>76406.25</v>
      </c>
      <c r="F37" s="73">
        <f t="shared" si="8"/>
        <v>1.0547129292581369E-2</v>
      </c>
      <c r="H37" s="1" t="s">
        <v>39</v>
      </c>
      <c r="I37" s="58"/>
      <c r="J37" s="58">
        <v>-9624.642176846346</v>
      </c>
      <c r="K37" s="58">
        <v>31423.105482877319</v>
      </c>
      <c r="L37" s="58">
        <v>21798.463306030972</v>
      </c>
      <c r="M37" s="73">
        <f t="shared" si="10"/>
        <v>0.28529686126502701</v>
      </c>
      <c r="O37" s="1" t="s">
        <v>39</v>
      </c>
      <c r="P37" s="58"/>
      <c r="Q37" s="58">
        <v>-5120.0656303126607</v>
      </c>
      <c r="R37" s="58">
        <v>34520.291592598012</v>
      </c>
      <c r="S37" s="58">
        <v>29400.225962285353</v>
      </c>
      <c r="T37" s="73">
        <f t="shared" si="9"/>
        <v>0.38478823345322344</v>
      </c>
    </row>
    <row r="38" spans="1:27">
      <c r="A38" s="1" t="s">
        <v>40</v>
      </c>
      <c r="B38" s="58"/>
      <c r="C38" s="58">
        <v>38606.25</v>
      </c>
      <c r="D38" s="58"/>
      <c r="E38" s="58">
        <v>38606.25</v>
      </c>
      <c r="F38" s="73">
        <f t="shared" si="8"/>
        <v>5.3292120769141207E-3</v>
      </c>
      <c r="H38" s="1" t="s">
        <v>40</v>
      </c>
      <c r="I38" s="58"/>
      <c r="J38" s="58">
        <v>-9239.5638669872042</v>
      </c>
      <c r="K38" s="58"/>
      <c r="L38" s="58">
        <v>-9239.5638669872042</v>
      </c>
      <c r="M38" s="73">
        <f t="shared" si="10"/>
        <v>-0.23932818823343899</v>
      </c>
      <c r="O38" s="1" t="s">
        <v>40</v>
      </c>
      <c r="P38" s="58"/>
      <c r="Q38" s="58">
        <v>-4734.9873204535188</v>
      </c>
      <c r="R38" s="58"/>
      <c r="S38" s="58">
        <v>-4734.9873204535188</v>
      </c>
      <c r="T38" s="73">
        <f t="shared" si="9"/>
        <v>-0.12264820645500453</v>
      </c>
    </row>
    <row r="39" spans="1:27">
      <c r="A39" s="1" t="s">
        <v>423</v>
      </c>
      <c r="B39" s="58">
        <v>24314.28</v>
      </c>
      <c r="C39" s="58">
        <v>40026</v>
      </c>
      <c r="D39" s="58"/>
      <c r="E39" s="58">
        <v>64340.28</v>
      </c>
      <c r="F39" s="120">
        <f t="shared" si="8"/>
        <v>8.8815411289114073E-3</v>
      </c>
      <c r="H39" s="1" t="s">
        <v>423</v>
      </c>
      <c r="I39" s="58">
        <v>24314.28</v>
      </c>
      <c r="J39" s="58">
        <v>40026</v>
      </c>
      <c r="K39" s="58"/>
      <c r="L39" s="58">
        <v>64340.28</v>
      </c>
      <c r="M39" s="120">
        <f t="shared" ref="M39:M40" si="11">L39/E39</f>
        <v>1</v>
      </c>
      <c r="O39" s="1" t="s">
        <v>423</v>
      </c>
      <c r="P39" s="58">
        <v>24314.28</v>
      </c>
      <c r="Q39" s="58">
        <v>40026</v>
      </c>
      <c r="R39" s="58"/>
      <c r="S39" s="58">
        <v>64340.28</v>
      </c>
      <c r="T39" s="84">
        <f t="shared" si="9"/>
        <v>1</v>
      </c>
    </row>
    <row r="40" spans="1:27">
      <c r="A40" s="1" t="s">
        <v>9</v>
      </c>
      <c r="B40" s="58">
        <v>564615.28</v>
      </c>
      <c r="C40" s="58">
        <v>2769824.5</v>
      </c>
      <c r="D40" s="58">
        <v>3909830</v>
      </c>
      <c r="E40" s="58">
        <v>7244269.7800000003</v>
      </c>
      <c r="F40" s="53">
        <f t="shared" si="8"/>
        <v>1</v>
      </c>
      <c r="H40" s="1" t="s">
        <v>9</v>
      </c>
      <c r="I40" s="58">
        <v>-104805.29230769229</v>
      </c>
      <c r="J40" s="58">
        <v>-473381.81892673078</v>
      </c>
      <c r="K40" s="58">
        <v>-42698.695213831394</v>
      </c>
      <c r="L40" s="58">
        <v>-620885.80644825462</v>
      </c>
      <c r="M40" s="84">
        <f t="shared" si="11"/>
        <v>-8.5707162392322525E-2</v>
      </c>
      <c r="O40" s="1" t="s">
        <v>9</v>
      </c>
      <c r="P40" s="58">
        <v>149975.70769230768</v>
      </c>
      <c r="Q40" s="58">
        <v>-200731.42548305466</v>
      </c>
      <c r="R40" s="58">
        <v>186240.71359285602</v>
      </c>
      <c r="S40" s="58">
        <v>135484.99580210901</v>
      </c>
    </row>
    <row r="42" spans="1:27">
      <c r="O42" s="122"/>
    </row>
    <row r="44" spans="1:27">
      <c r="M44" s="122"/>
      <c r="N44" s="122"/>
      <c r="O44" s="122"/>
      <c r="P44" s="122"/>
    </row>
    <row r="46" spans="1:27">
      <c r="A46" s="88" t="s">
        <v>41</v>
      </c>
    </row>
    <row r="48" spans="1:27">
      <c r="A48" s="189" t="s">
        <v>25</v>
      </c>
      <c r="B48" s="189"/>
      <c r="C48" s="189"/>
      <c r="D48" s="189"/>
      <c r="E48" s="189"/>
      <c r="H48" s="189" t="s">
        <v>26</v>
      </c>
      <c r="I48" s="189"/>
      <c r="J48" s="189"/>
      <c r="K48" s="189"/>
      <c r="L48" s="189"/>
      <c r="M48" s="189"/>
      <c r="O48" s="189" t="s">
        <v>27</v>
      </c>
      <c r="P48" s="189"/>
      <c r="Q48" s="189"/>
      <c r="R48" s="189"/>
      <c r="S48" s="189"/>
      <c r="V48" s="189" t="s">
        <v>42</v>
      </c>
      <c r="W48" s="189"/>
      <c r="X48" s="189"/>
      <c r="Y48" s="189"/>
      <c r="Z48" s="189"/>
      <c r="AA48" s="189"/>
    </row>
    <row r="49" spans="1:27">
      <c r="A49" s="77" t="s">
        <v>13</v>
      </c>
      <c r="B49" s="77" t="s">
        <v>2</v>
      </c>
      <c r="F49" s="86"/>
      <c r="H49" s="77" t="s">
        <v>21</v>
      </c>
      <c r="I49" s="77" t="s">
        <v>2</v>
      </c>
      <c r="M49" s="87" t="s">
        <v>30</v>
      </c>
      <c r="O49" s="77" t="s">
        <v>23</v>
      </c>
      <c r="P49" s="77" t="s">
        <v>2</v>
      </c>
      <c r="T49" s="87" t="s">
        <v>30</v>
      </c>
      <c r="V49" s="77" t="s">
        <v>15</v>
      </c>
      <c r="W49" s="77" t="s">
        <v>2</v>
      </c>
      <c r="AA49" s="87" t="s">
        <v>30</v>
      </c>
    </row>
    <row r="50" spans="1:27">
      <c r="A50" s="77" t="s">
        <v>28</v>
      </c>
      <c r="B50" t="s">
        <v>6</v>
      </c>
      <c r="C50" t="s">
        <v>7</v>
      </c>
      <c r="D50" t="s">
        <v>8</v>
      </c>
      <c r="E50" t="s">
        <v>9</v>
      </c>
      <c r="F50" s="87" t="s">
        <v>29</v>
      </c>
      <c r="H50" s="77" t="s">
        <v>28</v>
      </c>
      <c r="I50" t="s">
        <v>6</v>
      </c>
      <c r="J50" t="s">
        <v>7</v>
      </c>
      <c r="K50" t="s">
        <v>8</v>
      </c>
      <c r="L50" t="s">
        <v>9</v>
      </c>
      <c r="M50" s="87" t="s">
        <v>43</v>
      </c>
      <c r="N50" s="53"/>
      <c r="O50" s="77" t="s">
        <v>28</v>
      </c>
      <c r="P50" t="s">
        <v>6</v>
      </c>
      <c r="Q50" t="s">
        <v>7</v>
      </c>
      <c r="R50" t="s">
        <v>8</v>
      </c>
      <c r="S50" t="s">
        <v>9</v>
      </c>
      <c r="T50" s="87" t="s">
        <v>44</v>
      </c>
      <c r="V50" s="77" t="s">
        <v>28</v>
      </c>
      <c r="W50" t="s">
        <v>6</v>
      </c>
      <c r="X50" t="s">
        <v>7</v>
      </c>
      <c r="Y50" t="s">
        <v>8</v>
      </c>
      <c r="Z50" t="s">
        <v>9</v>
      </c>
      <c r="AA50" s="87" t="s">
        <v>45</v>
      </c>
    </row>
    <row r="51" spans="1:27">
      <c r="A51" s="1" t="s">
        <v>46</v>
      </c>
      <c r="B51" s="58">
        <v>281115</v>
      </c>
      <c r="C51" s="58">
        <v>438056</v>
      </c>
      <c r="D51" s="58">
        <v>1115680</v>
      </c>
      <c r="E51" s="58">
        <v>1834851</v>
      </c>
      <c r="F51" s="73">
        <f t="shared" ref="F51:F68" si="12">E51/$E$68</f>
        <v>0.25328308521386955</v>
      </c>
      <c r="H51" s="1" t="s">
        <v>46</v>
      </c>
      <c r="I51" s="58">
        <v>-102120.30521091812</v>
      </c>
      <c r="J51" s="58">
        <v>-57455.589459000781</v>
      </c>
      <c r="K51" s="58">
        <v>-251483.85122134347</v>
      </c>
      <c r="L51" s="58">
        <v>-411059.74589126237</v>
      </c>
      <c r="M51" s="73">
        <f>L51/E51</f>
        <v>-0.22402895161038272</v>
      </c>
      <c r="N51" s="73"/>
      <c r="O51" s="1" t="s">
        <v>46</v>
      </c>
      <c r="P51" s="58">
        <v>45817.049627791566</v>
      </c>
      <c r="Q51" s="58">
        <v>-13420.797560328559</v>
      </c>
      <c r="R51" s="58">
        <v>-168571.031958154</v>
      </c>
      <c r="S51" s="58">
        <v>-136174.77989069099</v>
      </c>
      <c r="T51" s="73">
        <f t="shared" ref="T51:T59" si="13">S51/E51</f>
        <v>-7.4215715548941574E-2</v>
      </c>
      <c r="V51" s="1" t="s">
        <v>46</v>
      </c>
      <c r="W51" s="58">
        <v>28635</v>
      </c>
      <c r="X51" s="58">
        <v>10322.643625406097</v>
      </c>
      <c r="Y51" s="58">
        <v>-97552</v>
      </c>
      <c r="Z51" s="58">
        <v>-58594.356374593903</v>
      </c>
      <c r="AA51" s="73">
        <f t="shared" ref="AA51:AA65" si="14">Z51/E51</f>
        <v>-3.1934122375383019E-2</v>
      </c>
    </row>
    <row r="52" spans="1:27">
      <c r="A52" s="1" t="s">
        <v>47</v>
      </c>
      <c r="B52" s="58"/>
      <c r="C52" s="58">
        <v>390000</v>
      </c>
      <c r="D52" s="58">
        <v>833200</v>
      </c>
      <c r="E52" s="58">
        <v>1223200</v>
      </c>
      <c r="F52" s="73">
        <f t="shared" si="12"/>
        <v>0.16885069677788836</v>
      </c>
      <c r="H52" s="1" t="s">
        <v>47</v>
      </c>
      <c r="I52" s="58"/>
      <c r="J52" s="58">
        <v>78525.378404668678</v>
      </c>
      <c r="K52" s="58">
        <v>184357.22721601452</v>
      </c>
      <c r="L52" s="58">
        <v>262882.60562068317</v>
      </c>
      <c r="M52" s="73">
        <f t="shared" ref="M52:M65" si="15">L52/E52</f>
        <v>0.2149138371653721</v>
      </c>
      <c r="N52" s="73"/>
      <c r="O52" s="1" t="s">
        <v>47</v>
      </c>
      <c r="P52" s="58"/>
      <c r="Q52" s="58">
        <v>104551.82067352996</v>
      </c>
      <c r="R52" s="58">
        <v>222326.43470925713</v>
      </c>
      <c r="S52" s="58">
        <v>326878.25538278709</v>
      </c>
      <c r="T52" s="73">
        <f t="shared" si="13"/>
        <v>0.26723205966545704</v>
      </c>
      <c r="V52" s="1" t="s">
        <v>47</v>
      </c>
      <c r="W52" s="58"/>
      <c r="X52" s="58">
        <v>122414.63250000001</v>
      </c>
      <c r="Y52" s="58">
        <v>259520</v>
      </c>
      <c r="Z52" s="58">
        <v>381934.63250000001</v>
      </c>
      <c r="AA52" s="73">
        <f t="shared" si="14"/>
        <v>0.31224217830281231</v>
      </c>
    </row>
    <row r="53" spans="1:27">
      <c r="A53" s="1" t="s">
        <v>48</v>
      </c>
      <c r="B53" s="58"/>
      <c r="C53" s="58">
        <v>1066950</v>
      </c>
      <c r="D53" s="58"/>
      <c r="E53" s="58">
        <v>1066950</v>
      </c>
      <c r="F53" s="73">
        <f t="shared" si="12"/>
        <v>0.14728192521841724</v>
      </c>
      <c r="H53" s="1" t="s">
        <v>48</v>
      </c>
      <c r="I53" s="58"/>
      <c r="J53" s="58">
        <v>-484128.93953840289</v>
      </c>
      <c r="K53" s="58"/>
      <c r="L53" s="58">
        <v>-484128.93953840289</v>
      </c>
      <c r="M53" s="73">
        <f t="shared" si="15"/>
        <v>-0.45375035337963626</v>
      </c>
      <c r="N53" s="73"/>
      <c r="O53" s="1" t="s">
        <v>48</v>
      </c>
      <c r="P53" s="58"/>
      <c r="Q53" s="58">
        <v>-353446.16883840901</v>
      </c>
      <c r="R53" s="58"/>
      <c r="S53" s="58">
        <v>-353446.16883840901</v>
      </c>
      <c r="T53" s="73">
        <f t="shared" si="13"/>
        <v>-0.33126779027921555</v>
      </c>
      <c r="V53" s="1" t="s">
        <v>48</v>
      </c>
      <c r="W53" s="58"/>
      <c r="X53" s="58">
        <v>-275132.59514819115</v>
      </c>
      <c r="Y53" s="58"/>
      <c r="Z53" s="58">
        <v>-275132.59514819115</v>
      </c>
      <c r="AA53" s="73">
        <f t="shared" si="14"/>
        <v>-0.25786831168113888</v>
      </c>
    </row>
    <row r="54" spans="1:27">
      <c r="A54" s="1" t="s">
        <v>49</v>
      </c>
      <c r="B54" s="58"/>
      <c r="C54" s="58"/>
      <c r="D54" s="58">
        <v>352350</v>
      </c>
      <c r="E54" s="58">
        <v>352350</v>
      </c>
      <c r="F54" s="73">
        <f t="shared" si="12"/>
        <v>4.8638442617469718E-2</v>
      </c>
      <c r="H54" s="1" t="s">
        <v>49</v>
      </c>
      <c r="I54" s="58"/>
      <c r="J54" s="58"/>
      <c r="K54" s="58">
        <v>-123205.54065410414</v>
      </c>
      <c r="L54" s="58">
        <v>-123205.54065410414</v>
      </c>
      <c r="M54" s="73">
        <f t="shared" si="15"/>
        <v>-0.34966805918576455</v>
      </c>
      <c r="N54" s="73"/>
      <c r="O54" s="1" t="s">
        <v>49</v>
      </c>
      <c r="P54" s="58"/>
      <c r="Q54" s="58"/>
      <c r="R54" s="58">
        <v>-95330.865666617901</v>
      </c>
      <c r="S54" s="58">
        <v>-95330.865666617901</v>
      </c>
      <c r="T54" s="73">
        <f t="shared" si="13"/>
        <v>-0.27055730287105972</v>
      </c>
      <c r="V54" s="1" t="s">
        <v>49</v>
      </c>
      <c r="W54" s="58"/>
      <c r="X54" s="58"/>
      <c r="Y54" s="58">
        <v>-70470</v>
      </c>
      <c r="Z54" s="58">
        <v>-70470</v>
      </c>
      <c r="AA54" s="73">
        <f t="shared" si="14"/>
        <v>-0.2</v>
      </c>
    </row>
    <row r="55" spans="1:27">
      <c r="A55" s="1" t="s">
        <v>50</v>
      </c>
      <c r="B55" s="58"/>
      <c r="C55" s="58"/>
      <c r="D55" s="58">
        <v>669600</v>
      </c>
      <c r="E55" s="58">
        <v>669600</v>
      </c>
      <c r="F55" s="73">
        <f t="shared" si="12"/>
        <v>9.2431676391819845E-2</v>
      </c>
      <c r="H55" s="1" t="s">
        <v>50</v>
      </c>
      <c r="I55" s="58"/>
      <c r="J55" s="58"/>
      <c r="K55" s="58">
        <v>178504.68386301855</v>
      </c>
      <c r="L55" s="58">
        <v>178504.68386301855</v>
      </c>
      <c r="M55" s="73">
        <f t="shared" si="15"/>
        <v>0.26658405594835505</v>
      </c>
      <c r="N55" s="73"/>
      <c r="O55" s="1" t="s">
        <v>50</v>
      </c>
      <c r="P55" s="58"/>
      <c r="Q55" s="58"/>
      <c r="R55" s="58">
        <v>203282.1727407841</v>
      </c>
      <c r="S55" s="58">
        <v>203282.1727407841</v>
      </c>
      <c r="T55" s="73">
        <f t="shared" si="13"/>
        <v>0.30358747422458798</v>
      </c>
      <c r="V55" s="1" t="s">
        <v>50</v>
      </c>
      <c r="W55" s="58"/>
      <c r="X55" s="58"/>
      <c r="Y55" s="58">
        <v>213840</v>
      </c>
      <c r="Z55" s="58">
        <v>213840</v>
      </c>
      <c r="AA55" s="73">
        <f t="shared" si="14"/>
        <v>0.3193548387096774</v>
      </c>
    </row>
    <row r="56" spans="1:27">
      <c r="A56" s="1" t="s">
        <v>51</v>
      </c>
      <c r="B56" s="58"/>
      <c r="C56" s="58">
        <v>142695</v>
      </c>
      <c r="D56" s="58">
        <v>135200</v>
      </c>
      <c r="E56" s="58">
        <v>277895</v>
      </c>
      <c r="F56" s="73">
        <f t="shared" si="12"/>
        <v>3.8360664144123022E-2</v>
      </c>
      <c r="H56" s="1" t="s">
        <v>51</v>
      </c>
      <c r="I56" s="58"/>
      <c r="J56" s="58">
        <v>36105.884696014939</v>
      </c>
      <c r="K56" s="58">
        <v>33508.170559615581</v>
      </c>
      <c r="L56" s="58">
        <v>69614.055255630519</v>
      </c>
      <c r="M56" s="73">
        <f t="shared" si="15"/>
        <v>0.25050488585843761</v>
      </c>
      <c r="N56" s="73"/>
      <c r="O56" s="1" t="s">
        <v>51</v>
      </c>
      <c r="P56" s="58"/>
      <c r="Q56" s="58">
        <v>44948.201620692176</v>
      </c>
      <c r="R56" s="58">
        <v>39473.121585744317</v>
      </c>
      <c r="S56" s="58">
        <v>84421.3232064365</v>
      </c>
      <c r="T56" s="73">
        <f t="shared" si="13"/>
        <v>0.30378856476883898</v>
      </c>
      <c r="V56" s="1" t="s">
        <v>51</v>
      </c>
      <c r="W56" s="58"/>
      <c r="X56" s="58">
        <v>50815.395125839052</v>
      </c>
      <c r="Y56" s="58">
        <v>45760</v>
      </c>
      <c r="Z56" s="58">
        <v>96575.395125839044</v>
      </c>
      <c r="AA56" s="73">
        <f t="shared" si="14"/>
        <v>0.34752476700134599</v>
      </c>
    </row>
    <row r="57" spans="1:27">
      <c r="A57" s="1" t="s">
        <v>52</v>
      </c>
      <c r="B57" s="58"/>
      <c r="C57" s="58"/>
      <c r="D57" s="58">
        <v>334800</v>
      </c>
      <c r="E57" s="58">
        <v>334800</v>
      </c>
      <c r="F57" s="73">
        <f t="shared" si="12"/>
        <v>4.6215838195909922E-2</v>
      </c>
      <c r="H57" s="1" t="s">
        <v>52</v>
      </c>
      <c r="I57" s="58"/>
      <c r="J57" s="58"/>
      <c r="K57" s="58">
        <v>89252.341931509276</v>
      </c>
      <c r="L57" s="58">
        <v>89252.341931509276</v>
      </c>
      <c r="M57" s="73">
        <f t="shared" si="15"/>
        <v>0.26658405594835505</v>
      </c>
      <c r="N57" s="73"/>
      <c r="O57" s="1" t="s">
        <v>52</v>
      </c>
      <c r="P57" s="58"/>
      <c r="Q57" s="58"/>
      <c r="R57" s="58">
        <v>101641.08637039205</v>
      </c>
      <c r="S57" s="58">
        <v>101641.08637039205</v>
      </c>
      <c r="T57" s="73">
        <f t="shared" si="13"/>
        <v>0.30358747422458798</v>
      </c>
      <c r="V57" s="1" t="s">
        <v>52</v>
      </c>
      <c r="W57" s="58"/>
      <c r="X57" s="58"/>
      <c r="Y57" s="58">
        <v>106920</v>
      </c>
      <c r="Z57" s="58">
        <v>106920</v>
      </c>
      <c r="AA57" s="73">
        <f t="shared" si="14"/>
        <v>0.3193548387096774</v>
      </c>
    </row>
    <row r="58" spans="1:27">
      <c r="A58" s="1" t="s">
        <v>53</v>
      </c>
      <c r="B58" s="58">
        <v>44722</v>
      </c>
      <c r="C58" s="58"/>
      <c r="D58" s="58">
        <v>245300</v>
      </c>
      <c r="E58" s="58">
        <v>290022</v>
      </c>
      <c r="F58" s="73">
        <f t="shared" si="12"/>
        <v>4.003467689741394E-2</v>
      </c>
      <c r="H58" s="1" t="s">
        <v>53</v>
      </c>
      <c r="I58" s="58">
        <v>-23150.490868486348</v>
      </c>
      <c r="J58" s="58"/>
      <c r="K58" s="58">
        <v>-214521.01593391187</v>
      </c>
      <c r="L58" s="58">
        <v>-237671.50680239822</v>
      </c>
      <c r="M58" s="73">
        <f t="shared" si="15"/>
        <v>-0.81949475144091899</v>
      </c>
      <c r="N58" s="73"/>
      <c r="O58" s="1" t="s">
        <v>53</v>
      </c>
      <c r="P58" s="58">
        <v>1505.7349379652642</v>
      </c>
      <c r="Q58" s="58"/>
      <c r="R58" s="58">
        <v>-189628.81645949004</v>
      </c>
      <c r="S58" s="58">
        <v>-188123.08152152479</v>
      </c>
      <c r="T58" s="73">
        <f t="shared" si="13"/>
        <v>-0.64865107309626435</v>
      </c>
      <c r="V58" s="1" t="s">
        <v>53</v>
      </c>
      <c r="W58" s="58">
        <v>-1193.5999999999967</v>
      </c>
      <c r="X58" s="58"/>
      <c r="Y58" s="58">
        <v>-158320</v>
      </c>
      <c r="Z58" s="58">
        <v>-159513.60000000001</v>
      </c>
      <c r="AA58" s="73">
        <f t="shared" si="14"/>
        <v>-0.55000517202143284</v>
      </c>
    </row>
    <row r="59" spans="1:27">
      <c r="A59" s="1" t="s">
        <v>54</v>
      </c>
      <c r="B59" s="58"/>
      <c r="C59" s="58">
        <v>222750</v>
      </c>
      <c r="D59" s="58">
        <v>37800</v>
      </c>
      <c r="E59" s="58">
        <v>260550</v>
      </c>
      <c r="F59" s="73">
        <f t="shared" si="12"/>
        <v>3.5966357950849258E-2</v>
      </c>
      <c r="H59" s="1" t="s">
        <v>54</v>
      </c>
      <c r="I59" s="58"/>
      <c r="J59" s="58">
        <v>-47042.090283673446</v>
      </c>
      <c r="K59" s="58">
        <v>31423.105482877319</v>
      </c>
      <c r="L59" s="58">
        <v>-15618.984800796126</v>
      </c>
      <c r="M59" s="73">
        <f t="shared" si="15"/>
        <v>-5.9946209175959032E-2</v>
      </c>
      <c r="N59" s="73"/>
      <c r="O59" s="1" t="s">
        <v>54</v>
      </c>
      <c r="P59" s="58"/>
      <c r="Q59" s="58">
        <v>-24519.207551005024</v>
      </c>
      <c r="R59" s="58">
        <v>34520.291592598012</v>
      </c>
      <c r="S59" s="58">
        <v>10001.084041592989</v>
      </c>
      <c r="T59" s="73">
        <f t="shared" si="13"/>
        <v>3.8384509850673529E-2</v>
      </c>
      <c r="V59" s="1" t="s">
        <v>54</v>
      </c>
      <c r="W59" s="58"/>
      <c r="X59" s="58">
        <v>-12255.66654732902</v>
      </c>
      <c r="Y59" s="58">
        <v>37800</v>
      </c>
      <c r="Z59" s="58">
        <v>25544.33345267098</v>
      </c>
      <c r="AA59" s="73">
        <f t="shared" si="14"/>
        <v>9.8040043955751222E-2</v>
      </c>
    </row>
    <row r="60" spans="1:27">
      <c r="A60" s="1" t="s">
        <v>55</v>
      </c>
      <c r="B60" s="58"/>
      <c r="C60" s="58">
        <v>222750</v>
      </c>
      <c r="D60" s="58"/>
      <c r="E60" s="58">
        <v>222750</v>
      </c>
      <c r="F60" s="73">
        <f t="shared" si="12"/>
        <v>3.0748440735182007E-2</v>
      </c>
      <c r="H60" s="1" t="s">
        <v>55</v>
      </c>
      <c r="I60" s="58"/>
      <c r="J60" s="58">
        <v>-70840.513736344437</v>
      </c>
      <c r="K60" s="58"/>
      <c r="L60" s="58">
        <v>-70840.513736344437</v>
      </c>
      <c r="M60" s="73">
        <f t="shared" si="15"/>
        <v>-0.31802699769402665</v>
      </c>
      <c r="N60" s="73"/>
      <c r="O60" s="1" t="s">
        <v>55</v>
      </c>
      <c r="P60" s="58"/>
      <c r="Q60" s="58">
        <v>-48317.631003676011</v>
      </c>
      <c r="R60" s="58"/>
      <c r="S60" s="58">
        <v>-48317.631003676011</v>
      </c>
      <c r="T60" s="73">
        <f t="shared" ref="T60:T68" si="16">S60/E60</f>
        <v>-0.21691416836667121</v>
      </c>
      <c r="V60" s="1" t="s">
        <v>55</v>
      </c>
      <c r="W60" s="58"/>
      <c r="X60" s="58">
        <v>-28545.390000000014</v>
      </c>
      <c r="Y60" s="58"/>
      <c r="Z60" s="58">
        <v>-28545.390000000014</v>
      </c>
      <c r="AA60" s="73">
        <f t="shared" si="14"/>
        <v>-0.12814989898989906</v>
      </c>
    </row>
    <row r="61" spans="1:27">
      <c r="A61" s="1" t="s">
        <v>56</v>
      </c>
      <c r="B61" s="58">
        <v>140400</v>
      </c>
      <c r="C61" s="58">
        <v>77585</v>
      </c>
      <c r="D61" s="58"/>
      <c r="E61" s="58">
        <v>217985</v>
      </c>
      <c r="F61" s="73">
        <f t="shared" si="12"/>
        <v>3.0090679477704375E-2</v>
      </c>
      <c r="H61" s="1" t="s">
        <v>56</v>
      </c>
      <c r="I61" s="58">
        <v>-6223.8294540942952</v>
      </c>
      <c r="J61" s="58">
        <v>20917.791781109616</v>
      </c>
      <c r="K61" s="58"/>
      <c r="L61" s="58">
        <v>14693.962327015321</v>
      </c>
      <c r="M61" s="73">
        <f t="shared" si="15"/>
        <v>6.7408135087346929E-2</v>
      </c>
      <c r="N61" s="73"/>
      <c r="O61" s="1" t="s">
        <v>56</v>
      </c>
      <c r="P61" s="58">
        <v>49252.678610421834</v>
      </c>
      <c r="Q61" s="58">
        <v>25422.3683276433</v>
      </c>
      <c r="R61" s="58"/>
      <c r="S61" s="58">
        <v>74675.046938065134</v>
      </c>
      <c r="T61" s="73">
        <f t="shared" si="16"/>
        <v>0.34256965817861385</v>
      </c>
      <c r="V61" s="1" t="s">
        <v>56</v>
      </c>
      <c r="W61" s="58">
        <v>43740</v>
      </c>
      <c r="X61" s="58">
        <v>28179.766528378503</v>
      </c>
      <c r="Y61" s="58"/>
      <c r="Z61" s="58">
        <v>71919.766528378503</v>
      </c>
      <c r="AA61" s="73">
        <f t="shared" si="14"/>
        <v>0.32992988750775742</v>
      </c>
    </row>
    <row r="62" spans="1:27">
      <c r="A62" s="1" t="s">
        <v>57</v>
      </c>
      <c r="B62" s="58"/>
      <c r="C62" s="58">
        <v>91800</v>
      </c>
      <c r="D62" s="58"/>
      <c r="E62" s="58">
        <v>91800</v>
      </c>
      <c r="F62" s="73">
        <f t="shared" si="12"/>
        <v>1.2672084666620464E-2</v>
      </c>
      <c r="H62" s="1" t="s">
        <v>57</v>
      </c>
      <c r="I62" s="58"/>
      <c r="J62" s="58">
        <v>29374.465252731054</v>
      </c>
      <c r="K62" s="58"/>
      <c r="L62" s="58">
        <v>29374.465252731054</v>
      </c>
      <c r="M62" s="73">
        <f t="shared" si="15"/>
        <v>0.31998328162016398</v>
      </c>
      <c r="N62" s="73"/>
      <c r="O62" s="1" t="s">
        <v>57</v>
      </c>
      <c r="P62" s="58"/>
      <c r="Q62" s="58">
        <v>33879.041799264742</v>
      </c>
      <c r="R62" s="58"/>
      <c r="S62" s="58">
        <v>33879.041799264742</v>
      </c>
      <c r="T62" s="73">
        <f t="shared" si="16"/>
        <v>0.36905274291138063</v>
      </c>
      <c r="V62" s="1" t="s">
        <v>57</v>
      </c>
      <c r="W62" s="58"/>
      <c r="X62" s="58">
        <v>34702.069999999942</v>
      </c>
      <c r="Y62" s="58"/>
      <c r="Z62" s="58">
        <v>34702.069999999942</v>
      </c>
      <c r="AA62" s="73">
        <f t="shared" si="14"/>
        <v>0.37801819172113227</v>
      </c>
    </row>
    <row r="63" spans="1:27">
      <c r="A63" s="1" t="s">
        <v>58</v>
      </c>
      <c r="B63" s="58"/>
      <c r="C63" s="58">
        <v>77212.5</v>
      </c>
      <c r="D63" s="58"/>
      <c r="E63" s="58">
        <v>77212.5</v>
      </c>
      <c r="F63" s="73">
        <f t="shared" si="12"/>
        <v>1.0658424153828241E-2</v>
      </c>
      <c r="H63" s="1" t="s">
        <v>58</v>
      </c>
      <c r="I63" s="58"/>
      <c r="J63" s="58">
        <v>-18864.20604383355</v>
      </c>
      <c r="K63" s="58"/>
      <c r="L63" s="58">
        <v>-18864.20604383355</v>
      </c>
      <c r="M63" s="73">
        <f t="shared" si="15"/>
        <v>-0.24431544172036329</v>
      </c>
      <c r="N63" s="73"/>
      <c r="O63" s="1" t="s">
        <v>58</v>
      </c>
      <c r="P63" s="58"/>
      <c r="Q63" s="58">
        <v>-9855.0529507661795</v>
      </c>
      <c r="R63" s="58"/>
      <c r="S63" s="58">
        <v>-9855.0529507661795</v>
      </c>
      <c r="T63" s="73">
        <f t="shared" si="16"/>
        <v>-0.12763545994192882</v>
      </c>
      <c r="V63" s="1" t="s">
        <v>58</v>
      </c>
      <c r="W63" s="58"/>
      <c r="X63" s="58">
        <v>-5017.3715492957781</v>
      </c>
      <c r="Y63" s="58"/>
      <c r="Z63" s="58">
        <v>-5017.3715492957781</v>
      </c>
      <c r="AA63" s="73">
        <f t="shared" si="14"/>
        <v>-6.4981337857157553E-2</v>
      </c>
    </row>
    <row r="64" spans="1:27">
      <c r="A64" s="1" t="s">
        <v>59</v>
      </c>
      <c r="B64" s="58">
        <v>74064</v>
      </c>
      <c r="C64" s="58"/>
      <c r="D64" s="58">
        <v>76700</v>
      </c>
      <c r="E64" s="58">
        <v>150764</v>
      </c>
      <c r="F64" s="73">
        <f t="shared" si="12"/>
        <v>2.0811483362509452E-2</v>
      </c>
      <c r="H64" s="1" t="s">
        <v>59</v>
      </c>
      <c r="I64" s="58">
        <v>2375.0532258064522</v>
      </c>
      <c r="J64" s="58"/>
      <c r="K64" s="58">
        <v>26803.902779807788</v>
      </c>
      <c r="L64" s="58">
        <v>29178.95600561424</v>
      </c>
      <c r="M64" s="73">
        <f t="shared" si="15"/>
        <v>0.19354060654807673</v>
      </c>
      <c r="N64" s="73"/>
      <c r="O64" s="1" t="s">
        <v>59</v>
      </c>
      <c r="P64" s="58">
        <v>29085.964516129032</v>
      </c>
      <c r="Q64" s="58"/>
      <c r="R64" s="58">
        <v>29786.378292872156</v>
      </c>
      <c r="S64" s="58">
        <v>58872.342809001188</v>
      </c>
      <c r="T64" s="73">
        <f t="shared" si="16"/>
        <v>0.39049337248282873</v>
      </c>
      <c r="V64" s="1" t="s">
        <v>59</v>
      </c>
      <c r="W64" s="58">
        <v>26484</v>
      </c>
      <c r="X64" s="58"/>
      <c r="Y64" s="58">
        <v>32500</v>
      </c>
      <c r="Z64" s="58">
        <v>58984</v>
      </c>
      <c r="AA64" s="73">
        <f t="shared" si="14"/>
        <v>0.39123398158711631</v>
      </c>
    </row>
    <row r="65" spans="1:27">
      <c r="A65" s="1" t="s">
        <v>60</v>
      </c>
      <c r="B65" s="58"/>
      <c r="C65" s="58"/>
      <c r="D65" s="58">
        <v>39000</v>
      </c>
      <c r="E65" s="58">
        <v>39000</v>
      </c>
      <c r="F65" s="73">
        <f t="shared" si="12"/>
        <v>5.3835653812439876E-3</v>
      </c>
      <c r="H65" s="1" t="s">
        <v>60</v>
      </c>
      <c r="I65" s="58"/>
      <c r="J65" s="58"/>
      <c r="K65" s="58">
        <v>-16069.804720192213</v>
      </c>
      <c r="L65" s="58">
        <v>-16069.804720192213</v>
      </c>
      <c r="M65" s="73">
        <f t="shared" si="15"/>
        <v>-0.41204627487672341</v>
      </c>
      <c r="N65" s="73"/>
      <c r="O65" s="1" t="s">
        <v>60</v>
      </c>
      <c r="P65" s="58"/>
      <c r="Q65" s="58"/>
      <c r="R65" s="58">
        <v>-13087.329207127841</v>
      </c>
      <c r="S65" s="58">
        <v>-13087.329207127841</v>
      </c>
      <c r="T65" s="73">
        <f t="shared" si="16"/>
        <v>-0.33557254377250872</v>
      </c>
      <c r="V65" s="1" t="s">
        <v>60</v>
      </c>
      <c r="W65" s="58"/>
      <c r="X65" s="58"/>
      <c r="Y65" s="58">
        <v>-6240</v>
      </c>
      <c r="Z65" s="58">
        <v>-6240</v>
      </c>
      <c r="AA65" s="73">
        <f t="shared" si="14"/>
        <v>-0.16</v>
      </c>
    </row>
    <row r="66" spans="1:27">
      <c r="A66" s="1" t="s">
        <v>61</v>
      </c>
      <c r="B66" s="58"/>
      <c r="C66" s="58"/>
      <c r="D66" s="58">
        <v>70200</v>
      </c>
      <c r="E66" s="58">
        <v>70200</v>
      </c>
      <c r="F66" s="73">
        <f t="shared" si="12"/>
        <v>9.6904176862391781E-3</v>
      </c>
      <c r="H66" s="1" t="s">
        <v>61</v>
      </c>
      <c r="I66" s="58"/>
      <c r="J66" s="58"/>
      <c r="K66" s="58">
        <v>18732.085482877319</v>
      </c>
      <c r="L66" s="58">
        <v>18732.085482877319</v>
      </c>
      <c r="M66" s="73">
        <f t="shared" ref="M66:M68" si="17">L66/E66</f>
        <v>0.26683882454241198</v>
      </c>
      <c r="N66" s="73"/>
      <c r="O66" s="1" t="s">
        <v>61</v>
      </c>
      <c r="P66" s="58"/>
      <c r="Q66" s="58"/>
      <c r="R66" s="58">
        <v>21829.271592598012</v>
      </c>
      <c r="S66" s="58">
        <v>21829.271592598012</v>
      </c>
      <c r="T66" s="73">
        <f t="shared" si="16"/>
        <v>0.3109582847948435</v>
      </c>
      <c r="V66" s="1" t="s">
        <v>61</v>
      </c>
      <c r="W66" s="58"/>
      <c r="X66" s="58"/>
      <c r="Y66" s="58">
        <v>23760</v>
      </c>
      <c r="Z66" s="58">
        <v>23760</v>
      </c>
      <c r="AA66" s="73">
        <f t="shared" ref="AA66:AA68" si="18">Z66/E66</f>
        <v>0.33846153846153848</v>
      </c>
    </row>
    <row r="67" spans="1:27">
      <c r="A67" s="1" t="s">
        <v>425</v>
      </c>
      <c r="B67" s="58">
        <v>24314.28</v>
      </c>
      <c r="C67" s="58">
        <v>40026</v>
      </c>
      <c r="D67" s="58"/>
      <c r="E67" s="58">
        <v>64340.28</v>
      </c>
      <c r="F67" s="120">
        <f t="shared" si="12"/>
        <v>8.8815411289114073E-3</v>
      </c>
      <c r="H67" s="1" t="s">
        <v>425</v>
      </c>
      <c r="I67" s="58">
        <v>24314.28</v>
      </c>
      <c r="J67" s="58">
        <v>40026</v>
      </c>
      <c r="K67" s="58"/>
      <c r="L67" s="58">
        <v>64340.28</v>
      </c>
      <c r="M67" s="73">
        <f t="shared" si="17"/>
        <v>1</v>
      </c>
      <c r="N67" s="84"/>
      <c r="O67" s="1" t="s">
        <v>425</v>
      </c>
      <c r="P67" s="58">
        <v>24314.28</v>
      </c>
      <c r="Q67" s="58">
        <v>40026</v>
      </c>
      <c r="R67" s="58"/>
      <c r="S67" s="58">
        <v>64340.28</v>
      </c>
      <c r="T67" s="120">
        <f t="shared" si="16"/>
        <v>1</v>
      </c>
      <c r="V67" s="1" t="s">
        <v>425</v>
      </c>
      <c r="W67" s="58">
        <v>24314.28</v>
      </c>
      <c r="X67" s="58">
        <v>40026</v>
      </c>
      <c r="Y67" s="58"/>
      <c r="Z67" s="58">
        <v>64340.28</v>
      </c>
      <c r="AA67" s="120">
        <f t="shared" si="18"/>
        <v>1</v>
      </c>
    </row>
    <row r="68" spans="1:27">
      <c r="A68" s="1" t="s">
        <v>9</v>
      </c>
      <c r="B68" s="58">
        <v>564615.28</v>
      </c>
      <c r="C68" s="58">
        <v>2769824.5</v>
      </c>
      <c r="D68" s="58">
        <v>3909830</v>
      </c>
      <c r="E68" s="58">
        <v>7244269.7800000003</v>
      </c>
      <c r="F68" s="84">
        <f t="shared" si="12"/>
        <v>1</v>
      </c>
      <c r="H68" s="1" t="s">
        <v>9</v>
      </c>
      <c r="I68" s="58">
        <v>-104805.29230769232</v>
      </c>
      <c r="J68" s="58">
        <v>-473381.81892673078</v>
      </c>
      <c r="K68" s="58">
        <v>-42698.69521383135</v>
      </c>
      <c r="L68" s="58">
        <v>-620885.8064482545</v>
      </c>
      <c r="M68" s="84">
        <f t="shared" si="17"/>
        <v>-8.5707162392322511E-2</v>
      </c>
      <c r="O68" s="1" t="s">
        <v>9</v>
      </c>
      <c r="P68" s="58">
        <v>149975.70769230768</v>
      </c>
      <c r="Q68" s="58">
        <v>-200731.42548305466</v>
      </c>
      <c r="R68" s="58">
        <v>186240.71359285596</v>
      </c>
      <c r="S68" s="58">
        <v>135484.99580210907</v>
      </c>
      <c r="T68" s="73">
        <f t="shared" si="16"/>
        <v>1.870236751482619E-2</v>
      </c>
      <c r="V68" s="1" t="s">
        <v>9</v>
      </c>
      <c r="W68" s="58">
        <v>121979.68</v>
      </c>
      <c r="X68" s="58">
        <v>-34490.51546519238</v>
      </c>
      <c r="Y68" s="58">
        <v>387518</v>
      </c>
      <c r="Z68" s="58">
        <v>475007.16453480755</v>
      </c>
      <c r="AA68" s="84">
        <f t="shared" si="18"/>
        <v>6.5570054534165562E-2</v>
      </c>
    </row>
  </sheetData>
  <mergeCells count="10">
    <mergeCell ref="A4:E4"/>
    <mergeCell ref="H5:L5"/>
    <mergeCell ref="O5:S5"/>
    <mergeCell ref="V48:AA48"/>
    <mergeCell ref="A48:E48"/>
    <mergeCell ref="O48:S48"/>
    <mergeCell ref="H48:M48"/>
    <mergeCell ref="A26:E26"/>
    <mergeCell ref="H26:L26"/>
    <mergeCell ref="O26:S26"/>
  </mergeCell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F5D-4B52-4DC0-B796-EF7D4CAE41BF}">
  <sheetPr filterMode="1"/>
  <dimension ref="B2:BQ89"/>
  <sheetViews>
    <sheetView showGridLines="0" tabSelected="1" zoomScaleNormal="100" workbookViewId="0">
      <pane ySplit="3" topLeftCell="A13" activePane="bottomLeft" state="frozen"/>
      <selection pane="bottomLeft" activeCell="H76" sqref="H76"/>
    </sheetView>
  </sheetViews>
  <sheetFormatPr baseColWidth="10" defaultColWidth="11.44140625" defaultRowHeight="14.4" outlineLevelCol="1"/>
  <cols>
    <col min="2" max="2" width="11.5546875" hidden="1" customWidth="1" outlineLevel="1"/>
    <col min="3" max="3" width="11.5546875" collapsed="1"/>
    <col min="7" max="7" width="15.77734375" bestFit="1" customWidth="1"/>
    <col min="8" max="8" width="36" customWidth="1"/>
    <col min="10" max="12" width="11.5546875" hidden="1" customWidth="1" outlineLevel="1"/>
    <col min="13" max="13" width="26.77734375" hidden="1" customWidth="1" outlineLevel="1"/>
    <col min="14" max="15" width="11.5546875" hidden="1" customWidth="1" outlineLevel="1"/>
    <col min="16" max="16" width="13.33203125" customWidth="1" collapsed="1"/>
    <col min="17" max="18" width="11.5546875" hidden="1" customWidth="1" outlineLevel="1"/>
    <col min="19" max="19" width="14.44140625" customWidth="1" collapsed="1"/>
    <col min="20" max="24" width="11.5546875" hidden="1" customWidth="1" outlineLevel="1"/>
    <col min="25" max="26" width="16.33203125" hidden="1" customWidth="1" outlineLevel="1"/>
    <col min="27" max="27" width="32.109375" hidden="1" customWidth="1" outlineLevel="1"/>
    <col min="28" max="28" width="12.109375" customWidth="1" collapsed="1"/>
    <col min="29" max="32" width="12.109375" hidden="1" customWidth="1" outlineLevel="1"/>
    <col min="33" max="33" width="13.77734375" bestFit="1" customWidth="1" collapsed="1"/>
    <col min="34" max="35" width="12.21875" hidden="1" customWidth="1" outlineLevel="1"/>
    <col min="36" max="36" width="13.21875" hidden="1" customWidth="1" outlineLevel="1"/>
    <col min="37" max="37" width="11.33203125" customWidth="1" collapsed="1"/>
    <col min="38" max="38" width="11.33203125" customWidth="1"/>
    <col min="39" max="40" width="12.109375" hidden="1" customWidth="1" outlineLevel="1"/>
    <col min="41" max="41" width="12.109375" customWidth="1" collapsed="1"/>
    <col min="42" max="48" width="12.109375" customWidth="1"/>
    <col min="49" max="49" width="15.33203125" customWidth="1"/>
    <col min="50" max="50" width="12.109375" customWidth="1"/>
  </cols>
  <sheetData>
    <row r="2" spans="2:69">
      <c r="G2" s="128" t="s">
        <v>441</v>
      </c>
      <c r="H2" s="128" t="s">
        <v>441</v>
      </c>
      <c r="M2" s="128" t="s">
        <v>441</v>
      </c>
      <c r="P2" s="128" t="s">
        <v>441</v>
      </c>
      <c r="AU2" s="128" t="s">
        <v>441</v>
      </c>
      <c r="AV2" s="128" t="s">
        <v>441</v>
      </c>
      <c r="BA2" s="188" t="s">
        <v>3</v>
      </c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8"/>
      <c r="BM2" s="188"/>
      <c r="BN2" s="188"/>
      <c r="BO2" s="188"/>
      <c r="BP2" s="188"/>
      <c r="BQ2" s="188"/>
    </row>
    <row r="3" spans="2:69" ht="43.2">
      <c r="B3" s="33" t="s">
        <v>62</v>
      </c>
      <c r="C3" s="37" t="s">
        <v>63</v>
      </c>
      <c r="D3" s="34" t="s">
        <v>64</v>
      </c>
      <c r="E3" s="34" t="s">
        <v>65</v>
      </c>
      <c r="F3" s="35" t="s">
        <v>66</v>
      </c>
      <c r="G3" s="36" t="s">
        <v>67</v>
      </c>
      <c r="H3" s="37" t="s">
        <v>68</v>
      </c>
      <c r="I3" s="37" t="s">
        <v>69</v>
      </c>
      <c r="J3" s="37" t="s">
        <v>70</v>
      </c>
      <c r="K3" s="34" t="s">
        <v>71</v>
      </c>
      <c r="L3" s="34" t="s">
        <v>72</v>
      </c>
      <c r="M3" s="34" t="s">
        <v>73</v>
      </c>
      <c r="N3" s="34" t="s">
        <v>74</v>
      </c>
      <c r="O3" s="36" t="s">
        <v>75</v>
      </c>
      <c r="P3" s="47" t="s">
        <v>76</v>
      </c>
      <c r="Q3" s="36" t="s">
        <v>77</v>
      </c>
      <c r="R3" s="36" t="s">
        <v>78</v>
      </c>
      <c r="S3" s="47" t="s">
        <v>79</v>
      </c>
      <c r="T3" s="38" t="s">
        <v>80</v>
      </c>
      <c r="U3" s="34" t="s">
        <v>81</v>
      </c>
      <c r="V3" s="39" t="s">
        <v>82</v>
      </c>
      <c r="W3" s="40" t="s">
        <v>83</v>
      </c>
      <c r="X3" s="41" t="s">
        <v>84</v>
      </c>
      <c r="Y3" s="33" t="s">
        <v>85</v>
      </c>
      <c r="Z3" s="6" t="s">
        <v>86</v>
      </c>
      <c r="AA3" s="42" t="s">
        <v>87</v>
      </c>
      <c r="AB3" s="43" t="s">
        <v>88</v>
      </c>
      <c r="AC3" s="75" t="s">
        <v>89</v>
      </c>
      <c r="AD3" s="75" t="s">
        <v>90</v>
      </c>
      <c r="AE3" s="75" t="s">
        <v>91</v>
      </c>
      <c r="AF3" s="75" t="s">
        <v>92</v>
      </c>
      <c r="AG3" s="43" t="s">
        <v>93</v>
      </c>
      <c r="AH3" s="109" t="s">
        <v>420</v>
      </c>
      <c r="AI3" s="109" t="s">
        <v>421</v>
      </c>
      <c r="AJ3" s="109" t="s">
        <v>422</v>
      </c>
      <c r="AK3" s="43" t="s">
        <v>94</v>
      </c>
      <c r="AL3" s="89" t="s">
        <v>95</v>
      </c>
      <c r="AM3" s="76" t="s">
        <v>96</v>
      </c>
      <c r="AN3" s="76" t="s">
        <v>97</v>
      </c>
      <c r="AO3" s="43" t="s">
        <v>98</v>
      </c>
      <c r="AP3" s="43" t="s">
        <v>99</v>
      </c>
      <c r="AQ3" s="33" t="s">
        <v>100</v>
      </c>
      <c r="AR3" s="43" t="s">
        <v>101</v>
      </c>
      <c r="AS3" s="89" t="s">
        <v>102</v>
      </c>
      <c r="AT3" s="43" t="s">
        <v>103</v>
      </c>
      <c r="AU3" s="43" t="s">
        <v>104</v>
      </c>
      <c r="AV3" s="89" t="s">
        <v>105</v>
      </c>
      <c r="AW3" s="33" t="s">
        <v>106</v>
      </c>
      <c r="AX3" s="33" t="s">
        <v>44</v>
      </c>
      <c r="AY3" s="89" t="s">
        <v>107</v>
      </c>
      <c r="BA3" s="43" t="s">
        <v>108</v>
      </c>
      <c r="BB3" s="75" t="s">
        <v>89</v>
      </c>
      <c r="BC3" s="75" t="s">
        <v>90</v>
      </c>
      <c r="BD3" s="75" t="s">
        <v>91</v>
      </c>
      <c r="BE3" s="75" t="s">
        <v>92</v>
      </c>
      <c r="BF3" s="43" t="s">
        <v>93</v>
      </c>
      <c r="BG3" s="43" t="s">
        <v>94</v>
      </c>
      <c r="BH3" s="76" t="s">
        <v>96</v>
      </c>
      <c r="BI3" s="76" t="s">
        <v>97</v>
      </c>
      <c r="BJ3" s="43" t="s">
        <v>98</v>
      </c>
      <c r="BK3" s="43" t="s">
        <v>99</v>
      </c>
      <c r="BL3" s="33" t="s">
        <v>100</v>
      </c>
      <c r="BM3" s="43" t="s">
        <v>101</v>
      </c>
      <c r="BN3" s="43" t="s">
        <v>103</v>
      </c>
      <c r="BO3" s="43" t="s">
        <v>104</v>
      </c>
      <c r="BP3" s="33" t="s">
        <v>106</v>
      </c>
      <c r="BQ3" s="33" t="s">
        <v>44</v>
      </c>
    </row>
    <row r="4" spans="2:69" hidden="1">
      <c r="B4" s="4" t="s">
        <v>6</v>
      </c>
      <c r="C4" s="27" t="str">
        <f t="shared" ref="C4:C34" si="0">B4</f>
        <v>ENERO</v>
      </c>
      <c r="D4" s="25" t="s">
        <v>109</v>
      </c>
      <c r="E4" s="100">
        <v>325</v>
      </c>
      <c r="F4" s="100">
        <v>46033</v>
      </c>
      <c r="G4" s="101">
        <v>26</v>
      </c>
      <c r="H4" s="102" t="s">
        <v>37</v>
      </c>
      <c r="I4" s="27" t="s">
        <v>110</v>
      </c>
      <c r="J4" s="7"/>
      <c r="K4" s="7" t="s">
        <v>111</v>
      </c>
      <c r="L4" s="7" t="s">
        <v>112</v>
      </c>
      <c r="M4" s="21" t="s">
        <v>59</v>
      </c>
      <c r="N4" s="7" t="s">
        <v>113</v>
      </c>
      <c r="O4" s="46">
        <f>P4/G4</f>
        <v>2848.6153846153848</v>
      </c>
      <c r="P4" s="52">
        <f>78000*0+74064</f>
        <v>74064</v>
      </c>
      <c r="Q4" s="46">
        <f>S4/G4</f>
        <v>2670.3846153846152</v>
      </c>
      <c r="R4" s="46">
        <v>4634</v>
      </c>
      <c r="S4" s="45">
        <f t="shared" ref="S4:S35" si="1">P4-R4</f>
        <v>69430</v>
      </c>
      <c r="T4" s="22">
        <v>1</v>
      </c>
      <c r="U4" s="23" t="s">
        <v>114</v>
      </c>
      <c r="V4" s="24">
        <v>26106924</v>
      </c>
      <c r="W4" s="25" t="s">
        <v>115</v>
      </c>
      <c r="X4" s="4" t="s">
        <v>116</v>
      </c>
      <c r="Y4" s="7">
        <v>10007567</v>
      </c>
      <c r="Z4" s="3" t="s">
        <v>117</v>
      </c>
      <c r="AA4" s="7" t="str">
        <f t="shared" ref="AA4:AA11" si="2">B4&amp;Y4&amp;Z4</f>
        <v>ENERO10007567Compensación</v>
      </c>
      <c r="AB4" s="26">
        <f>INDEX('Detalle Costos'!$L$5:$L$158,MATCH(Resumen!AA4,'Detalle Costos'!$C$5:$C$158,0))*1000</f>
        <v>1830</v>
      </c>
      <c r="AC4" s="44">
        <f>IFERROR(INDEX('Detalle Costos'!$X$5:$X$158,MATCH(Resumen!AA4,'Detalle Costos'!$C$5:$C$158,0))*AG4,0)</f>
        <v>31604.018542872498</v>
      </c>
      <c r="AD4" s="44">
        <f>IFERROR(INDEX('Detalle Costos'!$Z$5:$Z$158,MATCH(Resumen!AA4,'Detalle Costos'!$C$5:$C$158,0))*AG4,0)</f>
        <v>7767.6489739716217</v>
      </c>
      <c r="AE4" s="44">
        <f>IFERROR(INDEX('Detalle Costos'!$Y$5:$Y$158,MATCH(Resumen!AA4,'Detalle Costos'!$C$5:$C$158,0))*AG4,0)</f>
        <v>466.19181744573058</v>
      </c>
      <c r="AF4" s="44">
        <f>IFERROR(INDEX('Detalle Costos'!$AA$5:$AA$158,MATCH(Resumen!AA4,'Detalle Costos'!$C$5:$C$158,0))*AG4,0)</f>
        <v>7742.1406657101552</v>
      </c>
      <c r="AG4" s="44">
        <f>AB4*G4</f>
        <v>47580</v>
      </c>
      <c r="AH4" s="117">
        <f>48.96-AH17</f>
        <v>22.658000000000001</v>
      </c>
      <c r="AI4" s="26">
        <f>+AJ4/AH4</f>
        <v>1829.8234619119073</v>
      </c>
      <c r="AJ4" s="44">
        <f>89589.14-AJ17</f>
        <v>41460.14</v>
      </c>
      <c r="AK4" s="90">
        <f>P4-AG4</f>
        <v>26484</v>
      </c>
      <c r="AL4" s="91">
        <f>AK4/P4</f>
        <v>0.35758263123784834</v>
      </c>
      <c r="AM4" s="10">
        <f>R4</f>
        <v>4634</v>
      </c>
      <c r="AN4" s="10">
        <f t="shared" ref="AN4:AN34" si="3">1500/26*G4</f>
        <v>1500</v>
      </c>
      <c r="AO4" s="10">
        <f>SUM(AM4:AN4)</f>
        <v>6134</v>
      </c>
      <c r="AP4" s="10">
        <f t="shared" ref="AP4:AP11" si="4">60070/248*G4</f>
        <v>6297.6612903225805</v>
      </c>
      <c r="AQ4" s="10">
        <f>S4*0.03</f>
        <v>2082.9</v>
      </c>
      <c r="AR4" s="90">
        <f>AK4-AO4-AP4+AQ4</f>
        <v>16135.23870967742</v>
      </c>
      <c r="AS4" s="91">
        <f>AR4/P4</f>
        <v>0.21785535090836872</v>
      </c>
      <c r="AT4" s="10">
        <f t="shared" ref="AT4:AT11" si="5">131251/248*G4</f>
        <v>13760.185483870968</v>
      </c>
      <c r="AU4" s="90">
        <f>AR4-AT4</f>
        <v>2375.0532258064522</v>
      </c>
      <c r="AV4" s="91">
        <f>AU4/P4</f>
        <v>3.206757973923164E-2</v>
      </c>
      <c r="AW4" s="10">
        <f t="shared" ref="AW4:AW11" si="6">123530/248*G4</f>
        <v>12950.725806451614</v>
      </c>
      <c r="AX4" s="90">
        <f>AR4+AW4</f>
        <v>29085.964516129032</v>
      </c>
      <c r="AY4" s="91">
        <f>AX4/P4</f>
        <v>0.39271393006223038</v>
      </c>
      <c r="BA4" s="10">
        <f t="shared" ref="BA4" si="7">P4/$G4</f>
        <v>2848.6153846153848</v>
      </c>
      <c r="BB4" s="10">
        <f>-AC4/$G4</f>
        <v>-1215.5391747258652</v>
      </c>
      <c r="BC4" s="10">
        <f>-AD4/$G4</f>
        <v>-298.7557297681393</v>
      </c>
      <c r="BD4" s="10">
        <f>-AE4/$G4</f>
        <v>-17.930454517143485</v>
      </c>
      <c r="BE4" s="10">
        <f>-AF4/$G4</f>
        <v>-297.77464098885213</v>
      </c>
      <c r="BF4" s="10">
        <f>-AG4/$G4</f>
        <v>-1830</v>
      </c>
      <c r="BG4" s="10">
        <f>AK4/$G4</f>
        <v>1018.6153846153846</v>
      </c>
      <c r="BH4" s="10">
        <f>-AM4/$G4</f>
        <v>-178.23076923076923</v>
      </c>
      <c r="BI4" s="10">
        <f>-AN4/$G4</f>
        <v>-57.692307692307693</v>
      </c>
      <c r="BJ4" s="10">
        <f>-AO4/$G4</f>
        <v>-235.92307692307693</v>
      </c>
      <c r="BK4" s="10">
        <f>-AP4/$G4</f>
        <v>-242.21774193548387</v>
      </c>
      <c r="BL4" s="10">
        <f>AQ4/$G4</f>
        <v>80.111538461538458</v>
      </c>
      <c r="BM4" s="10">
        <f>AR4/$G4</f>
        <v>620.58610421836227</v>
      </c>
      <c r="BN4" s="10">
        <f>-AT4/$G4</f>
        <v>-529.23790322580646</v>
      </c>
      <c r="BO4" s="10">
        <f t="shared" ref="BO4" si="8">AU4/$G4</f>
        <v>91.34820099255586</v>
      </c>
      <c r="BP4" s="10">
        <f>AW4/$G4</f>
        <v>498.10483870967744</v>
      </c>
      <c r="BQ4" s="10">
        <f>AX4/$G4</f>
        <v>1118.6909429280397</v>
      </c>
    </row>
    <row r="5" spans="2:69" hidden="1">
      <c r="B5" s="4" t="s">
        <v>6</v>
      </c>
      <c r="C5" s="27" t="str">
        <f t="shared" si="0"/>
        <v>ENERO</v>
      </c>
      <c r="D5" s="25" t="s">
        <v>118</v>
      </c>
      <c r="E5" s="100">
        <v>325</v>
      </c>
      <c r="F5" s="100">
        <v>46053</v>
      </c>
      <c r="G5" s="101">
        <v>17.04</v>
      </c>
      <c r="H5" s="102" t="s">
        <v>35</v>
      </c>
      <c r="I5" s="27" t="s">
        <v>119</v>
      </c>
      <c r="J5" s="19" t="s">
        <v>120</v>
      </c>
      <c r="K5" s="7" t="s">
        <v>121</v>
      </c>
      <c r="L5" s="7" t="s">
        <v>122</v>
      </c>
      <c r="M5" s="21" t="s">
        <v>53</v>
      </c>
      <c r="N5" s="7" t="s">
        <v>123</v>
      </c>
      <c r="O5" s="46">
        <v>1850</v>
      </c>
      <c r="P5" s="52">
        <v>31524</v>
      </c>
      <c r="Q5" s="46">
        <v>1656.3380281690143</v>
      </c>
      <c r="R5" s="46">
        <f>3300/24*G5</f>
        <v>2343</v>
      </c>
      <c r="S5" s="45">
        <f t="shared" si="1"/>
        <v>29181</v>
      </c>
      <c r="T5" s="22">
        <v>1</v>
      </c>
      <c r="U5" s="27" t="s">
        <v>124</v>
      </c>
      <c r="V5" s="24">
        <v>6443191850</v>
      </c>
      <c r="W5" s="25" t="s">
        <v>125</v>
      </c>
      <c r="X5" s="4" t="s">
        <v>116</v>
      </c>
      <c r="Y5" s="7">
        <v>10005779</v>
      </c>
      <c r="Z5" s="28" t="s">
        <v>117</v>
      </c>
      <c r="AA5" s="7" t="str">
        <f t="shared" si="2"/>
        <v>ENERO10005779Compensación</v>
      </c>
      <c r="AB5" s="26">
        <f>INDEX('Detalle Costos'!$L$5:$L$158,MATCH(Resumen!AA5,'Detalle Costos'!$C$5:$C$158,0))*1000</f>
        <v>1930</v>
      </c>
      <c r="AC5" s="44">
        <f>IFERROR(INDEX('Detalle Costos'!$X$5:$X$158,MATCH(Resumen!AA5,'Detalle Costos'!$C$5:$C$158,0))*AG5,0)</f>
        <v>20697.484505029512</v>
      </c>
      <c r="AD5" s="44">
        <f>IFERROR(INDEX('Detalle Costos'!$Z$5:$Z$158,MATCH(Resumen!AA5,'Detalle Costos'!$C$5:$C$158,0))*AG5,0)</f>
        <v>6988.7487369194496</v>
      </c>
      <c r="AE5" s="44">
        <f>IFERROR(INDEX('Detalle Costos'!$Y$5:$Y$158,MATCH(Resumen!AA5,'Detalle Costos'!$C$5:$C$158,0))*AG5,0)</f>
        <v>251.1516477056781</v>
      </c>
      <c r="AF5" s="44">
        <f>IFERROR(INDEX('Detalle Costos'!$AA$5:$AA$158,MATCH(Resumen!AA5,'Detalle Costos'!$C$5:$C$158,0))*AG5,0)</f>
        <v>4949.8151103453556</v>
      </c>
      <c r="AG5" s="44">
        <f t="shared" ref="AG5:AG34" si="9">AB5*G5</f>
        <v>32887.199999999997</v>
      </c>
      <c r="AH5" s="44">
        <v>17.04</v>
      </c>
      <c r="AI5" s="26">
        <f t="shared" ref="AI5:AI11" si="10">+AJ5/AH5</f>
        <v>1977.4951253481865</v>
      </c>
      <c r="AJ5" s="44">
        <v>33696.516935933098</v>
      </c>
      <c r="AK5" s="90">
        <f t="shared" ref="AK5:AK34" si="11">P5-AG5</f>
        <v>-1363.1999999999971</v>
      </c>
      <c r="AL5" s="92">
        <f t="shared" ref="AL5:AL34" si="12">AK5/P5</f>
        <v>-4.3243243243243148E-2</v>
      </c>
      <c r="AM5" s="10">
        <f t="shared" ref="AM5:AM54" si="13">R5</f>
        <v>2343</v>
      </c>
      <c r="AN5" s="10">
        <f t="shared" si="3"/>
        <v>983.07692307692309</v>
      </c>
      <c r="AO5" s="10">
        <f t="shared" ref="AO5:AO54" si="14">SUM(AM5:AN5)</f>
        <v>3326.0769230769229</v>
      </c>
      <c r="AP5" s="10">
        <f t="shared" si="4"/>
        <v>4127.3903225806453</v>
      </c>
      <c r="AQ5" s="10">
        <f t="shared" ref="AQ5:AQ54" si="15">S5*0.03</f>
        <v>875.43</v>
      </c>
      <c r="AR5" s="90">
        <f t="shared" ref="AR5:AR54" si="16">AK5-AO5-AP5+AQ5</f>
        <v>-7941.2372456575649</v>
      </c>
      <c r="AS5" s="92">
        <f t="shared" ref="AS5:AS54" si="17">AR5/P5</f>
        <v>-0.25191083763664396</v>
      </c>
      <c r="AT5" s="10">
        <f t="shared" si="5"/>
        <v>9018.213870967742</v>
      </c>
      <c r="AU5" s="90">
        <f t="shared" ref="AU5:AU54" si="18">AR5-AT5</f>
        <v>-16959.451116625307</v>
      </c>
      <c r="AV5" s="92">
        <f t="shared" ref="AV5:AV54" si="19">AU5/P5</f>
        <v>-0.5379853799208637</v>
      </c>
      <c r="AW5" s="10">
        <f t="shared" si="6"/>
        <v>8487.706451612903</v>
      </c>
      <c r="AX5" s="90">
        <f t="shared" ref="AX5:AX54" si="20">AR5+AW5</f>
        <v>546.46920595533811</v>
      </c>
      <c r="AY5" s="92">
        <f t="shared" ref="AY5:AY54" si="21">AX5/P5</f>
        <v>1.7335021125343804E-2</v>
      </c>
      <c r="BA5" s="10">
        <f t="shared" ref="BA5:BA54" si="22">P5/$G5</f>
        <v>1850</v>
      </c>
      <c r="BB5" s="10">
        <f t="shared" ref="BB5:BB54" si="23">-AC5/$G5</f>
        <v>-1214.6411094500888</v>
      </c>
      <c r="BC5" s="10">
        <f t="shared" ref="BC5:BC54" si="24">-AD5/$G5</f>
        <v>-410.13783667367665</v>
      </c>
      <c r="BD5" s="10">
        <f t="shared" ref="BD5:BD54" si="25">-AE5/$G5</f>
        <v>-14.738946461600829</v>
      </c>
      <c r="BE5" s="10">
        <f t="shared" ref="BE5:BE54" si="26">-AF5/$G5</f>
        <v>-290.48210741463356</v>
      </c>
      <c r="BF5" s="10">
        <f t="shared" ref="BF5:BF54" si="27">-AG5/$G5</f>
        <v>-1930</v>
      </c>
      <c r="BG5" s="10">
        <f t="shared" ref="BG5:BG54" si="28">AK5/$G5</f>
        <v>-79.999999999999829</v>
      </c>
      <c r="BH5" s="10">
        <f t="shared" ref="BH5:BH54" si="29">-AM5/$G5</f>
        <v>-137.5</v>
      </c>
      <c r="BI5" s="10">
        <f t="shared" ref="BI5:BI54" si="30">-AN5/$G5</f>
        <v>-57.692307692307693</v>
      </c>
      <c r="BJ5" s="10">
        <f t="shared" ref="BJ5:BJ54" si="31">-AO5/$G5</f>
        <v>-195.19230769230768</v>
      </c>
      <c r="BK5" s="10">
        <f t="shared" ref="BK5:BK54" si="32">-AP5/$G5</f>
        <v>-242.2177419354839</v>
      </c>
      <c r="BL5" s="10">
        <f t="shared" ref="BL5:BL54" si="33">AQ5/$G5</f>
        <v>51.375</v>
      </c>
      <c r="BM5" s="10">
        <f t="shared" ref="BM5:BM54" si="34">AR5/$G5</f>
        <v>-466.03504962779141</v>
      </c>
      <c r="BN5" s="10">
        <f t="shared" ref="BN5:BN54" si="35">-AT5/$G5</f>
        <v>-529.23790322580646</v>
      </c>
      <c r="BO5" s="10">
        <f t="shared" ref="BO5:BO54" si="36">AU5/$G5</f>
        <v>-995.27295285359787</v>
      </c>
      <c r="BP5" s="10">
        <f t="shared" ref="BP5:BP54" si="37">AW5/$G5</f>
        <v>498.10483870967744</v>
      </c>
      <c r="BQ5" s="10">
        <f t="shared" ref="BQ5:BQ54" si="38">AX5/$G5</f>
        <v>32.069789081886043</v>
      </c>
    </row>
    <row r="6" spans="2:69" hidden="1">
      <c r="B6" s="4" t="s">
        <v>6</v>
      </c>
      <c r="C6" s="27" t="str">
        <f t="shared" si="0"/>
        <v>ENERO</v>
      </c>
      <c r="D6" s="25" t="s">
        <v>118</v>
      </c>
      <c r="E6" s="100">
        <v>325</v>
      </c>
      <c r="F6" s="100">
        <v>46053</v>
      </c>
      <c r="G6" s="101">
        <v>3</v>
      </c>
      <c r="H6" s="102" t="s">
        <v>35</v>
      </c>
      <c r="I6" s="27" t="s">
        <v>119</v>
      </c>
      <c r="J6" s="7" t="s">
        <v>126</v>
      </c>
      <c r="K6" s="7" t="s">
        <v>121</v>
      </c>
      <c r="L6" s="7" t="s">
        <v>122</v>
      </c>
      <c r="M6" s="21" t="s">
        <v>53</v>
      </c>
      <c r="N6" s="7" t="s">
        <v>123</v>
      </c>
      <c r="O6" s="46">
        <v>1450</v>
      </c>
      <c r="P6" s="52">
        <v>4350</v>
      </c>
      <c r="Q6" s="46">
        <v>1450</v>
      </c>
      <c r="R6" s="46">
        <f>3300/24*G6</f>
        <v>412.5</v>
      </c>
      <c r="S6" s="45">
        <f t="shared" si="1"/>
        <v>3937.5</v>
      </c>
      <c r="T6" s="22">
        <v>0</v>
      </c>
      <c r="U6" s="27"/>
      <c r="V6" s="24">
        <v>6443191850</v>
      </c>
      <c r="W6" s="25" t="s">
        <v>125</v>
      </c>
      <c r="X6" s="4" t="s">
        <v>116</v>
      </c>
      <c r="Y6" s="7">
        <v>10005781</v>
      </c>
      <c r="Z6" s="28" t="s">
        <v>117</v>
      </c>
      <c r="AA6" s="7" t="str">
        <f t="shared" si="2"/>
        <v>ENERO10005781Compensación</v>
      </c>
      <c r="AB6" s="26">
        <f>INDEX('Detalle Costos'!$L$5:$L$158,MATCH(Resumen!AA6,'Detalle Costos'!$C$5:$C$158,0))*1000</f>
        <v>1980</v>
      </c>
      <c r="AC6" s="44">
        <f>IFERROR(INDEX('Detalle Costos'!$X$5:$X$158,MATCH(Resumen!AA6,'Detalle Costos'!$C$5:$C$158,0))*AG6,0)</f>
        <v>3757.0131752477705</v>
      </c>
      <c r="AD6" s="44">
        <f>IFERROR(INDEX('Detalle Costos'!$Z$5:$Z$158,MATCH(Resumen!AA6,'Detalle Costos'!$C$5:$C$158,0))*AG6,0)</f>
        <v>1227.8049305981747</v>
      </c>
      <c r="AE6" s="44">
        <f>IFERROR(INDEX('Detalle Costos'!$Y$5:$Y$158,MATCH(Resumen!AA6,'Detalle Costos'!$C$5:$C$158,0))*AG6,0)</f>
        <v>49.950511210059688</v>
      </c>
      <c r="AF6" s="44">
        <f>IFERROR(INDEX('Detalle Costos'!$AA$5:$AA$158,MATCH(Resumen!AA6,'Detalle Costos'!$C$5:$C$158,0))*AG6,0)</f>
        <v>905.2313829439945</v>
      </c>
      <c r="AG6" s="44">
        <f t="shared" si="9"/>
        <v>5940</v>
      </c>
      <c r="AH6" s="118">
        <v>3</v>
      </c>
      <c r="AI6" s="26">
        <f t="shared" si="10"/>
        <v>1934.6564044943834</v>
      </c>
      <c r="AJ6" s="44">
        <v>5803.9692134831503</v>
      </c>
      <c r="AK6" s="90">
        <f t="shared" si="11"/>
        <v>-1590</v>
      </c>
      <c r="AL6" s="92">
        <f t="shared" si="12"/>
        <v>-0.36551724137931035</v>
      </c>
      <c r="AM6" s="10">
        <f t="shared" si="13"/>
        <v>412.5</v>
      </c>
      <c r="AN6" s="10">
        <f t="shared" si="3"/>
        <v>173.07692307692309</v>
      </c>
      <c r="AO6" s="10">
        <f t="shared" si="14"/>
        <v>585.57692307692309</v>
      </c>
      <c r="AP6" s="10">
        <f t="shared" si="4"/>
        <v>726.65322580645159</v>
      </c>
      <c r="AQ6" s="10">
        <f t="shared" si="15"/>
        <v>118.125</v>
      </c>
      <c r="AR6" s="90">
        <f t="shared" si="16"/>
        <v>-2784.1051488833746</v>
      </c>
      <c r="AS6" s="92">
        <f t="shared" si="17"/>
        <v>-0.64002417215709761</v>
      </c>
      <c r="AT6" s="10">
        <f t="shared" si="5"/>
        <v>1587.7137096774195</v>
      </c>
      <c r="AU6" s="90">
        <f t="shared" si="18"/>
        <v>-4371.8188585607941</v>
      </c>
      <c r="AV6" s="92">
        <f t="shared" si="19"/>
        <v>-1.0050158295542055</v>
      </c>
      <c r="AW6" s="10">
        <f t="shared" si="6"/>
        <v>1494.3145161290322</v>
      </c>
      <c r="AX6" s="90">
        <f t="shared" si="20"/>
        <v>-1289.7906327543424</v>
      </c>
      <c r="AY6" s="92">
        <f t="shared" si="21"/>
        <v>-0.29650359373663043</v>
      </c>
      <c r="BA6" s="10">
        <f t="shared" si="22"/>
        <v>1450</v>
      </c>
      <c r="BB6" s="10">
        <f t="shared" si="23"/>
        <v>-1252.3377250825902</v>
      </c>
      <c r="BC6" s="10">
        <f t="shared" si="24"/>
        <v>-409.26831019939158</v>
      </c>
      <c r="BD6" s="10">
        <f t="shared" si="25"/>
        <v>-16.650170403353229</v>
      </c>
      <c r="BE6" s="10">
        <f t="shared" si="26"/>
        <v>-301.74379431466485</v>
      </c>
      <c r="BF6" s="10">
        <f t="shared" si="27"/>
        <v>-1980</v>
      </c>
      <c r="BG6" s="10">
        <f t="shared" si="28"/>
        <v>-530</v>
      </c>
      <c r="BH6" s="10">
        <f t="shared" si="29"/>
        <v>-137.5</v>
      </c>
      <c r="BI6" s="10">
        <f t="shared" si="30"/>
        <v>-57.692307692307701</v>
      </c>
      <c r="BJ6" s="10">
        <f t="shared" si="31"/>
        <v>-195.19230769230771</v>
      </c>
      <c r="BK6" s="10">
        <f t="shared" si="32"/>
        <v>-242.21774193548387</v>
      </c>
      <c r="BL6" s="10">
        <f t="shared" si="33"/>
        <v>39.375</v>
      </c>
      <c r="BM6" s="10">
        <f t="shared" si="34"/>
        <v>-928.03504962779152</v>
      </c>
      <c r="BN6" s="10">
        <f t="shared" si="35"/>
        <v>-529.23790322580646</v>
      </c>
      <c r="BO6" s="10">
        <f t="shared" si="36"/>
        <v>-1457.2729528535981</v>
      </c>
      <c r="BP6" s="10">
        <f t="shared" si="37"/>
        <v>498.10483870967738</v>
      </c>
      <c r="BQ6" s="10">
        <f t="shared" si="38"/>
        <v>-429.93021091811414</v>
      </c>
    </row>
    <row r="7" spans="2:69" hidden="1">
      <c r="B7" s="4" t="s">
        <v>6</v>
      </c>
      <c r="C7" s="27" t="str">
        <f t="shared" si="0"/>
        <v>ENERO</v>
      </c>
      <c r="D7" s="25" t="s">
        <v>118</v>
      </c>
      <c r="E7" s="100">
        <v>325</v>
      </c>
      <c r="F7" s="100">
        <v>46053</v>
      </c>
      <c r="G7" s="101">
        <v>3.96</v>
      </c>
      <c r="H7" s="102" t="s">
        <v>31</v>
      </c>
      <c r="I7" s="27" t="s">
        <v>110</v>
      </c>
      <c r="J7" s="7" t="s">
        <v>127</v>
      </c>
      <c r="K7" s="7" t="s">
        <v>121</v>
      </c>
      <c r="L7" s="7" t="s">
        <v>122</v>
      </c>
      <c r="M7" s="21" t="s">
        <v>53</v>
      </c>
      <c r="N7" s="7" t="s">
        <v>123</v>
      </c>
      <c r="O7" s="46">
        <f>P7/G7</f>
        <v>2234.3434343434342</v>
      </c>
      <c r="P7" s="52">
        <v>8848</v>
      </c>
      <c r="Q7" s="46">
        <v>2800</v>
      </c>
      <c r="R7" s="46">
        <f>3300/24*G7</f>
        <v>544.5</v>
      </c>
      <c r="S7" s="45">
        <f t="shared" si="1"/>
        <v>8303.5</v>
      </c>
      <c r="T7" s="22">
        <v>0</v>
      </c>
      <c r="U7" s="27"/>
      <c r="V7" s="24">
        <v>6443191850</v>
      </c>
      <c r="W7" s="25" t="s">
        <v>125</v>
      </c>
      <c r="X7" s="4" t="s">
        <v>116</v>
      </c>
      <c r="Y7" s="7">
        <v>10007162</v>
      </c>
      <c r="Z7" s="28" t="s">
        <v>117</v>
      </c>
      <c r="AA7" s="7" t="str">
        <f t="shared" si="2"/>
        <v>ENERO10007162Compensación</v>
      </c>
      <c r="AB7" s="26">
        <f>INDEX('Detalle Costos'!$L$5:$L$158,MATCH(Resumen!AA7,'Detalle Costos'!$C$5:$C$158,0))*1000</f>
        <v>1790</v>
      </c>
      <c r="AC7" s="44">
        <f>IFERROR(INDEX('Detalle Costos'!$X$5:$X$158,MATCH(Resumen!AA7,'Detalle Costos'!$C$5:$C$158,0))*AG7,0)</f>
        <v>4604.3695814081602</v>
      </c>
      <c r="AD7" s="44">
        <f>IFERROR(INDEX('Detalle Costos'!$Z$5:$Z$158,MATCH(Resumen!AA7,'Detalle Costos'!$C$5:$C$158,0))*AG7,0)</f>
        <v>1214.8181219670928</v>
      </c>
      <c r="AE7" s="44">
        <f>IFERROR(INDEX('Detalle Costos'!$Y$5:$Y$158,MATCH(Resumen!AA7,'Detalle Costos'!$C$5:$C$158,0))*AG7,0)</f>
        <v>61.899522527468079</v>
      </c>
      <c r="AF7" s="44">
        <f>IFERROR(INDEX('Detalle Costos'!$AA$5:$AA$158,MATCH(Resumen!AA7,'Detalle Costos'!$C$5:$C$158,0))*AG7,0)</f>
        <v>1207.3127740972786</v>
      </c>
      <c r="AG7" s="44">
        <f t="shared" si="9"/>
        <v>7088.4</v>
      </c>
      <c r="AH7" s="44">
        <v>3.16</v>
      </c>
      <c r="AI7" s="26">
        <f t="shared" si="10"/>
        <v>1842.6970447733067</v>
      </c>
      <c r="AJ7" s="44">
        <v>5822.9226614836498</v>
      </c>
      <c r="AK7" s="90">
        <f t="shared" si="11"/>
        <v>1759.6000000000004</v>
      </c>
      <c r="AL7" s="92">
        <f t="shared" si="12"/>
        <v>0.198869801084991</v>
      </c>
      <c r="AM7" s="10">
        <f t="shared" si="13"/>
        <v>544.5</v>
      </c>
      <c r="AN7" s="10">
        <f t="shared" si="3"/>
        <v>228.46153846153845</v>
      </c>
      <c r="AO7" s="10">
        <f t="shared" si="14"/>
        <v>772.96153846153845</v>
      </c>
      <c r="AP7" s="10">
        <f t="shared" si="4"/>
        <v>959.18225806451608</v>
      </c>
      <c r="AQ7" s="10">
        <f t="shared" si="15"/>
        <v>249.10499999999999</v>
      </c>
      <c r="AR7" s="90">
        <f t="shared" si="16"/>
        <v>276.56120347394585</v>
      </c>
      <c r="AS7" s="92">
        <f t="shared" si="17"/>
        <v>3.1256917209984837E-2</v>
      </c>
      <c r="AT7" s="10">
        <f t="shared" si="5"/>
        <v>2095.7820967741936</v>
      </c>
      <c r="AU7" s="90">
        <f t="shared" si="18"/>
        <v>-1819.2208933002478</v>
      </c>
      <c r="AV7" s="92">
        <f t="shared" si="19"/>
        <v>-0.20560814797697194</v>
      </c>
      <c r="AW7" s="10">
        <f t="shared" si="6"/>
        <v>1972.4951612903226</v>
      </c>
      <c r="AX7" s="90">
        <f t="shared" si="20"/>
        <v>2249.0563647642684</v>
      </c>
      <c r="AY7" s="92">
        <f t="shared" si="21"/>
        <v>0.25418810632507555</v>
      </c>
      <c r="BA7" s="10">
        <f t="shared" si="22"/>
        <v>2234.3434343434342</v>
      </c>
      <c r="BB7" s="10">
        <f t="shared" si="23"/>
        <v>-1162.7195912646869</v>
      </c>
      <c r="BC7" s="10">
        <f t="shared" si="24"/>
        <v>-306.77225302199315</v>
      </c>
      <c r="BD7" s="10">
        <f t="shared" si="25"/>
        <v>-15.631192557441434</v>
      </c>
      <c r="BE7" s="10">
        <f t="shared" si="26"/>
        <v>-304.87696315587846</v>
      </c>
      <c r="BF7" s="10">
        <f t="shared" si="27"/>
        <v>-1790</v>
      </c>
      <c r="BG7" s="10">
        <f t="shared" si="28"/>
        <v>444.34343434343447</v>
      </c>
      <c r="BH7" s="10">
        <f t="shared" si="29"/>
        <v>-137.5</v>
      </c>
      <c r="BI7" s="10">
        <f t="shared" si="30"/>
        <v>-57.692307692307693</v>
      </c>
      <c r="BJ7" s="10">
        <f t="shared" si="31"/>
        <v>-195.19230769230768</v>
      </c>
      <c r="BK7" s="10">
        <f t="shared" si="32"/>
        <v>-242.21774193548387</v>
      </c>
      <c r="BL7" s="10">
        <f t="shared" si="33"/>
        <v>62.905303030303031</v>
      </c>
      <c r="BM7" s="10">
        <f t="shared" si="34"/>
        <v>69.838687745945919</v>
      </c>
      <c r="BN7" s="10">
        <f t="shared" si="35"/>
        <v>-529.23790322580646</v>
      </c>
      <c r="BO7" s="10">
        <f t="shared" si="36"/>
        <v>-459.39921547986057</v>
      </c>
      <c r="BP7" s="10">
        <f t="shared" si="37"/>
        <v>498.10483870967744</v>
      </c>
      <c r="BQ7" s="10">
        <f t="shared" si="38"/>
        <v>567.94352645562333</v>
      </c>
    </row>
    <row r="8" spans="2:69" hidden="1">
      <c r="B8" s="4" t="s">
        <v>6</v>
      </c>
      <c r="C8" s="27" t="str">
        <f t="shared" si="0"/>
        <v>ENERO</v>
      </c>
      <c r="D8" s="25" t="s">
        <v>128</v>
      </c>
      <c r="E8" s="100">
        <v>45982</v>
      </c>
      <c r="F8" s="100">
        <v>46031</v>
      </c>
      <c r="G8" s="101">
        <v>24</v>
      </c>
      <c r="H8" s="102" t="s">
        <v>38</v>
      </c>
      <c r="I8" s="27" t="s">
        <v>129</v>
      </c>
      <c r="J8" s="19"/>
      <c r="K8" s="7" t="s">
        <v>130</v>
      </c>
      <c r="L8" s="7" t="s">
        <v>131</v>
      </c>
      <c r="M8" s="21" t="s">
        <v>46</v>
      </c>
      <c r="N8" s="7" t="s">
        <v>132</v>
      </c>
      <c r="O8" s="46">
        <v>2100</v>
      </c>
      <c r="P8" s="52">
        <v>50400</v>
      </c>
      <c r="Q8" s="46">
        <v>1962.5</v>
      </c>
      <c r="R8" s="46">
        <v>3300</v>
      </c>
      <c r="S8" s="45">
        <f t="shared" si="1"/>
        <v>47100</v>
      </c>
      <c r="T8" s="22">
        <v>1</v>
      </c>
      <c r="U8" s="27" t="s">
        <v>133</v>
      </c>
      <c r="V8" s="24">
        <v>6440924270</v>
      </c>
      <c r="W8" s="25" t="s">
        <v>125</v>
      </c>
      <c r="X8" s="4" t="s">
        <v>116</v>
      </c>
      <c r="Y8" s="7">
        <v>10007969</v>
      </c>
      <c r="Z8" s="28" t="s">
        <v>117</v>
      </c>
      <c r="AA8" s="7" t="str">
        <f t="shared" si="2"/>
        <v>ENERO10007969Compensación</v>
      </c>
      <c r="AB8" s="26">
        <f>INDEX('Detalle Costos'!$L$5:$L$158,MATCH(Resumen!AA8,'Detalle Costos'!$C$5:$C$158,0))*1000</f>
        <v>1640</v>
      </c>
      <c r="AC8" s="44">
        <f>IFERROR(INDEX('Detalle Costos'!$X$5:$X$158,MATCH(Resumen!AA8,'Detalle Costos'!$C$5:$C$158,0))*AG8,0)</f>
        <v>30431.61897971667</v>
      </c>
      <c r="AD8" s="44">
        <f>IFERROR(INDEX('Detalle Costos'!$Z$5:$Z$158,MATCH(Resumen!AA8,'Detalle Costos'!$C$5:$C$158,0))*AG8,0)</f>
        <v>5331.8120500864879</v>
      </c>
      <c r="AE8" s="44">
        <f>IFERROR(INDEX('Detalle Costos'!$Y$5:$Y$158,MATCH(Resumen!AA8,'Detalle Costos'!$C$5:$C$158,0))*AG8,0)</f>
        <v>403.53076527325976</v>
      </c>
      <c r="AF8" s="44">
        <f>IFERROR(INDEX('Detalle Costos'!$AA$5:$AA$158,MATCH(Resumen!AA8,'Detalle Costos'!$C$5:$C$158,0))*AG8,0)</f>
        <v>3193.03820492358</v>
      </c>
      <c r="AG8" s="44">
        <f t="shared" si="9"/>
        <v>39360</v>
      </c>
      <c r="AH8" s="119">
        <v>24</v>
      </c>
      <c r="AI8" s="26">
        <f t="shared" si="10"/>
        <v>1644.316650390625</v>
      </c>
      <c r="AJ8" s="44">
        <v>39463.599609375</v>
      </c>
      <c r="AK8" s="90">
        <f t="shared" si="11"/>
        <v>11040</v>
      </c>
      <c r="AL8" s="92">
        <f t="shared" si="12"/>
        <v>0.21904761904761905</v>
      </c>
      <c r="AM8" s="10">
        <f t="shared" si="13"/>
        <v>3300</v>
      </c>
      <c r="AN8" s="10">
        <f t="shared" si="3"/>
        <v>1384.6153846153848</v>
      </c>
      <c r="AO8" s="10">
        <f t="shared" si="14"/>
        <v>4684.6153846153848</v>
      </c>
      <c r="AP8" s="10">
        <f t="shared" si="4"/>
        <v>5813.2258064516127</v>
      </c>
      <c r="AQ8" s="10">
        <f t="shared" si="15"/>
        <v>1413</v>
      </c>
      <c r="AR8" s="90">
        <f t="shared" si="16"/>
        <v>1955.1588089330025</v>
      </c>
      <c r="AS8" s="92">
        <f t="shared" si="17"/>
        <v>3.8792833510575449E-2</v>
      </c>
      <c r="AT8" s="10">
        <f t="shared" si="5"/>
        <v>12701.709677419356</v>
      </c>
      <c r="AU8" s="90">
        <f t="shared" si="18"/>
        <v>-10746.550868486353</v>
      </c>
      <c r="AV8" s="92">
        <f t="shared" si="19"/>
        <v>-0.21322521564457048</v>
      </c>
      <c r="AW8" s="10">
        <f t="shared" si="6"/>
        <v>11954.516129032258</v>
      </c>
      <c r="AX8" s="90">
        <f t="shared" si="20"/>
        <v>13909.674937965261</v>
      </c>
      <c r="AY8" s="92">
        <f t="shared" si="21"/>
        <v>0.27598561384851711</v>
      </c>
      <c r="BA8" s="10">
        <f t="shared" si="22"/>
        <v>2100</v>
      </c>
      <c r="BB8" s="10">
        <f t="shared" si="23"/>
        <v>-1267.9841241548613</v>
      </c>
      <c r="BC8" s="10">
        <f t="shared" si="24"/>
        <v>-222.15883542027032</v>
      </c>
      <c r="BD8" s="10">
        <f t="shared" si="25"/>
        <v>-16.813781886385822</v>
      </c>
      <c r="BE8" s="10">
        <f t="shared" si="26"/>
        <v>-133.04325853848249</v>
      </c>
      <c r="BF8" s="10">
        <f t="shared" si="27"/>
        <v>-1640</v>
      </c>
      <c r="BG8" s="10">
        <f t="shared" si="28"/>
        <v>460</v>
      </c>
      <c r="BH8" s="10">
        <f t="shared" si="29"/>
        <v>-137.5</v>
      </c>
      <c r="BI8" s="10">
        <f t="shared" si="30"/>
        <v>-57.692307692307701</v>
      </c>
      <c r="BJ8" s="10">
        <f t="shared" si="31"/>
        <v>-195.19230769230771</v>
      </c>
      <c r="BK8" s="10">
        <f t="shared" si="32"/>
        <v>-242.21774193548387</v>
      </c>
      <c r="BL8" s="10">
        <f t="shared" si="33"/>
        <v>58.875</v>
      </c>
      <c r="BM8" s="10">
        <f t="shared" si="34"/>
        <v>81.464950372208435</v>
      </c>
      <c r="BN8" s="10">
        <f t="shared" si="35"/>
        <v>-529.23790322580646</v>
      </c>
      <c r="BO8" s="10">
        <f t="shared" si="36"/>
        <v>-447.77295285359804</v>
      </c>
      <c r="BP8" s="10">
        <f t="shared" si="37"/>
        <v>498.10483870967738</v>
      </c>
      <c r="BQ8" s="10">
        <f t="shared" si="38"/>
        <v>579.56978908188592</v>
      </c>
    </row>
    <row r="9" spans="2:69" hidden="1">
      <c r="B9" s="4" t="s">
        <v>6</v>
      </c>
      <c r="C9" s="27" t="str">
        <f t="shared" si="0"/>
        <v>ENERO</v>
      </c>
      <c r="D9" s="25" t="s">
        <v>134</v>
      </c>
      <c r="E9" s="100">
        <v>46000</v>
      </c>
      <c r="F9" s="100">
        <v>46043</v>
      </c>
      <c r="G9" s="101">
        <v>24</v>
      </c>
      <c r="H9" s="102" t="s">
        <v>33</v>
      </c>
      <c r="I9" s="27" t="s">
        <v>135</v>
      </c>
      <c r="J9" s="7" t="s">
        <v>136</v>
      </c>
      <c r="K9" s="7" t="s">
        <v>137</v>
      </c>
      <c r="L9" s="7" t="s">
        <v>138</v>
      </c>
      <c r="M9" s="21" t="s">
        <v>46</v>
      </c>
      <c r="N9" s="7" t="s">
        <v>132</v>
      </c>
      <c r="O9" s="46">
        <f>P9/G9</f>
        <v>1966.6666666666667</v>
      </c>
      <c r="P9" s="52">
        <f>48000*0+47200</f>
        <v>47200</v>
      </c>
      <c r="Q9" s="46">
        <f>S9/G9</f>
        <v>1841.5416666666667</v>
      </c>
      <c r="R9" s="46">
        <v>3003</v>
      </c>
      <c r="S9" s="45">
        <f t="shared" si="1"/>
        <v>44197</v>
      </c>
      <c r="T9" s="22">
        <v>1</v>
      </c>
      <c r="U9" s="27" t="s">
        <v>139</v>
      </c>
      <c r="V9" s="24" t="s">
        <v>140</v>
      </c>
      <c r="W9" s="25" t="s">
        <v>141</v>
      </c>
      <c r="X9" s="4" t="s">
        <v>116</v>
      </c>
      <c r="Y9" s="7">
        <v>10005721</v>
      </c>
      <c r="Z9" s="28" t="s">
        <v>117</v>
      </c>
      <c r="AA9" s="7" t="str">
        <f t="shared" si="2"/>
        <v>ENERO10005721Compensación</v>
      </c>
      <c r="AB9" s="26">
        <f>INDEX('Detalle Costos'!$L$5:$L$158,MATCH(Resumen!AA9,'Detalle Costos'!$C$5:$C$158,0))*1000</f>
        <v>1860</v>
      </c>
      <c r="AC9" s="44">
        <f>IFERROR(INDEX('Detalle Costos'!$X$5:$X$158,MATCH(Resumen!AA9,'Detalle Costos'!$C$5:$C$158,0))*AG9,0)</f>
        <v>27074.763257694456</v>
      </c>
      <c r="AD9" s="44">
        <f>IFERROR(INDEX('Detalle Costos'!$Z$5:$Z$158,MATCH(Resumen!AA9,'Detalle Costos'!$C$5:$C$158,0))*AG9,0)</f>
        <v>9821.5947948746671</v>
      </c>
      <c r="AE9" s="44">
        <f>IFERROR(INDEX('Detalle Costos'!$Y$5:$Y$158,MATCH(Resumen!AA9,'Detalle Costos'!$C$5:$C$158,0))*AG9,0)</f>
        <v>427.38654616783856</v>
      </c>
      <c r="AF9" s="44">
        <f>IFERROR(INDEX('Detalle Costos'!$AA$5:$AA$158,MATCH(Resumen!AA9,'Detalle Costos'!$C$5:$C$158,0))*AG9,0)</f>
        <v>7316.2554012630353</v>
      </c>
      <c r="AG9" s="44">
        <f t="shared" si="9"/>
        <v>44640</v>
      </c>
      <c r="AH9" s="44">
        <v>23.7</v>
      </c>
      <c r="AI9" s="26">
        <f t="shared" si="10"/>
        <v>1889.3858510966963</v>
      </c>
      <c r="AJ9" s="44">
        <v>44778.444670991703</v>
      </c>
      <c r="AK9" s="90">
        <f t="shared" si="11"/>
        <v>2560</v>
      </c>
      <c r="AL9" s="92">
        <f t="shared" si="12"/>
        <v>5.4237288135593219E-2</v>
      </c>
      <c r="AM9" s="10">
        <f t="shared" si="13"/>
        <v>3003</v>
      </c>
      <c r="AN9" s="10">
        <f t="shared" si="3"/>
        <v>1384.6153846153848</v>
      </c>
      <c r="AO9" s="10">
        <f t="shared" si="14"/>
        <v>4387.6153846153848</v>
      </c>
      <c r="AP9" s="10">
        <f t="shared" si="4"/>
        <v>5813.2258064516127</v>
      </c>
      <c r="AQ9" s="10">
        <f t="shared" si="15"/>
        <v>1325.9099999999999</v>
      </c>
      <c r="AR9" s="90">
        <f t="shared" si="16"/>
        <v>-6314.9311910669976</v>
      </c>
      <c r="AS9" s="92">
        <f t="shared" si="17"/>
        <v>-0.13379091506497875</v>
      </c>
      <c r="AT9" s="10">
        <f t="shared" si="5"/>
        <v>12701.709677419356</v>
      </c>
      <c r="AU9" s="90">
        <f t="shared" si="18"/>
        <v>-19016.640868486353</v>
      </c>
      <c r="AV9" s="92">
        <f t="shared" si="19"/>
        <v>-0.4028949336543719</v>
      </c>
      <c r="AW9" s="10">
        <f t="shared" si="6"/>
        <v>11954.516129032258</v>
      </c>
      <c r="AX9" s="90">
        <f t="shared" si="20"/>
        <v>5639.58493796526</v>
      </c>
      <c r="AY9" s="92">
        <f t="shared" si="21"/>
        <v>0.11948273173655212</v>
      </c>
      <c r="BA9" s="10">
        <f t="shared" si="22"/>
        <v>1966.6666666666667</v>
      </c>
      <c r="BB9" s="10">
        <f t="shared" si="23"/>
        <v>-1128.1151357372689</v>
      </c>
      <c r="BC9" s="10">
        <f t="shared" si="24"/>
        <v>-409.23311645311111</v>
      </c>
      <c r="BD9" s="10">
        <f t="shared" si="25"/>
        <v>-17.807772756993273</v>
      </c>
      <c r="BE9" s="10">
        <f t="shared" si="26"/>
        <v>-304.84397505262649</v>
      </c>
      <c r="BF9" s="10">
        <f t="shared" si="27"/>
        <v>-1860</v>
      </c>
      <c r="BG9" s="10">
        <f t="shared" si="28"/>
        <v>106.66666666666667</v>
      </c>
      <c r="BH9" s="10">
        <f t="shared" si="29"/>
        <v>-125.125</v>
      </c>
      <c r="BI9" s="10">
        <f t="shared" si="30"/>
        <v>-57.692307692307701</v>
      </c>
      <c r="BJ9" s="10">
        <f t="shared" si="31"/>
        <v>-182.81730769230771</v>
      </c>
      <c r="BK9" s="10">
        <f t="shared" si="32"/>
        <v>-242.21774193548387</v>
      </c>
      <c r="BL9" s="10">
        <f t="shared" si="33"/>
        <v>55.246249999999996</v>
      </c>
      <c r="BM9" s="10">
        <f t="shared" si="34"/>
        <v>-263.12213296112492</v>
      </c>
      <c r="BN9" s="10">
        <f t="shared" si="35"/>
        <v>-529.23790322580646</v>
      </c>
      <c r="BO9" s="10">
        <f t="shared" si="36"/>
        <v>-792.36003618693132</v>
      </c>
      <c r="BP9" s="10">
        <f t="shared" si="37"/>
        <v>498.10483870967738</v>
      </c>
      <c r="BQ9" s="10">
        <f t="shared" si="38"/>
        <v>234.98270574855249</v>
      </c>
    </row>
    <row r="10" spans="2:69" hidden="1">
      <c r="B10" s="4" t="s">
        <v>6</v>
      </c>
      <c r="C10" s="27" t="str">
        <f t="shared" si="0"/>
        <v>ENERO</v>
      </c>
      <c r="D10" s="25" t="s">
        <v>142</v>
      </c>
      <c r="E10" s="100">
        <v>347</v>
      </c>
      <c r="F10" s="100">
        <v>46038</v>
      </c>
      <c r="G10" s="101">
        <v>24</v>
      </c>
      <c r="H10" s="102" t="s">
        <v>33</v>
      </c>
      <c r="I10" s="27" t="s">
        <v>135</v>
      </c>
      <c r="J10" s="7" t="s">
        <v>143</v>
      </c>
      <c r="K10" s="7" t="s">
        <v>144</v>
      </c>
      <c r="L10" s="7" t="s">
        <v>145</v>
      </c>
      <c r="M10" s="21" t="s">
        <v>46</v>
      </c>
      <c r="N10" s="7" t="s">
        <v>132</v>
      </c>
      <c r="O10" s="46">
        <f>P10/G10</f>
        <v>1983.3333333333333</v>
      </c>
      <c r="P10" s="52">
        <f>48000*0+47600</f>
        <v>47600</v>
      </c>
      <c r="Q10" s="46">
        <f>S10/G10</f>
        <v>1845.7083333333333</v>
      </c>
      <c r="R10" s="46">
        <v>3303</v>
      </c>
      <c r="S10" s="45">
        <f t="shared" si="1"/>
        <v>44297</v>
      </c>
      <c r="T10" s="22">
        <v>1</v>
      </c>
      <c r="U10" s="27" t="s">
        <v>146</v>
      </c>
      <c r="V10" s="24" t="s">
        <v>147</v>
      </c>
      <c r="W10" s="25" t="s">
        <v>141</v>
      </c>
      <c r="X10" s="4" t="s">
        <v>116</v>
      </c>
      <c r="Y10" s="7">
        <v>10005721</v>
      </c>
      <c r="Z10" s="28" t="s">
        <v>117</v>
      </c>
      <c r="AA10" s="7" t="str">
        <f t="shared" si="2"/>
        <v>ENERO10005721Compensación</v>
      </c>
      <c r="AB10" s="26">
        <f>INDEX('Detalle Costos'!$L$5:$L$158,MATCH(Resumen!AA10,'Detalle Costos'!$C$5:$C$158,0))*1000</f>
        <v>1860</v>
      </c>
      <c r="AC10" s="44">
        <f>IFERROR(INDEX('Detalle Costos'!$X$5:$X$158,MATCH(Resumen!AA10,'Detalle Costos'!$C$5:$C$158,0))*AG10,0)</f>
        <v>27074.763257694456</v>
      </c>
      <c r="AD10" s="44">
        <f>IFERROR(INDEX('Detalle Costos'!$Z$5:$Z$158,MATCH(Resumen!AA10,'Detalle Costos'!$C$5:$C$158,0))*AG10,0)</f>
        <v>9821.5947948746671</v>
      </c>
      <c r="AE10" s="44">
        <f>IFERROR(INDEX('Detalle Costos'!$Y$5:$Y$158,MATCH(Resumen!AA10,'Detalle Costos'!$C$5:$C$158,0))*AG10,0)</f>
        <v>427.38654616783856</v>
      </c>
      <c r="AF10" s="44">
        <f>IFERROR(INDEX('Detalle Costos'!$AA$5:$AA$158,MATCH(Resumen!AA10,'Detalle Costos'!$C$5:$C$158,0))*AG10,0)</f>
        <v>7316.2554012630353</v>
      </c>
      <c r="AG10" s="44">
        <f t="shared" si="9"/>
        <v>44640</v>
      </c>
      <c r="AH10" s="44">
        <v>23.7</v>
      </c>
      <c r="AI10" s="26">
        <f t="shared" si="10"/>
        <v>1889.3858510966963</v>
      </c>
      <c r="AJ10" s="44">
        <v>44778.444670991703</v>
      </c>
      <c r="AK10" s="90">
        <f t="shared" si="11"/>
        <v>2960</v>
      </c>
      <c r="AL10" s="92">
        <f t="shared" si="12"/>
        <v>6.2184873949579833E-2</v>
      </c>
      <c r="AM10" s="10">
        <f t="shared" si="13"/>
        <v>3303</v>
      </c>
      <c r="AN10" s="10">
        <f t="shared" si="3"/>
        <v>1384.6153846153848</v>
      </c>
      <c r="AO10" s="10">
        <f t="shared" si="14"/>
        <v>4687.6153846153848</v>
      </c>
      <c r="AP10" s="10">
        <f t="shared" si="4"/>
        <v>5813.2258064516127</v>
      </c>
      <c r="AQ10" s="10">
        <f t="shared" si="15"/>
        <v>1328.9099999999999</v>
      </c>
      <c r="AR10" s="90">
        <f t="shared" si="16"/>
        <v>-6211.9311910669976</v>
      </c>
      <c r="AS10" s="92">
        <f t="shared" si="17"/>
        <v>-0.1305027561148529</v>
      </c>
      <c r="AT10" s="10">
        <f t="shared" si="5"/>
        <v>12701.709677419356</v>
      </c>
      <c r="AU10" s="90">
        <f t="shared" si="18"/>
        <v>-18913.640868486353</v>
      </c>
      <c r="AV10" s="92">
        <f t="shared" si="19"/>
        <v>-0.39734539639677213</v>
      </c>
      <c r="AW10" s="10">
        <f t="shared" si="6"/>
        <v>11954.516129032258</v>
      </c>
      <c r="AX10" s="90">
        <f t="shared" si="20"/>
        <v>5742.58493796526</v>
      </c>
      <c r="AY10" s="92">
        <f t="shared" si="21"/>
        <v>0.12064254071355589</v>
      </c>
      <c r="BA10" s="10">
        <f t="shared" si="22"/>
        <v>1983.3333333333333</v>
      </c>
      <c r="BB10" s="10">
        <f t="shared" si="23"/>
        <v>-1128.1151357372689</v>
      </c>
      <c r="BC10" s="10">
        <f t="shared" si="24"/>
        <v>-409.23311645311111</v>
      </c>
      <c r="BD10" s="10">
        <f t="shared" si="25"/>
        <v>-17.807772756993273</v>
      </c>
      <c r="BE10" s="10">
        <f t="shared" si="26"/>
        <v>-304.84397505262649</v>
      </c>
      <c r="BF10" s="10">
        <f t="shared" si="27"/>
        <v>-1860</v>
      </c>
      <c r="BG10" s="10">
        <f t="shared" si="28"/>
        <v>123.33333333333333</v>
      </c>
      <c r="BH10" s="10">
        <f t="shared" si="29"/>
        <v>-137.625</v>
      </c>
      <c r="BI10" s="10">
        <f t="shared" si="30"/>
        <v>-57.692307692307701</v>
      </c>
      <c r="BJ10" s="10">
        <f t="shared" si="31"/>
        <v>-195.31730769230771</v>
      </c>
      <c r="BK10" s="10">
        <f t="shared" si="32"/>
        <v>-242.21774193548387</v>
      </c>
      <c r="BL10" s="10">
        <f t="shared" si="33"/>
        <v>55.371249999999996</v>
      </c>
      <c r="BM10" s="10">
        <f t="shared" si="34"/>
        <v>-258.83046629445823</v>
      </c>
      <c r="BN10" s="10">
        <f t="shared" si="35"/>
        <v>-529.23790322580646</v>
      </c>
      <c r="BO10" s="10">
        <f t="shared" si="36"/>
        <v>-788.0683695202647</v>
      </c>
      <c r="BP10" s="10">
        <f t="shared" si="37"/>
        <v>498.10483870967738</v>
      </c>
      <c r="BQ10" s="10">
        <f t="shared" si="38"/>
        <v>239.27437241521918</v>
      </c>
    </row>
    <row r="11" spans="2:69" hidden="1">
      <c r="B11" s="4" t="s">
        <v>6</v>
      </c>
      <c r="C11" s="27" t="str">
        <f t="shared" si="0"/>
        <v>ENERO</v>
      </c>
      <c r="D11" s="25" t="s">
        <v>148</v>
      </c>
      <c r="E11" s="100">
        <v>46020</v>
      </c>
      <c r="F11" s="100">
        <v>46041</v>
      </c>
      <c r="G11" s="101">
        <v>54</v>
      </c>
      <c r="H11" s="102" t="s">
        <v>31</v>
      </c>
      <c r="I11" s="27" t="s">
        <v>110</v>
      </c>
      <c r="J11" s="19" t="s">
        <v>149</v>
      </c>
      <c r="K11" s="7" t="s">
        <v>111</v>
      </c>
      <c r="L11" s="4" t="s">
        <v>150</v>
      </c>
      <c r="M11" s="29" t="s">
        <v>56</v>
      </c>
      <c r="N11" s="4" t="s">
        <v>151</v>
      </c>
      <c r="O11" s="46">
        <v>2600</v>
      </c>
      <c r="P11" s="52">
        <v>140400</v>
      </c>
      <c r="Q11" s="46">
        <v>2430.962962962963</v>
      </c>
      <c r="R11" s="46">
        <v>9128</v>
      </c>
      <c r="S11" s="45">
        <f t="shared" si="1"/>
        <v>131272</v>
      </c>
      <c r="T11" s="22">
        <v>2</v>
      </c>
      <c r="U11" s="27" t="s">
        <v>152</v>
      </c>
      <c r="V11" s="24">
        <v>28952064</v>
      </c>
      <c r="W11" s="25" t="s">
        <v>115</v>
      </c>
      <c r="X11" s="4" t="s">
        <v>116</v>
      </c>
      <c r="Y11" s="7">
        <v>10007162</v>
      </c>
      <c r="Z11" s="28" t="s">
        <v>117</v>
      </c>
      <c r="AA11" s="7" t="str">
        <f t="shared" si="2"/>
        <v>ENERO10007162Compensación</v>
      </c>
      <c r="AB11" s="26">
        <f>INDEX('Detalle Costos'!$L$5:$L$158,MATCH(Resumen!AA11,'Detalle Costos'!$C$5:$C$158,0))*1000</f>
        <v>1790</v>
      </c>
      <c r="AC11" s="44">
        <f>IFERROR(INDEX('Detalle Costos'!$X$5:$X$158,MATCH(Resumen!AA11,'Detalle Costos'!$C$5:$C$158,0))*AG11,0)</f>
        <v>62786.857928293095</v>
      </c>
      <c r="AD11" s="44">
        <f>IFERROR(INDEX('Detalle Costos'!$Z$5:$Z$158,MATCH(Resumen!AA11,'Detalle Costos'!$C$5:$C$158,0))*AG11,0)</f>
        <v>16565.701663187629</v>
      </c>
      <c r="AE11" s="44">
        <f>IFERROR(INDEX('Detalle Costos'!$Y$5:$Y$158,MATCH(Resumen!AA11,'Detalle Costos'!$C$5:$C$158,0))*AG11,0)</f>
        <v>844.08439810183756</v>
      </c>
      <c r="AF11" s="44">
        <f>IFERROR(INDEX('Detalle Costos'!$AA$5:$AA$158,MATCH(Resumen!AA11,'Detalle Costos'!$C$5:$C$158,0))*AG11,0)</f>
        <v>16463.356010417436</v>
      </c>
      <c r="AG11" s="44">
        <f t="shared" si="9"/>
        <v>96660</v>
      </c>
      <c r="AH11" s="44">
        <v>54</v>
      </c>
      <c r="AI11" s="26">
        <f t="shared" si="10"/>
        <v>1842.6970447733056</v>
      </c>
      <c r="AJ11" s="44">
        <v>99505.640417758506</v>
      </c>
      <c r="AK11" s="90">
        <f t="shared" si="11"/>
        <v>43740</v>
      </c>
      <c r="AL11" s="93">
        <f t="shared" si="12"/>
        <v>0.31153846153846154</v>
      </c>
      <c r="AM11" s="10">
        <f t="shared" si="13"/>
        <v>9128</v>
      </c>
      <c r="AN11" s="10">
        <f t="shared" si="3"/>
        <v>3115.3846153846152</v>
      </c>
      <c r="AO11" s="10">
        <f t="shared" si="14"/>
        <v>12243.384615384615</v>
      </c>
      <c r="AP11" s="10">
        <f t="shared" si="4"/>
        <v>13079.758064516129</v>
      </c>
      <c r="AQ11" s="10">
        <f t="shared" si="15"/>
        <v>3938.16</v>
      </c>
      <c r="AR11" s="90">
        <f t="shared" si="16"/>
        <v>22355.017320099254</v>
      </c>
      <c r="AS11" s="93">
        <f t="shared" si="17"/>
        <v>0.15922377008617702</v>
      </c>
      <c r="AT11" s="10">
        <f t="shared" si="5"/>
        <v>28578.846774193549</v>
      </c>
      <c r="AU11" s="90">
        <f t="shared" si="18"/>
        <v>-6223.8294540942952</v>
      </c>
      <c r="AV11" s="93">
        <f t="shared" si="19"/>
        <v>-4.4329269616056231E-2</v>
      </c>
      <c r="AW11" s="10">
        <f t="shared" si="6"/>
        <v>26897.661290322583</v>
      </c>
      <c r="AX11" s="90">
        <f t="shared" si="20"/>
        <v>49252.678610421834</v>
      </c>
      <c r="AY11" s="93">
        <f t="shared" si="21"/>
        <v>0.35080255420528372</v>
      </c>
      <c r="BA11" s="10">
        <f t="shared" si="22"/>
        <v>2600</v>
      </c>
      <c r="BB11" s="10">
        <f t="shared" si="23"/>
        <v>-1162.7195912646869</v>
      </c>
      <c r="BC11" s="10">
        <f t="shared" si="24"/>
        <v>-306.77225302199309</v>
      </c>
      <c r="BD11" s="10">
        <f t="shared" si="25"/>
        <v>-15.631192557441436</v>
      </c>
      <c r="BE11" s="10">
        <f t="shared" si="26"/>
        <v>-304.87696315587846</v>
      </c>
      <c r="BF11" s="10">
        <f t="shared" si="27"/>
        <v>-1790</v>
      </c>
      <c r="BG11" s="10">
        <f t="shared" si="28"/>
        <v>810</v>
      </c>
      <c r="BH11" s="10">
        <f t="shared" si="29"/>
        <v>-169.03703703703704</v>
      </c>
      <c r="BI11" s="10">
        <f t="shared" si="30"/>
        <v>-57.692307692307686</v>
      </c>
      <c r="BJ11" s="10">
        <f t="shared" si="31"/>
        <v>-226.72934472934472</v>
      </c>
      <c r="BK11" s="10">
        <f t="shared" si="32"/>
        <v>-242.21774193548387</v>
      </c>
      <c r="BL11" s="10">
        <f t="shared" si="33"/>
        <v>72.928888888888892</v>
      </c>
      <c r="BM11" s="10">
        <f t="shared" si="34"/>
        <v>413.98180222406023</v>
      </c>
      <c r="BN11" s="10">
        <f t="shared" si="35"/>
        <v>-529.23790322580646</v>
      </c>
      <c r="BO11" s="10">
        <f t="shared" si="36"/>
        <v>-115.2561010017462</v>
      </c>
      <c r="BP11" s="10">
        <f t="shared" si="37"/>
        <v>498.10483870967749</v>
      </c>
      <c r="BQ11" s="10">
        <f t="shared" si="38"/>
        <v>912.08664093373761</v>
      </c>
    </row>
    <row r="12" spans="2:69" hidden="1">
      <c r="B12" s="4" t="s">
        <v>7</v>
      </c>
      <c r="C12" s="27" t="str">
        <f t="shared" si="0"/>
        <v>FEBRERO</v>
      </c>
      <c r="D12" s="25" t="s">
        <v>153</v>
      </c>
      <c r="E12" s="100">
        <v>46027</v>
      </c>
      <c r="F12" s="100">
        <v>46059</v>
      </c>
      <c r="G12" s="101">
        <v>10</v>
      </c>
      <c r="H12" s="102" t="s">
        <v>38</v>
      </c>
      <c r="I12" s="27" t="s">
        <v>129</v>
      </c>
      <c r="J12" s="7" t="s">
        <v>154</v>
      </c>
      <c r="K12" s="7" t="s">
        <v>130</v>
      </c>
      <c r="L12" s="7" t="s">
        <v>122</v>
      </c>
      <c r="M12" s="21" t="s">
        <v>46</v>
      </c>
      <c r="N12" s="7" t="s">
        <v>132</v>
      </c>
      <c r="O12" s="20">
        <v>2100</v>
      </c>
      <c r="P12" s="61">
        <v>21000</v>
      </c>
      <c r="Q12" s="20">
        <v>2100</v>
      </c>
      <c r="R12" s="30">
        <f>3500/24*G12</f>
        <v>1458.3333333333335</v>
      </c>
      <c r="S12" s="32">
        <f t="shared" si="1"/>
        <v>19541.666666666668</v>
      </c>
      <c r="T12" s="22">
        <v>1</v>
      </c>
      <c r="U12" s="27" t="s">
        <v>155</v>
      </c>
      <c r="V12" s="24">
        <v>6444023300</v>
      </c>
      <c r="W12" s="25" t="s">
        <v>125</v>
      </c>
      <c r="X12" s="4" t="s">
        <v>116</v>
      </c>
      <c r="Y12" s="7">
        <v>10007969</v>
      </c>
      <c r="Z12" s="7" t="s">
        <v>117</v>
      </c>
      <c r="AA12" s="7" t="str">
        <f>B12&amp;Y12&amp;Z12</f>
        <v>FEBRERO10007969Compensación</v>
      </c>
      <c r="AB12" s="26">
        <f>INDEX('Detalle Costos'!$L$5:$L$158,MATCH(Resumen!AA12,'Detalle Costos'!$C$5:$C$158,0))*1000*0+AI12</f>
        <v>1397.2773083886541</v>
      </c>
      <c r="AC12" s="44">
        <f>IFERROR(INDEX('Detalle Costos'!$X$5:$X$158,MATCH(Resumen!AA12,'Detalle Costos'!$C$5:$C$158,0))*AG12,0)</f>
        <v>11301.83162341581</v>
      </c>
      <c r="AD12" s="44">
        <f>IFERROR(INDEX('Detalle Costos'!$Z$5:$Z$158,MATCH(Resumen!AA12,'Detalle Costos'!$C$5:$C$158,0))*AG12,0)</f>
        <v>2127.4652987326494</v>
      </c>
      <c r="AE12" s="44">
        <f>IFERROR(INDEX('Detalle Costos'!$Y$5:$Y$158,MATCH(Resumen!AA12,'Detalle Costos'!$C$5:$C$158,0))*AG12,0)</f>
        <v>166.83162341581172</v>
      </c>
      <c r="AF12" s="44">
        <f>IFERROR(INDEX('Detalle Costos'!$AA$5:$AA$158,MATCH(Resumen!AA12,'Detalle Costos'!$C$5:$C$158,0))*AG12,0)</f>
        <v>376.64453832227065</v>
      </c>
      <c r="AG12" s="44">
        <f t="shared" si="9"/>
        <v>13972.773083886541</v>
      </c>
      <c r="AH12" s="26">
        <f>+G12</f>
        <v>10</v>
      </c>
      <c r="AI12" s="44">
        <v>1397.2773083886541</v>
      </c>
      <c r="AJ12" s="44">
        <f>+AI12*AH12</f>
        <v>13972.773083886541</v>
      </c>
      <c r="AK12" s="45">
        <f t="shared" si="11"/>
        <v>7027.2269161134591</v>
      </c>
      <c r="AL12" s="94">
        <f t="shared" si="12"/>
        <v>0.33462985314825994</v>
      </c>
      <c r="AM12" s="44">
        <f t="shared" si="13"/>
        <v>1458.3333333333335</v>
      </c>
      <c r="AN12" s="44">
        <f t="shared" si="3"/>
        <v>576.92307692307691</v>
      </c>
      <c r="AO12" s="44">
        <f t="shared" si="14"/>
        <v>2035.2564102564104</v>
      </c>
      <c r="AP12" s="44">
        <f>65590/1634.3*G12</f>
        <v>401.33390442391237</v>
      </c>
      <c r="AQ12" s="44">
        <f t="shared" si="15"/>
        <v>586.25</v>
      </c>
      <c r="AR12" s="45">
        <f t="shared" si="16"/>
        <v>5176.8866014331361</v>
      </c>
      <c r="AS12" s="94">
        <f t="shared" si="17"/>
        <v>0.24651840959205409</v>
      </c>
      <c r="AT12" s="44">
        <f>148498/1634.3*G12</f>
        <v>908.63366578963473</v>
      </c>
      <c r="AU12" s="45">
        <f t="shared" si="18"/>
        <v>4268.2529356435016</v>
      </c>
      <c r="AV12" s="94">
        <f t="shared" si="19"/>
        <v>0.20325013979254769</v>
      </c>
      <c r="AW12" s="44">
        <f t="shared" ref="AW12:AW13" si="39">123484.35/1634.3*G12</f>
        <v>755.57945297680976</v>
      </c>
      <c r="AX12" s="45">
        <f t="shared" si="20"/>
        <v>5932.4660544099461</v>
      </c>
      <c r="AY12" s="94">
        <f t="shared" si="21"/>
        <v>0.28249838354333079</v>
      </c>
      <c r="BA12" s="10">
        <f t="shared" si="22"/>
        <v>2100</v>
      </c>
      <c r="BB12" s="10">
        <f t="shared" si="23"/>
        <v>-1130.183162341581</v>
      </c>
      <c r="BC12" s="10">
        <f t="shared" si="24"/>
        <v>-212.74652987326493</v>
      </c>
      <c r="BD12" s="10">
        <f t="shared" si="25"/>
        <v>-16.683162341581173</v>
      </c>
      <c r="BE12" s="10">
        <f t="shared" si="26"/>
        <v>-37.664453832227068</v>
      </c>
      <c r="BF12" s="10">
        <f t="shared" si="27"/>
        <v>-1397.2773083886541</v>
      </c>
      <c r="BG12" s="10">
        <f t="shared" si="28"/>
        <v>702.72269161134591</v>
      </c>
      <c r="BH12" s="10">
        <f t="shared" si="29"/>
        <v>-145.83333333333334</v>
      </c>
      <c r="BI12" s="10">
        <f t="shared" si="30"/>
        <v>-57.692307692307693</v>
      </c>
      <c r="BJ12" s="10">
        <f t="shared" si="31"/>
        <v>-203.52564102564105</v>
      </c>
      <c r="BK12" s="10">
        <f t="shared" si="32"/>
        <v>-40.133390442391239</v>
      </c>
      <c r="BL12" s="10">
        <f t="shared" si="33"/>
        <v>58.625</v>
      </c>
      <c r="BM12" s="10">
        <f t="shared" si="34"/>
        <v>517.68866014331365</v>
      </c>
      <c r="BN12" s="10">
        <f t="shared" si="35"/>
        <v>-90.863366578963479</v>
      </c>
      <c r="BO12" s="10">
        <f t="shared" si="36"/>
        <v>426.82529356435015</v>
      </c>
      <c r="BP12" s="10">
        <f t="shared" si="37"/>
        <v>75.557945297680973</v>
      </c>
      <c r="BQ12" s="10">
        <f t="shared" si="38"/>
        <v>593.24660544099459</v>
      </c>
    </row>
    <row r="13" spans="2:69">
      <c r="B13" s="4" t="s">
        <v>7</v>
      </c>
      <c r="C13" s="129" t="str">
        <f t="shared" si="0"/>
        <v>FEBRERO</v>
      </c>
      <c r="D13" s="130" t="s">
        <v>153</v>
      </c>
      <c r="E13" s="131">
        <v>46027</v>
      </c>
      <c r="F13" s="131">
        <v>46059</v>
      </c>
      <c r="G13" s="132">
        <v>14</v>
      </c>
      <c r="H13" s="133" t="s">
        <v>35</v>
      </c>
      <c r="I13" s="129" t="s">
        <v>119</v>
      </c>
      <c r="J13" s="134" t="s">
        <v>156</v>
      </c>
      <c r="K13" s="134" t="s">
        <v>121</v>
      </c>
      <c r="L13" s="134" t="s">
        <v>122</v>
      </c>
      <c r="M13" s="130" t="s">
        <v>46</v>
      </c>
      <c r="N13" s="134" t="s">
        <v>132</v>
      </c>
      <c r="O13" s="135">
        <v>1700</v>
      </c>
      <c r="P13" s="136">
        <f>23800-344</f>
        <v>23456</v>
      </c>
      <c r="Q13" s="20">
        <v>1700</v>
      </c>
      <c r="R13" s="30">
        <f>3500/24*G13</f>
        <v>2041.6666666666667</v>
      </c>
      <c r="S13" s="137">
        <f t="shared" si="1"/>
        <v>21414.333333333332</v>
      </c>
      <c r="T13" s="22">
        <v>0</v>
      </c>
      <c r="U13" s="27"/>
      <c r="V13" s="24"/>
      <c r="W13" s="25"/>
      <c r="X13" s="4"/>
      <c r="Y13" s="7">
        <v>10005779</v>
      </c>
      <c r="Z13" s="7" t="s">
        <v>117</v>
      </c>
      <c r="AA13" s="7" t="str">
        <f>B13&amp;Y13&amp;Z13</f>
        <v>FEBRERO10005779Compensación</v>
      </c>
      <c r="AB13" s="135">
        <f>INDEX('Detalle Costos'!$L$5:$L$158,MATCH(Resumen!AA13,'Detalle Costos'!$C$5:$C$158,0))*1000*0+AI13</f>
        <v>1859.71452825612</v>
      </c>
      <c r="AC13" s="44">
        <f>IFERROR(INDEX('Detalle Costos'!$X$5:$X$158,MATCH(Resumen!AA13,'Detalle Costos'!$C$5:$C$158,0))*AG13,0)</f>
        <v>15847.870967741903</v>
      </c>
      <c r="AD13" s="44">
        <f>IFERROR(INDEX('Detalle Costos'!$Z$5:$Z$158,MATCH(Resumen!AA13,'Detalle Costos'!$C$5:$C$158,0))*AG13,0)</f>
        <v>5732.4074702886119</v>
      </c>
      <c r="AE13" s="44">
        <f>IFERROR(INDEX('Detalle Costos'!$Y$5:$Y$158,MATCH(Resumen!AA13,'Detalle Costos'!$C$5:$C$158,0))*AG13,0)</f>
        <v>189.92020373514393</v>
      </c>
      <c r="AF13" s="44">
        <f>IFERROR(INDEX('Detalle Costos'!$AA$5:$AA$158,MATCH(Resumen!AA13,'Detalle Costos'!$C$5:$C$158,0))*AG13,0)</f>
        <v>4265.8047538200244</v>
      </c>
      <c r="AG13" s="138">
        <f t="shared" si="9"/>
        <v>26036.003395585682</v>
      </c>
      <c r="AH13" s="26">
        <v>14.849</v>
      </c>
      <c r="AI13" s="44">
        <v>1859.71452825612</v>
      </c>
      <c r="AJ13" s="44">
        <f>AI13*AH13</f>
        <v>27614.901030075125</v>
      </c>
      <c r="AK13" s="139">
        <f t="shared" si="11"/>
        <v>-2580.0033955856816</v>
      </c>
      <c r="AL13" s="140">
        <f t="shared" si="12"/>
        <v>-0.10999332348165423</v>
      </c>
      <c r="AM13" s="44">
        <f t="shared" si="13"/>
        <v>2041.6666666666667</v>
      </c>
      <c r="AN13" s="44">
        <f t="shared" si="3"/>
        <v>807.69230769230774</v>
      </c>
      <c r="AO13" s="138">
        <f t="shared" si="14"/>
        <v>2849.3589743589746</v>
      </c>
      <c r="AP13" s="138">
        <f>65590/1634.3*G13</f>
        <v>561.8674661934773</v>
      </c>
      <c r="AQ13" s="138">
        <f t="shared" si="15"/>
        <v>642.42999999999995</v>
      </c>
      <c r="AR13" s="139">
        <f t="shared" si="16"/>
        <v>-5348.7998361381333</v>
      </c>
      <c r="AS13" s="140">
        <f t="shared" si="17"/>
        <v>-0.22803546368256025</v>
      </c>
      <c r="AT13" s="138">
        <f>148498/1634.3*G13</f>
        <v>1272.0871321054888</v>
      </c>
      <c r="AU13" s="139">
        <f t="shared" si="18"/>
        <v>-6620.8869682436216</v>
      </c>
      <c r="AV13" s="140">
        <f t="shared" si="19"/>
        <v>-0.2822683734755978</v>
      </c>
      <c r="AW13" s="138">
        <f t="shared" si="39"/>
        <v>1057.8112341675337</v>
      </c>
      <c r="AX13" s="139">
        <f t="shared" si="20"/>
        <v>-4290.9886019705991</v>
      </c>
      <c r="AY13" s="140">
        <f t="shared" si="21"/>
        <v>-0.18293778146191161</v>
      </c>
      <c r="BA13" s="44">
        <f t="shared" si="22"/>
        <v>1675.4285714285713</v>
      </c>
      <c r="BB13" s="44">
        <f t="shared" si="23"/>
        <v>-1131.9907834101359</v>
      </c>
      <c r="BC13" s="44">
        <f t="shared" si="24"/>
        <v>-409.45767644918658</v>
      </c>
      <c r="BD13" s="44">
        <f t="shared" si="25"/>
        <v>-13.565728838224567</v>
      </c>
      <c r="BE13" s="44">
        <f t="shared" si="26"/>
        <v>-304.70033955857315</v>
      </c>
      <c r="BF13" s="44">
        <f t="shared" si="27"/>
        <v>-1859.71452825612</v>
      </c>
      <c r="BG13" s="44">
        <f t="shared" si="28"/>
        <v>-184.28595682754869</v>
      </c>
      <c r="BH13" s="44">
        <f t="shared" si="29"/>
        <v>-145.83333333333334</v>
      </c>
      <c r="BI13" s="44">
        <f t="shared" si="30"/>
        <v>-57.692307692307693</v>
      </c>
      <c r="BJ13" s="44">
        <f t="shared" si="31"/>
        <v>-203.52564102564105</v>
      </c>
      <c r="BK13" s="44">
        <f t="shared" si="32"/>
        <v>-40.133390442391239</v>
      </c>
      <c r="BL13" s="44">
        <f t="shared" si="33"/>
        <v>45.887857142857136</v>
      </c>
      <c r="BM13" s="44">
        <f t="shared" si="34"/>
        <v>-382.0571311527238</v>
      </c>
      <c r="BN13" s="44">
        <f t="shared" si="35"/>
        <v>-90.863366578963479</v>
      </c>
      <c r="BO13" s="44">
        <f t="shared" si="36"/>
        <v>-472.92049773168725</v>
      </c>
      <c r="BP13" s="44">
        <f t="shared" si="37"/>
        <v>75.557945297680973</v>
      </c>
      <c r="BQ13" s="44">
        <f t="shared" si="38"/>
        <v>-306.49918585504281</v>
      </c>
    </row>
    <row r="14" spans="2:69" hidden="1">
      <c r="B14" s="4" t="s">
        <v>6</v>
      </c>
      <c r="C14" s="27" t="str">
        <f t="shared" si="0"/>
        <v>ENERO</v>
      </c>
      <c r="D14" s="27" t="s">
        <v>157</v>
      </c>
      <c r="E14" s="100">
        <v>46032</v>
      </c>
      <c r="F14" s="100">
        <v>46050</v>
      </c>
      <c r="G14" s="101">
        <v>72</v>
      </c>
      <c r="H14" s="102" t="s">
        <v>32</v>
      </c>
      <c r="I14" s="27" t="s">
        <v>158</v>
      </c>
      <c r="J14" s="19" t="s">
        <v>159</v>
      </c>
      <c r="K14" s="7" t="s">
        <v>121</v>
      </c>
      <c r="L14" s="7" t="s">
        <v>131</v>
      </c>
      <c r="M14" s="21" t="s">
        <v>46</v>
      </c>
      <c r="N14" s="7" t="s">
        <v>132</v>
      </c>
      <c r="O14" s="46">
        <f>P14/G14</f>
        <v>1887.7083333333333</v>
      </c>
      <c r="P14" s="52">
        <f>140400*0+135915</f>
        <v>135915</v>
      </c>
      <c r="Q14" s="46">
        <f>S14/G14</f>
        <v>1754.25</v>
      </c>
      <c r="R14" s="46">
        <v>9609</v>
      </c>
      <c r="S14" s="45">
        <f t="shared" si="1"/>
        <v>126306</v>
      </c>
      <c r="T14" s="60">
        <v>3</v>
      </c>
      <c r="U14" s="97" t="s">
        <v>160</v>
      </c>
      <c r="V14" s="59" t="s">
        <v>161</v>
      </c>
      <c r="W14" s="25" t="s">
        <v>141</v>
      </c>
      <c r="X14" s="4" t="s">
        <v>116</v>
      </c>
      <c r="Y14" s="7">
        <v>10006720</v>
      </c>
      <c r="Z14" s="7" t="s">
        <v>117</v>
      </c>
      <c r="AA14" s="7" t="str">
        <f t="shared" ref="AA14" si="40">B14&amp;Y14&amp;Z14</f>
        <v>ENERO10006720Compensación</v>
      </c>
      <c r="AB14" s="26">
        <f>INDEX('Detalle Costos'!$L$5:$L$158,MATCH(Resumen!AA14,'Detalle Costos'!$C$5:$C$158,0))*1000</f>
        <v>1720</v>
      </c>
      <c r="AC14" s="44">
        <f>IFERROR(INDEX('Detalle Costos'!$X$5:$X$158,MATCH(Resumen!AA14,'Detalle Costos'!$C$5:$C$158,0))*AG14,0)</f>
        <v>81764.360643671505</v>
      </c>
      <c r="AD14" s="44">
        <f>IFERROR(INDEX('Detalle Costos'!$Z$5:$Z$158,MATCH(Resumen!AA14,'Detalle Costos'!$C$5:$C$158,0))*AG14,0)</f>
        <v>18919.257644210982</v>
      </c>
      <c r="AE14" s="44">
        <f>IFERROR(INDEX('Detalle Costos'!$Y$5:$Y$158,MATCH(Resumen!AA14,'Detalle Costos'!$C$5:$C$158,0))*AG14,0)</f>
        <v>1185.8373623695809</v>
      </c>
      <c r="AF14" s="44">
        <f>IFERROR(INDEX('Detalle Costos'!$AA$5:$AA$158,MATCH(Resumen!AA14,'Detalle Costos'!$C$5:$C$158,0))*AG14,0)</f>
        <v>21970.544349747925</v>
      </c>
      <c r="AG14" s="44">
        <f t="shared" si="9"/>
        <v>123840</v>
      </c>
      <c r="AH14" s="44">
        <v>69.7</v>
      </c>
      <c r="AI14" s="26">
        <f>+AJ14/AH14</f>
        <v>1723.9159631619368</v>
      </c>
      <c r="AJ14" s="44">
        <v>120156.942632387</v>
      </c>
      <c r="AK14" s="45">
        <f t="shared" si="11"/>
        <v>12075</v>
      </c>
      <c r="AL14" s="98">
        <f t="shared" si="12"/>
        <v>8.8842291137843504E-2</v>
      </c>
      <c r="AM14" s="44">
        <f t="shared" si="13"/>
        <v>9609</v>
      </c>
      <c r="AN14" s="44">
        <f t="shared" si="3"/>
        <v>4153.8461538461543</v>
      </c>
      <c r="AO14" s="44">
        <f t="shared" si="14"/>
        <v>13762.846153846154</v>
      </c>
      <c r="AP14" s="44">
        <f>60070/248*G14</f>
        <v>17439.677419354837</v>
      </c>
      <c r="AQ14" s="44">
        <f t="shared" si="15"/>
        <v>3789.18</v>
      </c>
      <c r="AR14" s="45">
        <f t="shared" si="16"/>
        <v>-15338.343573200989</v>
      </c>
      <c r="AS14" s="98">
        <f t="shared" si="17"/>
        <v>-0.11285247083251289</v>
      </c>
      <c r="AT14" s="44">
        <f>131251/248*G14</f>
        <v>38105.129032258068</v>
      </c>
      <c r="AU14" s="45">
        <f t="shared" si="18"/>
        <v>-53443.472605459057</v>
      </c>
      <c r="AV14" s="98">
        <f t="shared" si="19"/>
        <v>-0.39321246812683702</v>
      </c>
      <c r="AW14" s="44">
        <f>123530/248*G14</f>
        <v>35863.548387096773</v>
      </c>
      <c r="AX14" s="45">
        <f t="shared" si="20"/>
        <v>20525.204813895783</v>
      </c>
      <c r="AY14" s="98">
        <f t="shared" si="21"/>
        <v>0.1510150080115939</v>
      </c>
      <c r="BA14" s="44">
        <f t="shared" si="22"/>
        <v>1887.7083333333333</v>
      </c>
      <c r="BB14" s="44">
        <f t="shared" si="23"/>
        <v>-1135.6161200509932</v>
      </c>
      <c r="BC14" s="44">
        <f t="shared" si="24"/>
        <v>-262.7674672807081</v>
      </c>
      <c r="BD14" s="44">
        <f t="shared" si="25"/>
        <v>-16.46996336624418</v>
      </c>
      <c r="BE14" s="44">
        <f t="shared" si="26"/>
        <v>-305.14644930205452</v>
      </c>
      <c r="BF14" s="44">
        <f t="shared" si="27"/>
        <v>-1720</v>
      </c>
      <c r="BG14" s="44">
        <f t="shared" si="28"/>
        <v>167.70833333333334</v>
      </c>
      <c r="BH14" s="44">
        <f t="shared" si="29"/>
        <v>-133.45833333333334</v>
      </c>
      <c r="BI14" s="44">
        <f t="shared" si="30"/>
        <v>-57.692307692307701</v>
      </c>
      <c r="BJ14" s="44">
        <f t="shared" si="31"/>
        <v>-191.15064102564102</v>
      </c>
      <c r="BK14" s="44">
        <f t="shared" si="32"/>
        <v>-242.21774193548384</v>
      </c>
      <c r="BL14" s="44">
        <f t="shared" si="33"/>
        <v>52.627499999999998</v>
      </c>
      <c r="BM14" s="44">
        <f t="shared" si="34"/>
        <v>-213.03254962779152</v>
      </c>
      <c r="BN14" s="44">
        <f t="shared" si="35"/>
        <v>-529.23790322580646</v>
      </c>
      <c r="BO14" s="44">
        <f t="shared" si="36"/>
        <v>-742.27045285359804</v>
      </c>
      <c r="BP14" s="44">
        <f t="shared" si="37"/>
        <v>498.10483870967738</v>
      </c>
      <c r="BQ14" s="44">
        <f t="shared" si="38"/>
        <v>285.07228908188586</v>
      </c>
    </row>
    <row r="15" spans="2:69" hidden="1">
      <c r="B15" s="4" t="s">
        <v>6</v>
      </c>
      <c r="C15" s="27" t="str">
        <f>B15</f>
        <v>ENERO</v>
      </c>
      <c r="D15" s="27"/>
      <c r="E15" s="100">
        <v>46053</v>
      </c>
      <c r="F15" s="100">
        <v>46053</v>
      </c>
      <c r="G15" s="101">
        <v>0</v>
      </c>
      <c r="H15" s="102" t="s">
        <v>423</v>
      </c>
      <c r="I15" s="27" t="s">
        <v>424</v>
      </c>
      <c r="J15" s="27" t="s">
        <v>424</v>
      </c>
      <c r="K15" s="27" t="s">
        <v>424</v>
      </c>
      <c r="L15" s="27" t="s">
        <v>424</v>
      </c>
      <c r="M15" s="27" t="s">
        <v>425</v>
      </c>
      <c r="N15" s="7"/>
      <c r="O15" s="46">
        <v>0</v>
      </c>
      <c r="P15" s="52">
        <v>24314.28</v>
      </c>
      <c r="Q15" s="46">
        <v>0</v>
      </c>
      <c r="R15" s="46">
        <v>0</v>
      </c>
      <c r="S15" s="45">
        <f t="shared" si="1"/>
        <v>24314.28</v>
      </c>
      <c r="T15" s="60"/>
      <c r="U15" s="97"/>
      <c r="V15" s="59"/>
      <c r="W15" s="25"/>
      <c r="X15" s="4"/>
      <c r="Y15" s="7"/>
      <c r="Z15" s="7"/>
      <c r="AA15" s="7"/>
      <c r="AB15" s="26">
        <v>0</v>
      </c>
      <c r="AC15" s="44">
        <f>IFERROR(INDEX('Detalle Costos'!$X$5:$X$158,MATCH(Resumen!AA15,'Detalle Costos'!$C$5:$C$158,0))*AG15,0)</f>
        <v>0</v>
      </c>
      <c r="AD15" s="44">
        <f>IFERROR(INDEX('Detalle Costos'!$Z$5:$Z$158,MATCH(Resumen!AA15,'Detalle Costos'!$C$5:$C$158,0))*AG15,0)</f>
        <v>0</v>
      </c>
      <c r="AE15" s="44">
        <f>IFERROR(INDEX('Detalle Costos'!$Y$5:$Y$158,MATCH(Resumen!AA15,'Detalle Costos'!$C$5:$C$158,0))*AG15,0)</f>
        <v>0</v>
      </c>
      <c r="AF15" s="44">
        <f>IFERROR(INDEX('Detalle Costos'!$AA$5:$AA$158,MATCH(Resumen!AA15,'Detalle Costos'!$C$5:$C$158,0))*AG15,0)</f>
        <v>0</v>
      </c>
      <c r="AG15" s="44">
        <f>AB15*G15</f>
        <v>0</v>
      </c>
      <c r="AH15" s="44"/>
      <c r="AI15" s="26"/>
      <c r="AJ15" s="10"/>
      <c r="AK15" s="45">
        <f>P15-AG15</f>
        <v>24314.28</v>
      </c>
      <c r="AL15" s="98">
        <f>AK15/P15</f>
        <v>1</v>
      </c>
      <c r="AM15" s="44">
        <f>R15</f>
        <v>0</v>
      </c>
      <c r="AN15" s="44">
        <f>1500/26*G15</f>
        <v>0</v>
      </c>
      <c r="AO15" s="44">
        <f>SUM(AM15:AN15)</f>
        <v>0</v>
      </c>
      <c r="AP15" s="44">
        <f>60070/248*G15</f>
        <v>0</v>
      </c>
      <c r="AQ15" s="44">
        <v>0</v>
      </c>
      <c r="AR15" s="45">
        <f>AK15-AO15-AP15+AQ15</f>
        <v>24314.28</v>
      </c>
      <c r="AS15" s="98">
        <f>AR15/P15</f>
        <v>1</v>
      </c>
      <c r="AT15" s="44">
        <f>131251/248*G15</f>
        <v>0</v>
      </c>
      <c r="AU15" s="45">
        <f>AR15-AT15</f>
        <v>24314.28</v>
      </c>
      <c r="AV15" s="98">
        <f>AU15/P15</f>
        <v>1</v>
      </c>
      <c r="AW15" s="44">
        <f>123530/248*G15</f>
        <v>0</v>
      </c>
      <c r="AX15" s="45">
        <f>AR15+AW15</f>
        <v>24314.28</v>
      </c>
      <c r="AY15" s="98">
        <f>AX15/P15</f>
        <v>1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0</v>
      </c>
      <c r="BO15" s="44">
        <v>0</v>
      </c>
      <c r="BP15" s="44">
        <v>0</v>
      </c>
      <c r="BQ15" s="44">
        <v>0</v>
      </c>
    </row>
    <row r="16" spans="2:69" hidden="1">
      <c r="B16" s="4" t="s">
        <v>7</v>
      </c>
      <c r="C16" s="27" t="str">
        <f t="shared" si="0"/>
        <v>FEBRERO</v>
      </c>
      <c r="D16" s="29" t="s">
        <v>162</v>
      </c>
      <c r="E16" s="100">
        <v>15</v>
      </c>
      <c r="F16" s="100">
        <v>46055</v>
      </c>
      <c r="G16" s="101">
        <v>135</v>
      </c>
      <c r="H16" s="102" t="s">
        <v>33</v>
      </c>
      <c r="I16" s="27" t="s">
        <v>135</v>
      </c>
      <c r="J16" s="7" t="s">
        <v>163</v>
      </c>
      <c r="K16" s="7" t="s">
        <v>164</v>
      </c>
      <c r="L16" s="7" t="s">
        <v>150</v>
      </c>
      <c r="M16" s="21" t="s">
        <v>55</v>
      </c>
      <c r="N16" s="4" t="s">
        <v>151</v>
      </c>
      <c r="O16" s="20">
        <v>1650</v>
      </c>
      <c r="P16" s="48">
        <v>222750</v>
      </c>
      <c r="Q16" s="20">
        <v>1480.962962962963</v>
      </c>
      <c r="R16" s="30">
        <v>22820</v>
      </c>
      <c r="S16" s="32">
        <f t="shared" si="1"/>
        <v>199930</v>
      </c>
      <c r="T16" s="60">
        <v>5</v>
      </c>
      <c r="U16" s="59" t="s">
        <v>165</v>
      </c>
      <c r="V16" s="170">
        <v>59582082</v>
      </c>
      <c r="W16" s="25" t="s">
        <v>115</v>
      </c>
      <c r="X16" s="62" t="s">
        <v>116</v>
      </c>
      <c r="Y16" s="7">
        <v>10005721</v>
      </c>
      <c r="Z16" s="7" t="s">
        <v>117</v>
      </c>
      <c r="AA16" s="7" t="str">
        <f>B16&amp;Y16&amp;Z16</f>
        <v>FEBRERO10005721Compensación</v>
      </c>
      <c r="AB16" s="26">
        <f>INDEX('Detalle Costos'!$L$5:$L$158,MATCH(Resumen!AA16,'Detalle Costos'!$C$5:$C$158,0))*1000*0+AI16</f>
        <v>1861.4473333333335</v>
      </c>
      <c r="AC16" s="44">
        <f>IFERROR(INDEX('Detalle Costos'!$X$5:$X$158,MATCH(Resumen!AA16,'Detalle Costos'!$C$5:$C$158,0))*AG16,0)</f>
        <v>152495.08195455416</v>
      </c>
      <c r="AD16" s="44">
        <f>IFERROR(INDEX('Detalle Costos'!$Z$5:$Z$158,MATCH(Resumen!AA16,'Detalle Costos'!$C$5:$C$158,0))*AG16,0)</f>
        <v>50378.668938514202</v>
      </c>
      <c r="AE16" s="44">
        <f>IFERROR(INDEX('Detalle Costos'!$Y$5:$Y$158,MATCH(Resumen!AA16,'Detalle Costos'!$C$5:$C$158,0))*AG16,0)</f>
        <v>2680.0173531310843</v>
      </c>
      <c r="AF16" s="44">
        <f>IFERROR(INDEX('Detalle Costos'!$AA$5:$AA$158,MATCH(Resumen!AA16,'Detalle Costos'!$C$5:$C$158,0))*AG16,0)</f>
        <v>45741.621753800559</v>
      </c>
      <c r="AG16" s="44">
        <f t="shared" si="9"/>
        <v>251295.39</v>
      </c>
      <c r="AH16" s="26">
        <f>+G16</f>
        <v>135</v>
      </c>
      <c r="AI16" s="44">
        <f>AJ16/AH16</f>
        <v>1861.4473333333335</v>
      </c>
      <c r="AJ16" s="113">
        <v>251295.39</v>
      </c>
      <c r="AK16" s="45">
        <f t="shared" si="11"/>
        <v>-28545.390000000014</v>
      </c>
      <c r="AL16" s="94">
        <f t="shared" si="12"/>
        <v>-0.12814989898989906</v>
      </c>
      <c r="AM16" s="44">
        <f t="shared" si="13"/>
        <v>22820</v>
      </c>
      <c r="AN16" s="44">
        <f t="shared" si="3"/>
        <v>7788.461538461539</v>
      </c>
      <c r="AO16" s="44">
        <f t="shared" si="14"/>
        <v>30608.461538461539</v>
      </c>
      <c r="AP16" s="44">
        <f t="shared" ref="AP16:AP34" si="41">65590/1634.3*G16</f>
        <v>5418.0077097228168</v>
      </c>
      <c r="AQ16" s="44">
        <f t="shared" si="15"/>
        <v>5997.9</v>
      </c>
      <c r="AR16" s="45">
        <f t="shared" si="16"/>
        <v>-58573.959248184365</v>
      </c>
      <c r="AS16" s="94">
        <f t="shared" si="17"/>
        <v>-0.26295829067647303</v>
      </c>
      <c r="AT16" s="44">
        <f t="shared" ref="AT16:AT34" si="42">148498/1634.3*G16</f>
        <v>12266.554488160069</v>
      </c>
      <c r="AU16" s="45">
        <f t="shared" si="18"/>
        <v>-70840.513736344437</v>
      </c>
      <c r="AV16" s="94">
        <f t="shared" si="19"/>
        <v>-0.31802699769402665</v>
      </c>
      <c r="AW16" s="44">
        <f t="shared" ref="AW16:AW34" si="43">124162.35/1634.3*G16</f>
        <v>10256.328244508353</v>
      </c>
      <c r="AX16" s="45">
        <f t="shared" si="20"/>
        <v>-48317.631003676011</v>
      </c>
      <c r="AY16" s="94">
        <f t="shared" si="21"/>
        <v>-0.21691416836667121</v>
      </c>
      <c r="BA16" s="44">
        <f t="shared" si="22"/>
        <v>1650</v>
      </c>
      <c r="BB16" s="44">
        <f t="shared" si="23"/>
        <v>-1129.5931996633642</v>
      </c>
      <c r="BC16" s="44">
        <f t="shared" si="24"/>
        <v>-373.17532547047557</v>
      </c>
      <c r="BD16" s="44">
        <f t="shared" si="25"/>
        <v>-19.851980393563586</v>
      </c>
      <c r="BE16" s="44">
        <f t="shared" si="26"/>
        <v>-338.82682780593007</v>
      </c>
      <c r="BF16" s="44">
        <f t="shared" si="27"/>
        <v>-1861.4473333333335</v>
      </c>
      <c r="BG16" s="44">
        <f t="shared" si="28"/>
        <v>-211.44733333333343</v>
      </c>
      <c r="BH16" s="44">
        <f t="shared" si="29"/>
        <v>-169.03703703703704</v>
      </c>
      <c r="BI16" s="44">
        <f t="shared" si="30"/>
        <v>-57.692307692307693</v>
      </c>
      <c r="BJ16" s="44">
        <f t="shared" si="31"/>
        <v>-226.72934472934475</v>
      </c>
      <c r="BK16" s="44">
        <f t="shared" si="32"/>
        <v>-40.133390442391239</v>
      </c>
      <c r="BL16" s="44">
        <f t="shared" si="33"/>
        <v>44.428888888888885</v>
      </c>
      <c r="BM16" s="44">
        <f t="shared" si="34"/>
        <v>-433.88117961618048</v>
      </c>
      <c r="BN16" s="44">
        <f t="shared" si="35"/>
        <v>-90.863366578963479</v>
      </c>
      <c r="BO16" s="44">
        <f t="shared" si="36"/>
        <v>-524.74454619514393</v>
      </c>
      <c r="BP16" s="44">
        <f t="shared" si="37"/>
        <v>75.972801811172985</v>
      </c>
      <c r="BQ16" s="44">
        <f t="shared" si="38"/>
        <v>-357.90837780500749</v>
      </c>
    </row>
    <row r="17" spans="2:69" hidden="1">
      <c r="B17" s="4" t="s">
        <v>7</v>
      </c>
      <c r="C17" s="27" t="str">
        <f t="shared" si="0"/>
        <v>FEBRERO</v>
      </c>
      <c r="D17" s="29" t="s">
        <v>166</v>
      </c>
      <c r="E17" s="100">
        <v>16</v>
      </c>
      <c r="F17" s="100">
        <v>46055</v>
      </c>
      <c r="G17" s="101">
        <v>27</v>
      </c>
      <c r="H17" s="102" t="s">
        <v>37</v>
      </c>
      <c r="I17" s="27" t="s">
        <v>110</v>
      </c>
      <c r="J17" s="7"/>
      <c r="K17" s="7" t="s">
        <v>164</v>
      </c>
      <c r="L17" s="7" t="s">
        <v>150</v>
      </c>
      <c r="M17" s="29" t="s">
        <v>56</v>
      </c>
      <c r="N17" s="4" t="s">
        <v>151</v>
      </c>
      <c r="O17" s="20">
        <f>P17/G17</f>
        <v>2873.5185185185187</v>
      </c>
      <c r="P17" s="48">
        <f>79650*0+77585</f>
        <v>77585</v>
      </c>
      <c r="Q17" s="20">
        <f>S17/G17</f>
        <v>2711.8888888888887</v>
      </c>
      <c r="R17" s="30">
        <v>4364</v>
      </c>
      <c r="S17" s="32">
        <f t="shared" si="1"/>
        <v>73221</v>
      </c>
      <c r="T17" s="60">
        <v>1</v>
      </c>
      <c r="U17" s="7"/>
      <c r="V17" s="7"/>
      <c r="W17" s="4"/>
      <c r="X17" s="4"/>
      <c r="Y17" s="7">
        <v>10007567</v>
      </c>
      <c r="Z17" s="7" t="s">
        <v>167</v>
      </c>
      <c r="AA17" s="7" t="str">
        <f>B17&amp;Y17&amp;Z17</f>
        <v>FEBRERO10007567Entradas</v>
      </c>
      <c r="AB17" s="26">
        <f>INDEX('Detalle Costos'!$L$5:$L$158,MATCH(Resumen!AA17,'Detalle Costos'!$C$5:$C$158,0))*1000*0+AI17</f>
        <v>1829.8234619119073</v>
      </c>
      <c r="AC17" s="44">
        <f>IFERROR(INDEX('Detalle Costos'!$X$5:$X$158,MATCH(Resumen!AA17,'Detalle Costos'!$C$5:$C$158,0))*AG17,0)</f>
        <v>30498.568502492959</v>
      </c>
      <c r="AD17" s="44">
        <f>IFERROR(INDEX('Detalle Costos'!$Z$5:$Z$158,MATCH(Resumen!AA17,'Detalle Costos'!$C$5:$C$158,0))*AG17,0)</f>
        <v>8738.5729424640977</v>
      </c>
      <c r="AE17" s="44">
        <f>IFERROR(INDEX('Detalle Costos'!$Y$5:$Y$158,MATCH(Resumen!AA17,'Detalle Costos'!$C$5:$C$158,0))*AG17,0)</f>
        <v>554.4620338671225</v>
      </c>
      <c r="AF17" s="44">
        <f>IFERROR(INDEX('Detalle Costos'!$AA$5:$AA$158,MATCH(Resumen!AA17,'Detalle Costos'!$C$5:$C$158,0))*AG17,0)</f>
        <v>9613.6299927973178</v>
      </c>
      <c r="AG17" s="44">
        <f t="shared" si="9"/>
        <v>49405.233471621497</v>
      </c>
      <c r="AH17" s="101">
        <v>26.302</v>
      </c>
      <c r="AI17" s="44">
        <f>+AI4</f>
        <v>1829.8234619119073</v>
      </c>
      <c r="AJ17" s="44">
        <v>48129</v>
      </c>
      <c r="AK17" s="45">
        <f t="shared" si="11"/>
        <v>28179.766528378503</v>
      </c>
      <c r="AL17" s="94">
        <f t="shared" si="12"/>
        <v>0.36321152965622866</v>
      </c>
      <c r="AM17" s="44">
        <f t="shared" si="13"/>
        <v>4364</v>
      </c>
      <c r="AN17" s="44">
        <f t="shared" si="3"/>
        <v>1557.6923076923076</v>
      </c>
      <c r="AO17" s="44">
        <f t="shared" si="14"/>
        <v>5921.6923076923076</v>
      </c>
      <c r="AP17" s="44">
        <f t="shared" si="41"/>
        <v>1083.6015419445635</v>
      </c>
      <c r="AQ17" s="44">
        <f t="shared" si="15"/>
        <v>2196.63</v>
      </c>
      <c r="AR17" s="45">
        <f t="shared" si="16"/>
        <v>23371.10267874163</v>
      </c>
      <c r="AS17" s="94">
        <f t="shared" si="17"/>
        <v>0.30123223147182615</v>
      </c>
      <c r="AT17" s="44">
        <f t="shared" si="42"/>
        <v>2453.3108976320141</v>
      </c>
      <c r="AU17" s="45">
        <f t="shared" si="18"/>
        <v>20917.791781109616</v>
      </c>
      <c r="AV17" s="94">
        <f t="shared" si="19"/>
        <v>0.26961128802100426</v>
      </c>
      <c r="AW17" s="44">
        <f t="shared" si="43"/>
        <v>2051.2656489016708</v>
      </c>
      <c r="AX17" s="45">
        <f t="shared" si="20"/>
        <v>25422.3683276433</v>
      </c>
      <c r="AY17" s="94">
        <f t="shared" si="21"/>
        <v>0.32767117777461235</v>
      </c>
      <c r="BA17" s="44">
        <f t="shared" si="22"/>
        <v>2873.5185185185187</v>
      </c>
      <c r="BB17" s="44">
        <f t="shared" si="23"/>
        <v>-1129.576611203443</v>
      </c>
      <c r="BC17" s="44">
        <f t="shared" si="24"/>
        <v>-323.6508497208925</v>
      </c>
      <c r="BD17" s="44">
        <f t="shared" si="25"/>
        <v>-20.535630883967499</v>
      </c>
      <c r="BE17" s="44">
        <f t="shared" si="26"/>
        <v>-356.06037010360438</v>
      </c>
      <c r="BF17" s="44">
        <f t="shared" si="27"/>
        <v>-1829.8234619119073</v>
      </c>
      <c r="BG17" s="44">
        <f t="shared" si="28"/>
        <v>1043.6950566066112</v>
      </c>
      <c r="BH17" s="44">
        <f t="shared" si="29"/>
        <v>-161.62962962962962</v>
      </c>
      <c r="BI17" s="44">
        <f t="shared" si="30"/>
        <v>-57.692307692307686</v>
      </c>
      <c r="BJ17" s="44">
        <f t="shared" si="31"/>
        <v>-219.32193732193733</v>
      </c>
      <c r="BK17" s="44">
        <f t="shared" si="32"/>
        <v>-40.133390442391239</v>
      </c>
      <c r="BL17" s="44">
        <f t="shared" si="33"/>
        <v>81.356666666666669</v>
      </c>
      <c r="BM17" s="44">
        <f t="shared" si="34"/>
        <v>865.59639550894929</v>
      </c>
      <c r="BN17" s="44">
        <f t="shared" si="35"/>
        <v>-90.863366578963479</v>
      </c>
      <c r="BO17" s="44">
        <f t="shared" si="36"/>
        <v>774.73302892998572</v>
      </c>
      <c r="BP17" s="44">
        <f t="shared" si="37"/>
        <v>75.972801811172999</v>
      </c>
      <c r="BQ17" s="44">
        <f t="shared" si="38"/>
        <v>941.56919732012227</v>
      </c>
    </row>
    <row r="18" spans="2:69" hidden="1">
      <c r="B18" s="4" t="s">
        <v>7</v>
      </c>
      <c r="C18" s="27" t="str">
        <f t="shared" si="0"/>
        <v>FEBRERO</v>
      </c>
      <c r="D18" s="25" t="s">
        <v>168</v>
      </c>
      <c r="E18" s="100">
        <v>325</v>
      </c>
      <c r="F18" s="100">
        <v>46069</v>
      </c>
      <c r="G18" s="101">
        <v>26</v>
      </c>
      <c r="H18" s="102" t="s">
        <v>31</v>
      </c>
      <c r="I18" s="27" t="s">
        <v>110</v>
      </c>
      <c r="J18" s="19" t="s">
        <v>169</v>
      </c>
      <c r="K18" s="7" t="s">
        <v>164</v>
      </c>
      <c r="L18" s="7" t="s">
        <v>150</v>
      </c>
      <c r="M18" s="21" t="s">
        <v>51</v>
      </c>
      <c r="N18" s="7" t="s">
        <v>170</v>
      </c>
      <c r="O18" s="20">
        <v>2600</v>
      </c>
      <c r="P18" s="61">
        <v>67600</v>
      </c>
      <c r="Q18" s="20">
        <v>2432.1538461538462</v>
      </c>
      <c r="R18" s="30">
        <v>4364</v>
      </c>
      <c r="S18" s="32">
        <f t="shared" si="1"/>
        <v>63236</v>
      </c>
      <c r="T18" s="60">
        <v>1</v>
      </c>
      <c r="U18" s="7" t="s">
        <v>171</v>
      </c>
      <c r="V18" s="7">
        <v>11400418</v>
      </c>
      <c r="W18" s="4" t="s">
        <v>115</v>
      </c>
      <c r="X18" s="4" t="s">
        <v>116</v>
      </c>
      <c r="Y18" s="7">
        <v>10007162</v>
      </c>
      <c r="Z18" s="7" t="s">
        <v>117</v>
      </c>
      <c r="AA18" s="7" t="str">
        <f>B18&amp;Y18&amp;Z18</f>
        <v>FEBRERO10007162Compensación</v>
      </c>
      <c r="AB18" s="26">
        <f>INDEX('Detalle Costos'!$L$5:$L$158,MATCH(Resumen!AA18,'Detalle Costos'!$C$5:$C$158,0))*1000*0+AI18</f>
        <v>1715.2908173076921</v>
      </c>
      <c r="AC18" s="44">
        <f>IFERROR(INDEX('Detalle Costos'!$X$5:$X$158,MATCH(Resumen!AA18,'Detalle Costos'!$C$5:$C$158,0))*AG18,0)</f>
        <v>27996.817500000001</v>
      </c>
      <c r="AD18" s="44">
        <f>IFERROR(INDEX('Detalle Costos'!$Z$5:$Z$158,MATCH(Resumen!AA18,'Detalle Costos'!$C$5:$C$158,0))*AG18,0)</f>
        <v>7988.6674999999996</v>
      </c>
      <c r="AE18" s="44">
        <f>IFERROR(INDEX('Detalle Costos'!$Y$5:$Y$158,MATCH(Resumen!AA18,'Detalle Costos'!$C$5:$C$158,0))*AG18,0)</f>
        <v>415.92750000000001</v>
      </c>
      <c r="AF18" s="44">
        <f>IFERROR(INDEX('Detalle Costos'!$AA$5:$AA$158,MATCH(Resumen!AA18,'Detalle Costos'!$C$5:$C$158,0))*AG18,0)</f>
        <v>8196.1487499999894</v>
      </c>
      <c r="AG18" s="44">
        <f t="shared" si="9"/>
        <v>44597.561249999999</v>
      </c>
      <c r="AH18" s="26">
        <f>+G18</f>
        <v>26</v>
      </c>
      <c r="AI18" s="44">
        <v>1715.2908173076921</v>
      </c>
      <c r="AJ18" s="44">
        <f>AI18*AH18</f>
        <v>44597.561249999999</v>
      </c>
      <c r="AK18" s="45">
        <f t="shared" si="11"/>
        <v>23002.438750000001</v>
      </c>
      <c r="AL18" s="94">
        <f t="shared" si="12"/>
        <v>0.34027276257396449</v>
      </c>
      <c r="AM18" s="44">
        <f t="shared" si="13"/>
        <v>4364</v>
      </c>
      <c r="AN18" s="44">
        <f t="shared" si="3"/>
        <v>1500</v>
      </c>
      <c r="AO18" s="44">
        <f t="shared" si="14"/>
        <v>5864</v>
      </c>
      <c r="AP18" s="44">
        <f t="shared" si="41"/>
        <v>1043.4681515021723</v>
      </c>
      <c r="AQ18" s="44">
        <f t="shared" si="15"/>
        <v>1897.08</v>
      </c>
      <c r="AR18" s="45">
        <f t="shared" si="16"/>
        <v>17992.05059849783</v>
      </c>
      <c r="AS18" s="94">
        <f t="shared" si="17"/>
        <v>0.26615459465233476</v>
      </c>
      <c r="AT18" s="44">
        <f t="shared" si="42"/>
        <v>2362.4475310530506</v>
      </c>
      <c r="AU18" s="45">
        <f t="shared" si="18"/>
        <v>15629.603067444779</v>
      </c>
      <c r="AV18" s="94">
        <f t="shared" si="19"/>
        <v>0.23120714596811803</v>
      </c>
      <c r="AW18" s="44">
        <f t="shared" si="43"/>
        <v>1975.2928470904976</v>
      </c>
      <c r="AX18" s="45">
        <f t="shared" si="20"/>
        <v>19967.343445588329</v>
      </c>
      <c r="AY18" s="94">
        <f t="shared" si="21"/>
        <v>0.29537490304124747</v>
      </c>
      <c r="BA18" s="44">
        <f t="shared" si="22"/>
        <v>2600</v>
      </c>
      <c r="BB18" s="44">
        <f t="shared" si="23"/>
        <v>-1076.8006730769232</v>
      </c>
      <c r="BC18" s="44">
        <f t="shared" si="24"/>
        <v>-307.25644230769228</v>
      </c>
      <c r="BD18" s="44">
        <f t="shared" si="25"/>
        <v>-15.997211538461539</v>
      </c>
      <c r="BE18" s="44">
        <f t="shared" si="26"/>
        <v>-315.23649038461497</v>
      </c>
      <c r="BF18" s="44">
        <f t="shared" si="27"/>
        <v>-1715.2908173076924</v>
      </c>
      <c r="BG18" s="44">
        <f t="shared" si="28"/>
        <v>884.70918269230776</v>
      </c>
      <c r="BH18" s="44">
        <f t="shared" si="29"/>
        <v>-167.84615384615384</v>
      </c>
      <c r="BI18" s="44">
        <f t="shared" si="30"/>
        <v>-57.692307692307693</v>
      </c>
      <c r="BJ18" s="44">
        <f t="shared" si="31"/>
        <v>-225.53846153846155</v>
      </c>
      <c r="BK18" s="44">
        <f t="shared" si="32"/>
        <v>-40.133390442391246</v>
      </c>
      <c r="BL18" s="44">
        <f t="shared" si="33"/>
        <v>72.964615384615385</v>
      </c>
      <c r="BM18" s="44">
        <f t="shared" si="34"/>
        <v>692.00194609607036</v>
      </c>
      <c r="BN18" s="44">
        <f t="shared" si="35"/>
        <v>-90.863366578963479</v>
      </c>
      <c r="BO18" s="44">
        <f t="shared" si="36"/>
        <v>601.1385795171069</v>
      </c>
      <c r="BP18" s="44">
        <f t="shared" si="37"/>
        <v>75.972801811172985</v>
      </c>
      <c r="BQ18" s="44">
        <f t="shared" si="38"/>
        <v>767.97474790724345</v>
      </c>
    </row>
    <row r="19" spans="2:69" hidden="1">
      <c r="B19" s="4" t="s">
        <v>7</v>
      </c>
      <c r="C19" s="27" t="str">
        <f t="shared" si="0"/>
        <v>FEBRERO</v>
      </c>
      <c r="D19" s="25" t="s">
        <v>172</v>
      </c>
      <c r="E19" s="100">
        <v>26</v>
      </c>
      <c r="F19" s="100">
        <v>46080</v>
      </c>
      <c r="G19" s="101">
        <v>27</v>
      </c>
      <c r="H19" s="102" t="s">
        <v>39</v>
      </c>
      <c r="I19" s="27" t="s">
        <v>173</v>
      </c>
      <c r="J19" s="7"/>
      <c r="K19" s="7" t="s">
        <v>174</v>
      </c>
      <c r="L19" s="7" t="s">
        <v>175</v>
      </c>
      <c r="M19" s="21" t="s">
        <v>58</v>
      </c>
      <c r="N19" s="7"/>
      <c r="O19" s="20">
        <f>P19/G19</f>
        <v>1429.8611111111111</v>
      </c>
      <c r="P19" s="61">
        <f>39150*0+38606.25</f>
        <v>38606.25</v>
      </c>
      <c r="Q19" s="20">
        <f>S19/G19</f>
        <v>1322.4537037037037</v>
      </c>
      <c r="R19" s="30">
        <v>2900</v>
      </c>
      <c r="S19" s="32">
        <f t="shared" si="1"/>
        <v>35706.25</v>
      </c>
      <c r="T19" s="60">
        <v>1</v>
      </c>
      <c r="U19" s="7" t="s">
        <v>176</v>
      </c>
      <c r="V19" s="7">
        <v>6445502950</v>
      </c>
      <c r="W19" s="4" t="s">
        <v>125</v>
      </c>
      <c r="X19" s="4" t="s">
        <v>116</v>
      </c>
      <c r="Y19" s="7">
        <v>10009332</v>
      </c>
      <c r="Z19" s="7" t="s">
        <v>167</v>
      </c>
      <c r="AA19" s="7" t="str">
        <f>B19&amp;Y19&amp;Z19</f>
        <v>FEBRERO10009332Entradas</v>
      </c>
      <c r="AB19" s="26">
        <f>AI19</f>
        <v>1529.9064788732392</v>
      </c>
      <c r="AC19" s="44">
        <f>IFERROR(INDEX('Detalle Costos'!$X$5:$X$158,MATCH(Resumen!AA19,'Detalle Costos'!$C$5:$C$158,0))*AG19,0)</f>
        <v>34256.33985501268</v>
      </c>
      <c r="AD19" s="44">
        <f>IFERROR(INDEX('Detalle Costos'!$Z$5:$Z$158,MATCH(Resumen!AA19,'Detalle Costos'!$C$5:$C$158,0))*AG19,0)</f>
        <v>6268.5857518887296</v>
      </c>
      <c r="AE19" s="44">
        <f>IFERROR(INDEX('Detalle Costos'!$Y$5:$Y$158,MATCH(Resumen!AA19,'Detalle Costos'!$C$5:$C$158,0))*AG19,0)</f>
        <v>633.18765349791158</v>
      </c>
      <c r="AF19" s="44">
        <f>IFERROR(INDEX('Detalle Costos'!$AA$5:$AA$158,MATCH(Resumen!AA19,'Detalle Costos'!$C$5:$C$158,0))*AG19,0)</f>
        <v>149.36166917813952</v>
      </c>
      <c r="AG19" s="44">
        <f t="shared" si="9"/>
        <v>41307.47492957746</v>
      </c>
      <c r="AH19" s="26">
        <v>26.625</v>
      </c>
      <c r="AI19" s="44">
        <f>AJ19/AH19</f>
        <v>1529.9064788732392</v>
      </c>
      <c r="AJ19" s="44">
        <v>40733.759999999995</v>
      </c>
      <c r="AK19" s="45">
        <f t="shared" si="11"/>
        <v>-2701.22492957746</v>
      </c>
      <c r="AL19" s="94">
        <f t="shared" si="12"/>
        <v>-6.9968591344081857E-2</v>
      </c>
      <c r="AM19" s="44">
        <f t="shared" si="13"/>
        <v>2900</v>
      </c>
      <c r="AN19" s="44">
        <f t="shared" si="3"/>
        <v>1557.6923076923076</v>
      </c>
      <c r="AO19" s="44">
        <f t="shared" si="14"/>
        <v>4457.6923076923076</v>
      </c>
      <c r="AP19" s="44">
        <f t="shared" si="41"/>
        <v>1083.6015419445635</v>
      </c>
      <c r="AQ19" s="44">
        <f t="shared" si="15"/>
        <v>1071.1875</v>
      </c>
      <c r="AR19" s="45">
        <f t="shared" si="16"/>
        <v>-7171.3312792143315</v>
      </c>
      <c r="AS19" s="94">
        <f t="shared" si="17"/>
        <v>-0.18575570741044084</v>
      </c>
      <c r="AT19" s="44">
        <f t="shared" si="42"/>
        <v>2453.3108976320141</v>
      </c>
      <c r="AU19" s="45">
        <f t="shared" si="18"/>
        <v>-9624.642176846346</v>
      </c>
      <c r="AV19" s="94">
        <f t="shared" si="19"/>
        <v>-0.24930269520728757</v>
      </c>
      <c r="AW19" s="44">
        <f t="shared" si="43"/>
        <v>2051.2656489016708</v>
      </c>
      <c r="AX19" s="45">
        <f t="shared" si="20"/>
        <v>-5120.0656303126607</v>
      </c>
      <c r="AY19" s="94">
        <f t="shared" si="21"/>
        <v>-0.13262271342885312</v>
      </c>
      <c r="BA19" s="44">
        <f t="shared" si="22"/>
        <v>1429.8611111111111</v>
      </c>
      <c r="BB19" s="44">
        <f t="shared" si="23"/>
        <v>-1268.7533279634326</v>
      </c>
      <c r="BC19" s="44">
        <f t="shared" si="24"/>
        <v>-232.16984266254553</v>
      </c>
      <c r="BD19" s="44">
        <f t="shared" si="25"/>
        <v>-23.451394573996726</v>
      </c>
      <c r="BE19" s="44">
        <f t="shared" si="26"/>
        <v>-5.5319136732644267</v>
      </c>
      <c r="BF19" s="44">
        <f t="shared" si="27"/>
        <v>-1529.9064788732392</v>
      </c>
      <c r="BG19" s="44">
        <f t="shared" si="28"/>
        <v>-100.04536776212815</v>
      </c>
      <c r="BH19" s="44">
        <f t="shared" si="29"/>
        <v>-107.4074074074074</v>
      </c>
      <c r="BI19" s="44">
        <f t="shared" si="30"/>
        <v>-57.692307692307686</v>
      </c>
      <c r="BJ19" s="44">
        <f t="shared" si="31"/>
        <v>-165.0997150997151</v>
      </c>
      <c r="BK19" s="44">
        <f t="shared" si="32"/>
        <v>-40.133390442391239</v>
      </c>
      <c r="BL19" s="44">
        <f t="shared" si="33"/>
        <v>39.673611111111114</v>
      </c>
      <c r="BM19" s="44">
        <f t="shared" si="34"/>
        <v>-265.60486219312338</v>
      </c>
      <c r="BN19" s="44">
        <f t="shared" si="35"/>
        <v>-90.863366578963479</v>
      </c>
      <c r="BO19" s="44">
        <f t="shared" si="36"/>
        <v>-356.46822877208689</v>
      </c>
      <c r="BP19" s="44">
        <f t="shared" si="37"/>
        <v>75.972801811172999</v>
      </c>
      <c r="BQ19" s="44">
        <f t="shared" si="38"/>
        <v>-189.6320603819504</v>
      </c>
    </row>
    <row r="20" spans="2:69" hidden="1">
      <c r="B20" s="4" t="s">
        <v>7</v>
      </c>
      <c r="C20" s="27" t="str">
        <f t="shared" si="0"/>
        <v>FEBRERO</v>
      </c>
      <c r="D20" s="25" t="s">
        <v>172</v>
      </c>
      <c r="E20" s="100">
        <v>26</v>
      </c>
      <c r="F20" s="100">
        <v>46080</v>
      </c>
      <c r="G20" s="101">
        <v>27</v>
      </c>
      <c r="H20" s="102" t="s">
        <v>40</v>
      </c>
      <c r="I20" s="27" t="s">
        <v>177</v>
      </c>
      <c r="J20" s="7"/>
      <c r="K20" s="7" t="s">
        <v>174</v>
      </c>
      <c r="L20" s="7" t="s">
        <v>175</v>
      </c>
      <c r="M20" s="21" t="s">
        <v>58</v>
      </c>
      <c r="N20" s="7"/>
      <c r="O20" s="20">
        <f>P20/G20</f>
        <v>1429.8611111111111</v>
      </c>
      <c r="P20" s="61">
        <f>39150*0+38606.25</f>
        <v>38606.25</v>
      </c>
      <c r="Q20" s="20">
        <f>S20/G20</f>
        <v>1322.4537037037037</v>
      </c>
      <c r="R20" s="30">
        <v>2900</v>
      </c>
      <c r="S20" s="32">
        <f t="shared" si="1"/>
        <v>35706.25</v>
      </c>
      <c r="T20" s="60">
        <v>1</v>
      </c>
      <c r="U20" s="7" t="s">
        <v>176</v>
      </c>
      <c r="V20" s="7">
        <v>6445502950</v>
      </c>
      <c r="W20" s="4" t="s">
        <v>125</v>
      </c>
      <c r="X20" s="4" t="s">
        <v>116</v>
      </c>
      <c r="Y20" s="7">
        <v>10009332</v>
      </c>
      <c r="Z20" s="7" t="s">
        <v>117</v>
      </c>
      <c r="AA20" s="7" t="str">
        <f t="shared" ref="AA20:AA34" si="44">B20&amp;Y20&amp;Z20</f>
        <v>FEBRERO10009332Compensación</v>
      </c>
      <c r="AB20" s="26">
        <f>INDEX('Detalle Costos'!$L$5:$L$158,MATCH(Resumen!AA20,'Detalle Costos'!$C$5:$C$158,0))*1000*0+AI20</f>
        <v>1515.6443192488266</v>
      </c>
      <c r="AC20" s="44">
        <f>IFERROR(INDEX('Detalle Costos'!$X$5:$X$158,MATCH(Resumen!AA20,'Detalle Costos'!$C$5:$C$158,0))*AG20,0)</f>
        <v>33289.300963905443</v>
      </c>
      <c r="AD20" s="44">
        <f>IFERROR(INDEX('Detalle Costos'!$Z$5:$Z$158,MATCH(Resumen!AA20,'Detalle Costos'!$C$5:$C$158,0))*AG20,0)</f>
        <v>5812.6541155582836</v>
      </c>
      <c r="AE20" s="44">
        <f>IFERROR(INDEX('Detalle Costos'!$Y$5:$Y$158,MATCH(Resumen!AA20,'Detalle Costos'!$C$5:$C$158,0))*AG20,0)</f>
        <v>581.72151401397002</v>
      </c>
      <c r="AF20" s="44">
        <f>IFERROR(INDEX('Detalle Costos'!$AA$5:$AA$158,MATCH(Resumen!AA20,'Detalle Costos'!$C$5:$C$158,0))*AG20,0)</f>
        <v>1238.7200262406191</v>
      </c>
      <c r="AG20" s="44">
        <f t="shared" si="9"/>
        <v>40922.396619718318</v>
      </c>
      <c r="AH20" s="26">
        <v>26.625</v>
      </c>
      <c r="AI20" s="44">
        <f>AJ20/AH20</f>
        <v>1515.6443192488266</v>
      </c>
      <c r="AJ20" s="44">
        <v>40354.030000000006</v>
      </c>
      <c r="AK20" s="45">
        <f t="shared" si="11"/>
        <v>-2316.1466197183181</v>
      </c>
      <c r="AL20" s="94">
        <f t="shared" si="12"/>
        <v>-5.9994084370233271E-2</v>
      </c>
      <c r="AM20" s="44">
        <f t="shared" si="13"/>
        <v>2900</v>
      </c>
      <c r="AN20" s="44">
        <f t="shared" si="3"/>
        <v>1557.6923076923076</v>
      </c>
      <c r="AO20" s="44">
        <f t="shared" si="14"/>
        <v>4457.6923076923076</v>
      </c>
      <c r="AP20" s="44">
        <f t="shared" si="41"/>
        <v>1083.6015419445635</v>
      </c>
      <c r="AQ20" s="44">
        <f t="shared" si="15"/>
        <v>1071.1875</v>
      </c>
      <c r="AR20" s="45">
        <f t="shared" si="16"/>
        <v>-6786.2529693551896</v>
      </c>
      <c r="AS20" s="94">
        <f t="shared" si="17"/>
        <v>-0.17578120043659226</v>
      </c>
      <c r="AT20" s="44">
        <f t="shared" si="42"/>
        <v>2453.3108976320141</v>
      </c>
      <c r="AU20" s="45">
        <f t="shared" si="18"/>
        <v>-9239.5638669872042</v>
      </c>
      <c r="AV20" s="94">
        <f t="shared" si="19"/>
        <v>-0.23932818823343899</v>
      </c>
      <c r="AW20" s="44">
        <f t="shared" si="43"/>
        <v>2051.2656489016708</v>
      </c>
      <c r="AX20" s="45">
        <f t="shared" si="20"/>
        <v>-4734.9873204535188</v>
      </c>
      <c r="AY20" s="94">
        <f t="shared" si="21"/>
        <v>-0.12264820645500453</v>
      </c>
      <c r="BA20" s="44">
        <f t="shared" si="22"/>
        <v>1429.8611111111111</v>
      </c>
      <c r="BB20" s="44">
        <f t="shared" si="23"/>
        <v>-1232.9370727372386</v>
      </c>
      <c r="BC20" s="44">
        <f t="shared" si="24"/>
        <v>-215.28348576141792</v>
      </c>
      <c r="BD20" s="44">
        <f t="shared" si="25"/>
        <v>-21.545241259776667</v>
      </c>
      <c r="BE20" s="44">
        <f t="shared" si="26"/>
        <v>-45.878519490393302</v>
      </c>
      <c r="BF20" s="44">
        <f t="shared" si="27"/>
        <v>-1515.6443192488266</v>
      </c>
      <c r="BG20" s="44">
        <f t="shared" si="28"/>
        <v>-85.783208137715491</v>
      </c>
      <c r="BH20" s="44">
        <f t="shared" si="29"/>
        <v>-107.4074074074074</v>
      </c>
      <c r="BI20" s="44">
        <f t="shared" si="30"/>
        <v>-57.692307692307686</v>
      </c>
      <c r="BJ20" s="44">
        <f t="shared" si="31"/>
        <v>-165.0997150997151</v>
      </c>
      <c r="BK20" s="44">
        <f t="shared" si="32"/>
        <v>-40.133390442391239</v>
      </c>
      <c r="BL20" s="44">
        <f t="shared" si="33"/>
        <v>39.673611111111114</v>
      </c>
      <c r="BM20" s="44">
        <f t="shared" si="34"/>
        <v>-251.34270256871073</v>
      </c>
      <c r="BN20" s="44">
        <f t="shared" si="35"/>
        <v>-90.863366578963479</v>
      </c>
      <c r="BO20" s="44">
        <f t="shared" si="36"/>
        <v>-342.20606914767421</v>
      </c>
      <c r="BP20" s="44">
        <f t="shared" si="37"/>
        <v>75.972801811172999</v>
      </c>
      <c r="BQ20" s="44">
        <f t="shared" si="38"/>
        <v>-175.36990075753772</v>
      </c>
    </row>
    <row r="21" spans="2:69" hidden="1">
      <c r="B21" s="4" t="s">
        <v>7</v>
      </c>
      <c r="C21" s="27" t="str">
        <f t="shared" si="0"/>
        <v>FEBRERO</v>
      </c>
      <c r="D21" s="25" t="s">
        <v>178</v>
      </c>
      <c r="E21" s="100">
        <v>26</v>
      </c>
      <c r="F21" s="100">
        <v>46062</v>
      </c>
      <c r="G21" s="101">
        <v>27</v>
      </c>
      <c r="H21" s="102" t="s">
        <v>31</v>
      </c>
      <c r="I21" s="27" t="s">
        <v>110</v>
      </c>
      <c r="J21" s="19" t="s">
        <v>179</v>
      </c>
      <c r="K21" s="7" t="s">
        <v>164</v>
      </c>
      <c r="L21" s="7" t="s">
        <v>150</v>
      </c>
      <c r="M21" s="21" t="s">
        <v>51</v>
      </c>
      <c r="N21" s="7" t="s">
        <v>170</v>
      </c>
      <c r="O21" s="20">
        <f>P21/G21</f>
        <v>2781.2962962962961</v>
      </c>
      <c r="P21" s="61">
        <f>75600*0+75095</f>
        <v>75095</v>
      </c>
      <c r="Q21" s="20">
        <f>S21/G21</f>
        <v>2619.6666666666665</v>
      </c>
      <c r="R21" s="30">
        <v>4364</v>
      </c>
      <c r="S21" s="32">
        <f t="shared" si="1"/>
        <v>70731</v>
      </c>
      <c r="T21" s="60">
        <v>1</v>
      </c>
      <c r="U21" s="7" t="s">
        <v>180</v>
      </c>
      <c r="V21" s="7">
        <v>24312444</v>
      </c>
      <c r="W21" s="25" t="s">
        <v>115</v>
      </c>
      <c r="X21" s="62" t="s">
        <v>116</v>
      </c>
      <c r="Y21" s="7">
        <v>10007162</v>
      </c>
      <c r="Z21" s="7" t="s">
        <v>117</v>
      </c>
      <c r="AA21" s="7" t="str">
        <f t="shared" si="44"/>
        <v>FEBRERO10007162Compensación</v>
      </c>
      <c r="AB21" s="26">
        <f>INDEX('Detalle Costos'!$L$5:$L$158,MATCH(Resumen!AA21,'Detalle Costos'!$C$5:$C$158,0))*1000*0+AI21</f>
        <v>1751.18680089485</v>
      </c>
      <c r="AC21" s="44">
        <f>IFERROR(INDEX('Detalle Costos'!$X$5:$X$158,MATCH(Resumen!AA21,'Detalle Costos'!$C$5:$C$158,0))*AG21,0)</f>
        <v>29682.043351029039</v>
      </c>
      <c r="AD21" s="44">
        <f>IFERROR(INDEX('Detalle Costos'!$Z$5:$Z$158,MATCH(Resumen!AA21,'Detalle Costos'!$C$5:$C$158,0))*AG21,0)</f>
        <v>8469.533190762013</v>
      </c>
      <c r="AE21" s="44">
        <f>IFERROR(INDEX('Detalle Costos'!$Y$5:$Y$158,MATCH(Resumen!AA21,'Detalle Costos'!$C$5:$C$158,0))*AG21,0)</f>
        <v>440.96362330772524</v>
      </c>
      <c r="AF21" s="44">
        <f>IFERROR(INDEX('Detalle Costos'!$AA$5:$AA$158,MATCH(Resumen!AA21,'Detalle Costos'!$C$5:$C$158,0))*AG21,0)</f>
        <v>8689.5034590621635</v>
      </c>
      <c r="AG21" s="44">
        <f t="shared" si="9"/>
        <v>47282.04362416095</v>
      </c>
      <c r="AH21" s="26">
        <f>+G21</f>
        <v>27</v>
      </c>
      <c r="AI21" s="44">
        <f>1.75118680089485*1000</f>
        <v>1751.18680089485</v>
      </c>
      <c r="AJ21" s="44">
        <f>AI21*AH21</f>
        <v>47282.04362416095</v>
      </c>
      <c r="AK21" s="45">
        <f t="shared" si="11"/>
        <v>27812.95637583905</v>
      </c>
      <c r="AL21" s="94">
        <f t="shared" si="12"/>
        <v>0.37037028265316002</v>
      </c>
      <c r="AM21" s="44">
        <f t="shared" si="13"/>
        <v>4364</v>
      </c>
      <c r="AN21" s="44">
        <f t="shared" si="3"/>
        <v>1557.6923076923076</v>
      </c>
      <c r="AO21" s="44">
        <f t="shared" si="14"/>
        <v>5921.6923076923076</v>
      </c>
      <c r="AP21" s="44">
        <f t="shared" si="41"/>
        <v>1083.6015419445635</v>
      </c>
      <c r="AQ21" s="44">
        <f t="shared" si="15"/>
        <v>2121.9299999999998</v>
      </c>
      <c r="AR21" s="45">
        <f t="shared" si="16"/>
        <v>22929.592526202177</v>
      </c>
      <c r="AS21" s="94">
        <f t="shared" si="17"/>
        <v>0.30534113491180742</v>
      </c>
      <c r="AT21" s="44">
        <f t="shared" si="42"/>
        <v>2453.3108976320141</v>
      </c>
      <c r="AU21" s="45">
        <f t="shared" si="18"/>
        <v>20476.281628570163</v>
      </c>
      <c r="AV21" s="94">
        <f t="shared" si="19"/>
        <v>0.27267170422225401</v>
      </c>
      <c r="AW21" s="44">
        <f t="shared" si="43"/>
        <v>2051.2656489016708</v>
      </c>
      <c r="AX21" s="45">
        <f t="shared" si="20"/>
        <v>24980.858175103847</v>
      </c>
      <c r="AY21" s="94">
        <f t="shared" si="21"/>
        <v>0.3326567437925807</v>
      </c>
      <c r="BA21" s="44">
        <f t="shared" si="22"/>
        <v>2781.2962962962961</v>
      </c>
      <c r="BB21" s="44">
        <f t="shared" si="23"/>
        <v>-1099.3349389270015</v>
      </c>
      <c r="BC21" s="44">
        <f t="shared" si="24"/>
        <v>-313.68641447266714</v>
      </c>
      <c r="BD21" s="44">
        <f t="shared" si="25"/>
        <v>-16.331986048434267</v>
      </c>
      <c r="BE21" s="44">
        <f t="shared" si="26"/>
        <v>-321.83346144674681</v>
      </c>
      <c r="BF21" s="44">
        <f t="shared" si="27"/>
        <v>-1751.18680089485</v>
      </c>
      <c r="BG21" s="44">
        <f t="shared" si="28"/>
        <v>1030.1094954014463</v>
      </c>
      <c r="BH21" s="44">
        <f t="shared" si="29"/>
        <v>-161.62962962962962</v>
      </c>
      <c r="BI21" s="44">
        <f t="shared" si="30"/>
        <v>-57.692307692307686</v>
      </c>
      <c r="BJ21" s="44">
        <f t="shared" si="31"/>
        <v>-219.32193732193733</v>
      </c>
      <c r="BK21" s="44">
        <f t="shared" si="32"/>
        <v>-40.133390442391239</v>
      </c>
      <c r="BL21" s="44">
        <f t="shared" si="33"/>
        <v>78.589999999999989</v>
      </c>
      <c r="BM21" s="44">
        <f t="shared" si="34"/>
        <v>849.2441676371177</v>
      </c>
      <c r="BN21" s="44">
        <f t="shared" si="35"/>
        <v>-90.863366578963479</v>
      </c>
      <c r="BO21" s="44">
        <f t="shared" si="36"/>
        <v>758.38080105815413</v>
      </c>
      <c r="BP21" s="44">
        <f t="shared" si="37"/>
        <v>75.972801811172999</v>
      </c>
      <c r="BQ21" s="44">
        <f t="shared" si="38"/>
        <v>925.21696944829068</v>
      </c>
    </row>
    <row r="22" spans="2:69" hidden="1">
      <c r="B22" s="4" t="s">
        <v>7</v>
      </c>
      <c r="C22" s="27" t="str">
        <f t="shared" si="0"/>
        <v>FEBRERO</v>
      </c>
      <c r="D22" s="25" t="s">
        <v>181</v>
      </c>
      <c r="E22" s="100">
        <v>27</v>
      </c>
      <c r="F22" s="100">
        <v>46062</v>
      </c>
      <c r="G22" s="103">
        <v>54</v>
      </c>
      <c r="H22" s="102" t="s">
        <v>33</v>
      </c>
      <c r="I22" s="27" t="s">
        <v>135</v>
      </c>
      <c r="J22" s="19" t="s">
        <v>182</v>
      </c>
      <c r="K22" s="7" t="s">
        <v>174</v>
      </c>
      <c r="L22" s="7" t="s">
        <v>175</v>
      </c>
      <c r="M22" s="21" t="s">
        <v>54</v>
      </c>
      <c r="N22" s="7"/>
      <c r="O22" s="20">
        <v>1650</v>
      </c>
      <c r="P22" s="61">
        <v>89100</v>
      </c>
      <c r="Q22" s="20">
        <v>1534.962962962963</v>
      </c>
      <c r="R22" s="30">
        <v>6212</v>
      </c>
      <c r="S22" s="32">
        <f t="shared" si="1"/>
        <v>82888</v>
      </c>
      <c r="T22" s="60">
        <v>2</v>
      </c>
      <c r="U22" s="7" t="s">
        <v>183</v>
      </c>
      <c r="V22" s="7" t="s">
        <v>184</v>
      </c>
      <c r="W22" s="4" t="s">
        <v>185</v>
      </c>
      <c r="X22" s="4" t="s">
        <v>116</v>
      </c>
      <c r="Y22" s="7">
        <v>10005721</v>
      </c>
      <c r="Z22" s="7" t="s">
        <v>117</v>
      </c>
      <c r="AA22" s="7" t="str">
        <f t="shared" si="44"/>
        <v>FEBRERO10005721Compensación</v>
      </c>
      <c r="AB22" s="26">
        <f>INDEX('Detalle Costos'!$L$5:$L$158,MATCH(Resumen!AA22,'Detalle Costos'!$C$5:$C$158,0))*1000*0+AI22</f>
        <v>1740.7827151654001</v>
      </c>
      <c r="AC22" s="44">
        <f>IFERROR(INDEX('Detalle Costos'!$X$5:$X$158,MATCH(Resumen!AA22,'Detalle Costos'!$C$5:$C$158,0))*AG22,0)</f>
        <v>57043.95672347123</v>
      </c>
      <c r="AD22" s="44">
        <f>IFERROR(INDEX('Detalle Costos'!$Z$5:$Z$158,MATCH(Resumen!AA22,'Detalle Costos'!$C$5:$C$158,0))*AG22,0)</f>
        <v>18845.188801374748</v>
      </c>
      <c r="AE22" s="44">
        <f>IFERROR(INDEX('Detalle Costos'!$Y$5:$Y$158,MATCH(Resumen!AA22,'Detalle Costos'!$C$5:$C$158,0))*AG22,0)</f>
        <v>1002.5162251181431</v>
      </c>
      <c r="AF22" s="44">
        <f>IFERROR(INDEX('Detalle Costos'!$AA$5:$AA$158,MATCH(Resumen!AA22,'Detalle Costos'!$C$5:$C$158,0))*AG22,0)</f>
        <v>17110.604868967483</v>
      </c>
      <c r="AG22" s="44">
        <f t="shared" si="9"/>
        <v>94002.266618931608</v>
      </c>
      <c r="AH22" s="26">
        <f>+G22</f>
        <v>54</v>
      </c>
      <c r="AI22" s="44">
        <f>1.7407827151654*1000</f>
        <v>1740.7827151654001</v>
      </c>
      <c r="AJ22" s="44">
        <f>+AI22*AH22</f>
        <v>94002.266618931608</v>
      </c>
      <c r="AK22" s="45">
        <f t="shared" si="11"/>
        <v>-4902.2666189316078</v>
      </c>
      <c r="AL22" s="94">
        <f t="shared" si="12"/>
        <v>-5.5019827372969787E-2</v>
      </c>
      <c r="AM22" s="44">
        <f t="shared" si="13"/>
        <v>6212</v>
      </c>
      <c r="AN22" s="44">
        <f t="shared" si="3"/>
        <v>3115.3846153846152</v>
      </c>
      <c r="AO22" s="44">
        <f t="shared" si="14"/>
        <v>9327.3846153846152</v>
      </c>
      <c r="AP22" s="44">
        <f t="shared" si="41"/>
        <v>2167.2030838891269</v>
      </c>
      <c r="AQ22" s="44">
        <f t="shared" si="15"/>
        <v>2486.64</v>
      </c>
      <c r="AR22" s="45">
        <f t="shared" si="16"/>
        <v>-13910.214318205351</v>
      </c>
      <c r="AS22" s="94">
        <f t="shared" si="17"/>
        <v>-0.15611912815045287</v>
      </c>
      <c r="AT22" s="44">
        <f t="shared" si="42"/>
        <v>4906.6217952640282</v>
      </c>
      <c r="AU22" s="45">
        <f t="shared" si="18"/>
        <v>-18816.836113469381</v>
      </c>
      <c r="AV22" s="94">
        <f t="shared" si="19"/>
        <v>-0.21118783516800652</v>
      </c>
      <c r="AW22" s="44">
        <f t="shared" si="43"/>
        <v>4102.5312978033417</v>
      </c>
      <c r="AX22" s="45">
        <f t="shared" si="20"/>
        <v>-9807.6830204020098</v>
      </c>
      <c r="AY22" s="94">
        <f t="shared" si="21"/>
        <v>-0.11007500584065107</v>
      </c>
      <c r="BA22" s="44">
        <f t="shared" si="22"/>
        <v>1650</v>
      </c>
      <c r="BB22" s="44">
        <f t="shared" si="23"/>
        <v>-1056.369568953171</v>
      </c>
      <c r="BC22" s="44">
        <f t="shared" si="24"/>
        <v>-348.98497780323606</v>
      </c>
      <c r="BD22" s="44">
        <f t="shared" si="25"/>
        <v>-18.565115279965614</v>
      </c>
      <c r="BE22" s="44">
        <f t="shared" si="26"/>
        <v>-316.86305312902743</v>
      </c>
      <c r="BF22" s="44">
        <f t="shared" si="27"/>
        <v>-1740.7827151654001</v>
      </c>
      <c r="BG22" s="44">
        <f t="shared" si="28"/>
        <v>-90.782715165400148</v>
      </c>
      <c r="BH22" s="44">
        <f t="shared" si="29"/>
        <v>-115.03703703703704</v>
      </c>
      <c r="BI22" s="44">
        <f t="shared" si="30"/>
        <v>-57.692307692307686</v>
      </c>
      <c r="BJ22" s="44">
        <f t="shared" si="31"/>
        <v>-172.72934472934472</v>
      </c>
      <c r="BK22" s="44">
        <f t="shared" si="32"/>
        <v>-40.133390442391239</v>
      </c>
      <c r="BL22" s="44">
        <f t="shared" si="33"/>
        <v>46.048888888888889</v>
      </c>
      <c r="BM22" s="44">
        <f t="shared" si="34"/>
        <v>-257.59656144824726</v>
      </c>
      <c r="BN22" s="44">
        <f t="shared" si="35"/>
        <v>-90.863366578963479</v>
      </c>
      <c r="BO22" s="44">
        <f t="shared" si="36"/>
        <v>-348.45992802721076</v>
      </c>
      <c r="BP22" s="44">
        <f t="shared" si="37"/>
        <v>75.972801811172999</v>
      </c>
      <c r="BQ22" s="44">
        <f t="shared" si="38"/>
        <v>-181.62375963707424</v>
      </c>
    </row>
    <row r="23" spans="2:69" hidden="1">
      <c r="B23" s="4" t="s">
        <v>7</v>
      </c>
      <c r="C23" s="27" t="str">
        <f t="shared" si="0"/>
        <v>FEBRERO</v>
      </c>
      <c r="D23" s="25" t="s">
        <v>186</v>
      </c>
      <c r="E23" s="100">
        <v>27</v>
      </c>
      <c r="F23" s="100">
        <v>46071</v>
      </c>
      <c r="G23" s="103">
        <v>81</v>
      </c>
      <c r="H23" s="102" t="s">
        <v>33</v>
      </c>
      <c r="I23" s="27" t="s">
        <v>135</v>
      </c>
      <c r="J23" s="19" t="s">
        <v>182</v>
      </c>
      <c r="K23" s="7" t="s">
        <v>174</v>
      </c>
      <c r="L23" s="7" t="s">
        <v>175</v>
      </c>
      <c r="M23" s="21" t="s">
        <v>54</v>
      </c>
      <c r="N23" s="7"/>
      <c r="O23" s="20">
        <v>1650</v>
      </c>
      <c r="P23" s="61">
        <v>133650</v>
      </c>
      <c r="Q23" s="20">
        <v>1534.962962962963</v>
      </c>
      <c r="R23" s="30">
        <v>9318</v>
      </c>
      <c r="S23" s="32">
        <f t="shared" si="1"/>
        <v>124332</v>
      </c>
      <c r="T23" s="60">
        <v>3</v>
      </c>
      <c r="U23" s="171" t="s">
        <v>187</v>
      </c>
      <c r="V23" s="172" t="s">
        <v>188</v>
      </c>
      <c r="W23" s="4" t="s">
        <v>185</v>
      </c>
      <c r="X23" s="4" t="s">
        <v>116</v>
      </c>
      <c r="Y23" s="7">
        <v>10005721</v>
      </c>
      <c r="Z23" s="7" t="s">
        <v>117</v>
      </c>
      <c r="AA23" s="7" t="str">
        <f t="shared" si="44"/>
        <v>FEBRERO10005721Compensación</v>
      </c>
      <c r="AB23" s="26">
        <f>INDEX('Detalle Costos'!$L$5:$L$158,MATCH(Resumen!AA23,'Detalle Costos'!$C$5:$C$158,0))*1000*0+AI23</f>
        <v>1740.7827151654001</v>
      </c>
      <c r="AC23" s="44">
        <f>IFERROR(INDEX('Detalle Costos'!$X$5:$X$158,MATCH(Resumen!AA23,'Detalle Costos'!$C$5:$C$158,0))*AG23,0)</f>
        <v>85565.935085206846</v>
      </c>
      <c r="AD23" s="44">
        <f>IFERROR(INDEX('Detalle Costos'!$Z$5:$Z$158,MATCH(Resumen!AA23,'Detalle Costos'!$C$5:$C$158,0))*AG23,0)</f>
        <v>28267.783202062124</v>
      </c>
      <c r="AE23" s="44">
        <f>IFERROR(INDEX('Detalle Costos'!$Y$5:$Y$158,MATCH(Resumen!AA23,'Detalle Costos'!$C$5:$C$158,0))*AG23,0)</f>
        <v>1503.7743376772146</v>
      </c>
      <c r="AF23" s="44">
        <f>IFERROR(INDEX('Detalle Costos'!$AA$5:$AA$158,MATCH(Resumen!AA23,'Detalle Costos'!$C$5:$C$158,0))*AG23,0)</f>
        <v>25665.907303451222</v>
      </c>
      <c r="AG23" s="44">
        <f t="shared" si="9"/>
        <v>141003.39992839741</v>
      </c>
      <c r="AH23" s="26">
        <f>+G23</f>
        <v>81</v>
      </c>
      <c r="AI23" s="44">
        <f>1.7407827151654*1000</f>
        <v>1740.7827151654001</v>
      </c>
      <c r="AJ23" s="44">
        <f>+AI23*AH23</f>
        <v>141003.39992839741</v>
      </c>
      <c r="AK23" s="45">
        <f t="shared" si="11"/>
        <v>-7353.3999283974117</v>
      </c>
      <c r="AL23" s="94">
        <f t="shared" si="12"/>
        <v>-5.5019827372969787E-2</v>
      </c>
      <c r="AM23" s="44">
        <f t="shared" si="13"/>
        <v>9318</v>
      </c>
      <c r="AN23" s="44">
        <f t="shared" si="3"/>
        <v>4673.0769230769229</v>
      </c>
      <c r="AO23" s="44">
        <f t="shared" si="14"/>
        <v>13991.076923076922</v>
      </c>
      <c r="AP23" s="44">
        <f t="shared" si="41"/>
        <v>3250.8046258336904</v>
      </c>
      <c r="AQ23" s="44">
        <f t="shared" si="15"/>
        <v>3729.96</v>
      </c>
      <c r="AR23" s="45">
        <f t="shared" si="16"/>
        <v>-20865.321477308025</v>
      </c>
      <c r="AS23" s="94">
        <f t="shared" si="17"/>
        <v>-0.15611912815045287</v>
      </c>
      <c r="AT23" s="44">
        <f t="shared" si="42"/>
        <v>7359.9326928960418</v>
      </c>
      <c r="AU23" s="45">
        <f t="shared" si="18"/>
        <v>-28225.254170204069</v>
      </c>
      <c r="AV23" s="94">
        <f t="shared" si="19"/>
        <v>-0.21118783516800649</v>
      </c>
      <c r="AW23" s="44">
        <f t="shared" si="43"/>
        <v>6153.7969467050116</v>
      </c>
      <c r="AX23" s="45">
        <f t="shared" si="20"/>
        <v>-14711.524530603014</v>
      </c>
      <c r="AY23" s="94">
        <f t="shared" si="21"/>
        <v>-0.11007500584065105</v>
      </c>
      <c r="BA23" s="44">
        <f t="shared" si="22"/>
        <v>1650</v>
      </c>
      <c r="BB23" s="44">
        <f t="shared" si="23"/>
        <v>-1056.369568953171</v>
      </c>
      <c r="BC23" s="44">
        <f t="shared" si="24"/>
        <v>-348.98497780323612</v>
      </c>
      <c r="BD23" s="44">
        <f t="shared" si="25"/>
        <v>-18.565115279965614</v>
      </c>
      <c r="BE23" s="44">
        <f t="shared" si="26"/>
        <v>-316.86305312902743</v>
      </c>
      <c r="BF23" s="44">
        <f t="shared" si="27"/>
        <v>-1740.7827151654001</v>
      </c>
      <c r="BG23" s="44">
        <f t="shared" si="28"/>
        <v>-90.782715165400148</v>
      </c>
      <c r="BH23" s="44">
        <f t="shared" si="29"/>
        <v>-115.03703703703704</v>
      </c>
      <c r="BI23" s="44">
        <f t="shared" si="30"/>
        <v>-57.692307692307686</v>
      </c>
      <c r="BJ23" s="44">
        <f t="shared" si="31"/>
        <v>-172.72934472934472</v>
      </c>
      <c r="BK23" s="44">
        <f t="shared" si="32"/>
        <v>-40.133390442391239</v>
      </c>
      <c r="BL23" s="44">
        <f t="shared" si="33"/>
        <v>46.048888888888889</v>
      </c>
      <c r="BM23" s="44">
        <f t="shared" si="34"/>
        <v>-257.5965614482472</v>
      </c>
      <c r="BN23" s="44">
        <f t="shared" si="35"/>
        <v>-90.863366578963479</v>
      </c>
      <c r="BO23" s="44">
        <f t="shared" si="36"/>
        <v>-348.45992802721071</v>
      </c>
      <c r="BP23" s="44">
        <f t="shared" si="37"/>
        <v>75.972801811172985</v>
      </c>
      <c r="BQ23" s="44">
        <f t="shared" si="38"/>
        <v>-181.62375963707424</v>
      </c>
    </row>
    <row r="24" spans="2:69" hidden="1">
      <c r="B24" s="4" t="s">
        <v>7</v>
      </c>
      <c r="C24" s="27" t="str">
        <f t="shared" si="0"/>
        <v>FEBRERO</v>
      </c>
      <c r="D24" s="25" t="s">
        <v>189</v>
      </c>
      <c r="E24" s="100">
        <v>28</v>
      </c>
      <c r="F24" s="100">
        <v>46066</v>
      </c>
      <c r="G24" s="101">
        <v>24</v>
      </c>
      <c r="H24" s="102" t="s">
        <v>38</v>
      </c>
      <c r="I24" s="27" t="s">
        <v>129</v>
      </c>
      <c r="J24" s="19"/>
      <c r="K24" s="7" t="s">
        <v>130</v>
      </c>
      <c r="L24" s="7" t="s">
        <v>122</v>
      </c>
      <c r="M24" s="21" t="s">
        <v>46</v>
      </c>
      <c r="N24" s="7" t="s">
        <v>132</v>
      </c>
      <c r="O24" s="20">
        <v>2000</v>
      </c>
      <c r="P24" s="61">
        <v>48000</v>
      </c>
      <c r="Q24" s="20">
        <v>1854.1666666666667</v>
      </c>
      <c r="R24" s="30">
        <v>3500</v>
      </c>
      <c r="S24" s="32">
        <f t="shared" si="1"/>
        <v>44500</v>
      </c>
      <c r="T24" s="26">
        <v>1</v>
      </c>
      <c r="U24" s="44" t="s">
        <v>190</v>
      </c>
      <c r="V24" s="44">
        <v>6445030580</v>
      </c>
      <c r="W24" s="44" t="s">
        <v>125</v>
      </c>
      <c r="X24" s="44" t="s">
        <v>116</v>
      </c>
      <c r="Y24" s="7">
        <v>10007969</v>
      </c>
      <c r="Z24" s="7" t="s">
        <v>117</v>
      </c>
      <c r="AA24" s="7" t="str">
        <f t="shared" si="44"/>
        <v>FEBRERO10007969Compensación</v>
      </c>
      <c r="AB24" s="26">
        <f>INDEX('Detalle Costos'!$L$5:$L$158,MATCH(Resumen!AA24,'Detalle Costos'!$C$5:$C$158,0))*1000*0+AI24</f>
        <v>1397.2773083886541</v>
      </c>
      <c r="AC24" s="111">
        <f>IFERROR(INDEX('Detalle Costos'!$X$5:$X$158,MATCH(Resumen!AA24,'Detalle Costos'!$C$5:$C$158,0))*AG24,0)</f>
        <v>27124.395896197944</v>
      </c>
      <c r="AD24" s="111">
        <f>IFERROR(INDEX('Detalle Costos'!$Z$5:$Z$158,MATCH(Resumen!AA24,'Detalle Costos'!$C$5:$C$158,0))*AG24,0)</f>
        <v>5105.9167169583588</v>
      </c>
      <c r="AE24" s="111">
        <f>IFERROR(INDEX('Detalle Costos'!$Y$5:$Y$158,MATCH(Resumen!AA24,'Detalle Costos'!$C$5:$C$158,0))*AG24,0)</f>
        <v>400.3958961979481</v>
      </c>
      <c r="AF24" s="111">
        <f>IFERROR(INDEX('Detalle Costos'!$AA$5:$AA$158,MATCH(Resumen!AA24,'Detalle Costos'!$C$5:$C$158,0))*AG24,0)</f>
        <v>903.94689197344962</v>
      </c>
      <c r="AG24" s="44">
        <f t="shared" si="9"/>
        <v>33534.655401327698</v>
      </c>
      <c r="AH24" s="26">
        <v>23.14</v>
      </c>
      <c r="AI24" s="44">
        <v>1397.2773083886541</v>
      </c>
      <c r="AJ24" s="44">
        <f t="shared" ref="AJ24:AJ29" si="45">+AI24*AH24</f>
        <v>32332.996916113458</v>
      </c>
      <c r="AK24" s="45">
        <f t="shared" si="11"/>
        <v>14465.344598672302</v>
      </c>
      <c r="AL24" s="94">
        <f t="shared" si="12"/>
        <v>0.30136134580567298</v>
      </c>
      <c r="AM24" s="44">
        <f t="shared" si="13"/>
        <v>3500</v>
      </c>
      <c r="AN24" s="44">
        <f t="shared" si="3"/>
        <v>1384.6153846153848</v>
      </c>
      <c r="AO24" s="44">
        <f t="shared" si="14"/>
        <v>4884.6153846153848</v>
      </c>
      <c r="AP24" s="44">
        <f t="shared" si="41"/>
        <v>963.20137061738978</v>
      </c>
      <c r="AQ24" s="44">
        <f t="shared" si="15"/>
        <v>1335</v>
      </c>
      <c r="AR24" s="45">
        <f t="shared" si="16"/>
        <v>9952.5278434395277</v>
      </c>
      <c r="AS24" s="94">
        <f t="shared" si="17"/>
        <v>0.20734433007165684</v>
      </c>
      <c r="AT24" s="44">
        <f t="shared" si="42"/>
        <v>2180.7207978951237</v>
      </c>
      <c r="AU24" s="45">
        <f t="shared" si="18"/>
        <v>7771.807045544404</v>
      </c>
      <c r="AV24" s="94">
        <f t="shared" si="19"/>
        <v>0.1619126467821751</v>
      </c>
      <c r="AW24" s="44">
        <f t="shared" si="43"/>
        <v>1823.3472434681516</v>
      </c>
      <c r="AX24" s="45">
        <f t="shared" si="20"/>
        <v>11775.875086907679</v>
      </c>
      <c r="AY24" s="94">
        <f t="shared" si="21"/>
        <v>0.24533073097724331</v>
      </c>
      <c r="BA24" s="44">
        <f t="shared" si="22"/>
        <v>2000</v>
      </c>
      <c r="BB24" s="44">
        <f t="shared" si="23"/>
        <v>-1130.183162341581</v>
      </c>
      <c r="BC24" s="44">
        <f t="shared" si="24"/>
        <v>-212.74652987326496</v>
      </c>
      <c r="BD24" s="44">
        <f t="shared" si="25"/>
        <v>-16.68316234158117</v>
      </c>
      <c r="BE24" s="44">
        <f t="shared" si="26"/>
        <v>-37.664453832227068</v>
      </c>
      <c r="BF24" s="44">
        <f t="shared" si="27"/>
        <v>-1397.2773083886541</v>
      </c>
      <c r="BG24" s="44">
        <f t="shared" si="28"/>
        <v>602.72269161134591</v>
      </c>
      <c r="BH24" s="44">
        <f t="shared" si="29"/>
        <v>-145.83333333333334</v>
      </c>
      <c r="BI24" s="44">
        <f t="shared" si="30"/>
        <v>-57.692307692307701</v>
      </c>
      <c r="BJ24" s="44">
        <f t="shared" si="31"/>
        <v>-203.52564102564102</v>
      </c>
      <c r="BK24" s="44">
        <f t="shared" si="32"/>
        <v>-40.133390442391239</v>
      </c>
      <c r="BL24" s="44">
        <f t="shared" si="33"/>
        <v>55.625</v>
      </c>
      <c r="BM24" s="44">
        <f t="shared" si="34"/>
        <v>414.68866014331365</v>
      </c>
      <c r="BN24" s="44">
        <f t="shared" si="35"/>
        <v>-90.863366578963493</v>
      </c>
      <c r="BO24" s="44">
        <f t="shared" si="36"/>
        <v>323.82529356435015</v>
      </c>
      <c r="BP24" s="44">
        <f t="shared" si="37"/>
        <v>75.972801811172985</v>
      </c>
      <c r="BQ24" s="44">
        <f t="shared" si="38"/>
        <v>490.66146195448664</v>
      </c>
    </row>
    <row r="25" spans="2:69" hidden="1">
      <c r="B25" s="4" t="s">
        <v>7</v>
      </c>
      <c r="C25" s="27" t="str">
        <f t="shared" si="0"/>
        <v>FEBRERO</v>
      </c>
      <c r="D25" s="27" t="s">
        <v>191</v>
      </c>
      <c r="E25" s="100">
        <v>30</v>
      </c>
      <c r="F25" s="100">
        <v>46066</v>
      </c>
      <c r="G25" s="101">
        <v>108</v>
      </c>
      <c r="H25" s="102" t="s">
        <v>32</v>
      </c>
      <c r="I25" s="27" t="s">
        <v>158</v>
      </c>
      <c r="J25" s="19"/>
      <c r="K25" s="7" t="s">
        <v>174</v>
      </c>
      <c r="L25" s="7" t="s">
        <v>175</v>
      </c>
      <c r="M25" s="21" t="s">
        <v>46</v>
      </c>
      <c r="N25" s="7" t="s">
        <v>132</v>
      </c>
      <c r="O25" s="20">
        <v>1600</v>
      </c>
      <c r="P25" s="61">
        <v>172800</v>
      </c>
      <c r="Q25" s="20">
        <v>1492.5925925925926</v>
      </c>
      <c r="R25" s="30">
        <v>11600</v>
      </c>
      <c r="S25" s="32">
        <f t="shared" si="1"/>
        <v>161200</v>
      </c>
      <c r="T25" s="60">
        <v>4</v>
      </c>
      <c r="U25" s="7" t="s">
        <v>190</v>
      </c>
      <c r="V25" s="7">
        <v>6445031110</v>
      </c>
      <c r="W25" s="4" t="s">
        <v>125</v>
      </c>
      <c r="X25" s="4" t="s">
        <v>116</v>
      </c>
      <c r="Y25" s="7">
        <v>10006720</v>
      </c>
      <c r="Z25" s="7" t="s">
        <v>117</v>
      </c>
      <c r="AA25" s="7" t="str">
        <f t="shared" si="44"/>
        <v>FEBRERO10006720Compensación</v>
      </c>
      <c r="AB25" s="26">
        <f>INDEX('Detalle Costos'!$L$5:$L$158,MATCH(Resumen!AA25,'Detalle Costos'!$C$5:$C$158,0))*1000*0+AI25</f>
        <v>1639.7681689527499</v>
      </c>
      <c r="AC25" s="44">
        <f>IFERROR(INDEX('Detalle Costos'!$X$5:$X$158,MATCH(Resumen!AA25,'Detalle Costos'!$C$5:$C$158,0))*AG25,0)</f>
        <v>114801.79673416038</v>
      </c>
      <c r="AD25" s="44">
        <f>IFERROR(INDEX('Detalle Costos'!$Z$5:$Z$158,MATCH(Resumen!AA25,'Detalle Costos'!$C$5:$C$158,0))*AG25,0)</f>
        <v>26268.81436969294</v>
      </c>
      <c r="AE25" s="44">
        <f>IFERROR(INDEX('Detalle Costos'!$Y$5:$Y$158,MATCH(Resumen!AA25,'Detalle Costos'!$C$5:$C$158,0))*AG25,0)</f>
        <v>1720.5907250163245</v>
      </c>
      <c r="AF25" s="44">
        <f>IFERROR(INDEX('Detalle Costos'!$AA$5:$AA$158,MATCH(Resumen!AA25,'Detalle Costos'!$C$5:$C$158,0))*AG25,0)</f>
        <v>34303.760418027356</v>
      </c>
      <c r="AG25" s="44">
        <f t="shared" si="9"/>
        <v>177094.96224689699</v>
      </c>
      <c r="AH25" s="26">
        <f>+G25</f>
        <v>108</v>
      </c>
      <c r="AI25" s="44">
        <f>1.63976816895275*1000</f>
        <v>1639.7681689527499</v>
      </c>
      <c r="AJ25" s="44">
        <f t="shared" si="45"/>
        <v>177094.96224689699</v>
      </c>
      <c r="AK25" s="45">
        <f t="shared" si="11"/>
        <v>-4294.9622468969901</v>
      </c>
      <c r="AL25" s="94">
        <f t="shared" si="12"/>
        <v>-2.4855105595468694E-2</v>
      </c>
      <c r="AM25" s="44">
        <f t="shared" si="13"/>
        <v>11600</v>
      </c>
      <c r="AN25" s="44">
        <f t="shared" si="3"/>
        <v>6230.7692307692305</v>
      </c>
      <c r="AO25" s="44">
        <f t="shared" si="14"/>
        <v>17830.76923076923</v>
      </c>
      <c r="AP25" s="44">
        <f t="shared" si="41"/>
        <v>4334.4061677782538</v>
      </c>
      <c r="AQ25" s="44">
        <f t="shared" si="15"/>
        <v>4836</v>
      </c>
      <c r="AR25" s="45">
        <f t="shared" si="16"/>
        <v>-21624.137645444476</v>
      </c>
      <c r="AS25" s="94">
        <f t="shared" si="17"/>
        <v>-0.12513968544817405</v>
      </c>
      <c r="AT25" s="44">
        <f t="shared" si="42"/>
        <v>9813.2435905280563</v>
      </c>
      <c r="AU25" s="45">
        <f t="shared" si="18"/>
        <v>-31437.381235972534</v>
      </c>
      <c r="AV25" s="94">
        <f t="shared" si="19"/>
        <v>-0.18192928956002624</v>
      </c>
      <c r="AW25" s="44">
        <f t="shared" si="43"/>
        <v>8205.0625956066833</v>
      </c>
      <c r="AX25" s="45">
        <f t="shared" si="20"/>
        <v>-13419.075049837793</v>
      </c>
      <c r="AY25" s="94">
        <f t="shared" si="21"/>
        <v>-7.7656684316190924E-2</v>
      </c>
      <c r="BA25" s="44">
        <f t="shared" si="22"/>
        <v>1600</v>
      </c>
      <c r="BB25" s="44">
        <f t="shared" si="23"/>
        <v>-1062.9795993903738</v>
      </c>
      <c r="BC25" s="44">
        <f t="shared" si="24"/>
        <v>-243.22976268234203</v>
      </c>
      <c r="BD25" s="44">
        <f t="shared" si="25"/>
        <v>-15.931395602003006</v>
      </c>
      <c r="BE25" s="44">
        <f t="shared" si="26"/>
        <v>-317.62741127803105</v>
      </c>
      <c r="BF25" s="44">
        <f t="shared" si="27"/>
        <v>-1639.7681689527499</v>
      </c>
      <c r="BG25" s="44">
        <f t="shared" si="28"/>
        <v>-39.76816895274991</v>
      </c>
      <c r="BH25" s="44">
        <f t="shared" si="29"/>
        <v>-107.4074074074074</v>
      </c>
      <c r="BI25" s="44">
        <f t="shared" si="30"/>
        <v>-57.692307692307686</v>
      </c>
      <c r="BJ25" s="44">
        <f t="shared" si="31"/>
        <v>-165.0997150997151</v>
      </c>
      <c r="BK25" s="44">
        <f t="shared" si="32"/>
        <v>-40.133390442391239</v>
      </c>
      <c r="BL25" s="44">
        <f t="shared" si="33"/>
        <v>44.777777777777779</v>
      </c>
      <c r="BM25" s="44">
        <f t="shared" si="34"/>
        <v>-200.22349671707849</v>
      </c>
      <c r="BN25" s="44">
        <f t="shared" si="35"/>
        <v>-90.863366578963479</v>
      </c>
      <c r="BO25" s="44">
        <f t="shared" si="36"/>
        <v>-291.086863296042</v>
      </c>
      <c r="BP25" s="44">
        <f t="shared" si="37"/>
        <v>75.972801811172999</v>
      </c>
      <c r="BQ25" s="44">
        <f t="shared" si="38"/>
        <v>-124.25069490590549</v>
      </c>
    </row>
    <row r="26" spans="2:69" hidden="1">
      <c r="B26" s="4" t="s">
        <v>7</v>
      </c>
      <c r="C26" s="27" t="str">
        <f t="shared" si="0"/>
        <v>FEBRERO</v>
      </c>
      <c r="D26" s="27" t="s">
        <v>191</v>
      </c>
      <c r="E26" s="100">
        <v>30</v>
      </c>
      <c r="F26" s="100">
        <v>46066</v>
      </c>
      <c r="G26" s="101">
        <v>108</v>
      </c>
      <c r="H26" s="102" t="s">
        <v>32</v>
      </c>
      <c r="I26" s="27" t="s">
        <v>158</v>
      </c>
      <c r="J26" s="19"/>
      <c r="K26" s="7" t="s">
        <v>174</v>
      </c>
      <c r="L26" s="7" t="s">
        <v>175</v>
      </c>
      <c r="M26" s="21" t="s">
        <v>46</v>
      </c>
      <c r="N26" s="7" t="s">
        <v>132</v>
      </c>
      <c r="O26" s="20">
        <v>1600</v>
      </c>
      <c r="P26" s="61">
        <v>172800</v>
      </c>
      <c r="Q26" s="20">
        <v>1492.5925925925926</v>
      </c>
      <c r="R26" s="30">
        <v>11600</v>
      </c>
      <c r="S26" s="32">
        <f t="shared" si="1"/>
        <v>161200</v>
      </c>
      <c r="T26" s="60">
        <v>4</v>
      </c>
      <c r="U26" s="7" t="s">
        <v>190</v>
      </c>
      <c r="V26" s="7">
        <v>6445031130</v>
      </c>
      <c r="W26" s="4" t="s">
        <v>125</v>
      </c>
      <c r="X26" s="4" t="s">
        <v>116</v>
      </c>
      <c r="Y26" s="7">
        <v>10006720</v>
      </c>
      <c r="Z26" s="7" t="s">
        <v>117</v>
      </c>
      <c r="AA26" s="7" t="str">
        <f t="shared" si="44"/>
        <v>FEBRERO10006720Compensación</v>
      </c>
      <c r="AB26" s="26">
        <f>INDEX('Detalle Costos'!$L$5:$L$158,MATCH(Resumen!AA26,'Detalle Costos'!$C$5:$C$158,0))*1000*0+AI26</f>
        <v>1639.7681689527499</v>
      </c>
      <c r="AC26" s="44">
        <f>IFERROR(INDEX('Detalle Costos'!$X$5:$X$158,MATCH(Resumen!AA26,'Detalle Costos'!$C$5:$C$158,0))*AG26,0)</f>
        <v>114801.79673416038</v>
      </c>
      <c r="AD26" s="44">
        <f>IFERROR(INDEX('Detalle Costos'!$Z$5:$Z$158,MATCH(Resumen!AA26,'Detalle Costos'!$C$5:$C$158,0))*AG26,0)</f>
        <v>26268.81436969294</v>
      </c>
      <c r="AE26" s="44">
        <f>IFERROR(INDEX('Detalle Costos'!$Y$5:$Y$158,MATCH(Resumen!AA26,'Detalle Costos'!$C$5:$C$158,0))*AG26,0)</f>
        <v>1720.5907250163245</v>
      </c>
      <c r="AF26" s="44">
        <f>IFERROR(INDEX('Detalle Costos'!$AA$5:$AA$158,MATCH(Resumen!AA26,'Detalle Costos'!$C$5:$C$158,0))*AG26,0)</f>
        <v>34303.760418027356</v>
      </c>
      <c r="AG26" s="44">
        <f t="shared" si="9"/>
        <v>177094.96224689699</v>
      </c>
      <c r="AH26" s="26">
        <f>+G26</f>
        <v>108</v>
      </c>
      <c r="AI26" s="44">
        <f>1.63976816895275*1000</f>
        <v>1639.7681689527499</v>
      </c>
      <c r="AJ26" s="44">
        <f t="shared" si="45"/>
        <v>177094.96224689699</v>
      </c>
      <c r="AK26" s="45">
        <f t="shared" si="11"/>
        <v>-4294.9622468969901</v>
      </c>
      <c r="AL26" s="94">
        <f t="shared" si="12"/>
        <v>-2.4855105595468694E-2</v>
      </c>
      <c r="AM26" s="44">
        <f t="shared" si="13"/>
        <v>11600</v>
      </c>
      <c r="AN26" s="44">
        <f t="shared" si="3"/>
        <v>6230.7692307692305</v>
      </c>
      <c r="AO26" s="44">
        <f t="shared" si="14"/>
        <v>17830.76923076923</v>
      </c>
      <c r="AP26" s="44">
        <f t="shared" si="41"/>
        <v>4334.4061677782538</v>
      </c>
      <c r="AQ26" s="44">
        <f t="shared" si="15"/>
        <v>4836</v>
      </c>
      <c r="AR26" s="45">
        <f t="shared" si="16"/>
        <v>-21624.137645444476</v>
      </c>
      <c r="AS26" s="94">
        <f t="shared" si="17"/>
        <v>-0.12513968544817405</v>
      </c>
      <c r="AT26" s="44">
        <f t="shared" si="42"/>
        <v>9813.2435905280563</v>
      </c>
      <c r="AU26" s="45">
        <f t="shared" si="18"/>
        <v>-31437.381235972534</v>
      </c>
      <c r="AV26" s="94">
        <f t="shared" si="19"/>
        <v>-0.18192928956002624</v>
      </c>
      <c r="AW26" s="44">
        <f t="shared" si="43"/>
        <v>8205.0625956066833</v>
      </c>
      <c r="AX26" s="45">
        <f t="shared" si="20"/>
        <v>-13419.075049837793</v>
      </c>
      <c r="AY26" s="94">
        <f t="shared" si="21"/>
        <v>-7.7656684316190924E-2</v>
      </c>
      <c r="BA26" s="44">
        <f t="shared" si="22"/>
        <v>1600</v>
      </c>
      <c r="BB26" s="44">
        <f t="shared" si="23"/>
        <v>-1062.9795993903738</v>
      </c>
      <c r="BC26" s="44">
        <f t="shared" si="24"/>
        <v>-243.22976268234203</v>
      </c>
      <c r="BD26" s="44">
        <f t="shared" si="25"/>
        <v>-15.931395602003006</v>
      </c>
      <c r="BE26" s="44">
        <f t="shared" si="26"/>
        <v>-317.62741127803105</v>
      </c>
      <c r="BF26" s="44">
        <f t="shared" si="27"/>
        <v>-1639.7681689527499</v>
      </c>
      <c r="BG26" s="44">
        <f t="shared" si="28"/>
        <v>-39.76816895274991</v>
      </c>
      <c r="BH26" s="44">
        <f t="shared" si="29"/>
        <v>-107.4074074074074</v>
      </c>
      <c r="BI26" s="44">
        <f t="shared" si="30"/>
        <v>-57.692307692307686</v>
      </c>
      <c r="BJ26" s="44">
        <f t="shared" si="31"/>
        <v>-165.0997150997151</v>
      </c>
      <c r="BK26" s="44">
        <f t="shared" si="32"/>
        <v>-40.133390442391239</v>
      </c>
      <c r="BL26" s="44">
        <f t="shared" si="33"/>
        <v>44.777777777777779</v>
      </c>
      <c r="BM26" s="44">
        <f t="shared" si="34"/>
        <v>-200.22349671707849</v>
      </c>
      <c r="BN26" s="44">
        <f t="shared" si="35"/>
        <v>-90.863366578963479</v>
      </c>
      <c r="BO26" s="44">
        <f t="shared" si="36"/>
        <v>-291.086863296042</v>
      </c>
      <c r="BP26" s="44">
        <f t="shared" si="37"/>
        <v>75.972801811172999</v>
      </c>
      <c r="BQ26" s="44">
        <f t="shared" si="38"/>
        <v>-124.25069490590549</v>
      </c>
    </row>
    <row r="27" spans="2:69" hidden="1">
      <c r="B27" s="4" t="s">
        <v>7</v>
      </c>
      <c r="C27" s="27" t="str">
        <f t="shared" si="0"/>
        <v>FEBRERO</v>
      </c>
      <c r="D27" s="27" t="s">
        <v>192</v>
      </c>
      <c r="E27" s="100">
        <v>34</v>
      </c>
      <c r="F27" s="100">
        <v>46070</v>
      </c>
      <c r="G27" s="101">
        <v>115.5</v>
      </c>
      <c r="H27" s="102" t="s">
        <v>32</v>
      </c>
      <c r="I27" s="27" t="s">
        <v>158</v>
      </c>
      <c r="J27" s="4" t="s">
        <v>193</v>
      </c>
      <c r="K27" s="7" t="s">
        <v>174</v>
      </c>
      <c r="L27" s="7" t="s">
        <v>175</v>
      </c>
      <c r="M27" s="21" t="s">
        <v>48</v>
      </c>
      <c r="N27" s="7" t="s">
        <v>194</v>
      </c>
      <c r="O27" s="20">
        <v>1500</v>
      </c>
      <c r="P27" s="61">
        <v>173250</v>
      </c>
      <c r="Q27" s="20">
        <v>1382.987012987013</v>
      </c>
      <c r="R27" s="30">
        <v>13515</v>
      </c>
      <c r="S27" s="32">
        <f t="shared" si="1"/>
        <v>159735</v>
      </c>
      <c r="T27" s="60">
        <v>5</v>
      </c>
      <c r="U27" s="7" t="s">
        <v>195</v>
      </c>
      <c r="V27" s="7" t="s">
        <v>196</v>
      </c>
      <c r="W27" s="4" t="s">
        <v>141</v>
      </c>
      <c r="X27" s="4" t="s">
        <v>116</v>
      </c>
      <c r="Y27" s="7">
        <v>10006720</v>
      </c>
      <c r="Z27" s="7" t="s">
        <v>117</v>
      </c>
      <c r="AA27" s="7" t="str">
        <f t="shared" si="44"/>
        <v>FEBRERO10006720Compensación</v>
      </c>
      <c r="AB27" s="26">
        <f>INDEX('Detalle Costos'!$L$5:$L$158,MATCH(Resumen!AA27,'Detalle Costos'!$C$5:$C$158,0))*1000*0+AI27</f>
        <v>1639.7681689527499</v>
      </c>
      <c r="AC27" s="44">
        <f>IFERROR(INDEX('Detalle Costos'!$X$5:$X$158,MATCH(Resumen!AA27,'Detalle Costos'!$C$5:$C$158,0))*AG27,0)</f>
        <v>122774.14372958818</v>
      </c>
      <c r="AD27" s="44">
        <f>IFERROR(INDEX('Detalle Costos'!$Z$5:$Z$158,MATCH(Resumen!AA27,'Detalle Costos'!$C$5:$C$158,0))*AG27,0)</f>
        <v>28093.037589810505</v>
      </c>
      <c r="AE27" s="44">
        <f>IFERROR(INDEX('Detalle Costos'!$Y$5:$Y$158,MATCH(Resumen!AA27,'Detalle Costos'!$C$5:$C$158,0))*AG27,0)</f>
        <v>1840.0761920313471</v>
      </c>
      <c r="AF27" s="44">
        <f>IFERROR(INDEX('Detalle Costos'!$AA$5:$AA$158,MATCH(Resumen!AA27,'Detalle Costos'!$C$5:$C$158,0))*AG27,0)</f>
        <v>36685.966002612593</v>
      </c>
      <c r="AG27" s="44">
        <f t="shared" si="9"/>
        <v>189393.22351404262</v>
      </c>
      <c r="AH27" s="26">
        <f>+G27</f>
        <v>115.5</v>
      </c>
      <c r="AI27" s="44">
        <f>1.63976816895275*1000</f>
        <v>1639.7681689527499</v>
      </c>
      <c r="AJ27" s="44">
        <f t="shared" si="45"/>
        <v>189393.22351404262</v>
      </c>
      <c r="AK27" s="45">
        <f t="shared" si="11"/>
        <v>-16143.22351404262</v>
      </c>
      <c r="AL27" s="94">
        <f t="shared" si="12"/>
        <v>-9.3178779301833312E-2</v>
      </c>
      <c r="AM27" s="44">
        <f t="shared" si="13"/>
        <v>13515</v>
      </c>
      <c r="AN27" s="44">
        <f t="shared" si="3"/>
        <v>6663.461538461539</v>
      </c>
      <c r="AO27" s="44">
        <f t="shared" si="14"/>
        <v>20178.461538461539</v>
      </c>
      <c r="AP27" s="44">
        <f t="shared" si="41"/>
        <v>4635.406596096188</v>
      </c>
      <c r="AQ27" s="44">
        <f t="shared" si="15"/>
        <v>4792.05</v>
      </c>
      <c r="AR27" s="45">
        <f t="shared" si="16"/>
        <v>-36165.041648600345</v>
      </c>
      <c r="AS27" s="94">
        <f t="shared" si="17"/>
        <v>-0.20874482914055034</v>
      </c>
      <c r="AT27" s="44">
        <f t="shared" si="42"/>
        <v>10494.718839870282</v>
      </c>
      <c r="AU27" s="45">
        <f t="shared" si="18"/>
        <v>-46659.760488470623</v>
      </c>
      <c r="AV27" s="94">
        <f t="shared" si="19"/>
        <v>-0.26932040685985931</v>
      </c>
      <c r="AW27" s="44">
        <f t="shared" si="43"/>
        <v>8774.8586091904799</v>
      </c>
      <c r="AX27" s="45">
        <f t="shared" si="20"/>
        <v>-27390.183039409865</v>
      </c>
      <c r="AY27" s="94">
        <f t="shared" si="21"/>
        <v>-0.15809629459976834</v>
      </c>
      <c r="BA27" s="44">
        <f t="shared" si="22"/>
        <v>1500</v>
      </c>
      <c r="BB27" s="44">
        <f t="shared" si="23"/>
        <v>-1062.9795993903738</v>
      </c>
      <c r="BC27" s="44">
        <f t="shared" si="24"/>
        <v>-243.22976268234203</v>
      </c>
      <c r="BD27" s="44">
        <f t="shared" si="25"/>
        <v>-15.931395602003006</v>
      </c>
      <c r="BE27" s="44">
        <f t="shared" si="26"/>
        <v>-317.6274112780311</v>
      </c>
      <c r="BF27" s="44">
        <f t="shared" si="27"/>
        <v>-1639.7681689527499</v>
      </c>
      <c r="BG27" s="44">
        <f t="shared" si="28"/>
        <v>-139.76816895274996</v>
      </c>
      <c r="BH27" s="44">
        <f t="shared" si="29"/>
        <v>-117.01298701298701</v>
      </c>
      <c r="BI27" s="44">
        <f t="shared" si="30"/>
        <v>-57.692307692307701</v>
      </c>
      <c r="BJ27" s="44">
        <f t="shared" si="31"/>
        <v>-174.7052947052947</v>
      </c>
      <c r="BK27" s="44">
        <f t="shared" si="32"/>
        <v>-40.133390442391239</v>
      </c>
      <c r="BL27" s="44">
        <f t="shared" si="33"/>
        <v>41.489610389610391</v>
      </c>
      <c r="BM27" s="44">
        <f t="shared" si="34"/>
        <v>-313.11724371082551</v>
      </c>
      <c r="BN27" s="44">
        <f t="shared" si="35"/>
        <v>-90.863366578963479</v>
      </c>
      <c r="BO27" s="44">
        <f t="shared" si="36"/>
        <v>-403.98061028978896</v>
      </c>
      <c r="BP27" s="44">
        <f t="shared" si="37"/>
        <v>75.972801811172985</v>
      </c>
      <c r="BQ27" s="44">
        <f t="shared" si="38"/>
        <v>-237.14444189965252</v>
      </c>
    </row>
    <row r="28" spans="2:69" hidden="1">
      <c r="B28" s="4" t="s">
        <v>7</v>
      </c>
      <c r="C28" s="27" t="str">
        <f t="shared" si="0"/>
        <v>FEBRERO</v>
      </c>
      <c r="D28" s="27" t="s">
        <v>197</v>
      </c>
      <c r="E28" s="100">
        <v>34</v>
      </c>
      <c r="F28" s="100">
        <v>46070</v>
      </c>
      <c r="G28" s="101">
        <v>46.8</v>
      </c>
      <c r="H28" s="102" t="s">
        <v>32</v>
      </c>
      <c r="I28" s="27" t="s">
        <v>158</v>
      </c>
      <c r="J28" s="4" t="s">
        <v>193</v>
      </c>
      <c r="K28" s="7" t="s">
        <v>174</v>
      </c>
      <c r="L28" s="7" t="s">
        <v>198</v>
      </c>
      <c r="M28" s="21" t="s">
        <v>48</v>
      </c>
      <c r="N28" s="7" t="s">
        <v>194</v>
      </c>
      <c r="O28" s="20">
        <v>1500</v>
      </c>
      <c r="P28" s="61">
        <v>70200</v>
      </c>
      <c r="Q28" s="20">
        <v>1380.2136752136753</v>
      </c>
      <c r="R28" s="30">
        <v>5606</v>
      </c>
      <c r="S28" s="32">
        <f t="shared" si="1"/>
        <v>64594</v>
      </c>
      <c r="T28" s="60">
        <v>2</v>
      </c>
      <c r="U28" s="7" t="s">
        <v>195</v>
      </c>
      <c r="V28" s="7" t="s">
        <v>199</v>
      </c>
      <c r="W28" s="4" t="s">
        <v>141</v>
      </c>
      <c r="X28" s="4" t="s">
        <v>116</v>
      </c>
      <c r="Y28" s="7">
        <v>10006720</v>
      </c>
      <c r="Z28" s="7" t="s">
        <v>117</v>
      </c>
      <c r="AA28" s="7" t="str">
        <f t="shared" si="44"/>
        <v>FEBRERO10006720Compensación</v>
      </c>
      <c r="AB28" s="26">
        <f>INDEX('Detalle Costos'!$L$5:$L$158,MATCH(Resumen!AA28,'Detalle Costos'!$C$5:$C$158,0))*1000*0+AI28</f>
        <v>1639.7681689527499</v>
      </c>
      <c r="AC28" s="44">
        <f>IFERROR(INDEX('Detalle Costos'!$X$5:$X$158,MATCH(Resumen!AA28,'Detalle Costos'!$C$5:$C$158,0))*AG28,0)</f>
        <v>49747.4452514695</v>
      </c>
      <c r="AD28" s="44">
        <f>IFERROR(INDEX('Detalle Costos'!$Z$5:$Z$158,MATCH(Resumen!AA28,'Detalle Costos'!$C$5:$C$158,0))*AG28,0)</f>
        <v>11383.152893533606</v>
      </c>
      <c r="AE28" s="44">
        <f>IFERROR(INDEX('Detalle Costos'!$Y$5:$Y$158,MATCH(Resumen!AA28,'Detalle Costos'!$C$5:$C$158,0))*AG28,0)</f>
        <v>745.5893141737406</v>
      </c>
      <c r="AF28" s="44">
        <f>IFERROR(INDEX('Detalle Costos'!$AA$5:$AA$158,MATCH(Resumen!AA28,'Detalle Costos'!$C$5:$C$158,0))*AG28,0)</f>
        <v>14864.962847811854</v>
      </c>
      <c r="AG28" s="44">
        <f t="shared" si="9"/>
        <v>76741.150306988697</v>
      </c>
      <c r="AH28" s="26">
        <f>+G28</f>
        <v>46.8</v>
      </c>
      <c r="AI28" s="44">
        <f>1.63976816895275*1000</f>
        <v>1639.7681689527499</v>
      </c>
      <c r="AJ28" s="44">
        <f t="shared" si="45"/>
        <v>76741.150306988697</v>
      </c>
      <c r="AK28" s="45">
        <f t="shared" si="11"/>
        <v>-6541.1503069886967</v>
      </c>
      <c r="AL28" s="94">
        <f t="shared" si="12"/>
        <v>-9.3178779301833284E-2</v>
      </c>
      <c r="AM28" s="44">
        <f t="shared" si="13"/>
        <v>5606</v>
      </c>
      <c r="AN28" s="44">
        <f t="shared" si="3"/>
        <v>2700</v>
      </c>
      <c r="AO28" s="44">
        <f t="shared" si="14"/>
        <v>8306</v>
      </c>
      <c r="AP28" s="44">
        <f t="shared" si="41"/>
        <v>1878.2426727039099</v>
      </c>
      <c r="AQ28" s="44">
        <f t="shared" si="15"/>
        <v>1937.82</v>
      </c>
      <c r="AR28" s="45">
        <f t="shared" si="16"/>
        <v>-14787.572979692606</v>
      </c>
      <c r="AS28" s="94">
        <f t="shared" si="17"/>
        <v>-0.21064918774490893</v>
      </c>
      <c r="AT28" s="44">
        <f t="shared" si="42"/>
        <v>4252.4055558954906</v>
      </c>
      <c r="AU28" s="45">
        <f t="shared" si="18"/>
        <v>-19039.978535588096</v>
      </c>
      <c r="AV28" s="94">
        <f t="shared" si="19"/>
        <v>-0.27122476546421787</v>
      </c>
      <c r="AW28" s="44">
        <f t="shared" si="43"/>
        <v>3555.5271247628957</v>
      </c>
      <c r="AX28" s="45">
        <f t="shared" si="20"/>
        <v>-11232.045854929711</v>
      </c>
      <c r="AY28" s="94">
        <f t="shared" si="21"/>
        <v>-0.16000065320412693</v>
      </c>
      <c r="BA28" s="44">
        <f t="shared" si="22"/>
        <v>1500</v>
      </c>
      <c r="BB28" s="44">
        <f t="shared" si="23"/>
        <v>-1062.979599390374</v>
      </c>
      <c r="BC28" s="44">
        <f t="shared" si="24"/>
        <v>-243.22976268234203</v>
      </c>
      <c r="BD28" s="44">
        <f t="shared" si="25"/>
        <v>-15.931395602003006</v>
      </c>
      <c r="BE28" s="44">
        <f t="shared" si="26"/>
        <v>-317.6274112780311</v>
      </c>
      <c r="BF28" s="44">
        <f t="shared" si="27"/>
        <v>-1639.7681689527501</v>
      </c>
      <c r="BG28" s="44">
        <f t="shared" si="28"/>
        <v>-139.76816895274993</v>
      </c>
      <c r="BH28" s="44">
        <f t="shared" si="29"/>
        <v>-119.7863247863248</v>
      </c>
      <c r="BI28" s="44">
        <f t="shared" si="30"/>
        <v>-57.692307692307693</v>
      </c>
      <c r="BJ28" s="44">
        <f t="shared" si="31"/>
        <v>-177.47863247863248</v>
      </c>
      <c r="BK28" s="44">
        <f t="shared" si="32"/>
        <v>-40.133390442391239</v>
      </c>
      <c r="BL28" s="44">
        <f t="shared" si="33"/>
        <v>41.406410256410254</v>
      </c>
      <c r="BM28" s="44">
        <f t="shared" si="34"/>
        <v>-315.97378161736339</v>
      </c>
      <c r="BN28" s="44">
        <f t="shared" si="35"/>
        <v>-90.863366578963479</v>
      </c>
      <c r="BO28" s="44">
        <f t="shared" si="36"/>
        <v>-406.83714819632684</v>
      </c>
      <c r="BP28" s="44">
        <f t="shared" si="37"/>
        <v>75.972801811172985</v>
      </c>
      <c r="BQ28" s="44">
        <f t="shared" si="38"/>
        <v>-240.00097980619043</v>
      </c>
    </row>
    <row r="29" spans="2:69" hidden="1">
      <c r="B29" s="4" t="s">
        <v>7</v>
      </c>
      <c r="C29" s="27" t="str">
        <f t="shared" si="0"/>
        <v>FEBRERO</v>
      </c>
      <c r="D29" s="27" t="s">
        <v>200</v>
      </c>
      <c r="E29" s="100">
        <v>34</v>
      </c>
      <c r="F29" s="100">
        <v>46070</v>
      </c>
      <c r="G29" s="101">
        <v>81</v>
      </c>
      <c r="H29" s="102" t="s">
        <v>32</v>
      </c>
      <c r="I29" s="27" t="s">
        <v>158</v>
      </c>
      <c r="J29" s="4" t="s">
        <v>193</v>
      </c>
      <c r="K29" s="7" t="s">
        <v>174</v>
      </c>
      <c r="L29" s="7" t="s">
        <v>201</v>
      </c>
      <c r="M29" s="21" t="s">
        <v>48</v>
      </c>
      <c r="N29" s="7" t="s">
        <v>194</v>
      </c>
      <c r="O29" s="20">
        <v>1500</v>
      </c>
      <c r="P29" s="61">
        <v>121500</v>
      </c>
      <c r="Q29" s="20">
        <v>1385.0740740740741</v>
      </c>
      <c r="R29" s="30">
        <v>9309</v>
      </c>
      <c r="S29" s="32">
        <f t="shared" si="1"/>
        <v>112191</v>
      </c>
      <c r="T29" s="60">
        <v>3</v>
      </c>
      <c r="U29" s="7" t="s">
        <v>195</v>
      </c>
      <c r="V29" s="7" t="s">
        <v>202</v>
      </c>
      <c r="W29" s="4" t="s">
        <v>141</v>
      </c>
      <c r="X29" s="4" t="s">
        <v>116</v>
      </c>
      <c r="Y29" s="7">
        <v>10006720</v>
      </c>
      <c r="Z29" s="7" t="s">
        <v>117</v>
      </c>
      <c r="AA29" s="7" t="str">
        <f t="shared" si="44"/>
        <v>FEBRERO10006720Compensación</v>
      </c>
      <c r="AB29" s="26">
        <f>INDEX('Detalle Costos'!$L$5:$L$158,MATCH(Resumen!AA29,'Detalle Costos'!$C$5:$C$158,0))*1000*0+AI29</f>
        <v>1639.7681689527499</v>
      </c>
      <c r="AC29" s="44">
        <f>IFERROR(INDEX('Detalle Costos'!$X$5:$X$158,MATCH(Resumen!AA29,'Detalle Costos'!$C$5:$C$158,0))*AG29,0)</f>
        <v>86101.347550620267</v>
      </c>
      <c r="AD29" s="44">
        <f>IFERROR(INDEX('Detalle Costos'!$Z$5:$Z$158,MATCH(Resumen!AA29,'Detalle Costos'!$C$5:$C$158,0))*AG29,0)</f>
        <v>19701.610777269703</v>
      </c>
      <c r="AE29" s="44">
        <f>IFERROR(INDEX('Detalle Costos'!$Y$5:$Y$158,MATCH(Resumen!AA29,'Detalle Costos'!$C$5:$C$158,0))*AG29,0)</f>
        <v>1290.4430437622432</v>
      </c>
      <c r="AF29" s="44">
        <f>IFERROR(INDEX('Detalle Costos'!$AA$5:$AA$158,MATCH(Resumen!AA29,'Detalle Costos'!$C$5:$C$158,0))*AG29,0)</f>
        <v>25727.820313520515</v>
      </c>
      <c r="AG29" s="44">
        <f t="shared" si="9"/>
        <v>132821.22168517273</v>
      </c>
      <c r="AH29" s="26">
        <f>+G29</f>
        <v>81</v>
      </c>
      <c r="AI29" s="44">
        <f>1.63976816895275*1000</f>
        <v>1639.7681689527499</v>
      </c>
      <c r="AJ29" s="44">
        <f t="shared" si="45"/>
        <v>132821.22168517273</v>
      </c>
      <c r="AK29" s="45">
        <f t="shared" si="11"/>
        <v>-11321.221685172728</v>
      </c>
      <c r="AL29" s="94">
        <f t="shared" si="12"/>
        <v>-9.3178779301833159E-2</v>
      </c>
      <c r="AM29" s="44">
        <f t="shared" si="13"/>
        <v>9309</v>
      </c>
      <c r="AN29" s="44">
        <f t="shared" si="3"/>
        <v>4673.0769230769229</v>
      </c>
      <c r="AO29" s="44">
        <f t="shared" si="14"/>
        <v>13982.076923076922</v>
      </c>
      <c r="AP29" s="44">
        <f t="shared" si="41"/>
        <v>3250.8046258336904</v>
      </c>
      <c r="AQ29" s="44">
        <f t="shared" si="15"/>
        <v>3365.73</v>
      </c>
      <c r="AR29" s="45">
        <f t="shared" si="16"/>
        <v>-25188.373234083341</v>
      </c>
      <c r="AS29" s="94">
        <f t="shared" si="17"/>
        <v>-0.20731171386076824</v>
      </c>
      <c r="AT29" s="44">
        <f t="shared" si="42"/>
        <v>7359.9326928960418</v>
      </c>
      <c r="AU29" s="45">
        <f t="shared" si="18"/>
        <v>-32548.305926979381</v>
      </c>
      <c r="AV29" s="94">
        <f t="shared" si="19"/>
        <v>-0.26788729158007724</v>
      </c>
      <c r="AW29" s="44">
        <f t="shared" si="43"/>
        <v>6153.7969467050116</v>
      </c>
      <c r="AX29" s="45">
        <f t="shared" si="20"/>
        <v>-19034.576287378331</v>
      </c>
      <c r="AY29" s="94">
        <f t="shared" si="21"/>
        <v>-0.15666317931998627</v>
      </c>
      <c r="BA29" s="44">
        <f t="shared" si="22"/>
        <v>1500</v>
      </c>
      <c r="BB29" s="44">
        <f t="shared" si="23"/>
        <v>-1062.9795993903736</v>
      </c>
      <c r="BC29" s="44">
        <f t="shared" si="24"/>
        <v>-243.22976268234203</v>
      </c>
      <c r="BD29" s="44">
        <f t="shared" si="25"/>
        <v>-15.931395602003002</v>
      </c>
      <c r="BE29" s="44">
        <f t="shared" si="26"/>
        <v>-317.62741127803105</v>
      </c>
      <c r="BF29" s="44">
        <f t="shared" si="27"/>
        <v>-1639.7681689527496</v>
      </c>
      <c r="BG29" s="44">
        <f t="shared" si="28"/>
        <v>-139.76816895274973</v>
      </c>
      <c r="BH29" s="44">
        <f t="shared" si="29"/>
        <v>-114.92592592592592</v>
      </c>
      <c r="BI29" s="44">
        <f t="shared" si="30"/>
        <v>-57.692307692307686</v>
      </c>
      <c r="BJ29" s="44">
        <f t="shared" si="31"/>
        <v>-172.6182336182336</v>
      </c>
      <c r="BK29" s="44">
        <f t="shared" si="32"/>
        <v>-40.133390442391239</v>
      </c>
      <c r="BL29" s="44">
        <f t="shared" si="33"/>
        <v>41.55222222222222</v>
      </c>
      <c r="BM29" s="44">
        <f t="shared" si="34"/>
        <v>-310.96757079115235</v>
      </c>
      <c r="BN29" s="44">
        <f t="shared" si="35"/>
        <v>-90.863366578963479</v>
      </c>
      <c r="BO29" s="44">
        <f t="shared" si="36"/>
        <v>-401.83093737011581</v>
      </c>
      <c r="BP29" s="44">
        <f t="shared" si="37"/>
        <v>75.972801811172985</v>
      </c>
      <c r="BQ29" s="44">
        <f t="shared" si="38"/>
        <v>-234.9947689799794</v>
      </c>
    </row>
    <row r="30" spans="2:69" hidden="1">
      <c r="B30" s="4" t="s">
        <v>7</v>
      </c>
      <c r="C30" s="27" t="str">
        <f t="shared" si="0"/>
        <v>FEBRERO</v>
      </c>
      <c r="D30" s="27" t="s">
        <v>203</v>
      </c>
      <c r="E30" s="100">
        <v>40</v>
      </c>
      <c r="F30" s="100">
        <v>46080</v>
      </c>
      <c r="G30" s="103">
        <v>27</v>
      </c>
      <c r="H30" s="102" t="s">
        <v>34</v>
      </c>
      <c r="I30" s="27" t="s">
        <v>204</v>
      </c>
      <c r="J30" s="7"/>
      <c r="K30" s="7" t="s">
        <v>174</v>
      </c>
      <c r="L30" s="7" t="s">
        <v>205</v>
      </c>
      <c r="M30" s="21" t="s">
        <v>57</v>
      </c>
      <c r="N30" s="7" t="s">
        <v>206</v>
      </c>
      <c r="O30" s="20">
        <v>3400</v>
      </c>
      <c r="P30" s="61">
        <v>91800</v>
      </c>
      <c r="Q30" s="20">
        <v>3292.5925925925926</v>
      </c>
      <c r="R30" s="30">
        <v>2900</v>
      </c>
      <c r="S30" s="32">
        <f t="shared" si="1"/>
        <v>88900</v>
      </c>
      <c r="T30" s="60">
        <v>1</v>
      </c>
      <c r="U30" s="173" t="s">
        <v>176</v>
      </c>
      <c r="V30" s="173">
        <v>6445569300</v>
      </c>
      <c r="W30" s="4" t="s">
        <v>125</v>
      </c>
      <c r="X30" s="4" t="s">
        <v>116</v>
      </c>
      <c r="Y30" s="7">
        <v>10009239</v>
      </c>
      <c r="Z30" s="7" t="s">
        <v>117</v>
      </c>
      <c r="AA30" s="7" t="str">
        <f>B30&amp;Y30&amp;Z30</f>
        <v>FEBRERO10009239Compensación</v>
      </c>
      <c r="AB30" s="26">
        <f>INDEX('Detalle Costos'!$L$5:$L$158,MATCH(Resumen!AA30,'Detalle Costos'!$C$5:$C$158,0))*1000*0+AI30</f>
        <v>2114.7381481481502</v>
      </c>
      <c r="AC30" s="44">
        <f>IFERROR(INDEX('Detalle Costos'!$X$5:$X$158,MATCH(Resumen!AA30,'Detalle Costos'!$C$5:$C$158,0))*AG30,0)</f>
        <v>29045.690000000031</v>
      </c>
      <c r="AD30" s="44">
        <f>IFERROR(INDEX('Detalle Costos'!$Z$5:$Z$158,MATCH(Resumen!AA30,'Detalle Costos'!$C$5:$C$158,0))*AG30,0)</f>
        <v>18974.700000000023</v>
      </c>
      <c r="AE30" s="44">
        <f>IFERROR(INDEX('Detalle Costos'!$Y$5:$Y$158,MATCH(Resumen!AA30,'Detalle Costos'!$C$5:$C$158,0))*AG30,0)</f>
        <v>365.21000000000038</v>
      </c>
      <c r="AF30" s="44">
        <f>IFERROR(INDEX('Detalle Costos'!$AA$5:$AA$158,MATCH(Resumen!AA30,'Detalle Costos'!$C$5:$C$158,0))*AG30,0)</f>
        <v>8712.3300000000127</v>
      </c>
      <c r="AG30" s="44">
        <f t="shared" si="9"/>
        <v>57097.930000000058</v>
      </c>
      <c r="AH30" s="26">
        <v>27</v>
      </c>
      <c r="AI30" s="44">
        <f>2.11473814814815*1000</f>
        <v>2114.7381481481502</v>
      </c>
      <c r="AJ30" s="44">
        <f>AI30*AH30</f>
        <v>57097.930000000058</v>
      </c>
      <c r="AK30" s="45">
        <f t="shared" si="11"/>
        <v>34702.069999999942</v>
      </c>
      <c r="AL30" s="94">
        <f t="shared" si="12"/>
        <v>0.37801819172113227</v>
      </c>
      <c r="AM30" s="44">
        <f t="shared" si="13"/>
        <v>2900</v>
      </c>
      <c r="AN30" s="44">
        <f t="shared" si="3"/>
        <v>1557.6923076923076</v>
      </c>
      <c r="AO30" s="44">
        <f t="shared" si="14"/>
        <v>4457.6923076923076</v>
      </c>
      <c r="AP30" s="44">
        <f t="shared" si="41"/>
        <v>1083.6015419445635</v>
      </c>
      <c r="AQ30" s="44">
        <f t="shared" si="15"/>
        <v>2667</v>
      </c>
      <c r="AR30" s="45">
        <f t="shared" si="16"/>
        <v>31827.776150363068</v>
      </c>
      <c r="AS30" s="94">
        <f t="shared" si="17"/>
        <v>0.34670780120221206</v>
      </c>
      <c r="AT30" s="44">
        <f t="shared" si="42"/>
        <v>2453.3108976320141</v>
      </c>
      <c r="AU30" s="45">
        <f t="shared" si="18"/>
        <v>29374.465252731054</v>
      </c>
      <c r="AV30" s="94">
        <f t="shared" si="19"/>
        <v>0.31998328162016398</v>
      </c>
      <c r="AW30" s="44">
        <f t="shared" si="43"/>
        <v>2051.2656489016708</v>
      </c>
      <c r="AX30" s="45">
        <f t="shared" si="20"/>
        <v>33879.041799264742</v>
      </c>
      <c r="AY30" s="94">
        <f t="shared" si="21"/>
        <v>0.36905274291138063</v>
      </c>
      <c r="BA30" s="44">
        <f t="shared" si="22"/>
        <v>3400</v>
      </c>
      <c r="BB30" s="44">
        <f t="shared" si="23"/>
        <v>-1075.7662962962975</v>
      </c>
      <c r="BC30" s="44">
        <f t="shared" si="24"/>
        <v>-702.76666666666745</v>
      </c>
      <c r="BD30" s="44">
        <f t="shared" si="25"/>
        <v>-13.52629629629631</v>
      </c>
      <c r="BE30" s="44">
        <f t="shared" si="26"/>
        <v>-322.67888888888933</v>
      </c>
      <c r="BF30" s="44">
        <f t="shared" si="27"/>
        <v>-2114.7381481481502</v>
      </c>
      <c r="BG30" s="44">
        <f t="shared" si="28"/>
        <v>1285.2618518518498</v>
      </c>
      <c r="BH30" s="44">
        <f t="shared" si="29"/>
        <v>-107.4074074074074</v>
      </c>
      <c r="BI30" s="44">
        <f t="shared" si="30"/>
        <v>-57.692307692307686</v>
      </c>
      <c r="BJ30" s="44">
        <f t="shared" si="31"/>
        <v>-165.0997150997151</v>
      </c>
      <c r="BK30" s="44">
        <f t="shared" si="32"/>
        <v>-40.133390442391239</v>
      </c>
      <c r="BL30" s="44">
        <f t="shared" si="33"/>
        <v>98.777777777777771</v>
      </c>
      <c r="BM30" s="44">
        <f t="shared" si="34"/>
        <v>1178.806524087521</v>
      </c>
      <c r="BN30" s="44">
        <f t="shared" si="35"/>
        <v>-90.863366578963479</v>
      </c>
      <c r="BO30" s="44">
        <f t="shared" si="36"/>
        <v>1087.9431575085575</v>
      </c>
      <c r="BP30" s="44">
        <f t="shared" si="37"/>
        <v>75.972801811172999</v>
      </c>
      <c r="BQ30" s="44">
        <f t="shared" si="38"/>
        <v>1254.7793258986942</v>
      </c>
    </row>
    <row r="31" spans="2:69" hidden="1">
      <c r="B31" s="4" t="s">
        <v>7</v>
      </c>
      <c r="C31" s="27" t="str">
        <f t="shared" si="0"/>
        <v>FEBRERO</v>
      </c>
      <c r="D31" s="27" t="s">
        <v>207</v>
      </c>
      <c r="E31" s="100">
        <v>43</v>
      </c>
      <c r="F31" s="100">
        <v>46077</v>
      </c>
      <c r="G31" s="101">
        <v>351</v>
      </c>
      <c r="H31" s="174" t="s">
        <v>33</v>
      </c>
      <c r="I31" s="27" t="s">
        <v>208</v>
      </c>
      <c r="J31" s="4" t="s">
        <v>209</v>
      </c>
      <c r="K31" s="7" t="s">
        <v>174</v>
      </c>
      <c r="L31" s="7" t="s">
        <v>175</v>
      </c>
      <c r="M31" s="21" t="s">
        <v>48</v>
      </c>
      <c r="N31" s="7" t="s">
        <v>194</v>
      </c>
      <c r="O31" s="20">
        <v>1300</v>
      </c>
      <c r="P31" s="61">
        <v>456300</v>
      </c>
      <c r="Q31" s="20">
        <v>1300</v>
      </c>
      <c r="R31" s="30">
        <f>3103*T31</f>
        <v>40339</v>
      </c>
      <c r="S31" s="32">
        <f t="shared" si="1"/>
        <v>415961</v>
      </c>
      <c r="T31" s="175">
        <v>13</v>
      </c>
      <c r="U31" s="173" t="s">
        <v>210</v>
      </c>
      <c r="V31" s="173">
        <v>6445505270</v>
      </c>
      <c r="W31" s="176" t="s">
        <v>125</v>
      </c>
      <c r="X31" s="4" t="s">
        <v>116</v>
      </c>
      <c r="Y31" s="7">
        <v>10005721</v>
      </c>
      <c r="Z31" s="7" t="s">
        <v>117</v>
      </c>
      <c r="AA31" s="7" t="str">
        <f t="shared" si="44"/>
        <v>FEBRERO10005721Compensación</v>
      </c>
      <c r="AB31" s="26">
        <f>INDEX('Detalle Costos'!$L$5:$L$158,MATCH(Resumen!AA31,'Detalle Costos'!$C$5:$C$158,0))*1000*0+AI31</f>
        <v>1740.7827151654001</v>
      </c>
      <c r="AC31" s="44">
        <f>IFERROR(INDEX('Detalle Costos'!$X$5:$X$158,MATCH(Resumen!AA31,'Detalle Costos'!$C$5:$C$158,0))*AG31,0)</f>
        <v>370785.71870256303</v>
      </c>
      <c r="AD31" s="44">
        <f>IFERROR(INDEX('Detalle Costos'!$Z$5:$Z$158,MATCH(Resumen!AA31,'Detalle Costos'!$C$5:$C$158,0))*AG31,0)</f>
        <v>122493.72720893587</v>
      </c>
      <c r="AE31" s="44">
        <f>IFERROR(INDEX('Detalle Costos'!$Y$5:$Y$158,MATCH(Resumen!AA31,'Detalle Costos'!$C$5:$C$158,0))*AG31,0)</f>
        <v>6516.3554632679306</v>
      </c>
      <c r="AF31" s="44">
        <f>IFERROR(INDEX('Detalle Costos'!$AA$5:$AA$158,MATCH(Resumen!AA31,'Detalle Costos'!$C$5:$C$158,0))*AG31,0)</f>
        <v>111218.93164828864</v>
      </c>
      <c r="AG31" s="44">
        <f t="shared" si="9"/>
        <v>611014.73302305548</v>
      </c>
      <c r="AH31" s="26">
        <f>+G31</f>
        <v>351</v>
      </c>
      <c r="AI31" s="44">
        <f>1.7407827151654*1000</f>
        <v>1740.7827151654001</v>
      </c>
      <c r="AJ31" s="44">
        <f>+AI31*AH31</f>
        <v>611014.73302305548</v>
      </c>
      <c r="AK31" s="45">
        <f t="shared" si="11"/>
        <v>-154714.73302305548</v>
      </c>
      <c r="AL31" s="94">
        <f t="shared" si="12"/>
        <v>-0.33906362705030785</v>
      </c>
      <c r="AM31" s="44">
        <f t="shared" si="13"/>
        <v>40339</v>
      </c>
      <c r="AN31" s="44">
        <f t="shared" si="3"/>
        <v>20250</v>
      </c>
      <c r="AO31" s="44">
        <f t="shared" si="14"/>
        <v>60589</v>
      </c>
      <c r="AP31" s="44">
        <f t="shared" si="41"/>
        <v>14086.820045279324</v>
      </c>
      <c r="AQ31" s="44">
        <f t="shared" si="15"/>
        <v>12478.83</v>
      </c>
      <c r="AR31" s="45">
        <f t="shared" si="16"/>
        <v>-216911.72306833483</v>
      </c>
      <c r="AS31" s="94">
        <f t="shared" si="17"/>
        <v>-0.47537085923369454</v>
      </c>
      <c r="AT31" s="44">
        <f t="shared" si="42"/>
        <v>31893.041669216182</v>
      </c>
      <c r="AU31" s="45">
        <f t="shared" si="18"/>
        <v>-248804.76473755101</v>
      </c>
      <c r="AV31" s="94">
        <f t="shared" si="19"/>
        <v>-0.54526575660212806</v>
      </c>
      <c r="AW31" s="44">
        <f t="shared" si="43"/>
        <v>26666.453435721716</v>
      </c>
      <c r="AX31" s="45">
        <f t="shared" si="20"/>
        <v>-190245.26963261311</v>
      </c>
      <c r="AY31" s="94">
        <f t="shared" si="21"/>
        <v>-0.41693024245586918</v>
      </c>
      <c r="BA31" s="44">
        <f t="shared" si="22"/>
        <v>1300</v>
      </c>
      <c r="BB31" s="44">
        <f t="shared" si="23"/>
        <v>-1056.369568953171</v>
      </c>
      <c r="BC31" s="44">
        <f t="shared" si="24"/>
        <v>-348.98497780323612</v>
      </c>
      <c r="BD31" s="44">
        <f t="shared" si="25"/>
        <v>-18.565115279965614</v>
      </c>
      <c r="BE31" s="44">
        <f t="shared" si="26"/>
        <v>-316.86305312902743</v>
      </c>
      <c r="BF31" s="44">
        <f t="shared" si="27"/>
        <v>-1740.7827151654003</v>
      </c>
      <c r="BG31" s="44">
        <f t="shared" si="28"/>
        <v>-440.78271516540025</v>
      </c>
      <c r="BH31" s="44">
        <f t="shared" si="29"/>
        <v>-114.92592592592592</v>
      </c>
      <c r="BI31" s="44">
        <f t="shared" si="30"/>
        <v>-57.692307692307693</v>
      </c>
      <c r="BJ31" s="44">
        <f t="shared" si="31"/>
        <v>-172.61823361823363</v>
      </c>
      <c r="BK31" s="44">
        <f t="shared" si="32"/>
        <v>-40.133390442391239</v>
      </c>
      <c r="BL31" s="44">
        <f t="shared" si="33"/>
        <v>35.55222222222222</v>
      </c>
      <c r="BM31" s="44">
        <f t="shared" si="34"/>
        <v>-617.98211700380295</v>
      </c>
      <c r="BN31" s="44">
        <f t="shared" si="35"/>
        <v>-90.863366578963479</v>
      </c>
      <c r="BO31" s="44">
        <f t="shared" si="36"/>
        <v>-708.84548358276641</v>
      </c>
      <c r="BP31" s="44">
        <f t="shared" si="37"/>
        <v>75.972801811172985</v>
      </c>
      <c r="BQ31" s="44">
        <f t="shared" si="38"/>
        <v>-542.00931519262997</v>
      </c>
    </row>
    <row r="32" spans="2:69" hidden="1">
      <c r="B32" s="4" t="s">
        <v>7</v>
      </c>
      <c r="C32" s="27" t="str">
        <f t="shared" si="0"/>
        <v>FEBRERO</v>
      </c>
      <c r="D32" s="27" t="s">
        <v>211</v>
      </c>
      <c r="E32" s="100">
        <v>43</v>
      </c>
      <c r="F32" s="100">
        <v>46075</v>
      </c>
      <c r="G32" s="101">
        <v>135</v>
      </c>
      <c r="H32" s="174" t="s">
        <v>33</v>
      </c>
      <c r="I32" s="27" t="s">
        <v>208</v>
      </c>
      <c r="J32" s="4" t="s">
        <v>209</v>
      </c>
      <c r="K32" s="7" t="s">
        <v>174</v>
      </c>
      <c r="L32" s="7" t="s">
        <v>212</v>
      </c>
      <c r="M32" s="21" t="s">
        <v>48</v>
      </c>
      <c r="N32" s="7" t="s">
        <v>194</v>
      </c>
      <c r="O32" s="20">
        <v>1300</v>
      </c>
      <c r="P32" s="61">
        <v>175500</v>
      </c>
      <c r="Q32" s="20">
        <v>1300</v>
      </c>
      <c r="R32" s="30">
        <f>3103*T32</f>
        <v>15515</v>
      </c>
      <c r="S32" s="32">
        <f t="shared" si="1"/>
        <v>159985</v>
      </c>
      <c r="T32" s="175">
        <v>5</v>
      </c>
      <c r="U32" s="173" t="s">
        <v>213</v>
      </c>
      <c r="V32" s="173">
        <v>6445260920</v>
      </c>
      <c r="W32" s="176" t="s">
        <v>125</v>
      </c>
      <c r="X32" s="4" t="s">
        <v>116</v>
      </c>
      <c r="Y32" s="7">
        <v>10005721</v>
      </c>
      <c r="Z32" s="7" t="s">
        <v>117</v>
      </c>
      <c r="AA32" s="7" t="str">
        <f t="shared" si="44"/>
        <v>FEBRERO10005721Compensación</v>
      </c>
      <c r="AB32" s="26">
        <f>INDEX('Detalle Costos'!$L$5:$L$158,MATCH(Resumen!AA32,'Detalle Costos'!$C$5:$C$158,0))*1000*0+AI32</f>
        <v>1763.7777777777778</v>
      </c>
      <c r="AC32" s="44">
        <f>IFERROR(INDEX('Detalle Costos'!$X$5:$X$158,MATCH(Resumen!AA32,'Detalle Costos'!$C$5:$C$158,0))*AG32,0)</f>
        <v>144493.71301319491</v>
      </c>
      <c r="AD32" s="44">
        <f>IFERROR(INDEX('Detalle Costos'!$Z$5:$Z$158,MATCH(Resumen!AA32,'Detalle Costos'!$C$5:$C$158,0))*AG32,0)</f>
        <v>47735.316039620215</v>
      </c>
      <c r="AE32" s="44">
        <f>IFERROR(INDEX('Detalle Costos'!$Y$5:$Y$158,MATCH(Resumen!AA32,'Detalle Costos'!$C$5:$C$158,0))*AG32,0)</f>
        <v>2539.3976863405351</v>
      </c>
      <c r="AF32" s="44">
        <f>IFERROR(INDEX('Detalle Costos'!$AA$5:$AA$158,MATCH(Resumen!AA32,'Detalle Costos'!$C$5:$C$158,0))*AG32,0)</f>
        <v>43341.573260844343</v>
      </c>
      <c r="AG32" s="44">
        <f t="shared" si="9"/>
        <v>238110</v>
      </c>
      <c r="AH32" s="26">
        <f>+G32</f>
        <v>135</v>
      </c>
      <c r="AI32" s="44">
        <f>+AJ32/AH32</f>
        <v>1763.7777777777778</v>
      </c>
      <c r="AJ32" s="44">
        <v>238110</v>
      </c>
      <c r="AK32" s="45">
        <f t="shared" si="11"/>
        <v>-62610</v>
      </c>
      <c r="AL32" s="94">
        <f t="shared" si="12"/>
        <v>-0.35675213675213674</v>
      </c>
      <c r="AM32" s="44">
        <f t="shared" si="13"/>
        <v>15515</v>
      </c>
      <c r="AN32" s="44">
        <f t="shared" si="3"/>
        <v>7788.461538461539</v>
      </c>
      <c r="AO32" s="44">
        <f t="shared" si="14"/>
        <v>23303.461538461539</v>
      </c>
      <c r="AP32" s="44">
        <f t="shared" si="41"/>
        <v>5418.0077097228168</v>
      </c>
      <c r="AQ32" s="44">
        <f t="shared" si="15"/>
        <v>4799.55</v>
      </c>
      <c r="AR32" s="45">
        <f t="shared" si="16"/>
        <v>-86531.919248184349</v>
      </c>
      <c r="AS32" s="94">
        <f t="shared" si="17"/>
        <v>-0.49305936893552338</v>
      </c>
      <c r="AT32" s="44">
        <f t="shared" si="42"/>
        <v>12266.554488160069</v>
      </c>
      <c r="AU32" s="45">
        <f t="shared" si="18"/>
        <v>-98798.473736344415</v>
      </c>
      <c r="AV32" s="94">
        <f t="shared" si="19"/>
        <v>-0.56295426630395673</v>
      </c>
      <c r="AW32" s="44">
        <f t="shared" si="43"/>
        <v>10256.328244508353</v>
      </c>
      <c r="AX32" s="45">
        <f t="shared" si="20"/>
        <v>-76275.591003676003</v>
      </c>
      <c r="AY32" s="94">
        <f t="shared" si="21"/>
        <v>-0.43461875215769802</v>
      </c>
      <c r="BA32" s="44">
        <f t="shared" si="22"/>
        <v>1300</v>
      </c>
      <c r="BB32" s="44">
        <f t="shared" si="23"/>
        <v>-1070.3238000977401</v>
      </c>
      <c r="BC32" s="44">
        <f t="shared" si="24"/>
        <v>-353.59493362681638</v>
      </c>
      <c r="BD32" s="44">
        <f t="shared" si="25"/>
        <v>-18.81035323215211</v>
      </c>
      <c r="BE32" s="44">
        <f t="shared" si="26"/>
        <v>-321.04869082106921</v>
      </c>
      <c r="BF32" s="44">
        <f t="shared" si="27"/>
        <v>-1763.7777777777778</v>
      </c>
      <c r="BG32" s="44">
        <f t="shared" si="28"/>
        <v>-463.77777777777777</v>
      </c>
      <c r="BH32" s="44">
        <f t="shared" si="29"/>
        <v>-114.92592592592592</v>
      </c>
      <c r="BI32" s="44">
        <f t="shared" si="30"/>
        <v>-57.692307692307693</v>
      </c>
      <c r="BJ32" s="44">
        <f t="shared" si="31"/>
        <v>-172.61823361823363</v>
      </c>
      <c r="BK32" s="44">
        <f t="shared" si="32"/>
        <v>-40.133390442391239</v>
      </c>
      <c r="BL32" s="44">
        <f t="shared" si="33"/>
        <v>35.552222222222227</v>
      </c>
      <c r="BM32" s="44">
        <f t="shared" si="34"/>
        <v>-640.97717961618036</v>
      </c>
      <c r="BN32" s="44">
        <f t="shared" si="35"/>
        <v>-90.863366578963479</v>
      </c>
      <c r="BO32" s="44">
        <f t="shared" si="36"/>
        <v>-731.84054619514382</v>
      </c>
      <c r="BP32" s="44">
        <f t="shared" si="37"/>
        <v>75.972801811172985</v>
      </c>
      <c r="BQ32" s="44">
        <f t="shared" si="38"/>
        <v>-565.00437780500738</v>
      </c>
    </row>
    <row r="33" spans="2:69" hidden="1">
      <c r="B33" s="4" t="s">
        <v>7</v>
      </c>
      <c r="C33" s="27" t="str">
        <f t="shared" si="0"/>
        <v>FEBRERO</v>
      </c>
      <c r="D33" s="27" t="s">
        <v>214</v>
      </c>
      <c r="E33" s="100">
        <v>43</v>
      </c>
      <c r="F33" s="100">
        <v>46075</v>
      </c>
      <c r="G33" s="101">
        <v>54</v>
      </c>
      <c r="H33" s="174" t="s">
        <v>33</v>
      </c>
      <c r="I33" s="27" t="s">
        <v>208</v>
      </c>
      <c r="J33" s="4" t="s">
        <v>209</v>
      </c>
      <c r="K33" s="7" t="s">
        <v>174</v>
      </c>
      <c r="L33" s="7" t="s">
        <v>201</v>
      </c>
      <c r="M33" s="21" t="s">
        <v>48</v>
      </c>
      <c r="N33" s="7" t="s">
        <v>194</v>
      </c>
      <c r="O33" s="20">
        <v>1300</v>
      </c>
      <c r="P33" s="61">
        <v>70200</v>
      </c>
      <c r="Q33" s="20">
        <v>1300</v>
      </c>
      <c r="R33" s="30">
        <f>3103*T33</f>
        <v>6206</v>
      </c>
      <c r="S33" s="32">
        <f t="shared" si="1"/>
        <v>63994</v>
      </c>
      <c r="T33" s="31">
        <v>2</v>
      </c>
      <c r="U33" s="173" t="s">
        <v>213</v>
      </c>
      <c r="V33" s="173">
        <v>6445502930</v>
      </c>
      <c r="W33" s="176" t="s">
        <v>125</v>
      </c>
      <c r="X33" s="4" t="s">
        <v>116</v>
      </c>
      <c r="Y33" s="7">
        <v>10005721</v>
      </c>
      <c r="Z33" s="7" t="s">
        <v>117</v>
      </c>
      <c r="AA33" s="7" t="str">
        <f t="shared" si="44"/>
        <v>FEBRERO10005721Compensación</v>
      </c>
      <c r="AB33" s="26">
        <f>INDEX('Detalle Costos'!$L$5:$L$158,MATCH(Resumen!AA33,'Detalle Costos'!$C$5:$C$158,0))*1000*0+AI33</f>
        <v>1740.7827151654001</v>
      </c>
      <c r="AC33" s="44">
        <f>IFERROR(INDEX('Detalle Costos'!$X$5:$X$158,MATCH(Resumen!AA33,'Detalle Costos'!$C$5:$C$158,0))*AG33,0)</f>
        <v>57043.95672347123</v>
      </c>
      <c r="AD33" s="44">
        <f>IFERROR(INDEX('Detalle Costos'!$Z$5:$Z$158,MATCH(Resumen!AA33,'Detalle Costos'!$C$5:$C$158,0))*AG33,0)</f>
        <v>18845.188801374748</v>
      </c>
      <c r="AE33" s="44">
        <f>IFERROR(INDEX('Detalle Costos'!$Y$5:$Y$158,MATCH(Resumen!AA33,'Detalle Costos'!$C$5:$C$158,0))*AG33,0)</f>
        <v>1002.5162251181431</v>
      </c>
      <c r="AF33" s="44">
        <f>IFERROR(INDEX('Detalle Costos'!$AA$5:$AA$158,MATCH(Resumen!AA33,'Detalle Costos'!$C$5:$C$158,0))*AG33,0)</f>
        <v>17110.604868967483</v>
      </c>
      <c r="AG33" s="44">
        <f t="shared" si="9"/>
        <v>94002.266618931608</v>
      </c>
      <c r="AH33" s="26">
        <f>+G33</f>
        <v>54</v>
      </c>
      <c r="AI33" s="44">
        <f>1.7407827151654*1000</f>
        <v>1740.7827151654001</v>
      </c>
      <c r="AJ33" s="44">
        <f>+AI33*AH33</f>
        <v>94002.266618931608</v>
      </c>
      <c r="AK33" s="45">
        <f t="shared" si="11"/>
        <v>-23802.266618931608</v>
      </c>
      <c r="AL33" s="94">
        <f t="shared" si="12"/>
        <v>-0.33906362705030779</v>
      </c>
      <c r="AM33" s="44">
        <f t="shared" si="13"/>
        <v>6206</v>
      </c>
      <c r="AN33" s="44">
        <f t="shared" si="3"/>
        <v>3115.3846153846152</v>
      </c>
      <c r="AO33" s="44">
        <f t="shared" si="14"/>
        <v>9321.3846153846152</v>
      </c>
      <c r="AP33" s="44">
        <f t="shared" si="41"/>
        <v>2167.2030838891269</v>
      </c>
      <c r="AQ33" s="44">
        <f t="shared" si="15"/>
        <v>1919.82</v>
      </c>
      <c r="AR33" s="45">
        <f t="shared" si="16"/>
        <v>-33371.034318205355</v>
      </c>
      <c r="AS33" s="94">
        <f t="shared" si="17"/>
        <v>-0.47537085923369449</v>
      </c>
      <c r="AT33" s="44">
        <f t="shared" si="42"/>
        <v>4906.6217952640282</v>
      </c>
      <c r="AU33" s="45">
        <f t="shared" si="18"/>
        <v>-38277.656113469384</v>
      </c>
      <c r="AV33" s="94">
        <f t="shared" si="19"/>
        <v>-0.54526575660212795</v>
      </c>
      <c r="AW33" s="44">
        <f t="shared" si="43"/>
        <v>4102.5312978033417</v>
      </c>
      <c r="AX33" s="45">
        <f t="shared" si="20"/>
        <v>-29268.503020402015</v>
      </c>
      <c r="AY33" s="94">
        <f t="shared" si="21"/>
        <v>-0.41693024245586918</v>
      </c>
      <c r="BA33" s="44">
        <f t="shared" si="22"/>
        <v>1300</v>
      </c>
      <c r="BB33" s="44">
        <f t="shared" si="23"/>
        <v>-1056.369568953171</v>
      </c>
      <c r="BC33" s="44">
        <f t="shared" si="24"/>
        <v>-348.98497780323606</v>
      </c>
      <c r="BD33" s="44">
        <f t="shared" si="25"/>
        <v>-18.565115279965614</v>
      </c>
      <c r="BE33" s="44">
        <f t="shared" si="26"/>
        <v>-316.86305312902743</v>
      </c>
      <c r="BF33" s="44">
        <f t="shared" si="27"/>
        <v>-1740.7827151654001</v>
      </c>
      <c r="BG33" s="44">
        <f t="shared" si="28"/>
        <v>-440.78271516540013</v>
      </c>
      <c r="BH33" s="44">
        <f t="shared" si="29"/>
        <v>-114.92592592592592</v>
      </c>
      <c r="BI33" s="44">
        <f t="shared" si="30"/>
        <v>-57.692307692307686</v>
      </c>
      <c r="BJ33" s="44">
        <f t="shared" si="31"/>
        <v>-172.6182336182336</v>
      </c>
      <c r="BK33" s="44">
        <f t="shared" si="32"/>
        <v>-40.133390442391239</v>
      </c>
      <c r="BL33" s="44">
        <f t="shared" si="33"/>
        <v>35.55222222222222</v>
      </c>
      <c r="BM33" s="44">
        <f t="shared" si="34"/>
        <v>-617.98211700380284</v>
      </c>
      <c r="BN33" s="44">
        <f t="shared" si="35"/>
        <v>-90.863366578963479</v>
      </c>
      <c r="BO33" s="44">
        <f t="shared" si="36"/>
        <v>-708.84548358276641</v>
      </c>
      <c r="BP33" s="44">
        <f t="shared" si="37"/>
        <v>75.972801811172999</v>
      </c>
      <c r="BQ33" s="44">
        <f t="shared" si="38"/>
        <v>-542.00931519262986</v>
      </c>
    </row>
    <row r="34" spans="2:69" hidden="1">
      <c r="B34" s="7" t="s">
        <v>7</v>
      </c>
      <c r="C34" s="27" t="str">
        <f t="shared" si="0"/>
        <v>FEBRERO</v>
      </c>
      <c r="D34" s="25" t="s">
        <v>215</v>
      </c>
      <c r="E34" s="100">
        <v>43</v>
      </c>
      <c r="F34" s="100">
        <v>46076</v>
      </c>
      <c r="G34" s="101">
        <v>156</v>
      </c>
      <c r="H34" s="104" t="s">
        <v>31</v>
      </c>
      <c r="I34" s="105" t="s">
        <v>110</v>
      </c>
      <c r="J34" s="7" t="s">
        <v>216</v>
      </c>
      <c r="K34" s="7" t="s">
        <v>164</v>
      </c>
      <c r="L34" s="7" t="s">
        <v>150</v>
      </c>
      <c r="M34" s="21" t="s">
        <v>47</v>
      </c>
      <c r="N34" s="7" t="s">
        <v>217</v>
      </c>
      <c r="O34" s="20">
        <v>2500</v>
      </c>
      <c r="P34" s="61">
        <v>390000</v>
      </c>
      <c r="Q34" s="30">
        <v>2337.2307692307691</v>
      </c>
      <c r="R34" s="30">
        <v>25392</v>
      </c>
      <c r="S34" s="32">
        <f t="shared" si="1"/>
        <v>364608</v>
      </c>
      <c r="T34" s="31">
        <v>4</v>
      </c>
      <c r="U34" s="29" t="s">
        <v>218</v>
      </c>
      <c r="V34" s="177">
        <v>11428031</v>
      </c>
      <c r="W34" s="25" t="s">
        <v>115</v>
      </c>
      <c r="X34" s="4" t="s">
        <v>116</v>
      </c>
      <c r="Y34" s="7">
        <v>10007162</v>
      </c>
      <c r="Z34" s="7" t="s">
        <v>117</v>
      </c>
      <c r="AA34" s="7" t="str">
        <f t="shared" si="44"/>
        <v>FEBRERO10007162Compensación</v>
      </c>
      <c r="AB34" s="26">
        <f>INDEX('Detalle Costos'!$L$5:$L$158,MATCH(Resumen!AA34,'Detalle Costos'!$C$5:$C$158,0))*1000*0+AI34</f>
        <v>1715.2908173076921</v>
      </c>
      <c r="AC34" s="44">
        <f>IFERROR(INDEX('Detalle Costos'!$X$5:$X$158,MATCH(Resumen!AA34,'Detalle Costos'!$C$5:$C$158,0))*AG34,0)</f>
        <v>167980.905</v>
      </c>
      <c r="AD34" s="44">
        <f>IFERROR(INDEX('Detalle Costos'!$Z$5:$Z$158,MATCH(Resumen!AA34,'Detalle Costos'!$C$5:$C$158,0))*AG34,0)</f>
        <v>47932.004999999997</v>
      </c>
      <c r="AE34" s="44">
        <f>IFERROR(INDEX('Detalle Costos'!$Y$5:$Y$158,MATCH(Resumen!AA34,'Detalle Costos'!$C$5:$C$158,0))*AG34,0)</f>
        <v>2495.5650000000001</v>
      </c>
      <c r="AF34" s="44">
        <f>IFERROR(INDEX('Detalle Costos'!$AA$5:$AA$158,MATCH(Resumen!AA34,'Detalle Costos'!$C$5:$C$158,0))*AG34,0)</f>
        <v>49176.892499999936</v>
      </c>
      <c r="AG34" s="44">
        <f t="shared" si="9"/>
        <v>267585.36749999999</v>
      </c>
      <c r="AH34" s="26">
        <f>+G34</f>
        <v>156</v>
      </c>
      <c r="AI34" s="44">
        <v>1715.2908173076921</v>
      </c>
      <c r="AJ34" s="44">
        <f>AI34*AH34</f>
        <v>267585.36749999999</v>
      </c>
      <c r="AK34" s="45">
        <f t="shared" si="11"/>
        <v>122414.63250000001</v>
      </c>
      <c r="AL34" s="94">
        <f t="shared" si="12"/>
        <v>0.31388367307692311</v>
      </c>
      <c r="AM34" s="44">
        <f t="shared" si="13"/>
        <v>25392</v>
      </c>
      <c r="AN34" s="44">
        <f t="shared" si="3"/>
        <v>9000</v>
      </c>
      <c r="AO34" s="44">
        <f t="shared" si="14"/>
        <v>34392</v>
      </c>
      <c r="AP34" s="44">
        <f t="shared" si="41"/>
        <v>6260.8089090130334</v>
      </c>
      <c r="AQ34" s="44">
        <f t="shared" si="15"/>
        <v>10938.24</v>
      </c>
      <c r="AR34" s="45">
        <f t="shared" si="16"/>
        <v>92700.063590986974</v>
      </c>
      <c r="AS34" s="94">
        <f t="shared" si="17"/>
        <v>0.23769247074612046</v>
      </c>
      <c r="AT34" s="44">
        <f t="shared" si="42"/>
        <v>14174.685186318302</v>
      </c>
      <c r="AU34" s="45">
        <f t="shared" si="18"/>
        <v>78525.378404668678</v>
      </c>
      <c r="AV34" s="94">
        <f t="shared" si="19"/>
        <v>0.20134712411453506</v>
      </c>
      <c r="AW34" s="44">
        <f t="shared" si="43"/>
        <v>11851.757082542987</v>
      </c>
      <c r="AX34" s="45">
        <f t="shared" si="20"/>
        <v>104551.82067352996</v>
      </c>
      <c r="AY34" s="94">
        <f t="shared" si="21"/>
        <v>0.26808159147058963</v>
      </c>
      <c r="BA34" s="44">
        <f t="shared" si="22"/>
        <v>2500</v>
      </c>
      <c r="BB34" s="44">
        <f t="shared" si="23"/>
        <v>-1076.800673076923</v>
      </c>
      <c r="BC34" s="44">
        <f t="shared" si="24"/>
        <v>-307.25644230769228</v>
      </c>
      <c r="BD34" s="44">
        <f t="shared" si="25"/>
        <v>-15.997211538461539</v>
      </c>
      <c r="BE34" s="44">
        <f t="shared" si="26"/>
        <v>-315.23649038461497</v>
      </c>
      <c r="BF34" s="44">
        <f t="shared" si="27"/>
        <v>-1715.2908173076924</v>
      </c>
      <c r="BG34" s="44">
        <f t="shared" si="28"/>
        <v>784.70918269230776</v>
      </c>
      <c r="BH34" s="44">
        <f t="shared" si="29"/>
        <v>-162.76923076923077</v>
      </c>
      <c r="BI34" s="44">
        <f t="shared" si="30"/>
        <v>-57.692307692307693</v>
      </c>
      <c r="BJ34" s="44">
        <f t="shared" si="31"/>
        <v>-220.46153846153845</v>
      </c>
      <c r="BK34" s="44">
        <f t="shared" si="32"/>
        <v>-40.133390442391239</v>
      </c>
      <c r="BL34" s="44">
        <f t="shared" si="33"/>
        <v>70.116923076923072</v>
      </c>
      <c r="BM34" s="44">
        <f t="shared" si="34"/>
        <v>594.23117686530111</v>
      </c>
      <c r="BN34" s="44">
        <f t="shared" si="35"/>
        <v>-90.863366578963479</v>
      </c>
      <c r="BO34" s="44">
        <f t="shared" si="36"/>
        <v>503.36781028633766</v>
      </c>
      <c r="BP34" s="44">
        <f t="shared" si="37"/>
        <v>75.972801811172985</v>
      </c>
      <c r="BQ34" s="44">
        <f t="shared" si="38"/>
        <v>670.20397867647409</v>
      </c>
    </row>
    <row r="35" spans="2:69" hidden="1">
      <c r="B35" s="7" t="s">
        <v>7</v>
      </c>
      <c r="C35" s="27" t="str">
        <f>B35</f>
        <v>FEBRERO</v>
      </c>
      <c r="D35" s="27"/>
      <c r="E35" s="100">
        <v>46080</v>
      </c>
      <c r="F35" s="100">
        <v>46080</v>
      </c>
      <c r="G35" s="178">
        <v>0</v>
      </c>
      <c r="H35" s="102" t="s">
        <v>423</v>
      </c>
      <c r="I35" s="27" t="s">
        <v>424</v>
      </c>
      <c r="J35" s="27" t="s">
        <v>424</v>
      </c>
      <c r="K35" s="27" t="s">
        <v>424</v>
      </c>
      <c r="L35" s="27" t="s">
        <v>424</v>
      </c>
      <c r="M35" s="27" t="s">
        <v>425</v>
      </c>
      <c r="N35" s="7"/>
      <c r="O35" s="44">
        <v>0</v>
      </c>
      <c r="P35" s="52">
        <v>40026</v>
      </c>
      <c r="Q35" s="44">
        <v>0</v>
      </c>
      <c r="R35" s="44">
        <v>0</v>
      </c>
      <c r="S35" s="45">
        <f t="shared" si="1"/>
        <v>40026</v>
      </c>
      <c r="T35" s="60"/>
      <c r="U35" s="97"/>
      <c r="V35" s="59"/>
      <c r="W35" s="25"/>
      <c r="X35" s="4"/>
      <c r="Y35" s="7"/>
      <c r="Z35" s="7"/>
      <c r="AA35" s="7"/>
      <c r="AB35" s="26">
        <v>0</v>
      </c>
      <c r="AC35" s="44">
        <f>IFERROR(INDEX('Detalle Costos'!$X$5:$X$158,MATCH(Resumen!AA35,'Detalle Costos'!$C$5:$C$158,0))*AG35,0)</f>
        <v>0</v>
      </c>
      <c r="AD35" s="44">
        <f>IFERROR(INDEX('Detalle Costos'!$Z$5:$Z$158,MATCH(Resumen!AA35,'Detalle Costos'!$C$5:$C$158,0))*AG35,0)</f>
        <v>0</v>
      </c>
      <c r="AE35" s="44">
        <f>IFERROR(INDEX('Detalle Costos'!$Y$5:$Y$158,MATCH(Resumen!AA35,'Detalle Costos'!$C$5:$C$158,0))*AG35,0)</f>
        <v>0</v>
      </c>
      <c r="AF35" s="44">
        <f>IFERROR(INDEX('Detalle Costos'!$AA$5:$AA$158,MATCH(Resumen!AA35,'Detalle Costos'!$C$5:$C$158,0))*AG35,0)</f>
        <v>0</v>
      </c>
      <c r="AG35" s="44">
        <f>AB35*G35</f>
        <v>0</v>
      </c>
      <c r="AH35" s="44"/>
      <c r="AI35" s="115"/>
      <c r="AJ35" s="44"/>
      <c r="AK35" s="45">
        <f>P35-AG35</f>
        <v>40026</v>
      </c>
      <c r="AL35" s="116">
        <f>AK35/P35</f>
        <v>1</v>
      </c>
      <c r="AM35" s="44">
        <f>R35</f>
        <v>0</v>
      </c>
      <c r="AN35" s="44">
        <f>1500/26*G35</f>
        <v>0</v>
      </c>
      <c r="AO35" s="44">
        <f>SUM(AM35:AN35)</f>
        <v>0</v>
      </c>
      <c r="AP35" s="44">
        <f>60070/248*G35</f>
        <v>0</v>
      </c>
      <c r="AQ35" s="44">
        <v>0</v>
      </c>
      <c r="AR35" s="45">
        <f>AK35-AO35-AP35+AQ35</f>
        <v>40026</v>
      </c>
      <c r="AS35" s="116">
        <f>AR35/P35</f>
        <v>1</v>
      </c>
      <c r="AT35" s="44">
        <f>131251/248*G35</f>
        <v>0</v>
      </c>
      <c r="AU35" s="45">
        <f>AR35-AT35</f>
        <v>40026</v>
      </c>
      <c r="AV35" s="116">
        <f>AU35/P35</f>
        <v>1</v>
      </c>
      <c r="AW35" s="44">
        <f>123530/248*G35</f>
        <v>0</v>
      </c>
      <c r="AX35" s="45">
        <f>AR35+AW35</f>
        <v>40026</v>
      </c>
      <c r="AY35" s="116">
        <f>AX35/P35</f>
        <v>1</v>
      </c>
      <c r="BA35" s="44">
        <v>0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0</v>
      </c>
      <c r="BO35" s="44">
        <v>0</v>
      </c>
      <c r="BP35" s="44">
        <v>0</v>
      </c>
      <c r="BQ35" s="44">
        <v>0</v>
      </c>
    </row>
    <row r="36" spans="2:69">
      <c r="B36" s="7" t="s">
        <v>7</v>
      </c>
      <c r="C36" s="129" t="s">
        <v>8</v>
      </c>
      <c r="D36" s="130" t="s">
        <v>219</v>
      </c>
      <c r="E36" s="131">
        <v>325</v>
      </c>
      <c r="F36" s="131">
        <v>46084</v>
      </c>
      <c r="G36" s="132">
        <v>26</v>
      </c>
      <c r="H36" s="133" t="s">
        <v>31</v>
      </c>
      <c r="I36" s="129" t="s">
        <v>110</v>
      </c>
      <c r="J36" s="19" t="s">
        <v>169</v>
      </c>
      <c r="K36" s="7" t="s">
        <v>164</v>
      </c>
      <c r="L36" s="7" t="s">
        <v>150</v>
      </c>
      <c r="M36" s="21" t="s">
        <v>51</v>
      </c>
      <c r="N36" s="7" t="s">
        <v>170</v>
      </c>
      <c r="O36" s="20">
        <v>2600</v>
      </c>
      <c r="P36" s="136">
        <v>67600</v>
      </c>
      <c r="Q36" s="135">
        <v>2518.6153846153848</v>
      </c>
      <c r="R36" s="135">
        <v>4232</v>
      </c>
      <c r="S36" s="137">
        <f t="shared" ref="S36:S67" si="46">P36-R36</f>
        <v>63368</v>
      </c>
      <c r="T36" s="65">
        <v>1</v>
      </c>
      <c r="U36" s="7" t="s">
        <v>220</v>
      </c>
      <c r="V36" s="7">
        <v>51077247</v>
      </c>
      <c r="W36" s="4"/>
      <c r="X36" s="4"/>
      <c r="Y36" s="7">
        <v>10007162</v>
      </c>
      <c r="Z36" s="7" t="s">
        <v>221</v>
      </c>
      <c r="AA36" s="7" t="str">
        <f t="shared" ref="AA36:AA37" si="47">B36&amp;Y36&amp;Z36</f>
        <v>FEBRERO10007162Inventario final</v>
      </c>
      <c r="AB36" s="135">
        <f>INDEX('Detalle Costos'!$L$5:$L$158,MATCH(Resumen!AA36,'Detalle Costos'!$C$5:$C$158,0))*1000</f>
        <v>1720</v>
      </c>
      <c r="AC36" s="46">
        <f>IFERROR(INDEX('Detalle Costos'!$X$5:$X$158,MATCH(Resumen!AA36,'Detalle Costos'!$C$5:$C$158,0))*AG36,0)</f>
        <v>28073.680096465938</v>
      </c>
      <c r="AD36" s="46">
        <f>IFERROR(INDEX('Detalle Costos'!$Z$5:$Z$158,MATCH(Resumen!AA36,'Detalle Costos'!$C$5:$C$158,0))*AG36,0)</f>
        <v>8010.6001950438958</v>
      </c>
      <c r="AE36" s="46">
        <f>IFERROR(INDEX('Detalle Costos'!$Y$5:$Y$158,MATCH(Resumen!AA36,'Detalle Costos'!$C$5:$C$158,0))*AG36,0)</f>
        <v>417.07006125095137</v>
      </c>
      <c r="AF36" s="46">
        <f>IFERROR(INDEX('Detalle Costos'!$AA$5:$AA$158,MATCH(Resumen!AA36,'Detalle Costos'!$C$5:$C$158,0))*AG36,0)</f>
        <v>8218.6496472392118</v>
      </c>
      <c r="AG36" s="138">
        <f t="shared" ref="AG36:AG37" si="48">AB36*G36</f>
        <v>44720</v>
      </c>
      <c r="AH36" s="46"/>
      <c r="AI36" s="46"/>
      <c r="AJ36" s="46"/>
      <c r="AK36" s="139">
        <f t="shared" ref="AK36:AK53" si="49">P36-AG36</f>
        <v>22880</v>
      </c>
      <c r="AL36" s="140">
        <f t="shared" ref="AL36:AL53" si="50">AK36/P36</f>
        <v>0.33846153846153848</v>
      </c>
      <c r="AM36" s="44">
        <f t="shared" si="13"/>
        <v>4232</v>
      </c>
      <c r="AN36" s="44">
        <f t="shared" ref="AN36:AN53" si="51">1500/26*G36</f>
        <v>1500</v>
      </c>
      <c r="AO36" s="138">
        <f t="shared" si="14"/>
        <v>5732</v>
      </c>
      <c r="AP36" s="138">
        <f t="shared" ref="AP36:AP69" si="52">70656.31/1997.8*G36</f>
        <v>919.54352788066876</v>
      </c>
      <c r="AQ36" s="138">
        <f t="shared" si="15"/>
        <v>1901.04</v>
      </c>
      <c r="AR36" s="139">
        <f t="shared" si="16"/>
        <v>18129.496472119332</v>
      </c>
      <c r="AS36" s="140">
        <f t="shared" si="17"/>
        <v>0.26818781763490135</v>
      </c>
      <c r="AT36" s="138">
        <f t="shared" ref="AT36:AT69" si="53">105684.48/1997.8*G36</f>
        <v>1375.4111923115427</v>
      </c>
      <c r="AU36" s="139">
        <f t="shared" si="18"/>
        <v>16754.08527980779</v>
      </c>
      <c r="AV36" s="140">
        <f t="shared" si="19"/>
        <v>0.24784149822200874</v>
      </c>
      <c r="AW36" s="138">
        <f t="shared" ref="AW36:AW69" si="54">123484.35/1997.8*G36</f>
        <v>1607.0643207528283</v>
      </c>
      <c r="AX36" s="139">
        <f t="shared" si="20"/>
        <v>19736.560792872158</v>
      </c>
      <c r="AY36" s="140">
        <f t="shared" si="21"/>
        <v>0.2919609584744402</v>
      </c>
      <c r="BA36" s="44">
        <f t="shared" si="22"/>
        <v>2600</v>
      </c>
      <c r="BB36" s="44">
        <f t="shared" si="23"/>
        <v>-1079.7569267871515</v>
      </c>
      <c r="BC36" s="44">
        <f t="shared" si="24"/>
        <v>-308.10000750168831</v>
      </c>
      <c r="BD36" s="44">
        <f t="shared" si="25"/>
        <v>-16.041156201959669</v>
      </c>
      <c r="BE36" s="44">
        <f t="shared" si="26"/>
        <v>-316.10190950920048</v>
      </c>
      <c r="BF36" s="44">
        <f t="shared" si="27"/>
        <v>-1720</v>
      </c>
      <c r="BG36" s="44">
        <f t="shared" si="28"/>
        <v>880</v>
      </c>
      <c r="BH36" s="44">
        <f t="shared" si="29"/>
        <v>-162.76923076923077</v>
      </c>
      <c r="BI36" s="44">
        <f t="shared" si="30"/>
        <v>-57.692307692307693</v>
      </c>
      <c r="BJ36" s="44">
        <f t="shared" si="31"/>
        <v>-220.46153846153845</v>
      </c>
      <c r="BK36" s="44">
        <f t="shared" si="32"/>
        <v>-35.367058764641108</v>
      </c>
      <c r="BL36" s="44">
        <f t="shared" si="33"/>
        <v>73.116923076923072</v>
      </c>
      <c r="BM36" s="44">
        <f t="shared" si="34"/>
        <v>697.28832585074349</v>
      </c>
      <c r="BN36" s="44">
        <f t="shared" si="35"/>
        <v>-52.900430473520871</v>
      </c>
      <c r="BO36" s="44">
        <f t="shared" si="36"/>
        <v>644.38789537722266</v>
      </c>
      <c r="BP36" s="44">
        <f t="shared" si="37"/>
        <v>61.81016618280109</v>
      </c>
      <c r="BQ36" s="44">
        <f t="shared" si="38"/>
        <v>759.09849203354452</v>
      </c>
    </row>
    <row r="37" spans="2:69">
      <c r="B37" s="7" t="s">
        <v>7</v>
      </c>
      <c r="C37" s="129" t="s">
        <v>8</v>
      </c>
      <c r="D37" s="130" t="s">
        <v>222</v>
      </c>
      <c r="E37" s="131">
        <v>325</v>
      </c>
      <c r="F37" s="131">
        <v>46084</v>
      </c>
      <c r="G37" s="132">
        <v>26</v>
      </c>
      <c r="H37" s="133" t="s">
        <v>31</v>
      </c>
      <c r="I37" s="129" t="s">
        <v>110</v>
      </c>
      <c r="J37" s="19" t="s">
        <v>169</v>
      </c>
      <c r="K37" s="7" t="s">
        <v>164</v>
      </c>
      <c r="L37" s="7" t="s">
        <v>150</v>
      </c>
      <c r="M37" s="21" t="s">
        <v>51</v>
      </c>
      <c r="N37" s="7" t="s">
        <v>170</v>
      </c>
      <c r="O37" s="20">
        <v>2600</v>
      </c>
      <c r="P37" s="136">
        <v>67600</v>
      </c>
      <c r="Q37" s="135">
        <v>2518.6153846153848</v>
      </c>
      <c r="R37" s="135">
        <v>4232</v>
      </c>
      <c r="S37" s="137">
        <f t="shared" si="46"/>
        <v>63368</v>
      </c>
      <c r="T37" s="65">
        <v>1</v>
      </c>
      <c r="U37" s="7" t="s">
        <v>220</v>
      </c>
      <c r="V37" s="7">
        <v>37563181</v>
      </c>
      <c r="W37" s="4"/>
      <c r="X37" s="4"/>
      <c r="Y37" s="7">
        <v>10007162</v>
      </c>
      <c r="Z37" s="7" t="s">
        <v>221</v>
      </c>
      <c r="AA37" s="7" t="str">
        <f t="shared" si="47"/>
        <v>FEBRERO10007162Inventario final</v>
      </c>
      <c r="AB37" s="135">
        <f>INDEX('Detalle Costos'!$L$5:$L$158,MATCH(Resumen!AA37,'Detalle Costos'!$C$5:$C$158,0))*1000</f>
        <v>1720</v>
      </c>
      <c r="AC37" s="46">
        <f>IFERROR(INDEX('Detalle Costos'!$X$5:$X$158,MATCH(Resumen!AA37,'Detalle Costos'!$C$5:$C$158,0))*AG37,0)</f>
        <v>28073.680096465938</v>
      </c>
      <c r="AD37" s="46">
        <f>IFERROR(INDEX('Detalle Costos'!$Z$5:$Z$158,MATCH(Resumen!AA37,'Detalle Costos'!$C$5:$C$158,0))*AG37,0)</f>
        <v>8010.6001950438958</v>
      </c>
      <c r="AE37" s="46">
        <f>IFERROR(INDEX('Detalle Costos'!$Y$5:$Y$158,MATCH(Resumen!AA37,'Detalle Costos'!$C$5:$C$158,0))*AG37,0)</f>
        <v>417.07006125095137</v>
      </c>
      <c r="AF37" s="46">
        <f>IFERROR(INDEX('Detalle Costos'!$AA$5:$AA$158,MATCH(Resumen!AA37,'Detalle Costos'!$C$5:$C$158,0))*AG37,0)</f>
        <v>8218.6496472392118</v>
      </c>
      <c r="AG37" s="138">
        <f t="shared" si="48"/>
        <v>44720</v>
      </c>
      <c r="AH37" s="46"/>
      <c r="AI37" s="46"/>
      <c r="AJ37" s="46"/>
      <c r="AK37" s="139">
        <f t="shared" si="49"/>
        <v>22880</v>
      </c>
      <c r="AL37" s="140">
        <f t="shared" si="50"/>
        <v>0.33846153846153848</v>
      </c>
      <c r="AM37" s="44">
        <f t="shared" si="13"/>
        <v>4232</v>
      </c>
      <c r="AN37" s="44">
        <f t="shared" si="51"/>
        <v>1500</v>
      </c>
      <c r="AO37" s="138">
        <f t="shared" si="14"/>
        <v>5732</v>
      </c>
      <c r="AP37" s="138">
        <f t="shared" si="52"/>
        <v>919.54352788066876</v>
      </c>
      <c r="AQ37" s="138">
        <f t="shared" si="15"/>
        <v>1901.04</v>
      </c>
      <c r="AR37" s="139">
        <f t="shared" si="16"/>
        <v>18129.496472119332</v>
      </c>
      <c r="AS37" s="140">
        <f t="shared" si="17"/>
        <v>0.26818781763490135</v>
      </c>
      <c r="AT37" s="138">
        <f t="shared" si="53"/>
        <v>1375.4111923115427</v>
      </c>
      <c r="AU37" s="139">
        <f t="shared" si="18"/>
        <v>16754.08527980779</v>
      </c>
      <c r="AV37" s="140">
        <f t="shared" si="19"/>
        <v>0.24784149822200874</v>
      </c>
      <c r="AW37" s="138">
        <f t="shared" si="54"/>
        <v>1607.0643207528283</v>
      </c>
      <c r="AX37" s="139">
        <f t="shared" si="20"/>
        <v>19736.560792872158</v>
      </c>
      <c r="AY37" s="140">
        <f t="shared" si="21"/>
        <v>0.2919609584744402</v>
      </c>
      <c r="BA37" s="44">
        <f t="shared" si="22"/>
        <v>2600</v>
      </c>
      <c r="BB37" s="44">
        <f t="shared" si="23"/>
        <v>-1079.7569267871515</v>
      </c>
      <c r="BC37" s="44">
        <f t="shared" si="24"/>
        <v>-308.10000750168831</v>
      </c>
      <c r="BD37" s="44">
        <f t="shared" si="25"/>
        <v>-16.041156201959669</v>
      </c>
      <c r="BE37" s="44">
        <f t="shared" si="26"/>
        <v>-316.10190950920048</v>
      </c>
      <c r="BF37" s="44">
        <f t="shared" si="27"/>
        <v>-1720</v>
      </c>
      <c r="BG37" s="44">
        <f t="shared" si="28"/>
        <v>880</v>
      </c>
      <c r="BH37" s="44">
        <f t="shared" si="29"/>
        <v>-162.76923076923077</v>
      </c>
      <c r="BI37" s="44">
        <f t="shared" si="30"/>
        <v>-57.692307692307693</v>
      </c>
      <c r="BJ37" s="44">
        <f t="shared" si="31"/>
        <v>-220.46153846153845</v>
      </c>
      <c r="BK37" s="44">
        <f t="shared" si="32"/>
        <v>-35.367058764641108</v>
      </c>
      <c r="BL37" s="44">
        <f t="shared" si="33"/>
        <v>73.116923076923072</v>
      </c>
      <c r="BM37" s="44">
        <f t="shared" si="34"/>
        <v>697.28832585074349</v>
      </c>
      <c r="BN37" s="44">
        <f t="shared" si="35"/>
        <v>-52.900430473520871</v>
      </c>
      <c r="BO37" s="44">
        <f t="shared" si="36"/>
        <v>644.38789537722266</v>
      </c>
      <c r="BP37" s="44">
        <f t="shared" si="37"/>
        <v>61.81016618280109</v>
      </c>
      <c r="BQ37" s="44">
        <f t="shared" si="38"/>
        <v>759.09849203354452</v>
      </c>
    </row>
    <row r="38" spans="2:69" hidden="1">
      <c r="B38" s="7" t="s">
        <v>7</v>
      </c>
      <c r="C38" s="29" t="s">
        <v>8</v>
      </c>
      <c r="D38" s="27" t="s">
        <v>223</v>
      </c>
      <c r="E38" s="100">
        <v>30</v>
      </c>
      <c r="F38" s="100">
        <v>46084</v>
      </c>
      <c r="G38" s="101">
        <v>24</v>
      </c>
      <c r="H38" s="174" t="s">
        <v>33</v>
      </c>
      <c r="I38" s="27" t="s">
        <v>135</v>
      </c>
      <c r="J38" s="19" t="s">
        <v>224</v>
      </c>
      <c r="K38" s="7" t="s">
        <v>144</v>
      </c>
      <c r="L38" s="7" t="s">
        <v>145</v>
      </c>
      <c r="M38" s="21" t="s">
        <v>46</v>
      </c>
      <c r="N38" s="7" t="s">
        <v>132</v>
      </c>
      <c r="O38" s="20">
        <v>1700</v>
      </c>
      <c r="P38" s="61">
        <v>40800</v>
      </c>
      <c r="Q38" s="20">
        <v>1562.375</v>
      </c>
      <c r="R38" s="30">
        <v>3303</v>
      </c>
      <c r="S38" s="32">
        <f t="shared" si="46"/>
        <v>37497</v>
      </c>
      <c r="T38" s="65">
        <v>1</v>
      </c>
      <c r="U38" s="23" t="s">
        <v>225</v>
      </c>
      <c r="V38" s="173" t="s">
        <v>226</v>
      </c>
      <c r="W38" s="62" t="s">
        <v>141</v>
      </c>
      <c r="X38" s="4" t="s">
        <v>116</v>
      </c>
      <c r="Y38" s="7">
        <v>10005721</v>
      </c>
      <c r="Z38" s="7" t="s">
        <v>221</v>
      </c>
      <c r="AA38" s="7" t="str">
        <f t="shared" ref="AA38:AA41" si="55">B38&amp;Y38&amp;Z38</f>
        <v>FEBRERO10005721Inventario final</v>
      </c>
      <c r="AB38" s="20">
        <f>INDEX('Detalle Costos'!$L$5:$L$158,MATCH(Resumen!AA38,'Detalle Costos'!$C$5:$C$158,0))*1000</f>
        <v>1740</v>
      </c>
      <c r="AC38" s="46">
        <f>IFERROR(INDEX('Detalle Costos'!$X$5:$X$158,MATCH(Resumen!AA38,'Detalle Costos'!$C$5:$C$158,0))*AG38,0)</f>
        <v>25341.469852777249</v>
      </c>
      <c r="AD38" s="46">
        <f>IFERROR(INDEX('Detalle Costos'!$Z$5:$Z$158,MATCH(Resumen!AA38,'Detalle Costos'!$C$5:$C$158,0))*AG38,0)</f>
        <v>8371.8734501256513</v>
      </c>
      <c r="AE38" s="46">
        <f>IFERROR(INDEX('Detalle Costos'!$Y$5:$Y$158,MATCH(Resumen!AA38,'Detalle Costos'!$C$5:$C$158,0))*AG38,0)</f>
        <v>445.36290049708072</v>
      </c>
      <c r="AF38" s="46">
        <f>IFERROR(INDEX('Detalle Costos'!$AA$5:$AA$158,MATCH(Resumen!AA38,'Detalle Costos'!$C$5:$C$158,0))*AG38,0)</f>
        <v>7601.2937966000209</v>
      </c>
      <c r="AG38" s="46">
        <f t="shared" ref="AG38:AG41" si="56">AB38*G38</f>
        <v>41760</v>
      </c>
      <c r="AH38" s="46"/>
      <c r="AI38" s="46"/>
      <c r="AJ38" s="46"/>
      <c r="AK38" s="45">
        <f t="shared" si="49"/>
        <v>-960</v>
      </c>
      <c r="AL38" s="94">
        <f t="shared" si="50"/>
        <v>-2.3529411764705882E-2</v>
      </c>
      <c r="AM38" s="44">
        <f t="shared" si="13"/>
        <v>3303</v>
      </c>
      <c r="AN38" s="44">
        <f t="shared" si="51"/>
        <v>1384.6153846153848</v>
      </c>
      <c r="AO38" s="44">
        <f t="shared" si="14"/>
        <v>4687.6153846153848</v>
      </c>
      <c r="AP38" s="44">
        <f t="shared" si="52"/>
        <v>848.80941035138653</v>
      </c>
      <c r="AQ38" s="44">
        <f t="shared" si="15"/>
        <v>1124.9099999999999</v>
      </c>
      <c r="AR38" s="45">
        <f t="shared" si="16"/>
        <v>-5371.5147949667717</v>
      </c>
      <c r="AS38" s="94">
        <f t="shared" si="17"/>
        <v>-0.13165477438644049</v>
      </c>
      <c r="AT38" s="44">
        <f t="shared" si="53"/>
        <v>1269.6103313645008</v>
      </c>
      <c r="AU38" s="45">
        <f t="shared" si="18"/>
        <v>-6641.1251263312724</v>
      </c>
      <c r="AV38" s="94">
        <f t="shared" si="19"/>
        <v>-0.16277267466498216</v>
      </c>
      <c r="AW38" s="44">
        <f t="shared" si="54"/>
        <v>1483.443988387226</v>
      </c>
      <c r="AX38" s="45">
        <f t="shared" si="20"/>
        <v>-3888.0708065795457</v>
      </c>
      <c r="AY38" s="94">
        <f t="shared" si="21"/>
        <v>-9.5295853102439848E-2</v>
      </c>
      <c r="BA38" s="44">
        <f t="shared" si="22"/>
        <v>1700</v>
      </c>
      <c r="BB38" s="44">
        <f t="shared" si="23"/>
        <v>-1055.894577199052</v>
      </c>
      <c r="BC38" s="44">
        <f t="shared" si="24"/>
        <v>-348.82806042190214</v>
      </c>
      <c r="BD38" s="44">
        <f t="shared" si="25"/>
        <v>-18.556787520711698</v>
      </c>
      <c r="BE38" s="44">
        <f t="shared" si="26"/>
        <v>-316.7205748583342</v>
      </c>
      <c r="BF38" s="44">
        <f t="shared" si="27"/>
        <v>-1740</v>
      </c>
      <c r="BG38" s="44">
        <f t="shared" si="28"/>
        <v>-40</v>
      </c>
      <c r="BH38" s="44">
        <f t="shared" si="29"/>
        <v>-137.625</v>
      </c>
      <c r="BI38" s="44">
        <f t="shared" si="30"/>
        <v>-57.692307692307701</v>
      </c>
      <c r="BJ38" s="44">
        <f t="shared" si="31"/>
        <v>-195.31730769230771</v>
      </c>
      <c r="BK38" s="44">
        <f t="shared" si="32"/>
        <v>-35.367058764641108</v>
      </c>
      <c r="BL38" s="44">
        <f t="shared" si="33"/>
        <v>46.871249999999996</v>
      </c>
      <c r="BM38" s="44">
        <f t="shared" si="34"/>
        <v>-223.81311645694882</v>
      </c>
      <c r="BN38" s="44">
        <f t="shared" si="35"/>
        <v>-52.900430473520863</v>
      </c>
      <c r="BO38" s="44">
        <f t="shared" si="36"/>
        <v>-276.7135469304697</v>
      </c>
      <c r="BP38" s="44">
        <f t="shared" si="37"/>
        <v>61.810166182801083</v>
      </c>
      <c r="BQ38" s="44">
        <f t="shared" si="38"/>
        <v>-162.00295027414774</v>
      </c>
    </row>
    <row r="39" spans="2:69" hidden="1">
      <c r="B39" s="7" t="s">
        <v>7</v>
      </c>
      <c r="C39" s="29" t="s">
        <v>8</v>
      </c>
      <c r="D39" s="25" t="s">
        <v>227</v>
      </c>
      <c r="E39" s="100">
        <v>30</v>
      </c>
      <c r="F39" s="100">
        <v>46085</v>
      </c>
      <c r="G39" s="103">
        <v>72</v>
      </c>
      <c r="H39" s="102" t="s">
        <v>35</v>
      </c>
      <c r="I39" s="27" t="s">
        <v>119</v>
      </c>
      <c r="J39" s="7" t="s">
        <v>156</v>
      </c>
      <c r="K39" s="7" t="s">
        <v>121</v>
      </c>
      <c r="L39" s="7" t="s">
        <v>122</v>
      </c>
      <c r="M39" s="21" t="s">
        <v>46</v>
      </c>
      <c r="N39" s="7" t="s">
        <v>132</v>
      </c>
      <c r="O39" s="20">
        <v>1400</v>
      </c>
      <c r="P39" s="61">
        <v>100800</v>
      </c>
      <c r="Q39" s="20">
        <v>1266.5416666666667</v>
      </c>
      <c r="R39" s="30">
        <v>9609</v>
      </c>
      <c r="S39" s="32">
        <f t="shared" si="46"/>
        <v>91191</v>
      </c>
      <c r="T39" s="65">
        <v>3</v>
      </c>
      <c r="U39" s="66" t="s">
        <v>225</v>
      </c>
      <c r="V39" s="67" t="s">
        <v>228</v>
      </c>
      <c r="W39" s="66" t="s">
        <v>229</v>
      </c>
      <c r="X39" s="4" t="s">
        <v>116</v>
      </c>
      <c r="Y39" s="7">
        <v>10005779</v>
      </c>
      <c r="Z39" s="7" t="s">
        <v>221</v>
      </c>
      <c r="AA39" s="7" t="str">
        <f t="shared" si="55"/>
        <v>FEBRERO10005779Inventario final</v>
      </c>
      <c r="AB39" s="20">
        <f>INDEX('Detalle Costos'!$L$5:$L$158,MATCH(Resumen!AA39,'Detalle Costos'!$C$5:$C$158,0))*1000</f>
        <v>1860</v>
      </c>
      <c r="AC39" s="46">
        <f>IFERROR(INDEX('Detalle Costos'!$X$5:$X$158,MATCH(Resumen!AA39,'Detalle Costos'!$C$5:$C$158,0))*AG39,0)</f>
        <v>81515.847234083616</v>
      </c>
      <c r="AD39" s="46">
        <f>IFERROR(INDEX('Detalle Costos'!$Z$5:$Z$158,MATCH(Resumen!AA39,'Detalle Costos'!$C$5:$C$158,0))*AG39,0)</f>
        <v>29485.475655513077</v>
      </c>
      <c r="AE39" s="46">
        <f>IFERROR(INDEX('Detalle Costos'!$Y$5:$Y$158,MATCH(Resumen!AA39,'Detalle Costos'!$C$5:$C$158,0))*AG39,0)</f>
        <v>976.89119234288887</v>
      </c>
      <c r="AF39" s="46">
        <f>IFERROR(INDEX('Detalle Costos'!$AA$5:$AA$158,MATCH(Resumen!AA39,'Detalle Costos'!$C$5:$C$158,0))*AG39,0)</f>
        <v>21941.78591806041</v>
      </c>
      <c r="AG39" s="46">
        <f t="shared" si="56"/>
        <v>133920</v>
      </c>
      <c r="AH39" s="46"/>
      <c r="AI39" s="46"/>
      <c r="AJ39" s="46"/>
      <c r="AK39" s="45">
        <f t="shared" si="49"/>
        <v>-33120</v>
      </c>
      <c r="AL39" s="94">
        <f t="shared" si="50"/>
        <v>-0.32857142857142857</v>
      </c>
      <c r="AM39" s="44">
        <f t="shared" si="13"/>
        <v>9609</v>
      </c>
      <c r="AN39" s="44">
        <f t="shared" si="51"/>
        <v>4153.8461538461543</v>
      </c>
      <c r="AO39" s="44">
        <f t="shared" si="14"/>
        <v>13762.846153846154</v>
      </c>
      <c r="AP39" s="44">
        <f t="shared" si="52"/>
        <v>2546.4282310541598</v>
      </c>
      <c r="AQ39" s="44">
        <f t="shared" si="15"/>
        <v>2735.73</v>
      </c>
      <c r="AR39" s="45">
        <f t="shared" si="16"/>
        <v>-46693.544384900313</v>
      </c>
      <c r="AS39" s="94">
        <f t="shared" si="17"/>
        <v>-0.46322960699305865</v>
      </c>
      <c r="AT39" s="44">
        <f t="shared" si="53"/>
        <v>3808.8309940935028</v>
      </c>
      <c r="AU39" s="45">
        <f t="shared" si="18"/>
        <v>-50502.375378993813</v>
      </c>
      <c r="AV39" s="94">
        <f t="shared" si="19"/>
        <v>-0.50101562875985928</v>
      </c>
      <c r="AW39" s="44">
        <f t="shared" si="54"/>
        <v>4450.3319651616785</v>
      </c>
      <c r="AX39" s="45">
        <f t="shared" si="20"/>
        <v>-42243.212419738637</v>
      </c>
      <c r="AY39" s="94">
        <f t="shared" si="21"/>
        <v>-0.4190794882910579</v>
      </c>
      <c r="BA39" s="44">
        <f t="shared" si="22"/>
        <v>1400</v>
      </c>
      <c r="BB39" s="44">
        <f t="shared" si="23"/>
        <v>-1132.1645449178279</v>
      </c>
      <c r="BC39" s="44">
        <f t="shared" si="24"/>
        <v>-409.52049521545939</v>
      </c>
      <c r="BD39" s="44">
        <f t="shared" si="25"/>
        <v>-13.567933226984568</v>
      </c>
      <c r="BE39" s="44">
        <f t="shared" si="26"/>
        <v>-304.74702663972789</v>
      </c>
      <c r="BF39" s="44">
        <f t="shared" si="27"/>
        <v>-1860</v>
      </c>
      <c r="BG39" s="44">
        <f t="shared" si="28"/>
        <v>-460</v>
      </c>
      <c r="BH39" s="44">
        <f t="shared" si="29"/>
        <v>-133.45833333333334</v>
      </c>
      <c r="BI39" s="44">
        <f t="shared" si="30"/>
        <v>-57.692307692307701</v>
      </c>
      <c r="BJ39" s="44">
        <f t="shared" si="31"/>
        <v>-191.15064102564102</v>
      </c>
      <c r="BK39" s="44">
        <f t="shared" si="32"/>
        <v>-35.367058764641108</v>
      </c>
      <c r="BL39" s="44">
        <f t="shared" si="33"/>
        <v>37.996250000000003</v>
      </c>
      <c r="BM39" s="44">
        <f t="shared" si="34"/>
        <v>-648.52144979028208</v>
      </c>
      <c r="BN39" s="44">
        <f t="shared" si="35"/>
        <v>-52.900430473520871</v>
      </c>
      <c r="BO39" s="44">
        <f t="shared" si="36"/>
        <v>-701.4218802638029</v>
      </c>
      <c r="BP39" s="44">
        <f t="shared" si="37"/>
        <v>61.81016618280109</v>
      </c>
      <c r="BQ39" s="44">
        <f t="shared" si="38"/>
        <v>-586.71128360748105</v>
      </c>
    </row>
    <row r="40" spans="2:69" hidden="1">
      <c r="B40" s="7" t="s">
        <v>7</v>
      </c>
      <c r="C40" s="29" t="s">
        <v>8</v>
      </c>
      <c r="D40" s="25" t="s">
        <v>262</v>
      </c>
      <c r="E40" s="100">
        <v>30</v>
      </c>
      <c r="F40" s="100">
        <v>46108</v>
      </c>
      <c r="G40" s="103">
        <v>48</v>
      </c>
      <c r="H40" s="102" t="s">
        <v>35</v>
      </c>
      <c r="I40" s="27" t="s">
        <v>119</v>
      </c>
      <c r="J40" s="7" t="s">
        <v>156</v>
      </c>
      <c r="K40" s="7" t="s">
        <v>121</v>
      </c>
      <c r="L40" s="7" t="s">
        <v>122</v>
      </c>
      <c r="M40" s="21" t="s">
        <v>46</v>
      </c>
      <c r="N40" s="7" t="s">
        <v>132</v>
      </c>
      <c r="O40" s="20">
        <v>1400</v>
      </c>
      <c r="P40" s="61">
        <v>67200</v>
      </c>
      <c r="Q40" s="20">
        <v>1254.1666666666667</v>
      </c>
      <c r="R40" s="30">
        <v>7000</v>
      </c>
      <c r="S40" s="32">
        <f t="shared" si="46"/>
        <v>60200</v>
      </c>
      <c r="T40" s="65">
        <v>2</v>
      </c>
      <c r="U40" s="59" t="s">
        <v>263</v>
      </c>
      <c r="V40" s="27">
        <v>6446527790</v>
      </c>
      <c r="W40" s="62" t="s">
        <v>125</v>
      </c>
      <c r="X40" s="4" t="s">
        <v>116</v>
      </c>
      <c r="Y40" s="7">
        <v>10005779</v>
      </c>
      <c r="Z40" s="7" t="s">
        <v>221</v>
      </c>
      <c r="AA40" s="7" t="str">
        <f t="shared" si="55"/>
        <v>FEBRERO10005779Inventario final</v>
      </c>
      <c r="AB40" s="20">
        <f>INDEX('Detalle Costos'!$L$5:$L$158,MATCH(Resumen!AA40,'Detalle Costos'!$C$5:$C$158,0))*1000</f>
        <v>1860</v>
      </c>
      <c r="AC40" s="46">
        <f>IFERROR(INDEX('Detalle Costos'!$X$5:$X$158,MATCH(Resumen!AA40,'Detalle Costos'!$C$5:$C$158,0))*AG40,0)</f>
        <v>54343.898156055744</v>
      </c>
      <c r="AD40" s="46">
        <f>IFERROR(INDEX('Detalle Costos'!$Z$5:$Z$158,MATCH(Resumen!AA40,'Detalle Costos'!$C$5:$C$158,0))*AG40,0)</f>
        <v>19656.983770342053</v>
      </c>
      <c r="AE40" s="46">
        <f>IFERROR(INDEX('Detalle Costos'!$Y$5:$Y$158,MATCH(Resumen!AA40,'Detalle Costos'!$C$5:$C$158,0))*AG40,0)</f>
        <v>651.26079489525921</v>
      </c>
      <c r="AF40" s="46">
        <f>IFERROR(INDEX('Detalle Costos'!$AA$5:$AA$158,MATCH(Resumen!AA40,'Detalle Costos'!$C$5:$C$158,0))*AG40,0)</f>
        <v>14627.857278706941</v>
      </c>
      <c r="AG40" s="46">
        <f t="shared" si="56"/>
        <v>89280</v>
      </c>
      <c r="AH40" s="46"/>
      <c r="AI40" s="46"/>
      <c r="AJ40" s="46"/>
      <c r="AK40" s="45">
        <f t="shared" si="49"/>
        <v>-22080</v>
      </c>
      <c r="AL40" s="94">
        <f t="shared" si="50"/>
        <v>-0.32857142857142857</v>
      </c>
      <c r="AM40" s="44">
        <f t="shared" si="13"/>
        <v>7000</v>
      </c>
      <c r="AN40" s="44">
        <f t="shared" si="51"/>
        <v>2769.2307692307695</v>
      </c>
      <c r="AO40" s="44">
        <f t="shared" si="14"/>
        <v>9769.2307692307695</v>
      </c>
      <c r="AP40" s="44">
        <f t="shared" si="52"/>
        <v>1697.6188207027731</v>
      </c>
      <c r="AQ40" s="44">
        <f t="shared" si="15"/>
        <v>1806</v>
      </c>
      <c r="AR40" s="45">
        <f t="shared" si="16"/>
        <v>-31740.849589933539</v>
      </c>
      <c r="AS40" s="94">
        <f t="shared" si="17"/>
        <v>-0.47233407127877292</v>
      </c>
      <c r="AT40" s="44">
        <f t="shared" si="53"/>
        <v>2539.2206627290016</v>
      </c>
      <c r="AU40" s="45">
        <f t="shared" si="18"/>
        <v>-34280.070252662539</v>
      </c>
      <c r="AV40" s="94">
        <f t="shared" si="19"/>
        <v>-0.51012009304557349</v>
      </c>
      <c r="AW40" s="44">
        <f t="shared" si="54"/>
        <v>2966.887976774452</v>
      </c>
      <c r="AX40" s="45">
        <f t="shared" si="20"/>
        <v>-28773.961613159088</v>
      </c>
      <c r="AY40" s="94">
        <f t="shared" si="21"/>
        <v>-0.42818395257677216</v>
      </c>
      <c r="BA40" s="44">
        <f t="shared" si="22"/>
        <v>1400</v>
      </c>
      <c r="BB40" s="44">
        <f t="shared" si="23"/>
        <v>-1132.1645449178279</v>
      </c>
      <c r="BC40" s="44">
        <f t="shared" si="24"/>
        <v>-409.52049521545945</v>
      </c>
      <c r="BD40" s="44">
        <f t="shared" si="25"/>
        <v>-13.567933226984566</v>
      </c>
      <c r="BE40" s="44">
        <f t="shared" si="26"/>
        <v>-304.74702663972795</v>
      </c>
      <c r="BF40" s="44">
        <f t="shared" si="27"/>
        <v>-1860</v>
      </c>
      <c r="BG40" s="44">
        <f t="shared" si="28"/>
        <v>-460</v>
      </c>
      <c r="BH40" s="44">
        <f t="shared" si="29"/>
        <v>-145.83333333333334</v>
      </c>
      <c r="BI40" s="44">
        <f t="shared" si="30"/>
        <v>-57.692307692307701</v>
      </c>
      <c r="BJ40" s="44">
        <f t="shared" si="31"/>
        <v>-203.52564102564102</v>
      </c>
      <c r="BK40" s="44">
        <f t="shared" si="32"/>
        <v>-35.367058764641108</v>
      </c>
      <c r="BL40" s="44">
        <f t="shared" si="33"/>
        <v>37.625</v>
      </c>
      <c r="BM40" s="44">
        <f t="shared" si="34"/>
        <v>-661.26769979028211</v>
      </c>
      <c r="BN40" s="44">
        <f t="shared" si="35"/>
        <v>-52.900430473520863</v>
      </c>
      <c r="BO40" s="44">
        <f t="shared" si="36"/>
        <v>-714.16813026380294</v>
      </c>
      <c r="BP40" s="44">
        <f t="shared" si="37"/>
        <v>61.810166182801083</v>
      </c>
      <c r="BQ40" s="44">
        <f t="shared" si="38"/>
        <v>-599.45753360748097</v>
      </c>
    </row>
    <row r="41" spans="2:69" hidden="1">
      <c r="B41" s="7" t="s">
        <v>7</v>
      </c>
      <c r="C41" s="29" t="s">
        <v>8</v>
      </c>
      <c r="D41" s="25" t="s">
        <v>230</v>
      </c>
      <c r="E41" s="100">
        <v>34</v>
      </c>
      <c r="F41" s="100">
        <v>46087</v>
      </c>
      <c r="G41" s="103">
        <v>48</v>
      </c>
      <c r="H41" s="102" t="s">
        <v>32</v>
      </c>
      <c r="I41" s="27" t="s">
        <v>158</v>
      </c>
      <c r="J41" s="7" t="s">
        <v>231</v>
      </c>
      <c r="K41" s="7" t="s">
        <v>232</v>
      </c>
      <c r="L41" s="7" t="s">
        <v>233</v>
      </c>
      <c r="M41" s="21" t="s">
        <v>46</v>
      </c>
      <c r="N41" s="7" t="s">
        <v>132</v>
      </c>
      <c r="O41" s="20">
        <v>1600</v>
      </c>
      <c r="P41" s="61">
        <v>76800</v>
      </c>
      <c r="Q41" s="20">
        <v>1479.1666666666667</v>
      </c>
      <c r="R41" s="30">
        <v>5800</v>
      </c>
      <c r="S41" s="32">
        <f t="shared" si="46"/>
        <v>71000</v>
      </c>
      <c r="T41" s="65">
        <v>2</v>
      </c>
      <c r="U41" s="23" t="s">
        <v>234</v>
      </c>
      <c r="V41" s="27">
        <v>6445718250</v>
      </c>
      <c r="W41" s="62" t="s">
        <v>125</v>
      </c>
      <c r="X41" s="4" t="s">
        <v>116</v>
      </c>
      <c r="Y41" s="7">
        <v>10006720</v>
      </c>
      <c r="Z41" s="7" t="s">
        <v>221</v>
      </c>
      <c r="AA41" s="7" t="str">
        <f t="shared" si="55"/>
        <v>FEBRERO10006720Inventario final</v>
      </c>
      <c r="AB41" s="20">
        <f>INDEX('Detalle Costos'!$L$5:$L$158,MATCH(Resumen!AA41,'Detalle Costos'!$C$5:$C$158,0))*1000</f>
        <v>1640</v>
      </c>
      <c r="AC41" s="46">
        <f>IFERROR(INDEX('Detalle Costos'!$X$5:$X$158,MATCH(Resumen!AA41,'Detalle Costos'!$C$5:$C$158,0))*AG41,0)</f>
        <v>51030.234029991967</v>
      </c>
      <c r="AD41" s="46">
        <f>IFERROR(INDEX('Detalle Costos'!$Z$5:$Z$158,MATCH(Resumen!AA41,'Detalle Costos'!$C$5:$C$158,0))*AG41,0)</f>
        <v>11676.679950572587</v>
      </c>
      <c r="AE41" s="46">
        <f>IFERROR(INDEX('Detalle Costos'!$Y$5:$Y$158,MATCH(Resumen!AA41,'Detalle Costos'!$C$5:$C$158,0))*AG41,0)</f>
        <v>764.81419043806204</v>
      </c>
      <c r="AF41" s="46">
        <f>IFERROR(INDEX('Detalle Costos'!$AA$5:$AA$158,MATCH(Resumen!AA41,'Detalle Costos'!$C$5:$C$158,0))*AG41,0)</f>
        <v>15248.271828997389</v>
      </c>
      <c r="AG41" s="46">
        <f t="shared" si="56"/>
        <v>78720</v>
      </c>
      <c r="AH41" s="46"/>
      <c r="AI41" s="46"/>
      <c r="AJ41" s="46"/>
      <c r="AK41" s="45">
        <f t="shared" si="49"/>
        <v>-1920</v>
      </c>
      <c r="AL41" s="94">
        <f t="shared" si="50"/>
        <v>-2.5000000000000001E-2</v>
      </c>
      <c r="AM41" s="44">
        <f t="shared" si="13"/>
        <v>5800</v>
      </c>
      <c r="AN41" s="44">
        <f t="shared" si="51"/>
        <v>2769.2307692307695</v>
      </c>
      <c r="AO41" s="44">
        <f t="shared" si="14"/>
        <v>8569.2307692307695</v>
      </c>
      <c r="AP41" s="44">
        <f t="shared" si="52"/>
        <v>1697.6188207027731</v>
      </c>
      <c r="AQ41" s="44">
        <f t="shared" si="15"/>
        <v>2130</v>
      </c>
      <c r="AR41" s="45">
        <f t="shared" si="16"/>
        <v>-10056.849589933543</v>
      </c>
      <c r="AS41" s="94">
        <f t="shared" si="17"/>
        <v>-0.13094856236892635</v>
      </c>
      <c r="AT41" s="44">
        <f t="shared" si="53"/>
        <v>2539.2206627290016</v>
      </c>
      <c r="AU41" s="45">
        <f t="shared" si="18"/>
        <v>-12596.070252662545</v>
      </c>
      <c r="AV41" s="94">
        <f t="shared" si="19"/>
        <v>-0.16401133141487689</v>
      </c>
      <c r="AW41" s="44">
        <f t="shared" si="54"/>
        <v>2966.887976774452</v>
      </c>
      <c r="AX41" s="45">
        <f t="shared" si="20"/>
        <v>-7089.961613159091</v>
      </c>
      <c r="AY41" s="94">
        <f t="shared" si="21"/>
        <v>-9.231720850467566E-2</v>
      </c>
      <c r="BA41" s="44">
        <f t="shared" si="22"/>
        <v>1600</v>
      </c>
      <c r="BB41" s="44">
        <f t="shared" si="23"/>
        <v>-1063.1298756248327</v>
      </c>
      <c r="BC41" s="44">
        <f t="shared" si="24"/>
        <v>-243.26416563692888</v>
      </c>
      <c r="BD41" s="44">
        <f t="shared" si="25"/>
        <v>-15.933628967459626</v>
      </c>
      <c r="BE41" s="44">
        <f t="shared" si="26"/>
        <v>-317.67232977077896</v>
      </c>
      <c r="BF41" s="44">
        <f t="shared" si="27"/>
        <v>-1640</v>
      </c>
      <c r="BG41" s="44">
        <f t="shared" si="28"/>
        <v>-40</v>
      </c>
      <c r="BH41" s="44">
        <f t="shared" si="29"/>
        <v>-120.83333333333333</v>
      </c>
      <c r="BI41" s="44">
        <f t="shared" si="30"/>
        <v>-57.692307692307701</v>
      </c>
      <c r="BJ41" s="44">
        <f t="shared" si="31"/>
        <v>-178.52564102564102</v>
      </c>
      <c r="BK41" s="44">
        <f t="shared" si="32"/>
        <v>-35.367058764641108</v>
      </c>
      <c r="BL41" s="44">
        <f t="shared" si="33"/>
        <v>44.375</v>
      </c>
      <c r="BM41" s="44">
        <f t="shared" si="34"/>
        <v>-209.51769979028214</v>
      </c>
      <c r="BN41" s="44">
        <f t="shared" si="35"/>
        <v>-52.900430473520863</v>
      </c>
      <c r="BO41" s="44">
        <f t="shared" si="36"/>
        <v>-262.41813026380299</v>
      </c>
      <c r="BP41" s="44">
        <f t="shared" si="37"/>
        <v>61.810166182801083</v>
      </c>
      <c r="BQ41" s="44">
        <f t="shared" si="38"/>
        <v>-147.70753360748105</v>
      </c>
    </row>
    <row r="42" spans="2:69" hidden="1">
      <c r="B42" s="7" t="s">
        <v>7</v>
      </c>
      <c r="C42" s="29" t="s">
        <v>8</v>
      </c>
      <c r="D42" s="25" t="s">
        <v>264</v>
      </c>
      <c r="E42" s="100">
        <v>40</v>
      </c>
      <c r="F42" s="100">
        <v>46105</v>
      </c>
      <c r="G42" s="103">
        <v>27</v>
      </c>
      <c r="H42" s="102" t="s">
        <v>39</v>
      </c>
      <c r="I42" s="27" t="s">
        <v>173</v>
      </c>
      <c r="J42" s="7"/>
      <c r="K42" s="7" t="s">
        <v>174</v>
      </c>
      <c r="L42" s="7" t="s">
        <v>175</v>
      </c>
      <c r="M42" s="21" t="s">
        <v>54</v>
      </c>
      <c r="N42" s="7"/>
      <c r="O42" s="20">
        <v>1400</v>
      </c>
      <c r="P42" s="61">
        <v>37800</v>
      </c>
      <c r="Q42" s="20">
        <v>1271.6296296296296</v>
      </c>
      <c r="R42" s="30">
        <v>3466</v>
      </c>
      <c r="S42" s="32">
        <f t="shared" si="46"/>
        <v>34334</v>
      </c>
      <c r="T42" s="65">
        <v>1</v>
      </c>
      <c r="U42" s="179" t="s">
        <v>265</v>
      </c>
      <c r="V42" s="180" t="s">
        <v>266</v>
      </c>
      <c r="W42" s="181" t="s">
        <v>185</v>
      </c>
      <c r="X42" s="4" t="s">
        <v>116</v>
      </c>
      <c r="Y42" s="7"/>
      <c r="Z42" s="7"/>
      <c r="AA42" s="7"/>
      <c r="AB42" s="20">
        <v>0</v>
      </c>
      <c r="AC42" s="46">
        <f>IFERROR(INDEX('Detalle Costos'!$X$5:$X$158,MATCH(Resumen!AA42,'Detalle Costos'!$C$5:$C$158,0))*AG42,0)</f>
        <v>0</v>
      </c>
      <c r="AD42" s="46">
        <f>IFERROR(INDEX('Detalle Costos'!$Z$5:$Z$158,MATCH(Resumen!AA42,'Detalle Costos'!$C$5:$C$158,0))*AG42,0)</f>
        <v>0</v>
      </c>
      <c r="AE42" s="46">
        <f>IFERROR(INDEX('Detalle Costos'!$Y$5:$Y$158,MATCH(Resumen!AA42,'Detalle Costos'!$C$5:$C$158,0))*AG42,0)</f>
        <v>0</v>
      </c>
      <c r="AF42" s="46">
        <f>IFERROR(INDEX('Detalle Costos'!$AA$5:$AA$158,MATCH(Resumen!AA42,'Detalle Costos'!$C$5:$C$158,0))*AG42,0)</f>
        <v>0</v>
      </c>
      <c r="AG42" s="46">
        <f>AB42*G42</f>
        <v>0</v>
      </c>
      <c r="AH42" s="46"/>
      <c r="AI42" s="46"/>
      <c r="AJ42" s="46"/>
      <c r="AK42" s="45">
        <f t="shared" si="49"/>
        <v>37800</v>
      </c>
      <c r="AL42" s="94">
        <f t="shared" si="50"/>
        <v>1</v>
      </c>
      <c r="AM42" s="44">
        <f t="shared" si="13"/>
        <v>3466</v>
      </c>
      <c r="AN42" s="44">
        <f t="shared" si="51"/>
        <v>1557.6923076923076</v>
      </c>
      <c r="AO42" s="44">
        <f t="shared" si="14"/>
        <v>5023.6923076923076</v>
      </c>
      <c r="AP42" s="44">
        <f t="shared" si="52"/>
        <v>954.91058664530988</v>
      </c>
      <c r="AQ42" s="44">
        <f t="shared" si="15"/>
        <v>1030.02</v>
      </c>
      <c r="AR42" s="45">
        <f t="shared" si="16"/>
        <v>32851.417105662382</v>
      </c>
      <c r="AS42" s="94">
        <f t="shared" si="17"/>
        <v>0.86908510861540689</v>
      </c>
      <c r="AT42" s="44">
        <f t="shared" si="53"/>
        <v>1428.3116227850635</v>
      </c>
      <c r="AU42" s="45">
        <f t="shared" si="18"/>
        <v>31423.105482877319</v>
      </c>
      <c r="AV42" s="94">
        <f t="shared" si="19"/>
        <v>0.83129908684860632</v>
      </c>
      <c r="AW42" s="44">
        <f t="shared" si="54"/>
        <v>1668.8744869356292</v>
      </c>
      <c r="AX42" s="45">
        <f t="shared" si="20"/>
        <v>34520.291592598012</v>
      </c>
      <c r="AY42" s="94">
        <f t="shared" si="21"/>
        <v>0.91323522731740769</v>
      </c>
      <c r="BA42" s="44">
        <f t="shared" si="22"/>
        <v>1400</v>
      </c>
      <c r="BB42" s="44">
        <f t="shared" si="23"/>
        <v>0</v>
      </c>
      <c r="BC42" s="44">
        <f t="shared" si="24"/>
        <v>0</v>
      </c>
      <c r="BD42" s="44">
        <f t="shared" si="25"/>
        <v>0</v>
      </c>
      <c r="BE42" s="44">
        <f t="shared" si="26"/>
        <v>0</v>
      </c>
      <c r="BF42" s="44">
        <f t="shared" si="27"/>
        <v>0</v>
      </c>
      <c r="BG42" s="44">
        <f t="shared" si="28"/>
        <v>1400</v>
      </c>
      <c r="BH42" s="44">
        <f t="shared" si="29"/>
        <v>-128.37037037037038</v>
      </c>
      <c r="BI42" s="44">
        <f t="shared" si="30"/>
        <v>-57.692307692307686</v>
      </c>
      <c r="BJ42" s="44">
        <f t="shared" si="31"/>
        <v>-186.06267806267806</v>
      </c>
      <c r="BK42" s="44">
        <f t="shared" si="32"/>
        <v>-35.367058764641108</v>
      </c>
      <c r="BL42" s="44">
        <f t="shared" si="33"/>
        <v>38.148888888888891</v>
      </c>
      <c r="BM42" s="44">
        <f t="shared" si="34"/>
        <v>1216.7191520615697</v>
      </c>
      <c r="BN42" s="44">
        <f t="shared" si="35"/>
        <v>-52.900430473520871</v>
      </c>
      <c r="BO42" s="44">
        <f t="shared" si="36"/>
        <v>1163.8187215880489</v>
      </c>
      <c r="BP42" s="44">
        <f t="shared" si="37"/>
        <v>61.810166182801083</v>
      </c>
      <c r="BQ42" s="44">
        <f t="shared" si="38"/>
        <v>1278.5293182443709</v>
      </c>
    </row>
    <row r="43" spans="2:69" hidden="1">
      <c r="B43" s="7" t="s">
        <v>7</v>
      </c>
      <c r="C43" s="29" t="s">
        <v>8</v>
      </c>
      <c r="D43" s="25" t="s">
        <v>235</v>
      </c>
      <c r="E43" s="100">
        <v>42</v>
      </c>
      <c r="F43" s="100">
        <v>46104</v>
      </c>
      <c r="G43" s="101">
        <v>48</v>
      </c>
      <c r="H43" s="102" t="s">
        <v>38</v>
      </c>
      <c r="I43" s="27" t="s">
        <v>129</v>
      </c>
      <c r="J43" s="7"/>
      <c r="K43" s="7" t="s">
        <v>130</v>
      </c>
      <c r="L43" s="7" t="s">
        <v>131</v>
      </c>
      <c r="M43" s="21" t="s">
        <v>46</v>
      </c>
      <c r="N43" s="7" t="s">
        <v>132</v>
      </c>
      <c r="O43" s="20">
        <v>1600</v>
      </c>
      <c r="P43" s="61">
        <v>76800</v>
      </c>
      <c r="Q43" s="20">
        <v>1462.5</v>
      </c>
      <c r="R43" s="30">
        <v>6600</v>
      </c>
      <c r="S43" s="32">
        <f t="shared" si="46"/>
        <v>70200</v>
      </c>
      <c r="T43" s="65">
        <v>2</v>
      </c>
      <c r="U43" s="23" t="s">
        <v>267</v>
      </c>
      <c r="V43" s="27">
        <v>6446513180</v>
      </c>
      <c r="W43" s="62" t="s">
        <v>125</v>
      </c>
      <c r="X43" s="4" t="s">
        <v>116</v>
      </c>
      <c r="Y43" s="7">
        <v>10007969</v>
      </c>
      <c r="Z43" s="7" t="s">
        <v>221</v>
      </c>
      <c r="AA43" s="7" t="str">
        <f t="shared" ref="AA43" si="57">B43&amp;Y43&amp;Z43</f>
        <v>FEBRERO10007969Inventario final</v>
      </c>
      <c r="AB43" s="20">
        <f>INDEX('Detalle Costos'!$L$5:$L$158,MATCH(Resumen!AA43,'Detalle Costos'!$C$5:$C$158,0))*1000</f>
        <v>1400</v>
      </c>
      <c r="AC43" s="46">
        <f>IFERROR(INDEX('Detalle Costos'!$X$5:$X$158,MATCH(Resumen!AA43,'Detalle Costos'!$C$5:$C$158,0))*AG43,0)</f>
        <v>54354.508379726183</v>
      </c>
      <c r="AD43" s="46">
        <f>IFERROR(INDEX('Detalle Costos'!$Z$5:$Z$158,MATCH(Resumen!AA43,'Detalle Costos'!$C$5:$C$158,0))*AG43,0)</f>
        <v>10231.733201803394</v>
      </c>
      <c r="AE43" s="46">
        <f>IFERROR(INDEX('Detalle Costos'!$Y$5:$Y$158,MATCH(Resumen!AA43,'Detalle Costos'!$C$5:$C$158,0))*AG43,0)</f>
        <v>802.340930980042</v>
      </c>
      <c r="AF43" s="46">
        <f>IFERROR(INDEX('Detalle Costos'!$AA$5:$AA$158,MATCH(Resumen!AA43,'Detalle Costos'!$C$5:$C$158,0))*AG43,0)</f>
        <v>1811.4174874903686</v>
      </c>
      <c r="AG43" s="46">
        <f t="shared" ref="AG43" si="58">AB43*G43</f>
        <v>67200</v>
      </c>
      <c r="AH43" s="46"/>
      <c r="AI43" s="46"/>
      <c r="AJ43" s="46"/>
      <c r="AK43" s="45">
        <f t="shared" si="49"/>
        <v>9600</v>
      </c>
      <c r="AL43" s="94">
        <f t="shared" si="50"/>
        <v>0.125</v>
      </c>
      <c r="AM43" s="44">
        <f t="shared" si="13"/>
        <v>6600</v>
      </c>
      <c r="AN43" s="44">
        <f t="shared" si="51"/>
        <v>2769.2307692307695</v>
      </c>
      <c r="AO43" s="44">
        <f t="shared" si="14"/>
        <v>9369.2307692307695</v>
      </c>
      <c r="AP43" s="44">
        <f t="shared" si="52"/>
        <v>1697.6188207027731</v>
      </c>
      <c r="AQ43" s="44">
        <f t="shared" si="15"/>
        <v>2106</v>
      </c>
      <c r="AR43" s="45">
        <f t="shared" si="16"/>
        <v>639.15041006645743</v>
      </c>
      <c r="AS43" s="94">
        <f t="shared" si="17"/>
        <v>8.3222709644069984E-3</v>
      </c>
      <c r="AT43" s="44">
        <f t="shared" si="53"/>
        <v>2539.2206627290016</v>
      </c>
      <c r="AU43" s="45">
        <f t="shared" si="18"/>
        <v>-1900.0702526625441</v>
      </c>
      <c r="AV43" s="94">
        <f t="shared" si="19"/>
        <v>-2.4740498081543542E-2</v>
      </c>
      <c r="AW43" s="44">
        <f t="shared" si="54"/>
        <v>2966.887976774452</v>
      </c>
      <c r="AX43" s="45">
        <f t="shared" si="20"/>
        <v>3606.0383868409094</v>
      </c>
      <c r="AY43" s="94">
        <f t="shared" si="21"/>
        <v>4.6953624828657677E-2</v>
      </c>
      <c r="BA43" s="44">
        <f t="shared" si="22"/>
        <v>1600</v>
      </c>
      <c r="BB43" s="44">
        <f t="shared" si="23"/>
        <v>-1132.3855912442955</v>
      </c>
      <c r="BC43" s="44">
        <f t="shared" si="24"/>
        <v>-213.16110837090403</v>
      </c>
      <c r="BD43" s="44">
        <f t="shared" si="25"/>
        <v>-16.715436062084208</v>
      </c>
      <c r="BE43" s="44">
        <f t="shared" si="26"/>
        <v>-37.737864322716014</v>
      </c>
      <c r="BF43" s="44">
        <f t="shared" si="27"/>
        <v>-1400</v>
      </c>
      <c r="BG43" s="44">
        <f t="shared" si="28"/>
        <v>200</v>
      </c>
      <c r="BH43" s="44">
        <f t="shared" si="29"/>
        <v>-137.5</v>
      </c>
      <c r="BI43" s="44">
        <f t="shared" si="30"/>
        <v>-57.692307692307701</v>
      </c>
      <c r="BJ43" s="44">
        <f t="shared" si="31"/>
        <v>-195.19230769230771</v>
      </c>
      <c r="BK43" s="44">
        <f t="shared" si="32"/>
        <v>-35.367058764641108</v>
      </c>
      <c r="BL43" s="44">
        <f t="shared" si="33"/>
        <v>43.875</v>
      </c>
      <c r="BM43" s="44">
        <f t="shared" si="34"/>
        <v>13.315633543051197</v>
      </c>
      <c r="BN43" s="44">
        <f t="shared" si="35"/>
        <v>-52.900430473520863</v>
      </c>
      <c r="BO43" s="44">
        <f t="shared" si="36"/>
        <v>-39.584796930469672</v>
      </c>
      <c r="BP43" s="44">
        <f t="shared" si="37"/>
        <v>61.810166182801083</v>
      </c>
      <c r="BQ43" s="44">
        <f t="shared" si="38"/>
        <v>75.125799725852275</v>
      </c>
    </row>
    <row r="44" spans="2:69" hidden="1">
      <c r="B44" s="7" t="s">
        <v>7</v>
      </c>
      <c r="C44" s="29" t="s">
        <v>8</v>
      </c>
      <c r="D44" s="25" t="s">
        <v>237</v>
      </c>
      <c r="E44" s="100">
        <v>43</v>
      </c>
      <c r="F44" s="100">
        <v>46084</v>
      </c>
      <c r="G44" s="103">
        <v>116.8</v>
      </c>
      <c r="H44" s="102" t="s">
        <v>32</v>
      </c>
      <c r="I44" s="27" t="s">
        <v>158</v>
      </c>
      <c r="J44" s="4" t="s">
        <v>238</v>
      </c>
      <c r="K44" s="7" t="s">
        <v>174</v>
      </c>
      <c r="L44" s="7" t="s">
        <v>175</v>
      </c>
      <c r="M44" s="21" t="s">
        <v>46</v>
      </c>
      <c r="N44" s="7" t="s">
        <v>132</v>
      </c>
      <c r="O44" s="20">
        <v>1600</v>
      </c>
      <c r="P44" s="61">
        <v>186880</v>
      </c>
      <c r="Q44" s="20">
        <v>1484.2893835616439</v>
      </c>
      <c r="R44" s="30">
        <v>13515</v>
      </c>
      <c r="S44" s="32">
        <f t="shared" si="46"/>
        <v>173365</v>
      </c>
      <c r="T44" s="31">
        <v>5</v>
      </c>
      <c r="U44" s="66" t="s">
        <v>225</v>
      </c>
      <c r="V44" s="29" t="s">
        <v>239</v>
      </c>
      <c r="W44" s="182" t="s">
        <v>141</v>
      </c>
      <c r="X44" s="4" t="s">
        <v>116</v>
      </c>
      <c r="Y44" s="7">
        <v>10006720</v>
      </c>
      <c r="Z44" s="7" t="s">
        <v>221</v>
      </c>
      <c r="AA44" s="7" t="str">
        <f t="shared" ref="AA44:AA45" si="59">B44&amp;Y44&amp;Z44</f>
        <v>FEBRERO10006720Inventario final</v>
      </c>
      <c r="AB44" s="20">
        <f>INDEX('Detalle Costos'!$L$5:$L$158,MATCH(Resumen!AA44,'Detalle Costos'!$C$5:$C$158,0))*1000</f>
        <v>1640</v>
      </c>
      <c r="AC44" s="46">
        <f>IFERROR(INDEX('Detalle Costos'!$X$5:$X$158,MATCH(Resumen!AA44,'Detalle Costos'!$C$5:$C$158,0))*AG44,0)</f>
        <v>124173.56947298045</v>
      </c>
      <c r="AD44" s="46">
        <f>IFERROR(INDEX('Detalle Costos'!$Z$5:$Z$158,MATCH(Resumen!AA44,'Detalle Costos'!$C$5:$C$158,0))*AG44,0)</f>
        <v>28413.254546393295</v>
      </c>
      <c r="AE44" s="46">
        <f>IFERROR(INDEX('Detalle Costos'!$Y$5:$Y$158,MATCH(Resumen!AA44,'Detalle Costos'!$C$5:$C$158,0))*AG44,0)</f>
        <v>1861.0478633992841</v>
      </c>
      <c r="AF44" s="46">
        <f>IFERROR(INDEX('Detalle Costos'!$AA$5:$AA$158,MATCH(Resumen!AA44,'Detalle Costos'!$C$5:$C$158,0))*AG44,0)</f>
        <v>37104.128117226981</v>
      </c>
      <c r="AG44" s="46">
        <f t="shared" ref="AG44:AG45" si="60">AB44*G44</f>
        <v>191552</v>
      </c>
      <c r="AH44" s="46"/>
      <c r="AI44" s="46"/>
      <c r="AJ44" s="46"/>
      <c r="AK44" s="45">
        <f t="shared" si="49"/>
        <v>-4672</v>
      </c>
      <c r="AL44" s="94">
        <f t="shared" si="50"/>
        <v>-2.5000000000000001E-2</v>
      </c>
      <c r="AM44" s="44">
        <f t="shared" si="13"/>
        <v>13515</v>
      </c>
      <c r="AN44" s="44">
        <f t="shared" si="51"/>
        <v>6738.4615384615381</v>
      </c>
      <c r="AO44" s="44">
        <f t="shared" si="14"/>
        <v>20253.461538461539</v>
      </c>
      <c r="AP44" s="44">
        <f t="shared" si="52"/>
        <v>4130.8724637100813</v>
      </c>
      <c r="AQ44" s="44">
        <f t="shared" si="15"/>
        <v>5200.95</v>
      </c>
      <c r="AR44" s="45">
        <f t="shared" si="16"/>
        <v>-23855.384002171621</v>
      </c>
      <c r="AS44" s="94">
        <f t="shared" si="17"/>
        <v>-0.12765081336778478</v>
      </c>
      <c r="AT44" s="44">
        <f t="shared" si="53"/>
        <v>6178.7702793072376</v>
      </c>
      <c r="AU44" s="45">
        <f t="shared" si="18"/>
        <v>-30034.154281478859</v>
      </c>
      <c r="AV44" s="94">
        <f t="shared" si="19"/>
        <v>-0.16071358241373535</v>
      </c>
      <c r="AW44" s="44">
        <f t="shared" si="54"/>
        <v>7219.4274101511664</v>
      </c>
      <c r="AX44" s="45">
        <f t="shared" si="20"/>
        <v>-16635.956592020455</v>
      </c>
      <c r="AY44" s="94">
        <f t="shared" si="21"/>
        <v>-8.9019459503534112E-2</v>
      </c>
      <c r="BA44" s="44">
        <f t="shared" si="22"/>
        <v>1600</v>
      </c>
      <c r="BB44" s="44">
        <f t="shared" si="23"/>
        <v>-1063.1298756248327</v>
      </c>
      <c r="BC44" s="44">
        <f t="shared" si="24"/>
        <v>-243.26416563692891</v>
      </c>
      <c r="BD44" s="44">
        <f t="shared" si="25"/>
        <v>-15.933628967459624</v>
      </c>
      <c r="BE44" s="44">
        <f t="shared" si="26"/>
        <v>-317.67232977077896</v>
      </c>
      <c r="BF44" s="44">
        <f t="shared" si="27"/>
        <v>-1640</v>
      </c>
      <c r="BG44" s="44">
        <f t="shared" si="28"/>
        <v>-40</v>
      </c>
      <c r="BH44" s="44">
        <f t="shared" si="29"/>
        <v>-115.71061643835617</v>
      </c>
      <c r="BI44" s="44">
        <f t="shared" si="30"/>
        <v>-57.692307692307693</v>
      </c>
      <c r="BJ44" s="44">
        <f t="shared" si="31"/>
        <v>-173.40292413066388</v>
      </c>
      <c r="BK44" s="44">
        <f t="shared" si="32"/>
        <v>-35.367058764641108</v>
      </c>
      <c r="BL44" s="44">
        <f t="shared" si="33"/>
        <v>44.528681506849317</v>
      </c>
      <c r="BM44" s="44">
        <f t="shared" si="34"/>
        <v>-204.24130138845567</v>
      </c>
      <c r="BN44" s="44">
        <f t="shared" si="35"/>
        <v>-52.900430473520871</v>
      </c>
      <c r="BO44" s="44">
        <f t="shared" si="36"/>
        <v>-257.14173186197655</v>
      </c>
      <c r="BP44" s="44">
        <f t="shared" si="37"/>
        <v>61.810166182801083</v>
      </c>
      <c r="BQ44" s="44">
        <f t="shared" si="38"/>
        <v>-142.43113520565458</v>
      </c>
    </row>
    <row r="45" spans="2:69" hidden="1">
      <c r="B45" s="7" t="s">
        <v>7</v>
      </c>
      <c r="C45" s="29" t="s">
        <v>8</v>
      </c>
      <c r="D45" s="25" t="s">
        <v>240</v>
      </c>
      <c r="E45" s="100">
        <v>43</v>
      </c>
      <c r="F45" s="100">
        <v>46091</v>
      </c>
      <c r="G45" s="103">
        <v>135</v>
      </c>
      <c r="H45" s="102" t="s">
        <v>32</v>
      </c>
      <c r="I45" s="27" t="s">
        <v>158</v>
      </c>
      <c r="J45" s="4" t="s">
        <v>238</v>
      </c>
      <c r="K45" s="7" t="s">
        <v>174</v>
      </c>
      <c r="L45" s="7" t="s">
        <v>175</v>
      </c>
      <c r="M45" s="21" t="s">
        <v>46</v>
      </c>
      <c r="N45" s="7" t="s">
        <v>132</v>
      </c>
      <c r="O45" s="20">
        <v>1600</v>
      </c>
      <c r="P45" s="61">
        <v>216000</v>
      </c>
      <c r="Q45" s="20">
        <v>1519.911111111111</v>
      </c>
      <c r="R45" s="30">
        <v>10812</v>
      </c>
      <c r="S45" s="32">
        <f t="shared" si="46"/>
        <v>205188</v>
      </c>
      <c r="T45" s="31">
        <v>4</v>
      </c>
      <c r="U45" s="66" t="s">
        <v>241</v>
      </c>
      <c r="V45" s="67" t="s">
        <v>242</v>
      </c>
      <c r="W45" s="182" t="s">
        <v>141</v>
      </c>
      <c r="X45" s="4" t="s">
        <v>116</v>
      </c>
      <c r="Y45" s="7">
        <v>10006720</v>
      </c>
      <c r="Z45" s="7" t="s">
        <v>221</v>
      </c>
      <c r="AA45" s="7" t="str">
        <f t="shared" si="59"/>
        <v>FEBRERO10006720Inventario final</v>
      </c>
      <c r="AB45" s="20">
        <f>INDEX('Detalle Costos'!$L$5:$L$158,MATCH(Resumen!AA45,'Detalle Costos'!$C$5:$C$158,0))*1000</f>
        <v>1640</v>
      </c>
      <c r="AC45" s="46">
        <f>IFERROR(INDEX('Detalle Costos'!$X$5:$X$158,MATCH(Resumen!AA45,'Detalle Costos'!$C$5:$C$158,0))*AG45,0)</f>
        <v>143522.5332093524</v>
      </c>
      <c r="AD45" s="46">
        <f>IFERROR(INDEX('Detalle Costos'!$Z$5:$Z$158,MATCH(Resumen!AA45,'Detalle Costos'!$C$5:$C$158,0))*AG45,0)</f>
        <v>32840.6623609854</v>
      </c>
      <c r="AE45" s="46">
        <f>IFERROR(INDEX('Detalle Costos'!$Y$5:$Y$158,MATCH(Resumen!AA45,'Detalle Costos'!$C$5:$C$158,0))*AG45,0)</f>
        <v>2151.0399106070495</v>
      </c>
      <c r="AF45" s="46">
        <f>IFERROR(INDEX('Detalle Costos'!$AA$5:$AA$158,MATCH(Resumen!AA45,'Detalle Costos'!$C$5:$C$158,0))*AG45,0)</f>
        <v>42885.764519055156</v>
      </c>
      <c r="AG45" s="46">
        <f t="shared" si="60"/>
        <v>221400</v>
      </c>
      <c r="AH45" s="46"/>
      <c r="AI45" s="46"/>
      <c r="AJ45" s="46"/>
      <c r="AK45" s="45">
        <f t="shared" si="49"/>
        <v>-5400</v>
      </c>
      <c r="AL45" s="94">
        <f t="shared" si="50"/>
        <v>-2.5000000000000001E-2</v>
      </c>
      <c r="AM45" s="44">
        <f t="shared" si="13"/>
        <v>10812</v>
      </c>
      <c r="AN45" s="44">
        <f t="shared" si="51"/>
        <v>7788.461538461539</v>
      </c>
      <c r="AO45" s="44">
        <f t="shared" si="14"/>
        <v>18600.461538461539</v>
      </c>
      <c r="AP45" s="44">
        <f t="shared" si="52"/>
        <v>4774.5529332265496</v>
      </c>
      <c r="AQ45" s="44">
        <f t="shared" si="15"/>
        <v>6155.6399999999994</v>
      </c>
      <c r="AR45" s="45">
        <f t="shared" si="16"/>
        <v>-22619.37447168809</v>
      </c>
      <c r="AS45" s="94">
        <f t="shared" si="17"/>
        <v>-0.10471932625781523</v>
      </c>
      <c r="AT45" s="44">
        <f t="shared" si="53"/>
        <v>7141.5581139253172</v>
      </c>
      <c r="AU45" s="45">
        <f t="shared" si="18"/>
        <v>-29760.932585613409</v>
      </c>
      <c r="AV45" s="94">
        <f t="shared" si="19"/>
        <v>-0.13778209530376578</v>
      </c>
      <c r="AW45" s="44">
        <f t="shared" si="54"/>
        <v>8344.3724346781455</v>
      </c>
      <c r="AX45" s="45">
        <f t="shared" si="20"/>
        <v>-14275.002037009945</v>
      </c>
      <c r="AY45" s="94">
        <f t="shared" si="21"/>
        <v>-6.6087972393564565E-2</v>
      </c>
      <c r="BA45" s="44">
        <f t="shared" si="22"/>
        <v>1600</v>
      </c>
      <c r="BB45" s="44">
        <f t="shared" si="23"/>
        <v>-1063.1298756248327</v>
      </c>
      <c r="BC45" s="44">
        <f t="shared" si="24"/>
        <v>-243.26416563692888</v>
      </c>
      <c r="BD45" s="44">
        <f t="shared" si="25"/>
        <v>-15.933628967459626</v>
      </c>
      <c r="BE45" s="44">
        <f t="shared" si="26"/>
        <v>-317.67232977077896</v>
      </c>
      <c r="BF45" s="44">
        <f t="shared" si="27"/>
        <v>-1640</v>
      </c>
      <c r="BG45" s="44">
        <f t="shared" si="28"/>
        <v>-40</v>
      </c>
      <c r="BH45" s="44">
        <f t="shared" si="29"/>
        <v>-80.088888888888889</v>
      </c>
      <c r="BI45" s="44">
        <f t="shared" si="30"/>
        <v>-57.692307692307693</v>
      </c>
      <c r="BJ45" s="44">
        <f t="shared" si="31"/>
        <v>-137.78119658119658</v>
      </c>
      <c r="BK45" s="44">
        <f t="shared" si="32"/>
        <v>-35.367058764641108</v>
      </c>
      <c r="BL45" s="44">
        <f t="shared" si="33"/>
        <v>45.597333333333331</v>
      </c>
      <c r="BM45" s="44">
        <f t="shared" si="34"/>
        <v>-167.55092201250437</v>
      </c>
      <c r="BN45" s="44">
        <f t="shared" si="35"/>
        <v>-52.900430473520871</v>
      </c>
      <c r="BO45" s="44">
        <f t="shared" si="36"/>
        <v>-220.45135248602526</v>
      </c>
      <c r="BP45" s="44">
        <f t="shared" si="37"/>
        <v>61.810166182801076</v>
      </c>
      <c r="BQ45" s="44">
        <f t="shared" si="38"/>
        <v>-105.74075582970329</v>
      </c>
    </row>
    <row r="46" spans="2:69" hidden="1">
      <c r="B46" s="7" t="s">
        <v>7</v>
      </c>
      <c r="C46" s="29" t="s">
        <v>8</v>
      </c>
      <c r="D46" s="25" t="s">
        <v>243</v>
      </c>
      <c r="E46" s="100">
        <v>43</v>
      </c>
      <c r="F46" s="100">
        <v>46092</v>
      </c>
      <c r="G46" s="101">
        <v>78</v>
      </c>
      <c r="H46" s="104" t="s">
        <v>31</v>
      </c>
      <c r="I46" s="105" t="s">
        <v>110</v>
      </c>
      <c r="J46" s="7" t="s">
        <v>268</v>
      </c>
      <c r="K46" s="7" t="s">
        <v>164</v>
      </c>
      <c r="L46" s="7" t="s">
        <v>150</v>
      </c>
      <c r="M46" s="21" t="s">
        <v>47</v>
      </c>
      <c r="N46" s="7" t="s">
        <v>217</v>
      </c>
      <c r="O46" s="20">
        <v>2400</v>
      </c>
      <c r="P46" s="61">
        <v>187200</v>
      </c>
      <c r="Q46" s="20">
        <v>2243.0865384615386</v>
      </c>
      <c r="R46" s="30">
        <v>12239.25</v>
      </c>
      <c r="S46" s="32">
        <f t="shared" si="46"/>
        <v>174960.75</v>
      </c>
      <c r="T46" s="68">
        <v>3</v>
      </c>
      <c r="U46" s="59" t="s">
        <v>244</v>
      </c>
      <c r="V46" s="171" t="s">
        <v>245</v>
      </c>
      <c r="W46" s="181" t="s">
        <v>185</v>
      </c>
      <c r="X46" s="4"/>
      <c r="Y46" s="7">
        <v>10007162</v>
      </c>
      <c r="Z46" s="7" t="s">
        <v>221</v>
      </c>
      <c r="AA46" s="7" t="str">
        <f t="shared" ref="AA46:AA47" si="61">B46&amp;Y46&amp;Z46</f>
        <v>FEBRERO10007162Inventario final</v>
      </c>
      <c r="AB46" s="20">
        <f>INDEX('Detalle Costos'!$L$5:$L$158,MATCH(Resumen!AA46,'Detalle Costos'!$C$5:$C$158,0))*1000</f>
        <v>1720</v>
      </c>
      <c r="AC46" s="46">
        <f>IFERROR(INDEX('Detalle Costos'!$X$5:$X$158,MATCH(Resumen!AA46,'Detalle Costos'!$C$5:$C$158,0))*AG46,0)</f>
        <v>84221.040289397817</v>
      </c>
      <c r="AD46" s="46">
        <f>IFERROR(INDEX('Detalle Costos'!$Z$5:$Z$158,MATCH(Resumen!AA46,'Detalle Costos'!$C$5:$C$158,0))*AG46,0)</f>
        <v>24031.800585131685</v>
      </c>
      <c r="AE46" s="46">
        <f>IFERROR(INDEX('Detalle Costos'!$Y$5:$Y$158,MATCH(Resumen!AA46,'Detalle Costos'!$C$5:$C$158,0))*AG46,0)</f>
        <v>1251.2101837528539</v>
      </c>
      <c r="AF46" s="46">
        <f>IFERROR(INDEX('Detalle Costos'!$AA$5:$AA$158,MATCH(Resumen!AA46,'Detalle Costos'!$C$5:$C$158,0))*AG46,0)</f>
        <v>24655.948941717637</v>
      </c>
      <c r="AG46" s="46">
        <f t="shared" ref="AG46:AG47" si="62">AB46*G46</f>
        <v>134160</v>
      </c>
      <c r="AH46" s="46"/>
      <c r="AI46" s="46"/>
      <c r="AJ46" s="46"/>
      <c r="AK46" s="45">
        <f t="shared" si="49"/>
        <v>53040</v>
      </c>
      <c r="AL46" s="94">
        <f t="shared" si="50"/>
        <v>0.28333333333333333</v>
      </c>
      <c r="AM46" s="44">
        <f t="shared" si="13"/>
        <v>12239.25</v>
      </c>
      <c r="AN46" s="44">
        <f t="shared" si="51"/>
        <v>4500</v>
      </c>
      <c r="AO46" s="44">
        <f t="shared" si="14"/>
        <v>16739.25</v>
      </c>
      <c r="AP46" s="44">
        <f t="shared" si="52"/>
        <v>2758.6305836420065</v>
      </c>
      <c r="AQ46" s="44">
        <f t="shared" si="15"/>
        <v>5248.8225000000002</v>
      </c>
      <c r="AR46" s="45">
        <f t="shared" si="16"/>
        <v>38790.941916357995</v>
      </c>
      <c r="AS46" s="94">
        <f t="shared" si="17"/>
        <v>0.20721657006601493</v>
      </c>
      <c r="AT46" s="44">
        <f t="shared" si="53"/>
        <v>4126.2335769346282</v>
      </c>
      <c r="AU46" s="45">
        <f t="shared" si="18"/>
        <v>34664.708339423363</v>
      </c>
      <c r="AV46" s="94">
        <f t="shared" si="19"/>
        <v>0.18517472403538121</v>
      </c>
      <c r="AW46" s="44">
        <f t="shared" si="54"/>
        <v>4821.1929622584848</v>
      </c>
      <c r="AX46" s="45">
        <f t="shared" si="20"/>
        <v>43612.134878616482</v>
      </c>
      <c r="AY46" s="94">
        <f t="shared" si="21"/>
        <v>0.23297080597551539</v>
      </c>
      <c r="BA46" s="44">
        <f t="shared" si="22"/>
        <v>2400</v>
      </c>
      <c r="BB46" s="44">
        <f t="shared" si="23"/>
        <v>-1079.7569267871515</v>
      </c>
      <c r="BC46" s="44">
        <f t="shared" si="24"/>
        <v>-308.10000750168825</v>
      </c>
      <c r="BD46" s="44">
        <f t="shared" si="25"/>
        <v>-16.041156201959666</v>
      </c>
      <c r="BE46" s="44">
        <f t="shared" si="26"/>
        <v>-316.10190950920048</v>
      </c>
      <c r="BF46" s="44">
        <f t="shared" si="27"/>
        <v>-1720</v>
      </c>
      <c r="BG46" s="44">
        <f t="shared" si="28"/>
        <v>680</v>
      </c>
      <c r="BH46" s="44">
        <f t="shared" si="29"/>
        <v>-156.91346153846155</v>
      </c>
      <c r="BI46" s="44">
        <f t="shared" si="30"/>
        <v>-57.692307692307693</v>
      </c>
      <c r="BJ46" s="44">
        <f t="shared" si="31"/>
        <v>-214.60576923076923</v>
      </c>
      <c r="BK46" s="44">
        <f t="shared" si="32"/>
        <v>-35.367058764641108</v>
      </c>
      <c r="BL46" s="44">
        <f t="shared" si="33"/>
        <v>67.292596153846162</v>
      </c>
      <c r="BM46" s="44">
        <f t="shared" si="34"/>
        <v>497.31976815843581</v>
      </c>
      <c r="BN46" s="44">
        <f t="shared" si="35"/>
        <v>-52.900430473520878</v>
      </c>
      <c r="BO46" s="44">
        <f t="shared" si="36"/>
        <v>444.41933768491492</v>
      </c>
      <c r="BP46" s="44">
        <f t="shared" si="37"/>
        <v>61.81016618280109</v>
      </c>
      <c r="BQ46" s="44">
        <f t="shared" si="38"/>
        <v>559.12993434123689</v>
      </c>
    </row>
    <row r="47" spans="2:69" hidden="1">
      <c r="B47" s="7" t="s">
        <v>7</v>
      </c>
      <c r="C47" s="29" t="s">
        <v>8</v>
      </c>
      <c r="D47" s="27" t="s">
        <v>246</v>
      </c>
      <c r="E47" s="100">
        <v>44</v>
      </c>
      <c r="F47" s="100">
        <v>46085</v>
      </c>
      <c r="G47" s="101">
        <v>135</v>
      </c>
      <c r="H47" s="174" t="s">
        <v>33</v>
      </c>
      <c r="I47" s="27" t="s">
        <v>208</v>
      </c>
      <c r="J47" s="4" t="s">
        <v>209</v>
      </c>
      <c r="K47" s="7" t="s">
        <v>174</v>
      </c>
      <c r="L47" s="7" t="s">
        <v>247</v>
      </c>
      <c r="M47" s="21" t="s">
        <v>49</v>
      </c>
      <c r="N47" s="7"/>
      <c r="O47" s="20">
        <v>1450</v>
      </c>
      <c r="P47" s="61">
        <v>195750</v>
      </c>
      <c r="Q47" s="20">
        <v>1338.7777777777778</v>
      </c>
      <c r="R47" s="30">
        <v>15015</v>
      </c>
      <c r="S47" s="32">
        <f t="shared" si="46"/>
        <v>180735</v>
      </c>
      <c r="T47" s="68">
        <v>5</v>
      </c>
      <c r="U47" s="181" t="s">
        <v>225</v>
      </c>
      <c r="V47" s="171" t="s">
        <v>248</v>
      </c>
      <c r="W47" s="25" t="s">
        <v>141</v>
      </c>
      <c r="X47" s="4" t="s">
        <v>116</v>
      </c>
      <c r="Y47" s="7">
        <v>10005721</v>
      </c>
      <c r="Z47" s="7" t="s">
        <v>221</v>
      </c>
      <c r="AA47" s="7" t="str">
        <f t="shared" si="61"/>
        <v>FEBRERO10005721Inventario final</v>
      </c>
      <c r="AB47" s="20">
        <f>INDEX('Detalle Costos'!$L$5:$L$158,MATCH(Resumen!AA47,'Detalle Costos'!$C$5:$C$158,0))*1000</f>
        <v>1740</v>
      </c>
      <c r="AC47" s="46">
        <f>IFERROR(INDEX('Detalle Costos'!$X$5:$X$158,MATCH(Resumen!AA47,'Detalle Costos'!$C$5:$C$158,0))*AG47,0)</f>
        <v>142545.76792187203</v>
      </c>
      <c r="AD47" s="46">
        <f>IFERROR(INDEX('Detalle Costos'!$Z$5:$Z$158,MATCH(Resumen!AA47,'Detalle Costos'!$C$5:$C$158,0))*AG47,0)</f>
        <v>47091.788156956783</v>
      </c>
      <c r="AE47" s="46">
        <f>IFERROR(INDEX('Detalle Costos'!$Y$5:$Y$158,MATCH(Resumen!AA47,'Detalle Costos'!$C$5:$C$158,0))*AG47,0)</f>
        <v>2505.1663152960791</v>
      </c>
      <c r="AF47" s="46">
        <f>IFERROR(INDEX('Detalle Costos'!$AA$5:$AA$158,MATCH(Resumen!AA47,'Detalle Costos'!$C$5:$C$158,0))*AG47,0)</f>
        <v>42757.277605875119</v>
      </c>
      <c r="AG47" s="46">
        <f t="shared" si="62"/>
        <v>234900</v>
      </c>
      <c r="AH47" s="46"/>
      <c r="AI47" s="46"/>
      <c r="AJ47" s="46"/>
      <c r="AK47" s="45">
        <f t="shared" si="49"/>
        <v>-39150</v>
      </c>
      <c r="AL47" s="94">
        <f t="shared" si="50"/>
        <v>-0.2</v>
      </c>
      <c r="AM47" s="44">
        <f t="shared" si="13"/>
        <v>15015</v>
      </c>
      <c r="AN47" s="44">
        <f t="shared" si="51"/>
        <v>7788.461538461539</v>
      </c>
      <c r="AO47" s="44">
        <f t="shared" si="14"/>
        <v>22803.461538461539</v>
      </c>
      <c r="AP47" s="44">
        <f t="shared" si="52"/>
        <v>4774.5529332265496</v>
      </c>
      <c r="AQ47" s="44">
        <f t="shared" si="15"/>
        <v>5422.05</v>
      </c>
      <c r="AR47" s="45">
        <f t="shared" si="16"/>
        <v>-61305.964471688087</v>
      </c>
      <c r="AS47" s="94">
        <f t="shared" si="17"/>
        <v>-0.31318500368678459</v>
      </c>
      <c r="AT47" s="44">
        <f t="shared" si="53"/>
        <v>7141.5581139253172</v>
      </c>
      <c r="AU47" s="45">
        <f t="shared" si="18"/>
        <v>-68447.522585613406</v>
      </c>
      <c r="AV47" s="94">
        <f t="shared" si="19"/>
        <v>-0.34966805918576455</v>
      </c>
      <c r="AW47" s="44">
        <f t="shared" si="54"/>
        <v>8344.3724346781455</v>
      </c>
      <c r="AX47" s="45">
        <f t="shared" si="20"/>
        <v>-52961.592037009941</v>
      </c>
      <c r="AY47" s="94">
        <f t="shared" si="21"/>
        <v>-0.27055730287105972</v>
      </c>
      <c r="BA47" s="44">
        <f t="shared" si="22"/>
        <v>1450</v>
      </c>
      <c r="BB47" s="44">
        <f t="shared" si="23"/>
        <v>-1055.894577199052</v>
      </c>
      <c r="BC47" s="44">
        <f t="shared" si="24"/>
        <v>-348.82806042190208</v>
      </c>
      <c r="BD47" s="44">
        <f t="shared" si="25"/>
        <v>-18.556787520711698</v>
      </c>
      <c r="BE47" s="44">
        <f t="shared" si="26"/>
        <v>-316.7205748583342</v>
      </c>
      <c r="BF47" s="44">
        <f t="shared" si="27"/>
        <v>-1740</v>
      </c>
      <c r="BG47" s="44">
        <f t="shared" si="28"/>
        <v>-290</v>
      </c>
      <c r="BH47" s="44">
        <f t="shared" si="29"/>
        <v>-111.22222222222223</v>
      </c>
      <c r="BI47" s="44">
        <f t="shared" si="30"/>
        <v>-57.692307692307693</v>
      </c>
      <c r="BJ47" s="44">
        <f t="shared" si="31"/>
        <v>-168.91452991452991</v>
      </c>
      <c r="BK47" s="44">
        <f t="shared" si="32"/>
        <v>-35.367058764641108</v>
      </c>
      <c r="BL47" s="44">
        <f t="shared" si="33"/>
        <v>40.163333333333334</v>
      </c>
      <c r="BM47" s="44">
        <f t="shared" si="34"/>
        <v>-454.11825534583767</v>
      </c>
      <c r="BN47" s="44">
        <f t="shared" si="35"/>
        <v>-52.900430473520871</v>
      </c>
      <c r="BO47" s="44">
        <f t="shared" si="36"/>
        <v>-507.01868581935855</v>
      </c>
      <c r="BP47" s="44">
        <f t="shared" si="37"/>
        <v>61.810166182801076</v>
      </c>
      <c r="BQ47" s="44">
        <f t="shared" si="38"/>
        <v>-392.30808916303658</v>
      </c>
    </row>
    <row r="48" spans="2:69" hidden="1">
      <c r="B48" s="7" t="s">
        <v>7</v>
      </c>
      <c r="C48" s="29" t="s">
        <v>8</v>
      </c>
      <c r="D48" s="25" t="s">
        <v>249</v>
      </c>
      <c r="E48" s="100">
        <v>47</v>
      </c>
      <c r="F48" s="100">
        <v>46092</v>
      </c>
      <c r="G48" s="101">
        <v>150</v>
      </c>
      <c r="H48" s="104" t="s">
        <v>31</v>
      </c>
      <c r="I48" s="105" t="s">
        <v>110</v>
      </c>
      <c r="J48" s="7" t="s">
        <v>250</v>
      </c>
      <c r="K48" s="7" t="s">
        <v>164</v>
      </c>
      <c r="L48" s="7" t="s">
        <v>150</v>
      </c>
      <c r="M48" s="21" t="s">
        <v>47</v>
      </c>
      <c r="N48" s="7" t="s">
        <v>217</v>
      </c>
      <c r="O48" s="20">
        <v>2300</v>
      </c>
      <c r="P48" s="61">
        <v>345000</v>
      </c>
      <c r="Q48" s="20">
        <v>2139.1</v>
      </c>
      <c r="R48" s="30">
        <v>24135</v>
      </c>
      <c r="S48" s="32">
        <f t="shared" si="46"/>
        <v>320865</v>
      </c>
      <c r="T48" s="68">
        <v>6</v>
      </c>
      <c r="U48" s="59" t="s">
        <v>244</v>
      </c>
      <c r="V48" s="171" t="s">
        <v>251</v>
      </c>
      <c r="W48" s="173" t="s">
        <v>185</v>
      </c>
      <c r="X48" s="183"/>
      <c r="Y48" s="7">
        <v>10007162</v>
      </c>
      <c r="Z48" s="7" t="s">
        <v>221</v>
      </c>
      <c r="AA48" s="7" t="str">
        <f t="shared" ref="AA48:AA49" si="63">B48&amp;Y48&amp;Z48</f>
        <v>FEBRERO10007162Inventario final</v>
      </c>
      <c r="AB48" s="20">
        <f>INDEX('Detalle Costos'!$L$5:$L$158,MATCH(Resumen!AA48,'Detalle Costos'!$C$5:$C$158,0))*1000</f>
        <v>1720</v>
      </c>
      <c r="AC48" s="46">
        <f>IFERROR(INDEX('Detalle Costos'!$X$5:$X$158,MATCH(Resumen!AA48,'Detalle Costos'!$C$5:$C$158,0))*AG48,0)</f>
        <v>161963.53901807271</v>
      </c>
      <c r="AD48" s="46">
        <f>IFERROR(INDEX('Detalle Costos'!$Z$5:$Z$158,MATCH(Resumen!AA48,'Detalle Costos'!$C$5:$C$158,0))*AG48,0)</f>
        <v>46215.001125253242</v>
      </c>
      <c r="AE48" s="46">
        <f>IFERROR(INDEX('Detalle Costos'!$Y$5:$Y$158,MATCH(Resumen!AA48,'Detalle Costos'!$C$5:$C$158,0))*AG48,0)</f>
        <v>2406.1734302939499</v>
      </c>
      <c r="AF48" s="46">
        <f>IFERROR(INDEX('Detalle Costos'!$AA$5:$AA$158,MATCH(Resumen!AA48,'Detalle Costos'!$C$5:$C$158,0))*AG48,0)</f>
        <v>47415.286426380073</v>
      </c>
      <c r="AG48" s="46">
        <f t="shared" ref="AG48:AG49" si="64">AB48*G48</f>
        <v>258000</v>
      </c>
      <c r="AH48" s="46"/>
      <c r="AI48" s="46"/>
      <c r="AJ48" s="46"/>
      <c r="AK48" s="45">
        <f t="shared" si="49"/>
        <v>87000</v>
      </c>
      <c r="AL48" s="94">
        <f t="shared" si="50"/>
        <v>0.25217391304347825</v>
      </c>
      <c r="AM48" s="44">
        <f t="shared" si="13"/>
        <v>24135</v>
      </c>
      <c r="AN48" s="44">
        <f t="shared" si="51"/>
        <v>8653.8461538461543</v>
      </c>
      <c r="AO48" s="44">
        <f t="shared" si="14"/>
        <v>32788.846153846156</v>
      </c>
      <c r="AP48" s="44">
        <f t="shared" si="52"/>
        <v>5305.0588146961663</v>
      </c>
      <c r="AQ48" s="44">
        <f t="shared" si="15"/>
        <v>9625.9499999999989</v>
      </c>
      <c r="AR48" s="45">
        <f t="shared" si="16"/>
        <v>58532.045031457674</v>
      </c>
      <c r="AS48" s="94">
        <f t="shared" si="17"/>
        <v>0.16965810154045702</v>
      </c>
      <c r="AT48" s="44">
        <f t="shared" si="53"/>
        <v>7935.0645710281306</v>
      </c>
      <c r="AU48" s="45">
        <f t="shared" si="18"/>
        <v>50596.980460429542</v>
      </c>
      <c r="AV48" s="94">
        <f t="shared" si="19"/>
        <v>0.14665791437805664</v>
      </c>
      <c r="AW48" s="44">
        <f t="shared" si="54"/>
        <v>9271.5249274201633</v>
      </c>
      <c r="AX48" s="45">
        <f t="shared" si="20"/>
        <v>67803.569958877837</v>
      </c>
      <c r="AY48" s="94">
        <f t="shared" si="21"/>
        <v>0.19653208683732706</v>
      </c>
      <c r="BA48" s="44">
        <f t="shared" si="22"/>
        <v>2300</v>
      </c>
      <c r="BB48" s="44">
        <f t="shared" si="23"/>
        <v>-1079.7569267871513</v>
      </c>
      <c r="BC48" s="44">
        <f t="shared" si="24"/>
        <v>-308.10000750168825</v>
      </c>
      <c r="BD48" s="44">
        <f t="shared" si="25"/>
        <v>-16.041156201959666</v>
      </c>
      <c r="BE48" s="44">
        <f t="shared" si="26"/>
        <v>-316.10190950920048</v>
      </c>
      <c r="BF48" s="44">
        <f t="shared" si="27"/>
        <v>-1720</v>
      </c>
      <c r="BG48" s="44">
        <f t="shared" si="28"/>
        <v>580</v>
      </c>
      <c r="BH48" s="44">
        <f t="shared" si="29"/>
        <v>-160.9</v>
      </c>
      <c r="BI48" s="44">
        <f t="shared" si="30"/>
        <v>-57.692307692307693</v>
      </c>
      <c r="BJ48" s="44">
        <f t="shared" si="31"/>
        <v>-218.59230769230771</v>
      </c>
      <c r="BK48" s="44">
        <f t="shared" si="32"/>
        <v>-35.367058764641108</v>
      </c>
      <c r="BL48" s="44">
        <f t="shared" si="33"/>
        <v>64.172999999999988</v>
      </c>
      <c r="BM48" s="44">
        <f t="shared" si="34"/>
        <v>390.21363354305117</v>
      </c>
      <c r="BN48" s="44">
        <f t="shared" si="35"/>
        <v>-52.900430473520871</v>
      </c>
      <c r="BO48" s="44">
        <f t="shared" si="36"/>
        <v>337.31320306953029</v>
      </c>
      <c r="BP48" s="44">
        <f t="shared" si="37"/>
        <v>61.81016618280109</v>
      </c>
      <c r="BQ48" s="44">
        <f t="shared" si="38"/>
        <v>452.02379972585226</v>
      </c>
    </row>
    <row r="49" spans="2:69" hidden="1">
      <c r="B49" s="7" t="s">
        <v>7</v>
      </c>
      <c r="C49" s="29" t="s">
        <v>8</v>
      </c>
      <c r="D49" s="25" t="s">
        <v>249</v>
      </c>
      <c r="E49" s="100">
        <v>47</v>
      </c>
      <c r="F49" s="100">
        <v>46092</v>
      </c>
      <c r="G49" s="101">
        <v>25</v>
      </c>
      <c r="H49" s="104" t="s">
        <v>37</v>
      </c>
      <c r="I49" s="105" t="s">
        <v>110</v>
      </c>
      <c r="J49" s="7"/>
      <c r="K49" s="7" t="s">
        <v>164</v>
      </c>
      <c r="L49" s="7" t="s">
        <v>150</v>
      </c>
      <c r="M49" s="21" t="s">
        <v>47</v>
      </c>
      <c r="N49" s="7" t="s">
        <v>217</v>
      </c>
      <c r="O49" s="20">
        <v>2500</v>
      </c>
      <c r="P49" s="61">
        <v>62500</v>
      </c>
      <c r="Q49" s="20">
        <v>2336.7199999999998</v>
      </c>
      <c r="R49" s="30">
        <v>4082</v>
      </c>
      <c r="S49" s="32">
        <f t="shared" si="46"/>
        <v>58418</v>
      </c>
      <c r="T49" s="65">
        <v>1</v>
      </c>
      <c r="U49" s="59" t="s">
        <v>244</v>
      </c>
      <c r="V49" s="171" t="s">
        <v>251</v>
      </c>
      <c r="W49" s="173" t="s">
        <v>185</v>
      </c>
      <c r="X49" s="183"/>
      <c r="Y49" s="7">
        <v>10007567</v>
      </c>
      <c r="Z49" s="7" t="s">
        <v>221</v>
      </c>
      <c r="AA49" s="7" t="str">
        <f t="shared" si="63"/>
        <v>FEBRERO10007567Inventario final</v>
      </c>
      <c r="AB49" s="20">
        <f>INDEX('Detalle Costos'!$L$5:$L$158,MATCH(Resumen!AA49,'Detalle Costos'!$C$5:$C$158,0))*1000</f>
        <v>1700</v>
      </c>
      <c r="AC49" s="46">
        <f>IFERROR(INDEX('Detalle Costos'!$X$5:$X$158,MATCH(Resumen!AA49,'Detalle Costos'!$C$5:$C$158,0))*AG49,0)</f>
        <v>26806.783508435394</v>
      </c>
      <c r="AD49" s="46">
        <f>IFERROR(INDEX('Detalle Costos'!$Z$5:$Z$158,MATCH(Resumen!AA49,'Detalle Costos'!$C$5:$C$158,0))*AG49,0)</f>
        <v>7351.4498031009725</v>
      </c>
      <c r="AE49" s="46">
        <f>IFERROR(INDEX('Detalle Costos'!$Y$5:$Y$158,MATCH(Resumen!AA49,'Detalle Costos'!$C$5:$C$158,0))*AG49,0)</f>
        <v>459.62755284063434</v>
      </c>
      <c r="AF49" s="46">
        <f>IFERROR(INDEX('Detalle Costos'!$AA$5:$AA$158,MATCH(Resumen!AA49,'Detalle Costos'!$C$5:$C$158,0))*AG49,0)</f>
        <v>7882.1391356229988</v>
      </c>
      <c r="AG49" s="46">
        <f t="shared" si="64"/>
        <v>42500</v>
      </c>
      <c r="AH49" s="46"/>
      <c r="AI49" s="46"/>
      <c r="AJ49" s="46"/>
      <c r="AK49" s="45">
        <f t="shared" si="49"/>
        <v>20000</v>
      </c>
      <c r="AL49" s="94">
        <f t="shared" si="50"/>
        <v>0.32</v>
      </c>
      <c r="AM49" s="44">
        <f t="shared" si="13"/>
        <v>4082</v>
      </c>
      <c r="AN49" s="44">
        <f t="shared" si="51"/>
        <v>1442.3076923076924</v>
      </c>
      <c r="AO49" s="44">
        <f t="shared" si="14"/>
        <v>5524.3076923076924</v>
      </c>
      <c r="AP49" s="44">
        <f t="shared" si="52"/>
        <v>884.17646911602765</v>
      </c>
      <c r="AQ49" s="44">
        <f t="shared" si="15"/>
        <v>1752.54</v>
      </c>
      <c r="AR49" s="45">
        <f t="shared" si="16"/>
        <v>15344.055838576282</v>
      </c>
      <c r="AS49" s="94">
        <f t="shared" si="17"/>
        <v>0.24550489341722051</v>
      </c>
      <c r="AT49" s="44">
        <f t="shared" si="53"/>
        <v>1322.5107618380218</v>
      </c>
      <c r="AU49" s="45">
        <f t="shared" si="18"/>
        <v>14021.545076738259</v>
      </c>
      <c r="AV49" s="94">
        <f t="shared" si="19"/>
        <v>0.22434472122781215</v>
      </c>
      <c r="AW49" s="44">
        <f t="shared" si="54"/>
        <v>1545.2541545700271</v>
      </c>
      <c r="AX49" s="45">
        <f t="shared" si="20"/>
        <v>16889.309993146308</v>
      </c>
      <c r="AY49" s="94">
        <f t="shared" si="21"/>
        <v>0.2702289598903409</v>
      </c>
      <c r="BA49" s="44">
        <f t="shared" si="22"/>
        <v>2500</v>
      </c>
      <c r="BB49" s="44">
        <f t="shared" si="23"/>
        <v>-1072.2713403374157</v>
      </c>
      <c r="BC49" s="44">
        <f t="shared" si="24"/>
        <v>-294.05799212403889</v>
      </c>
      <c r="BD49" s="44">
        <f t="shared" si="25"/>
        <v>-18.385102113625372</v>
      </c>
      <c r="BE49" s="44">
        <f t="shared" si="26"/>
        <v>-315.28556542491992</v>
      </c>
      <c r="BF49" s="44">
        <f t="shared" si="27"/>
        <v>-1700</v>
      </c>
      <c r="BG49" s="44">
        <f t="shared" si="28"/>
        <v>800</v>
      </c>
      <c r="BH49" s="44">
        <f t="shared" si="29"/>
        <v>-163.28</v>
      </c>
      <c r="BI49" s="44">
        <f t="shared" si="30"/>
        <v>-57.692307692307693</v>
      </c>
      <c r="BJ49" s="44">
        <f t="shared" si="31"/>
        <v>-220.97230769230771</v>
      </c>
      <c r="BK49" s="44">
        <f t="shared" si="32"/>
        <v>-35.367058764641108</v>
      </c>
      <c r="BL49" s="44">
        <f t="shared" si="33"/>
        <v>70.101600000000005</v>
      </c>
      <c r="BM49" s="44">
        <f t="shared" si="34"/>
        <v>613.76223354305125</v>
      </c>
      <c r="BN49" s="44">
        <f t="shared" si="35"/>
        <v>-52.900430473520871</v>
      </c>
      <c r="BO49" s="44">
        <f t="shared" si="36"/>
        <v>560.86180306953031</v>
      </c>
      <c r="BP49" s="44">
        <f t="shared" si="37"/>
        <v>61.810166182801083</v>
      </c>
      <c r="BQ49" s="44">
        <f t="shared" si="38"/>
        <v>675.57239972585228</v>
      </c>
    </row>
    <row r="50" spans="2:69" hidden="1">
      <c r="B50" s="7" t="s">
        <v>7</v>
      </c>
      <c r="C50" s="29" t="s">
        <v>8</v>
      </c>
      <c r="D50" s="25" t="s">
        <v>252</v>
      </c>
      <c r="E50" s="100">
        <v>47</v>
      </c>
      <c r="F50" s="100">
        <v>46108</v>
      </c>
      <c r="G50" s="101">
        <v>54</v>
      </c>
      <c r="H50" s="27" t="s">
        <v>36</v>
      </c>
      <c r="I50" s="27" t="s">
        <v>158</v>
      </c>
      <c r="J50" s="7" t="s">
        <v>253</v>
      </c>
      <c r="K50" s="7" t="s">
        <v>174</v>
      </c>
      <c r="L50" s="7" t="s">
        <v>175</v>
      </c>
      <c r="M50" s="21" t="s">
        <v>47</v>
      </c>
      <c r="N50" s="7" t="s">
        <v>217</v>
      </c>
      <c r="O50" s="20">
        <v>3350</v>
      </c>
      <c r="P50" s="61">
        <v>180900</v>
      </c>
      <c r="Q50" s="20">
        <v>3242.5925925925926</v>
      </c>
      <c r="R50" s="30">
        <v>5800</v>
      </c>
      <c r="S50" s="32">
        <f t="shared" si="46"/>
        <v>175100</v>
      </c>
      <c r="T50" s="65">
        <v>2</v>
      </c>
      <c r="U50" s="59" t="s">
        <v>263</v>
      </c>
      <c r="V50" s="171">
        <v>6446512380</v>
      </c>
      <c r="W50" s="62" t="s">
        <v>125</v>
      </c>
      <c r="X50" s="4" t="s">
        <v>116</v>
      </c>
      <c r="Y50" s="18">
        <v>10009331</v>
      </c>
      <c r="Z50" s="7" t="s">
        <v>221</v>
      </c>
      <c r="AA50" s="18" t="str">
        <f t="shared" ref="AA50:AA55" si="65">B50&amp;Y50&amp;Z50</f>
        <v>FEBRERO10009331Inventario final</v>
      </c>
      <c r="AB50" s="63">
        <f>INDEX('Detalle Costos'!$L$5:$L$158,MATCH(Resumen!AA50,'Detalle Costos'!$C$5:$C$158,0))*1000</f>
        <v>1810</v>
      </c>
      <c r="AC50" s="64">
        <f>IFERROR(INDEX('Detalle Costos'!$X$5:$X$158,MATCH(Resumen!AA50,'Detalle Costos'!$C$5:$C$158,0))*AG50,0)</f>
        <v>56742.198519184363</v>
      </c>
      <c r="AD50" s="64">
        <f>IFERROR(INDEX('Detalle Costos'!$Z$5:$Z$158,MATCH(Resumen!AA50,'Detalle Costos'!$C$5:$C$158,0))*AG50,0)</f>
        <v>22722.689817285758</v>
      </c>
      <c r="AE50" s="64">
        <f>IFERROR(INDEX('Detalle Costos'!$Y$5:$Y$158,MATCH(Resumen!AA50,'Detalle Costos'!$C$5:$C$158,0))*AG50,0)</f>
        <v>1023.6040864186556</v>
      </c>
      <c r="AF50" s="64">
        <f>IFERROR(INDEX('Detalle Costos'!$AA$5:$AA$158,MATCH(Resumen!AA50,'Detalle Costos'!$C$5:$C$158,0))*AG50,0)</f>
        <v>17251.507577111213</v>
      </c>
      <c r="AG50" s="64">
        <f t="shared" ref="AG50:AG55" si="66">AB50*G50</f>
        <v>97740</v>
      </c>
      <c r="AH50" s="64"/>
      <c r="AI50" s="64"/>
      <c r="AJ50" s="64"/>
      <c r="AK50" s="95">
        <f t="shared" si="49"/>
        <v>83160</v>
      </c>
      <c r="AL50" s="94">
        <f t="shared" si="50"/>
        <v>0.45970149253731341</v>
      </c>
      <c r="AM50" s="44">
        <f t="shared" si="13"/>
        <v>5800</v>
      </c>
      <c r="AN50" s="44">
        <f t="shared" si="51"/>
        <v>3115.3846153846152</v>
      </c>
      <c r="AO50" s="44">
        <f t="shared" si="14"/>
        <v>8915.3846153846152</v>
      </c>
      <c r="AP50" s="44">
        <f t="shared" si="52"/>
        <v>1909.8211732906198</v>
      </c>
      <c r="AQ50" s="44">
        <f t="shared" si="15"/>
        <v>5253</v>
      </c>
      <c r="AR50" s="45">
        <f t="shared" si="16"/>
        <v>77587.79421132477</v>
      </c>
      <c r="AS50" s="94">
        <f t="shared" si="17"/>
        <v>0.42889880713833484</v>
      </c>
      <c r="AT50" s="44">
        <f t="shared" si="53"/>
        <v>2856.623245570127</v>
      </c>
      <c r="AU50" s="45">
        <f t="shared" si="18"/>
        <v>74731.170965754645</v>
      </c>
      <c r="AV50" s="94">
        <f t="shared" si="19"/>
        <v>0.41310763386265698</v>
      </c>
      <c r="AW50" s="44">
        <f t="shared" si="54"/>
        <v>3337.7489738712584</v>
      </c>
      <c r="AX50" s="45">
        <f t="shared" si="20"/>
        <v>80925.543185196031</v>
      </c>
      <c r="AY50" s="94">
        <f t="shared" si="21"/>
        <v>0.44734960301379784</v>
      </c>
      <c r="BA50" s="44">
        <f t="shared" si="22"/>
        <v>3350</v>
      </c>
      <c r="BB50" s="44">
        <f t="shared" si="23"/>
        <v>-1050.7814540589698</v>
      </c>
      <c r="BC50" s="44">
        <f t="shared" si="24"/>
        <v>-420.7905521719585</v>
      </c>
      <c r="BD50" s="44">
        <f t="shared" si="25"/>
        <v>-18.955631229975104</v>
      </c>
      <c r="BE50" s="44">
        <f t="shared" si="26"/>
        <v>-319.47236253909654</v>
      </c>
      <c r="BF50" s="44">
        <f t="shared" si="27"/>
        <v>-1810</v>
      </c>
      <c r="BG50" s="44">
        <f t="shared" si="28"/>
        <v>1540</v>
      </c>
      <c r="BH50" s="44">
        <f t="shared" si="29"/>
        <v>-107.4074074074074</v>
      </c>
      <c r="BI50" s="44">
        <f t="shared" si="30"/>
        <v>-57.692307692307686</v>
      </c>
      <c r="BJ50" s="44">
        <f t="shared" si="31"/>
        <v>-165.0997150997151</v>
      </c>
      <c r="BK50" s="44">
        <f t="shared" si="32"/>
        <v>-35.367058764641108</v>
      </c>
      <c r="BL50" s="44">
        <f t="shared" si="33"/>
        <v>97.277777777777771</v>
      </c>
      <c r="BM50" s="44">
        <f t="shared" si="34"/>
        <v>1436.8110039134217</v>
      </c>
      <c r="BN50" s="44">
        <f t="shared" si="35"/>
        <v>-52.900430473520871</v>
      </c>
      <c r="BO50" s="44">
        <f t="shared" si="36"/>
        <v>1383.9105734399009</v>
      </c>
      <c r="BP50" s="44">
        <f t="shared" si="37"/>
        <v>61.810166182801083</v>
      </c>
      <c r="BQ50" s="44">
        <f t="shared" si="38"/>
        <v>1498.6211700962228</v>
      </c>
    </row>
    <row r="51" spans="2:69" hidden="1">
      <c r="B51" s="7" t="s">
        <v>7</v>
      </c>
      <c r="C51" s="29" t="s">
        <v>8</v>
      </c>
      <c r="D51" s="27" t="s">
        <v>254</v>
      </c>
      <c r="E51" s="100">
        <v>49</v>
      </c>
      <c r="F51" s="100">
        <v>46091</v>
      </c>
      <c r="G51" s="101">
        <v>108</v>
      </c>
      <c r="H51" s="174" t="s">
        <v>33</v>
      </c>
      <c r="I51" s="27" t="s">
        <v>208</v>
      </c>
      <c r="J51" s="4" t="s">
        <v>209</v>
      </c>
      <c r="K51" s="7" t="s">
        <v>174</v>
      </c>
      <c r="L51" s="7" t="s">
        <v>212</v>
      </c>
      <c r="M51" s="21" t="s">
        <v>49</v>
      </c>
      <c r="N51" s="7"/>
      <c r="O51" s="20">
        <v>1450</v>
      </c>
      <c r="P51" s="61">
        <v>156600</v>
      </c>
      <c r="Q51" s="20">
        <v>1338.7777777777778</v>
      </c>
      <c r="R51" s="30">
        <v>12012</v>
      </c>
      <c r="S51" s="32">
        <f t="shared" si="46"/>
        <v>144588</v>
      </c>
      <c r="T51" s="65">
        <v>4</v>
      </c>
      <c r="U51" s="7" t="s">
        <v>241</v>
      </c>
      <c r="V51" s="7" t="s">
        <v>255</v>
      </c>
      <c r="W51" s="4"/>
      <c r="X51" s="4"/>
      <c r="Y51" s="7">
        <v>10005721</v>
      </c>
      <c r="Z51" s="7" t="s">
        <v>221</v>
      </c>
      <c r="AA51" s="7" t="str">
        <f t="shared" si="65"/>
        <v>FEBRERO10005721Inventario final</v>
      </c>
      <c r="AB51" s="20">
        <f>INDEX('Detalle Costos'!$L$5:$L$158,MATCH(Resumen!AA51,'Detalle Costos'!$C$5:$C$158,0))*1000</f>
        <v>1740</v>
      </c>
      <c r="AC51" s="46">
        <f>IFERROR(INDEX('Detalle Costos'!$X$5:$X$158,MATCH(Resumen!AA51,'Detalle Costos'!$C$5:$C$158,0))*AG51,0)</f>
        <v>114036.61433749762</v>
      </c>
      <c r="AD51" s="46">
        <f>IFERROR(INDEX('Detalle Costos'!$Z$5:$Z$158,MATCH(Resumen!AA51,'Detalle Costos'!$C$5:$C$158,0))*AG51,0)</f>
        <v>37673.430525565425</v>
      </c>
      <c r="AE51" s="46">
        <f>IFERROR(INDEX('Detalle Costos'!$Y$5:$Y$158,MATCH(Resumen!AA51,'Detalle Costos'!$C$5:$C$158,0))*AG51,0)</f>
        <v>2004.1330522368633</v>
      </c>
      <c r="AF51" s="46">
        <f>IFERROR(INDEX('Detalle Costos'!$AA$5:$AA$158,MATCH(Resumen!AA51,'Detalle Costos'!$C$5:$C$158,0))*AG51,0)</f>
        <v>34205.822084700092</v>
      </c>
      <c r="AG51" s="46">
        <f t="shared" si="66"/>
        <v>187920</v>
      </c>
      <c r="AH51" s="46"/>
      <c r="AI51" s="46"/>
      <c r="AJ51" s="46"/>
      <c r="AK51" s="45">
        <f t="shared" si="49"/>
        <v>-31320</v>
      </c>
      <c r="AL51" s="94">
        <f t="shared" si="50"/>
        <v>-0.2</v>
      </c>
      <c r="AM51" s="44">
        <f t="shared" si="13"/>
        <v>12012</v>
      </c>
      <c r="AN51" s="44">
        <f t="shared" si="51"/>
        <v>6230.7692307692305</v>
      </c>
      <c r="AO51" s="44">
        <f t="shared" si="14"/>
        <v>18242.76923076923</v>
      </c>
      <c r="AP51" s="44">
        <f t="shared" si="52"/>
        <v>3819.6423465812395</v>
      </c>
      <c r="AQ51" s="44">
        <f t="shared" si="15"/>
        <v>4337.6399999999994</v>
      </c>
      <c r="AR51" s="45">
        <f t="shared" si="16"/>
        <v>-49044.771577350475</v>
      </c>
      <c r="AS51" s="94">
        <f t="shared" si="17"/>
        <v>-0.31318500368678465</v>
      </c>
      <c r="AT51" s="44">
        <f t="shared" si="53"/>
        <v>5713.246491140254</v>
      </c>
      <c r="AU51" s="45">
        <f t="shared" si="18"/>
        <v>-54758.018068490732</v>
      </c>
      <c r="AV51" s="94">
        <f t="shared" si="19"/>
        <v>-0.34966805918576455</v>
      </c>
      <c r="AW51" s="44">
        <f t="shared" si="54"/>
        <v>6675.4979477425168</v>
      </c>
      <c r="AX51" s="45">
        <f t="shared" si="20"/>
        <v>-42369.27362960796</v>
      </c>
      <c r="AY51" s="94">
        <f t="shared" si="21"/>
        <v>-0.27055730287105978</v>
      </c>
      <c r="BA51" s="44">
        <f t="shared" si="22"/>
        <v>1450</v>
      </c>
      <c r="BB51" s="44">
        <f t="shared" si="23"/>
        <v>-1055.894577199052</v>
      </c>
      <c r="BC51" s="44">
        <f t="shared" si="24"/>
        <v>-348.82806042190208</v>
      </c>
      <c r="BD51" s="44">
        <f t="shared" si="25"/>
        <v>-18.556787520711698</v>
      </c>
      <c r="BE51" s="44">
        <f t="shared" si="26"/>
        <v>-316.7205748583342</v>
      </c>
      <c r="BF51" s="44">
        <f t="shared" si="27"/>
        <v>-1740</v>
      </c>
      <c r="BG51" s="44">
        <f t="shared" si="28"/>
        <v>-290</v>
      </c>
      <c r="BH51" s="44">
        <f t="shared" si="29"/>
        <v>-111.22222222222223</v>
      </c>
      <c r="BI51" s="44">
        <f t="shared" si="30"/>
        <v>-57.692307692307686</v>
      </c>
      <c r="BJ51" s="44">
        <f t="shared" si="31"/>
        <v>-168.91452991452991</v>
      </c>
      <c r="BK51" s="44">
        <f t="shared" si="32"/>
        <v>-35.367058764641108</v>
      </c>
      <c r="BL51" s="44">
        <f t="shared" si="33"/>
        <v>40.163333333333327</v>
      </c>
      <c r="BM51" s="44">
        <f t="shared" si="34"/>
        <v>-454.11825534583772</v>
      </c>
      <c r="BN51" s="44">
        <f t="shared" si="35"/>
        <v>-52.900430473520871</v>
      </c>
      <c r="BO51" s="44">
        <f t="shared" si="36"/>
        <v>-507.01868581935861</v>
      </c>
      <c r="BP51" s="44">
        <f t="shared" si="37"/>
        <v>61.810166182801083</v>
      </c>
      <c r="BQ51" s="44">
        <f t="shared" si="38"/>
        <v>-392.30808916303664</v>
      </c>
    </row>
    <row r="52" spans="2:69" hidden="1">
      <c r="B52" s="7" t="s">
        <v>7</v>
      </c>
      <c r="C52" s="29" t="s">
        <v>8</v>
      </c>
      <c r="D52" s="27" t="s">
        <v>256</v>
      </c>
      <c r="E52" s="100">
        <v>49</v>
      </c>
      <c r="F52" s="100">
        <v>46099</v>
      </c>
      <c r="G52" s="101">
        <v>26</v>
      </c>
      <c r="H52" s="174" t="s">
        <v>33</v>
      </c>
      <c r="I52" s="27" t="s">
        <v>208</v>
      </c>
      <c r="J52" s="4" t="s">
        <v>209</v>
      </c>
      <c r="K52" s="7" t="s">
        <v>257</v>
      </c>
      <c r="L52" s="7" t="s">
        <v>258</v>
      </c>
      <c r="M52" s="21" t="s">
        <v>60</v>
      </c>
      <c r="N52" s="7"/>
      <c r="O52" s="20">
        <v>1500</v>
      </c>
      <c r="P52" s="61">
        <v>39000</v>
      </c>
      <c r="Q52" s="20">
        <v>1230.9615384615386</v>
      </c>
      <c r="R52" s="30">
        <v>6995</v>
      </c>
      <c r="S52" s="32">
        <f t="shared" si="46"/>
        <v>32005</v>
      </c>
      <c r="T52" s="65">
        <v>1</v>
      </c>
      <c r="U52" s="59" t="s">
        <v>259</v>
      </c>
      <c r="V52" s="179" t="s">
        <v>260</v>
      </c>
      <c r="W52" s="46">
        <v>1</v>
      </c>
      <c r="X52" s="184" t="s">
        <v>185</v>
      </c>
      <c r="Y52" s="7">
        <v>10005721</v>
      </c>
      <c r="Z52" s="7" t="s">
        <v>221</v>
      </c>
      <c r="AA52" s="7" t="str">
        <f t="shared" si="65"/>
        <v>FEBRERO10005721Inventario final</v>
      </c>
      <c r="AB52" s="20">
        <f>INDEX('Detalle Costos'!$L$5:$L$158,MATCH(Resumen!AA52,'Detalle Costos'!$C$5:$C$158,0))*1000</f>
        <v>1740</v>
      </c>
      <c r="AC52" s="46">
        <f>IFERROR(INDEX('Detalle Costos'!$X$5:$X$158,MATCH(Resumen!AA52,'Detalle Costos'!$C$5:$C$158,0))*AG52,0)</f>
        <v>27453.259007175351</v>
      </c>
      <c r="AD52" s="46">
        <f>IFERROR(INDEX('Detalle Costos'!$Z$5:$Z$158,MATCH(Resumen!AA52,'Detalle Costos'!$C$5:$C$158,0))*AG52,0)</f>
        <v>9069.5295709694547</v>
      </c>
      <c r="AE52" s="46">
        <f>IFERROR(INDEX('Detalle Costos'!$Y$5:$Y$158,MATCH(Resumen!AA52,'Detalle Costos'!$C$5:$C$158,0))*AG52,0)</f>
        <v>482.47647553850408</v>
      </c>
      <c r="AF52" s="46">
        <f>IFERROR(INDEX('Detalle Costos'!$AA$5:$AA$158,MATCH(Resumen!AA52,'Detalle Costos'!$C$5:$C$158,0))*AG52,0)</f>
        <v>8234.7349463166884</v>
      </c>
      <c r="AG52" s="46">
        <f t="shared" si="66"/>
        <v>45240</v>
      </c>
      <c r="AH52" s="46"/>
      <c r="AI52" s="46"/>
      <c r="AJ52" s="46"/>
      <c r="AK52" s="45">
        <f t="shared" si="49"/>
        <v>-6240</v>
      </c>
      <c r="AL52" s="94">
        <f t="shared" si="50"/>
        <v>-0.16</v>
      </c>
      <c r="AM52" s="44">
        <f t="shared" si="13"/>
        <v>6995</v>
      </c>
      <c r="AN52" s="44">
        <f t="shared" si="51"/>
        <v>1500</v>
      </c>
      <c r="AO52" s="44">
        <f t="shared" si="14"/>
        <v>8495</v>
      </c>
      <c r="AP52" s="44">
        <f t="shared" si="52"/>
        <v>919.54352788066876</v>
      </c>
      <c r="AQ52" s="44">
        <f t="shared" si="15"/>
        <v>960.15</v>
      </c>
      <c r="AR52" s="45">
        <f t="shared" si="16"/>
        <v>-14694.393527880669</v>
      </c>
      <c r="AS52" s="94">
        <f t="shared" si="17"/>
        <v>-0.37677932122770946</v>
      </c>
      <c r="AT52" s="44">
        <f t="shared" si="53"/>
        <v>1375.4111923115427</v>
      </c>
      <c r="AU52" s="45">
        <f t="shared" si="18"/>
        <v>-16069.804720192213</v>
      </c>
      <c r="AV52" s="94">
        <f t="shared" si="19"/>
        <v>-0.41204627487672341</v>
      </c>
      <c r="AW52" s="44">
        <f t="shared" si="54"/>
        <v>1607.0643207528283</v>
      </c>
      <c r="AX52" s="45">
        <f t="shared" si="20"/>
        <v>-13087.329207127841</v>
      </c>
      <c r="AY52" s="94">
        <f t="shared" si="21"/>
        <v>-0.33557254377250872</v>
      </c>
      <c r="BA52" s="44">
        <f t="shared" si="22"/>
        <v>1500</v>
      </c>
      <c r="BB52" s="44">
        <f t="shared" si="23"/>
        <v>-1055.894577199052</v>
      </c>
      <c r="BC52" s="44">
        <f t="shared" si="24"/>
        <v>-348.82806042190208</v>
      </c>
      <c r="BD52" s="44">
        <f t="shared" si="25"/>
        <v>-18.556787520711694</v>
      </c>
      <c r="BE52" s="44">
        <f t="shared" si="26"/>
        <v>-316.72057485833415</v>
      </c>
      <c r="BF52" s="44">
        <f t="shared" si="27"/>
        <v>-1740</v>
      </c>
      <c r="BG52" s="44">
        <f t="shared" si="28"/>
        <v>-240</v>
      </c>
      <c r="BH52" s="44">
        <f t="shared" si="29"/>
        <v>-269.03846153846155</v>
      </c>
      <c r="BI52" s="44">
        <f t="shared" si="30"/>
        <v>-57.692307692307693</v>
      </c>
      <c r="BJ52" s="44">
        <f t="shared" si="31"/>
        <v>-326.73076923076923</v>
      </c>
      <c r="BK52" s="44">
        <f t="shared" si="32"/>
        <v>-35.367058764641108</v>
      </c>
      <c r="BL52" s="44">
        <f t="shared" si="33"/>
        <v>36.928846153846152</v>
      </c>
      <c r="BM52" s="44">
        <f t="shared" si="34"/>
        <v>-565.16898184156423</v>
      </c>
      <c r="BN52" s="44">
        <f t="shared" si="35"/>
        <v>-52.900430473520871</v>
      </c>
      <c r="BO52" s="44">
        <f t="shared" si="36"/>
        <v>-618.06941231508506</v>
      </c>
      <c r="BP52" s="44">
        <f t="shared" si="37"/>
        <v>61.81016618280109</v>
      </c>
      <c r="BQ52" s="44">
        <f t="shared" si="38"/>
        <v>-503.35881565876309</v>
      </c>
    </row>
    <row r="53" spans="2:69" hidden="1">
      <c r="B53" s="7" t="s">
        <v>7</v>
      </c>
      <c r="C53" s="29" t="s">
        <v>8</v>
      </c>
      <c r="D53" s="25" t="s">
        <v>261</v>
      </c>
      <c r="E53" s="100">
        <v>49</v>
      </c>
      <c r="F53" s="100">
        <v>46104</v>
      </c>
      <c r="G53" s="103">
        <v>54</v>
      </c>
      <c r="H53" s="102" t="s">
        <v>32</v>
      </c>
      <c r="I53" s="27" t="s">
        <v>158</v>
      </c>
      <c r="J53" s="7" t="s">
        <v>231</v>
      </c>
      <c r="K53" s="7" t="s">
        <v>174</v>
      </c>
      <c r="L53" s="7" t="s">
        <v>175</v>
      </c>
      <c r="M53" s="21" t="s">
        <v>46</v>
      </c>
      <c r="N53" s="7" t="s">
        <v>132</v>
      </c>
      <c r="O53" s="20">
        <v>1600</v>
      </c>
      <c r="P53" s="61">
        <v>86400</v>
      </c>
      <c r="Q53" s="20">
        <v>1492.5925925925926</v>
      </c>
      <c r="R53" s="30">
        <v>5800</v>
      </c>
      <c r="S53" s="32">
        <f t="shared" si="46"/>
        <v>80600</v>
      </c>
      <c r="T53" s="65">
        <v>2</v>
      </c>
      <c r="U53" s="23" t="s">
        <v>236</v>
      </c>
      <c r="V53" s="27">
        <v>6446527810</v>
      </c>
      <c r="W53" s="62" t="s">
        <v>125</v>
      </c>
      <c r="X53" s="4" t="s">
        <v>116</v>
      </c>
      <c r="Y53" s="7">
        <v>10006720</v>
      </c>
      <c r="Z53" s="7" t="s">
        <v>221</v>
      </c>
      <c r="AA53" s="7" t="str">
        <f t="shared" si="65"/>
        <v>FEBRERO10006720Inventario final</v>
      </c>
      <c r="AB53" s="20">
        <f>INDEX('Detalle Costos'!$L$5:$L$158,MATCH(Resumen!AA53,'Detalle Costos'!$C$5:$C$158,0))*1000</f>
        <v>1640</v>
      </c>
      <c r="AC53" s="46">
        <f>IFERROR(INDEX('Detalle Costos'!$X$5:$X$158,MATCH(Resumen!AA53,'Detalle Costos'!$C$5:$C$158,0))*AG53,0)</f>
        <v>57409.013283740962</v>
      </c>
      <c r="AD53" s="46">
        <f>IFERROR(INDEX('Detalle Costos'!$Z$5:$Z$158,MATCH(Resumen!AA53,'Detalle Costos'!$C$5:$C$158,0))*AG53,0)</f>
        <v>13136.264944394159</v>
      </c>
      <c r="AE53" s="46">
        <f>IFERROR(INDEX('Detalle Costos'!$Y$5:$Y$158,MATCH(Resumen!AA53,'Detalle Costos'!$C$5:$C$158,0))*AG53,0)</f>
        <v>860.41596424281977</v>
      </c>
      <c r="AF53" s="46">
        <f>IFERROR(INDEX('Detalle Costos'!$AA$5:$AA$158,MATCH(Resumen!AA53,'Detalle Costos'!$C$5:$C$158,0))*AG53,0)</f>
        <v>17154.305807622062</v>
      </c>
      <c r="AG53" s="46">
        <f t="shared" si="66"/>
        <v>88560</v>
      </c>
      <c r="AH53" s="46"/>
      <c r="AI53" s="46"/>
      <c r="AJ53" s="46"/>
      <c r="AK53" s="45">
        <f t="shared" si="49"/>
        <v>-2160</v>
      </c>
      <c r="AL53" s="94">
        <f t="shared" si="50"/>
        <v>-2.5000000000000001E-2</v>
      </c>
      <c r="AM53" s="44">
        <f t="shared" si="13"/>
        <v>5800</v>
      </c>
      <c r="AN53" s="44">
        <f t="shared" si="51"/>
        <v>3115.3846153846152</v>
      </c>
      <c r="AO53" s="44">
        <f t="shared" si="14"/>
        <v>8915.3846153846152</v>
      </c>
      <c r="AP53" s="44">
        <f t="shared" si="52"/>
        <v>1909.8211732906198</v>
      </c>
      <c r="AQ53" s="44">
        <f t="shared" si="15"/>
        <v>2418</v>
      </c>
      <c r="AR53" s="45">
        <f t="shared" si="16"/>
        <v>-10567.205788675235</v>
      </c>
      <c r="AS53" s="94">
        <f t="shared" si="17"/>
        <v>-0.12230562255411152</v>
      </c>
      <c r="AT53" s="44">
        <f t="shared" si="53"/>
        <v>2856.623245570127</v>
      </c>
      <c r="AU53" s="45">
        <f t="shared" si="18"/>
        <v>-13423.829034245362</v>
      </c>
      <c r="AV53" s="94">
        <f t="shared" si="19"/>
        <v>-0.15536839160006205</v>
      </c>
      <c r="AW53" s="44">
        <f t="shared" si="54"/>
        <v>3337.7489738712584</v>
      </c>
      <c r="AX53" s="45">
        <f t="shared" si="20"/>
        <v>-7229.4568148039771</v>
      </c>
      <c r="AY53" s="94">
        <f t="shared" si="21"/>
        <v>-8.3674268689860845E-2</v>
      </c>
      <c r="BA53" s="44">
        <f t="shared" si="22"/>
        <v>1600</v>
      </c>
      <c r="BB53" s="44">
        <f t="shared" si="23"/>
        <v>-1063.1298756248327</v>
      </c>
      <c r="BC53" s="44">
        <f t="shared" si="24"/>
        <v>-243.26416563692888</v>
      </c>
      <c r="BD53" s="44">
        <f t="shared" si="25"/>
        <v>-15.933628967459626</v>
      </c>
      <c r="BE53" s="44">
        <f t="shared" si="26"/>
        <v>-317.67232977077896</v>
      </c>
      <c r="BF53" s="44">
        <f t="shared" si="27"/>
        <v>-1640</v>
      </c>
      <c r="BG53" s="44">
        <f t="shared" si="28"/>
        <v>-40</v>
      </c>
      <c r="BH53" s="44">
        <f t="shared" si="29"/>
        <v>-107.4074074074074</v>
      </c>
      <c r="BI53" s="44">
        <f t="shared" si="30"/>
        <v>-57.692307692307686</v>
      </c>
      <c r="BJ53" s="44">
        <f t="shared" si="31"/>
        <v>-165.0997150997151</v>
      </c>
      <c r="BK53" s="44">
        <f t="shared" si="32"/>
        <v>-35.367058764641108</v>
      </c>
      <c r="BL53" s="44">
        <f t="shared" si="33"/>
        <v>44.777777777777779</v>
      </c>
      <c r="BM53" s="44">
        <f t="shared" si="34"/>
        <v>-195.68899608657844</v>
      </c>
      <c r="BN53" s="44">
        <f t="shared" si="35"/>
        <v>-52.900430473520871</v>
      </c>
      <c r="BO53" s="44">
        <f t="shared" si="36"/>
        <v>-248.5894265600993</v>
      </c>
      <c r="BP53" s="44">
        <f t="shared" si="37"/>
        <v>61.810166182801083</v>
      </c>
      <c r="BQ53" s="44">
        <f t="shared" si="38"/>
        <v>-133.87882990377736</v>
      </c>
    </row>
    <row r="54" spans="2:69" hidden="1">
      <c r="B54" s="7" t="s">
        <v>7</v>
      </c>
      <c r="C54" s="29" t="s">
        <v>8</v>
      </c>
      <c r="D54" s="25" t="s">
        <v>269</v>
      </c>
      <c r="E54" s="100">
        <v>49</v>
      </c>
      <c r="F54" s="100">
        <v>46108</v>
      </c>
      <c r="G54" s="103">
        <v>81</v>
      </c>
      <c r="H54" s="102" t="s">
        <v>32</v>
      </c>
      <c r="I54" s="27" t="s">
        <v>158</v>
      </c>
      <c r="J54" s="7" t="s">
        <v>231</v>
      </c>
      <c r="K54" s="7" t="s">
        <v>174</v>
      </c>
      <c r="L54" s="7" t="s">
        <v>175</v>
      </c>
      <c r="M54" s="21" t="s">
        <v>46</v>
      </c>
      <c r="N54" s="7" t="s">
        <v>132</v>
      </c>
      <c r="O54" s="20">
        <v>1600</v>
      </c>
      <c r="P54" s="61">
        <v>129600</v>
      </c>
      <c r="Q54" s="20">
        <v>1499.5185185185185</v>
      </c>
      <c r="R54" s="30">
        <v>8139</v>
      </c>
      <c r="S54" s="32">
        <f t="shared" si="46"/>
        <v>121461</v>
      </c>
      <c r="T54" s="65">
        <v>3</v>
      </c>
      <c r="U54" s="59" t="s">
        <v>263</v>
      </c>
      <c r="V54" s="67" t="s">
        <v>270</v>
      </c>
      <c r="W54" s="66" t="s">
        <v>229</v>
      </c>
      <c r="X54" s="4" t="s">
        <v>116</v>
      </c>
      <c r="Y54" s="7">
        <v>10006720</v>
      </c>
      <c r="Z54" s="7" t="s">
        <v>221</v>
      </c>
      <c r="AA54" s="7" t="str">
        <f t="shared" si="65"/>
        <v>FEBRERO10006720Inventario final</v>
      </c>
      <c r="AB54" s="20">
        <f>INDEX('Detalle Costos'!$L$5:$L$158,MATCH(Resumen!AA54,'Detalle Costos'!$C$5:$C$158,0))*1000</f>
        <v>1640</v>
      </c>
      <c r="AC54" s="46">
        <f>IFERROR(INDEX('Detalle Costos'!$X$5:$X$158,MATCH(Resumen!AA54,'Detalle Costos'!$C$5:$C$158,0))*AG54,0)</f>
        <v>86113.519925611443</v>
      </c>
      <c r="AD54" s="46">
        <f>IFERROR(INDEX('Detalle Costos'!$Z$5:$Z$158,MATCH(Resumen!AA54,'Detalle Costos'!$C$5:$C$158,0))*AG54,0)</f>
        <v>19704.39741659124</v>
      </c>
      <c r="AE54" s="46">
        <f>IFERROR(INDEX('Detalle Costos'!$Y$5:$Y$158,MATCH(Resumen!AA54,'Detalle Costos'!$C$5:$C$158,0))*AG54,0)</f>
        <v>1290.6239463642296</v>
      </c>
      <c r="AF54" s="46">
        <f>IFERROR(INDEX('Detalle Costos'!$AA$5:$AA$158,MATCH(Resumen!AA54,'Detalle Costos'!$C$5:$C$158,0))*AG54,0)</f>
        <v>25731.458711433093</v>
      </c>
      <c r="AG54" s="46">
        <f t="shared" si="66"/>
        <v>132840</v>
      </c>
      <c r="AH54" s="46"/>
      <c r="AI54" s="46"/>
      <c r="AJ54" s="46"/>
      <c r="AK54" s="45">
        <f t="shared" ref="AK54:AK70" si="67">P54-AG54</f>
        <v>-3240</v>
      </c>
      <c r="AL54" s="94">
        <f t="shared" ref="AL54:AL70" si="68">AK54/P54</f>
        <v>-2.5000000000000001E-2</v>
      </c>
      <c r="AM54" s="44">
        <f t="shared" si="13"/>
        <v>8139</v>
      </c>
      <c r="AN54" s="44">
        <f t="shared" ref="AN54:AN70" si="69">1500/26*G54</f>
        <v>4673.0769230769229</v>
      </c>
      <c r="AO54" s="44">
        <f t="shared" si="14"/>
        <v>12812.076923076922</v>
      </c>
      <c r="AP54" s="44">
        <f t="shared" si="52"/>
        <v>2864.7317599359299</v>
      </c>
      <c r="AQ54" s="44">
        <f t="shared" si="15"/>
        <v>3643.83</v>
      </c>
      <c r="AR54" s="45">
        <f t="shared" si="16"/>
        <v>-15272.978683012852</v>
      </c>
      <c r="AS54" s="94">
        <f t="shared" si="17"/>
        <v>-0.1178470577392967</v>
      </c>
      <c r="AT54" s="44">
        <f t="shared" si="53"/>
        <v>4284.9348683551907</v>
      </c>
      <c r="AU54" s="45">
        <f t="shared" si="18"/>
        <v>-19557.913551368045</v>
      </c>
      <c r="AV54" s="94">
        <f t="shared" si="19"/>
        <v>-0.15090982678524725</v>
      </c>
      <c r="AW54" s="44">
        <f t="shared" si="54"/>
        <v>5006.623460806888</v>
      </c>
      <c r="AX54" s="45">
        <f t="shared" si="20"/>
        <v>-10266.355222205964</v>
      </c>
      <c r="AY54" s="94">
        <f t="shared" si="21"/>
        <v>-7.921570387504602E-2</v>
      </c>
      <c r="BA54" s="44">
        <f t="shared" si="22"/>
        <v>1600</v>
      </c>
      <c r="BB54" s="44">
        <f t="shared" si="23"/>
        <v>-1063.1298756248327</v>
      </c>
      <c r="BC54" s="44">
        <f t="shared" si="24"/>
        <v>-243.26416563692891</v>
      </c>
      <c r="BD54" s="44">
        <f t="shared" si="25"/>
        <v>-15.933628967459624</v>
      </c>
      <c r="BE54" s="44">
        <f t="shared" si="26"/>
        <v>-317.67232977077896</v>
      </c>
      <c r="BF54" s="44">
        <f t="shared" si="27"/>
        <v>-1640</v>
      </c>
      <c r="BG54" s="44">
        <f t="shared" si="28"/>
        <v>-40</v>
      </c>
      <c r="BH54" s="44">
        <f t="shared" si="29"/>
        <v>-100.48148148148148</v>
      </c>
      <c r="BI54" s="44">
        <f t="shared" si="30"/>
        <v>-57.692307692307686</v>
      </c>
      <c r="BJ54" s="44">
        <f t="shared" si="31"/>
        <v>-158.17378917378915</v>
      </c>
      <c r="BK54" s="44">
        <f t="shared" si="32"/>
        <v>-35.367058764641108</v>
      </c>
      <c r="BL54" s="44">
        <f t="shared" si="33"/>
        <v>44.985555555555557</v>
      </c>
      <c r="BM54" s="44">
        <f t="shared" si="34"/>
        <v>-188.55529238287471</v>
      </c>
      <c r="BN54" s="44">
        <f t="shared" si="35"/>
        <v>-52.900430473520871</v>
      </c>
      <c r="BO54" s="44">
        <f t="shared" si="36"/>
        <v>-241.45572285639562</v>
      </c>
      <c r="BP54" s="44">
        <f t="shared" si="37"/>
        <v>61.810166182801083</v>
      </c>
      <c r="BQ54" s="44">
        <f t="shared" si="38"/>
        <v>-126.74512620007363</v>
      </c>
    </row>
    <row r="55" spans="2:69" hidden="1">
      <c r="B55" s="7" t="s">
        <v>7</v>
      </c>
      <c r="C55" s="29" t="s">
        <v>8</v>
      </c>
      <c r="D55" s="25" t="s">
        <v>271</v>
      </c>
      <c r="E55" s="100">
        <v>50</v>
      </c>
      <c r="F55" s="100">
        <v>46108</v>
      </c>
      <c r="G55" s="103">
        <v>48</v>
      </c>
      <c r="H55" s="102" t="s">
        <v>32</v>
      </c>
      <c r="I55" s="27" t="s">
        <v>158</v>
      </c>
      <c r="J55" s="7" t="s">
        <v>231</v>
      </c>
      <c r="K55" s="7" t="s">
        <v>272</v>
      </c>
      <c r="L55" s="7" t="s">
        <v>233</v>
      </c>
      <c r="M55" s="21" t="s">
        <v>46</v>
      </c>
      <c r="N55" s="7" t="s">
        <v>132</v>
      </c>
      <c r="O55" s="20">
        <v>1600</v>
      </c>
      <c r="P55" s="61">
        <v>76800</v>
      </c>
      <c r="Q55" s="20">
        <v>1486.9583333333333</v>
      </c>
      <c r="R55" s="30">
        <v>5426</v>
      </c>
      <c r="S55" s="32">
        <f t="shared" si="46"/>
        <v>71374</v>
      </c>
      <c r="T55" s="65">
        <v>2</v>
      </c>
      <c r="U55" s="59" t="s">
        <v>263</v>
      </c>
      <c r="V55" s="180" t="s">
        <v>273</v>
      </c>
      <c r="W55" s="181" t="s">
        <v>229</v>
      </c>
      <c r="X55" s="4" t="s">
        <v>116</v>
      </c>
      <c r="Y55" s="7">
        <v>10006720</v>
      </c>
      <c r="Z55" s="7" t="s">
        <v>221</v>
      </c>
      <c r="AA55" s="7" t="str">
        <f t="shared" si="65"/>
        <v>FEBRERO10006720Inventario final</v>
      </c>
      <c r="AB55" s="20">
        <f>INDEX('Detalle Costos'!$L$5:$L$158,MATCH(Resumen!AA55,'Detalle Costos'!$C$5:$C$158,0))*1000</f>
        <v>1640</v>
      </c>
      <c r="AC55" s="46">
        <f>IFERROR(INDEX('Detalle Costos'!$X$5:$X$158,MATCH(Resumen!AA55,'Detalle Costos'!$C$5:$C$158,0))*AG55,0)</f>
        <v>51030.234029991967</v>
      </c>
      <c r="AD55" s="46">
        <f>IFERROR(INDEX('Detalle Costos'!$Z$5:$Z$158,MATCH(Resumen!AA55,'Detalle Costos'!$C$5:$C$158,0))*AG55,0)</f>
        <v>11676.679950572587</v>
      </c>
      <c r="AE55" s="46">
        <f>IFERROR(INDEX('Detalle Costos'!$Y$5:$Y$158,MATCH(Resumen!AA55,'Detalle Costos'!$C$5:$C$158,0))*AG55,0)</f>
        <v>764.81419043806204</v>
      </c>
      <c r="AF55" s="46">
        <f>IFERROR(INDEX('Detalle Costos'!$AA$5:$AA$158,MATCH(Resumen!AA55,'Detalle Costos'!$C$5:$C$158,0))*AG55,0)</f>
        <v>15248.271828997389</v>
      </c>
      <c r="AG55" s="46">
        <f t="shared" si="66"/>
        <v>78720</v>
      </c>
      <c r="AH55" s="46"/>
      <c r="AI55" s="46"/>
      <c r="AJ55" s="46"/>
      <c r="AK55" s="45">
        <f t="shared" si="67"/>
        <v>-1920</v>
      </c>
      <c r="AL55" s="94">
        <f t="shared" si="68"/>
        <v>-2.5000000000000001E-2</v>
      </c>
      <c r="AM55" s="44">
        <f t="shared" ref="AM55:AM70" si="70">R55</f>
        <v>5426</v>
      </c>
      <c r="AN55" s="44">
        <f t="shared" si="69"/>
        <v>2769.2307692307695</v>
      </c>
      <c r="AO55" s="44">
        <f t="shared" ref="AO55:AO70" si="71">SUM(AM55:AN55)</f>
        <v>8195.2307692307695</v>
      </c>
      <c r="AP55" s="44">
        <f t="shared" si="52"/>
        <v>1697.6188207027731</v>
      </c>
      <c r="AQ55" s="44">
        <f t="shared" ref="AQ55:AQ70" si="72">S55*0.03</f>
        <v>2141.2199999999998</v>
      </c>
      <c r="AR55" s="45">
        <f t="shared" ref="AR55:AR70" si="73">AK55-AO55-AP55+AQ55</f>
        <v>-9671.6295899335437</v>
      </c>
      <c r="AS55" s="94">
        <f t="shared" ref="AS55:AS70" si="74">AR55/P55</f>
        <v>-0.12593267695225968</v>
      </c>
      <c r="AT55" s="44">
        <f t="shared" si="53"/>
        <v>2539.2206627290016</v>
      </c>
      <c r="AU55" s="45">
        <f t="shared" ref="AU55:AU70" si="75">AR55-AT55</f>
        <v>-12210.850252662545</v>
      </c>
      <c r="AV55" s="94">
        <f t="shared" ref="AV55:AV70" si="76">AU55/P55</f>
        <v>-0.15899544599821022</v>
      </c>
      <c r="AW55" s="44">
        <f t="shared" si="54"/>
        <v>2966.887976774452</v>
      </c>
      <c r="AX55" s="45">
        <f t="shared" ref="AX55:AX70" si="77">AR55+AW55</f>
        <v>-6704.7416131590917</v>
      </c>
      <c r="AY55" s="94">
        <f t="shared" ref="AY55:AY70" si="78">AX55/P55</f>
        <v>-8.7301323088009003E-2</v>
      </c>
      <c r="BA55" s="44">
        <f t="shared" ref="BA55:BA70" si="79">P55/$G55</f>
        <v>1600</v>
      </c>
      <c r="BB55" s="44">
        <f t="shared" ref="BB55:BB70" si="80">-AC55/$G55</f>
        <v>-1063.1298756248327</v>
      </c>
      <c r="BC55" s="44">
        <f t="shared" ref="BC55:BC70" si="81">-AD55/$G55</f>
        <v>-243.26416563692888</v>
      </c>
      <c r="BD55" s="44">
        <f t="shared" ref="BD55:BD70" si="82">-AE55/$G55</f>
        <v>-15.933628967459626</v>
      </c>
      <c r="BE55" s="44">
        <f t="shared" ref="BE55:BE70" si="83">-AF55/$G55</f>
        <v>-317.67232977077896</v>
      </c>
      <c r="BF55" s="44">
        <f t="shared" ref="BF55:BF70" si="84">-AG55/$G55</f>
        <v>-1640</v>
      </c>
      <c r="BG55" s="44">
        <f t="shared" ref="BG55:BG70" si="85">AK55/$G55</f>
        <v>-40</v>
      </c>
      <c r="BH55" s="44">
        <f t="shared" ref="BH55:BH70" si="86">-AM55/$G55</f>
        <v>-113.04166666666667</v>
      </c>
      <c r="BI55" s="44">
        <f t="shared" ref="BI55:BI70" si="87">-AN55/$G55</f>
        <v>-57.692307692307701</v>
      </c>
      <c r="BJ55" s="44">
        <f t="shared" ref="BJ55:BJ70" si="88">-AO55/$G55</f>
        <v>-170.73397435897436</v>
      </c>
      <c r="BK55" s="44">
        <f t="shared" ref="BK55:BK70" si="89">-AP55/$G55</f>
        <v>-35.367058764641108</v>
      </c>
      <c r="BL55" s="44">
        <f t="shared" ref="BL55:BL70" si="90">AQ55/$G55</f>
        <v>44.608749999999993</v>
      </c>
      <c r="BM55" s="44">
        <f t="shared" ref="BM55:BM70" si="91">AR55/$G55</f>
        <v>-201.49228312361549</v>
      </c>
      <c r="BN55" s="44">
        <f t="shared" ref="BN55:BN70" si="92">-AT55/$G55</f>
        <v>-52.900430473520863</v>
      </c>
      <c r="BO55" s="44">
        <f t="shared" ref="BO55:BO70" si="93">AU55/$G55</f>
        <v>-254.39271359713635</v>
      </c>
      <c r="BP55" s="44">
        <f t="shared" ref="BP55:BP70" si="94">AW55/$G55</f>
        <v>61.810166182801083</v>
      </c>
      <c r="BQ55" s="44">
        <f t="shared" ref="BQ55:BQ70" si="95">AX55/$G55</f>
        <v>-139.68211694081441</v>
      </c>
    </row>
    <row r="56" spans="2:69" hidden="1">
      <c r="B56" s="7" t="s">
        <v>7</v>
      </c>
      <c r="C56" s="29" t="s">
        <v>8</v>
      </c>
      <c r="D56" s="25" t="s">
        <v>274</v>
      </c>
      <c r="E56" s="100">
        <v>54</v>
      </c>
      <c r="F56" s="106">
        <v>46101</v>
      </c>
      <c r="G56" s="101">
        <v>24</v>
      </c>
      <c r="H56" s="102" t="s">
        <v>35</v>
      </c>
      <c r="I56" s="27" t="s">
        <v>119</v>
      </c>
      <c r="J56" s="7" t="s">
        <v>156</v>
      </c>
      <c r="K56" s="7" t="s">
        <v>121</v>
      </c>
      <c r="L56" s="7" t="s">
        <v>275</v>
      </c>
      <c r="M56" s="21" t="s">
        <v>53</v>
      </c>
      <c r="N56" s="7" t="s">
        <v>276</v>
      </c>
      <c r="O56" s="20">
        <v>1100</v>
      </c>
      <c r="P56" s="69">
        <v>26400</v>
      </c>
      <c r="Q56" s="20">
        <v>966.54166666666663</v>
      </c>
      <c r="R56" s="30">
        <v>3203</v>
      </c>
      <c r="S56" s="32">
        <f t="shared" si="46"/>
        <v>23197</v>
      </c>
      <c r="T56" s="65">
        <v>1</v>
      </c>
      <c r="U56" s="66" t="s">
        <v>277</v>
      </c>
      <c r="V56" s="70" t="s">
        <v>278</v>
      </c>
      <c r="W56" s="66" t="s">
        <v>229</v>
      </c>
      <c r="X56" s="4" t="s">
        <v>116</v>
      </c>
      <c r="Y56" s="7">
        <v>10005779</v>
      </c>
      <c r="Z56" s="7" t="s">
        <v>221</v>
      </c>
      <c r="AA56" s="7" t="str">
        <f t="shared" ref="AA56:AA64" si="96">B56&amp;Y56&amp;Z56</f>
        <v>FEBRERO10005779Inventario final</v>
      </c>
      <c r="AB56" s="20">
        <f>INDEX('Detalle Costos'!$L$5:$L$158,MATCH(Resumen!AA56,'Detalle Costos'!$C$5:$C$158,0))*1000</f>
        <v>1860</v>
      </c>
      <c r="AC56" s="46">
        <f>IFERROR(INDEX('Detalle Costos'!$X$5:$X$158,MATCH(Resumen!AA56,'Detalle Costos'!$C$5:$C$158,0))*AG56,0)</f>
        <v>27171.949078027872</v>
      </c>
      <c r="AD56" s="46">
        <f>IFERROR(INDEX('Detalle Costos'!$Z$5:$Z$158,MATCH(Resumen!AA56,'Detalle Costos'!$C$5:$C$158,0))*AG56,0)</f>
        <v>9828.4918851710263</v>
      </c>
      <c r="AE56" s="46">
        <f>IFERROR(INDEX('Detalle Costos'!$Y$5:$Y$158,MATCH(Resumen!AA56,'Detalle Costos'!$C$5:$C$158,0))*AG56,0)</f>
        <v>325.6303974476296</v>
      </c>
      <c r="AF56" s="46">
        <f>IFERROR(INDEX('Detalle Costos'!$AA$5:$AA$158,MATCH(Resumen!AA56,'Detalle Costos'!$C$5:$C$158,0))*AG56,0)</f>
        <v>7313.9286393534703</v>
      </c>
      <c r="AG56" s="46">
        <f t="shared" ref="AG56:AG64" si="97">AB56*G56</f>
        <v>44640</v>
      </c>
      <c r="AH56" s="46"/>
      <c r="AI56" s="46"/>
      <c r="AJ56" s="46"/>
      <c r="AK56" s="45">
        <f t="shared" si="67"/>
        <v>-18240</v>
      </c>
      <c r="AL56" s="94">
        <f t="shared" si="68"/>
        <v>-0.69090909090909092</v>
      </c>
      <c r="AM56" s="44">
        <f t="shared" si="70"/>
        <v>3203</v>
      </c>
      <c r="AN56" s="44">
        <f t="shared" si="69"/>
        <v>1384.6153846153848</v>
      </c>
      <c r="AO56" s="44">
        <f t="shared" si="71"/>
        <v>4587.6153846153848</v>
      </c>
      <c r="AP56" s="44">
        <f t="shared" si="52"/>
        <v>848.80941035138653</v>
      </c>
      <c r="AQ56" s="44">
        <f t="shared" si="72"/>
        <v>695.91</v>
      </c>
      <c r="AR56" s="45">
        <f t="shared" si="73"/>
        <v>-22980.51479496677</v>
      </c>
      <c r="AS56" s="94">
        <f t="shared" si="74"/>
        <v>-0.87047404526389283</v>
      </c>
      <c r="AT56" s="44">
        <f t="shared" si="53"/>
        <v>1269.6103313645008</v>
      </c>
      <c r="AU56" s="45">
        <f t="shared" si="75"/>
        <v>-24250.12512633127</v>
      </c>
      <c r="AV56" s="94">
        <f t="shared" si="76"/>
        <v>-0.91856534569436632</v>
      </c>
      <c r="AW56" s="44">
        <f t="shared" si="54"/>
        <v>1483.443988387226</v>
      </c>
      <c r="AX56" s="45">
        <f t="shared" si="77"/>
        <v>-21497.070806579544</v>
      </c>
      <c r="AY56" s="94">
        <f t="shared" si="78"/>
        <v>-0.81428298509771002</v>
      </c>
      <c r="BA56" s="10">
        <f t="shared" si="79"/>
        <v>1100</v>
      </c>
      <c r="BB56" s="10">
        <f t="shared" si="80"/>
        <v>-1132.1645449178279</v>
      </c>
      <c r="BC56" s="10">
        <f t="shared" si="81"/>
        <v>-409.52049521545945</v>
      </c>
      <c r="BD56" s="10">
        <f t="shared" si="82"/>
        <v>-13.567933226984566</v>
      </c>
      <c r="BE56" s="10">
        <f t="shared" si="83"/>
        <v>-304.74702663972795</v>
      </c>
      <c r="BF56" s="10">
        <f t="shared" si="84"/>
        <v>-1860</v>
      </c>
      <c r="BG56" s="10">
        <f t="shared" si="85"/>
        <v>-760</v>
      </c>
      <c r="BH56" s="10">
        <f t="shared" si="86"/>
        <v>-133.45833333333334</v>
      </c>
      <c r="BI56" s="10">
        <f t="shared" si="87"/>
        <v>-57.692307692307701</v>
      </c>
      <c r="BJ56" s="10">
        <f t="shared" si="88"/>
        <v>-191.15064102564102</v>
      </c>
      <c r="BK56" s="10">
        <f t="shared" si="89"/>
        <v>-35.367058764641108</v>
      </c>
      <c r="BL56" s="10">
        <f t="shared" si="90"/>
        <v>28.99625</v>
      </c>
      <c r="BM56" s="10">
        <f t="shared" si="91"/>
        <v>-957.52144979028208</v>
      </c>
      <c r="BN56" s="10">
        <f t="shared" si="92"/>
        <v>-52.900430473520863</v>
      </c>
      <c r="BO56" s="10">
        <f t="shared" si="93"/>
        <v>-1010.4218802638029</v>
      </c>
      <c r="BP56" s="10">
        <f t="shared" si="94"/>
        <v>61.810166182801083</v>
      </c>
      <c r="BQ56" s="10">
        <f t="shared" si="95"/>
        <v>-895.71128360748105</v>
      </c>
    </row>
    <row r="57" spans="2:69" hidden="1">
      <c r="B57" s="7" t="s">
        <v>7</v>
      </c>
      <c r="C57" s="29" t="s">
        <v>8</v>
      </c>
      <c r="D57" s="25" t="s">
        <v>279</v>
      </c>
      <c r="E57" s="100">
        <v>54</v>
      </c>
      <c r="F57" s="106">
        <v>46101</v>
      </c>
      <c r="G57" s="101">
        <v>24</v>
      </c>
      <c r="H57" s="102" t="s">
        <v>35</v>
      </c>
      <c r="I57" s="27" t="s">
        <v>119</v>
      </c>
      <c r="J57" s="7" t="s">
        <v>156</v>
      </c>
      <c r="K57" s="7" t="s">
        <v>121</v>
      </c>
      <c r="L57" s="7" t="s">
        <v>122</v>
      </c>
      <c r="M57" s="21" t="s">
        <v>53</v>
      </c>
      <c r="N57" s="7" t="s">
        <v>123</v>
      </c>
      <c r="O57" s="20">
        <v>1100</v>
      </c>
      <c r="P57" s="69">
        <v>26400</v>
      </c>
      <c r="Q57" s="20">
        <v>953.625</v>
      </c>
      <c r="R57" s="30">
        <v>3513</v>
      </c>
      <c r="S57" s="32">
        <f t="shared" si="46"/>
        <v>22887</v>
      </c>
      <c r="T57" s="65">
        <v>1</v>
      </c>
      <c r="U57" s="66" t="s">
        <v>277</v>
      </c>
      <c r="V57" s="70" t="s">
        <v>280</v>
      </c>
      <c r="W57" s="66" t="s">
        <v>229</v>
      </c>
      <c r="X57" s="4" t="s">
        <v>116</v>
      </c>
      <c r="Y57" s="7">
        <v>10005779</v>
      </c>
      <c r="Z57" s="7" t="s">
        <v>221</v>
      </c>
      <c r="AA57" s="7" t="str">
        <f t="shared" si="96"/>
        <v>FEBRERO10005779Inventario final</v>
      </c>
      <c r="AB57" s="20">
        <f>INDEX('Detalle Costos'!$L$5:$L$158,MATCH(Resumen!AA57,'Detalle Costos'!$C$5:$C$158,0))*1000</f>
        <v>1860</v>
      </c>
      <c r="AC57" s="46">
        <f>IFERROR(INDEX('Detalle Costos'!$X$5:$X$158,MATCH(Resumen!AA57,'Detalle Costos'!$C$5:$C$158,0))*AG57,0)</f>
        <v>27171.949078027872</v>
      </c>
      <c r="AD57" s="46">
        <f>IFERROR(INDEX('Detalle Costos'!$Z$5:$Z$158,MATCH(Resumen!AA57,'Detalle Costos'!$C$5:$C$158,0))*AG57,0)</f>
        <v>9828.4918851710263</v>
      </c>
      <c r="AE57" s="46">
        <f>IFERROR(INDEX('Detalle Costos'!$Y$5:$Y$158,MATCH(Resumen!AA57,'Detalle Costos'!$C$5:$C$158,0))*AG57,0)</f>
        <v>325.6303974476296</v>
      </c>
      <c r="AF57" s="46">
        <f>IFERROR(INDEX('Detalle Costos'!$AA$5:$AA$158,MATCH(Resumen!AA57,'Detalle Costos'!$C$5:$C$158,0))*AG57,0)</f>
        <v>7313.9286393534703</v>
      </c>
      <c r="AG57" s="46">
        <f t="shared" si="97"/>
        <v>44640</v>
      </c>
      <c r="AH57" s="46"/>
      <c r="AI57" s="46"/>
      <c r="AJ57" s="46"/>
      <c r="AK57" s="45">
        <f t="shared" si="67"/>
        <v>-18240</v>
      </c>
      <c r="AL57" s="94">
        <f t="shared" si="68"/>
        <v>-0.69090909090909092</v>
      </c>
      <c r="AM57" s="44">
        <f t="shared" si="70"/>
        <v>3513</v>
      </c>
      <c r="AN57" s="44">
        <f t="shared" si="69"/>
        <v>1384.6153846153848</v>
      </c>
      <c r="AO57" s="44">
        <f t="shared" si="71"/>
        <v>4897.6153846153848</v>
      </c>
      <c r="AP57" s="44">
        <f t="shared" si="52"/>
        <v>848.80941035138653</v>
      </c>
      <c r="AQ57" s="44">
        <f t="shared" si="72"/>
        <v>686.61</v>
      </c>
      <c r="AR57" s="45">
        <f t="shared" si="73"/>
        <v>-23299.814794966769</v>
      </c>
      <c r="AS57" s="94">
        <f t="shared" si="74"/>
        <v>-0.88256874223358972</v>
      </c>
      <c r="AT57" s="44">
        <f t="shared" si="53"/>
        <v>1269.6103313645008</v>
      </c>
      <c r="AU57" s="45">
        <f t="shared" si="75"/>
        <v>-24569.425126331269</v>
      </c>
      <c r="AV57" s="94">
        <f t="shared" si="76"/>
        <v>-0.93066004266406321</v>
      </c>
      <c r="AW57" s="44">
        <f t="shared" si="54"/>
        <v>1483.443988387226</v>
      </c>
      <c r="AX57" s="45">
        <f t="shared" si="77"/>
        <v>-21816.370806579544</v>
      </c>
      <c r="AY57" s="94">
        <f t="shared" si="78"/>
        <v>-0.82637768206740692</v>
      </c>
      <c r="BA57" s="10">
        <f t="shared" si="79"/>
        <v>1100</v>
      </c>
      <c r="BB57" s="10">
        <f t="shared" si="80"/>
        <v>-1132.1645449178279</v>
      </c>
      <c r="BC57" s="10">
        <f t="shared" si="81"/>
        <v>-409.52049521545945</v>
      </c>
      <c r="BD57" s="10">
        <f t="shared" si="82"/>
        <v>-13.567933226984566</v>
      </c>
      <c r="BE57" s="10">
        <f t="shared" si="83"/>
        <v>-304.74702663972795</v>
      </c>
      <c r="BF57" s="10">
        <f t="shared" si="84"/>
        <v>-1860</v>
      </c>
      <c r="BG57" s="10">
        <f t="shared" si="85"/>
        <v>-760</v>
      </c>
      <c r="BH57" s="10">
        <f t="shared" si="86"/>
        <v>-146.375</v>
      </c>
      <c r="BI57" s="10">
        <f t="shared" si="87"/>
        <v>-57.692307692307701</v>
      </c>
      <c r="BJ57" s="10">
        <f t="shared" si="88"/>
        <v>-204.06730769230771</v>
      </c>
      <c r="BK57" s="10">
        <f t="shared" si="89"/>
        <v>-35.367058764641108</v>
      </c>
      <c r="BL57" s="10">
        <f t="shared" si="90"/>
        <v>28.608750000000001</v>
      </c>
      <c r="BM57" s="10">
        <f t="shared" si="91"/>
        <v>-970.82561645694875</v>
      </c>
      <c r="BN57" s="10">
        <f t="shared" si="92"/>
        <v>-52.900430473520863</v>
      </c>
      <c r="BO57" s="10">
        <f t="shared" si="93"/>
        <v>-1023.7260469304696</v>
      </c>
      <c r="BP57" s="10">
        <f t="shared" si="94"/>
        <v>61.810166182801083</v>
      </c>
      <c r="BQ57" s="10">
        <f t="shared" si="95"/>
        <v>-909.01545027414761</v>
      </c>
    </row>
    <row r="58" spans="2:69" hidden="1">
      <c r="B58" s="7" t="s">
        <v>7</v>
      </c>
      <c r="C58" s="29" t="s">
        <v>8</v>
      </c>
      <c r="D58" s="25" t="s">
        <v>281</v>
      </c>
      <c r="E58" s="100">
        <v>54</v>
      </c>
      <c r="F58" s="106">
        <v>46101</v>
      </c>
      <c r="G58" s="101">
        <v>24</v>
      </c>
      <c r="H58" s="102" t="s">
        <v>35</v>
      </c>
      <c r="I58" s="27" t="s">
        <v>119</v>
      </c>
      <c r="J58" s="7" t="s">
        <v>156</v>
      </c>
      <c r="K58" s="7" t="s">
        <v>121</v>
      </c>
      <c r="L58" s="7" t="s">
        <v>122</v>
      </c>
      <c r="M58" s="21" t="s">
        <v>53</v>
      </c>
      <c r="N58" s="7" t="s">
        <v>123</v>
      </c>
      <c r="O58" s="20">
        <v>1100</v>
      </c>
      <c r="P58" s="69">
        <v>26400</v>
      </c>
      <c r="Q58" s="20">
        <v>953.625</v>
      </c>
      <c r="R58" s="30">
        <v>3513</v>
      </c>
      <c r="S58" s="32">
        <f t="shared" si="46"/>
        <v>22887</v>
      </c>
      <c r="T58" s="65">
        <v>1</v>
      </c>
      <c r="U58" s="66" t="s">
        <v>277</v>
      </c>
      <c r="V58" s="70" t="s">
        <v>282</v>
      </c>
      <c r="W58" s="66" t="s">
        <v>229</v>
      </c>
      <c r="X58" s="4" t="s">
        <v>116</v>
      </c>
      <c r="Y58" s="7">
        <v>10005779</v>
      </c>
      <c r="Z58" s="7" t="s">
        <v>221</v>
      </c>
      <c r="AA58" s="7" t="str">
        <f t="shared" si="96"/>
        <v>FEBRERO10005779Inventario final</v>
      </c>
      <c r="AB58" s="20">
        <f>INDEX('Detalle Costos'!$L$5:$L$158,MATCH(Resumen!AA58,'Detalle Costos'!$C$5:$C$158,0))*1000</f>
        <v>1860</v>
      </c>
      <c r="AC58" s="46">
        <f>IFERROR(INDEX('Detalle Costos'!$X$5:$X$158,MATCH(Resumen!AA58,'Detalle Costos'!$C$5:$C$158,0))*AG58,0)</f>
        <v>27171.949078027872</v>
      </c>
      <c r="AD58" s="46">
        <f>IFERROR(INDEX('Detalle Costos'!$Z$5:$Z$158,MATCH(Resumen!AA58,'Detalle Costos'!$C$5:$C$158,0))*AG58,0)</f>
        <v>9828.4918851710263</v>
      </c>
      <c r="AE58" s="46">
        <f>IFERROR(INDEX('Detalle Costos'!$Y$5:$Y$158,MATCH(Resumen!AA58,'Detalle Costos'!$C$5:$C$158,0))*AG58,0)</f>
        <v>325.6303974476296</v>
      </c>
      <c r="AF58" s="46">
        <f>IFERROR(INDEX('Detalle Costos'!$AA$5:$AA$158,MATCH(Resumen!AA58,'Detalle Costos'!$C$5:$C$158,0))*AG58,0)</f>
        <v>7313.9286393534703</v>
      </c>
      <c r="AG58" s="46">
        <f t="shared" si="97"/>
        <v>44640</v>
      </c>
      <c r="AH58" s="46"/>
      <c r="AI58" s="46"/>
      <c r="AJ58" s="46"/>
      <c r="AK58" s="45">
        <f t="shared" si="67"/>
        <v>-18240</v>
      </c>
      <c r="AL58" s="94">
        <f t="shared" si="68"/>
        <v>-0.69090909090909092</v>
      </c>
      <c r="AM58" s="44">
        <f t="shared" si="70"/>
        <v>3513</v>
      </c>
      <c r="AN58" s="44">
        <f t="shared" si="69"/>
        <v>1384.6153846153848</v>
      </c>
      <c r="AO58" s="44">
        <f t="shared" si="71"/>
        <v>4897.6153846153848</v>
      </c>
      <c r="AP58" s="44">
        <f t="shared" si="52"/>
        <v>848.80941035138653</v>
      </c>
      <c r="AQ58" s="44">
        <f t="shared" si="72"/>
        <v>686.61</v>
      </c>
      <c r="AR58" s="45">
        <f t="shared" si="73"/>
        <v>-23299.814794966769</v>
      </c>
      <c r="AS58" s="94">
        <f t="shared" si="74"/>
        <v>-0.88256874223358972</v>
      </c>
      <c r="AT58" s="44">
        <f t="shared" si="53"/>
        <v>1269.6103313645008</v>
      </c>
      <c r="AU58" s="45">
        <f t="shared" si="75"/>
        <v>-24569.425126331269</v>
      </c>
      <c r="AV58" s="94">
        <f t="shared" si="76"/>
        <v>-0.93066004266406321</v>
      </c>
      <c r="AW58" s="44">
        <f t="shared" si="54"/>
        <v>1483.443988387226</v>
      </c>
      <c r="AX58" s="45">
        <f t="shared" si="77"/>
        <v>-21816.370806579544</v>
      </c>
      <c r="AY58" s="94">
        <f t="shared" si="78"/>
        <v>-0.82637768206740692</v>
      </c>
      <c r="BA58" s="10">
        <f t="shared" si="79"/>
        <v>1100</v>
      </c>
      <c r="BB58" s="10">
        <f t="shared" si="80"/>
        <v>-1132.1645449178279</v>
      </c>
      <c r="BC58" s="10">
        <f t="shared" si="81"/>
        <v>-409.52049521545945</v>
      </c>
      <c r="BD58" s="10">
        <f t="shared" si="82"/>
        <v>-13.567933226984566</v>
      </c>
      <c r="BE58" s="10">
        <f t="shared" si="83"/>
        <v>-304.74702663972795</v>
      </c>
      <c r="BF58" s="10">
        <f t="shared" si="84"/>
        <v>-1860</v>
      </c>
      <c r="BG58" s="10">
        <f t="shared" si="85"/>
        <v>-760</v>
      </c>
      <c r="BH58" s="10">
        <f t="shared" si="86"/>
        <v>-146.375</v>
      </c>
      <c r="BI58" s="10">
        <f t="shared" si="87"/>
        <v>-57.692307692307701</v>
      </c>
      <c r="BJ58" s="10">
        <f t="shared" si="88"/>
        <v>-204.06730769230771</v>
      </c>
      <c r="BK58" s="10">
        <f t="shared" si="89"/>
        <v>-35.367058764641108</v>
      </c>
      <c r="BL58" s="10">
        <f t="shared" si="90"/>
        <v>28.608750000000001</v>
      </c>
      <c r="BM58" s="10">
        <f t="shared" si="91"/>
        <v>-970.82561645694875</v>
      </c>
      <c r="BN58" s="10">
        <f t="shared" si="92"/>
        <v>-52.900430473520863</v>
      </c>
      <c r="BO58" s="10">
        <f t="shared" si="93"/>
        <v>-1023.7260469304696</v>
      </c>
      <c r="BP58" s="10">
        <f t="shared" si="94"/>
        <v>61.810166182801083</v>
      </c>
      <c r="BQ58" s="10">
        <f t="shared" si="95"/>
        <v>-909.01545027414761</v>
      </c>
    </row>
    <row r="59" spans="2:69" hidden="1">
      <c r="B59" s="7" t="s">
        <v>7</v>
      </c>
      <c r="C59" s="29" t="s">
        <v>8</v>
      </c>
      <c r="D59" s="25" t="s">
        <v>283</v>
      </c>
      <c r="E59" s="100">
        <v>54</v>
      </c>
      <c r="F59" s="106">
        <v>46108</v>
      </c>
      <c r="G59" s="101">
        <v>24</v>
      </c>
      <c r="H59" s="102" t="s">
        <v>35</v>
      </c>
      <c r="I59" s="27" t="s">
        <v>119</v>
      </c>
      <c r="J59" s="7" t="s">
        <v>156</v>
      </c>
      <c r="K59" s="7" t="s">
        <v>121</v>
      </c>
      <c r="L59" s="7" t="s">
        <v>122</v>
      </c>
      <c r="M59" s="21" t="s">
        <v>53</v>
      </c>
      <c r="N59" s="7" t="s">
        <v>123</v>
      </c>
      <c r="O59" s="20">
        <v>1100</v>
      </c>
      <c r="P59" s="69">
        <v>26400</v>
      </c>
      <c r="Q59" s="20">
        <v>953.625</v>
      </c>
      <c r="R59" s="30">
        <v>3513</v>
      </c>
      <c r="S59" s="32">
        <f t="shared" si="46"/>
        <v>22887</v>
      </c>
      <c r="T59" s="65">
        <v>1</v>
      </c>
      <c r="U59" s="59" t="s">
        <v>263</v>
      </c>
      <c r="V59" s="67" t="s">
        <v>284</v>
      </c>
      <c r="W59" s="66" t="s">
        <v>229</v>
      </c>
      <c r="X59" s="4" t="s">
        <v>116</v>
      </c>
      <c r="Y59" s="7">
        <v>10005779</v>
      </c>
      <c r="Z59" s="7" t="s">
        <v>221</v>
      </c>
      <c r="AA59" s="7" t="str">
        <f t="shared" si="96"/>
        <v>FEBRERO10005779Inventario final</v>
      </c>
      <c r="AB59" s="20">
        <f>INDEX('Detalle Costos'!$L$5:$L$158,MATCH(Resumen!AA59,'Detalle Costos'!$C$5:$C$158,0))*1000</f>
        <v>1860</v>
      </c>
      <c r="AC59" s="46">
        <f>IFERROR(INDEX('Detalle Costos'!$X$5:$X$158,MATCH(Resumen!AA59,'Detalle Costos'!$C$5:$C$158,0))*AG59,0)</f>
        <v>27171.949078027872</v>
      </c>
      <c r="AD59" s="46">
        <f>IFERROR(INDEX('Detalle Costos'!$Z$5:$Z$158,MATCH(Resumen!AA59,'Detalle Costos'!$C$5:$C$158,0))*AG59,0)</f>
        <v>9828.4918851710263</v>
      </c>
      <c r="AE59" s="46">
        <f>IFERROR(INDEX('Detalle Costos'!$Y$5:$Y$158,MATCH(Resumen!AA59,'Detalle Costos'!$C$5:$C$158,0))*AG59,0)</f>
        <v>325.6303974476296</v>
      </c>
      <c r="AF59" s="46">
        <f>IFERROR(INDEX('Detalle Costos'!$AA$5:$AA$158,MATCH(Resumen!AA59,'Detalle Costos'!$C$5:$C$158,0))*AG59,0)</f>
        <v>7313.9286393534703</v>
      </c>
      <c r="AG59" s="46">
        <f t="shared" si="97"/>
        <v>44640</v>
      </c>
      <c r="AH59" s="46"/>
      <c r="AI59" s="46"/>
      <c r="AJ59" s="46"/>
      <c r="AK59" s="45">
        <f t="shared" si="67"/>
        <v>-18240</v>
      </c>
      <c r="AL59" s="94">
        <f t="shared" si="68"/>
        <v>-0.69090909090909092</v>
      </c>
      <c r="AM59" s="44">
        <f t="shared" si="70"/>
        <v>3513</v>
      </c>
      <c r="AN59" s="44">
        <f t="shared" si="69"/>
        <v>1384.6153846153848</v>
      </c>
      <c r="AO59" s="44">
        <f t="shared" si="71"/>
        <v>4897.6153846153848</v>
      </c>
      <c r="AP59" s="44">
        <f t="shared" si="52"/>
        <v>848.80941035138653</v>
      </c>
      <c r="AQ59" s="44">
        <f t="shared" si="72"/>
        <v>686.61</v>
      </c>
      <c r="AR59" s="45">
        <f t="shared" si="73"/>
        <v>-23299.814794966769</v>
      </c>
      <c r="AS59" s="94">
        <f t="shared" si="74"/>
        <v>-0.88256874223358972</v>
      </c>
      <c r="AT59" s="44">
        <f t="shared" si="53"/>
        <v>1269.6103313645008</v>
      </c>
      <c r="AU59" s="45">
        <f t="shared" si="75"/>
        <v>-24569.425126331269</v>
      </c>
      <c r="AV59" s="94">
        <f t="shared" si="76"/>
        <v>-0.93066004266406321</v>
      </c>
      <c r="AW59" s="44">
        <f t="shared" si="54"/>
        <v>1483.443988387226</v>
      </c>
      <c r="AX59" s="45">
        <f t="shared" si="77"/>
        <v>-21816.370806579544</v>
      </c>
      <c r="AY59" s="94">
        <f t="shared" si="78"/>
        <v>-0.82637768206740692</v>
      </c>
      <c r="BA59" s="10">
        <f t="shared" si="79"/>
        <v>1100</v>
      </c>
      <c r="BB59" s="10">
        <f t="shared" si="80"/>
        <v>-1132.1645449178279</v>
      </c>
      <c r="BC59" s="10">
        <f t="shared" si="81"/>
        <v>-409.52049521545945</v>
      </c>
      <c r="BD59" s="10">
        <f t="shared" si="82"/>
        <v>-13.567933226984566</v>
      </c>
      <c r="BE59" s="10">
        <f t="shared" si="83"/>
        <v>-304.74702663972795</v>
      </c>
      <c r="BF59" s="10">
        <f t="shared" si="84"/>
        <v>-1860</v>
      </c>
      <c r="BG59" s="10">
        <f t="shared" si="85"/>
        <v>-760</v>
      </c>
      <c r="BH59" s="10">
        <f t="shared" si="86"/>
        <v>-146.375</v>
      </c>
      <c r="BI59" s="10">
        <f t="shared" si="87"/>
        <v>-57.692307692307701</v>
      </c>
      <c r="BJ59" s="10">
        <f t="shared" si="88"/>
        <v>-204.06730769230771</v>
      </c>
      <c r="BK59" s="10">
        <f t="shared" si="89"/>
        <v>-35.367058764641108</v>
      </c>
      <c r="BL59" s="10">
        <f t="shared" si="90"/>
        <v>28.608750000000001</v>
      </c>
      <c r="BM59" s="10">
        <f t="shared" si="91"/>
        <v>-970.82561645694875</v>
      </c>
      <c r="BN59" s="10">
        <f t="shared" si="92"/>
        <v>-52.900430473520863</v>
      </c>
      <c r="BO59" s="10">
        <f t="shared" si="93"/>
        <v>-1023.7260469304696</v>
      </c>
      <c r="BP59" s="10">
        <f t="shared" si="94"/>
        <v>61.810166182801083</v>
      </c>
      <c r="BQ59" s="10">
        <f t="shared" si="95"/>
        <v>-909.01545027414761</v>
      </c>
    </row>
    <row r="60" spans="2:69" hidden="1">
      <c r="B60" s="7" t="s">
        <v>7</v>
      </c>
      <c r="C60" s="29" t="s">
        <v>8</v>
      </c>
      <c r="D60" s="25" t="s">
        <v>285</v>
      </c>
      <c r="E60" s="100">
        <v>54</v>
      </c>
      <c r="F60" s="106">
        <v>46108</v>
      </c>
      <c r="G60" s="101">
        <v>24</v>
      </c>
      <c r="H60" s="102" t="s">
        <v>35</v>
      </c>
      <c r="I60" s="27" t="s">
        <v>119</v>
      </c>
      <c r="J60" s="7" t="s">
        <v>156</v>
      </c>
      <c r="K60" s="7" t="s">
        <v>121</v>
      </c>
      <c r="L60" s="7" t="s">
        <v>122</v>
      </c>
      <c r="M60" s="21" t="s">
        <v>53</v>
      </c>
      <c r="N60" s="7" t="s">
        <v>123</v>
      </c>
      <c r="O60" s="20">
        <v>1100</v>
      </c>
      <c r="P60" s="69">
        <v>26400</v>
      </c>
      <c r="Q60" s="20">
        <v>953.625</v>
      </c>
      <c r="R60" s="30">
        <v>3513</v>
      </c>
      <c r="S60" s="32">
        <f t="shared" si="46"/>
        <v>22887</v>
      </c>
      <c r="T60" s="65">
        <v>1</v>
      </c>
      <c r="U60" s="59" t="s">
        <v>263</v>
      </c>
      <c r="V60" s="67" t="s">
        <v>286</v>
      </c>
      <c r="W60" s="66" t="s">
        <v>229</v>
      </c>
      <c r="X60" s="4" t="s">
        <v>116</v>
      </c>
      <c r="Y60" s="7">
        <v>10005779</v>
      </c>
      <c r="Z60" s="7" t="s">
        <v>221</v>
      </c>
      <c r="AA60" s="7" t="str">
        <f t="shared" si="96"/>
        <v>FEBRERO10005779Inventario final</v>
      </c>
      <c r="AB60" s="20">
        <f>INDEX('Detalle Costos'!$L$5:$L$158,MATCH(Resumen!AA60,'Detalle Costos'!$C$5:$C$158,0))*1000</f>
        <v>1860</v>
      </c>
      <c r="AC60" s="46">
        <f>IFERROR(INDEX('Detalle Costos'!$X$5:$X$158,MATCH(Resumen!AA60,'Detalle Costos'!$C$5:$C$158,0))*AG60,0)</f>
        <v>27171.949078027872</v>
      </c>
      <c r="AD60" s="46">
        <f>IFERROR(INDEX('Detalle Costos'!$Z$5:$Z$158,MATCH(Resumen!AA60,'Detalle Costos'!$C$5:$C$158,0))*AG60,0)</f>
        <v>9828.4918851710263</v>
      </c>
      <c r="AE60" s="46">
        <f>IFERROR(INDEX('Detalle Costos'!$Y$5:$Y$158,MATCH(Resumen!AA60,'Detalle Costos'!$C$5:$C$158,0))*AG60,0)</f>
        <v>325.6303974476296</v>
      </c>
      <c r="AF60" s="46">
        <f>IFERROR(INDEX('Detalle Costos'!$AA$5:$AA$158,MATCH(Resumen!AA60,'Detalle Costos'!$C$5:$C$158,0))*AG60,0)</f>
        <v>7313.9286393534703</v>
      </c>
      <c r="AG60" s="46">
        <f t="shared" si="97"/>
        <v>44640</v>
      </c>
      <c r="AH60" s="46"/>
      <c r="AI60" s="46"/>
      <c r="AJ60" s="46"/>
      <c r="AK60" s="45">
        <f t="shared" si="67"/>
        <v>-18240</v>
      </c>
      <c r="AL60" s="94">
        <f t="shared" si="68"/>
        <v>-0.69090909090909092</v>
      </c>
      <c r="AM60" s="44">
        <f t="shared" si="70"/>
        <v>3513</v>
      </c>
      <c r="AN60" s="44">
        <f t="shared" si="69"/>
        <v>1384.6153846153848</v>
      </c>
      <c r="AO60" s="44">
        <f t="shared" si="71"/>
        <v>4897.6153846153848</v>
      </c>
      <c r="AP60" s="44">
        <f t="shared" si="52"/>
        <v>848.80941035138653</v>
      </c>
      <c r="AQ60" s="44">
        <f t="shared" si="72"/>
        <v>686.61</v>
      </c>
      <c r="AR60" s="45">
        <f t="shared" si="73"/>
        <v>-23299.814794966769</v>
      </c>
      <c r="AS60" s="94">
        <f t="shared" si="74"/>
        <v>-0.88256874223358972</v>
      </c>
      <c r="AT60" s="44">
        <f t="shared" si="53"/>
        <v>1269.6103313645008</v>
      </c>
      <c r="AU60" s="45">
        <f t="shared" si="75"/>
        <v>-24569.425126331269</v>
      </c>
      <c r="AV60" s="94">
        <f t="shared" si="76"/>
        <v>-0.93066004266406321</v>
      </c>
      <c r="AW60" s="44">
        <f t="shared" si="54"/>
        <v>1483.443988387226</v>
      </c>
      <c r="AX60" s="45">
        <f t="shared" si="77"/>
        <v>-21816.370806579544</v>
      </c>
      <c r="AY60" s="94">
        <f t="shared" si="78"/>
        <v>-0.82637768206740692</v>
      </c>
      <c r="BA60" s="10">
        <f t="shared" si="79"/>
        <v>1100</v>
      </c>
      <c r="BB60" s="10">
        <f t="shared" si="80"/>
        <v>-1132.1645449178279</v>
      </c>
      <c r="BC60" s="10">
        <f t="shared" si="81"/>
        <v>-409.52049521545945</v>
      </c>
      <c r="BD60" s="10">
        <f t="shared" si="82"/>
        <v>-13.567933226984566</v>
      </c>
      <c r="BE60" s="10">
        <f t="shared" si="83"/>
        <v>-304.74702663972795</v>
      </c>
      <c r="BF60" s="10">
        <f t="shared" si="84"/>
        <v>-1860</v>
      </c>
      <c r="BG60" s="10">
        <f t="shared" si="85"/>
        <v>-760</v>
      </c>
      <c r="BH60" s="10">
        <f t="shared" si="86"/>
        <v>-146.375</v>
      </c>
      <c r="BI60" s="10">
        <f t="shared" si="87"/>
        <v>-57.692307692307701</v>
      </c>
      <c r="BJ60" s="10">
        <f t="shared" si="88"/>
        <v>-204.06730769230771</v>
      </c>
      <c r="BK60" s="10">
        <f t="shared" si="89"/>
        <v>-35.367058764641108</v>
      </c>
      <c r="BL60" s="10">
        <f t="shared" si="90"/>
        <v>28.608750000000001</v>
      </c>
      <c r="BM60" s="10">
        <f t="shared" si="91"/>
        <v>-970.82561645694875</v>
      </c>
      <c r="BN60" s="10">
        <f t="shared" si="92"/>
        <v>-52.900430473520863</v>
      </c>
      <c r="BO60" s="10">
        <f t="shared" si="93"/>
        <v>-1023.7260469304696</v>
      </c>
      <c r="BP60" s="10">
        <f t="shared" si="94"/>
        <v>61.810166182801083</v>
      </c>
      <c r="BQ60" s="10">
        <f t="shared" si="95"/>
        <v>-909.01545027414761</v>
      </c>
    </row>
    <row r="61" spans="2:69" hidden="1">
      <c r="B61" s="7" t="s">
        <v>7</v>
      </c>
      <c r="C61" s="29" t="s">
        <v>8</v>
      </c>
      <c r="D61" s="25" t="s">
        <v>287</v>
      </c>
      <c r="E61" s="100">
        <v>54</v>
      </c>
      <c r="F61" s="106">
        <v>46108</v>
      </c>
      <c r="G61" s="101">
        <v>24</v>
      </c>
      <c r="H61" s="102" t="s">
        <v>35</v>
      </c>
      <c r="I61" s="27" t="s">
        <v>119</v>
      </c>
      <c r="J61" s="7" t="s">
        <v>156</v>
      </c>
      <c r="K61" s="7" t="s">
        <v>121</v>
      </c>
      <c r="L61" s="7" t="s">
        <v>122</v>
      </c>
      <c r="M61" s="21" t="s">
        <v>53</v>
      </c>
      <c r="N61" s="7" t="s">
        <v>123</v>
      </c>
      <c r="O61" s="20">
        <v>1100</v>
      </c>
      <c r="P61" s="69">
        <v>26400</v>
      </c>
      <c r="Q61" s="20">
        <v>966.54166666666663</v>
      </c>
      <c r="R61" s="30">
        <v>3203</v>
      </c>
      <c r="S61" s="32">
        <f t="shared" si="46"/>
        <v>23197</v>
      </c>
      <c r="T61" s="65">
        <v>1</v>
      </c>
      <c r="U61" s="59" t="s">
        <v>263</v>
      </c>
      <c r="V61" s="67" t="s">
        <v>288</v>
      </c>
      <c r="W61" s="66" t="s">
        <v>229</v>
      </c>
      <c r="X61" s="4" t="s">
        <v>116</v>
      </c>
      <c r="Y61" s="7">
        <v>10005779</v>
      </c>
      <c r="Z61" s="7" t="s">
        <v>221</v>
      </c>
      <c r="AA61" s="7" t="str">
        <f t="shared" si="96"/>
        <v>FEBRERO10005779Inventario final</v>
      </c>
      <c r="AB61" s="20">
        <f>INDEX('Detalle Costos'!$L$5:$L$158,MATCH(Resumen!AA61,'Detalle Costos'!$C$5:$C$158,0))*1000</f>
        <v>1860</v>
      </c>
      <c r="AC61" s="46">
        <f>IFERROR(INDEX('Detalle Costos'!$X$5:$X$158,MATCH(Resumen!AA61,'Detalle Costos'!$C$5:$C$158,0))*AG61,0)</f>
        <v>27171.949078027872</v>
      </c>
      <c r="AD61" s="46">
        <f>IFERROR(INDEX('Detalle Costos'!$Z$5:$Z$158,MATCH(Resumen!AA61,'Detalle Costos'!$C$5:$C$158,0))*AG61,0)</f>
        <v>9828.4918851710263</v>
      </c>
      <c r="AE61" s="46">
        <f>IFERROR(INDEX('Detalle Costos'!$Y$5:$Y$158,MATCH(Resumen!AA61,'Detalle Costos'!$C$5:$C$158,0))*AG61,0)</f>
        <v>325.6303974476296</v>
      </c>
      <c r="AF61" s="46">
        <f>IFERROR(INDEX('Detalle Costos'!$AA$5:$AA$158,MATCH(Resumen!AA61,'Detalle Costos'!$C$5:$C$158,0))*AG61,0)</f>
        <v>7313.9286393534703</v>
      </c>
      <c r="AG61" s="46">
        <f t="shared" si="97"/>
        <v>44640</v>
      </c>
      <c r="AH61" s="46"/>
      <c r="AI61" s="46"/>
      <c r="AJ61" s="46"/>
      <c r="AK61" s="45">
        <f t="shared" si="67"/>
        <v>-18240</v>
      </c>
      <c r="AL61" s="94">
        <f t="shared" si="68"/>
        <v>-0.69090909090909092</v>
      </c>
      <c r="AM61" s="44">
        <f t="shared" si="70"/>
        <v>3203</v>
      </c>
      <c r="AN61" s="44">
        <f t="shared" si="69"/>
        <v>1384.6153846153848</v>
      </c>
      <c r="AO61" s="44">
        <f t="shared" si="71"/>
        <v>4587.6153846153848</v>
      </c>
      <c r="AP61" s="44">
        <f t="shared" si="52"/>
        <v>848.80941035138653</v>
      </c>
      <c r="AQ61" s="44">
        <f t="shared" si="72"/>
        <v>695.91</v>
      </c>
      <c r="AR61" s="45">
        <f t="shared" si="73"/>
        <v>-22980.51479496677</v>
      </c>
      <c r="AS61" s="94">
        <f t="shared" si="74"/>
        <v>-0.87047404526389283</v>
      </c>
      <c r="AT61" s="44">
        <f t="shared" si="53"/>
        <v>1269.6103313645008</v>
      </c>
      <c r="AU61" s="45">
        <f t="shared" si="75"/>
        <v>-24250.12512633127</v>
      </c>
      <c r="AV61" s="94">
        <f t="shared" si="76"/>
        <v>-0.91856534569436632</v>
      </c>
      <c r="AW61" s="44">
        <f t="shared" si="54"/>
        <v>1483.443988387226</v>
      </c>
      <c r="AX61" s="45">
        <f t="shared" si="77"/>
        <v>-21497.070806579544</v>
      </c>
      <c r="AY61" s="94">
        <f t="shared" si="78"/>
        <v>-0.81428298509771002</v>
      </c>
      <c r="BA61" s="10">
        <f t="shared" si="79"/>
        <v>1100</v>
      </c>
      <c r="BB61" s="10">
        <f t="shared" si="80"/>
        <v>-1132.1645449178279</v>
      </c>
      <c r="BC61" s="10">
        <f t="shared" si="81"/>
        <v>-409.52049521545945</v>
      </c>
      <c r="BD61" s="10">
        <f t="shared" si="82"/>
        <v>-13.567933226984566</v>
      </c>
      <c r="BE61" s="10">
        <f t="shared" si="83"/>
        <v>-304.74702663972795</v>
      </c>
      <c r="BF61" s="10">
        <f t="shared" si="84"/>
        <v>-1860</v>
      </c>
      <c r="BG61" s="10">
        <f t="shared" si="85"/>
        <v>-760</v>
      </c>
      <c r="BH61" s="10">
        <f t="shared" si="86"/>
        <v>-133.45833333333334</v>
      </c>
      <c r="BI61" s="10">
        <f t="shared" si="87"/>
        <v>-57.692307692307701</v>
      </c>
      <c r="BJ61" s="10">
        <f t="shared" si="88"/>
        <v>-191.15064102564102</v>
      </c>
      <c r="BK61" s="10">
        <f t="shared" si="89"/>
        <v>-35.367058764641108</v>
      </c>
      <c r="BL61" s="10">
        <f t="shared" si="90"/>
        <v>28.99625</v>
      </c>
      <c r="BM61" s="10">
        <f t="shared" si="91"/>
        <v>-957.52144979028208</v>
      </c>
      <c r="BN61" s="10">
        <f t="shared" si="92"/>
        <v>-52.900430473520863</v>
      </c>
      <c r="BO61" s="10">
        <f t="shared" si="93"/>
        <v>-1010.4218802638029</v>
      </c>
      <c r="BP61" s="10">
        <f t="shared" si="94"/>
        <v>61.810166182801083</v>
      </c>
      <c r="BQ61" s="10">
        <f t="shared" si="95"/>
        <v>-895.71128360748105</v>
      </c>
    </row>
    <row r="62" spans="2:69" hidden="1">
      <c r="B62" s="7" t="s">
        <v>7</v>
      </c>
      <c r="C62" s="29" t="s">
        <v>8</v>
      </c>
      <c r="D62" s="25" t="s">
        <v>289</v>
      </c>
      <c r="E62" s="100">
        <v>54</v>
      </c>
      <c r="F62" s="106">
        <v>46108</v>
      </c>
      <c r="G62" s="101">
        <v>24</v>
      </c>
      <c r="H62" s="102" t="s">
        <v>35</v>
      </c>
      <c r="I62" s="27" t="s">
        <v>119</v>
      </c>
      <c r="J62" s="7" t="s">
        <v>250</v>
      </c>
      <c r="K62" s="7" t="s">
        <v>121</v>
      </c>
      <c r="L62" s="7" t="s">
        <v>122</v>
      </c>
      <c r="M62" s="21" t="s">
        <v>53</v>
      </c>
      <c r="N62" s="7" t="s">
        <v>290</v>
      </c>
      <c r="O62" s="20">
        <v>1200</v>
      </c>
      <c r="P62" s="69">
        <v>28800</v>
      </c>
      <c r="Q62" s="20">
        <v>1054.1666666666667</v>
      </c>
      <c r="R62" s="30">
        <v>3500</v>
      </c>
      <c r="S62" s="32">
        <f t="shared" si="46"/>
        <v>25300</v>
      </c>
      <c r="T62" s="65">
        <v>1</v>
      </c>
      <c r="U62" s="59" t="s">
        <v>263</v>
      </c>
      <c r="V62" s="27">
        <v>6447908140</v>
      </c>
      <c r="W62" s="25" t="s">
        <v>125</v>
      </c>
      <c r="X62" s="4" t="s">
        <v>116</v>
      </c>
      <c r="Y62" s="7">
        <v>10005779</v>
      </c>
      <c r="Z62" s="7" t="s">
        <v>221</v>
      </c>
      <c r="AA62" s="7" t="str">
        <f t="shared" si="96"/>
        <v>FEBRERO10005779Inventario final</v>
      </c>
      <c r="AB62" s="20">
        <f>INDEX('Detalle Costos'!$L$5:$L$158,MATCH(Resumen!AA62,'Detalle Costos'!$C$5:$C$158,0))*1000</f>
        <v>1860</v>
      </c>
      <c r="AC62" s="46">
        <f>IFERROR(INDEX('Detalle Costos'!$X$5:$X$158,MATCH(Resumen!AA62,'Detalle Costos'!$C$5:$C$158,0))*AG62,0)</f>
        <v>27171.949078027872</v>
      </c>
      <c r="AD62" s="46">
        <f>IFERROR(INDEX('Detalle Costos'!$Z$5:$Z$158,MATCH(Resumen!AA62,'Detalle Costos'!$C$5:$C$158,0))*AG62,0)</f>
        <v>9828.4918851710263</v>
      </c>
      <c r="AE62" s="46">
        <f>IFERROR(INDEX('Detalle Costos'!$Y$5:$Y$158,MATCH(Resumen!AA62,'Detalle Costos'!$C$5:$C$158,0))*AG62,0)</f>
        <v>325.6303974476296</v>
      </c>
      <c r="AF62" s="46">
        <f>IFERROR(INDEX('Detalle Costos'!$AA$5:$AA$158,MATCH(Resumen!AA62,'Detalle Costos'!$C$5:$C$158,0))*AG62,0)</f>
        <v>7313.9286393534703</v>
      </c>
      <c r="AG62" s="46">
        <f t="shared" si="97"/>
        <v>44640</v>
      </c>
      <c r="AH62" s="46"/>
      <c r="AI62" s="46"/>
      <c r="AJ62" s="46"/>
      <c r="AK62" s="45">
        <f t="shared" si="67"/>
        <v>-15840</v>
      </c>
      <c r="AL62" s="94">
        <f t="shared" si="68"/>
        <v>-0.55000000000000004</v>
      </c>
      <c r="AM62" s="44">
        <f t="shared" si="70"/>
        <v>3500</v>
      </c>
      <c r="AN62" s="44">
        <f t="shared" si="69"/>
        <v>1384.6153846153848</v>
      </c>
      <c r="AO62" s="44">
        <f t="shared" si="71"/>
        <v>4884.6153846153848</v>
      </c>
      <c r="AP62" s="44">
        <f t="shared" si="52"/>
        <v>848.80941035138653</v>
      </c>
      <c r="AQ62" s="44">
        <f t="shared" si="72"/>
        <v>759</v>
      </c>
      <c r="AR62" s="45">
        <f t="shared" si="73"/>
        <v>-20814.42479496677</v>
      </c>
      <c r="AS62" s="94">
        <f t="shared" si="74"/>
        <v>-0.72272308315856837</v>
      </c>
      <c r="AT62" s="44">
        <f t="shared" si="53"/>
        <v>1269.6103313645008</v>
      </c>
      <c r="AU62" s="45">
        <f t="shared" si="75"/>
        <v>-22084.03512633127</v>
      </c>
      <c r="AV62" s="94">
        <f t="shared" si="76"/>
        <v>-0.76680677521983576</v>
      </c>
      <c r="AW62" s="44">
        <f t="shared" si="54"/>
        <v>1483.443988387226</v>
      </c>
      <c r="AX62" s="45">
        <f t="shared" si="77"/>
        <v>-19330.980806579544</v>
      </c>
      <c r="AY62" s="94">
        <f t="shared" si="78"/>
        <v>-0.6712146113395675</v>
      </c>
      <c r="BA62" s="10">
        <f t="shared" si="79"/>
        <v>1200</v>
      </c>
      <c r="BB62" s="10">
        <f t="shared" si="80"/>
        <v>-1132.1645449178279</v>
      </c>
      <c r="BC62" s="10">
        <f t="shared" si="81"/>
        <v>-409.52049521545945</v>
      </c>
      <c r="BD62" s="10">
        <f t="shared" si="82"/>
        <v>-13.567933226984566</v>
      </c>
      <c r="BE62" s="10">
        <f t="shared" si="83"/>
        <v>-304.74702663972795</v>
      </c>
      <c r="BF62" s="10">
        <f t="shared" si="84"/>
        <v>-1860</v>
      </c>
      <c r="BG62" s="10">
        <f t="shared" si="85"/>
        <v>-660</v>
      </c>
      <c r="BH62" s="10">
        <f t="shared" si="86"/>
        <v>-145.83333333333334</v>
      </c>
      <c r="BI62" s="10">
        <f t="shared" si="87"/>
        <v>-57.692307692307701</v>
      </c>
      <c r="BJ62" s="10">
        <f t="shared" si="88"/>
        <v>-203.52564102564102</v>
      </c>
      <c r="BK62" s="10">
        <f t="shared" si="89"/>
        <v>-35.367058764641108</v>
      </c>
      <c r="BL62" s="10">
        <f t="shared" si="90"/>
        <v>31.625</v>
      </c>
      <c r="BM62" s="10">
        <f t="shared" si="91"/>
        <v>-867.26769979028211</v>
      </c>
      <c r="BN62" s="10">
        <f t="shared" si="92"/>
        <v>-52.900430473520863</v>
      </c>
      <c r="BO62" s="10">
        <f t="shared" si="93"/>
        <v>-920.16813026380294</v>
      </c>
      <c r="BP62" s="10">
        <f t="shared" si="94"/>
        <v>61.810166182801083</v>
      </c>
      <c r="BQ62" s="10">
        <f t="shared" si="95"/>
        <v>-805.45753360748097</v>
      </c>
    </row>
    <row r="63" spans="2:69" hidden="1">
      <c r="B63" s="7" t="s">
        <v>7</v>
      </c>
      <c r="C63" s="29" t="s">
        <v>8</v>
      </c>
      <c r="D63" s="25" t="s">
        <v>291</v>
      </c>
      <c r="E63" s="100">
        <v>54</v>
      </c>
      <c r="F63" s="106">
        <v>46108</v>
      </c>
      <c r="G63" s="101">
        <v>24</v>
      </c>
      <c r="H63" s="102" t="s">
        <v>35</v>
      </c>
      <c r="I63" s="27" t="s">
        <v>119</v>
      </c>
      <c r="J63" s="7" t="s">
        <v>250</v>
      </c>
      <c r="K63" s="7" t="s">
        <v>121</v>
      </c>
      <c r="L63" s="7" t="s">
        <v>122</v>
      </c>
      <c r="M63" s="21" t="s">
        <v>53</v>
      </c>
      <c r="N63" s="7" t="s">
        <v>290</v>
      </c>
      <c r="O63" s="20">
        <v>1200</v>
      </c>
      <c r="P63" s="69">
        <v>28800</v>
      </c>
      <c r="Q63" s="20">
        <v>1054.1666666666667</v>
      </c>
      <c r="R63" s="30">
        <v>3500</v>
      </c>
      <c r="S63" s="32">
        <f t="shared" si="46"/>
        <v>25300</v>
      </c>
      <c r="T63" s="65">
        <v>1</v>
      </c>
      <c r="U63" s="59" t="s">
        <v>263</v>
      </c>
      <c r="V63" s="27">
        <v>6447908120</v>
      </c>
      <c r="W63" s="25" t="s">
        <v>125</v>
      </c>
      <c r="X63" s="4" t="s">
        <v>116</v>
      </c>
      <c r="Y63" s="7">
        <v>10005779</v>
      </c>
      <c r="Z63" s="7" t="s">
        <v>221</v>
      </c>
      <c r="AA63" s="7" t="str">
        <f t="shared" si="96"/>
        <v>FEBRERO10005779Inventario final</v>
      </c>
      <c r="AB63" s="20">
        <f>INDEX('Detalle Costos'!$L$5:$L$158,MATCH(Resumen!AA63,'Detalle Costos'!$C$5:$C$158,0))*1000</f>
        <v>1860</v>
      </c>
      <c r="AC63" s="46">
        <f>IFERROR(INDEX('Detalle Costos'!$X$5:$X$158,MATCH(Resumen!AA63,'Detalle Costos'!$C$5:$C$158,0))*AG63,0)</f>
        <v>27171.949078027872</v>
      </c>
      <c r="AD63" s="46">
        <f>IFERROR(INDEX('Detalle Costos'!$Z$5:$Z$158,MATCH(Resumen!AA63,'Detalle Costos'!$C$5:$C$158,0))*AG63,0)</f>
        <v>9828.4918851710263</v>
      </c>
      <c r="AE63" s="46">
        <f>IFERROR(INDEX('Detalle Costos'!$Y$5:$Y$158,MATCH(Resumen!AA63,'Detalle Costos'!$C$5:$C$158,0))*AG63,0)</f>
        <v>325.6303974476296</v>
      </c>
      <c r="AF63" s="46">
        <f>IFERROR(INDEX('Detalle Costos'!$AA$5:$AA$158,MATCH(Resumen!AA63,'Detalle Costos'!$C$5:$C$158,0))*AG63,0)</f>
        <v>7313.9286393534703</v>
      </c>
      <c r="AG63" s="46">
        <f t="shared" si="97"/>
        <v>44640</v>
      </c>
      <c r="AH63" s="46"/>
      <c r="AI63" s="46"/>
      <c r="AJ63" s="46"/>
      <c r="AK63" s="45">
        <f t="shared" si="67"/>
        <v>-15840</v>
      </c>
      <c r="AL63" s="94">
        <f t="shared" si="68"/>
        <v>-0.55000000000000004</v>
      </c>
      <c r="AM63" s="44">
        <f t="shared" si="70"/>
        <v>3500</v>
      </c>
      <c r="AN63" s="44">
        <f t="shared" si="69"/>
        <v>1384.6153846153848</v>
      </c>
      <c r="AO63" s="44">
        <f t="shared" si="71"/>
        <v>4884.6153846153848</v>
      </c>
      <c r="AP63" s="44">
        <f t="shared" si="52"/>
        <v>848.80941035138653</v>
      </c>
      <c r="AQ63" s="44">
        <f t="shared" si="72"/>
        <v>759</v>
      </c>
      <c r="AR63" s="45">
        <f t="shared" si="73"/>
        <v>-20814.42479496677</v>
      </c>
      <c r="AS63" s="94">
        <f t="shared" si="74"/>
        <v>-0.72272308315856837</v>
      </c>
      <c r="AT63" s="44">
        <f t="shared" si="53"/>
        <v>1269.6103313645008</v>
      </c>
      <c r="AU63" s="45">
        <f t="shared" si="75"/>
        <v>-22084.03512633127</v>
      </c>
      <c r="AV63" s="94">
        <f t="shared" si="76"/>
        <v>-0.76680677521983576</v>
      </c>
      <c r="AW63" s="44">
        <f t="shared" si="54"/>
        <v>1483.443988387226</v>
      </c>
      <c r="AX63" s="45">
        <f t="shared" si="77"/>
        <v>-19330.980806579544</v>
      </c>
      <c r="AY63" s="94">
        <f t="shared" si="78"/>
        <v>-0.6712146113395675</v>
      </c>
      <c r="BA63" s="10">
        <f t="shared" si="79"/>
        <v>1200</v>
      </c>
      <c r="BB63" s="10">
        <f t="shared" si="80"/>
        <v>-1132.1645449178279</v>
      </c>
      <c r="BC63" s="10">
        <f t="shared" si="81"/>
        <v>-409.52049521545945</v>
      </c>
      <c r="BD63" s="10">
        <f t="shared" si="82"/>
        <v>-13.567933226984566</v>
      </c>
      <c r="BE63" s="10">
        <f t="shared" si="83"/>
        <v>-304.74702663972795</v>
      </c>
      <c r="BF63" s="10">
        <f t="shared" si="84"/>
        <v>-1860</v>
      </c>
      <c r="BG63" s="10">
        <f t="shared" si="85"/>
        <v>-660</v>
      </c>
      <c r="BH63" s="10">
        <f t="shared" si="86"/>
        <v>-145.83333333333334</v>
      </c>
      <c r="BI63" s="10">
        <f t="shared" si="87"/>
        <v>-57.692307692307701</v>
      </c>
      <c r="BJ63" s="10">
        <f t="shared" si="88"/>
        <v>-203.52564102564102</v>
      </c>
      <c r="BK63" s="10">
        <f t="shared" si="89"/>
        <v>-35.367058764641108</v>
      </c>
      <c r="BL63" s="10">
        <f t="shared" si="90"/>
        <v>31.625</v>
      </c>
      <c r="BM63" s="10">
        <f t="shared" si="91"/>
        <v>-867.26769979028211</v>
      </c>
      <c r="BN63" s="10">
        <f t="shared" si="92"/>
        <v>-52.900430473520863</v>
      </c>
      <c r="BO63" s="10">
        <f t="shared" si="93"/>
        <v>-920.16813026380294</v>
      </c>
      <c r="BP63" s="10">
        <f t="shared" si="94"/>
        <v>61.810166182801083</v>
      </c>
      <c r="BQ63" s="10">
        <f t="shared" si="95"/>
        <v>-805.45753360748097</v>
      </c>
    </row>
    <row r="64" spans="2:69" hidden="1">
      <c r="B64" s="7" t="s">
        <v>7</v>
      </c>
      <c r="C64" s="29" t="s">
        <v>8</v>
      </c>
      <c r="D64" s="21" t="s">
        <v>292</v>
      </c>
      <c r="E64" s="100">
        <v>46077</v>
      </c>
      <c r="F64" s="100">
        <v>46108</v>
      </c>
      <c r="G64" s="101">
        <v>48</v>
      </c>
      <c r="H64" s="102" t="s">
        <v>35</v>
      </c>
      <c r="I64" s="27" t="s">
        <v>119</v>
      </c>
      <c r="J64" s="7" t="s">
        <v>293</v>
      </c>
      <c r="K64" s="7" t="s">
        <v>121</v>
      </c>
      <c r="L64" s="7" t="s">
        <v>122</v>
      </c>
      <c r="M64" s="21" t="s">
        <v>46</v>
      </c>
      <c r="N64" s="7" t="s">
        <v>132</v>
      </c>
      <c r="O64" s="20">
        <v>1200</v>
      </c>
      <c r="P64" s="61">
        <v>57600</v>
      </c>
      <c r="Q64" s="20">
        <v>1126.8125</v>
      </c>
      <c r="R64" s="20">
        <v>3513</v>
      </c>
      <c r="S64" s="32">
        <f t="shared" si="46"/>
        <v>54087</v>
      </c>
      <c r="T64" s="65">
        <v>1</v>
      </c>
      <c r="U64" s="59" t="s">
        <v>263</v>
      </c>
      <c r="V64" s="71" t="s">
        <v>294</v>
      </c>
      <c r="W64" s="72" t="s">
        <v>229</v>
      </c>
      <c r="X64" s="4" t="s">
        <v>116</v>
      </c>
      <c r="Y64" s="7">
        <v>10005779</v>
      </c>
      <c r="Z64" s="7" t="s">
        <v>221</v>
      </c>
      <c r="AA64" s="7" t="str">
        <f t="shared" si="96"/>
        <v>FEBRERO10005779Inventario final</v>
      </c>
      <c r="AB64" s="20">
        <f>INDEX('Detalle Costos'!$L$5:$L$158,MATCH(Resumen!AA64,'Detalle Costos'!$C$5:$C$158,0))*1000</f>
        <v>1860</v>
      </c>
      <c r="AC64" s="46">
        <f>IFERROR(INDEX('Detalle Costos'!$X$5:$X$158,MATCH(Resumen!AA64,'Detalle Costos'!$C$5:$C$158,0))*AG64,0)</f>
        <v>54343.898156055744</v>
      </c>
      <c r="AD64" s="46">
        <f>IFERROR(INDEX('Detalle Costos'!$Z$5:$Z$158,MATCH(Resumen!AA64,'Detalle Costos'!$C$5:$C$158,0))*AG64,0)</f>
        <v>19656.983770342053</v>
      </c>
      <c r="AE64" s="46">
        <f>IFERROR(INDEX('Detalle Costos'!$Y$5:$Y$158,MATCH(Resumen!AA64,'Detalle Costos'!$C$5:$C$158,0))*AG64,0)</f>
        <v>651.26079489525921</v>
      </c>
      <c r="AF64" s="46">
        <f>IFERROR(INDEX('Detalle Costos'!$AA$5:$AA$158,MATCH(Resumen!AA64,'Detalle Costos'!$C$5:$C$158,0))*AG64,0)</f>
        <v>14627.857278706941</v>
      </c>
      <c r="AG64" s="46">
        <f t="shared" si="97"/>
        <v>89280</v>
      </c>
      <c r="AH64" s="46"/>
      <c r="AI64" s="46"/>
      <c r="AJ64" s="46"/>
      <c r="AK64" s="45">
        <f t="shared" si="67"/>
        <v>-31680</v>
      </c>
      <c r="AL64" s="94">
        <f t="shared" si="68"/>
        <v>-0.55000000000000004</v>
      </c>
      <c r="AM64" s="44">
        <f t="shared" si="70"/>
        <v>3513</v>
      </c>
      <c r="AN64" s="44">
        <f t="shared" si="69"/>
        <v>2769.2307692307695</v>
      </c>
      <c r="AO64" s="44">
        <f t="shared" si="71"/>
        <v>6282.2307692307695</v>
      </c>
      <c r="AP64" s="44">
        <f t="shared" si="52"/>
        <v>1697.6188207027731</v>
      </c>
      <c r="AQ64" s="44">
        <f t="shared" si="72"/>
        <v>1622.61</v>
      </c>
      <c r="AR64" s="45">
        <f t="shared" si="73"/>
        <v>-38037.239589933539</v>
      </c>
      <c r="AS64" s="94">
        <f t="shared" si="74"/>
        <v>-0.66036874288079062</v>
      </c>
      <c r="AT64" s="44">
        <f t="shared" si="53"/>
        <v>2539.2206627290016</v>
      </c>
      <c r="AU64" s="45">
        <f t="shared" si="75"/>
        <v>-40576.460252662539</v>
      </c>
      <c r="AV64" s="94">
        <f t="shared" si="76"/>
        <v>-0.704452434942058</v>
      </c>
      <c r="AW64" s="44">
        <f t="shared" si="54"/>
        <v>2966.887976774452</v>
      </c>
      <c r="AX64" s="45">
        <f t="shared" si="77"/>
        <v>-35070.351613159088</v>
      </c>
      <c r="AY64" s="94">
        <f t="shared" si="78"/>
        <v>-0.60886027106178975</v>
      </c>
      <c r="BA64" s="10">
        <f t="shared" si="79"/>
        <v>1200</v>
      </c>
      <c r="BB64" s="10">
        <f t="shared" si="80"/>
        <v>-1132.1645449178279</v>
      </c>
      <c r="BC64" s="10">
        <f t="shared" si="81"/>
        <v>-409.52049521545945</v>
      </c>
      <c r="BD64" s="10">
        <f t="shared" si="82"/>
        <v>-13.567933226984566</v>
      </c>
      <c r="BE64" s="10">
        <f t="shared" si="83"/>
        <v>-304.74702663972795</v>
      </c>
      <c r="BF64" s="10">
        <f t="shared" si="84"/>
        <v>-1860</v>
      </c>
      <c r="BG64" s="10">
        <f t="shared" si="85"/>
        <v>-660</v>
      </c>
      <c r="BH64" s="10">
        <f t="shared" si="86"/>
        <v>-73.1875</v>
      </c>
      <c r="BI64" s="10">
        <f t="shared" si="87"/>
        <v>-57.692307692307701</v>
      </c>
      <c r="BJ64" s="10">
        <f t="shared" si="88"/>
        <v>-130.87980769230771</v>
      </c>
      <c r="BK64" s="10">
        <f t="shared" si="89"/>
        <v>-35.367058764641108</v>
      </c>
      <c r="BL64" s="10">
        <f t="shared" si="90"/>
        <v>33.804375</v>
      </c>
      <c r="BM64" s="10">
        <f t="shared" si="91"/>
        <v>-792.44249145694869</v>
      </c>
      <c r="BN64" s="10">
        <f t="shared" si="92"/>
        <v>-52.900430473520863</v>
      </c>
      <c r="BO64" s="10">
        <f t="shared" si="93"/>
        <v>-845.34292193046952</v>
      </c>
      <c r="BP64" s="10">
        <f t="shared" si="94"/>
        <v>61.810166182801083</v>
      </c>
      <c r="BQ64" s="10">
        <f t="shared" si="95"/>
        <v>-730.63232527414766</v>
      </c>
    </row>
    <row r="65" spans="2:69" ht="19.2" hidden="1">
      <c r="B65" s="7" t="s">
        <v>7</v>
      </c>
      <c r="C65" s="29" t="s">
        <v>8</v>
      </c>
      <c r="D65" s="25" t="s">
        <v>295</v>
      </c>
      <c r="E65" s="100">
        <v>58</v>
      </c>
      <c r="F65" s="100">
        <v>46108</v>
      </c>
      <c r="G65" s="101">
        <v>27</v>
      </c>
      <c r="H65" s="104" t="s">
        <v>31</v>
      </c>
      <c r="I65" s="105" t="s">
        <v>110</v>
      </c>
      <c r="J65" s="7" t="s">
        <v>296</v>
      </c>
      <c r="K65" s="7" t="s">
        <v>174</v>
      </c>
      <c r="L65" s="7" t="s">
        <v>205</v>
      </c>
      <c r="M65" s="99" t="s">
        <v>61</v>
      </c>
      <c r="N65" s="7"/>
      <c r="O65" s="20">
        <v>2600</v>
      </c>
      <c r="P65" s="61">
        <v>70200</v>
      </c>
      <c r="Q65" s="20">
        <v>2485.1851851851852</v>
      </c>
      <c r="R65" s="30">
        <v>3100</v>
      </c>
      <c r="S65" s="32">
        <f t="shared" si="46"/>
        <v>67100</v>
      </c>
      <c r="T65" s="65">
        <v>1</v>
      </c>
      <c r="U65" s="7" t="s">
        <v>263</v>
      </c>
      <c r="V65" s="27">
        <v>6447908790</v>
      </c>
      <c r="W65" s="62" t="s">
        <v>125</v>
      </c>
      <c r="X65" s="4" t="s">
        <v>116</v>
      </c>
      <c r="Y65" s="7">
        <v>10007162</v>
      </c>
      <c r="Z65" s="7" t="s">
        <v>221</v>
      </c>
      <c r="AA65" s="7" t="str">
        <f t="shared" ref="AA65" si="98">B65&amp;Y65&amp;Z65</f>
        <v>FEBRERO10007162Inventario final</v>
      </c>
      <c r="AB65" s="20">
        <f>INDEX('Detalle Costos'!$L$5:$L$158,MATCH(Resumen!AA65,'Detalle Costos'!$C$5:$C$158,0))*1000</f>
        <v>1720</v>
      </c>
      <c r="AC65" s="46">
        <f>IFERROR(INDEX('Detalle Costos'!$X$5:$X$158,MATCH(Resumen!AA65,'Detalle Costos'!$C$5:$C$158,0))*AG65,0)</f>
        <v>29153.437023253089</v>
      </c>
      <c r="AD65" s="46">
        <f>IFERROR(INDEX('Detalle Costos'!$Z$5:$Z$158,MATCH(Resumen!AA65,'Detalle Costos'!$C$5:$C$158,0))*AG65,0)</f>
        <v>8318.700202545584</v>
      </c>
      <c r="AE65" s="46">
        <f>IFERROR(INDEX('Detalle Costos'!$Y$5:$Y$158,MATCH(Resumen!AA65,'Detalle Costos'!$C$5:$C$158,0))*AG65,0)</f>
        <v>433.11121745291103</v>
      </c>
      <c r="AF65" s="46">
        <f>IFERROR(INDEX('Detalle Costos'!$AA$5:$AA$158,MATCH(Resumen!AA65,'Detalle Costos'!$C$5:$C$158,0))*AG65,0)</f>
        <v>8534.7515567484133</v>
      </c>
      <c r="AG65" s="46">
        <f t="shared" ref="AG65" si="99">AB65*G65</f>
        <v>46440</v>
      </c>
      <c r="AH65" s="46"/>
      <c r="AI65" s="46"/>
      <c r="AJ65" s="46"/>
      <c r="AK65" s="45">
        <f t="shared" si="67"/>
        <v>23760</v>
      </c>
      <c r="AL65" s="94">
        <f t="shared" si="68"/>
        <v>0.33846153846153848</v>
      </c>
      <c r="AM65" s="44">
        <f t="shared" si="70"/>
        <v>3100</v>
      </c>
      <c r="AN65" s="44">
        <f t="shared" si="69"/>
        <v>1557.6923076923076</v>
      </c>
      <c r="AO65" s="44">
        <f t="shared" si="71"/>
        <v>4657.6923076923076</v>
      </c>
      <c r="AP65" s="44">
        <f t="shared" si="52"/>
        <v>954.91058664530988</v>
      </c>
      <c r="AQ65" s="44">
        <f t="shared" si="72"/>
        <v>2013</v>
      </c>
      <c r="AR65" s="45">
        <f t="shared" si="73"/>
        <v>20160.397105662381</v>
      </c>
      <c r="AS65" s="94">
        <f t="shared" si="74"/>
        <v>0.28718514395530459</v>
      </c>
      <c r="AT65" s="44">
        <f t="shared" si="53"/>
        <v>1428.3116227850635</v>
      </c>
      <c r="AU65" s="45">
        <f t="shared" si="75"/>
        <v>18732.085482877319</v>
      </c>
      <c r="AV65" s="94">
        <f t="shared" si="76"/>
        <v>0.26683882454241198</v>
      </c>
      <c r="AW65" s="44">
        <f t="shared" si="54"/>
        <v>1668.8744869356292</v>
      </c>
      <c r="AX65" s="45">
        <f t="shared" si="77"/>
        <v>21829.271592598012</v>
      </c>
      <c r="AY65" s="94">
        <f t="shared" si="78"/>
        <v>0.3109582847948435</v>
      </c>
      <c r="BA65" s="10">
        <f t="shared" si="79"/>
        <v>2600</v>
      </c>
      <c r="BB65" s="10">
        <f t="shared" si="80"/>
        <v>-1079.7569267871515</v>
      </c>
      <c r="BC65" s="10">
        <f t="shared" si="81"/>
        <v>-308.10000750168831</v>
      </c>
      <c r="BD65" s="10">
        <f t="shared" si="82"/>
        <v>-16.041156201959669</v>
      </c>
      <c r="BE65" s="10">
        <f t="shared" si="83"/>
        <v>-316.10190950920048</v>
      </c>
      <c r="BF65" s="10">
        <f t="shared" si="84"/>
        <v>-1720</v>
      </c>
      <c r="BG65" s="10">
        <f t="shared" si="85"/>
        <v>880</v>
      </c>
      <c r="BH65" s="10">
        <f t="shared" si="86"/>
        <v>-114.81481481481481</v>
      </c>
      <c r="BI65" s="10">
        <f t="shared" si="87"/>
        <v>-57.692307692307686</v>
      </c>
      <c r="BJ65" s="10">
        <f t="shared" si="88"/>
        <v>-172.50712250712252</v>
      </c>
      <c r="BK65" s="10">
        <f t="shared" si="89"/>
        <v>-35.367058764641108</v>
      </c>
      <c r="BL65" s="10">
        <f t="shared" si="90"/>
        <v>74.555555555555557</v>
      </c>
      <c r="BM65" s="10">
        <f t="shared" si="91"/>
        <v>746.68137428379191</v>
      </c>
      <c r="BN65" s="10">
        <f t="shared" si="92"/>
        <v>-52.900430473520871</v>
      </c>
      <c r="BO65" s="10">
        <f t="shared" si="93"/>
        <v>693.78094381027108</v>
      </c>
      <c r="BP65" s="10">
        <f t="shared" si="94"/>
        <v>61.810166182801083</v>
      </c>
      <c r="BQ65" s="10">
        <f t="shared" si="95"/>
        <v>808.49154046659305</v>
      </c>
    </row>
    <row r="66" spans="2:69" hidden="1">
      <c r="B66" s="7" t="s">
        <v>7</v>
      </c>
      <c r="C66" s="29" t="s">
        <v>8</v>
      </c>
      <c r="D66" s="27" t="s">
        <v>297</v>
      </c>
      <c r="E66" s="100">
        <v>59</v>
      </c>
      <c r="F66" s="100">
        <v>46104</v>
      </c>
      <c r="G66" s="101">
        <v>216</v>
      </c>
      <c r="H66" s="27" t="s">
        <v>34</v>
      </c>
      <c r="I66" s="27" t="s">
        <v>204</v>
      </c>
      <c r="J66" s="7"/>
      <c r="K66" s="7" t="s">
        <v>298</v>
      </c>
      <c r="L66" s="7" t="s">
        <v>175</v>
      </c>
      <c r="M66" s="21" t="s">
        <v>50</v>
      </c>
      <c r="N66" s="7" t="s">
        <v>194</v>
      </c>
      <c r="O66" s="20">
        <v>3100</v>
      </c>
      <c r="P66" s="32">
        <v>669600</v>
      </c>
      <c r="Q66" s="20">
        <v>2992.5925925925926</v>
      </c>
      <c r="R66" s="30">
        <v>23200</v>
      </c>
      <c r="S66" s="32">
        <f t="shared" si="46"/>
        <v>646400</v>
      </c>
      <c r="T66" s="65">
        <v>8</v>
      </c>
      <c r="U66" s="23" t="s">
        <v>277</v>
      </c>
      <c r="V66" s="27">
        <v>6447338820</v>
      </c>
      <c r="W66" s="62" t="s">
        <v>125</v>
      </c>
      <c r="X66" s="4" t="s">
        <v>116</v>
      </c>
      <c r="Y66" s="7">
        <v>10009239</v>
      </c>
      <c r="Z66" s="7" t="s">
        <v>221</v>
      </c>
      <c r="AA66" s="7" t="str">
        <f t="shared" ref="AA66:AA67" si="100">B66&amp;Y66&amp;Z66</f>
        <v>FEBRERO10009239Inventario final</v>
      </c>
      <c r="AB66" s="20">
        <f>INDEX('Detalle Costos'!$L$5:$L$158,MATCH(Resumen!AA66,'Detalle Costos'!$C$5:$C$158,0))*1000</f>
        <v>2110</v>
      </c>
      <c r="AC66" s="46">
        <f>IFERROR(INDEX('Detalle Costos'!$X$5:$X$158,MATCH(Resumen!AA66,'Detalle Costos'!$C$5:$C$158,0))*AG66,0)</f>
        <v>231844.88712129934</v>
      </c>
      <c r="AD66" s="46">
        <f>IFERROR(INDEX('Detalle Costos'!$Z$5:$Z$158,MATCH(Resumen!AA66,'Detalle Costos'!$C$5:$C$158,0))*AG66,0)</f>
        <v>151457.49655569636</v>
      </c>
      <c r="AE66" s="46">
        <f>IFERROR(INDEX('Detalle Costos'!$Y$5:$Y$158,MATCH(Resumen!AA66,'Detalle Costos'!$C$5:$C$158,0))*AG66,0)</f>
        <v>2915.1833890104826</v>
      </c>
      <c r="AF66" s="46">
        <f>IFERROR(INDEX('Detalle Costos'!$AA$5:$AA$158,MATCH(Resumen!AA66,'Detalle Costos'!$C$5:$C$158,0))*AG66,0)</f>
        <v>69542.432933993783</v>
      </c>
      <c r="AG66" s="46">
        <f t="shared" ref="AG66:AG67" si="101">AB66*G66</f>
        <v>455760</v>
      </c>
      <c r="AH66" s="46"/>
      <c r="AI66" s="46"/>
      <c r="AJ66" s="46"/>
      <c r="AK66" s="45">
        <f t="shared" si="67"/>
        <v>213840</v>
      </c>
      <c r="AL66" s="94">
        <f t="shared" si="68"/>
        <v>0.3193548387096774</v>
      </c>
      <c r="AM66" s="44">
        <f t="shared" si="70"/>
        <v>23200</v>
      </c>
      <c r="AN66" s="44">
        <f t="shared" si="69"/>
        <v>12461.538461538461</v>
      </c>
      <c r="AO66" s="44">
        <f t="shared" si="71"/>
        <v>35661.538461538461</v>
      </c>
      <c r="AP66" s="44">
        <f t="shared" si="52"/>
        <v>7639.284693162479</v>
      </c>
      <c r="AQ66" s="44">
        <f t="shared" si="72"/>
        <v>19392</v>
      </c>
      <c r="AR66" s="45">
        <f t="shared" si="73"/>
        <v>189931.17684529905</v>
      </c>
      <c r="AS66" s="94">
        <f t="shared" si="74"/>
        <v>0.28364871093981342</v>
      </c>
      <c r="AT66" s="44">
        <f t="shared" si="53"/>
        <v>11426.492982280508</v>
      </c>
      <c r="AU66" s="45">
        <f t="shared" si="75"/>
        <v>178504.68386301855</v>
      </c>
      <c r="AV66" s="94">
        <f t="shared" si="76"/>
        <v>0.26658405594835505</v>
      </c>
      <c r="AW66" s="44">
        <f t="shared" si="54"/>
        <v>13350.995895485034</v>
      </c>
      <c r="AX66" s="45">
        <f t="shared" si="77"/>
        <v>203282.1727407841</v>
      </c>
      <c r="AY66" s="94">
        <f t="shared" si="78"/>
        <v>0.30358747422458798</v>
      </c>
      <c r="BA66" s="10">
        <f t="shared" si="79"/>
        <v>3100</v>
      </c>
      <c r="BB66" s="10">
        <f t="shared" si="80"/>
        <v>-1073.3559588949045</v>
      </c>
      <c r="BC66" s="10">
        <f t="shared" si="81"/>
        <v>-701.19211368377944</v>
      </c>
      <c r="BD66" s="10">
        <f t="shared" si="82"/>
        <v>-13.496219393567049</v>
      </c>
      <c r="BE66" s="10">
        <f t="shared" si="83"/>
        <v>-321.95570802774898</v>
      </c>
      <c r="BF66" s="10">
        <f t="shared" si="84"/>
        <v>-2110</v>
      </c>
      <c r="BG66" s="10">
        <f t="shared" si="85"/>
        <v>990</v>
      </c>
      <c r="BH66" s="10">
        <f t="shared" si="86"/>
        <v>-107.4074074074074</v>
      </c>
      <c r="BI66" s="10">
        <f t="shared" si="87"/>
        <v>-57.692307692307686</v>
      </c>
      <c r="BJ66" s="10">
        <f t="shared" si="88"/>
        <v>-165.0997150997151</v>
      </c>
      <c r="BK66" s="10">
        <f t="shared" si="89"/>
        <v>-35.367058764641108</v>
      </c>
      <c r="BL66" s="10">
        <f t="shared" si="90"/>
        <v>89.777777777777771</v>
      </c>
      <c r="BM66" s="10">
        <f t="shared" si="91"/>
        <v>879.31100391342159</v>
      </c>
      <c r="BN66" s="10">
        <f t="shared" si="92"/>
        <v>-52.900430473520871</v>
      </c>
      <c r="BO66" s="10">
        <f t="shared" si="93"/>
        <v>826.41057343990076</v>
      </c>
      <c r="BP66" s="10">
        <f t="shared" si="94"/>
        <v>61.810166182801083</v>
      </c>
      <c r="BQ66" s="10">
        <f t="shared" si="95"/>
        <v>941.12117009622261</v>
      </c>
    </row>
    <row r="67" spans="2:69" hidden="1">
      <c r="B67" s="7" t="s">
        <v>7</v>
      </c>
      <c r="C67" s="29" t="s">
        <v>8</v>
      </c>
      <c r="D67" s="27" t="s">
        <v>299</v>
      </c>
      <c r="E67" s="100">
        <v>59</v>
      </c>
      <c r="F67" s="100">
        <v>46104</v>
      </c>
      <c r="G67" s="101">
        <v>108</v>
      </c>
      <c r="H67" s="27" t="s">
        <v>34</v>
      </c>
      <c r="I67" s="27" t="s">
        <v>300</v>
      </c>
      <c r="J67" s="7"/>
      <c r="K67" s="7" t="s">
        <v>174</v>
      </c>
      <c r="L67" s="7" t="s">
        <v>175</v>
      </c>
      <c r="M67" s="21" t="s">
        <v>52</v>
      </c>
      <c r="N67" s="7" t="s">
        <v>194</v>
      </c>
      <c r="O67" s="20">
        <v>3100</v>
      </c>
      <c r="P67" s="61">
        <v>334800</v>
      </c>
      <c r="Q67" s="20">
        <v>2992.5925925925926</v>
      </c>
      <c r="R67" s="30">
        <v>11600</v>
      </c>
      <c r="S67" s="32">
        <f t="shared" si="46"/>
        <v>323200</v>
      </c>
      <c r="T67" s="65">
        <v>4</v>
      </c>
      <c r="U67" s="23" t="s">
        <v>277</v>
      </c>
      <c r="V67" s="27">
        <v>6447338860</v>
      </c>
      <c r="W67" s="62" t="s">
        <v>125</v>
      </c>
      <c r="X67" s="4" t="s">
        <v>116</v>
      </c>
      <c r="Y67" s="7">
        <v>10009239</v>
      </c>
      <c r="Z67" s="7" t="s">
        <v>221</v>
      </c>
      <c r="AA67" s="7" t="str">
        <f t="shared" si="100"/>
        <v>FEBRERO10009239Inventario final</v>
      </c>
      <c r="AB67" s="20">
        <f>INDEX('Detalle Costos'!$L$5:$L$158,MATCH(Resumen!AA67,'Detalle Costos'!$C$5:$C$158,0))*1000</f>
        <v>2110</v>
      </c>
      <c r="AC67" s="46">
        <f>IFERROR(INDEX('Detalle Costos'!$X$5:$X$158,MATCH(Resumen!AA67,'Detalle Costos'!$C$5:$C$158,0))*AG67,0)</f>
        <v>115922.44356064967</v>
      </c>
      <c r="AD67" s="46">
        <f>IFERROR(INDEX('Detalle Costos'!$Z$5:$Z$158,MATCH(Resumen!AA67,'Detalle Costos'!$C$5:$C$158,0))*AG67,0)</f>
        <v>75728.748277848179</v>
      </c>
      <c r="AE67" s="46">
        <f>IFERROR(INDEX('Detalle Costos'!$Y$5:$Y$158,MATCH(Resumen!AA67,'Detalle Costos'!$C$5:$C$158,0))*AG67,0)</f>
        <v>1457.5916945052413</v>
      </c>
      <c r="AF67" s="46">
        <f>IFERROR(INDEX('Detalle Costos'!$AA$5:$AA$158,MATCH(Resumen!AA67,'Detalle Costos'!$C$5:$C$158,0))*AG67,0)</f>
        <v>34771.216466996892</v>
      </c>
      <c r="AG67" s="46">
        <f t="shared" si="101"/>
        <v>227880</v>
      </c>
      <c r="AH67" s="46"/>
      <c r="AI67" s="46"/>
      <c r="AJ67" s="46"/>
      <c r="AK67" s="45">
        <f t="shared" si="67"/>
        <v>106920</v>
      </c>
      <c r="AL67" s="94">
        <f t="shared" si="68"/>
        <v>0.3193548387096774</v>
      </c>
      <c r="AM67" s="44">
        <f t="shared" si="70"/>
        <v>11600</v>
      </c>
      <c r="AN67" s="44">
        <f t="shared" si="69"/>
        <v>6230.7692307692305</v>
      </c>
      <c r="AO67" s="44">
        <f t="shared" si="71"/>
        <v>17830.76923076923</v>
      </c>
      <c r="AP67" s="44">
        <f t="shared" si="52"/>
        <v>3819.6423465812395</v>
      </c>
      <c r="AQ67" s="44">
        <f t="shared" si="72"/>
        <v>9696</v>
      </c>
      <c r="AR67" s="45">
        <f t="shared" si="73"/>
        <v>94965.588422649525</v>
      </c>
      <c r="AS67" s="94">
        <f t="shared" si="74"/>
        <v>0.28364871093981342</v>
      </c>
      <c r="AT67" s="44">
        <f t="shared" si="53"/>
        <v>5713.246491140254</v>
      </c>
      <c r="AU67" s="45">
        <f t="shared" si="75"/>
        <v>89252.341931509276</v>
      </c>
      <c r="AV67" s="94">
        <f t="shared" si="76"/>
        <v>0.26658405594835505</v>
      </c>
      <c r="AW67" s="44">
        <f t="shared" si="54"/>
        <v>6675.4979477425168</v>
      </c>
      <c r="AX67" s="45">
        <f t="shared" si="77"/>
        <v>101641.08637039205</v>
      </c>
      <c r="AY67" s="94">
        <f t="shared" si="78"/>
        <v>0.30358747422458798</v>
      </c>
      <c r="BA67" s="10">
        <f t="shared" si="79"/>
        <v>3100</v>
      </c>
      <c r="BB67" s="10">
        <f t="shared" si="80"/>
        <v>-1073.3559588949045</v>
      </c>
      <c r="BC67" s="10">
        <f t="shared" si="81"/>
        <v>-701.19211368377944</v>
      </c>
      <c r="BD67" s="10">
        <f t="shared" si="82"/>
        <v>-13.496219393567049</v>
      </c>
      <c r="BE67" s="10">
        <f t="shared" si="83"/>
        <v>-321.95570802774898</v>
      </c>
      <c r="BF67" s="10">
        <f t="shared" si="84"/>
        <v>-2110</v>
      </c>
      <c r="BG67" s="10">
        <f t="shared" si="85"/>
        <v>990</v>
      </c>
      <c r="BH67" s="10">
        <f t="shared" si="86"/>
        <v>-107.4074074074074</v>
      </c>
      <c r="BI67" s="10">
        <f t="shared" si="87"/>
        <v>-57.692307692307686</v>
      </c>
      <c r="BJ67" s="10">
        <f t="shared" si="88"/>
        <v>-165.0997150997151</v>
      </c>
      <c r="BK67" s="10">
        <f t="shared" si="89"/>
        <v>-35.367058764641108</v>
      </c>
      <c r="BL67" s="10">
        <f t="shared" si="90"/>
        <v>89.777777777777771</v>
      </c>
      <c r="BM67" s="10">
        <f t="shared" si="91"/>
        <v>879.31100391342159</v>
      </c>
      <c r="BN67" s="10">
        <f t="shared" si="92"/>
        <v>-52.900430473520871</v>
      </c>
      <c r="BO67" s="10">
        <f t="shared" si="93"/>
        <v>826.41057343990076</v>
      </c>
      <c r="BP67" s="10">
        <f t="shared" si="94"/>
        <v>61.810166182801083</v>
      </c>
      <c r="BQ67" s="10">
        <f t="shared" si="95"/>
        <v>941.12117009622261</v>
      </c>
    </row>
    <row r="68" spans="2:69" hidden="1">
      <c r="B68" s="7" t="s">
        <v>7</v>
      </c>
      <c r="C68" s="29" t="s">
        <v>8</v>
      </c>
      <c r="D68" s="25" t="s">
        <v>301</v>
      </c>
      <c r="E68" s="100">
        <v>68</v>
      </c>
      <c r="F68" s="100">
        <v>46108</v>
      </c>
      <c r="G68" s="101">
        <v>10</v>
      </c>
      <c r="H68" s="102" t="s">
        <v>35</v>
      </c>
      <c r="I68" s="27" t="s">
        <v>119</v>
      </c>
      <c r="J68" s="7" t="s">
        <v>302</v>
      </c>
      <c r="K68" s="7" t="s">
        <v>121</v>
      </c>
      <c r="L68" s="7" t="s">
        <v>122</v>
      </c>
      <c r="M68" s="21" t="s">
        <v>53</v>
      </c>
      <c r="N68" s="7" t="s">
        <v>123</v>
      </c>
      <c r="O68" s="20">
        <v>1130</v>
      </c>
      <c r="P68" s="69">
        <v>11300</v>
      </c>
      <c r="Q68" s="20">
        <v>990</v>
      </c>
      <c r="R68" s="30">
        <v>1400</v>
      </c>
      <c r="S68" s="32">
        <f t="shared" ref="S68:S99" si="102">P68-R68</f>
        <v>9900</v>
      </c>
      <c r="T68" s="65">
        <v>1</v>
      </c>
      <c r="U68" s="59" t="s">
        <v>263</v>
      </c>
      <c r="V68" s="27">
        <v>6447908000</v>
      </c>
      <c r="W68" s="25" t="s">
        <v>125</v>
      </c>
      <c r="X68" s="4" t="s">
        <v>116</v>
      </c>
      <c r="Y68" s="7">
        <v>10005779</v>
      </c>
      <c r="Z68" s="7" t="s">
        <v>221</v>
      </c>
      <c r="AA68" s="7" t="str">
        <f t="shared" ref="AA68:AA70" si="103">B68&amp;Y68&amp;Z68</f>
        <v>FEBRERO10005779Inventario final</v>
      </c>
      <c r="AB68" s="20">
        <f>INDEX('Detalle Costos'!$L$5:$L$158,MATCH(Resumen!AA68,'Detalle Costos'!$C$5:$C$158,0))*1000</f>
        <v>1860</v>
      </c>
      <c r="AC68" s="46">
        <f>IFERROR(INDEX('Detalle Costos'!$X$5:$X$158,MATCH(Resumen!AA68,'Detalle Costos'!$C$5:$C$158,0))*AG68,0)</f>
        <v>11321.645449178281</v>
      </c>
      <c r="AD68" s="46">
        <f>IFERROR(INDEX('Detalle Costos'!$Z$5:$Z$158,MATCH(Resumen!AA68,'Detalle Costos'!$C$5:$C$158,0))*AG68,0)</f>
        <v>4095.2049521545941</v>
      </c>
      <c r="AE68" s="46">
        <f>IFERROR(INDEX('Detalle Costos'!$Y$5:$Y$158,MATCH(Resumen!AA68,'Detalle Costos'!$C$5:$C$158,0))*AG68,0)</f>
        <v>135.67933226984567</v>
      </c>
      <c r="AF68" s="46">
        <f>IFERROR(INDEX('Detalle Costos'!$AA$5:$AA$158,MATCH(Resumen!AA68,'Detalle Costos'!$C$5:$C$158,0))*AG68,0)</f>
        <v>3047.4702663972794</v>
      </c>
      <c r="AG68" s="46">
        <f t="shared" ref="AG68:AG70" si="104">AB68*G68</f>
        <v>18600</v>
      </c>
      <c r="AH68" s="46"/>
      <c r="AI68" s="46"/>
      <c r="AJ68" s="46"/>
      <c r="AK68" s="45">
        <f t="shared" si="67"/>
        <v>-7300</v>
      </c>
      <c r="AL68" s="94">
        <f t="shared" si="68"/>
        <v>-0.64601769911504425</v>
      </c>
      <c r="AM68" s="44">
        <f t="shared" si="70"/>
        <v>1400</v>
      </c>
      <c r="AN68" s="44">
        <f t="shared" si="69"/>
        <v>576.92307692307691</v>
      </c>
      <c r="AO68" s="44">
        <f t="shared" si="71"/>
        <v>1976.9230769230769</v>
      </c>
      <c r="AP68" s="44">
        <f t="shared" si="52"/>
        <v>353.67058764641109</v>
      </c>
      <c r="AQ68" s="44">
        <f t="shared" si="72"/>
        <v>297</v>
      </c>
      <c r="AR68" s="45">
        <f t="shared" si="73"/>
        <v>-9333.5936645694874</v>
      </c>
      <c r="AS68" s="94">
        <f t="shared" si="74"/>
        <v>-0.82598174022738824</v>
      </c>
      <c r="AT68" s="44">
        <f t="shared" si="53"/>
        <v>529.00430473520873</v>
      </c>
      <c r="AU68" s="45">
        <f t="shared" si="75"/>
        <v>-9862.5979693046957</v>
      </c>
      <c r="AV68" s="94">
        <f t="shared" si="76"/>
        <v>-0.87279628046944213</v>
      </c>
      <c r="AW68" s="44">
        <f t="shared" si="54"/>
        <v>618.10166182801083</v>
      </c>
      <c r="AX68" s="45">
        <f t="shared" si="77"/>
        <v>-8715.4920027414773</v>
      </c>
      <c r="AY68" s="94">
        <f t="shared" si="78"/>
        <v>-0.77128247811871475</v>
      </c>
      <c r="BA68" s="10">
        <f t="shared" si="79"/>
        <v>1130</v>
      </c>
      <c r="BB68" s="10">
        <f t="shared" si="80"/>
        <v>-1132.1645449178282</v>
      </c>
      <c r="BC68" s="10">
        <f t="shared" si="81"/>
        <v>-409.52049521545939</v>
      </c>
      <c r="BD68" s="10">
        <f t="shared" si="82"/>
        <v>-13.567933226984568</v>
      </c>
      <c r="BE68" s="10">
        <f t="shared" si="83"/>
        <v>-304.74702663972795</v>
      </c>
      <c r="BF68" s="10">
        <f t="shared" si="84"/>
        <v>-1860</v>
      </c>
      <c r="BG68" s="10">
        <f t="shared" si="85"/>
        <v>-730</v>
      </c>
      <c r="BH68" s="10">
        <f t="shared" si="86"/>
        <v>-140</v>
      </c>
      <c r="BI68" s="10">
        <f t="shared" si="87"/>
        <v>-57.692307692307693</v>
      </c>
      <c r="BJ68" s="10">
        <f t="shared" si="88"/>
        <v>-197.69230769230768</v>
      </c>
      <c r="BK68" s="10">
        <f t="shared" si="89"/>
        <v>-35.367058764641108</v>
      </c>
      <c r="BL68" s="10">
        <f t="shared" si="90"/>
        <v>29.7</v>
      </c>
      <c r="BM68" s="10">
        <f t="shared" si="91"/>
        <v>-933.35936645694869</v>
      </c>
      <c r="BN68" s="10">
        <f t="shared" si="92"/>
        <v>-52.900430473520871</v>
      </c>
      <c r="BO68" s="10">
        <f t="shared" si="93"/>
        <v>-986.25979693046952</v>
      </c>
      <c r="BP68" s="10">
        <f t="shared" si="94"/>
        <v>61.810166182801083</v>
      </c>
      <c r="BQ68" s="10">
        <f t="shared" si="95"/>
        <v>-871.54920027414778</v>
      </c>
    </row>
    <row r="69" spans="2:69" hidden="1">
      <c r="B69" s="7" t="s">
        <v>7</v>
      </c>
      <c r="C69" s="29" t="s">
        <v>8</v>
      </c>
      <c r="D69" s="25" t="s">
        <v>301</v>
      </c>
      <c r="E69" s="100">
        <v>68</v>
      </c>
      <c r="F69" s="100">
        <v>46108</v>
      </c>
      <c r="G69" s="101">
        <v>15</v>
      </c>
      <c r="H69" s="102" t="s">
        <v>35</v>
      </c>
      <c r="I69" s="27" t="s">
        <v>119</v>
      </c>
      <c r="J69" s="7" t="s">
        <v>293</v>
      </c>
      <c r="K69" s="7" t="s">
        <v>121</v>
      </c>
      <c r="L69" s="7" t="s">
        <v>122</v>
      </c>
      <c r="M69" s="21" t="s">
        <v>53</v>
      </c>
      <c r="N69" s="7" t="s">
        <v>123</v>
      </c>
      <c r="O69" s="20">
        <v>1200</v>
      </c>
      <c r="P69" s="69">
        <v>18000</v>
      </c>
      <c r="Q69" s="20">
        <v>1060</v>
      </c>
      <c r="R69" s="30">
        <v>2100</v>
      </c>
      <c r="S69" s="32">
        <f t="shared" si="102"/>
        <v>15900</v>
      </c>
      <c r="T69" s="65">
        <v>0</v>
      </c>
      <c r="U69" s="59" t="s">
        <v>263</v>
      </c>
      <c r="V69" s="27">
        <v>6447908000</v>
      </c>
      <c r="W69" s="25" t="s">
        <v>125</v>
      </c>
      <c r="X69" s="4" t="s">
        <v>116</v>
      </c>
      <c r="Y69" s="7">
        <v>10005779</v>
      </c>
      <c r="Z69" s="7" t="s">
        <v>221</v>
      </c>
      <c r="AA69" s="7" t="str">
        <f t="shared" si="103"/>
        <v>FEBRERO10005779Inventario final</v>
      </c>
      <c r="AB69" s="20">
        <f>INDEX('Detalle Costos'!$L$5:$L$158,MATCH(Resumen!AA69,'Detalle Costos'!$C$5:$C$158,0))*1000</f>
        <v>1860</v>
      </c>
      <c r="AC69" s="46">
        <f>IFERROR(INDEX('Detalle Costos'!$X$5:$X$158,MATCH(Resumen!AA69,'Detalle Costos'!$C$5:$C$158,0))*AG69,0)</f>
        <v>16982.468173767422</v>
      </c>
      <c r="AD69" s="46">
        <f>IFERROR(INDEX('Detalle Costos'!$Z$5:$Z$158,MATCH(Resumen!AA69,'Detalle Costos'!$C$5:$C$158,0))*AG69,0)</f>
        <v>6142.8074282318912</v>
      </c>
      <c r="AE69" s="46">
        <f>IFERROR(INDEX('Detalle Costos'!$Y$5:$Y$158,MATCH(Resumen!AA69,'Detalle Costos'!$C$5:$C$158,0))*AG69,0)</f>
        <v>203.51899840476852</v>
      </c>
      <c r="AF69" s="46">
        <f>IFERROR(INDEX('Detalle Costos'!$AA$5:$AA$158,MATCH(Resumen!AA69,'Detalle Costos'!$C$5:$C$158,0))*AG69,0)</f>
        <v>4571.2053995959195</v>
      </c>
      <c r="AG69" s="46">
        <f t="shared" si="104"/>
        <v>27900</v>
      </c>
      <c r="AH69" s="46"/>
      <c r="AI69" s="46"/>
      <c r="AJ69" s="46"/>
      <c r="AK69" s="45">
        <f t="shared" si="67"/>
        <v>-9900</v>
      </c>
      <c r="AL69" s="94">
        <f t="shared" si="68"/>
        <v>-0.55000000000000004</v>
      </c>
      <c r="AM69" s="44">
        <f t="shared" si="70"/>
        <v>2100</v>
      </c>
      <c r="AN69" s="44">
        <f t="shared" si="69"/>
        <v>865.38461538461536</v>
      </c>
      <c r="AO69" s="44">
        <f t="shared" si="71"/>
        <v>2965.3846153846152</v>
      </c>
      <c r="AP69" s="44">
        <f t="shared" si="52"/>
        <v>530.50588146961661</v>
      </c>
      <c r="AQ69" s="44">
        <f t="shared" si="72"/>
        <v>477</v>
      </c>
      <c r="AR69" s="45">
        <f t="shared" si="73"/>
        <v>-12918.890496854232</v>
      </c>
      <c r="AS69" s="94">
        <f t="shared" si="74"/>
        <v>-0.71771613871412399</v>
      </c>
      <c r="AT69" s="44">
        <f t="shared" si="53"/>
        <v>793.5064571028131</v>
      </c>
      <c r="AU69" s="45">
        <f t="shared" si="75"/>
        <v>-13712.396953957044</v>
      </c>
      <c r="AV69" s="94">
        <f t="shared" si="76"/>
        <v>-0.76179983077539137</v>
      </c>
      <c r="AW69" s="44">
        <f t="shared" si="54"/>
        <v>927.15249274201619</v>
      </c>
      <c r="AX69" s="45">
        <f t="shared" si="77"/>
        <v>-11991.738004112216</v>
      </c>
      <c r="AY69" s="94">
        <f t="shared" si="78"/>
        <v>-0.66620766689512312</v>
      </c>
      <c r="BA69" s="10">
        <f t="shared" si="79"/>
        <v>1200</v>
      </c>
      <c r="BB69" s="10">
        <f t="shared" si="80"/>
        <v>-1132.1645449178282</v>
      </c>
      <c r="BC69" s="10">
        <f t="shared" si="81"/>
        <v>-409.52049521545939</v>
      </c>
      <c r="BD69" s="10">
        <f t="shared" si="82"/>
        <v>-13.567933226984568</v>
      </c>
      <c r="BE69" s="10">
        <f t="shared" si="83"/>
        <v>-304.74702663972795</v>
      </c>
      <c r="BF69" s="10">
        <f t="shared" si="84"/>
        <v>-1860</v>
      </c>
      <c r="BG69" s="10">
        <f t="shared" si="85"/>
        <v>-660</v>
      </c>
      <c r="BH69" s="10">
        <f t="shared" si="86"/>
        <v>-140</v>
      </c>
      <c r="BI69" s="10">
        <f t="shared" si="87"/>
        <v>-57.692307692307693</v>
      </c>
      <c r="BJ69" s="10">
        <f t="shared" si="88"/>
        <v>-197.69230769230768</v>
      </c>
      <c r="BK69" s="10">
        <f t="shared" si="89"/>
        <v>-35.367058764641108</v>
      </c>
      <c r="BL69" s="10">
        <f t="shared" si="90"/>
        <v>31.8</v>
      </c>
      <c r="BM69" s="10">
        <f t="shared" si="91"/>
        <v>-861.25936645694878</v>
      </c>
      <c r="BN69" s="10">
        <f t="shared" si="92"/>
        <v>-52.900430473520871</v>
      </c>
      <c r="BO69" s="10">
        <f t="shared" si="93"/>
        <v>-914.15979693046961</v>
      </c>
      <c r="BP69" s="10">
        <f t="shared" si="94"/>
        <v>61.810166182801076</v>
      </c>
      <c r="BQ69" s="10">
        <f t="shared" si="95"/>
        <v>-799.44920027414776</v>
      </c>
    </row>
    <row r="70" spans="2:69">
      <c r="B70" s="7" t="s">
        <v>7</v>
      </c>
      <c r="C70" s="129" t="s">
        <v>8</v>
      </c>
      <c r="D70" s="130" t="s">
        <v>243</v>
      </c>
      <c r="E70" s="131">
        <v>43</v>
      </c>
      <c r="F70" s="131">
        <v>46092</v>
      </c>
      <c r="G70" s="132">
        <v>24</v>
      </c>
      <c r="H70" s="129" t="s">
        <v>31</v>
      </c>
      <c r="I70" s="129" t="s">
        <v>110</v>
      </c>
      <c r="J70" s="134" t="s">
        <v>442</v>
      </c>
      <c r="K70" s="134" t="s">
        <v>164</v>
      </c>
      <c r="L70" s="134" t="s">
        <v>150</v>
      </c>
      <c r="M70" s="130" t="s">
        <v>47</v>
      </c>
      <c r="N70" s="134" t="s">
        <v>217</v>
      </c>
      <c r="O70" s="135">
        <v>2400</v>
      </c>
      <c r="P70" s="136">
        <f>O70*G70</f>
        <v>57600</v>
      </c>
      <c r="Q70" s="135">
        <f t="shared" ref="Q70:Q71" si="105">+S70/G70</f>
        <v>2230.0104166666665</v>
      </c>
      <c r="R70" s="135">
        <f>4079.75</f>
        <v>4079.75</v>
      </c>
      <c r="S70" s="137">
        <f t="shared" si="102"/>
        <v>53520.25</v>
      </c>
      <c r="T70" s="166">
        <v>1</v>
      </c>
      <c r="U70" s="134" t="s">
        <v>244</v>
      </c>
      <c r="V70" s="167" t="s">
        <v>245</v>
      </c>
      <c r="W70" s="168" t="s">
        <v>185</v>
      </c>
      <c r="X70" s="134"/>
      <c r="Y70" s="169">
        <v>10007162</v>
      </c>
      <c r="Z70" s="7" t="s">
        <v>221</v>
      </c>
      <c r="AA70" s="18" t="str">
        <f t="shared" si="103"/>
        <v>FEBRERO10007162Inventario final</v>
      </c>
      <c r="AB70" s="185">
        <f>INDEX('Detalle Costos'!$L$5:$L$158,MATCH(Resumen!AA70,'Detalle Costos'!$C$5:$C$158,0))*1000</f>
        <v>1720</v>
      </c>
      <c r="AC70" s="186">
        <f>IFERROR(INDEX('Detalle Costos'!$X$5:$X$158,MATCH(Resumen!AA70,'Detalle Costos'!$C$5:$C$158,0))*AG70,0)</f>
        <v>25914.166242891635</v>
      </c>
      <c r="AD70" s="186">
        <f>IFERROR(INDEX('Detalle Costos'!$Z$5:$Z$158,MATCH(Resumen!AA70,'Detalle Costos'!$C$5:$C$158,0))*AG70,0)</f>
        <v>7394.4001800405185</v>
      </c>
      <c r="AE70" s="186">
        <f>IFERROR(INDEX('Detalle Costos'!$Y$5:$Y$158,MATCH(Resumen!AA70,'Detalle Costos'!$C$5:$C$158,0))*AG70,0)</f>
        <v>384.98774884703204</v>
      </c>
      <c r="AF70" s="186">
        <f>IFERROR(INDEX('Detalle Costos'!$AA$5:$AA$158,MATCH(Resumen!AA70,'Detalle Costos'!$C$5:$C$158,0))*AG70,0)</f>
        <v>7586.4458282208116</v>
      </c>
      <c r="AG70" s="186">
        <f t="shared" si="104"/>
        <v>41280</v>
      </c>
      <c r="AH70" s="186"/>
      <c r="AI70" s="186"/>
      <c r="AJ70" s="186"/>
      <c r="AK70" s="187">
        <f t="shared" si="67"/>
        <v>16320</v>
      </c>
      <c r="AL70" s="140">
        <f t="shared" si="68"/>
        <v>0.28333333333333333</v>
      </c>
      <c r="AM70" s="138">
        <f t="shared" si="70"/>
        <v>4079.75</v>
      </c>
      <c r="AN70" s="138">
        <f t="shared" si="69"/>
        <v>1384.6153846153848</v>
      </c>
      <c r="AO70" s="138">
        <f t="shared" si="71"/>
        <v>5464.3653846153848</v>
      </c>
      <c r="AP70" s="138">
        <f t="shared" ref="AP70" si="106">70656.31/1997.8*G70</f>
        <v>848.80941035138653</v>
      </c>
      <c r="AQ70" s="138">
        <f t="shared" si="72"/>
        <v>1605.6074999999998</v>
      </c>
      <c r="AR70" s="139">
        <f t="shared" si="73"/>
        <v>11612.432705033229</v>
      </c>
      <c r="AS70" s="140">
        <f t="shared" si="74"/>
        <v>0.20160473446238245</v>
      </c>
      <c r="AT70" s="138">
        <f t="shared" ref="AT70" si="107">105684.48/1997.8*G70</f>
        <v>1269.6103313645008</v>
      </c>
      <c r="AU70" s="139">
        <f t="shared" si="75"/>
        <v>10342.822373668729</v>
      </c>
      <c r="AV70" s="140">
        <f t="shared" si="76"/>
        <v>0.17956288843174875</v>
      </c>
      <c r="AW70" s="138">
        <f t="shared" ref="AW70" si="108">123484.35/1997.8*G70</f>
        <v>1483.443988387226</v>
      </c>
      <c r="AX70" s="139">
        <f t="shared" si="77"/>
        <v>13095.876693420454</v>
      </c>
      <c r="AY70" s="140">
        <f t="shared" si="78"/>
        <v>0.22735897037188288</v>
      </c>
      <c r="BA70" s="10">
        <f t="shared" si="79"/>
        <v>2400</v>
      </c>
      <c r="BB70" s="10">
        <f t="shared" si="80"/>
        <v>-1079.7569267871515</v>
      </c>
      <c r="BC70" s="10">
        <f t="shared" si="81"/>
        <v>-308.10000750168825</v>
      </c>
      <c r="BD70" s="10">
        <f t="shared" si="82"/>
        <v>-16.041156201959669</v>
      </c>
      <c r="BE70" s="10">
        <f t="shared" si="83"/>
        <v>-316.10190950920048</v>
      </c>
      <c r="BF70" s="10">
        <f t="shared" si="84"/>
        <v>-1720</v>
      </c>
      <c r="BG70" s="10">
        <f t="shared" si="85"/>
        <v>680</v>
      </c>
      <c r="BH70" s="10">
        <f t="shared" si="86"/>
        <v>-169.98958333333334</v>
      </c>
      <c r="BI70" s="10">
        <f t="shared" si="87"/>
        <v>-57.692307692307701</v>
      </c>
      <c r="BJ70" s="10">
        <f t="shared" si="88"/>
        <v>-227.68189102564102</v>
      </c>
      <c r="BK70" s="10">
        <f t="shared" si="89"/>
        <v>-35.367058764641108</v>
      </c>
      <c r="BL70" s="10">
        <f t="shared" si="90"/>
        <v>66.900312499999998</v>
      </c>
      <c r="BM70" s="10">
        <f t="shared" si="91"/>
        <v>483.85136270971788</v>
      </c>
      <c r="BN70" s="10">
        <f t="shared" si="92"/>
        <v>-52.900430473520863</v>
      </c>
      <c r="BO70" s="10">
        <f t="shared" si="93"/>
        <v>430.95093223619705</v>
      </c>
      <c r="BP70" s="10">
        <f t="shared" si="94"/>
        <v>61.810166182801083</v>
      </c>
      <c r="BQ70" s="10">
        <f t="shared" si="95"/>
        <v>545.66152889251896</v>
      </c>
    </row>
    <row r="71" spans="2:69">
      <c r="B71" s="7" t="s">
        <v>7</v>
      </c>
      <c r="C71" s="129" t="s">
        <v>8</v>
      </c>
      <c r="D71" s="130" t="s">
        <v>443</v>
      </c>
      <c r="E71" s="131">
        <v>26</v>
      </c>
      <c r="F71" s="131">
        <v>46110</v>
      </c>
      <c r="G71" s="132">
        <f>26*1</f>
        <v>26</v>
      </c>
      <c r="H71" s="129" t="s">
        <v>37</v>
      </c>
      <c r="I71" s="129" t="s">
        <v>110</v>
      </c>
      <c r="J71" s="134"/>
      <c r="K71" s="134" t="s">
        <v>164</v>
      </c>
      <c r="L71" s="134" t="s">
        <v>112</v>
      </c>
      <c r="M71" s="130" t="s">
        <v>59</v>
      </c>
      <c r="N71" s="134" t="s">
        <v>113</v>
      </c>
      <c r="O71" s="135">
        <v>2950</v>
      </c>
      <c r="P71" s="136">
        <f>+G71*O71</f>
        <v>76700</v>
      </c>
      <c r="Q71" s="135">
        <f t="shared" si="105"/>
        <v>2793.0865384615386</v>
      </c>
      <c r="R71" s="135">
        <f>4079.75</f>
        <v>4079.75</v>
      </c>
      <c r="S71" s="137">
        <f t="shared" si="102"/>
        <v>72620.25</v>
      </c>
      <c r="T71" s="166">
        <v>1</v>
      </c>
      <c r="U71" s="134" t="s">
        <v>444</v>
      </c>
      <c r="V71" s="167">
        <v>19449468</v>
      </c>
      <c r="W71" s="168" t="s">
        <v>115</v>
      </c>
      <c r="X71" s="134"/>
      <c r="Y71" s="7">
        <v>10007567</v>
      </c>
      <c r="Z71" s="7" t="s">
        <v>221</v>
      </c>
      <c r="AA71" s="18" t="str">
        <f t="shared" ref="AA71" si="109">B71&amp;Y71&amp;Z71</f>
        <v>FEBRERO10007567Inventario final</v>
      </c>
      <c r="AB71" s="185">
        <f>INDEX('Detalle Costos'!$L$5:$L$158,MATCH(Resumen!AA71,'Detalle Costos'!$C$5:$C$158,0))*1000</f>
        <v>1700</v>
      </c>
      <c r="AC71" s="186">
        <f>IFERROR(INDEX('Detalle Costos'!$X$5:$X$158,MATCH(Resumen!AA71,'Detalle Costos'!$C$5:$C$158,0))*AG71,0)</f>
        <v>27879.054848772808</v>
      </c>
      <c r="AD71" s="186">
        <f>IFERROR(INDEX('Detalle Costos'!$Z$5:$Z$158,MATCH(Resumen!AA71,'Detalle Costos'!$C$5:$C$158,0))*AG71,0)</f>
        <v>7645.5077952250113</v>
      </c>
      <c r="AE71" s="186">
        <f>IFERROR(INDEX('Detalle Costos'!$Y$5:$Y$158,MATCH(Resumen!AA71,'Detalle Costos'!$C$5:$C$158,0))*AG71,0)</f>
        <v>478.01265495425969</v>
      </c>
      <c r="AF71" s="186">
        <f>IFERROR(INDEX('Detalle Costos'!$AA$5:$AA$158,MATCH(Resumen!AA71,'Detalle Costos'!$C$5:$C$158,0))*AG71,0)</f>
        <v>8197.4247010479194</v>
      </c>
      <c r="AG71" s="186">
        <f t="shared" ref="AG71" si="110">AB71*G71</f>
        <v>44200</v>
      </c>
      <c r="AH71" s="186"/>
      <c r="AI71" s="186"/>
      <c r="AJ71" s="186"/>
      <c r="AK71" s="187">
        <f t="shared" ref="AK71" si="111">P71-AG71</f>
        <v>32500</v>
      </c>
      <c r="AL71" s="140">
        <f t="shared" ref="AL71" si="112">AK71/P71</f>
        <v>0.42372881355932202</v>
      </c>
      <c r="AM71" s="138">
        <f t="shared" ref="AM71" si="113">R71</f>
        <v>4079.75</v>
      </c>
      <c r="AN71" s="138">
        <f t="shared" ref="AN71" si="114">1500/26*G71</f>
        <v>1500</v>
      </c>
      <c r="AO71" s="138">
        <f t="shared" ref="AO71" si="115">SUM(AM71:AN71)</f>
        <v>5579.75</v>
      </c>
      <c r="AP71" s="138">
        <f t="shared" ref="AP71" si="116">70656.31/1997.8*G71</f>
        <v>919.54352788066876</v>
      </c>
      <c r="AQ71" s="138">
        <f t="shared" ref="AQ71" si="117">S71*0.03</f>
        <v>2178.6075000000001</v>
      </c>
      <c r="AR71" s="139">
        <f t="shared" ref="AR71" si="118">AK71-AO71-AP71+AQ71</f>
        <v>28179.313972119329</v>
      </c>
      <c r="AS71" s="140">
        <f t="shared" ref="AS71" si="119">AR71/P71</f>
        <v>0.36739653157913077</v>
      </c>
      <c r="AT71" s="138">
        <f t="shared" ref="AT71" si="120">105684.48/1997.8*G71</f>
        <v>1375.4111923115427</v>
      </c>
      <c r="AU71" s="139">
        <f t="shared" ref="AU71" si="121">AR71-AT71</f>
        <v>26803.902779807788</v>
      </c>
      <c r="AV71" s="140">
        <f t="shared" ref="AV71" si="122">AU71/P71</f>
        <v>0.34946418226607284</v>
      </c>
      <c r="AW71" s="138">
        <f t="shared" ref="AW71" si="123">123484.35/1997.8*G71</f>
        <v>1607.0643207528283</v>
      </c>
      <c r="AX71" s="139">
        <f t="shared" ref="AX71" si="124">AR71+AW71</f>
        <v>29786.378292872156</v>
      </c>
      <c r="AY71" s="140">
        <f t="shared" ref="AY71" si="125">AX71/P71</f>
        <v>0.38834913028516499</v>
      </c>
      <c r="BA71" s="10">
        <f t="shared" ref="BA71" si="126">P71/$G71</f>
        <v>2950</v>
      </c>
      <c r="BB71" s="10">
        <f t="shared" ref="BB71" si="127">-AC71/$G71</f>
        <v>-1072.2713403374157</v>
      </c>
      <c r="BC71" s="10">
        <f t="shared" ref="BC71" si="128">-AD71/$G71</f>
        <v>-294.05799212403889</v>
      </c>
      <c r="BD71" s="10">
        <f t="shared" ref="BD71" si="129">-AE71/$G71</f>
        <v>-18.385102113625372</v>
      </c>
      <c r="BE71" s="10">
        <f t="shared" ref="BE71" si="130">-AF71/$G71</f>
        <v>-315.28556542491998</v>
      </c>
      <c r="BF71" s="10">
        <f t="shared" ref="BF71" si="131">-AG71/$G71</f>
        <v>-1700</v>
      </c>
      <c r="BG71" s="10">
        <f t="shared" ref="BG71" si="132">AK71/$G71</f>
        <v>1250</v>
      </c>
      <c r="BH71" s="10">
        <f t="shared" ref="BH71" si="133">-AM71/$G71</f>
        <v>-156.91346153846155</v>
      </c>
      <c r="BI71" s="10">
        <f t="shared" ref="BI71" si="134">-AN71/$G71</f>
        <v>-57.692307692307693</v>
      </c>
      <c r="BJ71" s="10">
        <f t="shared" ref="BJ71" si="135">-AO71/$G71</f>
        <v>-214.60576923076923</v>
      </c>
      <c r="BK71" s="10">
        <f t="shared" ref="BK71" si="136">-AP71/$G71</f>
        <v>-35.367058764641108</v>
      </c>
      <c r="BL71" s="10">
        <f t="shared" ref="BL71" si="137">AQ71/$G71</f>
        <v>83.792596153846162</v>
      </c>
      <c r="BM71" s="10">
        <f t="shared" ref="BM71" si="138">AR71/$G71</f>
        <v>1083.8197681584356</v>
      </c>
      <c r="BN71" s="10">
        <f t="shared" ref="BN71" si="139">-AT71/$G71</f>
        <v>-52.900430473520871</v>
      </c>
      <c r="BO71" s="10">
        <f t="shared" ref="BO71" si="140">AU71/$G71</f>
        <v>1030.9193376849148</v>
      </c>
      <c r="BP71" s="10">
        <f t="shared" ref="BP71" si="141">AW71/$G71</f>
        <v>61.81016618280109</v>
      </c>
      <c r="BQ71" s="10">
        <f t="shared" ref="BQ71" si="142">AX71/$G71</f>
        <v>1145.6299343412368</v>
      </c>
    </row>
    <row r="72" spans="2:69">
      <c r="C72" s="141"/>
      <c r="D72" s="142"/>
      <c r="E72" s="143"/>
      <c r="F72" s="144"/>
      <c r="G72" s="145"/>
      <c r="H72" s="146"/>
      <c r="I72" s="146"/>
      <c r="J72" s="147"/>
      <c r="K72" s="147"/>
      <c r="L72" s="147"/>
      <c r="M72" s="148"/>
      <c r="N72" s="147"/>
      <c r="O72" s="149"/>
      <c r="P72" s="150"/>
      <c r="Q72" s="149"/>
      <c r="R72" s="151"/>
      <c r="S72" s="152"/>
      <c r="T72" s="153"/>
      <c r="U72" s="154"/>
      <c r="V72" s="155"/>
      <c r="W72" s="156"/>
      <c r="X72" s="157"/>
      <c r="Y72" s="158"/>
      <c r="Z72" s="147"/>
      <c r="AA72" s="158"/>
      <c r="AB72" s="159"/>
      <c r="AC72" s="160"/>
      <c r="AD72" s="160"/>
      <c r="AE72" s="160"/>
      <c r="AF72" s="160"/>
      <c r="AG72" s="160"/>
      <c r="AH72" s="160"/>
      <c r="AI72" s="160"/>
      <c r="AJ72" s="160"/>
      <c r="AK72" s="161"/>
      <c r="AL72" s="162"/>
      <c r="AM72" s="163"/>
      <c r="AN72" s="163"/>
      <c r="AO72" s="163"/>
      <c r="AP72" s="163"/>
      <c r="AQ72" s="163"/>
      <c r="AR72" s="164"/>
      <c r="AS72" s="162"/>
      <c r="AT72" s="163"/>
      <c r="AU72" s="164"/>
      <c r="AV72" s="162"/>
      <c r="AW72" s="163"/>
      <c r="AX72" s="164"/>
      <c r="AY72" s="162"/>
      <c r="BA72" s="165"/>
      <c r="BB72" s="165"/>
      <c r="BC72" s="165"/>
      <c r="BD72" s="165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</row>
    <row r="73" spans="2:69">
      <c r="F73" s="50" t="s">
        <v>11</v>
      </c>
      <c r="G73" s="50">
        <f>SUBTOTAL(9,G4:G71)</f>
        <v>116</v>
      </c>
      <c r="H73" s="96"/>
      <c r="I73" s="96"/>
      <c r="J73" s="96"/>
      <c r="K73" s="96"/>
      <c r="L73" s="96"/>
      <c r="M73" s="96"/>
      <c r="N73" s="96"/>
      <c r="O73" s="107" t="s">
        <v>11</v>
      </c>
      <c r="P73" s="50">
        <f t="shared" ref="P73:S73" si="143">SUBTOTAL(9,P4:P71)</f>
        <v>292956</v>
      </c>
      <c r="Q73" s="50">
        <f t="shared" si="143"/>
        <v>11760.327724358975</v>
      </c>
      <c r="R73" s="50">
        <f t="shared" si="143"/>
        <v>18665.166666666668</v>
      </c>
      <c r="S73" s="123">
        <f t="shared" si="143"/>
        <v>274290.83333333331</v>
      </c>
      <c r="T73" s="51"/>
      <c r="U73" s="51"/>
      <c r="V73" s="51"/>
      <c r="W73" s="51"/>
      <c r="X73" s="51"/>
      <c r="Y73" s="51"/>
      <c r="Z73" s="51"/>
      <c r="AA73" s="51"/>
      <c r="AB73" s="51"/>
      <c r="AC73" s="123">
        <f t="shared" ref="AC73:AF73" si="144">SUBTOTAL(9,AC4:AC71)</f>
        <v>125788.45225233822</v>
      </c>
      <c r="AD73" s="50">
        <f t="shared" si="144"/>
        <v>36793.515835641934</v>
      </c>
      <c r="AE73" s="50">
        <f t="shared" si="144"/>
        <v>1887.0607300383383</v>
      </c>
      <c r="AF73" s="50">
        <f t="shared" si="144"/>
        <v>36486.974577567176</v>
      </c>
      <c r="AG73" s="50">
        <f t="shared" ref="AG73:AK73" si="145">SUBTOTAL(9,AG4:AG71)</f>
        <v>200956.00339558569</v>
      </c>
      <c r="AH73" s="50">
        <f t="shared" si="145"/>
        <v>14.849</v>
      </c>
      <c r="AI73" s="50">
        <f t="shared" si="145"/>
        <v>1859.71452825612</v>
      </c>
      <c r="AJ73" s="50">
        <f t="shared" si="145"/>
        <v>27614.901030075125</v>
      </c>
      <c r="AK73" s="50">
        <f t="shared" si="145"/>
        <v>91999.996604414322</v>
      </c>
      <c r="AL73" s="108">
        <f>AK73/$P73</f>
        <v>0.31404032211121918</v>
      </c>
      <c r="AM73" s="50">
        <f t="shared" ref="AM73:AR73" si="146">SUBTOTAL(9,AM4:AM71)</f>
        <v>18665.166666666668</v>
      </c>
      <c r="AN73" s="50">
        <f t="shared" si="146"/>
        <v>6692.3076923076924</v>
      </c>
      <c r="AO73" s="50">
        <f t="shared" si="146"/>
        <v>25357.474358974359</v>
      </c>
      <c r="AP73" s="50">
        <f t="shared" si="146"/>
        <v>4169.3074601868702</v>
      </c>
      <c r="AQ73" s="50">
        <f t="shared" si="146"/>
        <v>8228.7250000000004</v>
      </c>
      <c r="AR73" s="50">
        <f t="shared" si="146"/>
        <v>70701.939785253082</v>
      </c>
      <c r="AS73" s="108">
        <f>AR73/$P73</f>
        <v>0.24133979090803084</v>
      </c>
      <c r="AT73" s="50">
        <f t="shared" ref="AT73:AX73" si="147">SUBTOTAL(9,AT4:AT71)</f>
        <v>6667.9310404046173</v>
      </c>
      <c r="AU73" s="50">
        <f t="shared" si="147"/>
        <v>64034.008744848477</v>
      </c>
      <c r="AV73" s="108">
        <f>AU73/$P73</f>
        <v>0.21857892907074264</v>
      </c>
      <c r="AW73" s="50">
        <f t="shared" si="147"/>
        <v>7362.4481848132436</v>
      </c>
      <c r="AX73" s="50">
        <f t="shared" si="147"/>
        <v>78064.387970066324</v>
      </c>
      <c r="AY73" s="108">
        <f>AX73/$P73</f>
        <v>0.26647137443870861</v>
      </c>
      <c r="AZ73" s="50"/>
      <c r="BA73" s="50">
        <f t="shared" ref="BA73" si="148">P73/$G73</f>
        <v>2525.4827586206898</v>
      </c>
      <c r="BB73" s="50">
        <f t="shared" ref="BB73" si="149">-AC73/$G73</f>
        <v>-1084.3832090718811</v>
      </c>
      <c r="BC73" s="50">
        <f t="shared" ref="BC73" si="150">-AD73/$G73</f>
        <v>-317.1854813417408</v>
      </c>
      <c r="BD73" s="50">
        <f t="shared" ref="BD73" si="151">-AE73/$G73</f>
        <v>-16.267764914123607</v>
      </c>
      <c r="BE73" s="50">
        <f t="shared" ref="BE73" si="152">-AF73/$G73</f>
        <v>-314.54288428937218</v>
      </c>
      <c r="BF73" s="50">
        <f t="shared" ref="BF73" si="153">-AG73/$G73</f>
        <v>-1732.3793396171181</v>
      </c>
      <c r="BG73" s="50">
        <f t="shared" ref="BG73" si="154">AK73/$G73</f>
        <v>793.10341900357173</v>
      </c>
      <c r="BH73" s="50">
        <f t="shared" ref="BH73" si="155">-AM73/$G73</f>
        <v>-160.9066091954023</v>
      </c>
      <c r="BI73" s="50">
        <f t="shared" ref="BI73" si="156">-AN73/$G73</f>
        <v>-57.692307692307693</v>
      </c>
      <c r="BJ73" s="50">
        <f t="shared" ref="BJ73" si="157">-AO73/$G73</f>
        <v>-218.59891688771</v>
      </c>
      <c r="BK73" s="50">
        <f t="shared" ref="BK73" si="158">-AP73/$G73</f>
        <v>-35.942305691266121</v>
      </c>
      <c r="BL73" s="50">
        <f t="shared" ref="BL73" si="159">AQ73/$G73</f>
        <v>70.937284482758628</v>
      </c>
      <c r="BM73" s="50">
        <f t="shared" ref="BM73" si="160">AR73/$G73</f>
        <v>609.49948090735415</v>
      </c>
      <c r="BN73" s="50">
        <f t="shared" ref="BN73" si="161">-AT73/$G73</f>
        <v>-57.482164141419112</v>
      </c>
      <c r="BO73" s="50">
        <f t="shared" ref="BO73" si="162">AU73/$G73</f>
        <v>552.01731676593511</v>
      </c>
      <c r="BP73" s="50">
        <f t="shared" ref="BP73" si="163">AW73/$G73</f>
        <v>63.469380903562445</v>
      </c>
      <c r="BQ73" s="50">
        <f t="shared" ref="BQ73" si="164">AX73/$G73</f>
        <v>672.96886181091656</v>
      </c>
    </row>
    <row r="74" spans="2:69">
      <c r="Y74" s="49"/>
    </row>
    <row r="75" spans="2:69">
      <c r="AA75" t="str">
        <f>C75&amp;Y75&amp;Z75</f>
        <v/>
      </c>
      <c r="AG75" s="58"/>
    </row>
    <row r="76" spans="2:69">
      <c r="AJ76" s="110"/>
      <c r="AW76" s="58"/>
    </row>
    <row r="77" spans="2:69">
      <c r="AB77" t="s">
        <v>426</v>
      </c>
      <c r="AG77" s="112">
        <v>100000</v>
      </c>
      <c r="AI77" s="110"/>
      <c r="AJ77" s="110"/>
    </row>
    <row r="78" spans="2:69">
      <c r="AB78" s="124" t="s">
        <v>427</v>
      </c>
      <c r="AG78" s="125">
        <v>-70000</v>
      </c>
      <c r="AK78" t="s">
        <v>429</v>
      </c>
      <c r="AW78">
        <v>123484.35</v>
      </c>
    </row>
    <row r="79" spans="2:69">
      <c r="AB79" t="s">
        <v>428</v>
      </c>
      <c r="AG79" s="110">
        <f>AG77+AG78</f>
        <v>30000</v>
      </c>
      <c r="AW79">
        <v>678</v>
      </c>
    </row>
    <row r="80" spans="2:69">
      <c r="T80">
        <v>312060.49</v>
      </c>
      <c r="AH80" s="112"/>
      <c r="AI80" s="112"/>
      <c r="AJ80" s="112"/>
      <c r="AW80">
        <v>124162.35</v>
      </c>
    </row>
    <row r="81" spans="7:37">
      <c r="AB81" t="s">
        <v>430</v>
      </c>
      <c r="AG81" s="112">
        <f>AG82+AG83</f>
        <v>-13000</v>
      </c>
    </row>
    <row r="82" spans="7:37">
      <c r="AB82" s="126" t="s">
        <v>432</v>
      </c>
      <c r="AG82" s="112">
        <v>-10000</v>
      </c>
    </row>
    <row r="83" spans="7:37">
      <c r="AB83" s="126" t="s">
        <v>433</v>
      </c>
      <c r="AG83" s="112">
        <v>-3000</v>
      </c>
    </row>
    <row r="84" spans="7:37">
      <c r="R84" s="1"/>
      <c r="AB84" t="s">
        <v>431</v>
      </c>
      <c r="AG84" s="112">
        <v>-10000</v>
      </c>
      <c r="AK84" t="s">
        <v>434</v>
      </c>
    </row>
    <row r="85" spans="7:37">
      <c r="R85" s="1"/>
      <c r="AB85" s="124" t="s">
        <v>435</v>
      </c>
      <c r="AG85" s="125">
        <f>AG77*0.03</f>
        <v>3000</v>
      </c>
      <c r="AK85" t="s">
        <v>436</v>
      </c>
    </row>
    <row r="86" spans="7:37">
      <c r="AB86" t="s">
        <v>437</v>
      </c>
      <c r="AG86" s="110">
        <f>AG79+AG81+AG84+AG85</f>
        <v>10000</v>
      </c>
    </row>
    <row r="88" spans="7:37">
      <c r="AB88" s="127" t="s">
        <v>438</v>
      </c>
      <c r="AG88" s="127">
        <f>-1000</f>
        <v>-1000</v>
      </c>
      <c r="AK88" t="s">
        <v>440</v>
      </c>
    </row>
    <row r="89" spans="7:37">
      <c r="G89" s="112"/>
      <c r="AB89" t="s">
        <v>439</v>
      </c>
      <c r="AG89" s="110">
        <f>AG86+AG88</f>
        <v>9000</v>
      </c>
    </row>
  </sheetData>
  <autoFilter ref="C3:BQ71" xr:uid="{FF29DF5D-4B52-4DC0-B796-EF7D4CAE41BF}">
    <filterColumn colId="5">
      <colorFilter dxfId="0"/>
    </filterColumn>
  </autoFilter>
  <mergeCells count="1">
    <mergeCell ref="BA2:B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54B3-988E-444C-9265-C841DB136EFE}">
  <sheetPr filterMode="1"/>
  <dimension ref="A4:AC176"/>
  <sheetViews>
    <sheetView topLeftCell="O1" zoomScale="80" zoomScaleNormal="80" workbookViewId="0">
      <pane ySplit="4" topLeftCell="A148" activePane="bottomLeft" state="frozen"/>
      <selection activeCell="B1" sqref="B1"/>
      <selection pane="bottomLeft" activeCell="AF156" sqref="AF156"/>
    </sheetView>
  </sheetViews>
  <sheetFormatPr baseColWidth="10" defaultColWidth="11.44140625" defaultRowHeight="14.4"/>
  <cols>
    <col min="3" max="3" width="29.44140625" bestFit="1" customWidth="1"/>
    <col min="4" max="4" width="44.88671875" customWidth="1"/>
    <col min="5" max="5" width="21.88671875" customWidth="1"/>
    <col min="6" max="6" width="16.33203125" customWidth="1"/>
    <col min="8" max="8" width="18.109375" customWidth="1"/>
    <col min="9" max="9" width="15" customWidth="1"/>
    <col min="10" max="10" width="11.6640625" bestFit="1" customWidth="1"/>
    <col min="11" max="11" width="18.33203125" customWidth="1"/>
    <col min="12" max="12" width="11.6640625" bestFit="1" customWidth="1"/>
    <col min="13" max="13" width="15.109375" customWidth="1"/>
    <col min="14" max="14" width="12.109375" bestFit="1" customWidth="1"/>
    <col min="15" max="16" width="14.33203125" customWidth="1"/>
    <col min="17" max="17" width="13.88671875" customWidth="1"/>
    <col min="18" max="18" width="15.33203125" customWidth="1"/>
    <col min="19" max="19" width="14.88671875" customWidth="1"/>
    <col min="20" max="20" width="12.33203125" bestFit="1" customWidth="1"/>
    <col min="21" max="21" width="12.109375" bestFit="1" customWidth="1"/>
    <col min="22" max="23" width="12.109375" customWidth="1"/>
    <col min="24" max="25" width="11.6640625" bestFit="1" customWidth="1"/>
  </cols>
  <sheetData>
    <row r="4" spans="1:29" ht="41.4">
      <c r="A4" s="5" t="s">
        <v>303</v>
      </c>
      <c r="B4" s="5" t="s">
        <v>85</v>
      </c>
      <c r="C4" s="42" t="s">
        <v>87</v>
      </c>
      <c r="D4" s="5" t="s">
        <v>304</v>
      </c>
      <c r="E4" s="6" t="s">
        <v>86</v>
      </c>
      <c r="F4" s="6" t="s">
        <v>305</v>
      </c>
      <c r="G4" s="6" t="s">
        <v>306</v>
      </c>
      <c r="H4" s="6" t="s">
        <v>307</v>
      </c>
      <c r="I4" s="6" t="s">
        <v>308</v>
      </c>
      <c r="J4" s="6" t="s">
        <v>309</v>
      </c>
      <c r="K4" s="6" t="s">
        <v>310</v>
      </c>
      <c r="L4" s="6" t="s">
        <v>311</v>
      </c>
      <c r="M4" s="6" t="s">
        <v>312</v>
      </c>
      <c r="N4" s="6" t="s">
        <v>313</v>
      </c>
      <c r="O4" s="6" t="s">
        <v>314</v>
      </c>
      <c r="P4" s="6" t="s">
        <v>92</v>
      </c>
      <c r="Q4" s="2" t="s">
        <v>315</v>
      </c>
      <c r="R4" s="2" t="s">
        <v>316</v>
      </c>
      <c r="S4" s="2" t="s">
        <v>317</v>
      </c>
      <c r="T4" s="2" t="s">
        <v>318</v>
      </c>
      <c r="U4" s="2" t="s">
        <v>319</v>
      </c>
      <c r="V4" s="2" t="s">
        <v>320</v>
      </c>
      <c r="W4" s="42" t="s">
        <v>11</v>
      </c>
      <c r="X4" s="42" t="s">
        <v>312</v>
      </c>
      <c r="Y4" s="42" t="s">
        <v>313</v>
      </c>
      <c r="Z4" s="42" t="s">
        <v>314</v>
      </c>
      <c r="AA4" s="42" t="s">
        <v>92</v>
      </c>
    </row>
    <row r="5" spans="1:29" hidden="1">
      <c r="A5" s="7" t="s">
        <v>6</v>
      </c>
      <c r="B5" s="7">
        <v>10009178</v>
      </c>
      <c r="C5" s="7" t="str">
        <f t="shared" ref="C5:C36" si="0">A5&amp;B5&amp;E5</f>
        <v>ENERO10009178Inventario inicial</v>
      </c>
      <c r="D5" s="7" t="s">
        <v>321</v>
      </c>
      <c r="E5" s="3" t="s">
        <v>322</v>
      </c>
      <c r="F5" s="8">
        <v>11760</v>
      </c>
      <c r="G5" s="2" t="s">
        <v>323</v>
      </c>
      <c r="H5" s="11">
        <v>24460.799999999999</v>
      </c>
      <c r="I5" s="11">
        <v>-2861.14</v>
      </c>
      <c r="J5" s="11">
        <v>0</v>
      </c>
      <c r="K5" s="11">
        <v>21599.66</v>
      </c>
      <c r="L5" s="11">
        <v>1.84</v>
      </c>
      <c r="M5" s="11">
        <v>15386.06</v>
      </c>
      <c r="N5" s="11">
        <v>192.1</v>
      </c>
      <c r="O5" s="11">
        <v>2941.72</v>
      </c>
      <c r="P5" s="11">
        <f t="shared" ref="P5:P36" si="1">SUM(Q5:V5)</f>
        <v>3079.7799999999975</v>
      </c>
      <c r="Q5" s="11">
        <v>119.29</v>
      </c>
      <c r="R5" s="11">
        <v>316.64999999999998</v>
      </c>
      <c r="S5" s="11">
        <v>1240.72</v>
      </c>
      <c r="T5" s="11">
        <v>0.08</v>
      </c>
      <c r="U5" s="11">
        <v>7.0000000000000007E-2</v>
      </c>
      <c r="V5" s="11">
        <v>1402.9699999999975</v>
      </c>
      <c r="W5" s="55">
        <f>SUM(M5:P5)</f>
        <v>21599.66</v>
      </c>
      <c r="X5" s="74">
        <f t="shared" ref="X5:AA5" si="2">M5/$W5</f>
        <v>0.71232880517563701</v>
      </c>
      <c r="Y5" s="74">
        <f t="shared" si="2"/>
        <v>8.8936585112913812E-3</v>
      </c>
      <c r="Z5" s="74">
        <f t="shared" si="2"/>
        <v>0.13619288451762665</v>
      </c>
      <c r="AA5" s="74">
        <f t="shared" si="2"/>
        <v>0.1425846517954448</v>
      </c>
    </row>
    <row r="6" spans="1:29" hidden="1">
      <c r="A6" s="7" t="s">
        <v>6</v>
      </c>
      <c r="B6" s="7">
        <v>10009178</v>
      </c>
      <c r="C6" s="7" t="str">
        <f t="shared" si="0"/>
        <v>ENERO10009178Revalorización</v>
      </c>
      <c r="D6" s="7" t="s">
        <v>321</v>
      </c>
      <c r="E6" s="3" t="s">
        <v>324</v>
      </c>
      <c r="F6" s="8">
        <v>0</v>
      </c>
      <c r="G6" s="2" t="s">
        <v>323</v>
      </c>
      <c r="H6" s="11">
        <v>-352.8</v>
      </c>
      <c r="I6" s="11">
        <v>352.8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f t="shared" si="1"/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55">
        <f t="shared" ref="W6:W69" si="3">SUM(M6:P6)</f>
        <v>0</v>
      </c>
      <c r="X6" s="74" t="e">
        <f t="shared" ref="X6:X69" si="4">M6/$W6</f>
        <v>#DIV/0!</v>
      </c>
      <c r="Y6" s="74" t="e">
        <f t="shared" ref="Y6:Y69" si="5">N6/$W6</f>
        <v>#DIV/0!</v>
      </c>
      <c r="Z6" s="74" t="e">
        <f t="shared" ref="Z6:Z69" si="6">O6/$W6</f>
        <v>#DIV/0!</v>
      </c>
      <c r="AA6" s="74" t="e">
        <f t="shared" ref="AA6:AA69" si="7">P6/$W6</f>
        <v>#DIV/0!</v>
      </c>
    </row>
    <row r="7" spans="1:29" hidden="1">
      <c r="A7" s="7" t="s">
        <v>6</v>
      </c>
      <c r="B7" s="7">
        <v>10009178</v>
      </c>
      <c r="C7" s="7" t="str">
        <f t="shared" si="0"/>
        <v>ENERO10009178Entradas</v>
      </c>
      <c r="D7" s="7" t="s">
        <v>321</v>
      </c>
      <c r="E7" s="3" t="s">
        <v>167</v>
      </c>
      <c r="F7" s="8">
        <v>4920</v>
      </c>
      <c r="G7" s="2" t="s">
        <v>323</v>
      </c>
      <c r="H7" s="11">
        <v>10086</v>
      </c>
      <c r="I7" s="11">
        <v>-1629.21</v>
      </c>
      <c r="J7" s="11">
        <v>0</v>
      </c>
      <c r="K7" s="11">
        <v>8456.7900000000009</v>
      </c>
      <c r="L7" s="11">
        <v>1.72</v>
      </c>
      <c r="M7" s="11">
        <v>5674.08</v>
      </c>
      <c r="N7" s="11">
        <v>83.7</v>
      </c>
      <c r="O7" s="11">
        <v>1150.54</v>
      </c>
      <c r="P7" s="11">
        <f t="shared" si="1"/>
        <v>1548.4700000000007</v>
      </c>
      <c r="Q7" s="11">
        <v>11.05</v>
      </c>
      <c r="R7" s="11">
        <v>84.57</v>
      </c>
      <c r="S7" s="11">
        <v>772.75</v>
      </c>
      <c r="T7" s="11">
        <v>0.02</v>
      </c>
      <c r="U7" s="11">
        <v>0</v>
      </c>
      <c r="V7" s="11">
        <v>680.08000000000084</v>
      </c>
      <c r="W7" s="55">
        <f t="shared" si="3"/>
        <v>8456.7900000000009</v>
      </c>
      <c r="X7" s="74">
        <f t="shared" si="4"/>
        <v>0.67094961563430089</v>
      </c>
      <c r="Y7" s="74">
        <f t="shared" si="5"/>
        <v>9.8973724072609105E-3</v>
      </c>
      <c r="Z7" s="74">
        <f t="shared" si="6"/>
        <v>0.13604925746057309</v>
      </c>
      <c r="AA7" s="74">
        <f t="shared" si="7"/>
        <v>0.18310375449786509</v>
      </c>
    </row>
    <row r="8" spans="1:29" hidden="1">
      <c r="A8" s="7" t="s">
        <v>6</v>
      </c>
      <c r="B8" s="7">
        <v>10009178</v>
      </c>
      <c r="C8" s="7" t="str">
        <f t="shared" si="0"/>
        <v>ENERO10009178Inventario acumulado</v>
      </c>
      <c r="D8" s="7" t="s">
        <v>321</v>
      </c>
      <c r="E8" s="3" t="s">
        <v>325</v>
      </c>
      <c r="F8" s="8">
        <v>16680</v>
      </c>
      <c r="G8" s="2" t="s">
        <v>323</v>
      </c>
      <c r="H8" s="11">
        <v>34194</v>
      </c>
      <c r="I8" s="11">
        <v>-4137.55</v>
      </c>
      <c r="J8" s="11">
        <v>0</v>
      </c>
      <c r="K8" s="11">
        <v>30056.45</v>
      </c>
      <c r="L8" s="11">
        <v>1.8</v>
      </c>
      <c r="M8" s="11">
        <v>21060.14</v>
      </c>
      <c r="N8" s="11">
        <v>275.8</v>
      </c>
      <c r="O8" s="11">
        <v>4092.26</v>
      </c>
      <c r="P8" s="11">
        <f t="shared" si="1"/>
        <v>4628.2500000000036</v>
      </c>
      <c r="Q8" s="11">
        <v>130.34</v>
      </c>
      <c r="R8" s="11">
        <v>401.22</v>
      </c>
      <c r="S8" s="11">
        <v>2013.47</v>
      </c>
      <c r="T8" s="11">
        <v>0.1</v>
      </c>
      <c r="U8" s="11">
        <v>7.0000000000000007E-2</v>
      </c>
      <c r="V8" s="11">
        <v>2083.0500000000029</v>
      </c>
      <c r="W8" s="55">
        <f t="shared" si="3"/>
        <v>30056.45</v>
      </c>
      <c r="X8" s="74">
        <f t="shared" si="4"/>
        <v>0.70068620878380505</v>
      </c>
      <c r="Y8" s="74">
        <f t="shared" si="5"/>
        <v>9.1760670338646121E-3</v>
      </c>
      <c r="Z8" s="74">
        <f t="shared" si="6"/>
        <v>0.13615247309645684</v>
      </c>
      <c r="AA8" s="74">
        <f t="shared" si="7"/>
        <v>0.15398525108587352</v>
      </c>
    </row>
    <row r="9" spans="1:29" hidden="1">
      <c r="A9" s="7" t="s">
        <v>6</v>
      </c>
      <c r="B9" s="7">
        <v>10009178</v>
      </c>
      <c r="C9" s="7" t="str">
        <f t="shared" si="0"/>
        <v>ENERO10009178Inventario final</v>
      </c>
      <c r="D9" s="7" t="s">
        <v>321</v>
      </c>
      <c r="E9" s="3" t="s">
        <v>221</v>
      </c>
      <c r="F9" s="8">
        <v>16680</v>
      </c>
      <c r="G9" s="2" t="s">
        <v>323</v>
      </c>
      <c r="H9" s="11">
        <v>34194</v>
      </c>
      <c r="I9" s="11">
        <v>-4137.55</v>
      </c>
      <c r="J9" s="11">
        <v>0</v>
      </c>
      <c r="K9" s="11">
        <v>30056.45</v>
      </c>
      <c r="L9" s="11">
        <v>1.8</v>
      </c>
      <c r="M9" s="11">
        <v>21060.14</v>
      </c>
      <c r="N9" s="11">
        <v>275.8</v>
      </c>
      <c r="O9" s="11">
        <v>4092.26</v>
      </c>
      <c r="P9" s="11">
        <f t="shared" si="1"/>
        <v>4628.2500000000036</v>
      </c>
      <c r="Q9" s="11">
        <v>130.34</v>
      </c>
      <c r="R9" s="11">
        <v>401.22</v>
      </c>
      <c r="S9" s="11">
        <v>2013.47</v>
      </c>
      <c r="T9" s="11">
        <v>0.1</v>
      </c>
      <c r="U9" s="11">
        <v>7.0000000000000007E-2</v>
      </c>
      <c r="V9" s="11">
        <v>2083.0500000000029</v>
      </c>
      <c r="W9" s="55">
        <f t="shared" si="3"/>
        <v>30056.45</v>
      </c>
      <c r="X9" s="74">
        <f t="shared" si="4"/>
        <v>0.70068620878380505</v>
      </c>
      <c r="Y9" s="74">
        <f t="shared" si="5"/>
        <v>9.1760670338646121E-3</v>
      </c>
      <c r="Z9" s="74">
        <f t="shared" si="6"/>
        <v>0.13615247309645684</v>
      </c>
      <c r="AA9" s="74">
        <f t="shared" si="7"/>
        <v>0.15398525108587352</v>
      </c>
    </row>
    <row r="10" spans="1:29" ht="15" hidden="1" thickBot="1">
      <c r="A10" s="7" t="s">
        <v>7</v>
      </c>
      <c r="B10" s="7">
        <v>10009178</v>
      </c>
      <c r="C10" s="7" t="str">
        <f t="shared" si="0"/>
        <v>FEBRERO10009178Inventario inicial</v>
      </c>
      <c r="D10" s="7" t="s">
        <v>321</v>
      </c>
      <c r="E10" s="3" t="s">
        <v>322</v>
      </c>
      <c r="F10" s="8">
        <v>16680</v>
      </c>
      <c r="G10" s="2" t="s">
        <v>323</v>
      </c>
      <c r="H10" s="11">
        <v>34194</v>
      </c>
      <c r="I10" s="11" t="s">
        <v>326</v>
      </c>
      <c r="J10" s="11">
        <v>0</v>
      </c>
      <c r="K10" s="11">
        <v>30056.45</v>
      </c>
      <c r="L10" s="11">
        <v>1.8</v>
      </c>
      <c r="M10" s="11">
        <v>21060.14</v>
      </c>
      <c r="N10" s="11">
        <v>275.8</v>
      </c>
      <c r="O10" s="11">
        <v>4092.26</v>
      </c>
      <c r="P10" s="11">
        <f t="shared" si="1"/>
        <v>4628.2500000000045</v>
      </c>
      <c r="Q10" s="11">
        <v>130.34</v>
      </c>
      <c r="R10" s="11">
        <v>401.22</v>
      </c>
      <c r="S10" s="11">
        <v>2013.47</v>
      </c>
      <c r="T10" s="11">
        <v>0.1</v>
      </c>
      <c r="U10" s="11">
        <v>1944.83</v>
      </c>
      <c r="V10" s="11">
        <v>138.29000000000451</v>
      </c>
      <c r="W10" s="55">
        <f t="shared" si="3"/>
        <v>30056.45</v>
      </c>
      <c r="X10" s="74">
        <f t="shared" si="4"/>
        <v>0.70068620878380505</v>
      </c>
      <c r="Y10" s="74">
        <f t="shared" si="5"/>
        <v>9.1760670338646121E-3</v>
      </c>
      <c r="Z10" s="74">
        <f t="shared" si="6"/>
        <v>0.13615247309645684</v>
      </c>
      <c r="AA10" s="74">
        <f t="shared" si="7"/>
        <v>0.15398525108587358</v>
      </c>
      <c r="AB10" s="54"/>
      <c r="AC10" s="54"/>
    </row>
    <row r="11" spans="1:29" ht="15" hidden="1" thickBot="1">
      <c r="A11" s="7" t="s">
        <v>7</v>
      </c>
      <c r="B11" s="7">
        <v>10009178</v>
      </c>
      <c r="C11" s="7" t="str">
        <f t="shared" si="0"/>
        <v>FEBRERO10009178Revalorización</v>
      </c>
      <c r="D11" s="7" t="s">
        <v>321</v>
      </c>
      <c r="E11" s="3" t="s">
        <v>324</v>
      </c>
      <c r="F11" s="8">
        <v>0</v>
      </c>
      <c r="G11" s="2" t="s">
        <v>323</v>
      </c>
      <c r="H11" s="11" t="s">
        <v>327</v>
      </c>
      <c r="I11" s="11">
        <v>3502.8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f t="shared" si="1"/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55">
        <f t="shared" si="3"/>
        <v>0</v>
      </c>
      <c r="X11" s="74" t="e">
        <f t="shared" si="4"/>
        <v>#DIV/0!</v>
      </c>
      <c r="Y11" s="74" t="e">
        <f t="shared" si="5"/>
        <v>#DIV/0!</v>
      </c>
      <c r="Z11" s="74" t="e">
        <f t="shared" si="6"/>
        <v>#DIV/0!</v>
      </c>
      <c r="AA11" s="74" t="e">
        <f t="shared" si="7"/>
        <v>#DIV/0!</v>
      </c>
      <c r="AB11" s="54"/>
      <c r="AC11" s="54"/>
    </row>
    <row r="12" spans="1:29" ht="15" hidden="1" thickBot="1">
      <c r="A12" s="7" t="s">
        <v>7</v>
      </c>
      <c r="B12" s="7">
        <v>10009178</v>
      </c>
      <c r="C12" s="7" t="str">
        <f t="shared" si="0"/>
        <v>FEBRERO10009178Entradas</v>
      </c>
      <c r="D12" s="7" t="s">
        <v>321</v>
      </c>
      <c r="E12" s="3" t="s">
        <v>167</v>
      </c>
      <c r="F12" s="8">
        <v>8220</v>
      </c>
      <c r="G12" s="2" t="s">
        <v>323</v>
      </c>
      <c r="H12" s="11">
        <v>15124.8</v>
      </c>
      <c r="I12" s="11" t="s">
        <v>328</v>
      </c>
      <c r="J12" s="11">
        <v>0</v>
      </c>
      <c r="K12" s="11">
        <v>12924.45</v>
      </c>
      <c r="L12" s="11">
        <v>1.57</v>
      </c>
      <c r="M12" s="11">
        <v>8381.4</v>
      </c>
      <c r="N12" s="11">
        <v>139.88</v>
      </c>
      <c r="O12" s="11">
        <v>1759.88</v>
      </c>
      <c r="P12" s="11">
        <f t="shared" si="1"/>
        <v>2643.2900000000004</v>
      </c>
      <c r="Q12" s="11">
        <v>57.66</v>
      </c>
      <c r="R12" s="11">
        <v>141.81</v>
      </c>
      <c r="S12" s="11">
        <v>1295.3399999999999</v>
      </c>
      <c r="T12" s="11" t="s">
        <v>329</v>
      </c>
      <c r="U12" s="11">
        <v>1048.6300000000001</v>
      </c>
      <c r="V12" s="11">
        <v>99.850000000000364</v>
      </c>
      <c r="W12" s="55">
        <f t="shared" si="3"/>
        <v>12924.45</v>
      </c>
      <c r="X12" s="74">
        <f t="shared" si="4"/>
        <v>0.64849181203068595</v>
      </c>
      <c r="Y12" s="74">
        <f t="shared" si="5"/>
        <v>1.0822897686168462E-2</v>
      </c>
      <c r="Z12" s="74">
        <f t="shared" si="6"/>
        <v>0.13616672276189704</v>
      </c>
      <c r="AA12" s="74">
        <f t="shared" si="7"/>
        <v>0.2045185675212485</v>
      </c>
      <c r="AB12" s="54"/>
      <c r="AC12" s="54"/>
    </row>
    <row r="13" spans="1:29" ht="15" hidden="1" thickBot="1">
      <c r="A13" s="7" t="s">
        <v>7</v>
      </c>
      <c r="B13" s="7">
        <v>10009178</v>
      </c>
      <c r="C13" s="7" t="str">
        <f t="shared" si="0"/>
        <v>FEBRERO10009178Inventario acumulado</v>
      </c>
      <c r="D13" s="7" t="s">
        <v>321</v>
      </c>
      <c r="E13" s="3" t="s">
        <v>325</v>
      </c>
      <c r="F13" s="8">
        <v>24900</v>
      </c>
      <c r="G13" s="2" t="s">
        <v>323</v>
      </c>
      <c r="H13" s="11">
        <v>45816</v>
      </c>
      <c r="I13" s="11" t="s">
        <v>330</v>
      </c>
      <c r="J13" s="11">
        <v>0</v>
      </c>
      <c r="K13" s="11">
        <v>42980.9</v>
      </c>
      <c r="L13" s="11">
        <v>1.73</v>
      </c>
      <c r="M13" s="11">
        <v>29441.54</v>
      </c>
      <c r="N13" s="11">
        <v>415.68</v>
      </c>
      <c r="O13" s="11">
        <v>5852.14</v>
      </c>
      <c r="P13" s="11">
        <f t="shared" si="1"/>
        <v>7271.5399999999981</v>
      </c>
      <c r="Q13" s="11">
        <v>188</v>
      </c>
      <c r="R13" s="11">
        <v>543.03</v>
      </c>
      <c r="S13" s="11">
        <v>3308.81</v>
      </c>
      <c r="T13" s="11" t="s">
        <v>331</v>
      </c>
      <c r="U13" s="11">
        <v>2993.46</v>
      </c>
      <c r="V13" s="11">
        <v>238.23999999999796</v>
      </c>
      <c r="W13" s="55">
        <f t="shared" si="3"/>
        <v>42980.9</v>
      </c>
      <c r="X13" s="74">
        <f t="shared" si="4"/>
        <v>0.68499124029510783</v>
      </c>
      <c r="Y13" s="74">
        <f t="shared" si="5"/>
        <v>9.6712725885218787E-3</v>
      </c>
      <c r="Z13" s="74">
        <f t="shared" si="6"/>
        <v>0.1361567580018101</v>
      </c>
      <c r="AA13" s="74">
        <f t="shared" si="7"/>
        <v>0.16918072911456014</v>
      </c>
      <c r="AB13" s="54"/>
      <c r="AC13" s="54"/>
    </row>
    <row r="14" spans="1:29" ht="15" hidden="1" thickBot="1">
      <c r="A14" s="7" t="s">
        <v>7</v>
      </c>
      <c r="B14" s="7">
        <v>10009178</v>
      </c>
      <c r="C14" s="7" t="str">
        <f t="shared" si="0"/>
        <v>FEBRERO10009178Inventario final</v>
      </c>
      <c r="D14" s="7" t="s">
        <v>321</v>
      </c>
      <c r="E14" s="3" t="s">
        <v>221</v>
      </c>
      <c r="F14" s="8">
        <v>24900</v>
      </c>
      <c r="G14" s="2" t="s">
        <v>323</v>
      </c>
      <c r="H14" s="11">
        <v>45816</v>
      </c>
      <c r="I14" s="11" t="s">
        <v>330</v>
      </c>
      <c r="J14" s="11">
        <v>0</v>
      </c>
      <c r="K14" s="11">
        <v>42980.9</v>
      </c>
      <c r="L14" s="11">
        <v>1.73</v>
      </c>
      <c r="M14" s="11">
        <v>29441.54</v>
      </c>
      <c r="N14" s="11">
        <v>415.68</v>
      </c>
      <c r="O14" s="11">
        <v>5852.14</v>
      </c>
      <c r="P14" s="11">
        <f t="shared" si="1"/>
        <v>7271.5399999999981</v>
      </c>
      <c r="Q14" s="11">
        <v>188</v>
      </c>
      <c r="R14" s="11">
        <v>543.03</v>
      </c>
      <c r="S14" s="11">
        <v>3308.81</v>
      </c>
      <c r="T14" s="11" t="s">
        <v>331</v>
      </c>
      <c r="U14" s="11">
        <v>2993.46</v>
      </c>
      <c r="V14" s="11">
        <v>238.23999999999796</v>
      </c>
      <c r="W14" s="55">
        <f t="shared" si="3"/>
        <v>42980.9</v>
      </c>
      <c r="X14" s="74">
        <f t="shared" si="4"/>
        <v>0.68499124029510783</v>
      </c>
      <c r="Y14" s="74">
        <f t="shared" si="5"/>
        <v>9.6712725885218787E-3</v>
      </c>
      <c r="Z14" s="74">
        <f t="shared" si="6"/>
        <v>0.1361567580018101</v>
      </c>
      <c r="AA14" s="74">
        <f t="shared" si="7"/>
        <v>0.16918072911456014</v>
      </c>
      <c r="AB14" s="54"/>
      <c r="AC14" s="54"/>
    </row>
    <row r="15" spans="1:29" hidden="1">
      <c r="A15" s="7" t="s">
        <v>6</v>
      </c>
      <c r="B15" s="7">
        <v>10006720</v>
      </c>
      <c r="C15" s="7" t="str">
        <f t="shared" si="0"/>
        <v>ENERO10006720Inventario inicial</v>
      </c>
      <c r="D15" s="7" t="s">
        <v>332</v>
      </c>
      <c r="E15" s="3" t="s">
        <v>322</v>
      </c>
      <c r="F15" s="9">
        <v>80180</v>
      </c>
      <c r="G15" s="3" t="s">
        <v>323</v>
      </c>
      <c r="H15" s="12">
        <v>138711.4</v>
      </c>
      <c r="I15" s="12">
        <v>2617.91</v>
      </c>
      <c r="J15" s="13"/>
      <c r="K15" s="12">
        <v>141329.31</v>
      </c>
      <c r="L15" s="12">
        <v>1.76</v>
      </c>
      <c r="M15" s="12">
        <v>96628.24</v>
      </c>
      <c r="N15" s="12">
        <v>1272.01</v>
      </c>
      <c r="O15" s="12">
        <v>21487.27</v>
      </c>
      <c r="P15" s="12">
        <f t="shared" si="1"/>
        <v>21941.789999999986</v>
      </c>
      <c r="Q15" s="12">
        <v>716.19</v>
      </c>
      <c r="R15" s="12">
        <v>2221.84</v>
      </c>
      <c r="S15" s="12">
        <v>8915.09</v>
      </c>
      <c r="T15" s="12">
        <v>9554.3700000000008</v>
      </c>
      <c r="U15" s="11">
        <v>17.13</v>
      </c>
      <c r="V15" s="11">
        <v>517.1699999999837</v>
      </c>
      <c r="W15" s="55">
        <f t="shared" si="3"/>
        <v>141329.31</v>
      </c>
      <c r="X15" s="74">
        <f t="shared" si="4"/>
        <v>0.68370984051362038</v>
      </c>
      <c r="Y15" s="74">
        <f t="shared" si="5"/>
        <v>9.0003269668549289E-3</v>
      </c>
      <c r="Z15" s="74">
        <f t="shared" si="6"/>
        <v>0.15203689878624613</v>
      </c>
      <c r="AA15" s="74">
        <f t="shared" si="7"/>
        <v>0.15525293373327859</v>
      </c>
    </row>
    <row r="16" spans="1:29" hidden="1">
      <c r="A16" s="7" t="s">
        <v>6</v>
      </c>
      <c r="B16" s="7">
        <v>10006720</v>
      </c>
      <c r="C16" s="7" t="str">
        <f t="shared" si="0"/>
        <v>ENERO10006720Revalorización</v>
      </c>
      <c r="D16" s="7" t="s">
        <v>332</v>
      </c>
      <c r="E16" s="3" t="s">
        <v>324</v>
      </c>
      <c r="F16" s="9">
        <v>0</v>
      </c>
      <c r="G16" s="3" t="s">
        <v>323</v>
      </c>
      <c r="H16" s="12">
        <v>4009</v>
      </c>
      <c r="I16" s="12">
        <v>-4009</v>
      </c>
      <c r="J16" s="13"/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f t="shared" si="1"/>
        <v>0</v>
      </c>
      <c r="Q16" s="12">
        <v>0</v>
      </c>
      <c r="R16" s="12">
        <v>0</v>
      </c>
      <c r="S16" s="12">
        <v>0</v>
      </c>
      <c r="T16" s="12">
        <v>0</v>
      </c>
      <c r="U16" s="11">
        <v>0</v>
      </c>
      <c r="V16" s="11">
        <v>0</v>
      </c>
      <c r="W16" s="55">
        <f t="shared" si="3"/>
        <v>0</v>
      </c>
      <c r="X16" s="74" t="e">
        <f t="shared" si="4"/>
        <v>#DIV/0!</v>
      </c>
      <c r="Y16" s="74" t="e">
        <f t="shared" si="5"/>
        <v>#DIV/0!</v>
      </c>
      <c r="Z16" s="74" t="e">
        <f t="shared" si="6"/>
        <v>#DIV/0!</v>
      </c>
      <c r="AA16" s="74" t="e">
        <f t="shared" si="7"/>
        <v>#DIV/0!</v>
      </c>
    </row>
    <row r="17" spans="1:27" hidden="1">
      <c r="A17" s="7" t="s">
        <v>6</v>
      </c>
      <c r="B17" s="7">
        <v>10006720</v>
      </c>
      <c r="C17" s="7" t="str">
        <f t="shared" si="0"/>
        <v>ENERO10006720Entradas</v>
      </c>
      <c r="D17" s="7" t="s">
        <v>332</v>
      </c>
      <c r="E17" s="3" t="s">
        <v>167</v>
      </c>
      <c r="F17" s="9">
        <v>276180</v>
      </c>
      <c r="G17" s="3" t="s">
        <v>323</v>
      </c>
      <c r="H17" s="12">
        <v>491600.4</v>
      </c>
      <c r="I17" s="12">
        <v>-18595.02</v>
      </c>
      <c r="J17" s="13"/>
      <c r="K17" s="12">
        <v>473005.38</v>
      </c>
      <c r="L17" s="12">
        <v>1.71</v>
      </c>
      <c r="M17" s="12">
        <v>308981.27</v>
      </c>
      <c r="N17" s="12">
        <v>4610.57</v>
      </c>
      <c r="O17" s="12">
        <v>72365.759999999995</v>
      </c>
      <c r="P17" s="12">
        <f t="shared" si="1"/>
        <v>87047.77999999997</v>
      </c>
      <c r="Q17" s="12">
        <v>620.30999999999995</v>
      </c>
      <c r="R17" s="12">
        <v>4747.8100000000004</v>
      </c>
      <c r="S17" s="12">
        <v>43377.94</v>
      </c>
      <c r="T17" s="12">
        <v>35110.76</v>
      </c>
      <c r="U17" s="11">
        <v>0</v>
      </c>
      <c r="V17" s="11">
        <v>3190.9599999999627</v>
      </c>
      <c r="W17" s="55">
        <f t="shared" si="3"/>
        <v>473005.38</v>
      </c>
      <c r="X17" s="74">
        <f t="shared" si="4"/>
        <v>0.65322992732133411</v>
      </c>
      <c r="Y17" s="74">
        <f t="shared" si="5"/>
        <v>9.7473944165286236E-3</v>
      </c>
      <c r="Z17" s="74">
        <f t="shared" si="6"/>
        <v>0.15299140994971347</v>
      </c>
      <c r="AA17" s="74">
        <f t="shared" si="7"/>
        <v>0.18403126831242378</v>
      </c>
    </row>
    <row r="18" spans="1:27" hidden="1">
      <c r="A18" s="7" t="s">
        <v>6</v>
      </c>
      <c r="B18" s="7">
        <v>10006720</v>
      </c>
      <c r="C18" s="7" t="str">
        <f t="shared" si="0"/>
        <v>ENERO10006720Inv. acumulado</v>
      </c>
      <c r="D18" s="7" t="s">
        <v>332</v>
      </c>
      <c r="E18" s="3" t="s">
        <v>333</v>
      </c>
      <c r="F18" s="9">
        <v>356360</v>
      </c>
      <c r="G18" s="3" t="s">
        <v>323</v>
      </c>
      <c r="H18" s="12">
        <v>634320.80000000005</v>
      </c>
      <c r="I18" s="12">
        <v>-19986.11</v>
      </c>
      <c r="J18" s="13"/>
      <c r="K18" s="12">
        <v>614334.68999999994</v>
      </c>
      <c r="L18" s="12">
        <v>1.72</v>
      </c>
      <c r="M18" s="12">
        <v>405609.51</v>
      </c>
      <c r="N18" s="12">
        <v>5882.58</v>
      </c>
      <c r="O18" s="12">
        <v>93853.03</v>
      </c>
      <c r="P18" s="12">
        <f t="shared" si="1"/>
        <v>108989.56999999989</v>
      </c>
      <c r="Q18" s="12">
        <v>1336.5</v>
      </c>
      <c r="R18" s="12">
        <v>6969.65</v>
      </c>
      <c r="S18" s="12">
        <v>52293.03</v>
      </c>
      <c r="T18" s="12">
        <v>44665.13</v>
      </c>
      <c r="U18" s="11">
        <v>17.13</v>
      </c>
      <c r="V18" s="11">
        <v>3708.1299999998882</v>
      </c>
      <c r="W18" s="55">
        <f t="shared" si="3"/>
        <v>614334.68999999994</v>
      </c>
      <c r="X18" s="74">
        <f t="shared" si="4"/>
        <v>0.66024191145709199</v>
      </c>
      <c r="Y18" s="74">
        <f t="shared" si="5"/>
        <v>9.5755295863237024E-3</v>
      </c>
      <c r="Z18" s="74">
        <f t="shared" si="6"/>
        <v>0.15277182214795654</v>
      </c>
      <c r="AA18" s="74">
        <f t="shared" si="7"/>
        <v>0.17741073680862773</v>
      </c>
    </row>
    <row r="19" spans="1:27" hidden="1">
      <c r="A19" s="7" t="s">
        <v>6</v>
      </c>
      <c r="B19" s="7">
        <v>10006720</v>
      </c>
      <c r="C19" s="7" t="str">
        <f t="shared" si="0"/>
        <v>ENERO10006720Compensación</v>
      </c>
      <c r="D19" s="7" t="s">
        <v>332</v>
      </c>
      <c r="E19" s="3" t="s">
        <v>117</v>
      </c>
      <c r="F19" s="9">
        <v>69700</v>
      </c>
      <c r="G19" s="3" t="s">
        <v>323</v>
      </c>
      <c r="H19" s="12">
        <v>124066</v>
      </c>
      <c r="I19" s="12">
        <v>-3909.06</v>
      </c>
      <c r="J19" s="13"/>
      <c r="K19" s="12">
        <v>120156.94</v>
      </c>
      <c r="L19" s="12">
        <v>1.72</v>
      </c>
      <c r="M19" s="12">
        <v>79332.649999999994</v>
      </c>
      <c r="N19" s="12">
        <v>1150.57</v>
      </c>
      <c r="O19" s="12">
        <v>18356.59</v>
      </c>
      <c r="P19" s="12">
        <f t="shared" si="1"/>
        <v>21317.130000000005</v>
      </c>
      <c r="Q19" s="12">
        <v>261.39999999999998</v>
      </c>
      <c r="R19" s="12">
        <v>1363.19</v>
      </c>
      <c r="S19" s="12">
        <v>10227.93</v>
      </c>
      <c r="T19" s="12">
        <v>8735.99</v>
      </c>
      <c r="U19" s="11">
        <v>3.35</v>
      </c>
      <c r="V19" s="11">
        <v>725.27000000000407</v>
      </c>
      <c r="W19" s="55">
        <f t="shared" si="3"/>
        <v>120156.94</v>
      </c>
      <c r="X19" s="74">
        <f t="shared" si="4"/>
        <v>0.66024193026220535</v>
      </c>
      <c r="Y19" s="74">
        <f t="shared" si="5"/>
        <v>9.5755600966535917E-3</v>
      </c>
      <c r="Z19" s="74">
        <f t="shared" si="6"/>
        <v>0.15277178330273725</v>
      </c>
      <c r="AA19" s="74">
        <f t="shared" si="7"/>
        <v>0.1774107263384038</v>
      </c>
    </row>
    <row r="20" spans="1:27" hidden="1">
      <c r="A20" s="7" t="s">
        <v>6</v>
      </c>
      <c r="B20" s="7">
        <v>10006720</v>
      </c>
      <c r="C20" s="7" t="str">
        <f t="shared" si="0"/>
        <v>ENERO10006720Inventario final</v>
      </c>
      <c r="D20" s="7" t="s">
        <v>332</v>
      </c>
      <c r="E20" s="3" t="s">
        <v>221</v>
      </c>
      <c r="F20" s="9">
        <v>286660</v>
      </c>
      <c r="G20" s="3" t="s">
        <v>323</v>
      </c>
      <c r="H20" s="12">
        <v>510254.8</v>
      </c>
      <c r="I20" s="12">
        <v>-16077.05</v>
      </c>
      <c r="J20" s="13"/>
      <c r="K20" s="12">
        <v>494177.75</v>
      </c>
      <c r="L20" s="12">
        <v>1.72</v>
      </c>
      <c r="M20" s="12">
        <v>326276.86</v>
      </c>
      <c r="N20" s="12">
        <v>4732.01</v>
      </c>
      <c r="O20" s="12">
        <v>75496.44</v>
      </c>
      <c r="P20" s="12">
        <f t="shared" si="1"/>
        <v>87672.439999999973</v>
      </c>
      <c r="Q20" s="12">
        <v>1075.0999999999999</v>
      </c>
      <c r="R20" s="12">
        <v>5606.46</v>
      </c>
      <c r="S20" s="12">
        <v>42065.1</v>
      </c>
      <c r="T20" s="12">
        <v>35929.14</v>
      </c>
      <c r="U20" s="11">
        <v>13.78</v>
      </c>
      <c r="V20" s="11">
        <v>2982.859999999986</v>
      </c>
      <c r="W20" s="55">
        <f t="shared" si="3"/>
        <v>494177.75</v>
      </c>
      <c r="X20" s="74">
        <f t="shared" si="4"/>
        <v>0.66024190688471907</v>
      </c>
      <c r="Y20" s="74">
        <f t="shared" si="5"/>
        <v>9.575522167883925E-3</v>
      </c>
      <c r="Z20" s="74">
        <f t="shared" si="6"/>
        <v>0.15277183159298452</v>
      </c>
      <c r="AA20" s="74">
        <f t="shared" si="7"/>
        <v>0.1774107393544124</v>
      </c>
    </row>
    <row r="21" spans="1:27" hidden="1">
      <c r="A21" s="7" t="s">
        <v>7</v>
      </c>
      <c r="B21" s="7">
        <v>10006720</v>
      </c>
      <c r="C21" s="7" t="str">
        <f t="shared" si="0"/>
        <v>FEBRERO10006720Inventario inicial</v>
      </c>
      <c r="D21" s="7" t="s">
        <v>332</v>
      </c>
      <c r="E21" s="3" t="s">
        <v>322</v>
      </c>
      <c r="F21" s="8">
        <v>286660</v>
      </c>
      <c r="G21" s="2" t="s">
        <v>323</v>
      </c>
      <c r="H21" s="11">
        <v>510254.8</v>
      </c>
      <c r="I21" s="11" t="s">
        <v>334</v>
      </c>
      <c r="J21" s="11">
        <v>0</v>
      </c>
      <c r="K21" s="11">
        <v>494177.75</v>
      </c>
      <c r="L21" s="11">
        <v>1.72</v>
      </c>
      <c r="M21" s="11">
        <v>326276.86</v>
      </c>
      <c r="N21" s="11">
        <v>4732.01</v>
      </c>
      <c r="O21" s="11">
        <v>75496.44</v>
      </c>
      <c r="P21" s="11">
        <f t="shared" si="1"/>
        <v>87672.44</v>
      </c>
      <c r="Q21" s="11">
        <v>1075.0999999999999</v>
      </c>
      <c r="R21" s="11">
        <v>5606.46</v>
      </c>
      <c r="S21" s="11">
        <v>42065.1</v>
      </c>
      <c r="T21" s="11">
        <v>0.13</v>
      </c>
      <c r="U21" s="11">
        <v>35929.14</v>
      </c>
      <c r="V21" s="11">
        <v>2996.5100000000093</v>
      </c>
      <c r="W21" s="55">
        <f t="shared" si="3"/>
        <v>494177.75</v>
      </c>
      <c r="X21" s="74">
        <f t="shared" si="4"/>
        <v>0.66024190688471907</v>
      </c>
      <c r="Y21" s="74">
        <f t="shared" si="5"/>
        <v>9.575522167883925E-3</v>
      </c>
      <c r="Z21" s="74">
        <f t="shared" si="6"/>
        <v>0.15277183159298452</v>
      </c>
      <c r="AA21" s="74">
        <f t="shared" si="7"/>
        <v>0.17741073935441246</v>
      </c>
    </row>
    <row r="22" spans="1:27" hidden="1">
      <c r="A22" s="7" t="s">
        <v>7</v>
      </c>
      <c r="B22" s="7">
        <v>10006720</v>
      </c>
      <c r="C22" s="7" t="str">
        <f t="shared" si="0"/>
        <v>FEBRERO10006720Revalorización</v>
      </c>
      <c r="D22" s="7" t="s">
        <v>332</v>
      </c>
      <c r="E22" s="3" t="s">
        <v>324</v>
      </c>
      <c r="F22" s="8">
        <v>0</v>
      </c>
      <c r="G22" s="2" t="s">
        <v>323</v>
      </c>
      <c r="H22" s="11" t="s">
        <v>335</v>
      </c>
      <c r="I22" s="11">
        <v>5733.2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f t="shared" si="1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55">
        <f t="shared" si="3"/>
        <v>0</v>
      </c>
      <c r="X22" s="74" t="e">
        <f t="shared" si="4"/>
        <v>#DIV/0!</v>
      </c>
      <c r="Y22" s="74" t="e">
        <f t="shared" si="5"/>
        <v>#DIV/0!</v>
      </c>
      <c r="Z22" s="74" t="e">
        <f t="shared" si="6"/>
        <v>#DIV/0!</v>
      </c>
      <c r="AA22" s="74" t="e">
        <f t="shared" si="7"/>
        <v>#DIV/0!</v>
      </c>
    </row>
    <row r="23" spans="1:27" hidden="1">
      <c r="A23" s="7" t="s">
        <v>7</v>
      </c>
      <c r="B23" s="7">
        <v>10006720</v>
      </c>
      <c r="C23" s="7" t="str">
        <f t="shared" si="0"/>
        <v>FEBRERO10006720Entradas</v>
      </c>
      <c r="D23" s="7" t="s">
        <v>332</v>
      </c>
      <c r="E23" s="3" t="s">
        <v>167</v>
      </c>
      <c r="F23" s="8">
        <v>542340</v>
      </c>
      <c r="G23" s="2" t="s">
        <v>323</v>
      </c>
      <c r="H23" s="11">
        <v>954518.4</v>
      </c>
      <c r="I23" s="11" t="s">
        <v>336</v>
      </c>
      <c r="J23" s="11">
        <v>0</v>
      </c>
      <c r="K23" s="11">
        <v>865190.07</v>
      </c>
      <c r="L23" s="11">
        <v>1.6</v>
      </c>
      <c r="M23" s="11">
        <v>554933.23</v>
      </c>
      <c r="N23" s="11">
        <v>8475.11</v>
      </c>
      <c r="O23" s="11">
        <v>126141.04</v>
      </c>
      <c r="P23" s="11">
        <f t="shared" si="1"/>
        <v>175640.68999999994</v>
      </c>
      <c r="Q23" s="11">
        <v>3804.51</v>
      </c>
      <c r="R23" s="11">
        <v>9355.3700000000008</v>
      </c>
      <c r="S23" s="11">
        <v>85463.56</v>
      </c>
      <c r="T23" s="11" t="s">
        <v>337</v>
      </c>
      <c r="U23" s="11">
        <v>69186.31</v>
      </c>
      <c r="V23" s="11">
        <v>7830.9399999999441</v>
      </c>
      <c r="W23" s="55">
        <f t="shared" si="3"/>
        <v>865190.07</v>
      </c>
      <c r="X23" s="74">
        <f t="shared" si="4"/>
        <v>0.64140036882300322</v>
      </c>
      <c r="Y23" s="74">
        <f t="shared" si="5"/>
        <v>9.7956625877594749E-3</v>
      </c>
      <c r="Z23" s="74">
        <f t="shared" si="6"/>
        <v>0.14579575560778224</v>
      </c>
      <c r="AA23" s="74">
        <f t="shared" si="7"/>
        <v>0.20300821298145499</v>
      </c>
    </row>
    <row r="24" spans="1:27" hidden="1">
      <c r="A24" s="7" t="s">
        <v>7</v>
      </c>
      <c r="B24" s="7">
        <v>10006720</v>
      </c>
      <c r="C24" s="7" t="str">
        <f t="shared" si="0"/>
        <v>FEBRERO10006720Inventario acumulado</v>
      </c>
      <c r="D24" s="7" t="s">
        <v>332</v>
      </c>
      <c r="E24" s="3" t="s">
        <v>325</v>
      </c>
      <c r="F24" s="8">
        <v>829000</v>
      </c>
      <c r="G24" s="2" t="s">
        <v>323</v>
      </c>
      <c r="H24" s="11">
        <v>1459040</v>
      </c>
      <c r="I24" s="11" t="s">
        <v>338</v>
      </c>
      <c r="J24" s="11">
        <v>0</v>
      </c>
      <c r="K24" s="11">
        <v>1359367.82</v>
      </c>
      <c r="L24" s="11">
        <v>1.64</v>
      </c>
      <c r="M24" s="11">
        <v>881210.09</v>
      </c>
      <c r="N24" s="11">
        <v>13207.12</v>
      </c>
      <c r="O24" s="11">
        <v>201637.48</v>
      </c>
      <c r="P24" s="11">
        <f t="shared" si="1"/>
        <v>263313.13000000006</v>
      </c>
      <c r="Q24" s="11">
        <v>4879.6099999999997</v>
      </c>
      <c r="R24" s="11">
        <v>14961.83</v>
      </c>
      <c r="S24" s="11">
        <v>127528.66</v>
      </c>
      <c r="T24" s="11" t="s">
        <v>331</v>
      </c>
      <c r="U24" s="11">
        <v>105115.45</v>
      </c>
      <c r="V24" s="11">
        <v>10827.580000000075</v>
      </c>
      <c r="W24" s="55">
        <f t="shared" si="3"/>
        <v>1359367.82</v>
      </c>
      <c r="X24" s="74">
        <f t="shared" si="4"/>
        <v>0.6482499269403037</v>
      </c>
      <c r="Y24" s="74">
        <f t="shared" si="5"/>
        <v>9.7156338451501664E-3</v>
      </c>
      <c r="Z24" s="74">
        <f t="shared" si="6"/>
        <v>0.14833180323483014</v>
      </c>
      <c r="AA24" s="74">
        <f t="shared" si="7"/>
        <v>0.19370263597971596</v>
      </c>
    </row>
    <row r="25" spans="1:27" hidden="1">
      <c r="A25" s="7" t="s">
        <v>7</v>
      </c>
      <c r="B25" s="7">
        <v>10006720</v>
      </c>
      <c r="C25" s="7" t="str">
        <f t="shared" si="0"/>
        <v>FEBRERO10006720Compensación</v>
      </c>
      <c r="D25" s="7" t="s">
        <v>332</v>
      </c>
      <c r="E25" s="3" t="s">
        <v>117</v>
      </c>
      <c r="F25" s="8">
        <v>459300</v>
      </c>
      <c r="G25" s="2" t="s">
        <v>323</v>
      </c>
      <c r="H25" s="11">
        <v>808368</v>
      </c>
      <c r="I25" s="11" t="s">
        <v>339</v>
      </c>
      <c r="J25" s="11">
        <v>0</v>
      </c>
      <c r="K25" s="11">
        <v>753145.52</v>
      </c>
      <c r="L25" s="11">
        <v>1.64</v>
      </c>
      <c r="M25" s="11">
        <v>488226.53</v>
      </c>
      <c r="N25" s="11">
        <v>7317.29</v>
      </c>
      <c r="O25" s="11">
        <v>111715.43</v>
      </c>
      <c r="P25" s="11">
        <f t="shared" si="1"/>
        <v>145886.27000000005</v>
      </c>
      <c r="Q25" s="11">
        <v>2703.51</v>
      </c>
      <c r="R25" s="11">
        <v>8289.4599999999991</v>
      </c>
      <c r="S25" s="11">
        <v>70656.11</v>
      </c>
      <c r="T25" s="11" t="s">
        <v>340</v>
      </c>
      <c r="U25" s="11">
        <v>58238.27</v>
      </c>
      <c r="V25" s="11">
        <v>5998.9200000000419</v>
      </c>
      <c r="W25" s="55">
        <f t="shared" si="3"/>
        <v>753145.52</v>
      </c>
      <c r="X25" s="74">
        <f t="shared" si="4"/>
        <v>0.64824992917703339</v>
      </c>
      <c r="Y25" s="74">
        <f t="shared" si="5"/>
        <v>9.7156390175433816E-3</v>
      </c>
      <c r="Z25" s="74">
        <f t="shared" si="6"/>
        <v>0.14833179914553563</v>
      </c>
      <c r="AA25" s="74">
        <f t="shared" si="7"/>
        <v>0.19370263265988763</v>
      </c>
    </row>
    <row r="26" spans="1:27" hidden="1">
      <c r="A26" s="7" t="s">
        <v>7</v>
      </c>
      <c r="B26" s="7">
        <v>10006720</v>
      </c>
      <c r="C26" s="7" t="str">
        <f t="shared" si="0"/>
        <v>FEBRERO10006720Inventario final</v>
      </c>
      <c r="D26" s="7" t="s">
        <v>332</v>
      </c>
      <c r="E26" s="3" t="s">
        <v>221</v>
      </c>
      <c r="F26" s="8">
        <v>369700</v>
      </c>
      <c r="G26" s="2" t="s">
        <v>323</v>
      </c>
      <c r="H26" s="11">
        <v>650672</v>
      </c>
      <c r="I26" s="11" t="s">
        <v>341</v>
      </c>
      <c r="J26" s="11">
        <v>0</v>
      </c>
      <c r="K26" s="11">
        <v>606222.30000000005</v>
      </c>
      <c r="L26" s="11">
        <v>1.64</v>
      </c>
      <c r="M26" s="11">
        <v>392983.56</v>
      </c>
      <c r="N26" s="11">
        <v>5889.83</v>
      </c>
      <c r="O26" s="11">
        <v>89922.05</v>
      </c>
      <c r="P26" s="11">
        <f t="shared" si="1"/>
        <v>117426.86000000004</v>
      </c>
      <c r="Q26" s="11">
        <v>2176.1</v>
      </c>
      <c r="R26" s="11">
        <v>6672.37</v>
      </c>
      <c r="S26" s="11">
        <v>56872.55</v>
      </c>
      <c r="T26" s="11" t="s">
        <v>340</v>
      </c>
      <c r="U26" s="11">
        <v>46877.18</v>
      </c>
      <c r="V26" s="11">
        <v>4828.6600000000326</v>
      </c>
      <c r="W26" s="55">
        <f t="shared" si="3"/>
        <v>606222.30000000005</v>
      </c>
      <c r="X26" s="74">
        <f t="shared" si="4"/>
        <v>0.6482499241614833</v>
      </c>
      <c r="Y26" s="74">
        <f t="shared" si="5"/>
        <v>9.7156274191826982E-3</v>
      </c>
      <c r="Z26" s="74">
        <f t="shared" si="6"/>
        <v>0.14833180831520054</v>
      </c>
      <c r="AA26" s="74">
        <f t="shared" si="7"/>
        <v>0.19370264010413349</v>
      </c>
    </row>
    <row r="27" spans="1:27" hidden="1">
      <c r="A27" s="7" t="s">
        <v>6</v>
      </c>
      <c r="B27" s="7">
        <v>10006722</v>
      </c>
      <c r="C27" s="7" t="str">
        <f t="shared" si="0"/>
        <v>ENERO10006722Inventario inicial</v>
      </c>
      <c r="D27" s="7" t="s">
        <v>342</v>
      </c>
      <c r="E27" s="3" t="s">
        <v>322</v>
      </c>
      <c r="F27" s="8">
        <v>120</v>
      </c>
      <c r="G27" s="2" t="s">
        <v>323</v>
      </c>
      <c r="H27" s="11">
        <v>224.4</v>
      </c>
      <c r="I27" s="11">
        <v>-0.37</v>
      </c>
      <c r="J27" s="11"/>
      <c r="K27" s="11">
        <v>224.03</v>
      </c>
      <c r="L27" s="11">
        <v>1.87</v>
      </c>
      <c r="M27" s="11">
        <v>184.53</v>
      </c>
      <c r="N27" s="11">
        <v>2.57</v>
      </c>
      <c r="O27" s="11">
        <v>24.03</v>
      </c>
      <c r="P27" s="11">
        <f t="shared" si="1"/>
        <v>12.900000000000006</v>
      </c>
      <c r="Q27" s="11">
        <v>0.61</v>
      </c>
      <c r="R27" s="11">
        <v>2.37</v>
      </c>
      <c r="S27" s="11">
        <v>4.28</v>
      </c>
      <c r="T27" s="11">
        <v>-0.06</v>
      </c>
      <c r="U27" s="11">
        <v>0.02</v>
      </c>
      <c r="V27" s="11">
        <v>5.6800000000000068</v>
      </c>
      <c r="W27" s="55">
        <f t="shared" si="3"/>
        <v>224.03</v>
      </c>
      <c r="X27" s="74">
        <f t="shared" si="4"/>
        <v>0.82368432799178681</v>
      </c>
      <c r="Y27" s="74">
        <f t="shared" si="5"/>
        <v>1.1471677900281212E-2</v>
      </c>
      <c r="Z27" s="74">
        <f t="shared" si="6"/>
        <v>0.10726242021157881</v>
      </c>
      <c r="AA27" s="74">
        <f t="shared" si="7"/>
        <v>5.758157389635319E-2</v>
      </c>
    </row>
    <row r="28" spans="1:27" hidden="1">
      <c r="A28" s="7" t="s">
        <v>6</v>
      </c>
      <c r="B28" s="7">
        <v>10006722</v>
      </c>
      <c r="C28" s="7" t="str">
        <f t="shared" si="0"/>
        <v>ENERO10006722Revalorización</v>
      </c>
      <c r="D28" s="7" t="s">
        <v>342</v>
      </c>
      <c r="E28" s="3" t="s">
        <v>324</v>
      </c>
      <c r="F28" s="8">
        <v>0</v>
      </c>
      <c r="G28" s="2" t="s">
        <v>323</v>
      </c>
      <c r="H28" s="11">
        <v>0</v>
      </c>
      <c r="I28" s="11">
        <v>0</v>
      </c>
      <c r="J28" s="11"/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f t="shared" si="1"/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55">
        <f t="shared" si="3"/>
        <v>0</v>
      </c>
      <c r="X28" s="74" t="e">
        <f t="shared" si="4"/>
        <v>#DIV/0!</v>
      </c>
      <c r="Y28" s="74" t="e">
        <f t="shared" si="5"/>
        <v>#DIV/0!</v>
      </c>
      <c r="Z28" s="74" t="e">
        <f t="shared" si="6"/>
        <v>#DIV/0!</v>
      </c>
      <c r="AA28" s="74" t="e">
        <f t="shared" si="7"/>
        <v>#DIV/0!</v>
      </c>
    </row>
    <row r="29" spans="1:27" hidden="1">
      <c r="A29" s="7" t="s">
        <v>6</v>
      </c>
      <c r="B29" s="7">
        <v>10006722</v>
      </c>
      <c r="C29" s="7" t="str">
        <f t="shared" si="0"/>
        <v>ENERO10006722Inv. acumulado</v>
      </c>
      <c r="D29" s="7" t="s">
        <v>342</v>
      </c>
      <c r="E29" s="3" t="s">
        <v>333</v>
      </c>
      <c r="F29" s="8">
        <v>120</v>
      </c>
      <c r="G29" s="2" t="s">
        <v>323</v>
      </c>
      <c r="H29" s="11">
        <v>224.4</v>
      </c>
      <c r="I29" s="11">
        <v>-0.37</v>
      </c>
      <c r="J29" s="11"/>
      <c r="K29" s="11">
        <v>224.03</v>
      </c>
      <c r="L29" s="11">
        <v>1.87</v>
      </c>
      <c r="M29" s="11">
        <v>184.53</v>
      </c>
      <c r="N29" s="11">
        <v>2.57</v>
      </c>
      <c r="O29" s="11">
        <v>24.03</v>
      </c>
      <c r="P29" s="11">
        <f t="shared" si="1"/>
        <v>12.900000000000006</v>
      </c>
      <c r="Q29" s="11">
        <v>0.61</v>
      </c>
      <c r="R29" s="11">
        <v>2.37</v>
      </c>
      <c r="S29" s="11">
        <v>4.28</v>
      </c>
      <c r="T29" s="11">
        <v>-0.06</v>
      </c>
      <c r="U29" s="11">
        <v>0.02</v>
      </c>
      <c r="V29" s="11">
        <v>5.6800000000000068</v>
      </c>
      <c r="W29" s="55">
        <f t="shared" si="3"/>
        <v>224.03</v>
      </c>
      <c r="X29" s="74">
        <f t="shared" si="4"/>
        <v>0.82368432799178681</v>
      </c>
      <c r="Y29" s="74">
        <f t="shared" si="5"/>
        <v>1.1471677900281212E-2</v>
      </c>
      <c r="Z29" s="74">
        <f t="shared" si="6"/>
        <v>0.10726242021157881</v>
      </c>
      <c r="AA29" s="74">
        <f t="shared" si="7"/>
        <v>5.758157389635319E-2</v>
      </c>
    </row>
    <row r="30" spans="1:27" hidden="1">
      <c r="A30" s="7" t="s">
        <v>6</v>
      </c>
      <c r="B30" s="7">
        <v>10006722</v>
      </c>
      <c r="C30" s="7" t="str">
        <f t="shared" si="0"/>
        <v>ENERO10006722Inventario final</v>
      </c>
      <c r="D30" s="7" t="s">
        <v>342</v>
      </c>
      <c r="E30" s="3" t="s">
        <v>221</v>
      </c>
      <c r="F30" s="8">
        <v>120</v>
      </c>
      <c r="G30" s="2" t="s">
        <v>323</v>
      </c>
      <c r="H30" s="11">
        <v>224.4</v>
      </c>
      <c r="I30" s="11">
        <v>-0.37</v>
      </c>
      <c r="J30" s="11"/>
      <c r="K30" s="11">
        <v>224.03</v>
      </c>
      <c r="L30" s="11">
        <v>1.87</v>
      </c>
      <c r="M30" s="11">
        <v>184.53</v>
      </c>
      <c r="N30" s="11">
        <v>2.57</v>
      </c>
      <c r="O30" s="11">
        <v>24.03</v>
      </c>
      <c r="P30" s="11">
        <f t="shared" si="1"/>
        <v>12.900000000000006</v>
      </c>
      <c r="Q30" s="11">
        <v>0.61</v>
      </c>
      <c r="R30" s="11">
        <v>2.37</v>
      </c>
      <c r="S30" s="11">
        <v>4.28</v>
      </c>
      <c r="T30" s="11">
        <v>-0.06</v>
      </c>
      <c r="U30" s="11">
        <v>0.02</v>
      </c>
      <c r="V30" s="11">
        <v>5.6800000000000068</v>
      </c>
      <c r="W30" s="55">
        <f t="shared" si="3"/>
        <v>224.03</v>
      </c>
      <c r="X30" s="74">
        <f t="shared" si="4"/>
        <v>0.82368432799178681</v>
      </c>
      <c r="Y30" s="74">
        <f t="shared" si="5"/>
        <v>1.1471677900281212E-2</v>
      </c>
      <c r="Z30" s="74">
        <f t="shared" si="6"/>
        <v>0.10726242021157881</v>
      </c>
      <c r="AA30" s="74">
        <f t="shared" si="7"/>
        <v>5.758157389635319E-2</v>
      </c>
    </row>
    <row r="31" spans="1:27" hidden="1">
      <c r="A31" s="7" t="s">
        <v>7</v>
      </c>
      <c r="B31" s="7">
        <v>10006722</v>
      </c>
      <c r="C31" s="7" t="str">
        <f t="shared" si="0"/>
        <v>FEBRERO10006722Inventario inicial</v>
      </c>
      <c r="D31" s="7" t="s">
        <v>342</v>
      </c>
      <c r="E31" s="3" t="s">
        <v>322</v>
      </c>
      <c r="F31" s="8">
        <v>120</v>
      </c>
      <c r="G31" s="2" t="s">
        <v>323</v>
      </c>
      <c r="H31" s="11">
        <v>224.4</v>
      </c>
      <c r="I31" s="11" t="s">
        <v>343</v>
      </c>
      <c r="J31" s="11">
        <v>0</v>
      </c>
      <c r="K31" s="11">
        <v>224.03</v>
      </c>
      <c r="L31" s="11">
        <v>1.87</v>
      </c>
      <c r="M31" s="11">
        <v>184.53</v>
      </c>
      <c r="N31" s="11">
        <v>2.57</v>
      </c>
      <c r="O31" s="11">
        <v>24.03</v>
      </c>
      <c r="P31" s="11">
        <f t="shared" si="1"/>
        <v>12.900000000000018</v>
      </c>
      <c r="Q31" s="11">
        <v>0.61</v>
      </c>
      <c r="R31" s="11">
        <v>2.37</v>
      </c>
      <c r="S31" s="11">
        <v>4.28</v>
      </c>
      <c r="T31" s="11" t="s">
        <v>344</v>
      </c>
      <c r="U31" s="11">
        <v>3.41</v>
      </c>
      <c r="V31" s="11">
        <v>2.2300000000000182</v>
      </c>
      <c r="W31" s="55">
        <f t="shared" si="3"/>
        <v>224.03</v>
      </c>
      <c r="X31" s="74">
        <f t="shared" si="4"/>
        <v>0.82368432799178681</v>
      </c>
      <c r="Y31" s="74">
        <f t="shared" si="5"/>
        <v>1.1471677900281212E-2</v>
      </c>
      <c r="Z31" s="74">
        <f t="shared" si="6"/>
        <v>0.10726242021157881</v>
      </c>
      <c r="AA31" s="74">
        <f t="shared" si="7"/>
        <v>5.7581573896353246E-2</v>
      </c>
    </row>
    <row r="32" spans="1:27" hidden="1">
      <c r="A32" s="7" t="s">
        <v>7</v>
      </c>
      <c r="B32" s="7">
        <v>10006722</v>
      </c>
      <c r="C32" s="7" t="str">
        <f t="shared" si="0"/>
        <v>FEBRERO10006722Revalorización</v>
      </c>
      <c r="D32" s="7" t="s">
        <v>342</v>
      </c>
      <c r="E32" s="3" t="s">
        <v>324</v>
      </c>
      <c r="F32" s="8">
        <v>0</v>
      </c>
      <c r="G32" s="2" t="s">
        <v>323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f t="shared" si="1"/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55">
        <f t="shared" si="3"/>
        <v>0</v>
      </c>
      <c r="X32" s="74" t="e">
        <f t="shared" si="4"/>
        <v>#DIV/0!</v>
      </c>
      <c r="Y32" s="74" t="e">
        <f t="shared" si="5"/>
        <v>#DIV/0!</v>
      </c>
      <c r="Z32" s="74" t="e">
        <f t="shared" si="6"/>
        <v>#DIV/0!</v>
      </c>
      <c r="AA32" s="74" t="e">
        <f t="shared" si="7"/>
        <v>#DIV/0!</v>
      </c>
    </row>
    <row r="33" spans="1:27" hidden="1">
      <c r="A33" s="7" t="s">
        <v>7</v>
      </c>
      <c r="B33" s="7">
        <v>10006722</v>
      </c>
      <c r="C33" s="7" t="str">
        <f t="shared" si="0"/>
        <v>FEBRERO10006722Inventario acumulado</v>
      </c>
      <c r="D33" s="7" t="s">
        <v>342</v>
      </c>
      <c r="E33" s="3" t="s">
        <v>325</v>
      </c>
      <c r="F33" s="8">
        <v>120</v>
      </c>
      <c r="G33" s="2" t="s">
        <v>323</v>
      </c>
      <c r="H33" s="11">
        <v>224.4</v>
      </c>
      <c r="I33" s="11" t="s">
        <v>343</v>
      </c>
      <c r="J33" s="11">
        <v>0</v>
      </c>
      <c r="K33" s="11">
        <v>224.03</v>
      </c>
      <c r="L33" s="11">
        <v>1.87</v>
      </c>
      <c r="M33" s="11">
        <v>184.53</v>
      </c>
      <c r="N33" s="11">
        <v>2.57</v>
      </c>
      <c r="O33" s="11">
        <v>24.03</v>
      </c>
      <c r="P33" s="11">
        <f t="shared" si="1"/>
        <v>12.900000000000018</v>
      </c>
      <c r="Q33" s="11">
        <v>0.61</v>
      </c>
      <c r="R33" s="11">
        <v>2.37</v>
      </c>
      <c r="S33" s="11">
        <v>4.28</v>
      </c>
      <c r="T33" s="11" t="s">
        <v>344</v>
      </c>
      <c r="U33" s="11">
        <v>3.41</v>
      </c>
      <c r="V33" s="11">
        <v>2.2300000000000182</v>
      </c>
      <c r="W33" s="55">
        <f t="shared" si="3"/>
        <v>224.03</v>
      </c>
      <c r="X33" s="74">
        <f t="shared" si="4"/>
        <v>0.82368432799178681</v>
      </c>
      <c r="Y33" s="74">
        <f t="shared" si="5"/>
        <v>1.1471677900281212E-2</v>
      </c>
      <c r="Z33" s="74">
        <f t="shared" si="6"/>
        <v>0.10726242021157881</v>
      </c>
      <c r="AA33" s="74">
        <f t="shared" si="7"/>
        <v>5.7581573896353246E-2</v>
      </c>
    </row>
    <row r="34" spans="1:27" hidden="1">
      <c r="A34" s="7" t="s">
        <v>7</v>
      </c>
      <c r="B34" s="7">
        <v>10006722</v>
      </c>
      <c r="C34" s="7" t="str">
        <f t="shared" si="0"/>
        <v>FEBRERO10006722Inventario final</v>
      </c>
      <c r="D34" s="7" t="s">
        <v>342</v>
      </c>
      <c r="E34" s="3" t="s">
        <v>221</v>
      </c>
      <c r="F34" s="8">
        <v>120</v>
      </c>
      <c r="G34" s="2" t="s">
        <v>323</v>
      </c>
      <c r="H34" s="11">
        <v>224.4</v>
      </c>
      <c r="I34" s="11" t="s">
        <v>343</v>
      </c>
      <c r="J34" s="11">
        <v>0</v>
      </c>
      <c r="K34" s="11">
        <v>224.03</v>
      </c>
      <c r="L34" s="11">
        <v>1.87</v>
      </c>
      <c r="M34" s="11">
        <v>184.53</v>
      </c>
      <c r="N34" s="11">
        <v>2.57</v>
      </c>
      <c r="O34" s="11">
        <v>24.03</v>
      </c>
      <c r="P34" s="11">
        <f t="shared" si="1"/>
        <v>12.900000000000018</v>
      </c>
      <c r="Q34" s="11">
        <v>0.61</v>
      </c>
      <c r="R34" s="11">
        <v>2.37</v>
      </c>
      <c r="S34" s="11">
        <v>4.28</v>
      </c>
      <c r="T34" s="11" t="s">
        <v>344</v>
      </c>
      <c r="U34" s="11">
        <v>3.41</v>
      </c>
      <c r="V34" s="11">
        <v>2.2300000000000182</v>
      </c>
      <c r="W34" s="55">
        <f t="shared" si="3"/>
        <v>224.03</v>
      </c>
      <c r="X34" s="74">
        <f t="shared" si="4"/>
        <v>0.82368432799178681</v>
      </c>
      <c r="Y34" s="74">
        <f t="shared" si="5"/>
        <v>1.1471677900281212E-2</v>
      </c>
      <c r="Z34" s="74">
        <f t="shared" si="6"/>
        <v>0.10726242021157881</v>
      </c>
      <c r="AA34" s="74">
        <f t="shared" si="7"/>
        <v>5.7581573896353246E-2</v>
      </c>
    </row>
    <row r="35" spans="1:27" hidden="1">
      <c r="A35" s="7" t="s">
        <v>6</v>
      </c>
      <c r="B35" s="7">
        <v>10007969</v>
      </c>
      <c r="C35" s="7" t="str">
        <f t="shared" si="0"/>
        <v>ENERO10007969Inventario inicial</v>
      </c>
      <c r="D35" s="4" t="s">
        <v>38</v>
      </c>
      <c r="E35" s="3" t="s">
        <v>322</v>
      </c>
      <c r="F35" s="8">
        <v>33140</v>
      </c>
      <c r="G35" s="2" t="s">
        <v>323</v>
      </c>
      <c r="H35" s="11">
        <v>66611.399999999994</v>
      </c>
      <c r="I35" s="11">
        <v>-3356.06</v>
      </c>
      <c r="J35" s="11"/>
      <c r="K35" s="11">
        <v>63255.34</v>
      </c>
      <c r="L35" s="11">
        <v>1.91</v>
      </c>
      <c r="M35" s="11">
        <v>45896.74</v>
      </c>
      <c r="N35" s="11">
        <v>553.85</v>
      </c>
      <c r="O35" s="11">
        <v>7946.71</v>
      </c>
      <c r="P35" s="11">
        <f t="shared" si="1"/>
        <v>8858.0399999999972</v>
      </c>
      <c r="Q35" s="11">
        <v>164.9</v>
      </c>
      <c r="R35" s="11">
        <v>915.37</v>
      </c>
      <c r="S35" s="11">
        <v>3681.16</v>
      </c>
      <c r="T35" s="11">
        <v>3942.02</v>
      </c>
      <c r="U35" s="11"/>
      <c r="V35" s="11">
        <v>154.58999999999651</v>
      </c>
      <c r="W35" s="55">
        <f t="shared" si="3"/>
        <v>63255.34</v>
      </c>
      <c r="X35" s="74">
        <f t="shared" si="4"/>
        <v>0.72557889974190326</v>
      </c>
      <c r="Y35" s="74">
        <f t="shared" si="5"/>
        <v>8.7557825157528208E-3</v>
      </c>
      <c r="Z35" s="74">
        <f t="shared" si="6"/>
        <v>0.12562907732374848</v>
      </c>
      <c r="AA35" s="74">
        <f t="shared" si="7"/>
        <v>0.14003624041859544</v>
      </c>
    </row>
    <row r="36" spans="1:27" hidden="1">
      <c r="A36" s="7" t="s">
        <v>6</v>
      </c>
      <c r="B36" s="7">
        <v>10007969</v>
      </c>
      <c r="C36" s="7" t="str">
        <f t="shared" si="0"/>
        <v>ENERO10007969Revalorización</v>
      </c>
      <c r="D36" s="4" t="s">
        <v>38</v>
      </c>
      <c r="E36" s="3" t="s">
        <v>324</v>
      </c>
      <c r="F36" s="9">
        <v>0</v>
      </c>
      <c r="G36" s="3" t="s">
        <v>323</v>
      </c>
      <c r="H36" s="12">
        <v>1325.6</v>
      </c>
      <c r="I36" s="12">
        <v>-1325.6</v>
      </c>
      <c r="J36" s="13"/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f t="shared" si="1"/>
        <v>0</v>
      </c>
      <c r="Q36" s="12">
        <v>0</v>
      </c>
      <c r="R36" s="12">
        <v>0</v>
      </c>
      <c r="S36" s="12">
        <v>0</v>
      </c>
      <c r="T36" s="14">
        <v>0</v>
      </c>
      <c r="U36" s="11"/>
      <c r="V36" s="11">
        <v>0</v>
      </c>
      <c r="W36" s="55">
        <f t="shared" si="3"/>
        <v>0</v>
      </c>
      <c r="X36" s="74" t="e">
        <f t="shared" si="4"/>
        <v>#DIV/0!</v>
      </c>
      <c r="Y36" s="74" t="e">
        <f t="shared" si="5"/>
        <v>#DIV/0!</v>
      </c>
      <c r="Z36" s="74" t="e">
        <f t="shared" si="6"/>
        <v>#DIV/0!</v>
      </c>
      <c r="AA36" s="74" t="e">
        <f t="shared" si="7"/>
        <v>#DIV/0!</v>
      </c>
    </row>
    <row r="37" spans="1:27" hidden="1">
      <c r="A37" s="7" t="s">
        <v>6</v>
      </c>
      <c r="B37" s="7">
        <v>10007969</v>
      </c>
      <c r="C37" s="7" t="str">
        <f t="shared" ref="C37:C68" si="8">A37&amp;B37&amp;E37</f>
        <v>ENERO10007969Entradas</v>
      </c>
      <c r="D37" s="4" t="s">
        <v>38</v>
      </c>
      <c r="E37" s="3" t="s">
        <v>167</v>
      </c>
      <c r="F37" s="9">
        <v>31840</v>
      </c>
      <c r="G37" s="3" t="s">
        <v>323</v>
      </c>
      <c r="H37" s="12">
        <v>65272</v>
      </c>
      <c r="I37" s="12">
        <v>-21679.65</v>
      </c>
      <c r="J37" s="13"/>
      <c r="K37" s="12">
        <v>43592.35</v>
      </c>
      <c r="L37" s="12">
        <v>1.37</v>
      </c>
      <c r="M37" s="12">
        <v>36713.730000000003</v>
      </c>
      <c r="N37" s="12">
        <v>541.57000000000005</v>
      </c>
      <c r="O37" s="12">
        <v>6527.17</v>
      </c>
      <c r="P37" s="12">
        <f t="shared" ref="P37:P68" si="9">SUM(Q37:V37)</f>
        <v>-190.12000000000262</v>
      </c>
      <c r="Q37" s="12">
        <v>0</v>
      </c>
      <c r="R37" s="12">
        <v>0</v>
      </c>
      <c r="S37" s="12">
        <v>0</v>
      </c>
      <c r="T37" s="14">
        <v>0</v>
      </c>
      <c r="U37" s="11"/>
      <c r="V37" s="11">
        <v>-190.12000000000262</v>
      </c>
      <c r="W37" s="55">
        <f t="shared" si="3"/>
        <v>43592.35</v>
      </c>
      <c r="X37" s="74">
        <f t="shared" si="4"/>
        <v>0.84220579987084898</v>
      </c>
      <c r="Y37" s="74">
        <f t="shared" si="5"/>
        <v>1.2423510088352659E-2</v>
      </c>
      <c r="Z37" s="74">
        <f t="shared" si="6"/>
        <v>0.14973200573036324</v>
      </c>
      <c r="AA37" s="74">
        <f t="shared" si="7"/>
        <v>-4.3613156895648576E-3</v>
      </c>
    </row>
    <row r="38" spans="1:27" hidden="1">
      <c r="A38" s="7" t="s">
        <v>6</v>
      </c>
      <c r="B38" s="7">
        <v>10007969</v>
      </c>
      <c r="C38" s="7" t="str">
        <f t="shared" si="8"/>
        <v>ENERO10007969Inv. acumulado</v>
      </c>
      <c r="D38" s="4" t="s">
        <v>38</v>
      </c>
      <c r="E38" s="3" t="s">
        <v>333</v>
      </c>
      <c r="F38" s="9">
        <v>64980</v>
      </c>
      <c r="G38" s="3" t="s">
        <v>323</v>
      </c>
      <c r="H38" s="12">
        <v>133209</v>
      </c>
      <c r="I38" s="12">
        <v>-26361.31</v>
      </c>
      <c r="J38" s="13"/>
      <c r="K38" s="12">
        <v>106847.69</v>
      </c>
      <c r="L38" s="12">
        <v>1.64</v>
      </c>
      <c r="M38" s="12">
        <v>82610.47</v>
      </c>
      <c r="N38" s="12">
        <v>1095.42</v>
      </c>
      <c r="O38" s="12">
        <v>14473.88</v>
      </c>
      <c r="P38" s="12">
        <f t="shared" si="9"/>
        <v>8667.9200000000019</v>
      </c>
      <c r="Q38" s="12">
        <v>164.9</v>
      </c>
      <c r="R38" s="12">
        <v>915.37</v>
      </c>
      <c r="S38" s="12">
        <v>3681.16</v>
      </c>
      <c r="T38" s="14">
        <v>3942.02</v>
      </c>
      <c r="U38" s="11"/>
      <c r="V38" s="11">
        <v>-35.529999999998836</v>
      </c>
      <c r="W38" s="55">
        <f t="shared" si="3"/>
        <v>106847.69</v>
      </c>
      <c r="X38" s="74">
        <f t="shared" si="4"/>
        <v>0.77316102949909349</v>
      </c>
      <c r="Y38" s="74">
        <f t="shared" si="5"/>
        <v>1.0252163617201271E-2</v>
      </c>
      <c r="Z38" s="74">
        <f t="shared" si="6"/>
        <v>0.13546273204409004</v>
      </c>
      <c r="AA38" s="74">
        <f t="shared" si="7"/>
        <v>8.1124074839615173E-2</v>
      </c>
    </row>
    <row r="39" spans="1:27" hidden="1">
      <c r="A39" s="7" t="s">
        <v>6</v>
      </c>
      <c r="B39" s="7">
        <v>10007969</v>
      </c>
      <c r="C39" s="7" t="str">
        <f t="shared" si="8"/>
        <v>ENERO10007969Compensación</v>
      </c>
      <c r="D39" s="4" t="s">
        <v>38</v>
      </c>
      <c r="E39" s="3" t="s">
        <v>117</v>
      </c>
      <c r="F39" s="9">
        <v>24020</v>
      </c>
      <c r="G39" s="3" t="s">
        <v>323</v>
      </c>
      <c r="H39" s="12">
        <v>49241</v>
      </c>
      <c r="I39" s="12">
        <v>-9744.52</v>
      </c>
      <c r="J39" s="13"/>
      <c r="K39" s="12">
        <v>39496.480000000003</v>
      </c>
      <c r="L39" s="12">
        <v>1.64</v>
      </c>
      <c r="M39" s="12">
        <v>30537.14</v>
      </c>
      <c r="N39" s="12">
        <v>404.93</v>
      </c>
      <c r="O39" s="12">
        <v>5350.3</v>
      </c>
      <c r="P39" s="12">
        <f t="shared" si="9"/>
        <v>3204.1100000000024</v>
      </c>
      <c r="Q39" s="12">
        <v>60.95</v>
      </c>
      <c r="R39" s="12">
        <v>338.37</v>
      </c>
      <c r="S39" s="12">
        <v>1360.75</v>
      </c>
      <c r="T39" s="14">
        <v>1457.17</v>
      </c>
      <c r="U39" s="11"/>
      <c r="V39" s="11">
        <v>-13.129999999997381</v>
      </c>
      <c r="W39" s="55">
        <f t="shared" si="3"/>
        <v>39496.480000000003</v>
      </c>
      <c r="X39" s="74">
        <f t="shared" si="4"/>
        <v>0.77316105131393975</v>
      </c>
      <c r="Y39" s="74">
        <f t="shared" si="5"/>
        <v>1.0252306028284039E-2</v>
      </c>
      <c r="Z39" s="74">
        <f t="shared" si="6"/>
        <v>0.13546270452455508</v>
      </c>
      <c r="AA39" s="74">
        <f t="shared" si="7"/>
        <v>8.1123938133221038E-2</v>
      </c>
    </row>
    <row r="40" spans="1:27" hidden="1">
      <c r="A40" s="7" t="s">
        <v>6</v>
      </c>
      <c r="B40" s="7">
        <v>10007969</v>
      </c>
      <c r="C40" s="7" t="str">
        <f t="shared" si="8"/>
        <v>ENERO10007969Inventario final</v>
      </c>
      <c r="D40" s="4" t="s">
        <v>38</v>
      </c>
      <c r="E40" s="3" t="s">
        <v>221</v>
      </c>
      <c r="F40" s="9">
        <v>40960</v>
      </c>
      <c r="G40" s="3" t="s">
        <v>323</v>
      </c>
      <c r="H40" s="12">
        <v>83968</v>
      </c>
      <c r="I40" s="12">
        <v>-16616.79</v>
      </c>
      <c r="J40" s="13"/>
      <c r="K40" s="12">
        <v>67351.210000000006</v>
      </c>
      <c r="L40" s="12">
        <v>1.64</v>
      </c>
      <c r="M40" s="12">
        <v>52073.33</v>
      </c>
      <c r="N40" s="12">
        <v>690.49</v>
      </c>
      <c r="O40" s="12">
        <v>9123.58</v>
      </c>
      <c r="P40" s="12">
        <f t="shared" si="9"/>
        <v>5463.8100000000049</v>
      </c>
      <c r="Q40" s="12">
        <v>103.95</v>
      </c>
      <c r="R40" s="12">
        <v>577</v>
      </c>
      <c r="S40" s="12">
        <v>2320.41</v>
      </c>
      <c r="T40" s="14">
        <v>2484.85</v>
      </c>
      <c r="U40" s="11"/>
      <c r="V40" s="11">
        <v>-22.399999999994179</v>
      </c>
      <c r="W40" s="55">
        <f t="shared" si="3"/>
        <v>67351.210000000006</v>
      </c>
      <c r="X40" s="74">
        <f t="shared" si="4"/>
        <v>0.7731610167063071</v>
      </c>
      <c r="Y40" s="74">
        <f t="shared" si="5"/>
        <v>1.0252080103683362E-2</v>
      </c>
      <c r="Z40" s="74">
        <f t="shared" si="6"/>
        <v>0.1354627481822524</v>
      </c>
      <c r="AA40" s="74">
        <f t="shared" si="7"/>
        <v>8.1124155007757159E-2</v>
      </c>
    </row>
    <row r="41" spans="1:27" hidden="1">
      <c r="A41" s="7" t="s">
        <v>7</v>
      </c>
      <c r="B41" s="7">
        <v>10007969</v>
      </c>
      <c r="C41" s="7" t="str">
        <f t="shared" si="8"/>
        <v>FEBRERO10007969Inventario inicial</v>
      </c>
      <c r="D41" s="4" t="s">
        <v>38</v>
      </c>
      <c r="E41" s="3" t="s">
        <v>322</v>
      </c>
      <c r="F41" s="8">
        <v>40960</v>
      </c>
      <c r="G41" s="2" t="s">
        <v>323</v>
      </c>
      <c r="H41" s="11">
        <v>83968</v>
      </c>
      <c r="I41" s="11" t="s">
        <v>345</v>
      </c>
      <c r="J41" s="11"/>
      <c r="K41" s="11">
        <v>67351.210000000006</v>
      </c>
      <c r="L41" s="11">
        <v>1.64</v>
      </c>
      <c r="M41" s="11">
        <v>52073.33</v>
      </c>
      <c r="N41" s="11">
        <v>690.49</v>
      </c>
      <c r="O41" s="11">
        <v>9123.58</v>
      </c>
      <c r="P41" s="11">
        <f t="shared" si="9"/>
        <v>5463.8100000000104</v>
      </c>
      <c r="Q41" s="11">
        <v>103.95</v>
      </c>
      <c r="R41" s="11">
        <v>577</v>
      </c>
      <c r="S41" s="11">
        <v>2320.41</v>
      </c>
      <c r="T41" s="11">
        <v>0.01</v>
      </c>
      <c r="U41" s="11">
        <v>2484.85</v>
      </c>
      <c r="V41" s="11">
        <v>-22.409999999988941</v>
      </c>
      <c r="W41" s="55">
        <f t="shared" si="3"/>
        <v>67351.210000000006</v>
      </c>
      <c r="X41" s="74">
        <f t="shared" si="4"/>
        <v>0.7731610167063071</v>
      </c>
      <c r="Y41" s="74">
        <f t="shared" si="5"/>
        <v>1.0252080103683362E-2</v>
      </c>
      <c r="Z41" s="74">
        <f t="shared" si="6"/>
        <v>0.1354627481822524</v>
      </c>
      <c r="AA41" s="74">
        <f t="shared" si="7"/>
        <v>8.1124155007757243E-2</v>
      </c>
    </row>
    <row r="42" spans="1:27" hidden="1">
      <c r="A42" s="7" t="s">
        <v>7</v>
      </c>
      <c r="B42" s="7">
        <v>10007969</v>
      </c>
      <c r="C42" s="7" t="str">
        <f t="shared" si="8"/>
        <v>FEBRERO10007969Revalorización</v>
      </c>
      <c r="D42" s="4" t="s">
        <v>38</v>
      </c>
      <c r="E42" s="3" t="s">
        <v>324</v>
      </c>
      <c r="F42" s="8">
        <v>0</v>
      </c>
      <c r="G42" s="2" t="s">
        <v>323</v>
      </c>
      <c r="H42" s="11" t="s">
        <v>346</v>
      </c>
      <c r="I42" s="11">
        <v>5734.4</v>
      </c>
      <c r="J42" s="11"/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f t="shared" si="9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55">
        <f t="shared" si="3"/>
        <v>0</v>
      </c>
      <c r="X42" s="74" t="e">
        <f t="shared" si="4"/>
        <v>#DIV/0!</v>
      </c>
      <c r="Y42" s="74" t="e">
        <f t="shared" si="5"/>
        <v>#DIV/0!</v>
      </c>
      <c r="Z42" s="74" t="e">
        <f t="shared" si="6"/>
        <v>#DIV/0!</v>
      </c>
      <c r="AA42" s="74" t="e">
        <f t="shared" si="7"/>
        <v>#DIV/0!</v>
      </c>
    </row>
    <row r="43" spans="1:27" hidden="1">
      <c r="A43" s="7" t="s">
        <v>7</v>
      </c>
      <c r="B43" s="7">
        <v>10007969</v>
      </c>
      <c r="C43" s="7" t="str">
        <f t="shared" si="8"/>
        <v>FEBRERO10007969Entradas</v>
      </c>
      <c r="D43" s="4" t="s">
        <v>38</v>
      </c>
      <c r="E43" s="3" t="s">
        <v>167</v>
      </c>
      <c r="F43" s="8">
        <v>52860</v>
      </c>
      <c r="G43" s="2" t="s">
        <v>323</v>
      </c>
      <c r="H43" s="11">
        <v>100962.6</v>
      </c>
      <c r="I43" s="11" t="s">
        <v>347</v>
      </c>
      <c r="J43" s="11"/>
      <c r="K43" s="11">
        <v>63741.34</v>
      </c>
      <c r="L43" s="11">
        <v>1.21</v>
      </c>
      <c r="M43" s="11">
        <v>53960.46</v>
      </c>
      <c r="N43" s="11">
        <v>874.71</v>
      </c>
      <c r="O43" s="11">
        <v>10836.3</v>
      </c>
      <c r="P43" s="11">
        <f t="shared" si="9"/>
        <v>-1930.1300000000047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-1930.1300000000047</v>
      </c>
      <c r="W43" s="55">
        <f t="shared" si="3"/>
        <v>63741.34</v>
      </c>
      <c r="X43" s="74">
        <f t="shared" si="4"/>
        <v>0.84655358673036996</v>
      </c>
      <c r="Y43" s="74">
        <f t="shared" si="5"/>
        <v>1.372280532539793E-2</v>
      </c>
      <c r="Z43" s="74">
        <f t="shared" si="6"/>
        <v>0.17000427038402394</v>
      </c>
      <c r="AA43" s="74">
        <f t="shared" si="7"/>
        <v>-3.0280662439791897E-2</v>
      </c>
    </row>
    <row r="44" spans="1:27" hidden="1">
      <c r="A44" s="7" t="s">
        <v>7</v>
      </c>
      <c r="B44" s="7">
        <v>10007969</v>
      </c>
      <c r="C44" s="7" t="str">
        <f t="shared" si="8"/>
        <v>FEBRERO10007969Inventario acumulado</v>
      </c>
      <c r="D44" s="4" t="s">
        <v>38</v>
      </c>
      <c r="E44" s="3" t="s">
        <v>325</v>
      </c>
      <c r="F44" s="8">
        <v>93820</v>
      </c>
      <c r="G44" s="2" t="s">
        <v>323</v>
      </c>
      <c r="H44" s="11">
        <v>179196.2</v>
      </c>
      <c r="I44" s="11" t="s">
        <v>348</v>
      </c>
      <c r="J44" s="11"/>
      <c r="K44" s="11">
        <v>131092.54999999999</v>
      </c>
      <c r="L44" s="11">
        <v>1.4</v>
      </c>
      <c r="M44" s="11">
        <v>106033.79</v>
      </c>
      <c r="N44" s="11">
        <v>1565.2</v>
      </c>
      <c r="O44" s="11">
        <v>19959.88</v>
      </c>
      <c r="P44" s="11">
        <f t="shared" si="9"/>
        <v>3533.6799999999912</v>
      </c>
      <c r="Q44" s="11">
        <v>103.95</v>
      </c>
      <c r="R44" s="11">
        <v>577</v>
      </c>
      <c r="S44" s="11">
        <v>2320.41</v>
      </c>
      <c r="T44" s="11">
        <v>0.01</v>
      </c>
      <c r="U44" s="11">
        <v>2484.85</v>
      </c>
      <c r="V44" s="11">
        <v>-1952.5400000000081</v>
      </c>
      <c r="W44" s="55">
        <f t="shared" si="3"/>
        <v>131092.54999999999</v>
      </c>
      <c r="X44" s="74">
        <f t="shared" si="4"/>
        <v>0.80884680326990366</v>
      </c>
      <c r="Y44" s="74">
        <f t="shared" si="5"/>
        <v>1.193965637253986E-2</v>
      </c>
      <c r="Z44" s="74">
        <f t="shared" si="6"/>
        <v>0.15225792770069696</v>
      </c>
      <c r="AA44" s="74">
        <f t="shared" si="7"/>
        <v>2.6955612656859536E-2</v>
      </c>
    </row>
    <row r="45" spans="1:27" hidden="1">
      <c r="A45" s="7" t="s">
        <v>7</v>
      </c>
      <c r="B45" s="7">
        <v>10007969</v>
      </c>
      <c r="C45" s="7" t="str">
        <f t="shared" si="8"/>
        <v>FEBRERO10007969Compensación</v>
      </c>
      <c r="D45" s="4" t="s">
        <v>38</v>
      </c>
      <c r="E45" s="3" t="s">
        <v>117</v>
      </c>
      <c r="F45" s="8">
        <v>33140</v>
      </c>
      <c r="G45" s="2" t="s">
        <v>323</v>
      </c>
      <c r="H45" s="11">
        <v>63297.4</v>
      </c>
      <c r="I45" s="11" t="s">
        <v>349</v>
      </c>
      <c r="J45" s="11"/>
      <c r="K45" s="11">
        <v>46305.77</v>
      </c>
      <c r="L45" s="11">
        <v>1.4</v>
      </c>
      <c r="M45" s="11">
        <v>37454.269999999997</v>
      </c>
      <c r="N45" s="11">
        <v>552.88</v>
      </c>
      <c r="O45" s="11">
        <v>7050.42</v>
      </c>
      <c r="P45" s="11">
        <f t="shared" si="9"/>
        <v>1248.200000000005</v>
      </c>
      <c r="Q45" s="11">
        <v>36.72</v>
      </c>
      <c r="R45" s="11">
        <v>203.81</v>
      </c>
      <c r="S45" s="11">
        <v>819.64</v>
      </c>
      <c r="T45" s="11">
        <v>0</v>
      </c>
      <c r="U45" s="11">
        <v>877.72</v>
      </c>
      <c r="V45" s="11">
        <v>-689.68999999999505</v>
      </c>
      <c r="W45" s="55">
        <f t="shared" si="3"/>
        <v>46305.77</v>
      </c>
      <c r="X45" s="74">
        <f t="shared" si="4"/>
        <v>0.80884671607879532</v>
      </c>
      <c r="Y45" s="74">
        <f t="shared" si="5"/>
        <v>1.1939764742061303E-2</v>
      </c>
      <c r="Z45" s="74">
        <f t="shared" si="6"/>
        <v>0.15225791515830533</v>
      </c>
      <c r="AA45" s="74">
        <f t="shared" si="7"/>
        <v>2.6955604020838117E-2</v>
      </c>
    </row>
    <row r="46" spans="1:27" hidden="1">
      <c r="A46" s="7" t="s">
        <v>7</v>
      </c>
      <c r="B46" s="7">
        <v>10007969</v>
      </c>
      <c r="C46" s="7" t="str">
        <f t="shared" si="8"/>
        <v>FEBRERO10007969Inventario final</v>
      </c>
      <c r="D46" s="4" t="s">
        <v>38</v>
      </c>
      <c r="E46" s="3" t="s">
        <v>221</v>
      </c>
      <c r="F46" s="8">
        <v>60680</v>
      </c>
      <c r="G46" s="2" t="s">
        <v>323</v>
      </c>
      <c r="H46" s="11">
        <v>115898.8</v>
      </c>
      <c r="I46" s="11" t="s">
        <v>350</v>
      </c>
      <c r="J46" s="11"/>
      <c r="K46" s="11">
        <v>84786.78</v>
      </c>
      <c r="L46" s="11">
        <v>1.4</v>
      </c>
      <c r="M46" s="11">
        <v>68579.520000000004</v>
      </c>
      <c r="N46" s="11">
        <v>1012.32</v>
      </c>
      <c r="O46" s="11">
        <v>12909.46</v>
      </c>
      <c r="P46" s="11">
        <f t="shared" si="9"/>
        <v>2285.4799999999796</v>
      </c>
      <c r="Q46" s="11">
        <v>67.23</v>
      </c>
      <c r="R46" s="11">
        <v>373.19</v>
      </c>
      <c r="S46" s="11">
        <v>1500.77</v>
      </c>
      <c r="T46" s="11">
        <v>0.01</v>
      </c>
      <c r="U46" s="11">
        <v>1607.13</v>
      </c>
      <c r="V46" s="11">
        <v>-1262.8500000000204</v>
      </c>
      <c r="W46" s="55">
        <f t="shared" si="3"/>
        <v>84786.78</v>
      </c>
      <c r="X46" s="74">
        <f t="shared" si="4"/>
        <v>0.8088468508887825</v>
      </c>
      <c r="Y46" s="74">
        <f t="shared" si="5"/>
        <v>1.1939597187203006E-2</v>
      </c>
      <c r="Z46" s="74">
        <f t="shared" si="6"/>
        <v>0.15225793455064573</v>
      </c>
      <c r="AA46" s="74">
        <f t="shared" si="7"/>
        <v>2.695561737336858E-2</v>
      </c>
    </row>
    <row r="47" spans="1:27" hidden="1">
      <c r="A47" s="7" t="s">
        <v>6</v>
      </c>
      <c r="B47" s="7">
        <v>10005721</v>
      </c>
      <c r="C47" s="7" t="str">
        <f t="shared" si="8"/>
        <v>ENERO10005721Inventario inicial</v>
      </c>
      <c r="D47" s="7" t="s">
        <v>351</v>
      </c>
      <c r="E47" s="3" t="s">
        <v>322</v>
      </c>
      <c r="F47" s="8">
        <v>130100</v>
      </c>
      <c r="G47" s="2" t="s">
        <v>323</v>
      </c>
      <c r="H47" s="11">
        <v>291424</v>
      </c>
      <c r="I47" s="11">
        <v>-57699.72</v>
      </c>
      <c r="J47" s="11"/>
      <c r="K47" s="11">
        <v>233724.28</v>
      </c>
      <c r="L47" s="11">
        <v>1.8</v>
      </c>
      <c r="M47" s="11">
        <v>143788.37</v>
      </c>
      <c r="N47" s="11">
        <v>1889.83</v>
      </c>
      <c r="O47" s="11">
        <v>52372.25</v>
      </c>
      <c r="P47" s="11">
        <f t="shared" si="9"/>
        <v>35673.830000000024</v>
      </c>
      <c r="Q47" s="11">
        <v>302.23</v>
      </c>
      <c r="R47" s="11">
        <v>3651.9</v>
      </c>
      <c r="S47" s="11">
        <v>15184.88</v>
      </c>
      <c r="T47" s="11">
        <v>15872.2</v>
      </c>
      <c r="U47" s="11"/>
      <c r="V47" s="11">
        <v>662.62000000002445</v>
      </c>
      <c r="W47" s="55">
        <f t="shared" si="3"/>
        <v>233724.28</v>
      </c>
      <c r="X47" s="74">
        <f t="shared" si="4"/>
        <v>0.61520510406535422</v>
      </c>
      <c r="Y47" s="74">
        <f t="shared" si="5"/>
        <v>8.0857239136644249E-3</v>
      </c>
      <c r="Z47" s="74">
        <f t="shared" si="6"/>
        <v>0.22407706208357986</v>
      </c>
      <c r="AA47" s="74">
        <f t="shared" si="7"/>
        <v>0.15263210993740156</v>
      </c>
    </row>
    <row r="48" spans="1:27" hidden="1">
      <c r="A48" s="7" t="s">
        <v>6</v>
      </c>
      <c r="B48" s="7">
        <v>10005721</v>
      </c>
      <c r="C48" s="7" t="str">
        <f t="shared" si="8"/>
        <v>ENERO10005721Revalorización</v>
      </c>
      <c r="D48" s="7" t="s">
        <v>351</v>
      </c>
      <c r="E48" s="3" t="s">
        <v>324</v>
      </c>
      <c r="F48" s="8">
        <v>0</v>
      </c>
      <c r="G48" s="2" t="s">
        <v>323</v>
      </c>
      <c r="H48" s="11">
        <v>0</v>
      </c>
      <c r="I48" s="11">
        <v>0</v>
      </c>
      <c r="J48" s="11"/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f t="shared" si="9"/>
        <v>0</v>
      </c>
      <c r="Q48" s="11">
        <v>0</v>
      </c>
      <c r="R48" s="11">
        <v>0</v>
      </c>
      <c r="S48" s="11">
        <v>0</v>
      </c>
      <c r="T48" s="11">
        <v>0</v>
      </c>
      <c r="U48" s="11"/>
      <c r="V48" s="11">
        <v>0</v>
      </c>
      <c r="W48" s="55">
        <f t="shared" si="3"/>
        <v>0</v>
      </c>
      <c r="X48" s="74" t="e">
        <f t="shared" si="4"/>
        <v>#DIV/0!</v>
      </c>
      <c r="Y48" s="74" t="e">
        <f t="shared" si="5"/>
        <v>#DIV/0!</v>
      </c>
      <c r="Z48" s="74" t="e">
        <f t="shared" si="6"/>
        <v>#DIV/0!</v>
      </c>
      <c r="AA48" s="74" t="e">
        <f t="shared" si="7"/>
        <v>#DIV/0!</v>
      </c>
    </row>
    <row r="49" spans="1:27" hidden="1">
      <c r="A49" s="7" t="s">
        <v>6</v>
      </c>
      <c r="B49" s="7">
        <v>10005721</v>
      </c>
      <c r="C49" s="7" t="str">
        <f t="shared" si="8"/>
        <v>ENERO10005721Entradas</v>
      </c>
      <c r="D49" s="7" t="s">
        <v>351</v>
      </c>
      <c r="E49" s="3" t="s">
        <v>167</v>
      </c>
      <c r="F49" s="8">
        <v>375660</v>
      </c>
      <c r="G49" s="2" t="s">
        <v>323</v>
      </c>
      <c r="H49" s="11">
        <v>841478.4</v>
      </c>
      <c r="I49" s="11">
        <v>-133757.06</v>
      </c>
      <c r="J49" s="11"/>
      <c r="K49" s="11">
        <v>707721.34</v>
      </c>
      <c r="L49" s="11">
        <v>1.88</v>
      </c>
      <c r="M49" s="11">
        <v>427211.12</v>
      </c>
      <c r="N49" s="11">
        <v>7123.62</v>
      </c>
      <c r="O49" s="11">
        <v>154762.57</v>
      </c>
      <c r="P49" s="11">
        <f t="shared" si="9"/>
        <v>118624.0299999999</v>
      </c>
      <c r="Q49" s="11">
        <v>843.73</v>
      </c>
      <c r="R49" s="11">
        <v>6457.97</v>
      </c>
      <c r="S49" s="11">
        <v>59002.66</v>
      </c>
      <c r="T49" s="11">
        <v>47757.66</v>
      </c>
      <c r="U49" s="11"/>
      <c r="V49" s="11">
        <v>4562.0099999998929</v>
      </c>
      <c r="W49" s="55">
        <f t="shared" si="3"/>
        <v>707721.34</v>
      </c>
      <c r="X49" s="74">
        <f t="shared" si="4"/>
        <v>0.60364312315352819</v>
      </c>
      <c r="Y49" s="74">
        <f t="shared" si="5"/>
        <v>1.0065571853464246E-2</v>
      </c>
      <c r="Z49" s="74">
        <f t="shared" si="6"/>
        <v>0.21867726922011424</v>
      </c>
      <c r="AA49" s="74">
        <f t="shared" si="7"/>
        <v>0.16761403577289319</v>
      </c>
    </row>
    <row r="50" spans="1:27" hidden="1">
      <c r="A50" s="7" t="s">
        <v>6</v>
      </c>
      <c r="B50" s="7">
        <v>10005721</v>
      </c>
      <c r="C50" s="7" t="str">
        <f t="shared" si="8"/>
        <v>ENERO10005721Inv. acumulado</v>
      </c>
      <c r="D50" s="7" t="s">
        <v>351</v>
      </c>
      <c r="E50" s="3" t="s">
        <v>333</v>
      </c>
      <c r="F50" s="8">
        <v>505760</v>
      </c>
      <c r="G50" s="2" t="s">
        <v>323</v>
      </c>
      <c r="H50" s="11">
        <v>1132902.3999999999</v>
      </c>
      <c r="I50" s="11">
        <v>-191456.78</v>
      </c>
      <c r="J50" s="11"/>
      <c r="K50" s="11">
        <v>941445.62</v>
      </c>
      <c r="L50" s="11">
        <v>1.86</v>
      </c>
      <c r="M50" s="11">
        <v>570999.49</v>
      </c>
      <c r="N50" s="11">
        <v>9013.4500000000007</v>
      </c>
      <c r="O50" s="11">
        <v>207134.82</v>
      </c>
      <c r="P50" s="11">
        <f t="shared" si="9"/>
        <v>154297.85999999999</v>
      </c>
      <c r="Q50" s="11">
        <v>1145.96</v>
      </c>
      <c r="R50" s="11">
        <v>10109.870000000001</v>
      </c>
      <c r="S50" s="11">
        <v>74187.539999999994</v>
      </c>
      <c r="T50" s="11">
        <v>63629.86</v>
      </c>
      <c r="U50" s="11"/>
      <c r="V50" s="11">
        <v>5224.6300000000047</v>
      </c>
      <c r="W50" s="55">
        <f t="shared" si="3"/>
        <v>941445.62</v>
      </c>
      <c r="X50" s="74">
        <f t="shared" si="4"/>
        <v>0.60651351269763198</v>
      </c>
      <c r="Y50" s="74">
        <f t="shared" si="5"/>
        <v>9.574052721175761E-3</v>
      </c>
      <c r="Z50" s="74">
        <f t="shared" si="6"/>
        <v>0.22001782747685417</v>
      </c>
      <c r="AA50" s="74">
        <f t="shared" si="7"/>
        <v>0.16389460710433809</v>
      </c>
    </row>
    <row r="51" spans="1:27" hidden="1">
      <c r="A51" s="7" t="s">
        <v>6</v>
      </c>
      <c r="B51" s="7">
        <v>10005721</v>
      </c>
      <c r="C51" s="7" t="str">
        <f t="shared" si="8"/>
        <v>ENERO10005721Compensación</v>
      </c>
      <c r="D51" s="7" t="s">
        <v>351</v>
      </c>
      <c r="E51" s="3" t="s">
        <v>117</v>
      </c>
      <c r="F51" s="9">
        <v>135000</v>
      </c>
      <c r="G51" s="3" t="s">
        <v>323</v>
      </c>
      <c r="H51" s="12">
        <v>302400</v>
      </c>
      <c r="I51" s="12">
        <v>-51104.61</v>
      </c>
      <c r="J51" s="13"/>
      <c r="K51" s="12">
        <v>251295.39</v>
      </c>
      <c r="L51" s="12">
        <v>1.86</v>
      </c>
      <c r="M51" s="12">
        <v>152414.04999999999</v>
      </c>
      <c r="N51" s="12">
        <v>2405.92</v>
      </c>
      <c r="O51" s="12">
        <v>55289.46</v>
      </c>
      <c r="P51" s="12">
        <f t="shared" si="9"/>
        <v>41185.960000000021</v>
      </c>
      <c r="Q51" s="12">
        <v>305.89</v>
      </c>
      <c r="R51" s="12">
        <v>2698.58</v>
      </c>
      <c r="S51" s="12">
        <v>19802.509999999998</v>
      </c>
      <c r="T51" s="12">
        <v>16984.400000000001</v>
      </c>
      <c r="U51" s="14"/>
      <c r="V51" s="11">
        <v>1394.5800000000163</v>
      </c>
      <c r="W51" s="55">
        <f t="shared" si="3"/>
        <v>251295.39</v>
      </c>
      <c r="X51" s="74">
        <f t="shared" si="4"/>
        <v>0.60651351383724139</v>
      </c>
      <c r="Y51" s="74">
        <f t="shared" si="5"/>
        <v>9.5740713747275667E-3</v>
      </c>
      <c r="Z51" s="74">
        <f t="shared" si="6"/>
        <v>0.22001780454468342</v>
      </c>
      <c r="AA51" s="74">
        <f t="shared" si="7"/>
        <v>0.16389461024334756</v>
      </c>
    </row>
    <row r="52" spans="1:27" hidden="1">
      <c r="A52" s="7" t="s">
        <v>6</v>
      </c>
      <c r="B52" s="7">
        <v>10005721</v>
      </c>
      <c r="C52" s="7" t="str">
        <f t="shared" si="8"/>
        <v>ENERO10005721Inventario final</v>
      </c>
      <c r="D52" s="7" t="s">
        <v>351</v>
      </c>
      <c r="E52" s="3" t="s">
        <v>221</v>
      </c>
      <c r="F52" s="9">
        <v>370760</v>
      </c>
      <c r="G52" s="3" t="s">
        <v>323</v>
      </c>
      <c r="H52" s="12">
        <v>830502.40000000002</v>
      </c>
      <c r="I52" s="12">
        <v>-140352.17000000001</v>
      </c>
      <c r="J52" s="13"/>
      <c r="K52" s="12">
        <v>690150.23</v>
      </c>
      <c r="L52" s="12">
        <v>1.86</v>
      </c>
      <c r="M52" s="12">
        <v>418585.44</v>
      </c>
      <c r="N52" s="12">
        <v>6607.53</v>
      </c>
      <c r="O52" s="12">
        <v>151845.35999999999</v>
      </c>
      <c r="P52" s="12">
        <f t="shared" si="9"/>
        <v>113111.89999999994</v>
      </c>
      <c r="Q52" s="12">
        <v>840.07</v>
      </c>
      <c r="R52" s="12">
        <v>7411.29</v>
      </c>
      <c r="S52" s="12">
        <v>54385.03</v>
      </c>
      <c r="T52" s="12">
        <v>46645.46</v>
      </c>
      <c r="U52" s="14"/>
      <c r="V52" s="11">
        <v>3830.0499999999302</v>
      </c>
      <c r="W52" s="55">
        <f t="shared" si="3"/>
        <v>690150.23</v>
      </c>
      <c r="X52" s="74">
        <f t="shared" si="4"/>
        <v>0.6065135122826808</v>
      </c>
      <c r="Y52" s="74">
        <f t="shared" si="5"/>
        <v>9.5740459291015524E-3</v>
      </c>
      <c r="Z52" s="74">
        <f t="shared" si="6"/>
        <v>0.22001783582684598</v>
      </c>
      <c r="AA52" s="74">
        <f t="shared" si="7"/>
        <v>0.16389460596137154</v>
      </c>
    </row>
    <row r="53" spans="1:27" hidden="1">
      <c r="A53" s="7" t="s">
        <v>7</v>
      </c>
      <c r="B53" s="7">
        <v>10005721</v>
      </c>
      <c r="C53" s="7" t="str">
        <f t="shared" si="8"/>
        <v>FEBRERO10005721Inventario inicial</v>
      </c>
      <c r="D53" s="7" t="s">
        <v>351</v>
      </c>
      <c r="E53" s="3" t="s">
        <v>322</v>
      </c>
      <c r="F53" s="9">
        <v>370760</v>
      </c>
      <c r="G53" s="3" t="s">
        <v>323</v>
      </c>
      <c r="H53" s="12">
        <v>830502.40000000002</v>
      </c>
      <c r="I53" s="12" t="s">
        <v>352</v>
      </c>
      <c r="J53" s="13"/>
      <c r="K53" s="12">
        <v>690150.23</v>
      </c>
      <c r="L53" s="12">
        <v>1.86</v>
      </c>
      <c r="M53" s="12">
        <v>418585.44</v>
      </c>
      <c r="N53" s="12">
        <v>6607.53</v>
      </c>
      <c r="O53" s="12">
        <v>151845.35999999999</v>
      </c>
      <c r="P53" s="12">
        <f t="shared" si="9"/>
        <v>113111.89999999994</v>
      </c>
      <c r="Q53" s="12">
        <v>840.07</v>
      </c>
      <c r="R53" s="12">
        <v>7411.29</v>
      </c>
      <c r="S53" s="12">
        <v>54385.03</v>
      </c>
      <c r="T53" s="12">
        <v>0</v>
      </c>
      <c r="U53" s="14">
        <v>46645.46</v>
      </c>
      <c r="V53" s="11">
        <v>3830.0499999999302</v>
      </c>
      <c r="W53" s="55">
        <f t="shared" si="3"/>
        <v>690150.23</v>
      </c>
      <c r="X53" s="74">
        <f t="shared" si="4"/>
        <v>0.6065135122826808</v>
      </c>
      <c r="Y53" s="74">
        <f t="shared" si="5"/>
        <v>9.5740459291015524E-3</v>
      </c>
      <c r="Z53" s="74">
        <f t="shared" si="6"/>
        <v>0.22001783582684598</v>
      </c>
      <c r="AA53" s="74">
        <f t="shared" si="7"/>
        <v>0.16389460596137154</v>
      </c>
    </row>
    <row r="54" spans="1:27" hidden="1">
      <c r="A54" s="7" t="s">
        <v>7</v>
      </c>
      <c r="B54" s="7">
        <v>10005721</v>
      </c>
      <c r="C54" s="7" t="str">
        <f t="shared" si="8"/>
        <v>FEBRERO10005721Revalorización</v>
      </c>
      <c r="D54" s="7" t="s">
        <v>351</v>
      </c>
      <c r="E54" s="3" t="s">
        <v>324</v>
      </c>
      <c r="F54" s="9">
        <v>0</v>
      </c>
      <c r="G54" s="3" t="s">
        <v>323</v>
      </c>
      <c r="H54" s="12" t="s">
        <v>353</v>
      </c>
      <c r="I54" s="12">
        <v>163134.39999999999</v>
      </c>
      <c r="J54" s="13"/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f t="shared" si="9"/>
        <v>0</v>
      </c>
      <c r="Q54" s="12">
        <v>0</v>
      </c>
      <c r="R54" s="12">
        <v>0</v>
      </c>
      <c r="S54" s="12">
        <v>0</v>
      </c>
      <c r="T54" s="12">
        <v>0</v>
      </c>
      <c r="U54" s="14">
        <v>0</v>
      </c>
      <c r="V54" s="11">
        <v>0</v>
      </c>
      <c r="W54" s="55">
        <f t="shared" si="3"/>
        <v>0</v>
      </c>
      <c r="X54" s="74" t="e">
        <f t="shared" si="4"/>
        <v>#DIV/0!</v>
      </c>
      <c r="Y54" s="74" t="e">
        <f t="shared" si="5"/>
        <v>#DIV/0!</v>
      </c>
      <c r="Z54" s="74" t="e">
        <f t="shared" si="6"/>
        <v>#DIV/0!</v>
      </c>
      <c r="AA54" s="74" t="e">
        <f t="shared" si="7"/>
        <v>#DIV/0!</v>
      </c>
    </row>
    <row r="55" spans="1:27" hidden="1">
      <c r="A55" s="7" t="s">
        <v>7</v>
      </c>
      <c r="B55" s="7">
        <v>10005721</v>
      </c>
      <c r="C55" s="7" t="str">
        <f t="shared" si="8"/>
        <v>FEBRERO10005721Entradas</v>
      </c>
      <c r="D55" s="7" t="s">
        <v>351</v>
      </c>
      <c r="E55" s="3" t="s">
        <v>167</v>
      </c>
      <c r="F55" s="9">
        <v>659620</v>
      </c>
      <c r="G55" s="3" t="s">
        <v>323</v>
      </c>
      <c r="H55" s="12">
        <v>1187316</v>
      </c>
      <c r="I55" s="12" t="s">
        <v>354</v>
      </c>
      <c r="J55" s="13"/>
      <c r="K55" s="12">
        <v>1103517.46</v>
      </c>
      <c r="L55" s="12">
        <v>1.67</v>
      </c>
      <c r="M55" s="12">
        <v>669876.63</v>
      </c>
      <c r="N55" s="12">
        <v>12521.6</v>
      </c>
      <c r="O55" s="12">
        <v>207741.78</v>
      </c>
      <c r="P55" s="12">
        <f t="shared" si="9"/>
        <v>213377.45000000007</v>
      </c>
      <c r="Q55" s="12">
        <v>4627.24</v>
      </c>
      <c r="R55" s="12">
        <v>11378.45</v>
      </c>
      <c r="S55" s="12">
        <v>103944.9</v>
      </c>
      <c r="T55" s="12">
        <v>0.28999999999999998</v>
      </c>
      <c r="U55" s="14">
        <v>84147.72</v>
      </c>
      <c r="V55" s="11">
        <v>9278.8500000000931</v>
      </c>
      <c r="W55" s="55">
        <f t="shared" si="3"/>
        <v>1103517.46</v>
      </c>
      <c r="X55" s="74">
        <f t="shared" si="4"/>
        <v>0.60703763581592995</v>
      </c>
      <c r="Y55" s="74">
        <f t="shared" si="5"/>
        <v>1.1346988565092572E-2</v>
      </c>
      <c r="Z55" s="74">
        <f t="shared" si="6"/>
        <v>0.18825418494058083</v>
      </c>
      <c r="AA55" s="74">
        <f t="shared" si="7"/>
        <v>0.19336119067839677</v>
      </c>
    </row>
    <row r="56" spans="1:27" hidden="1">
      <c r="A56" s="7" t="s">
        <v>7</v>
      </c>
      <c r="B56" s="7">
        <v>10005721</v>
      </c>
      <c r="C56" s="7" t="str">
        <f t="shared" si="8"/>
        <v>FEBRERO10005721Inventario acumulado</v>
      </c>
      <c r="D56" s="7" t="s">
        <v>351</v>
      </c>
      <c r="E56" s="3" t="s">
        <v>325</v>
      </c>
      <c r="F56" s="9">
        <v>1030380</v>
      </c>
      <c r="G56" s="3" t="s">
        <v>323</v>
      </c>
      <c r="H56" s="12">
        <v>1854684</v>
      </c>
      <c r="I56" s="12" t="s">
        <v>355</v>
      </c>
      <c r="J56" s="13"/>
      <c r="K56" s="12">
        <v>1793667.69</v>
      </c>
      <c r="L56" s="12">
        <v>1.74</v>
      </c>
      <c r="M56" s="12">
        <v>1088462.07</v>
      </c>
      <c r="N56" s="12">
        <v>19129.13</v>
      </c>
      <c r="O56" s="12">
        <v>359587.14</v>
      </c>
      <c r="P56" s="12">
        <f t="shared" si="9"/>
        <v>326489.35000000009</v>
      </c>
      <c r="Q56" s="12">
        <v>5467.31</v>
      </c>
      <c r="R56" s="12">
        <v>18789.740000000002</v>
      </c>
      <c r="S56" s="12">
        <v>158329.93</v>
      </c>
      <c r="T56" s="12">
        <v>0.28999999999999998</v>
      </c>
      <c r="U56" s="14">
        <v>130793.18</v>
      </c>
      <c r="V56" s="11">
        <v>13108.90000000014</v>
      </c>
      <c r="W56" s="55">
        <f t="shared" si="3"/>
        <v>1793667.69</v>
      </c>
      <c r="X56" s="74">
        <f t="shared" si="4"/>
        <v>0.60683596859572142</v>
      </c>
      <c r="Y56" s="74">
        <f t="shared" si="5"/>
        <v>1.0664812722361075E-2</v>
      </c>
      <c r="Z56" s="74">
        <f t="shared" si="6"/>
        <v>0.20047589751700329</v>
      </c>
      <c r="AA56" s="74">
        <f t="shared" si="7"/>
        <v>0.1820233211649144</v>
      </c>
    </row>
    <row r="57" spans="1:27" hidden="1">
      <c r="A57" s="7" t="s">
        <v>7</v>
      </c>
      <c r="B57" s="7">
        <v>10005721</v>
      </c>
      <c r="C57" s="7" t="str">
        <f t="shared" si="8"/>
        <v>FEBRERO10005721Compensación</v>
      </c>
      <c r="D57" s="7" t="s">
        <v>351</v>
      </c>
      <c r="E57" s="3" t="s">
        <v>117</v>
      </c>
      <c r="F57" s="8">
        <v>698300</v>
      </c>
      <c r="G57" s="2" t="s">
        <v>323</v>
      </c>
      <c r="H57" s="11">
        <v>1256940</v>
      </c>
      <c r="I57" s="11" t="s">
        <v>356</v>
      </c>
      <c r="J57" s="11"/>
      <c r="K57" s="11">
        <v>1215588.57</v>
      </c>
      <c r="L57" s="11">
        <v>1.74</v>
      </c>
      <c r="M57" s="11">
        <v>737662.87</v>
      </c>
      <c r="N57" s="11">
        <v>12964.02</v>
      </c>
      <c r="O57" s="11">
        <v>243696.21</v>
      </c>
      <c r="P57" s="11">
        <f t="shared" si="9"/>
        <v>221265.47000000006</v>
      </c>
      <c r="Q57" s="11">
        <v>3705.26</v>
      </c>
      <c r="R57" s="11">
        <v>12734.01</v>
      </c>
      <c r="S57" s="11">
        <v>107301.96</v>
      </c>
      <c r="T57" s="11">
        <v>0.2</v>
      </c>
      <c r="U57" s="11">
        <v>88639.99</v>
      </c>
      <c r="V57" s="11">
        <v>8884.0500000000466</v>
      </c>
      <c r="W57" s="55">
        <f t="shared" si="3"/>
        <v>1215588.57</v>
      </c>
      <c r="X57" s="74">
        <f t="shared" si="4"/>
        <v>0.60683597082522744</v>
      </c>
      <c r="Y57" s="74">
        <f t="shared" si="5"/>
        <v>1.0664809064468251E-2</v>
      </c>
      <c r="Z57" s="74">
        <f t="shared" si="6"/>
        <v>0.20047589786073752</v>
      </c>
      <c r="AA57" s="74">
        <f t="shared" si="7"/>
        <v>0.18202332224956677</v>
      </c>
    </row>
    <row r="58" spans="1:27" hidden="1">
      <c r="A58" s="7" t="s">
        <v>7</v>
      </c>
      <c r="B58" s="7">
        <v>10005721</v>
      </c>
      <c r="C58" s="7" t="str">
        <f t="shared" si="8"/>
        <v>FEBRERO10005721Inventario final</v>
      </c>
      <c r="D58" s="7" t="s">
        <v>351</v>
      </c>
      <c r="E58" s="3" t="s">
        <v>221</v>
      </c>
      <c r="F58" s="8">
        <v>332080</v>
      </c>
      <c r="G58" s="2" t="s">
        <v>323</v>
      </c>
      <c r="H58" s="11">
        <v>597744</v>
      </c>
      <c r="I58" s="11" t="s">
        <v>357</v>
      </c>
      <c r="J58" s="11"/>
      <c r="K58" s="11">
        <v>578079.12</v>
      </c>
      <c r="L58" s="11">
        <v>1.74</v>
      </c>
      <c r="M58" s="11">
        <v>350799.2</v>
      </c>
      <c r="N58" s="11">
        <v>6165.11</v>
      </c>
      <c r="O58" s="11">
        <v>115890.93</v>
      </c>
      <c r="P58" s="11">
        <f t="shared" si="9"/>
        <v>105223.87999999998</v>
      </c>
      <c r="Q58" s="11">
        <v>1762.05</v>
      </c>
      <c r="R58" s="11">
        <v>6055.73</v>
      </c>
      <c r="S58" s="11">
        <v>51027.97</v>
      </c>
      <c r="T58" s="11">
        <v>0.09</v>
      </c>
      <c r="U58" s="11">
        <v>42153.19</v>
      </c>
      <c r="V58" s="11">
        <v>4224.8499999999767</v>
      </c>
      <c r="W58" s="55">
        <f t="shared" si="3"/>
        <v>578079.12</v>
      </c>
      <c r="X58" s="74">
        <f t="shared" si="4"/>
        <v>0.60683596390750116</v>
      </c>
      <c r="Y58" s="74">
        <f t="shared" si="5"/>
        <v>1.0664820414202124E-2</v>
      </c>
      <c r="Z58" s="74">
        <f t="shared" si="6"/>
        <v>0.20047589679419661</v>
      </c>
      <c r="AA58" s="74">
        <f t="shared" si="7"/>
        <v>0.18202331888410012</v>
      </c>
    </row>
    <row r="59" spans="1:27" hidden="1">
      <c r="A59" s="7" t="s">
        <v>6</v>
      </c>
      <c r="B59" s="7">
        <v>10005779</v>
      </c>
      <c r="C59" s="7" t="str">
        <f t="shared" si="8"/>
        <v>ENERO10005779Inventario inicial</v>
      </c>
      <c r="D59" s="7" t="s">
        <v>358</v>
      </c>
      <c r="E59" s="3" t="s">
        <v>322</v>
      </c>
      <c r="F59" s="8">
        <v>96140</v>
      </c>
      <c r="G59" s="2" t="s">
        <v>323</v>
      </c>
      <c r="H59" s="11">
        <v>204778.2</v>
      </c>
      <c r="I59" s="11">
        <v>-14558.56</v>
      </c>
      <c r="J59" s="11"/>
      <c r="K59" s="11">
        <v>190219.64</v>
      </c>
      <c r="L59" s="11">
        <v>1.98</v>
      </c>
      <c r="M59" s="11">
        <v>122437</v>
      </c>
      <c r="N59" s="11">
        <v>1608.88</v>
      </c>
      <c r="O59" s="11">
        <v>40184.82</v>
      </c>
      <c r="P59" s="11">
        <f t="shared" si="9"/>
        <v>25988.94000000001</v>
      </c>
      <c r="Q59" s="11">
        <v>756.12</v>
      </c>
      <c r="R59" s="11">
        <v>2669.29</v>
      </c>
      <c r="S59" s="11">
        <v>10708.82</v>
      </c>
      <c r="T59" s="11">
        <v>11526.48</v>
      </c>
      <c r="U59" s="11"/>
      <c r="V59" s="11">
        <v>328.23000000001048</v>
      </c>
      <c r="W59" s="55">
        <f t="shared" si="3"/>
        <v>190219.64</v>
      </c>
      <c r="X59" s="74">
        <f t="shared" si="4"/>
        <v>0.64366119082130524</v>
      </c>
      <c r="Y59" s="74">
        <f t="shared" si="5"/>
        <v>8.4580120117985717E-3</v>
      </c>
      <c r="Z59" s="74">
        <f t="shared" si="6"/>
        <v>0.2112548420341874</v>
      </c>
      <c r="AA59" s="74">
        <f t="shared" si="7"/>
        <v>0.13662595513270873</v>
      </c>
    </row>
    <row r="60" spans="1:27" hidden="1">
      <c r="A60" s="7" t="s">
        <v>6</v>
      </c>
      <c r="B60" s="7">
        <v>10005779</v>
      </c>
      <c r="C60" s="7" t="str">
        <f t="shared" si="8"/>
        <v>ENERO10005779Revalorización</v>
      </c>
      <c r="D60" s="7" t="s">
        <v>358</v>
      </c>
      <c r="E60" s="3" t="s">
        <v>324</v>
      </c>
      <c r="F60" s="8">
        <v>0</v>
      </c>
      <c r="G60" s="2" t="s">
        <v>323</v>
      </c>
      <c r="H60" s="11">
        <v>-1922.8</v>
      </c>
      <c r="I60" s="11">
        <v>1922.8</v>
      </c>
      <c r="J60" s="11"/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f t="shared" si="9"/>
        <v>0</v>
      </c>
      <c r="Q60" s="11">
        <v>0</v>
      </c>
      <c r="R60" s="11">
        <v>0</v>
      </c>
      <c r="S60" s="11">
        <v>0</v>
      </c>
      <c r="T60" s="11">
        <v>0</v>
      </c>
      <c r="U60" s="11"/>
      <c r="V60" s="11">
        <v>0</v>
      </c>
      <c r="W60" s="55">
        <f t="shared" si="3"/>
        <v>0</v>
      </c>
      <c r="X60" s="74" t="e">
        <f t="shared" si="4"/>
        <v>#DIV/0!</v>
      </c>
      <c r="Y60" s="74" t="e">
        <f t="shared" si="5"/>
        <v>#DIV/0!</v>
      </c>
      <c r="Z60" s="74" t="e">
        <f t="shared" si="6"/>
        <v>#DIV/0!</v>
      </c>
      <c r="AA60" s="74" t="e">
        <f t="shared" si="7"/>
        <v>#DIV/0!</v>
      </c>
    </row>
    <row r="61" spans="1:27" hidden="1">
      <c r="A61" s="7" t="s">
        <v>6</v>
      </c>
      <c r="B61" s="7">
        <v>10005779</v>
      </c>
      <c r="C61" s="7" t="str">
        <f t="shared" si="8"/>
        <v>ENERO10005779Entradas</v>
      </c>
      <c r="D61" s="7" t="s">
        <v>358</v>
      </c>
      <c r="E61" s="3" t="s">
        <v>167</v>
      </c>
      <c r="F61" s="8">
        <v>84920</v>
      </c>
      <c r="G61" s="2" t="s">
        <v>323</v>
      </c>
      <c r="H61" s="11">
        <v>179181.2</v>
      </c>
      <c r="I61" s="11">
        <v>-19111.95</v>
      </c>
      <c r="J61" s="11"/>
      <c r="K61" s="11">
        <v>160069.25</v>
      </c>
      <c r="L61" s="11">
        <v>1.88</v>
      </c>
      <c r="M61" s="11">
        <v>98016.61</v>
      </c>
      <c r="N61" s="11">
        <v>1066.0999999999999</v>
      </c>
      <c r="O61" s="11">
        <v>34253.93</v>
      </c>
      <c r="P61" s="11">
        <f t="shared" si="9"/>
        <v>26732.60999999999</v>
      </c>
      <c r="Q61" s="11">
        <v>190.73</v>
      </c>
      <c r="R61" s="11">
        <v>1459.86</v>
      </c>
      <c r="S61" s="11">
        <v>13337.87</v>
      </c>
      <c r="T61" s="11">
        <v>10795.88</v>
      </c>
      <c r="U61" s="11"/>
      <c r="V61" s="11">
        <v>948.26999999998952</v>
      </c>
      <c r="W61" s="55">
        <f t="shared" si="3"/>
        <v>160069.25</v>
      </c>
      <c r="X61" s="74">
        <f t="shared" si="4"/>
        <v>0.61233878461978175</v>
      </c>
      <c r="Y61" s="74">
        <f t="shared" si="5"/>
        <v>6.660242363851895E-3</v>
      </c>
      <c r="Z61" s="74">
        <f t="shared" si="6"/>
        <v>0.21399444303012602</v>
      </c>
      <c r="AA61" s="74">
        <f t="shared" si="7"/>
        <v>0.16700652998624027</v>
      </c>
    </row>
    <row r="62" spans="1:27" hidden="1">
      <c r="A62" s="7" t="s">
        <v>6</v>
      </c>
      <c r="B62" s="7">
        <v>10005779</v>
      </c>
      <c r="C62" s="7" t="str">
        <f t="shared" si="8"/>
        <v>ENERO10005779Inv. acumulado</v>
      </c>
      <c r="D62" s="7" t="s">
        <v>358</v>
      </c>
      <c r="E62" s="3" t="s">
        <v>333</v>
      </c>
      <c r="F62" s="8">
        <v>181060</v>
      </c>
      <c r="G62" s="2" t="s">
        <v>323</v>
      </c>
      <c r="H62" s="11">
        <v>382036.6</v>
      </c>
      <c r="I62" s="11">
        <v>-31747.71</v>
      </c>
      <c r="J62" s="11"/>
      <c r="K62" s="11">
        <v>350288.89</v>
      </c>
      <c r="L62" s="11">
        <v>1.93</v>
      </c>
      <c r="M62" s="11">
        <v>220453.61</v>
      </c>
      <c r="N62" s="11">
        <v>2674.98</v>
      </c>
      <c r="O62" s="11">
        <v>74438.75</v>
      </c>
      <c r="P62" s="11">
        <f t="shared" si="9"/>
        <v>52721.550000000061</v>
      </c>
      <c r="Q62" s="11">
        <v>946.85</v>
      </c>
      <c r="R62" s="11">
        <v>4129.1499999999996</v>
      </c>
      <c r="S62" s="11">
        <v>24046.69</v>
      </c>
      <c r="T62" s="11">
        <v>22322.36</v>
      </c>
      <c r="U62" s="11"/>
      <c r="V62" s="11">
        <v>1276.5000000000582</v>
      </c>
      <c r="W62" s="55">
        <f t="shared" si="3"/>
        <v>350288.89</v>
      </c>
      <c r="X62" s="74">
        <f t="shared" si="4"/>
        <v>0.62934799330917968</v>
      </c>
      <c r="Y62" s="74">
        <f t="shared" si="5"/>
        <v>7.6364968355119682E-3</v>
      </c>
      <c r="Z62" s="74">
        <f t="shared" si="6"/>
        <v>0.21250673979411677</v>
      </c>
      <c r="AA62" s="74">
        <f t="shared" si="7"/>
        <v>0.15050877006119165</v>
      </c>
    </row>
    <row r="63" spans="1:27" hidden="1">
      <c r="A63" s="7" t="s">
        <v>6</v>
      </c>
      <c r="B63" s="7">
        <v>10005779</v>
      </c>
      <c r="C63" s="7" t="str">
        <f t="shared" si="8"/>
        <v>ENERO10005779Compensación</v>
      </c>
      <c r="D63" s="7" t="s">
        <v>358</v>
      </c>
      <c r="E63" s="3" t="s">
        <v>117</v>
      </c>
      <c r="F63" s="9">
        <v>3060</v>
      </c>
      <c r="G63" s="3" t="s">
        <v>323</v>
      </c>
      <c r="H63" s="12">
        <v>6456.6</v>
      </c>
      <c r="I63" s="12">
        <v>-536.54999999999995</v>
      </c>
      <c r="J63" s="13"/>
      <c r="K63" s="12">
        <v>5920.05</v>
      </c>
      <c r="L63" s="12">
        <v>1.93</v>
      </c>
      <c r="M63" s="12">
        <v>3725.77</v>
      </c>
      <c r="N63" s="12">
        <v>45.21</v>
      </c>
      <c r="O63" s="12">
        <v>1258.05</v>
      </c>
      <c r="P63" s="12">
        <f t="shared" si="9"/>
        <v>891.02000000000089</v>
      </c>
      <c r="Q63" s="12">
        <v>16</v>
      </c>
      <c r="R63" s="12">
        <v>69.790000000000006</v>
      </c>
      <c r="S63" s="12">
        <v>406.4</v>
      </c>
      <c r="T63" s="14">
        <v>377.25</v>
      </c>
      <c r="U63" s="13"/>
      <c r="V63" s="11">
        <v>21.580000000000837</v>
      </c>
      <c r="W63" s="55">
        <f t="shared" si="3"/>
        <v>5920.0500000000011</v>
      </c>
      <c r="X63" s="74">
        <f t="shared" si="4"/>
        <v>0.62934772510367298</v>
      </c>
      <c r="Y63" s="74">
        <f t="shared" si="5"/>
        <v>7.636759824663642E-3</v>
      </c>
      <c r="Z63" s="74">
        <f t="shared" si="6"/>
        <v>0.21250665112625733</v>
      </c>
      <c r="AA63" s="74">
        <f t="shared" si="7"/>
        <v>0.150508863945406</v>
      </c>
    </row>
    <row r="64" spans="1:27" hidden="1">
      <c r="A64" s="7" t="s">
        <v>6</v>
      </c>
      <c r="B64" s="7">
        <v>10005779</v>
      </c>
      <c r="C64" s="7" t="str">
        <f t="shared" si="8"/>
        <v>ENERO10005779Inventario final</v>
      </c>
      <c r="D64" s="7" t="s">
        <v>358</v>
      </c>
      <c r="E64" s="3" t="s">
        <v>221</v>
      </c>
      <c r="F64" s="9">
        <v>178000</v>
      </c>
      <c r="G64" s="3" t="s">
        <v>323</v>
      </c>
      <c r="H64" s="12">
        <v>375580</v>
      </c>
      <c r="I64" s="12">
        <v>-31211.16</v>
      </c>
      <c r="J64" s="13"/>
      <c r="K64" s="12">
        <v>344368.84</v>
      </c>
      <c r="L64" s="12">
        <v>1.93</v>
      </c>
      <c r="M64" s="12">
        <v>216727.84</v>
      </c>
      <c r="N64" s="12">
        <v>2629.77</v>
      </c>
      <c r="O64" s="12">
        <v>73180.7</v>
      </c>
      <c r="P64" s="12">
        <f t="shared" si="9"/>
        <v>51830.530000000042</v>
      </c>
      <c r="Q64" s="12">
        <v>930.85</v>
      </c>
      <c r="R64" s="12">
        <v>4059.36</v>
      </c>
      <c r="S64" s="12">
        <v>23640.29</v>
      </c>
      <c r="T64" s="14">
        <v>21945.11</v>
      </c>
      <c r="U64" s="13"/>
      <c r="V64" s="11">
        <v>1254.9200000000419</v>
      </c>
      <c r="W64" s="55">
        <f t="shared" si="3"/>
        <v>344368.84</v>
      </c>
      <c r="X64" s="74">
        <f t="shared" si="4"/>
        <v>0.6293479979199047</v>
      </c>
      <c r="Y64" s="74">
        <f t="shared" si="5"/>
        <v>7.6364923144614351E-3</v>
      </c>
      <c r="Z64" s="74">
        <f t="shared" si="6"/>
        <v>0.2125067413184073</v>
      </c>
      <c r="AA64" s="74">
        <f t="shared" si="7"/>
        <v>0.15050876844722663</v>
      </c>
    </row>
    <row r="65" spans="1:27" hidden="1">
      <c r="A65" s="7" t="s">
        <v>7</v>
      </c>
      <c r="B65" s="7">
        <v>10005779</v>
      </c>
      <c r="C65" s="7" t="str">
        <f t="shared" si="8"/>
        <v>FEBRERO10005779Inventario inicial</v>
      </c>
      <c r="D65" s="7" t="s">
        <v>358</v>
      </c>
      <c r="E65" s="3" t="s">
        <v>322</v>
      </c>
      <c r="F65" s="8">
        <v>178000</v>
      </c>
      <c r="G65" s="2" t="s">
        <v>323</v>
      </c>
      <c r="H65" s="11">
        <v>375580</v>
      </c>
      <c r="I65" s="11" t="s">
        <v>359</v>
      </c>
      <c r="J65" s="11"/>
      <c r="K65" s="11">
        <v>344368.84</v>
      </c>
      <c r="L65" s="11">
        <v>1.93</v>
      </c>
      <c r="M65" s="11">
        <v>216727.84</v>
      </c>
      <c r="N65" s="11">
        <v>2629.77</v>
      </c>
      <c r="O65" s="11">
        <v>73180.7</v>
      </c>
      <c r="P65" s="11">
        <f t="shared" si="9"/>
        <v>51830.530000000042</v>
      </c>
      <c r="Q65" s="11">
        <v>930.85</v>
      </c>
      <c r="R65" s="11">
        <v>4059.36</v>
      </c>
      <c r="S65" s="11">
        <v>23640.29</v>
      </c>
      <c r="T65" s="11" t="s">
        <v>340</v>
      </c>
      <c r="U65" s="11">
        <v>21945.11</v>
      </c>
      <c r="V65" s="11">
        <v>1254.9200000000419</v>
      </c>
      <c r="W65" s="55">
        <f t="shared" si="3"/>
        <v>344368.84</v>
      </c>
      <c r="X65" s="74">
        <f t="shared" si="4"/>
        <v>0.6293479979199047</v>
      </c>
      <c r="Y65" s="74">
        <f t="shared" si="5"/>
        <v>7.6364923144614351E-3</v>
      </c>
      <c r="Z65" s="74">
        <f t="shared" si="6"/>
        <v>0.2125067413184073</v>
      </c>
      <c r="AA65" s="74">
        <f t="shared" si="7"/>
        <v>0.15050876844722663</v>
      </c>
    </row>
    <row r="66" spans="1:27" hidden="1">
      <c r="A66" s="7" t="s">
        <v>7</v>
      </c>
      <c r="B66" s="7">
        <v>10005779</v>
      </c>
      <c r="C66" s="7" t="str">
        <f t="shared" si="8"/>
        <v>FEBRERO10005779Revalorización</v>
      </c>
      <c r="D66" s="7" t="s">
        <v>358</v>
      </c>
      <c r="E66" s="3" t="s">
        <v>324</v>
      </c>
      <c r="F66" s="8">
        <v>0</v>
      </c>
      <c r="G66" s="2" t="s">
        <v>323</v>
      </c>
      <c r="H66" s="11" t="s">
        <v>360</v>
      </c>
      <c r="I66" s="11">
        <v>23140</v>
      </c>
      <c r="J66" s="11"/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f t="shared" si="9"/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55">
        <f t="shared" si="3"/>
        <v>0</v>
      </c>
      <c r="X66" s="74" t="e">
        <f t="shared" si="4"/>
        <v>#DIV/0!</v>
      </c>
      <c r="Y66" s="74" t="e">
        <f t="shared" si="5"/>
        <v>#DIV/0!</v>
      </c>
      <c r="Z66" s="74" t="e">
        <f t="shared" si="6"/>
        <v>#DIV/0!</v>
      </c>
      <c r="AA66" s="74" t="e">
        <f t="shared" si="7"/>
        <v>#DIV/0!</v>
      </c>
    </row>
    <row r="67" spans="1:27" hidden="1">
      <c r="A67" s="7" t="s">
        <v>7</v>
      </c>
      <c r="B67" s="7">
        <v>10005779</v>
      </c>
      <c r="C67" s="7" t="str">
        <f t="shared" si="8"/>
        <v>FEBRERO10005779Entradas</v>
      </c>
      <c r="D67" s="7" t="s">
        <v>358</v>
      </c>
      <c r="E67" s="3" t="s">
        <v>167</v>
      </c>
      <c r="F67" s="8">
        <v>142120</v>
      </c>
      <c r="G67" s="2" t="s">
        <v>323</v>
      </c>
      <c r="H67" s="11">
        <v>281397.59999999998</v>
      </c>
      <c r="I67" s="11" t="s">
        <v>361</v>
      </c>
      <c r="J67" s="11"/>
      <c r="K67" s="11">
        <v>250962.96</v>
      </c>
      <c r="L67" s="11">
        <v>1.77</v>
      </c>
      <c r="M67" s="11">
        <v>145645.04</v>
      </c>
      <c r="N67" s="11">
        <v>1712.92</v>
      </c>
      <c r="O67" s="11">
        <v>57894.879999999997</v>
      </c>
      <c r="P67" s="11">
        <f t="shared" si="9"/>
        <v>45710.119999999966</v>
      </c>
      <c r="Q67" s="11">
        <v>996.97</v>
      </c>
      <c r="R67" s="11">
        <v>2451.58</v>
      </c>
      <c r="S67" s="11">
        <v>22395.7</v>
      </c>
      <c r="T67" s="11" t="s">
        <v>362</v>
      </c>
      <c r="U67" s="11">
        <v>18130.25</v>
      </c>
      <c r="V67" s="11">
        <v>1735.6199999999662</v>
      </c>
      <c r="W67" s="55">
        <f t="shared" si="3"/>
        <v>250962.96</v>
      </c>
      <c r="X67" s="74">
        <f t="shared" si="4"/>
        <v>0.58034476482107167</v>
      </c>
      <c r="Y67" s="74">
        <f t="shared" si="5"/>
        <v>6.8253896909727238E-3</v>
      </c>
      <c r="Z67" s="74">
        <f t="shared" si="6"/>
        <v>0.23069093542728378</v>
      </c>
      <c r="AA67" s="74">
        <f t="shared" si="7"/>
        <v>0.18213891006067176</v>
      </c>
    </row>
    <row r="68" spans="1:27" hidden="1">
      <c r="A68" s="7" t="s">
        <v>7</v>
      </c>
      <c r="B68" s="7">
        <v>10005779</v>
      </c>
      <c r="C68" s="7" t="str">
        <f t="shared" si="8"/>
        <v>FEBRERO10005779Inventario acumulado</v>
      </c>
      <c r="D68" s="7" t="s">
        <v>358</v>
      </c>
      <c r="E68" s="3" t="s">
        <v>325</v>
      </c>
      <c r="F68" s="8">
        <v>320120</v>
      </c>
      <c r="G68" s="2" t="s">
        <v>323</v>
      </c>
      <c r="H68" s="11">
        <v>633837.6</v>
      </c>
      <c r="I68" s="11" t="s">
        <v>363</v>
      </c>
      <c r="J68" s="11"/>
      <c r="K68" s="11">
        <v>595331.80000000005</v>
      </c>
      <c r="L68" s="11">
        <v>1.86</v>
      </c>
      <c r="M68" s="11">
        <v>362372.88</v>
      </c>
      <c r="N68" s="11">
        <v>4342.6899999999996</v>
      </c>
      <c r="O68" s="11">
        <v>131075.57999999999</v>
      </c>
      <c r="P68" s="11">
        <f t="shared" si="9"/>
        <v>97540.650000000038</v>
      </c>
      <c r="Q68" s="11">
        <v>1927.82</v>
      </c>
      <c r="R68" s="11">
        <v>6510.94</v>
      </c>
      <c r="S68" s="11">
        <v>46035.99</v>
      </c>
      <c r="T68" s="11" t="s">
        <v>364</v>
      </c>
      <c r="U68" s="11">
        <v>40075.360000000001</v>
      </c>
      <c r="V68" s="11">
        <v>2990.5400000000373</v>
      </c>
      <c r="W68" s="55">
        <f t="shared" si="3"/>
        <v>595331.80000000005</v>
      </c>
      <c r="X68" s="74">
        <f t="shared" si="4"/>
        <v>0.60869061588848428</v>
      </c>
      <c r="Y68" s="74">
        <f t="shared" si="5"/>
        <v>7.2945708594770167E-3</v>
      </c>
      <c r="Z68" s="74">
        <f t="shared" si="6"/>
        <v>0.22017231399364182</v>
      </c>
      <c r="AA68" s="74">
        <f t="shared" si="7"/>
        <v>0.16384249925839681</v>
      </c>
    </row>
    <row r="69" spans="1:27" hidden="1">
      <c r="A69" s="7" t="s">
        <v>7</v>
      </c>
      <c r="B69" s="7">
        <v>10005779</v>
      </c>
      <c r="C69" s="7" t="str">
        <f t="shared" ref="C69:C100" si="10">A69&amp;B69&amp;E69</f>
        <v>FEBRERO10005779Compensación</v>
      </c>
      <c r="D69" s="7" t="s">
        <v>358</v>
      </c>
      <c r="E69" s="3" t="s">
        <v>117</v>
      </c>
      <c r="F69" s="8">
        <v>82460</v>
      </c>
      <c r="G69" s="2" t="s">
        <v>323</v>
      </c>
      <c r="H69" s="11">
        <v>163270.79999999999</v>
      </c>
      <c r="I69" s="11" t="s">
        <v>365</v>
      </c>
      <c r="J69" s="11"/>
      <c r="K69" s="11">
        <v>153352.06</v>
      </c>
      <c r="L69" s="11">
        <v>1.86</v>
      </c>
      <c r="M69" s="11">
        <v>93343.96</v>
      </c>
      <c r="N69" s="11">
        <v>1118.6300000000001</v>
      </c>
      <c r="O69" s="11">
        <v>33763.879999999997</v>
      </c>
      <c r="P69" s="11">
        <f t="shared" ref="P69:P100" si="11">SUM(Q69:V69)</f>
        <v>25125.589999999997</v>
      </c>
      <c r="Q69" s="11">
        <v>496.59</v>
      </c>
      <c r="R69" s="11">
        <v>1677.16</v>
      </c>
      <c r="S69" s="11">
        <v>11858.45</v>
      </c>
      <c r="T69" s="11" t="s">
        <v>366</v>
      </c>
      <c r="U69" s="11">
        <v>10323.049999999999</v>
      </c>
      <c r="V69" s="11">
        <v>770.33999999999651</v>
      </c>
      <c r="W69" s="55">
        <f t="shared" si="3"/>
        <v>153352.06</v>
      </c>
      <c r="X69" s="74">
        <f t="shared" si="4"/>
        <v>0.6086906168720525</v>
      </c>
      <c r="Y69" s="74">
        <f t="shared" si="5"/>
        <v>7.2945221603152909E-3</v>
      </c>
      <c r="Z69" s="74">
        <f t="shared" si="6"/>
        <v>0.22017232764920144</v>
      </c>
      <c r="AA69" s="74">
        <f t="shared" si="7"/>
        <v>0.16384253331843079</v>
      </c>
    </row>
    <row r="70" spans="1:27" hidden="1">
      <c r="A70" s="7" t="s">
        <v>7</v>
      </c>
      <c r="B70" s="7">
        <v>10005779</v>
      </c>
      <c r="C70" s="7" t="str">
        <f t="shared" si="10"/>
        <v>FEBRERO10005779Inventario final</v>
      </c>
      <c r="D70" s="7" t="s">
        <v>358</v>
      </c>
      <c r="E70" s="3" t="s">
        <v>221</v>
      </c>
      <c r="F70" s="8">
        <v>237660</v>
      </c>
      <c r="G70" s="2" t="s">
        <v>323</v>
      </c>
      <c r="H70" s="11">
        <v>470566.8</v>
      </c>
      <c r="I70" s="11" t="s">
        <v>367</v>
      </c>
      <c r="J70" s="11"/>
      <c r="K70" s="11">
        <v>441979.74</v>
      </c>
      <c r="L70" s="11">
        <v>1.86</v>
      </c>
      <c r="M70" s="11">
        <v>269028.92</v>
      </c>
      <c r="N70" s="11">
        <v>3224.06</v>
      </c>
      <c r="O70" s="11">
        <v>97311.7</v>
      </c>
      <c r="P70" s="11">
        <f t="shared" si="11"/>
        <v>72415.060000000012</v>
      </c>
      <c r="Q70" s="11">
        <v>1431.23</v>
      </c>
      <c r="R70" s="11">
        <v>4833.78</v>
      </c>
      <c r="S70" s="11">
        <v>34177.54</v>
      </c>
      <c r="T70" s="11" t="s">
        <v>368</v>
      </c>
      <c r="U70" s="11">
        <v>29752.31</v>
      </c>
      <c r="V70" s="11">
        <v>2220.2000000000116</v>
      </c>
      <c r="W70" s="55">
        <f t="shared" ref="W70:W133" si="12">SUM(M70:P70)</f>
        <v>441979.74</v>
      </c>
      <c r="X70" s="74">
        <f t="shared" ref="X70:X133" si="13">M70/$W70</f>
        <v>0.60869061554721937</v>
      </c>
      <c r="Y70" s="74">
        <f t="shared" ref="Y70:Y133" si="14">N70/$W70</f>
        <v>7.2945877564433159E-3</v>
      </c>
      <c r="Z70" s="74">
        <f t="shared" ref="Z70:Z133" si="15">O70/$W70</f>
        <v>0.22017230925562334</v>
      </c>
      <c r="AA70" s="74">
        <f t="shared" ref="AA70:AA133" si="16">P70/$W70</f>
        <v>0.16384248744071395</v>
      </c>
    </row>
    <row r="71" spans="1:27" hidden="1">
      <c r="A71" s="7" t="s">
        <v>6</v>
      </c>
      <c r="B71" s="7">
        <v>10005781</v>
      </c>
      <c r="C71" s="7" t="str">
        <f t="shared" si="10"/>
        <v>ENERO10005781Inventario inicial</v>
      </c>
      <c r="D71" s="7" t="s">
        <v>369</v>
      </c>
      <c r="E71" s="3" t="s">
        <v>322</v>
      </c>
      <c r="F71" s="8">
        <v>17040</v>
      </c>
      <c r="G71" s="2" t="s">
        <v>323</v>
      </c>
      <c r="H71" s="11">
        <v>35443.199999999997</v>
      </c>
      <c r="I71" s="11">
        <v>770.38</v>
      </c>
      <c r="J71" s="11"/>
      <c r="K71" s="11">
        <v>36213.58</v>
      </c>
      <c r="L71" s="11">
        <v>2.13</v>
      </c>
      <c r="M71" s="11">
        <v>24064.33</v>
      </c>
      <c r="N71" s="11">
        <v>281.54000000000002</v>
      </c>
      <c r="O71" s="11">
        <v>7119.73</v>
      </c>
      <c r="P71" s="11">
        <f t="shared" si="11"/>
        <v>4747.9800000000014</v>
      </c>
      <c r="Q71" s="11">
        <v>198.98</v>
      </c>
      <c r="R71" s="11">
        <v>475.98</v>
      </c>
      <c r="S71" s="11">
        <v>1900.36</v>
      </c>
      <c r="T71" s="11">
        <v>2060.33</v>
      </c>
      <c r="U71" s="11"/>
      <c r="V71" s="11">
        <v>112.33000000000175</v>
      </c>
      <c r="W71" s="55">
        <f t="shared" si="12"/>
        <v>36213.58</v>
      </c>
      <c r="X71" s="74">
        <f t="shared" si="13"/>
        <v>0.66451121374909639</v>
      </c>
      <c r="Y71" s="74">
        <f t="shared" si="14"/>
        <v>7.7744315806390863E-3</v>
      </c>
      <c r="Z71" s="74">
        <f t="shared" si="15"/>
        <v>0.19660387070264798</v>
      </c>
      <c r="AA71" s="74">
        <f t="shared" si="16"/>
        <v>0.1311104839676166</v>
      </c>
    </row>
    <row r="72" spans="1:27" hidden="1">
      <c r="A72" s="7" t="s">
        <v>6</v>
      </c>
      <c r="B72" s="7">
        <v>10005781</v>
      </c>
      <c r="C72" s="7" t="str">
        <f t="shared" si="10"/>
        <v>ENERO10005781Revalorización</v>
      </c>
      <c r="D72" s="7" t="s">
        <v>369</v>
      </c>
      <c r="E72" s="3" t="s">
        <v>324</v>
      </c>
      <c r="F72" s="8">
        <v>0</v>
      </c>
      <c r="G72" s="2" t="s">
        <v>323</v>
      </c>
      <c r="H72" s="11">
        <v>-170.4</v>
      </c>
      <c r="I72" s="11">
        <v>170.4</v>
      </c>
      <c r="J72" s="11"/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f t="shared" si="11"/>
        <v>0</v>
      </c>
      <c r="Q72" s="11">
        <v>0</v>
      </c>
      <c r="R72" s="11">
        <v>0</v>
      </c>
      <c r="S72" s="11">
        <v>0</v>
      </c>
      <c r="T72" s="11">
        <v>0</v>
      </c>
      <c r="U72" s="11"/>
      <c r="V72" s="11">
        <v>0</v>
      </c>
      <c r="W72" s="55">
        <f t="shared" si="12"/>
        <v>0</v>
      </c>
      <c r="X72" s="74" t="e">
        <f t="shared" si="13"/>
        <v>#DIV/0!</v>
      </c>
      <c r="Y72" s="74" t="e">
        <f t="shared" si="14"/>
        <v>#DIV/0!</v>
      </c>
      <c r="Z72" s="74" t="e">
        <f t="shared" si="15"/>
        <v>#DIV/0!</v>
      </c>
      <c r="AA72" s="74" t="e">
        <f t="shared" si="16"/>
        <v>#DIV/0!</v>
      </c>
    </row>
    <row r="73" spans="1:27" hidden="1">
      <c r="A73" s="7" t="s">
        <v>6</v>
      </c>
      <c r="B73" s="7">
        <v>10005781</v>
      </c>
      <c r="C73" s="7" t="str">
        <f t="shared" si="10"/>
        <v>ENERO10005781Entradas</v>
      </c>
      <c r="D73" s="7" t="s">
        <v>369</v>
      </c>
      <c r="E73" s="3" t="s">
        <v>167</v>
      </c>
      <c r="F73" s="8">
        <v>28720</v>
      </c>
      <c r="G73" s="2" t="s">
        <v>323</v>
      </c>
      <c r="H73" s="11">
        <v>59450.400000000001</v>
      </c>
      <c r="I73" s="11">
        <v>-5173.8</v>
      </c>
      <c r="J73" s="11"/>
      <c r="K73" s="11">
        <v>54276.6</v>
      </c>
      <c r="L73" s="11">
        <v>1.89</v>
      </c>
      <c r="M73" s="11">
        <v>33170.14</v>
      </c>
      <c r="N73" s="11">
        <v>479.43</v>
      </c>
      <c r="O73" s="11">
        <v>11584.68</v>
      </c>
      <c r="P73" s="11">
        <f t="shared" si="11"/>
        <v>9042.3499999999985</v>
      </c>
      <c r="Q73" s="11">
        <v>64.510000000000005</v>
      </c>
      <c r="R73" s="11">
        <v>493.73</v>
      </c>
      <c r="S73" s="11">
        <v>4510.88</v>
      </c>
      <c r="T73" s="11">
        <v>3651.17</v>
      </c>
      <c r="U73" s="11"/>
      <c r="V73" s="11">
        <v>322.05999999999767</v>
      </c>
      <c r="W73" s="55">
        <f t="shared" si="12"/>
        <v>54276.6</v>
      </c>
      <c r="X73" s="74">
        <f t="shared" si="13"/>
        <v>0.61113150049929432</v>
      </c>
      <c r="Y73" s="74">
        <f t="shared" si="14"/>
        <v>8.833088292192216E-3</v>
      </c>
      <c r="Z73" s="74">
        <f t="shared" si="15"/>
        <v>0.21343783508915445</v>
      </c>
      <c r="AA73" s="74">
        <f t="shared" si="16"/>
        <v>0.16659757611935896</v>
      </c>
    </row>
    <row r="74" spans="1:27" hidden="1">
      <c r="A74" s="7" t="s">
        <v>6</v>
      </c>
      <c r="B74" s="7">
        <v>10005781</v>
      </c>
      <c r="C74" s="7" t="str">
        <f t="shared" si="10"/>
        <v>ENERO10005781Inv. acumulado</v>
      </c>
      <c r="D74" s="7" t="s">
        <v>369</v>
      </c>
      <c r="E74" s="3" t="s">
        <v>333</v>
      </c>
      <c r="F74" s="8">
        <v>45760</v>
      </c>
      <c r="G74" s="2" t="s">
        <v>323</v>
      </c>
      <c r="H74" s="11">
        <v>94723.199999999997</v>
      </c>
      <c r="I74" s="11">
        <v>-4233.0200000000004</v>
      </c>
      <c r="J74" s="11"/>
      <c r="K74" s="11">
        <v>90490.18</v>
      </c>
      <c r="L74" s="11">
        <v>1.98</v>
      </c>
      <c r="M74" s="11">
        <v>57234.47</v>
      </c>
      <c r="N74" s="11">
        <v>760.97</v>
      </c>
      <c r="O74" s="11">
        <v>18704.41</v>
      </c>
      <c r="P74" s="11">
        <f t="shared" si="11"/>
        <v>13790.329999999984</v>
      </c>
      <c r="Q74" s="11">
        <v>263.49</v>
      </c>
      <c r="R74" s="11">
        <v>969.71</v>
      </c>
      <c r="S74" s="11">
        <v>6411.24</v>
      </c>
      <c r="T74" s="11">
        <v>5711.5</v>
      </c>
      <c r="U74" s="11"/>
      <c r="V74" s="11">
        <v>434.38999999998487</v>
      </c>
      <c r="W74" s="55">
        <f t="shared" si="12"/>
        <v>90490.18</v>
      </c>
      <c r="X74" s="74">
        <f t="shared" si="13"/>
        <v>0.63249371368252338</v>
      </c>
      <c r="Y74" s="74">
        <f t="shared" si="14"/>
        <v>8.4094207791386884E-3</v>
      </c>
      <c r="Z74" s="74">
        <f t="shared" si="15"/>
        <v>0.20670099230656852</v>
      </c>
      <c r="AA74" s="74">
        <f t="shared" si="16"/>
        <v>0.15239587323176929</v>
      </c>
    </row>
    <row r="75" spans="1:27" hidden="1">
      <c r="A75" s="7" t="s">
        <v>6</v>
      </c>
      <c r="B75" s="7">
        <v>10005781</v>
      </c>
      <c r="C75" s="7" t="str">
        <f t="shared" si="10"/>
        <v>ENERO10005781Compensación</v>
      </c>
      <c r="D75" s="7" t="s">
        <v>369</v>
      </c>
      <c r="E75" s="3" t="s">
        <v>117</v>
      </c>
      <c r="F75" s="9">
        <v>17040</v>
      </c>
      <c r="G75" s="3" t="s">
        <v>323</v>
      </c>
      <c r="H75" s="12">
        <v>35272.800000000003</v>
      </c>
      <c r="I75" s="12">
        <v>-1576.28</v>
      </c>
      <c r="J75" s="13"/>
      <c r="K75" s="12">
        <v>33696.519999999997</v>
      </c>
      <c r="L75" s="12">
        <v>1.98</v>
      </c>
      <c r="M75" s="12">
        <v>21312.84</v>
      </c>
      <c r="N75" s="12">
        <v>283.36</v>
      </c>
      <c r="O75" s="12">
        <v>6965.11</v>
      </c>
      <c r="P75" s="12">
        <f t="shared" si="11"/>
        <v>5135.2099999999946</v>
      </c>
      <c r="Q75" s="12">
        <v>98.12</v>
      </c>
      <c r="R75" s="12">
        <v>361.09</v>
      </c>
      <c r="S75" s="12">
        <v>2387.41</v>
      </c>
      <c r="T75" s="12">
        <v>2126.83</v>
      </c>
      <c r="U75" s="14"/>
      <c r="V75" s="11">
        <v>161.75999999999476</v>
      </c>
      <c r="W75" s="55">
        <f t="shared" si="12"/>
        <v>33696.519999999997</v>
      </c>
      <c r="X75" s="74">
        <f t="shared" si="13"/>
        <v>0.63249380054676274</v>
      </c>
      <c r="Y75" s="74">
        <f t="shared" si="14"/>
        <v>8.4091769713905192E-3</v>
      </c>
      <c r="Z75" s="74">
        <f t="shared" si="15"/>
        <v>0.20670116676736947</v>
      </c>
      <c r="AA75" s="74">
        <f t="shared" si="16"/>
        <v>0.1523958557144772</v>
      </c>
    </row>
    <row r="76" spans="1:27" hidden="1">
      <c r="A76" s="7" t="s">
        <v>6</v>
      </c>
      <c r="B76" s="7">
        <v>10005781</v>
      </c>
      <c r="C76" s="7" t="str">
        <f t="shared" si="10"/>
        <v>ENERO10005781Inventario final</v>
      </c>
      <c r="D76" s="7" t="s">
        <v>369</v>
      </c>
      <c r="E76" s="3" t="s">
        <v>221</v>
      </c>
      <c r="F76" s="9">
        <v>28720</v>
      </c>
      <c r="G76" s="3" t="s">
        <v>323</v>
      </c>
      <c r="H76" s="12">
        <v>59450.400000000001</v>
      </c>
      <c r="I76" s="12">
        <v>2656.74</v>
      </c>
      <c r="J76" s="13"/>
      <c r="K76" s="12">
        <v>56793.66</v>
      </c>
      <c r="L76" s="12">
        <v>1.98</v>
      </c>
      <c r="M76" s="12">
        <v>35921.629999999997</v>
      </c>
      <c r="N76" s="12">
        <v>477.61</v>
      </c>
      <c r="O76" s="12">
        <v>11739.3</v>
      </c>
      <c r="P76" s="12">
        <f t="shared" si="11"/>
        <v>8655.1200000000117</v>
      </c>
      <c r="Q76" s="12">
        <v>165.37</v>
      </c>
      <c r="R76" s="12">
        <v>608.62</v>
      </c>
      <c r="S76" s="12">
        <v>4023.83</v>
      </c>
      <c r="T76" s="12">
        <v>3584.67</v>
      </c>
      <c r="U76" s="14"/>
      <c r="V76" s="11">
        <v>272.63000000001193</v>
      </c>
      <c r="W76" s="55">
        <f t="shared" si="12"/>
        <v>56793.66</v>
      </c>
      <c r="X76" s="74">
        <f t="shared" si="13"/>
        <v>0.63249366214468294</v>
      </c>
      <c r="Y76" s="74">
        <f t="shared" si="14"/>
        <v>8.4095654338882195E-3</v>
      </c>
      <c r="Z76" s="74">
        <f t="shared" si="15"/>
        <v>0.20670088879639029</v>
      </c>
      <c r="AA76" s="74">
        <f t="shared" si="16"/>
        <v>0.15239588362503861</v>
      </c>
    </row>
    <row r="77" spans="1:27" hidden="1">
      <c r="A77" s="7" t="s">
        <v>7</v>
      </c>
      <c r="B77" s="7">
        <v>10005781</v>
      </c>
      <c r="C77" s="7" t="str">
        <f t="shared" si="10"/>
        <v>FEBRERO10005781Inventario inicial</v>
      </c>
      <c r="D77" s="7" t="s">
        <v>369</v>
      </c>
      <c r="E77" s="3" t="s">
        <v>322</v>
      </c>
      <c r="F77" s="9">
        <v>28720</v>
      </c>
      <c r="G77" s="3" t="s">
        <v>323</v>
      </c>
      <c r="H77" s="12">
        <v>59450.400000000001</v>
      </c>
      <c r="I77" s="12" t="s">
        <v>370</v>
      </c>
      <c r="J77" s="13"/>
      <c r="K77" s="12">
        <v>56793.66</v>
      </c>
      <c r="L77" s="12">
        <v>1.98</v>
      </c>
      <c r="M77" s="12">
        <v>35921.629999999997</v>
      </c>
      <c r="N77" s="12">
        <v>477.61</v>
      </c>
      <c r="O77" s="12">
        <v>11739.3</v>
      </c>
      <c r="P77" s="12">
        <f t="shared" si="11"/>
        <v>8655.1200000000117</v>
      </c>
      <c r="Q77" s="12">
        <v>165.37</v>
      </c>
      <c r="R77" s="12">
        <v>608.62</v>
      </c>
      <c r="S77" s="12">
        <v>4023.83</v>
      </c>
      <c r="T77" s="12" t="s">
        <v>371</v>
      </c>
      <c r="U77" s="14">
        <v>3584.67</v>
      </c>
      <c r="V77" s="11">
        <v>272.63000000001193</v>
      </c>
      <c r="W77" s="55">
        <f t="shared" si="12"/>
        <v>56793.66</v>
      </c>
      <c r="X77" s="74">
        <f t="shared" si="13"/>
        <v>0.63249366214468294</v>
      </c>
      <c r="Y77" s="74">
        <f t="shared" si="14"/>
        <v>8.4095654338882195E-3</v>
      </c>
      <c r="Z77" s="74">
        <f t="shared" si="15"/>
        <v>0.20670088879639029</v>
      </c>
      <c r="AA77" s="74">
        <f t="shared" si="16"/>
        <v>0.15239588362503861</v>
      </c>
    </row>
    <row r="78" spans="1:27" hidden="1">
      <c r="A78" s="7" t="s">
        <v>7</v>
      </c>
      <c r="B78" s="7">
        <v>10005781</v>
      </c>
      <c r="C78" s="7" t="str">
        <f t="shared" si="10"/>
        <v>FEBRERO10005781Revalorización</v>
      </c>
      <c r="D78" s="7" t="s">
        <v>369</v>
      </c>
      <c r="E78" s="3" t="s">
        <v>324</v>
      </c>
      <c r="F78" s="9">
        <v>0</v>
      </c>
      <c r="G78" s="3" t="s">
        <v>323</v>
      </c>
      <c r="H78" s="12">
        <v>1723.2</v>
      </c>
      <c r="I78" s="12" t="s">
        <v>372</v>
      </c>
      <c r="J78" s="13"/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f t="shared" si="11"/>
        <v>0</v>
      </c>
      <c r="Q78" s="12">
        <v>0</v>
      </c>
      <c r="R78" s="12">
        <v>0</v>
      </c>
      <c r="S78" s="12">
        <v>0</v>
      </c>
      <c r="T78" s="12">
        <v>0</v>
      </c>
      <c r="U78" s="14">
        <v>0</v>
      </c>
      <c r="V78" s="11">
        <v>0</v>
      </c>
      <c r="W78" s="55">
        <f t="shared" si="12"/>
        <v>0</v>
      </c>
      <c r="X78" s="74" t="e">
        <f t="shared" si="13"/>
        <v>#DIV/0!</v>
      </c>
      <c r="Y78" s="74" t="e">
        <f t="shared" si="14"/>
        <v>#DIV/0!</v>
      </c>
      <c r="Z78" s="74" t="e">
        <f t="shared" si="15"/>
        <v>#DIV/0!</v>
      </c>
      <c r="AA78" s="74" t="e">
        <f t="shared" si="16"/>
        <v>#DIV/0!</v>
      </c>
    </row>
    <row r="79" spans="1:27" hidden="1">
      <c r="A79" s="7" t="s">
        <v>7</v>
      </c>
      <c r="B79" s="7">
        <v>10005781</v>
      </c>
      <c r="C79" s="7" t="str">
        <f t="shared" si="10"/>
        <v>FEBRERO10005781Entradas</v>
      </c>
      <c r="D79" s="7" t="s">
        <v>369</v>
      </c>
      <c r="E79" s="3" t="s">
        <v>167</v>
      </c>
      <c r="F79" s="9">
        <v>39100</v>
      </c>
      <c r="G79" s="3" t="s">
        <v>323</v>
      </c>
      <c r="H79" s="12">
        <v>83283</v>
      </c>
      <c r="I79" s="12" t="s">
        <v>373</v>
      </c>
      <c r="J79" s="13"/>
      <c r="K79" s="12">
        <v>69096.94</v>
      </c>
      <c r="L79" s="12">
        <v>1.77</v>
      </c>
      <c r="M79" s="12">
        <v>39977.199999999997</v>
      </c>
      <c r="N79" s="12">
        <v>614.88</v>
      </c>
      <c r="O79" s="12">
        <v>15927.99</v>
      </c>
      <c r="P79" s="12">
        <f t="shared" si="11"/>
        <v>12576.87000000001</v>
      </c>
      <c r="Q79" s="12">
        <v>274.29000000000002</v>
      </c>
      <c r="R79" s="12">
        <v>674.48</v>
      </c>
      <c r="S79" s="12">
        <v>6161.49</v>
      </c>
      <c r="T79" s="12" t="s">
        <v>331</v>
      </c>
      <c r="U79" s="14">
        <v>4987.99</v>
      </c>
      <c r="V79" s="11">
        <v>478.6200000000099</v>
      </c>
      <c r="W79" s="55">
        <f t="shared" si="12"/>
        <v>69096.94</v>
      </c>
      <c r="X79" s="74">
        <f t="shared" si="13"/>
        <v>0.57856686562386117</v>
      </c>
      <c r="Y79" s="74">
        <f t="shared" si="14"/>
        <v>8.8988021756100915E-3</v>
      </c>
      <c r="Z79" s="74">
        <f t="shared" si="15"/>
        <v>0.23051657569785289</v>
      </c>
      <c r="AA79" s="74">
        <f t="shared" si="16"/>
        <v>0.18201775650267593</v>
      </c>
    </row>
    <row r="80" spans="1:27" hidden="1">
      <c r="A80" s="7" t="s">
        <v>7</v>
      </c>
      <c r="B80" s="7">
        <v>10005781</v>
      </c>
      <c r="C80" s="7" t="str">
        <f t="shared" si="10"/>
        <v>FEBRERO10005781Inventario acumulado</v>
      </c>
      <c r="D80" s="7" t="s">
        <v>369</v>
      </c>
      <c r="E80" s="3" t="s">
        <v>325</v>
      </c>
      <c r="F80" s="9">
        <v>67820</v>
      </c>
      <c r="G80" s="3" t="s">
        <v>323</v>
      </c>
      <c r="H80" s="12">
        <v>144456.6</v>
      </c>
      <c r="I80" s="12" t="s">
        <v>374</v>
      </c>
      <c r="J80" s="13"/>
      <c r="K80" s="12">
        <v>125890.6</v>
      </c>
      <c r="L80" s="12">
        <v>1.86</v>
      </c>
      <c r="M80" s="12">
        <v>75898.83</v>
      </c>
      <c r="N80" s="12">
        <v>1092.49</v>
      </c>
      <c r="O80" s="12">
        <v>27667.29</v>
      </c>
      <c r="P80" s="12">
        <f t="shared" si="11"/>
        <v>21231.989999999998</v>
      </c>
      <c r="Q80" s="12">
        <v>439.66</v>
      </c>
      <c r="R80" s="12">
        <v>1283.0999999999999</v>
      </c>
      <c r="S80" s="12">
        <v>10185.32</v>
      </c>
      <c r="T80" s="11" t="s">
        <v>375</v>
      </c>
      <c r="U80" s="11">
        <v>8572.66</v>
      </c>
      <c r="V80" s="11">
        <v>751.25</v>
      </c>
      <c r="W80" s="55">
        <f t="shared" si="12"/>
        <v>125890.6</v>
      </c>
      <c r="X80" s="74">
        <f t="shared" si="13"/>
        <v>0.6028951327581249</v>
      </c>
      <c r="Y80" s="74">
        <f t="shared" si="14"/>
        <v>8.6780903419318035E-3</v>
      </c>
      <c r="Z80" s="74">
        <f t="shared" si="15"/>
        <v>0.21977248499887997</v>
      </c>
      <c r="AA80" s="74">
        <f t="shared" si="16"/>
        <v>0.16865429190106329</v>
      </c>
    </row>
    <row r="81" spans="1:27" hidden="1">
      <c r="A81" s="7" t="s">
        <v>7</v>
      </c>
      <c r="B81" s="7">
        <v>10005781</v>
      </c>
      <c r="C81" s="7" t="str">
        <f t="shared" si="10"/>
        <v>FEBRERO10005781Inventario final</v>
      </c>
      <c r="D81" s="7" t="s">
        <v>369</v>
      </c>
      <c r="E81" s="3" t="s">
        <v>221</v>
      </c>
      <c r="F81" s="8">
        <v>67820</v>
      </c>
      <c r="G81" s="2" t="s">
        <v>323</v>
      </c>
      <c r="H81" s="11">
        <v>144456.6</v>
      </c>
      <c r="I81" s="11" t="s">
        <v>374</v>
      </c>
      <c r="J81" s="11"/>
      <c r="K81" s="11">
        <v>125890.6</v>
      </c>
      <c r="L81" s="11">
        <v>1.86</v>
      </c>
      <c r="M81" s="11">
        <v>75898.83</v>
      </c>
      <c r="N81" s="11">
        <v>1092.49</v>
      </c>
      <c r="O81" s="11">
        <v>27667.29</v>
      </c>
      <c r="P81" s="11">
        <f t="shared" si="11"/>
        <v>21231.989999999998</v>
      </c>
      <c r="Q81" s="11">
        <v>439.66</v>
      </c>
      <c r="R81" s="11">
        <v>1283.0999999999999</v>
      </c>
      <c r="S81" s="11">
        <v>10185.32</v>
      </c>
      <c r="T81" s="11" t="s">
        <v>375</v>
      </c>
      <c r="U81" s="11">
        <v>8572.66</v>
      </c>
      <c r="V81" s="11">
        <v>751.25</v>
      </c>
      <c r="W81" s="55">
        <f t="shared" si="12"/>
        <v>125890.6</v>
      </c>
      <c r="X81" s="74">
        <f t="shared" si="13"/>
        <v>0.6028951327581249</v>
      </c>
      <c r="Y81" s="74">
        <f t="shared" si="14"/>
        <v>8.6780903419318035E-3</v>
      </c>
      <c r="Z81" s="74">
        <f t="shared" si="15"/>
        <v>0.21977248499887997</v>
      </c>
      <c r="AA81" s="74">
        <f t="shared" si="16"/>
        <v>0.16865429190106329</v>
      </c>
    </row>
    <row r="82" spans="1:27" hidden="1">
      <c r="A82" s="7" t="s">
        <v>6</v>
      </c>
      <c r="B82" s="7">
        <v>10007567</v>
      </c>
      <c r="C82" s="7" t="str">
        <f t="shared" si="10"/>
        <v>ENERO10007567Inventario inicial</v>
      </c>
      <c r="D82" s="7" t="s">
        <v>376</v>
      </c>
      <c r="E82" s="3" t="s">
        <v>322</v>
      </c>
      <c r="F82" s="8">
        <v>30440</v>
      </c>
      <c r="G82" s="2" t="s">
        <v>323</v>
      </c>
      <c r="H82" s="11">
        <v>56618.400000000001</v>
      </c>
      <c r="I82" s="11">
        <v>1543.11</v>
      </c>
      <c r="J82" s="11"/>
      <c r="K82" s="11">
        <v>58161.51</v>
      </c>
      <c r="L82" s="11">
        <v>1.91</v>
      </c>
      <c r="M82" s="11">
        <v>39830.400000000001</v>
      </c>
      <c r="N82" s="11">
        <v>493.59</v>
      </c>
      <c r="O82" s="11">
        <v>9574.4</v>
      </c>
      <c r="P82" s="11">
        <f t="shared" si="11"/>
        <v>8263.1200000000063</v>
      </c>
      <c r="Q82" s="11">
        <v>211.68</v>
      </c>
      <c r="R82" s="11">
        <v>844.83</v>
      </c>
      <c r="S82" s="11">
        <v>3417.18</v>
      </c>
      <c r="T82" s="11">
        <v>3648.08</v>
      </c>
      <c r="U82" s="11"/>
      <c r="V82" s="11">
        <v>141.35000000000582</v>
      </c>
      <c r="W82" s="55">
        <f t="shared" si="12"/>
        <v>58161.510000000009</v>
      </c>
      <c r="X82" s="74">
        <f t="shared" si="13"/>
        <v>0.68482403568958228</v>
      </c>
      <c r="Y82" s="74">
        <f t="shared" si="14"/>
        <v>8.4865403253801333E-3</v>
      </c>
      <c r="Z82" s="74">
        <f t="shared" si="15"/>
        <v>0.16461745920970755</v>
      </c>
      <c r="AA82" s="74">
        <f t="shared" si="16"/>
        <v>0.14207196477533002</v>
      </c>
    </row>
    <row r="83" spans="1:27" hidden="1">
      <c r="A83" s="7" t="s">
        <v>6</v>
      </c>
      <c r="B83" s="7">
        <v>10007567</v>
      </c>
      <c r="C83" s="7" t="str">
        <f t="shared" si="10"/>
        <v>ENERO10007567Revalorización</v>
      </c>
      <c r="D83" s="7" t="s">
        <v>376</v>
      </c>
      <c r="E83" s="3" t="s">
        <v>324</v>
      </c>
      <c r="F83" s="8">
        <v>0</v>
      </c>
      <c r="G83" s="2" t="s">
        <v>323</v>
      </c>
      <c r="H83" s="11">
        <v>913.2</v>
      </c>
      <c r="I83" s="11">
        <v>-913.2</v>
      </c>
      <c r="J83" s="11"/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f t="shared" si="11"/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>
        <v>0</v>
      </c>
      <c r="W83" s="55">
        <f t="shared" si="12"/>
        <v>0</v>
      </c>
      <c r="X83" s="74" t="e">
        <f t="shared" si="13"/>
        <v>#DIV/0!</v>
      </c>
      <c r="Y83" s="74" t="e">
        <f t="shared" si="14"/>
        <v>#DIV/0!</v>
      </c>
      <c r="Z83" s="74" t="e">
        <f t="shared" si="15"/>
        <v>#DIV/0!</v>
      </c>
      <c r="AA83" s="74" t="e">
        <f t="shared" si="16"/>
        <v>#DIV/0!</v>
      </c>
    </row>
    <row r="84" spans="1:27" hidden="1">
      <c r="A84" s="7" t="s">
        <v>6</v>
      </c>
      <c r="B84" s="7">
        <v>10007567</v>
      </c>
      <c r="C84" s="7" t="str">
        <f t="shared" si="10"/>
        <v>ENERO10007567Entradas</v>
      </c>
      <c r="D84" s="7" t="s">
        <v>376</v>
      </c>
      <c r="E84" s="3" t="s">
        <v>167</v>
      </c>
      <c r="F84" s="8">
        <v>46420</v>
      </c>
      <c r="G84" s="2" t="s">
        <v>323</v>
      </c>
      <c r="H84" s="11">
        <v>87733.8</v>
      </c>
      <c r="I84" s="11">
        <v>-5253.54</v>
      </c>
      <c r="J84" s="11"/>
      <c r="K84" s="11">
        <v>82480.259999999995</v>
      </c>
      <c r="L84" s="11">
        <v>1.78</v>
      </c>
      <c r="M84" s="11">
        <v>53587.96</v>
      </c>
      <c r="N84" s="11">
        <v>884.42</v>
      </c>
      <c r="O84" s="11">
        <v>13386</v>
      </c>
      <c r="P84" s="11">
        <f t="shared" si="11"/>
        <v>14621.879999999986</v>
      </c>
      <c r="Q84" s="11">
        <v>104.26</v>
      </c>
      <c r="R84" s="11">
        <v>798.01</v>
      </c>
      <c r="S84" s="11">
        <v>7290.91</v>
      </c>
      <c r="T84" s="11">
        <v>5901.37</v>
      </c>
      <c r="U84" s="11"/>
      <c r="V84" s="11">
        <v>527.32999999998719</v>
      </c>
      <c r="W84" s="55">
        <f t="shared" si="12"/>
        <v>82480.259999999995</v>
      </c>
      <c r="X84" s="74">
        <f t="shared" si="13"/>
        <v>0.64970648734618441</v>
      </c>
      <c r="Y84" s="74">
        <f t="shared" si="14"/>
        <v>1.0722808099780481E-2</v>
      </c>
      <c r="Z84" s="74">
        <f t="shared" si="15"/>
        <v>0.16229337783367803</v>
      </c>
      <c r="AA84" s="74">
        <f t="shared" si="16"/>
        <v>0.17727732672035693</v>
      </c>
    </row>
    <row r="85" spans="1:27" hidden="1">
      <c r="A85" s="7" t="s">
        <v>6</v>
      </c>
      <c r="B85" s="7">
        <v>10007567</v>
      </c>
      <c r="C85" s="7" t="str">
        <f t="shared" si="10"/>
        <v>ENERO10007567Inv. acumulado</v>
      </c>
      <c r="D85" s="7" t="s">
        <v>376</v>
      </c>
      <c r="E85" s="3" t="s">
        <v>333</v>
      </c>
      <c r="F85" s="8">
        <v>76860</v>
      </c>
      <c r="G85" s="2" t="s">
        <v>323</v>
      </c>
      <c r="H85" s="11">
        <v>145265.4</v>
      </c>
      <c r="I85" s="11">
        <v>-4623.63</v>
      </c>
      <c r="J85" s="11"/>
      <c r="K85" s="11">
        <v>140641.76999999999</v>
      </c>
      <c r="L85" s="11">
        <v>1.83</v>
      </c>
      <c r="M85" s="11">
        <v>93418.36</v>
      </c>
      <c r="N85" s="11">
        <v>1378.01</v>
      </c>
      <c r="O85" s="11">
        <v>22960.400000000001</v>
      </c>
      <c r="P85" s="11">
        <f t="shared" si="11"/>
        <v>22884.999999999993</v>
      </c>
      <c r="Q85" s="11">
        <v>315.94</v>
      </c>
      <c r="R85" s="11">
        <v>1642.84</v>
      </c>
      <c r="S85" s="11">
        <v>10708.09</v>
      </c>
      <c r="T85" s="11">
        <v>9549.4500000000007</v>
      </c>
      <c r="U85" s="11"/>
      <c r="V85" s="11">
        <v>668.67999999999302</v>
      </c>
      <c r="W85" s="55">
        <f t="shared" si="12"/>
        <v>140641.76999999999</v>
      </c>
      <c r="X85" s="74">
        <f t="shared" si="13"/>
        <v>0.66422912624037656</v>
      </c>
      <c r="Y85" s="74">
        <f t="shared" si="14"/>
        <v>9.7980137764193398E-3</v>
      </c>
      <c r="Z85" s="74">
        <f t="shared" si="15"/>
        <v>0.16325448691380948</v>
      </c>
      <c r="AA85" s="74">
        <f t="shared" si="16"/>
        <v>0.16271837306939463</v>
      </c>
    </row>
    <row r="86" spans="1:27" hidden="1">
      <c r="A86" s="7" t="s">
        <v>6</v>
      </c>
      <c r="B86" s="7">
        <v>10007567</v>
      </c>
      <c r="C86" s="7" t="str">
        <f t="shared" si="10"/>
        <v>ENERO10007567Compensación</v>
      </c>
      <c r="D86" s="7" t="s">
        <v>376</v>
      </c>
      <c r="E86" s="3" t="s">
        <v>117</v>
      </c>
      <c r="F86" s="8">
        <v>48960</v>
      </c>
      <c r="G86" s="2" t="s">
        <v>323</v>
      </c>
      <c r="H86" s="11">
        <v>92534.399999999994</v>
      </c>
      <c r="I86" s="11">
        <v>-2945.26</v>
      </c>
      <c r="J86" s="11"/>
      <c r="K86" s="11">
        <v>89589.14</v>
      </c>
      <c r="L86" s="11">
        <v>1.83</v>
      </c>
      <c r="M86" s="11">
        <v>59507.71</v>
      </c>
      <c r="N86" s="11">
        <v>877.8</v>
      </c>
      <c r="O86" s="11">
        <v>14625.83</v>
      </c>
      <c r="P86" s="11">
        <f t="shared" si="11"/>
        <v>14577.800000000007</v>
      </c>
      <c r="Q86" s="11">
        <v>201.25</v>
      </c>
      <c r="R86" s="11">
        <v>1046.5</v>
      </c>
      <c r="S86" s="11">
        <v>6821.07</v>
      </c>
      <c r="T86" s="11">
        <v>6083.02</v>
      </c>
      <c r="U86" s="11"/>
      <c r="V86" s="11">
        <v>425.9600000000064</v>
      </c>
      <c r="W86" s="55">
        <f t="shared" si="12"/>
        <v>89589.14</v>
      </c>
      <c r="X86" s="74">
        <f t="shared" si="13"/>
        <v>0.66422905722724879</v>
      </c>
      <c r="Y86" s="74">
        <f t="shared" si="14"/>
        <v>9.7980625776740351E-3</v>
      </c>
      <c r="Z86" s="74">
        <f t="shared" si="15"/>
        <v>0.16325449714105972</v>
      </c>
      <c r="AA86" s="74">
        <f t="shared" si="16"/>
        <v>0.16271838305401756</v>
      </c>
    </row>
    <row r="87" spans="1:27" hidden="1">
      <c r="A87" s="7" t="s">
        <v>6</v>
      </c>
      <c r="B87" s="7">
        <v>10007567</v>
      </c>
      <c r="C87" s="7" t="str">
        <f t="shared" si="10"/>
        <v>ENERO10007567Inventario final</v>
      </c>
      <c r="D87" s="7" t="s">
        <v>376</v>
      </c>
      <c r="E87" s="3" t="s">
        <v>221</v>
      </c>
      <c r="F87" s="9">
        <v>27900</v>
      </c>
      <c r="G87" s="3" t="s">
        <v>323</v>
      </c>
      <c r="H87" s="12">
        <v>52731</v>
      </c>
      <c r="I87" s="12">
        <v>-1678.37</v>
      </c>
      <c r="J87" s="15"/>
      <c r="K87" s="12">
        <v>51052.63</v>
      </c>
      <c r="L87" s="12">
        <v>1.83</v>
      </c>
      <c r="M87" s="12">
        <v>33910.65</v>
      </c>
      <c r="N87" s="12">
        <v>500.21</v>
      </c>
      <c r="O87" s="12">
        <v>8334.57</v>
      </c>
      <c r="P87" s="12">
        <f t="shared" si="11"/>
        <v>8307.1999999999935</v>
      </c>
      <c r="Q87" s="12">
        <v>114.69</v>
      </c>
      <c r="R87" s="12">
        <v>596.34</v>
      </c>
      <c r="S87" s="12">
        <v>3887.02</v>
      </c>
      <c r="T87" s="11">
        <v>3466.43</v>
      </c>
      <c r="U87" s="11"/>
      <c r="V87" s="11">
        <v>242.71999999999389</v>
      </c>
      <c r="W87" s="55">
        <f t="shared" si="12"/>
        <v>51052.62999999999</v>
      </c>
      <c r="X87" s="74">
        <f t="shared" si="13"/>
        <v>0.66422924734729649</v>
      </c>
      <c r="Y87" s="74">
        <f t="shared" si="14"/>
        <v>9.797928138080253E-3</v>
      </c>
      <c r="Z87" s="74">
        <f t="shared" si="15"/>
        <v>0.16325446896663309</v>
      </c>
      <c r="AA87" s="74">
        <f t="shared" si="16"/>
        <v>0.16271835554799027</v>
      </c>
    </row>
    <row r="88" spans="1:27" hidden="1">
      <c r="A88" s="7" t="s">
        <v>7</v>
      </c>
      <c r="B88" s="7">
        <v>10007567</v>
      </c>
      <c r="C88" s="7" t="str">
        <f t="shared" si="10"/>
        <v>FEBRERO10007567Inventario inicial</v>
      </c>
      <c r="D88" s="7" t="s">
        <v>376</v>
      </c>
      <c r="E88" s="3" t="s">
        <v>322</v>
      </c>
      <c r="F88" s="8">
        <v>27900</v>
      </c>
      <c r="G88" s="2" t="s">
        <v>323</v>
      </c>
      <c r="H88" s="11">
        <v>52731</v>
      </c>
      <c r="I88" s="11" t="s">
        <v>377</v>
      </c>
      <c r="J88" s="11"/>
      <c r="K88" s="11">
        <v>51052.63</v>
      </c>
      <c r="L88" s="11">
        <v>1.83</v>
      </c>
      <c r="M88" s="11">
        <v>33910.65</v>
      </c>
      <c r="N88" s="11">
        <v>500.21</v>
      </c>
      <c r="O88" s="11">
        <v>8334.57</v>
      </c>
      <c r="P88" s="11">
        <f t="shared" si="11"/>
        <v>8307.1999999999935</v>
      </c>
      <c r="Q88" s="11">
        <v>114.69</v>
      </c>
      <c r="R88" s="11">
        <v>596.34</v>
      </c>
      <c r="S88" s="11">
        <v>3887.02</v>
      </c>
      <c r="T88" s="11">
        <v>0</v>
      </c>
      <c r="U88" s="11">
        <v>3466.43</v>
      </c>
      <c r="V88" s="11">
        <v>242.71999999999389</v>
      </c>
      <c r="W88" s="55">
        <f t="shared" si="12"/>
        <v>51052.62999999999</v>
      </c>
      <c r="X88" s="74">
        <f t="shared" si="13"/>
        <v>0.66422924734729649</v>
      </c>
      <c r="Y88" s="74">
        <f t="shared" si="14"/>
        <v>9.797928138080253E-3</v>
      </c>
      <c r="Z88" s="74">
        <f t="shared" si="15"/>
        <v>0.16325446896663309</v>
      </c>
      <c r="AA88" s="74">
        <f t="shared" si="16"/>
        <v>0.16271835554799027</v>
      </c>
    </row>
    <row r="89" spans="1:27" hidden="1">
      <c r="A89" s="7" t="s">
        <v>7</v>
      </c>
      <c r="B89" s="7">
        <v>10007567</v>
      </c>
      <c r="C89" s="7" t="str">
        <f t="shared" si="10"/>
        <v>FEBRERO10007567Revalorización</v>
      </c>
      <c r="D89" s="7" t="s">
        <v>376</v>
      </c>
      <c r="E89" s="3" t="s">
        <v>324</v>
      </c>
      <c r="F89" s="8">
        <v>0</v>
      </c>
      <c r="G89" s="2" t="s">
        <v>323</v>
      </c>
      <c r="H89" s="11">
        <v>558</v>
      </c>
      <c r="I89" s="11" t="s">
        <v>378</v>
      </c>
      <c r="J89" s="11"/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f t="shared" si="11"/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55">
        <f t="shared" si="12"/>
        <v>0</v>
      </c>
      <c r="X89" s="74" t="e">
        <f t="shared" si="13"/>
        <v>#DIV/0!</v>
      </c>
      <c r="Y89" s="74" t="e">
        <f t="shared" si="14"/>
        <v>#DIV/0!</v>
      </c>
      <c r="Z89" s="74" t="e">
        <f t="shared" si="15"/>
        <v>#DIV/0!</v>
      </c>
      <c r="AA89" s="74" t="e">
        <f t="shared" si="16"/>
        <v>#DIV/0!</v>
      </c>
    </row>
    <row r="90" spans="1:27" hidden="1">
      <c r="A90" s="7" t="s">
        <v>7</v>
      </c>
      <c r="B90" s="7">
        <v>10007567</v>
      </c>
      <c r="C90" s="7" t="str">
        <f t="shared" si="10"/>
        <v>FEBRERO10007567Entradas</v>
      </c>
      <c r="D90" s="7" t="s">
        <v>376</v>
      </c>
      <c r="E90" s="3" t="s">
        <v>167</v>
      </c>
      <c r="F90" s="8">
        <v>76980</v>
      </c>
      <c r="G90" s="2" t="s">
        <v>323</v>
      </c>
      <c r="H90" s="11">
        <v>147031.79999999999</v>
      </c>
      <c r="I90" s="11" t="s">
        <v>379</v>
      </c>
      <c r="J90" s="11"/>
      <c r="K90" s="11">
        <v>127244.34</v>
      </c>
      <c r="L90" s="11">
        <v>1.65</v>
      </c>
      <c r="M90" s="11">
        <v>78549.78</v>
      </c>
      <c r="N90" s="11">
        <v>1428.03</v>
      </c>
      <c r="O90" s="11">
        <v>22506.400000000001</v>
      </c>
      <c r="P90" s="11">
        <f t="shared" si="11"/>
        <v>24760.129999999997</v>
      </c>
      <c r="Q90" s="11">
        <v>540.02</v>
      </c>
      <c r="R90" s="11">
        <v>1327.92</v>
      </c>
      <c r="S90" s="11">
        <v>12130.74</v>
      </c>
      <c r="T90" s="11" t="s">
        <v>337</v>
      </c>
      <c r="U90" s="11">
        <v>9820.33</v>
      </c>
      <c r="V90" s="11">
        <v>941.11999999999534</v>
      </c>
      <c r="W90" s="55">
        <f t="shared" si="12"/>
        <v>127244.34</v>
      </c>
      <c r="X90" s="74">
        <f t="shared" si="13"/>
        <v>0.61731453045377105</v>
      </c>
      <c r="Y90" s="74">
        <f t="shared" si="14"/>
        <v>1.1222738866027362E-2</v>
      </c>
      <c r="Z90" s="74">
        <f t="shared" si="15"/>
        <v>0.17687545080590619</v>
      </c>
      <c r="AA90" s="74">
        <f t="shared" si="16"/>
        <v>0.19458727987429539</v>
      </c>
    </row>
    <row r="91" spans="1:27" hidden="1">
      <c r="A91" s="7" t="s">
        <v>7</v>
      </c>
      <c r="B91" s="7">
        <v>10007567</v>
      </c>
      <c r="C91" s="7" t="str">
        <f t="shared" si="10"/>
        <v>FEBRERO10007567Inventario acumulado</v>
      </c>
      <c r="D91" s="7" t="s">
        <v>376</v>
      </c>
      <c r="E91" s="3" t="s">
        <v>325</v>
      </c>
      <c r="F91" s="8">
        <v>104880</v>
      </c>
      <c r="G91" s="2" t="s">
        <v>323</v>
      </c>
      <c r="H91" s="11">
        <v>200320.8</v>
      </c>
      <c r="I91" s="11" t="s">
        <v>380</v>
      </c>
      <c r="J91" s="11"/>
      <c r="K91" s="11">
        <v>178296.97</v>
      </c>
      <c r="L91" s="11">
        <v>1.7</v>
      </c>
      <c r="M91" s="11">
        <v>112460.43</v>
      </c>
      <c r="N91" s="11">
        <v>1928.24</v>
      </c>
      <c r="O91" s="11">
        <v>30840.97</v>
      </c>
      <c r="P91" s="11">
        <f t="shared" si="11"/>
        <v>33067.329999999994</v>
      </c>
      <c r="Q91" s="11">
        <v>654.71</v>
      </c>
      <c r="R91" s="11">
        <v>1924.26</v>
      </c>
      <c r="S91" s="11">
        <v>16017.76</v>
      </c>
      <c r="T91" s="11" t="s">
        <v>337</v>
      </c>
      <c r="U91" s="11">
        <v>13286.76</v>
      </c>
      <c r="V91" s="11">
        <v>1183.8399999999965</v>
      </c>
      <c r="W91" s="55">
        <f t="shared" si="12"/>
        <v>178296.97</v>
      </c>
      <c r="X91" s="74">
        <f t="shared" si="13"/>
        <v>0.63074784725730337</v>
      </c>
      <c r="Y91" s="74">
        <f t="shared" si="14"/>
        <v>1.0814765949191396E-2</v>
      </c>
      <c r="Z91" s="74">
        <f t="shared" si="15"/>
        <v>0.17297528948472876</v>
      </c>
      <c r="AA91" s="74">
        <f t="shared" si="16"/>
        <v>0.18546209730877644</v>
      </c>
    </row>
    <row r="92" spans="1:27" hidden="1">
      <c r="A92" s="7" t="s">
        <v>7</v>
      </c>
      <c r="B92" s="7">
        <v>10007567</v>
      </c>
      <c r="C92" s="7" t="str">
        <f t="shared" si="10"/>
        <v>FEBRERO10007567Inventario final</v>
      </c>
      <c r="D92" s="7" t="s">
        <v>376</v>
      </c>
      <c r="E92" s="3" t="s">
        <v>221</v>
      </c>
      <c r="F92" s="8">
        <v>104880</v>
      </c>
      <c r="G92" s="2" t="s">
        <v>323</v>
      </c>
      <c r="H92" s="11">
        <v>200320.8</v>
      </c>
      <c r="I92" s="11" t="s">
        <v>380</v>
      </c>
      <c r="J92" s="11"/>
      <c r="K92" s="11">
        <v>178296.97</v>
      </c>
      <c r="L92" s="11">
        <v>1.7</v>
      </c>
      <c r="M92" s="11">
        <v>112460.43</v>
      </c>
      <c r="N92" s="11">
        <v>1928.24</v>
      </c>
      <c r="O92" s="11">
        <v>30840.97</v>
      </c>
      <c r="P92" s="11">
        <f t="shared" si="11"/>
        <v>33067.329999999994</v>
      </c>
      <c r="Q92" s="11">
        <v>654.71</v>
      </c>
      <c r="R92" s="11">
        <v>1924.26</v>
      </c>
      <c r="S92" s="11">
        <v>16017.76</v>
      </c>
      <c r="T92" s="11" t="s">
        <v>337</v>
      </c>
      <c r="U92" s="11">
        <v>13286.76</v>
      </c>
      <c r="V92" s="11">
        <v>1183.8399999999965</v>
      </c>
      <c r="W92" s="55">
        <f t="shared" si="12"/>
        <v>178296.97</v>
      </c>
      <c r="X92" s="74">
        <f t="shared" si="13"/>
        <v>0.63074784725730337</v>
      </c>
      <c r="Y92" s="74">
        <f t="shared" si="14"/>
        <v>1.0814765949191396E-2</v>
      </c>
      <c r="Z92" s="74">
        <f t="shared" si="15"/>
        <v>0.17297528948472876</v>
      </c>
      <c r="AA92" s="74">
        <f t="shared" si="16"/>
        <v>0.18546209730877644</v>
      </c>
    </row>
    <row r="93" spans="1:27" hidden="1">
      <c r="A93" s="7" t="s">
        <v>6</v>
      </c>
      <c r="B93" s="7">
        <v>10007162</v>
      </c>
      <c r="C93" s="7" t="str">
        <f t="shared" si="10"/>
        <v>ENERO10007162Inventario inicial</v>
      </c>
      <c r="D93" s="7" t="s">
        <v>381</v>
      </c>
      <c r="E93" s="3" t="s">
        <v>322</v>
      </c>
      <c r="F93" s="8">
        <v>49100</v>
      </c>
      <c r="G93" s="2" t="s">
        <v>323</v>
      </c>
      <c r="H93" s="11">
        <v>100164</v>
      </c>
      <c r="I93" s="11">
        <v>-9203.33</v>
      </c>
      <c r="J93" s="11"/>
      <c r="K93" s="11">
        <v>90960.67</v>
      </c>
      <c r="L93" s="11">
        <v>1.85</v>
      </c>
      <c r="M93" s="11">
        <v>61487.46</v>
      </c>
      <c r="N93" s="11">
        <v>598.21</v>
      </c>
      <c r="O93" s="11">
        <v>15812.84</v>
      </c>
      <c r="P93" s="11">
        <f t="shared" si="11"/>
        <v>13062.160000000007</v>
      </c>
      <c r="Q93" s="11">
        <v>1343.31</v>
      </c>
      <c r="R93" s="11">
        <v>5334.03</v>
      </c>
      <c r="S93" s="11">
        <v>5713.89</v>
      </c>
      <c r="T93" s="11"/>
      <c r="U93" s="11"/>
      <c r="V93" s="11">
        <v>670.93000000000757</v>
      </c>
      <c r="W93" s="55">
        <f t="shared" si="12"/>
        <v>90960.67</v>
      </c>
      <c r="X93" s="74">
        <f t="shared" si="13"/>
        <v>0.67597853006139907</v>
      </c>
      <c r="Y93" s="74">
        <f t="shared" si="14"/>
        <v>6.5765786465732945E-3</v>
      </c>
      <c r="Z93" s="74">
        <f t="shared" si="15"/>
        <v>0.17384260692011175</v>
      </c>
      <c r="AA93" s="74">
        <f t="shared" si="16"/>
        <v>0.14360228437191599</v>
      </c>
    </row>
    <row r="94" spans="1:27" hidden="1">
      <c r="A94" s="7" t="s">
        <v>6</v>
      </c>
      <c r="B94" s="7">
        <v>10007162</v>
      </c>
      <c r="C94" s="7" t="str">
        <f t="shared" si="10"/>
        <v>ENERO10007162Revalorización</v>
      </c>
      <c r="D94" s="7" t="s">
        <v>381</v>
      </c>
      <c r="E94" s="3" t="s">
        <v>324</v>
      </c>
      <c r="F94" s="8">
        <v>0</v>
      </c>
      <c r="G94" s="2" t="s">
        <v>323</v>
      </c>
      <c r="H94" s="11">
        <v>0</v>
      </c>
      <c r="I94" s="11">
        <v>0</v>
      </c>
      <c r="J94" s="11"/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f t="shared" si="11"/>
        <v>0</v>
      </c>
      <c r="Q94" s="11">
        <v>0</v>
      </c>
      <c r="R94" s="11">
        <v>0</v>
      </c>
      <c r="S94" s="11">
        <v>0</v>
      </c>
      <c r="T94" s="11"/>
      <c r="U94" s="11"/>
      <c r="V94" s="11">
        <v>0</v>
      </c>
      <c r="W94" s="55">
        <f t="shared" si="12"/>
        <v>0</v>
      </c>
      <c r="X94" s="74" t="e">
        <f t="shared" si="13"/>
        <v>#DIV/0!</v>
      </c>
      <c r="Y94" s="74" t="e">
        <f t="shared" si="14"/>
        <v>#DIV/0!</v>
      </c>
      <c r="Z94" s="74" t="e">
        <f t="shared" si="15"/>
        <v>#DIV/0!</v>
      </c>
      <c r="AA94" s="74" t="e">
        <f t="shared" si="16"/>
        <v>#DIV/0!</v>
      </c>
    </row>
    <row r="95" spans="1:27" hidden="1">
      <c r="A95" s="7" t="s">
        <v>6</v>
      </c>
      <c r="B95" s="7">
        <v>10007162</v>
      </c>
      <c r="C95" s="7" t="str">
        <f t="shared" si="10"/>
        <v>ENERO10007162Entradas</v>
      </c>
      <c r="D95" s="7" t="s">
        <v>381</v>
      </c>
      <c r="E95" s="3" t="s">
        <v>167</v>
      </c>
      <c r="F95" s="8">
        <v>197540</v>
      </c>
      <c r="G95" s="2" t="s">
        <v>323</v>
      </c>
      <c r="H95" s="11">
        <v>402981.6</v>
      </c>
      <c r="I95" s="11">
        <v>-52003.55</v>
      </c>
      <c r="J95" s="11"/>
      <c r="K95" s="11">
        <v>350978.05</v>
      </c>
      <c r="L95" s="11">
        <v>1.78</v>
      </c>
      <c r="M95" s="11">
        <v>225580.01</v>
      </c>
      <c r="N95" s="11">
        <v>3261.02</v>
      </c>
      <c r="O95" s="11">
        <v>59927.12</v>
      </c>
      <c r="P95" s="11">
        <f t="shared" si="11"/>
        <v>62209.899999999994</v>
      </c>
      <c r="Q95" s="11">
        <v>3395.91</v>
      </c>
      <c r="R95" s="11">
        <v>31026.42</v>
      </c>
      <c r="S95" s="11">
        <v>25113.26</v>
      </c>
      <c r="T95" s="11"/>
      <c r="U95" s="11"/>
      <c r="V95" s="11">
        <v>2674.3099999999977</v>
      </c>
      <c r="W95" s="55">
        <f t="shared" si="12"/>
        <v>350978.05000000005</v>
      </c>
      <c r="X95" s="74">
        <f t="shared" si="13"/>
        <v>0.64271828394966579</v>
      </c>
      <c r="Y95" s="74">
        <f t="shared" si="14"/>
        <v>9.2912363038087416E-3</v>
      </c>
      <c r="Z95" s="74">
        <f t="shared" si="15"/>
        <v>0.17074321314395585</v>
      </c>
      <c r="AA95" s="74">
        <f t="shared" si="16"/>
        <v>0.17724726660256956</v>
      </c>
    </row>
    <row r="96" spans="1:27" hidden="1">
      <c r="A96" s="7" t="s">
        <v>6</v>
      </c>
      <c r="B96" s="7">
        <v>10007162</v>
      </c>
      <c r="C96" s="7" t="str">
        <f t="shared" si="10"/>
        <v>ENERO10007162Inv. acumulado</v>
      </c>
      <c r="D96" s="7" t="s">
        <v>381</v>
      </c>
      <c r="E96" s="3" t="s">
        <v>333</v>
      </c>
      <c r="F96" s="8">
        <v>246640</v>
      </c>
      <c r="G96" s="2" t="s">
        <v>323</v>
      </c>
      <c r="H96" s="11">
        <v>503145.6</v>
      </c>
      <c r="I96" s="11">
        <v>-61206.879999999997</v>
      </c>
      <c r="J96" s="11"/>
      <c r="K96" s="11">
        <v>441938.72</v>
      </c>
      <c r="L96" s="11">
        <v>1.79</v>
      </c>
      <c r="M96" s="11">
        <v>287067.46999999997</v>
      </c>
      <c r="N96" s="11">
        <v>3859.23</v>
      </c>
      <c r="O96" s="11">
        <v>75739.960000000006</v>
      </c>
      <c r="P96" s="11">
        <f t="shared" si="11"/>
        <v>75272.06</v>
      </c>
      <c r="Q96" s="11">
        <v>4739.22</v>
      </c>
      <c r="R96" s="11">
        <v>36360.449999999997</v>
      </c>
      <c r="S96" s="11">
        <v>30827.15</v>
      </c>
      <c r="T96" s="11"/>
      <c r="U96" s="11"/>
      <c r="V96" s="11">
        <v>3345.2399999999907</v>
      </c>
      <c r="W96" s="55">
        <f t="shared" si="12"/>
        <v>441938.72</v>
      </c>
      <c r="X96" s="74">
        <f t="shared" si="13"/>
        <v>0.64956397122207343</v>
      </c>
      <c r="Y96" s="74">
        <f t="shared" si="14"/>
        <v>8.7325002887278132E-3</v>
      </c>
      <c r="Z96" s="74">
        <f t="shared" si="15"/>
        <v>0.17138113628061377</v>
      </c>
      <c r="AA96" s="74">
        <f t="shared" si="16"/>
        <v>0.17032239220858494</v>
      </c>
    </row>
    <row r="97" spans="1:27" hidden="1">
      <c r="A97" s="7" t="s">
        <v>6</v>
      </c>
      <c r="B97" s="7">
        <v>10007162</v>
      </c>
      <c r="C97" s="7" t="str">
        <f t="shared" si="10"/>
        <v>ENERO10007162Compensación</v>
      </c>
      <c r="D97" s="7" t="s">
        <v>381</v>
      </c>
      <c r="E97" s="3" t="s">
        <v>117</v>
      </c>
      <c r="F97" s="8">
        <v>43400</v>
      </c>
      <c r="G97" s="2" t="s">
        <v>323</v>
      </c>
      <c r="H97" s="11">
        <v>88536</v>
      </c>
      <c r="I97" s="11">
        <v>-10770.27</v>
      </c>
      <c r="J97" s="11"/>
      <c r="K97" s="11">
        <v>77765.73</v>
      </c>
      <c r="L97" s="11">
        <v>1.79</v>
      </c>
      <c r="M97" s="11">
        <v>50513.82</v>
      </c>
      <c r="N97" s="11">
        <v>679.09</v>
      </c>
      <c r="O97" s="11">
        <v>13327.58</v>
      </c>
      <c r="P97" s="11">
        <f t="shared" si="11"/>
        <v>13245.239999999994</v>
      </c>
      <c r="Q97" s="11">
        <v>833.94</v>
      </c>
      <c r="R97" s="11">
        <v>6398.16</v>
      </c>
      <c r="S97" s="11">
        <v>5424.49</v>
      </c>
      <c r="T97" s="11"/>
      <c r="U97" s="11"/>
      <c r="V97" s="11">
        <v>588.64999999999418</v>
      </c>
      <c r="W97" s="55">
        <f t="shared" si="12"/>
        <v>77765.73</v>
      </c>
      <c r="X97" s="74">
        <f t="shared" si="13"/>
        <v>0.64956401746630554</v>
      </c>
      <c r="Y97" s="74">
        <f t="shared" si="14"/>
        <v>8.7325098086265002E-3</v>
      </c>
      <c r="Z97" s="74">
        <f t="shared" si="15"/>
        <v>0.17138114693966097</v>
      </c>
      <c r="AA97" s="74">
        <f t="shared" si="16"/>
        <v>0.17032232578540696</v>
      </c>
    </row>
    <row r="98" spans="1:27" hidden="1">
      <c r="A98" s="7" t="s">
        <v>6</v>
      </c>
      <c r="B98" s="7">
        <v>10007162</v>
      </c>
      <c r="C98" s="7" t="str">
        <f t="shared" si="10"/>
        <v>ENERO10007162Inventario final</v>
      </c>
      <c r="D98" s="7" t="s">
        <v>381</v>
      </c>
      <c r="E98" s="3" t="s">
        <v>221</v>
      </c>
      <c r="F98" s="9">
        <v>203240</v>
      </c>
      <c r="G98" s="3" t="s">
        <v>323</v>
      </c>
      <c r="H98" s="12">
        <v>414609.6</v>
      </c>
      <c r="I98" s="12">
        <v>-50436.61</v>
      </c>
      <c r="J98" s="13"/>
      <c r="K98" s="12">
        <v>364172.99</v>
      </c>
      <c r="L98" s="12">
        <v>1.79</v>
      </c>
      <c r="M98" s="12">
        <v>236553.65</v>
      </c>
      <c r="N98" s="12">
        <v>3180.14</v>
      </c>
      <c r="O98" s="12">
        <v>62412.38</v>
      </c>
      <c r="P98" s="12">
        <f t="shared" si="11"/>
        <v>62026.820000000022</v>
      </c>
      <c r="Q98" s="12">
        <v>3905.28</v>
      </c>
      <c r="R98" s="12">
        <v>29962.29</v>
      </c>
      <c r="S98" s="12">
        <v>25402.66</v>
      </c>
      <c r="T98" s="11"/>
      <c r="U98" s="11"/>
      <c r="V98" s="11">
        <v>2756.5900000000256</v>
      </c>
      <c r="W98" s="55">
        <f t="shared" si="12"/>
        <v>364172.99</v>
      </c>
      <c r="X98" s="74">
        <f t="shared" si="13"/>
        <v>0.64956396134705108</v>
      </c>
      <c r="Y98" s="74">
        <f t="shared" si="14"/>
        <v>8.7324982558426422E-3</v>
      </c>
      <c r="Z98" s="74">
        <f t="shared" si="15"/>
        <v>0.17138113400447408</v>
      </c>
      <c r="AA98" s="74">
        <f t="shared" si="16"/>
        <v>0.17032240639263233</v>
      </c>
    </row>
    <row r="99" spans="1:27" hidden="1">
      <c r="A99" s="7" t="s">
        <v>7</v>
      </c>
      <c r="B99" s="7">
        <v>10007162</v>
      </c>
      <c r="C99" s="7" t="str">
        <f t="shared" si="10"/>
        <v>FEBRERO10007162Inventario inicial</v>
      </c>
      <c r="D99" s="7" t="s">
        <v>381</v>
      </c>
      <c r="E99" s="3" t="s">
        <v>322</v>
      </c>
      <c r="F99" s="9">
        <v>203240</v>
      </c>
      <c r="G99" s="3" t="s">
        <v>323</v>
      </c>
      <c r="H99" s="12">
        <v>414609.6</v>
      </c>
      <c r="I99" s="12" t="s">
        <v>382</v>
      </c>
      <c r="J99" s="13"/>
      <c r="K99" s="12">
        <v>364172.99</v>
      </c>
      <c r="L99" s="12">
        <v>1.79</v>
      </c>
      <c r="M99" s="12">
        <v>236553.65</v>
      </c>
      <c r="N99" s="12">
        <v>3180.14</v>
      </c>
      <c r="O99" s="12">
        <v>62412.38</v>
      </c>
      <c r="P99" s="12">
        <f t="shared" si="11"/>
        <v>62026.820000000007</v>
      </c>
      <c r="Q99" s="12">
        <v>688.64</v>
      </c>
      <c r="R99" s="12">
        <v>3905.28</v>
      </c>
      <c r="S99" s="12">
        <v>29962.29</v>
      </c>
      <c r="T99" s="11">
        <v>0.01</v>
      </c>
      <c r="U99" s="11">
        <v>25402.66</v>
      </c>
      <c r="V99" s="11">
        <v>2067.9400000000023</v>
      </c>
      <c r="W99" s="55">
        <f t="shared" si="12"/>
        <v>364172.99</v>
      </c>
      <c r="X99" s="74">
        <f t="shared" si="13"/>
        <v>0.64956396134705108</v>
      </c>
      <c r="Y99" s="74">
        <f t="shared" si="14"/>
        <v>8.7324982558426422E-3</v>
      </c>
      <c r="Z99" s="74">
        <f t="shared" si="15"/>
        <v>0.17138113400447408</v>
      </c>
      <c r="AA99" s="74">
        <f t="shared" si="16"/>
        <v>0.17032240639263227</v>
      </c>
    </row>
    <row r="100" spans="1:27" hidden="1">
      <c r="A100" s="7" t="s">
        <v>7</v>
      </c>
      <c r="B100" s="7">
        <v>10007162</v>
      </c>
      <c r="C100" s="7" t="str">
        <f t="shared" si="10"/>
        <v>FEBRERO10007162Revalorización</v>
      </c>
      <c r="D100" s="7" t="s">
        <v>381</v>
      </c>
      <c r="E100" s="3" t="s">
        <v>324</v>
      </c>
      <c r="F100" s="9">
        <v>0</v>
      </c>
      <c r="G100" s="3" t="s">
        <v>323</v>
      </c>
      <c r="H100" s="12" t="s">
        <v>383</v>
      </c>
      <c r="I100" s="12">
        <v>38615.599999999999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f t="shared" si="11"/>
        <v>0</v>
      </c>
      <c r="Q100" s="12">
        <v>0</v>
      </c>
      <c r="R100" s="12">
        <v>0</v>
      </c>
      <c r="S100" s="12">
        <v>0</v>
      </c>
      <c r="T100" s="11">
        <v>0</v>
      </c>
      <c r="U100" s="11">
        <v>0</v>
      </c>
      <c r="V100" s="11">
        <v>0</v>
      </c>
      <c r="W100" s="55">
        <f t="shared" si="12"/>
        <v>0</v>
      </c>
      <c r="X100" s="74" t="e">
        <f t="shared" si="13"/>
        <v>#DIV/0!</v>
      </c>
      <c r="Y100" s="74" t="e">
        <f t="shared" si="14"/>
        <v>#DIV/0!</v>
      </c>
      <c r="Z100" s="74" t="e">
        <f t="shared" si="15"/>
        <v>#DIV/0!</v>
      </c>
      <c r="AA100" s="74" t="e">
        <f t="shared" si="16"/>
        <v>#DIV/0!</v>
      </c>
    </row>
    <row r="101" spans="1:27" hidden="1">
      <c r="A101" s="7" t="s">
        <v>7</v>
      </c>
      <c r="B101" s="7">
        <v>10007162</v>
      </c>
      <c r="C101" s="7" t="str">
        <f t="shared" ref="C101:C132" si="17">A101&amp;B101&amp;E101</f>
        <v>FEBRERO10007162Entradas</v>
      </c>
      <c r="D101" s="7" t="s">
        <v>381</v>
      </c>
      <c r="E101" s="3" t="s">
        <v>167</v>
      </c>
      <c r="F101" s="9">
        <v>319660</v>
      </c>
      <c r="G101" s="3" t="s">
        <v>323</v>
      </c>
      <c r="H101" s="12">
        <v>591371</v>
      </c>
      <c r="I101" s="12" t="s">
        <v>384</v>
      </c>
      <c r="J101" s="13"/>
      <c r="K101" s="12">
        <v>532752.57999999996</v>
      </c>
      <c r="L101" s="12">
        <v>1.67</v>
      </c>
      <c r="M101" s="12">
        <v>326505.42</v>
      </c>
      <c r="N101" s="12">
        <v>5184.8100000000004</v>
      </c>
      <c r="O101" s="12">
        <v>98252.02</v>
      </c>
      <c r="P101" s="12">
        <f t="shared" ref="P101:P132" si="18">SUM(Q101:V101)</f>
        <v>102810.32999999999</v>
      </c>
      <c r="Q101" s="12">
        <v>2242.41</v>
      </c>
      <c r="R101" s="12">
        <v>5514.14</v>
      </c>
      <c r="S101" s="12">
        <v>50372.98</v>
      </c>
      <c r="T101" s="11">
        <v>0.28000000000000003</v>
      </c>
      <c r="U101" s="11">
        <v>40779.03</v>
      </c>
      <c r="V101" s="11">
        <v>3901.4899999999907</v>
      </c>
      <c r="W101" s="55">
        <f t="shared" si="12"/>
        <v>532752.57999999996</v>
      </c>
      <c r="X101" s="74">
        <f t="shared" si="13"/>
        <v>0.61286501887987099</v>
      </c>
      <c r="Y101" s="74">
        <f t="shared" si="14"/>
        <v>9.7321161729521811E-3</v>
      </c>
      <c r="Z101" s="74">
        <f t="shared" si="15"/>
        <v>0.18442335840025403</v>
      </c>
      <c r="AA101" s="74">
        <f t="shared" si="16"/>
        <v>0.19297950654692278</v>
      </c>
    </row>
    <row r="102" spans="1:27" hidden="1">
      <c r="A102" s="7" t="s">
        <v>7</v>
      </c>
      <c r="B102" s="7">
        <v>10007162</v>
      </c>
      <c r="C102" s="7" t="str">
        <f t="shared" si="17"/>
        <v>FEBRERO10007162Inventario acumulado</v>
      </c>
      <c r="D102" s="7" t="s">
        <v>381</v>
      </c>
      <c r="E102" s="3" t="s">
        <v>325</v>
      </c>
      <c r="F102" s="9">
        <v>522900</v>
      </c>
      <c r="G102" s="3" t="s">
        <v>323</v>
      </c>
      <c r="H102" s="12">
        <v>967365</v>
      </c>
      <c r="I102" s="12" t="s">
        <v>385</v>
      </c>
      <c r="J102" s="13"/>
      <c r="K102" s="12">
        <v>896925.57</v>
      </c>
      <c r="L102" s="12">
        <v>1.72</v>
      </c>
      <c r="M102" s="12">
        <v>563059.06999999995</v>
      </c>
      <c r="N102" s="12">
        <v>8364.9500000000007</v>
      </c>
      <c r="O102" s="12">
        <v>160664.4</v>
      </c>
      <c r="P102" s="12">
        <f t="shared" si="18"/>
        <v>164837.15000000005</v>
      </c>
      <c r="Q102" s="12">
        <v>2931.05</v>
      </c>
      <c r="R102" s="12">
        <v>9419.42</v>
      </c>
      <c r="S102" s="12">
        <v>80335.27</v>
      </c>
      <c r="T102" s="11">
        <v>0.28999999999999998</v>
      </c>
      <c r="U102" s="11">
        <v>66181.69</v>
      </c>
      <c r="V102" s="11">
        <v>5969.4300000000512</v>
      </c>
      <c r="W102" s="55">
        <f t="shared" si="12"/>
        <v>896925.57</v>
      </c>
      <c r="X102" s="74">
        <f t="shared" si="13"/>
        <v>0.62776565729974676</v>
      </c>
      <c r="Y102" s="74">
        <f t="shared" si="14"/>
        <v>9.3262476617764403E-3</v>
      </c>
      <c r="Z102" s="74">
        <f t="shared" si="15"/>
        <v>0.17912790690090372</v>
      </c>
      <c r="AA102" s="74">
        <f t="shared" si="16"/>
        <v>0.18378018813757319</v>
      </c>
    </row>
    <row r="103" spans="1:27" hidden="1">
      <c r="A103" s="7" t="s">
        <v>7</v>
      </c>
      <c r="B103" s="7">
        <v>10007162</v>
      </c>
      <c r="C103" s="7" t="str">
        <f t="shared" si="17"/>
        <v>FEBRERO10007162Compensación</v>
      </c>
      <c r="D103" s="7" t="s">
        <v>381</v>
      </c>
      <c r="E103" s="3" t="s">
        <v>117</v>
      </c>
      <c r="F103" s="9">
        <v>208000</v>
      </c>
      <c r="G103" s="3" t="s">
        <v>323</v>
      </c>
      <c r="H103" s="12">
        <v>384800</v>
      </c>
      <c r="I103" s="12" t="s">
        <v>386</v>
      </c>
      <c r="J103" s="13"/>
      <c r="K103" s="12">
        <v>356780.49</v>
      </c>
      <c r="L103" s="12">
        <v>1.72</v>
      </c>
      <c r="M103" s="12">
        <v>223974.54</v>
      </c>
      <c r="N103" s="12">
        <v>3327.42</v>
      </c>
      <c r="O103" s="12">
        <v>63909.34</v>
      </c>
      <c r="P103" s="12">
        <f t="shared" si="18"/>
        <v>65569.189999999915</v>
      </c>
      <c r="Q103" s="12">
        <v>1165.92</v>
      </c>
      <c r="R103" s="12">
        <v>3746.87</v>
      </c>
      <c r="S103" s="12">
        <v>31955.9</v>
      </c>
      <c r="T103" s="11">
        <v>0.11</v>
      </c>
      <c r="U103" s="11">
        <v>26325.86</v>
      </c>
      <c r="V103" s="11">
        <v>2374.5299999999115</v>
      </c>
      <c r="W103" s="55">
        <f t="shared" si="12"/>
        <v>356780.49</v>
      </c>
      <c r="X103" s="74">
        <f t="shared" si="13"/>
        <v>0.62776566061670025</v>
      </c>
      <c r="Y103" s="74">
        <f t="shared" si="14"/>
        <v>9.3262386628820432E-3</v>
      </c>
      <c r="Z103" s="74">
        <f t="shared" si="15"/>
        <v>0.17912790018310698</v>
      </c>
      <c r="AA103" s="74">
        <f t="shared" si="16"/>
        <v>0.18378020053731053</v>
      </c>
    </row>
    <row r="104" spans="1:27" hidden="1">
      <c r="A104" s="7" t="s">
        <v>7</v>
      </c>
      <c r="B104" s="7">
        <v>10007162</v>
      </c>
      <c r="C104" s="7" t="str">
        <f t="shared" si="17"/>
        <v>FEBRERO10007162Inventario final</v>
      </c>
      <c r="D104" s="7" t="s">
        <v>381</v>
      </c>
      <c r="E104" s="3" t="s">
        <v>221</v>
      </c>
      <c r="F104" s="8">
        <v>314900</v>
      </c>
      <c r="G104" s="2" t="s">
        <v>323</v>
      </c>
      <c r="H104" s="11">
        <v>582565</v>
      </c>
      <c r="I104" s="11" t="s">
        <v>387</v>
      </c>
      <c r="J104" s="11"/>
      <c r="K104" s="11">
        <v>540145.07999999996</v>
      </c>
      <c r="L104" s="11">
        <v>1.72</v>
      </c>
      <c r="M104" s="11">
        <v>339084.53</v>
      </c>
      <c r="N104" s="11">
        <v>5037.53</v>
      </c>
      <c r="O104" s="11">
        <v>96755.06</v>
      </c>
      <c r="P104" s="11">
        <f t="shared" si="18"/>
        <v>99267.959999999905</v>
      </c>
      <c r="Q104" s="11">
        <v>1765.13</v>
      </c>
      <c r="R104" s="11">
        <v>5672.55</v>
      </c>
      <c r="S104" s="11">
        <v>48379.37</v>
      </c>
      <c r="T104" s="11">
        <v>0.18</v>
      </c>
      <c r="U104" s="11">
        <v>39855.83</v>
      </c>
      <c r="V104" s="11">
        <v>3594.8999999999069</v>
      </c>
      <c r="W104" s="55">
        <f t="shared" si="12"/>
        <v>540145.07999999996</v>
      </c>
      <c r="X104" s="74">
        <f t="shared" si="13"/>
        <v>0.627765655108809</v>
      </c>
      <c r="Y104" s="74">
        <f t="shared" si="14"/>
        <v>9.3262536057905042E-3</v>
      </c>
      <c r="Z104" s="74">
        <f t="shared" si="15"/>
        <v>0.17912791133819086</v>
      </c>
      <c r="AA104" s="74">
        <f t="shared" si="16"/>
        <v>0.18378017994720958</v>
      </c>
    </row>
    <row r="105" spans="1:27" hidden="1">
      <c r="A105" s="7" t="s">
        <v>6</v>
      </c>
      <c r="B105" s="7">
        <v>10009639</v>
      </c>
      <c r="C105" s="7" t="str">
        <f t="shared" si="17"/>
        <v>ENERO10009639Inventario inicial</v>
      </c>
      <c r="D105" s="7" t="s">
        <v>388</v>
      </c>
      <c r="E105" s="3" t="s">
        <v>322</v>
      </c>
      <c r="F105" s="8">
        <v>3860</v>
      </c>
      <c r="G105" s="2" t="s">
        <v>323</v>
      </c>
      <c r="H105" s="11">
        <v>7604.2</v>
      </c>
      <c r="I105" s="11">
        <v>513.41</v>
      </c>
      <c r="J105" s="11"/>
      <c r="K105" s="11">
        <v>8117.61</v>
      </c>
      <c r="L105" s="11">
        <v>2.1</v>
      </c>
      <c r="M105" s="11">
        <v>5762.32</v>
      </c>
      <c r="N105" s="11">
        <v>39.83</v>
      </c>
      <c r="O105" s="11">
        <v>1239.72</v>
      </c>
      <c r="P105" s="11">
        <f t="shared" si="18"/>
        <v>1075.7400000000002</v>
      </c>
      <c r="Q105" s="11">
        <v>35.979999999999997</v>
      </c>
      <c r="R105" s="11">
        <v>108.33</v>
      </c>
      <c r="S105" s="11">
        <v>438.49</v>
      </c>
      <c r="T105" s="11">
        <v>470.8</v>
      </c>
      <c r="U105" s="11"/>
      <c r="V105" s="11">
        <v>22.140000000000327</v>
      </c>
      <c r="W105" s="55">
        <f t="shared" si="12"/>
        <v>8117.6100000000006</v>
      </c>
      <c r="X105" s="74">
        <f t="shared" si="13"/>
        <v>0.70985425513174438</v>
      </c>
      <c r="Y105" s="74">
        <f t="shared" si="14"/>
        <v>4.9066166026699972E-3</v>
      </c>
      <c r="Z105" s="74">
        <f t="shared" si="15"/>
        <v>0.15271982763399572</v>
      </c>
      <c r="AA105" s="74">
        <f t="shared" si="16"/>
        <v>0.13251930063158987</v>
      </c>
    </row>
    <row r="106" spans="1:27" hidden="1">
      <c r="A106" s="7" t="s">
        <v>6</v>
      </c>
      <c r="B106" s="7">
        <v>10009639</v>
      </c>
      <c r="C106" s="7" t="str">
        <f t="shared" si="17"/>
        <v>ENERO10009639Revalorización</v>
      </c>
      <c r="D106" s="7" t="s">
        <v>388</v>
      </c>
      <c r="E106" s="3" t="s">
        <v>324</v>
      </c>
      <c r="F106" s="8">
        <v>0</v>
      </c>
      <c r="G106" s="2" t="s">
        <v>323</v>
      </c>
      <c r="H106" s="11">
        <v>308.8</v>
      </c>
      <c r="I106" s="11">
        <v>-308.8</v>
      </c>
      <c r="J106" s="11"/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f t="shared" si="18"/>
        <v>0</v>
      </c>
      <c r="Q106" s="11">
        <v>0</v>
      </c>
      <c r="R106" s="11">
        <v>0</v>
      </c>
      <c r="S106" s="11">
        <v>0</v>
      </c>
      <c r="T106" s="11">
        <v>0</v>
      </c>
      <c r="U106" s="11"/>
      <c r="V106" s="11">
        <v>0</v>
      </c>
      <c r="W106" s="55">
        <f t="shared" si="12"/>
        <v>0</v>
      </c>
      <c r="X106" s="74" t="e">
        <f t="shared" si="13"/>
        <v>#DIV/0!</v>
      </c>
      <c r="Y106" s="74" t="e">
        <f t="shared" si="14"/>
        <v>#DIV/0!</v>
      </c>
      <c r="Z106" s="74" t="e">
        <f t="shared" si="15"/>
        <v>#DIV/0!</v>
      </c>
      <c r="AA106" s="74" t="e">
        <f t="shared" si="16"/>
        <v>#DIV/0!</v>
      </c>
    </row>
    <row r="107" spans="1:27" hidden="1">
      <c r="A107" s="7" t="s">
        <v>6</v>
      </c>
      <c r="B107" s="7">
        <v>10009639</v>
      </c>
      <c r="C107" s="7" t="str">
        <f t="shared" si="17"/>
        <v>ENERO10009639Entradas</v>
      </c>
      <c r="D107" s="7" t="s">
        <v>388</v>
      </c>
      <c r="E107" s="3" t="s">
        <v>167</v>
      </c>
      <c r="F107" s="8">
        <v>26860</v>
      </c>
      <c r="G107" s="2" t="s">
        <v>323</v>
      </c>
      <c r="H107" s="11">
        <v>55063</v>
      </c>
      <c r="I107" s="11">
        <v>-5635.69</v>
      </c>
      <c r="J107" s="11"/>
      <c r="K107" s="11">
        <v>49427.31</v>
      </c>
      <c r="L107" s="11">
        <v>1.84</v>
      </c>
      <c r="M107" s="11">
        <v>30972.47</v>
      </c>
      <c r="N107" s="11">
        <v>431.84</v>
      </c>
      <c r="O107" s="11">
        <v>8205.1</v>
      </c>
      <c r="P107" s="11">
        <f t="shared" si="18"/>
        <v>9817.8999999999942</v>
      </c>
      <c r="Q107" s="11">
        <v>69.849999999999994</v>
      </c>
      <c r="R107" s="11">
        <v>534.64</v>
      </c>
      <c r="S107" s="11">
        <v>4884.6899999999996</v>
      </c>
      <c r="T107" s="11">
        <v>3953.75</v>
      </c>
      <c r="U107" s="11"/>
      <c r="V107" s="11">
        <v>374.96999999999389</v>
      </c>
      <c r="W107" s="55">
        <f t="shared" si="12"/>
        <v>49427.31</v>
      </c>
      <c r="X107" s="74">
        <f t="shared" si="13"/>
        <v>0.62662665639704052</v>
      </c>
      <c r="Y107" s="74">
        <f t="shared" si="14"/>
        <v>8.7368703657957521E-3</v>
      </c>
      <c r="Z107" s="74">
        <f t="shared" si="15"/>
        <v>0.16600336939234606</v>
      </c>
      <c r="AA107" s="74">
        <f t="shared" si="16"/>
        <v>0.19863310384481767</v>
      </c>
    </row>
    <row r="108" spans="1:27" hidden="1">
      <c r="A108" s="7" t="s">
        <v>6</v>
      </c>
      <c r="B108" s="7">
        <v>10009639</v>
      </c>
      <c r="C108" s="7" t="str">
        <f t="shared" si="17"/>
        <v>ENERO10009639Inv. acumulado</v>
      </c>
      <c r="D108" s="7" t="s">
        <v>388</v>
      </c>
      <c r="E108" s="3" t="s">
        <v>333</v>
      </c>
      <c r="F108" s="8">
        <v>30720</v>
      </c>
      <c r="G108" s="2" t="s">
        <v>323</v>
      </c>
      <c r="H108" s="11">
        <v>62976</v>
      </c>
      <c r="I108" s="11">
        <v>-5431.08</v>
      </c>
      <c r="J108" s="11"/>
      <c r="K108" s="11">
        <v>57544.92</v>
      </c>
      <c r="L108" s="11">
        <v>1.87</v>
      </c>
      <c r="M108" s="11">
        <v>36734.79</v>
      </c>
      <c r="N108" s="11">
        <v>471.67</v>
      </c>
      <c r="O108" s="11">
        <v>9444.82</v>
      </c>
      <c r="P108" s="11">
        <f t="shared" si="18"/>
        <v>10893.640000000001</v>
      </c>
      <c r="Q108" s="11">
        <v>105.83</v>
      </c>
      <c r="R108" s="11">
        <v>642.97</v>
      </c>
      <c r="S108" s="11">
        <v>5323.18</v>
      </c>
      <c r="T108" s="11">
        <v>4424.55</v>
      </c>
      <c r="U108" s="11"/>
      <c r="V108" s="11">
        <v>397.11000000000058</v>
      </c>
      <c r="W108" s="55">
        <f t="shared" si="12"/>
        <v>57544.92</v>
      </c>
      <c r="X108" s="74">
        <f t="shared" si="13"/>
        <v>0.63836720947739611</v>
      </c>
      <c r="Y108" s="74">
        <f t="shared" si="14"/>
        <v>8.1965532318056932E-3</v>
      </c>
      <c r="Z108" s="74">
        <f t="shared" si="15"/>
        <v>0.16412951829631531</v>
      </c>
      <c r="AA108" s="74">
        <f t="shared" si="16"/>
        <v>0.18930671899448295</v>
      </c>
    </row>
    <row r="109" spans="1:27" hidden="1">
      <c r="A109" s="7" t="s">
        <v>6</v>
      </c>
      <c r="B109" s="7">
        <v>10009639</v>
      </c>
      <c r="C109" s="7" t="str">
        <f t="shared" si="17"/>
        <v>ENERO10009639Compensación</v>
      </c>
      <c r="D109" s="7" t="s">
        <v>388</v>
      </c>
      <c r="E109" s="3" t="s">
        <v>117</v>
      </c>
      <c r="F109" s="8">
        <v>2340</v>
      </c>
      <c r="G109" s="2" t="s">
        <v>323</v>
      </c>
      <c r="H109" s="11">
        <v>4797</v>
      </c>
      <c r="I109" s="11">
        <v>-413.7</v>
      </c>
      <c r="J109" s="11"/>
      <c r="K109" s="11">
        <v>4383.3</v>
      </c>
      <c r="L109" s="11">
        <v>1.87</v>
      </c>
      <c r="M109" s="11">
        <v>2798.16</v>
      </c>
      <c r="N109" s="11">
        <v>35.93</v>
      </c>
      <c r="O109" s="11">
        <v>719.43</v>
      </c>
      <c r="P109" s="11">
        <f t="shared" si="18"/>
        <v>829.78000000000065</v>
      </c>
      <c r="Q109" s="11">
        <v>8.06</v>
      </c>
      <c r="R109" s="11">
        <v>48.97</v>
      </c>
      <c r="S109" s="11">
        <v>405.48</v>
      </c>
      <c r="T109" s="11">
        <v>337.03</v>
      </c>
      <c r="U109" s="11"/>
      <c r="V109" s="11">
        <v>30.240000000000691</v>
      </c>
      <c r="W109" s="55">
        <f t="shared" si="12"/>
        <v>4383.3</v>
      </c>
      <c r="X109" s="74">
        <f t="shared" si="13"/>
        <v>0.63836835261104641</v>
      </c>
      <c r="Y109" s="74">
        <f t="shared" si="14"/>
        <v>8.1970205096616698E-3</v>
      </c>
      <c r="Z109" s="74">
        <f t="shared" si="15"/>
        <v>0.16412976524536307</v>
      </c>
      <c r="AA109" s="74">
        <f t="shared" si="16"/>
        <v>0.18930486163392893</v>
      </c>
    </row>
    <row r="110" spans="1:27" hidden="1">
      <c r="A110" s="7" t="s">
        <v>6</v>
      </c>
      <c r="B110" s="7">
        <v>10009639</v>
      </c>
      <c r="C110" s="7" t="str">
        <f t="shared" si="17"/>
        <v>ENERO10009639Inventario final</v>
      </c>
      <c r="D110" s="7" t="s">
        <v>388</v>
      </c>
      <c r="E110" s="3" t="s">
        <v>221</v>
      </c>
      <c r="F110" s="9">
        <v>28380</v>
      </c>
      <c r="G110" s="3" t="s">
        <v>323</v>
      </c>
      <c r="H110" s="12">
        <v>58179</v>
      </c>
      <c r="I110" s="12">
        <v>-5017.38</v>
      </c>
      <c r="J110" s="15"/>
      <c r="K110" s="12">
        <v>53161.62</v>
      </c>
      <c r="L110" s="12">
        <v>1.87</v>
      </c>
      <c r="M110" s="12">
        <v>33936.629999999997</v>
      </c>
      <c r="N110" s="12">
        <v>435.74</v>
      </c>
      <c r="O110" s="12">
        <v>8725.39</v>
      </c>
      <c r="P110" s="12">
        <f t="shared" si="18"/>
        <v>10063.86000000001</v>
      </c>
      <c r="Q110" s="12">
        <v>97.77</v>
      </c>
      <c r="R110" s="12">
        <v>594</v>
      </c>
      <c r="S110" s="12">
        <v>4917.7</v>
      </c>
      <c r="T110" s="11">
        <v>4087.52</v>
      </c>
      <c r="U110" s="11"/>
      <c r="V110" s="11">
        <v>366.8700000000099</v>
      </c>
      <c r="W110" s="55">
        <f t="shared" si="12"/>
        <v>53161.62</v>
      </c>
      <c r="X110" s="74">
        <f t="shared" si="13"/>
        <v>0.63836711522335088</v>
      </c>
      <c r="Y110" s="74">
        <f t="shared" si="14"/>
        <v>8.1965147036527474E-3</v>
      </c>
      <c r="Z110" s="74">
        <f t="shared" si="15"/>
        <v>0.16412949793478826</v>
      </c>
      <c r="AA110" s="74">
        <f t="shared" si="16"/>
        <v>0.18930687213820815</v>
      </c>
    </row>
    <row r="111" spans="1:27" hidden="1">
      <c r="A111" s="7" t="s">
        <v>7</v>
      </c>
      <c r="B111" s="7">
        <v>10009639</v>
      </c>
      <c r="C111" s="7" t="str">
        <f t="shared" si="17"/>
        <v>FEBRERO10009639Inventario inicial</v>
      </c>
      <c r="D111" s="7" t="s">
        <v>388</v>
      </c>
      <c r="E111" s="3" t="s">
        <v>322</v>
      </c>
      <c r="F111" s="8">
        <v>28380</v>
      </c>
      <c r="G111" s="2" t="s">
        <v>323</v>
      </c>
      <c r="H111" s="11">
        <v>58179</v>
      </c>
      <c r="I111" s="11" t="s">
        <v>389</v>
      </c>
      <c r="J111" s="11"/>
      <c r="K111" s="11">
        <v>53161.62</v>
      </c>
      <c r="L111" s="11">
        <v>1.87</v>
      </c>
      <c r="M111" s="11">
        <v>33936.629999999997</v>
      </c>
      <c r="N111" s="11">
        <v>435.74</v>
      </c>
      <c r="O111" s="11">
        <v>8725.39</v>
      </c>
      <c r="P111" s="11">
        <f t="shared" si="18"/>
        <v>10063.860000000008</v>
      </c>
      <c r="Q111" s="11">
        <v>97.77</v>
      </c>
      <c r="R111" s="11">
        <v>594</v>
      </c>
      <c r="S111" s="11">
        <v>4917.7</v>
      </c>
      <c r="T111" s="11">
        <v>0.01</v>
      </c>
      <c r="U111" s="11">
        <v>4087.52</v>
      </c>
      <c r="V111" s="11">
        <v>366.86000000000786</v>
      </c>
      <c r="W111" s="55">
        <f t="shared" si="12"/>
        <v>53161.62</v>
      </c>
      <c r="X111" s="74">
        <f t="shared" si="13"/>
        <v>0.63836711522335088</v>
      </c>
      <c r="Y111" s="74">
        <f t="shared" si="14"/>
        <v>8.1965147036527474E-3</v>
      </c>
      <c r="Z111" s="74">
        <f t="shared" si="15"/>
        <v>0.16412949793478826</v>
      </c>
      <c r="AA111" s="74">
        <f t="shared" si="16"/>
        <v>0.18930687213820813</v>
      </c>
    </row>
    <row r="112" spans="1:27" hidden="1">
      <c r="A112" s="7" t="s">
        <v>7</v>
      </c>
      <c r="B112" s="7">
        <v>10009639</v>
      </c>
      <c r="C112" s="7" t="str">
        <f t="shared" si="17"/>
        <v>FEBRERO10009639Revalorización</v>
      </c>
      <c r="D112" s="7" t="s">
        <v>388</v>
      </c>
      <c r="E112" s="3" t="s">
        <v>324</v>
      </c>
      <c r="F112" s="8">
        <v>0</v>
      </c>
      <c r="G112" s="2" t="s">
        <v>323</v>
      </c>
      <c r="H112" s="11">
        <v>1419</v>
      </c>
      <c r="I112" s="11" t="s">
        <v>390</v>
      </c>
      <c r="J112" s="11"/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f t="shared" si="18"/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55">
        <f t="shared" si="12"/>
        <v>0</v>
      </c>
      <c r="X112" s="74" t="e">
        <f t="shared" si="13"/>
        <v>#DIV/0!</v>
      </c>
      <c r="Y112" s="74" t="e">
        <f t="shared" si="14"/>
        <v>#DIV/0!</v>
      </c>
      <c r="Z112" s="74" t="e">
        <f t="shared" si="15"/>
        <v>#DIV/0!</v>
      </c>
      <c r="AA112" s="74" t="e">
        <f t="shared" si="16"/>
        <v>#DIV/0!</v>
      </c>
    </row>
    <row r="113" spans="1:27" hidden="1">
      <c r="A113" s="7" t="s">
        <v>7</v>
      </c>
      <c r="B113" s="7">
        <v>10009639</v>
      </c>
      <c r="C113" s="7" t="str">
        <f t="shared" si="17"/>
        <v>FEBRERO10009639Entradas</v>
      </c>
      <c r="D113" s="7" t="s">
        <v>388</v>
      </c>
      <c r="E113" s="3" t="s">
        <v>167</v>
      </c>
      <c r="F113" s="8">
        <v>45420</v>
      </c>
      <c r="G113" s="2" t="s">
        <v>323</v>
      </c>
      <c r="H113" s="11">
        <v>95382</v>
      </c>
      <c r="I113" s="11" t="s">
        <v>391</v>
      </c>
      <c r="J113" s="11"/>
      <c r="K113" s="11">
        <v>76075.97</v>
      </c>
      <c r="L113" s="11">
        <v>1.67</v>
      </c>
      <c r="M113" s="11">
        <v>46863.23</v>
      </c>
      <c r="N113" s="11">
        <v>642.69000000000005</v>
      </c>
      <c r="O113" s="11">
        <v>13960.46</v>
      </c>
      <c r="P113" s="11">
        <f t="shared" si="18"/>
        <v>14609.589999999995</v>
      </c>
      <c r="Q113" s="11">
        <v>318.62</v>
      </c>
      <c r="R113" s="11">
        <v>783.5</v>
      </c>
      <c r="S113" s="11">
        <v>7157.42</v>
      </c>
      <c r="T113" s="11">
        <v>0.06</v>
      </c>
      <c r="U113" s="11">
        <v>5794.23</v>
      </c>
      <c r="V113" s="11">
        <v>555.75999999999476</v>
      </c>
      <c r="W113" s="55">
        <f t="shared" si="12"/>
        <v>76075.97</v>
      </c>
      <c r="X113" s="74">
        <f t="shared" si="13"/>
        <v>0.61600568484371609</v>
      </c>
      <c r="Y113" s="74">
        <f t="shared" si="14"/>
        <v>8.4480027004585033E-3</v>
      </c>
      <c r="Z113" s="74">
        <f t="shared" si="15"/>
        <v>0.18350682876603477</v>
      </c>
      <c r="AA113" s="74">
        <f t="shared" si="16"/>
        <v>0.19203948368979054</v>
      </c>
    </row>
    <row r="114" spans="1:27" hidden="1">
      <c r="A114" s="7" t="s">
        <v>7</v>
      </c>
      <c r="B114" s="7">
        <v>10009639</v>
      </c>
      <c r="C114" s="7" t="str">
        <f t="shared" si="17"/>
        <v>FEBRERO10009639Inventario acumulado</v>
      </c>
      <c r="D114" s="7" t="s">
        <v>388</v>
      </c>
      <c r="E114" s="3" t="s">
        <v>325</v>
      </c>
      <c r="F114" s="8">
        <v>73800</v>
      </c>
      <c r="G114" s="2" t="s">
        <v>323</v>
      </c>
      <c r="H114" s="11">
        <v>154980</v>
      </c>
      <c r="I114" s="11" t="s">
        <v>392</v>
      </c>
      <c r="J114" s="11"/>
      <c r="K114" s="11">
        <v>129237.59</v>
      </c>
      <c r="L114" s="11">
        <v>1.75</v>
      </c>
      <c r="M114" s="11">
        <v>80799.86</v>
      </c>
      <c r="N114" s="11">
        <v>1078.43</v>
      </c>
      <c r="O114" s="11">
        <v>22685.85</v>
      </c>
      <c r="P114" s="11">
        <f t="shared" si="18"/>
        <v>24673.450000000012</v>
      </c>
      <c r="Q114" s="11">
        <v>416.39</v>
      </c>
      <c r="R114" s="11">
        <v>1377.5</v>
      </c>
      <c r="S114" s="11">
        <v>12075.12</v>
      </c>
      <c r="T114" s="11">
        <v>7.0000000000000007E-2</v>
      </c>
      <c r="U114" s="11">
        <v>9881.75</v>
      </c>
      <c r="V114" s="11">
        <v>922.6200000000099</v>
      </c>
      <c r="W114" s="55">
        <f t="shared" si="12"/>
        <v>129237.59</v>
      </c>
      <c r="X114" s="74">
        <f t="shared" si="13"/>
        <v>0.62520401378577239</v>
      </c>
      <c r="Y114" s="74">
        <f t="shared" si="14"/>
        <v>8.3445536240655694E-3</v>
      </c>
      <c r="Z114" s="74">
        <f t="shared" si="15"/>
        <v>0.17553600310869305</v>
      </c>
      <c r="AA114" s="74">
        <f t="shared" si="16"/>
        <v>0.19091542948146906</v>
      </c>
    </row>
    <row r="115" spans="1:27" hidden="1">
      <c r="A115" s="7" t="s">
        <v>7</v>
      </c>
      <c r="B115" s="7">
        <v>10009639</v>
      </c>
      <c r="C115" s="7" t="str">
        <f t="shared" si="17"/>
        <v>FEBRERO10009639Compensación</v>
      </c>
      <c r="D115" s="7" t="s">
        <v>388</v>
      </c>
      <c r="E115" s="3" t="s">
        <v>117</v>
      </c>
      <c r="F115" s="8">
        <v>26820</v>
      </c>
      <c r="G115" s="2" t="s">
        <v>323</v>
      </c>
      <c r="H115" s="11">
        <v>56322</v>
      </c>
      <c r="I115" s="11" t="s">
        <v>393</v>
      </c>
      <c r="J115" s="11"/>
      <c r="K115" s="11">
        <v>46966.83</v>
      </c>
      <c r="L115" s="11">
        <v>1.75</v>
      </c>
      <c r="M115" s="11">
        <v>29363.85</v>
      </c>
      <c r="N115" s="11">
        <v>391.92</v>
      </c>
      <c r="O115" s="11">
        <v>8244.3700000000008</v>
      </c>
      <c r="P115" s="11">
        <f t="shared" si="18"/>
        <v>8966.69</v>
      </c>
      <c r="Q115" s="11">
        <v>151.32</v>
      </c>
      <c r="R115" s="11">
        <v>500.6</v>
      </c>
      <c r="S115" s="11">
        <v>4388.28</v>
      </c>
      <c r="T115" s="11">
        <v>0.03</v>
      </c>
      <c r="U115" s="11">
        <v>3591.17</v>
      </c>
      <c r="V115" s="11">
        <v>335.29000000000087</v>
      </c>
      <c r="W115" s="55">
        <f t="shared" si="12"/>
        <v>46966.83</v>
      </c>
      <c r="X115" s="74">
        <f t="shared" si="13"/>
        <v>0.62520400035514423</v>
      </c>
      <c r="Y115" s="74">
        <f t="shared" si="14"/>
        <v>8.3446125701904933E-3</v>
      </c>
      <c r="Z115" s="74">
        <f t="shared" si="15"/>
        <v>0.17553601126582313</v>
      </c>
      <c r="AA115" s="74">
        <f t="shared" si="16"/>
        <v>0.1909153758088421</v>
      </c>
    </row>
    <row r="116" spans="1:27" hidden="1">
      <c r="A116" s="7" t="s">
        <v>7</v>
      </c>
      <c r="B116" s="7">
        <v>10009639</v>
      </c>
      <c r="C116" s="7" t="str">
        <f t="shared" si="17"/>
        <v>FEBRERO10009639Inventario final</v>
      </c>
      <c r="D116" s="7" t="s">
        <v>388</v>
      </c>
      <c r="E116" s="3" t="s">
        <v>221</v>
      </c>
      <c r="F116" s="8">
        <v>46980</v>
      </c>
      <c r="G116" s="2" t="s">
        <v>323</v>
      </c>
      <c r="H116" s="11">
        <v>98658</v>
      </c>
      <c r="I116" s="11" t="s">
        <v>394</v>
      </c>
      <c r="J116" s="11"/>
      <c r="K116" s="11">
        <v>82270.759999999995</v>
      </c>
      <c r="L116" s="11">
        <v>1.75</v>
      </c>
      <c r="M116" s="11">
        <v>51436.01</v>
      </c>
      <c r="N116" s="11">
        <v>686.51</v>
      </c>
      <c r="O116" s="11">
        <v>14441.48</v>
      </c>
      <c r="P116" s="11">
        <f t="shared" si="18"/>
        <v>15706.760000000002</v>
      </c>
      <c r="Q116" s="11">
        <v>265.07</v>
      </c>
      <c r="R116" s="11">
        <v>876.9</v>
      </c>
      <c r="S116" s="11">
        <v>7686.84</v>
      </c>
      <c r="T116" s="11">
        <v>0.04</v>
      </c>
      <c r="U116" s="11">
        <v>6290.58</v>
      </c>
      <c r="V116" s="11">
        <v>587.33000000000175</v>
      </c>
      <c r="W116" s="55">
        <f t="shared" si="12"/>
        <v>82270.760000000009</v>
      </c>
      <c r="X116" s="74">
        <f t="shared" si="13"/>
        <v>0.62520402145306542</v>
      </c>
      <c r="Y116" s="74">
        <f t="shared" si="14"/>
        <v>8.3445199728311732E-3</v>
      </c>
      <c r="Z116" s="74">
        <f t="shared" si="15"/>
        <v>0.17553599845194087</v>
      </c>
      <c r="AA116" s="74">
        <f t="shared" si="16"/>
        <v>0.19091546012216248</v>
      </c>
    </row>
    <row r="117" spans="1:27" hidden="1">
      <c r="A117" s="7" t="s">
        <v>6</v>
      </c>
      <c r="B117" s="7">
        <v>10009239</v>
      </c>
      <c r="C117" s="7" t="str">
        <f t="shared" si="17"/>
        <v>ENERO10009239Inventario inicial</v>
      </c>
      <c r="D117" s="7" t="s">
        <v>395</v>
      </c>
      <c r="E117" s="3" t="s">
        <v>322</v>
      </c>
      <c r="F117" s="8">
        <v>420</v>
      </c>
      <c r="G117" s="2" t="s">
        <v>323</v>
      </c>
      <c r="H117" s="11">
        <v>1054.2</v>
      </c>
      <c r="I117" s="11">
        <v>1049.78</v>
      </c>
      <c r="J117" s="11"/>
      <c r="K117" s="11">
        <v>2103.98</v>
      </c>
      <c r="L117" s="11">
        <v>5.01</v>
      </c>
      <c r="M117" s="11">
        <v>1391.81</v>
      </c>
      <c r="N117" s="11">
        <v>13.45</v>
      </c>
      <c r="O117" s="11">
        <v>517.6</v>
      </c>
      <c r="P117" s="11">
        <f t="shared" si="18"/>
        <v>181.11999999999983</v>
      </c>
      <c r="Q117" s="11">
        <v>19.48</v>
      </c>
      <c r="R117" s="11">
        <v>70.41</v>
      </c>
      <c r="S117" s="11">
        <v>77.03</v>
      </c>
      <c r="T117" s="11"/>
      <c r="U117" s="11"/>
      <c r="V117" s="11">
        <v>14.199999999999818</v>
      </c>
      <c r="W117" s="55">
        <f t="shared" si="12"/>
        <v>2103.98</v>
      </c>
      <c r="X117" s="74">
        <f t="shared" si="13"/>
        <v>0.6615129421382332</v>
      </c>
      <c r="Y117" s="74">
        <f t="shared" si="14"/>
        <v>6.3926463179307782E-3</v>
      </c>
      <c r="Z117" s="74">
        <f t="shared" si="15"/>
        <v>0.24600994306029525</v>
      </c>
      <c r="AA117" s="74">
        <f t="shared" si="16"/>
        <v>8.6084468483540635E-2</v>
      </c>
    </row>
    <row r="118" spans="1:27" hidden="1">
      <c r="A118" s="7" t="s">
        <v>6</v>
      </c>
      <c r="B118" s="7">
        <v>10009239</v>
      </c>
      <c r="C118" s="7" t="str">
        <f t="shared" si="17"/>
        <v>ENERO10009239Revalorización</v>
      </c>
      <c r="D118" s="7" t="s">
        <v>395</v>
      </c>
      <c r="E118" s="3" t="s">
        <v>324</v>
      </c>
      <c r="F118" s="8">
        <v>0</v>
      </c>
      <c r="G118" s="2" t="s">
        <v>323</v>
      </c>
      <c r="H118" s="11">
        <v>2335.1999999999998</v>
      </c>
      <c r="I118" s="11">
        <v>-2335.1999999999998</v>
      </c>
      <c r="J118" s="11"/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f t="shared" si="18"/>
        <v>0</v>
      </c>
      <c r="Q118" s="11">
        <v>0</v>
      </c>
      <c r="R118" s="11">
        <v>0</v>
      </c>
      <c r="S118" s="11">
        <v>0</v>
      </c>
      <c r="T118" s="11"/>
      <c r="U118" s="11"/>
      <c r="V118" s="11">
        <v>0</v>
      </c>
      <c r="W118" s="55">
        <f t="shared" si="12"/>
        <v>0</v>
      </c>
      <c r="X118" s="74" t="e">
        <f t="shared" si="13"/>
        <v>#DIV/0!</v>
      </c>
      <c r="Y118" s="74" t="e">
        <f t="shared" si="14"/>
        <v>#DIV/0!</v>
      </c>
      <c r="Z118" s="74" t="e">
        <f t="shared" si="15"/>
        <v>#DIV/0!</v>
      </c>
      <c r="AA118" s="74" t="e">
        <f t="shared" si="16"/>
        <v>#DIV/0!</v>
      </c>
    </row>
    <row r="119" spans="1:27" hidden="1">
      <c r="A119" s="7" t="s">
        <v>6</v>
      </c>
      <c r="B119" s="7">
        <v>10009239</v>
      </c>
      <c r="C119" s="7" t="str">
        <f t="shared" si="17"/>
        <v>ENERO10009239Entradas</v>
      </c>
      <c r="D119" s="7" t="s">
        <v>395</v>
      </c>
      <c r="E119" s="3" t="s">
        <v>167</v>
      </c>
      <c r="F119" s="8">
        <v>102060</v>
      </c>
      <c r="G119" s="2" t="s">
        <v>323</v>
      </c>
      <c r="H119" s="11">
        <v>823624.2</v>
      </c>
      <c r="I119" s="11">
        <v>-598995.24</v>
      </c>
      <c r="J119" s="11"/>
      <c r="K119" s="11">
        <v>224628.96</v>
      </c>
      <c r="L119" s="11">
        <v>2.2000000000000002</v>
      </c>
      <c r="M119" s="11">
        <v>116155.77</v>
      </c>
      <c r="N119" s="11">
        <v>1473.55</v>
      </c>
      <c r="O119" s="11">
        <v>74847.429999999993</v>
      </c>
      <c r="P119" s="11">
        <f t="shared" si="18"/>
        <v>32152.209999999985</v>
      </c>
      <c r="Q119" s="11">
        <v>1754.52</v>
      </c>
      <c r="R119" s="11">
        <v>16029.94</v>
      </c>
      <c r="S119" s="11">
        <v>12974.89</v>
      </c>
      <c r="T119" s="11"/>
      <c r="U119" s="11"/>
      <c r="V119" s="11">
        <v>1392.859999999986</v>
      </c>
      <c r="W119" s="55">
        <f t="shared" si="12"/>
        <v>224628.96</v>
      </c>
      <c r="X119" s="74">
        <f t="shared" si="13"/>
        <v>0.51710060002948866</v>
      </c>
      <c r="Y119" s="74">
        <f t="shared" si="14"/>
        <v>6.5599288711482261E-3</v>
      </c>
      <c r="Z119" s="74">
        <f t="shared" si="15"/>
        <v>0.33320472124342293</v>
      </c>
      <c r="AA119" s="74">
        <f t="shared" si="16"/>
        <v>0.14313474985594016</v>
      </c>
    </row>
    <row r="120" spans="1:27" hidden="1">
      <c r="A120" s="7" t="s">
        <v>6</v>
      </c>
      <c r="B120" s="7">
        <v>10009239</v>
      </c>
      <c r="C120" s="7" t="str">
        <f t="shared" si="17"/>
        <v>ENERO10009239Inv. acumulado</v>
      </c>
      <c r="D120" s="7" t="s">
        <v>395</v>
      </c>
      <c r="E120" s="3" t="s">
        <v>333</v>
      </c>
      <c r="F120" s="8">
        <v>102480</v>
      </c>
      <c r="G120" s="2" t="s">
        <v>323</v>
      </c>
      <c r="H120" s="11">
        <v>827013.6</v>
      </c>
      <c r="I120" s="11">
        <v>-600280.66</v>
      </c>
      <c r="J120" s="11"/>
      <c r="K120" s="11">
        <v>226732.94</v>
      </c>
      <c r="L120" s="11">
        <v>2.21</v>
      </c>
      <c r="M120" s="11">
        <v>117547.58</v>
      </c>
      <c r="N120" s="11">
        <v>1487</v>
      </c>
      <c r="O120" s="11">
        <v>75365.03</v>
      </c>
      <c r="P120" s="11">
        <f t="shared" si="18"/>
        <v>32333.330000000024</v>
      </c>
      <c r="Q120" s="11">
        <v>1774</v>
      </c>
      <c r="R120" s="11">
        <v>16100.35</v>
      </c>
      <c r="S120" s="11">
        <v>13051.92</v>
      </c>
      <c r="T120" s="11"/>
      <c r="U120" s="11"/>
      <c r="V120" s="11">
        <v>1407.0600000000268</v>
      </c>
      <c r="W120" s="55">
        <f t="shared" si="12"/>
        <v>226732.94</v>
      </c>
      <c r="X120" s="74">
        <f t="shared" si="13"/>
        <v>0.51844068179947744</v>
      </c>
      <c r="Y120" s="74">
        <f t="shared" si="14"/>
        <v>6.5583765640757803E-3</v>
      </c>
      <c r="Z120" s="74">
        <f t="shared" si="15"/>
        <v>0.33239559280623271</v>
      </c>
      <c r="AA120" s="74">
        <f t="shared" si="16"/>
        <v>0.1426053488302142</v>
      </c>
    </row>
    <row r="121" spans="1:27" hidden="1">
      <c r="A121" s="7" t="s">
        <v>6</v>
      </c>
      <c r="B121" s="7">
        <v>10009239</v>
      </c>
      <c r="C121" s="7" t="str">
        <f t="shared" si="17"/>
        <v>ENERO10009239Inventario final</v>
      </c>
      <c r="D121" s="7" t="s">
        <v>395</v>
      </c>
      <c r="E121" s="3" t="s">
        <v>221</v>
      </c>
      <c r="F121" s="9">
        <v>102480</v>
      </c>
      <c r="G121" s="3" t="s">
        <v>323</v>
      </c>
      <c r="H121" s="12">
        <v>827013.6</v>
      </c>
      <c r="I121" s="12">
        <v>-600280.66</v>
      </c>
      <c r="J121" s="13"/>
      <c r="K121" s="12">
        <v>226732.94</v>
      </c>
      <c r="L121" s="12">
        <v>2.21</v>
      </c>
      <c r="M121" s="12">
        <v>117547.58</v>
      </c>
      <c r="N121" s="12">
        <v>1487</v>
      </c>
      <c r="O121" s="12">
        <v>75365.03</v>
      </c>
      <c r="P121" s="12">
        <f t="shared" si="18"/>
        <v>32333.330000000024</v>
      </c>
      <c r="Q121" s="12">
        <v>1774</v>
      </c>
      <c r="R121" s="12">
        <v>16100.35</v>
      </c>
      <c r="S121" s="12">
        <v>13051.92</v>
      </c>
      <c r="T121" s="11"/>
      <c r="U121" s="11"/>
      <c r="V121" s="11">
        <v>1407.0600000000268</v>
      </c>
      <c r="W121" s="55">
        <f t="shared" si="12"/>
        <v>226732.94</v>
      </c>
      <c r="X121" s="74">
        <f t="shared" si="13"/>
        <v>0.51844068179947744</v>
      </c>
      <c r="Y121" s="74">
        <f t="shared" si="14"/>
        <v>6.5583765640757803E-3</v>
      </c>
      <c r="Z121" s="74">
        <f t="shared" si="15"/>
        <v>0.33239559280623271</v>
      </c>
      <c r="AA121" s="74">
        <f t="shared" si="16"/>
        <v>0.1426053488302142</v>
      </c>
    </row>
    <row r="122" spans="1:27" hidden="1">
      <c r="A122" s="7" t="s">
        <v>7</v>
      </c>
      <c r="B122" s="7">
        <v>10009239</v>
      </c>
      <c r="C122" s="7" t="str">
        <f t="shared" si="17"/>
        <v>FEBRERO10009239Inventario inicial</v>
      </c>
      <c r="D122" s="7" t="s">
        <v>395</v>
      </c>
      <c r="E122" s="3" t="s">
        <v>322</v>
      </c>
      <c r="F122" s="9">
        <v>102480</v>
      </c>
      <c r="G122" s="3" t="s">
        <v>323</v>
      </c>
      <c r="H122" s="12">
        <v>827013.6</v>
      </c>
      <c r="I122" s="12" t="s">
        <v>396</v>
      </c>
      <c r="J122" s="13"/>
      <c r="K122" s="12">
        <v>226732.94</v>
      </c>
      <c r="L122" s="12">
        <v>2.21</v>
      </c>
      <c r="M122" s="12">
        <v>117547.58</v>
      </c>
      <c r="N122" s="12">
        <v>1487</v>
      </c>
      <c r="O122" s="12">
        <v>75365.03</v>
      </c>
      <c r="P122" s="12">
        <f t="shared" si="18"/>
        <v>32333.330000000009</v>
      </c>
      <c r="Q122" s="12">
        <v>237.66</v>
      </c>
      <c r="R122" s="12">
        <v>1774</v>
      </c>
      <c r="S122" s="12">
        <v>16100.35</v>
      </c>
      <c r="T122" s="11">
        <v>0.02</v>
      </c>
      <c r="U122" s="11">
        <v>13051.92</v>
      </c>
      <c r="V122" s="11">
        <v>1169.3800000000047</v>
      </c>
      <c r="W122" s="55">
        <f t="shared" si="12"/>
        <v>226732.94</v>
      </c>
      <c r="X122" s="74">
        <f t="shared" si="13"/>
        <v>0.51844068179947744</v>
      </c>
      <c r="Y122" s="74">
        <f t="shared" si="14"/>
        <v>6.5583765640757803E-3</v>
      </c>
      <c r="Z122" s="74">
        <f t="shared" si="15"/>
        <v>0.33239559280623271</v>
      </c>
      <c r="AA122" s="74">
        <f t="shared" si="16"/>
        <v>0.14260534883021411</v>
      </c>
    </row>
    <row r="123" spans="1:27" hidden="1">
      <c r="A123" s="7" t="s">
        <v>7</v>
      </c>
      <c r="B123" s="7">
        <v>10009239</v>
      </c>
      <c r="C123" s="7" t="str">
        <f t="shared" si="17"/>
        <v>FEBRERO10009239Revalorización</v>
      </c>
      <c r="D123" s="7" t="s">
        <v>395</v>
      </c>
      <c r="E123" s="3" t="s">
        <v>324</v>
      </c>
      <c r="F123" s="9">
        <v>0</v>
      </c>
      <c r="G123" s="3" t="s">
        <v>323</v>
      </c>
      <c r="H123" s="12" t="s">
        <v>397</v>
      </c>
      <c r="I123" s="12">
        <v>313588.8</v>
      </c>
      <c r="J123" s="13"/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f t="shared" si="18"/>
        <v>0</v>
      </c>
      <c r="Q123" s="12">
        <v>0</v>
      </c>
      <c r="R123" s="12">
        <v>0</v>
      </c>
      <c r="S123" s="12">
        <v>0</v>
      </c>
      <c r="T123" s="11">
        <v>0</v>
      </c>
      <c r="U123" s="11">
        <v>0</v>
      </c>
      <c r="V123" s="11">
        <v>0</v>
      </c>
      <c r="W123" s="55">
        <f t="shared" si="12"/>
        <v>0</v>
      </c>
      <c r="X123" s="74" t="e">
        <f t="shared" si="13"/>
        <v>#DIV/0!</v>
      </c>
      <c r="Y123" s="74" t="e">
        <f t="shared" si="14"/>
        <v>#DIV/0!</v>
      </c>
      <c r="Z123" s="74" t="e">
        <f t="shared" si="15"/>
        <v>#DIV/0!</v>
      </c>
      <c r="AA123" s="74" t="e">
        <f t="shared" si="16"/>
        <v>#DIV/0!</v>
      </c>
    </row>
    <row r="124" spans="1:27" hidden="1">
      <c r="A124" s="7" t="s">
        <v>7</v>
      </c>
      <c r="B124" s="7">
        <v>10009239</v>
      </c>
      <c r="C124" s="7" t="str">
        <f t="shared" si="17"/>
        <v>FEBRERO10009239Entradas</v>
      </c>
      <c r="D124" s="7" t="s">
        <v>395</v>
      </c>
      <c r="E124" s="3" t="s">
        <v>167</v>
      </c>
      <c r="F124" s="9">
        <v>220080</v>
      </c>
      <c r="G124" s="3" t="s">
        <v>323</v>
      </c>
      <c r="H124" s="12">
        <v>1102600.8</v>
      </c>
      <c r="I124" s="12" t="s">
        <v>398</v>
      </c>
      <c r="J124" s="13"/>
      <c r="K124" s="12">
        <v>455396.99</v>
      </c>
      <c r="L124" s="12">
        <v>2.0699999999999998</v>
      </c>
      <c r="M124" s="12">
        <v>229451.58</v>
      </c>
      <c r="N124" s="12">
        <v>2876.11</v>
      </c>
      <c r="O124" s="12">
        <v>151319.39000000001</v>
      </c>
      <c r="P124" s="12">
        <f t="shared" si="18"/>
        <v>71749.910000000062</v>
      </c>
      <c r="Q124" s="12">
        <v>1551.56</v>
      </c>
      <c r="R124" s="12">
        <v>3846.94</v>
      </c>
      <c r="S124" s="12">
        <v>35142.76</v>
      </c>
      <c r="T124" s="11" t="s">
        <v>368</v>
      </c>
      <c r="U124" s="11">
        <v>28449.46</v>
      </c>
      <c r="V124" s="11">
        <v>2759.1900000000605</v>
      </c>
      <c r="W124" s="55">
        <f t="shared" si="12"/>
        <v>455396.99</v>
      </c>
      <c r="X124" s="74">
        <f t="shared" si="13"/>
        <v>0.50384957529034169</v>
      </c>
      <c r="Y124" s="74">
        <f t="shared" si="14"/>
        <v>6.3156104742809133E-3</v>
      </c>
      <c r="Z124" s="74">
        <f t="shared" si="15"/>
        <v>0.33228017163661977</v>
      </c>
      <c r="AA124" s="74">
        <f t="shared" si="16"/>
        <v>0.15755464259875776</v>
      </c>
    </row>
    <row r="125" spans="1:27" hidden="1">
      <c r="A125" s="7" t="s">
        <v>7</v>
      </c>
      <c r="B125" s="7">
        <v>10009239</v>
      </c>
      <c r="C125" s="7" t="str">
        <f t="shared" si="17"/>
        <v>FEBRERO10009239Inventario acumulado</v>
      </c>
      <c r="D125" s="7" t="s">
        <v>395</v>
      </c>
      <c r="E125" s="3" t="s">
        <v>325</v>
      </c>
      <c r="F125" s="9">
        <v>322560</v>
      </c>
      <c r="G125" s="3" t="s">
        <v>323</v>
      </c>
      <c r="H125" s="12">
        <v>1616025.6000000001</v>
      </c>
      <c r="I125" s="12" t="s">
        <v>399</v>
      </c>
      <c r="J125" s="13"/>
      <c r="K125" s="12">
        <v>682129.93</v>
      </c>
      <c r="L125" s="12">
        <v>2.11</v>
      </c>
      <c r="M125" s="12">
        <v>346999.16</v>
      </c>
      <c r="N125" s="12">
        <v>4363.1099999999997</v>
      </c>
      <c r="O125" s="12">
        <v>226684.42</v>
      </c>
      <c r="P125" s="12">
        <f t="shared" si="18"/>
        <v>104083.24000000008</v>
      </c>
      <c r="Q125" s="12">
        <v>1789.22</v>
      </c>
      <c r="R125" s="12">
        <v>5620.94</v>
      </c>
      <c r="S125" s="12">
        <v>51243.11</v>
      </c>
      <c r="T125" s="11" t="s">
        <v>400</v>
      </c>
      <c r="U125" s="11">
        <v>41501.379999999997</v>
      </c>
      <c r="V125" s="11">
        <v>3928.5900000000838</v>
      </c>
      <c r="W125" s="55">
        <f t="shared" si="12"/>
        <v>682129.93</v>
      </c>
      <c r="X125" s="74">
        <f t="shared" si="13"/>
        <v>0.50869950831801203</v>
      </c>
      <c r="Y125" s="74">
        <f t="shared" si="14"/>
        <v>6.3963034139258475E-3</v>
      </c>
      <c r="Z125" s="74">
        <f t="shared" si="15"/>
        <v>0.33231853644070419</v>
      </c>
      <c r="AA125" s="74">
        <f t="shared" si="16"/>
        <v>0.15258565182735798</v>
      </c>
    </row>
    <row r="126" spans="1:27" hidden="1">
      <c r="A126" s="7" t="s">
        <v>7</v>
      </c>
      <c r="B126" s="7">
        <v>10009239</v>
      </c>
      <c r="C126" s="7" t="str">
        <f t="shared" si="17"/>
        <v>FEBRERO10009239Compensación</v>
      </c>
      <c r="D126" s="7" t="s">
        <v>395</v>
      </c>
      <c r="E126" s="3" t="s">
        <v>117</v>
      </c>
      <c r="F126" s="9">
        <v>27000</v>
      </c>
      <c r="G126" s="3" t="s">
        <v>323</v>
      </c>
      <c r="H126" s="12">
        <v>135270</v>
      </c>
      <c r="I126" s="12" t="s">
        <v>401</v>
      </c>
      <c r="J126" s="13"/>
      <c r="K126" s="12">
        <v>57097.93</v>
      </c>
      <c r="L126" s="12">
        <v>2.11</v>
      </c>
      <c r="M126" s="12">
        <v>29045.69</v>
      </c>
      <c r="N126" s="12">
        <v>365.21</v>
      </c>
      <c r="O126" s="12">
        <v>18974.7</v>
      </c>
      <c r="P126" s="12">
        <f t="shared" si="18"/>
        <v>8712.3300000000036</v>
      </c>
      <c r="Q126" s="12">
        <v>149.77000000000001</v>
      </c>
      <c r="R126" s="12">
        <v>470.5</v>
      </c>
      <c r="S126" s="12">
        <v>4289.33</v>
      </c>
      <c r="T126" s="11" t="s">
        <v>340</v>
      </c>
      <c r="U126" s="11">
        <v>3473.89</v>
      </c>
      <c r="V126" s="11">
        <v>328.84000000000378</v>
      </c>
      <c r="W126" s="55">
        <f t="shared" si="12"/>
        <v>57097.93</v>
      </c>
      <c r="X126" s="74">
        <f t="shared" si="13"/>
        <v>0.50869952728584034</v>
      </c>
      <c r="Y126" s="74">
        <f t="shared" si="14"/>
        <v>6.3962038553761931E-3</v>
      </c>
      <c r="Z126" s="74">
        <f t="shared" si="15"/>
        <v>0.33231852713399596</v>
      </c>
      <c r="AA126" s="74">
        <f t="shared" si="16"/>
        <v>0.15258574172478764</v>
      </c>
    </row>
    <row r="127" spans="1:27" hidden="1">
      <c r="A127" s="7" t="s">
        <v>7</v>
      </c>
      <c r="B127" s="7">
        <v>10009239</v>
      </c>
      <c r="C127" s="7" t="str">
        <f t="shared" si="17"/>
        <v>FEBRERO10009239Inventario final</v>
      </c>
      <c r="D127" s="7" t="s">
        <v>395</v>
      </c>
      <c r="E127" s="3" t="s">
        <v>221</v>
      </c>
      <c r="F127" s="8">
        <v>295560</v>
      </c>
      <c r="G127" s="2" t="s">
        <v>323</v>
      </c>
      <c r="H127" s="11">
        <v>1480755.6</v>
      </c>
      <c r="I127" s="11" t="s">
        <v>402</v>
      </c>
      <c r="J127" s="11"/>
      <c r="K127" s="11">
        <v>625032</v>
      </c>
      <c r="L127" s="11">
        <v>2.11</v>
      </c>
      <c r="M127" s="11">
        <v>317953.46999999997</v>
      </c>
      <c r="N127" s="11">
        <v>3997.9</v>
      </c>
      <c r="O127" s="11">
        <v>207709.72</v>
      </c>
      <c r="P127" s="11">
        <f t="shared" si="18"/>
        <v>95370.91</v>
      </c>
      <c r="Q127" s="11">
        <v>1639.45</v>
      </c>
      <c r="R127" s="11">
        <v>5150.4399999999996</v>
      </c>
      <c r="S127" s="11">
        <v>46953.78</v>
      </c>
      <c r="T127" s="11" t="s">
        <v>403</v>
      </c>
      <c r="U127" s="11">
        <v>38027.49</v>
      </c>
      <c r="V127" s="11">
        <v>3599.75</v>
      </c>
      <c r="W127" s="55">
        <f t="shared" si="12"/>
        <v>625032</v>
      </c>
      <c r="X127" s="74">
        <f t="shared" si="13"/>
        <v>0.50869950658526275</v>
      </c>
      <c r="Y127" s="74">
        <f t="shared" si="14"/>
        <v>6.3963125087995497E-3</v>
      </c>
      <c r="Z127" s="74">
        <f t="shared" si="15"/>
        <v>0.33231853729089073</v>
      </c>
      <c r="AA127" s="74">
        <f t="shared" si="16"/>
        <v>0.15258564361504692</v>
      </c>
    </row>
    <row r="128" spans="1:27" hidden="1">
      <c r="A128" s="7" t="s">
        <v>6</v>
      </c>
      <c r="B128" s="7">
        <v>10007050</v>
      </c>
      <c r="C128" s="7" t="str">
        <f t="shared" si="17"/>
        <v>ENERO10007050Inventario inicial</v>
      </c>
      <c r="D128" s="7" t="s">
        <v>404</v>
      </c>
      <c r="E128" s="3" t="s">
        <v>322</v>
      </c>
      <c r="F128" s="8">
        <v>0</v>
      </c>
      <c r="G128" s="2" t="s">
        <v>323</v>
      </c>
      <c r="H128" s="11">
        <v>0</v>
      </c>
      <c r="I128" s="11">
        <v>0</v>
      </c>
      <c r="J128" s="11"/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f t="shared" si="18"/>
        <v>0</v>
      </c>
      <c r="Q128" s="11"/>
      <c r="R128" s="11"/>
      <c r="S128" s="11"/>
      <c r="T128" s="11"/>
      <c r="U128" s="11"/>
      <c r="V128" s="11">
        <v>0</v>
      </c>
      <c r="W128" s="55">
        <f t="shared" si="12"/>
        <v>0</v>
      </c>
      <c r="X128" s="74" t="e">
        <f t="shared" si="13"/>
        <v>#DIV/0!</v>
      </c>
      <c r="Y128" s="74" t="e">
        <f t="shared" si="14"/>
        <v>#DIV/0!</v>
      </c>
      <c r="Z128" s="74" t="e">
        <f t="shared" si="15"/>
        <v>#DIV/0!</v>
      </c>
      <c r="AA128" s="74" t="e">
        <f t="shared" si="16"/>
        <v>#DIV/0!</v>
      </c>
    </row>
    <row r="129" spans="1:27" hidden="1">
      <c r="A129" s="7" t="s">
        <v>6</v>
      </c>
      <c r="B129" s="7">
        <v>10007050</v>
      </c>
      <c r="C129" s="7" t="str">
        <f t="shared" si="17"/>
        <v>ENERO10007050Revalorización</v>
      </c>
      <c r="D129" s="7" t="s">
        <v>404</v>
      </c>
      <c r="E129" s="3" t="s">
        <v>324</v>
      </c>
      <c r="F129" s="8">
        <v>0</v>
      </c>
      <c r="G129" s="2" t="s">
        <v>323</v>
      </c>
      <c r="H129" s="11">
        <v>0</v>
      </c>
      <c r="I129" s="11">
        <v>0</v>
      </c>
      <c r="J129" s="11"/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f t="shared" si="18"/>
        <v>0</v>
      </c>
      <c r="Q129" s="11"/>
      <c r="R129" s="11"/>
      <c r="S129" s="11"/>
      <c r="T129" s="11"/>
      <c r="U129" s="11"/>
      <c r="V129" s="11">
        <v>0</v>
      </c>
      <c r="W129" s="55">
        <f t="shared" si="12"/>
        <v>0</v>
      </c>
      <c r="X129" s="74" t="e">
        <f t="shared" si="13"/>
        <v>#DIV/0!</v>
      </c>
      <c r="Y129" s="74" t="e">
        <f t="shared" si="14"/>
        <v>#DIV/0!</v>
      </c>
      <c r="Z129" s="74" t="e">
        <f t="shared" si="15"/>
        <v>#DIV/0!</v>
      </c>
      <c r="AA129" s="74" t="e">
        <f t="shared" si="16"/>
        <v>#DIV/0!</v>
      </c>
    </row>
    <row r="130" spans="1:27" hidden="1">
      <c r="A130" s="7" t="s">
        <v>6</v>
      </c>
      <c r="B130" s="7">
        <v>10007050</v>
      </c>
      <c r="C130" s="7" t="str">
        <f t="shared" si="17"/>
        <v>ENERO10007050Entradas</v>
      </c>
      <c r="D130" s="7" t="s">
        <v>404</v>
      </c>
      <c r="E130" s="3" t="s">
        <v>167</v>
      </c>
      <c r="F130" s="8">
        <v>11740</v>
      </c>
      <c r="G130" s="2" t="s">
        <v>323</v>
      </c>
      <c r="H130" s="11">
        <v>29702.2</v>
      </c>
      <c r="I130" s="11">
        <v>-13761.55</v>
      </c>
      <c r="J130" s="11"/>
      <c r="K130" s="11">
        <v>15940.65</v>
      </c>
      <c r="L130" s="11">
        <v>1.36</v>
      </c>
      <c r="M130" s="11">
        <v>13172.77</v>
      </c>
      <c r="N130" s="11">
        <v>184.66</v>
      </c>
      <c r="O130" s="11">
        <v>2641.53</v>
      </c>
      <c r="P130" s="11">
        <f t="shared" si="18"/>
        <v>-58.31000000000131</v>
      </c>
      <c r="Q130" s="11"/>
      <c r="R130" s="11"/>
      <c r="S130" s="11"/>
      <c r="T130" s="11"/>
      <c r="U130" s="11"/>
      <c r="V130" s="11">
        <v>-58.31000000000131</v>
      </c>
      <c r="W130" s="55">
        <f t="shared" si="12"/>
        <v>15940.65</v>
      </c>
      <c r="X130" s="74">
        <f t="shared" si="13"/>
        <v>0.82636341679918957</v>
      </c>
      <c r="Y130" s="74">
        <f t="shared" si="14"/>
        <v>1.158422021686694E-2</v>
      </c>
      <c r="Z130" s="74">
        <f t="shared" si="15"/>
        <v>0.1657103066687996</v>
      </c>
      <c r="AA130" s="74">
        <f t="shared" si="16"/>
        <v>-3.6579436848560949E-3</v>
      </c>
    </row>
    <row r="131" spans="1:27" hidden="1">
      <c r="A131" s="7" t="s">
        <v>6</v>
      </c>
      <c r="B131" s="7">
        <v>10007050</v>
      </c>
      <c r="C131" s="7" t="str">
        <f t="shared" si="17"/>
        <v>ENERO10007050Inv. acumulado</v>
      </c>
      <c r="D131" s="7" t="s">
        <v>404</v>
      </c>
      <c r="E131" s="3" t="s">
        <v>333</v>
      </c>
      <c r="F131" s="8">
        <v>11740</v>
      </c>
      <c r="G131" s="2" t="s">
        <v>323</v>
      </c>
      <c r="H131" s="11">
        <v>29702.2</v>
      </c>
      <c r="I131" s="11">
        <v>-13761.55</v>
      </c>
      <c r="J131" s="11"/>
      <c r="K131" s="11">
        <v>15940.65</v>
      </c>
      <c r="L131" s="11">
        <v>1.36</v>
      </c>
      <c r="M131" s="11">
        <v>13172.77</v>
      </c>
      <c r="N131" s="11">
        <v>184.66</v>
      </c>
      <c r="O131" s="11">
        <v>2641.53</v>
      </c>
      <c r="P131" s="11">
        <f t="shared" si="18"/>
        <v>-58.31000000000131</v>
      </c>
      <c r="Q131" s="11"/>
      <c r="R131" s="11"/>
      <c r="S131" s="11"/>
      <c r="T131" s="11"/>
      <c r="U131" s="11"/>
      <c r="V131" s="11">
        <v>-58.31000000000131</v>
      </c>
      <c r="W131" s="55">
        <f t="shared" si="12"/>
        <v>15940.65</v>
      </c>
      <c r="X131" s="74">
        <f t="shared" si="13"/>
        <v>0.82636341679918957</v>
      </c>
      <c r="Y131" s="74">
        <f t="shared" si="14"/>
        <v>1.158422021686694E-2</v>
      </c>
      <c r="Z131" s="74">
        <f t="shared" si="15"/>
        <v>0.1657103066687996</v>
      </c>
      <c r="AA131" s="74">
        <f t="shared" si="16"/>
        <v>-3.6579436848560949E-3</v>
      </c>
    </row>
    <row r="132" spans="1:27" hidden="1">
      <c r="A132" s="7" t="s">
        <v>6</v>
      </c>
      <c r="B132" s="7">
        <v>10007050</v>
      </c>
      <c r="C132" s="7" t="str">
        <f t="shared" si="17"/>
        <v>ENERO10007050Inventario final</v>
      </c>
      <c r="D132" s="7" t="s">
        <v>404</v>
      </c>
      <c r="E132" s="3" t="s">
        <v>221</v>
      </c>
      <c r="F132" s="8">
        <v>11740</v>
      </c>
      <c r="G132" s="2" t="s">
        <v>323</v>
      </c>
      <c r="H132" s="11">
        <v>29702.2</v>
      </c>
      <c r="I132" s="11">
        <v>-13761.55</v>
      </c>
      <c r="J132" s="11"/>
      <c r="K132" s="11">
        <v>15940.65</v>
      </c>
      <c r="L132" s="11">
        <v>1.36</v>
      </c>
      <c r="M132" s="11">
        <v>13172.77</v>
      </c>
      <c r="N132" s="11">
        <v>184.66</v>
      </c>
      <c r="O132" s="11">
        <v>2641.53</v>
      </c>
      <c r="P132" s="11">
        <f t="shared" si="18"/>
        <v>-58.31000000000131</v>
      </c>
      <c r="Q132" s="11"/>
      <c r="R132" s="11"/>
      <c r="S132" s="11"/>
      <c r="T132" s="11"/>
      <c r="U132" s="11"/>
      <c r="V132" s="11">
        <v>-58.31000000000131</v>
      </c>
      <c r="W132" s="55">
        <f t="shared" si="12"/>
        <v>15940.65</v>
      </c>
      <c r="X132" s="74">
        <f t="shared" si="13"/>
        <v>0.82636341679918957</v>
      </c>
      <c r="Y132" s="74">
        <f t="shared" si="14"/>
        <v>1.158422021686694E-2</v>
      </c>
      <c r="Z132" s="74">
        <f t="shared" si="15"/>
        <v>0.1657103066687996</v>
      </c>
      <c r="AA132" s="74">
        <f t="shared" si="16"/>
        <v>-3.6579436848560949E-3</v>
      </c>
    </row>
    <row r="133" spans="1:27" hidden="1">
      <c r="A133" s="7" t="s">
        <v>7</v>
      </c>
      <c r="B133" s="7">
        <v>10007050</v>
      </c>
      <c r="C133" s="7" t="str">
        <f t="shared" ref="C133:C158" si="19">A133&amp;B133&amp;E133</f>
        <v>FEBRERO10007050Inventario inicial</v>
      </c>
      <c r="D133" s="7" t="s">
        <v>404</v>
      </c>
      <c r="E133" s="3" t="s">
        <v>322</v>
      </c>
      <c r="F133" s="8">
        <v>11740</v>
      </c>
      <c r="G133" s="2" t="s">
        <v>323</v>
      </c>
      <c r="H133" s="11">
        <v>29702.2</v>
      </c>
      <c r="I133" s="11" t="s">
        <v>405</v>
      </c>
      <c r="J133" s="11"/>
      <c r="K133" s="11">
        <v>15940.65</v>
      </c>
      <c r="L133" s="11">
        <v>1.36</v>
      </c>
      <c r="M133" s="11">
        <v>13172.77</v>
      </c>
      <c r="N133" s="11">
        <v>184.66</v>
      </c>
      <c r="O133" s="11">
        <v>2641.53</v>
      </c>
      <c r="P133" s="11">
        <f t="shared" ref="P133:P158" si="20">SUM(Q133:V133)</f>
        <v>-58.31000000000131</v>
      </c>
      <c r="Q133" s="11">
        <v>0</v>
      </c>
      <c r="R133" s="11">
        <v>0</v>
      </c>
      <c r="S133" s="11">
        <v>0</v>
      </c>
      <c r="T133" s="11" t="s">
        <v>371</v>
      </c>
      <c r="U133" s="11">
        <v>0</v>
      </c>
      <c r="V133" s="11">
        <v>-58.31000000000131</v>
      </c>
      <c r="W133" s="55">
        <f t="shared" si="12"/>
        <v>15940.65</v>
      </c>
      <c r="X133" s="74">
        <f t="shared" si="13"/>
        <v>0.82636341679918957</v>
      </c>
      <c r="Y133" s="74">
        <f t="shared" si="14"/>
        <v>1.158422021686694E-2</v>
      </c>
      <c r="Z133" s="74">
        <f t="shared" si="15"/>
        <v>0.1657103066687996</v>
      </c>
      <c r="AA133" s="74">
        <f t="shared" si="16"/>
        <v>-3.6579436848560949E-3</v>
      </c>
    </row>
    <row r="134" spans="1:27" hidden="1">
      <c r="A134" s="7" t="s">
        <v>7</v>
      </c>
      <c r="B134" s="7">
        <v>10007050</v>
      </c>
      <c r="C134" s="7" t="str">
        <f t="shared" si="19"/>
        <v>FEBRERO10007050Revalorización</v>
      </c>
      <c r="D134" s="7" t="s">
        <v>404</v>
      </c>
      <c r="E134" s="3" t="s">
        <v>324</v>
      </c>
      <c r="F134" s="8">
        <v>0</v>
      </c>
      <c r="G134" s="2" t="s">
        <v>323</v>
      </c>
      <c r="H134" s="11" t="s">
        <v>406</v>
      </c>
      <c r="I134" s="11">
        <v>2700.2</v>
      </c>
      <c r="J134" s="11"/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f t="shared" si="20"/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55">
        <f t="shared" ref="W134:W158" si="21">SUM(M134:P134)</f>
        <v>0</v>
      </c>
      <c r="X134" s="74" t="e">
        <f t="shared" ref="X134:X158" si="22">M134/$W134</f>
        <v>#DIV/0!</v>
      </c>
      <c r="Y134" s="74" t="e">
        <f t="shared" ref="Y134:Y158" si="23">N134/$W134</f>
        <v>#DIV/0!</v>
      </c>
      <c r="Z134" s="74" t="e">
        <f t="shared" ref="Z134:Z158" si="24">O134/$W134</f>
        <v>#DIV/0!</v>
      </c>
      <c r="AA134" s="74" t="e">
        <f t="shared" ref="AA134:AA158" si="25">P134/$W134</f>
        <v>#DIV/0!</v>
      </c>
    </row>
    <row r="135" spans="1:27" hidden="1">
      <c r="A135" s="18" t="s">
        <v>7</v>
      </c>
      <c r="B135" s="18">
        <v>10007050</v>
      </c>
      <c r="C135" s="18" t="str">
        <f t="shared" si="19"/>
        <v>FEBRERO10007050Entradas</v>
      </c>
      <c r="D135" s="18" t="s">
        <v>404</v>
      </c>
      <c r="E135" s="3" t="s">
        <v>167</v>
      </c>
      <c r="F135" s="8">
        <v>15320</v>
      </c>
      <c r="G135" s="2" t="s">
        <v>323</v>
      </c>
      <c r="H135" s="11">
        <v>35236</v>
      </c>
      <c r="I135" s="11" t="s">
        <v>407</v>
      </c>
      <c r="J135" s="11"/>
      <c r="K135" s="11">
        <v>19496.29</v>
      </c>
      <c r="L135" s="11">
        <v>1.27</v>
      </c>
      <c r="M135" s="11">
        <v>15644.46</v>
      </c>
      <c r="N135" s="11">
        <v>260.14</v>
      </c>
      <c r="O135" s="11">
        <v>3617.28</v>
      </c>
      <c r="P135" s="11">
        <f t="shared" si="20"/>
        <v>-25.589999999997815</v>
      </c>
      <c r="Q135" s="11">
        <v>0.39</v>
      </c>
      <c r="R135" s="11">
        <v>4.7699999999999996</v>
      </c>
      <c r="S135" s="11">
        <v>19.87</v>
      </c>
      <c r="T135" s="11">
        <v>0.02</v>
      </c>
      <c r="U135" s="11">
        <v>20.76</v>
      </c>
      <c r="V135" s="11">
        <v>-71.399999999997817</v>
      </c>
      <c r="W135" s="55">
        <f t="shared" si="21"/>
        <v>19496.29</v>
      </c>
      <c r="X135" s="74">
        <f t="shared" si="22"/>
        <v>0.80243266795887824</v>
      </c>
      <c r="Y135" s="74">
        <f t="shared" si="23"/>
        <v>1.3343051421578156E-2</v>
      </c>
      <c r="Z135" s="74">
        <f t="shared" si="24"/>
        <v>0.1855368380343132</v>
      </c>
      <c r="AA135" s="74">
        <f t="shared" si="25"/>
        <v>-1.3125574147695696E-3</v>
      </c>
    </row>
    <row r="136" spans="1:27" hidden="1">
      <c r="A136" s="7" t="s">
        <v>7</v>
      </c>
      <c r="B136" s="7">
        <v>10007050</v>
      </c>
      <c r="C136" s="7" t="str">
        <f t="shared" si="19"/>
        <v>FEBRERO10007050Inventario acumulado</v>
      </c>
      <c r="D136" s="7" t="s">
        <v>404</v>
      </c>
      <c r="E136" s="3" t="s">
        <v>325</v>
      </c>
      <c r="F136" s="8">
        <v>27060</v>
      </c>
      <c r="G136" s="2" t="s">
        <v>323</v>
      </c>
      <c r="H136" s="11">
        <v>62238</v>
      </c>
      <c r="I136" s="11" t="s">
        <v>408</v>
      </c>
      <c r="J136" s="11"/>
      <c r="K136" s="11">
        <v>35436.94</v>
      </c>
      <c r="L136" s="11">
        <v>1.31</v>
      </c>
      <c r="M136" s="11">
        <v>28817.23</v>
      </c>
      <c r="N136" s="11">
        <v>444.8</v>
      </c>
      <c r="O136" s="11">
        <v>6258.81</v>
      </c>
      <c r="P136" s="11">
        <f t="shared" si="20"/>
        <v>-83.899999999995046</v>
      </c>
      <c r="Q136" s="11">
        <v>0.39</v>
      </c>
      <c r="R136" s="11">
        <v>4.7699999999999996</v>
      </c>
      <c r="S136" s="11">
        <v>19.87</v>
      </c>
      <c r="T136" s="11" t="s">
        <v>340</v>
      </c>
      <c r="U136" s="11">
        <v>20.76</v>
      </c>
      <c r="V136" s="11">
        <v>-129.68999999999505</v>
      </c>
      <c r="W136" s="55">
        <f t="shared" si="21"/>
        <v>35436.94</v>
      </c>
      <c r="X136" s="74">
        <f t="shared" si="22"/>
        <v>0.81319747133922959</v>
      </c>
      <c r="Y136" s="74">
        <f t="shared" si="23"/>
        <v>1.2551873835607701E-2</v>
      </c>
      <c r="Z136" s="74">
        <f t="shared" si="24"/>
        <v>0.17661824073974786</v>
      </c>
      <c r="AA136" s="74">
        <f t="shared" si="25"/>
        <v>-2.3675859145850359E-3</v>
      </c>
    </row>
    <row r="137" spans="1:27" hidden="1">
      <c r="A137" s="7" t="s">
        <v>7</v>
      </c>
      <c r="B137" s="7">
        <v>10007050</v>
      </c>
      <c r="C137" s="7" t="str">
        <f t="shared" si="19"/>
        <v>FEBRERO10007050Inventario final</v>
      </c>
      <c r="D137" s="7" t="s">
        <v>404</v>
      </c>
      <c r="E137" s="3" t="s">
        <v>221</v>
      </c>
      <c r="F137" s="8">
        <v>27060</v>
      </c>
      <c r="G137" s="2" t="s">
        <v>323</v>
      </c>
      <c r="H137" s="11">
        <v>62238</v>
      </c>
      <c r="I137" s="11" t="s">
        <v>408</v>
      </c>
      <c r="J137" s="11"/>
      <c r="K137" s="11">
        <v>35436.94</v>
      </c>
      <c r="L137" s="11">
        <v>1.31</v>
      </c>
      <c r="M137" s="11">
        <v>28817.23</v>
      </c>
      <c r="N137" s="11">
        <v>444.8</v>
      </c>
      <c r="O137" s="11">
        <v>6258.81</v>
      </c>
      <c r="P137" s="11">
        <f t="shared" si="20"/>
        <v>-83.899999999995046</v>
      </c>
      <c r="Q137" s="11">
        <v>0.39</v>
      </c>
      <c r="R137" s="11">
        <v>4.7699999999999996</v>
      </c>
      <c r="S137" s="11">
        <v>19.87</v>
      </c>
      <c r="T137" s="11" t="s">
        <v>340</v>
      </c>
      <c r="U137" s="11">
        <v>20.76</v>
      </c>
      <c r="V137" s="11">
        <v>-129.68999999999505</v>
      </c>
      <c r="W137" s="55">
        <f t="shared" si="21"/>
        <v>35436.94</v>
      </c>
      <c r="X137" s="74">
        <f t="shared" si="22"/>
        <v>0.81319747133922959</v>
      </c>
      <c r="Y137" s="74">
        <f t="shared" si="23"/>
        <v>1.2551873835607701E-2</v>
      </c>
      <c r="Z137" s="74">
        <f t="shared" si="24"/>
        <v>0.17661824073974786</v>
      </c>
      <c r="AA137" s="74">
        <f t="shared" si="25"/>
        <v>-2.3675859145850359E-3</v>
      </c>
    </row>
    <row r="138" spans="1:27" hidden="1">
      <c r="A138" s="7" t="s">
        <v>6</v>
      </c>
      <c r="B138" s="7">
        <v>10009331</v>
      </c>
      <c r="C138" s="7" t="str">
        <f t="shared" si="19"/>
        <v>ENERO10009331Inventario inicial</v>
      </c>
      <c r="D138" s="7" t="s">
        <v>409</v>
      </c>
      <c r="E138" s="3" t="s">
        <v>322</v>
      </c>
      <c r="F138" s="8">
        <v>0</v>
      </c>
      <c r="G138" s="2" t="s">
        <v>323</v>
      </c>
      <c r="H138" s="11">
        <v>0</v>
      </c>
      <c r="I138" s="11">
        <v>0</v>
      </c>
      <c r="J138" s="11"/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f t="shared" si="20"/>
        <v>0</v>
      </c>
      <c r="Q138" s="11">
        <v>0</v>
      </c>
      <c r="R138" s="11">
        <v>0</v>
      </c>
      <c r="S138" s="11">
        <v>0</v>
      </c>
      <c r="T138" s="11">
        <v>0</v>
      </c>
      <c r="U138" s="11"/>
      <c r="V138" s="11">
        <v>0</v>
      </c>
      <c r="W138" s="55">
        <f t="shared" si="21"/>
        <v>0</v>
      </c>
      <c r="X138" s="74" t="e">
        <f t="shared" si="22"/>
        <v>#DIV/0!</v>
      </c>
      <c r="Y138" s="74" t="e">
        <f t="shared" si="23"/>
        <v>#DIV/0!</v>
      </c>
      <c r="Z138" s="74" t="e">
        <f t="shared" si="24"/>
        <v>#DIV/0!</v>
      </c>
      <c r="AA138" s="74" t="e">
        <f t="shared" si="25"/>
        <v>#DIV/0!</v>
      </c>
    </row>
    <row r="139" spans="1:27" hidden="1">
      <c r="A139" s="7" t="s">
        <v>6</v>
      </c>
      <c r="B139" s="7">
        <v>10009331</v>
      </c>
      <c r="C139" s="7" t="str">
        <f t="shared" si="19"/>
        <v>ENERO10009331Revalorización</v>
      </c>
      <c r="D139" s="7" t="s">
        <v>409</v>
      </c>
      <c r="E139" s="3" t="s">
        <v>324</v>
      </c>
      <c r="F139" s="8">
        <v>0</v>
      </c>
      <c r="G139" s="2" t="s">
        <v>323</v>
      </c>
      <c r="H139" s="11">
        <v>0</v>
      </c>
      <c r="I139" s="11">
        <v>0</v>
      </c>
      <c r="J139" s="11"/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f t="shared" si="20"/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>
        <v>0</v>
      </c>
      <c r="W139" s="55">
        <f t="shared" si="21"/>
        <v>0</v>
      </c>
      <c r="X139" s="74" t="e">
        <f t="shared" si="22"/>
        <v>#DIV/0!</v>
      </c>
      <c r="Y139" s="74" t="e">
        <f t="shared" si="23"/>
        <v>#DIV/0!</v>
      </c>
      <c r="Z139" s="74" t="e">
        <f t="shared" si="24"/>
        <v>#DIV/0!</v>
      </c>
      <c r="AA139" s="74" t="e">
        <f t="shared" si="25"/>
        <v>#DIV/0!</v>
      </c>
    </row>
    <row r="140" spans="1:27" hidden="1">
      <c r="A140" s="7" t="s">
        <v>6</v>
      </c>
      <c r="B140" s="7">
        <v>10009331</v>
      </c>
      <c r="C140" s="7" t="str">
        <f t="shared" si="19"/>
        <v>ENERO10009331Entradas</v>
      </c>
      <c r="D140" s="7" t="s">
        <v>409</v>
      </c>
      <c r="E140" s="3" t="s">
        <v>167</v>
      </c>
      <c r="F140" s="8">
        <v>16650</v>
      </c>
      <c r="G140" s="2" t="s">
        <v>323</v>
      </c>
      <c r="H140" s="11">
        <v>70096.5</v>
      </c>
      <c r="I140" s="11">
        <v>-37945.18</v>
      </c>
      <c r="J140" s="11"/>
      <c r="K140" s="11">
        <v>32151.32</v>
      </c>
      <c r="L140" s="11">
        <v>1.93</v>
      </c>
      <c r="M140" s="11">
        <v>19396.48</v>
      </c>
      <c r="N140" s="11">
        <v>304.44</v>
      </c>
      <c r="O140" s="11">
        <v>7215.56</v>
      </c>
      <c r="P140" s="11">
        <f t="shared" si="20"/>
        <v>5234.84</v>
      </c>
      <c r="Q140" s="11">
        <v>286.23</v>
      </c>
      <c r="R140" s="11">
        <v>2615.12</v>
      </c>
      <c r="S140" s="11">
        <v>2116.71</v>
      </c>
      <c r="T140" s="11">
        <v>37.4</v>
      </c>
      <c r="U140" s="11"/>
      <c r="V140" s="11">
        <v>179.38000000000102</v>
      </c>
      <c r="W140" s="55">
        <f t="shared" si="21"/>
        <v>32151.32</v>
      </c>
      <c r="X140" s="74">
        <f t="shared" si="22"/>
        <v>0.60328720562639415</v>
      </c>
      <c r="Y140" s="74">
        <f t="shared" si="23"/>
        <v>9.4689735911309397E-3</v>
      </c>
      <c r="Z140" s="74">
        <f t="shared" si="24"/>
        <v>0.22442500027992632</v>
      </c>
      <c r="AA140" s="74">
        <f t="shared" si="25"/>
        <v>0.16281882050254859</v>
      </c>
    </row>
    <row r="141" spans="1:27" hidden="1">
      <c r="A141" s="7" t="s">
        <v>6</v>
      </c>
      <c r="B141" s="7">
        <v>10009331</v>
      </c>
      <c r="C141" s="7" t="str">
        <f t="shared" si="19"/>
        <v>ENERO10009331Inv. acumulado</v>
      </c>
      <c r="D141" s="7" t="s">
        <v>409</v>
      </c>
      <c r="E141" s="3" t="s">
        <v>333</v>
      </c>
      <c r="F141" s="8">
        <v>16650</v>
      </c>
      <c r="G141" s="2" t="s">
        <v>323</v>
      </c>
      <c r="H141" s="11">
        <v>70096.5</v>
      </c>
      <c r="I141" s="11">
        <v>-37945.18</v>
      </c>
      <c r="J141" s="11"/>
      <c r="K141" s="11">
        <v>32151.32</v>
      </c>
      <c r="L141" s="11">
        <v>1.93</v>
      </c>
      <c r="M141" s="11">
        <v>19396.48</v>
      </c>
      <c r="N141" s="11">
        <v>304.44</v>
      </c>
      <c r="O141" s="11">
        <v>7215.56</v>
      </c>
      <c r="P141" s="11">
        <f t="shared" si="20"/>
        <v>5234.84</v>
      </c>
      <c r="Q141" s="11">
        <v>286.23</v>
      </c>
      <c r="R141" s="11">
        <v>2615.12</v>
      </c>
      <c r="S141" s="11">
        <v>2116.71</v>
      </c>
      <c r="T141" s="11">
        <v>37.4</v>
      </c>
      <c r="U141" s="11"/>
      <c r="V141" s="11">
        <v>179.38000000000102</v>
      </c>
      <c r="W141" s="55">
        <f t="shared" si="21"/>
        <v>32151.32</v>
      </c>
      <c r="X141" s="74">
        <f t="shared" si="22"/>
        <v>0.60328720562639415</v>
      </c>
      <c r="Y141" s="74">
        <f t="shared" si="23"/>
        <v>9.4689735911309397E-3</v>
      </c>
      <c r="Z141" s="74">
        <f t="shared" si="24"/>
        <v>0.22442500027992632</v>
      </c>
      <c r="AA141" s="74">
        <f t="shared" si="25"/>
        <v>0.16281882050254859</v>
      </c>
    </row>
    <row r="142" spans="1:27" hidden="1">
      <c r="A142" s="7" t="s">
        <v>6</v>
      </c>
      <c r="B142" s="7">
        <v>10009331</v>
      </c>
      <c r="C142" s="7" t="str">
        <f t="shared" si="19"/>
        <v>ENERO10009331Inventario final</v>
      </c>
      <c r="D142" s="7" t="s">
        <v>409</v>
      </c>
      <c r="E142" s="3" t="s">
        <v>221</v>
      </c>
      <c r="F142" s="8">
        <v>16650</v>
      </c>
      <c r="G142" s="2" t="s">
        <v>323</v>
      </c>
      <c r="H142" s="11">
        <v>70096.5</v>
      </c>
      <c r="I142" s="11">
        <v>-37945.18</v>
      </c>
      <c r="J142" s="11"/>
      <c r="K142" s="11">
        <v>32151.32</v>
      </c>
      <c r="L142" s="11">
        <v>1.93</v>
      </c>
      <c r="M142" s="11">
        <v>19396.48</v>
      </c>
      <c r="N142" s="11">
        <v>304.44</v>
      </c>
      <c r="O142" s="11">
        <v>7215.56</v>
      </c>
      <c r="P142" s="11">
        <f t="shared" si="20"/>
        <v>5234.84</v>
      </c>
      <c r="Q142" s="11">
        <v>286.23</v>
      </c>
      <c r="R142" s="11">
        <v>2615.12</v>
      </c>
      <c r="S142" s="11">
        <v>2116.71</v>
      </c>
      <c r="T142" s="11">
        <v>37.4</v>
      </c>
      <c r="U142" s="11"/>
      <c r="V142" s="11">
        <v>179.38000000000102</v>
      </c>
      <c r="W142" s="55">
        <f t="shared" si="21"/>
        <v>32151.32</v>
      </c>
      <c r="X142" s="74">
        <f t="shared" si="22"/>
        <v>0.60328720562639415</v>
      </c>
      <c r="Y142" s="74">
        <f t="shared" si="23"/>
        <v>9.4689735911309397E-3</v>
      </c>
      <c r="Z142" s="74">
        <f t="shared" si="24"/>
        <v>0.22442500027992632</v>
      </c>
      <c r="AA142" s="74">
        <f t="shared" si="25"/>
        <v>0.16281882050254859</v>
      </c>
    </row>
    <row r="143" spans="1:27" hidden="1">
      <c r="A143" s="7" t="s">
        <v>7</v>
      </c>
      <c r="B143" s="7">
        <v>10009331</v>
      </c>
      <c r="C143" s="7" t="str">
        <f t="shared" si="19"/>
        <v>FEBRERO10009331Inventario inicial</v>
      </c>
      <c r="D143" s="7" t="s">
        <v>409</v>
      </c>
      <c r="E143" s="3" t="s">
        <v>322</v>
      </c>
      <c r="F143" s="9">
        <v>16650</v>
      </c>
      <c r="G143" s="3" t="s">
        <v>323</v>
      </c>
      <c r="H143" s="12">
        <v>70096.5</v>
      </c>
      <c r="I143" s="12" t="s">
        <v>410</v>
      </c>
      <c r="J143" s="13"/>
      <c r="K143" s="12">
        <v>32151.32</v>
      </c>
      <c r="L143" s="12">
        <v>1.93</v>
      </c>
      <c r="M143" s="12">
        <v>19396.48</v>
      </c>
      <c r="N143" s="12">
        <v>304.44</v>
      </c>
      <c r="O143" s="12">
        <v>7215.56</v>
      </c>
      <c r="P143" s="12">
        <f t="shared" si="20"/>
        <v>5234.8400000000011</v>
      </c>
      <c r="Q143" s="12">
        <v>37.4</v>
      </c>
      <c r="R143" s="12">
        <v>286.23</v>
      </c>
      <c r="S143" s="12">
        <v>2615.12</v>
      </c>
      <c r="T143" s="11">
        <v>0</v>
      </c>
      <c r="U143" s="11">
        <v>2116.71</v>
      </c>
      <c r="V143" s="11">
        <v>179.38000000000102</v>
      </c>
      <c r="W143" s="55">
        <f t="shared" si="21"/>
        <v>32151.32</v>
      </c>
      <c r="X143" s="74">
        <f t="shared" si="22"/>
        <v>0.60328720562639415</v>
      </c>
      <c r="Y143" s="74">
        <f t="shared" si="23"/>
        <v>9.4689735911309397E-3</v>
      </c>
      <c r="Z143" s="74">
        <f t="shared" si="24"/>
        <v>0.22442500027992632</v>
      </c>
      <c r="AA143" s="74">
        <f t="shared" si="25"/>
        <v>0.16281882050254862</v>
      </c>
    </row>
    <row r="144" spans="1:27" hidden="1">
      <c r="A144" s="7" t="s">
        <v>7</v>
      </c>
      <c r="B144" s="7">
        <v>10009331</v>
      </c>
      <c r="C144" s="7" t="str">
        <f t="shared" si="19"/>
        <v>FEBRERO10009331Revalorización</v>
      </c>
      <c r="D144" s="7" t="s">
        <v>409</v>
      </c>
      <c r="E144" s="3" t="s">
        <v>324</v>
      </c>
      <c r="F144" s="9">
        <v>0</v>
      </c>
      <c r="G144" s="3" t="s">
        <v>323</v>
      </c>
      <c r="H144" s="12">
        <v>0</v>
      </c>
      <c r="I144" s="12">
        <v>0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f t="shared" si="20"/>
        <v>0</v>
      </c>
      <c r="Q144" s="12">
        <v>0</v>
      </c>
      <c r="R144" s="12">
        <v>0</v>
      </c>
      <c r="S144" s="12">
        <v>0</v>
      </c>
      <c r="T144" s="11">
        <v>0</v>
      </c>
      <c r="U144" s="11">
        <v>0</v>
      </c>
      <c r="V144" s="11">
        <v>0</v>
      </c>
      <c r="W144" s="55">
        <f t="shared" si="21"/>
        <v>0</v>
      </c>
      <c r="X144" s="74" t="e">
        <f t="shared" si="22"/>
        <v>#DIV/0!</v>
      </c>
      <c r="Y144" s="74" t="e">
        <f t="shared" si="23"/>
        <v>#DIV/0!</v>
      </c>
      <c r="Z144" s="74" t="e">
        <f t="shared" si="24"/>
        <v>#DIV/0!</v>
      </c>
      <c r="AA144" s="74" t="e">
        <f t="shared" si="25"/>
        <v>#DIV/0!</v>
      </c>
    </row>
    <row r="145" spans="1:27" hidden="1">
      <c r="A145" s="7" t="s">
        <v>7</v>
      </c>
      <c r="B145" s="7">
        <v>10009331</v>
      </c>
      <c r="C145" s="7" t="str">
        <f t="shared" si="19"/>
        <v>FEBRERO10009331Entradas</v>
      </c>
      <c r="D145" s="7" t="s">
        <v>409</v>
      </c>
      <c r="E145" s="3" t="s">
        <v>167</v>
      </c>
      <c r="F145" s="9">
        <v>40518</v>
      </c>
      <c r="G145" s="3" t="s">
        <v>323</v>
      </c>
      <c r="H145" s="12">
        <v>170580.78</v>
      </c>
      <c r="I145" s="12" t="s">
        <v>411</v>
      </c>
      <c r="J145" s="13"/>
      <c r="K145" s="12">
        <v>71441.59</v>
      </c>
      <c r="L145" s="12">
        <v>1.76</v>
      </c>
      <c r="M145" s="12">
        <v>40743.58</v>
      </c>
      <c r="N145" s="12">
        <v>780.46</v>
      </c>
      <c r="O145" s="12">
        <v>16867.82</v>
      </c>
      <c r="P145" s="12">
        <f t="shared" si="20"/>
        <v>13049.729999999996</v>
      </c>
      <c r="Q145" s="12">
        <v>284.23</v>
      </c>
      <c r="R145" s="12">
        <v>698.94</v>
      </c>
      <c r="S145" s="12">
        <v>6384.95</v>
      </c>
      <c r="T145" s="11">
        <v>0.14000000000000001</v>
      </c>
      <c r="U145" s="11">
        <v>5168.88</v>
      </c>
      <c r="V145" s="11">
        <v>512.58999999999651</v>
      </c>
      <c r="W145" s="55">
        <f t="shared" si="21"/>
        <v>71441.59</v>
      </c>
      <c r="X145" s="74">
        <f t="shared" si="22"/>
        <v>0.57030617599636291</v>
      </c>
      <c r="Y145" s="74">
        <f t="shared" si="23"/>
        <v>1.0924448909941676E-2</v>
      </c>
      <c r="Z145" s="74">
        <f t="shared" si="24"/>
        <v>0.23610644723892624</v>
      </c>
      <c r="AA145" s="74">
        <f t="shared" si="25"/>
        <v>0.18266292785476915</v>
      </c>
    </row>
    <row r="146" spans="1:27" hidden="1">
      <c r="A146" s="7" t="s">
        <v>7</v>
      </c>
      <c r="B146" s="7">
        <v>10009331</v>
      </c>
      <c r="C146" s="7" t="str">
        <f t="shared" si="19"/>
        <v>FEBRERO10009331Inventario acumulado</v>
      </c>
      <c r="D146" s="7" t="s">
        <v>409</v>
      </c>
      <c r="E146" s="3" t="s">
        <v>325</v>
      </c>
      <c r="F146" s="9">
        <v>57168</v>
      </c>
      <c r="G146" s="3" t="s">
        <v>323</v>
      </c>
      <c r="H146" s="12">
        <v>240677.28</v>
      </c>
      <c r="I146" s="12" t="s">
        <v>412</v>
      </c>
      <c r="J146" s="13"/>
      <c r="K146" s="12">
        <v>103592.91</v>
      </c>
      <c r="L146" s="12">
        <v>1.81</v>
      </c>
      <c r="M146" s="12">
        <v>60140.06</v>
      </c>
      <c r="N146" s="12">
        <v>1084.9000000000001</v>
      </c>
      <c r="O146" s="12">
        <v>24083.38</v>
      </c>
      <c r="P146" s="12">
        <f t="shared" si="20"/>
        <v>18284.57</v>
      </c>
      <c r="Q146" s="12">
        <v>321.63</v>
      </c>
      <c r="R146" s="12">
        <v>985.17</v>
      </c>
      <c r="S146" s="12">
        <v>9000.07</v>
      </c>
      <c r="T146" s="11">
        <v>0.14000000000000001</v>
      </c>
      <c r="U146" s="11">
        <v>7285.59</v>
      </c>
      <c r="V146" s="11">
        <v>691.97000000000116</v>
      </c>
      <c r="W146" s="55">
        <f t="shared" si="21"/>
        <v>103592.91</v>
      </c>
      <c r="X146" s="74">
        <f t="shared" si="22"/>
        <v>0.58054223981158548</v>
      </c>
      <c r="Y146" s="74">
        <f t="shared" si="23"/>
        <v>1.0472724436450333E-2</v>
      </c>
      <c r="Z146" s="74">
        <f t="shared" si="24"/>
        <v>0.23248096805080579</v>
      </c>
      <c r="AA146" s="74">
        <f t="shared" si="25"/>
        <v>0.17650406770115831</v>
      </c>
    </row>
    <row r="147" spans="1:27" hidden="1">
      <c r="A147" s="7" t="s">
        <v>7</v>
      </c>
      <c r="B147" s="7">
        <v>10009331</v>
      </c>
      <c r="C147" s="7" t="str">
        <f t="shared" si="19"/>
        <v>FEBRERO10009331Inventario final</v>
      </c>
      <c r="D147" s="7" t="s">
        <v>409</v>
      </c>
      <c r="E147" s="3" t="s">
        <v>221</v>
      </c>
      <c r="F147" s="9">
        <v>57168</v>
      </c>
      <c r="G147" s="3" t="s">
        <v>323</v>
      </c>
      <c r="H147" s="12">
        <v>240677.28</v>
      </c>
      <c r="I147" s="12" t="s">
        <v>412</v>
      </c>
      <c r="J147" s="13"/>
      <c r="K147" s="12">
        <v>103592.91</v>
      </c>
      <c r="L147" s="12">
        <v>1.81</v>
      </c>
      <c r="M147" s="12">
        <v>60140.06</v>
      </c>
      <c r="N147" s="12">
        <v>1084.9000000000001</v>
      </c>
      <c r="O147" s="12">
        <v>24083.38</v>
      </c>
      <c r="P147" s="12">
        <f t="shared" si="20"/>
        <v>18284.57</v>
      </c>
      <c r="Q147" s="12">
        <v>321.63</v>
      </c>
      <c r="R147" s="12">
        <v>985.17</v>
      </c>
      <c r="S147" s="12">
        <v>9000.07</v>
      </c>
      <c r="T147" s="11">
        <v>0.14000000000000001</v>
      </c>
      <c r="U147" s="11">
        <v>7285.59</v>
      </c>
      <c r="V147" s="11">
        <v>691.97000000000116</v>
      </c>
      <c r="W147" s="55">
        <f t="shared" si="21"/>
        <v>103592.91</v>
      </c>
      <c r="X147" s="74">
        <f t="shared" si="22"/>
        <v>0.58054223981158548</v>
      </c>
      <c r="Y147" s="74">
        <f t="shared" si="23"/>
        <v>1.0472724436450333E-2</v>
      </c>
      <c r="Z147" s="74">
        <f t="shared" si="24"/>
        <v>0.23248096805080579</v>
      </c>
      <c r="AA147" s="74">
        <f t="shared" si="25"/>
        <v>0.17650406770115831</v>
      </c>
    </row>
    <row r="148" spans="1:27">
      <c r="A148" s="7" t="s">
        <v>6</v>
      </c>
      <c r="B148" s="7">
        <v>10009332</v>
      </c>
      <c r="C148" s="7" t="str">
        <f t="shared" si="19"/>
        <v>ENERO10009332Inventario inicial</v>
      </c>
      <c r="D148" s="7" t="s">
        <v>413</v>
      </c>
      <c r="E148" s="3" t="s">
        <v>322</v>
      </c>
      <c r="F148" s="9">
        <v>5565</v>
      </c>
      <c r="G148" s="3" t="s">
        <v>323</v>
      </c>
      <c r="H148" s="12">
        <v>13133.4</v>
      </c>
      <c r="I148" s="12">
        <v>4147.6400000000003</v>
      </c>
      <c r="J148" s="13"/>
      <c r="K148" s="12">
        <v>17281.04</v>
      </c>
      <c r="L148" s="12">
        <v>3.11</v>
      </c>
      <c r="M148" s="12">
        <v>12999.14</v>
      </c>
      <c r="N148" s="12">
        <v>176.7</v>
      </c>
      <c r="O148" s="12">
        <v>2229.9699999999998</v>
      </c>
      <c r="P148" s="12">
        <f t="shared" si="20"/>
        <v>1875.2300000000025</v>
      </c>
      <c r="Q148" s="12">
        <v>212.58</v>
      </c>
      <c r="R148" s="12">
        <v>705.93</v>
      </c>
      <c r="S148" s="12">
        <v>781.44</v>
      </c>
      <c r="T148" s="11"/>
      <c r="U148" s="11"/>
      <c r="V148" s="11">
        <v>175.28000000000247</v>
      </c>
      <c r="W148" s="55">
        <f t="shared" si="21"/>
        <v>17281.04</v>
      </c>
      <c r="X148" s="74">
        <f t="shared" si="22"/>
        <v>0.75221977380990956</v>
      </c>
      <c r="Y148" s="74">
        <f t="shared" si="23"/>
        <v>1.0225079046168517E-2</v>
      </c>
      <c r="Z148" s="74">
        <f t="shared" si="24"/>
        <v>0.12904142343284894</v>
      </c>
      <c r="AA148" s="74">
        <f t="shared" si="25"/>
        <v>0.10851372371107308</v>
      </c>
    </row>
    <row r="149" spans="1:27">
      <c r="A149" s="7" t="s">
        <v>6</v>
      </c>
      <c r="B149" s="7">
        <v>10009332</v>
      </c>
      <c r="C149" s="7" t="str">
        <f t="shared" si="19"/>
        <v>ENERO10009332Revalorización</v>
      </c>
      <c r="D149" s="7" t="s">
        <v>413</v>
      </c>
      <c r="E149" s="3" t="s">
        <v>324</v>
      </c>
      <c r="F149" s="8">
        <v>0</v>
      </c>
      <c r="G149" s="2" t="s">
        <v>323</v>
      </c>
      <c r="H149" s="11">
        <v>6678</v>
      </c>
      <c r="I149" s="11">
        <v>-6678</v>
      </c>
      <c r="J149" s="11"/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f t="shared" si="20"/>
        <v>0</v>
      </c>
      <c r="Q149" s="11">
        <v>0</v>
      </c>
      <c r="R149" s="11">
        <v>0</v>
      </c>
      <c r="S149" s="11">
        <v>0</v>
      </c>
      <c r="T149" s="11"/>
      <c r="U149" s="11"/>
      <c r="V149" s="11">
        <v>0</v>
      </c>
      <c r="W149" s="55">
        <f t="shared" si="21"/>
        <v>0</v>
      </c>
      <c r="X149" s="74" t="e">
        <f t="shared" si="22"/>
        <v>#DIV/0!</v>
      </c>
      <c r="Y149" s="74" t="e">
        <f t="shared" si="23"/>
        <v>#DIV/0!</v>
      </c>
      <c r="Z149" s="74" t="e">
        <f t="shared" si="24"/>
        <v>#DIV/0!</v>
      </c>
      <c r="AA149" s="74" t="e">
        <f t="shared" si="25"/>
        <v>#DIV/0!</v>
      </c>
    </row>
    <row r="150" spans="1:27">
      <c r="A150" s="7" t="s">
        <v>6</v>
      </c>
      <c r="B150" s="7">
        <v>10009332</v>
      </c>
      <c r="C150" s="7" t="str">
        <f t="shared" si="19"/>
        <v>ENERO10009332Entradas</v>
      </c>
      <c r="D150" s="7" t="s">
        <v>413</v>
      </c>
      <c r="E150" s="3" t="s">
        <v>167</v>
      </c>
      <c r="F150" s="8">
        <v>10665</v>
      </c>
      <c r="G150" s="2" t="s">
        <v>323</v>
      </c>
      <c r="H150" s="11">
        <v>37967.4</v>
      </c>
      <c r="I150" s="11">
        <v>-23813.05</v>
      </c>
      <c r="J150" s="11"/>
      <c r="K150" s="11">
        <v>14154.35</v>
      </c>
      <c r="L150" s="11">
        <v>1.33</v>
      </c>
      <c r="M150" s="11">
        <v>12058.71</v>
      </c>
      <c r="N150" s="11">
        <v>234</v>
      </c>
      <c r="O150" s="11">
        <v>1919.7</v>
      </c>
      <c r="P150" s="11">
        <f t="shared" si="20"/>
        <v>-58.059999999999491</v>
      </c>
      <c r="Q150" s="11">
        <v>0</v>
      </c>
      <c r="R150" s="11">
        <v>0</v>
      </c>
      <c r="S150" s="11">
        <v>0</v>
      </c>
      <c r="T150" s="11"/>
      <c r="U150" s="11"/>
      <c r="V150" s="11">
        <v>-58.059999999999491</v>
      </c>
      <c r="W150" s="55">
        <f t="shared" si="21"/>
        <v>14154.35</v>
      </c>
      <c r="X150" s="74">
        <f t="shared" si="22"/>
        <v>0.85194374874155288</v>
      </c>
      <c r="Y150" s="74">
        <f t="shared" si="23"/>
        <v>1.6532020191672523E-2</v>
      </c>
      <c r="Z150" s="74">
        <f t="shared" si="24"/>
        <v>0.1356261502647596</v>
      </c>
      <c r="AA150" s="74">
        <f t="shared" si="25"/>
        <v>-4.1019191979850354E-3</v>
      </c>
    </row>
    <row r="151" spans="1:27">
      <c r="A151" s="7" t="s">
        <v>6</v>
      </c>
      <c r="B151" s="7">
        <v>10009332</v>
      </c>
      <c r="C151" s="7" t="str">
        <f t="shared" si="19"/>
        <v>ENERO10009332Inv. acumulado</v>
      </c>
      <c r="D151" s="7" t="s">
        <v>413</v>
      </c>
      <c r="E151" s="3" t="s">
        <v>333</v>
      </c>
      <c r="F151" s="8">
        <v>16230</v>
      </c>
      <c r="G151" s="2" t="s">
        <v>323</v>
      </c>
      <c r="H151" s="11">
        <v>57778.8</v>
      </c>
      <c r="I151" s="11">
        <v>-26343.41</v>
      </c>
      <c r="J151" s="11"/>
      <c r="K151" s="11">
        <v>31435.39</v>
      </c>
      <c r="L151" s="11">
        <v>1.94</v>
      </c>
      <c r="M151" s="11">
        <v>25057.85</v>
      </c>
      <c r="N151" s="11">
        <v>410.7</v>
      </c>
      <c r="O151" s="11">
        <v>4149.67</v>
      </c>
      <c r="P151" s="11">
        <f t="shared" si="20"/>
        <v>1817.1699999999976</v>
      </c>
      <c r="Q151" s="11">
        <v>212.58</v>
      </c>
      <c r="R151" s="11">
        <v>705.93</v>
      </c>
      <c r="S151" s="11">
        <v>781.44</v>
      </c>
      <c r="T151" s="11"/>
      <c r="U151" s="11"/>
      <c r="V151" s="11">
        <v>117.21999999999753</v>
      </c>
      <c r="W151" s="55">
        <f t="shared" si="21"/>
        <v>31435.39</v>
      </c>
      <c r="X151" s="74">
        <f t="shared" si="22"/>
        <v>0.79712228796906925</v>
      </c>
      <c r="Y151" s="74">
        <f t="shared" si="23"/>
        <v>1.3064892784851723E-2</v>
      </c>
      <c r="Z151" s="74">
        <f t="shared" si="24"/>
        <v>0.13200631517534855</v>
      </c>
      <c r="AA151" s="74">
        <f t="shared" si="25"/>
        <v>5.7806504070730395E-2</v>
      </c>
    </row>
    <row r="152" spans="1:27">
      <c r="A152" s="7" t="s">
        <v>6</v>
      </c>
      <c r="B152" s="7">
        <v>10009332</v>
      </c>
      <c r="C152" s="7" t="str">
        <f t="shared" si="19"/>
        <v>ENERO10009332Inventario final</v>
      </c>
      <c r="D152" s="7" t="s">
        <v>413</v>
      </c>
      <c r="E152" s="3" t="s">
        <v>221</v>
      </c>
      <c r="F152" s="8">
        <v>16230</v>
      </c>
      <c r="G152" s="2" t="s">
        <v>323</v>
      </c>
      <c r="H152" s="11">
        <v>57778.8</v>
      </c>
      <c r="I152" s="11">
        <v>-26343.41</v>
      </c>
      <c r="J152" s="11"/>
      <c r="K152" s="11">
        <v>31435.39</v>
      </c>
      <c r="L152" s="11">
        <v>1.94</v>
      </c>
      <c r="M152" s="11">
        <v>25057.85</v>
      </c>
      <c r="N152" s="11">
        <v>410.7</v>
      </c>
      <c r="O152" s="11">
        <v>4149.67</v>
      </c>
      <c r="P152" s="11">
        <f t="shared" si="20"/>
        <v>1817.1699999999976</v>
      </c>
      <c r="Q152" s="11">
        <v>212.58</v>
      </c>
      <c r="R152" s="11">
        <v>705.93</v>
      </c>
      <c r="S152" s="11">
        <v>781.44</v>
      </c>
      <c r="T152" s="11"/>
      <c r="U152" s="11"/>
      <c r="V152" s="11">
        <v>117.21999999999753</v>
      </c>
      <c r="W152" s="55">
        <f t="shared" si="21"/>
        <v>31435.39</v>
      </c>
      <c r="X152" s="74">
        <f t="shared" si="22"/>
        <v>0.79712228796906925</v>
      </c>
      <c r="Y152" s="74">
        <f t="shared" si="23"/>
        <v>1.3064892784851723E-2</v>
      </c>
      <c r="Z152" s="74">
        <f t="shared" si="24"/>
        <v>0.13200631517534855</v>
      </c>
      <c r="AA152" s="74">
        <f t="shared" si="25"/>
        <v>5.7806504070730395E-2</v>
      </c>
    </row>
    <row r="153" spans="1:27">
      <c r="A153" s="7" t="s">
        <v>7</v>
      </c>
      <c r="B153" s="7">
        <v>10009332</v>
      </c>
      <c r="C153" s="7" t="str">
        <f t="shared" si="19"/>
        <v>FEBRERO10009332Inventario inicial</v>
      </c>
      <c r="D153" s="7" t="s">
        <v>413</v>
      </c>
      <c r="E153" s="3" t="s">
        <v>322</v>
      </c>
      <c r="F153" s="8">
        <v>16230</v>
      </c>
      <c r="G153" s="2" t="s">
        <v>323</v>
      </c>
      <c r="H153" s="11">
        <v>57778.8</v>
      </c>
      <c r="I153" s="11" t="s">
        <v>414</v>
      </c>
      <c r="J153" s="11"/>
      <c r="K153" s="11">
        <v>31435.39</v>
      </c>
      <c r="L153" s="11">
        <v>1.94</v>
      </c>
      <c r="M153" s="11">
        <v>25057.85</v>
      </c>
      <c r="N153" s="11">
        <v>410.7</v>
      </c>
      <c r="O153" s="11">
        <v>4149.67</v>
      </c>
      <c r="P153" s="11">
        <f t="shared" si="20"/>
        <v>1817.1699999999983</v>
      </c>
      <c r="Q153" s="11">
        <v>70.180000000000007</v>
      </c>
      <c r="R153" s="11">
        <v>212.58</v>
      </c>
      <c r="S153" s="11">
        <v>705.93</v>
      </c>
      <c r="T153" s="11">
        <v>0.03</v>
      </c>
      <c r="U153" s="11">
        <v>781.44</v>
      </c>
      <c r="V153" s="11">
        <v>47.009999999998399</v>
      </c>
      <c r="W153" s="55">
        <f t="shared" si="21"/>
        <v>31435.39</v>
      </c>
      <c r="X153" s="74">
        <f t="shared" si="22"/>
        <v>0.79712228796906925</v>
      </c>
      <c r="Y153" s="74">
        <f t="shared" si="23"/>
        <v>1.3064892784851723E-2</v>
      </c>
      <c r="Z153" s="74">
        <f t="shared" si="24"/>
        <v>0.13200631517534855</v>
      </c>
      <c r="AA153" s="74">
        <f t="shared" si="25"/>
        <v>5.7806504070730416E-2</v>
      </c>
    </row>
    <row r="154" spans="1:27">
      <c r="A154" s="7" t="s">
        <v>7</v>
      </c>
      <c r="B154" s="7">
        <v>10009332</v>
      </c>
      <c r="C154" s="7" t="str">
        <f t="shared" si="19"/>
        <v>FEBRERO10009332Revalorización</v>
      </c>
      <c r="D154" s="7" t="s">
        <v>413</v>
      </c>
      <c r="E154" s="3" t="s">
        <v>324</v>
      </c>
      <c r="F154" s="8">
        <v>0</v>
      </c>
      <c r="G154" s="2" t="s">
        <v>323</v>
      </c>
      <c r="H154" s="11" t="s">
        <v>415</v>
      </c>
      <c r="I154" s="11">
        <v>7303.5</v>
      </c>
      <c r="J154" s="11"/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f t="shared" si="20"/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55">
        <f t="shared" si="21"/>
        <v>0</v>
      </c>
      <c r="X154" s="74" t="e">
        <f t="shared" si="22"/>
        <v>#DIV/0!</v>
      </c>
      <c r="Y154" s="74" t="e">
        <f t="shared" si="23"/>
        <v>#DIV/0!</v>
      </c>
      <c r="Z154" s="74" t="e">
        <f t="shared" si="24"/>
        <v>#DIV/0!</v>
      </c>
      <c r="AA154" s="74" t="e">
        <f t="shared" si="25"/>
        <v>#DIV/0!</v>
      </c>
    </row>
    <row r="155" spans="1:27">
      <c r="A155" s="7" t="s">
        <v>7</v>
      </c>
      <c r="B155" s="7">
        <v>10009332</v>
      </c>
      <c r="C155" s="7" t="str">
        <f t="shared" si="19"/>
        <v>FEBRERO10009332Entradas</v>
      </c>
      <c r="D155" s="7" t="s">
        <v>413</v>
      </c>
      <c r="E155" s="3" t="s">
        <v>167</v>
      </c>
      <c r="F155" s="8">
        <v>25545</v>
      </c>
      <c r="G155" s="2" t="s">
        <v>323</v>
      </c>
      <c r="H155" s="11">
        <v>79444.95</v>
      </c>
      <c r="I155" s="11" t="s">
        <v>416</v>
      </c>
      <c r="J155" s="11"/>
      <c r="K155" s="11">
        <v>32476.45</v>
      </c>
      <c r="L155" s="11">
        <v>1.27</v>
      </c>
      <c r="M155" s="11">
        <v>26932.76</v>
      </c>
      <c r="N155" s="11">
        <v>497.82</v>
      </c>
      <c r="O155" s="11">
        <v>4928.4399999999996</v>
      </c>
      <c r="P155" s="11">
        <f t="shared" si="20"/>
        <v>117.43000000000262</v>
      </c>
      <c r="Q155" s="11">
        <v>2.04</v>
      </c>
      <c r="R155" s="11">
        <v>24.7</v>
      </c>
      <c r="S155" s="11">
        <v>102.71</v>
      </c>
      <c r="T155" s="11">
        <v>0</v>
      </c>
      <c r="U155" s="11">
        <v>107.36</v>
      </c>
      <c r="V155" s="11">
        <v>-119.37999999999738</v>
      </c>
      <c r="W155" s="55">
        <f t="shared" si="21"/>
        <v>32476.45</v>
      </c>
      <c r="X155" s="74">
        <f t="shared" si="22"/>
        <v>0.82930123212358486</v>
      </c>
      <c r="Y155" s="74">
        <f t="shared" si="23"/>
        <v>1.5328645834135195E-2</v>
      </c>
      <c r="Z155" s="74">
        <f t="shared" si="24"/>
        <v>0.15175427117187992</v>
      </c>
      <c r="AA155" s="74">
        <f t="shared" si="25"/>
        <v>3.6158508704000167E-3</v>
      </c>
    </row>
    <row r="156" spans="1:27">
      <c r="A156" s="7" t="s">
        <v>7</v>
      </c>
      <c r="B156" s="7">
        <v>10009332</v>
      </c>
      <c r="C156" s="7" t="str">
        <f t="shared" si="19"/>
        <v>FEBRERO10009332Inventario acumulado</v>
      </c>
      <c r="D156" s="7" t="s">
        <v>413</v>
      </c>
      <c r="E156" s="3" t="s">
        <v>325</v>
      </c>
      <c r="F156" s="8">
        <v>41775</v>
      </c>
      <c r="G156" s="2" t="s">
        <v>323</v>
      </c>
      <c r="H156" s="11">
        <v>129920.25</v>
      </c>
      <c r="I156" s="11" t="s">
        <v>417</v>
      </c>
      <c r="J156" s="11"/>
      <c r="K156" s="11">
        <v>63911.839999999997</v>
      </c>
      <c r="L156" s="11">
        <v>1.53</v>
      </c>
      <c r="M156" s="11">
        <v>51990.61</v>
      </c>
      <c r="N156" s="11">
        <v>908.52</v>
      </c>
      <c r="O156" s="11">
        <v>9078.11</v>
      </c>
      <c r="P156" s="11">
        <f t="shared" si="20"/>
        <v>1934.5999999999972</v>
      </c>
      <c r="Q156" s="11">
        <v>72.22</v>
      </c>
      <c r="R156" s="11">
        <v>237.28</v>
      </c>
      <c r="S156" s="11">
        <v>808.64</v>
      </c>
      <c r="T156" s="11">
        <v>0.03</v>
      </c>
      <c r="U156" s="11">
        <v>888.8</v>
      </c>
      <c r="V156" s="11">
        <v>-72.370000000002619</v>
      </c>
      <c r="W156" s="55">
        <f t="shared" si="21"/>
        <v>63911.839999999997</v>
      </c>
      <c r="X156" s="74">
        <f t="shared" si="22"/>
        <v>0.81347384146662027</v>
      </c>
      <c r="Y156" s="74">
        <f t="shared" si="23"/>
        <v>1.4215206446880579E-2</v>
      </c>
      <c r="Z156" s="74">
        <f t="shared" si="24"/>
        <v>0.14204113040713584</v>
      </c>
      <c r="AA156" s="74">
        <f t="shared" si="25"/>
        <v>3.026982167936328E-2</v>
      </c>
    </row>
    <row r="157" spans="1:27">
      <c r="A157" s="7" t="s">
        <v>7</v>
      </c>
      <c r="B157" s="7">
        <v>10009332</v>
      </c>
      <c r="C157" s="7" t="str">
        <f t="shared" si="19"/>
        <v>FEBRERO10009332Compensación</v>
      </c>
      <c r="D157" s="7" t="s">
        <v>413</v>
      </c>
      <c r="E157" s="3" t="s">
        <v>117</v>
      </c>
      <c r="F157" s="8">
        <v>26625</v>
      </c>
      <c r="G157" s="2" t="s">
        <v>323</v>
      </c>
      <c r="H157" s="11">
        <v>82803.75</v>
      </c>
      <c r="I157" s="11" t="s">
        <v>418</v>
      </c>
      <c r="J157" s="11"/>
      <c r="K157" s="11">
        <v>40733.760000000002</v>
      </c>
      <c r="L157" s="11">
        <v>1.53</v>
      </c>
      <c r="M157" s="11">
        <v>33135.85</v>
      </c>
      <c r="N157" s="11">
        <v>579.04</v>
      </c>
      <c r="O157" s="11">
        <v>5785.86</v>
      </c>
      <c r="P157" s="11">
        <f t="shared" si="20"/>
        <v>1233.0100000000048</v>
      </c>
      <c r="Q157" s="11">
        <v>46.03</v>
      </c>
      <c r="R157" s="11">
        <v>151.22999999999999</v>
      </c>
      <c r="S157" s="11">
        <v>515.38</v>
      </c>
      <c r="T157" s="11">
        <v>0.02</v>
      </c>
      <c r="U157" s="11">
        <v>566.47</v>
      </c>
      <c r="V157" s="11">
        <v>-46.119999999995343</v>
      </c>
      <c r="W157" s="55">
        <f t="shared" si="21"/>
        <v>40733.760000000002</v>
      </c>
      <c r="X157" s="74">
        <f t="shared" si="22"/>
        <v>0.8134738850525951</v>
      </c>
      <c r="Y157" s="74">
        <f t="shared" si="23"/>
        <v>1.4215235716025232E-2</v>
      </c>
      <c r="Z157" s="74">
        <f t="shared" si="24"/>
        <v>0.14204090169922931</v>
      </c>
      <c r="AA157" s="74">
        <f t="shared" si="25"/>
        <v>3.0269977532150352E-2</v>
      </c>
    </row>
    <row r="158" spans="1:27">
      <c r="A158" s="7" t="s">
        <v>7</v>
      </c>
      <c r="B158" s="7">
        <v>10009332</v>
      </c>
      <c r="C158" s="7" t="str">
        <f t="shared" si="19"/>
        <v>FEBRERO10009332Inventario final</v>
      </c>
      <c r="D158" s="7" t="s">
        <v>413</v>
      </c>
      <c r="E158" s="3" t="s">
        <v>221</v>
      </c>
      <c r="F158" s="8">
        <v>15150</v>
      </c>
      <c r="G158" s="2" t="s">
        <v>323</v>
      </c>
      <c r="H158" s="11">
        <v>47116.5</v>
      </c>
      <c r="I158" s="11" t="s">
        <v>419</v>
      </c>
      <c r="J158" s="11"/>
      <c r="K158" s="11">
        <v>23178.080000000002</v>
      </c>
      <c r="L158" s="11">
        <v>1.53</v>
      </c>
      <c r="M158" s="11">
        <v>18854.759999999998</v>
      </c>
      <c r="N158" s="11">
        <v>329.48</v>
      </c>
      <c r="O158" s="11">
        <v>3292.25</v>
      </c>
      <c r="P158" s="11">
        <f t="shared" si="20"/>
        <v>701.59000000000356</v>
      </c>
      <c r="Q158" s="11">
        <v>26.19</v>
      </c>
      <c r="R158" s="11">
        <v>86.05</v>
      </c>
      <c r="S158" s="11">
        <v>293.26</v>
      </c>
      <c r="T158" s="11">
        <v>0.01</v>
      </c>
      <c r="U158" s="11">
        <v>322.33</v>
      </c>
      <c r="V158" s="11">
        <v>-26.249999999996362</v>
      </c>
      <c r="W158" s="55">
        <f t="shared" si="21"/>
        <v>23178.080000000002</v>
      </c>
      <c r="X158" s="74">
        <f t="shared" si="22"/>
        <v>0.81347376486749534</v>
      </c>
      <c r="Y158" s="74">
        <f t="shared" si="23"/>
        <v>1.4215155008525295E-2</v>
      </c>
      <c r="Z158" s="74">
        <f t="shared" si="24"/>
        <v>0.14204153234435293</v>
      </c>
      <c r="AA158" s="74">
        <f t="shared" si="25"/>
        <v>3.026954777962642E-2</v>
      </c>
    </row>
    <row r="159" spans="1:27">
      <c r="E159" s="3"/>
      <c r="F159" s="8"/>
      <c r="G159" s="2"/>
      <c r="H159" s="11"/>
      <c r="I159" s="11"/>
      <c r="J159" s="11"/>
      <c r="K159" s="11"/>
      <c r="L159" s="16"/>
      <c r="M159" s="11"/>
      <c r="N159" s="11"/>
      <c r="O159" s="11"/>
      <c r="P159" s="11"/>
      <c r="Q159" s="11"/>
      <c r="R159" s="11"/>
      <c r="S159" s="11"/>
      <c r="T159" s="11"/>
      <c r="U159" s="11"/>
      <c r="V159" s="55"/>
      <c r="W159" s="55"/>
    </row>
    <row r="160" spans="1:27">
      <c r="E160" s="3"/>
      <c r="F160" s="8"/>
      <c r="G160" s="2"/>
      <c r="H160" s="11"/>
      <c r="I160" s="11"/>
      <c r="J160" s="11"/>
      <c r="K160" s="11"/>
      <c r="L160" s="16"/>
      <c r="M160" s="11"/>
      <c r="N160" s="11"/>
      <c r="O160" s="11"/>
      <c r="P160" s="11"/>
      <c r="Q160" s="11"/>
      <c r="R160" s="11"/>
      <c r="S160" s="11"/>
      <c r="T160" s="11"/>
      <c r="U160" s="11"/>
      <c r="V160" s="55"/>
      <c r="W160" s="55"/>
    </row>
    <row r="161" spans="5:23">
      <c r="E161" s="3"/>
      <c r="F161" s="8"/>
      <c r="G161" s="2"/>
      <c r="H161" s="11"/>
      <c r="I161" s="11"/>
      <c r="J161" s="11"/>
      <c r="K161" s="11"/>
      <c r="L161" s="16"/>
      <c r="M161" s="11"/>
      <c r="N161" s="11"/>
      <c r="O161" s="11"/>
      <c r="P161" s="11"/>
      <c r="Q161" s="11"/>
      <c r="R161" s="11"/>
      <c r="S161" s="11"/>
      <c r="T161" s="11"/>
      <c r="U161" s="11"/>
      <c r="V161" s="55"/>
      <c r="W161" s="55"/>
    </row>
    <row r="162" spans="5:23">
      <c r="E162" s="3"/>
      <c r="F162" s="8"/>
      <c r="G162" s="2"/>
      <c r="H162" s="11"/>
      <c r="I162" s="11"/>
      <c r="J162" s="11"/>
      <c r="K162" s="11"/>
      <c r="L162" s="16"/>
      <c r="M162" s="11"/>
      <c r="N162" s="11"/>
      <c r="O162" s="11"/>
      <c r="P162" s="11"/>
      <c r="Q162" s="11"/>
      <c r="R162" s="11"/>
      <c r="S162" s="11"/>
      <c r="T162" s="11"/>
      <c r="U162" s="11"/>
      <c r="V162" s="55"/>
      <c r="W162" s="55"/>
    </row>
    <row r="163" spans="5:23">
      <c r="E163" s="3"/>
      <c r="F163" s="8"/>
      <c r="G163" s="2"/>
      <c r="H163" s="11"/>
      <c r="I163" s="11"/>
      <c r="J163" s="11"/>
      <c r="K163" s="11"/>
      <c r="L163" s="16"/>
      <c r="M163" s="11"/>
      <c r="N163" s="11"/>
      <c r="O163" s="11"/>
      <c r="P163" s="11"/>
      <c r="Q163" s="11"/>
      <c r="R163" s="11"/>
      <c r="S163" s="11"/>
      <c r="T163" s="11"/>
      <c r="U163" s="11"/>
      <c r="V163" s="55"/>
      <c r="W163" s="55"/>
    </row>
    <row r="164" spans="5:23">
      <c r="E164" s="3"/>
      <c r="F164" s="8"/>
      <c r="G164" s="2"/>
      <c r="H164" s="11"/>
      <c r="I164" s="11"/>
      <c r="J164" s="11"/>
      <c r="K164" s="11"/>
      <c r="L164" s="16"/>
      <c r="M164" s="11"/>
      <c r="N164" s="11"/>
      <c r="O164" s="11"/>
      <c r="P164" s="11"/>
      <c r="Q164" s="11"/>
      <c r="R164" s="11"/>
      <c r="S164" s="11"/>
      <c r="T164" s="11"/>
      <c r="U164" s="11"/>
      <c r="V164" s="55"/>
      <c r="W164" s="55"/>
    </row>
    <row r="165" spans="5:23">
      <c r="E165" s="3"/>
      <c r="F165" s="9"/>
      <c r="G165" s="3"/>
      <c r="H165" s="12"/>
      <c r="I165" s="12"/>
      <c r="J165" s="13"/>
      <c r="K165" s="12"/>
      <c r="L165" s="17"/>
      <c r="M165" s="12"/>
      <c r="N165" s="12"/>
      <c r="O165" s="12"/>
      <c r="P165" s="12"/>
      <c r="Q165" s="12"/>
      <c r="R165" s="12"/>
      <c r="S165" s="12"/>
      <c r="T165" s="12"/>
      <c r="U165" s="14"/>
      <c r="V165" s="57"/>
      <c r="W165" s="57"/>
    </row>
    <row r="166" spans="5:23">
      <c r="E166" s="3"/>
      <c r="F166" s="9"/>
      <c r="G166" s="3"/>
      <c r="H166" s="12"/>
      <c r="I166" s="12"/>
      <c r="J166" s="13"/>
      <c r="K166" s="12"/>
      <c r="L166" s="17"/>
      <c r="M166" s="12"/>
      <c r="N166" s="12"/>
      <c r="O166" s="12"/>
      <c r="P166" s="12"/>
      <c r="Q166" s="12"/>
      <c r="R166" s="12"/>
      <c r="S166" s="12"/>
      <c r="T166" s="12"/>
      <c r="U166" s="14"/>
      <c r="V166" s="57"/>
      <c r="W166" s="57"/>
    </row>
    <row r="167" spans="5:23">
      <c r="E167" s="3"/>
      <c r="F167" s="9"/>
      <c r="G167" s="3"/>
      <c r="H167" s="12"/>
      <c r="I167" s="12"/>
      <c r="J167" s="13"/>
      <c r="K167" s="12"/>
      <c r="L167" s="17"/>
      <c r="M167" s="12"/>
      <c r="N167" s="12"/>
      <c r="O167" s="12"/>
      <c r="P167" s="12"/>
      <c r="Q167" s="12"/>
      <c r="R167" s="12"/>
      <c r="S167" s="12"/>
      <c r="T167" s="12"/>
      <c r="U167" s="14"/>
      <c r="V167" s="57"/>
      <c r="W167" s="57"/>
    </row>
    <row r="168" spans="5:23">
      <c r="E168" s="3"/>
      <c r="F168" s="9"/>
      <c r="G168" s="3"/>
      <c r="H168" s="12"/>
      <c r="I168" s="12"/>
      <c r="J168" s="13"/>
      <c r="K168" s="12"/>
      <c r="L168" s="17"/>
      <c r="M168" s="12"/>
      <c r="N168" s="12"/>
      <c r="O168" s="12"/>
      <c r="P168" s="12"/>
      <c r="Q168" s="12"/>
      <c r="R168" s="12"/>
      <c r="S168" s="12"/>
      <c r="T168" s="12"/>
      <c r="U168" s="14"/>
      <c r="V168" s="57"/>
      <c r="W168" s="57"/>
    </row>
    <row r="169" spans="5:23">
      <c r="E169" s="3"/>
      <c r="F169" s="9"/>
      <c r="G169" s="3"/>
      <c r="H169" s="12"/>
      <c r="I169" s="12"/>
      <c r="J169" s="13"/>
      <c r="K169" s="12"/>
      <c r="L169" s="17"/>
      <c r="M169" s="12"/>
      <c r="N169" s="12"/>
      <c r="O169" s="12"/>
      <c r="P169" s="12"/>
      <c r="Q169" s="12"/>
      <c r="R169" s="12"/>
      <c r="S169" s="12"/>
      <c r="T169" s="12"/>
      <c r="U169" s="14"/>
      <c r="V169" s="57"/>
      <c r="W169" s="57"/>
    </row>
    <row r="170" spans="5:23">
      <c r="E170" s="3"/>
      <c r="F170" s="9"/>
      <c r="G170" s="3"/>
      <c r="H170" s="12"/>
      <c r="I170" s="12"/>
      <c r="J170" s="13"/>
      <c r="K170" s="12"/>
      <c r="L170" s="17"/>
      <c r="M170" s="12"/>
      <c r="N170" s="12"/>
      <c r="O170" s="12"/>
      <c r="P170" s="12"/>
      <c r="Q170" s="12"/>
      <c r="R170" s="12"/>
      <c r="S170" s="12"/>
      <c r="T170" s="12"/>
      <c r="U170" s="14"/>
      <c r="V170" s="57"/>
      <c r="W170" s="57"/>
    </row>
    <row r="171" spans="5:23">
      <c r="E171" s="3"/>
      <c r="F171" s="8"/>
      <c r="G171" s="2"/>
      <c r="H171" s="11"/>
      <c r="I171" s="11"/>
      <c r="J171" s="11"/>
      <c r="K171" s="11"/>
      <c r="L171" s="16"/>
      <c r="M171" s="11"/>
      <c r="N171" s="11"/>
      <c r="O171" s="11"/>
      <c r="P171" s="11"/>
      <c r="Q171" s="11"/>
      <c r="R171" s="11"/>
      <c r="S171" s="11"/>
      <c r="T171" s="11"/>
      <c r="U171" s="11"/>
      <c r="V171" s="55"/>
      <c r="W171" s="55"/>
    </row>
    <row r="172" spans="5:23">
      <c r="E172" s="3"/>
      <c r="F172" s="8"/>
      <c r="G172" s="2"/>
      <c r="H172" s="11"/>
      <c r="I172" s="11"/>
      <c r="J172" s="11"/>
      <c r="K172" s="11"/>
      <c r="L172" s="16"/>
      <c r="M172" s="11"/>
      <c r="N172" s="11"/>
      <c r="O172" s="11"/>
      <c r="P172" s="11"/>
      <c r="Q172" s="11"/>
      <c r="R172" s="11"/>
      <c r="S172" s="11"/>
      <c r="T172" s="11"/>
      <c r="U172" s="11"/>
      <c r="V172" s="55"/>
      <c r="W172" s="55"/>
    </row>
    <row r="173" spans="5:23">
      <c r="E173" s="3"/>
      <c r="F173" s="8"/>
      <c r="G173" s="2"/>
      <c r="H173" s="11"/>
      <c r="I173" s="11"/>
      <c r="J173" s="11"/>
      <c r="K173" s="11"/>
      <c r="L173" s="16"/>
      <c r="M173" s="11"/>
      <c r="N173" s="11"/>
      <c r="O173" s="11"/>
      <c r="P173" s="11"/>
      <c r="Q173" s="11"/>
      <c r="R173" s="11"/>
      <c r="S173" s="11"/>
      <c r="T173" s="11"/>
      <c r="U173" s="11"/>
      <c r="V173" s="55"/>
      <c r="W173" s="55"/>
    </row>
    <row r="174" spans="5:23">
      <c r="E174" s="3"/>
      <c r="F174" s="8"/>
      <c r="G174" s="2"/>
      <c r="H174" s="11"/>
      <c r="I174" s="11"/>
      <c r="J174" s="11"/>
      <c r="K174" s="11"/>
      <c r="L174" s="16"/>
      <c r="M174" s="11"/>
      <c r="N174" s="11"/>
      <c r="O174" s="11"/>
      <c r="P174" s="11"/>
      <c r="Q174" s="11"/>
      <c r="R174" s="11"/>
      <c r="S174" s="11"/>
      <c r="T174" s="11"/>
      <c r="U174" s="11"/>
      <c r="V174" s="55"/>
      <c r="W174" s="55"/>
    </row>
    <row r="175" spans="5:23">
      <c r="E175" s="3"/>
      <c r="F175" s="8"/>
      <c r="G175" s="2"/>
      <c r="H175" s="11"/>
      <c r="I175" s="11"/>
      <c r="J175" s="11"/>
      <c r="K175" s="11"/>
      <c r="L175" s="16"/>
      <c r="M175" s="11"/>
      <c r="N175" s="11"/>
      <c r="O175" s="11"/>
      <c r="P175" s="11"/>
      <c r="Q175" s="11"/>
      <c r="R175" s="11"/>
      <c r="S175" s="11"/>
      <c r="T175" s="11"/>
      <c r="U175" s="11"/>
      <c r="V175" s="55"/>
      <c r="W175" s="55"/>
    </row>
    <row r="176" spans="5:23">
      <c r="E176" s="3"/>
      <c r="F176" s="8"/>
      <c r="G176" s="2"/>
      <c r="H176" s="11"/>
      <c r="I176" s="11"/>
      <c r="J176" s="11"/>
      <c r="K176" s="11"/>
      <c r="L176" s="16"/>
      <c r="M176" s="11"/>
      <c r="N176" s="11"/>
      <c r="O176" s="11"/>
      <c r="P176" s="11"/>
      <c r="Q176" s="11"/>
      <c r="R176" s="11"/>
      <c r="S176" s="11"/>
      <c r="T176" s="11"/>
      <c r="U176" s="11"/>
      <c r="V176" s="55"/>
      <c r="W176" s="55"/>
    </row>
  </sheetData>
  <autoFilter ref="A4:U158" xr:uid="{3CE754B3-988E-444C-9265-C841DB136EFE}">
    <filterColumn colId="1">
      <filters>
        <filter val="1000933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TD</vt:lpstr>
      <vt:lpstr>Resumen</vt:lpstr>
      <vt:lpstr>Detalle Costos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Sebastian Martinez Montalvo (PFRO)</dc:creator>
  <cp:keywords/>
  <dc:description/>
  <cp:lastModifiedBy>Rodrigo Sebastian Martinez Montalvo (PFRO)</cp:lastModifiedBy>
  <cp:revision/>
  <cp:lastPrinted>2026-03-23T20:23:38Z</cp:lastPrinted>
  <dcterms:created xsi:type="dcterms:W3CDTF">2026-03-06T02:31:08Z</dcterms:created>
  <dcterms:modified xsi:type="dcterms:W3CDTF">2026-04-07T15:06:24Z</dcterms:modified>
  <cp:category/>
  <cp:contentStatus/>
</cp:coreProperties>
</file>