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73A1FEE9-AD2B-44D7-8A6D-FBB5F1AAE3FD}" xr6:coauthVersionLast="47" xr6:coauthVersionMax="47" xr10:uidLastSave="{00000000-0000-0000-0000-000000000000}"/>
  <bookViews>
    <workbookView xWindow="-108" yWindow="-108" windowWidth="23256" windowHeight="13896" xr2:uid="{8D2750B1-DDB5-45A2-823C-0DC9D76F8D6F}"/>
  </bookViews>
  <sheets>
    <sheet name="RESUMEN AL 1-6-2026" sheetId="3" r:id="rId1"/>
    <sheet name="TD" sheetId="2" r:id="rId2"/>
    <sheet name="Stock Libre" sheetId="1" r:id="rId3"/>
  </sheets>
  <externalReferences>
    <externalReference r:id="rId4"/>
    <externalReference r:id="rId5"/>
  </externalReferences>
  <calcPr calcId="191029"/>
  <pivotCaches>
    <pivotCache cacheId="8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7" i="3" l="1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G21" i="3"/>
  <c r="AF21" i="3"/>
  <c r="AE21" i="3"/>
  <c r="AA7" i="3"/>
  <c r="AA13" i="3"/>
  <c r="Z18" i="3"/>
  <c r="AD18" i="3" s="1"/>
  <c r="X20" i="3" a="1"/>
  <c r="X20" i="3" s="1"/>
  <c r="W20" i="3" a="1"/>
  <c r="W20" i="3" s="1"/>
  <c r="X19" i="3" a="1"/>
  <c r="X19" i="3" s="1"/>
  <c r="W19" i="3" a="1"/>
  <c r="W19" i="3" s="1"/>
  <c r="X18" i="3" a="1"/>
  <c r="X18" i="3" s="1"/>
  <c r="W18" i="3" a="1"/>
  <c r="W18" i="3" s="1"/>
  <c r="X17" i="3" a="1"/>
  <c r="X17" i="3" s="1"/>
  <c r="W17" i="3" a="1"/>
  <c r="W17" i="3" s="1"/>
  <c r="X16" i="3" a="1"/>
  <c r="X16" i="3" s="1"/>
  <c r="W16" i="3" a="1"/>
  <c r="W16" i="3" s="1"/>
  <c r="X15" i="3" a="1"/>
  <c r="X15" i="3" s="1"/>
  <c r="AA15" i="3" s="1"/>
  <c r="W15" i="3" a="1"/>
  <c r="W15" i="3" s="1"/>
  <c r="X14" i="3" a="1"/>
  <c r="X14" i="3" s="1"/>
  <c r="W14" i="3" a="1"/>
  <c r="W14" i="3" s="1"/>
  <c r="X13" i="3" a="1"/>
  <c r="X13" i="3" s="1"/>
  <c r="W13" i="3" a="1"/>
  <c r="W13" i="3" s="1"/>
  <c r="X12" i="3" a="1"/>
  <c r="X12" i="3" s="1"/>
  <c r="W12" i="3" a="1"/>
  <c r="W12" i="3" s="1"/>
  <c r="X11" i="3" a="1"/>
  <c r="X11" i="3" s="1"/>
  <c r="W11" i="3" a="1"/>
  <c r="W11" i="3" s="1"/>
  <c r="X10" i="3" a="1"/>
  <c r="X10" i="3" s="1"/>
  <c r="W10" i="3" a="1"/>
  <c r="W10" i="3" s="1"/>
  <c r="X9" i="3" a="1"/>
  <c r="X9" i="3" s="1"/>
  <c r="W9" i="3" a="1"/>
  <c r="W9" i="3" s="1"/>
  <c r="X8" i="3" a="1"/>
  <c r="X8" i="3" s="1"/>
  <c r="W8" i="3" a="1"/>
  <c r="W8" i="3" s="1"/>
  <c r="Z8" i="3" s="1"/>
  <c r="AD8" i="3" s="1"/>
  <c r="X7" i="3" a="1"/>
  <c r="X7" i="3" s="1"/>
  <c r="W7" i="3" a="1"/>
  <c r="W7" i="3" s="1"/>
  <c r="U7" i="3" a="1"/>
  <c r="U7" i="3" s="1"/>
  <c r="U8" i="3" a="1"/>
  <c r="U8" i="3"/>
  <c r="U9" i="3" a="1"/>
  <c r="U9" i="3"/>
  <c r="AA9" i="3" s="1"/>
  <c r="U10" i="3" a="1"/>
  <c r="U10" i="3" s="1"/>
  <c r="AA10" i="3" s="1"/>
  <c r="U11" i="3" a="1"/>
  <c r="U11" i="3" s="1"/>
  <c r="AA11" i="3" s="1"/>
  <c r="U12" i="3" a="1"/>
  <c r="U12" i="3"/>
  <c r="U13" i="3" a="1"/>
  <c r="U13" i="3" s="1"/>
  <c r="U14" i="3" a="1"/>
  <c r="U14" i="3" s="1"/>
  <c r="AA14" i="3" s="1"/>
  <c r="U15" i="3" a="1"/>
  <c r="U15" i="3"/>
  <c r="U16" i="3" a="1"/>
  <c r="U16" i="3" s="1"/>
  <c r="U17" i="3" a="1"/>
  <c r="U17" i="3"/>
  <c r="AA17" i="3" s="1"/>
  <c r="U18" i="3" a="1"/>
  <c r="U18" i="3" s="1"/>
  <c r="AA18" i="3" s="1"/>
  <c r="U19" i="3" a="1"/>
  <c r="U19" i="3" s="1"/>
  <c r="AA19" i="3" s="1"/>
  <c r="U20" i="3" a="1"/>
  <c r="U20" i="3" s="1"/>
  <c r="AA20" i="3" s="1"/>
  <c r="T7" i="3" a="1"/>
  <c r="T7" i="3" s="1"/>
  <c r="T8" i="3" a="1"/>
  <c r="T8" i="3" s="1"/>
  <c r="T9" i="3" a="1"/>
  <c r="T9" i="3" s="1"/>
  <c r="Z9" i="3" s="1"/>
  <c r="AD9" i="3" s="1"/>
  <c r="T10" i="3" a="1"/>
  <c r="T10" i="3"/>
  <c r="T11" i="3" a="1"/>
  <c r="T11" i="3" s="1"/>
  <c r="T12" i="3" a="1"/>
  <c r="T12" i="3" s="1"/>
  <c r="Z12" i="3" s="1"/>
  <c r="AD12" i="3" s="1"/>
  <c r="T13" i="3" a="1"/>
  <c r="T13" i="3" s="1"/>
  <c r="Z13" i="3" s="1"/>
  <c r="AD13" i="3" s="1"/>
  <c r="T14" i="3" a="1"/>
  <c r="T14" i="3" s="1"/>
  <c r="Z14" i="3" s="1"/>
  <c r="AD14" i="3" s="1"/>
  <c r="T15" i="3" a="1"/>
  <c r="T15" i="3" s="1"/>
  <c r="Z15" i="3" s="1"/>
  <c r="AD15" i="3" s="1"/>
  <c r="T16" i="3" a="1"/>
  <c r="T16" i="3" s="1"/>
  <c r="Z16" i="3" s="1"/>
  <c r="T17" i="3" a="1"/>
  <c r="T17" i="3" s="1"/>
  <c r="T18" i="3" a="1"/>
  <c r="T18" i="3" s="1"/>
  <c r="T19" i="3" a="1"/>
  <c r="T19" i="3" s="1"/>
  <c r="Z19" i="3" s="1"/>
  <c r="AD19" i="3" s="1"/>
  <c r="T20" i="3" a="1"/>
  <c r="T20" i="3" s="1"/>
  <c r="AA16" i="3" l="1"/>
  <c r="Z10" i="3"/>
  <c r="AD10" i="3" s="1"/>
  <c r="AA12" i="3"/>
  <c r="AA8" i="3"/>
  <c r="Z11" i="3"/>
  <c r="AD11" i="3" s="1"/>
  <c r="Z20" i="3"/>
  <c r="AD20" i="3" s="1"/>
  <c r="Z7" i="3"/>
  <c r="AD7" i="3" s="1"/>
  <c r="Z17" i="3"/>
  <c r="AD17" i="3" s="1"/>
  <c r="AC20" i="3"/>
  <c r="AD16" i="3"/>
  <c r="AC16" i="3"/>
  <c r="AC18" i="3"/>
  <c r="T2" i="1"/>
  <c r="T3" i="1"/>
  <c r="T4" i="1"/>
  <c r="T5" i="1"/>
  <c r="T6" i="1"/>
  <c r="T7" i="1"/>
  <c r="T8" i="1"/>
  <c r="T9" i="1"/>
  <c r="T10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D7" i="3"/>
  <c r="D8" i="3"/>
  <c r="P8" i="3" s="1"/>
  <c r="D9" i="3"/>
  <c r="D10" i="3"/>
  <c r="P10" i="3" s="1"/>
  <c r="D11" i="3"/>
  <c r="E11" i="3" s="1"/>
  <c r="D12" i="3"/>
  <c r="P12" i="3" s="1"/>
  <c r="D13" i="3"/>
  <c r="P13" i="3" s="1"/>
  <c r="D14" i="3"/>
  <c r="P14" i="3" s="1"/>
  <c r="D15" i="3"/>
  <c r="D16" i="3"/>
  <c r="P16" i="3" s="1"/>
  <c r="D17" i="3"/>
  <c r="P17" i="3" s="1"/>
  <c r="D18" i="3"/>
  <c r="D19" i="3"/>
  <c r="P19" i="3" s="1"/>
  <c r="K21" i="3"/>
  <c r="P20" i="3"/>
  <c r="M20" i="3"/>
  <c r="N20" i="3" s="1"/>
  <c r="A6" i="2"/>
  <c r="A7" i="2"/>
  <c r="A8" i="2"/>
  <c r="A9" i="2"/>
  <c r="A10" i="2"/>
  <c r="A11" i="2"/>
  <c r="A12" i="2"/>
  <c r="A13" i="2"/>
  <c r="A14" i="2"/>
  <c r="A15" i="2"/>
  <c r="A16" i="2"/>
  <c r="A5" i="2"/>
  <c r="A4" i="2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AC59" i="1"/>
  <c r="AC17" i="3" l="1"/>
  <c r="AC15" i="3"/>
  <c r="AC12" i="3"/>
  <c r="M10" i="3"/>
  <c r="AC10" i="3"/>
  <c r="AC9" i="3"/>
  <c r="AC14" i="3"/>
  <c r="E13" i="3"/>
  <c r="AC13" i="3"/>
  <c r="AC11" i="3"/>
  <c r="AO11" i="3" s="1"/>
  <c r="AC8" i="3"/>
  <c r="AO8" i="3" s="1"/>
  <c r="H21" i="3"/>
  <c r="E18" i="3"/>
  <c r="AC19" i="3"/>
  <c r="AC7" i="3"/>
  <c r="M7" i="3"/>
  <c r="N10" i="3"/>
  <c r="P18" i="3"/>
  <c r="Q20" i="3"/>
  <c r="R20" i="3" s="1"/>
  <c r="Y18" i="3"/>
  <c r="Y20" i="3"/>
  <c r="Y11" i="3"/>
  <c r="Y17" i="3"/>
  <c r="V9" i="3"/>
  <c r="V13" i="3"/>
  <c r="V7" i="3"/>
  <c r="Y10" i="3"/>
  <c r="Y19" i="3"/>
  <c r="AO17" i="3"/>
  <c r="V14" i="3"/>
  <c r="V11" i="3"/>
  <c r="AO12" i="3"/>
  <c r="Y8" i="3"/>
  <c r="AP10" i="3"/>
  <c r="M11" i="3"/>
  <c r="N11" i="3" s="1"/>
  <c r="E10" i="3"/>
  <c r="I21" i="3"/>
  <c r="M16" i="3"/>
  <c r="Q16" i="3" s="1"/>
  <c r="R16" i="3" s="1"/>
  <c r="P11" i="3"/>
  <c r="M17" i="3"/>
  <c r="N17" i="3" s="1"/>
  <c r="M8" i="3"/>
  <c r="N8" i="3" s="1"/>
  <c r="M19" i="3"/>
  <c r="N19" i="3" s="1"/>
  <c r="M18" i="3"/>
  <c r="N18" i="3" s="1"/>
  <c r="Q18" i="3"/>
  <c r="R18" i="3" s="1"/>
  <c r="M14" i="3"/>
  <c r="N14" i="3" s="1"/>
  <c r="Q10" i="3"/>
  <c r="R10" i="3" s="1"/>
  <c r="E9" i="3"/>
  <c r="E8" i="3"/>
  <c r="V12" i="3"/>
  <c r="X21" i="3"/>
  <c r="Y7" i="3"/>
  <c r="Y13" i="3"/>
  <c r="V19" i="3"/>
  <c r="Y16" i="3"/>
  <c r="J21" i="3"/>
  <c r="E16" i="3"/>
  <c r="V17" i="3"/>
  <c r="F21" i="3"/>
  <c r="Y14" i="3"/>
  <c r="V15" i="3"/>
  <c r="T21" i="3"/>
  <c r="V18" i="3"/>
  <c r="U21" i="3"/>
  <c r="V10" i="3"/>
  <c r="V20" i="3"/>
  <c r="G21" i="3"/>
  <c r="P9" i="3"/>
  <c r="M13" i="3"/>
  <c r="N13" i="3" s="1"/>
  <c r="V8" i="3"/>
  <c r="P7" i="3"/>
  <c r="D21" i="3"/>
  <c r="E7" i="3"/>
  <c r="W21" i="3"/>
  <c r="E17" i="3"/>
  <c r="M12" i="3"/>
  <c r="N12" i="3" s="1"/>
  <c r="Y12" i="3"/>
  <c r="E14" i="3"/>
  <c r="Y15" i="3"/>
  <c r="Y9" i="3"/>
  <c r="E19" i="3"/>
  <c r="M15" i="3"/>
  <c r="N15" i="3" s="1"/>
  <c r="E12" i="3"/>
  <c r="E15" i="3"/>
  <c r="P15" i="3"/>
  <c r="M9" i="3"/>
  <c r="N9" i="3" s="1"/>
  <c r="AP14" i="3"/>
  <c r="V16" i="3"/>
  <c r="Q11" i="3" l="1"/>
  <c r="R11" i="3" s="1"/>
  <c r="N16" i="3"/>
  <c r="I22" i="3"/>
  <c r="Q17" i="3"/>
  <c r="R17" i="3" s="1"/>
  <c r="AO14" i="3"/>
  <c r="AP8" i="3"/>
  <c r="AO10" i="3"/>
  <c r="AP12" i="3"/>
  <c r="AP19" i="3"/>
  <c r="AP17" i="3"/>
  <c r="AO16" i="3"/>
  <c r="AO19" i="3"/>
  <c r="AP18" i="3"/>
  <c r="V21" i="3"/>
  <c r="AP11" i="3"/>
  <c r="AO9" i="3"/>
  <c r="Y21" i="3"/>
  <c r="Q8" i="3"/>
  <c r="R8" i="3" s="1"/>
  <c r="Q13" i="3"/>
  <c r="R13" i="3" s="1"/>
  <c r="Q19" i="3"/>
  <c r="R19" i="3" s="1"/>
  <c r="Q12" i="3"/>
  <c r="R12" i="3" s="1"/>
  <c r="Q15" i="3"/>
  <c r="R15" i="3" s="1"/>
  <c r="Q14" i="3"/>
  <c r="R14" i="3" s="1"/>
  <c r="Q9" i="3"/>
  <c r="R9" i="3" s="1"/>
  <c r="E21" i="3"/>
  <c r="AO15" i="3"/>
  <c r="M21" i="3"/>
  <c r="N21" i="3" s="1"/>
  <c r="N7" i="3"/>
  <c r="AB11" i="3"/>
  <c r="AN11" i="3" s="1"/>
  <c r="Q7" i="3"/>
  <c r="P21" i="3"/>
  <c r="O21" i="3" s="1"/>
  <c r="AO18" i="3" l="1"/>
  <c r="AP9" i="3"/>
  <c r="AB19" i="3"/>
  <c r="AN19" i="3" s="1"/>
  <c r="AB10" i="3"/>
  <c r="AN10" i="3" s="1"/>
  <c r="AP20" i="3"/>
  <c r="AO20" i="3"/>
  <c r="AB8" i="3"/>
  <c r="AN8" i="3" s="1"/>
  <c r="AB12" i="3"/>
  <c r="AN12" i="3" s="1"/>
  <c r="AB16" i="3"/>
  <c r="AN16" i="3" s="1"/>
  <c r="Z21" i="3"/>
  <c r="AB9" i="3"/>
  <c r="AN9" i="3" s="1"/>
  <c r="AB15" i="3"/>
  <c r="AN15" i="3" s="1"/>
  <c r="AB13" i="3"/>
  <c r="AN13" i="3" s="1"/>
  <c r="AB14" i="3"/>
  <c r="AN14" i="3" s="1"/>
  <c r="R7" i="3"/>
  <c r="Q21" i="3"/>
  <c r="R21" i="3" s="1"/>
  <c r="AA21" i="3"/>
  <c r="AB7" i="3"/>
  <c r="AN7" i="3" s="1"/>
  <c r="AB20" i="3"/>
  <c r="AN20" i="3" s="1"/>
  <c r="AP13" i="3"/>
  <c r="AO13" i="3"/>
  <c r="AB17" i="3"/>
  <c r="AN17" i="3" s="1"/>
  <c r="AB18" i="3"/>
  <c r="AN18" i="3" s="1"/>
  <c r="AP15" i="3"/>
  <c r="AP16" i="3"/>
  <c r="AF16" i="3" l="1"/>
  <c r="AR16" i="3" s="1"/>
  <c r="AF10" i="3"/>
  <c r="AR10" i="3" s="1"/>
  <c r="AG13" i="3"/>
  <c r="AS13" i="3" s="1"/>
  <c r="AF12" i="3"/>
  <c r="AR12" i="3" s="1"/>
  <c r="AF15" i="3"/>
  <c r="AR15" i="3" s="1"/>
  <c r="AF14" i="3"/>
  <c r="AR14" i="3" s="1"/>
  <c r="AF11" i="3"/>
  <c r="AR11" i="3" s="1"/>
  <c r="AE13" i="3"/>
  <c r="AF13" i="3"/>
  <c r="AR13" i="3" s="1"/>
  <c r="AG8" i="3"/>
  <c r="AS8" i="3" s="1"/>
  <c r="AS21" i="3"/>
  <c r="AG12" i="3"/>
  <c r="AS12" i="3" s="1"/>
  <c r="AG18" i="3"/>
  <c r="AS18" i="3" s="1"/>
  <c r="AG16" i="3"/>
  <c r="AS16" i="3" s="1"/>
  <c r="AG10" i="3"/>
  <c r="AS10" i="3" s="1"/>
  <c r="AE20" i="3"/>
  <c r="AQ20" i="3" s="1"/>
  <c r="AF8" i="3"/>
  <c r="AR8" i="3" s="1"/>
  <c r="AE19" i="3"/>
  <c r="AR21" i="3"/>
  <c r="AF17" i="3"/>
  <c r="AR17" i="3" s="1"/>
  <c r="AG14" i="3"/>
  <c r="AS14" i="3" s="1"/>
  <c r="AF19" i="3"/>
  <c r="AR19" i="3" s="1"/>
  <c r="AQ21" i="3"/>
  <c r="AG19" i="3"/>
  <c r="AS19" i="3" s="1"/>
  <c r="AF18" i="3"/>
  <c r="AR18" i="3" s="1"/>
  <c r="AE17" i="3"/>
  <c r="AF20" i="3"/>
  <c r="AR20" i="3" s="1"/>
  <c r="AE18" i="3"/>
  <c r="AE10" i="3"/>
  <c r="AE8" i="3"/>
  <c r="AF7" i="3"/>
  <c r="AR7" i="3" s="1"/>
  <c r="AF9" i="3"/>
  <c r="AR9" i="3" s="1"/>
  <c r="AE7" i="3"/>
  <c r="AG7" i="3"/>
  <c r="AS7" i="3" s="1"/>
  <c r="AG15" i="3"/>
  <c r="AS15" i="3" s="1"/>
  <c r="AG9" i="3"/>
  <c r="AS9" i="3" s="1"/>
  <c r="AG17" i="3"/>
  <c r="AS17" i="3" s="1"/>
  <c r="AE11" i="3"/>
  <c r="AE14" i="3"/>
  <c r="AG20" i="3"/>
  <c r="AS20" i="3" s="1"/>
  <c r="AE15" i="3"/>
  <c r="AG11" i="3"/>
  <c r="AS11" i="3" s="1"/>
  <c r="AE12" i="3"/>
  <c r="AE16" i="3"/>
  <c r="AE9" i="3"/>
  <c r="AP7" i="3"/>
  <c r="AD21" i="3"/>
  <c r="AP21" i="3" s="1"/>
  <c r="AB21" i="3"/>
  <c r="AN21" i="3" s="1"/>
  <c r="AO7" i="3"/>
  <c r="AC21" i="3"/>
  <c r="AO21" i="3" s="1"/>
  <c r="AQ7" i="3" l="1"/>
  <c r="AQ14" i="3"/>
  <c r="AQ11" i="3"/>
  <c r="AQ10" i="3"/>
  <c r="AQ13" i="3"/>
  <c r="AQ15" i="3"/>
  <c r="AI15" i="3"/>
  <c r="AQ8" i="3"/>
  <c r="AT11" i="3"/>
  <c r="AT8" i="3"/>
  <c r="AT14" i="3"/>
  <c r="AT9" i="3"/>
  <c r="AT18" i="3"/>
  <c r="AT12" i="3"/>
  <c r="AT15" i="3"/>
  <c r="AK13" i="3"/>
  <c r="AT10" i="3"/>
  <c r="AI7" i="3"/>
  <c r="AT19" i="3"/>
  <c r="AT16" i="3"/>
  <c r="AT17" i="3"/>
  <c r="AQ17" i="3"/>
  <c r="AQ16" i="3"/>
  <c r="AQ18" i="3"/>
  <c r="AQ19" i="3"/>
  <c r="AQ9" i="3"/>
  <c r="AQ12" i="3"/>
  <c r="AI8" i="3" l="1"/>
  <c r="AI17" i="3"/>
  <c r="AI10" i="3"/>
  <c r="AI9" i="3"/>
  <c r="AK9" i="3"/>
  <c r="AV9" i="3" s="1"/>
  <c r="AK16" i="3"/>
  <c r="AV16" i="3" s="1"/>
  <c r="AK17" i="3"/>
  <c r="AL17" i="3" s="1"/>
  <c r="AI19" i="3"/>
  <c r="AJ19" i="3" s="1"/>
  <c r="AK19" i="3"/>
  <c r="AV19" i="3" s="1"/>
  <c r="AU10" i="3"/>
  <c r="AI12" i="3"/>
  <c r="AU12" i="3" s="1"/>
  <c r="AK10" i="3"/>
  <c r="AL10" i="3" s="1"/>
  <c r="AV13" i="3"/>
  <c r="AL13" i="3"/>
  <c r="AK11" i="3"/>
  <c r="AI14" i="3"/>
  <c r="AU17" i="3"/>
  <c r="AJ17" i="3"/>
  <c r="AK18" i="3"/>
  <c r="AI18" i="3"/>
  <c r="AU15" i="3"/>
  <c r="AJ15" i="3"/>
  <c r="AK14" i="3"/>
  <c r="AT20" i="3"/>
  <c r="AI20" i="3"/>
  <c r="AK20" i="3"/>
  <c r="AI11" i="3"/>
  <c r="AH21" i="3"/>
  <c r="AT21" i="3" s="1"/>
  <c r="AT7" i="3"/>
  <c r="AK8" i="3"/>
  <c r="AT13" i="3"/>
  <c r="AI13" i="3"/>
  <c r="AK12" i="3"/>
  <c r="AI16" i="3"/>
  <c r="AK15" i="3"/>
  <c r="AV17" i="3" l="1"/>
  <c r="AJ12" i="3"/>
  <c r="AL9" i="3"/>
  <c r="AL16" i="3"/>
  <c r="AV10" i="3"/>
  <c r="AU19" i="3"/>
  <c r="AJ10" i="3"/>
  <c r="AL19" i="3"/>
  <c r="AJ16" i="3"/>
  <c r="AU16" i="3"/>
  <c r="AU20" i="3"/>
  <c r="AJ20" i="3"/>
  <c r="AL7" i="3"/>
  <c r="AK21" i="3"/>
  <c r="AV7" i="3"/>
  <c r="AL14" i="3"/>
  <c r="AV14" i="3"/>
  <c r="AU18" i="3"/>
  <c r="AJ18" i="3"/>
  <c r="AL18" i="3"/>
  <c r="AV18" i="3"/>
  <c r="AL12" i="3"/>
  <c r="AV12" i="3"/>
  <c r="AJ13" i="3"/>
  <c r="AU13" i="3"/>
  <c r="AU14" i="3"/>
  <c r="AJ14" i="3"/>
  <c r="AU8" i="3"/>
  <c r="AJ8" i="3"/>
  <c r="AJ11" i="3"/>
  <c r="AU11" i="3"/>
  <c r="AV15" i="3"/>
  <c r="AL15" i="3"/>
  <c r="AJ9" i="3"/>
  <c r="AU9" i="3"/>
  <c r="AL20" i="3"/>
  <c r="AV20" i="3"/>
  <c r="AI21" i="3"/>
  <c r="AJ7" i="3"/>
  <c r="AU7" i="3"/>
  <c r="AV8" i="3"/>
  <c r="AL8" i="3"/>
  <c r="AV11" i="3"/>
  <c r="AL11" i="3"/>
  <c r="AV21" i="3" l="1"/>
  <c r="AL21" i="3"/>
  <c r="AU21" i="3"/>
  <c r="AJ21" i="3"/>
  <c r="F68" i="1" l="1"/>
  <c r="L64" i="1"/>
  <c r="M59" i="1"/>
  <c r="L59" i="1"/>
  <c r="J59" i="1"/>
  <c r="I59" i="1"/>
  <c r="H59" i="1"/>
  <c r="G59" i="1"/>
  <c r="F59" i="1"/>
  <c r="E59" i="1"/>
  <c r="D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P38" i="1"/>
  <c r="K38" i="1"/>
  <c r="K37" i="1"/>
  <c r="K36" i="1"/>
  <c r="K35" i="1"/>
  <c r="K34" i="1"/>
  <c r="K33" i="1"/>
  <c r="P32" i="1"/>
  <c r="K32" i="1"/>
  <c r="P31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P10" i="1"/>
  <c r="K10" i="1"/>
  <c r="K9" i="1"/>
  <c r="K8" i="1"/>
  <c r="K7" i="1"/>
  <c r="K6" i="1"/>
  <c r="K5" i="1"/>
  <c r="P4" i="1"/>
  <c r="K4" i="1"/>
  <c r="P3" i="1"/>
  <c r="K3" i="1"/>
  <c r="K2" i="1"/>
  <c r="C66" i="1" l="1"/>
  <c r="C69" i="1" s="1"/>
  <c r="J64" i="1"/>
  <c r="H64" i="1"/>
  <c r="G64" i="1"/>
  <c r="F64" i="1"/>
  <c r="E64" i="1"/>
  <c r="D64" i="1"/>
  <c r="J63" i="1"/>
  <c r="I63" i="1"/>
  <c r="H63" i="1"/>
  <c r="G63" i="1"/>
  <c r="E63" i="1"/>
  <c r="D63" i="1"/>
  <c r="O54" i="1"/>
  <c r="Q54" i="1" s="1"/>
  <c r="W54" i="1" s="1"/>
  <c r="O53" i="1"/>
  <c r="Q53" i="1" s="1"/>
  <c r="W53" i="1" s="1"/>
  <c r="O52" i="1"/>
  <c r="Q52" i="1" s="1"/>
  <c r="W52" i="1" s="1"/>
  <c r="O51" i="1"/>
  <c r="Q51" i="1" s="1"/>
  <c r="W51" i="1" s="1"/>
  <c r="O22" i="1"/>
  <c r="O42" i="1"/>
  <c r="Q42" i="1" s="1"/>
  <c r="W42" i="1" s="1"/>
  <c r="O41" i="1"/>
  <c r="Q41" i="1" s="1"/>
  <c r="W41" i="1" s="1"/>
  <c r="O40" i="1"/>
  <c r="Q40" i="1" s="1"/>
  <c r="W40" i="1" s="1"/>
  <c r="O39" i="1"/>
  <c r="Q39" i="1" s="1"/>
  <c r="W39" i="1" s="1"/>
  <c r="O38" i="1"/>
  <c r="Q38" i="1" s="1"/>
  <c r="W38" i="1" s="1"/>
  <c r="O37" i="1"/>
  <c r="Q37" i="1" s="1"/>
  <c r="W37" i="1" s="1"/>
  <c r="O36" i="1"/>
  <c r="Q36" i="1" s="1"/>
  <c r="W36" i="1" s="1"/>
  <c r="O35" i="1"/>
  <c r="Q35" i="1" s="1"/>
  <c r="W35" i="1" s="1"/>
  <c r="O34" i="1"/>
  <c r="Q34" i="1" s="1"/>
  <c r="W34" i="1" s="1"/>
  <c r="O33" i="1"/>
  <c r="Q33" i="1" s="1"/>
  <c r="W33" i="1" s="1"/>
  <c r="O32" i="1"/>
  <c r="Q32" i="1" s="1"/>
  <c r="W32" i="1" s="1"/>
  <c r="O31" i="1"/>
  <c r="Q31" i="1" s="1"/>
  <c r="W31" i="1" s="1"/>
  <c r="O30" i="1"/>
  <c r="Q30" i="1" s="1"/>
  <c r="W30" i="1" s="1"/>
  <c r="O29" i="1"/>
  <c r="Q29" i="1" s="1"/>
  <c r="W29" i="1" s="1"/>
  <c r="O28" i="1"/>
  <c r="Q28" i="1" s="1"/>
  <c r="W28" i="1" s="1"/>
  <c r="O17" i="1"/>
  <c r="Q17" i="1" s="1"/>
  <c r="W17" i="1" s="1"/>
  <c r="O16" i="1"/>
  <c r="Q16" i="1" s="1"/>
  <c r="W16" i="1" s="1"/>
  <c r="O15" i="1"/>
  <c r="Q15" i="1" s="1"/>
  <c r="W15" i="1" s="1"/>
  <c r="O14" i="1"/>
  <c r="Q14" i="1" s="1"/>
  <c r="W14" i="1" s="1"/>
  <c r="O13" i="1"/>
  <c r="Q13" i="1" s="1"/>
  <c r="W13" i="1" s="1"/>
  <c r="O12" i="1"/>
  <c r="Q12" i="1" s="1"/>
  <c r="W12" i="1" s="1"/>
  <c r="O11" i="1"/>
  <c r="Q11" i="1" s="1"/>
  <c r="W11" i="1" s="1"/>
  <c r="O10" i="1"/>
  <c r="Q10" i="1" s="1"/>
  <c r="W10" i="1" s="1"/>
  <c r="O9" i="1"/>
  <c r="Q9" i="1" s="1"/>
  <c r="W9" i="1" s="1"/>
  <c r="O8" i="1"/>
  <c r="Q8" i="1" s="1"/>
  <c r="W8" i="1" s="1"/>
  <c r="O7" i="1"/>
  <c r="O6" i="1"/>
  <c r="O5" i="1"/>
  <c r="Q5" i="1" s="1"/>
  <c r="W5" i="1" s="1"/>
  <c r="O4" i="1"/>
  <c r="Q4" i="1" s="1"/>
  <c r="W4" i="1" s="1"/>
  <c r="O3" i="1"/>
  <c r="Q3" i="1" s="1"/>
  <c r="W3" i="1" s="1"/>
  <c r="O2" i="1"/>
  <c r="O46" i="1"/>
  <c r="Q46" i="1" s="1"/>
  <c r="W46" i="1" s="1"/>
  <c r="O50" i="1"/>
  <c r="Q50" i="1" s="1"/>
  <c r="W50" i="1" s="1"/>
  <c r="O49" i="1"/>
  <c r="O44" i="1"/>
  <c r="Q44" i="1" s="1"/>
  <c r="W44" i="1" s="1"/>
  <c r="O27" i="1"/>
  <c r="Q27" i="1" s="1"/>
  <c r="W27" i="1" s="1"/>
  <c r="O26" i="1"/>
  <c r="Q26" i="1" s="1"/>
  <c r="W26" i="1" s="1"/>
  <c r="O25" i="1"/>
  <c r="O23" i="1"/>
  <c r="Q23" i="1" s="1"/>
  <c r="W23" i="1" s="1"/>
  <c r="O21" i="1"/>
  <c r="Q21" i="1" s="1"/>
  <c r="W21" i="1" s="1"/>
  <c r="O20" i="1"/>
  <c r="Q20" i="1" s="1"/>
  <c r="W20" i="1" s="1"/>
  <c r="O19" i="1"/>
  <c r="Q19" i="1" s="1"/>
  <c r="W19" i="1" s="1"/>
  <c r="O43" i="1"/>
  <c r="Q43" i="1" s="1"/>
  <c r="W43" i="1" s="1"/>
  <c r="O24" i="1"/>
  <c r="O18" i="1"/>
  <c r="Q18" i="1" s="1"/>
  <c r="W18" i="1" s="1"/>
  <c r="F63" i="1"/>
  <c r="K59" i="1"/>
  <c r="O58" i="1"/>
  <c r="Q58" i="1" s="1"/>
  <c r="W58" i="1" s="1"/>
  <c r="O57" i="1"/>
  <c r="Q57" i="1" s="1"/>
  <c r="W57" i="1" s="1"/>
  <c r="O56" i="1"/>
  <c r="Q56" i="1" s="1"/>
  <c r="W56" i="1" s="1"/>
  <c r="O55" i="1"/>
  <c r="Q55" i="1" s="1"/>
  <c r="W55" i="1" s="1"/>
  <c r="O45" i="1"/>
  <c r="Q45" i="1" s="1"/>
  <c r="W45" i="1" s="1"/>
  <c r="O48" i="1"/>
  <c r="Q48" i="1" s="1"/>
  <c r="W48" i="1" s="1"/>
  <c r="O47" i="1"/>
  <c r="Q47" i="1" s="1"/>
  <c r="W47" i="1" s="1"/>
  <c r="AA19" i="1" l="1"/>
  <c r="Z19" i="1"/>
  <c r="AB19" i="1"/>
  <c r="X19" i="1"/>
  <c r="Y19" i="1"/>
  <c r="AA37" i="1"/>
  <c r="AB37" i="1"/>
  <c r="Z37" i="1"/>
  <c r="X37" i="1"/>
  <c r="Y37" i="1"/>
  <c r="Z20" i="1"/>
  <c r="AB20" i="1"/>
  <c r="AA20" i="1"/>
  <c r="X20" i="1"/>
  <c r="Y20" i="1"/>
  <c r="Z16" i="1"/>
  <c r="AB16" i="1"/>
  <c r="AA16" i="1"/>
  <c r="X16" i="1"/>
  <c r="Y16" i="1"/>
  <c r="Z21" i="1"/>
  <c r="AB21" i="1"/>
  <c r="Y21" i="1"/>
  <c r="AA21" i="1"/>
  <c r="X21" i="1"/>
  <c r="Y17" i="1"/>
  <c r="Z17" i="1"/>
  <c r="AA17" i="1"/>
  <c r="AB17" i="1"/>
  <c r="X17" i="1"/>
  <c r="AE17" i="1" s="1"/>
  <c r="AF17" i="1" s="1"/>
  <c r="AA55" i="1"/>
  <c r="Z55" i="1"/>
  <c r="AB55" i="1"/>
  <c r="Y55" i="1"/>
  <c r="X55" i="1"/>
  <c r="AE55" i="1" s="1"/>
  <c r="AF55" i="1" s="1"/>
  <c r="Z28" i="1"/>
  <c r="AA28" i="1"/>
  <c r="AB28" i="1"/>
  <c r="Y28" i="1"/>
  <c r="X28" i="1"/>
  <c r="AB26" i="1"/>
  <c r="AA26" i="1"/>
  <c r="Z26" i="1"/>
  <c r="Y26" i="1"/>
  <c r="X26" i="1"/>
  <c r="AE26" i="1" s="1"/>
  <c r="AF26" i="1" s="1"/>
  <c r="AB47" i="1"/>
  <c r="Z47" i="1"/>
  <c r="AA47" i="1"/>
  <c r="Y47" i="1"/>
  <c r="X47" i="1"/>
  <c r="AA3" i="1"/>
  <c r="AB3" i="1"/>
  <c r="Z3" i="1"/>
  <c r="X3" i="1"/>
  <c r="Y3" i="1"/>
  <c r="AA15" i="1"/>
  <c r="AB15" i="1"/>
  <c r="Z15" i="1"/>
  <c r="X15" i="1"/>
  <c r="Y15" i="1"/>
  <c r="Y48" i="1"/>
  <c r="AB48" i="1"/>
  <c r="AA48" i="1"/>
  <c r="Z48" i="1"/>
  <c r="X48" i="1"/>
  <c r="AE48" i="1" s="1"/>
  <c r="AF48" i="1" s="1"/>
  <c r="Z4" i="1"/>
  <c r="AA4" i="1"/>
  <c r="AB4" i="1"/>
  <c r="Y4" i="1"/>
  <c r="X4" i="1"/>
  <c r="AE4" i="1" s="1"/>
  <c r="AF4" i="1" s="1"/>
  <c r="AB38" i="1"/>
  <c r="AA38" i="1"/>
  <c r="Z38" i="1"/>
  <c r="X38" i="1"/>
  <c r="Y38" i="1"/>
  <c r="Y45" i="1"/>
  <c r="Z45" i="1"/>
  <c r="AA45" i="1"/>
  <c r="AB45" i="1"/>
  <c r="X45" i="1"/>
  <c r="AE45" i="1" s="1"/>
  <c r="AF45" i="1" s="1"/>
  <c r="AA5" i="1"/>
  <c r="Z5" i="1"/>
  <c r="AB5" i="1"/>
  <c r="X5" i="1"/>
  <c r="AE5" i="1" s="1"/>
  <c r="AF5" i="1" s="1"/>
  <c r="Y5" i="1"/>
  <c r="AA39" i="1"/>
  <c r="AB39" i="1"/>
  <c r="Z39" i="1"/>
  <c r="Y39" i="1"/>
  <c r="X39" i="1"/>
  <c r="AB23" i="1"/>
  <c r="AA23" i="1"/>
  <c r="Z23" i="1"/>
  <c r="Y23" i="1"/>
  <c r="X23" i="1"/>
  <c r="AE23" i="1" s="1"/>
  <c r="AF23" i="1" s="1"/>
  <c r="Z40" i="1"/>
  <c r="AA40" i="1"/>
  <c r="AB40" i="1"/>
  <c r="Y40" i="1"/>
  <c r="X40" i="1"/>
  <c r="Z56" i="1"/>
  <c r="AA56" i="1"/>
  <c r="AB56" i="1"/>
  <c r="X56" i="1"/>
  <c r="Y56" i="1"/>
  <c r="AA29" i="1"/>
  <c r="Z29" i="1"/>
  <c r="AB29" i="1"/>
  <c r="Y29" i="1"/>
  <c r="X29" i="1"/>
  <c r="Z41" i="1"/>
  <c r="AA41" i="1"/>
  <c r="AB41" i="1"/>
  <c r="Y41" i="1"/>
  <c r="X41" i="1"/>
  <c r="AE41" i="1" s="1"/>
  <c r="AF41" i="1" s="1"/>
  <c r="Z57" i="1"/>
  <c r="AA57" i="1"/>
  <c r="AB57" i="1"/>
  <c r="X57" i="1"/>
  <c r="Y57" i="1"/>
  <c r="Z8" i="1"/>
  <c r="AA8" i="1"/>
  <c r="AB8" i="1"/>
  <c r="X8" i="1"/>
  <c r="Y8" i="1"/>
  <c r="Z30" i="1"/>
  <c r="AA30" i="1"/>
  <c r="AB30" i="1"/>
  <c r="Y30" i="1"/>
  <c r="X30" i="1"/>
  <c r="AE30" i="1" s="1"/>
  <c r="AF30" i="1" s="1"/>
  <c r="Z42" i="1"/>
  <c r="AA42" i="1"/>
  <c r="Y42" i="1"/>
  <c r="AB42" i="1"/>
  <c r="X42" i="1"/>
  <c r="AB58" i="1"/>
  <c r="Z58" i="1"/>
  <c r="AA58" i="1"/>
  <c r="X58" i="1"/>
  <c r="Y58" i="1"/>
  <c r="AA27" i="1"/>
  <c r="AB27" i="1"/>
  <c r="Z27" i="1"/>
  <c r="X27" i="1"/>
  <c r="AE27" i="1" s="1"/>
  <c r="AF27" i="1" s="1"/>
  <c r="Y27" i="1"/>
  <c r="Z9" i="1"/>
  <c r="Y9" i="1"/>
  <c r="AA9" i="1"/>
  <c r="AB9" i="1"/>
  <c r="X9" i="1"/>
  <c r="AE9" i="1" s="1"/>
  <c r="AF9" i="1" s="1"/>
  <c r="Z31" i="1"/>
  <c r="AA31" i="1"/>
  <c r="AB31" i="1"/>
  <c r="X31" i="1"/>
  <c r="Y31" i="1"/>
  <c r="Z44" i="1"/>
  <c r="AA44" i="1"/>
  <c r="AB44" i="1"/>
  <c r="X44" i="1"/>
  <c r="Y44" i="1"/>
  <c r="AB10" i="1"/>
  <c r="Z10" i="1"/>
  <c r="AA10" i="1"/>
  <c r="X10" i="1"/>
  <c r="Y10" i="1"/>
  <c r="AE10" i="1" s="1"/>
  <c r="AF10" i="1" s="1"/>
  <c r="Z32" i="1"/>
  <c r="AA32" i="1"/>
  <c r="AB32" i="1"/>
  <c r="X32" i="1"/>
  <c r="Y32" i="1"/>
  <c r="Y51" i="1"/>
  <c r="AA51" i="1"/>
  <c r="AB51" i="1"/>
  <c r="Z51" i="1"/>
  <c r="X51" i="1"/>
  <c r="AE51" i="1" s="1"/>
  <c r="AF51" i="1" s="1"/>
  <c r="AB11" i="1"/>
  <c r="Z11" i="1"/>
  <c r="AA11" i="1"/>
  <c r="Y11" i="1"/>
  <c r="X11" i="1"/>
  <c r="AE11" i="1" s="1"/>
  <c r="AF11" i="1" s="1"/>
  <c r="Y33" i="1"/>
  <c r="Z33" i="1"/>
  <c r="AA33" i="1"/>
  <c r="AB33" i="1"/>
  <c r="X33" i="1"/>
  <c r="AE33" i="1" s="1"/>
  <c r="AF33" i="1" s="1"/>
  <c r="Z52" i="1"/>
  <c r="AA52" i="1"/>
  <c r="AB52" i="1"/>
  <c r="Y52" i="1"/>
  <c r="X52" i="1"/>
  <c r="AE52" i="1" s="1"/>
  <c r="AF52" i="1" s="1"/>
  <c r="Z18" i="1"/>
  <c r="AA18" i="1"/>
  <c r="AB18" i="1"/>
  <c r="X18" i="1"/>
  <c r="Y18" i="1"/>
  <c r="AA50" i="1"/>
  <c r="AB50" i="1"/>
  <c r="Z50" i="1"/>
  <c r="X50" i="1"/>
  <c r="Y50" i="1"/>
  <c r="AB12" i="1"/>
  <c r="Z12" i="1"/>
  <c r="AA12" i="1"/>
  <c r="X12" i="1"/>
  <c r="AE12" i="1" s="1"/>
  <c r="AF12" i="1" s="1"/>
  <c r="Y12" i="1"/>
  <c r="AB34" i="1"/>
  <c r="Z34" i="1"/>
  <c r="AA34" i="1"/>
  <c r="Y34" i="1"/>
  <c r="X34" i="1"/>
  <c r="AE34" i="1" s="1"/>
  <c r="AF34" i="1" s="1"/>
  <c r="AA53" i="1"/>
  <c r="Z53" i="1"/>
  <c r="AB53" i="1"/>
  <c r="Y53" i="1"/>
  <c r="X53" i="1"/>
  <c r="AE53" i="1" s="1"/>
  <c r="AF53" i="1" s="1"/>
  <c r="AB46" i="1"/>
  <c r="Z46" i="1"/>
  <c r="AA46" i="1"/>
  <c r="X46" i="1"/>
  <c r="Y46" i="1"/>
  <c r="AA13" i="1"/>
  <c r="AB13" i="1"/>
  <c r="Z13" i="1"/>
  <c r="Y13" i="1"/>
  <c r="X13" i="1"/>
  <c r="AE13" i="1" s="1"/>
  <c r="AF13" i="1" s="1"/>
  <c r="AB35" i="1"/>
  <c r="Z35" i="1"/>
  <c r="AA35" i="1"/>
  <c r="X35" i="1"/>
  <c r="Y35" i="1"/>
  <c r="Z54" i="1"/>
  <c r="AA54" i="1"/>
  <c r="Y54" i="1"/>
  <c r="AB54" i="1"/>
  <c r="X54" i="1"/>
  <c r="AE54" i="1" s="1"/>
  <c r="AF54" i="1" s="1"/>
  <c r="Z43" i="1"/>
  <c r="AA43" i="1"/>
  <c r="AB43" i="1"/>
  <c r="X43" i="1"/>
  <c r="Y43" i="1"/>
  <c r="AB14" i="1"/>
  <c r="AA14" i="1"/>
  <c r="Z14" i="1"/>
  <c r="X14" i="1"/>
  <c r="Y14" i="1"/>
  <c r="AB36" i="1"/>
  <c r="Z36" i="1"/>
  <c r="AA36" i="1"/>
  <c r="Y36" i="1"/>
  <c r="X36" i="1"/>
  <c r="AE36" i="1" s="1"/>
  <c r="AF36" i="1" s="1"/>
  <c r="P6" i="1"/>
  <c r="Q6" i="1"/>
  <c r="W6" i="1" s="1"/>
  <c r="Q2" i="1"/>
  <c r="W2" i="1" s="1"/>
  <c r="O59" i="1"/>
  <c r="P49" i="1"/>
  <c r="P25" i="1"/>
  <c r="P22" i="1"/>
  <c r="Q22" i="1" s="1"/>
  <c r="W22" i="1" s="1"/>
  <c r="P24" i="1"/>
  <c r="K64" i="1"/>
  <c r="K63" i="1"/>
  <c r="Z6" i="1" l="1"/>
  <c r="Y6" i="1"/>
  <c r="AA6" i="1"/>
  <c r="AB6" i="1"/>
  <c r="X6" i="1"/>
  <c r="AE6" i="1" s="1"/>
  <c r="AF6" i="1" s="1"/>
  <c r="AE31" i="1"/>
  <c r="AF31" i="1" s="1"/>
  <c r="AE37" i="1"/>
  <c r="AF37" i="1" s="1"/>
  <c r="AE50" i="1"/>
  <c r="AF50" i="1" s="1"/>
  <c r="AE16" i="1"/>
  <c r="AF16" i="1" s="1"/>
  <c r="AB22" i="1"/>
  <c r="Z22" i="1"/>
  <c r="AA22" i="1"/>
  <c r="Y22" i="1"/>
  <c r="X22" i="1"/>
  <c r="AE8" i="1"/>
  <c r="AF8" i="1" s="1"/>
  <c r="AE19" i="1"/>
  <c r="AF19" i="1" s="1"/>
  <c r="AE46" i="1"/>
  <c r="AF46" i="1" s="1"/>
  <c r="AE44" i="1"/>
  <c r="AF44" i="1" s="1"/>
  <c r="AE18" i="1"/>
  <c r="AF18" i="1" s="1"/>
  <c r="AE29" i="1"/>
  <c r="AF29" i="1" s="1"/>
  <c r="AE38" i="1"/>
  <c r="AF38" i="1" s="1"/>
  <c r="AE47" i="1"/>
  <c r="AF47" i="1" s="1"/>
  <c r="AE20" i="1"/>
  <c r="AF20" i="1" s="1"/>
  <c r="AE43" i="1"/>
  <c r="AF43" i="1" s="1"/>
  <c r="AE57" i="1"/>
  <c r="AF57" i="1" s="1"/>
  <c r="AE15" i="1"/>
  <c r="AF15" i="1" s="1"/>
  <c r="AE56" i="1"/>
  <c r="AF56" i="1" s="1"/>
  <c r="AE58" i="1"/>
  <c r="AF58" i="1" s="1"/>
  <c r="AE3" i="1"/>
  <c r="AF3" i="1" s="1"/>
  <c r="AE39" i="1"/>
  <c r="AF39" i="1" s="1"/>
  <c r="AE14" i="1"/>
  <c r="AF14" i="1" s="1"/>
  <c r="AE40" i="1"/>
  <c r="AF40" i="1" s="1"/>
  <c r="AE28" i="1"/>
  <c r="AF28" i="1" s="1"/>
  <c r="AE42" i="1"/>
  <c r="AF42" i="1" s="1"/>
  <c r="AB2" i="1"/>
  <c r="AA2" i="1"/>
  <c r="Z2" i="1"/>
  <c r="Y2" i="1"/>
  <c r="X2" i="1"/>
  <c r="AE35" i="1"/>
  <c r="AF35" i="1" s="1"/>
  <c r="AE32" i="1"/>
  <c r="AF32" i="1" s="1"/>
  <c r="AE21" i="1"/>
  <c r="AF21" i="1" s="1"/>
  <c r="P7" i="1"/>
  <c r="Q7" i="1" s="1"/>
  <c r="Q49" i="1"/>
  <c r="W49" i="1" s="1"/>
  <c r="Q24" i="1"/>
  <c r="W24" i="1" s="1"/>
  <c r="Q25" i="1"/>
  <c r="W25" i="1" s="1"/>
  <c r="AA25" i="1" l="1"/>
  <c r="AB25" i="1"/>
  <c r="Z25" i="1"/>
  <c r="Y25" i="1"/>
  <c r="X25" i="1"/>
  <c r="AE25" i="1" s="1"/>
  <c r="AF25" i="1" s="1"/>
  <c r="AA49" i="1"/>
  <c r="AB49" i="1"/>
  <c r="Z49" i="1"/>
  <c r="Y49" i="1"/>
  <c r="X49" i="1"/>
  <c r="AE49" i="1" s="1"/>
  <c r="AF49" i="1" s="1"/>
  <c r="AE22" i="1"/>
  <c r="AF22" i="1" s="1"/>
  <c r="AB24" i="1"/>
  <c r="Z24" i="1"/>
  <c r="AA24" i="1"/>
  <c r="Y24" i="1"/>
  <c r="X24" i="1"/>
  <c r="AE24" i="1" s="1"/>
  <c r="AF24" i="1" s="1"/>
  <c r="Q59" i="1"/>
  <c r="W7" i="1"/>
  <c r="AE2" i="1"/>
  <c r="P59" i="1"/>
  <c r="AF2" i="1" l="1"/>
  <c r="Z7" i="1"/>
  <c r="Z59" i="1" s="1"/>
  <c r="AA7" i="1"/>
  <c r="AA59" i="1" s="1"/>
  <c r="AB7" i="1"/>
  <c r="AB59" i="1" s="1"/>
  <c r="Y7" i="1"/>
  <c r="Y59" i="1" s="1"/>
  <c r="X7" i="1"/>
  <c r="W59" i="1"/>
  <c r="AE7" i="1" l="1"/>
  <c r="X59" i="1"/>
  <c r="AF7" i="1" l="1"/>
  <c r="AE59" i="1"/>
  <c r="AF5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<sst xmlns="http://schemas.openxmlformats.org/spreadsheetml/2006/main" count="358" uniqueCount="218">
  <si>
    <t>CODIGO</t>
  </si>
  <si>
    <t>PRODUCTO</t>
  </si>
  <si>
    <t>TOTAL STOCK</t>
  </si>
  <si>
    <t>01-06-2026 LOTE 095</t>
  </si>
  <si>
    <t>RESUMEN SEMANA</t>
  </si>
  <si>
    <t xml:space="preserve">EMBARQUE </t>
  </si>
  <si>
    <t>EMBARQUE</t>
  </si>
  <si>
    <t>EMBARQUE Y REPROCESO</t>
  </si>
  <si>
    <t>POR EMBARCAR</t>
  </si>
  <si>
    <t>STOCK LIBRE</t>
  </si>
  <si>
    <t>POTA ALAS FR C/P C/C (B) S/COD BL10 S20</t>
  </si>
  <si>
    <t>POTA ALAS FR C/P C/C &lt;0.5 BL10 S20</t>
  </si>
  <si>
    <t>POTA ALAS FR C/P C/C 0.5-1 BL10 S20</t>
  </si>
  <si>
    <t>POTA ALAS FR C/P C/C 0.3 - 0.5 BL10 S20</t>
  </si>
  <si>
    <t xml:space="preserve">POTA ALAS FR C/P C/C 1-2 BL10 S20  </t>
  </si>
  <si>
    <t>POTA ALAS FR C/P C/C 1-2 BL10 S20  ENTERA</t>
  </si>
  <si>
    <t>POTA ALAS FR C/P C/C 2up</t>
  </si>
  <si>
    <t>POTA LABIOS FR S/COD BL10 S20</t>
  </si>
  <si>
    <t>POTA CONOS</t>
  </si>
  <si>
    <t>POTA ENTERA &lt; 1KG</t>
  </si>
  <si>
    <t>TUBO ALETA 0.1-0.5 KG</t>
  </si>
  <si>
    <t>TUBO ALETA 0.5-1.0 KG</t>
  </si>
  <si>
    <t>TUBO ALETA 1.0-1.5 kg</t>
  </si>
  <si>
    <t>TUBO ALETA 1.0-2.0 KG</t>
  </si>
  <si>
    <t xml:space="preserve">POTA FILETE C/M C/T FR 0.5-1.0 BL10 S20  </t>
  </si>
  <si>
    <t xml:space="preserve">POTA FILETE C/M C/T FR 1-2 BL10 S20  </t>
  </si>
  <si>
    <t>POTA FILETE C/M C/T FR 2-4  S20</t>
  </si>
  <si>
    <t xml:space="preserve">POTA FILETE C/M C/T FR &lt;0.5 Kg AA BL10 S20  </t>
  </si>
  <si>
    <t xml:space="preserve">POTA FILETE C/M C/T FR 2-4  (AA) BL10 S20  </t>
  </si>
  <si>
    <t xml:space="preserve">POTA FILETE C/M C/T FR 0.5-1.0 AA BL10 S20  </t>
  </si>
  <si>
    <t xml:space="preserve">POTA FILETE C/M C/T FR 1-2 AA BL10 S20  </t>
  </si>
  <si>
    <t xml:space="preserve">POTA FILETE C/M C/T FR 0.5-1.0 AAA  BL10 S20  </t>
  </si>
  <si>
    <t xml:space="preserve">POTA FILETE C/M C/T FR 1-2 AAA BL10 S20  </t>
  </si>
  <si>
    <t xml:space="preserve">POTA FILETE C/M C/T FR 2-4 AAA BL10 S20  </t>
  </si>
  <si>
    <t xml:space="preserve">POTA FILETE SM ST 1-2 CM/ESP </t>
  </si>
  <si>
    <t>POTA NUCAS FR ABIERTAS 0.1 - 0.3 BL10 S2</t>
  </si>
  <si>
    <t>POTA NUCAS FR CERRADA 0.1 - 0.3 BL10 S2</t>
  </si>
  <si>
    <t>POTA NUCAS FR CERRADA &lt;0.1 BL10 S2</t>
  </si>
  <si>
    <t>POTA NUCAS FR ABIERTAS 0.5-1 BL10 S20</t>
  </si>
  <si>
    <t>POTA NUCAS FR ABIERTAS 0.3-0.5 BL10 S20</t>
  </si>
  <si>
    <t>POTA NUCAS FR ABIERTAS 1-2 BL10 S20</t>
  </si>
  <si>
    <t>POTA REJOS OR FR LIMPIOS S/COD BL10 S20</t>
  </si>
  <si>
    <t>POTA REJOS OR FR LIMPIOS &lt;60 cm BL10 S20</t>
  </si>
  <si>
    <t>POTA REJOS FR C/U C/V S/OR &lt;0.1 BL10</t>
  </si>
  <si>
    <t>POTA REJOS FR C/U C/V S/OR 0.1-0.3 BL10</t>
  </si>
  <si>
    <t>POTA REJOS FR  C/U C/V S/OR 0.3-0.5BL10</t>
  </si>
  <si>
    <t>POTA REJOS FR  C/U C/V S/OR 0.5-1.0 BL10</t>
  </si>
  <si>
    <t>POTA REJOS FR C/B S/U S/V S/OR 0.3-0.5 BL10</t>
  </si>
  <si>
    <t>POTA REJOS FR C/B S/U S/V S/OR 0.5-1 BL1 0</t>
  </si>
  <si>
    <t>POTA REJOS FR C/B C/U C/V S/OR 1.0  up BL 10S20</t>
  </si>
  <si>
    <t>POTA REJOS FR C/B S/U S/V S/OR 2-UP BL10</t>
  </si>
  <si>
    <t xml:space="preserve">POTA REJOS FR C/B S/U S/V S/OR 1-2 BL10  </t>
  </si>
  <si>
    <t>VENTOSAS DE REJOS</t>
  </si>
  <si>
    <t xml:space="preserve">POTA FILETE PRE COCIDO S/M S/T C/P S/COD  </t>
  </si>
  <si>
    <t>POTA FILETE PRE COCIDO S/M S/T C/P 0.6-1.0</t>
  </si>
  <si>
    <t>POTA ALAS PRE COC S/COD BL10 S20</t>
  </si>
  <si>
    <t>POTA ALAS PRE COC 0.3up BL9 S18</t>
  </si>
  <si>
    <t>POTA ALAS PRE COC B BL9 S18</t>
  </si>
  <si>
    <t>POTA RECORTES PRE COC BL10 S20</t>
  </si>
  <si>
    <t>POTA RECORTES LAM PRE COC (M) BL7.5 S15</t>
  </si>
  <si>
    <t>POTA RECORTES LAM PRE COC (T) BL7.5 S15</t>
  </si>
  <si>
    <t>RECORTE FR MEMBRANA</t>
  </si>
  <si>
    <t>RECORTE FR TELILLA</t>
  </si>
  <si>
    <t>RECORTE FR</t>
  </si>
  <si>
    <t>FILETE cm ct PARA REPROCESO</t>
  </si>
  <si>
    <t>PICOS LIMPIOS</t>
  </si>
  <si>
    <t>FILETE S/M S/T FR 1.0 - 2.0 CM/ESP BL10 S20</t>
  </si>
  <si>
    <t>TOTAL LIBRE</t>
  </si>
  <si>
    <t>APROVECHAMIENTO TIKET</t>
  </si>
  <si>
    <t>RENDIMIENTO REAL</t>
  </si>
  <si>
    <t>LISTADO DE FP PENDIENTES  AL 30-03-2026</t>
  </si>
  <si>
    <t>ESTATUS</t>
  </si>
  <si>
    <t>FP</t>
  </si>
  <si>
    <t>TN</t>
  </si>
  <si>
    <t>ESPECIFICACIONES</t>
  </si>
  <si>
    <t>PAIS</t>
  </si>
  <si>
    <t>CLIENTE</t>
  </si>
  <si>
    <t>CON PACKING</t>
  </si>
  <si>
    <t>145-2026</t>
  </si>
  <si>
    <t>RECORTES</t>
  </si>
  <si>
    <t>PC</t>
  </si>
  <si>
    <t>ESPAÑA</t>
  </si>
  <si>
    <t>GLOBAL OCEAN</t>
  </si>
  <si>
    <t>150-2026</t>
  </si>
  <si>
    <t>REPRODUCTORES</t>
  </si>
  <si>
    <t>LIMPIOS</t>
  </si>
  <si>
    <t>OVERSEA</t>
  </si>
  <si>
    <t>159-2026</t>
  </si>
  <si>
    <t xml:space="preserve">FILETE </t>
  </si>
  <si>
    <t>2-4 B</t>
  </si>
  <si>
    <t>VIETNAM</t>
  </si>
  <si>
    <t>TSUJINO</t>
  </si>
  <si>
    <t>172-2026</t>
  </si>
  <si>
    <t>FILETE 2-4 AA</t>
  </si>
  <si>
    <t>AA</t>
  </si>
  <si>
    <t>MARRUECOS</t>
  </si>
  <si>
    <t>KULALIA</t>
  </si>
  <si>
    <t>10/4/2026 - 5 FCL</t>
  </si>
  <si>
    <t>173-2026</t>
  </si>
  <si>
    <t>FILETE</t>
  </si>
  <si>
    <t>2-4 AA</t>
  </si>
  <si>
    <t xml:space="preserve">JAPON </t>
  </si>
  <si>
    <t>6/04/202 6- 5 FCL</t>
  </si>
  <si>
    <t>177-2026</t>
  </si>
  <si>
    <t xml:space="preserve">ALAS </t>
  </si>
  <si>
    <t>1-2.</t>
  </si>
  <si>
    <t>KOREA</t>
  </si>
  <si>
    <t>178-2026</t>
  </si>
  <si>
    <t>OCEANUS FISH</t>
  </si>
  <si>
    <t>08/04/2026 - 3FCL</t>
  </si>
  <si>
    <t>182-2026</t>
  </si>
  <si>
    <t>CONOS</t>
  </si>
  <si>
    <t xml:space="preserve">TAILANDIA </t>
  </si>
  <si>
    <t>186-2026</t>
  </si>
  <si>
    <t>187-2026</t>
  </si>
  <si>
    <t>ALAS FR</t>
  </si>
  <si>
    <t>1UP</t>
  </si>
  <si>
    <t>JAPON</t>
  </si>
  <si>
    <t>EMBARCADO</t>
  </si>
  <si>
    <t>188-2026</t>
  </si>
  <si>
    <t>FILETE 2-4</t>
  </si>
  <si>
    <t>BLANCO</t>
  </si>
  <si>
    <t>04/04/2026- 2fcl</t>
  </si>
  <si>
    <t>190-2026</t>
  </si>
  <si>
    <t>POR COMPLETAR</t>
  </si>
  <si>
    <t>191-2026</t>
  </si>
  <si>
    <t>alas pc</t>
  </si>
  <si>
    <t>0.3 up</t>
  </si>
  <si>
    <t>CHINA</t>
  </si>
  <si>
    <t>YANTAIU TAIXI</t>
  </si>
  <si>
    <t>192-2026</t>
  </si>
  <si>
    <t>193-2026</t>
  </si>
  <si>
    <t>2-4 A BLANCO</t>
  </si>
  <si>
    <t>194-2026</t>
  </si>
  <si>
    <t>DARUMA</t>
  </si>
  <si>
    <t>0.8-1.4</t>
  </si>
  <si>
    <t>195-2026</t>
  </si>
  <si>
    <t>VENTOSAS</t>
  </si>
  <si>
    <t>LIMPIAS</t>
  </si>
  <si>
    <t>ADVANCE</t>
  </si>
  <si>
    <t>196-20216</t>
  </si>
  <si>
    <t>LOMGKOU</t>
  </si>
  <si>
    <t>4 PL Y 6 POR COMPLETAR</t>
  </si>
  <si>
    <t>198-2026</t>
  </si>
  <si>
    <t>0.8-1.4 CM</t>
  </si>
  <si>
    <t>LONGKOU</t>
  </si>
  <si>
    <t>ALETA PC</t>
  </si>
  <si>
    <t>0.3UP</t>
  </si>
  <si>
    <t>199-2026</t>
  </si>
  <si>
    <t>201-2026</t>
  </si>
  <si>
    <t>REJOS</t>
  </si>
  <si>
    <t>2UP</t>
  </si>
  <si>
    <t xml:space="preserve">CHINA </t>
  </si>
  <si>
    <t>SHANDONG</t>
  </si>
  <si>
    <t>197-2026</t>
  </si>
  <si>
    <t>ALETA FFR</t>
  </si>
  <si>
    <t>1-2 ENTERA</t>
  </si>
  <si>
    <t>LONNGKOU</t>
  </si>
  <si>
    <t>CÓDIGO</t>
  </si>
  <si>
    <t>CU X TM</t>
  </si>
  <si>
    <t>% MP</t>
  </si>
  <si>
    <t>incremento MP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</si>
  <si>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</si>
  <si>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</si>
  <si>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</si>
  <si>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</si>
  <si>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</si>
  <si>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</si>
  <si>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</si>
  <si>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</si>
  <si>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</si>
  <si>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</si>
  <si>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totales</t>
  </si>
  <si>
    <t>Etiquetas de fila</t>
  </si>
  <si>
    <t>(en blanco)</t>
  </si>
  <si>
    <t>Total general</t>
  </si>
  <si>
    <t>Suma de TM en Stock</t>
  </si>
  <si>
    <t>Suma de Costo Ventas</t>
  </si>
  <si>
    <t>Suma de Gasto Ventas</t>
  </si>
  <si>
    <t>Suma de Gasto ADM</t>
  </si>
  <si>
    <t>Suma de Gasto Fin</t>
  </si>
  <si>
    <t>Suma de Depreciación</t>
  </si>
  <si>
    <t>POTA FILETE CONGELADO</t>
  </si>
  <si>
    <t>POTA NUCAS CONGELADAS</t>
  </si>
  <si>
    <t>POTA ALAS CONGELADAS</t>
  </si>
  <si>
    <t>POTA ALAS CONGELADAS FR C/P C/C 0.5-1 BL10 S20</t>
  </si>
  <si>
    <t>POTA REJOS COCIDOS</t>
  </si>
  <si>
    <t>POTA REJOS CONGELADOS</t>
  </si>
  <si>
    <t>POTA REPRODUCTORES</t>
  </si>
  <si>
    <t>POTA FILETE DARUMA</t>
  </si>
  <si>
    <t>POTA ALAS COCIDAS</t>
  </si>
  <si>
    <t>OTROS</t>
  </si>
  <si>
    <t>PERU FROST</t>
  </si>
  <si>
    <t>AVANCE COMERCIAL AL 25-5-2026</t>
  </si>
  <si>
    <t>RENTABILIDAD DEL INVENTARIO</t>
  </si>
  <si>
    <t>TOTAL PROYECTADO</t>
  </si>
  <si>
    <t>UNITARIOS POR TM</t>
  </si>
  <si>
    <t>Código</t>
  </si>
  <si>
    <t>Producto</t>
  </si>
  <si>
    <t>TM en 
Stock Libre</t>
  </si>
  <si>
    <t>CU</t>
  </si>
  <si>
    <t>Precio</t>
  </si>
  <si>
    <t>Venta total</t>
  </si>
  <si>
    <t>Utilidad</t>
  </si>
  <si>
    <t>Mg Neto</t>
  </si>
  <si>
    <t>TM</t>
  </si>
  <si>
    <t>Venta</t>
  </si>
  <si>
    <t>Precio x TM</t>
  </si>
  <si>
    <t>Gasto Adm</t>
  </si>
  <si>
    <t>Gasto Fin 
Corto</t>
  </si>
  <si>
    <t>Drawback</t>
  </si>
  <si>
    <t>Mg Neto %</t>
  </si>
  <si>
    <t>EBITDA</t>
  </si>
  <si>
    <t>MG 
EBITDA</t>
  </si>
  <si>
    <t>Utilidad 
Neta</t>
  </si>
  <si>
    <t>TOTAL</t>
  </si>
  <si>
    <t>flete x tm</t>
  </si>
  <si>
    <t>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</si>
</sst>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_-* #,##0.000_-;\-* #,##0.000_-;_-* &quot;-&quot;??_-;_-@_-"/>
    <numFmt numFmtId="166" formatCode="_-* #,##0_-;\-* #,##0_-;_-* &quot;-&quot;??_-;_-@_-"/>
    <numFmt numFmtId="167" formatCode="_-* #,##0.0000_-;\-* #,##0.000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1"/>
      <color theme="1"/>
      <name val="Cambria"/>
      <family val="1"/>
    </font>
    <font>
      <b/>
      <sz val="1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5">
    <xf numFmtId="0" fontId="0" fillId="0" borderId="0" xfId="0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" fontId="6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3" fontId="8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 applyAlignment="1">
      <alignment horizontal="center" vertical="center"/>
    </xf>
    <xf numFmtId="43" fontId="6" fillId="2" borderId="2" xfId="0" applyNumberFormat="1" applyFont="1" applyFill="1" applyBorder="1" applyAlignment="1">
      <alignment horizontal="center" vertical="center"/>
    </xf>
    <xf numFmtId="43" fontId="6" fillId="3" borderId="2" xfId="0" applyNumberFormat="1" applyFont="1" applyFill="1" applyBorder="1" applyAlignment="1">
      <alignment horizontal="center" vertical="center"/>
    </xf>
    <xf numFmtId="43" fontId="6" fillId="4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3" fontId="8" fillId="3" borderId="2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43" fontId="10" fillId="0" borderId="2" xfId="0" applyNumberFormat="1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43" fontId="6" fillId="10" borderId="2" xfId="0" applyNumberFormat="1" applyFont="1" applyFill="1" applyBorder="1" applyAlignment="1">
      <alignment horizontal="center" vertical="center"/>
    </xf>
    <xf numFmtId="43" fontId="8" fillId="10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43" fontId="6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43" fontId="6" fillId="3" borderId="0" xfId="0" applyNumberFormat="1" applyFont="1" applyFill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43" fontId="6" fillId="2" borderId="2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11" borderId="2" xfId="0" applyFont="1" applyFill="1" applyBorder="1" applyAlignment="1">
      <alignment horizontal="center" vertical="center"/>
    </xf>
    <xf numFmtId="0" fontId="7" fillId="11" borderId="2" xfId="0" applyFont="1" applyFill="1" applyBorder="1"/>
    <xf numFmtId="10" fontId="7" fillId="11" borderId="2" xfId="1" applyNumberFormat="1" applyFont="1" applyFill="1" applyBorder="1" applyAlignment="1">
      <alignment horizontal="center" vertical="center"/>
    </xf>
    <xf numFmtId="10" fontId="11" fillId="11" borderId="2" xfId="1" applyNumberFormat="1" applyFont="1" applyFill="1" applyBorder="1" applyAlignment="1">
      <alignment horizontal="center" vertical="center"/>
    </xf>
    <xf numFmtId="0" fontId="7" fillId="3" borderId="0" xfId="0" applyFont="1" applyFill="1"/>
    <xf numFmtId="0" fontId="7" fillId="4" borderId="0" xfId="0" applyFont="1" applyFill="1"/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/>
    <xf numFmtId="164" fontId="7" fillId="0" borderId="2" xfId="1" applyNumberFormat="1" applyFont="1" applyBorder="1"/>
    <xf numFmtId="164" fontId="11" fillId="0" borderId="2" xfId="1" applyNumberFormat="1" applyFont="1" applyBorder="1"/>
    <xf numFmtId="9" fontId="7" fillId="0" borderId="2" xfId="1" applyFont="1" applyBorder="1"/>
    <xf numFmtId="0" fontId="7" fillId="0" borderId="0" xfId="0" applyFont="1" applyAlignment="1">
      <alignment horizontal="center" vertical="center"/>
    </xf>
    <xf numFmtId="0" fontId="11" fillId="0" borderId="0" xfId="0" applyFont="1"/>
    <xf numFmtId="4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1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" fontId="6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16" fontId="10" fillId="0" borderId="2" xfId="0" applyNumberFormat="1" applyFont="1" applyBorder="1" applyAlignment="1">
      <alignment horizontal="center"/>
    </xf>
    <xf numFmtId="16" fontId="7" fillId="2" borderId="2" xfId="0" applyNumberFormat="1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/>
    </xf>
    <xf numFmtId="0" fontId="7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4" fontId="10" fillId="8" borderId="2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9" fontId="12" fillId="0" borderId="5" xfId="0" applyNumberFormat="1" applyFont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9" fontId="14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165" fontId="14" fillId="0" borderId="0" xfId="2" applyNumberFormat="1" applyFont="1"/>
    <xf numFmtId="166" fontId="0" fillId="0" borderId="7" xfId="2" applyNumberFormat="1" applyFont="1" applyBorder="1"/>
    <xf numFmtId="166" fontId="14" fillId="0" borderId="0" xfId="2" applyNumberFormat="1" applyFont="1" applyBorder="1"/>
    <xf numFmtId="166" fontId="14" fillId="0" borderId="0" xfId="2" applyNumberFormat="1" applyFont="1"/>
    <xf numFmtId="166" fontId="14" fillId="0" borderId="0" xfId="2" applyNumberFormat="1" applyFont="1" applyAlignment="1">
      <alignment horizontal="center"/>
    </xf>
    <xf numFmtId="166" fontId="14" fillId="2" borderId="8" xfId="2" applyNumberFormat="1" applyFont="1" applyFill="1" applyBorder="1"/>
    <xf numFmtId="166" fontId="12" fillId="0" borderId="4" xfId="2" applyNumberFormat="1" applyFont="1" applyBorder="1"/>
    <xf numFmtId="166" fontId="12" fillId="0" borderId="5" xfId="2" applyNumberFormat="1" applyFont="1" applyBorder="1"/>
    <xf numFmtId="166" fontId="12" fillId="0" borderId="5" xfId="2" applyNumberFormat="1" applyFont="1" applyBorder="1" applyAlignment="1">
      <alignment horizontal="center"/>
    </xf>
    <xf numFmtId="166" fontId="12" fillId="2" borderId="6" xfId="2" applyNumberFormat="1" applyFont="1" applyFill="1" applyBorder="1"/>
    <xf numFmtId="0" fontId="0" fillId="14" borderId="9" xfId="0" applyFill="1" applyBorder="1" applyAlignment="1">
      <alignment horizontal="center" vertical="top"/>
    </xf>
    <xf numFmtId="0" fontId="0" fillId="15" borderId="9" xfId="0" applyFill="1" applyBorder="1" applyAlignment="1">
      <alignment horizontal="center" vertical="top"/>
    </xf>
    <xf numFmtId="0" fontId="0" fillId="5" borderId="9" xfId="0" applyFill="1" applyBorder="1" applyAlignment="1">
      <alignment horizontal="center" vertical="top"/>
    </xf>
    <xf numFmtId="0" fontId="0" fillId="4" borderId="9" xfId="0" applyFill="1" applyBorder="1" applyAlignment="1">
      <alignment horizontal="center" vertical="top"/>
    </xf>
    <xf numFmtId="0" fontId="0" fillId="6" borderId="9" xfId="0" applyFill="1" applyBorder="1" applyAlignment="1">
      <alignment horizontal="center" vertical="top"/>
    </xf>
    <xf numFmtId="0" fontId="0" fillId="2" borderId="9" xfId="0" applyFill="1" applyBorder="1" applyAlignment="1">
      <alignment horizontal="center" vertical="top"/>
    </xf>
    <xf numFmtId="0" fontId="0" fillId="16" borderId="9" xfId="0" applyFill="1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43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11" xfId="0" applyBorder="1"/>
    <xf numFmtId="0" fontId="0" fillId="0" borderId="11" xfId="0" applyBorder="1" applyAlignment="1">
      <alignment vertical="top"/>
    </xf>
    <xf numFmtId="0" fontId="6" fillId="0" borderId="0" xfId="0" applyFont="1"/>
    <xf numFmtId="0" fontId="5" fillId="0" borderId="0" xfId="0" applyFont="1"/>
    <xf numFmtId="43" fontId="0" fillId="0" borderId="0" xfId="0" applyNumberFormat="1"/>
    <xf numFmtId="0" fontId="3" fillId="18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" fontId="5" fillId="0" borderId="2" xfId="0" applyNumberFormat="1" applyFont="1" applyBorder="1" applyAlignment="1">
      <alignment horizontal="center"/>
    </xf>
    <xf numFmtId="16" fontId="5" fillId="19" borderId="3" xfId="0" applyNumberFormat="1" applyFont="1" applyFill="1" applyBorder="1" applyAlignment="1">
      <alignment horizontal="center"/>
    </xf>
    <xf numFmtId="16" fontId="5" fillId="19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17" borderId="1" xfId="0" applyFont="1" applyFill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 wrapText="1"/>
    </xf>
    <xf numFmtId="0" fontId="5" fillId="13" borderId="1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10" xfId="0" applyFont="1" applyFill="1" applyBorder="1" applyAlignment="1">
      <alignment horizontal="center" vertical="center"/>
    </xf>
    <xf numFmtId="0" fontId="5" fillId="19" borderId="10" xfId="0" applyFont="1" applyFill="1" applyBorder="1" applyAlignment="1">
      <alignment horizontal="center" vertical="center" wrapText="1"/>
    </xf>
    <xf numFmtId="0" fontId="5" fillId="19" borderId="13" xfId="0" applyFont="1" applyFill="1" applyBorder="1" applyAlignment="1">
      <alignment horizontal="center" vertical="center"/>
    </xf>
    <xf numFmtId="0" fontId="5" fillId="19" borderId="1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/>
    </xf>
    <xf numFmtId="166" fontId="0" fillId="13" borderId="17" xfId="2" applyNumberFormat="1" applyFont="1" applyFill="1" applyBorder="1" applyAlignment="1">
      <alignment horizontal="center"/>
    </xf>
    <xf numFmtId="166" fontId="0" fillId="0" borderId="0" xfId="2" applyNumberFormat="1" applyFont="1"/>
    <xf numFmtId="166" fontId="0" fillId="0" borderId="0" xfId="2" applyNumberFormat="1" applyFont="1" applyBorder="1"/>
    <xf numFmtId="9" fontId="0" fillId="0" borderId="0" xfId="0" applyNumberFormat="1"/>
    <xf numFmtId="166" fontId="2" fillId="0" borderId="8" xfId="0" applyNumberFormat="1" applyFont="1" applyBorder="1"/>
    <xf numFmtId="166" fontId="2" fillId="2" borderId="8" xfId="2" applyNumberFormat="1" applyFont="1" applyFill="1" applyBorder="1"/>
    <xf numFmtId="166" fontId="2" fillId="0" borderId="8" xfId="2" applyNumberFormat="1" applyFont="1" applyFill="1" applyBorder="1"/>
    <xf numFmtId="9" fontId="2" fillId="0" borderId="8" xfId="1" applyFont="1" applyFill="1" applyBorder="1" applyAlignment="1">
      <alignment horizontal="center"/>
    </xf>
    <xf numFmtId="166" fontId="0" fillId="0" borderId="3" xfId="2" applyNumberFormat="1" applyFont="1" applyBorder="1"/>
    <xf numFmtId="166" fontId="0" fillId="0" borderId="13" xfId="2" applyNumberFormat="1" applyFont="1" applyBorder="1"/>
    <xf numFmtId="166" fontId="0" fillId="0" borderId="11" xfId="2" applyNumberFormat="1" applyFont="1" applyBorder="1"/>
    <xf numFmtId="166" fontId="0" fillId="19" borderId="3" xfId="2" applyNumberFormat="1" applyFont="1" applyFill="1" applyBorder="1"/>
    <xf numFmtId="166" fontId="0" fillId="19" borderId="11" xfId="2" applyNumberFormat="1" applyFont="1" applyFill="1" applyBorder="1"/>
    <xf numFmtId="166" fontId="0" fillId="19" borderId="0" xfId="2" applyNumberFormat="1" applyFont="1" applyFill="1" applyBorder="1"/>
    <xf numFmtId="9" fontId="0" fillId="19" borderId="3" xfId="1" applyFont="1" applyFill="1" applyBorder="1" applyAlignment="1">
      <alignment horizontal="center"/>
    </xf>
    <xf numFmtId="166" fontId="0" fillId="19" borderId="11" xfId="1" applyNumberFormat="1" applyFont="1" applyFill="1" applyBorder="1" applyAlignment="1">
      <alignment horizontal="center"/>
    </xf>
    <xf numFmtId="9" fontId="0" fillId="19" borderId="11" xfId="1" applyFont="1" applyFill="1" applyBorder="1" applyAlignment="1">
      <alignment horizontal="center"/>
    </xf>
    <xf numFmtId="166" fontId="0" fillId="2" borderId="2" xfId="0" applyNumberFormat="1" applyFill="1" applyBorder="1"/>
    <xf numFmtId="166" fontId="0" fillId="2" borderId="2" xfId="2" applyNumberFormat="1" applyFont="1" applyFill="1" applyBorder="1"/>
    <xf numFmtId="166" fontId="2" fillId="0" borderId="18" xfId="2" applyNumberFormat="1" applyFont="1" applyFill="1" applyBorder="1"/>
    <xf numFmtId="0" fontId="5" fillId="0" borderId="19" xfId="0" applyFont="1" applyBorder="1" applyAlignment="1">
      <alignment horizontal="center"/>
    </xf>
    <xf numFmtId="1" fontId="5" fillId="13" borderId="20" xfId="0" applyNumberFormat="1" applyFont="1" applyFill="1" applyBorder="1" applyAlignment="1">
      <alignment horizontal="center"/>
    </xf>
    <xf numFmtId="166" fontId="5" fillId="13" borderId="21" xfId="2" applyNumberFormat="1" applyFont="1" applyFill="1" applyBorder="1" applyAlignment="1">
      <alignment horizontal="center"/>
    </xf>
    <xf numFmtId="166" fontId="5" fillId="0" borderId="5" xfId="2" applyNumberFormat="1" applyFont="1" applyBorder="1"/>
    <xf numFmtId="9" fontId="5" fillId="0" borderId="5" xfId="1" applyFont="1" applyBorder="1"/>
    <xf numFmtId="166" fontId="15" fillId="0" borderId="6" xfId="2" applyNumberFormat="1" applyFont="1" applyFill="1" applyBorder="1"/>
    <xf numFmtId="166" fontId="15" fillId="2" borderId="6" xfId="2" applyNumberFormat="1" applyFont="1" applyFill="1" applyBorder="1"/>
    <xf numFmtId="166" fontId="15" fillId="0" borderId="12" xfId="2" applyNumberFormat="1" applyFont="1" applyFill="1" applyBorder="1"/>
    <xf numFmtId="9" fontId="15" fillId="0" borderId="6" xfId="1" applyFont="1" applyFill="1" applyBorder="1" applyAlignment="1">
      <alignment horizontal="center"/>
    </xf>
    <xf numFmtId="166" fontId="5" fillId="0" borderId="1" xfId="0" applyNumberFormat="1" applyFont="1" applyBorder="1"/>
    <xf numFmtId="166" fontId="5" fillId="0" borderId="2" xfId="2" applyNumberFormat="1" applyFont="1" applyBorder="1"/>
    <xf numFmtId="166" fontId="5" fillId="19" borderId="2" xfId="0" applyNumberFormat="1" applyFont="1" applyFill="1" applyBorder="1"/>
    <xf numFmtId="166" fontId="5" fillId="19" borderId="10" xfId="2" applyNumberFormat="1" applyFont="1" applyFill="1" applyBorder="1"/>
    <xf numFmtId="166" fontId="5" fillId="19" borderId="2" xfId="2" applyNumberFormat="1" applyFont="1" applyFill="1" applyBorder="1"/>
    <xf numFmtId="9" fontId="5" fillId="19" borderId="1" xfId="1" applyFont="1" applyFill="1" applyBorder="1" applyAlignment="1">
      <alignment horizontal="center"/>
    </xf>
    <xf numFmtId="9" fontId="5" fillId="19" borderId="2" xfId="1" applyFont="1" applyFill="1" applyBorder="1" applyAlignment="1">
      <alignment horizontal="center"/>
    </xf>
    <xf numFmtId="166" fontId="5" fillId="2" borderId="2" xfId="0" applyNumberFormat="1" applyFont="1" applyFill="1" applyBorder="1"/>
    <xf numFmtId="166" fontId="5" fillId="2" borderId="2" xfId="2" applyNumberFormat="1" applyFont="1" applyFill="1" applyBorder="1"/>
    <xf numFmtId="0" fontId="0" fillId="0" borderId="0" xfId="0" applyAlignment="1">
      <alignment horizontal="center"/>
    </xf>
    <xf numFmtId="43" fontId="0" fillId="0" borderId="0" xfId="2" applyFont="1" applyAlignment="1">
      <alignment horizontal="center"/>
    </xf>
    <xf numFmtId="167" fontId="0" fillId="0" borderId="0" xfId="2" applyNumberFormat="1" applyFont="1" applyFill="1" applyBorder="1"/>
    <xf numFmtId="0" fontId="0" fillId="0" borderId="0" xfId="0" applyAlignment="1">
      <alignment horizontal="right"/>
    </xf>
    <xf numFmtId="166" fontId="0" fillId="0" borderId="0" xfId="2" applyNumberFormat="1" applyFont="1" applyAlignment="1">
      <alignment horizontal="center"/>
    </xf>
    <xf numFmtId="166" fontId="4" fillId="0" borderId="0" xfId="2" applyNumberFormat="1" applyFont="1"/>
    <xf numFmtId="4" fontId="0" fillId="0" borderId="0" xfId="0" applyNumberFormat="1"/>
    <xf numFmtId="0" fontId="5" fillId="0" borderId="0" xfId="0" applyFont="1" applyAlignment="1">
      <alignment horizontal="right"/>
    </xf>
    <xf numFmtId="166" fontId="5" fillId="0" borderId="0" xfId="2" applyNumberFormat="1" applyFont="1"/>
    <xf numFmtId="9" fontId="0" fillId="0" borderId="0" xfId="1" applyFont="1"/>
  </cellXfs>
  <cellStyles count="3">
    <cellStyle name="Millares" xfId="2" builtinId="3"/>
    <cellStyle name="Normal" xfId="0" builtinId="0"/>
    <cellStyle name="Porcentaje" xfId="1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Ajuste%20Stock%20Abril%202026%20v2.xlsx" TargetMode="External"/><Relationship Id="rId1" Type="http://schemas.openxmlformats.org/officeDocument/2006/relationships/externalLinkPath" Target="Ajuste%20Stock%20Abril%202026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ydukcorporacion-my.sharepoint.com/personal/roxanar_perufrost_com/Documents/DATA/FACTURA%20PROFORMA/RESUMEN%20DE%20EXPORTACION%20COMEX/RESUMEN%20VENTAS%20EXPORTACION%202025.xlsx" TargetMode="External"/><Relationship Id="rId1" Type="http://schemas.openxmlformats.org/officeDocument/2006/relationships/externalLinkPath" Target="https://haydukcorporacion-my.sharepoint.com/personal/roxanar_perufrost_com/Documents/DATA/FACTURA%20PROFORMA/RESUMEN%20DE%20EXPORTACION%20COMEX/RESUMEN%20VENTAS%20EXPORTACIO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Hoja1"/>
      <sheetName val="TD"/>
      <sheetName val="Data"/>
      <sheetName val="Cálculo"/>
    </sheetNames>
    <sheetDataSet>
      <sheetData sheetId="0">
        <row r="3">
          <cell r="K3">
            <v>2126.230658279324</v>
          </cell>
        </row>
        <row r="4">
          <cell r="K4">
            <v>2094.6361169260049</v>
          </cell>
        </row>
        <row r="5">
          <cell r="K5">
            <v>1946.6202776142766</v>
          </cell>
        </row>
        <row r="6">
          <cell r="K6">
            <v>2025.3424461865532</v>
          </cell>
        </row>
        <row r="7">
          <cell r="K7">
            <v>2107.1511928863524</v>
          </cell>
        </row>
        <row r="8">
          <cell r="C8">
            <v>10005721</v>
          </cell>
          <cell r="K8">
            <v>2136.6867833638648</v>
          </cell>
        </row>
        <row r="9">
          <cell r="K9">
            <v>1974.7197869741549</v>
          </cell>
        </row>
        <row r="10">
          <cell r="K10">
            <v>1840.5564205679732</v>
          </cell>
        </row>
        <row r="11">
          <cell r="C11">
            <v>10005779</v>
          </cell>
          <cell r="K11">
            <v>1753.693447499579</v>
          </cell>
        </row>
        <row r="12">
          <cell r="K12">
            <v>1782.56409434187</v>
          </cell>
        </row>
        <row r="13">
          <cell r="K13">
            <v>1915.8869184440748</v>
          </cell>
        </row>
        <row r="14">
          <cell r="C14">
            <v>10006719</v>
          </cell>
          <cell r="K14">
            <v>2035.7385678837293</v>
          </cell>
        </row>
        <row r="15">
          <cell r="C15">
            <v>10006720</v>
          </cell>
          <cell r="K15">
            <v>1529.2757311252617</v>
          </cell>
        </row>
        <row r="16">
          <cell r="K16">
            <v>1866.9166666666667</v>
          </cell>
        </row>
        <row r="17">
          <cell r="K17">
            <v>1532.4894209058921</v>
          </cell>
        </row>
        <row r="18">
          <cell r="K18">
            <v>1275.0995057916339</v>
          </cell>
        </row>
        <row r="19">
          <cell r="K19" t="str">
            <v xml:space="preserve"> </v>
          </cell>
        </row>
        <row r="20">
          <cell r="K20" t="str">
            <v xml:space="preserve"> </v>
          </cell>
        </row>
        <row r="21">
          <cell r="K21">
            <v>1931.1280065442866</v>
          </cell>
        </row>
        <row r="22">
          <cell r="K22">
            <v>1772.129900364884</v>
          </cell>
        </row>
        <row r="23">
          <cell r="C23">
            <v>10007162</v>
          </cell>
          <cell r="K23">
            <v>1882.1795185638512</v>
          </cell>
        </row>
        <row r="24">
          <cell r="C24">
            <v>10007969</v>
          </cell>
          <cell r="K24">
            <v>1494.6793794440853</v>
          </cell>
        </row>
        <row r="25">
          <cell r="K25">
            <v>1490.7915816326529</v>
          </cell>
        </row>
        <row r="26">
          <cell r="K26">
            <v>1367.0473271804969</v>
          </cell>
        </row>
        <row r="27">
          <cell r="K27">
            <v>1758.082720775697</v>
          </cell>
        </row>
        <row r="28">
          <cell r="K28">
            <v>1838.9357175572518</v>
          </cell>
        </row>
        <row r="29">
          <cell r="C29">
            <v>10005781</v>
          </cell>
          <cell r="K29">
            <v>1856.345845872738</v>
          </cell>
        </row>
        <row r="30">
          <cell r="K30">
            <v>1788.7115084478587</v>
          </cell>
        </row>
        <row r="31">
          <cell r="K31">
            <v>2014.3039236706686</v>
          </cell>
        </row>
        <row r="32">
          <cell r="C32">
            <v>10009207</v>
          </cell>
          <cell r="K32">
            <v>1545.5756063338247</v>
          </cell>
        </row>
        <row r="33">
          <cell r="K33">
            <v>3641.2946428571427</v>
          </cell>
        </row>
        <row r="34">
          <cell r="C34">
            <v>10009239</v>
          </cell>
          <cell r="K34">
            <v>3441.681665997347</v>
          </cell>
        </row>
        <row r="35">
          <cell r="K35">
            <v>1956.3846153846155</v>
          </cell>
        </row>
        <row r="36">
          <cell r="K36">
            <v>3381.3205833671382</v>
          </cell>
        </row>
        <row r="37">
          <cell r="K37" t="str">
            <v xml:space="preserve"> </v>
          </cell>
        </row>
        <row r="38">
          <cell r="K38" t="str">
            <v xml:space="preserve"> </v>
          </cell>
        </row>
        <row r="39">
          <cell r="K39">
            <v>1836.2230548455041</v>
          </cell>
        </row>
        <row r="40">
          <cell r="K40" t="str">
            <v xml:space="preserve"> </v>
          </cell>
        </row>
        <row r="41">
          <cell r="K41" t="str">
            <v xml:space="preserve"> </v>
          </cell>
        </row>
        <row r="42">
          <cell r="K42" t="str">
            <v xml:space="preserve"> </v>
          </cell>
        </row>
        <row r="43">
          <cell r="C43">
            <v>10009334</v>
          </cell>
          <cell r="K43">
            <v>3020.0740355810349</v>
          </cell>
        </row>
        <row r="44">
          <cell r="K44">
            <v>1504.539234144622</v>
          </cell>
        </row>
        <row r="45">
          <cell r="K45">
            <v>2737.6348452189836</v>
          </cell>
        </row>
        <row r="46">
          <cell r="C46">
            <v>10009386</v>
          </cell>
          <cell r="K46">
            <v>1883.7262986780906</v>
          </cell>
        </row>
        <row r="47">
          <cell r="C47">
            <v>10007050</v>
          </cell>
          <cell r="K47">
            <v>1570.5963362842754</v>
          </cell>
        </row>
        <row r="48">
          <cell r="K48">
            <v>1878.1655309723285</v>
          </cell>
        </row>
        <row r="49">
          <cell r="K49" t="str">
            <v xml:space="preserve"> </v>
          </cell>
        </row>
        <row r="50">
          <cell r="K50">
            <v>14619.069205197944</v>
          </cell>
        </row>
        <row r="51">
          <cell r="K51">
            <v>48443.988050784159</v>
          </cell>
        </row>
        <row r="52">
          <cell r="K52">
            <v>12634.381551362681</v>
          </cell>
        </row>
        <row r="53">
          <cell r="K53" t="str">
            <v xml:space="preserve"> </v>
          </cell>
        </row>
        <row r="54">
          <cell r="K54" t="str">
            <v xml:space="preserve"> </v>
          </cell>
        </row>
        <row r="55">
          <cell r="K55">
            <v>1849.5051020408164</v>
          </cell>
        </row>
        <row r="56">
          <cell r="K56">
            <v>1784.0206279313234</v>
          </cell>
        </row>
        <row r="57">
          <cell r="K57" t="str">
            <v xml:space="preserve"> </v>
          </cell>
        </row>
        <row r="58">
          <cell r="K58">
            <v>2043.3632080577509</v>
          </cell>
        </row>
        <row r="59">
          <cell r="K59">
            <v>2049.9114940184209</v>
          </cell>
        </row>
        <row r="60">
          <cell r="C60">
            <v>10007567</v>
          </cell>
          <cell r="K60">
            <v>1821.2402425897037</v>
          </cell>
        </row>
        <row r="61">
          <cell r="K61">
            <v>1783.7983912750385</v>
          </cell>
        </row>
        <row r="62">
          <cell r="K62">
            <v>1333.2441756981573</v>
          </cell>
        </row>
        <row r="63">
          <cell r="K63">
            <v>1945.1482959840719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1"/>
      <sheetName val="FLETES"/>
      <sheetName val="Hoja1"/>
      <sheetName val="Hoja2"/>
      <sheetName val="2026"/>
      <sheetName val="PROGRAMACION"/>
      <sheetName val="2025 TOTAS FP"/>
      <sheetName val="EECC GLOBAL"/>
      <sheetName val="FP CHINA"/>
      <sheetName val="Hoja3"/>
    </sheetNames>
    <sheetDataSet>
      <sheetData sheetId="0"/>
      <sheetData sheetId="1"/>
      <sheetData sheetId="2"/>
      <sheetData sheetId="3">
        <row r="6">
          <cell r="G6">
            <v>46174</v>
          </cell>
          <cell r="J6">
            <v>26</v>
          </cell>
          <cell r="K6">
            <v>36400</v>
          </cell>
          <cell r="L6" t="str">
            <v>POTA LABIOS FR S/COD BL10 S20</v>
          </cell>
        </row>
        <row r="7">
          <cell r="G7" t="str">
            <v>POR DEFINIR</v>
          </cell>
          <cell r="J7">
            <v>162</v>
          </cell>
          <cell r="K7">
            <v>677700</v>
          </cell>
          <cell r="L7" t="str">
            <v>POTA ALAS COCIDAS</v>
          </cell>
        </row>
        <row r="8">
          <cell r="G8" t="str">
            <v>POR DEFINIR</v>
          </cell>
          <cell r="J8">
            <v>81</v>
          </cell>
          <cell r="K8">
            <v>163620</v>
          </cell>
          <cell r="L8" t="str">
            <v>POTA FILETE CONGELADO</v>
          </cell>
        </row>
        <row r="9">
          <cell r="G9" t="str">
            <v>POR DEFINIR</v>
          </cell>
          <cell r="J9">
            <v>27</v>
          </cell>
          <cell r="K9">
            <v>67500</v>
          </cell>
          <cell r="L9" t="str">
            <v>VENTOSAS</v>
          </cell>
        </row>
        <row r="10">
          <cell r="G10" t="str">
            <v>POR DEFINIR</v>
          </cell>
          <cell r="J10">
            <v>159</v>
          </cell>
          <cell r="K10">
            <v>452550</v>
          </cell>
          <cell r="L10" t="str">
            <v>POTA REJOS CONGELADOS</v>
          </cell>
        </row>
        <row r="11">
          <cell r="G11" t="str">
            <v>POR DEFINIR</v>
          </cell>
          <cell r="J11">
            <v>72</v>
          </cell>
          <cell r="K11">
            <v>151200</v>
          </cell>
          <cell r="L11" t="str">
            <v>POTA ALAS CONGELADAS</v>
          </cell>
        </row>
        <row r="12">
          <cell r="G12" t="str">
            <v>POR DEFINIR</v>
          </cell>
          <cell r="J12">
            <v>38</v>
          </cell>
          <cell r="K12">
            <v>86000</v>
          </cell>
          <cell r="L12" t="str">
            <v>POTA FILETE CONGELADO</v>
          </cell>
        </row>
        <row r="13">
          <cell r="G13" t="str">
            <v>POR DEFINIR</v>
          </cell>
          <cell r="J13">
            <v>135</v>
          </cell>
          <cell r="K13">
            <v>526500</v>
          </cell>
          <cell r="L13" t="str">
            <v>POTA FILETE DARUMA</v>
          </cell>
        </row>
        <row r="14">
          <cell r="G14" t="str">
            <v>POR DEFINIR</v>
          </cell>
          <cell r="J14">
            <v>140</v>
          </cell>
          <cell r="K14">
            <v>186120</v>
          </cell>
          <cell r="L14" t="str">
            <v>POTA NUCAS CONGELADAS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74.798271643522" createdVersion="8" refreshedVersion="8" minRefreshableVersion="3" recordCount="51" xr:uid="{D3BE6EE4-FE07-4E77-8F39-CF77C3BA0030}">
  <cacheSource type="worksheet">
    <worksheetSource ref="S1:AF52" sheet="Stock Libre"/>
  </cacheSource>
  <cacheFields count="14">
    <cacheField name="CÓDIGO" numFmtId="0">
      <sharedItems containsString="0" containsBlank="1" containsNumber="1" containsInteger="1" minValue="10005721" maxValue="10009386" count="14">
        <n v="10006719"/>
        <n v="10006720"/>
        <n v="10009207"/>
        <n v="10007969"/>
        <m/>
        <n v="10005721"/>
        <n v="10005779"/>
        <n v="10005781"/>
        <n v="10007567"/>
        <n v="10007162"/>
        <n v="10009386"/>
        <n v="10009239"/>
        <n v="10009334"/>
        <n v="10007050"/>
      </sharedItems>
    </cacheField>
    <cacheField name="CU X TM" numFmtId="165">
      <sharedItems containsString="0" containsBlank="1" containsNumber="1" minValue="1.4660036185560763" maxValue="3.4319522664058146"/>
    </cacheField>
    <cacheField name="% MP" numFmtId="0">
      <sharedItems containsString="0" containsBlank="1" containsNumber="1" minValue="0.56000000000000005" maxValue="0.71"/>
    </cacheField>
    <cacheField name="incremento MP" numFmtId="9">
      <sharedItems containsSemiMixedTypes="0" containsString="0" containsNumber="1" minValue="2.1875000000000089E-2" maxValue="2.1875000000000089E-2"/>
    </cacheField>
    <cacheField name="TM en Stock" numFmtId="166">
      <sharedItems containsSemiMixedTypes="0" containsString="0" containsNumber="1" minValue="0" maxValue="270.52"/>
    </cacheField>
    <cacheField name="Costo Ventas" numFmtId="166">
      <sharedItems containsSemiMixedTypes="0" containsString="0" containsNumber="1" minValue="0" maxValue="572450.78029028315"/>
    </cacheField>
    <cacheField name="Gasto Ventas" numFmtId="166">
      <sharedItems containsSemiMixedTypes="0" containsString="0" containsNumber="1" minValue="0" maxValue="56224.876799999998"/>
    </cacheField>
    <cacheField name="Gasto ADM" numFmtId="166">
      <sharedItems containsSemiMixedTypes="0" containsString="0" containsNumber="1" minValue="0" maxValue="14171.460720000001"/>
    </cacheField>
    <cacheField name="Gasto Fin" numFmtId="166">
      <sharedItems containsSemiMixedTypes="0" containsString="0" containsNumber="1" minValue="0" maxValue="27858.690640000001"/>
    </cacheField>
    <cacheField name="Depreciación" numFmtId="166">
      <sharedItems containsSemiMixedTypes="0" containsString="0" containsNumber="1" minValue="0" maxValue="22269.990908000003"/>
    </cacheField>
    <cacheField name="Utilidad Neta" numFmtId="166">
      <sharedItems containsSemiMixedTypes="0" containsString="0" containsNumber="1" containsInteger="1" minValue="0" maxValue="0"/>
    </cacheField>
    <cacheField name="Margen Neto" numFmtId="166">
      <sharedItems containsSemiMixedTypes="0" containsString="0" containsNumber="1" containsInteger="1" minValue="0" maxValue="0"/>
    </cacheField>
    <cacheField name="Venta Equilibrio" numFmtId="166">
      <sharedItems containsSemiMixedTypes="0" containsString="0" containsNumber="1" minValue="0" maxValue="670705.80845028313"/>
    </cacheField>
    <cacheField name="Precio Equilibrio x TM" numFmtId="166">
      <sharedItems containsSemiMixedTypes="0" containsString="0" containsNumber="1" minValue="0" maxValue="2479.32059903254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n v="2.0154661325161736"/>
    <n v="0.71"/>
    <n v="2.1875000000000089E-2"/>
    <n v="7.42"/>
    <n v="14954.758703270007"/>
    <n v="1542.1728000000001"/>
    <n v="388.70412000000005"/>
    <n v="764.12644000000012"/>
    <n v="610.83591800000011"/>
    <n v="0"/>
    <n v="0"/>
    <n v="17649.762063270005"/>
    <n v="2378.6741325161734"/>
  </r>
  <r>
    <x v="0"/>
    <n v="2.0154661325161736"/>
    <n v="0.71"/>
    <n v="2.1875000000000089E-2"/>
    <n v="0.88"/>
    <n v="1773.6101966142328"/>
    <n v="182.89920000000001"/>
    <n v="46.099680000000006"/>
    <n v="90.624160000000018"/>
    <n v="72.444152000000017"/>
    <n v="0"/>
    <n v="0"/>
    <n v="2093.2332366142327"/>
    <n v="2378.6741325161734"/>
  </r>
  <r>
    <x v="0"/>
    <n v="2.0154661325161736"/>
    <n v="0.71"/>
    <n v="2.1875000000000089E-2"/>
    <n v="0"/>
    <n v="0"/>
    <n v="0"/>
    <n v="0"/>
    <n v="0"/>
    <n v="0"/>
    <n v="0"/>
    <n v="0"/>
    <n v="0"/>
    <n v="0"/>
  </r>
  <r>
    <x v="0"/>
    <n v="2.0154661325161736"/>
    <n v="0.71"/>
    <n v="2.1875000000000089E-2"/>
    <n v="0"/>
    <n v="0"/>
    <n v="0"/>
    <n v="0"/>
    <n v="0"/>
    <n v="0"/>
    <n v="0"/>
    <n v="0"/>
    <n v="0"/>
    <n v="0"/>
  </r>
  <r>
    <x v="1"/>
    <n v="1.5011372948243009"/>
    <n v="0.71"/>
    <n v="2.1875000000000089E-2"/>
    <n v="0"/>
    <n v="0"/>
    <n v="0"/>
    <n v="0"/>
    <n v="0"/>
    <n v="0"/>
    <n v="0"/>
    <n v="0"/>
    <n v="0"/>
    <n v="0"/>
  </r>
  <r>
    <x v="1"/>
    <n v="1.5011372948243009"/>
    <n v="0.71"/>
    <n v="2.1875000000000089E-2"/>
    <n v="0"/>
    <n v="0"/>
    <n v="0"/>
    <n v="0"/>
    <n v="0"/>
    <n v="0"/>
    <n v="0"/>
    <n v="0"/>
    <n v="0"/>
    <n v="0"/>
  </r>
  <r>
    <x v="1"/>
    <n v="1.5011372948243009"/>
    <n v="0.71"/>
    <n v="2.1875000000000089E-2"/>
    <n v="0.12"/>
    <n v="180.13647537891612"/>
    <n v="24.940799999999999"/>
    <n v="6.2863200000000008"/>
    <n v="12.357840000000001"/>
    <n v="9.8787480000000016"/>
    <n v="0"/>
    <n v="0"/>
    <n v="223.72143537891611"/>
    <n v="1864.3452948243009"/>
  </r>
  <r>
    <x v="2"/>
    <n v="1.5176903274696969"/>
    <n v="0.71"/>
    <n v="2.1875000000000089E-2"/>
    <n v="25.98"/>
    <n v="39429.59470766272"/>
    <n v="5399.6832000000004"/>
    <n v="1360.9882800000003"/>
    <n v="2675.4723600000002"/>
    <n v="2138.7489420000006"/>
    <n v="0"/>
    <n v="0"/>
    <n v="48865.738547662717"/>
    <n v="1880.8983274696966"/>
  </r>
  <r>
    <x v="3"/>
    <n v="1.4660036185560763"/>
    <n v="0.71"/>
    <n v="2.1875000000000089E-2"/>
    <n v="17.54"/>
    <n v="25713.703469473578"/>
    <n v="3645.5135999999998"/>
    <n v="918.85044000000016"/>
    <n v="1806.3042800000001"/>
    <n v="1443.9436660000003"/>
    <n v="0"/>
    <n v="0"/>
    <n v="32084.371789473578"/>
    <n v="1829.2116185560765"/>
  </r>
  <r>
    <x v="4"/>
    <m/>
    <m/>
    <n v="2.1875000000000089E-2"/>
    <n v="0"/>
    <n v="0"/>
    <n v="0"/>
    <n v="0"/>
    <n v="0"/>
    <n v="0"/>
    <n v="0"/>
    <n v="0"/>
    <n v="0"/>
    <n v="0"/>
  </r>
  <r>
    <x v="4"/>
    <m/>
    <m/>
    <n v="2.1875000000000089E-2"/>
    <n v="0"/>
    <n v="0"/>
    <n v="0"/>
    <n v="0"/>
    <n v="0"/>
    <n v="0"/>
    <n v="0"/>
    <n v="0"/>
    <n v="0"/>
    <n v="0"/>
  </r>
  <r>
    <x v="4"/>
    <m/>
    <m/>
    <n v="2.1875000000000089E-2"/>
    <n v="0"/>
    <n v="0"/>
    <n v="0"/>
    <n v="0"/>
    <n v="0"/>
    <n v="0"/>
    <n v="0"/>
    <n v="0"/>
    <n v="0"/>
    <n v="0"/>
  </r>
  <r>
    <x v="4"/>
    <m/>
    <m/>
    <n v="2.1875000000000089E-2"/>
    <n v="0"/>
    <n v="0"/>
    <n v="0"/>
    <n v="0"/>
    <n v="0"/>
    <n v="0"/>
    <n v="0"/>
    <n v="0"/>
    <n v="0"/>
    <n v="0"/>
  </r>
  <r>
    <x v="4"/>
    <m/>
    <m/>
    <n v="2.1875000000000089E-2"/>
    <n v="0"/>
    <n v="0"/>
    <n v="0"/>
    <n v="0"/>
    <n v="0"/>
    <n v="0"/>
    <n v="0"/>
    <n v="0"/>
    <n v="0"/>
    <n v="0"/>
  </r>
  <r>
    <x v="5"/>
    <n v="2.1161125990325416"/>
    <n v="0.67"/>
    <n v="2.1875000000000089E-2"/>
    <n v="1.38"/>
    <n v="2920.2353866649073"/>
    <n v="286.81919999999997"/>
    <n v="72.292680000000004"/>
    <n v="142.11516"/>
    <n v="113.60560200000002"/>
    <n v="0"/>
    <n v="0"/>
    <n v="3421.4624266649071"/>
    <n v="2479.3205990325414"/>
  </r>
  <r>
    <x v="5"/>
    <n v="2.1161125990325416"/>
    <n v="0.67"/>
    <n v="2.1875000000000089E-2"/>
    <n v="1.92"/>
    <n v="4062.93619014248"/>
    <n v="399.05279999999999"/>
    <n v="100.58112000000001"/>
    <n v="197.72544000000002"/>
    <n v="158.05996800000003"/>
    <n v="0"/>
    <n v="0"/>
    <n v="4760.2955501424804"/>
    <n v="2479.3205990325418"/>
  </r>
  <r>
    <x v="5"/>
    <n v="2.1161125990325416"/>
    <n v="0.67"/>
    <n v="2.1875000000000089E-2"/>
    <n v="13.1"/>
    <n v="27721.075047326296"/>
    <n v="2722.7040000000002"/>
    <n v="686.25660000000016"/>
    <n v="1349.0642"/>
    <n v="1078.4299900000003"/>
    <n v="0"/>
    <n v="0"/>
    <n v="32479.099847326299"/>
    <n v="2479.3205990325418"/>
  </r>
  <r>
    <x v="5"/>
    <n v="2.1161125990325416"/>
    <n v="0.67"/>
    <n v="2.1875000000000089E-2"/>
    <n v="1.06"/>
    <n v="2243.079354974494"/>
    <n v="220.31040000000002"/>
    <n v="55.529160000000012"/>
    <n v="109.16092000000002"/>
    <n v="87.262274000000019"/>
    <n v="0"/>
    <n v="0"/>
    <n v="2628.0798349744937"/>
    <n v="2479.3205990325409"/>
  </r>
  <r>
    <x v="5"/>
    <n v="2.1161125990325416"/>
    <n v="0.67"/>
    <n v="2.1875000000000089E-2"/>
    <n v="270.52"/>
    <n v="572450.78029028315"/>
    <n v="56224.876799999998"/>
    <n v="14171.460720000001"/>
    <n v="27858.690640000001"/>
    <n v="22269.990908000003"/>
    <n v="0"/>
    <n v="0"/>
    <n v="670705.80845028313"/>
    <n v="2479.3205990325418"/>
  </r>
  <r>
    <x v="5"/>
    <n v="2.1161125990325416"/>
    <n v="0.67"/>
    <n v="2.1875000000000089E-2"/>
    <n v="11.32"/>
    <n v="23954.394621048374"/>
    <n v="2352.7488000000003"/>
    <n v="593.00952000000018"/>
    <n v="1165.7562400000002"/>
    <n v="931.8952280000002"/>
    <n v="0"/>
    <n v="0"/>
    <n v="28065.909181048373"/>
    <n v="2479.3205990325418"/>
  </r>
  <r>
    <x v="5"/>
    <n v="2.1161125990325416"/>
    <n v="0.67"/>
    <n v="2.1875000000000089E-2"/>
    <n v="0"/>
    <n v="0"/>
    <n v="0"/>
    <n v="0"/>
    <n v="0"/>
    <n v="0"/>
    <n v="0"/>
    <n v="0"/>
    <n v="0"/>
    <n v="0"/>
  </r>
  <r>
    <x v="5"/>
    <n v="2.1161125990325416"/>
    <n v="0.67"/>
    <n v="2.1875000000000089E-2"/>
    <n v="0"/>
    <n v="0"/>
    <n v="0"/>
    <n v="0"/>
    <n v="0"/>
    <n v="0"/>
    <n v="0"/>
    <n v="0"/>
    <n v="0"/>
    <n v="0"/>
  </r>
  <r>
    <x v="5"/>
    <n v="2.1161125990325416"/>
    <n v="0.67"/>
    <n v="2.1875000000000089E-2"/>
    <n v="0"/>
    <n v="0"/>
    <n v="0"/>
    <n v="0"/>
    <n v="0"/>
    <n v="0"/>
    <n v="0"/>
    <n v="0"/>
    <n v="0"/>
    <n v="0"/>
  </r>
  <r>
    <x v="5"/>
    <n v="2.1161125990325416"/>
    <n v="0.67"/>
    <n v="2.1875000000000089E-2"/>
    <n v="0"/>
    <n v="0"/>
    <n v="0"/>
    <n v="0"/>
    <n v="0"/>
    <n v="0"/>
    <n v="0"/>
    <n v="0"/>
    <n v="0"/>
    <n v="0"/>
  </r>
  <r>
    <x v="5"/>
    <n v="2.1161125990325416"/>
    <n v="0.67"/>
    <n v="2.1875000000000089E-2"/>
    <n v="3.2"/>
    <n v="6771.5603169041333"/>
    <n v="665.08800000000008"/>
    <n v="167.63520000000005"/>
    <n v="329.54240000000004"/>
    <n v="263.43328000000008"/>
    <n v="0"/>
    <n v="0"/>
    <n v="7933.825916904133"/>
    <n v="2479.3205990325414"/>
  </r>
  <r>
    <x v="6"/>
    <n v="1.7267387762062134"/>
    <n v="0.65"/>
    <n v="2.1875000000000089E-2"/>
    <n v="79.599999999999994"/>
    <n v="137448.40658601458"/>
    <n v="16544.063999999998"/>
    <n v="4169.9256000000005"/>
    <n v="8197.3672000000006"/>
    <n v="6552.9028400000007"/>
    <n v="0"/>
    <n v="0"/>
    <n v="166359.76338601456"/>
    <n v="2089.9467762062131"/>
  </r>
  <r>
    <x v="6"/>
    <n v="1.7267387762062134"/>
    <n v="0.65"/>
    <n v="2.1875000000000089E-2"/>
    <n v="40.1"/>
    <n v="69242.224925869174"/>
    <n v="8334.384"/>
    <n v="2100.6786000000006"/>
    <n v="4129.5782000000008"/>
    <n v="3301.148290000001"/>
    <n v="0"/>
    <n v="0"/>
    <n v="83806.865725869182"/>
    <n v="2089.9467762062141"/>
  </r>
  <r>
    <x v="6"/>
    <n v="1.7267387762062134"/>
    <n v="0.65"/>
    <n v="2.1875000000000089E-2"/>
    <n v="1"/>
    <n v="1726.7387762062135"/>
    <n v="207.84"/>
    <n v="52.38600000000001"/>
    <n v="102.98200000000001"/>
    <n v="82.322900000000018"/>
    <n v="0"/>
    <n v="0"/>
    <n v="2089.9467762062136"/>
    <n v="2089.9467762062136"/>
  </r>
  <r>
    <x v="7"/>
    <n v="1.8308507633687408"/>
    <n v="0.65"/>
    <n v="2.1875000000000089E-2"/>
    <n v="12.36"/>
    <n v="22629.315435237637"/>
    <n v="2568.9023999999999"/>
    <n v="647.49096000000009"/>
    <n v="1272.85752"/>
    <n v="1017.5110440000002"/>
    <n v="0"/>
    <n v="0"/>
    <n v="27118.566315237636"/>
    <n v="2194.058763368741"/>
  </r>
  <r>
    <x v="7"/>
    <n v="1.8308507633687408"/>
    <n v="0.65"/>
    <n v="2.1875000000000089E-2"/>
    <n v="66.58"/>
    <n v="121898.04382509075"/>
    <n v="13837.9872"/>
    <n v="3487.8598800000004"/>
    <n v="6856.5415600000006"/>
    <n v="5481.0586820000008"/>
    <n v="0"/>
    <n v="0"/>
    <n v="146080.43246509077"/>
    <n v="2194.058763368741"/>
  </r>
  <r>
    <x v="7"/>
    <n v="1.8308507633687408"/>
    <n v="0.65"/>
    <n v="2.1875000000000089E-2"/>
    <n v="0"/>
    <n v="0"/>
    <n v="0"/>
    <n v="0"/>
    <n v="0"/>
    <n v="0"/>
    <n v="0"/>
    <n v="0"/>
    <n v="0"/>
    <n v="0"/>
  </r>
  <r>
    <x v="8"/>
    <n v="1.7964411911982254"/>
    <n v="0.68"/>
    <n v="2.1875000000000089E-2"/>
    <n v="58.36"/>
    <n v="104840.30791832843"/>
    <n v="12129.5424"/>
    <n v="3057.2469600000004"/>
    <n v="6010.029520000001"/>
    <n v="4804.3644440000007"/>
    <n v="0"/>
    <n v="0"/>
    <n v="126037.12679832843"/>
    <n v="2159.6491911982253"/>
  </r>
  <r>
    <x v="8"/>
    <n v="1.7964411911982254"/>
    <n v="0.68"/>
    <n v="2.1875000000000089E-2"/>
    <n v="35.94"/>
    <n v="64564.096411664221"/>
    <n v="7469.7695999999996"/>
    <n v="1882.7528400000003"/>
    <n v="3701.17308"/>
    <n v="2958.6850260000006"/>
    <n v="0"/>
    <n v="0"/>
    <n v="77617.791931664207"/>
    <n v="2159.6491911982253"/>
  </r>
  <r>
    <x v="9"/>
    <n v="1.8582869389024885"/>
    <n v="0.68"/>
    <n v="2.1875000000000089E-2"/>
    <n v="0"/>
    <n v="0"/>
    <n v="0"/>
    <n v="0"/>
    <n v="0"/>
    <n v="0"/>
    <n v="0"/>
    <n v="0"/>
    <n v="0"/>
    <n v="0"/>
  </r>
  <r>
    <x v="9"/>
    <n v="1.8582869389024885"/>
    <n v="0.68"/>
    <n v="2.1875000000000089E-2"/>
    <n v="0"/>
    <n v="0"/>
    <n v="0"/>
    <n v="0"/>
    <n v="0"/>
    <n v="0"/>
    <n v="0"/>
    <n v="0"/>
    <n v="0"/>
    <n v="0"/>
  </r>
  <r>
    <x v="9"/>
    <n v="1.8582869389024885"/>
    <n v="0.68"/>
    <n v="2.1875000000000089E-2"/>
    <n v="0"/>
    <n v="0"/>
    <n v="0"/>
    <n v="0"/>
    <n v="0"/>
    <n v="0"/>
    <n v="0"/>
    <n v="0"/>
    <n v="0"/>
    <n v="0"/>
  </r>
  <r>
    <x v="9"/>
    <n v="1.8582869389024885"/>
    <n v="0.68"/>
    <n v="2.1875000000000089E-2"/>
    <n v="0"/>
    <n v="0"/>
    <n v="0"/>
    <n v="0"/>
    <n v="0"/>
    <n v="0"/>
    <n v="0"/>
    <n v="0"/>
    <n v="0"/>
    <n v="0"/>
  </r>
  <r>
    <x v="9"/>
    <n v="1.8582869389024885"/>
    <n v="0.68"/>
    <n v="2.1875000000000089E-2"/>
    <n v="0.34"/>
    <n v="631.81755922684613"/>
    <n v="70.665600000000012"/>
    <n v="17.811240000000005"/>
    <n v="35.013880000000007"/>
    <n v="27.989786000000009"/>
    <n v="0"/>
    <n v="0"/>
    <n v="755.30827922684614"/>
    <n v="2221.4949389024887"/>
  </r>
  <r>
    <x v="9"/>
    <n v="1.8582869389024885"/>
    <n v="0.68"/>
    <n v="2.1875000000000089E-2"/>
    <n v="6.42"/>
    <n v="11930.202147753977"/>
    <n v="1334.3327999999999"/>
    <n v="336.31812000000008"/>
    <n v="661.14444000000003"/>
    <n v="528.5130180000001"/>
    <n v="0"/>
    <n v="0"/>
    <n v="14261.997507753977"/>
    <n v="2221.4949389024887"/>
  </r>
  <r>
    <x v="9"/>
    <n v="1.8582869389024885"/>
    <n v="0.68"/>
    <n v="2.1875000000000089E-2"/>
    <n v="2.68"/>
    <n v="4980.2089962586697"/>
    <n v="557.01120000000003"/>
    <n v="140.39448000000004"/>
    <n v="275.99176000000006"/>
    <n v="220.62537200000006"/>
    <n v="0"/>
    <n v="0"/>
    <n v="5953.6064362586694"/>
    <n v="2221.4949389024882"/>
  </r>
  <r>
    <x v="9"/>
    <n v="1.8582869389024885"/>
    <n v="0.68"/>
    <n v="2.1875000000000089E-2"/>
    <n v="9.8000000000000007"/>
    <n v="18211.212001244388"/>
    <n v="2036.8320000000001"/>
    <n v="513.38280000000009"/>
    <n v="1009.2236000000003"/>
    <n v="806.7644200000002"/>
    <n v="0"/>
    <n v="0"/>
    <n v="21770.650401244387"/>
    <n v="2221.4949389024882"/>
  </r>
  <r>
    <x v="9"/>
    <n v="1.8582869389024885"/>
    <n v="0.68"/>
    <n v="2.1875000000000089E-2"/>
    <n v="0"/>
    <n v="0"/>
    <n v="0"/>
    <n v="0"/>
    <n v="0"/>
    <n v="0"/>
    <n v="0"/>
    <n v="0"/>
    <n v="0"/>
    <n v="0"/>
  </r>
  <r>
    <x v="10"/>
    <n v="1.8598567273709272"/>
    <n v="0.68"/>
    <n v="2.1875000000000089E-2"/>
    <n v="14.64"/>
    <n v="27228.302488710375"/>
    <n v="3042.7776000000003"/>
    <n v="766.93104000000017"/>
    <n v="1507.6564800000003"/>
    <n v="1205.2072560000004"/>
    <n v="0"/>
    <n v="0"/>
    <n v="32545.667608710377"/>
    <n v="2223.0647273709274"/>
  </r>
  <r>
    <x v="11"/>
    <n v="3.4319522664058146"/>
    <n v="0.56000000000000005"/>
    <n v="2.1875000000000089E-2"/>
    <n v="0"/>
    <n v="0"/>
    <n v="0"/>
    <n v="0"/>
    <n v="0"/>
    <n v="0"/>
    <n v="0"/>
    <n v="0"/>
    <n v="0"/>
    <n v="0"/>
  </r>
  <r>
    <x v="11"/>
    <n v="3.4319522664058146"/>
    <n v="0.56000000000000005"/>
    <n v="2.1875000000000089E-2"/>
    <n v="0"/>
    <n v="0"/>
    <n v="0"/>
    <n v="0"/>
    <n v="0"/>
    <n v="0"/>
    <n v="0"/>
    <n v="0"/>
    <n v="0"/>
    <n v="0"/>
  </r>
  <r>
    <x v="12"/>
    <n v="3.013107636860302"/>
    <n v="0.68"/>
    <n v="2.1875000000000089E-2"/>
    <n v="0"/>
    <n v="0"/>
    <n v="0"/>
    <n v="0"/>
    <n v="0"/>
    <n v="0"/>
    <n v="0"/>
    <n v="0"/>
    <n v="0"/>
    <n v="0"/>
  </r>
  <r>
    <x v="12"/>
    <n v="3.013107636860302"/>
    <n v="0.68"/>
    <n v="2.1875000000000089E-2"/>
    <n v="0"/>
    <n v="0"/>
    <n v="0"/>
    <n v="0"/>
    <n v="0"/>
    <n v="0"/>
    <n v="0"/>
    <n v="0"/>
    <n v="0"/>
    <n v="0"/>
  </r>
  <r>
    <x v="12"/>
    <n v="3.013107636860302"/>
    <n v="0.68"/>
    <n v="2.1875000000000089E-2"/>
    <n v="0"/>
    <n v="0"/>
    <n v="0"/>
    <n v="0"/>
    <n v="0"/>
    <n v="0"/>
    <n v="0"/>
    <n v="0"/>
    <n v="0"/>
    <n v="0"/>
  </r>
  <r>
    <x v="13"/>
    <n v="1.542068956786504"/>
    <n v="0.68"/>
    <n v="2.1875000000000089E-2"/>
    <n v="30.88"/>
    <n v="47619.08938556724"/>
    <n v="6418.0991999999997"/>
    <n v="1617.6796800000002"/>
    <n v="3180.0841600000003"/>
    <n v="2542.1311520000004"/>
    <n v="0"/>
    <n v="0"/>
    <n v="58834.952425567237"/>
    <n v="1905.2769567865039"/>
  </r>
  <r>
    <x v="13"/>
    <n v="1.542068956786504"/>
    <n v="0.68"/>
    <n v="2.1875000000000089E-2"/>
    <n v="45.53"/>
    <n v="70210.399602489531"/>
    <n v="9462.9552000000003"/>
    <n v="2385.1345800000004"/>
    <n v="4688.7704600000006"/>
    <n v="3748.1616370000011"/>
    <n v="0"/>
    <n v="0"/>
    <n v="86747.259842489526"/>
    <n v="1905.2769567865039"/>
  </r>
  <r>
    <x v="13"/>
    <n v="1.542068956786504"/>
    <n v="0.68"/>
    <n v="2.1875000000000089E-2"/>
    <n v="33.405000000000001"/>
    <n v="51512.813501453165"/>
    <n v="6942.8951999999999"/>
    <n v="1749.9543300000005"/>
    <n v="3440.1137100000005"/>
    <n v="2749.9964745000007"/>
    <n v="0"/>
    <n v="0"/>
    <n v="63645.776741453163"/>
    <n v="1905.27695678650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8A447-D328-4BEC-BF09-EE42F68583CE}" name="TablaDinámica5" cacheId="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J18" firstHeaderRow="0" firstDataRow="1" firstDataCol="1"/>
  <pivotFields count="14">
    <pivotField axis="axisRow" showAll="0">
      <items count="15">
        <item x="5"/>
        <item x="6"/>
        <item x="7"/>
        <item x="0"/>
        <item x="1"/>
        <item x="13"/>
        <item x="9"/>
        <item x="8"/>
        <item x="3"/>
        <item x="2"/>
        <item x="11"/>
        <item x="12"/>
        <item x="10"/>
        <item x="4"/>
        <item t="default"/>
      </items>
    </pivotField>
    <pivotField numFmtId="165" showAll="0"/>
    <pivotField showAll="0"/>
    <pivotField numFmtId="9"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numFmtId="166" showAll="0"/>
    <pivotField numFmtId="166" showAll="0"/>
    <pivotField numFmtId="166" showAll="0"/>
    <pivotField numFmtId="166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" fld="4" baseField="0" baseItem="0" numFmtId="166"/>
    <dataField name="Suma de Costo Ventas" fld="5" baseField="0" baseItem="0" numFmtId="166"/>
    <dataField name="Suma de Gasto Ventas" fld="6" baseField="0" baseItem="0" numFmtId="166"/>
    <dataField name="Suma de Gasto ADM" fld="7" baseField="0" baseItem="0" numFmtId="166"/>
    <dataField name="Suma de Gasto Fin" fld="8" baseField="0" baseItem="0" numFmtId="166"/>
    <dataField name="Suma de Depreciación" fld="9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1269-0442-4D62-A27D-C5C70705094C}">
  <dimension ref="B2:AW40"/>
  <sheetViews>
    <sheetView showGridLines="0" tabSelected="1" topLeftCell="B1" zoomScale="80" zoomScaleNormal="80" workbookViewId="0">
      <pane xSplit="3" ySplit="6" topLeftCell="N7" activePane="bottomRight" state="frozen"/>
      <selection activeCell="B1" sqref="B1"/>
      <selection pane="topRight" activeCell="E1" sqref="E1"/>
      <selection pane="bottomLeft" activeCell="B5" sqref="B5"/>
      <selection pane="bottomRight" activeCell="O6" sqref="O6"/>
    </sheetView>
  </sheetViews>
  <sheetFormatPr baseColWidth="10" defaultRowHeight="14.4" outlineLevelCol="2" x14ac:dyDescent="0.3"/>
  <cols>
    <col min="2" max="2" width="14.33203125" hidden="1" customWidth="1" outlineLevel="1"/>
    <col min="3" max="3" width="34.109375" customWidth="1" collapsed="1"/>
    <col min="4" max="5" width="12.88671875" customWidth="1" outlineLevel="1"/>
    <col min="6" max="7" width="13.5546875" customWidth="1" outlineLevel="2"/>
    <col min="8" max="8" width="11.77734375" customWidth="1" outlineLevel="2"/>
    <col min="9" max="9" width="10.5546875" customWidth="1" outlineLevel="2"/>
    <col min="10" max="10" width="14.109375" customWidth="1" outlineLevel="2"/>
    <col min="11" max="11" width="13.77734375" customWidth="1" outlineLevel="2"/>
    <col min="12" max="12" width="13.44140625" customWidth="1" outlineLevel="2"/>
    <col min="13" max="13" width="17.33203125" customWidth="1" outlineLevel="2"/>
    <col min="14" max="14" width="23.33203125" customWidth="1" outlineLevel="2"/>
    <col min="15" max="18" width="17.5546875" customWidth="1" outlineLevel="2"/>
    <col min="19" max="19" width="9.6640625" customWidth="1" outlineLevel="1"/>
    <col min="20" max="21" width="11.5546875" customWidth="1" outlineLevel="1"/>
    <col min="22" max="22" width="12.6640625" customWidth="1" outlineLevel="1"/>
    <col min="23" max="24" width="11.5546875" customWidth="1" outlineLevel="1"/>
    <col min="25" max="25" width="12.6640625" customWidth="1" outlineLevel="1"/>
    <col min="28" max="28" width="12.6640625" bestFit="1" customWidth="1"/>
    <col min="29" max="34" width="12.6640625" customWidth="1" outlineLevel="1"/>
    <col min="41" max="41" width="12.6640625" bestFit="1" customWidth="1"/>
    <col min="42" max="42" width="12.44140625" bestFit="1" customWidth="1"/>
    <col min="48" max="48" width="12.6640625" bestFit="1" customWidth="1"/>
  </cols>
  <sheetData>
    <row r="2" spans="2:49" ht="15.6" x14ac:dyDescent="0.3">
      <c r="C2" s="110" t="s">
        <v>192</v>
      </c>
    </row>
    <row r="3" spans="2:49" x14ac:dyDescent="0.3">
      <c r="C3" s="111" t="s">
        <v>193</v>
      </c>
      <c r="G3" s="107"/>
    </row>
    <row r="4" spans="2:49" ht="15" thickBot="1" x14ac:dyDescent="0.35">
      <c r="C4" s="111"/>
      <c r="G4" s="112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4"/>
      <c r="AL4" s="114"/>
    </row>
    <row r="5" spans="2:49" ht="15" thickBot="1" x14ac:dyDescent="0.35">
      <c r="F5" s="115" t="s">
        <v>194</v>
      </c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7"/>
      <c r="T5" s="118">
        <v>46174</v>
      </c>
      <c r="U5" s="118"/>
      <c r="V5" s="118"/>
      <c r="W5" s="118" t="s">
        <v>217</v>
      </c>
      <c r="X5" s="118"/>
      <c r="Y5" s="118"/>
      <c r="Z5" s="119" t="s">
        <v>195</v>
      </c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N5" s="121" t="s">
        <v>196</v>
      </c>
      <c r="AO5" s="122"/>
      <c r="AP5" s="122"/>
      <c r="AQ5" s="122"/>
      <c r="AR5" s="122"/>
      <c r="AS5" s="122"/>
      <c r="AT5" s="122"/>
      <c r="AU5" s="122"/>
      <c r="AV5" s="123"/>
    </row>
    <row r="6" spans="2:49" s="134" customFormat="1" ht="29.4" thickBot="1" x14ac:dyDescent="0.35">
      <c r="B6" s="124" t="s">
        <v>197</v>
      </c>
      <c r="C6" s="125" t="s">
        <v>198</v>
      </c>
      <c r="D6" s="126" t="s">
        <v>199</v>
      </c>
      <c r="E6" s="127" t="s">
        <v>200</v>
      </c>
      <c r="F6" s="128" t="s">
        <v>163</v>
      </c>
      <c r="G6" s="129" t="s">
        <v>164</v>
      </c>
      <c r="H6" s="129" t="s">
        <v>165</v>
      </c>
      <c r="I6" s="129" t="s">
        <v>166</v>
      </c>
      <c r="J6" s="129" t="s">
        <v>167</v>
      </c>
      <c r="K6" s="129" t="s">
        <v>168</v>
      </c>
      <c r="L6" s="130" t="s">
        <v>169</v>
      </c>
      <c r="M6" s="131" t="s">
        <v>170</v>
      </c>
      <c r="N6" s="132" t="s">
        <v>171</v>
      </c>
      <c r="O6" s="133" t="s">
        <v>201</v>
      </c>
      <c r="P6" s="133" t="s">
        <v>202</v>
      </c>
      <c r="Q6" s="133" t="s">
        <v>203</v>
      </c>
      <c r="R6" s="133" t="s">
        <v>204</v>
      </c>
      <c r="T6" s="135" t="s">
        <v>205</v>
      </c>
      <c r="U6" s="136" t="s">
        <v>206</v>
      </c>
      <c r="V6" s="137" t="s">
        <v>207</v>
      </c>
      <c r="W6" s="136" t="s">
        <v>205</v>
      </c>
      <c r="X6" s="137" t="s">
        <v>206</v>
      </c>
      <c r="Y6" s="136" t="s">
        <v>207</v>
      </c>
      <c r="Z6" s="138" t="s">
        <v>205</v>
      </c>
      <c r="AA6" s="139" t="s">
        <v>206</v>
      </c>
      <c r="AB6" s="140" t="s">
        <v>207</v>
      </c>
      <c r="AC6" s="139" t="s">
        <v>163</v>
      </c>
      <c r="AD6" s="140" t="s">
        <v>164</v>
      </c>
      <c r="AE6" s="139" t="s">
        <v>208</v>
      </c>
      <c r="AF6" s="141" t="s">
        <v>166</v>
      </c>
      <c r="AG6" s="139" t="s">
        <v>167</v>
      </c>
      <c r="AH6" s="140" t="s">
        <v>210</v>
      </c>
      <c r="AI6" s="139" t="s">
        <v>203</v>
      </c>
      <c r="AJ6" s="138" t="s">
        <v>211</v>
      </c>
      <c r="AK6" s="142" t="s">
        <v>212</v>
      </c>
      <c r="AL6" s="143" t="s">
        <v>213</v>
      </c>
      <c r="AN6" s="144" t="s">
        <v>207</v>
      </c>
      <c r="AO6" s="144" t="s">
        <v>163</v>
      </c>
      <c r="AP6" s="144" t="s">
        <v>164</v>
      </c>
      <c r="AQ6" s="144" t="s">
        <v>208</v>
      </c>
      <c r="AR6" s="145" t="s">
        <v>209</v>
      </c>
      <c r="AS6" s="144" t="s">
        <v>167</v>
      </c>
      <c r="AT6" s="144" t="s">
        <v>210</v>
      </c>
      <c r="AU6" s="145" t="s">
        <v>214</v>
      </c>
      <c r="AV6" s="145" t="s">
        <v>212</v>
      </c>
    </row>
    <row r="7" spans="2:49" x14ac:dyDescent="0.3">
      <c r="B7" s="106">
        <v>10005721</v>
      </c>
      <c r="C7" s="108" t="s">
        <v>182</v>
      </c>
      <c r="D7" s="146">
        <f>TD!E4</f>
        <v>302.49999999999994</v>
      </c>
      <c r="E7" s="147">
        <f t="shared" ref="E7:E19" si="0">IFERROR(F7/D7,0)</f>
        <v>2116.1125990325418</v>
      </c>
      <c r="F7" s="148">
        <f>TD!F4</f>
        <v>640124.06120734382</v>
      </c>
      <c r="G7" s="107">
        <f>TD!G4</f>
        <v>62871.600000000006</v>
      </c>
      <c r="H7" s="107">
        <f>TD!H4</f>
        <v>15846.765000000001</v>
      </c>
      <c r="I7" s="107">
        <f>TD!I4</f>
        <v>31152.054999999997</v>
      </c>
      <c r="J7" s="107">
        <f>TD!J4</f>
        <v>24902.677250000004</v>
      </c>
      <c r="K7" s="149">
        <v>0</v>
      </c>
      <c r="L7" s="150">
        <v>0</v>
      </c>
      <c r="M7" s="151">
        <f>F7+G7+H7+I7</f>
        <v>749994.48120734387</v>
      </c>
      <c r="N7" s="152">
        <f>IFERROR(M7/D7,0)</f>
        <v>2479.3205990325423</v>
      </c>
      <c r="O7" s="153"/>
      <c r="P7" s="153">
        <f>O7*D7</f>
        <v>0</v>
      </c>
      <c r="Q7" s="153">
        <f t="shared" ref="Q7:Q20" si="1">P7-M7</f>
        <v>-749994.48120734387</v>
      </c>
      <c r="R7" s="154">
        <f t="shared" ref="R7:R20" si="2">IFERROR(Q7/P7,0)</f>
        <v>0</v>
      </c>
      <c r="T7" s="155" cm="1">
        <f t="array" ref="T7">SUM([2]Hoja2!$J$6:$J$14*([2]Hoja2!$L$6:$L$14=$C7)*([2]Hoja2!$G$6:$G$14=T$5))</f>
        <v>0</v>
      </c>
      <c r="U7" s="155" cm="1">
        <f t="array" ref="U7">SUM([2]Hoja2!$K$6:$K$14*([2]Hoja2!$L$6:$L$14=$C7)*([2]Hoja2!$G$6:$G$14=T$5))</f>
        <v>0</v>
      </c>
      <c r="V7" s="156">
        <f>IFERROR(U7/T7,0)</f>
        <v>0</v>
      </c>
      <c r="W7" s="155" cm="1">
        <f t="array" ref="W7">SUM([2]Hoja2!$J$6:$J$14*([2]Hoja2!$L$6:$L$14=$C7)*([2]Hoja2!$G$6:$G$14=W$5))</f>
        <v>119</v>
      </c>
      <c r="X7" s="155" cm="1">
        <f t="array" ref="X7">SUM([2]Hoja2!$K$6:$K$14*([2]Hoja2!$L$6:$L$14=$C7)*([2]Hoja2!$G$6:$G$14=W$5))</f>
        <v>249620</v>
      </c>
      <c r="Y7" s="156">
        <f>IFERROR(X7/W7,0)</f>
        <v>2097.6470588235293</v>
      </c>
      <c r="Z7" s="158">
        <f t="shared" ref="Z7:Z20" si="3">T7+W7</f>
        <v>119</v>
      </c>
      <c r="AA7" s="159">
        <f t="shared" ref="AA7:AA20" si="4">U7+X7</f>
        <v>249620</v>
      </c>
      <c r="AB7" s="160">
        <f>IFERROR(AA7/Z7,0)</f>
        <v>2097.6470588235293</v>
      </c>
      <c r="AC7" s="159">
        <f t="shared" ref="AC7:AC20" si="5">-IFERROR(F7/D7*Z7,0)</f>
        <v>-251817.39928487246</v>
      </c>
      <c r="AD7" s="160">
        <f t="shared" ref="AD7:AD20" si="6">-207.84*Z7</f>
        <v>-24732.959999999999</v>
      </c>
      <c r="AE7" s="159">
        <f>$AE$21/$Z$21*$Z7</f>
        <v>-5878.2658012500005</v>
      </c>
      <c r="AF7" s="160">
        <f t="shared" ref="AF7:AF20" si="7">$AF$21/$Z$21*$Z7</f>
        <v>-11555.674583750004</v>
      </c>
      <c r="AG7" s="159">
        <f>$AG$21/$Z$21*$Z7</f>
        <v>-9237.5040608125</v>
      </c>
      <c r="AH7" s="160">
        <f>(AA7-Z7*$AE$25)*0.03</f>
        <v>7080.9859164042391</v>
      </c>
      <c r="AI7" s="159">
        <f>AA7+SUM(AC7:AF7,AH7)</f>
        <v>-37283.313753468276</v>
      </c>
      <c r="AJ7" s="161">
        <f>IFERROR(AI7/AA7,0)</f>
        <v>-0.14936028264349122</v>
      </c>
      <c r="AK7" s="162">
        <f>AA7+AC7+AD7+AE7+AH7-AG7</f>
        <v>-16490.135108905721</v>
      </c>
      <c r="AL7" s="163">
        <f>IFERROR(AK7/AA7,0)</f>
        <v>-6.6060953084311036E-2</v>
      </c>
      <c r="AN7" s="164">
        <f>AB7</f>
        <v>2097.6470588235293</v>
      </c>
      <c r="AO7" s="165">
        <f>IFERROR(AC7/$Z7,0)</f>
        <v>-2116.1125990325418</v>
      </c>
      <c r="AP7" s="165">
        <f>IFERROR(AD7/$Z7,0)</f>
        <v>-207.84</v>
      </c>
      <c r="AQ7" s="165">
        <f>IFERROR(AE7/$Z7,0)</f>
        <v>-49.397191607142865</v>
      </c>
      <c r="AR7" s="165">
        <f>IFERROR(AF7/$Z7,0)</f>
        <v>-97.106509107142884</v>
      </c>
      <c r="AS7" s="165">
        <f t="shared" ref="AS7:AU21" si="8">IFERROR(AG7/$Z7,0)</f>
        <v>-77.62608454464285</v>
      </c>
      <c r="AT7" s="165">
        <f t="shared" si="8"/>
        <v>59.504083331128058</v>
      </c>
      <c r="AU7" s="165">
        <f t="shared" si="8"/>
        <v>-313.30515759217036</v>
      </c>
      <c r="AV7" s="165">
        <f t="shared" ref="AV7:AV21" si="9">IFERROR(AK7/$Z7,0)</f>
        <v>-138.57256394038421</v>
      </c>
      <c r="AW7" s="107"/>
    </row>
    <row r="8" spans="2:49" x14ac:dyDescent="0.3">
      <c r="B8" s="106">
        <v>10005779</v>
      </c>
      <c r="C8" s="109" t="s">
        <v>183</v>
      </c>
      <c r="D8" s="146">
        <f>TD!E5</f>
        <v>120.69999999999999</v>
      </c>
      <c r="E8" s="147">
        <f t="shared" si="0"/>
        <v>1726.7387762062137</v>
      </c>
      <c r="F8" s="107">
        <f>TD!F5</f>
        <v>208417.37028808997</v>
      </c>
      <c r="G8" s="107">
        <f>TD!G5</f>
        <v>25086.287999999997</v>
      </c>
      <c r="H8" s="107">
        <f>TD!H5</f>
        <v>6322.990200000002</v>
      </c>
      <c r="I8" s="107">
        <f>TD!I5</f>
        <v>12429.9274</v>
      </c>
      <c r="J8" s="107">
        <f>TD!J5</f>
        <v>9936.3740300000009</v>
      </c>
      <c r="K8" s="149">
        <v>0</v>
      </c>
      <c r="L8" s="150">
        <v>0</v>
      </c>
      <c r="M8" s="151">
        <f t="shared" ref="M8" si="10">F8+G8+H8+I8</f>
        <v>252256.57588808995</v>
      </c>
      <c r="N8" s="152">
        <f t="shared" ref="N8:N21" si="11">IFERROR(M8/D8,0)</f>
        <v>2089.9467762062136</v>
      </c>
      <c r="O8" s="153"/>
      <c r="P8" s="153">
        <f t="shared" ref="P8:P20" si="12">O8*D8</f>
        <v>0</v>
      </c>
      <c r="Q8" s="153">
        <f t="shared" si="1"/>
        <v>-252256.57588808995</v>
      </c>
      <c r="R8" s="154">
        <f t="shared" si="2"/>
        <v>0</v>
      </c>
      <c r="T8" s="155" cm="1">
        <f t="array" ref="T8">SUM([2]Hoja2!$J$6:$J$14*([2]Hoja2!$L$6:$L$14=$C8)*([2]Hoja2!$G$6:$G$14=T$5))</f>
        <v>0</v>
      </c>
      <c r="U8" s="155" cm="1">
        <f t="array" ref="U8">SUM([2]Hoja2!$K$6:$K$14*([2]Hoja2!$L$6:$L$14=$C8)*([2]Hoja2!$G$6:$G$14=T$5))</f>
        <v>0</v>
      </c>
      <c r="V8" s="157">
        <f t="shared" ref="V8:V21" si="13">IFERROR(U8/T8,0)</f>
        <v>0</v>
      </c>
      <c r="W8" s="155" cm="1">
        <f t="array" ref="W8">SUM([2]Hoja2!$J$6:$J$14*([2]Hoja2!$L$6:$L$14=$C8)*([2]Hoja2!$G$6:$G$14=W$5))</f>
        <v>140</v>
      </c>
      <c r="X8" s="155" cm="1">
        <f t="array" ref="X8">SUM([2]Hoja2!$K$6:$K$14*([2]Hoja2!$L$6:$L$14=$C8)*([2]Hoja2!$G$6:$G$14=W$5))</f>
        <v>186120</v>
      </c>
      <c r="Y8" s="157">
        <f t="shared" ref="Y8:Y21" si="14">IFERROR(X8/W8,0)</f>
        <v>1329.4285714285713</v>
      </c>
      <c r="Z8" s="158">
        <f t="shared" si="3"/>
        <v>140</v>
      </c>
      <c r="AA8" s="159">
        <f t="shared" si="4"/>
        <v>186120</v>
      </c>
      <c r="AB8" s="160">
        <f t="shared" ref="AB8:AB21" si="15">IFERROR(AA8/Z8,0)</f>
        <v>1329.4285714285713</v>
      </c>
      <c r="AC8" s="159">
        <f t="shared" si="5"/>
        <v>-241743.42866886992</v>
      </c>
      <c r="AD8" s="160">
        <f t="shared" si="6"/>
        <v>-29097.600000000002</v>
      </c>
      <c r="AE8" s="159">
        <f>$AE$21/$Z$21*$Z8</f>
        <v>-6915.6068250000008</v>
      </c>
      <c r="AF8" s="160">
        <f t="shared" si="7"/>
        <v>-13594.911275000004</v>
      </c>
      <c r="AG8" s="159">
        <f>$AG$21/$Z$21*$Z8</f>
        <v>-10867.651836250001</v>
      </c>
      <c r="AH8" s="160">
        <f t="shared" ref="AH7:AH20" si="16">(AA8-Z8*$AE$25)*0.03</f>
        <v>5104.0540192991057</v>
      </c>
      <c r="AI8" s="159">
        <f>AA8+SUM(AC8:AF8,AH8)</f>
        <v>-100127.49274957087</v>
      </c>
      <c r="AJ8" s="161">
        <f>IFERROR(AI8/AA8,0)</f>
        <v>-0.53797277428310164</v>
      </c>
      <c r="AK8" s="162">
        <f>AA8+AC8+AD8+AE8+AH8-AG8</f>
        <v>-75664.929638320813</v>
      </c>
      <c r="AL8" s="163">
        <f>IFERROR(AK8/AA8,0)</f>
        <v>-0.40653841413239206</v>
      </c>
      <c r="AN8" s="164">
        <f>AB8</f>
        <v>1329.4285714285713</v>
      </c>
      <c r="AO8" s="165">
        <f>IFERROR(AC8/$Z8,0)</f>
        <v>-1726.7387762062137</v>
      </c>
      <c r="AP8" s="165">
        <f>IFERROR(AD8/$Z8,0)</f>
        <v>-207.84</v>
      </c>
      <c r="AQ8" s="165">
        <f>IFERROR(AE8/$Z8,0)</f>
        <v>-49.397191607142865</v>
      </c>
      <c r="AR8" s="165">
        <f>IFERROR(AF8/$Z8,0)</f>
        <v>-97.106509107142884</v>
      </c>
      <c r="AS8" s="165">
        <f t="shared" si="8"/>
        <v>-77.626084544642865</v>
      </c>
      <c r="AT8" s="165">
        <f t="shared" si="8"/>
        <v>36.457528709279323</v>
      </c>
      <c r="AU8" s="165">
        <f t="shared" si="8"/>
        <v>-715.19637678264905</v>
      </c>
      <c r="AV8" s="165">
        <f t="shared" si="9"/>
        <v>-540.46378313086291</v>
      </c>
      <c r="AW8" s="107"/>
    </row>
    <row r="9" spans="2:49" x14ac:dyDescent="0.3">
      <c r="B9" s="106">
        <v>10005781</v>
      </c>
      <c r="C9" s="109" t="s">
        <v>39</v>
      </c>
      <c r="D9" s="146">
        <f>TD!E6</f>
        <v>78.94</v>
      </c>
      <c r="E9" s="147">
        <f t="shared" si="0"/>
        <v>1830.8507633687407</v>
      </c>
      <c r="F9" s="107">
        <f>TD!F6</f>
        <v>144527.35926032838</v>
      </c>
      <c r="G9" s="107">
        <f>TD!G6</f>
        <v>16406.889599999999</v>
      </c>
      <c r="H9" s="107">
        <f>TD!H6</f>
        <v>4135.350840000001</v>
      </c>
      <c r="I9" s="107">
        <f>TD!I6</f>
        <v>8129.399080000001</v>
      </c>
      <c r="J9" s="107">
        <f>TD!J6</f>
        <v>6498.5697260000006</v>
      </c>
      <c r="K9" s="149">
        <v>0</v>
      </c>
      <c r="L9" s="150">
        <v>0</v>
      </c>
      <c r="M9" s="151">
        <f>F9+G9+H9+I9</f>
        <v>173198.99878032837</v>
      </c>
      <c r="N9" s="152">
        <f t="shared" si="11"/>
        <v>2194.0587633687405</v>
      </c>
      <c r="O9" s="153"/>
      <c r="P9" s="153">
        <f t="shared" si="12"/>
        <v>0</v>
      </c>
      <c r="Q9" s="153">
        <f t="shared" si="1"/>
        <v>-173198.99878032837</v>
      </c>
      <c r="R9" s="154">
        <f t="shared" si="2"/>
        <v>0</v>
      </c>
      <c r="T9" s="155" cm="1">
        <f t="array" ref="T9">SUM([2]Hoja2!$J$6:$J$14*([2]Hoja2!$L$6:$L$14=$C9)*([2]Hoja2!$G$6:$G$14=T$5))</f>
        <v>0</v>
      </c>
      <c r="U9" s="155" cm="1">
        <f t="array" ref="U9">SUM([2]Hoja2!$K$6:$K$14*([2]Hoja2!$L$6:$L$14=$C9)*([2]Hoja2!$G$6:$G$14=T$5))</f>
        <v>0</v>
      </c>
      <c r="V9" s="157">
        <f t="shared" si="13"/>
        <v>0</v>
      </c>
      <c r="W9" s="155" cm="1">
        <f t="array" ref="W9">SUM([2]Hoja2!$J$6:$J$14*([2]Hoja2!$L$6:$L$14=$C9)*([2]Hoja2!$G$6:$G$14=W$5))</f>
        <v>0</v>
      </c>
      <c r="X9" s="155" cm="1">
        <f t="array" ref="X9">SUM([2]Hoja2!$K$6:$K$14*([2]Hoja2!$L$6:$L$14=$C9)*([2]Hoja2!$G$6:$G$14=W$5))</f>
        <v>0</v>
      </c>
      <c r="Y9" s="157">
        <f t="shared" si="14"/>
        <v>0</v>
      </c>
      <c r="Z9" s="158">
        <f t="shared" si="3"/>
        <v>0</v>
      </c>
      <c r="AA9" s="159">
        <f t="shared" si="4"/>
        <v>0</v>
      </c>
      <c r="AB9" s="160">
        <f t="shared" si="15"/>
        <v>0</v>
      </c>
      <c r="AC9" s="159">
        <f t="shared" si="5"/>
        <v>0</v>
      </c>
      <c r="AD9" s="160">
        <f t="shared" si="6"/>
        <v>0</v>
      </c>
      <c r="AE9" s="159">
        <f>$AE$21/$Z$21*$Z9</f>
        <v>0</v>
      </c>
      <c r="AF9" s="160">
        <f t="shared" si="7"/>
        <v>0</v>
      </c>
      <c r="AG9" s="159">
        <f>$AG$21/$Z$21*$Z9</f>
        <v>0</v>
      </c>
      <c r="AH9" s="160">
        <f t="shared" si="16"/>
        <v>0</v>
      </c>
      <c r="AI9" s="159">
        <f>AA9+SUM(AC9:AF9,AH9)</f>
        <v>0</v>
      </c>
      <c r="AJ9" s="161">
        <f>IFERROR(AI9/AA9,0)</f>
        <v>0</v>
      </c>
      <c r="AK9" s="162">
        <f>AA9+AC9+AD9+AE9+AH9-AG9</f>
        <v>0</v>
      </c>
      <c r="AL9" s="163">
        <f>IFERROR(AK9/AA9,0)</f>
        <v>0</v>
      </c>
      <c r="AN9" s="164">
        <f>AB9</f>
        <v>0</v>
      </c>
      <c r="AO9" s="165">
        <f>IFERROR(AC9/$Z9,0)</f>
        <v>0</v>
      </c>
      <c r="AP9" s="165">
        <f>IFERROR(AD9/$Z9,0)</f>
        <v>0</v>
      </c>
      <c r="AQ9" s="165">
        <f>IFERROR(AE9/$Z9,0)</f>
        <v>0</v>
      </c>
      <c r="AR9" s="165">
        <f>IFERROR(AF9/$Z9,0)</f>
        <v>0</v>
      </c>
      <c r="AS9" s="165">
        <f t="shared" si="8"/>
        <v>0</v>
      </c>
      <c r="AT9" s="165">
        <f t="shared" si="8"/>
        <v>0</v>
      </c>
      <c r="AU9" s="165">
        <f t="shared" si="8"/>
        <v>0</v>
      </c>
      <c r="AV9" s="165">
        <f t="shared" si="9"/>
        <v>0</v>
      </c>
      <c r="AW9" s="107"/>
    </row>
    <row r="10" spans="2:49" x14ac:dyDescent="0.3">
      <c r="B10" s="106">
        <v>10006719</v>
      </c>
      <c r="C10" s="109" t="s">
        <v>184</v>
      </c>
      <c r="D10" s="146">
        <f>TD!E7</f>
        <v>8.3000000000000007</v>
      </c>
      <c r="E10" s="147">
        <f t="shared" si="0"/>
        <v>2015.4661325161735</v>
      </c>
      <c r="F10" s="107">
        <f>TD!F7</f>
        <v>16728.368899884241</v>
      </c>
      <c r="G10" s="107">
        <f>TD!G7</f>
        <v>1725.0720000000001</v>
      </c>
      <c r="H10" s="107">
        <f>TD!H7</f>
        <v>434.80380000000002</v>
      </c>
      <c r="I10" s="107">
        <f>TD!I7</f>
        <v>854.75060000000008</v>
      </c>
      <c r="J10" s="107">
        <f>TD!J7</f>
        <v>683.28007000000014</v>
      </c>
      <c r="K10" s="149">
        <v>0</v>
      </c>
      <c r="L10" s="150">
        <v>0</v>
      </c>
      <c r="M10" s="151">
        <f t="shared" ref="M10:M20" si="17">F10+G10+H10+I10</f>
        <v>19742.995299884242</v>
      </c>
      <c r="N10" s="152">
        <f t="shared" si="11"/>
        <v>2378.6741325161734</v>
      </c>
      <c r="O10" s="153"/>
      <c r="P10" s="153">
        <f t="shared" si="12"/>
        <v>0</v>
      </c>
      <c r="Q10" s="153">
        <f t="shared" si="1"/>
        <v>-19742.995299884242</v>
      </c>
      <c r="R10" s="154">
        <f t="shared" si="2"/>
        <v>0</v>
      </c>
      <c r="T10" s="155" cm="1">
        <f t="array" ref="T10">SUM([2]Hoja2!$J$6:$J$14*([2]Hoja2!$L$6:$L$14=$C10)*([2]Hoja2!$G$6:$G$14=T$5))</f>
        <v>0</v>
      </c>
      <c r="U10" s="155" cm="1">
        <f t="array" ref="U10">SUM([2]Hoja2!$K$6:$K$14*([2]Hoja2!$L$6:$L$14=$C10)*([2]Hoja2!$G$6:$G$14=T$5))</f>
        <v>0</v>
      </c>
      <c r="V10" s="157">
        <f t="shared" si="13"/>
        <v>0</v>
      </c>
      <c r="W10" s="155" cm="1">
        <f t="array" ref="W10">SUM([2]Hoja2!$J$6:$J$14*([2]Hoja2!$L$6:$L$14=$C10)*([2]Hoja2!$G$6:$G$14=W$5))</f>
        <v>72</v>
      </c>
      <c r="X10" s="155" cm="1">
        <f t="array" ref="X10">SUM([2]Hoja2!$K$6:$K$14*([2]Hoja2!$L$6:$L$14=$C10)*([2]Hoja2!$G$6:$G$14=W$5))</f>
        <v>151200</v>
      </c>
      <c r="Y10" s="157">
        <f t="shared" si="14"/>
        <v>2100</v>
      </c>
      <c r="Z10" s="158">
        <f t="shared" si="3"/>
        <v>72</v>
      </c>
      <c r="AA10" s="159">
        <f t="shared" si="4"/>
        <v>151200</v>
      </c>
      <c r="AB10" s="160">
        <f t="shared" si="15"/>
        <v>2100</v>
      </c>
      <c r="AC10" s="159">
        <f t="shared" si="5"/>
        <v>-145113.5615411645</v>
      </c>
      <c r="AD10" s="160">
        <f t="shared" si="6"/>
        <v>-14964.48</v>
      </c>
      <c r="AE10" s="159">
        <f>$AE$21/$Z$21*$Z10</f>
        <v>-3556.5977957142863</v>
      </c>
      <c r="AF10" s="160">
        <f t="shared" si="7"/>
        <v>-6991.6686557142875</v>
      </c>
      <c r="AG10" s="159">
        <f>$AG$21/$Z$21*$Z10</f>
        <v>-5589.0780872142859</v>
      </c>
      <c r="AH10" s="160">
        <f t="shared" si="16"/>
        <v>4289.3763527823976</v>
      </c>
      <c r="AI10" s="159">
        <f>AA10+SUM(AC10:AF10,AH10)</f>
        <v>-15136.931639810675</v>
      </c>
      <c r="AJ10" s="161">
        <f>IFERROR(AI10/AA10,0)</f>
        <v>-0.1001119817447796</v>
      </c>
      <c r="AK10" s="162">
        <f>AA10+AC10+AD10+AE10+AH10-AG10</f>
        <v>-2556.1848968820996</v>
      </c>
      <c r="AL10" s="163">
        <f>IFERROR(AK10/AA10,0)</f>
        <v>-1.6905984767738753E-2</v>
      </c>
      <c r="AN10" s="164">
        <f>AB10</f>
        <v>2100</v>
      </c>
      <c r="AO10" s="165">
        <f>IFERROR(AC10/$Z10,0)</f>
        <v>-2015.4661325161735</v>
      </c>
      <c r="AP10" s="165">
        <f>IFERROR(AD10/$Z10,0)</f>
        <v>-207.84</v>
      </c>
      <c r="AQ10" s="165">
        <f>IFERROR(AE10/$Z10,0)</f>
        <v>-49.397191607142865</v>
      </c>
      <c r="AR10" s="165">
        <f>IFERROR(AF10/$Z10,0)</f>
        <v>-97.106509107142884</v>
      </c>
      <c r="AS10" s="165">
        <f t="shared" si="8"/>
        <v>-77.626084544642865</v>
      </c>
      <c r="AT10" s="165">
        <f t="shared" si="8"/>
        <v>59.57467156642219</v>
      </c>
      <c r="AU10" s="165">
        <f t="shared" si="8"/>
        <v>-210.23516166403715</v>
      </c>
      <c r="AV10" s="165">
        <f t="shared" si="9"/>
        <v>-35.50256801225138</v>
      </c>
      <c r="AW10" s="107"/>
    </row>
    <row r="11" spans="2:49" x14ac:dyDescent="0.3">
      <c r="B11" s="106">
        <v>10006720</v>
      </c>
      <c r="C11" s="109" t="s">
        <v>185</v>
      </c>
      <c r="D11" s="146">
        <f>TD!E8</f>
        <v>0.12</v>
      </c>
      <c r="E11" s="147">
        <f t="shared" si="0"/>
        <v>1501.1372948243011</v>
      </c>
      <c r="F11" s="107">
        <f>TD!F8</f>
        <v>180.13647537891612</v>
      </c>
      <c r="G11" s="107">
        <f>TD!G8</f>
        <v>24.940799999999999</v>
      </c>
      <c r="H11" s="107">
        <f>TD!H8</f>
        <v>6.2863200000000008</v>
      </c>
      <c r="I11" s="107">
        <f>TD!I8</f>
        <v>12.357840000000001</v>
      </c>
      <c r="J11" s="107">
        <f>TD!J8</f>
        <v>9.8787480000000016</v>
      </c>
      <c r="K11" s="149">
        <v>0</v>
      </c>
      <c r="L11" s="150">
        <v>0</v>
      </c>
      <c r="M11" s="151">
        <f t="shared" si="17"/>
        <v>223.72143537891611</v>
      </c>
      <c r="N11" s="152">
        <f t="shared" si="11"/>
        <v>1864.3452948243009</v>
      </c>
      <c r="O11" s="153"/>
      <c r="P11" s="153">
        <f t="shared" si="12"/>
        <v>0</v>
      </c>
      <c r="Q11" s="153">
        <f t="shared" si="1"/>
        <v>-223.72143537891611</v>
      </c>
      <c r="R11" s="154">
        <f t="shared" si="2"/>
        <v>0</v>
      </c>
      <c r="T11" s="155" cm="1">
        <f t="array" ref="T11">SUM([2]Hoja2!$J$6:$J$14*([2]Hoja2!$L$6:$L$14=$C11)*([2]Hoja2!$G$6:$G$14=T$5))</f>
        <v>0</v>
      </c>
      <c r="U11" s="155" cm="1">
        <f t="array" ref="U11">SUM([2]Hoja2!$K$6:$K$14*([2]Hoja2!$L$6:$L$14=$C11)*([2]Hoja2!$G$6:$G$14=T$5))</f>
        <v>0</v>
      </c>
      <c r="V11" s="157">
        <f t="shared" si="13"/>
        <v>0</v>
      </c>
      <c r="W11" s="155" cm="1">
        <f t="array" ref="W11">SUM([2]Hoja2!$J$6:$J$14*([2]Hoja2!$L$6:$L$14=$C11)*([2]Hoja2!$G$6:$G$14=W$5))</f>
        <v>0</v>
      </c>
      <c r="X11" s="155" cm="1">
        <f t="array" ref="X11">SUM([2]Hoja2!$K$6:$K$14*([2]Hoja2!$L$6:$L$14=$C11)*([2]Hoja2!$G$6:$G$14=W$5))</f>
        <v>0</v>
      </c>
      <c r="Y11" s="157">
        <f t="shared" si="14"/>
        <v>0</v>
      </c>
      <c r="Z11" s="158">
        <f t="shared" si="3"/>
        <v>0</v>
      </c>
      <c r="AA11" s="159">
        <f t="shared" si="4"/>
        <v>0</v>
      </c>
      <c r="AB11" s="160">
        <f t="shared" si="15"/>
        <v>0</v>
      </c>
      <c r="AC11" s="159">
        <f t="shared" si="5"/>
        <v>0</v>
      </c>
      <c r="AD11" s="160">
        <f t="shared" si="6"/>
        <v>0</v>
      </c>
      <c r="AE11" s="159">
        <f>$AE$21/$Z$21*$Z11</f>
        <v>0</v>
      </c>
      <c r="AF11" s="160">
        <f t="shared" si="7"/>
        <v>0</v>
      </c>
      <c r="AG11" s="159">
        <f>$AG$21/$Z$21*$Z11</f>
        <v>0</v>
      </c>
      <c r="AH11" s="160">
        <f t="shared" si="16"/>
        <v>0</v>
      </c>
      <c r="AI11" s="159">
        <f>AA11+SUM(AC11:AF11,AH11)</f>
        <v>0</v>
      </c>
      <c r="AJ11" s="161">
        <f>IFERROR(AI11/AA11,0)</f>
        <v>0</v>
      </c>
      <c r="AK11" s="162">
        <f>AA11+AC11+AD11+AE11+AH11-AG11</f>
        <v>0</v>
      </c>
      <c r="AL11" s="163">
        <f>IFERROR(AK11/AA11,0)</f>
        <v>0</v>
      </c>
      <c r="AN11" s="164">
        <f>AB11</f>
        <v>0</v>
      </c>
      <c r="AO11" s="165">
        <f>IFERROR(AC11/$Z11,0)</f>
        <v>0</v>
      </c>
      <c r="AP11" s="165">
        <f>IFERROR(AD11/$Z11,0)</f>
        <v>0</v>
      </c>
      <c r="AQ11" s="165">
        <f>IFERROR(AE11/$Z11,0)</f>
        <v>0</v>
      </c>
      <c r="AR11" s="165">
        <f>IFERROR(AF11/$Z11,0)</f>
        <v>0</v>
      </c>
      <c r="AS11" s="165">
        <f t="shared" si="8"/>
        <v>0</v>
      </c>
      <c r="AT11" s="165">
        <f t="shared" si="8"/>
        <v>0</v>
      </c>
      <c r="AU11" s="165">
        <f t="shared" si="8"/>
        <v>0</v>
      </c>
      <c r="AV11" s="165">
        <f t="shared" si="9"/>
        <v>0</v>
      </c>
      <c r="AW11" s="107"/>
    </row>
    <row r="12" spans="2:49" x14ac:dyDescent="0.3">
      <c r="B12" s="106">
        <v>10007050</v>
      </c>
      <c r="C12" s="109" t="s">
        <v>186</v>
      </c>
      <c r="D12" s="146">
        <f>TD!E9</f>
        <v>109.815</v>
      </c>
      <c r="E12" s="147">
        <f t="shared" si="0"/>
        <v>1542.0689567865043</v>
      </c>
      <c r="F12" s="107">
        <f>TD!F9</f>
        <v>169342.30248950995</v>
      </c>
      <c r="G12" s="107">
        <f>TD!G9</f>
        <v>22823.9496</v>
      </c>
      <c r="H12" s="107">
        <f>TD!H9</f>
        <v>5752.7685900000015</v>
      </c>
      <c r="I12" s="107">
        <f>TD!I9</f>
        <v>11308.968330000002</v>
      </c>
      <c r="J12" s="107">
        <f>TD!J9</f>
        <v>9040.2892635000026</v>
      </c>
      <c r="K12" s="149">
        <v>0</v>
      </c>
      <c r="L12" s="150">
        <v>0</v>
      </c>
      <c r="M12" s="151">
        <f t="shared" si="17"/>
        <v>209227.98900950994</v>
      </c>
      <c r="N12" s="152">
        <f t="shared" si="11"/>
        <v>1905.2769567865041</v>
      </c>
      <c r="O12" s="153"/>
      <c r="P12" s="153">
        <f t="shared" si="12"/>
        <v>0</v>
      </c>
      <c r="Q12" s="153">
        <f t="shared" si="1"/>
        <v>-209227.98900950994</v>
      </c>
      <c r="R12" s="154">
        <f t="shared" si="2"/>
        <v>0</v>
      </c>
      <c r="T12" s="155" cm="1">
        <f t="array" ref="T12">SUM([2]Hoja2!$J$6:$J$14*([2]Hoja2!$L$6:$L$14=$C12)*([2]Hoja2!$G$6:$G$14=T$5))</f>
        <v>0</v>
      </c>
      <c r="U12" s="155" cm="1">
        <f t="array" ref="U12">SUM([2]Hoja2!$K$6:$K$14*([2]Hoja2!$L$6:$L$14=$C12)*([2]Hoja2!$G$6:$G$14=T$5))</f>
        <v>0</v>
      </c>
      <c r="V12" s="157">
        <f t="shared" si="13"/>
        <v>0</v>
      </c>
      <c r="W12" s="155" cm="1">
        <f t="array" ref="W12">SUM([2]Hoja2!$J$6:$J$14*([2]Hoja2!$L$6:$L$14=$C12)*([2]Hoja2!$G$6:$G$14=W$5))</f>
        <v>0</v>
      </c>
      <c r="X12" s="155" cm="1">
        <f t="array" ref="X12">SUM([2]Hoja2!$K$6:$K$14*([2]Hoja2!$L$6:$L$14=$C12)*([2]Hoja2!$G$6:$G$14=W$5))</f>
        <v>0</v>
      </c>
      <c r="Y12" s="157">
        <f t="shared" si="14"/>
        <v>0</v>
      </c>
      <c r="Z12" s="158">
        <f t="shared" si="3"/>
        <v>0</v>
      </c>
      <c r="AA12" s="159">
        <f t="shared" si="4"/>
        <v>0</v>
      </c>
      <c r="AB12" s="160">
        <f t="shared" si="15"/>
        <v>0</v>
      </c>
      <c r="AC12" s="159">
        <f t="shared" si="5"/>
        <v>0</v>
      </c>
      <c r="AD12" s="160">
        <f t="shared" si="6"/>
        <v>0</v>
      </c>
      <c r="AE12" s="159">
        <f t="shared" ref="AE12:AE20" si="18">$AE$21/$Z$21*$Z12</f>
        <v>0</v>
      </c>
      <c r="AF12" s="160">
        <f t="shared" si="7"/>
        <v>0</v>
      </c>
      <c r="AG12" s="159">
        <f>$AG$21/$Z$21*$Z12</f>
        <v>0</v>
      </c>
      <c r="AH12" s="160">
        <f t="shared" si="16"/>
        <v>0</v>
      </c>
      <c r="AI12" s="159">
        <f>AA12+SUM(AC12:AF12,AH12)</f>
        <v>0</v>
      </c>
      <c r="AJ12" s="161">
        <f>IFERROR(AI12/AA12,0)</f>
        <v>0</v>
      </c>
      <c r="AK12" s="162">
        <f>AA12+AC12+AD12+AE12+AH12-AG12</f>
        <v>0</v>
      </c>
      <c r="AL12" s="163">
        <f>IFERROR(AK12/AA12,0)</f>
        <v>0</v>
      </c>
      <c r="AN12" s="164">
        <f>AB12</f>
        <v>0</v>
      </c>
      <c r="AO12" s="165">
        <f>IFERROR(AC12/$Z12,0)</f>
        <v>0</v>
      </c>
      <c r="AP12" s="165">
        <f>IFERROR(AD12/$Z12,0)</f>
        <v>0</v>
      </c>
      <c r="AQ12" s="165">
        <f>IFERROR(AE12/$Z12,0)</f>
        <v>0</v>
      </c>
      <c r="AR12" s="165">
        <f>IFERROR(AF12/$Z12,0)</f>
        <v>0</v>
      </c>
      <c r="AS12" s="165">
        <f t="shared" si="8"/>
        <v>0</v>
      </c>
      <c r="AT12" s="165">
        <f t="shared" si="8"/>
        <v>0</v>
      </c>
      <c r="AU12" s="165">
        <f t="shared" si="8"/>
        <v>0</v>
      </c>
      <c r="AV12" s="165">
        <f t="shared" si="9"/>
        <v>0</v>
      </c>
      <c r="AW12" s="107"/>
    </row>
    <row r="13" spans="2:49" x14ac:dyDescent="0.3">
      <c r="B13" s="106">
        <v>10007162</v>
      </c>
      <c r="C13" s="109" t="s">
        <v>187</v>
      </c>
      <c r="D13" s="146">
        <f>TD!E10</f>
        <v>19.240000000000002</v>
      </c>
      <c r="E13" s="147">
        <f t="shared" si="0"/>
        <v>1858.2869389024884</v>
      </c>
      <c r="F13" s="107">
        <f>TD!F10</f>
        <v>35753.440704483881</v>
      </c>
      <c r="G13" s="107">
        <f>TD!G10</f>
        <v>3998.8415999999997</v>
      </c>
      <c r="H13" s="107">
        <f>TD!H10</f>
        <v>1007.9066400000002</v>
      </c>
      <c r="I13" s="107">
        <f>TD!I10</f>
        <v>1981.3736800000004</v>
      </c>
      <c r="J13" s="107">
        <f>TD!J10</f>
        <v>1583.8925960000004</v>
      </c>
      <c r="K13" s="149">
        <v>0</v>
      </c>
      <c r="L13" s="150">
        <v>0</v>
      </c>
      <c r="M13" s="151">
        <f t="shared" si="17"/>
        <v>42741.562624483879</v>
      </c>
      <c r="N13" s="152">
        <f t="shared" si="11"/>
        <v>2221.4949389024882</v>
      </c>
      <c r="O13" s="153"/>
      <c r="P13" s="153">
        <f t="shared" si="12"/>
        <v>0</v>
      </c>
      <c r="Q13" s="153">
        <f t="shared" si="1"/>
        <v>-42741.562624483879</v>
      </c>
      <c r="R13" s="154">
        <f t="shared" si="2"/>
        <v>0</v>
      </c>
      <c r="T13" s="155" cm="1">
        <f t="array" ref="T13">SUM([2]Hoja2!$J$6:$J$14*([2]Hoja2!$L$6:$L$14=$C13)*([2]Hoja2!$G$6:$G$14=T$5))</f>
        <v>0</v>
      </c>
      <c r="U13" s="155" cm="1">
        <f t="array" ref="U13">SUM([2]Hoja2!$K$6:$K$14*([2]Hoja2!$L$6:$L$14=$C13)*([2]Hoja2!$G$6:$G$14=T$5))</f>
        <v>0</v>
      </c>
      <c r="V13" s="157">
        <f t="shared" si="13"/>
        <v>0</v>
      </c>
      <c r="W13" s="155" cm="1">
        <f t="array" ref="W13">SUM([2]Hoja2!$J$6:$J$14*([2]Hoja2!$L$6:$L$14=$C13)*([2]Hoja2!$G$6:$G$14=W$5))</f>
        <v>159</v>
      </c>
      <c r="X13" s="155" cm="1">
        <f t="array" ref="X13">SUM([2]Hoja2!$K$6:$K$14*([2]Hoja2!$L$6:$L$14=$C13)*([2]Hoja2!$G$6:$G$14=W$5))</f>
        <v>452550</v>
      </c>
      <c r="Y13" s="157">
        <f t="shared" si="14"/>
        <v>2846.2264150943397</v>
      </c>
      <c r="Z13" s="158">
        <f t="shared" si="3"/>
        <v>159</v>
      </c>
      <c r="AA13" s="159">
        <f t="shared" si="4"/>
        <v>452550</v>
      </c>
      <c r="AB13" s="160">
        <f t="shared" si="15"/>
        <v>2846.2264150943397</v>
      </c>
      <c r="AC13" s="159">
        <f t="shared" si="5"/>
        <v>-295467.62328549568</v>
      </c>
      <c r="AD13" s="160">
        <f t="shared" si="6"/>
        <v>-33046.559999999998</v>
      </c>
      <c r="AE13" s="159">
        <f t="shared" si="18"/>
        <v>-7854.1534655357154</v>
      </c>
      <c r="AF13" s="160">
        <f t="shared" si="7"/>
        <v>-15439.934948035718</v>
      </c>
      <c r="AG13" s="159">
        <f>$AG$21/$Z$21*$Z13</f>
        <v>-12342.547442598216</v>
      </c>
      <c r="AH13" s="160">
        <f t="shared" si="16"/>
        <v>13031.872779061126</v>
      </c>
      <c r="AI13" s="159">
        <f>AA13+SUM(AC13:AF13,AH13)</f>
        <v>113773.60107999406</v>
      </c>
      <c r="AJ13" s="161">
        <f>IFERROR(AI13/AA13,0)</f>
        <v>0.25140559292894499</v>
      </c>
      <c r="AK13" s="162">
        <f>AA13+AC13+AD13+AE13+AH13-AG13</f>
        <v>141556.08347062796</v>
      </c>
      <c r="AL13" s="163">
        <f>IFERROR(AK13/AA13,0)</f>
        <v>0.31279656053613514</v>
      </c>
      <c r="AN13" s="164">
        <f>AB13</f>
        <v>2846.2264150943397</v>
      </c>
      <c r="AO13" s="165">
        <f>IFERROR(AC13/$Z13,0)</f>
        <v>-1858.2869389024886</v>
      </c>
      <c r="AP13" s="165">
        <f>IFERROR(AD13/$Z13,0)</f>
        <v>-207.83999999999997</v>
      </c>
      <c r="AQ13" s="165">
        <f>IFERROR(AE13/$Z13,0)</f>
        <v>-49.397191607142865</v>
      </c>
      <c r="AR13" s="165">
        <f>IFERROR(AF13/$Z13,0)</f>
        <v>-97.106509107142884</v>
      </c>
      <c r="AS13" s="165">
        <f t="shared" si="8"/>
        <v>-77.626084544642865</v>
      </c>
      <c r="AT13" s="165">
        <f t="shared" si="8"/>
        <v>81.961464019252361</v>
      </c>
      <c r="AU13" s="165">
        <f t="shared" si="8"/>
        <v>715.55723949681794</v>
      </c>
      <c r="AV13" s="165">
        <f t="shared" si="9"/>
        <v>890.28983314860352</v>
      </c>
      <c r="AW13" s="107"/>
    </row>
    <row r="14" spans="2:49" x14ac:dyDescent="0.3">
      <c r="B14" s="106">
        <v>10007567</v>
      </c>
      <c r="C14" s="109" t="s">
        <v>188</v>
      </c>
      <c r="D14" s="146">
        <f>TD!E11</f>
        <v>94.3</v>
      </c>
      <c r="E14" s="147">
        <f t="shared" si="0"/>
        <v>1796.4411911982254</v>
      </c>
      <c r="F14" s="107">
        <f>TD!F11</f>
        <v>169404.40432999266</v>
      </c>
      <c r="G14" s="107">
        <f>TD!G11</f>
        <v>19599.311999999998</v>
      </c>
      <c r="H14" s="107">
        <f>TD!H11</f>
        <v>4939.9998000000005</v>
      </c>
      <c r="I14" s="107">
        <f>TD!I11</f>
        <v>9711.2026000000005</v>
      </c>
      <c r="J14" s="107">
        <f>TD!J11</f>
        <v>7763.0494700000017</v>
      </c>
      <c r="K14" s="149">
        <v>0</v>
      </c>
      <c r="L14" s="150">
        <v>0</v>
      </c>
      <c r="M14" s="151">
        <f t="shared" si="17"/>
        <v>203654.91872999264</v>
      </c>
      <c r="N14" s="152">
        <f t="shared" si="11"/>
        <v>2159.6491911982253</v>
      </c>
      <c r="O14" s="153"/>
      <c r="P14" s="153">
        <f t="shared" si="12"/>
        <v>0</v>
      </c>
      <c r="Q14" s="153">
        <f t="shared" si="1"/>
        <v>-203654.91872999264</v>
      </c>
      <c r="R14" s="154">
        <f t="shared" si="2"/>
        <v>0</v>
      </c>
      <c r="T14" s="155" cm="1">
        <f t="array" ref="T14">SUM([2]Hoja2!$J$6:$J$14*([2]Hoja2!$L$6:$L$14=$C14)*([2]Hoja2!$G$6:$G$14=T$5))</f>
        <v>0</v>
      </c>
      <c r="U14" s="155" cm="1">
        <f t="array" ref="U14">SUM([2]Hoja2!$K$6:$K$14*([2]Hoja2!$L$6:$L$14=$C14)*([2]Hoja2!$G$6:$G$14=T$5))</f>
        <v>0</v>
      </c>
      <c r="V14" s="157">
        <f t="shared" si="13"/>
        <v>0</v>
      </c>
      <c r="W14" s="155" cm="1">
        <f t="array" ref="W14">SUM([2]Hoja2!$J$6:$J$14*([2]Hoja2!$L$6:$L$14=$C14)*([2]Hoja2!$G$6:$G$14=W$5))</f>
        <v>0</v>
      </c>
      <c r="X14" s="155" cm="1">
        <f t="array" ref="X14">SUM([2]Hoja2!$K$6:$K$14*([2]Hoja2!$L$6:$L$14=$C14)*([2]Hoja2!$G$6:$G$14=W$5))</f>
        <v>0</v>
      </c>
      <c r="Y14" s="157">
        <f t="shared" si="14"/>
        <v>0</v>
      </c>
      <c r="Z14" s="158">
        <f t="shared" si="3"/>
        <v>0</v>
      </c>
      <c r="AA14" s="159">
        <f t="shared" si="4"/>
        <v>0</v>
      </c>
      <c r="AB14" s="160">
        <f t="shared" si="15"/>
        <v>0</v>
      </c>
      <c r="AC14" s="159">
        <f t="shared" si="5"/>
        <v>0</v>
      </c>
      <c r="AD14" s="160">
        <f t="shared" si="6"/>
        <v>0</v>
      </c>
      <c r="AE14" s="159">
        <f t="shared" si="18"/>
        <v>0</v>
      </c>
      <c r="AF14" s="160">
        <f t="shared" si="7"/>
        <v>0</v>
      </c>
      <c r="AG14" s="159">
        <f>$AG$21/$Z$21*$Z14</f>
        <v>0</v>
      </c>
      <c r="AH14" s="160">
        <f t="shared" si="16"/>
        <v>0</v>
      </c>
      <c r="AI14" s="159">
        <f>AA14+SUM(AC14:AF14,AH14)</f>
        <v>0</v>
      </c>
      <c r="AJ14" s="161">
        <f>IFERROR(AI14/AA14,0)</f>
        <v>0</v>
      </c>
      <c r="AK14" s="162">
        <f>AA14+AC14+AD14+AE14+AH14-AG14</f>
        <v>0</v>
      </c>
      <c r="AL14" s="163">
        <f>IFERROR(AK14/AA14,0)</f>
        <v>0</v>
      </c>
      <c r="AN14" s="164">
        <f>AB14</f>
        <v>0</v>
      </c>
      <c r="AO14" s="165">
        <f>IFERROR(AC14/$Z14,0)</f>
        <v>0</v>
      </c>
      <c r="AP14" s="165">
        <f>IFERROR(AD14/$Z14,0)</f>
        <v>0</v>
      </c>
      <c r="AQ14" s="165">
        <f>IFERROR(AE14/$Z14,0)</f>
        <v>0</v>
      </c>
      <c r="AR14" s="165">
        <f>IFERROR(AF14/$Z14,0)</f>
        <v>0</v>
      </c>
      <c r="AS14" s="165">
        <f t="shared" si="8"/>
        <v>0</v>
      </c>
      <c r="AT14" s="165">
        <f t="shared" si="8"/>
        <v>0</v>
      </c>
      <c r="AU14" s="165">
        <f t="shared" si="8"/>
        <v>0</v>
      </c>
      <c r="AV14" s="165">
        <f t="shared" si="9"/>
        <v>0</v>
      </c>
      <c r="AW14" s="107"/>
    </row>
    <row r="15" spans="2:49" x14ac:dyDescent="0.3">
      <c r="B15" s="106">
        <v>10007969</v>
      </c>
      <c r="C15" s="109" t="s">
        <v>18</v>
      </c>
      <c r="D15" s="146">
        <f>TD!E12</f>
        <v>17.54</v>
      </c>
      <c r="E15" s="147">
        <f t="shared" si="0"/>
        <v>1466.0036185560764</v>
      </c>
      <c r="F15" s="107">
        <f>TD!F12</f>
        <v>25713.703469473578</v>
      </c>
      <c r="G15" s="107">
        <f>TD!G12</f>
        <v>3645.5135999999998</v>
      </c>
      <c r="H15" s="107">
        <f>TD!H12</f>
        <v>918.85044000000016</v>
      </c>
      <c r="I15" s="107">
        <f>TD!I12</f>
        <v>1806.3042800000001</v>
      </c>
      <c r="J15" s="107">
        <f>TD!J12</f>
        <v>1443.9436660000003</v>
      </c>
      <c r="K15" s="149">
        <v>0</v>
      </c>
      <c r="L15" s="150">
        <v>0</v>
      </c>
      <c r="M15" s="151">
        <f t="shared" si="17"/>
        <v>32084.371789473578</v>
      </c>
      <c r="N15" s="152">
        <f t="shared" si="11"/>
        <v>1829.2116185560765</v>
      </c>
      <c r="O15" s="153"/>
      <c r="P15" s="153">
        <f t="shared" si="12"/>
        <v>0</v>
      </c>
      <c r="Q15" s="153">
        <f t="shared" si="1"/>
        <v>-32084.371789473578</v>
      </c>
      <c r="R15" s="154">
        <f t="shared" si="2"/>
        <v>0</v>
      </c>
      <c r="T15" s="155" cm="1">
        <f t="array" ref="T15">SUM([2]Hoja2!$J$6:$J$14*([2]Hoja2!$L$6:$L$14=$C15)*([2]Hoja2!$G$6:$G$14=T$5))</f>
        <v>0</v>
      </c>
      <c r="U15" s="155" cm="1">
        <f t="array" ref="U15">SUM([2]Hoja2!$K$6:$K$14*([2]Hoja2!$L$6:$L$14=$C15)*([2]Hoja2!$G$6:$G$14=T$5))</f>
        <v>0</v>
      </c>
      <c r="V15" s="157">
        <f t="shared" si="13"/>
        <v>0</v>
      </c>
      <c r="W15" s="155" cm="1">
        <f t="array" ref="W15">SUM([2]Hoja2!$J$6:$J$14*([2]Hoja2!$L$6:$L$14=$C15)*([2]Hoja2!$G$6:$G$14=W$5))</f>
        <v>0</v>
      </c>
      <c r="X15" s="155" cm="1">
        <f t="array" ref="X15">SUM([2]Hoja2!$K$6:$K$14*([2]Hoja2!$L$6:$L$14=$C15)*([2]Hoja2!$G$6:$G$14=W$5))</f>
        <v>0</v>
      </c>
      <c r="Y15" s="157">
        <f t="shared" si="14"/>
        <v>0</v>
      </c>
      <c r="Z15" s="158">
        <f t="shared" si="3"/>
        <v>0</v>
      </c>
      <c r="AA15" s="159">
        <f t="shared" si="4"/>
        <v>0</v>
      </c>
      <c r="AB15" s="160">
        <f t="shared" si="15"/>
        <v>0</v>
      </c>
      <c r="AC15" s="159">
        <f t="shared" si="5"/>
        <v>0</v>
      </c>
      <c r="AD15" s="160">
        <f t="shared" si="6"/>
        <v>0</v>
      </c>
      <c r="AE15" s="159">
        <f t="shared" si="18"/>
        <v>0</v>
      </c>
      <c r="AF15" s="160">
        <f t="shared" si="7"/>
        <v>0</v>
      </c>
      <c r="AG15" s="159">
        <f>$AG$21/$Z$21*$Z15</f>
        <v>0</v>
      </c>
      <c r="AH15" s="160">
        <f t="shared" si="16"/>
        <v>0</v>
      </c>
      <c r="AI15" s="159">
        <f>AA15+SUM(AC15:AF15,AH15)</f>
        <v>0</v>
      </c>
      <c r="AJ15" s="161">
        <f>IFERROR(AI15/AA15,0)</f>
        <v>0</v>
      </c>
      <c r="AK15" s="162">
        <f>AA15+AC15+AD15+AE15+AH15-AG15</f>
        <v>0</v>
      </c>
      <c r="AL15" s="163">
        <f>IFERROR(AK15/AA15,0)</f>
        <v>0</v>
      </c>
      <c r="AN15" s="164">
        <f>AB15</f>
        <v>0</v>
      </c>
      <c r="AO15" s="165">
        <f>IFERROR(AC15/$Z15,0)</f>
        <v>0</v>
      </c>
      <c r="AP15" s="165">
        <f>IFERROR(AD15/$Z15,0)</f>
        <v>0</v>
      </c>
      <c r="AQ15" s="165">
        <f>IFERROR(AE15/$Z15,0)</f>
        <v>0</v>
      </c>
      <c r="AR15" s="165">
        <f>IFERROR(AF15/$Z15,0)</f>
        <v>0</v>
      </c>
      <c r="AS15" s="165">
        <f t="shared" si="8"/>
        <v>0</v>
      </c>
      <c r="AT15" s="165">
        <f t="shared" si="8"/>
        <v>0</v>
      </c>
      <c r="AU15" s="165">
        <f t="shared" si="8"/>
        <v>0</v>
      </c>
      <c r="AV15" s="165">
        <f t="shared" si="9"/>
        <v>0</v>
      </c>
      <c r="AW15" s="107"/>
    </row>
    <row r="16" spans="2:49" x14ac:dyDescent="0.3">
      <c r="B16" s="106">
        <v>10009207</v>
      </c>
      <c r="C16" s="109" t="s">
        <v>17</v>
      </c>
      <c r="D16" s="146">
        <f>TD!E13</f>
        <v>25.98</v>
      </c>
      <c r="E16" s="147">
        <f t="shared" si="0"/>
        <v>1517.6903274696967</v>
      </c>
      <c r="F16" s="107">
        <f>TD!F13</f>
        <v>39429.59470766272</v>
      </c>
      <c r="G16" s="107">
        <f>TD!G13</f>
        <v>5399.6832000000004</v>
      </c>
      <c r="H16" s="107">
        <f>TD!H13</f>
        <v>1360.9882800000003</v>
      </c>
      <c r="I16" s="107">
        <f>TD!I13</f>
        <v>2675.4723600000002</v>
      </c>
      <c r="J16" s="107">
        <f>TD!J13</f>
        <v>2138.7489420000006</v>
      </c>
      <c r="K16" s="149">
        <v>0</v>
      </c>
      <c r="L16" s="150">
        <v>0</v>
      </c>
      <c r="M16" s="151">
        <f t="shared" si="17"/>
        <v>48865.738547662717</v>
      </c>
      <c r="N16" s="152">
        <f t="shared" si="11"/>
        <v>1880.8983274696966</v>
      </c>
      <c r="O16" s="153"/>
      <c r="P16" s="153">
        <f t="shared" si="12"/>
        <v>0</v>
      </c>
      <c r="Q16" s="153">
        <f t="shared" si="1"/>
        <v>-48865.738547662717</v>
      </c>
      <c r="R16" s="154">
        <f t="shared" si="2"/>
        <v>0</v>
      </c>
      <c r="T16" s="155" cm="1">
        <f t="array" ref="T16">SUM([2]Hoja2!$J$6:$J$14*([2]Hoja2!$L$6:$L$14=$C16)*([2]Hoja2!$G$6:$G$14=T$5))</f>
        <v>26</v>
      </c>
      <c r="U16" s="155" cm="1">
        <f t="array" ref="U16">SUM([2]Hoja2!$K$6:$K$14*([2]Hoja2!$L$6:$L$14=$C16)*([2]Hoja2!$G$6:$G$14=T$5))</f>
        <v>36400</v>
      </c>
      <c r="V16" s="157">
        <f t="shared" si="13"/>
        <v>1400</v>
      </c>
      <c r="W16" s="155" cm="1">
        <f t="array" ref="W16">SUM([2]Hoja2!$J$6:$J$14*([2]Hoja2!$L$6:$L$14=$C16)*([2]Hoja2!$G$6:$G$14=W$5))</f>
        <v>0</v>
      </c>
      <c r="X16" s="155" cm="1">
        <f t="array" ref="X16">SUM([2]Hoja2!$K$6:$K$14*([2]Hoja2!$L$6:$L$14=$C16)*([2]Hoja2!$G$6:$G$14=W$5))</f>
        <v>0</v>
      </c>
      <c r="Y16" s="157">
        <f t="shared" si="14"/>
        <v>0</v>
      </c>
      <c r="Z16" s="158">
        <f t="shared" si="3"/>
        <v>26</v>
      </c>
      <c r="AA16" s="159">
        <f t="shared" si="4"/>
        <v>36400</v>
      </c>
      <c r="AB16" s="160">
        <f t="shared" si="15"/>
        <v>1400</v>
      </c>
      <c r="AC16" s="159">
        <f>-'Stock Libre'!T9*Z16*1000</f>
        <v>-39459.948514212119</v>
      </c>
      <c r="AD16" s="160">
        <f t="shared" si="6"/>
        <v>-5403.84</v>
      </c>
      <c r="AE16" s="159">
        <f t="shared" si="18"/>
        <v>-1284.3269817857145</v>
      </c>
      <c r="AF16" s="160">
        <f t="shared" si="7"/>
        <v>-2524.7692367857148</v>
      </c>
      <c r="AG16" s="159">
        <f>$AG$21/$Z$21*$Z16</f>
        <v>-2018.2781981607145</v>
      </c>
      <c r="AH16" s="160">
        <f t="shared" si="16"/>
        <v>1002.9414607269767</v>
      </c>
      <c r="AI16" s="159">
        <f>AA16+SUM(AC16:AF16,AH16)</f>
        <v>-11269.943272056575</v>
      </c>
      <c r="AJ16" s="161">
        <f>IFERROR(AI16/AA16,0)</f>
        <v>-0.3096138261554004</v>
      </c>
      <c r="AK16" s="162">
        <f>AA16+AC16+AD16+AE16+AH16-AG16</f>
        <v>-6726.8958371101417</v>
      </c>
      <c r="AL16" s="163">
        <f>IFERROR(AK16/AA16,0)</f>
        <v>-0.18480483068983905</v>
      </c>
      <c r="AN16" s="164">
        <f>AB16</f>
        <v>1400</v>
      </c>
      <c r="AO16" s="165">
        <f>IFERROR(AC16/$Z16,0)</f>
        <v>-1517.690327469697</v>
      </c>
      <c r="AP16" s="165">
        <f>IFERROR(AD16/$Z16,0)</f>
        <v>-207.84</v>
      </c>
      <c r="AQ16" s="165">
        <f>IFERROR(AE16/$Z16,0)</f>
        <v>-49.397191607142865</v>
      </c>
      <c r="AR16" s="165">
        <f>IFERROR(AF16/$Z16,0)</f>
        <v>-97.106509107142884</v>
      </c>
      <c r="AS16" s="165">
        <f t="shared" si="8"/>
        <v>-77.626084544642865</v>
      </c>
      <c r="AT16" s="165">
        <f t="shared" si="8"/>
        <v>38.574671566422182</v>
      </c>
      <c r="AU16" s="165">
        <f t="shared" si="8"/>
        <v>-433.45935661756056</v>
      </c>
      <c r="AV16" s="165">
        <f t="shared" si="9"/>
        <v>-258.7267629657747</v>
      </c>
      <c r="AW16" s="107"/>
    </row>
    <row r="17" spans="2:49" x14ac:dyDescent="0.3">
      <c r="B17" s="106">
        <v>10009239</v>
      </c>
      <c r="C17" s="109" t="s">
        <v>189</v>
      </c>
      <c r="D17" s="146">
        <f>TD!E14</f>
        <v>0</v>
      </c>
      <c r="E17" s="147">
        <f t="shared" si="0"/>
        <v>0</v>
      </c>
      <c r="F17" s="107">
        <f>TD!F14</f>
        <v>0</v>
      </c>
      <c r="G17" s="107">
        <f>TD!G14</f>
        <v>0</v>
      </c>
      <c r="H17" s="107">
        <f>TD!H14</f>
        <v>0</v>
      </c>
      <c r="I17" s="107">
        <f>TD!I14</f>
        <v>0</v>
      </c>
      <c r="J17" s="107">
        <f>TD!J14</f>
        <v>0</v>
      </c>
      <c r="K17" s="149">
        <v>0</v>
      </c>
      <c r="L17" s="150">
        <v>0</v>
      </c>
      <c r="M17" s="151">
        <f t="shared" si="17"/>
        <v>0</v>
      </c>
      <c r="N17" s="152">
        <f t="shared" si="11"/>
        <v>0</v>
      </c>
      <c r="O17" s="153"/>
      <c r="P17" s="153">
        <f t="shared" si="12"/>
        <v>0</v>
      </c>
      <c r="Q17" s="153">
        <f t="shared" si="1"/>
        <v>0</v>
      </c>
      <c r="R17" s="154">
        <f t="shared" si="2"/>
        <v>0</v>
      </c>
      <c r="T17" s="155" cm="1">
        <f t="array" ref="T17">SUM([2]Hoja2!$J$6:$J$14*([2]Hoja2!$L$6:$L$14=$C17)*([2]Hoja2!$G$6:$G$14=T$5))</f>
        <v>0</v>
      </c>
      <c r="U17" s="155" cm="1">
        <f t="array" ref="U17">SUM([2]Hoja2!$K$6:$K$14*([2]Hoja2!$L$6:$L$14=$C17)*([2]Hoja2!$G$6:$G$14=T$5))</f>
        <v>0</v>
      </c>
      <c r="V17" s="157">
        <f t="shared" si="13"/>
        <v>0</v>
      </c>
      <c r="W17" s="155" cm="1">
        <f t="array" ref="W17">SUM([2]Hoja2!$J$6:$J$14*([2]Hoja2!$L$6:$L$14=$C17)*([2]Hoja2!$G$6:$G$14=W$5))</f>
        <v>135</v>
      </c>
      <c r="X17" s="155" cm="1">
        <f t="array" ref="X17">SUM([2]Hoja2!$K$6:$K$14*([2]Hoja2!$L$6:$L$14=$C17)*([2]Hoja2!$G$6:$G$14=W$5))</f>
        <v>526500</v>
      </c>
      <c r="Y17" s="157">
        <f t="shared" si="14"/>
        <v>3900</v>
      </c>
      <c r="Z17" s="158">
        <f t="shared" si="3"/>
        <v>135</v>
      </c>
      <c r="AA17" s="159">
        <f t="shared" si="4"/>
        <v>526500</v>
      </c>
      <c r="AB17" s="160">
        <f t="shared" si="15"/>
        <v>3900</v>
      </c>
      <c r="AC17" s="159">
        <f>-'Stock Libre'!T45*1000*Z17</f>
        <v>-463313.55596478493</v>
      </c>
      <c r="AD17" s="160">
        <f t="shared" si="6"/>
        <v>-28058.400000000001</v>
      </c>
      <c r="AE17" s="159">
        <f t="shared" si="18"/>
        <v>-6668.6208669642865</v>
      </c>
      <c r="AF17" s="160">
        <f t="shared" si="7"/>
        <v>-13109.37872946429</v>
      </c>
      <c r="AG17" s="159">
        <f>$AG$21/$Z$21*$Z17</f>
        <v>-10479.521413526787</v>
      </c>
      <c r="AH17" s="160">
        <f t="shared" si="16"/>
        <v>15332.580661466995</v>
      </c>
      <c r="AI17" s="159">
        <f>AA17+SUM(AC17:AF17,AH17)</f>
        <v>30682.625100253441</v>
      </c>
      <c r="AJ17" s="161">
        <f>IFERROR(AI17/AA17,0)</f>
        <v>5.827659088367225E-2</v>
      </c>
      <c r="AK17" s="162">
        <f>AA17+AC17+AD17+AE17+AH17-AG17</f>
        <v>54271.525243244563</v>
      </c>
      <c r="AL17" s="163">
        <f>IFERROR(AK17/AA17,0)</f>
        <v>0.10307982002515587</v>
      </c>
      <c r="AN17" s="164">
        <f>AB17</f>
        <v>3900</v>
      </c>
      <c r="AO17" s="165">
        <f>IFERROR(AC17/$Z17,0)</f>
        <v>-3431.9522664058145</v>
      </c>
      <c r="AP17" s="165">
        <f>IFERROR(AD17/$Z17,0)</f>
        <v>-207.84</v>
      </c>
      <c r="AQ17" s="165">
        <f>IFERROR(AE17/$Z17,0)</f>
        <v>-49.397191607142865</v>
      </c>
      <c r="AR17" s="165">
        <f>IFERROR(AF17/$Z17,0)</f>
        <v>-97.106509107142884</v>
      </c>
      <c r="AS17" s="165">
        <f t="shared" si="8"/>
        <v>-77.626084544642865</v>
      </c>
      <c r="AT17" s="165">
        <f t="shared" si="8"/>
        <v>113.57467156642218</v>
      </c>
      <c r="AU17" s="165">
        <f t="shared" si="8"/>
        <v>227.2787044463218</v>
      </c>
      <c r="AV17" s="165">
        <f t="shared" si="9"/>
        <v>402.01129809810789</v>
      </c>
      <c r="AW17" s="107"/>
    </row>
    <row r="18" spans="2:49" x14ac:dyDescent="0.3">
      <c r="B18" s="106">
        <v>10009334</v>
      </c>
      <c r="C18" s="109" t="s">
        <v>190</v>
      </c>
      <c r="D18" s="146">
        <f>TD!E15</f>
        <v>0</v>
      </c>
      <c r="E18" s="147">
        <f t="shared" si="0"/>
        <v>0</v>
      </c>
      <c r="F18" s="107">
        <f>TD!F15</f>
        <v>0</v>
      </c>
      <c r="G18" s="107">
        <f>TD!G15</f>
        <v>0</v>
      </c>
      <c r="H18" s="107">
        <f>TD!H15</f>
        <v>0</v>
      </c>
      <c r="I18" s="107">
        <f>TD!I15</f>
        <v>0</v>
      </c>
      <c r="J18" s="107">
        <f>TD!J15</f>
        <v>0</v>
      </c>
      <c r="K18" s="149">
        <v>0</v>
      </c>
      <c r="L18" s="150">
        <v>0</v>
      </c>
      <c r="M18" s="151">
        <f t="shared" si="17"/>
        <v>0</v>
      </c>
      <c r="N18" s="152">
        <f t="shared" si="11"/>
        <v>0</v>
      </c>
      <c r="O18" s="153"/>
      <c r="P18" s="153">
        <f t="shared" si="12"/>
        <v>0</v>
      </c>
      <c r="Q18" s="153">
        <f t="shared" si="1"/>
        <v>0</v>
      </c>
      <c r="R18" s="154">
        <f t="shared" si="2"/>
        <v>0</v>
      </c>
      <c r="T18" s="155" cm="1">
        <f t="array" ref="T18">SUM([2]Hoja2!$J$6:$J$14*([2]Hoja2!$L$6:$L$14=$C18)*([2]Hoja2!$G$6:$G$14=T$5))</f>
        <v>0</v>
      </c>
      <c r="U18" s="155" cm="1">
        <f t="array" ref="U18">SUM([2]Hoja2!$K$6:$K$14*([2]Hoja2!$L$6:$L$14=$C18)*([2]Hoja2!$G$6:$G$14=T$5))</f>
        <v>0</v>
      </c>
      <c r="V18" s="157">
        <f t="shared" si="13"/>
        <v>0</v>
      </c>
      <c r="W18" s="155" cm="1">
        <f t="array" ref="W18">SUM([2]Hoja2!$J$6:$J$14*([2]Hoja2!$L$6:$L$14=$C18)*([2]Hoja2!$G$6:$G$14=W$5))</f>
        <v>162</v>
      </c>
      <c r="X18" s="155" cm="1">
        <f t="array" ref="X18">SUM([2]Hoja2!$K$6:$K$14*([2]Hoja2!$L$6:$L$14=$C18)*([2]Hoja2!$G$6:$G$14=W$5))</f>
        <v>677700</v>
      </c>
      <c r="Y18" s="157">
        <f t="shared" si="14"/>
        <v>4183.333333333333</v>
      </c>
      <c r="Z18" s="158">
        <f t="shared" si="3"/>
        <v>162</v>
      </c>
      <c r="AA18" s="159">
        <f t="shared" si="4"/>
        <v>677700</v>
      </c>
      <c r="AB18" s="160">
        <f t="shared" si="15"/>
        <v>4183.333333333333</v>
      </c>
      <c r="AC18" s="159">
        <f>-Z18*'Stock Libre'!T48*1000</f>
        <v>-488123.43717136898</v>
      </c>
      <c r="AD18" s="160">
        <f t="shared" si="6"/>
        <v>-33670.080000000002</v>
      </c>
      <c r="AE18" s="159">
        <f t="shared" si="18"/>
        <v>-8002.3450403571442</v>
      </c>
      <c r="AF18" s="160">
        <f t="shared" si="7"/>
        <v>-15731.254475357147</v>
      </c>
      <c r="AG18" s="159">
        <f>$AG$21/$Z$21*$Z18</f>
        <v>-12575.425696232143</v>
      </c>
      <c r="AH18" s="160">
        <f t="shared" si="16"/>
        <v>19776.096793760393</v>
      </c>
      <c r="AI18" s="159">
        <f>AA18+SUM(AC18:AF18,AH18)</f>
        <v>151948.98010667716</v>
      </c>
      <c r="AJ18" s="161">
        <f>IFERROR(AI18/AA18,0)</f>
        <v>0.22421274916139466</v>
      </c>
      <c r="AK18" s="162">
        <f>AA18+AC18+AD18+AE18+AH18-AG18</f>
        <v>180255.66027826641</v>
      </c>
      <c r="AL18" s="163">
        <f>IFERROR(AK18/AA18,0)</f>
        <v>0.26598149664787724</v>
      </c>
      <c r="AN18" s="164">
        <f>AB18</f>
        <v>4183.333333333333</v>
      </c>
      <c r="AO18" s="165">
        <f>IFERROR(AC18/$Z18,0)</f>
        <v>-3013.1076368603021</v>
      </c>
      <c r="AP18" s="165">
        <f>IFERROR(AD18/$Z18,0)</f>
        <v>-207.84</v>
      </c>
      <c r="AQ18" s="165">
        <f>IFERROR(AE18/$Z18,0)</f>
        <v>-49.397191607142865</v>
      </c>
      <c r="AR18" s="165">
        <f>IFERROR(AF18/$Z18,0)</f>
        <v>-97.106509107142884</v>
      </c>
      <c r="AS18" s="165">
        <f t="shared" si="8"/>
        <v>-77.626084544642865</v>
      </c>
      <c r="AT18" s="165">
        <f t="shared" si="8"/>
        <v>122.07467156642218</v>
      </c>
      <c r="AU18" s="165">
        <f t="shared" si="8"/>
        <v>937.9566673251677</v>
      </c>
      <c r="AV18" s="165">
        <f t="shared" si="9"/>
        <v>1112.6892609769532</v>
      </c>
      <c r="AW18" s="107"/>
    </row>
    <row r="19" spans="2:49" x14ac:dyDescent="0.3">
      <c r="B19" s="106">
        <v>10009386</v>
      </c>
      <c r="C19" s="109" t="s">
        <v>137</v>
      </c>
      <c r="D19" s="146">
        <f>TD!E16</f>
        <v>14.64</v>
      </c>
      <c r="E19" s="147">
        <f t="shared" si="0"/>
        <v>1859.8567273709273</v>
      </c>
      <c r="F19" s="107">
        <f>TD!F16</f>
        <v>27228.302488710375</v>
      </c>
      <c r="G19" s="107">
        <f>TD!G16</f>
        <v>3042.7776000000003</v>
      </c>
      <c r="H19" s="107">
        <f>TD!H16</f>
        <v>766.93104000000017</v>
      </c>
      <c r="I19" s="107">
        <f>TD!I16</f>
        <v>1507.6564800000003</v>
      </c>
      <c r="J19" s="107">
        <f>TD!J16</f>
        <v>1205.2072560000004</v>
      </c>
      <c r="K19" s="149">
        <v>0</v>
      </c>
      <c r="L19" s="150">
        <v>0</v>
      </c>
      <c r="M19" s="151">
        <f t="shared" si="17"/>
        <v>32545.667608710377</v>
      </c>
      <c r="N19" s="152">
        <f t="shared" si="11"/>
        <v>2223.0647273709274</v>
      </c>
      <c r="O19" s="153"/>
      <c r="P19" s="153">
        <f t="shared" si="12"/>
        <v>0</v>
      </c>
      <c r="Q19" s="153">
        <f t="shared" si="1"/>
        <v>-32545.667608710377</v>
      </c>
      <c r="R19" s="154">
        <f t="shared" si="2"/>
        <v>0</v>
      </c>
      <c r="T19" s="155" cm="1">
        <f t="array" ref="T19">SUM([2]Hoja2!$J$6:$J$14*([2]Hoja2!$L$6:$L$14=$C19)*([2]Hoja2!$G$6:$G$14=T$5))</f>
        <v>0</v>
      </c>
      <c r="U19" s="155" cm="1">
        <f t="array" ref="U19">SUM([2]Hoja2!$K$6:$K$14*([2]Hoja2!$L$6:$L$14=$C19)*([2]Hoja2!$G$6:$G$14=T$5))</f>
        <v>0</v>
      </c>
      <c r="V19" s="157">
        <f t="shared" si="13"/>
        <v>0</v>
      </c>
      <c r="W19" s="155" cm="1">
        <f t="array" ref="W19">SUM([2]Hoja2!$J$6:$J$14*([2]Hoja2!$L$6:$L$14=$C19)*([2]Hoja2!$G$6:$G$14=W$5))</f>
        <v>27</v>
      </c>
      <c r="X19" s="155" cm="1">
        <f t="array" ref="X19">SUM([2]Hoja2!$K$6:$K$14*([2]Hoja2!$L$6:$L$14=$C19)*([2]Hoja2!$G$6:$G$14=W$5))</f>
        <v>67500</v>
      </c>
      <c r="Y19" s="157">
        <f t="shared" si="14"/>
        <v>2500</v>
      </c>
      <c r="Z19" s="158">
        <f t="shared" si="3"/>
        <v>27</v>
      </c>
      <c r="AA19" s="159">
        <f t="shared" si="4"/>
        <v>67500</v>
      </c>
      <c r="AB19" s="160">
        <f t="shared" si="15"/>
        <v>2500</v>
      </c>
      <c r="AC19" s="159">
        <f t="shared" si="5"/>
        <v>-50216.131639015039</v>
      </c>
      <c r="AD19" s="160">
        <f t="shared" si="6"/>
        <v>-5611.68</v>
      </c>
      <c r="AE19" s="159">
        <f t="shared" si="18"/>
        <v>-1333.7241733928574</v>
      </c>
      <c r="AF19" s="160">
        <f t="shared" si="7"/>
        <v>-2621.875745892858</v>
      </c>
      <c r="AG19" s="159">
        <f>$AG$21/$Z$21*$Z19</f>
        <v>-2095.9042827053572</v>
      </c>
      <c r="AH19" s="160">
        <f t="shared" si="16"/>
        <v>1932.5161322933989</v>
      </c>
      <c r="AI19" s="159">
        <f>AA19+SUM(AC19:AF19,AH19)</f>
        <v>9649.1045739926412</v>
      </c>
      <c r="AJ19" s="161">
        <f>IFERROR(AI19/AA19,0)</f>
        <v>0.14294969739248356</v>
      </c>
      <c r="AK19" s="162">
        <f>AA19+AC19+AD19+AE19+AH19-AG19</f>
        <v>14366.884602590861</v>
      </c>
      <c r="AL19" s="163">
        <f>IFERROR(AK19/AA19,0)</f>
        <v>0.21284273485319793</v>
      </c>
      <c r="AN19" s="164">
        <f>AB19</f>
        <v>2500</v>
      </c>
      <c r="AO19" s="165">
        <f>IFERROR(AC19/$Z19,0)</f>
        <v>-1859.8567273709273</v>
      </c>
      <c r="AP19" s="165">
        <f>IFERROR(AD19/$Z19,0)</f>
        <v>-207.84</v>
      </c>
      <c r="AQ19" s="165">
        <f>IFERROR(AE19/$Z19,0)</f>
        <v>-49.397191607142865</v>
      </c>
      <c r="AR19" s="165">
        <f>IFERROR(AF19/$Z19,0)</f>
        <v>-97.106509107142884</v>
      </c>
      <c r="AS19" s="165">
        <f t="shared" si="8"/>
        <v>-77.626084544642865</v>
      </c>
      <c r="AT19" s="165">
        <f t="shared" si="8"/>
        <v>71.574671566422182</v>
      </c>
      <c r="AU19" s="165">
        <f t="shared" si="8"/>
        <v>357.37424348120891</v>
      </c>
      <c r="AV19" s="165">
        <f t="shared" si="9"/>
        <v>532.10683713299488</v>
      </c>
      <c r="AW19" s="107"/>
    </row>
    <row r="20" spans="2:49" ht="15" thickBot="1" x14ac:dyDescent="0.35">
      <c r="B20" s="106"/>
      <c r="C20" s="109" t="s">
        <v>191</v>
      </c>
      <c r="D20" s="146"/>
      <c r="E20" s="147"/>
      <c r="F20" s="107"/>
      <c r="G20" s="107"/>
      <c r="H20" s="107"/>
      <c r="I20" s="107"/>
      <c r="J20" s="107"/>
      <c r="K20" s="149"/>
      <c r="L20" s="150">
        <v>0</v>
      </c>
      <c r="M20" s="151">
        <f t="shared" si="17"/>
        <v>0</v>
      </c>
      <c r="N20" s="152">
        <f t="shared" si="11"/>
        <v>0</v>
      </c>
      <c r="O20" s="153"/>
      <c r="P20" s="166">
        <f t="shared" si="12"/>
        <v>0</v>
      </c>
      <c r="Q20" s="153">
        <f t="shared" si="1"/>
        <v>0</v>
      </c>
      <c r="R20" s="154">
        <f t="shared" si="2"/>
        <v>0</v>
      </c>
      <c r="T20" s="155" cm="1">
        <f t="array" ref="T20">SUM([2]Hoja2!$J$6:$J$14*([2]Hoja2!$L$6:$L$14=$C20)*([2]Hoja2!$G$6:$G$14=T$5))</f>
        <v>0</v>
      </c>
      <c r="U20" s="155" cm="1">
        <f t="array" ref="U20">SUM([2]Hoja2!$K$6:$K$14*([2]Hoja2!$L$6:$L$14=$C20)*([2]Hoja2!$G$6:$G$14=T$5))</f>
        <v>0</v>
      </c>
      <c r="V20" s="157">
        <f t="shared" si="13"/>
        <v>0</v>
      </c>
      <c r="W20" s="155" cm="1">
        <f t="array" ref="W20">SUM([2]Hoja2!$J$6:$J$14*([2]Hoja2!$L$6:$L$14=$C20)*([2]Hoja2!$G$6:$G$14=W$5))</f>
        <v>0</v>
      </c>
      <c r="X20" s="155" cm="1">
        <f t="array" ref="X20">SUM([2]Hoja2!$K$6:$K$14*([2]Hoja2!$L$6:$L$14=$C20)*([2]Hoja2!$G$6:$G$14=W$5))</f>
        <v>0</v>
      </c>
      <c r="Y20" s="157">
        <f t="shared" si="14"/>
        <v>0</v>
      </c>
      <c r="Z20" s="158">
        <f t="shared" si="3"/>
        <v>0</v>
      </c>
      <c r="AA20" s="159">
        <f t="shared" si="4"/>
        <v>0</v>
      </c>
      <c r="AB20" s="160">
        <f t="shared" si="15"/>
        <v>0</v>
      </c>
      <c r="AC20" s="159">
        <f t="shared" si="5"/>
        <v>0</v>
      </c>
      <c r="AD20" s="160">
        <f t="shared" si="6"/>
        <v>0</v>
      </c>
      <c r="AE20" s="159">
        <f t="shared" si="18"/>
        <v>0</v>
      </c>
      <c r="AF20" s="160">
        <f t="shared" si="7"/>
        <v>0</v>
      </c>
      <c r="AG20" s="159">
        <f>$AG$21/$Z$21*$Z20</f>
        <v>0</v>
      </c>
      <c r="AH20" s="160">
        <f t="shared" si="16"/>
        <v>0</v>
      </c>
      <c r="AI20" s="159">
        <f>AA20+SUM(AC20:AF20,AH20)</f>
        <v>0</v>
      </c>
      <c r="AJ20" s="161">
        <f>IFERROR(AI20/AA20,0)</f>
        <v>0</v>
      </c>
      <c r="AK20" s="162">
        <f>AA20+AC20+AD20+AE20+AH20-AG20</f>
        <v>0</v>
      </c>
      <c r="AL20" s="163">
        <f>IFERROR(AK20/AA20,0)</f>
        <v>0</v>
      </c>
      <c r="AN20" s="164">
        <f>AB20</f>
        <v>0</v>
      </c>
      <c r="AO20" s="165">
        <f>IFERROR(AC20/$Z20,0)</f>
        <v>0</v>
      </c>
      <c r="AP20" s="165">
        <f>IFERROR(AD20/$Z20,0)</f>
        <v>0</v>
      </c>
      <c r="AQ20" s="165">
        <f>IFERROR(AE20/$Z20,0)</f>
        <v>0</v>
      </c>
      <c r="AR20" s="165">
        <f>IFERROR(AF20/$Z20,0)</f>
        <v>0</v>
      </c>
      <c r="AS20" s="165">
        <f t="shared" si="8"/>
        <v>0</v>
      </c>
      <c r="AT20" s="165">
        <f t="shared" si="8"/>
        <v>0</v>
      </c>
      <c r="AU20" s="165">
        <f t="shared" si="8"/>
        <v>0</v>
      </c>
      <c r="AV20" s="165">
        <f t="shared" si="9"/>
        <v>0</v>
      </c>
      <c r="AW20" s="107"/>
    </row>
    <row r="21" spans="2:49" ht="15" thickBot="1" x14ac:dyDescent="0.35">
      <c r="C21" s="167" t="s">
        <v>215</v>
      </c>
      <c r="D21" s="168">
        <f>SUM(D7:D20)</f>
        <v>792.07499999999993</v>
      </c>
      <c r="E21" s="169">
        <f t="shared" ref="E21" si="19">IFERROR(F21/D21,0)</f>
        <v>1864.5318237803976</v>
      </c>
      <c r="F21" s="170">
        <f t="shared" ref="F21:K21" si="20">SUM(F7:F20)</f>
        <v>1476849.0443208583</v>
      </c>
      <c r="G21" s="170">
        <f t="shared" si="20"/>
        <v>164624.86799999999</v>
      </c>
      <c r="H21" s="170">
        <f t="shared" si="20"/>
        <v>41493.640950000008</v>
      </c>
      <c r="I21" s="170">
        <f t="shared" si="20"/>
        <v>81569.467650000006</v>
      </c>
      <c r="J21" s="170">
        <f t="shared" si="20"/>
        <v>65205.911017500017</v>
      </c>
      <c r="K21" s="170">
        <f t="shared" si="20"/>
        <v>0</v>
      </c>
      <c r="L21" s="171">
        <v>0</v>
      </c>
      <c r="M21" s="172">
        <f>SUM(M7:M20)</f>
        <v>1764537.0209208587</v>
      </c>
      <c r="N21" s="173">
        <f t="shared" si="11"/>
        <v>2227.7398237803982</v>
      </c>
      <c r="O21" s="172">
        <f>P21/D21</f>
        <v>0</v>
      </c>
      <c r="P21" s="174">
        <f>SUM(P7:P20)</f>
        <v>0</v>
      </c>
      <c r="Q21" s="172">
        <f>SUM(Q7:Q20)</f>
        <v>-1764537.0209208587</v>
      </c>
      <c r="R21" s="175" t="e">
        <f t="shared" ref="R21" si="21">Q21/P21</f>
        <v>#DIV/0!</v>
      </c>
      <c r="T21" s="176">
        <f>SUM(T7:T20)</f>
        <v>26</v>
      </c>
      <c r="U21" s="176">
        <f>SUM(U7:U20)</f>
        <v>36400</v>
      </c>
      <c r="V21" s="177">
        <f t="shared" si="13"/>
        <v>1400</v>
      </c>
      <c r="W21" s="176">
        <f>SUM(W7:W20)</f>
        <v>814</v>
      </c>
      <c r="X21" s="176">
        <f>SUM(X7:X20)</f>
        <v>2311190</v>
      </c>
      <c r="Y21" s="177">
        <f t="shared" si="14"/>
        <v>2839.2997542997541</v>
      </c>
      <c r="Z21" s="178">
        <f>SUM(Z7:Z20)</f>
        <v>840</v>
      </c>
      <c r="AA21" s="178">
        <f>SUM(AA7:AA20)</f>
        <v>2347590</v>
      </c>
      <c r="AB21" s="179">
        <f t="shared" si="15"/>
        <v>2794.75</v>
      </c>
      <c r="AC21" s="180">
        <f>SUM(AC7:AC20)</f>
        <v>-1975255.0860697837</v>
      </c>
      <c r="AD21" s="179">
        <f>SUM(AD7:AD20)</f>
        <v>-174585.59999999998</v>
      </c>
      <c r="AE21" s="180">
        <f>-'Stock Libre'!Z59</f>
        <v>-41493.640950000008</v>
      </c>
      <c r="AF21" s="179">
        <f>-'Stock Libre'!AA59</f>
        <v>-81569.467650000021</v>
      </c>
      <c r="AG21" s="180">
        <f>-'Stock Libre'!AB59</f>
        <v>-65205.91101750001</v>
      </c>
      <c r="AH21" s="179">
        <f>SUM(AH7:AH20)</f>
        <v>67550.424115794638</v>
      </c>
      <c r="AI21" s="178">
        <f>SUM(AI7:AI20)</f>
        <v>142236.62944601089</v>
      </c>
      <c r="AJ21" s="181">
        <f>IFERROR(AI21/AA21,0)</f>
        <v>6.0588360593634705E-2</v>
      </c>
      <c r="AK21" s="178">
        <f>SUM(AK7:AK20)</f>
        <v>289012.00811351102</v>
      </c>
      <c r="AL21" s="182">
        <f>IFERROR(AK21/AA21,0)</f>
        <v>0.12311008656260719</v>
      </c>
      <c r="AN21" s="183">
        <f>AB21</f>
        <v>2794.75</v>
      </c>
      <c r="AO21" s="184">
        <f>IFERROR(AC21/$Z21,0)</f>
        <v>-2351.494150083076</v>
      </c>
      <c r="AP21" s="184">
        <f>IFERROR(AD21/$Z21,0)</f>
        <v>-207.83999999999997</v>
      </c>
      <c r="AQ21" s="184">
        <f>IFERROR(AE21/$Z21,0)</f>
        <v>-49.397191607142865</v>
      </c>
      <c r="AR21" s="184">
        <f>IFERROR(AF21/$Z21,0)</f>
        <v>-97.106509107142884</v>
      </c>
      <c r="AS21" s="184">
        <f t="shared" si="8"/>
        <v>-77.626084544642865</v>
      </c>
      <c r="AT21" s="184">
        <f t="shared" si="8"/>
        <v>80.417171566422184</v>
      </c>
      <c r="AU21" s="184">
        <f t="shared" si="8"/>
        <v>169.32932076906059</v>
      </c>
      <c r="AV21" s="184">
        <f t="shared" si="9"/>
        <v>344.06191442084645</v>
      </c>
      <c r="AW21" s="107"/>
    </row>
    <row r="22" spans="2:49" x14ac:dyDescent="0.3">
      <c r="I22" s="112">
        <f>I21/D21</f>
        <v>102.98200000000001</v>
      </c>
    </row>
    <row r="23" spans="2:49" x14ac:dyDescent="0.3">
      <c r="M23" s="185"/>
      <c r="N23" s="185"/>
      <c r="O23" s="185"/>
      <c r="P23" s="186"/>
      <c r="Q23" s="185"/>
      <c r="R23" s="185"/>
      <c r="V23" s="187"/>
      <c r="AI23" s="107"/>
      <c r="AO23" s="107"/>
    </row>
    <row r="24" spans="2:49" x14ac:dyDescent="0.3">
      <c r="L24" s="188"/>
      <c r="N24" s="189"/>
      <c r="O24" s="189"/>
      <c r="P24" s="186"/>
      <c r="Q24" s="189"/>
      <c r="R24" s="189"/>
      <c r="S24" s="107"/>
      <c r="T24" s="107"/>
      <c r="U24" s="190"/>
      <c r="V24" s="187"/>
      <c r="Z24" s="112"/>
      <c r="AC24" s="112"/>
      <c r="AD24" s="191"/>
    </row>
    <row r="25" spans="2:49" x14ac:dyDescent="0.3">
      <c r="G25" s="107"/>
      <c r="L25" s="188"/>
      <c r="N25" s="189"/>
      <c r="O25" s="189"/>
      <c r="P25" s="186"/>
      <c r="Q25" s="189"/>
      <c r="R25" s="189"/>
      <c r="S25" s="107"/>
      <c r="T25" s="107"/>
      <c r="U25" s="190"/>
      <c r="AA25" s="107"/>
      <c r="AD25" s="112" t="s">
        <v>216</v>
      </c>
      <c r="AE25">
        <v>114.17761445259386</v>
      </c>
    </row>
    <row r="26" spans="2:49" x14ac:dyDescent="0.3">
      <c r="G26" s="107"/>
      <c r="L26" s="188"/>
      <c r="N26" s="189"/>
      <c r="O26" s="189"/>
      <c r="P26" s="189"/>
      <c r="Q26" s="189"/>
      <c r="R26" s="189"/>
      <c r="S26" s="107"/>
      <c r="T26" s="107"/>
      <c r="U26" s="148"/>
      <c r="AD26" s="112"/>
    </row>
    <row r="27" spans="2:49" x14ac:dyDescent="0.3">
      <c r="G27" s="107"/>
      <c r="L27" s="188"/>
      <c r="N27" s="189"/>
      <c r="O27" s="189"/>
      <c r="P27" s="189"/>
      <c r="Q27" s="189"/>
      <c r="R27" s="189"/>
      <c r="S27" s="107"/>
      <c r="T27" s="107"/>
      <c r="U27" s="148"/>
      <c r="AD27" s="112"/>
    </row>
    <row r="28" spans="2:49" x14ac:dyDescent="0.3">
      <c r="G28" s="107"/>
      <c r="L28" s="188"/>
      <c r="N28" s="189"/>
      <c r="O28" s="189"/>
      <c r="P28" s="189"/>
      <c r="Q28" s="189"/>
      <c r="R28" s="189"/>
      <c r="S28" s="107"/>
      <c r="T28" s="107"/>
      <c r="U28" s="148"/>
    </row>
    <row r="29" spans="2:49" x14ac:dyDescent="0.3">
      <c r="G29" s="107"/>
      <c r="L29" s="188"/>
      <c r="N29" s="189"/>
      <c r="O29" s="189"/>
      <c r="P29" s="189"/>
      <c r="Q29" s="189"/>
      <c r="R29" s="189"/>
      <c r="S29" s="107"/>
      <c r="T29" s="107"/>
      <c r="U29" s="148"/>
    </row>
    <row r="30" spans="2:49" x14ac:dyDescent="0.3">
      <c r="G30" s="107"/>
      <c r="L30" s="188"/>
      <c r="N30" s="189"/>
      <c r="O30" s="189"/>
      <c r="P30" s="189"/>
      <c r="Q30" s="189"/>
      <c r="R30" s="189"/>
      <c r="T30" s="107"/>
      <c r="U30" s="148"/>
    </row>
    <row r="31" spans="2:49" x14ac:dyDescent="0.3">
      <c r="L31" s="188"/>
      <c r="N31" s="189"/>
      <c r="O31" s="189"/>
      <c r="P31" s="189"/>
      <c r="Q31" s="189"/>
      <c r="R31" s="189"/>
      <c r="S31" s="107"/>
      <c r="T31" s="107"/>
      <c r="U31" s="148"/>
      <c r="AA31" s="148"/>
    </row>
    <row r="32" spans="2:49" x14ac:dyDescent="0.3">
      <c r="L32" s="188"/>
      <c r="N32" s="189"/>
      <c r="O32" s="189"/>
      <c r="P32" s="189"/>
      <c r="Q32" s="189"/>
      <c r="R32" s="189"/>
      <c r="S32" s="107"/>
      <c r="T32" s="107"/>
      <c r="U32" s="148"/>
    </row>
    <row r="33" spans="12:21" x14ac:dyDescent="0.3">
      <c r="L33" s="188"/>
      <c r="N33" s="189"/>
      <c r="O33" s="189"/>
      <c r="P33" s="189"/>
      <c r="Q33" s="189"/>
      <c r="R33" s="189"/>
      <c r="S33" s="107"/>
      <c r="T33" s="107"/>
      <c r="U33" s="148"/>
    </row>
    <row r="34" spans="12:21" x14ac:dyDescent="0.3">
      <c r="L34" s="188"/>
      <c r="N34" s="189"/>
      <c r="O34" s="189"/>
      <c r="P34" s="189"/>
      <c r="Q34" s="189"/>
      <c r="R34" s="189"/>
      <c r="S34" s="107"/>
      <c r="T34" s="107"/>
      <c r="U34" s="148"/>
    </row>
    <row r="35" spans="12:21" x14ac:dyDescent="0.3">
      <c r="L35" s="188"/>
      <c r="N35" s="189"/>
      <c r="O35" s="189"/>
      <c r="P35" s="189"/>
      <c r="Q35" s="189"/>
      <c r="R35" s="189"/>
      <c r="S35" s="107"/>
      <c r="T35" s="107"/>
      <c r="U35" s="148"/>
    </row>
    <row r="36" spans="12:21" x14ac:dyDescent="0.3">
      <c r="L36" s="192"/>
      <c r="M36" s="111"/>
      <c r="N36" s="193"/>
      <c r="O36" s="193"/>
      <c r="P36" s="193"/>
      <c r="Q36" s="193"/>
      <c r="R36" s="193"/>
      <c r="U36" s="193"/>
    </row>
    <row r="38" spans="12:21" x14ac:dyDescent="0.3">
      <c r="N38" s="107"/>
      <c r="O38" s="107"/>
      <c r="P38" s="107"/>
      <c r="Q38" s="107"/>
      <c r="R38" s="107"/>
    </row>
    <row r="39" spans="12:21" x14ac:dyDescent="0.3">
      <c r="N39" s="107"/>
      <c r="O39" s="107"/>
      <c r="P39" s="107"/>
      <c r="Q39" s="107"/>
      <c r="R39" s="107"/>
    </row>
    <row r="40" spans="12:21" x14ac:dyDescent="0.3">
      <c r="N40" s="194"/>
      <c r="O40" s="194"/>
      <c r="P40" s="194"/>
      <c r="Q40" s="194"/>
      <c r="R40" s="194"/>
    </row>
  </sheetData>
  <mergeCells count="6">
    <mergeCell ref="Z5:AL5"/>
    <mergeCell ref="AN5:AV5"/>
    <mergeCell ref="Z4:AJ4"/>
    <mergeCell ref="F5:R5"/>
    <mergeCell ref="T5:V5"/>
    <mergeCell ref="W5:Y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6C9A-C260-4BD8-8DA3-BAE2498A6A81}">
  <dimension ref="A3:J18"/>
  <sheetViews>
    <sheetView topLeftCell="C1" zoomScale="90" zoomScaleNormal="90" workbookViewId="0">
      <selection activeCell="F22" sqref="F22"/>
    </sheetView>
  </sheetViews>
  <sheetFormatPr baseColWidth="10" defaultRowHeight="14.4" x14ac:dyDescent="0.3"/>
  <cols>
    <col min="3" max="3" width="46.44140625" bestFit="1" customWidth="1"/>
    <col min="4" max="4" width="17.44140625" bestFit="1" customWidth="1"/>
    <col min="5" max="5" width="19.33203125" bestFit="1" customWidth="1"/>
    <col min="6" max="6" width="20.5546875" bestFit="1" customWidth="1"/>
    <col min="7" max="7" width="20.44140625" bestFit="1" customWidth="1"/>
    <col min="8" max="8" width="18.5546875" bestFit="1" customWidth="1"/>
    <col min="9" max="9" width="17" bestFit="1" customWidth="1"/>
    <col min="10" max="10" width="20.77734375" bestFit="1" customWidth="1"/>
  </cols>
  <sheetData>
    <row r="3" spans="1:10" x14ac:dyDescent="0.3">
      <c r="D3" s="105" t="s">
        <v>173</v>
      </c>
      <c r="E3" t="s">
        <v>176</v>
      </c>
      <c r="F3" t="s">
        <v>177</v>
      </c>
      <c r="G3" t="s">
        <v>178</v>
      </c>
      <c r="H3" t="s">
        <v>179</v>
      </c>
      <c r="I3" t="s">
        <v>180</v>
      </c>
      <c r="J3" t="s">
        <v>181</v>
      </c>
    </row>
    <row r="4" spans="1:10" x14ac:dyDescent="0.3">
      <c r="A4" s="1" t="b">
        <f>B4=D4</f>
        <v>1</v>
      </c>
      <c r="B4" s="106">
        <v>10005721</v>
      </c>
      <c r="C4" s="108" t="s">
        <v>182</v>
      </c>
      <c r="D4" s="106">
        <v>10005721</v>
      </c>
      <c r="E4" s="107">
        <v>302.49999999999994</v>
      </c>
      <c r="F4" s="107">
        <v>640124.06120734382</v>
      </c>
      <c r="G4" s="107">
        <v>62871.600000000006</v>
      </c>
      <c r="H4" s="107">
        <v>15846.765000000001</v>
      </c>
      <c r="I4" s="107">
        <v>31152.054999999997</v>
      </c>
      <c r="J4" s="107">
        <v>24902.677250000004</v>
      </c>
    </row>
    <row r="5" spans="1:10" x14ac:dyDescent="0.3">
      <c r="A5" s="1" t="b">
        <f>B5=D5</f>
        <v>1</v>
      </c>
      <c r="B5" s="106">
        <v>10005779</v>
      </c>
      <c r="C5" s="109" t="s">
        <v>183</v>
      </c>
      <c r="D5" s="106">
        <v>10005779</v>
      </c>
      <c r="E5" s="107">
        <v>120.69999999999999</v>
      </c>
      <c r="F5" s="107">
        <v>208417.37028808997</v>
      </c>
      <c r="G5" s="107">
        <v>25086.287999999997</v>
      </c>
      <c r="H5" s="107">
        <v>6322.990200000002</v>
      </c>
      <c r="I5" s="107">
        <v>12429.9274</v>
      </c>
      <c r="J5" s="107">
        <v>9936.3740300000009</v>
      </c>
    </row>
    <row r="6" spans="1:10" x14ac:dyDescent="0.3">
      <c r="A6" s="1" t="b">
        <f t="shared" ref="A6:A16" si="0">B6=D6</f>
        <v>1</v>
      </c>
      <c r="B6" s="106">
        <v>10005781</v>
      </c>
      <c r="C6" s="109" t="s">
        <v>39</v>
      </c>
      <c r="D6" s="106">
        <v>10005781</v>
      </c>
      <c r="E6" s="107">
        <v>78.94</v>
      </c>
      <c r="F6" s="107">
        <v>144527.35926032838</v>
      </c>
      <c r="G6" s="107">
        <v>16406.889599999999</v>
      </c>
      <c r="H6" s="107">
        <v>4135.350840000001</v>
      </c>
      <c r="I6" s="107">
        <v>8129.399080000001</v>
      </c>
      <c r="J6" s="107">
        <v>6498.5697260000006</v>
      </c>
    </row>
    <row r="7" spans="1:10" x14ac:dyDescent="0.3">
      <c r="A7" s="1" t="b">
        <f t="shared" si="0"/>
        <v>1</v>
      </c>
      <c r="B7" s="106">
        <v>10006719</v>
      </c>
      <c r="C7" s="109" t="s">
        <v>184</v>
      </c>
      <c r="D7" s="106">
        <v>10006719</v>
      </c>
      <c r="E7" s="107">
        <v>8.3000000000000007</v>
      </c>
      <c r="F7" s="107">
        <v>16728.368899884241</v>
      </c>
      <c r="G7" s="107">
        <v>1725.0720000000001</v>
      </c>
      <c r="H7" s="107">
        <v>434.80380000000002</v>
      </c>
      <c r="I7" s="107">
        <v>854.75060000000008</v>
      </c>
      <c r="J7" s="107">
        <v>683.28007000000014</v>
      </c>
    </row>
    <row r="8" spans="1:10" x14ac:dyDescent="0.3">
      <c r="A8" s="1" t="b">
        <f t="shared" si="0"/>
        <v>1</v>
      </c>
      <c r="B8" s="106">
        <v>10006720</v>
      </c>
      <c r="C8" s="109" t="s">
        <v>185</v>
      </c>
      <c r="D8" s="106">
        <v>10006720</v>
      </c>
      <c r="E8" s="107">
        <v>0.12</v>
      </c>
      <c r="F8" s="107">
        <v>180.13647537891612</v>
      </c>
      <c r="G8" s="107">
        <v>24.940799999999999</v>
      </c>
      <c r="H8" s="107">
        <v>6.2863200000000008</v>
      </c>
      <c r="I8" s="107">
        <v>12.357840000000001</v>
      </c>
      <c r="J8" s="107">
        <v>9.8787480000000016</v>
      </c>
    </row>
    <row r="9" spans="1:10" x14ac:dyDescent="0.3">
      <c r="A9" s="1" t="b">
        <f t="shared" si="0"/>
        <v>1</v>
      </c>
      <c r="B9" s="106">
        <v>10007050</v>
      </c>
      <c r="C9" s="109" t="s">
        <v>186</v>
      </c>
      <c r="D9" s="106">
        <v>10007050</v>
      </c>
      <c r="E9" s="107">
        <v>109.815</v>
      </c>
      <c r="F9" s="107">
        <v>169342.30248950995</v>
      </c>
      <c r="G9" s="107">
        <v>22823.9496</v>
      </c>
      <c r="H9" s="107">
        <v>5752.7685900000015</v>
      </c>
      <c r="I9" s="107">
        <v>11308.968330000002</v>
      </c>
      <c r="J9" s="107">
        <v>9040.2892635000026</v>
      </c>
    </row>
    <row r="10" spans="1:10" x14ac:dyDescent="0.3">
      <c r="A10" s="1" t="b">
        <f t="shared" si="0"/>
        <v>1</v>
      </c>
      <c r="B10" s="106">
        <v>10007162</v>
      </c>
      <c r="C10" s="109" t="s">
        <v>187</v>
      </c>
      <c r="D10" s="106">
        <v>10007162</v>
      </c>
      <c r="E10" s="107">
        <v>19.240000000000002</v>
      </c>
      <c r="F10" s="107">
        <v>35753.440704483881</v>
      </c>
      <c r="G10" s="107">
        <v>3998.8415999999997</v>
      </c>
      <c r="H10" s="107">
        <v>1007.9066400000002</v>
      </c>
      <c r="I10" s="107">
        <v>1981.3736800000004</v>
      </c>
      <c r="J10" s="107">
        <v>1583.8925960000004</v>
      </c>
    </row>
    <row r="11" spans="1:10" x14ac:dyDescent="0.3">
      <c r="A11" s="1" t="b">
        <f t="shared" si="0"/>
        <v>1</v>
      </c>
      <c r="B11" s="106">
        <v>10007567</v>
      </c>
      <c r="C11" s="109" t="s">
        <v>188</v>
      </c>
      <c r="D11" s="106">
        <v>10007567</v>
      </c>
      <c r="E11" s="107">
        <v>94.3</v>
      </c>
      <c r="F11" s="107">
        <v>169404.40432999266</v>
      </c>
      <c r="G11" s="107">
        <v>19599.311999999998</v>
      </c>
      <c r="H11" s="107">
        <v>4939.9998000000005</v>
      </c>
      <c r="I11" s="107">
        <v>9711.2026000000005</v>
      </c>
      <c r="J11" s="107">
        <v>7763.0494700000017</v>
      </c>
    </row>
    <row r="12" spans="1:10" x14ac:dyDescent="0.3">
      <c r="A12" s="1" t="b">
        <f t="shared" si="0"/>
        <v>1</v>
      </c>
      <c r="B12" s="106">
        <v>10007969</v>
      </c>
      <c r="C12" s="109" t="s">
        <v>18</v>
      </c>
      <c r="D12" s="106">
        <v>10007969</v>
      </c>
      <c r="E12" s="107">
        <v>17.54</v>
      </c>
      <c r="F12" s="107">
        <v>25713.703469473578</v>
      </c>
      <c r="G12" s="107">
        <v>3645.5135999999998</v>
      </c>
      <c r="H12" s="107">
        <v>918.85044000000016</v>
      </c>
      <c r="I12" s="107">
        <v>1806.3042800000001</v>
      </c>
      <c r="J12" s="107">
        <v>1443.9436660000003</v>
      </c>
    </row>
    <row r="13" spans="1:10" x14ac:dyDescent="0.3">
      <c r="A13" s="1" t="b">
        <f t="shared" si="0"/>
        <v>1</v>
      </c>
      <c r="B13" s="106">
        <v>10009207</v>
      </c>
      <c r="C13" s="109" t="s">
        <v>17</v>
      </c>
      <c r="D13" s="106">
        <v>10009207</v>
      </c>
      <c r="E13" s="107">
        <v>25.98</v>
      </c>
      <c r="F13" s="107">
        <v>39429.59470766272</v>
      </c>
      <c r="G13" s="107">
        <v>5399.6832000000004</v>
      </c>
      <c r="H13" s="107">
        <v>1360.9882800000003</v>
      </c>
      <c r="I13" s="107">
        <v>2675.4723600000002</v>
      </c>
      <c r="J13" s="107">
        <v>2138.7489420000006</v>
      </c>
    </row>
    <row r="14" spans="1:10" x14ac:dyDescent="0.3">
      <c r="A14" s="1" t="b">
        <f t="shared" si="0"/>
        <v>1</v>
      </c>
      <c r="B14" s="106">
        <v>10009239</v>
      </c>
      <c r="C14" s="109" t="s">
        <v>189</v>
      </c>
      <c r="D14" s="106">
        <v>10009239</v>
      </c>
      <c r="E14" s="107">
        <v>0</v>
      </c>
      <c r="F14" s="107">
        <v>0</v>
      </c>
      <c r="G14" s="107">
        <v>0</v>
      </c>
      <c r="H14" s="107">
        <v>0</v>
      </c>
      <c r="I14" s="107">
        <v>0</v>
      </c>
      <c r="J14" s="107">
        <v>0</v>
      </c>
    </row>
    <row r="15" spans="1:10" x14ac:dyDescent="0.3">
      <c r="A15" s="1" t="b">
        <f t="shared" si="0"/>
        <v>1</v>
      </c>
      <c r="B15" s="106">
        <v>10009334</v>
      </c>
      <c r="C15" s="109" t="s">
        <v>190</v>
      </c>
      <c r="D15" s="106">
        <v>10009334</v>
      </c>
      <c r="E15" s="107">
        <v>0</v>
      </c>
      <c r="F15" s="107">
        <v>0</v>
      </c>
      <c r="G15" s="107">
        <v>0</v>
      </c>
      <c r="H15" s="107">
        <v>0</v>
      </c>
      <c r="I15" s="107">
        <v>0</v>
      </c>
      <c r="J15" s="107">
        <v>0</v>
      </c>
    </row>
    <row r="16" spans="1:10" x14ac:dyDescent="0.3">
      <c r="A16" s="1" t="b">
        <f t="shared" si="0"/>
        <v>1</v>
      </c>
      <c r="B16" s="106">
        <v>10009386</v>
      </c>
      <c r="C16" s="109" t="s">
        <v>137</v>
      </c>
      <c r="D16" s="106">
        <v>10009386</v>
      </c>
      <c r="E16" s="107">
        <v>14.64</v>
      </c>
      <c r="F16" s="107">
        <v>27228.302488710375</v>
      </c>
      <c r="G16" s="107">
        <v>3042.7776000000003</v>
      </c>
      <c r="H16" s="107">
        <v>766.93104000000017</v>
      </c>
      <c r="I16" s="107">
        <v>1507.6564800000003</v>
      </c>
      <c r="J16" s="107">
        <v>1205.2072560000004</v>
      </c>
    </row>
    <row r="17" spans="3:10" x14ac:dyDescent="0.3">
      <c r="C17" s="109" t="s">
        <v>191</v>
      </c>
      <c r="D17" s="106" t="s">
        <v>174</v>
      </c>
      <c r="E17" s="107">
        <v>0</v>
      </c>
      <c r="F17" s="107">
        <v>0</v>
      </c>
      <c r="G17" s="107">
        <v>0</v>
      </c>
      <c r="H17" s="107">
        <v>0</v>
      </c>
      <c r="I17" s="107">
        <v>0</v>
      </c>
      <c r="J17" s="107">
        <v>0</v>
      </c>
    </row>
    <row r="18" spans="3:10" x14ac:dyDescent="0.3">
      <c r="D18" s="106" t="s">
        <v>175</v>
      </c>
      <c r="E18" s="107">
        <v>792.07499999999993</v>
      </c>
      <c r="F18" s="107">
        <v>1476849.0443208583</v>
      </c>
      <c r="G18" s="107">
        <v>164624.86799999999</v>
      </c>
      <c r="H18" s="107">
        <v>41493.640950000008</v>
      </c>
      <c r="I18" s="107">
        <v>81569.467650000006</v>
      </c>
      <c r="J18" s="107">
        <v>65205.911017500017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46E7-B128-4BB5-95C7-1F3499F69A46}">
  <dimension ref="A1:AF100"/>
  <sheetViews>
    <sheetView topLeftCell="B1" zoomScale="70" zoomScaleNormal="70" workbookViewId="0">
      <selection activeCell="Y2" sqref="Y2"/>
    </sheetView>
  </sheetViews>
  <sheetFormatPr baseColWidth="10" defaultRowHeight="15.6" outlineLevelCol="1" x14ac:dyDescent="0.3"/>
  <cols>
    <col min="1" max="1" width="24.109375" style="8" bestFit="1" customWidth="1"/>
    <col min="2" max="2" width="48" style="8" bestFit="1" customWidth="1"/>
    <col min="3" max="3" width="14" style="8" hidden="1" customWidth="1" outlineLevel="1"/>
    <col min="4" max="4" width="20.109375" style="8" hidden="1" customWidth="1" outlineLevel="1"/>
    <col min="5" max="5" width="17.77734375" style="8" hidden="1" customWidth="1" outlineLevel="1"/>
    <col min="6" max="6" width="19.33203125" style="8" hidden="1" customWidth="1" outlineLevel="1"/>
    <col min="7" max="7" width="12.88671875" style="55" hidden="1" customWidth="1" outlineLevel="1"/>
    <col min="8" max="8" width="15.44140625" style="8" hidden="1" customWidth="1" outlineLevel="1"/>
    <col min="9" max="9" width="17.77734375" style="8" hidden="1" customWidth="1" outlineLevel="1"/>
    <col min="10" max="10" width="8.6640625" style="8" hidden="1" customWidth="1" outlineLevel="1"/>
    <col min="11" max="11" width="18.5546875" style="8" hidden="1" customWidth="1" outlineLevel="1"/>
    <col min="12" max="13" width="11.5546875" style="8" hidden="1" customWidth="1" outlineLevel="1"/>
    <col min="14" max="14" width="25.44140625" style="8" hidden="1" customWidth="1" outlineLevel="1"/>
    <col min="15" max="15" width="14" style="8" bestFit="1" customWidth="1" collapsed="1"/>
    <col min="16" max="16" width="16" style="47" hidden="1" customWidth="1" outlineLevel="1"/>
    <col min="17" max="17" width="12.88671875" style="48" bestFit="1" customWidth="1" collapsed="1"/>
    <col min="18" max="18" width="12.88671875" style="104" customWidth="1"/>
    <col min="19" max="21" width="11.109375" style="8" customWidth="1"/>
    <col min="22" max="22" width="15.6640625" style="8" bestFit="1" customWidth="1"/>
    <col min="23" max="23" width="12.6640625" style="8" bestFit="1" customWidth="1"/>
    <col min="24" max="24" width="13.109375" style="8" bestFit="1" customWidth="1"/>
    <col min="25" max="25" width="13.33203125" style="8" bestFit="1" customWidth="1"/>
    <col min="26" max="26" width="11.21875" style="8" bestFit="1" customWidth="1"/>
    <col min="27" max="27" width="10.44140625" style="8" bestFit="1" customWidth="1"/>
    <col min="28" max="28" width="13.5546875" style="8" bestFit="1" customWidth="1"/>
    <col min="29" max="29" width="13.77734375" style="8" customWidth="1"/>
    <col min="30" max="30" width="13.33203125" style="8" bestFit="1" customWidth="1"/>
    <col min="31" max="31" width="16.77734375" style="8" bestFit="1" customWidth="1"/>
    <col min="32" max="32" width="22.44140625" style="8" bestFit="1" customWidth="1"/>
    <col min="33" max="16384" width="11.5546875" style="8"/>
  </cols>
  <sheetData>
    <row r="1" spans="1:32" ht="31.8" thickBot="1" x14ac:dyDescent="0.35">
      <c r="A1" s="2" t="s">
        <v>0</v>
      </c>
      <c r="B1" s="2" t="s">
        <v>1</v>
      </c>
      <c r="C1" s="3" t="s">
        <v>2</v>
      </c>
      <c r="D1" s="4" t="s">
        <v>3</v>
      </c>
      <c r="E1" s="4"/>
      <c r="F1" s="4"/>
      <c r="G1" s="4"/>
      <c r="H1" s="4"/>
      <c r="I1" s="4"/>
      <c r="J1" s="4"/>
      <c r="K1" s="3" t="s">
        <v>4</v>
      </c>
      <c r="L1" s="3" t="s">
        <v>5</v>
      </c>
      <c r="M1" s="3" t="s">
        <v>6</v>
      </c>
      <c r="N1" s="3" t="s">
        <v>7</v>
      </c>
      <c r="O1" s="5" t="s">
        <v>2</v>
      </c>
      <c r="P1" s="6" t="s">
        <v>8</v>
      </c>
      <c r="Q1" s="7" t="s">
        <v>9</v>
      </c>
      <c r="R1" s="101"/>
      <c r="S1" s="76" t="s">
        <v>158</v>
      </c>
      <c r="T1" s="76" t="s">
        <v>159</v>
      </c>
      <c r="U1" s="76" t="s">
        <v>160</v>
      </c>
      <c r="V1" s="76" t="s">
        <v>161</v>
      </c>
      <c r="W1" s="77" t="s">
        <v>162</v>
      </c>
      <c r="X1" s="78" t="s">
        <v>163</v>
      </c>
      <c r="Y1" s="78" t="s">
        <v>164</v>
      </c>
      <c r="Z1" s="78" t="s">
        <v>165</v>
      </c>
      <c r="AA1" s="78" t="s">
        <v>166</v>
      </c>
      <c r="AB1" s="78" t="s">
        <v>167</v>
      </c>
      <c r="AC1" s="78" t="s">
        <v>168</v>
      </c>
      <c r="AD1" s="79" t="s">
        <v>169</v>
      </c>
      <c r="AE1" s="80" t="s">
        <v>170</v>
      </c>
      <c r="AF1" s="80" t="s">
        <v>171</v>
      </c>
    </row>
    <row r="2" spans="1:32" ht="28.5" customHeight="1" x14ac:dyDescent="0.3">
      <c r="A2" s="9">
        <v>10009178</v>
      </c>
      <c r="B2" s="9" t="s">
        <v>10</v>
      </c>
      <c r="C2" s="10">
        <v>12420</v>
      </c>
      <c r="D2" s="11"/>
      <c r="E2" s="11"/>
      <c r="F2" s="11"/>
      <c r="G2" s="11"/>
      <c r="H2" s="12"/>
      <c r="I2" s="12"/>
      <c r="J2" s="12"/>
      <c r="K2" s="12">
        <f>+D2+E2+F2+G2+H2+I2+J2</f>
        <v>0</v>
      </c>
      <c r="L2" s="12"/>
      <c r="M2" s="12"/>
      <c r="N2" s="12"/>
      <c r="O2" s="13">
        <f>+K2+C2-L2-M2-N2</f>
        <v>12420</v>
      </c>
      <c r="P2" s="14">
        <v>5000</v>
      </c>
      <c r="Q2" s="15">
        <f>+O2-P2</f>
        <v>7420</v>
      </c>
      <c r="R2" s="102"/>
      <c r="S2" s="93">
        <v>10006719</v>
      </c>
      <c r="T2" s="83">
        <f>IFERROR(INDEX([1]Resumen!$K$3:$K$63,MATCH(S2,[1]Resumen!$C$3:$C$63,0)),0)*(1+U2*V2)/1000-51.89/1000</f>
        <v>2.0154661325161736</v>
      </c>
      <c r="U2" s="81">
        <v>0.71</v>
      </c>
      <c r="V2" s="82">
        <f t="shared" ref="V2:V33" si="0">3.597/3.52-1</f>
        <v>2.1875000000000089E-2</v>
      </c>
      <c r="W2" s="84">
        <f t="shared" ref="W2:W33" si="1">IF(Q2&lt;0,0,Q2)/1000</f>
        <v>7.42</v>
      </c>
      <c r="X2" s="85">
        <f>IFERROR(T2*W2,0)*1000</f>
        <v>14954.758703270007</v>
      </c>
      <c r="Y2" s="86">
        <f>207.84*W2</f>
        <v>1542.1728000000001</v>
      </c>
      <c r="Z2" s="85">
        <f t="shared" ref="Z2:Z33" si="2">$Z$61/1500*W2</f>
        <v>388.70412000000005</v>
      </c>
      <c r="AA2" s="85">
        <f t="shared" ref="AA2:AA33" si="3">$AA$61/1500*W2</f>
        <v>764.12644000000012</v>
      </c>
      <c r="AB2" s="85">
        <f t="shared" ref="AB2:AB33" si="4">$AB$61/1500*W2</f>
        <v>610.83591800000011</v>
      </c>
      <c r="AC2" s="85">
        <v>0</v>
      </c>
      <c r="AD2" s="87">
        <v>0</v>
      </c>
      <c r="AE2" s="88">
        <f>X2+Y2+Z2+AA2</f>
        <v>17649.762063270005</v>
      </c>
      <c r="AF2" s="88">
        <f>IFERROR(AE2/W2,0)</f>
        <v>2378.6741325161734</v>
      </c>
    </row>
    <row r="3" spans="1:32" x14ac:dyDescent="0.3">
      <c r="A3" s="16">
        <v>10006668</v>
      </c>
      <c r="B3" s="16" t="s">
        <v>11</v>
      </c>
      <c r="C3" s="10">
        <v>880</v>
      </c>
      <c r="D3" s="11"/>
      <c r="E3" s="12"/>
      <c r="F3" s="12"/>
      <c r="G3" s="11"/>
      <c r="H3" s="12"/>
      <c r="I3" s="12"/>
      <c r="J3" s="12"/>
      <c r="K3" s="12">
        <f t="shared" ref="K3:K58" si="5">+D3+E3+F3+G3+H3+I3+J3</f>
        <v>0</v>
      </c>
      <c r="L3" s="12"/>
      <c r="M3" s="12"/>
      <c r="N3" s="12"/>
      <c r="O3" s="13">
        <f t="shared" ref="O3:O52" si="6">+K3+C3-L3-M3-N3</f>
        <v>880</v>
      </c>
      <c r="P3" s="14">
        <f>21720-21720</f>
        <v>0</v>
      </c>
      <c r="Q3" s="15">
        <f t="shared" ref="Q3:Q58" si="7">+O3-P3</f>
        <v>880</v>
      </c>
      <c r="R3" s="102"/>
      <c r="S3" s="93">
        <v>10006719</v>
      </c>
      <c r="T3" s="83">
        <f>IFERROR(INDEX([1]Resumen!$K$3:$K$63,MATCH(S3,[1]Resumen!$C$3:$C$63,0)),0)*(1+U3*V3)/1000-51.89/1000</f>
        <v>2.0154661325161736</v>
      </c>
      <c r="U3" s="82">
        <v>0.71</v>
      </c>
      <c r="V3" s="82">
        <f t="shared" si="0"/>
        <v>2.1875000000000089E-2</v>
      </c>
      <c r="W3" s="84">
        <f t="shared" si="1"/>
        <v>0.88</v>
      </c>
      <c r="X3" s="85">
        <f t="shared" ref="X3:X58" si="8">IFERROR(T3*W3,0)*1000</f>
        <v>1773.6101966142328</v>
      </c>
      <c r="Y3" s="86">
        <f t="shared" ref="Y3:Y58" si="9">207.84*W3</f>
        <v>182.89920000000001</v>
      </c>
      <c r="Z3" s="85">
        <f t="shared" si="2"/>
        <v>46.099680000000006</v>
      </c>
      <c r="AA3" s="85">
        <f t="shared" si="3"/>
        <v>90.624160000000018</v>
      </c>
      <c r="AB3" s="85">
        <f t="shared" si="4"/>
        <v>72.444152000000017</v>
      </c>
      <c r="AC3" s="85">
        <v>0</v>
      </c>
      <c r="AD3" s="87">
        <v>0</v>
      </c>
      <c r="AE3" s="88">
        <f t="shared" ref="AE3:AE58" si="10">X3+Y3+Z3+AA3</f>
        <v>2093.2332366142327</v>
      </c>
      <c r="AF3" s="88">
        <f t="shared" ref="AF3:AF58" si="11">IFERROR(AE3/W3,0)</f>
        <v>2378.6741325161734</v>
      </c>
    </row>
    <row r="4" spans="1:32" x14ac:dyDescent="0.3">
      <c r="A4" s="16">
        <v>10006719</v>
      </c>
      <c r="B4" s="16" t="s">
        <v>12</v>
      </c>
      <c r="C4" s="10">
        <v>3380</v>
      </c>
      <c r="D4" s="11"/>
      <c r="E4" s="12"/>
      <c r="F4" s="12"/>
      <c r="G4" s="11"/>
      <c r="H4" s="12"/>
      <c r="I4" s="12"/>
      <c r="J4" s="12"/>
      <c r="K4" s="12">
        <f t="shared" si="5"/>
        <v>0</v>
      </c>
      <c r="L4" s="12"/>
      <c r="M4" s="12"/>
      <c r="N4" s="12"/>
      <c r="O4" s="13">
        <f t="shared" si="6"/>
        <v>3380</v>
      </c>
      <c r="P4" s="14">
        <f>54000+216000-4000-4000-162000-25000-25000-25000</f>
        <v>25000</v>
      </c>
      <c r="Q4" s="15">
        <f t="shared" si="7"/>
        <v>-21620</v>
      </c>
      <c r="R4" s="102"/>
      <c r="S4" s="93">
        <v>10006719</v>
      </c>
      <c r="T4" s="83">
        <f>IFERROR(INDEX([1]Resumen!$K$3:$K$63,MATCH(S4,[1]Resumen!$C$3:$C$63,0)),0)*(1+U4*V4)/1000-51.89/1000</f>
        <v>2.0154661325161736</v>
      </c>
      <c r="U4" s="82">
        <v>0.71</v>
      </c>
      <c r="V4" s="82">
        <f t="shared" si="0"/>
        <v>2.1875000000000089E-2</v>
      </c>
      <c r="W4" s="84">
        <f t="shared" si="1"/>
        <v>0</v>
      </c>
      <c r="X4" s="85">
        <f t="shared" si="8"/>
        <v>0</v>
      </c>
      <c r="Y4" s="86">
        <f t="shared" si="9"/>
        <v>0</v>
      </c>
      <c r="Z4" s="85">
        <f t="shared" si="2"/>
        <v>0</v>
      </c>
      <c r="AA4" s="85">
        <f t="shared" si="3"/>
        <v>0</v>
      </c>
      <c r="AB4" s="85">
        <f t="shared" si="4"/>
        <v>0</v>
      </c>
      <c r="AC4" s="85">
        <v>0</v>
      </c>
      <c r="AD4" s="87">
        <v>0</v>
      </c>
      <c r="AE4" s="88">
        <f t="shared" si="10"/>
        <v>0</v>
      </c>
      <c r="AF4" s="88">
        <f t="shared" si="11"/>
        <v>0</v>
      </c>
    </row>
    <row r="5" spans="1:32" x14ac:dyDescent="0.3">
      <c r="A5" s="16">
        <v>10009265</v>
      </c>
      <c r="B5" s="16" t="s">
        <v>13</v>
      </c>
      <c r="C5" s="10">
        <v>0</v>
      </c>
      <c r="D5" s="11"/>
      <c r="E5" s="12"/>
      <c r="F5" s="12"/>
      <c r="G5" s="11"/>
      <c r="H5" s="12"/>
      <c r="I5" s="12"/>
      <c r="J5" s="12"/>
      <c r="K5" s="12">
        <f t="shared" si="5"/>
        <v>0</v>
      </c>
      <c r="L5" s="12"/>
      <c r="M5" s="12"/>
      <c r="N5" s="12"/>
      <c r="O5" s="13">
        <f t="shared" si="6"/>
        <v>0</v>
      </c>
      <c r="P5" s="14"/>
      <c r="Q5" s="15">
        <f t="shared" si="7"/>
        <v>0</v>
      </c>
      <c r="R5" s="102"/>
      <c r="S5" s="93">
        <v>10006719</v>
      </c>
      <c r="T5" s="83">
        <f>IFERROR(INDEX([1]Resumen!$K$3:$K$63,MATCH(S5,[1]Resumen!$C$3:$C$63,0)),0)*(1+U5*V5)/1000-51.89/1000</f>
        <v>2.0154661325161736</v>
      </c>
      <c r="U5" s="82">
        <v>0.71</v>
      </c>
      <c r="V5" s="82">
        <f t="shared" si="0"/>
        <v>2.1875000000000089E-2</v>
      </c>
      <c r="W5" s="84">
        <f t="shared" si="1"/>
        <v>0</v>
      </c>
      <c r="X5" s="85">
        <f t="shared" si="8"/>
        <v>0</v>
      </c>
      <c r="Y5" s="86">
        <f t="shared" si="9"/>
        <v>0</v>
      </c>
      <c r="Z5" s="85">
        <f t="shared" si="2"/>
        <v>0</v>
      </c>
      <c r="AA5" s="85">
        <f t="shared" si="3"/>
        <v>0</v>
      </c>
      <c r="AB5" s="85">
        <f t="shared" si="4"/>
        <v>0</v>
      </c>
      <c r="AC5" s="85">
        <v>0</v>
      </c>
      <c r="AD5" s="87">
        <v>0</v>
      </c>
      <c r="AE5" s="88">
        <f t="shared" si="10"/>
        <v>0</v>
      </c>
      <c r="AF5" s="88">
        <f t="shared" si="11"/>
        <v>0</v>
      </c>
    </row>
    <row r="6" spans="1:32" x14ac:dyDescent="0.3">
      <c r="A6" s="16">
        <v>10006720</v>
      </c>
      <c r="B6" s="16" t="s">
        <v>14</v>
      </c>
      <c r="C6" s="10">
        <v>680</v>
      </c>
      <c r="D6" s="11"/>
      <c r="E6" s="11"/>
      <c r="F6" s="11"/>
      <c r="G6" s="11"/>
      <c r="H6" s="12"/>
      <c r="I6" s="12"/>
      <c r="J6" s="12"/>
      <c r="K6" s="12">
        <f t="shared" si="5"/>
        <v>0</v>
      </c>
      <c r="L6" s="12"/>
      <c r="M6" s="12"/>
      <c r="N6" s="12"/>
      <c r="O6" s="13">
        <f t="shared" si="6"/>
        <v>680</v>
      </c>
      <c r="P6" s="14">
        <f>+O6</f>
        <v>680</v>
      </c>
      <c r="Q6" s="15">
        <f t="shared" si="7"/>
        <v>0</v>
      </c>
      <c r="R6" s="102"/>
      <c r="S6" s="93">
        <v>10006720</v>
      </c>
      <c r="T6" s="83">
        <f>IFERROR(INDEX([1]Resumen!$K$3:$K$63,MATCH(S6,[1]Resumen!$C$3:$C$63,0)),0)*(1+U6*V6)/1000-51.89/1000</f>
        <v>1.5011372948243009</v>
      </c>
      <c r="U6" s="82">
        <v>0.71</v>
      </c>
      <c r="V6" s="82">
        <f t="shared" si="0"/>
        <v>2.1875000000000089E-2</v>
      </c>
      <c r="W6" s="84">
        <f t="shared" si="1"/>
        <v>0</v>
      </c>
      <c r="X6" s="85">
        <f t="shared" si="8"/>
        <v>0</v>
      </c>
      <c r="Y6" s="86">
        <f t="shared" si="9"/>
        <v>0</v>
      </c>
      <c r="Z6" s="85">
        <f t="shared" si="2"/>
        <v>0</v>
      </c>
      <c r="AA6" s="85">
        <f t="shared" si="3"/>
        <v>0</v>
      </c>
      <c r="AB6" s="85">
        <f t="shared" si="4"/>
        <v>0</v>
      </c>
      <c r="AC6" s="85">
        <v>0</v>
      </c>
      <c r="AD6" s="87">
        <v>0</v>
      </c>
      <c r="AE6" s="88">
        <f t="shared" si="10"/>
        <v>0</v>
      </c>
      <c r="AF6" s="88">
        <f t="shared" si="11"/>
        <v>0</v>
      </c>
    </row>
    <row r="7" spans="1:32" x14ac:dyDescent="0.3">
      <c r="A7" s="17">
        <v>10010005</v>
      </c>
      <c r="B7" s="17" t="s">
        <v>15</v>
      </c>
      <c r="C7" s="10">
        <v>32380</v>
      </c>
      <c r="D7" s="11"/>
      <c r="E7" s="11"/>
      <c r="F7" s="11"/>
      <c r="G7" s="11"/>
      <c r="H7" s="12"/>
      <c r="I7" s="12"/>
      <c r="J7" s="12"/>
      <c r="K7" s="12">
        <f t="shared" si="5"/>
        <v>0</v>
      </c>
      <c r="L7" s="12"/>
      <c r="M7" s="12"/>
      <c r="N7" s="12"/>
      <c r="O7" s="13">
        <f>+K7+C7-L7-M7-N7</f>
        <v>32380</v>
      </c>
      <c r="P7" s="14">
        <f>69000-P6</f>
        <v>68320</v>
      </c>
      <c r="Q7" s="15">
        <f t="shared" si="7"/>
        <v>-35940</v>
      </c>
      <c r="R7" s="102"/>
      <c r="S7" s="93">
        <v>10006720</v>
      </c>
      <c r="T7" s="83">
        <f>IFERROR(INDEX([1]Resumen!$K$3:$K$63,MATCH(S7,[1]Resumen!$C$3:$C$63,0)),0)*(1+U7*V7)/1000-51.89/1000</f>
        <v>1.5011372948243009</v>
      </c>
      <c r="U7" s="82">
        <v>0.71</v>
      </c>
      <c r="V7" s="82">
        <f t="shared" si="0"/>
        <v>2.1875000000000089E-2</v>
      </c>
      <c r="W7" s="84">
        <f t="shared" si="1"/>
        <v>0</v>
      </c>
      <c r="X7" s="85">
        <f t="shared" si="8"/>
        <v>0</v>
      </c>
      <c r="Y7" s="86">
        <f t="shared" si="9"/>
        <v>0</v>
      </c>
      <c r="Z7" s="85">
        <f t="shared" si="2"/>
        <v>0</v>
      </c>
      <c r="AA7" s="85">
        <f t="shared" si="3"/>
        <v>0</v>
      </c>
      <c r="AB7" s="85">
        <f t="shared" si="4"/>
        <v>0</v>
      </c>
      <c r="AC7" s="85">
        <v>0</v>
      </c>
      <c r="AD7" s="87">
        <v>0</v>
      </c>
      <c r="AE7" s="88">
        <f t="shared" si="10"/>
        <v>0</v>
      </c>
      <c r="AF7" s="88">
        <f t="shared" si="11"/>
        <v>0</v>
      </c>
    </row>
    <row r="8" spans="1:32" x14ac:dyDescent="0.3">
      <c r="A8" s="16">
        <v>10006722</v>
      </c>
      <c r="B8" s="16" t="s">
        <v>16</v>
      </c>
      <c r="C8" s="10">
        <v>120</v>
      </c>
      <c r="D8" s="11"/>
      <c r="E8" s="12"/>
      <c r="F8" s="12"/>
      <c r="G8" s="11"/>
      <c r="H8" s="12"/>
      <c r="I8" s="12"/>
      <c r="J8" s="12"/>
      <c r="K8" s="12">
        <f t="shared" si="5"/>
        <v>0</v>
      </c>
      <c r="L8" s="12"/>
      <c r="M8" s="12"/>
      <c r="N8" s="12"/>
      <c r="O8" s="13">
        <f t="shared" si="6"/>
        <v>120</v>
      </c>
      <c r="P8" s="14"/>
      <c r="Q8" s="15">
        <f t="shared" si="7"/>
        <v>120</v>
      </c>
      <c r="R8" s="102"/>
      <c r="S8" s="93">
        <v>10006720</v>
      </c>
      <c r="T8" s="83">
        <f>IFERROR(INDEX([1]Resumen!$K$3:$K$63,MATCH(S8,[1]Resumen!$C$3:$C$63,0)),0)*(1+U8*V8)/1000-51.89/1000</f>
        <v>1.5011372948243009</v>
      </c>
      <c r="U8" s="82">
        <v>0.71</v>
      </c>
      <c r="V8" s="82">
        <f t="shared" si="0"/>
        <v>2.1875000000000089E-2</v>
      </c>
      <c r="W8" s="84">
        <f t="shared" si="1"/>
        <v>0.12</v>
      </c>
      <c r="X8" s="85">
        <f t="shared" si="8"/>
        <v>180.13647537891612</v>
      </c>
      <c r="Y8" s="86">
        <f t="shared" si="9"/>
        <v>24.940799999999999</v>
      </c>
      <c r="Z8" s="85">
        <f t="shared" si="2"/>
        <v>6.2863200000000008</v>
      </c>
      <c r="AA8" s="85">
        <f t="shared" si="3"/>
        <v>12.357840000000001</v>
      </c>
      <c r="AB8" s="85">
        <f t="shared" si="4"/>
        <v>9.8787480000000016</v>
      </c>
      <c r="AC8" s="85">
        <v>0</v>
      </c>
      <c r="AD8" s="87">
        <v>0</v>
      </c>
      <c r="AE8" s="88">
        <f t="shared" si="10"/>
        <v>223.72143537891611</v>
      </c>
      <c r="AF8" s="88">
        <f t="shared" si="11"/>
        <v>1864.3452948243009</v>
      </c>
    </row>
    <row r="9" spans="1:32" x14ac:dyDescent="0.3">
      <c r="A9" s="16">
        <v>10009207</v>
      </c>
      <c r="B9" s="16" t="s">
        <v>17</v>
      </c>
      <c r="C9" s="10">
        <v>25980</v>
      </c>
      <c r="D9" s="11"/>
      <c r="E9" s="11"/>
      <c r="F9" s="11"/>
      <c r="G9" s="11"/>
      <c r="H9" s="12"/>
      <c r="I9" s="12"/>
      <c r="J9" s="12"/>
      <c r="K9" s="12">
        <f t="shared" si="5"/>
        <v>0</v>
      </c>
      <c r="L9" s="12"/>
      <c r="M9" s="12"/>
      <c r="N9" s="12"/>
      <c r="O9" s="13">
        <f t="shared" si="6"/>
        <v>25980</v>
      </c>
      <c r="P9" s="14"/>
      <c r="Q9" s="15">
        <f t="shared" si="7"/>
        <v>25980</v>
      </c>
      <c r="R9" s="102"/>
      <c r="S9" s="94">
        <v>10009207</v>
      </c>
      <c r="T9" s="83">
        <f>IFERROR(INDEX([1]Resumen!$K$3:$K$63,MATCH(S9,[1]Resumen!$C$3:$C$63,0)),0)*(1+U9*V9)/1000-51.89/1000</f>
        <v>1.5176903274696969</v>
      </c>
      <c r="U9" s="82">
        <v>0.71</v>
      </c>
      <c r="V9" s="82">
        <f t="shared" si="0"/>
        <v>2.1875000000000089E-2</v>
      </c>
      <c r="W9" s="84">
        <f t="shared" si="1"/>
        <v>25.98</v>
      </c>
      <c r="X9" s="85">
        <f t="shared" si="8"/>
        <v>39429.59470766272</v>
      </c>
      <c r="Y9" s="86">
        <f t="shared" si="9"/>
        <v>5399.6832000000004</v>
      </c>
      <c r="Z9" s="85">
        <f t="shared" si="2"/>
        <v>1360.9882800000003</v>
      </c>
      <c r="AA9" s="85">
        <f t="shared" si="3"/>
        <v>2675.4723600000002</v>
      </c>
      <c r="AB9" s="85">
        <f t="shared" si="4"/>
        <v>2138.7489420000006</v>
      </c>
      <c r="AC9" s="85">
        <v>0</v>
      </c>
      <c r="AD9" s="87">
        <v>0</v>
      </c>
      <c r="AE9" s="88">
        <f t="shared" si="10"/>
        <v>48865.738547662717</v>
      </c>
      <c r="AF9" s="88">
        <f t="shared" si="11"/>
        <v>1880.8983274696966</v>
      </c>
    </row>
    <row r="10" spans="1:32" x14ac:dyDescent="0.3">
      <c r="A10" s="16">
        <v>10007969</v>
      </c>
      <c r="B10" s="16" t="s">
        <v>18</v>
      </c>
      <c r="C10" s="10">
        <v>17540</v>
      </c>
      <c r="D10" s="11"/>
      <c r="E10" s="12"/>
      <c r="F10" s="12"/>
      <c r="G10" s="11"/>
      <c r="H10" s="12"/>
      <c r="I10" s="12"/>
      <c r="J10" s="12"/>
      <c r="K10" s="12">
        <f t="shared" si="5"/>
        <v>0</v>
      </c>
      <c r="L10" s="12"/>
      <c r="M10" s="12"/>
      <c r="N10" s="12"/>
      <c r="O10" s="13">
        <f t="shared" si="6"/>
        <v>17540</v>
      </c>
      <c r="P10" s="14">
        <f>24000-24000</f>
        <v>0</v>
      </c>
      <c r="Q10" s="15">
        <f t="shared" si="7"/>
        <v>17540</v>
      </c>
      <c r="R10" s="102"/>
      <c r="S10" s="94">
        <v>10007969</v>
      </c>
      <c r="T10" s="83">
        <f>IFERROR(INDEX([1]Resumen!$K$3:$K$63,MATCH(S10,[1]Resumen!$C$3:$C$63,0)),0)*(1+U10*V10)/1000-51.89/1000</f>
        <v>1.4660036185560763</v>
      </c>
      <c r="U10" s="82">
        <v>0.71</v>
      </c>
      <c r="V10" s="82">
        <f t="shared" si="0"/>
        <v>2.1875000000000089E-2</v>
      </c>
      <c r="W10" s="84">
        <f t="shared" si="1"/>
        <v>17.54</v>
      </c>
      <c r="X10" s="85">
        <f t="shared" si="8"/>
        <v>25713.703469473578</v>
      </c>
      <c r="Y10" s="86">
        <f t="shared" si="9"/>
        <v>3645.5135999999998</v>
      </c>
      <c r="Z10" s="85">
        <f t="shared" si="2"/>
        <v>918.85044000000016</v>
      </c>
      <c r="AA10" s="85">
        <f t="shared" si="3"/>
        <v>1806.3042800000001</v>
      </c>
      <c r="AB10" s="85">
        <f t="shared" si="4"/>
        <v>1443.9436660000003</v>
      </c>
      <c r="AC10" s="85">
        <v>0</v>
      </c>
      <c r="AD10" s="87">
        <v>0</v>
      </c>
      <c r="AE10" s="88">
        <f t="shared" si="10"/>
        <v>32084.371789473578</v>
      </c>
      <c r="AF10" s="88">
        <f t="shared" si="11"/>
        <v>1829.2116185560765</v>
      </c>
    </row>
    <row r="11" spans="1:32" x14ac:dyDescent="0.3">
      <c r="A11" s="16">
        <v>10009174</v>
      </c>
      <c r="B11" s="16" t="s">
        <v>19</v>
      </c>
      <c r="C11" s="10">
        <v>0</v>
      </c>
      <c r="D11" s="11"/>
      <c r="E11" s="12"/>
      <c r="F11" s="12"/>
      <c r="G11" s="11"/>
      <c r="H11" s="12"/>
      <c r="I11" s="12"/>
      <c r="J11" s="12"/>
      <c r="K11" s="12">
        <f t="shared" si="5"/>
        <v>0</v>
      </c>
      <c r="L11" s="12"/>
      <c r="M11" s="12"/>
      <c r="N11" s="12"/>
      <c r="O11" s="13">
        <f t="shared" si="6"/>
        <v>0</v>
      </c>
      <c r="P11" s="14"/>
      <c r="Q11" s="15">
        <f t="shared" si="7"/>
        <v>0</v>
      </c>
      <c r="R11" s="102"/>
      <c r="T11" s="83"/>
      <c r="V11" s="82">
        <f t="shared" si="0"/>
        <v>2.1875000000000089E-2</v>
      </c>
      <c r="W11" s="84">
        <f t="shared" si="1"/>
        <v>0</v>
      </c>
      <c r="X11" s="85">
        <f t="shared" si="8"/>
        <v>0</v>
      </c>
      <c r="Y11" s="86">
        <f t="shared" si="9"/>
        <v>0</v>
      </c>
      <c r="Z11" s="85">
        <f t="shared" si="2"/>
        <v>0</v>
      </c>
      <c r="AA11" s="85">
        <f t="shared" si="3"/>
        <v>0</v>
      </c>
      <c r="AB11" s="85">
        <f t="shared" si="4"/>
        <v>0</v>
      </c>
      <c r="AC11" s="85">
        <v>0</v>
      </c>
      <c r="AD11" s="87">
        <v>0</v>
      </c>
      <c r="AE11" s="88">
        <f t="shared" si="10"/>
        <v>0</v>
      </c>
      <c r="AF11" s="88">
        <f t="shared" si="11"/>
        <v>0</v>
      </c>
    </row>
    <row r="12" spans="1:32" x14ac:dyDescent="0.3">
      <c r="A12" s="16">
        <v>10009175</v>
      </c>
      <c r="B12" s="16" t="s">
        <v>20</v>
      </c>
      <c r="C12" s="10">
        <v>0</v>
      </c>
      <c r="D12" s="11"/>
      <c r="E12" s="12"/>
      <c r="F12" s="12"/>
      <c r="G12" s="11"/>
      <c r="H12" s="12"/>
      <c r="I12" s="12"/>
      <c r="J12" s="12"/>
      <c r="K12" s="12">
        <f t="shared" si="5"/>
        <v>0</v>
      </c>
      <c r="L12" s="12"/>
      <c r="M12" s="12"/>
      <c r="N12" s="12"/>
      <c r="O12" s="13">
        <f t="shared" si="6"/>
        <v>0</v>
      </c>
      <c r="P12" s="14"/>
      <c r="Q12" s="15">
        <f t="shared" si="7"/>
        <v>0</v>
      </c>
      <c r="R12" s="102"/>
      <c r="T12" s="83"/>
      <c r="V12" s="82">
        <f t="shared" si="0"/>
        <v>2.1875000000000089E-2</v>
      </c>
      <c r="W12" s="84">
        <f t="shared" si="1"/>
        <v>0</v>
      </c>
      <c r="X12" s="85">
        <f t="shared" si="8"/>
        <v>0</v>
      </c>
      <c r="Y12" s="86">
        <f t="shared" si="9"/>
        <v>0</v>
      </c>
      <c r="Z12" s="85">
        <f t="shared" si="2"/>
        <v>0</v>
      </c>
      <c r="AA12" s="85">
        <f t="shared" si="3"/>
        <v>0</v>
      </c>
      <c r="AB12" s="85">
        <f t="shared" si="4"/>
        <v>0</v>
      </c>
      <c r="AC12" s="85">
        <v>0</v>
      </c>
      <c r="AD12" s="87">
        <v>0</v>
      </c>
      <c r="AE12" s="88">
        <f t="shared" si="10"/>
        <v>0</v>
      </c>
      <c r="AF12" s="88">
        <f t="shared" si="11"/>
        <v>0</v>
      </c>
    </row>
    <row r="13" spans="1:32" x14ac:dyDescent="0.3">
      <c r="A13" s="16">
        <v>10009176</v>
      </c>
      <c r="B13" s="16" t="s">
        <v>21</v>
      </c>
      <c r="C13" s="10">
        <v>0</v>
      </c>
      <c r="D13" s="11"/>
      <c r="E13" s="12"/>
      <c r="F13" s="12"/>
      <c r="G13" s="11"/>
      <c r="H13" s="12"/>
      <c r="I13" s="12"/>
      <c r="J13" s="12"/>
      <c r="K13" s="12">
        <f t="shared" si="5"/>
        <v>0</v>
      </c>
      <c r="L13" s="12"/>
      <c r="M13" s="12"/>
      <c r="N13" s="12"/>
      <c r="O13" s="13">
        <f t="shared" si="6"/>
        <v>0</v>
      </c>
      <c r="P13" s="14"/>
      <c r="Q13" s="15">
        <f t="shared" si="7"/>
        <v>0</v>
      </c>
      <c r="R13" s="102"/>
      <c r="T13" s="83"/>
      <c r="V13" s="82">
        <f t="shared" si="0"/>
        <v>2.1875000000000089E-2</v>
      </c>
      <c r="W13" s="84">
        <f t="shared" si="1"/>
        <v>0</v>
      </c>
      <c r="X13" s="85">
        <f t="shared" si="8"/>
        <v>0</v>
      </c>
      <c r="Y13" s="86">
        <f t="shared" si="9"/>
        <v>0</v>
      </c>
      <c r="Z13" s="85">
        <f t="shared" si="2"/>
        <v>0</v>
      </c>
      <c r="AA13" s="85">
        <f t="shared" si="3"/>
        <v>0</v>
      </c>
      <c r="AB13" s="85">
        <f t="shared" si="4"/>
        <v>0</v>
      </c>
      <c r="AC13" s="85">
        <v>0</v>
      </c>
      <c r="AD13" s="87">
        <v>0</v>
      </c>
      <c r="AE13" s="88">
        <f t="shared" si="10"/>
        <v>0</v>
      </c>
      <c r="AF13" s="88">
        <f t="shared" si="11"/>
        <v>0</v>
      </c>
    </row>
    <row r="14" spans="1:32" x14ac:dyDescent="0.3">
      <c r="A14" s="16">
        <v>10010003</v>
      </c>
      <c r="B14" s="16" t="s">
        <v>22</v>
      </c>
      <c r="C14" s="10">
        <v>0</v>
      </c>
      <c r="D14" s="11"/>
      <c r="E14" s="12"/>
      <c r="F14" s="12"/>
      <c r="G14" s="11"/>
      <c r="H14" s="12"/>
      <c r="I14" s="12"/>
      <c r="J14" s="12"/>
      <c r="K14" s="12">
        <f t="shared" si="5"/>
        <v>0</v>
      </c>
      <c r="L14" s="12"/>
      <c r="M14" s="12"/>
      <c r="N14" s="12"/>
      <c r="O14" s="13">
        <f t="shared" si="6"/>
        <v>0</v>
      </c>
      <c r="P14" s="14"/>
      <c r="Q14" s="15">
        <f t="shared" si="7"/>
        <v>0</v>
      </c>
      <c r="R14" s="102"/>
      <c r="T14" s="83"/>
      <c r="V14" s="82">
        <f t="shared" si="0"/>
        <v>2.1875000000000089E-2</v>
      </c>
      <c r="W14" s="84">
        <f t="shared" si="1"/>
        <v>0</v>
      </c>
      <c r="X14" s="85">
        <f t="shared" si="8"/>
        <v>0</v>
      </c>
      <c r="Y14" s="86">
        <f t="shared" si="9"/>
        <v>0</v>
      </c>
      <c r="Z14" s="85">
        <f t="shared" si="2"/>
        <v>0</v>
      </c>
      <c r="AA14" s="85">
        <f t="shared" si="3"/>
        <v>0</v>
      </c>
      <c r="AB14" s="85">
        <f t="shared" si="4"/>
        <v>0</v>
      </c>
      <c r="AC14" s="85">
        <v>0</v>
      </c>
      <c r="AD14" s="87">
        <v>0</v>
      </c>
      <c r="AE14" s="88">
        <f t="shared" si="10"/>
        <v>0</v>
      </c>
      <c r="AF14" s="88">
        <f t="shared" si="11"/>
        <v>0</v>
      </c>
    </row>
    <row r="15" spans="1:32" x14ac:dyDescent="0.3">
      <c r="A15" s="16">
        <v>10009177</v>
      </c>
      <c r="B15" s="16" t="s">
        <v>23</v>
      </c>
      <c r="C15" s="10">
        <v>0</v>
      </c>
      <c r="D15" s="11"/>
      <c r="E15" s="12"/>
      <c r="F15" s="12"/>
      <c r="G15" s="11"/>
      <c r="H15" s="12"/>
      <c r="I15" s="12"/>
      <c r="J15" s="12"/>
      <c r="K15" s="12">
        <f t="shared" si="5"/>
        <v>0</v>
      </c>
      <c r="L15" s="12"/>
      <c r="M15" s="12"/>
      <c r="N15" s="12"/>
      <c r="O15" s="13">
        <f t="shared" si="6"/>
        <v>0</v>
      </c>
      <c r="P15" s="14"/>
      <c r="Q15" s="15">
        <f t="shared" si="7"/>
        <v>0</v>
      </c>
      <c r="R15" s="102"/>
      <c r="T15" s="83"/>
      <c r="V15" s="82">
        <f t="shared" si="0"/>
        <v>2.1875000000000089E-2</v>
      </c>
      <c r="W15" s="84">
        <f t="shared" si="1"/>
        <v>0</v>
      </c>
      <c r="X15" s="85">
        <f t="shared" si="8"/>
        <v>0</v>
      </c>
      <c r="Y15" s="86">
        <f t="shared" si="9"/>
        <v>0</v>
      </c>
      <c r="Z15" s="85">
        <f t="shared" si="2"/>
        <v>0</v>
      </c>
      <c r="AA15" s="85">
        <f t="shared" si="3"/>
        <v>0</v>
      </c>
      <c r="AB15" s="85">
        <f t="shared" si="4"/>
        <v>0</v>
      </c>
      <c r="AC15" s="85">
        <v>0</v>
      </c>
      <c r="AD15" s="87">
        <v>0</v>
      </c>
      <c r="AE15" s="88">
        <f t="shared" si="10"/>
        <v>0</v>
      </c>
      <c r="AF15" s="88">
        <f t="shared" si="11"/>
        <v>0</v>
      </c>
    </row>
    <row r="16" spans="1:32" x14ac:dyDescent="0.3">
      <c r="A16" s="18">
        <v>10004433</v>
      </c>
      <c r="B16" s="18" t="s">
        <v>24</v>
      </c>
      <c r="C16" s="10">
        <v>1380</v>
      </c>
      <c r="D16" s="11"/>
      <c r="E16" s="12"/>
      <c r="F16" s="12"/>
      <c r="G16" s="11"/>
      <c r="H16" s="12"/>
      <c r="I16" s="12"/>
      <c r="J16" s="12"/>
      <c r="K16" s="12">
        <f t="shared" si="5"/>
        <v>0</v>
      </c>
      <c r="L16" s="12"/>
      <c r="M16" s="12"/>
      <c r="N16" s="12"/>
      <c r="O16" s="13">
        <f t="shared" si="6"/>
        <v>1380</v>
      </c>
      <c r="P16" s="14"/>
      <c r="Q16" s="15">
        <f t="shared" si="7"/>
        <v>1380</v>
      </c>
      <c r="R16" s="102"/>
      <c r="S16" s="95">
        <v>10005721</v>
      </c>
      <c r="T16" s="83">
        <f>IFERROR(INDEX([1]Resumen!$K$3:$K$63,MATCH(S16,[1]Resumen!$C$3:$C$63,0)),0)*(1+U16*V16)/1000-51.89/1000</f>
        <v>2.1161125990325416</v>
      </c>
      <c r="U16" s="81">
        <v>0.67</v>
      </c>
      <c r="V16" s="82">
        <f t="shared" si="0"/>
        <v>2.1875000000000089E-2</v>
      </c>
      <c r="W16" s="84">
        <f t="shared" si="1"/>
        <v>1.38</v>
      </c>
      <c r="X16" s="85">
        <f t="shared" si="8"/>
        <v>2920.2353866649073</v>
      </c>
      <c r="Y16" s="86">
        <f t="shared" si="9"/>
        <v>286.81919999999997</v>
      </c>
      <c r="Z16" s="85">
        <f t="shared" si="2"/>
        <v>72.292680000000004</v>
      </c>
      <c r="AA16" s="85">
        <f t="shared" si="3"/>
        <v>142.11516</v>
      </c>
      <c r="AB16" s="85">
        <f t="shared" si="4"/>
        <v>113.60560200000002</v>
      </c>
      <c r="AC16" s="85">
        <v>0</v>
      </c>
      <c r="AD16" s="87">
        <v>0</v>
      </c>
      <c r="AE16" s="88">
        <f t="shared" si="10"/>
        <v>3421.4624266649071</v>
      </c>
      <c r="AF16" s="88">
        <f t="shared" si="11"/>
        <v>2479.3205990325414</v>
      </c>
    </row>
    <row r="17" spans="1:32" x14ac:dyDescent="0.3">
      <c r="A17" s="18">
        <v>10004434</v>
      </c>
      <c r="B17" s="18" t="s">
        <v>25</v>
      </c>
      <c r="C17" s="10">
        <v>1920</v>
      </c>
      <c r="D17" s="11"/>
      <c r="E17" s="12"/>
      <c r="F17" s="12"/>
      <c r="G17" s="11"/>
      <c r="H17" s="12"/>
      <c r="I17" s="12"/>
      <c r="J17" s="12"/>
      <c r="K17" s="12">
        <f t="shared" si="5"/>
        <v>0</v>
      </c>
      <c r="L17" s="12"/>
      <c r="M17" s="12"/>
      <c r="N17" s="12"/>
      <c r="O17" s="13">
        <f t="shared" si="6"/>
        <v>1920</v>
      </c>
      <c r="P17" s="14"/>
      <c r="Q17" s="15">
        <f t="shared" si="7"/>
        <v>1920</v>
      </c>
      <c r="R17" s="102"/>
      <c r="S17" s="95">
        <v>10005721</v>
      </c>
      <c r="T17" s="83">
        <f>IFERROR(INDEX([1]Resumen!$K$3:$K$63,MATCH(S17,[1]Resumen!$C$3:$C$63,0)),0)*(1+U17*V17)/1000-51.89/1000</f>
        <v>2.1161125990325416</v>
      </c>
      <c r="U17" s="82">
        <v>0.67</v>
      </c>
      <c r="V17" s="82">
        <f t="shared" si="0"/>
        <v>2.1875000000000089E-2</v>
      </c>
      <c r="W17" s="84">
        <f t="shared" si="1"/>
        <v>1.92</v>
      </c>
      <c r="X17" s="85">
        <f t="shared" si="8"/>
        <v>4062.93619014248</v>
      </c>
      <c r="Y17" s="86">
        <f t="shared" si="9"/>
        <v>399.05279999999999</v>
      </c>
      <c r="Z17" s="85">
        <f t="shared" si="2"/>
        <v>100.58112000000001</v>
      </c>
      <c r="AA17" s="85">
        <f t="shared" si="3"/>
        <v>197.72544000000002</v>
      </c>
      <c r="AB17" s="85">
        <f t="shared" si="4"/>
        <v>158.05996800000003</v>
      </c>
      <c r="AC17" s="85">
        <v>0</v>
      </c>
      <c r="AD17" s="87">
        <v>0</v>
      </c>
      <c r="AE17" s="88">
        <f t="shared" si="10"/>
        <v>4760.2955501424804</v>
      </c>
      <c r="AF17" s="88">
        <f t="shared" si="11"/>
        <v>2479.3205990325418</v>
      </c>
    </row>
    <row r="18" spans="1:32" x14ac:dyDescent="0.3">
      <c r="A18" s="18">
        <v>10004435</v>
      </c>
      <c r="B18" s="18" t="s">
        <v>26</v>
      </c>
      <c r="C18" s="10">
        <v>13100</v>
      </c>
      <c r="D18" s="11"/>
      <c r="E18" s="12"/>
      <c r="F18" s="12"/>
      <c r="G18" s="11"/>
      <c r="H18" s="12"/>
      <c r="I18" s="12"/>
      <c r="J18" s="12"/>
      <c r="K18" s="12">
        <f t="shared" si="5"/>
        <v>0</v>
      </c>
      <c r="L18" s="12"/>
      <c r="M18" s="12"/>
      <c r="N18" s="12"/>
      <c r="O18" s="13">
        <f t="shared" si="6"/>
        <v>13100</v>
      </c>
      <c r="P18" s="14"/>
      <c r="Q18" s="15">
        <f t="shared" si="7"/>
        <v>13100</v>
      </c>
      <c r="R18" s="102"/>
      <c r="S18" s="95">
        <v>10005721</v>
      </c>
      <c r="T18" s="83">
        <f>IFERROR(INDEX([1]Resumen!$K$3:$K$63,MATCH(S18,[1]Resumen!$C$3:$C$63,0)),0)*(1+U18*V18)/1000-51.89/1000</f>
        <v>2.1161125990325416</v>
      </c>
      <c r="U18" s="82">
        <v>0.67</v>
      </c>
      <c r="V18" s="82">
        <f t="shared" si="0"/>
        <v>2.1875000000000089E-2</v>
      </c>
      <c r="W18" s="84">
        <f t="shared" si="1"/>
        <v>13.1</v>
      </c>
      <c r="X18" s="85">
        <f t="shared" si="8"/>
        <v>27721.075047326296</v>
      </c>
      <c r="Y18" s="86">
        <f t="shared" si="9"/>
        <v>2722.7040000000002</v>
      </c>
      <c r="Z18" s="85">
        <f t="shared" si="2"/>
        <v>686.25660000000016</v>
      </c>
      <c r="AA18" s="85">
        <f t="shared" si="3"/>
        <v>1349.0642</v>
      </c>
      <c r="AB18" s="85">
        <f t="shared" si="4"/>
        <v>1078.4299900000003</v>
      </c>
      <c r="AC18" s="85">
        <v>0</v>
      </c>
      <c r="AD18" s="87">
        <v>0</v>
      </c>
      <c r="AE18" s="88">
        <f t="shared" si="10"/>
        <v>32479.099847326299</v>
      </c>
      <c r="AF18" s="88">
        <f t="shared" si="11"/>
        <v>2479.3205990325418</v>
      </c>
    </row>
    <row r="19" spans="1:32" x14ac:dyDescent="0.3">
      <c r="A19" s="16">
        <v>10005708</v>
      </c>
      <c r="B19" s="16" t="s">
        <v>27</v>
      </c>
      <c r="C19" s="10">
        <v>1060</v>
      </c>
      <c r="D19" s="11"/>
      <c r="E19" s="12"/>
      <c r="F19" s="12"/>
      <c r="G19" s="11"/>
      <c r="H19" s="12"/>
      <c r="I19" s="12"/>
      <c r="J19" s="12"/>
      <c r="K19" s="12">
        <f t="shared" si="5"/>
        <v>0</v>
      </c>
      <c r="L19" s="12"/>
      <c r="M19" s="12"/>
      <c r="N19" s="12"/>
      <c r="O19" s="13">
        <f t="shared" si="6"/>
        <v>1060</v>
      </c>
      <c r="P19" s="14"/>
      <c r="Q19" s="15">
        <f t="shared" si="7"/>
        <v>1060</v>
      </c>
      <c r="R19" s="102"/>
      <c r="S19" s="95">
        <v>10005721</v>
      </c>
      <c r="T19" s="83">
        <f>IFERROR(INDEX([1]Resumen!$K$3:$K$63,MATCH(S19,[1]Resumen!$C$3:$C$63,0)),0)*(1+U19*V19)/1000-51.89/1000</f>
        <v>2.1161125990325416</v>
      </c>
      <c r="U19" s="82">
        <v>0.67</v>
      </c>
      <c r="V19" s="82">
        <f t="shared" si="0"/>
        <v>2.1875000000000089E-2</v>
      </c>
      <c r="W19" s="84">
        <f t="shared" si="1"/>
        <v>1.06</v>
      </c>
      <c r="X19" s="85">
        <f t="shared" si="8"/>
        <v>2243.079354974494</v>
      </c>
      <c r="Y19" s="86">
        <f t="shared" si="9"/>
        <v>220.31040000000002</v>
      </c>
      <c r="Z19" s="85">
        <f t="shared" si="2"/>
        <v>55.529160000000012</v>
      </c>
      <c r="AA19" s="85">
        <f t="shared" si="3"/>
        <v>109.16092000000002</v>
      </c>
      <c r="AB19" s="85">
        <f t="shared" si="4"/>
        <v>87.262274000000019</v>
      </c>
      <c r="AC19" s="85">
        <v>0</v>
      </c>
      <c r="AD19" s="87">
        <v>0</v>
      </c>
      <c r="AE19" s="88">
        <f t="shared" si="10"/>
        <v>2628.0798349744937</v>
      </c>
      <c r="AF19" s="88">
        <f t="shared" si="11"/>
        <v>2479.3205990325409</v>
      </c>
    </row>
    <row r="20" spans="1:32" x14ac:dyDescent="0.3">
      <c r="A20" s="9">
        <v>10005721</v>
      </c>
      <c r="B20" s="9" t="s">
        <v>28</v>
      </c>
      <c r="C20" s="10">
        <v>270520</v>
      </c>
      <c r="D20" s="11"/>
      <c r="E20" s="11"/>
      <c r="F20" s="11"/>
      <c r="G20" s="11"/>
      <c r="H20" s="12"/>
      <c r="I20" s="12"/>
      <c r="J20" s="12"/>
      <c r="K20" s="12">
        <f t="shared" si="5"/>
        <v>0</v>
      </c>
      <c r="L20" s="12"/>
      <c r="M20" s="12"/>
      <c r="N20" s="12"/>
      <c r="O20" s="13">
        <f t="shared" si="6"/>
        <v>270520</v>
      </c>
      <c r="P20" s="14"/>
      <c r="Q20" s="15">
        <f t="shared" si="7"/>
        <v>270520</v>
      </c>
      <c r="R20" s="102"/>
      <c r="S20" s="95">
        <v>10005721</v>
      </c>
      <c r="T20" s="83">
        <f>IFERROR(INDEX([1]Resumen!$K$3:$K$63,MATCH(S20,[1]Resumen!$C$3:$C$63,0)),0)*(1+U20*V20)/1000-51.89/1000</f>
        <v>2.1161125990325416</v>
      </c>
      <c r="U20" s="82">
        <v>0.67</v>
      </c>
      <c r="V20" s="82">
        <f t="shared" si="0"/>
        <v>2.1875000000000089E-2</v>
      </c>
      <c r="W20" s="84">
        <f t="shared" si="1"/>
        <v>270.52</v>
      </c>
      <c r="X20" s="85">
        <f t="shared" si="8"/>
        <v>572450.78029028315</v>
      </c>
      <c r="Y20" s="86">
        <f t="shared" si="9"/>
        <v>56224.876799999998</v>
      </c>
      <c r="Z20" s="85">
        <f t="shared" si="2"/>
        <v>14171.460720000001</v>
      </c>
      <c r="AA20" s="85">
        <f t="shared" si="3"/>
        <v>27858.690640000001</v>
      </c>
      <c r="AB20" s="85">
        <f t="shared" si="4"/>
        <v>22269.990908000003</v>
      </c>
      <c r="AC20" s="85">
        <v>0</v>
      </c>
      <c r="AD20" s="87">
        <v>0</v>
      </c>
      <c r="AE20" s="88">
        <f t="shared" si="10"/>
        <v>670705.80845028313</v>
      </c>
      <c r="AF20" s="88">
        <f t="shared" si="11"/>
        <v>2479.3205990325418</v>
      </c>
    </row>
    <row r="21" spans="1:32" x14ac:dyDescent="0.3">
      <c r="A21" s="16">
        <v>10005711</v>
      </c>
      <c r="B21" s="16" t="s">
        <v>29</v>
      </c>
      <c r="C21" s="10">
        <v>11320</v>
      </c>
      <c r="D21" s="11"/>
      <c r="E21" s="11"/>
      <c r="F21" s="11"/>
      <c r="G21" s="11"/>
      <c r="H21" s="12"/>
      <c r="I21" s="12"/>
      <c r="J21" s="12"/>
      <c r="K21" s="12">
        <f t="shared" si="5"/>
        <v>0</v>
      </c>
      <c r="L21" s="12"/>
      <c r="M21" s="12"/>
      <c r="N21" s="12"/>
      <c r="O21" s="13">
        <f t="shared" si="6"/>
        <v>11320</v>
      </c>
      <c r="P21" s="14"/>
      <c r="Q21" s="15">
        <f t="shared" si="7"/>
        <v>11320</v>
      </c>
      <c r="R21" s="102"/>
      <c r="S21" s="95">
        <v>10005721</v>
      </c>
      <c r="T21" s="83">
        <f>IFERROR(INDEX([1]Resumen!$K$3:$K$63,MATCH(S21,[1]Resumen!$C$3:$C$63,0)),0)*(1+U21*V21)/1000-51.89/1000</f>
        <v>2.1161125990325416</v>
      </c>
      <c r="U21" s="82">
        <v>0.67</v>
      </c>
      <c r="V21" s="82">
        <f t="shared" si="0"/>
        <v>2.1875000000000089E-2</v>
      </c>
      <c r="W21" s="84">
        <f t="shared" si="1"/>
        <v>11.32</v>
      </c>
      <c r="X21" s="85">
        <f t="shared" si="8"/>
        <v>23954.394621048374</v>
      </c>
      <c r="Y21" s="86">
        <f t="shared" si="9"/>
        <v>2352.7488000000003</v>
      </c>
      <c r="Z21" s="85">
        <f t="shared" si="2"/>
        <v>593.00952000000018</v>
      </c>
      <c r="AA21" s="85">
        <f t="shared" si="3"/>
        <v>1165.7562400000002</v>
      </c>
      <c r="AB21" s="85">
        <f t="shared" si="4"/>
        <v>931.8952280000002</v>
      </c>
      <c r="AC21" s="85">
        <v>0</v>
      </c>
      <c r="AD21" s="87">
        <v>0</v>
      </c>
      <c r="AE21" s="88">
        <f t="shared" si="10"/>
        <v>28065.909181048373</v>
      </c>
      <c r="AF21" s="88">
        <f t="shared" si="11"/>
        <v>2479.3205990325418</v>
      </c>
    </row>
    <row r="22" spans="1:32" x14ac:dyDescent="0.3">
      <c r="A22" s="16">
        <v>10005718</v>
      </c>
      <c r="B22" s="16" t="s">
        <v>30</v>
      </c>
      <c r="C22" s="10">
        <v>21920</v>
      </c>
      <c r="D22" s="11"/>
      <c r="E22" s="11"/>
      <c r="F22" s="11"/>
      <c r="G22" s="11"/>
      <c r="H22" s="12"/>
      <c r="I22" s="12"/>
      <c r="J22" s="12"/>
      <c r="K22" s="12">
        <f t="shared" si="5"/>
        <v>0</v>
      </c>
      <c r="L22" s="12"/>
      <c r="M22" s="12"/>
      <c r="N22" s="12"/>
      <c r="O22" s="13">
        <f>+K22+C22-L22-M22-N22</f>
        <v>21920</v>
      </c>
      <c r="P22" s="14">
        <f>24000+108000-27000+14000-O24</f>
        <v>114220</v>
      </c>
      <c r="Q22" s="15">
        <f t="shared" si="7"/>
        <v>-92300</v>
      </c>
      <c r="R22" s="102"/>
      <c r="S22" s="95">
        <v>10005721</v>
      </c>
      <c r="T22" s="83">
        <f>IFERROR(INDEX([1]Resumen!$K$3:$K$63,MATCH(S22,[1]Resumen!$C$3:$C$63,0)),0)*(1+U22*V22)/1000-51.89/1000</f>
        <v>2.1161125990325416</v>
      </c>
      <c r="U22" s="82">
        <v>0.67</v>
      </c>
      <c r="V22" s="82">
        <f t="shared" si="0"/>
        <v>2.1875000000000089E-2</v>
      </c>
      <c r="W22" s="84">
        <f t="shared" si="1"/>
        <v>0</v>
      </c>
      <c r="X22" s="85">
        <f t="shared" si="8"/>
        <v>0</v>
      </c>
      <c r="Y22" s="86">
        <f t="shared" si="9"/>
        <v>0</v>
      </c>
      <c r="Z22" s="85">
        <f t="shared" si="2"/>
        <v>0</v>
      </c>
      <c r="AA22" s="85">
        <f t="shared" si="3"/>
        <v>0</v>
      </c>
      <c r="AB22" s="85">
        <f t="shared" si="4"/>
        <v>0</v>
      </c>
      <c r="AC22" s="85">
        <v>0</v>
      </c>
      <c r="AD22" s="87">
        <v>0</v>
      </c>
      <c r="AE22" s="88">
        <f t="shared" si="10"/>
        <v>0</v>
      </c>
      <c r="AF22" s="88">
        <f t="shared" si="11"/>
        <v>0</v>
      </c>
    </row>
    <row r="23" spans="1:32" x14ac:dyDescent="0.3">
      <c r="A23" s="19">
        <v>10009971</v>
      </c>
      <c r="B23" s="19" t="s">
        <v>31</v>
      </c>
      <c r="C23" s="10">
        <v>0</v>
      </c>
      <c r="D23" s="11"/>
      <c r="E23" s="11"/>
      <c r="F23" s="11"/>
      <c r="G23" s="11"/>
      <c r="H23" s="12"/>
      <c r="I23" s="12"/>
      <c r="J23" s="12"/>
      <c r="K23" s="12">
        <f t="shared" si="5"/>
        <v>0</v>
      </c>
      <c r="L23" s="12"/>
      <c r="M23" s="12"/>
      <c r="N23" s="12"/>
      <c r="O23" s="13">
        <f t="shared" si="6"/>
        <v>0</v>
      </c>
      <c r="P23" s="14"/>
      <c r="Q23" s="15">
        <f t="shared" si="7"/>
        <v>0</v>
      </c>
      <c r="R23" s="102"/>
      <c r="S23" s="95">
        <v>10005721</v>
      </c>
      <c r="T23" s="83">
        <f>IFERROR(INDEX([1]Resumen!$K$3:$K$63,MATCH(S23,[1]Resumen!$C$3:$C$63,0)),0)*(1+U23*V23)/1000-51.89/1000</f>
        <v>2.1161125990325416</v>
      </c>
      <c r="U23" s="82">
        <v>0.67</v>
      </c>
      <c r="V23" s="82">
        <f t="shared" si="0"/>
        <v>2.1875000000000089E-2</v>
      </c>
      <c r="W23" s="84">
        <f t="shared" si="1"/>
        <v>0</v>
      </c>
      <c r="X23" s="85">
        <f t="shared" si="8"/>
        <v>0</v>
      </c>
      <c r="Y23" s="86">
        <f t="shared" si="9"/>
        <v>0</v>
      </c>
      <c r="Z23" s="85">
        <f t="shared" si="2"/>
        <v>0</v>
      </c>
      <c r="AA23" s="85">
        <f t="shared" si="3"/>
        <v>0</v>
      </c>
      <c r="AB23" s="85">
        <f t="shared" si="4"/>
        <v>0</v>
      </c>
      <c r="AC23" s="85">
        <v>0</v>
      </c>
      <c r="AD23" s="87">
        <v>0</v>
      </c>
      <c r="AE23" s="88">
        <f t="shared" si="10"/>
        <v>0</v>
      </c>
      <c r="AF23" s="88">
        <f t="shared" si="11"/>
        <v>0</v>
      </c>
    </row>
    <row r="24" spans="1:32" x14ac:dyDescent="0.3">
      <c r="A24" s="19">
        <v>10009972</v>
      </c>
      <c r="B24" s="19" t="s">
        <v>32</v>
      </c>
      <c r="C24" s="10">
        <v>4780</v>
      </c>
      <c r="D24" s="11"/>
      <c r="E24" s="11"/>
      <c r="F24" s="11"/>
      <c r="G24" s="11"/>
      <c r="H24" s="12"/>
      <c r="I24" s="12"/>
      <c r="J24" s="12"/>
      <c r="K24" s="12">
        <f t="shared" si="5"/>
        <v>0</v>
      </c>
      <c r="L24" s="12"/>
      <c r="M24" s="12"/>
      <c r="N24" s="12"/>
      <c r="O24" s="13">
        <f>+K24+C24-L24-M24-N24</f>
        <v>4780</v>
      </c>
      <c r="P24" s="14">
        <f>+O24</f>
        <v>4780</v>
      </c>
      <c r="Q24" s="15">
        <f t="shared" si="7"/>
        <v>0</v>
      </c>
      <c r="R24" s="102"/>
      <c r="S24" s="95">
        <v>10005721</v>
      </c>
      <c r="T24" s="83">
        <f>IFERROR(INDEX([1]Resumen!$K$3:$K$63,MATCH(S24,[1]Resumen!$C$3:$C$63,0)),0)*(1+U24*V24)/1000-51.89/1000</f>
        <v>2.1161125990325416</v>
      </c>
      <c r="U24" s="82">
        <v>0.67</v>
      </c>
      <c r="V24" s="82">
        <f t="shared" si="0"/>
        <v>2.1875000000000089E-2</v>
      </c>
      <c r="W24" s="84">
        <f t="shared" si="1"/>
        <v>0</v>
      </c>
      <c r="X24" s="85">
        <f t="shared" si="8"/>
        <v>0</v>
      </c>
      <c r="Y24" s="86">
        <f t="shared" si="9"/>
        <v>0</v>
      </c>
      <c r="Z24" s="85">
        <f t="shared" si="2"/>
        <v>0</v>
      </c>
      <c r="AA24" s="85">
        <f t="shared" si="3"/>
        <v>0</v>
      </c>
      <c r="AB24" s="85">
        <f t="shared" si="4"/>
        <v>0</v>
      </c>
      <c r="AC24" s="85">
        <v>0</v>
      </c>
      <c r="AD24" s="87">
        <v>0</v>
      </c>
      <c r="AE24" s="88">
        <f t="shared" si="10"/>
        <v>0</v>
      </c>
      <c r="AF24" s="88">
        <f t="shared" si="11"/>
        <v>0</v>
      </c>
    </row>
    <row r="25" spans="1:32" x14ac:dyDescent="0.3">
      <c r="A25" s="19">
        <v>10010063</v>
      </c>
      <c r="B25" s="19" t="s">
        <v>33</v>
      </c>
      <c r="C25" s="10">
        <v>0</v>
      </c>
      <c r="D25" s="11"/>
      <c r="E25" s="11"/>
      <c r="F25" s="11"/>
      <c r="G25" s="11"/>
      <c r="H25" s="12"/>
      <c r="I25" s="12"/>
      <c r="J25" s="12"/>
      <c r="K25" s="12">
        <f t="shared" si="5"/>
        <v>0</v>
      </c>
      <c r="L25" s="12"/>
      <c r="M25" s="12"/>
      <c r="N25" s="12"/>
      <c r="O25" s="13">
        <f t="shared" si="6"/>
        <v>0</v>
      </c>
      <c r="P25" s="14">
        <f>+O25</f>
        <v>0</v>
      </c>
      <c r="Q25" s="15">
        <f t="shared" si="7"/>
        <v>0</v>
      </c>
      <c r="R25" s="102"/>
      <c r="S25" s="95">
        <v>10005721</v>
      </c>
      <c r="T25" s="83">
        <f>IFERROR(INDEX([1]Resumen!$K$3:$K$63,MATCH(S25,[1]Resumen!$C$3:$C$63,0)),0)*(1+U25*V25)/1000-51.89/1000</f>
        <v>2.1161125990325416</v>
      </c>
      <c r="U25" s="82">
        <v>0.67</v>
      </c>
      <c r="V25" s="82">
        <f t="shared" si="0"/>
        <v>2.1875000000000089E-2</v>
      </c>
      <c r="W25" s="84">
        <f t="shared" si="1"/>
        <v>0</v>
      </c>
      <c r="X25" s="85">
        <f t="shared" si="8"/>
        <v>0</v>
      </c>
      <c r="Y25" s="86">
        <f t="shared" si="9"/>
        <v>0</v>
      </c>
      <c r="Z25" s="85">
        <f t="shared" si="2"/>
        <v>0</v>
      </c>
      <c r="AA25" s="85">
        <f t="shared" si="3"/>
        <v>0</v>
      </c>
      <c r="AB25" s="85">
        <f t="shared" si="4"/>
        <v>0</v>
      </c>
      <c r="AC25" s="85">
        <v>0</v>
      </c>
      <c r="AD25" s="87">
        <v>0</v>
      </c>
      <c r="AE25" s="88">
        <f t="shared" si="10"/>
        <v>0</v>
      </c>
      <c r="AF25" s="88">
        <f t="shared" si="11"/>
        <v>0</v>
      </c>
    </row>
    <row r="26" spans="1:32" x14ac:dyDescent="0.3">
      <c r="A26" s="9">
        <v>10009298</v>
      </c>
      <c r="B26" s="9" t="s">
        <v>34</v>
      </c>
      <c r="C26" s="10">
        <v>3200</v>
      </c>
      <c r="D26" s="11"/>
      <c r="E26" s="11"/>
      <c r="F26" s="11"/>
      <c r="G26" s="11"/>
      <c r="H26" s="12"/>
      <c r="I26" s="12"/>
      <c r="J26" s="12"/>
      <c r="K26" s="12">
        <f t="shared" si="5"/>
        <v>0</v>
      </c>
      <c r="L26" s="12"/>
      <c r="M26" s="12"/>
      <c r="N26" s="12"/>
      <c r="O26" s="13">
        <f t="shared" si="6"/>
        <v>3200</v>
      </c>
      <c r="P26" s="14"/>
      <c r="Q26" s="15">
        <f t="shared" si="7"/>
        <v>3200</v>
      </c>
      <c r="R26" s="102"/>
      <c r="S26" s="95">
        <v>10005721</v>
      </c>
      <c r="T26" s="83">
        <f>IFERROR(INDEX([1]Resumen!$K$3:$K$63,MATCH(S26,[1]Resumen!$C$3:$C$63,0)),0)*(1+U26*V26)/1000-51.89/1000</f>
        <v>2.1161125990325416</v>
      </c>
      <c r="U26" s="82">
        <v>0.67</v>
      </c>
      <c r="V26" s="82">
        <f t="shared" si="0"/>
        <v>2.1875000000000089E-2</v>
      </c>
      <c r="W26" s="84">
        <f t="shared" si="1"/>
        <v>3.2</v>
      </c>
      <c r="X26" s="85">
        <f t="shared" si="8"/>
        <v>6771.5603169041333</v>
      </c>
      <c r="Y26" s="86">
        <f t="shared" si="9"/>
        <v>665.08800000000008</v>
      </c>
      <c r="Z26" s="85">
        <f t="shared" si="2"/>
        <v>167.63520000000005</v>
      </c>
      <c r="AA26" s="85">
        <f t="shared" si="3"/>
        <v>329.54240000000004</v>
      </c>
      <c r="AB26" s="85">
        <f t="shared" si="4"/>
        <v>263.43328000000008</v>
      </c>
      <c r="AC26" s="85">
        <v>0</v>
      </c>
      <c r="AD26" s="87">
        <v>0</v>
      </c>
      <c r="AE26" s="88">
        <f t="shared" si="10"/>
        <v>7933.825916904133</v>
      </c>
      <c r="AF26" s="88">
        <f t="shared" si="11"/>
        <v>2479.3205990325414</v>
      </c>
    </row>
    <row r="27" spans="1:32" x14ac:dyDescent="0.3">
      <c r="A27" s="20">
        <v>10009184</v>
      </c>
      <c r="B27" s="20" t="s">
        <v>35</v>
      </c>
      <c r="C27" s="10">
        <v>79600</v>
      </c>
      <c r="D27" s="11"/>
      <c r="E27" s="12"/>
      <c r="F27" s="12"/>
      <c r="G27" s="11"/>
      <c r="H27" s="12"/>
      <c r="I27" s="12"/>
      <c r="J27" s="12"/>
      <c r="K27" s="12">
        <f t="shared" si="5"/>
        <v>0</v>
      </c>
      <c r="L27" s="12"/>
      <c r="M27" s="12"/>
      <c r="N27" s="12"/>
      <c r="O27" s="13">
        <f t="shared" si="6"/>
        <v>79600</v>
      </c>
      <c r="P27" s="14"/>
      <c r="Q27" s="15">
        <f t="shared" si="7"/>
        <v>79600</v>
      </c>
      <c r="R27" s="102"/>
      <c r="S27" s="96">
        <v>10005779</v>
      </c>
      <c r="T27" s="83">
        <f>IFERROR(INDEX([1]Resumen!$K$3:$K$63,MATCH(S27,[1]Resumen!$C$3:$C$63,0)),0)*(1+U27*V27)/1000-51.89/1000</f>
        <v>1.7267387762062134</v>
      </c>
      <c r="U27" s="81">
        <v>0.65</v>
      </c>
      <c r="V27" s="82">
        <f t="shared" si="0"/>
        <v>2.1875000000000089E-2</v>
      </c>
      <c r="W27" s="84">
        <f t="shared" si="1"/>
        <v>79.599999999999994</v>
      </c>
      <c r="X27" s="85">
        <f t="shared" si="8"/>
        <v>137448.40658601458</v>
      </c>
      <c r="Y27" s="86">
        <f t="shared" si="9"/>
        <v>16544.063999999998</v>
      </c>
      <c r="Z27" s="85">
        <f t="shared" si="2"/>
        <v>4169.9256000000005</v>
      </c>
      <c r="AA27" s="85">
        <f t="shared" si="3"/>
        <v>8197.3672000000006</v>
      </c>
      <c r="AB27" s="85">
        <f t="shared" si="4"/>
        <v>6552.9028400000007</v>
      </c>
      <c r="AC27" s="85">
        <v>0</v>
      </c>
      <c r="AD27" s="87">
        <v>0</v>
      </c>
      <c r="AE27" s="88">
        <f t="shared" si="10"/>
        <v>166359.76338601456</v>
      </c>
      <c r="AF27" s="88">
        <f t="shared" si="11"/>
        <v>2089.9467762062131</v>
      </c>
    </row>
    <row r="28" spans="1:32" x14ac:dyDescent="0.3">
      <c r="A28" s="16">
        <v>10009271</v>
      </c>
      <c r="B28" s="16" t="s">
        <v>36</v>
      </c>
      <c r="C28" s="10">
        <v>40100</v>
      </c>
      <c r="D28" s="11"/>
      <c r="E28" s="12"/>
      <c r="F28" s="12"/>
      <c r="G28" s="11"/>
      <c r="H28" s="12"/>
      <c r="I28" s="12"/>
      <c r="J28" s="12"/>
      <c r="K28" s="12">
        <f t="shared" si="5"/>
        <v>0</v>
      </c>
      <c r="L28" s="12"/>
      <c r="M28" s="12"/>
      <c r="N28" s="12"/>
      <c r="O28" s="13">
        <f t="shared" si="6"/>
        <v>40100</v>
      </c>
      <c r="P28" s="14"/>
      <c r="Q28" s="15">
        <f t="shared" si="7"/>
        <v>40100</v>
      </c>
      <c r="R28" s="102"/>
      <c r="S28" s="96">
        <v>10005779</v>
      </c>
      <c r="T28" s="83">
        <f>IFERROR(INDEX([1]Resumen!$K$3:$K$63,MATCH(S28,[1]Resumen!$C$3:$C$63,0)),0)*(1+U28*V28)/1000-51.89/1000</f>
        <v>1.7267387762062134</v>
      </c>
      <c r="U28" s="82">
        <v>0.65</v>
      </c>
      <c r="V28" s="82">
        <f t="shared" si="0"/>
        <v>2.1875000000000089E-2</v>
      </c>
      <c r="W28" s="84">
        <f t="shared" si="1"/>
        <v>40.1</v>
      </c>
      <c r="X28" s="85">
        <f t="shared" si="8"/>
        <v>69242.224925869174</v>
      </c>
      <c r="Y28" s="86">
        <f t="shared" si="9"/>
        <v>8334.384</v>
      </c>
      <c r="Z28" s="85">
        <f t="shared" si="2"/>
        <v>2100.6786000000006</v>
      </c>
      <c r="AA28" s="85">
        <f t="shared" si="3"/>
        <v>4129.5782000000008</v>
      </c>
      <c r="AB28" s="85">
        <f t="shared" si="4"/>
        <v>3301.148290000001</v>
      </c>
      <c r="AC28" s="85">
        <v>0</v>
      </c>
      <c r="AD28" s="87">
        <v>0</v>
      </c>
      <c r="AE28" s="88">
        <f t="shared" si="10"/>
        <v>83806.865725869182</v>
      </c>
      <c r="AF28" s="88">
        <f t="shared" si="11"/>
        <v>2089.9467762062141</v>
      </c>
    </row>
    <row r="29" spans="1:32" x14ac:dyDescent="0.3">
      <c r="A29" s="16">
        <v>10009183</v>
      </c>
      <c r="B29" s="16" t="s">
        <v>37</v>
      </c>
      <c r="C29" s="10">
        <v>1000</v>
      </c>
      <c r="D29" s="11"/>
      <c r="E29" s="12"/>
      <c r="F29" s="12"/>
      <c r="G29" s="11"/>
      <c r="H29" s="12"/>
      <c r="I29" s="12"/>
      <c r="J29" s="12"/>
      <c r="K29" s="12">
        <f t="shared" si="5"/>
        <v>0</v>
      </c>
      <c r="L29" s="12"/>
      <c r="M29" s="12"/>
      <c r="N29" s="12"/>
      <c r="O29" s="13">
        <f t="shared" si="6"/>
        <v>1000</v>
      </c>
      <c r="P29" s="14"/>
      <c r="Q29" s="15">
        <f t="shared" si="7"/>
        <v>1000</v>
      </c>
      <c r="R29" s="102"/>
      <c r="S29" s="96">
        <v>10005779</v>
      </c>
      <c r="T29" s="83">
        <f>IFERROR(INDEX([1]Resumen!$K$3:$K$63,MATCH(S29,[1]Resumen!$C$3:$C$63,0)),0)*(1+U29*V29)/1000-51.89/1000</f>
        <v>1.7267387762062134</v>
      </c>
      <c r="U29" s="82">
        <v>0.65</v>
      </c>
      <c r="V29" s="82">
        <f t="shared" si="0"/>
        <v>2.1875000000000089E-2</v>
      </c>
      <c r="W29" s="84">
        <f t="shared" si="1"/>
        <v>1</v>
      </c>
      <c r="X29" s="85">
        <f t="shared" si="8"/>
        <v>1726.7387762062135</v>
      </c>
      <c r="Y29" s="86">
        <f t="shared" si="9"/>
        <v>207.84</v>
      </c>
      <c r="Z29" s="85">
        <f t="shared" si="2"/>
        <v>52.38600000000001</v>
      </c>
      <c r="AA29" s="85">
        <f t="shared" si="3"/>
        <v>102.98200000000001</v>
      </c>
      <c r="AB29" s="85">
        <f t="shared" si="4"/>
        <v>82.322900000000018</v>
      </c>
      <c r="AC29" s="85">
        <v>0</v>
      </c>
      <c r="AD29" s="87">
        <v>0</v>
      </c>
      <c r="AE29" s="88">
        <f t="shared" si="10"/>
        <v>2089.9467762062136</v>
      </c>
      <c r="AF29" s="88">
        <f t="shared" si="11"/>
        <v>2089.9467762062136</v>
      </c>
    </row>
    <row r="30" spans="1:32" x14ac:dyDescent="0.3">
      <c r="A30" s="20">
        <v>10005779</v>
      </c>
      <c r="B30" s="20" t="s">
        <v>38</v>
      </c>
      <c r="C30" s="10">
        <v>12360</v>
      </c>
      <c r="D30" s="11"/>
      <c r="E30" s="12"/>
      <c r="F30" s="12"/>
      <c r="G30" s="11"/>
      <c r="H30" s="12"/>
      <c r="I30" s="12"/>
      <c r="J30" s="12"/>
      <c r="K30" s="12">
        <f t="shared" si="5"/>
        <v>0</v>
      </c>
      <c r="L30" s="12"/>
      <c r="M30" s="12"/>
      <c r="N30" s="12"/>
      <c r="O30" s="13">
        <f t="shared" si="6"/>
        <v>12360</v>
      </c>
      <c r="P30" s="14"/>
      <c r="Q30" s="15">
        <f t="shared" si="7"/>
        <v>12360</v>
      </c>
      <c r="R30" s="102"/>
      <c r="S30" s="96">
        <v>10005781</v>
      </c>
      <c r="T30" s="83">
        <f>IFERROR(INDEX([1]Resumen!$K$3:$K$63,MATCH(S30,[1]Resumen!$C$3:$C$63,0)),0)*(1+U30*V30)/1000-51.89/1000</f>
        <v>1.8308507633687408</v>
      </c>
      <c r="U30" s="82">
        <v>0.65</v>
      </c>
      <c r="V30" s="82">
        <f t="shared" si="0"/>
        <v>2.1875000000000089E-2</v>
      </c>
      <c r="W30" s="84">
        <f t="shared" si="1"/>
        <v>12.36</v>
      </c>
      <c r="X30" s="85">
        <f t="shared" si="8"/>
        <v>22629.315435237637</v>
      </c>
      <c r="Y30" s="86">
        <f t="shared" si="9"/>
        <v>2568.9023999999999</v>
      </c>
      <c r="Z30" s="85">
        <f t="shared" si="2"/>
        <v>647.49096000000009</v>
      </c>
      <c r="AA30" s="85">
        <f t="shared" si="3"/>
        <v>1272.85752</v>
      </c>
      <c r="AB30" s="85">
        <f t="shared" si="4"/>
        <v>1017.5110440000002</v>
      </c>
      <c r="AC30" s="85">
        <v>0</v>
      </c>
      <c r="AD30" s="87">
        <v>0</v>
      </c>
      <c r="AE30" s="88">
        <f t="shared" si="10"/>
        <v>27118.566315237636</v>
      </c>
      <c r="AF30" s="88">
        <f t="shared" si="11"/>
        <v>2194.058763368741</v>
      </c>
    </row>
    <row r="31" spans="1:32" x14ac:dyDescent="0.3">
      <c r="A31" s="20">
        <v>10005776</v>
      </c>
      <c r="B31" s="20" t="s">
        <v>39</v>
      </c>
      <c r="C31" s="10">
        <v>76580</v>
      </c>
      <c r="D31" s="11"/>
      <c r="E31" s="12"/>
      <c r="F31" s="12"/>
      <c r="G31" s="11"/>
      <c r="H31" s="12"/>
      <c r="I31" s="12"/>
      <c r="J31" s="12"/>
      <c r="K31" s="12">
        <f t="shared" si="5"/>
        <v>0</v>
      </c>
      <c r="L31" s="12"/>
      <c r="M31" s="12"/>
      <c r="N31" s="12"/>
      <c r="O31" s="13">
        <f t="shared" si="6"/>
        <v>76580</v>
      </c>
      <c r="P31" s="14">
        <f>10000</f>
        <v>10000</v>
      </c>
      <c r="Q31" s="15">
        <f t="shared" si="7"/>
        <v>66580</v>
      </c>
      <c r="R31" s="102"/>
      <c r="S31" s="96">
        <v>10005781</v>
      </c>
      <c r="T31" s="83">
        <f>IFERROR(INDEX([1]Resumen!$K$3:$K$63,MATCH(S31,[1]Resumen!$C$3:$C$63,0)),0)*(1+U31*V31)/1000-51.89/1000</f>
        <v>1.8308507633687408</v>
      </c>
      <c r="U31" s="82">
        <v>0.65</v>
      </c>
      <c r="V31" s="82">
        <f t="shared" si="0"/>
        <v>2.1875000000000089E-2</v>
      </c>
      <c r="W31" s="84">
        <f t="shared" si="1"/>
        <v>66.58</v>
      </c>
      <c r="X31" s="85">
        <f t="shared" si="8"/>
        <v>121898.04382509075</v>
      </c>
      <c r="Y31" s="86">
        <f t="shared" si="9"/>
        <v>13837.9872</v>
      </c>
      <c r="Z31" s="85">
        <f t="shared" si="2"/>
        <v>3487.8598800000004</v>
      </c>
      <c r="AA31" s="85">
        <f t="shared" si="3"/>
        <v>6856.5415600000006</v>
      </c>
      <c r="AB31" s="85">
        <f t="shared" si="4"/>
        <v>5481.0586820000008</v>
      </c>
      <c r="AC31" s="85">
        <v>0</v>
      </c>
      <c r="AD31" s="87">
        <v>0</v>
      </c>
      <c r="AE31" s="88">
        <f t="shared" si="10"/>
        <v>146080.43246509077</v>
      </c>
      <c r="AF31" s="88">
        <f t="shared" si="11"/>
        <v>2194.058763368741</v>
      </c>
    </row>
    <row r="32" spans="1:32" x14ac:dyDescent="0.3">
      <c r="A32" s="20">
        <v>10005781</v>
      </c>
      <c r="B32" s="20" t="s">
        <v>40</v>
      </c>
      <c r="C32" s="10">
        <v>24220</v>
      </c>
      <c r="D32" s="11"/>
      <c r="E32" s="12"/>
      <c r="F32" s="12"/>
      <c r="G32" s="11"/>
      <c r="H32" s="12"/>
      <c r="I32" s="12"/>
      <c r="J32" s="12"/>
      <c r="K32" s="12">
        <f t="shared" si="5"/>
        <v>0</v>
      </c>
      <c r="L32" s="12"/>
      <c r="M32" s="12"/>
      <c r="N32" s="12"/>
      <c r="O32" s="13">
        <f t="shared" si="6"/>
        <v>24220</v>
      </c>
      <c r="P32" s="14">
        <f>24000+104000</f>
        <v>128000</v>
      </c>
      <c r="Q32" s="15">
        <f t="shared" si="7"/>
        <v>-103780</v>
      </c>
      <c r="R32" s="102"/>
      <c r="S32" s="96">
        <v>10005781</v>
      </c>
      <c r="T32" s="83">
        <f>IFERROR(INDEX([1]Resumen!$K$3:$K$63,MATCH(S32,[1]Resumen!$C$3:$C$63,0)),0)*(1+U32*V32)/1000-51.89/1000</f>
        <v>1.8308507633687408</v>
      </c>
      <c r="U32" s="82">
        <v>0.65</v>
      </c>
      <c r="V32" s="82">
        <f t="shared" si="0"/>
        <v>2.1875000000000089E-2</v>
      </c>
      <c r="W32" s="84">
        <f t="shared" si="1"/>
        <v>0</v>
      </c>
      <c r="X32" s="85">
        <f t="shared" si="8"/>
        <v>0</v>
      </c>
      <c r="Y32" s="86">
        <f t="shared" si="9"/>
        <v>0</v>
      </c>
      <c r="Z32" s="85">
        <f t="shared" si="2"/>
        <v>0</v>
      </c>
      <c r="AA32" s="85">
        <f t="shared" si="3"/>
        <v>0</v>
      </c>
      <c r="AB32" s="85">
        <f t="shared" si="4"/>
        <v>0</v>
      </c>
      <c r="AC32" s="85">
        <v>0</v>
      </c>
      <c r="AD32" s="87">
        <v>0</v>
      </c>
      <c r="AE32" s="88">
        <f t="shared" si="10"/>
        <v>0</v>
      </c>
      <c r="AF32" s="88">
        <f t="shared" si="11"/>
        <v>0</v>
      </c>
    </row>
    <row r="33" spans="1:32" x14ac:dyDescent="0.3">
      <c r="A33" s="21">
        <v>10007567</v>
      </c>
      <c r="B33" s="21" t="s">
        <v>41</v>
      </c>
      <c r="C33" s="22">
        <v>58360</v>
      </c>
      <c r="D33" s="11"/>
      <c r="E33" s="11"/>
      <c r="F33" s="11"/>
      <c r="G33" s="11"/>
      <c r="H33" s="11"/>
      <c r="I33" s="11"/>
      <c r="J33" s="11"/>
      <c r="K33" s="12">
        <f t="shared" si="5"/>
        <v>0</v>
      </c>
      <c r="L33" s="12"/>
      <c r="M33" s="11"/>
      <c r="N33" s="11"/>
      <c r="O33" s="13">
        <f t="shared" si="6"/>
        <v>58360</v>
      </c>
      <c r="P33" s="23"/>
      <c r="Q33" s="15">
        <f t="shared" si="7"/>
        <v>58360</v>
      </c>
      <c r="R33" s="102"/>
      <c r="S33" s="97">
        <v>10007567</v>
      </c>
      <c r="T33" s="83">
        <f>IFERROR(INDEX([1]Resumen!$K$3:$K$63,MATCH(S33,[1]Resumen!$C$3:$C$63,0)),0)*(1+U33*V33)/1000-51.89/1000</f>
        <v>1.7964411911982254</v>
      </c>
      <c r="U33" s="81">
        <v>0.68</v>
      </c>
      <c r="V33" s="82">
        <f t="shared" si="0"/>
        <v>2.1875000000000089E-2</v>
      </c>
      <c r="W33" s="84">
        <f t="shared" si="1"/>
        <v>58.36</v>
      </c>
      <c r="X33" s="85">
        <f t="shared" si="8"/>
        <v>104840.30791832843</v>
      </c>
      <c r="Y33" s="86">
        <f t="shared" si="9"/>
        <v>12129.5424</v>
      </c>
      <c r="Z33" s="85">
        <f t="shared" si="2"/>
        <v>3057.2469600000004</v>
      </c>
      <c r="AA33" s="85">
        <f t="shared" si="3"/>
        <v>6010.029520000001</v>
      </c>
      <c r="AB33" s="85">
        <f t="shared" si="4"/>
        <v>4804.3644440000007</v>
      </c>
      <c r="AC33" s="85">
        <v>0</v>
      </c>
      <c r="AD33" s="87">
        <v>0</v>
      </c>
      <c r="AE33" s="88">
        <f t="shared" si="10"/>
        <v>126037.12679832843</v>
      </c>
      <c r="AF33" s="88">
        <f t="shared" si="11"/>
        <v>2159.6491911982253</v>
      </c>
    </row>
    <row r="34" spans="1:32" x14ac:dyDescent="0.3">
      <c r="A34" s="21">
        <v>10009975</v>
      </c>
      <c r="B34" s="21" t="s">
        <v>42</v>
      </c>
      <c r="C34" s="22">
        <v>35940</v>
      </c>
      <c r="D34" s="11"/>
      <c r="E34" s="11"/>
      <c r="F34" s="11"/>
      <c r="G34" s="11"/>
      <c r="H34" s="11"/>
      <c r="I34" s="11"/>
      <c r="J34" s="11"/>
      <c r="K34" s="12">
        <f t="shared" si="5"/>
        <v>0</v>
      </c>
      <c r="L34" s="12"/>
      <c r="M34" s="11"/>
      <c r="N34" s="11"/>
      <c r="O34" s="13">
        <f t="shared" si="6"/>
        <v>35940</v>
      </c>
      <c r="P34" s="23"/>
      <c r="Q34" s="15">
        <f t="shared" si="7"/>
        <v>35940</v>
      </c>
      <c r="R34" s="102"/>
      <c r="S34" s="97">
        <v>10007567</v>
      </c>
      <c r="T34" s="83">
        <f>IFERROR(INDEX([1]Resumen!$K$3:$K$63,MATCH(S34,[1]Resumen!$C$3:$C$63,0)),0)*(1+U34*V34)/1000-51.89/1000</f>
        <v>1.7964411911982254</v>
      </c>
      <c r="U34" s="82">
        <v>0.68</v>
      </c>
      <c r="V34" s="82">
        <f t="shared" ref="V34:V52" si="12">3.597/3.52-1</f>
        <v>2.1875000000000089E-2</v>
      </c>
      <c r="W34" s="84">
        <f t="shared" ref="W34:W58" si="13">IF(Q34&lt;0,0,Q34)/1000</f>
        <v>35.94</v>
      </c>
      <c r="X34" s="85">
        <f t="shared" si="8"/>
        <v>64564.096411664221</v>
      </c>
      <c r="Y34" s="86">
        <f t="shared" si="9"/>
        <v>7469.7695999999996</v>
      </c>
      <c r="Z34" s="85">
        <f t="shared" ref="Z34:Z58" si="14">$Z$61/1500*W34</f>
        <v>1882.7528400000003</v>
      </c>
      <c r="AA34" s="85">
        <f t="shared" ref="AA34:AA58" si="15">$AA$61/1500*W34</f>
        <v>3701.17308</v>
      </c>
      <c r="AB34" s="85">
        <f t="shared" ref="AB34:AB58" si="16">$AB$61/1500*W34</f>
        <v>2958.6850260000006</v>
      </c>
      <c r="AC34" s="85">
        <v>0</v>
      </c>
      <c r="AD34" s="87">
        <v>0</v>
      </c>
      <c r="AE34" s="88">
        <f t="shared" si="10"/>
        <v>77617.791931664207</v>
      </c>
      <c r="AF34" s="88">
        <f t="shared" si="11"/>
        <v>2159.6491911982253</v>
      </c>
    </row>
    <row r="35" spans="1:32" x14ac:dyDescent="0.3">
      <c r="A35" s="16">
        <v>10009185</v>
      </c>
      <c r="B35" s="16" t="s">
        <v>43</v>
      </c>
      <c r="C35" s="22">
        <v>0</v>
      </c>
      <c r="D35" s="11"/>
      <c r="E35" s="11"/>
      <c r="F35" s="11"/>
      <c r="G35" s="11"/>
      <c r="H35" s="11"/>
      <c r="I35" s="11"/>
      <c r="J35" s="11"/>
      <c r="K35" s="12">
        <f t="shared" si="5"/>
        <v>0</v>
      </c>
      <c r="L35" s="12"/>
      <c r="M35" s="11"/>
      <c r="N35" s="11"/>
      <c r="O35" s="13">
        <f t="shared" si="6"/>
        <v>0</v>
      </c>
      <c r="P35" s="23"/>
      <c r="Q35" s="15">
        <f t="shared" si="7"/>
        <v>0</v>
      </c>
      <c r="R35" s="102"/>
      <c r="S35" s="97">
        <v>10007162</v>
      </c>
      <c r="T35" s="83">
        <f>IFERROR(INDEX([1]Resumen!$K$3:$K$63,MATCH(S35,[1]Resumen!$C$3:$C$63,0)),0)*(1+U35*V35)/1000-51.89/1000</f>
        <v>1.8582869389024885</v>
      </c>
      <c r="U35" s="82">
        <v>0.68</v>
      </c>
      <c r="V35" s="82">
        <f t="shared" si="12"/>
        <v>2.1875000000000089E-2</v>
      </c>
      <c r="W35" s="84">
        <f t="shared" si="13"/>
        <v>0</v>
      </c>
      <c r="X35" s="85">
        <f t="shared" si="8"/>
        <v>0</v>
      </c>
      <c r="Y35" s="86">
        <f t="shared" si="9"/>
        <v>0</v>
      </c>
      <c r="Z35" s="85">
        <f t="shared" si="14"/>
        <v>0</v>
      </c>
      <c r="AA35" s="85">
        <f t="shared" si="15"/>
        <v>0</v>
      </c>
      <c r="AB35" s="85">
        <f t="shared" si="16"/>
        <v>0</v>
      </c>
      <c r="AC35" s="85">
        <v>0</v>
      </c>
      <c r="AD35" s="87">
        <v>0</v>
      </c>
      <c r="AE35" s="88">
        <f t="shared" si="10"/>
        <v>0</v>
      </c>
      <c r="AF35" s="88">
        <f t="shared" si="11"/>
        <v>0</v>
      </c>
    </row>
    <row r="36" spans="1:32" x14ac:dyDescent="0.3">
      <c r="A36" s="16">
        <v>10009186</v>
      </c>
      <c r="B36" s="16" t="s">
        <v>44</v>
      </c>
      <c r="C36" s="22">
        <v>5700</v>
      </c>
      <c r="D36" s="11"/>
      <c r="E36" s="11"/>
      <c r="F36" s="11"/>
      <c r="G36" s="11"/>
      <c r="H36" s="11"/>
      <c r="I36" s="11"/>
      <c r="J36" s="11"/>
      <c r="K36" s="12">
        <f t="shared" si="5"/>
        <v>0</v>
      </c>
      <c r="L36" s="12"/>
      <c r="M36" s="11"/>
      <c r="N36" s="11"/>
      <c r="O36" s="13">
        <f t="shared" si="6"/>
        <v>5700</v>
      </c>
      <c r="P36" s="23">
        <v>5700</v>
      </c>
      <c r="Q36" s="15">
        <f t="shared" si="7"/>
        <v>0</v>
      </c>
      <c r="R36" s="102"/>
      <c r="S36" s="97">
        <v>10007162</v>
      </c>
      <c r="T36" s="83">
        <f>IFERROR(INDEX([1]Resumen!$K$3:$K$63,MATCH(S36,[1]Resumen!$C$3:$C$63,0)),0)*(1+U36*V36)/1000-51.89/1000</f>
        <v>1.8582869389024885</v>
      </c>
      <c r="U36" s="82">
        <v>0.68</v>
      </c>
      <c r="V36" s="82">
        <f t="shared" si="12"/>
        <v>2.1875000000000089E-2</v>
      </c>
      <c r="W36" s="84">
        <f t="shared" si="13"/>
        <v>0</v>
      </c>
      <c r="X36" s="85">
        <f t="shared" si="8"/>
        <v>0</v>
      </c>
      <c r="Y36" s="86">
        <f t="shared" si="9"/>
        <v>0</v>
      </c>
      <c r="Z36" s="85">
        <f t="shared" si="14"/>
        <v>0</v>
      </c>
      <c r="AA36" s="85">
        <f t="shared" si="15"/>
        <v>0</v>
      </c>
      <c r="AB36" s="85">
        <f t="shared" si="16"/>
        <v>0</v>
      </c>
      <c r="AC36" s="85">
        <v>0</v>
      </c>
      <c r="AD36" s="87">
        <v>0</v>
      </c>
      <c r="AE36" s="88">
        <f t="shared" si="10"/>
        <v>0</v>
      </c>
      <c r="AF36" s="88">
        <f t="shared" si="11"/>
        <v>0</v>
      </c>
    </row>
    <row r="37" spans="1:32" x14ac:dyDescent="0.3">
      <c r="A37" s="16">
        <v>10009777</v>
      </c>
      <c r="B37" s="16" t="s">
        <v>45</v>
      </c>
      <c r="C37" s="22">
        <v>1360</v>
      </c>
      <c r="D37" s="11"/>
      <c r="E37" s="11"/>
      <c r="F37" s="11"/>
      <c r="G37" s="11"/>
      <c r="H37" s="11"/>
      <c r="I37" s="11"/>
      <c r="J37" s="11"/>
      <c r="K37" s="12">
        <f t="shared" si="5"/>
        <v>0</v>
      </c>
      <c r="L37" s="12"/>
      <c r="M37" s="11"/>
      <c r="N37" s="11"/>
      <c r="O37" s="13">
        <f t="shared" si="6"/>
        <v>1360</v>
      </c>
      <c r="P37" s="23">
        <v>54000</v>
      </c>
      <c r="Q37" s="15">
        <f t="shared" si="7"/>
        <v>-52640</v>
      </c>
      <c r="R37" s="102"/>
      <c r="S37" s="97">
        <v>10007162</v>
      </c>
      <c r="T37" s="83">
        <f>IFERROR(INDEX([1]Resumen!$K$3:$K$63,MATCH(S37,[1]Resumen!$C$3:$C$63,0)),0)*(1+U37*V37)/1000-51.89/1000</f>
        <v>1.8582869389024885</v>
      </c>
      <c r="U37" s="82">
        <v>0.68</v>
      </c>
      <c r="V37" s="82">
        <f t="shared" si="12"/>
        <v>2.1875000000000089E-2</v>
      </c>
      <c r="W37" s="84">
        <f t="shared" si="13"/>
        <v>0</v>
      </c>
      <c r="X37" s="85">
        <f t="shared" si="8"/>
        <v>0</v>
      </c>
      <c r="Y37" s="86">
        <f t="shared" si="9"/>
        <v>0</v>
      </c>
      <c r="Z37" s="85">
        <f t="shared" si="14"/>
        <v>0</v>
      </c>
      <c r="AA37" s="85">
        <f t="shared" si="15"/>
        <v>0</v>
      </c>
      <c r="AB37" s="85">
        <f t="shared" si="16"/>
        <v>0</v>
      </c>
      <c r="AC37" s="85">
        <v>0</v>
      </c>
      <c r="AD37" s="87">
        <v>0</v>
      </c>
      <c r="AE37" s="88">
        <f t="shared" si="10"/>
        <v>0</v>
      </c>
      <c r="AF37" s="88">
        <f t="shared" si="11"/>
        <v>0</v>
      </c>
    </row>
    <row r="38" spans="1:32" x14ac:dyDescent="0.3">
      <c r="A38" s="16">
        <v>10009989</v>
      </c>
      <c r="B38" s="16" t="s">
        <v>46</v>
      </c>
      <c r="C38" s="22">
        <v>15580</v>
      </c>
      <c r="D38" s="11"/>
      <c r="E38" s="11"/>
      <c r="F38" s="11"/>
      <c r="G38" s="11"/>
      <c r="H38" s="11"/>
      <c r="I38" s="11"/>
      <c r="J38" s="11"/>
      <c r="K38" s="12">
        <f t="shared" si="5"/>
        <v>0</v>
      </c>
      <c r="L38" s="12"/>
      <c r="M38" s="11"/>
      <c r="N38" s="11"/>
      <c r="O38" s="13">
        <f t="shared" si="6"/>
        <v>15580</v>
      </c>
      <c r="P38" s="23">
        <f>27000-1360-5700</f>
        <v>19940</v>
      </c>
      <c r="Q38" s="15">
        <f t="shared" si="7"/>
        <v>-4360</v>
      </c>
      <c r="R38" s="102"/>
      <c r="S38" s="97">
        <v>10007162</v>
      </c>
      <c r="T38" s="83">
        <f>IFERROR(INDEX([1]Resumen!$K$3:$K$63,MATCH(S38,[1]Resumen!$C$3:$C$63,0)),0)*(1+U38*V38)/1000-51.89/1000</f>
        <v>1.8582869389024885</v>
      </c>
      <c r="U38" s="82">
        <v>0.68</v>
      </c>
      <c r="V38" s="82">
        <f t="shared" si="12"/>
        <v>2.1875000000000089E-2</v>
      </c>
      <c r="W38" s="84">
        <f t="shared" si="13"/>
        <v>0</v>
      </c>
      <c r="X38" s="85">
        <f t="shared" si="8"/>
        <v>0</v>
      </c>
      <c r="Y38" s="86">
        <f t="shared" si="9"/>
        <v>0</v>
      </c>
      <c r="Z38" s="85">
        <f t="shared" si="14"/>
        <v>0</v>
      </c>
      <c r="AA38" s="85">
        <f t="shared" si="15"/>
        <v>0</v>
      </c>
      <c r="AB38" s="85">
        <f t="shared" si="16"/>
        <v>0</v>
      </c>
      <c r="AC38" s="85">
        <v>0</v>
      </c>
      <c r="AD38" s="87">
        <v>0</v>
      </c>
      <c r="AE38" s="88">
        <f t="shared" si="10"/>
        <v>0</v>
      </c>
      <c r="AF38" s="88">
        <f t="shared" si="11"/>
        <v>0</v>
      </c>
    </row>
    <row r="39" spans="1:32" x14ac:dyDescent="0.3">
      <c r="A39" s="24">
        <v>10009187</v>
      </c>
      <c r="B39" s="24" t="s">
        <v>47</v>
      </c>
      <c r="C39" s="22">
        <v>340</v>
      </c>
      <c r="D39" s="11"/>
      <c r="E39" s="11"/>
      <c r="F39" s="11"/>
      <c r="G39" s="11"/>
      <c r="H39" s="11"/>
      <c r="I39" s="11"/>
      <c r="J39" s="11"/>
      <c r="K39" s="12">
        <f t="shared" si="5"/>
        <v>0</v>
      </c>
      <c r="L39" s="12"/>
      <c r="M39" s="11"/>
      <c r="N39" s="11"/>
      <c r="O39" s="13">
        <f t="shared" si="6"/>
        <v>340</v>
      </c>
      <c r="P39" s="23"/>
      <c r="Q39" s="15">
        <f t="shared" si="7"/>
        <v>340</v>
      </c>
      <c r="R39" s="102"/>
      <c r="S39" s="97">
        <v>10007162</v>
      </c>
      <c r="T39" s="83">
        <f>IFERROR(INDEX([1]Resumen!$K$3:$K$63,MATCH(S39,[1]Resumen!$C$3:$C$63,0)),0)*(1+U39*V39)/1000-51.89/1000</f>
        <v>1.8582869389024885</v>
      </c>
      <c r="U39" s="82">
        <v>0.68</v>
      </c>
      <c r="V39" s="82">
        <f t="shared" si="12"/>
        <v>2.1875000000000089E-2</v>
      </c>
      <c r="W39" s="84">
        <f t="shared" si="13"/>
        <v>0.34</v>
      </c>
      <c r="X39" s="85">
        <f t="shared" si="8"/>
        <v>631.81755922684613</v>
      </c>
      <c r="Y39" s="86">
        <f t="shared" si="9"/>
        <v>70.665600000000012</v>
      </c>
      <c r="Z39" s="85">
        <f t="shared" si="14"/>
        <v>17.811240000000005</v>
      </c>
      <c r="AA39" s="85">
        <f t="shared" si="15"/>
        <v>35.013880000000007</v>
      </c>
      <c r="AB39" s="85">
        <f t="shared" si="16"/>
        <v>27.989786000000009</v>
      </c>
      <c r="AC39" s="85">
        <v>0</v>
      </c>
      <c r="AD39" s="87">
        <v>0</v>
      </c>
      <c r="AE39" s="88">
        <f t="shared" si="10"/>
        <v>755.30827922684614</v>
      </c>
      <c r="AF39" s="88">
        <f t="shared" si="11"/>
        <v>2221.4949389024887</v>
      </c>
    </row>
    <row r="40" spans="1:32" x14ac:dyDescent="0.3">
      <c r="A40" s="24">
        <v>10007161</v>
      </c>
      <c r="B40" s="24" t="s">
        <v>48</v>
      </c>
      <c r="C40" s="10">
        <v>6420</v>
      </c>
      <c r="D40" s="11"/>
      <c r="E40" s="12"/>
      <c r="F40" s="12"/>
      <c r="G40" s="11"/>
      <c r="H40" s="12"/>
      <c r="I40" s="12"/>
      <c r="J40" s="12"/>
      <c r="K40" s="12">
        <f t="shared" si="5"/>
        <v>0</v>
      </c>
      <c r="L40" s="12"/>
      <c r="M40" s="12"/>
      <c r="N40" s="12"/>
      <c r="O40" s="13">
        <f t="shared" si="6"/>
        <v>6420</v>
      </c>
      <c r="P40" s="14"/>
      <c r="Q40" s="15">
        <f t="shared" si="7"/>
        <v>6420</v>
      </c>
      <c r="R40" s="102"/>
      <c r="S40" s="97">
        <v>10007162</v>
      </c>
      <c r="T40" s="83">
        <f>IFERROR(INDEX([1]Resumen!$K$3:$K$63,MATCH(S40,[1]Resumen!$C$3:$C$63,0)),0)*(1+U40*V40)/1000-51.89/1000</f>
        <v>1.8582869389024885</v>
      </c>
      <c r="U40" s="82">
        <v>0.68</v>
      </c>
      <c r="V40" s="82">
        <f t="shared" si="12"/>
        <v>2.1875000000000089E-2</v>
      </c>
      <c r="W40" s="84">
        <f t="shared" si="13"/>
        <v>6.42</v>
      </c>
      <c r="X40" s="85">
        <f t="shared" si="8"/>
        <v>11930.202147753977</v>
      </c>
      <c r="Y40" s="86">
        <f t="shared" si="9"/>
        <v>1334.3327999999999</v>
      </c>
      <c r="Z40" s="85">
        <f t="shared" si="14"/>
        <v>336.31812000000008</v>
      </c>
      <c r="AA40" s="85">
        <f t="shared" si="15"/>
        <v>661.14444000000003</v>
      </c>
      <c r="AB40" s="85">
        <f t="shared" si="16"/>
        <v>528.5130180000001</v>
      </c>
      <c r="AC40" s="85">
        <v>0</v>
      </c>
      <c r="AD40" s="87">
        <v>0</v>
      </c>
      <c r="AE40" s="88">
        <f t="shared" si="10"/>
        <v>14261.997507753977</v>
      </c>
      <c r="AF40" s="88">
        <f t="shared" si="11"/>
        <v>2221.4949389024887</v>
      </c>
    </row>
    <row r="41" spans="1:32" x14ac:dyDescent="0.3">
      <c r="A41" s="24">
        <v>10009658</v>
      </c>
      <c r="B41" s="24" t="s">
        <v>49</v>
      </c>
      <c r="C41" s="10">
        <v>2680</v>
      </c>
      <c r="D41" s="11"/>
      <c r="E41" s="12"/>
      <c r="F41" s="12"/>
      <c r="G41" s="11"/>
      <c r="H41" s="12"/>
      <c r="I41" s="12"/>
      <c r="J41" s="12"/>
      <c r="K41" s="12">
        <f t="shared" si="5"/>
        <v>0</v>
      </c>
      <c r="L41" s="12"/>
      <c r="M41" s="12"/>
      <c r="N41" s="12"/>
      <c r="O41" s="13">
        <f t="shared" si="6"/>
        <v>2680</v>
      </c>
      <c r="P41" s="14"/>
      <c r="Q41" s="15">
        <f t="shared" si="7"/>
        <v>2680</v>
      </c>
      <c r="R41" s="102"/>
      <c r="S41" s="97">
        <v>10007162</v>
      </c>
      <c r="T41" s="83">
        <f>IFERROR(INDEX([1]Resumen!$K$3:$K$63,MATCH(S41,[1]Resumen!$C$3:$C$63,0)),0)*(1+U41*V41)/1000-51.89/1000</f>
        <v>1.8582869389024885</v>
      </c>
      <c r="U41" s="82">
        <v>0.68</v>
      </c>
      <c r="V41" s="82">
        <f t="shared" si="12"/>
        <v>2.1875000000000089E-2</v>
      </c>
      <c r="W41" s="84">
        <f t="shared" si="13"/>
        <v>2.68</v>
      </c>
      <c r="X41" s="85">
        <f t="shared" si="8"/>
        <v>4980.2089962586697</v>
      </c>
      <c r="Y41" s="86">
        <f t="shared" si="9"/>
        <v>557.01120000000003</v>
      </c>
      <c r="Z41" s="85">
        <f t="shared" si="14"/>
        <v>140.39448000000004</v>
      </c>
      <c r="AA41" s="85">
        <f t="shared" si="15"/>
        <v>275.99176000000006</v>
      </c>
      <c r="AB41" s="85">
        <f t="shared" si="16"/>
        <v>220.62537200000006</v>
      </c>
      <c r="AC41" s="85">
        <v>0</v>
      </c>
      <c r="AD41" s="87">
        <v>0</v>
      </c>
      <c r="AE41" s="88">
        <f t="shared" si="10"/>
        <v>5953.6064362586694</v>
      </c>
      <c r="AF41" s="88">
        <f t="shared" si="11"/>
        <v>2221.4949389024882</v>
      </c>
    </row>
    <row r="42" spans="1:32" x14ac:dyDescent="0.3">
      <c r="A42" s="24">
        <v>10007163</v>
      </c>
      <c r="B42" s="24" t="s">
        <v>50</v>
      </c>
      <c r="C42" s="10">
        <v>9800</v>
      </c>
      <c r="D42" s="11"/>
      <c r="E42" s="12"/>
      <c r="F42" s="12"/>
      <c r="G42" s="11"/>
      <c r="H42" s="12"/>
      <c r="I42" s="12"/>
      <c r="J42" s="12"/>
      <c r="K42" s="12">
        <f t="shared" si="5"/>
        <v>0</v>
      </c>
      <c r="L42" s="12"/>
      <c r="M42" s="12"/>
      <c r="N42" s="12"/>
      <c r="O42" s="13">
        <f t="shared" si="6"/>
        <v>9800</v>
      </c>
      <c r="P42" s="14"/>
      <c r="Q42" s="15">
        <f t="shared" si="7"/>
        <v>9800</v>
      </c>
      <c r="R42" s="102"/>
      <c r="S42" s="97">
        <v>10007162</v>
      </c>
      <c r="T42" s="83">
        <f>IFERROR(INDEX([1]Resumen!$K$3:$K$63,MATCH(S42,[1]Resumen!$C$3:$C$63,0)),0)*(1+U42*V42)/1000-51.89/1000</f>
        <v>1.8582869389024885</v>
      </c>
      <c r="U42" s="82">
        <v>0.68</v>
      </c>
      <c r="V42" s="82">
        <f t="shared" si="12"/>
        <v>2.1875000000000089E-2</v>
      </c>
      <c r="W42" s="84">
        <f t="shared" si="13"/>
        <v>9.8000000000000007</v>
      </c>
      <c r="X42" s="85">
        <f t="shared" si="8"/>
        <v>18211.212001244388</v>
      </c>
      <c r="Y42" s="86">
        <f t="shared" si="9"/>
        <v>2036.8320000000001</v>
      </c>
      <c r="Z42" s="85">
        <f t="shared" si="14"/>
        <v>513.38280000000009</v>
      </c>
      <c r="AA42" s="85">
        <f t="shared" si="15"/>
        <v>1009.2236000000003</v>
      </c>
      <c r="AB42" s="85">
        <f t="shared" si="16"/>
        <v>806.7644200000002</v>
      </c>
      <c r="AC42" s="85">
        <v>0</v>
      </c>
      <c r="AD42" s="87">
        <v>0</v>
      </c>
      <c r="AE42" s="88">
        <f t="shared" si="10"/>
        <v>21770.650401244387</v>
      </c>
      <c r="AF42" s="88">
        <f t="shared" si="11"/>
        <v>2221.4949389024882</v>
      </c>
    </row>
    <row r="43" spans="1:32" x14ac:dyDescent="0.3">
      <c r="A43" s="24">
        <v>10007162</v>
      </c>
      <c r="B43" s="24" t="s">
        <v>51</v>
      </c>
      <c r="C43" s="10">
        <v>19660</v>
      </c>
      <c r="D43" s="11"/>
      <c r="E43" s="12"/>
      <c r="F43" s="12"/>
      <c r="G43" s="11"/>
      <c r="H43" s="12"/>
      <c r="I43" s="12"/>
      <c r="J43" s="12"/>
      <c r="K43" s="12">
        <f t="shared" si="5"/>
        <v>0</v>
      </c>
      <c r="L43" s="12"/>
      <c r="M43" s="12"/>
      <c r="N43" s="12"/>
      <c r="O43" s="13">
        <f t="shared" si="6"/>
        <v>19660</v>
      </c>
      <c r="P43" s="14">
        <v>78000</v>
      </c>
      <c r="Q43" s="15">
        <f t="shared" si="7"/>
        <v>-58340</v>
      </c>
      <c r="R43" s="102"/>
      <c r="S43" s="97">
        <v>10007162</v>
      </c>
      <c r="T43" s="83">
        <f>IFERROR(INDEX([1]Resumen!$K$3:$K$63,MATCH(S43,[1]Resumen!$C$3:$C$63,0)),0)*(1+U43*V43)/1000-51.89/1000</f>
        <v>1.8582869389024885</v>
      </c>
      <c r="U43" s="82">
        <v>0.68</v>
      </c>
      <c r="V43" s="82">
        <f t="shared" si="12"/>
        <v>2.1875000000000089E-2</v>
      </c>
      <c r="W43" s="84">
        <f t="shared" si="13"/>
        <v>0</v>
      </c>
      <c r="X43" s="85">
        <f t="shared" si="8"/>
        <v>0</v>
      </c>
      <c r="Y43" s="86">
        <f t="shared" si="9"/>
        <v>0</v>
      </c>
      <c r="Z43" s="85">
        <f t="shared" si="14"/>
        <v>0</v>
      </c>
      <c r="AA43" s="85">
        <f t="shared" si="15"/>
        <v>0</v>
      </c>
      <c r="AB43" s="85">
        <f t="shared" si="16"/>
        <v>0</v>
      </c>
      <c r="AC43" s="85">
        <v>0</v>
      </c>
      <c r="AD43" s="87">
        <v>0</v>
      </c>
      <c r="AE43" s="88">
        <f t="shared" si="10"/>
        <v>0</v>
      </c>
      <c r="AF43" s="88">
        <f t="shared" si="11"/>
        <v>0</v>
      </c>
    </row>
    <row r="44" spans="1:32" x14ac:dyDescent="0.3">
      <c r="A44" s="24">
        <v>10009336</v>
      </c>
      <c r="B44" s="24" t="s">
        <v>52</v>
      </c>
      <c r="C44" s="10">
        <v>14640</v>
      </c>
      <c r="D44" s="11"/>
      <c r="E44" s="12"/>
      <c r="F44" s="12"/>
      <c r="G44" s="11"/>
      <c r="H44" s="12"/>
      <c r="I44" s="12"/>
      <c r="J44" s="12"/>
      <c r="K44" s="12">
        <f t="shared" si="5"/>
        <v>0</v>
      </c>
      <c r="L44" s="12"/>
      <c r="M44" s="12"/>
      <c r="N44" s="12"/>
      <c r="O44" s="13">
        <f t="shared" si="6"/>
        <v>14640</v>
      </c>
      <c r="P44" s="14"/>
      <c r="Q44" s="15">
        <f t="shared" si="7"/>
        <v>14640</v>
      </c>
      <c r="R44" s="102"/>
      <c r="S44" s="98">
        <v>10009386</v>
      </c>
      <c r="T44" s="83">
        <f>IFERROR(INDEX([1]Resumen!$K$3:$K$63,MATCH(S44,[1]Resumen!$C$3:$C$63,0)),0)*(1+U44*V44)/1000-51.89/1000</f>
        <v>1.8598567273709272</v>
      </c>
      <c r="U44" s="82">
        <v>0.68</v>
      </c>
      <c r="V44" s="82">
        <f t="shared" si="12"/>
        <v>2.1875000000000089E-2</v>
      </c>
      <c r="W44" s="84">
        <f t="shared" si="13"/>
        <v>14.64</v>
      </c>
      <c r="X44" s="85">
        <f t="shared" si="8"/>
        <v>27228.302488710375</v>
      </c>
      <c r="Y44" s="86">
        <f t="shared" si="9"/>
        <v>3042.7776000000003</v>
      </c>
      <c r="Z44" s="85">
        <f t="shared" si="14"/>
        <v>766.93104000000017</v>
      </c>
      <c r="AA44" s="85">
        <f t="shared" si="15"/>
        <v>1507.6564800000003</v>
      </c>
      <c r="AB44" s="85">
        <f t="shared" si="16"/>
        <v>1205.2072560000004</v>
      </c>
      <c r="AC44" s="85">
        <v>0</v>
      </c>
      <c r="AD44" s="87">
        <v>0</v>
      </c>
      <c r="AE44" s="88">
        <f t="shared" si="10"/>
        <v>32545.667608710377</v>
      </c>
      <c r="AF44" s="88">
        <f t="shared" si="11"/>
        <v>2223.0647273709274</v>
      </c>
    </row>
    <row r="45" spans="1:32" x14ac:dyDescent="0.3">
      <c r="A45" s="25">
        <v>10009239</v>
      </c>
      <c r="B45" s="25" t="s">
        <v>53</v>
      </c>
      <c r="C45" s="10">
        <v>60560</v>
      </c>
      <c r="D45" s="11"/>
      <c r="E45" s="11"/>
      <c r="F45" s="11"/>
      <c r="G45" s="11"/>
      <c r="H45" s="12"/>
      <c r="I45" s="12"/>
      <c r="J45" s="12"/>
      <c r="K45" s="12">
        <f t="shared" si="5"/>
        <v>0</v>
      </c>
      <c r="L45" s="12"/>
      <c r="M45" s="12"/>
      <c r="N45" s="12"/>
      <c r="O45" s="13">
        <f t="shared" si="6"/>
        <v>60560</v>
      </c>
      <c r="P45" s="14">
        <v>135000</v>
      </c>
      <c r="Q45" s="15">
        <f t="shared" si="7"/>
        <v>-74440</v>
      </c>
      <c r="R45" s="102"/>
      <c r="S45" s="99">
        <v>10009239</v>
      </c>
      <c r="T45" s="83">
        <f>IFERROR(INDEX([1]Resumen!$K$3:$K$63,MATCH(S45,[1]Resumen!$C$3:$C$63,0)),0)*(1+U45*V45)/1000-51.89/1000</f>
        <v>3.4319522664058146</v>
      </c>
      <c r="U45" s="81">
        <v>0.56000000000000005</v>
      </c>
      <c r="V45" s="82">
        <f t="shared" si="12"/>
        <v>2.1875000000000089E-2</v>
      </c>
      <c r="W45" s="84">
        <f t="shared" si="13"/>
        <v>0</v>
      </c>
      <c r="X45" s="85">
        <f t="shared" si="8"/>
        <v>0</v>
      </c>
      <c r="Y45" s="86">
        <f t="shared" si="9"/>
        <v>0</v>
      </c>
      <c r="Z45" s="85">
        <f t="shared" si="14"/>
        <v>0</v>
      </c>
      <c r="AA45" s="85">
        <f t="shared" si="15"/>
        <v>0</v>
      </c>
      <c r="AB45" s="85">
        <f t="shared" si="16"/>
        <v>0</v>
      </c>
      <c r="AC45" s="85">
        <v>0</v>
      </c>
      <c r="AD45" s="87">
        <v>0</v>
      </c>
      <c r="AE45" s="88">
        <f t="shared" si="10"/>
        <v>0</v>
      </c>
      <c r="AF45" s="88">
        <f t="shared" si="11"/>
        <v>0</v>
      </c>
    </row>
    <row r="46" spans="1:32" x14ac:dyDescent="0.3">
      <c r="A46" s="25">
        <v>10009251</v>
      </c>
      <c r="B46" s="25" t="s">
        <v>54</v>
      </c>
      <c r="C46" s="10">
        <v>0</v>
      </c>
      <c r="D46" s="11"/>
      <c r="E46" s="12"/>
      <c r="F46" s="12"/>
      <c r="G46" s="11"/>
      <c r="H46" s="12"/>
      <c r="I46" s="12"/>
      <c r="J46" s="12"/>
      <c r="K46" s="12">
        <f t="shared" si="5"/>
        <v>0</v>
      </c>
      <c r="L46" s="12"/>
      <c r="M46" s="12"/>
      <c r="N46" s="12"/>
      <c r="O46" s="13">
        <f t="shared" si="6"/>
        <v>0</v>
      </c>
      <c r="P46" s="14"/>
      <c r="Q46" s="15">
        <f t="shared" si="7"/>
        <v>0</v>
      </c>
      <c r="R46" s="102"/>
      <c r="S46" s="99">
        <v>10009239</v>
      </c>
      <c r="T46" s="83">
        <f>IFERROR(INDEX([1]Resumen!$K$3:$K$63,MATCH(S46,[1]Resumen!$C$3:$C$63,0)),0)*(1+U46*V46)/1000-51.89/1000</f>
        <v>3.4319522664058146</v>
      </c>
      <c r="U46" s="81">
        <v>0.56000000000000005</v>
      </c>
      <c r="V46" s="82">
        <f t="shared" si="12"/>
        <v>2.1875000000000089E-2</v>
      </c>
      <c r="W46" s="84">
        <f t="shared" si="13"/>
        <v>0</v>
      </c>
      <c r="X46" s="85">
        <f t="shared" si="8"/>
        <v>0</v>
      </c>
      <c r="Y46" s="86">
        <f t="shared" si="9"/>
        <v>0</v>
      </c>
      <c r="Z46" s="85">
        <f t="shared" si="14"/>
        <v>0</v>
      </c>
      <c r="AA46" s="85">
        <f t="shared" si="15"/>
        <v>0</v>
      </c>
      <c r="AB46" s="85">
        <f t="shared" si="16"/>
        <v>0</v>
      </c>
      <c r="AC46" s="85">
        <v>0</v>
      </c>
      <c r="AD46" s="87">
        <v>0</v>
      </c>
      <c r="AE46" s="88">
        <f t="shared" si="10"/>
        <v>0</v>
      </c>
      <c r="AF46" s="88">
        <f t="shared" si="11"/>
        <v>0</v>
      </c>
    </row>
    <row r="47" spans="1:32" x14ac:dyDescent="0.3">
      <c r="A47" s="17">
        <v>10009241</v>
      </c>
      <c r="B47" s="17" t="s">
        <v>55</v>
      </c>
      <c r="C47" s="10">
        <v>260</v>
      </c>
      <c r="D47" s="11"/>
      <c r="E47" s="12"/>
      <c r="F47" s="12"/>
      <c r="G47" s="11"/>
      <c r="H47" s="12"/>
      <c r="I47" s="12"/>
      <c r="J47" s="12"/>
      <c r="K47" s="12">
        <f t="shared" si="5"/>
        <v>0</v>
      </c>
      <c r="L47" s="12"/>
      <c r="M47" s="12"/>
      <c r="N47" s="12"/>
      <c r="O47" s="13">
        <f t="shared" si="6"/>
        <v>260</v>
      </c>
      <c r="P47" s="14">
        <v>260</v>
      </c>
      <c r="Q47" s="15">
        <f t="shared" si="7"/>
        <v>0</v>
      </c>
      <c r="R47" s="102"/>
      <c r="S47" s="100">
        <v>10009334</v>
      </c>
      <c r="T47" s="83">
        <f>IFERROR(INDEX([1]Resumen!$K$3:$K$63,MATCH(S47,[1]Resumen!$C$3:$C$63,0)),0)*(1+U47*V47)/1000-51.89/1000</f>
        <v>3.013107636860302</v>
      </c>
      <c r="U47" s="81">
        <v>0.68</v>
      </c>
      <c r="V47" s="82">
        <f t="shared" si="12"/>
        <v>2.1875000000000089E-2</v>
      </c>
      <c r="W47" s="84">
        <f t="shared" si="13"/>
        <v>0</v>
      </c>
      <c r="X47" s="85">
        <f t="shared" si="8"/>
        <v>0</v>
      </c>
      <c r="Y47" s="86">
        <f t="shared" si="9"/>
        <v>0</v>
      </c>
      <c r="Z47" s="85">
        <f t="shared" si="14"/>
        <v>0</v>
      </c>
      <c r="AA47" s="85">
        <f t="shared" si="15"/>
        <v>0</v>
      </c>
      <c r="AB47" s="85">
        <f t="shared" si="16"/>
        <v>0</v>
      </c>
      <c r="AC47" s="85">
        <v>0</v>
      </c>
      <c r="AD47" s="87">
        <v>0</v>
      </c>
      <c r="AE47" s="88">
        <f t="shared" si="10"/>
        <v>0</v>
      </c>
      <c r="AF47" s="88">
        <f t="shared" si="11"/>
        <v>0</v>
      </c>
    </row>
    <row r="48" spans="1:32" x14ac:dyDescent="0.3">
      <c r="A48" s="17">
        <v>10009331</v>
      </c>
      <c r="B48" s="17" t="s">
        <v>56</v>
      </c>
      <c r="C48" s="10">
        <v>29646</v>
      </c>
      <c r="D48" s="11"/>
      <c r="E48" s="12"/>
      <c r="F48" s="12"/>
      <c r="G48" s="11"/>
      <c r="H48" s="12"/>
      <c r="I48" s="12"/>
      <c r="J48" s="12"/>
      <c r="K48" s="12">
        <f t="shared" si="5"/>
        <v>0</v>
      </c>
      <c r="L48" s="12"/>
      <c r="M48" s="12"/>
      <c r="N48" s="12"/>
      <c r="O48" s="13">
        <f t="shared" si="6"/>
        <v>29646</v>
      </c>
      <c r="P48" s="14">
        <v>150012</v>
      </c>
      <c r="Q48" s="15">
        <f t="shared" si="7"/>
        <v>-120366</v>
      </c>
      <c r="R48" s="102"/>
      <c r="S48" s="100">
        <v>10009334</v>
      </c>
      <c r="T48" s="83">
        <f>IFERROR(INDEX([1]Resumen!$K$3:$K$63,MATCH(S48,[1]Resumen!$C$3:$C$63,0)),0)*(1+U48*V48)/1000-51.89/1000</f>
        <v>3.013107636860302</v>
      </c>
      <c r="U48" s="81">
        <v>0.68</v>
      </c>
      <c r="V48" s="82">
        <f t="shared" si="12"/>
        <v>2.1875000000000089E-2</v>
      </c>
      <c r="W48" s="84">
        <f t="shared" si="13"/>
        <v>0</v>
      </c>
      <c r="X48" s="85">
        <f t="shared" si="8"/>
        <v>0</v>
      </c>
      <c r="Y48" s="86">
        <f t="shared" si="9"/>
        <v>0</v>
      </c>
      <c r="Z48" s="85">
        <f t="shared" si="14"/>
        <v>0</v>
      </c>
      <c r="AA48" s="85">
        <f t="shared" si="15"/>
        <v>0</v>
      </c>
      <c r="AB48" s="85">
        <f t="shared" si="16"/>
        <v>0</v>
      </c>
      <c r="AC48" s="85">
        <v>0</v>
      </c>
      <c r="AD48" s="87">
        <v>0</v>
      </c>
      <c r="AE48" s="88">
        <f t="shared" si="10"/>
        <v>0</v>
      </c>
      <c r="AF48" s="88">
        <f t="shared" si="11"/>
        <v>0</v>
      </c>
    </row>
    <row r="49" spans="1:32" x14ac:dyDescent="0.3">
      <c r="A49" s="17">
        <v>10009334</v>
      </c>
      <c r="B49" s="17" t="s">
        <v>57</v>
      </c>
      <c r="C49" s="10">
        <v>8810</v>
      </c>
      <c r="D49" s="11"/>
      <c r="E49" s="12"/>
      <c r="F49" s="12"/>
      <c r="G49" s="11"/>
      <c r="H49" s="12"/>
      <c r="I49" s="12"/>
      <c r="J49" s="12"/>
      <c r="K49" s="12">
        <f t="shared" si="5"/>
        <v>0</v>
      </c>
      <c r="L49" s="12"/>
      <c r="M49" s="12"/>
      <c r="N49" s="12"/>
      <c r="O49" s="13">
        <f t="shared" si="6"/>
        <v>8810</v>
      </c>
      <c r="P49" s="14">
        <f>+O49</f>
        <v>8810</v>
      </c>
      <c r="Q49" s="15">
        <f t="shared" si="7"/>
        <v>0</v>
      </c>
      <c r="R49" s="102"/>
      <c r="S49" s="100">
        <v>10009334</v>
      </c>
      <c r="T49" s="83">
        <f>IFERROR(INDEX([1]Resumen!$K$3:$K$63,MATCH(S49,[1]Resumen!$C$3:$C$63,0)),0)*(1+U49*V49)/1000-51.89/1000</f>
        <v>3.013107636860302</v>
      </c>
      <c r="U49" s="81">
        <v>0.68</v>
      </c>
      <c r="V49" s="82">
        <f t="shared" si="12"/>
        <v>2.1875000000000089E-2</v>
      </c>
      <c r="W49" s="84">
        <f t="shared" si="13"/>
        <v>0</v>
      </c>
      <c r="X49" s="85">
        <f t="shared" si="8"/>
        <v>0</v>
      </c>
      <c r="Y49" s="86">
        <f t="shared" si="9"/>
        <v>0</v>
      </c>
      <c r="Z49" s="85">
        <f t="shared" si="14"/>
        <v>0</v>
      </c>
      <c r="AA49" s="85">
        <f t="shared" si="15"/>
        <v>0</v>
      </c>
      <c r="AB49" s="85">
        <f t="shared" si="16"/>
        <v>0</v>
      </c>
      <c r="AC49" s="85">
        <v>0</v>
      </c>
      <c r="AD49" s="87">
        <v>0</v>
      </c>
      <c r="AE49" s="88">
        <f t="shared" si="10"/>
        <v>0</v>
      </c>
      <c r="AF49" s="88">
        <f t="shared" si="11"/>
        <v>0</v>
      </c>
    </row>
    <row r="50" spans="1:32" x14ac:dyDescent="0.3">
      <c r="A50" s="16">
        <v>10007050</v>
      </c>
      <c r="B50" s="16" t="s">
        <v>58</v>
      </c>
      <c r="C50" s="10">
        <v>30880</v>
      </c>
      <c r="D50" s="11"/>
      <c r="E50" s="26"/>
      <c r="F50" s="26"/>
      <c r="G50" s="11"/>
      <c r="H50" s="12"/>
      <c r="I50" s="12"/>
      <c r="J50" s="12"/>
      <c r="K50" s="12">
        <f t="shared" si="5"/>
        <v>0</v>
      </c>
      <c r="L50" s="12"/>
      <c r="M50" s="12"/>
      <c r="N50" s="12"/>
      <c r="O50" s="13">
        <f t="shared" si="6"/>
        <v>30880</v>
      </c>
      <c r="P50" s="14"/>
      <c r="Q50" s="15">
        <f t="shared" si="7"/>
        <v>30880</v>
      </c>
      <c r="R50" s="102"/>
      <c r="S50" s="99">
        <v>10007050</v>
      </c>
      <c r="T50" s="83">
        <f>IFERROR(INDEX([1]Resumen!$K$3:$K$63,MATCH(S50,[1]Resumen!$C$3:$C$63,0)),0)*(1+U50*V50)/1000-51.89/1000</f>
        <v>1.542068956786504</v>
      </c>
      <c r="U50" s="81">
        <v>0.68</v>
      </c>
      <c r="V50" s="82">
        <f t="shared" si="12"/>
        <v>2.1875000000000089E-2</v>
      </c>
      <c r="W50" s="84">
        <f t="shared" si="13"/>
        <v>30.88</v>
      </c>
      <c r="X50" s="85">
        <f t="shared" si="8"/>
        <v>47619.08938556724</v>
      </c>
      <c r="Y50" s="86">
        <f t="shared" si="9"/>
        <v>6418.0991999999997</v>
      </c>
      <c r="Z50" s="85">
        <f t="shared" si="14"/>
        <v>1617.6796800000002</v>
      </c>
      <c r="AA50" s="85">
        <f t="shared" si="15"/>
        <v>3180.0841600000003</v>
      </c>
      <c r="AB50" s="85">
        <f t="shared" si="16"/>
        <v>2542.1311520000004</v>
      </c>
      <c r="AC50" s="85">
        <v>0</v>
      </c>
      <c r="AD50" s="87">
        <v>0</v>
      </c>
      <c r="AE50" s="88">
        <f t="shared" si="10"/>
        <v>58834.952425567237</v>
      </c>
      <c r="AF50" s="88">
        <f t="shared" si="11"/>
        <v>1905.2769567865039</v>
      </c>
    </row>
    <row r="51" spans="1:32" x14ac:dyDescent="0.3">
      <c r="A51" s="16">
        <v>10009337</v>
      </c>
      <c r="B51" s="16" t="s">
        <v>59</v>
      </c>
      <c r="C51" s="10">
        <v>45530</v>
      </c>
      <c r="D51" s="11"/>
      <c r="E51" s="26"/>
      <c r="F51" s="26"/>
      <c r="G51" s="11"/>
      <c r="H51" s="12"/>
      <c r="I51" s="12"/>
      <c r="J51" s="12"/>
      <c r="K51" s="12">
        <f t="shared" si="5"/>
        <v>0</v>
      </c>
      <c r="L51" s="12"/>
      <c r="M51" s="12"/>
      <c r="N51" s="12"/>
      <c r="O51" s="13">
        <f t="shared" si="6"/>
        <v>45530</v>
      </c>
      <c r="P51" s="14"/>
      <c r="Q51" s="15">
        <f t="shared" si="7"/>
        <v>45530</v>
      </c>
      <c r="R51" s="102"/>
      <c r="S51" s="99">
        <v>10007050</v>
      </c>
      <c r="T51" s="83">
        <f>IFERROR(INDEX([1]Resumen!$K$3:$K$63,MATCH(S51,[1]Resumen!$C$3:$C$63,0)),0)*(1+U51*V51)/1000-51.89/1000</f>
        <v>1.542068956786504</v>
      </c>
      <c r="U51" s="81">
        <v>0.68</v>
      </c>
      <c r="V51" s="82">
        <f t="shared" si="12"/>
        <v>2.1875000000000089E-2</v>
      </c>
      <c r="W51" s="84">
        <f t="shared" si="13"/>
        <v>45.53</v>
      </c>
      <c r="X51" s="85">
        <f t="shared" si="8"/>
        <v>70210.399602489531</v>
      </c>
      <c r="Y51" s="86">
        <f t="shared" si="9"/>
        <v>9462.9552000000003</v>
      </c>
      <c r="Z51" s="85">
        <f t="shared" si="14"/>
        <v>2385.1345800000004</v>
      </c>
      <c r="AA51" s="85">
        <f t="shared" si="15"/>
        <v>4688.7704600000006</v>
      </c>
      <c r="AB51" s="85">
        <f t="shared" si="16"/>
        <v>3748.1616370000011</v>
      </c>
      <c r="AC51" s="85">
        <v>0</v>
      </c>
      <c r="AD51" s="87">
        <v>0</v>
      </c>
      <c r="AE51" s="88">
        <f t="shared" si="10"/>
        <v>86747.259842489526</v>
      </c>
      <c r="AF51" s="88">
        <f t="shared" si="11"/>
        <v>1905.2769567865039</v>
      </c>
    </row>
    <row r="52" spans="1:32" x14ac:dyDescent="0.3">
      <c r="A52" s="16">
        <v>10009332</v>
      </c>
      <c r="B52" s="16" t="s">
        <v>60</v>
      </c>
      <c r="C52" s="10">
        <v>33405</v>
      </c>
      <c r="D52" s="11"/>
      <c r="E52" s="12"/>
      <c r="F52" s="12"/>
      <c r="G52" s="11"/>
      <c r="H52" s="12"/>
      <c r="I52" s="12"/>
      <c r="J52" s="12"/>
      <c r="K52" s="12">
        <f t="shared" si="5"/>
        <v>0</v>
      </c>
      <c r="L52" s="12"/>
      <c r="M52" s="12"/>
      <c r="N52" s="12"/>
      <c r="O52" s="13">
        <f t="shared" si="6"/>
        <v>33405</v>
      </c>
      <c r="P52" s="14"/>
      <c r="Q52" s="15">
        <f t="shared" si="7"/>
        <v>33405</v>
      </c>
      <c r="R52" s="102"/>
      <c r="S52" s="99">
        <v>10007050</v>
      </c>
      <c r="T52" s="83">
        <f>IFERROR(INDEX([1]Resumen!$K$3:$K$63,MATCH(S52,[1]Resumen!$C$3:$C$63,0)),0)*(1+U52*V52)/1000-51.89/1000</f>
        <v>1.542068956786504</v>
      </c>
      <c r="U52" s="81">
        <v>0.68</v>
      </c>
      <c r="V52" s="82">
        <f t="shared" si="12"/>
        <v>2.1875000000000089E-2</v>
      </c>
      <c r="W52" s="84">
        <f t="shared" si="13"/>
        <v>33.405000000000001</v>
      </c>
      <c r="X52" s="85">
        <f t="shared" si="8"/>
        <v>51512.813501453165</v>
      </c>
      <c r="Y52" s="86">
        <f t="shared" si="9"/>
        <v>6942.8951999999999</v>
      </c>
      <c r="Z52" s="85">
        <f t="shared" si="14"/>
        <v>1749.9543300000005</v>
      </c>
      <c r="AA52" s="85">
        <f t="shared" si="15"/>
        <v>3440.1137100000005</v>
      </c>
      <c r="AB52" s="85">
        <f t="shared" si="16"/>
        <v>2749.9964745000007</v>
      </c>
      <c r="AC52" s="85">
        <v>0</v>
      </c>
      <c r="AD52" s="87">
        <v>0</v>
      </c>
      <c r="AE52" s="88">
        <f t="shared" si="10"/>
        <v>63645.776741453163</v>
      </c>
      <c r="AF52" s="88">
        <f t="shared" si="11"/>
        <v>1905.2769567865039</v>
      </c>
    </row>
    <row r="53" spans="1:32" x14ac:dyDescent="0.3">
      <c r="A53" s="10">
        <v>10007152</v>
      </c>
      <c r="B53" s="10" t="s">
        <v>61</v>
      </c>
      <c r="C53" s="10">
        <v>0</v>
      </c>
      <c r="D53" s="11"/>
      <c r="E53" s="12"/>
      <c r="F53" s="12"/>
      <c r="G53" s="11"/>
      <c r="H53" s="12"/>
      <c r="I53" s="12"/>
      <c r="J53" s="12"/>
      <c r="K53" s="12">
        <f t="shared" si="5"/>
        <v>0</v>
      </c>
      <c r="L53" s="12"/>
      <c r="M53" s="12"/>
      <c r="N53" s="12"/>
      <c r="O53" s="13">
        <f t="shared" ref="O53:O58" si="17">+K53+C53-L53-M53</f>
        <v>0</v>
      </c>
      <c r="P53" s="14"/>
      <c r="Q53" s="15">
        <f t="shared" si="7"/>
        <v>0</v>
      </c>
      <c r="R53" s="102"/>
      <c r="W53" s="84">
        <f t="shared" si="13"/>
        <v>0</v>
      </c>
      <c r="X53" s="85">
        <f t="shared" si="8"/>
        <v>0</v>
      </c>
      <c r="Y53" s="86">
        <f t="shared" si="9"/>
        <v>0</v>
      </c>
      <c r="Z53" s="85">
        <f t="shared" si="14"/>
        <v>0</v>
      </c>
      <c r="AA53" s="85">
        <f t="shared" si="15"/>
        <v>0</v>
      </c>
      <c r="AB53" s="85">
        <f t="shared" si="16"/>
        <v>0</v>
      </c>
      <c r="AC53" s="85">
        <v>0</v>
      </c>
      <c r="AD53" s="87">
        <v>0</v>
      </c>
      <c r="AE53" s="88">
        <f t="shared" si="10"/>
        <v>0</v>
      </c>
      <c r="AF53" s="88">
        <f t="shared" si="11"/>
        <v>0</v>
      </c>
    </row>
    <row r="54" spans="1:32" x14ac:dyDescent="0.3">
      <c r="A54" s="10">
        <v>10007151</v>
      </c>
      <c r="B54" s="10" t="s">
        <v>62</v>
      </c>
      <c r="C54" s="10">
        <v>0</v>
      </c>
      <c r="D54" s="11"/>
      <c r="E54" s="12"/>
      <c r="F54" s="12"/>
      <c r="G54" s="11"/>
      <c r="H54" s="12"/>
      <c r="I54" s="12"/>
      <c r="J54" s="12"/>
      <c r="K54" s="12">
        <f t="shared" si="5"/>
        <v>0</v>
      </c>
      <c r="L54" s="12"/>
      <c r="M54" s="12"/>
      <c r="N54" s="12"/>
      <c r="O54" s="13">
        <f t="shared" si="17"/>
        <v>0</v>
      </c>
      <c r="P54" s="14"/>
      <c r="Q54" s="15">
        <f t="shared" si="7"/>
        <v>0</v>
      </c>
      <c r="R54" s="102"/>
      <c r="W54" s="84">
        <f t="shared" si="13"/>
        <v>0</v>
      </c>
      <c r="X54" s="85">
        <f t="shared" si="8"/>
        <v>0</v>
      </c>
      <c r="Y54" s="86">
        <f t="shared" si="9"/>
        <v>0</v>
      </c>
      <c r="Z54" s="85">
        <f t="shared" si="14"/>
        <v>0</v>
      </c>
      <c r="AA54" s="85">
        <f t="shared" si="15"/>
        <v>0</v>
      </c>
      <c r="AB54" s="85">
        <f t="shared" si="16"/>
        <v>0</v>
      </c>
      <c r="AC54" s="85">
        <v>0</v>
      </c>
      <c r="AD54" s="87">
        <v>0</v>
      </c>
      <c r="AE54" s="88">
        <f t="shared" si="10"/>
        <v>0</v>
      </c>
      <c r="AF54" s="88">
        <f t="shared" si="11"/>
        <v>0</v>
      </c>
    </row>
    <row r="55" spans="1:32" x14ac:dyDescent="0.3">
      <c r="A55" s="10">
        <v>10007051</v>
      </c>
      <c r="B55" s="10" t="s">
        <v>63</v>
      </c>
      <c r="C55" s="10">
        <v>0</v>
      </c>
      <c r="D55" s="11"/>
      <c r="E55" s="12"/>
      <c r="F55" s="12"/>
      <c r="G55" s="11"/>
      <c r="H55" s="12"/>
      <c r="I55" s="12"/>
      <c r="J55" s="12"/>
      <c r="K55" s="12">
        <f t="shared" si="5"/>
        <v>0</v>
      </c>
      <c r="L55" s="12"/>
      <c r="M55" s="12"/>
      <c r="N55" s="12"/>
      <c r="O55" s="13">
        <f t="shared" si="17"/>
        <v>0</v>
      </c>
      <c r="P55" s="14"/>
      <c r="Q55" s="15">
        <f t="shared" si="7"/>
        <v>0</v>
      </c>
      <c r="R55" s="102"/>
      <c r="W55" s="84">
        <f t="shared" si="13"/>
        <v>0</v>
      </c>
      <c r="X55" s="85">
        <f t="shared" si="8"/>
        <v>0</v>
      </c>
      <c r="Y55" s="86">
        <f t="shared" si="9"/>
        <v>0</v>
      </c>
      <c r="Z55" s="85">
        <f t="shared" si="14"/>
        <v>0</v>
      </c>
      <c r="AA55" s="85">
        <f t="shared" si="15"/>
        <v>0</v>
      </c>
      <c r="AB55" s="85">
        <f t="shared" si="16"/>
        <v>0</v>
      </c>
      <c r="AC55" s="85">
        <v>0</v>
      </c>
      <c r="AD55" s="87">
        <v>0</v>
      </c>
      <c r="AE55" s="88">
        <f t="shared" si="10"/>
        <v>0</v>
      </c>
      <c r="AF55" s="88">
        <f t="shared" si="11"/>
        <v>0</v>
      </c>
    </row>
    <row r="56" spans="1:32" x14ac:dyDescent="0.3">
      <c r="A56" s="10">
        <v>10009650</v>
      </c>
      <c r="B56" s="10" t="s">
        <v>64</v>
      </c>
      <c r="C56" s="10">
        <v>0</v>
      </c>
      <c r="D56" s="11"/>
      <c r="E56" s="12"/>
      <c r="F56" s="10"/>
      <c r="G56" s="22"/>
      <c r="H56" s="10"/>
      <c r="I56" s="10"/>
      <c r="J56" s="10"/>
      <c r="K56" s="12">
        <f t="shared" si="5"/>
        <v>0</v>
      </c>
      <c r="L56" s="10"/>
      <c r="M56" s="10"/>
      <c r="N56" s="10"/>
      <c r="O56" s="13">
        <f t="shared" si="17"/>
        <v>0</v>
      </c>
      <c r="P56" s="14"/>
      <c r="Q56" s="15">
        <f t="shared" si="7"/>
        <v>0</v>
      </c>
      <c r="R56" s="102"/>
      <c r="W56" s="84">
        <f t="shared" si="13"/>
        <v>0</v>
      </c>
      <c r="X56" s="85">
        <f t="shared" si="8"/>
        <v>0</v>
      </c>
      <c r="Y56" s="86">
        <f t="shared" si="9"/>
        <v>0</v>
      </c>
      <c r="Z56" s="85">
        <f t="shared" si="14"/>
        <v>0</v>
      </c>
      <c r="AA56" s="85">
        <f t="shared" si="15"/>
        <v>0</v>
      </c>
      <c r="AB56" s="85">
        <f t="shared" si="16"/>
        <v>0</v>
      </c>
      <c r="AC56" s="85">
        <v>0</v>
      </c>
      <c r="AD56" s="87">
        <v>0</v>
      </c>
      <c r="AE56" s="88">
        <f t="shared" si="10"/>
        <v>0</v>
      </c>
      <c r="AF56" s="88">
        <f t="shared" si="11"/>
        <v>0</v>
      </c>
    </row>
    <row r="57" spans="1:32" x14ac:dyDescent="0.3">
      <c r="A57" s="10">
        <v>10009828</v>
      </c>
      <c r="B57" s="10" t="s">
        <v>65</v>
      </c>
      <c r="C57" s="10">
        <v>0</v>
      </c>
      <c r="D57" s="22"/>
      <c r="E57" s="10"/>
      <c r="F57" s="10"/>
      <c r="G57" s="22"/>
      <c r="H57" s="10"/>
      <c r="I57" s="10"/>
      <c r="J57" s="10"/>
      <c r="K57" s="12">
        <f t="shared" si="5"/>
        <v>0</v>
      </c>
      <c r="L57" s="10"/>
      <c r="M57" s="10"/>
      <c r="N57" s="10"/>
      <c r="O57" s="13">
        <f t="shared" si="17"/>
        <v>0</v>
      </c>
      <c r="P57" s="14"/>
      <c r="Q57" s="15">
        <f t="shared" si="7"/>
        <v>0</v>
      </c>
      <c r="R57" s="102"/>
      <c r="W57" s="84">
        <f t="shared" si="13"/>
        <v>0</v>
      </c>
      <c r="X57" s="85">
        <f t="shared" si="8"/>
        <v>0</v>
      </c>
      <c r="Y57" s="86">
        <f t="shared" si="9"/>
        <v>0</v>
      </c>
      <c r="Z57" s="85">
        <f t="shared" si="14"/>
        <v>0</v>
      </c>
      <c r="AA57" s="85">
        <f t="shared" si="15"/>
        <v>0</v>
      </c>
      <c r="AB57" s="85">
        <f t="shared" si="16"/>
        <v>0</v>
      </c>
      <c r="AC57" s="85">
        <v>0</v>
      </c>
      <c r="AD57" s="87">
        <v>0</v>
      </c>
      <c r="AE57" s="88">
        <f t="shared" si="10"/>
        <v>0</v>
      </c>
      <c r="AF57" s="88">
        <f t="shared" si="11"/>
        <v>0</v>
      </c>
    </row>
    <row r="58" spans="1:32" ht="16.2" thickBot="1" x14ac:dyDescent="0.35">
      <c r="A58" s="27"/>
      <c r="B58" s="27" t="s">
        <v>66</v>
      </c>
      <c r="C58" s="10">
        <v>0</v>
      </c>
      <c r="D58" s="22"/>
      <c r="E58" s="12"/>
      <c r="F58" s="10"/>
      <c r="G58" s="22"/>
      <c r="H58" s="10"/>
      <c r="I58" s="10"/>
      <c r="J58" s="10"/>
      <c r="K58" s="12">
        <f t="shared" si="5"/>
        <v>0</v>
      </c>
      <c r="L58" s="10"/>
      <c r="M58" s="10"/>
      <c r="N58" s="10"/>
      <c r="O58" s="13">
        <f t="shared" si="17"/>
        <v>0</v>
      </c>
      <c r="P58" s="14"/>
      <c r="Q58" s="15">
        <f t="shared" si="7"/>
        <v>0</v>
      </c>
      <c r="R58" s="102"/>
      <c r="W58" s="84">
        <f t="shared" si="13"/>
        <v>0</v>
      </c>
      <c r="X58" s="85">
        <f t="shared" si="8"/>
        <v>0</v>
      </c>
      <c r="Y58" s="86">
        <f t="shared" si="9"/>
        <v>0</v>
      </c>
      <c r="Z58" s="85">
        <f t="shared" si="14"/>
        <v>0</v>
      </c>
      <c r="AA58" s="85">
        <f t="shared" si="15"/>
        <v>0</v>
      </c>
      <c r="AB58" s="85">
        <f t="shared" si="16"/>
        <v>0</v>
      </c>
      <c r="AC58" s="85">
        <v>0</v>
      </c>
      <c r="AD58" s="87">
        <v>0</v>
      </c>
      <c r="AE58" s="88">
        <f t="shared" si="10"/>
        <v>0</v>
      </c>
      <c r="AF58" s="88">
        <f t="shared" si="11"/>
        <v>0</v>
      </c>
    </row>
    <row r="59" spans="1:32" ht="16.2" thickBot="1" x14ac:dyDescent="0.35">
      <c r="A59" s="28"/>
      <c r="B59" s="28" t="s">
        <v>67</v>
      </c>
      <c r="C59" s="29">
        <v>2055245</v>
      </c>
      <c r="D59" s="29">
        <f>SUM(D2:D58)</f>
        <v>0</v>
      </c>
      <c r="E59" s="29">
        <f t="shared" ref="E59:J59" si="18">SUM(E2:E58)</f>
        <v>0</v>
      </c>
      <c r="F59" s="29">
        <f t="shared" si="18"/>
        <v>0</v>
      </c>
      <c r="G59" s="30">
        <f t="shared" si="18"/>
        <v>0</v>
      </c>
      <c r="H59" s="29">
        <f t="shared" si="18"/>
        <v>0</v>
      </c>
      <c r="I59" s="29">
        <f t="shared" si="18"/>
        <v>0</v>
      </c>
      <c r="J59" s="29">
        <f t="shared" si="18"/>
        <v>0</v>
      </c>
      <c r="K59" s="29">
        <f>+D59+E59+F59+G59+H59+I59+J59</f>
        <v>0</v>
      </c>
      <c r="L59" s="29">
        <f>SUM(L2:L58)</f>
        <v>0</v>
      </c>
      <c r="M59" s="29">
        <f>SUM(M2:M58)</f>
        <v>0</v>
      </c>
      <c r="N59" s="29"/>
      <c r="O59" s="29">
        <f>SUM(O2:O58)</f>
        <v>1036011</v>
      </c>
      <c r="P59" s="29">
        <f>SUM(P2:P58)</f>
        <v>807722</v>
      </c>
      <c r="Q59" s="15">
        <f>SUMIF(Q2:Q58,"&gt;0",Q2:Q58)</f>
        <v>792075</v>
      </c>
      <c r="R59" s="102"/>
      <c r="W59" s="89">
        <f>SUM(W2:W58)</f>
        <v>792.07499999999993</v>
      </c>
      <c r="X59" s="90">
        <f t="shared" ref="X59:AC59" si="19">SUM(X2:X58)</f>
        <v>1476849.0443208581</v>
      </c>
      <c r="Y59" s="90">
        <f t="shared" si="19"/>
        <v>164624.86800000002</v>
      </c>
      <c r="Z59" s="90">
        <f t="shared" si="19"/>
        <v>41493.640950000008</v>
      </c>
      <c r="AA59" s="90">
        <f t="shared" si="19"/>
        <v>81569.467650000021</v>
      </c>
      <c r="AB59" s="90">
        <f t="shared" si="19"/>
        <v>65205.91101750001</v>
      </c>
      <c r="AC59" s="90">
        <f t="shared" si="19"/>
        <v>0</v>
      </c>
      <c r="AD59" s="91">
        <v>0</v>
      </c>
      <c r="AE59" s="92">
        <f>SUM(AE2:AE58)</f>
        <v>1764537.0209208585</v>
      </c>
      <c r="AF59" s="92">
        <f>IFERROR(AE59/W59,0)</f>
        <v>2227.7398237803977</v>
      </c>
    </row>
    <row r="60" spans="1:32" ht="16.2" thickBot="1" x14ac:dyDescent="0.35">
      <c r="A60" s="16"/>
      <c r="B60" s="16"/>
      <c r="C60" s="10"/>
      <c r="D60" s="31"/>
      <c r="E60" s="31"/>
      <c r="F60" s="31"/>
      <c r="G60" s="32"/>
      <c r="H60" s="31"/>
      <c r="I60" s="31"/>
      <c r="J60" s="31"/>
      <c r="K60" s="29"/>
      <c r="L60" s="33"/>
      <c r="M60" s="33"/>
      <c r="N60" s="33"/>
      <c r="O60" s="34"/>
      <c r="P60" s="35"/>
      <c r="Q60" s="36"/>
      <c r="R60" s="103"/>
      <c r="W60"/>
      <c r="X60"/>
      <c r="Y60"/>
      <c r="Z60"/>
      <c r="AA60"/>
      <c r="AB60"/>
      <c r="AC60"/>
      <c r="AD60"/>
      <c r="AE60"/>
      <c r="AF60"/>
    </row>
    <row r="61" spans="1:32" ht="16.2" thickBot="1" x14ac:dyDescent="0.35">
      <c r="A61" s="16"/>
      <c r="B61" s="16"/>
      <c r="C61" s="10"/>
      <c r="D61" s="31"/>
      <c r="E61" s="31"/>
      <c r="F61" s="31"/>
      <c r="G61" s="32"/>
      <c r="H61" s="31"/>
      <c r="I61" s="31"/>
      <c r="J61" s="31"/>
      <c r="K61" s="29"/>
      <c r="L61" s="33"/>
      <c r="M61" s="33"/>
      <c r="N61" s="33"/>
      <c r="O61" s="34"/>
      <c r="P61" s="37"/>
      <c r="Q61" s="36"/>
      <c r="R61" s="103"/>
      <c r="W61"/>
      <c r="X61"/>
      <c r="Y61" t="s">
        <v>172</v>
      </c>
      <c r="Z61" s="90">
        <v>78579.000000000015</v>
      </c>
      <c r="AA61" s="90">
        <v>154473.00000000003</v>
      </c>
      <c r="AB61" s="90">
        <v>123484.35000000002</v>
      </c>
      <c r="AC61"/>
      <c r="AD61"/>
      <c r="AE61"/>
      <c r="AF61"/>
    </row>
    <row r="62" spans="1:32" x14ac:dyDescent="0.3">
      <c r="A62" s="16"/>
      <c r="B62" s="16"/>
      <c r="C62" s="38"/>
      <c r="D62" s="39"/>
      <c r="E62" s="39"/>
      <c r="F62" s="39"/>
      <c r="G62" s="40"/>
      <c r="H62" s="39"/>
      <c r="I62" s="39"/>
      <c r="J62" s="39"/>
      <c r="K62" s="41"/>
      <c r="L62" s="42"/>
      <c r="M62" s="33"/>
      <c r="N62" s="33"/>
      <c r="O62" s="33"/>
      <c r="P62" s="35"/>
      <c r="Q62" s="36"/>
      <c r="R62" s="103"/>
    </row>
    <row r="63" spans="1:32" x14ac:dyDescent="0.3">
      <c r="A63" s="43"/>
      <c r="B63" s="43" t="s">
        <v>68</v>
      </c>
      <c r="C63" s="44"/>
      <c r="D63" s="45" t="e">
        <f>+D59/D60</f>
        <v>#DIV/0!</v>
      </c>
      <c r="E63" s="45" t="e">
        <f t="shared" ref="E63:I63" si="20">+E59/E60</f>
        <v>#DIV/0!</v>
      </c>
      <c r="F63" s="45" t="e">
        <f t="shared" si="20"/>
        <v>#DIV/0!</v>
      </c>
      <c r="G63" s="46" t="e">
        <f t="shared" si="20"/>
        <v>#DIV/0!</v>
      </c>
      <c r="H63" s="45" t="e">
        <f t="shared" si="20"/>
        <v>#DIV/0!</v>
      </c>
      <c r="I63" s="45" t="e">
        <f t="shared" si="20"/>
        <v>#DIV/0!</v>
      </c>
      <c r="J63" s="45" t="e">
        <f>+J59/J60</f>
        <v>#DIV/0!</v>
      </c>
      <c r="K63" s="45" t="e">
        <f>+K59/K60</f>
        <v>#DIV/0!</v>
      </c>
      <c r="L63" s="8">
        <v>1000000</v>
      </c>
    </row>
    <row r="64" spans="1:32" x14ac:dyDescent="0.3">
      <c r="A64" s="49"/>
      <c r="B64" s="49" t="s">
        <v>69</v>
      </c>
      <c r="C64" s="50"/>
      <c r="D64" s="51" t="e">
        <f t="shared" ref="D64:H64" si="21">+D59/D62</f>
        <v>#DIV/0!</v>
      </c>
      <c r="E64" s="51" t="e">
        <f t="shared" si="21"/>
        <v>#DIV/0!</v>
      </c>
      <c r="F64" s="51" t="e">
        <f t="shared" si="21"/>
        <v>#DIV/0!</v>
      </c>
      <c r="G64" s="52" t="e">
        <f t="shared" si="21"/>
        <v>#DIV/0!</v>
      </c>
      <c r="H64" s="51" t="e">
        <f t="shared" si="21"/>
        <v>#DIV/0!</v>
      </c>
      <c r="I64" s="53">
        <v>0</v>
      </c>
      <c r="J64" s="53" t="e">
        <f>+J59/J62</f>
        <v>#DIV/0!</v>
      </c>
      <c r="K64" s="50" t="e">
        <f>+K59/L62</f>
        <v>#DIV/0!</v>
      </c>
      <c r="L64" s="54">
        <f>+L63-L62</f>
        <v>1000000</v>
      </c>
    </row>
    <row r="65" spans="1:9" ht="40.049999999999997" customHeight="1" x14ac:dyDescent="0.3"/>
    <row r="66" spans="1:9" ht="40.049999999999997" customHeight="1" x14ac:dyDescent="0.3">
      <c r="C66" s="56">
        <f>+D59+E59+F59</f>
        <v>0</v>
      </c>
    </row>
    <row r="67" spans="1:9" ht="40.049999999999997" customHeight="1" x14ac:dyDescent="0.3">
      <c r="C67" s="57">
        <v>107995</v>
      </c>
    </row>
    <row r="68" spans="1:9" ht="40.049999999999997" customHeight="1" x14ac:dyDescent="0.3">
      <c r="C68" s="57">
        <v>97466</v>
      </c>
      <c r="F68" s="8">
        <f>119830-118418</f>
        <v>1412</v>
      </c>
    </row>
    <row r="69" spans="1:9" ht="40.049999999999997" customHeight="1" x14ac:dyDescent="0.3">
      <c r="C69" s="56">
        <f>+C66+C67+C68</f>
        <v>205461</v>
      </c>
    </row>
    <row r="73" spans="1:9" ht="40.049999999999997" customHeight="1" x14ac:dyDescent="0.3"/>
    <row r="74" spans="1:9" ht="40.049999999999997" customHeight="1" x14ac:dyDescent="0.3">
      <c r="B74" s="58" t="s">
        <v>70</v>
      </c>
      <c r="C74" s="58"/>
      <c r="D74" s="58"/>
      <c r="E74" s="58"/>
      <c r="F74" s="58"/>
      <c r="G74" s="58"/>
      <c r="H74" s="58"/>
    </row>
    <row r="75" spans="1:9" ht="40.049999999999997" customHeight="1" x14ac:dyDescent="0.3">
      <c r="B75" s="58"/>
      <c r="C75" s="58"/>
      <c r="D75" s="58"/>
      <c r="E75" s="58"/>
      <c r="F75" s="58"/>
      <c r="G75" s="58"/>
      <c r="H75" s="58"/>
    </row>
    <row r="76" spans="1:9" ht="40.049999999999997" customHeight="1" x14ac:dyDescent="0.3">
      <c r="A76" s="59" t="s">
        <v>71</v>
      </c>
      <c r="B76" s="59" t="s">
        <v>71</v>
      </c>
      <c r="C76" s="10" t="s">
        <v>72</v>
      </c>
      <c r="D76" s="10" t="s">
        <v>73</v>
      </c>
      <c r="E76" s="10" t="s">
        <v>1</v>
      </c>
      <c r="F76" s="10" t="s">
        <v>74</v>
      </c>
      <c r="G76" s="22" t="s">
        <v>75</v>
      </c>
      <c r="H76" s="10" t="s">
        <v>76</v>
      </c>
      <c r="I76" s="60" t="s">
        <v>6</v>
      </c>
    </row>
    <row r="77" spans="1:9" ht="40.049999999999997" customHeight="1" x14ac:dyDescent="0.3">
      <c r="A77" s="38" t="s">
        <v>77</v>
      </c>
      <c r="B77" s="38" t="s">
        <v>77</v>
      </c>
      <c r="C77" s="38" t="s">
        <v>78</v>
      </c>
      <c r="D77" s="38">
        <v>27000</v>
      </c>
      <c r="E77" s="38" t="s">
        <v>79</v>
      </c>
      <c r="F77" s="61" t="s">
        <v>80</v>
      </c>
      <c r="G77" s="62" t="s">
        <v>81</v>
      </c>
      <c r="H77" s="38" t="s">
        <v>82</v>
      </c>
      <c r="I77" s="63"/>
    </row>
    <row r="78" spans="1:9" x14ac:dyDescent="0.3">
      <c r="A78" s="49" t="s">
        <v>77</v>
      </c>
      <c r="B78" s="49" t="s">
        <v>77</v>
      </c>
      <c r="C78" s="49" t="s">
        <v>83</v>
      </c>
      <c r="D78" s="49">
        <v>26000</v>
      </c>
      <c r="E78" s="49" t="s">
        <v>84</v>
      </c>
      <c r="F78" s="49" t="s">
        <v>85</v>
      </c>
      <c r="G78" s="64" t="s">
        <v>81</v>
      </c>
      <c r="H78" s="49" t="s">
        <v>86</v>
      </c>
      <c r="I78" s="65"/>
    </row>
    <row r="79" spans="1:9" x14ac:dyDescent="0.3">
      <c r="A79" s="49" t="s">
        <v>77</v>
      </c>
      <c r="B79" s="49" t="s">
        <v>77</v>
      </c>
      <c r="C79" s="49" t="s">
        <v>87</v>
      </c>
      <c r="D79" s="49">
        <v>48000</v>
      </c>
      <c r="E79" s="49" t="s">
        <v>88</v>
      </c>
      <c r="F79" s="49" t="s">
        <v>89</v>
      </c>
      <c r="G79" s="64" t="s">
        <v>90</v>
      </c>
      <c r="H79" s="49" t="s">
        <v>91</v>
      </c>
      <c r="I79" s="63"/>
    </row>
    <row r="80" spans="1:9" x14ac:dyDescent="0.3">
      <c r="A80" s="49" t="s">
        <v>77</v>
      </c>
      <c r="B80" s="49" t="s">
        <v>77</v>
      </c>
      <c r="C80" s="49" t="s">
        <v>92</v>
      </c>
      <c r="D80" s="49">
        <v>125000</v>
      </c>
      <c r="E80" s="49" t="s">
        <v>93</v>
      </c>
      <c r="F80" s="49" t="s">
        <v>94</v>
      </c>
      <c r="G80" s="64" t="s">
        <v>95</v>
      </c>
      <c r="H80" s="49" t="s">
        <v>96</v>
      </c>
      <c r="I80" s="63" t="s">
        <v>97</v>
      </c>
    </row>
    <row r="81" spans="1:9" x14ac:dyDescent="0.3">
      <c r="A81" s="49" t="s">
        <v>77</v>
      </c>
      <c r="B81" s="49" t="s">
        <v>77</v>
      </c>
      <c r="C81" s="49" t="s">
        <v>98</v>
      </c>
      <c r="D81" s="49">
        <v>120000</v>
      </c>
      <c r="E81" s="49" t="s">
        <v>99</v>
      </c>
      <c r="F81" s="49" t="s">
        <v>100</v>
      </c>
      <c r="G81" s="64" t="s">
        <v>101</v>
      </c>
      <c r="H81" s="49" t="s">
        <v>91</v>
      </c>
      <c r="I81" s="60" t="s">
        <v>102</v>
      </c>
    </row>
    <row r="82" spans="1:9" x14ac:dyDescent="0.3">
      <c r="A82" s="49" t="s">
        <v>77</v>
      </c>
      <c r="B82" s="49" t="s">
        <v>77</v>
      </c>
      <c r="C82" s="49" t="s">
        <v>103</v>
      </c>
      <c r="D82" s="49">
        <v>72000</v>
      </c>
      <c r="E82" s="49" t="s">
        <v>104</v>
      </c>
      <c r="F82" s="66" t="s">
        <v>105</v>
      </c>
      <c r="G82" s="64" t="s">
        <v>106</v>
      </c>
      <c r="H82" s="49" t="s">
        <v>91</v>
      </c>
      <c r="I82" s="63"/>
    </row>
    <row r="83" spans="1:9" x14ac:dyDescent="0.3">
      <c r="A83" s="49" t="s">
        <v>77</v>
      </c>
      <c r="B83" s="49" t="s">
        <v>77</v>
      </c>
      <c r="C83" s="49" t="s">
        <v>107</v>
      </c>
      <c r="D83" s="49">
        <v>78000</v>
      </c>
      <c r="E83" s="49" t="s">
        <v>93</v>
      </c>
      <c r="F83" s="66" t="s">
        <v>94</v>
      </c>
      <c r="G83" s="64" t="s">
        <v>81</v>
      </c>
      <c r="H83" s="49" t="s">
        <v>108</v>
      </c>
      <c r="I83" s="65" t="s">
        <v>109</v>
      </c>
    </row>
    <row r="84" spans="1:9" x14ac:dyDescent="0.3">
      <c r="A84" s="49" t="s">
        <v>77</v>
      </c>
      <c r="B84" s="49" t="s">
        <v>77</v>
      </c>
      <c r="C84" s="49" t="s">
        <v>110</v>
      </c>
      <c r="D84" s="49">
        <v>24000</v>
      </c>
      <c r="E84" s="49" t="s">
        <v>111</v>
      </c>
      <c r="F84" s="49" t="s">
        <v>85</v>
      </c>
      <c r="G84" s="64" t="s">
        <v>112</v>
      </c>
      <c r="H84" s="49" t="s">
        <v>91</v>
      </c>
      <c r="I84" s="60"/>
    </row>
    <row r="85" spans="1:9" x14ac:dyDescent="0.3">
      <c r="A85" s="49" t="s">
        <v>77</v>
      </c>
      <c r="B85" s="49" t="s">
        <v>77</v>
      </c>
      <c r="C85" s="49" t="s">
        <v>113</v>
      </c>
      <c r="D85" s="49">
        <v>26000</v>
      </c>
      <c r="E85" s="38" t="s">
        <v>84</v>
      </c>
      <c r="F85" s="49" t="s">
        <v>85</v>
      </c>
      <c r="G85" s="64" t="s">
        <v>81</v>
      </c>
      <c r="H85" s="49" t="s">
        <v>108</v>
      </c>
      <c r="I85" s="67">
        <v>46120</v>
      </c>
    </row>
    <row r="86" spans="1:9" x14ac:dyDescent="0.3">
      <c r="A86" s="49" t="s">
        <v>77</v>
      </c>
      <c r="B86" s="49" t="s">
        <v>77</v>
      </c>
      <c r="C86" s="49" t="s">
        <v>114</v>
      </c>
      <c r="D86" s="49">
        <v>120000</v>
      </c>
      <c r="E86" s="49" t="s">
        <v>115</v>
      </c>
      <c r="F86" s="49" t="s">
        <v>116</v>
      </c>
      <c r="G86" s="64" t="s">
        <v>117</v>
      </c>
      <c r="H86" s="49" t="s">
        <v>91</v>
      </c>
      <c r="I86" s="63"/>
    </row>
    <row r="87" spans="1:9" x14ac:dyDescent="0.3">
      <c r="A87" s="68" t="s">
        <v>118</v>
      </c>
      <c r="B87" s="68" t="s">
        <v>118</v>
      </c>
      <c r="C87" s="68" t="s">
        <v>119</v>
      </c>
      <c r="D87" s="68">
        <v>48000</v>
      </c>
      <c r="E87" s="68" t="s">
        <v>120</v>
      </c>
      <c r="F87" s="68" t="s">
        <v>121</v>
      </c>
      <c r="G87" s="69" t="s">
        <v>117</v>
      </c>
      <c r="H87" s="68" t="s">
        <v>91</v>
      </c>
      <c r="I87" s="70" t="s">
        <v>122</v>
      </c>
    </row>
    <row r="88" spans="1:9" x14ac:dyDescent="0.3">
      <c r="A88" s="49" t="s">
        <v>77</v>
      </c>
      <c r="B88" s="49" t="s">
        <v>77</v>
      </c>
      <c r="C88" s="49" t="s">
        <v>123</v>
      </c>
      <c r="D88" s="49">
        <v>24000</v>
      </c>
      <c r="E88" s="49" t="s">
        <v>120</v>
      </c>
      <c r="F88" s="49" t="s">
        <v>121</v>
      </c>
      <c r="G88" s="64" t="s">
        <v>117</v>
      </c>
      <c r="H88" s="49" t="s">
        <v>91</v>
      </c>
      <c r="I88" s="50"/>
    </row>
    <row r="89" spans="1:9" x14ac:dyDescent="0.3">
      <c r="A89" s="71" t="s">
        <v>124</v>
      </c>
      <c r="B89" s="71" t="s">
        <v>124</v>
      </c>
      <c r="C89" s="71" t="s">
        <v>125</v>
      </c>
      <c r="D89" s="71">
        <v>27000</v>
      </c>
      <c r="E89" s="71" t="s">
        <v>126</v>
      </c>
      <c r="F89" s="71" t="s">
        <v>127</v>
      </c>
      <c r="G89" s="72" t="s">
        <v>128</v>
      </c>
      <c r="H89" s="71" t="s">
        <v>129</v>
      </c>
      <c r="I89" s="50"/>
    </row>
    <row r="90" spans="1:9" x14ac:dyDescent="0.3">
      <c r="A90" s="49" t="s">
        <v>77</v>
      </c>
      <c r="B90" s="49" t="s">
        <v>77</v>
      </c>
      <c r="C90" s="49" t="s">
        <v>130</v>
      </c>
      <c r="D90" s="49">
        <v>27000</v>
      </c>
      <c r="E90" s="49" t="s">
        <v>115</v>
      </c>
      <c r="F90" s="66" t="s">
        <v>105</v>
      </c>
      <c r="G90" s="64" t="s">
        <v>128</v>
      </c>
      <c r="H90" s="49" t="s">
        <v>129</v>
      </c>
      <c r="I90" s="73">
        <v>46119</v>
      </c>
    </row>
    <row r="91" spans="1:9" x14ac:dyDescent="0.3">
      <c r="A91" s="49" t="s">
        <v>77</v>
      </c>
      <c r="B91" s="49" t="s">
        <v>77</v>
      </c>
      <c r="C91" s="49" t="s">
        <v>131</v>
      </c>
      <c r="D91" s="49">
        <v>27000</v>
      </c>
      <c r="E91" s="49" t="s">
        <v>88</v>
      </c>
      <c r="F91" s="49" t="s">
        <v>132</v>
      </c>
      <c r="G91" s="64" t="s">
        <v>128</v>
      </c>
      <c r="H91" s="49" t="s">
        <v>129</v>
      </c>
      <c r="I91" s="73">
        <v>46119</v>
      </c>
    </row>
    <row r="92" spans="1:9" x14ac:dyDescent="0.3">
      <c r="A92" s="49" t="s">
        <v>77</v>
      </c>
      <c r="B92" s="49" t="s">
        <v>77</v>
      </c>
      <c r="C92" s="49" t="s">
        <v>133</v>
      </c>
      <c r="D92" s="49">
        <v>27000</v>
      </c>
      <c r="E92" s="49" t="s">
        <v>134</v>
      </c>
      <c r="F92" s="49" t="s">
        <v>135</v>
      </c>
      <c r="G92" s="64" t="s">
        <v>128</v>
      </c>
      <c r="H92" s="49" t="s">
        <v>129</v>
      </c>
      <c r="I92" s="73">
        <v>46119</v>
      </c>
    </row>
    <row r="93" spans="1:9" x14ac:dyDescent="0.3">
      <c r="A93" s="49" t="s">
        <v>77</v>
      </c>
      <c r="B93" s="49" t="s">
        <v>77</v>
      </c>
      <c r="C93" s="49" t="s">
        <v>136</v>
      </c>
      <c r="D93" s="49">
        <v>27000</v>
      </c>
      <c r="E93" s="49" t="s">
        <v>137</v>
      </c>
      <c r="F93" s="49" t="s">
        <v>138</v>
      </c>
      <c r="G93" s="64" t="s">
        <v>128</v>
      </c>
      <c r="H93" s="49" t="s">
        <v>139</v>
      </c>
      <c r="I93" s="50"/>
    </row>
    <row r="94" spans="1:9" x14ac:dyDescent="0.3">
      <c r="A94" s="49" t="s">
        <v>77</v>
      </c>
      <c r="B94" s="49" t="s">
        <v>77</v>
      </c>
      <c r="C94" s="49" t="s">
        <v>140</v>
      </c>
      <c r="D94" s="49">
        <v>81000</v>
      </c>
      <c r="E94" s="49" t="s">
        <v>93</v>
      </c>
      <c r="F94" s="49" t="s">
        <v>94</v>
      </c>
      <c r="G94" s="64" t="s">
        <v>128</v>
      </c>
      <c r="H94" s="49" t="s">
        <v>141</v>
      </c>
      <c r="I94" s="50"/>
    </row>
    <row r="95" spans="1:9" x14ac:dyDescent="0.3">
      <c r="A95" s="74" t="s">
        <v>142</v>
      </c>
      <c r="B95" s="74" t="s">
        <v>142</v>
      </c>
      <c r="C95" s="74" t="s">
        <v>143</v>
      </c>
      <c r="D95" s="74">
        <v>270000</v>
      </c>
      <c r="E95" s="74" t="s">
        <v>134</v>
      </c>
      <c r="F95" s="74" t="s">
        <v>144</v>
      </c>
      <c r="G95" s="75" t="s">
        <v>128</v>
      </c>
      <c r="H95" s="74" t="s">
        <v>145</v>
      </c>
    </row>
    <row r="96" spans="1:9" x14ac:dyDescent="0.3">
      <c r="A96" s="74" t="s">
        <v>124</v>
      </c>
      <c r="B96" s="74" t="s">
        <v>124</v>
      </c>
      <c r="C96" s="74" t="s">
        <v>143</v>
      </c>
      <c r="D96" s="74">
        <v>162000</v>
      </c>
      <c r="E96" s="74" t="s">
        <v>146</v>
      </c>
      <c r="F96" s="74" t="s">
        <v>147</v>
      </c>
      <c r="G96" s="75" t="s">
        <v>128</v>
      </c>
      <c r="H96" s="74" t="s">
        <v>145</v>
      </c>
    </row>
    <row r="97" spans="1:8" x14ac:dyDescent="0.3">
      <c r="A97" s="74" t="s">
        <v>124</v>
      </c>
      <c r="B97" s="74" t="s">
        <v>124</v>
      </c>
      <c r="C97" s="74" t="s">
        <v>148</v>
      </c>
      <c r="D97" s="74">
        <v>27000</v>
      </c>
      <c r="E97" s="74" t="s">
        <v>146</v>
      </c>
      <c r="F97" s="74" t="s">
        <v>147</v>
      </c>
      <c r="G97" s="75" t="s">
        <v>128</v>
      </c>
      <c r="H97" s="74" t="s">
        <v>145</v>
      </c>
    </row>
    <row r="98" spans="1:8" x14ac:dyDescent="0.3">
      <c r="A98" s="74" t="s">
        <v>124</v>
      </c>
      <c r="B98" s="74" t="s">
        <v>124</v>
      </c>
      <c r="C98" s="74" t="s">
        <v>149</v>
      </c>
      <c r="D98" s="74">
        <v>54000</v>
      </c>
      <c r="E98" s="74" t="s">
        <v>150</v>
      </c>
      <c r="F98" s="74" t="s">
        <v>151</v>
      </c>
      <c r="G98" s="75" t="s">
        <v>152</v>
      </c>
      <c r="H98" s="74" t="s">
        <v>153</v>
      </c>
    </row>
    <row r="99" spans="1:8" x14ac:dyDescent="0.3">
      <c r="A99" s="74" t="s">
        <v>124</v>
      </c>
      <c r="B99" s="74" t="s">
        <v>124</v>
      </c>
      <c r="C99" s="74" t="s">
        <v>154</v>
      </c>
      <c r="D99" s="74">
        <v>270000</v>
      </c>
      <c r="E99" s="74" t="s">
        <v>99</v>
      </c>
      <c r="F99" s="74" t="s">
        <v>100</v>
      </c>
      <c r="G99" s="75" t="s">
        <v>128</v>
      </c>
      <c r="H99" s="74" t="s">
        <v>145</v>
      </c>
    </row>
    <row r="100" spans="1:8" x14ac:dyDescent="0.3">
      <c r="A100" s="74" t="s">
        <v>124</v>
      </c>
      <c r="B100" s="74" t="s">
        <v>124</v>
      </c>
      <c r="C100" s="74" t="s">
        <v>154</v>
      </c>
      <c r="D100" s="74">
        <v>81000</v>
      </c>
      <c r="E100" s="74" t="s">
        <v>155</v>
      </c>
      <c r="F100" s="74" t="s">
        <v>156</v>
      </c>
      <c r="G100" s="75" t="s">
        <v>128</v>
      </c>
      <c r="H100" s="74" t="s">
        <v>157</v>
      </c>
    </row>
  </sheetData>
  <mergeCells count="1">
    <mergeCell ref="B74:H75"/>
  </mergeCells>
  <conditionalFormatting sqref="Q2:R59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AL 1-6-2026</vt:lpstr>
      <vt:lpstr>TD</vt:lpstr>
      <vt:lpstr>Stock 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Jerecson Frank Ali Encalada (PFRO)</dc:creator>
  <cp:lastModifiedBy>Rodrigo Sebastian Martinez Montalvo (PFRO)</cp:lastModifiedBy>
  <dcterms:created xsi:type="dcterms:W3CDTF">2026-06-01T15:59:33Z</dcterms:created>
  <dcterms:modified xsi:type="dcterms:W3CDTF">2026-06-02T00:37:07Z</dcterms:modified>
</cp:coreProperties>
</file>