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ydukcorporacion-my.sharepoint.com/personal/comercialpf_perufrost_com/Documents/"/>
    </mc:Choice>
  </mc:AlternateContent>
  <xr:revisionPtr revIDLastSave="959" documentId="13_ncr:1_{8382874D-6D6C-4E54-9F9D-14B267B7FBA1}" xr6:coauthVersionLast="47" xr6:coauthVersionMax="47" xr10:uidLastSave="{84D60CD2-B7D5-4CCE-98CF-B60B1D828DFC}"/>
  <bookViews>
    <workbookView xWindow="-108" yWindow="-108" windowWidth="23256" windowHeight="13896" xr2:uid="{034E0DE9-1529-4428-BB84-C53197D8511B}"/>
  </bookViews>
  <sheets>
    <sheet name="Hoja1" sheetId="1" r:id="rId1"/>
    <sheet name="Hoja2" sheetId="2" r:id="rId2"/>
    <sheet name="Hoja3" sheetId="4" r:id="rId3"/>
  </sheets>
  <definedNames>
    <definedName name="_xlnm._FilterDatabase" localSheetId="0" hidden="1">Hoja1!$A$1:$R$269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4" i="1" l="1"/>
  <c r="D266" i="1"/>
  <c r="C267" i="1"/>
  <c r="D252" i="1"/>
  <c r="D250" i="1"/>
  <c r="D258" i="1"/>
  <c r="D243" i="1"/>
  <c r="D240" i="1"/>
  <c r="D269" i="1"/>
  <c r="D249" i="1"/>
  <c r="D227" i="1"/>
  <c r="C217" i="1"/>
  <c r="D233" i="1"/>
  <c r="D225" i="1"/>
  <c r="D224" i="1"/>
  <c r="D25" i="4"/>
  <c r="C24" i="4"/>
  <c r="D10" i="4"/>
  <c r="C210" i="1"/>
  <c r="I92" i="2"/>
  <c r="D267" i="1" l="1"/>
  <c r="C141" i="1"/>
  <c r="C135" i="1"/>
  <c r="C133" i="1"/>
  <c r="C132" i="1"/>
  <c r="C131" i="1"/>
  <c r="C130" i="1"/>
  <c r="C129" i="1"/>
  <c r="B10" i="4" l="1"/>
  <c r="C115" i="1" l="1"/>
  <c r="C104" i="1"/>
  <c r="C99" i="1"/>
  <c r="R96" i="1"/>
  <c r="R97" i="1" s="1"/>
  <c r="R98" i="1" s="1"/>
  <c r="C90" i="1"/>
  <c r="C80" i="1"/>
  <c r="D39" i="1" l="1"/>
  <c r="D38" i="1"/>
  <c r="D3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tc={D4F9348D-973A-4D48-B4B4-2439544BFD35}</author>
    <author>Harry Peñaranda Castro</author>
  </authors>
  <commentList>
    <comment ref="H9" authorId="0" shapeId="0" xr:uid="{D4F9348D-973A-4D48-B4B4-2439544BFD3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Aún no hay fecha exacta</t>
      </text>
    </comment>
    <comment ref="I48" authorId="1" shapeId="0" xr:uid="{F71D40B4-1577-40FD-BEF1-DA1B1D1477A5}">
      <text>
        <r>
          <rPr>
            <b/>
            <sz val="9"/>
            <color indexed="81"/>
            <rFont val="Tahoma"/>
            <family val="2"/>
          </rPr>
          <t>Correccion sanitario, numero de factura</t>
        </r>
      </text>
    </comment>
  </commentList>
</comments>
</file>

<file path=xl/sharedStrings.xml><?xml version="1.0" encoding="utf-8"?>
<sst xmlns="http://schemas.openxmlformats.org/spreadsheetml/2006/main" count="2308" uniqueCount="735">
  <si>
    <t xml:space="preserve">FP162B-2026 </t>
  </si>
  <si>
    <t xml:space="preserve">AVANCE GROUP </t>
  </si>
  <si>
    <t>DANDONG RONGZHENG</t>
  </si>
  <si>
    <t>TLLU1209650</t>
  </si>
  <si>
    <t>TTNU8969683</t>
  </si>
  <si>
    <t>DRAFT</t>
  </si>
  <si>
    <t>DALIAN, CHINA</t>
  </si>
  <si>
    <t>ORIGINALES</t>
  </si>
  <si>
    <t>CC</t>
  </si>
  <si>
    <t>CO</t>
  </si>
  <si>
    <t>SANIT</t>
  </si>
  <si>
    <t>IV</t>
  </si>
  <si>
    <t>FACT</t>
  </si>
  <si>
    <t>OTROS</t>
  </si>
  <si>
    <t>ITEM</t>
  </si>
  <si>
    <t xml:space="preserve">FP </t>
  </si>
  <si>
    <t>CONSIG/NOTIFY</t>
  </si>
  <si>
    <t>DESTINO</t>
  </si>
  <si>
    <t>FP162A-2026</t>
  </si>
  <si>
    <t>DALIAN NEL CASO TRADE</t>
  </si>
  <si>
    <t>ONEU9093320</t>
  </si>
  <si>
    <t>TLLU1063376</t>
  </si>
  <si>
    <t>TTNU8060365</t>
  </si>
  <si>
    <t>TTNU8344649</t>
  </si>
  <si>
    <t>TTNU8410669</t>
  </si>
  <si>
    <t>QINGDAO, CHINA</t>
  </si>
  <si>
    <t>FP168B-2026</t>
  </si>
  <si>
    <t>RONGCHENG HONGWEI</t>
  </si>
  <si>
    <t>SHIDAO,CHINA</t>
  </si>
  <si>
    <t>DFOU6140009</t>
  </si>
  <si>
    <t>OERU4058334</t>
  </si>
  <si>
    <t>OERU4012159</t>
  </si>
  <si>
    <t>SZLU9460273</t>
  </si>
  <si>
    <t>SEGU9517288</t>
  </si>
  <si>
    <t>FP168C-2026</t>
  </si>
  <si>
    <t>YANTAI JIAHONG IMP &amp; EXP</t>
  </si>
  <si>
    <t>XIAMEN, CHINA</t>
  </si>
  <si>
    <t>TEMU9353998</t>
  </si>
  <si>
    <t>CXRU1339000</t>
  </si>
  <si>
    <t>FP170A-2026</t>
  </si>
  <si>
    <t>KULALIA</t>
  </si>
  <si>
    <t>VIGO, ESPAÑA</t>
  </si>
  <si>
    <t>CXRU1536185</t>
  </si>
  <si>
    <t>UACU4747537</t>
  </si>
  <si>
    <t>HLBU6185586</t>
  </si>
  <si>
    <t>GESU9582036</t>
  </si>
  <si>
    <t>HLBU9171056</t>
  </si>
  <si>
    <t>HLBU6250830</t>
  </si>
  <si>
    <t>ZARPE</t>
  </si>
  <si>
    <t>LLEGADA</t>
  </si>
  <si>
    <t>-</t>
  </si>
  <si>
    <t>ok</t>
  </si>
  <si>
    <t>FP168A-2026</t>
  </si>
  <si>
    <t>CXRU1489442</t>
  </si>
  <si>
    <t>TEMU9324639</t>
  </si>
  <si>
    <t>CBHU2840856</t>
  </si>
  <si>
    <t>TTNU8572823</t>
  </si>
  <si>
    <t>DFOU6155056</t>
  </si>
  <si>
    <t>CXRU1352742</t>
  </si>
  <si>
    <t>OERU4804388</t>
  </si>
  <si>
    <t>TEMU9558302</t>
  </si>
  <si>
    <t>CBHU2840732</t>
  </si>
  <si>
    <t>OTPU6164548</t>
  </si>
  <si>
    <t>OERU4009509</t>
  </si>
  <si>
    <t>SZLU9218212</t>
  </si>
  <si>
    <t>OTPU6168420</t>
  </si>
  <si>
    <t>FP151-2026</t>
  </si>
  <si>
    <t>HUNAN JINYUEYANG</t>
  </si>
  <si>
    <t>CXRU1495640</t>
  </si>
  <si>
    <t>OERU4157635</t>
  </si>
  <si>
    <t>FP164-2026</t>
  </si>
  <si>
    <t>SACRAMENTO CO LTD</t>
  </si>
  <si>
    <t>YANTAI, CHINA</t>
  </si>
  <si>
    <t>SZLU9677084</t>
  </si>
  <si>
    <t>OVERSEA</t>
  </si>
  <si>
    <t>HLBU 9637606</t>
  </si>
  <si>
    <t>FP150-2026/A</t>
  </si>
  <si>
    <t>HLBU 9403948</t>
  </si>
  <si>
    <t>FP150-2026/B</t>
  </si>
  <si>
    <t>FP171-2026</t>
  </si>
  <si>
    <t>PESCIRO ASIA</t>
  </si>
  <si>
    <t>BMOU9773030</t>
  </si>
  <si>
    <t>BMOU9830910</t>
  </si>
  <si>
    <t>FBIU5398657</t>
  </si>
  <si>
    <t>ONEU9087190</t>
  </si>
  <si>
    <t>SZLU9687360</t>
  </si>
  <si>
    <t>FP161A-2026</t>
  </si>
  <si>
    <t>TSUJINO</t>
  </si>
  <si>
    <t>CP AXTRA</t>
  </si>
  <si>
    <t>LAT KRABANG, TAILANDIA</t>
  </si>
  <si>
    <t>SEGU9848033</t>
  </si>
  <si>
    <t>TRIU8893540</t>
  </si>
  <si>
    <t>TTNU8770897</t>
  </si>
  <si>
    <t>reportado 26/03</t>
  </si>
  <si>
    <t>FP159-2026</t>
  </si>
  <si>
    <t>SENDAI-JAPON</t>
  </si>
  <si>
    <t>SZLU9544815</t>
  </si>
  <si>
    <t>FP169A-2026</t>
  </si>
  <si>
    <t>ONEU9076641</t>
  </si>
  <si>
    <t>ONEU9093443</t>
  </si>
  <si>
    <t>ONEU9116560</t>
  </si>
  <si>
    <t>SEGU9839854</t>
  </si>
  <si>
    <t>TTNU8412846</t>
  </si>
  <si>
    <t>FP163A-2026</t>
  </si>
  <si>
    <t>CJ FRESHWAY CORP</t>
  </si>
  <si>
    <t>BUSAN, KOREA</t>
  </si>
  <si>
    <t>FBIU5006118</t>
  </si>
  <si>
    <t>OERU4146121</t>
  </si>
  <si>
    <t>FP170B-2026</t>
  </si>
  <si>
    <t>VIGO ESPAÑA</t>
  </si>
  <si>
    <t>TLLU1056994</t>
  </si>
  <si>
    <t>CGMU5393602</t>
  </si>
  <si>
    <t>AMCU9373760</t>
  </si>
  <si>
    <t>CGMU5619855</t>
  </si>
  <si>
    <t>FP172A-2026</t>
  </si>
  <si>
    <t>CGMU5476142</t>
  </si>
  <si>
    <t>CGMU5397613</t>
  </si>
  <si>
    <t>CXRU1608161</t>
  </si>
  <si>
    <t>TEMU9278240</t>
  </si>
  <si>
    <t>SEGU9401554</t>
  </si>
  <si>
    <t>TTNU8496240</t>
  </si>
  <si>
    <t>AMCU9396744</t>
  </si>
  <si>
    <t>FP169B-2026</t>
  </si>
  <si>
    <t>FSCU5737556</t>
  </si>
  <si>
    <t>FSCU5752709</t>
  </si>
  <si>
    <t>FSCU5859507</t>
  </si>
  <si>
    <t>OTPU6314627</t>
  </si>
  <si>
    <t>TTNU8772190</t>
  </si>
  <si>
    <t>FP179B1-2026</t>
  </si>
  <si>
    <t>DAIRECK</t>
  </si>
  <si>
    <t>SANYUAN SEAFOODS</t>
  </si>
  <si>
    <t>FSCU5734048</t>
  </si>
  <si>
    <t>FP179A-2026</t>
  </si>
  <si>
    <t>HACER FOOD</t>
  </si>
  <si>
    <t>LAEM CHABANG, TAILANDIA</t>
  </si>
  <si>
    <t>SZLU9233454</t>
  </si>
  <si>
    <t>FP174-2026</t>
  </si>
  <si>
    <t>RONCHENG FENGRONG</t>
  </si>
  <si>
    <t>BL</t>
  </si>
  <si>
    <t>OBSERVACIÓN</t>
  </si>
  <si>
    <t>1.- Pendiente Anexo IV, se ingresó al sistema hoy 28/03 ni bien planta termino de enviar información</t>
  </si>
  <si>
    <t>FP179B2-2026</t>
  </si>
  <si>
    <t>SEGU9310372</t>
  </si>
  <si>
    <t>FP184-2026</t>
  </si>
  <si>
    <t>LONGKOU JIABAO AQUATIC</t>
  </si>
  <si>
    <t>TTNU8571072</t>
  </si>
  <si>
    <t>OERU4250687</t>
  </si>
  <si>
    <t>DFOU6146434</t>
  </si>
  <si>
    <t>FBIU5011618</t>
  </si>
  <si>
    <t>OERU4039756</t>
  </si>
  <si>
    <t>TTNU8271590</t>
  </si>
  <si>
    <t>SEGU9966571</t>
  </si>
  <si>
    <t>SEGU9380019</t>
  </si>
  <si>
    <t xml:space="preserve">ok </t>
  </si>
  <si>
    <t>FP176-2026</t>
  </si>
  <si>
    <t>CBHU2839351</t>
  </si>
  <si>
    <t>TEMU9534804</t>
  </si>
  <si>
    <t>FP185-2026</t>
  </si>
  <si>
    <t>LONGKOU BOHAI</t>
  </si>
  <si>
    <t>BMOU9256079</t>
  </si>
  <si>
    <t>TTNU8646269</t>
  </si>
  <si>
    <t>SZLU9367200</t>
  </si>
  <si>
    <t>OERU4074192</t>
  </si>
  <si>
    <t>FP167-2026</t>
  </si>
  <si>
    <t>KAJORNKULKAWIN FOODS</t>
  </si>
  <si>
    <t>BANGKOK, TAILANDIA</t>
  </si>
  <si>
    <t>CXRU1545269</t>
  </si>
  <si>
    <t>OTPU6169597</t>
  </si>
  <si>
    <t>FP179B3-2026</t>
  </si>
  <si>
    <t>TTNU8473590</t>
  </si>
  <si>
    <t>FP179B4-2026</t>
  </si>
  <si>
    <t>KKFU6735032</t>
  </si>
  <si>
    <t>FP179B5-2026</t>
  </si>
  <si>
    <t>SEGU9059523</t>
  </si>
  <si>
    <t>FP165-2026</t>
  </si>
  <si>
    <t>LONGKOU YUNFENG</t>
  </si>
  <si>
    <t>CGMU9308804</t>
  </si>
  <si>
    <t>FP161B-2026</t>
  </si>
  <si>
    <t>DFOU6145905</t>
  </si>
  <si>
    <t>DFOU6150389</t>
  </si>
  <si>
    <t>FP181-2026</t>
  </si>
  <si>
    <t>CXRU1183600</t>
  </si>
  <si>
    <t>KKFU6757140</t>
  </si>
  <si>
    <t>FP183-2026</t>
  </si>
  <si>
    <t>SHANDONG SHEENIER</t>
  </si>
  <si>
    <t>OERU4018970</t>
  </si>
  <si>
    <t>FP172B-2026</t>
  </si>
  <si>
    <t>QINGDAO BUENO TRADE</t>
  </si>
  <si>
    <t>SEGU9689034</t>
  </si>
  <si>
    <t>CXRU1218224</t>
  </si>
  <si>
    <t>FP176B-2026</t>
  </si>
  <si>
    <t>KKFU6763841</t>
  </si>
  <si>
    <t>TCLU1365130</t>
  </si>
  <si>
    <t>TTNU8343180</t>
  </si>
  <si>
    <t>FP177A-2026</t>
  </si>
  <si>
    <t>PUSAN, KOREA</t>
  </si>
  <si>
    <t>KKFU6747687</t>
  </si>
  <si>
    <t>KKFU6758866</t>
  </si>
  <si>
    <t>FP179C1-2026</t>
  </si>
  <si>
    <t>KHUNRUNG SEAFOOD</t>
  </si>
  <si>
    <t>OERU4167130</t>
  </si>
  <si>
    <t>FP179C2-2026</t>
  </si>
  <si>
    <t>OERU4026379</t>
  </si>
  <si>
    <t>FP189-2026</t>
  </si>
  <si>
    <t>SEGU9970611</t>
  </si>
  <si>
    <t>FP153-2026</t>
  </si>
  <si>
    <t>OCEANUS FISH</t>
  </si>
  <si>
    <t>VALENCIA, ESPAÑA</t>
  </si>
  <si>
    <t>HLBU 9458154</t>
  </si>
  <si>
    <t>CODIGO</t>
  </si>
  <si>
    <t>EMPRESA </t>
  </si>
  <si>
    <t>FECHA DE ENTREGA DE CODIGO</t>
  </si>
  <si>
    <t>3370-C</t>
  </si>
  <si>
    <t>PERU FROST S.A.C.</t>
  </si>
  <si>
    <t>3371-C</t>
  </si>
  <si>
    <t>3372-C</t>
  </si>
  <si>
    <t>3373-C</t>
  </si>
  <si>
    <t>3374-C</t>
  </si>
  <si>
    <t>3375-C</t>
  </si>
  <si>
    <t>3376-C</t>
  </si>
  <si>
    <t>3377-C</t>
  </si>
  <si>
    <t>3378-C</t>
  </si>
  <si>
    <t>3379-C</t>
  </si>
  <si>
    <t>3380-C</t>
  </si>
  <si>
    <t>3381-C</t>
  </si>
  <si>
    <t>3382-C</t>
  </si>
  <si>
    <t>3383-C</t>
  </si>
  <si>
    <t>3384-C</t>
  </si>
  <si>
    <t>3385-C</t>
  </si>
  <si>
    <t>3386-C</t>
  </si>
  <si>
    <t>3387-C</t>
  </si>
  <si>
    <t>3388-C</t>
  </si>
  <si>
    <t>3389-C</t>
  </si>
  <si>
    <t>3390-C</t>
  </si>
  <si>
    <t>3391-C</t>
  </si>
  <si>
    <t>3392-C</t>
  </si>
  <si>
    <t>3393-C</t>
  </si>
  <si>
    <t>3394-C</t>
  </si>
  <si>
    <t>3395-C</t>
  </si>
  <si>
    <t>3396-C</t>
  </si>
  <si>
    <t>3397-C</t>
  </si>
  <si>
    <t>3398-C</t>
  </si>
  <si>
    <t>3399-C</t>
  </si>
  <si>
    <t>3400-C</t>
  </si>
  <si>
    <t>3401-C</t>
  </si>
  <si>
    <t>3402-C</t>
  </si>
  <si>
    <t>3403-C</t>
  </si>
  <si>
    <t>3404-C</t>
  </si>
  <si>
    <t>3405-C</t>
  </si>
  <si>
    <t>3406-C</t>
  </si>
  <si>
    <t>3407-C</t>
  </si>
  <si>
    <t>3408-C</t>
  </si>
  <si>
    <t>3409-C</t>
  </si>
  <si>
    <t>3410-C</t>
  </si>
  <si>
    <t>3411-C</t>
  </si>
  <si>
    <t>3412-C</t>
  </si>
  <si>
    <t>3413-C</t>
  </si>
  <si>
    <t>3414-C</t>
  </si>
  <si>
    <t>3415-C</t>
  </si>
  <si>
    <t>3416-C</t>
  </si>
  <si>
    <t>3417-C</t>
  </si>
  <si>
    <t>3418-C</t>
  </si>
  <si>
    <t>3419-C</t>
  </si>
  <si>
    <t>3420-C</t>
  </si>
  <si>
    <t>3421-C</t>
  </si>
  <si>
    <t>3422-C</t>
  </si>
  <si>
    <t>3423-C</t>
  </si>
  <si>
    <t>3424-C</t>
  </si>
  <si>
    <t>3425-C</t>
  </si>
  <si>
    <t>3426-C</t>
  </si>
  <si>
    <t>3427-C</t>
  </si>
  <si>
    <t>3428-C</t>
  </si>
  <si>
    <t>3429-C</t>
  </si>
  <si>
    <t>3430-C</t>
  </si>
  <si>
    <t>3431-C</t>
  </si>
  <si>
    <t>3432-C</t>
  </si>
  <si>
    <t>3433-C</t>
  </si>
  <si>
    <t>3434-C</t>
  </si>
  <si>
    <t>3435-C</t>
  </si>
  <si>
    <t>3436-C</t>
  </si>
  <si>
    <t>3437-C</t>
  </si>
  <si>
    <t>3438-C</t>
  </si>
  <si>
    <t>3439-C</t>
  </si>
  <si>
    <t>3440-C</t>
  </si>
  <si>
    <t>3441-C</t>
  </si>
  <si>
    <t>3442-C</t>
  </si>
  <si>
    <t>3443-C</t>
  </si>
  <si>
    <t>3444-C</t>
  </si>
  <si>
    <t>3445-C</t>
  </si>
  <si>
    <t>3446-C</t>
  </si>
  <si>
    <t>3447-C</t>
  </si>
  <si>
    <t>3448-C</t>
  </si>
  <si>
    <t>3449-C</t>
  </si>
  <si>
    <t>3450-C</t>
  </si>
  <si>
    <t>3451-C</t>
  </si>
  <si>
    <t>3452-C</t>
  </si>
  <si>
    <t>3453-C</t>
  </si>
  <si>
    <t>3454-C</t>
  </si>
  <si>
    <t>3455-C</t>
  </si>
  <si>
    <t>3456-C</t>
  </si>
  <si>
    <t>3457-C</t>
  </si>
  <si>
    <t>3458-C</t>
  </si>
  <si>
    <t>3459-C</t>
  </si>
  <si>
    <t>3460-C</t>
  </si>
  <si>
    <t>3461-C</t>
  </si>
  <si>
    <t>3462-C</t>
  </si>
  <si>
    <t>3463-C</t>
  </si>
  <si>
    <t>3464-C</t>
  </si>
  <si>
    <t>3465-C</t>
  </si>
  <si>
    <t>3466-C</t>
  </si>
  <si>
    <t>3467-C</t>
  </si>
  <si>
    <t>3468-C</t>
  </si>
  <si>
    <t>3469-C</t>
  </si>
  <si>
    <t></t>
  </si>
  <si>
    <t>1239-S</t>
  </si>
  <si>
    <t>1240-S</t>
  </si>
  <si>
    <t>1241-S</t>
  </si>
  <si>
    <t>1242-S</t>
  </si>
  <si>
    <t>1243-S</t>
  </si>
  <si>
    <t>1244-S</t>
  </si>
  <si>
    <t>1245-S</t>
  </si>
  <si>
    <t>1246-S</t>
  </si>
  <si>
    <t>1247-S</t>
  </si>
  <si>
    <t>1248-S</t>
  </si>
  <si>
    <t>1249-S</t>
  </si>
  <si>
    <t>1250-S</t>
  </si>
  <si>
    <t>1251-S</t>
  </si>
  <si>
    <t>1252-J</t>
  </si>
  <si>
    <t>1253-J</t>
  </si>
  <si>
    <t>1254-J</t>
  </si>
  <si>
    <t>1255-J</t>
  </si>
  <si>
    <t>1256-J</t>
  </si>
  <si>
    <t>1257-J</t>
  </si>
  <si>
    <t xml:space="preserve"> OTPU6314627</t>
  </si>
  <si>
    <t>02/04</t>
  </si>
  <si>
    <t>4093-C</t>
  </si>
  <si>
    <t>4094-C</t>
  </si>
  <si>
    <t>4095-C</t>
  </si>
  <si>
    <t>4096-C</t>
  </si>
  <si>
    <t>4097-C</t>
  </si>
  <si>
    <t>4098-C</t>
  </si>
  <si>
    <t>4099-C</t>
  </si>
  <si>
    <t>4100-C</t>
  </si>
  <si>
    <t>4101-C</t>
  </si>
  <si>
    <t>4102-C</t>
  </si>
  <si>
    <t>4103-C</t>
  </si>
  <si>
    <t>4104-C</t>
  </si>
  <si>
    <t>4105-C</t>
  </si>
  <si>
    <t>1.- correccion por tercera vez</t>
  </si>
  <si>
    <t>reportado total 3/4</t>
  </si>
  <si>
    <t>reportado total 1/4</t>
  </si>
  <si>
    <t>reportado total 9/4</t>
  </si>
  <si>
    <t xml:space="preserve">reportado total 2/4 </t>
  </si>
  <si>
    <t xml:space="preserve"> 1.- Certificados de captura pendiente de firma Gob Reg. Lima                                                                                           </t>
  </si>
  <si>
    <t xml:space="preserve">reportado total 10/4 </t>
  </si>
  <si>
    <t>1.- A la espera de que el Gog Reg lo firme</t>
  </si>
  <si>
    <t>1.- Ya se envio a planta para que lo firmen</t>
  </si>
  <si>
    <t>Reportado 08/04</t>
  </si>
  <si>
    <t>Reportado 31/03</t>
  </si>
  <si>
    <t>1.- Solicitó HACCP traducido</t>
  </si>
  <si>
    <t>1.- 09/04 CC se envio a planta para la firma</t>
  </si>
  <si>
    <t>1.- cambio de consignee y notify</t>
  </si>
  <si>
    <t>RONGCHENG CHENTAO</t>
  </si>
  <si>
    <t xml:space="preserve">RONGCHENG CHENTAO </t>
  </si>
  <si>
    <t>1.- CC Pendiente que apruebe el Gob Reg Lima</t>
  </si>
  <si>
    <t>1.- Hoy se reporta</t>
  </si>
  <si>
    <t>FACTURADO</t>
  </si>
  <si>
    <t>1.- A solicitado quitar facturacion a terceros</t>
  </si>
  <si>
    <t>1.- CO Camara de comercio de Lima</t>
  </si>
  <si>
    <t>1.-CC  Pendiente de firma de Gob Reg</t>
  </si>
  <si>
    <t>FP172C-2026</t>
  </si>
  <si>
    <t>CXRU1190256</t>
  </si>
  <si>
    <t>FSCU5816737</t>
  </si>
  <si>
    <t>TLLU1075314</t>
  </si>
  <si>
    <t>TTNU8191386</t>
  </si>
  <si>
    <t>TTNU8343724</t>
  </si>
  <si>
    <t>KAMOI FOODS</t>
  </si>
  <si>
    <t>HAKATA, JAPON</t>
  </si>
  <si>
    <t>FP188-2026</t>
  </si>
  <si>
    <t>SEGU9312040</t>
  </si>
  <si>
    <t>TEMU9542461</t>
  </si>
  <si>
    <t>FP173-2026</t>
  </si>
  <si>
    <t>MINAMI FOOD</t>
  </si>
  <si>
    <t>BMOU9768630</t>
  </si>
  <si>
    <t>IKSU5205757</t>
  </si>
  <si>
    <t>ONEU9368474</t>
  </si>
  <si>
    <t>ONEU9459044</t>
  </si>
  <si>
    <t>SEGU9107658</t>
  </si>
  <si>
    <t>YANTAI TAIXI</t>
  </si>
  <si>
    <t>SEKU9018257</t>
  </si>
  <si>
    <t>YANTAI,CHINA</t>
  </si>
  <si>
    <t>OERU4131184</t>
  </si>
  <si>
    <t>CXRU1501851</t>
  </si>
  <si>
    <t>FP192-2026</t>
  </si>
  <si>
    <t>Reportado 11/04</t>
  </si>
  <si>
    <t>EFECTIVO</t>
  </si>
  <si>
    <t>DUCHA</t>
  </si>
  <si>
    <t>VIDRIO</t>
  </si>
  <si>
    <t>MUDANZA</t>
  </si>
  <si>
    <t>NELIA</t>
  </si>
  <si>
    <t>BATERIA</t>
  </si>
  <si>
    <t>CASA</t>
  </si>
  <si>
    <t>REPORTADO 14/4</t>
  </si>
  <si>
    <t>FP193-2026</t>
  </si>
  <si>
    <t>FP194-2026</t>
  </si>
  <si>
    <t>FP178A-2025</t>
  </si>
  <si>
    <t>TTNU8077795</t>
  </si>
  <si>
    <t>FP186-2026</t>
  </si>
  <si>
    <t>HLBU9805891</t>
  </si>
  <si>
    <t>FP145B-2026</t>
  </si>
  <si>
    <t>GLOBAL OCEAN</t>
  </si>
  <si>
    <t>MSGU9171495</t>
  </si>
  <si>
    <t>FP150-2026</t>
  </si>
  <si>
    <t>MEDU9077428</t>
  </si>
  <si>
    <t>FP198A-2026</t>
  </si>
  <si>
    <t>FBIU5040386</t>
  </si>
  <si>
    <t>OERU4332445</t>
  </si>
  <si>
    <t>OERU4199651</t>
  </si>
  <si>
    <t>SZLU9408320</t>
  </si>
  <si>
    <t>FBIU5341625</t>
  </si>
  <si>
    <t>OERU4331916</t>
  </si>
  <si>
    <t>FP191-2026</t>
  </si>
  <si>
    <t>1.- Certificado de captura se encuentra para la firma.                                                                              2.- CO ya esta tramitado.Reportado 14/04  PENDIENTE CC</t>
  </si>
  <si>
    <t>Reportado 16/04</t>
  </si>
  <si>
    <t>reportado 16/04</t>
  </si>
  <si>
    <t>21/04 reportado</t>
  </si>
  <si>
    <t>22/04 REPORTADO</t>
  </si>
  <si>
    <t>Reportado 21/04</t>
  </si>
  <si>
    <t>OERU4032330</t>
  </si>
  <si>
    <t>FP178B-2026</t>
  </si>
  <si>
    <t>HLBU6006696</t>
  </si>
  <si>
    <t>Reportado 28/04</t>
  </si>
  <si>
    <t xml:space="preserve">24/04 Reportado </t>
  </si>
  <si>
    <t>FP175-2026</t>
  </si>
  <si>
    <t>PESCIRO SL</t>
  </si>
  <si>
    <t>LESTENA</t>
  </si>
  <si>
    <t>KLAIPEDA, LITHUANIA</t>
  </si>
  <si>
    <t>TTNU8037494</t>
  </si>
  <si>
    <t xml:space="preserve">21/04  Reportado </t>
  </si>
  <si>
    <t>reportado 28/04</t>
  </si>
  <si>
    <t xml:space="preserve">28/04 REPORTADO  </t>
  </si>
  <si>
    <t xml:space="preserve"> 14/04 reportado </t>
  </si>
  <si>
    <t xml:space="preserve">NO VA TENER CC </t>
  </si>
  <si>
    <t>reportado</t>
  </si>
  <si>
    <t xml:space="preserve">reportado 30/03 </t>
  </si>
  <si>
    <t>FP177B-2026</t>
  </si>
  <si>
    <t>TSUJINO &amp; CO., LTD.</t>
  </si>
  <si>
    <t xml:space="preserve">CJ FRESHWAY </t>
  </si>
  <si>
    <t>BMOU9861450</t>
  </si>
  <si>
    <t>ONEU9026194</t>
  </si>
  <si>
    <t>TEMU9566695</t>
  </si>
  <si>
    <t>FP187-2026</t>
  </si>
  <si>
    <t>HACHINOHE,JAPAN</t>
  </si>
  <si>
    <t>KKFU6727931</t>
  </si>
  <si>
    <t>ONEU9041202</t>
  </si>
  <si>
    <t>TCLU1247816</t>
  </si>
  <si>
    <t>TTNU8187874</t>
  </si>
  <si>
    <t>TTNU8898002</t>
  </si>
  <si>
    <t>FP196-2026</t>
  </si>
  <si>
    <t>KKFU6776659</t>
  </si>
  <si>
    <t>SEGU9091700</t>
  </si>
  <si>
    <t>TCLU1392711</t>
  </si>
  <si>
    <t>AVANCE GROUP LTD.</t>
  </si>
  <si>
    <t>FP195-2026</t>
  </si>
  <si>
    <t>YANTAI JIAHONG</t>
  </si>
  <si>
    <t>MAWEI FUZHOU, CHINA</t>
  </si>
  <si>
    <t>CGMU5110446</t>
  </si>
  <si>
    <t>FP198B-2026</t>
  </si>
  <si>
    <t>LONGKOU JIABAO</t>
  </si>
  <si>
    <t>BMOU9874837</t>
  </si>
  <si>
    <t>FP190-2026</t>
  </si>
  <si>
    <t>ONEU9005817</t>
  </si>
  <si>
    <t>FP182-2026</t>
  </si>
  <si>
    <t>CP AXTRA PUBLIC</t>
  </si>
  <si>
    <t>LAT KRABANG, THAILAND</t>
  </si>
  <si>
    <t>KKFU6744754</t>
  </si>
  <si>
    <t>FP201-2026</t>
  </si>
  <si>
    <t>SZLU9218681</t>
  </si>
  <si>
    <t>CXRU1501506</t>
  </si>
  <si>
    <t>FP202A-2026</t>
  </si>
  <si>
    <t>DFOU6136992</t>
  </si>
  <si>
    <t>QINGDAO,CHINA</t>
  </si>
  <si>
    <t>FP200-2026</t>
  </si>
  <si>
    <t>QINGDAO HAIYUJIA</t>
  </si>
  <si>
    <t>FBIU5317296</t>
  </si>
  <si>
    <t>FP218A-2026</t>
  </si>
  <si>
    <t>FOOD &amp; BEVERAGES</t>
  </si>
  <si>
    <t>VIGO, SPAIN</t>
  </si>
  <si>
    <t>DAYU6715247</t>
  </si>
  <si>
    <t>HLBU6120878</t>
  </si>
  <si>
    <t>TRIU8106373</t>
  </si>
  <si>
    <t>HLBU9537633</t>
  </si>
  <si>
    <t>HLBU6019986</t>
  </si>
  <si>
    <t>FP218B-2026</t>
  </si>
  <si>
    <t>SEGU9116259</t>
  </si>
  <si>
    <t>SEGU9106440</t>
  </si>
  <si>
    <t>HLBU9235850</t>
  </si>
  <si>
    <t>HLBU9911281</t>
  </si>
  <si>
    <t>HLBU6085550</t>
  </si>
  <si>
    <t>HLBU6286750</t>
  </si>
  <si>
    <t>FP204-2026</t>
  </si>
  <si>
    <t>KOBE, JAPAN</t>
  </si>
  <si>
    <t>SCEU9000714</t>
  </si>
  <si>
    <t>FP207-2026</t>
  </si>
  <si>
    <t>SENDAI, JAPAN</t>
  </si>
  <si>
    <t>FSCU5744154</t>
  </si>
  <si>
    <t>FP205-2026</t>
  </si>
  <si>
    <t>GOLDEN SEAFOOD</t>
  </si>
  <si>
    <t>FP209-2026</t>
  </si>
  <si>
    <t>SIRNAK S.A.</t>
  </si>
  <si>
    <t>MANZANILLO, MEXICO</t>
  </si>
  <si>
    <t>TTNU 8118934</t>
  </si>
  <si>
    <t>HLBU 6116414</t>
  </si>
  <si>
    <t>7/5 REPORTADO</t>
  </si>
  <si>
    <t>FP178C-2026</t>
  </si>
  <si>
    <t>HLBU 6075655</t>
  </si>
  <si>
    <t>FP214-2026</t>
  </si>
  <si>
    <t>YAMATSU SUISAN.,LTD.</t>
  </si>
  <si>
    <t>SENDAI, JAPON</t>
  </si>
  <si>
    <t>BMOU9874610</t>
  </si>
  <si>
    <t>FP213-2026</t>
  </si>
  <si>
    <t>FBIU5189209</t>
  </si>
  <si>
    <t>FSCU5793441</t>
  </si>
  <si>
    <t>SZLU9716637</t>
  </si>
  <si>
    <t>FP202B-2026</t>
  </si>
  <si>
    <t>CXRU1491331</t>
  </si>
  <si>
    <t>FP203-2026</t>
  </si>
  <si>
    <t>QINGDAO HAIYUJIA INTE</t>
  </si>
  <si>
    <t>OERU4296327</t>
  </si>
  <si>
    <t>OERU4184733</t>
  </si>
  <si>
    <t xml:space="preserve">QINGDAO HAIYUJIA </t>
  </si>
  <si>
    <t>FP197-2026</t>
  </si>
  <si>
    <t>FBIU5319581</t>
  </si>
  <si>
    <t>OERU4074823</t>
  </si>
  <si>
    <t>OERU4000121</t>
  </si>
  <si>
    <t>TEMU9632890</t>
  </si>
  <si>
    <t>FSCU5361181</t>
  </si>
  <si>
    <t>CAAU4045954</t>
  </si>
  <si>
    <t>FBIU5753427</t>
  </si>
  <si>
    <t>FP210-2026</t>
  </si>
  <si>
    <t>FBIU5675767</t>
  </si>
  <si>
    <t>OERU4331500</t>
  </si>
  <si>
    <t>OERU4286397</t>
  </si>
  <si>
    <t>FBIU5511399</t>
  </si>
  <si>
    <t>TTNU8197297</t>
  </si>
  <si>
    <t>FP208-2026</t>
  </si>
  <si>
    <t>SHENZHEN YUESHI</t>
  </si>
  <si>
    <t>OERU4315279</t>
  </si>
  <si>
    <t>FP198C-2026</t>
  </si>
  <si>
    <t>TEMU9329760</t>
  </si>
  <si>
    <t>OERU4186248</t>
  </si>
  <si>
    <t>OTPU6165950</t>
  </si>
  <si>
    <t>TEMU9536073</t>
  </si>
  <si>
    <t>22/04 reportado / 8/5 anexo IV</t>
  </si>
  <si>
    <t>05/05 reportado 11/05 anexo IV</t>
  </si>
  <si>
    <t>22/04 reportado 11/5  anexo IV</t>
  </si>
  <si>
    <t xml:space="preserve"> 14/04 reportado 4/5 CC</t>
  </si>
  <si>
    <t xml:space="preserve"> 14/04  reportado 8/5 CC</t>
  </si>
  <si>
    <t>22/04 reportado 30/4 CC</t>
  </si>
  <si>
    <t>22/04 reportado 7/5 CC</t>
  </si>
  <si>
    <t>22/04 reportado 8/5 CC</t>
  </si>
  <si>
    <t>FP210B-2026</t>
  </si>
  <si>
    <t>FBIU5650671</t>
  </si>
  <si>
    <t>OERU4098321</t>
  </si>
  <si>
    <t>FBIU5627774</t>
  </si>
  <si>
    <t>FP220-2026</t>
  </si>
  <si>
    <t>FSCU5759690</t>
  </si>
  <si>
    <t>FSCU5941744</t>
  </si>
  <si>
    <t>ONEU9090824</t>
  </si>
  <si>
    <t>ONEU9313152</t>
  </si>
  <si>
    <t>ONEU9313445</t>
  </si>
  <si>
    <t>FP199-2026</t>
  </si>
  <si>
    <t>OTPU6090548</t>
  </si>
  <si>
    <t>OERU4016323</t>
  </si>
  <si>
    <t>OTPU6175558</t>
  </si>
  <si>
    <t>FP197B-2026</t>
  </si>
  <si>
    <t>SZLU9669010</t>
  </si>
  <si>
    <t>TTNU8332150</t>
  </si>
  <si>
    <t>Reportado 22/04  13/5  anexo IV</t>
  </si>
  <si>
    <t>14/5 reportado</t>
  </si>
  <si>
    <t>FP212-2026</t>
  </si>
  <si>
    <t>KRUNRUNG SEAFOOD</t>
  </si>
  <si>
    <t>ONEU9035508</t>
  </si>
  <si>
    <t>FP211-2026</t>
  </si>
  <si>
    <t>RONGCHENG CITI</t>
  </si>
  <si>
    <t>ONEU9017660</t>
  </si>
  <si>
    <t>FP215-2026</t>
  </si>
  <si>
    <t>TCLU1394798</t>
  </si>
  <si>
    <t>FP217-2026</t>
  </si>
  <si>
    <t>MORU1307350</t>
  </si>
  <si>
    <t>FP223-2026</t>
  </si>
  <si>
    <t>TT INTERBIZ CO LTD</t>
  </si>
  <si>
    <t xml:space="preserve">12/5 reportado </t>
  </si>
  <si>
    <t>9/5 reportado 19/05 CC</t>
  </si>
  <si>
    <t>12/5 reportado 19/05 CC</t>
  </si>
  <si>
    <t>5/5 reportado 15/05 CC</t>
  </si>
  <si>
    <t>12/5 reportado 15/5 CC</t>
  </si>
  <si>
    <t>12/5 reportado 18/05 ANEXO IV</t>
  </si>
  <si>
    <t>Xiomara, no aplica CC</t>
  </si>
  <si>
    <t>ventosas noa va cc</t>
  </si>
  <si>
    <t>CATCH NO</t>
  </si>
  <si>
    <t>20/05 reportado</t>
  </si>
  <si>
    <t xml:space="preserve">20/5 reportado </t>
  </si>
  <si>
    <t>12/5 reportado PENDIENTE 22/5 ANEXO IV</t>
  </si>
  <si>
    <t>20/5 reportado 22/5 CC</t>
  </si>
  <si>
    <t>12/5 reportado 22/05 ANEXO IV</t>
  </si>
  <si>
    <t>12/5 reportado 22/5 CC</t>
  </si>
  <si>
    <t xml:space="preserve">pendiente, </t>
  </si>
  <si>
    <t>HARRY</t>
  </si>
  <si>
    <t xml:space="preserve">31/5 reportado </t>
  </si>
  <si>
    <t>31/05 reportado</t>
  </si>
  <si>
    <t xml:space="preserve">31/5 REPORTADO </t>
  </si>
  <si>
    <t>31/05 REPORTADO SIN SANITARIO Y CC</t>
  </si>
  <si>
    <t>GIANT OCEAN</t>
  </si>
  <si>
    <t>FP198D-2026</t>
  </si>
  <si>
    <t>FBIU5469405</t>
  </si>
  <si>
    <t>SHIDAO, HAIYUJIA</t>
  </si>
  <si>
    <t xml:space="preserve">02/5 REPORTADO </t>
  </si>
  <si>
    <t>FP229A-2026</t>
  </si>
  <si>
    <t>SHENZHEN XIECHENG</t>
  </si>
  <si>
    <t>AVANCE</t>
  </si>
  <si>
    <t>MAWEI,CHINA</t>
  </si>
  <si>
    <t>FBIU5652951</t>
  </si>
  <si>
    <t>FBIU5149720</t>
  </si>
  <si>
    <t>FBIU5146110</t>
  </si>
  <si>
    <t>Industrial</t>
  </si>
  <si>
    <t>FP197C-2026</t>
  </si>
  <si>
    <t>SEGU9714440</t>
  </si>
  <si>
    <t>FP229B-2026</t>
  </si>
  <si>
    <t>SEGU9385068</t>
  </si>
  <si>
    <t>TEMU9185404</t>
  </si>
  <si>
    <t xml:space="preserve">TSUJINO </t>
  </si>
  <si>
    <t>FP221-2026</t>
  </si>
  <si>
    <t>KOBE, JAPON</t>
  </si>
  <si>
    <t>FSCU5865393</t>
  </si>
  <si>
    <t>TTNU8248310</t>
  </si>
  <si>
    <t>12/5 reportado 5/31 CC</t>
  </si>
  <si>
    <t>12/5 reportado 30/5 CC</t>
  </si>
  <si>
    <t>cliente no solicita.</t>
  </si>
  <si>
    <t>cliente no pide CC</t>
  </si>
  <si>
    <t>FP227A-2026</t>
  </si>
  <si>
    <t>FBIU5698572</t>
  </si>
  <si>
    <t>FBIU5344286</t>
  </si>
  <si>
    <t>TEMU9327561</t>
  </si>
  <si>
    <t>OTPU6150523</t>
  </si>
  <si>
    <t>FP224-2026</t>
  </si>
  <si>
    <t>YANTAI HONGCHANG</t>
  </si>
  <si>
    <t>TTNU8867589</t>
  </si>
  <si>
    <t>FP197D-2026</t>
  </si>
  <si>
    <t>SEGU9478577</t>
  </si>
  <si>
    <t>SZLU9220082</t>
  </si>
  <si>
    <t>FP235-2026</t>
  </si>
  <si>
    <t>ZHEJIANG ZHOUFU</t>
  </si>
  <si>
    <t>NINGO, CHINO</t>
  </si>
  <si>
    <t>OTPU6053626</t>
  </si>
  <si>
    <t>SZLU9540846</t>
  </si>
  <si>
    <t>FP237-2026</t>
  </si>
  <si>
    <t>LONKOU SANMING</t>
  </si>
  <si>
    <t>FBIU5782976</t>
  </si>
  <si>
    <t>FBIU5756679</t>
  </si>
  <si>
    <t>OERU4398946</t>
  </si>
  <si>
    <t>FBIU5659690</t>
  </si>
  <si>
    <t>FP198E-2026</t>
  </si>
  <si>
    <t>FBIU5795799</t>
  </si>
  <si>
    <t>SZLU9474810</t>
  </si>
  <si>
    <t>TT INTERBIZ CO., LTD</t>
  </si>
  <si>
    <t xml:space="preserve">KULALIA S.L </t>
  </si>
  <si>
    <t xml:space="preserve"> UACU4762526</t>
  </si>
  <si>
    <t xml:space="preserve">OCEANUS FISH S.L. </t>
  </si>
  <si>
    <t>FP206-2026</t>
  </si>
  <si>
    <t xml:space="preserve"> GLOBAL OCEAN</t>
  </si>
  <si>
    <t xml:space="preserve"> FP216-2026</t>
  </si>
  <si>
    <t xml:space="preserve">UACU4797559 </t>
  </si>
  <si>
    <t xml:space="preserve"> HLBU6182329</t>
  </si>
  <si>
    <t>FP222-2026</t>
  </si>
  <si>
    <t>FP239-2026</t>
  </si>
  <si>
    <t xml:space="preserve">HLBU6095965 </t>
  </si>
  <si>
    <t>4/6 REPORTADO</t>
  </si>
  <si>
    <t>FP237B-2026</t>
  </si>
  <si>
    <t>LONGKOU SANMING</t>
  </si>
  <si>
    <t>FP234-2026</t>
  </si>
  <si>
    <t>ZHOUSHAN EAST</t>
  </si>
  <si>
    <t>NINGBO, CHINA</t>
  </si>
  <si>
    <t>TLLU1110159</t>
  </si>
  <si>
    <t>TTNU8245380</t>
  </si>
  <si>
    <t>TTNU8739280</t>
  </si>
  <si>
    <t xml:space="preserve">DRAFT </t>
  </si>
  <si>
    <t>FP198F-2026</t>
  </si>
  <si>
    <t>OERU4136041</t>
  </si>
  <si>
    <t>FP227B-2026</t>
  </si>
  <si>
    <t>FP230-2026</t>
  </si>
  <si>
    <t>OERU4071974</t>
  </si>
  <si>
    <t>SEGU9984282</t>
  </si>
  <si>
    <t>OERU4328722</t>
  </si>
  <si>
    <t>FBIU5072790</t>
  </si>
  <si>
    <t>OERU4024036</t>
  </si>
  <si>
    <t>SZLU9449443</t>
  </si>
  <si>
    <t>CXRU1505142</t>
  </si>
  <si>
    <t>SZLU9372573</t>
  </si>
  <si>
    <t>9/6 REPORTADO PENDIENTE CC</t>
  </si>
  <si>
    <t>CC SI</t>
  </si>
  <si>
    <t xml:space="preserve">9/6 REPORTADO </t>
  </si>
  <si>
    <t>9/6 REPORTADO</t>
  </si>
  <si>
    <t xml:space="preserve">02/6  REPORTADO </t>
  </si>
  <si>
    <t xml:space="preserve">02/06 REPORTADO  </t>
  </si>
  <si>
    <t xml:space="preserve">02/6 REPORTADO </t>
  </si>
  <si>
    <t xml:space="preserve">27/5 REPORTADO </t>
  </si>
  <si>
    <t>10/6 REPORTADO PENDIENTE CC</t>
  </si>
  <si>
    <t>FP238-2026</t>
  </si>
  <si>
    <t>HLXU8767475</t>
  </si>
  <si>
    <t>REPORTADO 9/6</t>
  </si>
  <si>
    <t>FP197E-2026</t>
  </si>
  <si>
    <t>OERU4183505</t>
  </si>
  <si>
    <t>FP225-2026</t>
  </si>
  <si>
    <t>NINGBO JUN TAO IMPORT</t>
  </si>
  <si>
    <t>OERU4130167</t>
  </si>
  <si>
    <t>FP236-2026</t>
  </si>
  <si>
    <t>TCLU1251333</t>
  </si>
  <si>
    <t>11/6 REPORTADO</t>
  </si>
  <si>
    <t>FP233-2026</t>
  </si>
  <si>
    <t>TOKYO, JAPAN</t>
  </si>
  <si>
    <t>TLLU1098304</t>
  </si>
  <si>
    <t>11/6 REPORTADO PENDIENTE CC</t>
  </si>
  <si>
    <t>FP232-2026</t>
  </si>
  <si>
    <t>FBIU5282395</t>
  </si>
  <si>
    <t>FP228-2026</t>
  </si>
  <si>
    <t>YANTAI HIZEN</t>
  </si>
  <si>
    <t>OERU4076528</t>
  </si>
  <si>
    <t>FP229C-2026</t>
  </si>
  <si>
    <t>ADVANCE</t>
  </si>
  <si>
    <t>TTNU8198821</t>
  </si>
  <si>
    <t>SZLU9390514</t>
  </si>
  <si>
    <t>DFOU6140816</t>
  </si>
  <si>
    <t>12/6 REPORTADO</t>
  </si>
  <si>
    <t>12/6 REPORTADO PENDIENTE 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</si>
</sst>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9"/>
      <color indexed="81"/>
      <name val="Tahoma"/>
      <family val="2"/>
    </font>
    <font>
      <sz val="11"/>
      <color rgb="FFC0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FluentSystemIcons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0" fillId="0" borderId="0" xfId="0" applyAlignment="1">
      <alignment vertical="center"/>
    </xf>
    <xf numFmtId="1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" fontId="0" fillId="2" borderId="1" xfId="0" applyNumberFormat="1" applyFill="1" applyBorder="1" applyAlignment="1">
      <alignment horizontal="center" vertical="center"/>
    </xf>
    <xf numFmtId="16" fontId="2" fillId="2" borderId="1" xfId="0" applyNumberFormat="1" applyFont="1" applyFill="1" applyBorder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49" fontId="5" fillId="3" borderId="5" xfId="0" applyNumberFormat="1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wrapText="1"/>
    </xf>
    <xf numFmtId="0" fontId="6" fillId="0" borderId="10" xfId="0" applyFont="1" applyBorder="1" applyAlignment="1">
      <alignment horizontal="center" wrapText="1"/>
    </xf>
    <xf numFmtId="14" fontId="7" fillId="0" borderId="3" xfId="0" applyNumberFormat="1" applyFont="1" applyBorder="1" applyAlignment="1">
      <alignment horizontal="center" wrapText="1"/>
    </xf>
    <xf numFmtId="0" fontId="8" fillId="0" borderId="0" xfId="0" applyFont="1"/>
    <xf numFmtId="0" fontId="6" fillId="5" borderId="1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14" fontId="7" fillId="0" borderId="1" xfId="0" applyNumberFormat="1" applyFont="1" applyBorder="1" applyAlignment="1">
      <alignment horizontal="center" wrapText="1"/>
    </xf>
    <xf numFmtId="0" fontId="7" fillId="7" borderId="3" xfId="0" applyFont="1" applyFill="1" applyBorder="1" applyAlignment="1">
      <alignment horizontal="center" wrapText="1"/>
    </xf>
    <xf numFmtId="0" fontId="6" fillId="7" borderId="10" xfId="0" applyFont="1" applyFill="1" applyBorder="1" applyAlignment="1">
      <alignment horizontal="center" wrapText="1"/>
    </xf>
    <xf numFmtId="14" fontId="7" fillId="7" borderId="3" xfId="0" applyNumberFormat="1" applyFont="1" applyFill="1" applyBorder="1" applyAlignment="1">
      <alignment horizontal="center" wrapText="1"/>
    </xf>
    <xf numFmtId="0" fontId="0" fillId="7" borderId="0" xfId="0" applyFill="1"/>
    <xf numFmtId="0" fontId="7" fillId="0" borderId="0" xfId="0" applyFont="1" applyAlignment="1">
      <alignment horizont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0" fillId="2" borderId="0" xfId="0" applyFont="1" applyFill="1"/>
    <xf numFmtId="0" fontId="10" fillId="2" borderId="1" xfId="0" applyFont="1" applyFill="1" applyBorder="1" applyAlignment="1">
      <alignment horizontal="center" vertical="center"/>
    </xf>
    <xf numFmtId="16" fontId="10" fillId="2" borderId="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" fontId="0" fillId="0" borderId="2" xfId="0" applyNumberForma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16" fontId="0" fillId="0" borderId="2" xfId="0" applyNumberFormat="1" applyBorder="1" applyAlignment="1">
      <alignment horizontal="center" vertical="center"/>
    </xf>
    <xf numFmtId="16" fontId="0" fillId="0" borderId="3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6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6" fontId="0" fillId="2" borderId="2" xfId="0" applyNumberFormat="1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49" fontId="0" fillId="2" borderId="4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2" borderId="1" xfId="0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16" fontId="0" fillId="2" borderId="3" xfId="0" applyNumberFormat="1" applyFill="1" applyBorder="1" applyAlignment="1">
      <alignment horizontal="center" vertical="center"/>
    </xf>
    <xf numFmtId="16" fontId="0" fillId="2" borderId="4" xfId="0" applyNumberFormat="1" applyFill="1" applyBorder="1" applyAlignment="1">
      <alignment horizontal="center" vertical="center"/>
    </xf>
    <xf numFmtId="16" fontId="2" fillId="2" borderId="3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6" fontId="2" fillId="2" borderId="1" xfId="0" applyNumberFormat="1" applyFont="1" applyFill="1" applyBorder="1" applyAlignment="1">
      <alignment horizontal="center" vertical="center"/>
    </xf>
    <xf numFmtId="16" fontId="2" fillId="2" borderId="2" xfId="0" applyNumberFormat="1" applyFont="1" applyFill="1" applyBorder="1" applyAlignment="1">
      <alignment horizontal="center" vertical="center"/>
    </xf>
    <xf numFmtId="16" fontId="2" fillId="2" borderId="4" xfId="0" applyNumberFormat="1" applyFont="1" applyFill="1" applyBorder="1" applyAlignment="1">
      <alignment horizontal="center" vertical="center"/>
    </xf>
    <xf numFmtId="16" fontId="1" fillId="2" borderId="2" xfId="0" applyNumberFormat="1" applyFont="1" applyFill="1" applyBorder="1" applyAlignment="1">
      <alignment horizontal="center" vertical="center"/>
    </xf>
    <xf numFmtId="16" fontId="1" fillId="2" borderId="4" xfId="0" applyNumberFormat="1" applyFont="1" applyFill="1" applyBorder="1" applyAlignment="1">
      <alignment horizontal="center" vertical="center"/>
    </xf>
    <xf numFmtId="16" fontId="1" fillId="2" borderId="3" xfId="0" applyNumberFormat="1" applyFont="1" applyFill="1" applyBorder="1" applyAlignment="1">
      <alignment horizontal="center" vertical="center"/>
    </xf>
    <xf numFmtId="1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10" fillId="2" borderId="1" xfId="0" applyFont="1" applyFill="1" applyBorder="1" applyAlignment="1">
      <alignment vertical="center"/>
    </xf>
    <xf numFmtId="16" fontId="10" fillId="2" borderId="1" xfId="0" applyNumberFormat="1" applyFont="1" applyFill="1" applyBorder="1" applyAlignment="1">
      <alignment horizontal="center" vertical="center"/>
    </xf>
    <xf numFmtId="16" fontId="11" fillId="2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49" fontId="10" fillId="2" borderId="2" xfId="0" applyNumberFormat="1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3" xfId="0" applyNumberFormat="1" applyFont="1" applyFill="1" applyBorder="1" applyAlignment="1">
      <alignment horizontal="center" vertical="center"/>
    </xf>
    <xf numFmtId="16" fontId="10" fillId="2" borderId="2" xfId="0" applyNumberFormat="1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eñaranda Castro, Harry" id="{2659E932-BA08-4CD9-9B69-AF6371A9B68A}" userId="S::hpenaranda@corpac.gob.pe::9d50c386-60fd-4975-b6a2-2f657f3cc00c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9" dT="2026-03-26T13:27:53.50" personId="{2659E932-BA08-4CD9-9B69-AF6371A9B68A}" id="{D4F9348D-973A-4D48-B4B4-2439544BFD35}">
    <text>Aún no hay fecha exacta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6F96E-32D2-49CC-9D2C-B0DDE14FD4CE}">
  <dimension ref="A1:R270"/>
  <sheetViews>
    <sheetView tabSelected="1" zoomScale="70" zoomScaleNormal="70" workbookViewId="0">
      <pane ySplit="1" topLeftCell="A248" activePane="bottomLeft" state="frozen"/>
      <selection pane="bottomLeft" activeCell="I229" sqref="I229"/>
    </sheetView>
  </sheetViews>
  <sheetFormatPr baseColWidth="10" defaultRowHeight="14.4"/>
  <cols>
    <col min="1" max="1" width="11.5546875" style="1"/>
    <col min="2" max="2" width="13.88671875" style="4" bestFit="1" customWidth="1"/>
    <col min="3" max="3" width="24.6640625" style="4" bestFit="1" customWidth="1"/>
    <col min="4" max="4" width="23.33203125" style="4" bestFit="1" customWidth="1"/>
    <col min="5" max="5" width="24" style="4" bestFit="1" customWidth="1"/>
    <col min="6" max="6" width="14.109375" style="4" bestFit="1" customWidth="1"/>
    <col min="7" max="8" width="11.5546875" style="4"/>
    <col min="9" max="9" width="11.5546875" style="4" customWidth="1"/>
    <col min="10" max="10" width="5.21875" style="4" customWidth="1"/>
    <col min="11" max="11" width="7.21875" style="4" customWidth="1"/>
    <col min="12" max="12" width="5.21875" style="4" customWidth="1"/>
    <col min="13" max="13" width="6.77734375" style="4" customWidth="1"/>
    <col min="14" max="14" width="3.44140625" style="4" customWidth="1"/>
    <col min="15" max="15" width="5.77734375" style="12" customWidth="1"/>
    <col min="16" max="16" width="8.5546875" style="4" customWidth="1"/>
    <col min="17" max="17" width="36.77734375" style="4" customWidth="1"/>
    <col min="18" max="18" width="59.109375" style="4" customWidth="1"/>
  </cols>
  <sheetData>
    <row r="1" spans="1:18" s="4" customFormat="1" ht="48.6" customHeight="1" thickBot="1">
      <c r="A1" s="13" t="s">
        <v>14</v>
      </c>
      <c r="B1" s="14" t="s">
        <v>15</v>
      </c>
      <c r="C1" s="14" t="s">
        <v>366</v>
      </c>
      <c r="D1" s="14" t="s">
        <v>16</v>
      </c>
      <c r="E1" s="14" t="s">
        <v>17</v>
      </c>
      <c r="F1" s="14" t="s">
        <v>574</v>
      </c>
      <c r="G1" s="14" t="s">
        <v>48</v>
      </c>
      <c r="H1" s="14" t="s">
        <v>49</v>
      </c>
      <c r="I1" s="14" t="s">
        <v>5</v>
      </c>
      <c r="J1" s="14" t="s">
        <v>138</v>
      </c>
      <c r="K1" s="15" t="s">
        <v>10</v>
      </c>
      <c r="L1" s="15" t="s">
        <v>12</v>
      </c>
      <c r="M1" s="15" t="s">
        <v>9</v>
      </c>
      <c r="N1" s="15" t="s">
        <v>8</v>
      </c>
      <c r="O1" s="16" t="s">
        <v>11</v>
      </c>
      <c r="P1" s="15" t="s">
        <v>13</v>
      </c>
      <c r="Q1" s="17" t="s">
        <v>7</v>
      </c>
      <c r="R1" s="17" t="s">
        <v>139</v>
      </c>
    </row>
    <row r="2" spans="1:18" s="9" customFormat="1" ht="40.200000000000003" customHeight="1">
      <c r="A2" s="61">
        <v>20</v>
      </c>
      <c r="B2" s="61" t="s">
        <v>0</v>
      </c>
      <c r="C2" s="61" t="s">
        <v>1</v>
      </c>
      <c r="D2" s="61" t="s">
        <v>2</v>
      </c>
      <c r="E2" s="61" t="s">
        <v>6</v>
      </c>
      <c r="F2" s="5" t="s">
        <v>3</v>
      </c>
      <c r="G2" s="60">
        <v>46070</v>
      </c>
      <c r="H2" s="92">
        <v>46115</v>
      </c>
      <c r="I2" s="60">
        <v>46102</v>
      </c>
      <c r="J2" s="60" t="s">
        <v>51</v>
      </c>
      <c r="K2" s="86" t="s">
        <v>51</v>
      </c>
      <c r="L2" s="86" t="s">
        <v>51</v>
      </c>
      <c r="M2" s="86" t="s">
        <v>50</v>
      </c>
      <c r="N2" s="86" t="s">
        <v>50</v>
      </c>
      <c r="O2" s="69" t="s">
        <v>50</v>
      </c>
      <c r="P2" s="86" t="s">
        <v>51</v>
      </c>
      <c r="Q2" s="63" t="s">
        <v>443</v>
      </c>
      <c r="R2" s="72" t="s">
        <v>348</v>
      </c>
    </row>
    <row r="3" spans="1:18" s="9" customFormat="1" ht="37.200000000000003" customHeight="1">
      <c r="A3" s="61"/>
      <c r="B3" s="61"/>
      <c r="C3" s="61"/>
      <c r="D3" s="61"/>
      <c r="E3" s="61"/>
      <c r="F3" s="5" t="s">
        <v>4</v>
      </c>
      <c r="G3" s="61"/>
      <c r="H3" s="88"/>
      <c r="I3" s="61"/>
      <c r="J3" s="60"/>
      <c r="K3" s="85"/>
      <c r="L3" s="85"/>
      <c r="M3" s="85"/>
      <c r="N3" s="85"/>
      <c r="O3" s="70"/>
      <c r="P3" s="85"/>
      <c r="Q3" s="64"/>
      <c r="R3" s="73"/>
    </row>
    <row r="4" spans="1:18">
      <c r="A4" s="59">
        <v>21</v>
      </c>
      <c r="B4" s="59" t="s">
        <v>18</v>
      </c>
      <c r="C4" s="59" t="s">
        <v>1</v>
      </c>
      <c r="D4" s="59" t="s">
        <v>19</v>
      </c>
      <c r="E4" s="59" t="s">
        <v>25</v>
      </c>
      <c r="F4" s="3" t="s">
        <v>20</v>
      </c>
      <c r="G4" s="58">
        <v>46070</v>
      </c>
      <c r="H4" s="98">
        <v>46115</v>
      </c>
      <c r="I4" s="58">
        <v>46097</v>
      </c>
      <c r="J4" s="59" t="s">
        <v>51</v>
      </c>
      <c r="K4" s="59" t="s">
        <v>51</v>
      </c>
      <c r="L4" s="59" t="s">
        <v>51</v>
      </c>
      <c r="M4" s="100" t="s">
        <v>50</v>
      </c>
      <c r="N4" s="59" t="s">
        <v>50</v>
      </c>
      <c r="O4" s="74" t="s">
        <v>50</v>
      </c>
      <c r="P4" s="59" t="s">
        <v>51</v>
      </c>
      <c r="Q4" s="59" t="s">
        <v>349</v>
      </c>
      <c r="R4" s="102"/>
    </row>
    <row r="5" spans="1:18">
      <c r="A5" s="59"/>
      <c r="B5" s="59"/>
      <c r="C5" s="59"/>
      <c r="D5" s="59"/>
      <c r="E5" s="59"/>
      <c r="F5" s="3" t="s">
        <v>21</v>
      </c>
      <c r="G5" s="59"/>
      <c r="H5" s="99"/>
      <c r="I5" s="59"/>
      <c r="J5" s="59"/>
      <c r="K5" s="59"/>
      <c r="L5" s="59"/>
      <c r="M5" s="101"/>
      <c r="N5" s="59"/>
      <c r="O5" s="74"/>
      <c r="P5" s="59"/>
      <c r="Q5" s="59"/>
      <c r="R5" s="102"/>
    </row>
    <row r="6" spans="1:18">
      <c r="A6" s="59"/>
      <c r="B6" s="59"/>
      <c r="C6" s="59"/>
      <c r="D6" s="59"/>
      <c r="E6" s="59"/>
      <c r="F6" s="3" t="s">
        <v>22</v>
      </c>
      <c r="G6" s="59"/>
      <c r="H6" s="99"/>
      <c r="I6" s="59"/>
      <c r="J6" s="59"/>
      <c r="K6" s="59"/>
      <c r="L6" s="59"/>
      <c r="M6" s="101"/>
      <c r="N6" s="59"/>
      <c r="O6" s="74"/>
      <c r="P6" s="59"/>
      <c r="Q6" s="59"/>
      <c r="R6" s="102"/>
    </row>
    <row r="7" spans="1:18">
      <c r="A7" s="59"/>
      <c r="B7" s="59"/>
      <c r="C7" s="59"/>
      <c r="D7" s="59"/>
      <c r="E7" s="59"/>
      <c r="F7" s="3" t="s">
        <v>23</v>
      </c>
      <c r="G7" s="59"/>
      <c r="H7" s="99"/>
      <c r="I7" s="59"/>
      <c r="J7" s="59"/>
      <c r="K7" s="59"/>
      <c r="L7" s="59"/>
      <c r="M7" s="101"/>
      <c r="N7" s="59"/>
      <c r="O7" s="74"/>
      <c r="P7" s="59"/>
      <c r="Q7" s="59"/>
      <c r="R7" s="102"/>
    </row>
    <row r="8" spans="1:18">
      <c r="A8" s="59"/>
      <c r="B8" s="59"/>
      <c r="C8" s="59"/>
      <c r="D8" s="59"/>
      <c r="E8" s="59"/>
      <c r="F8" s="3" t="s">
        <v>24</v>
      </c>
      <c r="G8" s="59"/>
      <c r="H8" s="99"/>
      <c r="I8" s="59"/>
      <c r="J8" s="59"/>
      <c r="K8" s="59"/>
      <c r="L8" s="59"/>
      <c r="M8" s="101"/>
      <c r="N8" s="59"/>
      <c r="O8" s="74"/>
      <c r="P8" s="59"/>
      <c r="Q8" s="59"/>
      <c r="R8" s="102"/>
    </row>
    <row r="9" spans="1:18">
      <c r="A9" s="59">
        <v>22</v>
      </c>
      <c r="B9" s="59" t="s">
        <v>26</v>
      </c>
      <c r="C9" s="59" t="s">
        <v>1</v>
      </c>
      <c r="D9" s="59" t="s">
        <v>27</v>
      </c>
      <c r="E9" s="59" t="s">
        <v>28</v>
      </c>
      <c r="F9" s="3" t="s">
        <v>29</v>
      </c>
      <c r="G9" s="58">
        <v>46073</v>
      </c>
      <c r="H9" s="98">
        <v>46115</v>
      </c>
      <c r="I9" s="58">
        <v>46097</v>
      </c>
      <c r="J9" s="59" t="s">
        <v>51</v>
      </c>
      <c r="K9" s="59" t="s">
        <v>51</v>
      </c>
      <c r="L9" s="59" t="s">
        <v>51</v>
      </c>
      <c r="M9" s="100" t="s">
        <v>50</v>
      </c>
      <c r="N9" s="59" t="s">
        <v>50</v>
      </c>
      <c r="O9" s="74" t="s">
        <v>50</v>
      </c>
      <c r="P9" s="59" t="s">
        <v>51</v>
      </c>
      <c r="Q9" s="83" t="s">
        <v>350</v>
      </c>
      <c r="R9" s="80"/>
    </row>
    <row r="10" spans="1:18">
      <c r="A10" s="59"/>
      <c r="B10" s="59"/>
      <c r="C10" s="59"/>
      <c r="D10" s="59"/>
      <c r="E10" s="59"/>
      <c r="F10" s="3" t="s">
        <v>30</v>
      </c>
      <c r="G10" s="59"/>
      <c r="H10" s="99"/>
      <c r="I10" s="59"/>
      <c r="J10" s="59"/>
      <c r="K10" s="59"/>
      <c r="L10" s="59"/>
      <c r="M10" s="101"/>
      <c r="N10" s="59"/>
      <c r="O10" s="74"/>
      <c r="P10" s="59"/>
      <c r="Q10" s="83"/>
      <c r="R10" s="81"/>
    </row>
    <row r="11" spans="1:18">
      <c r="A11" s="59"/>
      <c r="B11" s="59"/>
      <c r="C11" s="59"/>
      <c r="D11" s="59"/>
      <c r="E11" s="59"/>
      <c r="F11" s="3" t="s">
        <v>31</v>
      </c>
      <c r="G11" s="59"/>
      <c r="H11" s="99"/>
      <c r="I11" s="59"/>
      <c r="J11" s="59"/>
      <c r="K11" s="59"/>
      <c r="L11" s="59"/>
      <c r="M11" s="101"/>
      <c r="N11" s="59"/>
      <c r="O11" s="74"/>
      <c r="P11" s="59"/>
      <c r="Q11" s="83"/>
      <c r="R11" s="81"/>
    </row>
    <row r="12" spans="1:18">
      <c r="A12" s="59"/>
      <c r="B12" s="59"/>
      <c r="C12" s="59"/>
      <c r="D12" s="59"/>
      <c r="E12" s="59"/>
      <c r="F12" s="3" t="s">
        <v>32</v>
      </c>
      <c r="G12" s="59"/>
      <c r="H12" s="99"/>
      <c r="I12" s="59"/>
      <c r="J12" s="59"/>
      <c r="K12" s="59"/>
      <c r="L12" s="59"/>
      <c r="M12" s="101"/>
      <c r="N12" s="59"/>
      <c r="O12" s="74"/>
      <c r="P12" s="59"/>
      <c r="Q12" s="83"/>
      <c r="R12" s="81"/>
    </row>
    <row r="13" spans="1:18">
      <c r="A13" s="59"/>
      <c r="B13" s="59"/>
      <c r="C13" s="59"/>
      <c r="D13" s="59"/>
      <c r="E13" s="59"/>
      <c r="F13" s="3" t="s">
        <v>33</v>
      </c>
      <c r="G13" s="59"/>
      <c r="H13" s="99"/>
      <c r="I13" s="59"/>
      <c r="J13" s="59"/>
      <c r="K13" s="59"/>
      <c r="L13" s="59"/>
      <c r="M13" s="101"/>
      <c r="N13" s="59"/>
      <c r="O13" s="74"/>
      <c r="P13" s="59"/>
      <c r="Q13" s="83"/>
      <c r="R13" s="82"/>
    </row>
    <row r="14" spans="1:18" s="9" customFormat="1" ht="28.8" customHeight="1">
      <c r="A14" s="62">
        <v>23</v>
      </c>
      <c r="B14" s="62" t="s">
        <v>34</v>
      </c>
      <c r="C14" s="62" t="s">
        <v>1</v>
      </c>
      <c r="D14" s="62" t="s">
        <v>35</v>
      </c>
      <c r="E14" s="62" t="s">
        <v>36</v>
      </c>
      <c r="F14" s="48" t="s">
        <v>37</v>
      </c>
      <c r="G14" s="67">
        <v>46073</v>
      </c>
      <c r="H14" s="93">
        <v>46121</v>
      </c>
      <c r="I14" s="67">
        <v>46097</v>
      </c>
      <c r="J14" s="67" t="s">
        <v>51</v>
      </c>
      <c r="K14" s="67" t="s">
        <v>51</v>
      </c>
      <c r="L14" s="67" t="s">
        <v>51</v>
      </c>
      <c r="M14" s="67"/>
      <c r="N14" s="67" t="s">
        <v>50</v>
      </c>
      <c r="O14" s="68" t="s">
        <v>50</v>
      </c>
      <c r="P14" s="67" t="s">
        <v>51</v>
      </c>
      <c r="Q14" s="71" t="s">
        <v>351</v>
      </c>
      <c r="R14" s="71"/>
    </row>
    <row r="15" spans="1:18" s="9" customFormat="1" ht="27.6" customHeight="1">
      <c r="A15" s="64"/>
      <c r="B15" s="64"/>
      <c r="C15" s="64"/>
      <c r="D15" s="64"/>
      <c r="E15" s="64"/>
      <c r="F15" s="5" t="s">
        <v>38</v>
      </c>
      <c r="G15" s="85"/>
      <c r="H15" s="87"/>
      <c r="I15" s="85"/>
      <c r="J15" s="85"/>
      <c r="K15" s="85"/>
      <c r="L15" s="85"/>
      <c r="M15" s="85"/>
      <c r="N15" s="85"/>
      <c r="O15" s="70"/>
      <c r="P15" s="85"/>
      <c r="Q15" s="73"/>
      <c r="R15" s="73"/>
    </row>
    <row r="16" spans="1:18" s="8" customFormat="1">
      <c r="A16" s="61">
        <v>24</v>
      </c>
      <c r="B16" s="61" t="s">
        <v>39</v>
      </c>
      <c r="C16" s="61" t="s">
        <v>40</v>
      </c>
      <c r="D16" s="61" t="s">
        <v>40</v>
      </c>
      <c r="E16" s="61" t="s">
        <v>41</v>
      </c>
      <c r="F16" s="5" t="s">
        <v>42</v>
      </c>
      <c r="G16" s="60">
        <v>46076</v>
      </c>
      <c r="H16" s="92">
        <v>46098</v>
      </c>
      <c r="I16" s="61" t="s">
        <v>50</v>
      </c>
      <c r="J16" s="61"/>
      <c r="K16" s="61" t="s">
        <v>51</v>
      </c>
      <c r="L16" s="61" t="s">
        <v>51</v>
      </c>
      <c r="M16" s="61" t="s">
        <v>51</v>
      </c>
      <c r="N16" s="61" t="s">
        <v>51</v>
      </c>
      <c r="O16" s="91" t="s">
        <v>334</v>
      </c>
      <c r="P16" s="61" t="s">
        <v>51</v>
      </c>
      <c r="Q16" s="61" t="s">
        <v>352</v>
      </c>
      <c r="R16" s="83"/>
    </row>
    <row r="17" spans="1:18" s="8" customFormat="1">
      <c r="A17" s="61"/>
      <c r="B17" s="61"/>
      <c r="C17" s="61"/>
      <c r="D17" s="61"/>
      <c r="E17" s="61"/>
      <c r="F17" s="5" t="s">
        <v>43</v>
      </c>
      <c r="G17" s="61"/>
      <c r="H17" s="88"/>
      <c r="I17" s="61"/>
      <c r="J17" s="61"/>
      <c r="K17" s="61"/>
      <c r="L17" s="61"/>
      <c r="M17" s="61"/>
      <c r="N17" s="61"/>
      <c r="O17" s="91"/>
      <c r="P17" s="61"/>
      <c r="Q17" s="61"/>
      <c r="R17" s="83"/>
    </row>
    <row r="18" spans="1:18" s="8" customFormat="1">
      <c r="A18" s="61"/>
      <c r="B18" s="61"/>
      <c r="C18" s="61"/>
      <c r="D18" s="61"/>
      <c r="E18" s="61"/>
      <c r="F18" s="5" t="s">
        <v>44</v>
      </c>
      <c r="G18" s="61"/>
      <c r="H18" s="88"/>
      <c r="I18" s="61"/>
      <c r="J18" s="61"/>
      <c r="K18" s="61"/>
      <c r="L18" s="61"/>
      <c r="M18" s="61"/>
      <c r="N18" s="61"/>
      <c r="O18" s="91"/>
      <c r="P18" s="61"/>
      <c r="Q18" s="61"/>
      <c r="R18" s="83"/>
    </row>
    <row r="19" spans="1:18" s="8" customFormat="1">
      <c r="A19" s="61"/>
      <c r="B19" s="61"/>
      <c r="C19" s="61"/>
      <c r="D19" s="61"/>
      <c r="E19" s="61"/>
      <c r="F19" s="5" t="s">
        <v>45</v>
      </c>
      <c r="G19" s="61"/>
      <c r="H19" s="88"/>
      <c r="I19" s="61"/>
      <c r="J19" s="61"/>
      <c r="K19" s="61"/>
      <c r="L19" s="61"/>
      <c r="M19" s="61"/>
      <c r="N19" s="61"/>
      <c r="O19" s="91"/>
      <c r="P19" s="61"/>
      <c r="Q19" s="61"/>
      <c r="R19" s="83"/>
    </row>
    <row r="20" spans="1:18" s="8" customFormat="1">
      <c r="A20" s="61"/>
      <c r="B20" s="61"/>
      <c r="C20" s="61"/>
      <c r="D20" s="61"/>
      <c r="E20" s="61"/>
      <c r="F20" s="5" t="s">
        <v>46</v>
      </c>
      <c r="G20" s="61"/>
      <c r="H20" s="88"/>
      <c r="I20" s="61"/>
      <c r="J20" s="61"/>
      <c r="K20" s="61"/>
      <c r="L20" s="61"/>
      <c r="M20" s="61"/>
      <c r="N20" s="61"/>
      <c r="O20" s="91"/>
      <c r="P20" s="61"/>
      <c r="Q20" s="61"/>
      <c r="R20" s="83"/>
    </row>
    <row r="21" spans="1:18" s="8" customFormat="1">
      <c r="A21" s="61"/>
      <c r="B21" s="61"/>
      <c r="C21" s="61"/>
      <c r="D21" s="61"/>
      <c r="E21" s="61"/>
      <c r="F21" s="5" t="s">
        <v>47</v>
      </c>
      <c r="G21" s="61"/>
      <c r="H21" s="88"/>
      <c r="I21" s="61"/>
      <c r="J21" s="61"/>
      <c r="K21" s="61"/>
      <c r="L21" s="61"/>
      <c r="M21" s="61"/>
      <c r="N21" s="61"/>
      <c r="O21" s="91"/>
      <c r="P21" s="61"/>
      <c r="Q21" s="61"/>
      <c r="R21" s="83"/>
    </row>
    <row r="22" spans="1:18" s="8" customFormat="1">
      <c r="A22" s="61">
        <v>25</v>
      </c>
      <c r="B22" s="61" t="s">
        <v>52</v>
      </c>
      <c r="C22" s="61" t="s">
        <v>1</v>
      </c>
      <c r="D22" s="61" t="s">
        <v>19</v>
      </c>
      <c r="E22" s="61" t="s">
        <v>25</v>
      </c>
      <c r="F22" s="5" t="s">
        <v>53</v>
      </c>
      <c r="G22" s="67">
        <v>46078</v>
      </c>
      <c r="H22" s="93">
        <v>46129</v>
      </c>
      <c r="I22" s="60">
        <v>46097</v>
      </c>
      <c r="J22" s="61" t="s">
        <v>51</v>
      </c>
      <c r="K22" s="61" t="s">
        <v>51</v>
      </c>
      <c r="L22" s="61" t="s">
        <v>51</v>
      </c>
      <c r="M22" s="95"/>
      <c r="N22" s="61"/>
      <c r="O22" s="91" t="s">
        <v>50</v>
      </c>
      <c r="P22" s="61" t="s">
        <v>51</v>
      </c>
      <c r="Q22" s="61" t="s">
        <v>423</v>
      </c>
      <c r="R22" s="83" t="s">
        <v>353</v>
      </c>
    </row>
    <row r="23" spans="1:18" s="8" customFormat="1">
      <c r="A23" s="61"/>
      <c r="B23" s="61"/>
      <c r="C23" s="61"/>
      <c r="D23" s="61"/>
      <c r="E23" s="61"/>
      <c r="F23" s="5" t="s">
        <v>54</v>
      </c>
      <c r="G23" s="86"/>
      <c r="H23" s="94"/>
      <c r="I23" s="61"/>
      <c r="J23" s="61"/>
      <c r="K23" s="61"/>
      <c r="L23" s="61"/>
      <c r="M23" s="96"/>
      <c r="N23" s="61"/>
      <c r="O23" s="91"/>
      <c r="P23" s="61"/>
      <c r="Q23" s="61"/>
      <c r="R23" s="83"/>
    </row>
    <row r="24" spans="1:18" s="8" customFormat="1">
      <c r="A24" s="61"/>
      <c r="B24" s="61"/>
      <c r="C24" s="61"/>
      <c r="D24" s="61"/>
      <c r="E24" s="61"/>
      <c r="F24" s="5" t="s">
        <v>55</v>
      </c>
      <c r="G24" s="86"/>
      <c r="H24" s="94"/>
      <c r="I24" s="61"/>
      <c r="J24" s="61"/>
      <c r="K24" s="61"/>
      <c r="L24" s="61"/>
      <c r="M24" s="96"/>
      <c r="N24" s="61"/>
      <c r="O24" s="91"/>
      <c r="P24" s="61"/>
      <c r="Q24" s="61"/>
      <c r="R24" s="83"/>
    </row>
    <row r="25" spans="1:18" s="8" customFormat="1">
      <c r="A25" s="61"/>
      <c r="B25" s="61"/>
      <c r="C25" s="61"/>
      <c r="D25" s="61"/>
      <c r="E25" s="61"/>
      <c r="F25" s="5" t="s">
        <v>56</v>
      </c>
      <c r="G25" s="86"/>
      <c r="H25" s="94"/>
      <c r="I25" s="61"/>
      <c r="J25" s="61"/>
      <c r="K25" s="61"/>
      <c r="L25" s="61"/>
      <c r="M25" s="96"/>
      <c r="N25" s="61"/>
      <c r="O25" s="91"/>
      <c r="P25" s="61"/>
      <c r="Q25" s="61"/>
      <c r="R25" s="83"/>
    </row>
    <row r="26" spans="1:18" s="8" customFormat="1">
      <c r="A26" s="61"/>
      <c r="B26" s="61"/>
      <c r="C26" s="61"/>
      <c r="D26" s="61"/>
      <c r="E26" s="61"/>
      <c r="F26" s="5" t="s">
        <v>57</v>
      </c>
      <c r="G26" s="86"/>
      <c r="H26" s="94"/>
      <c r="I26" s="61"/>
      <c r="J26" s="61"/>
      <c r="K26" s="61"/>
      <c r="L26" s="61"/>
      <c r="M26" s="96"/>
      <c r="N26" s="61"/>
      <c r="O26" s="91"/>
      <c r="P26" s="61"/>
      <c r="Q26" s="61"/>
      <c r="R26" s="83"/>
    </row>
    <row r="27" spans="1:18" s="8" customFormat="1">
      <c r="A27" s="61"/>
      <c r="B27" s="61"/>
      <c r="C27" s="61"/>
      <c r="D27" s="61"/>
      <c r="E27" s="61"/>
      <c r="F27" s="5" t="s">
        <v>58</v>
      </c>
      <c r="G27" s="86"/>
      <c r="H27" s="94"/>
      <c r="I27" s="61"/>
      <c r="J27" s="61"/>
      <c r="K27" s="61"/>
      <c r="L27" s="61"/>
      <c r="M27" s="96"/>
      <c r="N27" s="61"/>
      <c r="O27" s="91"/>
      <c r="P27" s="61"/>
      <c r="Q27" s="61"/>
      <c r="R27" s="83"/>
    </row>
    <row r="28" spans="1:18" s="8" customFormat="1">
      <c r="A28" s="61"/>
      <c r="B28" s="61"/>
      <c r="C28" s="61"/>
      <c r="D28" s="61"/>
      <c r="E28" s="61"/>
      <c r="F28" s="5" t="s">
        <v>59</v>
      </c>
      <c r="G28" s="86"/>
      <c r="H28" s="94"/>
      <c r="I28" s="61"/>
      <c r="J28" s="61"/>
      <c r="K28" s="61"/>
      <c r="L28" s="61"/>
      <c r="M28" s="96"/>
      <c r="N28" s="61"/>
      <c r="O28" s="91"/>
      <c r="P28" s="61"/>
      <c r="Q28" s="61"/>
      <c r="R28" s="83"/>
    </row>
    <row r="29" spans="1:18" s="8" customFormat="1">
      <c r="A29" s="61"/>
      <c r="B29" s="61"/>
      <c r="C29" s="61"/>
      <c r="D29" s="61"/>
      <c r="E29" s="61"/>
      <c r="F29" s="5" t="s">
        <v>60</v>
      </c>
      <c r="G29" s="86"/>
      <c r="H29" s="94"/>
      <c r="I29" s="61"/>
      <c r="J29" s="61"/>
      <c r="K29" s="61"/>
      <c r="L29" s="61"/>
      <c r="M29" s="96"/>
      <c r="N29" s="61"/>
      <c r="O29" s="91"/>
      <c r="P29" s="61"/>
      <c r="Q29" s="61"/>
      <c r="R29" s="83"/>
    </row>
    <row r="30" spans="1:18" s="8" customFormat="1">
      <c r="A30" s="61"/>
      <c r="B30" s="61"/>
      <c r="C30" s="61"/>
      <c r="D30" s="61"/>
      <c r="E30" s="61"/>
      <c r="F30" s="5" t="s">
        <v>61</v>
      </c>
      <c r="G30" s="86"/>
      <c r="H30" s="94"/>
      <c r="I30" s="61"/>
      <c r="J30" s="61"/>
      <c r="K30" s="61"/>
      <c r="L30" s="61"/>
      <c r="M30" s="96"/>
      <c r="N30" s="61"/>
      <c r="O30" s="91"/>
      <c r="P30" s="61"/>
      <c r="Q30" s="61"/>
      <c r="R30" s="83"/>
    </row>
    <row r="31" spans="1:18" s="8" customFormat="1">
      <c r="A31" s="61"/>
      <c r="B31" s="61"/>
      <c r="C31" s="61"/>
      <c r="D31" s="61"/>
      <c r="E31" s="61"/>
      <c r="F31" s="5" t="s">
        <v>62</v>
      </c>
      <c r="G31" s="86"/>
      <c r="H31" s="94"/>
      <c r="I31" s="61"/>
      <c r="J31" s="61"/>
      <c r="K31" s="61"/>
      <c r="L31" s="61"/>
      <c r="M31" s="96"/>
      <c r="N31" s="61"/>
      <c r="O31" s="91"/>
      <c r="P31" s="61"/>
      <c r="Q31" s="61"/>
      <c r="R31" s="83"/>
    </row>
    <row r="32" spans="1:18" s="8" customFormat="1">
      <c r="A32" s="61"/>
      <c r="B32" s="61"/>
      <c r="C32" s="61"/>
      <c r="D32" s="61"/>
      <c r="E32" s="61"/>
      <c r="F32" s="5" t="s">
        <v>63</v>
      </c>
      <c r="G32" s="86"/>
      <c r="H32" s="94"/>
      <c r="I32" s="61"/>
      <c r="J32" s="61"/>
      <c r="K32" s="61"/>
      <c r="L32" s="61"/>
      <c r="M32" s="96"/>
      <c r="N32" s="61"/>
      <c r="O32" s="91"/>
      <c r="P32" s="61"/>
      <c r="Q32" s="61"/>
      <c r="R32" s="83"/>
    </row>
    <row r="33" spans="1:18" s="8" customFormat="1">
      <c r="A33" s="61"/>
      <c r="B33" s="61"/>
      <c r="C33" s="61"/>
      <c r="D33" s="61"/>
      <c r="E33" s="61"/>
      <c r="F33" s="5" t="s">
        <v>64</v>
      </c>
      <c r="G33" s="86"/>
      <c r="H33" s="94"/>
      <c r="I33" s="61"/>
      <c r="J33" s="61"/>
      <c r="K33" s="61"/>
      <c r="L33" s="61"/>
      <c r="M33" s="96"/>
      <c r="N33" s="61"/>
      <c r="O33" s="91"/>
      <c r="P33" s="61"/>
      <c r="Q33" s="61"/>
      <c r="R33" s="83"/>
    </row>
    <row r="34" spans="1:18" s="8" customFormat="1">
      <c r="A34" s="61"/>
      <c r="B34" s="61"/>
      <c r="C34" s="61"/>
      <c r="D34" s="61"/>
      <c r="E34" s="61"/>
      <c r="F34" s="5" t="s">
        <v>65</v>
      </c>
      <c r="G34" s="85"/>
      <c r="H34" s="87"/>
      <c r="I34" s="61"/>
      <c r="J34" s="61"/>
      <c r="K34" s="61"/>
      <c r="L34" s="61"/>
      <c r="M34" s="97"/>
      <c r="N34" s="61"/>
      <c r="O34" s="91"/>
      <c r="P34" s="61"/>
      <c r="Q34" s="61"/>
      <c r="R34" s="83"/>
    </row>
    <row r="35" spans="1:18" s="9" customFormat="1" ht="24.6" customHeight="1">
      <c r="A35" s="64">
        <v>26</v>
      </c>
      <c r="B35" s="64" t="s">
        <v>66</v>
      </c>
      <c r="C35" s="64" t="s">
        <v>67</v>
      </c>
      <c r="D35" s="64" t="s">
        <v>67</v>
      </c>
      <c r="E35" s="64" t="s">
        <v>25</v>
      </c>
      <c r="F35" s="48" t="s">
        <v>68</v>
      </c>
      <c r="G35" s="85">
        <v>46080</v>
      </c>
      <c r="H35" s="87">
        <v>46129</v>
      </c>
      <c r="I35" s="85">
        <v>46097</v>
      </c>
      <c r="J35" s="86" t="s">
        <v>51</v>
      </c>
      <c r="K35" s="86" t="s">
        <v>51</v>
      </c>
      <c r="L35" s="86" t="s">
        <v>51</v>
      </c>
      <c r="M35" s="86"/>
      <c r="N35" s="86"/>
      <c r="O35" s="69" t="s">
        <v>50</v>
      </c>
      <c r="P35" s="86" t="s">
        <v>51</v>
      </c>
      <c r="Q35" s="72" t="s">
        <v>357</v>
      </c>
      <c r="R35" s="84"/>
    </row>
    <row r="36" spans="1:18" s="9" customFormat="1" ht="24.6" customHeight="1">
      <c r="A36" s="61"/>
      <c r="B36" s="61"/>
      <c r="C36" s="61"/>
      <c r="D36" s="61"/>
      <c r="E36" s="61"/>
      <c r="F36" s="5" t="s">
        <v>69</v>
      </c>
      <c r="G36" s="61"/>
      <c r="H36" s="88"/>
      <c r="I36" s="61"/>
      <c r="J36" s="85"/>
      <c r="K36" s="85"/>
      <c r="L36" s="85"/>
      <c r="M36" s="85"/>
      <c r="N36" s="85"/>
      <c r="O36" s="70"/>
      <c r="P36" s="85"/>
      <c r="Q36" s="73"/>
      <c r="R36" s="73"/>
    </row>
    <row r="37" spans="1:18" s="8" customFormat="1" ht="41.4" customHeight="1">
      <c r="A37" s="5">
        <v>27</v>
      </c>
      <c r="B37" s="5" t="s">
        <v>70</v>
      </c>
      <c r="C37" s="5" t="s">
        <v>71</v>
      </c>
      <c r="D37" s="5" t="str">
        <f>+C37</f>
        <v>SACRAMENTO CO LTD</v>
      </c>
      <c r="E37" s="5" t="s">
        <v>72</v>
      </c>
      <c r="F37" s="5" t="s">
        <v>73</v>
      </c>
      <c r="G37" s="6">
        <v>46080</v>
      </c>
      <c r="H37" s="7">
        <v>46129</v>
      </c>
      <c r="I37" s="6">
        <v>46097</v>
      </c>
      <c r="J37" s="5" t="s">
        <v>51</v>
      </c>
      <c r="K37" s="5" t="s">
        <v>51</v>
      </c>
      <c r="L37" s="5" t="s">
        <v>51</v>
      </c>
      <c r="M37" s="5"/>
      <c r="N37" s="5"/>
      <c r="O37" s="11" t="s">
        <v>50</v>
      </c>
      <c r="P37" s="5" t="s">
        <v>51</v>
      </c>
      <c r="Q37" s="36" t="s">
        <v>444</v>
      </c>
      <c r="R37" s="35" t="s">
        <v>356</v>
      </c>
    </row>
    <row r="38" spans="1:18" s="8" customFormat="1" ht="28.8">
      <c r="A38" s="5">
        <v>28</v>
      </c>
      <c r="B38" s="5" t="s">
        <v>76</v>
      </c>
      <c r="C38" s="5" t="s">
        <v>74</v>
      </c>
      <c r="D38" s="5" t="str">
        <f>+C38</f>
        <v>OVERSEA</v>
      </c>
      <c r="E38" s="5" t="s">
        <v>41</v>
      </c>
      <c r="F38" s="5" t="s">
        <v>75</v>
      </c>
      <c r="G38" s="6">
        <v>46082</v>
      </c>
      <c r="H38" s="7">
        <v>46106</v>
      </c>
      <c r="I38" s="6">
        <v>46092</v>
      </c>
      <c r="J38" s="5" t="s">
        <v>51</v>
      </c>
      <c r="K38" s="5" t="s">
        <v>51</v>
      </c>
      <c r="L38" s="5" t="s">
        <v>51</v>
      </c>
      <c r="M38" s="5" t="s">
        <v>51</v>
      </c>
      <c r="N38" s="5" t="s">
        <v>51</v>
      </c>
      <c r="O38" s="11"/>
      <c r="P38" s="5" t="s">
        <v>51</v>
      </c>
      <c r="Q38" s="5" t="s">
        <v>352</v>
      </c>
      <c r="R38" s="36" t="s">
        <v>140</v>
      </c>
    </row>
    <row r="39" spans="1:18" s="8" customFormat="1" ht="28.8">
      <c r="A39" s="5">
        <v>29</v>
      </c>
      <c r="B39" s="5" t="s">
        <v>78</v>
      </c>
      <c r="C39" s="5" t="s">
        <v>74</v>
      </c>
      <c r="D39" s="5" t="str">
        <f>+C39</f>
        <v>OVERSEA</v>
      </c>
      <c r="E39" s="5" t="s">
        <v>41</v>
      </c>
      <c r="F39" s="5" t="s">
        <v>77</v>
      </c>
      <c r="G39" s="6">
        <v>46082</v>
      </c>
      <c r="H39" s="7">
        <v>46106</v>
      </c>
      <c r="I39" s="6">
        <v>46092</v>
      </c>
      <c r="J39" s="5" t="s">
        <v>51</v>
      </c>
      <c r="K39" s="5" t="s">
        <v>51</v>
      </c>
      <c r="L39" s="5" t="s">
        <v>51</v>
      </c>
      <c r="M39" s="5" t="s">
        <v>51</v>
      </c>
      <c r="N39" s="5" t="s">
        <v>51</v>
      </c>
      <c r="O39" s="11"/>
      <c r="P39" s="5" t="s">
        <v>51</v>
      </c>
      <c r="Q39" s="5" t="s">
        <v>354</v>
      </c>
      <c r="R39" s="36" t="s">
        <v>140</v>
      </c>
    </row>
    <row r="40" spans="1:18" s="8" customFormat="1">
      <c r="A40" s="61">
        <v>30</v>
      </c>
      <c r="B40" s="61" t="s">
        <v>79</v>
      </c>
      <c r="C40" s="61" t="s">
        <v>80</v>
      </c>
      <c r="D40" s="61" t="s">
        <v>27</v>
      </c>
      <c r="E40" s="61" t="s">
        <v>28</v>
      </c>
      <c r="F40" s="5" t="s">
        <v>81</v>
      </c>
      <c r="G40" s="60">
        <v>46085</v>
      </c>
      <c r="H40" s="92">
        <v>46131</v>
      </c>
      <c r="I40" s="60">
        <v>46098</v>
      </c>
      <c r="J40" s="61" t="s">
        <v>51</v>
      </c>
      <c r="K40" s="61" t="s">
        <v>51</v>
      </c>
      <c r="L40" s="61" t="s">
        <v>51</v>
      </c>
      <c r="M40" s="89"/>
      <c r="N40" s="61"/>
      <c r="O40" s="91" t="s">
        <v>50</v>
      </c>
      <c r="P40" s="61" t="s">
        <v>51</v>
      </c>
      <c r="Q40" s="83" t="s">
        <v>423</v>
      </c>
      <c r="R40" s="83" t="s">
        <v>422</v>
      </c>
    </row>
    <row r="41" spans="1:18" s="8" customFormat="1">
      <c r="A41" s="61"/>
      <c r="B41" s="61"/>
      <c r="C41" s="61"/>
      <c r="D41" s="61"/>
      <c r="E41" s="61"/>
      <c r="F41" s="5" t="s">
        <v>82</v>
      </c>
      <c r="G41" s="61"/>
      <c r="H41" s="88"/>
      <c r="I41" s="61"/>
      <c r="J41" s="61"/>
      <c r="K41" s="61"/>
      <c r="L41" s="61"/>
      <c r="M41" s="90"/>
      <c r="N41" s="61"/>
      <c r="O41" s="91"/>
      <c r="P41" s="61"/>
      <c r="Q41" s="83"/>
      <c r="R41" s="83"/>
    </row>
    <row r="42" spans="1:18" s="8" customFormat="1">
      <c r="A42" s="61"/>
      <c r="B42" s="61"/>
      <c r="C42" s="61"/>
      <c r="D42" s="61"/>
      <c r="E42" s="61"/>
      <c r="F42" s="5" t="s">
        <v>83</v>
      </c>
      <c r="G42" s="61"/>
      <c r="H42" s="88"/>
      <c r="I42" s="61"/>
      <c r="J42" s="61"/>
      <c r="K42" s="61"/>
      <c r="L42" s="61"/>
      <c r="M42" s="90"/>
      <c r="N42" s="61"/>
      <c r="O42" s="91"/>
      <c r="P42" s="61"/>
      <c r="Q42" s="83"/>
      <c r="R42" s="83"/>
    </row>
    <row r="43" spans="1:18" s="8" customFormat="1">
      <c r="A43" s="61"/>
      <c r="B43" s="61"/>
      <c r="C43" s="61"/>
      <c r="D43" s="61"/>
      <c r="E43" s="61"/>
      <c r="F43" s="5" t="s">
        <v>84</v>
      </c>
      <c r="G43" s="61"/>
      <c r="H43" s="88"/>
      <c r="I43" s="61"/>
      <c r="J43" s="61"/>
      <c r="K43" s="61"/>
      <c r="L43" s="61"/>
      <c r="M43" s="90"/>
      <c r="N43" s="61"/>
      <c r="O43" s="91"/>
      <c r="P43" s="61"/>
      <c r="Q43" s="83"/>
      <c r="R43" s="83"/>
    </row>
    <row r="44" spans="1:18" s="8" customFormat="1">
      <c r="A44" s="61"/>
      <c r="B44" s="61"/>
      <c r="C44" s="61"/>
      <c r="D44" s="61"/>
      <c r="E44" s="61"/>
      <c r="F44" s="5" t="s">
        <v>85</v>
      </c>
      <c r="G44" s="61"/>
      <c r="H44" s="88"/>
      <c r="I44" s="61"/>
      <c r="J44" s="61"/>
      <c r="K44" s="61"/>
      <c r="L44" s="61"/>
      <c r="M44" s="90"/>
      <c r="N44" s="61"/>
      <c r="O44" s="91"/>
      <c r="P44" s="61"/>
      <c r="Q44" s="83"/>
      <c r="R44" s="83"/>
    </row>
    <row r="45" spans="1:18" s="8" customFormat="1">
      <c r="A45" s="61">
        <v>31</v>
      </c>
      <c r="B45" s="61" t="s">
        <v>86</v>
      </c>
      <c r="C45" s="61" t="s">
        <v>87</v>
      </c>
      <c r="D45" s="61" t="s">
        <v>88</v>
      </c>
      <c r="E45" s="61" t="s">
        <v>89</v>
      </c>
      <c r="F45" s="5" t="s">
        <v>90</v>
      </c>
      <c r="G45" s="60">
        <v>46085</v>
      </c>
      <c r="H45" s="92">
        <v>46140</v>
      </c>
      <c r="I45" s="60">
        <v>46093</v>
      </c>
      <c r="J45" s="61" t="s">
        <v>51</v>
      </c>
      <c r="K45" s="61" t="s">
        <v>51</v>
      </c>
      <c r="L45" s="61" t="s">
        <v>51</v>
      </c>
      <c r="M45" s="61" t="s">
        <v>51</v>
      </c>
      <c r="N45" s="61" t="s">
        <v>51</v>
      </c>
      <c r="O45" s="91" t="s">
        <v>50</v>
      </c>
      <c r="P45" s="61" t="s">
        <v>51</v>
      </c>
      <c r="Q45" s="61" t="s">
        <v>93</v>
      </c>
      <c r="R45" s="61"/>
    </row>
    <row r="46" spans="1:18" s="8" customFormat="1">
      <c r="A46" s="61"/>
      <c r="B46" s="61"/>
      <c r="C46" s="61"/>
      <c r="D46" s="61"/>
      <c r="E46" s="61"/>
      <c r="F46" s="5" t="s">
        <v>91</v>
      </c>
      <c r="G46" s="61"/>
      <c r="H46" s="88"/>
      <c r="I46" s="61"/>
      <c r="J46" s="61"/>
      <c r="K46" s="61"/>
      <c r="L46" s="61"/>
      <c r="M46" s="61"/>
      <c r="N46" s="61"/>
      <c r="O46" s="91"/>
      <c r="P46" s="61"/>
      <c r="Q46" s="63"/>
      <c r="R46" s="61"/>
    </row>
    <row r="47" spans="1:18" s="8" customFormat="1">
      <c r="A47" s="61"/>
      <c r="B47" s="61"/>
      <c r="C47" s="61"/>
      <c r="D47" s="61"/>
      <c r="E47" s="61"/>
      <c r="F47" s="5" t="s">
        <v>92</v>
      </c>
      <c r="G47" s="61"/>
      <c r="H47" s="88"/>
      <c r="I47" s="61"/>
      <c r="J47" s="61"/>
      <c r="K47" s="61"/>
      <c r="L47" s="61"/>
      <c r="M47" s="61"/>
      <c r="N47" s="61"/>
      <c r="O47" s="91"/>
      <c r="P47" s="61"/>
      <c r="Q47" s="64"/>
      <c r="R47" s="61"/>
    </row>
    <row r="48" spans="1:18" s="8" customFormat="1">
      <c r="A48" s="5">
        <v>32</v>
      </c>
      <c r="B48" s="5" t="s">
        <v>94</v>
      </c>
      <c r="C48" s="5" t="s">
        <v>87</v>
      </c>
      <c r="D48" s="5" t="s">
        <v>87</v>
      </c>
      <c r="E48" s="5" t="s">
        <v>95</v>
      </c>
      <c r="F48" s="5" t="s">
        <v>96</v>
      </c>
      <c r="G48" s="6">
        <v>46085</v>
      </c>
      <c r="H48" s="7">
        <v>46127</v>
      </c>
      <c r="I48" s="6">
        <v>46098</v>
      </c>
      <c r="J48" s="5" t="s">
        <v>51</v>
      </c>
      <c r="K48" s="5" t="s">
        <v>51</v>
      </c>
      <c r="L48" s="5" t="s">
        <v>51</v>
      </c>
      <c r="M48" s="5" t="s">
        <v>51</v>
      </c>
      <c r="N48" s="5" t="s">
        <v>51</v>
      </c>
      <c r="O48" s="11" t="s">
        <v>50</v>
      </c>
      <c r="P48" s="5" t="s">
        <v>51</v>
      </c>
      <c r="Q48" s="5" t="s">
        <v>93</v>
      </c>
      <c r="R48" s="5" t="s">
        <v>355</v>
      </c>
    </row>
    <row r="49" spans="1:18" s="8" customFormat="1">
      <c r="A49" s="61">
        <v>33</v>
      </c>
      <c r="B49" s="61" t="s">
        <v>97</v>
      </c>
      <c r="C49" s="61" t="s">
        <v>87</v>
      </c>
      <c r="D49" s="61" t="s">
        <v>19</v>
      </c>
      <c r="E49" s="61" t="s">
        <v>25</v>
      </c>
      <c r="F49" s="5" t="s">
        <v>98</v>
      </c>
      <c r="G49" s="60">
        <v>46085</v>
      </c>
      <c r="H49" s="92">
        <v>46131</v>
      </c>
      <c r="I49" s="60">
        <v>46097</v>
      </c>
      <c r="J49" s="61" t="s">
        <v>51</v>
      </c>
      <c r="K49" s="61" t="s">
        <v>51</v>
      </c>
      <c r="L49" s="61" t="s">
        <v>51</v>
      </c>
      <c r="M49" s="89"/>
      <c r="N49" s="61" t="s">
        <v>50</v>
      </c>
      <c r="O49" s="91" t="s">
        <v>50</v>
      </c>
      <c r="P49" s="61" t="s">
        <v>51</v>
      </c>
      <c r="Q49" s="61" t="s">
        <v>426</v>
      </c>
      <c r="R49" s="83" t="s">
        <v>356</v>
      </c>
    </row>
    <row r="50" spans="1:18" s="8" customFormat="1">
      <c r="A50" s="61"/>
      <c r="B50" s="61"/>
      <c r="C50" s="61"/>
      <c r="D50" s="61"/>
      <c r="E50" s="61"/>
      <c r="F50" s="5" t="s">
        <v>99</v>
      </c>
      <c r="G50" s="61"/>
      <c r="H50" s="88"/>
      <c r="I50" s="61"/>
      <c r="J50" s="61"/>
      <c r="K50" s="61"/>
      <c r="L50" s="61"/>
      <c r="M50" s="90"/>
      <c r="N50" s="61"/>
      <c r="O50" s="91"/>
      <c r="P50" s="61"/>
      <c r="Q50" s="61"/>
      <c r="R50" s="83"/>
    </row>
    <row r="51" spans="1:18" s="8" customFormat="1">
      <c r="A51" s="61"/>
      <c r="B51" s="61"/>
      <c r="C51" s="61"/>
      <c r="D51" s="61"/>
      <c r="E51" s="61"/>
      <c r="F51" s="5" t="s">
        <v>100</v>
      </c>
      <c r="G51" s="61"/>
      <c r="H51" s="88"/>
      <c r="I51" s="61"/>
      <c r="J51" s="61"/>
      <c r="K51" s="61"/>
      <c r="L51" s="61"/>
      <c r="M51" s="90"/>
      <c r="N51" s="61"/>
      <c r="O51" s="91"/>
      <c r="P51" s="61"/>
      <c r="Q51" s="61"/>
      <c r="R51" s="83"/>
    </row>
    <row r="52" spans="1:18" s="8" customFormat="1">
      <c r="A52" s="61"/>
      <c r="B52" s="61"/>
      <c r="C52" s="61"/>
      <c r="D52" s="61"/>
      <c r="E52" s="61"/>
      <c r="F52" s="5" t="s">
        <v>101</v>
      </c>
      <c r="G52" s="61"/>
      <c r="H52" s="88"/>
      <c r="I52" s="61"/>
      <c r="J52" s="61"/>
      <c r="K52" s="61"/>
      <c r="L52" s="61"/>
      <c r="M52" s="90"/>
      <c r="N52" s="61"/>
      <c r="O52" s="91"/>
      <c r="P52" s="61"/>
      <c r="Q52" s="61"/>
      <c r="R52" s="83"/>
    </row>
    <row r="53" spans="1:18" s="8" customFormat="1">
      <c r="A53" s="61"/>
      <c r="B53" s="61"/>
      <c r="C53" s="61"/>
      <c r="D53" s="61"/>
      <c r="E53" s="61"/>
      <c r="F53" s="5" t="s">
        <v>102</v>
      </c>
      <c r="G53" s="61"/>
      <c r="H53" s="88"/>
      <c r="I53" s="61"/>
      <c r="J53" s="61"/>
      <c r="K53" s="61"/>
      <c r="L53" s="61"/>
      <c r="M53" s="90"/>
      <c r="N53" s="61"/>
      <c r="O53" s="91"/>
      <c r="P53" s="61"/>
      <c r="Q53" s="61"/>
      <c r="R53" s="83"/>
    </row>
    <row r="54" spans="1:18" s="9" customFormat="1">
      <c r="A54" s="64">
        <v>34</v>
      </c>
      <c r="B54" s="64" t="s">
        <v>103</v>
      </c>
      <c r="C54" s="64" t="s">
        <v>87</v>
      </c>
      <c r="D54" s="64" t="s">
        <v>104</v>
      </c>
      <c r="E54" s="64" t="s">
        <v>105</v>
      </c>
      <c r="F54" s="48" t="s">
        <v>106</v>
      </c>
      <c r="G54" s="85">
        <v>46087</v>
      </c>
      <c r="H54" s="87">
        <v>46130</v>
      </c>
      <c r="I54" s="85">
        <v>46097</v>
      </c>
      <c r="J54" s="86" t="s">
        <v>51</v>
      </c>
      <c r="K54" s="86" t="s">
        <v>51</v>
      </c>
      <c r="L54" s="86" t="s">
        <v>51</v>
      </c>
      <c r="M54" s="86"/>
      <c r="N54" s="86" t="s">
        <v>50</v>
      </c>
      <c r="O54" s="69" t="s">
        <v>50</v>
      </c>
      <c r="P54" s="86" t="s">
        <v>51</v>
      </c>
      <c r="Q54" s="63" t="s">
        <v>394</v>
      </c>
      <c r="R54" s="63"/>
    </row>
    <row r="55" spans="1:18" s="9" customFormat="1">
      <c r="A55" s="61"/>
      <c r="B55" s="61"/>
      <c r="C55" s="61"/>
      <c r="D55" s="61"/>
      <c r="E55" s="61"/>
      <c r="F55" s="5" t="s">
        <v>107</v>
      </c>
      <c r="G55" s="61"/>
      <c r="H55" s="88"/>
      <c r="I55" s="61"/>
      <c r="J55" s="85"/>
      <c r="K55" s="85"/>
      <c r="L55" s="85"/>
      <c r="M55" s="85"/>
      <c r="N55" s="85"/>
      <c r="O55" s="70"/>
      <c r="P55" s="85"/>
      <c r="Q55" s="64"/>
      <c r="R55" s="64"/>
    </row>
    <row r="56" spans="1:18" s="37" customFormat="1">
      <c r="A56" s="76">
        <v>35</v>
      </c>
      <c r="B56" s="76" t="s">
        <v>108</v>
      </c>
      <c r="C56" s="76" t="s">
        <v>40</v>
      </c>
      <c r="D56" s="76" t="s">
        <v>40</v>
      </c>
      <c r="E56" s="76" t="s">
        <v>109</v>
      </c>
      <c r="F56" s="38" t="s">
        <v>110</v>
      </c>
      <c r="G56" s="104">
        <v>46092</v>
      </c>
      <c r="H56" s="104">
        <v>46119</v>
      </c>
      <c r="I56" s="104">
        <v>46100</v>
      </c>
      <c r="J56" s="76" t="s">
        <v>51</v>
      </c>
      <c r="K56" s="76" t="s">
        <v>51</v>
      </c>
      <c r="L56" s="76" t="s">
        <v>51</v>
      </c>
      <c r="M56" s="105" t="s">
        <v>51</v>
      </c>
      <c r="N56" s="76" t="s">
        <v>51</v>
      </c>
      <c r="O56" s="107"/>
      <c r="P56" s="76" t="s">
        <v>51</v>
      </c>
      <c r="Q56" s="76" t="s">
        <v>432</v>
      </c>
      <c r="R56" s="76"/>
    </row>
    <row r="57" spans="1:18" s="37" customFormat="1">
      <c r="A57" s="103"/>
      <c r="B57" s="76"/>
      <c r="C57" s="76"/>
      <c r="D57" s="76"/>
      <c r="E57" s="76"/>
      <c r="F57" s="38" t="s">
        <v>111</v>
      </c>
      <c r="G57" s="76"/>
      <c r="H57" s="76"/>
      <c r="I57" s="76"/>
      <c r="J57" s="76"/>
      <c r="K57" s="76"/>
      <c r="L57" s="76"/>
      <c r="M57" s="106"/>
      <c r="N57" s="76"/>
      <c r="O57" s="107"/>
      <c r="P57" s="76"/>
      <c r="Q57" s="76"/>
      <c r="R57" s="76"/>
    </row>
    <row r="58" spans="1:18" s="37" customFormat="1">
      <c r="A58" s="103"/>
      <c r="B58" s="76"/>
      <c r="C58" s="76"/>
      <c r="D58" s="76"/>
      <c r="E58" s="76"/>
      <c r="F58" s="38" t="s">
        <v>112</v>
      </c>
      <c r="G58" s="76"/>
      <c r="H58" s="76"/>
      <c r="I58" s="76"/>
      <c r="J58" s="76"/>
      <c r="K58" s="76"/>
      <c r="L58" s="76"/>
      <c r="M58" s="106"/>
      <c r="N58" s="76"/>
      <c r="O58" s="107"/>
      <c r="P58" s="76"/>
      <c r="Q58" s="76"/>
      <c r="R58" s="76"/>
    </row>
    <row r="59" spans="1:18" s="37" customFormat="1">
      <c r="A59" s="103"/>
      <c r="B59" s="76"/>
      <c r="C59" s="76"/>
      <c r="D59" s="76"/>
      <c r="E59" s="76"/>
      <c r="F59" s="38" t="s">
        <v>113</v>
      </c>
      <c r="G59" s="76"/>
      <c r="H59" s="76"/>
      <c r="I59" s="76"/>
      <c r="J59" s="76"/>
      <c r="K59" s="76"/>
      <c r="L59" s="76"/>
      <c r="M59" s="106"/>
      <c r="N59" s="76"/>
      <c r="O59" s="107"/>
      <c r="P59" s="76"/>
      <c r="Q59" s="76"/>
      <c r="R59" s="76"/>
    </row>
    <row r="60" spans="1:18" s="37" customFormat="1">
      <c r="A60" s="77">
        <v>36</v>
      </c>
      <c r="B60" s="77" t="s">
        <v>114</v>
      </c>
      <c r="C60" s="77" t="s">
        <v>40</v>
      </c>
      <c r="D60" s="77" t="s">
        <v>40</v>
      </c>
      <c r="E60" s="77" t="s">
        <v>41</v>
      </c>
      <c r="F60" s="38" t="s">
        <v>115</v>
      </c>
      <c r="G60" s="111">
        <v>46092</v>
      </c>
      <c r="H60" s="111">
        <v>46119</v>
      </c>
      <c r="I60" s="111">
        <v>46101</v>
      </c>
      <c r="J60" s="77" t="s">
        <v>51</v>
      </c>
      <c r="K60" s="77" t="s">
        <v>51</v>
      </c>
      <c r="L60" s="77" t="s">
        <v>51</v>
      </c>
      <c r="M60" s="77" t="s">
        <v>51</v>
      </c>
      <c r="N60" s="77" t="s">
        <v>51</v>
      </c>
      <c r="O60" s="108"/>
      <c r="P60" s="77" t="s">
        <v>51</v>
      </c>
      <c r="Q60" s="77" t="s">
        <v>425</v>
      </c>
      <c r="R60" s="77"/>
    </row>
    <row r="61" spans="1:18" s="37" customFormat="1">
      <c r="A61" s="78"/>
      <c r="B61" s="78"/>
      <c r="C61" s="78"/>
      <c r="D61" s="78"/>
      <c r="E61" s="78"/>
      <c r="F61" s="38" t="s">
        <v>116</v>
      </c>
      <c r="G61" s="78"/>
      <c r="H61" s="78"/>
      <c r="I61" s="78"/>
      <c r="J61" s="78"/>
      <c r="K61" s="78"/>
      <c r="L61" s="78"/>
      <c r="M61" s="78"/>
      <c r="N61" s="78"/>
      <c r="O61" s="109"/>
      <c r="P61" s="78"/>
      <c r="Q61" s="78"/>
      <c r="R61" s="78"/>
    </row>
    <row r="62" spans="1:18" s="37" customFormat="1">
      <c r="A62" s="78"/>
      <c r="B62" s="78"/>
      <c r="C62" s="78"/>
      <c r="D62" s="78"/>
      <c r="E62" s="78"/>
      <c r="F62" s="38" t="s">
        <v>117</v>
      </c>
      <c r="G62" s="78"/>
      <c r="H62" s="78"/>
      <c r="I62" s="78"/>
      <c r="J62" s="78"/>
      <c r="K62" s="78"/>
      <c r="L62" s="78"/>
      <c r="M62" s="78"/>
      <c r="N62" s="78"/>
      <c r="O62" s="109"/>
      <c r="P62" s="78"/>
      <c r="Q62" s="78"/>
      <c r="R62" s="78"/>
    </row>
    <row r="63" spans="1:18" s="37" customFormat="1">
      <c r="A63" s="78"/>
      <c r="B63" s="78"/>
      <c r="C63" s="78"/>
      <c r="D63" s="78"/>
      <c r="E63" s="78"/>
      <c r="F63" s="38" t="s">
        <v>118</v>
      </c>
      <c r="G63" s="78"/>
      <c r="H63" s="78"/>
      <c r="I63" s="78"/>
      <c r="J63" s="78"/>
      <c r="K63" s="78"/>
      <c r="L63" s="78"/>
      <c r="M63" s="78"/>
      <c r="N63" s="78"/>
      <c r="O63" s="109"/>
      <c r="P63" s="78"/>
      <c r="Q63" s="78"/>
      <c r="R63" s="78"/>
    </row>
    <row r="64" spans="1:18" s="37" customFormat="1">
      <c r="A64" s="78"/>
      <c r="B64" s="78"/>
      <c r="C64" s="78"/>
      <c r="D64" s="78"/>
      <c r="E64" s="78"/>
      <c r="F64" s="38" t="s">
        <v>119</v>
      </c>
      <c r="G64" s="78"/>
      <c r="H64" s="78"/>
      <c r="I64" s="78"/>
      <c r="J64" s="78"/>
      <c r="K64" s="78"/>
      <c r="L64" s="78"/>
      <c r="M64" s="78"/>
      <c r="N64" s="78"/>
      <c r="O64" s="109"/>
      <c r="P64" s="78"/>
      <c r="Q64" s="78"/>
      <c r="R64" s="78"/>
    </row>
    <row r="65" spans="1:18" s="37" customFormat="1">
      <c r="A65" s="78"/>
      <c r="B65" s="78"/>
      <c r="C65" s="78"/>
      <c r="D65" s="78"/>
      <c r="E65" s="78"/>
      <c r="F65" s="38" t="s">
        <v>120</v>
      </c>
      <c r="G65" s="78"/>
      <c r="H65" s="78"/>
      <c r="I65" s="78"/>
      <c r="J65" s="78"/>
      <c r="K65" s="78"/>
      <c r="L65" s="78"/>
      <c r="M65" s="78"/>
      <c r="N65" s="78"/>
      <c r="O65" s="109"/>
      <c r="P65" s="78"/>
      <c r="Q65" s="78"/>
      <c r="R65" s="78"/>
    </row>
    <row r="66" spans="1:18" s="37" customFormat="1">
      <c r="A66" s="79"/>
      <c r="B66" s="79"/>
      <c r="C66" s="79"/>
      <c r="D66" s="79"/>
      <c r="E66" s="79"/>
      <c r="F66" s="38" t="s">
        <v>121</v>
      </c>
      <c r="G66" s="79"/>
      <c r="H66" s="79"/>
      <c r="I66" s="79"/>
      <c r="J66" s="79"/>
      <c r="K66" s="79"/>
      <c r="L66" s="79"/>
      <c r="M66" s="79"/>
      <c r="N66" s="79"/>
      <c r="O66" s="110"/>
      <c r="P66" s="79"/>
      <c r="Q66" s="79"/>
      <c r="R66" s="79"/>
    </row>
    <row r="67" spans="1:18" s="8" customFormat="1">
      <c r="A67" s="62">
        <v>37</v>
      </c>
      <c r="B67" s="62" t="s">
        <v>122</v>
      </c>
      <c r="C67" s="62" t="s">
        <v>87</v>
      </c>
      <c r="D67" s="62" t="s">
        <v>19</v>
      </c>
      <c r="E67" s="62" t="s">
        <v>25</v>
      </c>
      <c r="F67" s="5" t="s">
        <v>123</v>
      </c>
      <c r="G67" s="67">
        <v>46092</v>
      </c>
      <c r="H67" s="67">
        <v>46145</v>
      </c>
      <c r="I67" s="67">
        <v>46104</v>
      </c>
      <c r="J67" s="62" t="s">
        <v>51</v>
      </c>
      <c r="K67" s="62" t="s">
        <v>51</v>
      </c>
      <c r="L67" s="62" t="s">
        <v>51</v>
      </c>
      <c r="M67" s="62"/>
      <c r="N67" s="62"/>
      <c r="O67" s="68" t="s">
        <v>50</v>
      </c>
      <c r="P67" s="62" t="s">
        <v>51</v>
      </c>
      <c r="Q67" s="62" t="s">
        <v>439</v>
      </c>
      <c r="R67" s="71" t="s">
        <v>356</v>
      </c>
    </row>
    <row r="68" spans="1:18" s="8" customFormat="1">
      <c r="A68" s="63"/>
      <c r="B68" s="63"/>
      <c r="C68" s="63"/>
      <c r="D68" s="63"/>
      <c r="E68" s="63"/>
      <c r="F68" s="5" t="s">
        <v>124</v>
      </c>
      <c r="G68" s="63"/>
      <c r="H68" s="63"/>
      <c r="I68" s="63"/>
      <c r="J68" s="63"/>
      <c r="K68" s="63"/>
      <c r="L68" s="63"/>
      <c r="M68" s="63"/>
      <c r="N68" s="63"/>
      <c r="O68" s="69"/>
      <c r="P68" s="63"/>
      <c r="Q68" s="63"/>
      <c r="R68" s="72"/>
    </row>
    <row r="69" spans="1:18" s="8" customFormat="1">
      <c r="A69" s="63"/>
      <c r="B69" s="63"/>
      <c r="C69" s="63"/>
      <c r="D69" s="63"/>
      <c r="E69" s="63"/>
      <c r="F69" s="5" t="s">
        <v>125</v>
      </c>
      <c r="G69" s="63"/>
      <c r="H69" s="63"/>
      <c r="I69" s="63"/>
      <c r="J69" s="63"/>
      <c r="K69" s="63"/>
      <c r="L69" s="63"/>
      <c r="M69" s="63"/>
      <c r="N69" s="63"/>
      <c r="O69" s="69"/>
      <c r="P69" s="63"/>
      <c r="Q69" s="63"/>
      <c r="R69" s="72"/>
    </row>
    <row r="70" spans="1:18" s="8" customFormat="1">
      <c r="A70" s="63"/>
      <c r="B70" s="63"/>
      <c r="C70" s="63"/>
      <c r="D70" s="63"/>
      <c r="E70" s="63"/>
      <c r="F70" s="5" t="s">
        <v>126</v>
      </c>
      <c r="G70" s="63"/>
      <c r="H70" s="63"/>
      <c r="I70" s="63"/>
      <c r="J70" s="63"/>
      <c r="K70" s="63"/>
      <c r="L70" s="63"/>
      <c r="M70" s="63"/>
      <c r="N70" s="63"/>
      <c r="O70" s="69"/>
      <c r="P70" s="63"/>
      <c r="Q70" s="63"/>
      <c r="R70" s="72"/>
    </row>
    <row r="71" spans="1:18" s="8" customFormat="1">
      <c r="A71" s="64"/>
      <c r="B71" s="64"/>
      <c r="C71" s="64"/>
      <c r="D71" s="64"/>
      <c r="E71" s="64"/>
      <c r="F71" s="5" t="s">
        <v>127</v>
      </c>
      <c r="G71" s="64"/>
      <c r="H71" s="64"/>
      <c r="I71" s="64"/>
      <c r="J71" s="64"/>
      <c r="K71" s="64"/>
      <c r="L71" s="64"/>
      <c r="M71" s="64"/>
      <c r="N71" s="64"/>
      <c r="O71" s="70"/>
      <c r="P71" s="64"/>
      <c r="Q71" s="64"/>
      <c r="R71" s="73"/>
    </row>
    <row r="72" spans="1:18" s="8" customFormat="1">
      <c r="A72" s="59">
        <v>38</v>
      </c>
      <c r="B72" s="59" t="s">
        <v>136</v>
      </c>
      <c r="C72" s="59" t="s">
        <v>80</v>
      </c>
      <c r="D72" s="59" t="s">
        <v>137</v>
      </c>
      <c r="E72" s="59" t="s">
        <v>28</v>
      </c>
      <c r="F72" s="5" t="s">
        <v>123</v>
      </c>
      <c r="G72" s="58">
        <v>46092</v>
      </c>
      <c r="H72" s="58">
        <v>46147</v>
      </c>
      <c r="I72" s="58">
        <v>46104</v>
      </c>
      <c r="J72" s="59" t="s">
        <v>51</v>
      </c>
      <c r="K72" s="59" t="s">
        <v>51</v>
      </c>
      <c r="L72" s="59" t="s">
        <v>51</v>
      </c>
      <c r="M72" s="59"/>
      <c r="N72" s="59"/>
      <c r="O72" s="74" t="s">
        <v>50</v>
      </c>
      <c r="P72" s="59" t="s">
        <v>51</v>
      </c>
      <c r="Q72" s="61" t="s">
        <v>424</v>
      </c>
      <c r="R72" s="75" t="s">
        <v>355</v>
      </c>
    </row>
    <row r="73" spans="1:18">
      <c r="A73" s="59"/>
      <c r="B73" s="59"/>
      <c r="C73" s="59"/>
      <c r="D73" s="59"/>
      <c r="E73" s="59"/>
      <c r="F73" s="3" t="s">
        <v>124</v>
      </c>
      <c r="G73" s="59"/>
      <c r="H73" s="59"/>
      <c r="I73" s="59"/>
      <c r="J73" s="59"/>
      <c r="K73" s="59"/>
      <c r="L73" s="59"/>
      <c r="M73" s="59"/>
      <c r="N73" s="59"/>
      <c r="O73" s="74"/>
      <c r="P73" s="59"/>
      <c r="Q73" s="61"/>
      <c r="R73" s="75"/>
    </row>
    <row r="74" spans="1:18">
      <c r="A74" s="59"/>
      <c r="B74" s="59"/>
      <c r="C74" s="59"/>
      <c r="D74" s="59"/>
      <c r="E74" s="59"/>
      <c r="F74" s="3" t="s">
        <v>125</v>
      </c>
      <c r="G74" s="59"/>
      <c r="H74" s="59"/>
      <c r="I74" s="59"/>
      <c r="J74" s="59"/>
      <c r="K74" s="59"/>
      <c r="L74" s="59"/>
      <c r="M74" s="59"/>
      <c r="N74" s="59"/>
      <c r="O74" s="74"/>
      <c r="P74" s="59"/>
      <c r="Q74" s="61"/>
      <c r="R74" s="75"/>
    </row>
    <row r="75" spans="1:18">
      <c r="A75" s="59"/>
      <c r="B75" s="59"/>
      <c r="C75" s="59"/>
      <c r="D75" s="59"/>
      <c r="E75" s="59"/>
      <c r="F75" s="3" t="s">
        <v>126</v>
      </c>
      <c r="G75" s="59"/>
      <c r="H75" s="59"/>
      <c r="I75" s="59"/>
      <c r="J75" s="59"/>
      <c r="K75" s="59"/>
      <c r="L75" s="59"/>
      <c r="M75" s="59"/>
      <c r="N75" s="59"/>
      <c r="O75" s="74"/>
      <c r="P75" s="59"/>
      <c r="Q75" s="61"/>
      <c r="R75" s="75"/>
    </row>
    <row r="76" spans="1:18" s="8" customFormat="1" ht="63" customHeight="1">
      <c r="A76" s="5">
        <v>39</v>
      </c>
      <c r="B76" s="5" t="s">
        <v>433</v>
      </c>
      <c r="C76" s="5" t="s">
        <v>434</v>
      </c>
      <c r="D76" s="5" t="s">
        <v>435</v>
      </c>
      <c r="E76" s="5" t="s">
        <v>436</v>
      </c>
      <c r="F76" s="5" t="s">
        <v>437</v>
      </c>
      <c r="G76" s="6">
        <v>46104</v>
      </c>
      <c r="H76" s="7">
        <v>46127</v>
      </c>
      <c r="I76" s="6">
        <v>46104</v>
      </c>
      <c r="J76" s="5" t="s">
        <v>51</v>
      </c>
      <c r="K76" s="5" t="s">
        <v>51</v>
      </c>
      <c r="L76" s="5" t="s">
        <v>51</v>
      </c>
      <c r="M76" s="5"/>
      <c r="N76" s="5" t="s">
        <v>51</v>
      </c>
      <c r="O76" s="11"/>
      <c r="P76" s="5" t="s">
        <v>51</v>
      </c>
      <c r="Q76" s="5" t="s">
        <v>438</v>
      </c>
      <c r="R76" s="36"/>
    </row>
    <row r="77" spans="1:18" s="8" customFormat="1" ht="22.8" customHeight="1">
      <c r="A77" s="5">
        <v>40</v>
      </c>
      <c r="B77" s="5" t="s">
        <v>132</v>
      </c>
      <c r="C77" s="5" t="s">
        <v>129</v>
      </c>
      <c r="D77" s="5" t="s">
        <v>133</v>
      </c>
      <c r="E77" s="5" t="s">
        <v>134</v>
      </c>
      <c r="F77" s="5" t="s">
        <v>135</v>
      </c>
      <c r="G77" s="6">
        <v>46101</v>
      </c>
      <c r="H77" s="6">
        <v>46166</v>
      </c>
      <c r="I77" s="6">
        <v>46107</v>
      </c>
      <c r="J77" s="5" t="s">
        <v>51</v>
      </c>
      <c r="K77" s="5" t="s">
        <v>51</v>
      </c>
      <c r="L77" s="5" t="s">
        <v>51</v>
      </c>
      <c r="M77" s="5" t="s">
        <v>51</v>
      </c>
      <c r="N77" s="5" t="s">
        <v>50</v>
      </c>
      <c r="O77" s="11" t="s">
        <v>50</v>
      </c>
      <c r="P77" s="5" t="s">
        <v>51</v>
      </c>
      <c r="Q77" s="5" t="s">
        <v>358</v>
      </c>
      <c r="R77" s="5"/>
    </row>
    <row r="78" spans="1:18" s="8" customFormat="1" ht="22.8" customHeight="1">
      <c r="A78" s="5">
        <v>41</v>
      </c>
      <c r="B78" s="5" t="s">
        <v>128</v>
      </c>
      <c r="C78" s="5" t="s">
        <v>129</v>
      </c>
      <c r="D78" s="5" t="s">
        <v>130</v>
      </c>
      <c r="E78" s="5" t="s">
        <v>89</v>
      </c>
      <c r="F78" s="5" t="s">
        <v>131</v>
      </c>
      <c r="G78" s="6">
        <v>46101</v>
      </c>
      <c r="H78" s="6">
        <v>46168</v>
      </c>
      <c r="I78" s="6">
        <v>46107</v>
      </c>
      <c r="J78" s="5" t="s">
        <v>51</v>
      </c>
      <c r="K78" s="5" t="s">
        <v>51</v>
      </c>
      <c r="L78" s="5" t="s">
        <v>51</v>
      </c>
      <c r="M78" s="5" t="s">
        <v>51</v>
      </c>
      <c r="N78" s="5" t="s">
        <v>50</v>
      </c>
      <c r="O78" s="11" t="s">
        <v>50</v>
      </c>
      <c r="P78" s="5" t="s">
        <v>50</v>
      </c>
      <c r="Q78" s="5" t="s">
        <v>440</v>
      </c>
      <c r="R78" s="5" t="s">
        <v>359</v>
      </c>
    </row>
    <row r="79" spans="1:18" s="8" customFormat="1" ht="22.8" customHeight="1">
      <c r="A79" s="5">
        <v>42</v>
      </c>
      <c r="B79" s="5" t="s">
        <v>141</v>
      </c>
      <c r="C79" s="5" t="s">
        <v>129</v>
      </c>
      <c r="D79" s="5" t="s">
        <v>130</v>
      </c>
      <c r="E79" s="5" t="s">
        <v>89</v>
      </c>
      <c r="F79" s="5" t="s">
        <v>142</v>
      </c>
      <c r="G79" s="6">
        <v>46101</v>
      </c>
      <c r="H79" s="6">
        <v>46166</v>
      </c>
      <c r="I79" s="6">
        <v>46107</v>
      </c>
      <c r="J79" s="5" t="s">
        <v>51</v>
      </c>
      <c r="K79" s="5" t="s">
        <v>51</v>
      </c>
      <c r="L79" s="5" t="s">
        <v>51</v>
      </c>
      <c r="M79" s="5" t="s">
        <v>51</v>
      </c>
      <c r="N79" s="5" t="s">
        <v>50</v>
      </c>
      <c r="O79" s="11" t="s">
        <v>50</v>
      </c>
      <c r="P79" s="5" t="s">
        <v>50</v>
      </c>
      <c r="Q79" s="5" t="s">
        <v>440</v>
      </c>
      <c r="R79" s="5" t="s">
        <v>359</v>
      </c>
    </row>
    <row r="80" spans="1:18" s="8" customFormat="1" ht="14.4" customHeight="1">
      <c r="A80" s="61">
        <v>43</v>
      </c>
      <c r="B80" s="61" t="s">
        <v>143</v>
      </c>
      <c r="C80" s="61" t="str">
        <f>+D80</f>
        <v>LONGKOU JIABAO AQUATIC</v>
      </c>
      <c r="D80" s="61" t="s">
        <v>144</v>
      </c>
      <c r="E80" s="61" t="s">
        <v>25</v>
      </c>
      <c r="F80" s="5" t="s">
        <v>145</v>
      </c>
      <c r="G80" s="58">
        <v>46106</v>
      </c>
      <c r="H80" s="60">
        <v>46157</v>
      </c>
      <c r="I80" s="60">
        <v>46118</v>
      </c>
      <c r="J80" s="61" t="s">
        <v>51</v>
      </c>
      <c r="K80" s="61" t="s">
        <v>153</v>
      </c>
      <c r="L80" s="61" t="s">
        <v>51</v>
      </c>
      <c r="M80" s="61" t="s">
        <v>51</v>
      </c>
      <c r="N80" s="61" t="s">
        <v>50</v>
      </c>
      <c r="O80" s="61" t="s">
        <v>50</v>
      </c>
      <c r="P80" s="61" t="s">
        <v>51</v>
      </c>
      <c r="Q80" s="62" t="s">
        <v>440</v>
      </c>
      <c r="R80" s="61" t="s">
        <v>360</v>
      </c>
    </row>
    <row r="81" spans="1:18" s="8" customFormat="1" ht="14.4" customHeight="1">
      <c r="A81" s="61"/>
      <c r="B81" s="61"/>
      <c r="C81" s="61"/>
      <c r="D81" s="61"/>
      <c r="E81" s="61"/>
      <c r="F81" s="5" t="s">
        <v>146</v>
      </c>
      <c r="G81" s="58"/>
      <c r="H81" s="61"/>
      <c r="I81" s="61"/>
      <c r="J81" s="61"/>
      <c r="K81" s="61"/>
      <c r="L81" s="61"/>
      <c r="M81" s="61"/>
      <c r="N81" s="61"/>
      <c r="O81" s="61"/>
      <c r="P81" s="61"/>
      <c r="Q81" s="63"/>
      <c r="R81" s="61"/>
    </row>
    <row r="82" spans="1:18" s="8" customFormat="1" ht="14.4" customHeight="1">
      <c r="A82" s="61"/>
      <c r="B82" s="61"/>
      <c r="C82" s="61"/>
      <c r="D82" s="61"/>
      <c r="E82" s="61"/>
      <c r="F82" s="5" t="s">
        <v>147</v>
      </c>
      <c r="G82" s="58"/>
      <c r="H82" s="61"/>
      <c r="I82" s="61"/>
      <c r="J82" s="61"/>
      <c r="K82" s="61"/>
      <c r="L82" s="61"/>
      <c r="M82" s="61"/>
      <c r="N82" s="61"/>
      <c r="O82" s="61"/>
      <c r="P82" s="61"/>
      <c r="Q82" s="63"/>
      <c r="R82" s="61"/>
    </row>
    <row r="83" spans="1:18" s="8" customFormat="1" ht="14.4" customHeight="1">
      <c r="A83" s="61"/>
      <c r="B83" s="61"/>
      <c r="C83" s="61"/>
      <c r="D83" s="61"/>
      <c r="E83" s="61"/>
      <c r="F83" s="5" t="s">
        <v>148</v>
      </c>
      <c r="G83" s="58"/>
      <c r="H83" s="61"/>
      <c r="I83" s="61"/>
      <c r="J83" s="61"/>
      <c r="K83" s="61"/>
      <c r="L83" s="61"/>
      <c r="M83" s="61"/>
      <c r="N83" s="61"/>
      <c r="O83" s="61"/>
      <c r="P83" s="61"/>
      <c r="Q83" s="63"/>
      <c r="R83" s="61"/>
    </row>
    <row r="84" spans="1:18" s="8" customFormat="1" ht="14.4" customHeight="1">
      <c r="A84" s="61"/>
      <c r="B84" s="61"/>
      <c r="C84" s="61"/>
      <c r="D84" s="61"/>
      <c r="E84" s="61"/>
      <c r="F84" s="5" t="s">
        <v>149</v>
      </c>
      <c r="G84" s="58"/>
      <c r="H84" s="61"/>
      <c r="I84" s="61"/>
      <c r="J84" s="61"/>
      <c r="K84" s="61"/>
      <c r="L84" s="61"/>
      <c r="M84" s="61"/>
      <c r="N84" s="61"/>
      <c r="O84" s="61"/>
      <c r="P84" s="61"/>
      <c r="Q84" s="63"/>
      <c r="R84" s="61"/>
    </row>
    <row r="85" spans="1:18" ht="14.4" customHeight="1">
      <c r="A85" s="61"/>
      <c r="B85" s="61"/>
      <c r="C85" s="61"/>
      <c r="D85" s="61"/>
      <c r="E85" s="61"/>
      <c r="F85" s="3" t="s">
        <v>150</v>
      </c>
      <c r="G85" s="58"/>
      <c r="H85" s="61"/>
      <c r="I85" s="61"/>
      <c r="J85" s="61"/>
      <c r="K85" s="61"/>
      <c r="L85" s="61"/>
      <c r="M85" s="61"/>
      <c r="N85" s="61"/>
      <c r="O85" s="61"/>
      <c r="P85" s="61"/>
      <c r="Q85" s="63"/>
      <c r="R85" s="61"/>
    </row>
    <row r="86" spans="1:18" ht="14.4" customHeight="1">
      <c r="A86" s="61"/>
      <c r="B86" s="61"/>
      <c r="C86" s="61"/>
      <c r="D86" s="61"/>
      <c r="E86" s="61"/>
      <c r="F86" s="3" t="s">
        <v>151</v>
      </c>
      <c r="G86" s="58"/>
      <c r="H86" s="61"/>
      <c r="I86" s="61"/>
      <c r="J86" s="61"/>
      <c r="K86" s="61"/>
      <c r="L86" s="61"/>
      <c r="M86" s="61"/>
      <c r="N86" s="61"/>
      <c r="O86" s="61"/>
      <c r="P86" s="61"/>
      <c r="Q86" s="63"/>
      <c r="R86" s="61"/>
    </row>
    <row r="87" spans="1:18" ht="14.4" customHeight="1">
      <c r="A87" s="61"/>
      <c r="B87" s="61"/>
      <c r="C87" s="61"/>
      <c r="D87" s="61"/>
      <c r="E87" s="61"/>
      <c r="F87" s="3" t="s">
        <v>152</v>
      </c>
      <c r="G87" s="58"/>
      <c r="H87" s="61"/>
      <c r="I87" s="61"/>
      <c r="J87" s="61"/>
      <c r="K87" s="61"/>
      <c r="L87" s="61"/>
      <c r="M87" s="61"/>
      <c r="N87" s="61"/>
      <c r="O87" s="61"/>
      <c r="P87" s="61"/>
      <c r="Q87" s="64"/>
      <c r="R87" s="61"/>
    </row>
    <row r="88" spans="1:18" ht="14.4" customHeight="1">
      <c r="A88" s="59">
        <v>44</v>
      </c>
      <c r="B88" s="59" t="s">
        <v>154</v>
      </c>
      <c r="C88" s="59" t="s">
        <v>87</v>
      </c>
      <c r="D88" s="59" t="s">
        <v>362</v>
      </c>
      <c r="E88" s="59" t="s">
        <v>25</v>
      </c>
      <c r="F88" s="3" t="s">
        <v>155</v>
      </c>
      <c r="G88" s="58">
        <v>46106</v>
      </c>
      <c r="H88" s="58">
        <v>46157</v>
      </c>
      <c r="I88" s="58">
        <v>46118</v>
      </c>
      <c r="J88" s="59" t="s">
        <v>51</v>
      </c>
      <c r="K88" s="59" t="s">
        <v>51</v>
      </c>
      <c r="L88" s="59" t="s">
        <v>51</v>
      </c>
      <c r="M88" s="59" t="s">
        <v>51</v>
      </c>
      <c r="N88" s="59" t="s">
        <v>50</v>
      </c>
      <c r="O88" s="59" t="s">
        <v>50</v>
      </c>
      <c r="P88" s="59" t="s">
        <v>51</v>
      </c>
      <c r="Q88" s="62" t="s">
        <v>440</v>
      </c>
      <c r="R88" s="61" t="s">
        <v>361</v>
      </c>
    </row>
    <row r="89" spans="1:18" ht="14.4" customHeight="1">
      <c r="A89" s="59"/>
      <c r="B89" s="59"/>
      <c r="C89" s="59"/>
      <c r="D89" s="59"/>
      <c r="E89" s="59"/>
      <c r="F89" s="3" t="s">
        <v>156</v>
      </c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64"/>
      <c r="R89" s="61"/>
    </row>
    <row r="90" spans="1:18" s="8" customFormat="1" ht="14.4" customHeight="1">
      <c r="A90" s="59">
        <v>45</v>
      </c>
      <c r="B90" s="59" t="s">
        <v>157</v>
      </c>
      <c r="C90" s="59" t="str">
        <f>+D90</f>
        <v>LONGKOU BOHAI</v>
      </c>
      <c r="D90" s="59" t="s">
        <v>158</v>
      </c>
      <c r="E90" s="59" t="s">
        <v>25</v>
      </c>
      <c r="F90" s="5" t="s">
        <v>159</v>
      </c>
      <c r="G90" s="58">
        <v>46106</v>
      </c>
      <c r="H90" s="58">
        <v>46157</v>
      </c>
      <c r="I90" s="58">
        <v>46118</v>
      </c>
      <c r="J90" s="59" t="s">
        <v>51</v>
      </c>
      <c r="K90" s="59" t="s">
        <v>51</v>
      </c>
      <c r="L90" s="59" t="s">
        <v>51</v>
      </c>
      <c r="M90" s="59" t="s">
        <v>51</v>
      </c>
      <c r="N90" s="59"/>
      <c r="O90" s="74" t="s">
        <v>50</v>
      </c>
      <c r="P90" s="59" t="s">
        <v>51</v>
      </c>
      <c r="Q90" s="62" t="s">
        <v>440</v>
      </c>
      <c r="R90" s="75" t="s">
        <v>364</v>
      </c>
    </row>
    <row r="91" spans="1:18" ht="14.4" customHeight="1">
      <c r="A91" s="59"/>
      <c r="B91" s="59"/>
      <c r="C91" s="59"/>
      <c r="D91" s="59"/>
      <c r="E91" s="59"/>
      <c r="F91" s="3" t="s">
        <v>160</v>
      </c>
      <c r="G91" s="59"/>
      <c r="H91" s="59"/>
      <c r="I91" s="59"/>
      <c r="J91" s="59"/>
      <c r="K91" s="59"/>
      <c r="L91" s="59"/>
      <c r="M91" s="59"/>
      <c r="N91" s="59"/>
      <c r="O91" s="74"/>
      <c r="P91" s="59"/>
      <c r="Q91" s="63"/>
      <c r="R91" s="75"/>
    </row>
    <row r="92" spans="1:18" ht="14.4" customHeight="1">
      <c r="A92" s="59"/>
      <c r="B92" s="59"/>
      <c r="C92" s="59"/>
      <c r="D92" s="59"/>
      <c r="E92" s="59"/>
      <c r="F92" s="3" t="s">
        <v>161</v>
      </c>
      <c r="G92" s="59"/>
      <c r="H92" s="59"/>
      <c r="I92" s="59"/>
      <c r="J92" s="59"/>
      <c r="K92" s="59"/>
      <c r="L92" s="59"/>
      <c r="M92" s="59"/>
      <c r="N92" s="59"/>
      <c r="O92" s="74"/>
      <c r="P92" s="59"/>
      <c r="Q92" s="63"/>
      <c r="R92" s="75"/>
    </row>
    <row r="93" spans="1:18" ht="14.4" customHeight="1">
      <c r="A93" s="59"/>
      <c r="B93" s="59"/>
      <c r="C93" s="59"/>
      <c r="D93" s="59"/>
      <c r="E93" s="59"/>
      <c r="F93" s="3" t="s">
        <v>162</v>
      </c>
      <c r="G93" s="59"/>
      <c r="H93" s="59"/>
      <c r="I93" s="59"/>
      <c r="J93" s="59"/>
      <c r="K93" s="59"/>
      <c r="L93" s="59"/>
      <c r="M93" s="59"/>
      <c r="N93" s="59"/>
      <c r="O93" s="74"/>
      <c r="P93" s="59"/>
      <c r="Q93" s="64"/>
      <c r="R93" s="75"/>
    </row>
    <row r="94" spans="1:18" ht="14.4" customHeight="1">
      <c r="A94" s="59">
        <v>46</v>
      </c>
      <c r="B94" s="59" t="s">
        <v>163</v>
      </c>
      <c r="C94" s="59" t="s">
        <v>87</v>
      </c>
      <c r="D94" s="59" t="s">
        <v>164</v>
      </c>
      <c r="E94" s="59" t="s">
        <v>165</v>
      </c>
      <c r="F94" s="3" t="s">
        <v>166</v>
      </c>
      <c r="G94" s="58">
        <v>46106</v>
      </c>
      <c r="H94" s="58">
        <v>46165</v>
      </c>
      <c r="I94" s="58">
        <v>46118</v>
      </c>
      <c r="J94" s="59" t="s">
        <v>51</v>
      </c>
      <c r="K94" s="59" t="s">
        <v>51</v>
      </c>
      <c r="L94" s="59" t="s">
        <v>51</v>
      </c>
      <c r="M94" s="59"/>
      <c r="N94" s="59"/>
      <c r="O94" s="59" t="s">
        <v>50</v>
      </c>
      <c r="P94" s="59" t="s">
        <v>51</v>
      </c>
      <c r="Q94" s="62" t="s">
        <v>440</v>
      </c>
      <c r="R94" s="61" t="s">
        <v>365</v>
      </c>
    </row>
    <row r="95" spans="1:18" ht="14.4" customHeight="1">
      <c r="A95" s="59"/>
      <c r="B95" s="59"/>
      <c r="C95" s="59"/>
      <c r="D95" s="59"/>
      <c r="E95" s="59"/>
      <c r="F95" s="3" t="s">
        <v>167</v>
      </c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64"/>
      <c r="R95" s="61"/>
    </row>
    <row r="96" spans="1:18" s="8" customFormat="1" ht="27" customHeight="1">
      <c r="A96" s="5">
        <v>47</v>
      </c>
      <c r="B96" s="5" t="s">
        <v>168</v>
      </c>
      <c r="C96" s="5" t="s">
        <v>129</v>
      </c>
      <c r="D96" s="5" t="s">
        <v>130</v>
      </c>
      <c r="E96" s="5" t="s">
        <v>89</v>
      </c>
      <c r="F96" s="5" t="s">
        <v>169</v>
      </c>
      <c r="G96" s="6">
        <v>46108</v>
      </c>
      <c r="H96" s="6">
        <v>46180</v>
      </c>
      <c r="I96" s="6">
        <v>46119</v>
      </c>
      <c r="J96" s="5" t="s">
        <v>51</v>
      </c>
      <c r="K96" s="5" t="s">
        <v>51</v>
      </c>
      <c r="L96" s="5" t="s">
        <v>51</v>
      </c>
      <c r="M96" s="5" t="s">
        <v>51</v>
      </c>
      <c r="N96" s="5"/>
      <c r="O96" s="11" t="s">
        <v>50</v>
      </c>
      <c r="P96" s="5" t="s">
        <v>50</v>
      </c>
      <c r="Q96" s="5" t="s">
        <v>440</v>
      </c>
      <c r="R96" s="5" t="str">
        <f>+R78</f>
        <v>1.- Solicitó HACCP traducido</v>
      </c>
    </row>
    <row r="97" spans="1:18" s="8" customFormat="1" ht="27" customHeight="1">
      <c r="A97" s="5">
        <v>48</v>
      </c>
      <c r="B97" s="5" t="s">
        <v>170</v>
      </c>
      <c r="C97" s="5" t="s">
        <v>129</v>
      </c>
      <c r="D97" s="5" t="s">
        <v>130</v>
      </c>
      <c r="E97" s="5" t="s">
        <v>89</v>
      </c>
      <c r="F97" s="5" t="s">
        <v>171</v>
      </c>
      <c r="G97" s="6">
        <v>46108</v>
      </c>
      <c r="H97" s="6">
        <v>46180</v>
      </c>
      <c r="I97" s="6">
        <v>46119</v>
      </c>
      <c r="J97" s="5" t="s">
        <v>51</v>
      </c>
      <c r="K97" s="5" t="s">
        <v>51</v>
      </c>
      <c r="L97" s="5" t="s">
        <v>51</v>
      </c>
      <c r="M97" s="5" t="s">
        <v>51</v>
      </c>
      <c r="N97" s="5"/>
      <c r="O97" s="11" t="s">
        <v>50</v>
      </c>
      <c r="P97" s="5" t="s">
        <v>50</v>
      </c>
      <c r="Q97" s="5" t="s">
        <v>440</v>
      </c>
      <c r="R97" s="5" t="str">
        <f>+R96</f>
        <v>1.- Solicitó HACCP traducido</v>
      </c>
    </row>
    <row r="98" spans="1:18" s="8" customFormat="1" ht="27" customHeight="1">
      <c r="A98" s="5">
        <v>49</v>
      </c>
      <c r="B98" s="5" t="s">
        <v>172</v>
      </c>
      <c r="C98" s="5" t="s">
        <v>129</v>
      </c>
      <c r="D98" s="5" t="s">
        <v>130</v>
      </c>
      <c r="E98" s="5" t="s">
        <v>89</v>
      </c>
      <c r="F98" s="5" t="s">
        <v>173</v>
      </c>
      <c r="G98" s="6">
        <v>46108</v>
      </c>
      <c r="H98" s="6">
        <v>46180</v>
      </c>
      <c r="I98" s="6">
        <v>46119</v>
      </c>
      <c r="J98" s="5" t="s">
        <v>51</v>
      </c>
      <c r="K98" s="5" t="s">
        <v>51</v>
      </c>
      <c r="L98" s="5" t="s">
        <v>51</v>
      </c>
      <c r="M98" s="5" t="s">
        <v>51</v>
      </c>
      <c r="N98" s="5"/>
      <c r="O98" s="11" t="s">
        <v>50</v>
      </c>
      <c r="P98" s="5" t="s">
        <v>50</v>
      </c>
      <c r="Q98" s="5" t="s">
        <v>440</v>
      </c>
      <c r="R98" s="5" t="str">
        <f>+R97</f>
        <v>1.- Solicitó HACCP traducido</v>
      </c>
    </row>
    <row r="99" spans="1:18" ht="27" customHeight="1">
      <c r="A99" s="3">
        <v>50</v>
      </c>
      <c r="B99" s="3" t="s">
        <v>174</v>
      </c>
      <c r="C99" s="3" t="str">
        <f>+D99</f>
        <v>LONGKOU YUNFENG</v>
      </c>
      <c r="D99" s="3" t="s">
        <v>175</v>
      </c>
      <c r="E99" s="3" t="s">
        <v>25</v>
      </c>
      <c r="F99" s="3" t="s">
        <v>176</v>
      </c>
      <c r="G99" s="2">
        <v>46106</v>
      </c>
      <c r="H99" s="2">
        <v>46147</v>
      </c>
      <c r="I99" s="2">
        <v>46119</v>
      </c>
      <c r="J99" s="3" t="s">
        <v>51</v>
      </c>
      <c r="K99" s="3" t="s">
        <v>51</v>
      </c>
      <c r="L99" s="3" t="s">
        <v>51</v>
      </c>
      <c r="M99" s="3" t="s">
        <v>51</v>
      </c>
      <c r="N99" s="3"/>
      <c r="O99" s="10" t="s">
        <v>50</v>
      </c>
      <c r="P99" s="3" t="s">
        <v>51</v>
      </c>
      <c r="Q99" s="5" t="s">
        <v>441</v>
      </c>
      <c r="R99" s="5" t="s">
        <v>442</v>
      </c>
    </row>
    <row r="100" spans="1:18">
      <c r="A100" s="59">
        <v>51</v>
      </c>
      <c r="B100" s="59" t="s">
        <v>177</v>
      </c>
      <c r="C100" s="59" t="s">
        <v>87</v>
      </c>
      <c r="D100" s="59" t="s">
        <v>88</v>
      </c>
      <c r="E100" s="59" t="s">
        <v>89</v>
      </c>
      <c r="F100" s="3" t="s">
        <v>178</v>
      </c>
      <c r="G100" s="58">
        <v>46108</v>
      </c>
      <c r="H100" s="58">
        <v>46162</v>
      </c>
      <c r="I100" s="58">
        <v>46118</v>
      </c>
      <c r="J100" s="59" t="s">
        <v>51</v>
      </c>
      <c r="K100" s="59" t="s">
        <v>51</v>
      </c>
      <c r="L100" s="59" t="s">
        <v>51</v>
      </c>
      <c r="M100" s="59"/>
      <c r="N100" s="59"/>
      <c r="O100" s="59" t="s">
        <v>50</v>
      </c>
      <c r="P100" s="59" t="s">
        <v>50</v>
      </c>
      <c r="Q100" s="59" t="s">
        <v>402</v>
      </c>
      <c r="R100" s="61"/>
    </row>
    <row r="101" spans="1:18">
      <c r="A101" s="59"/>
      <c r="B101" s="59"/>
      <c r="C101" s="59"/>
      <c r="D101" s="59"/>
      <c r="E101" s="59"/>
      <c r="F101" s="3" t="s">
        <v>179</v>
      </c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61"/>
    </row>
    <row r="102" spans="1:18">
      <c r="A102" s="59">
        <v>52</v>
      </c>
      <c r="B102" s="59" t="s">
        <v>180</v>
      </c>
      <c r="C102" s="59" t="s">
        <v>87</v>
      </c>
      <c r="D102" s="59" t="s">
        <v>88</v>
      </c>
      <c r="E102" s="59" t="s">
        <v>89</v>
      </c>
      <c r="F102" s="3" t="s">
        <v>181</v>
      </c>
      <c r="G102" s="58">
        <v>46108</v>
      </c>
      <c r="H102" s="58">
        <v>46180</v>
      </c>
      <c r="I102" s="58">
        <v>46119</v>
      </c>
      <c r="J102" s="59" t="s">
        <v>51</v>
      </c>
      <c r="K102" s="59" t="s">
        <v>51</v>
      </c>
      <c r="L102" s="59" t="s">
        <v>51</v>
      </c>
      <c r="M102" s="59"/>
      <c r="N102" s="59"/>
      <c r="O102" s="59" t="s">
        <v>50</v>
      </c>
      <c r="P102" s="59" t="s">
        <v>50</v>
      </c>
      <c r="Q102" s="59" t="s">
        <v>402</v>
      </c>
      <c r="R102" s="61"/>
    </row>
    <row r="103" spans="1:18">
      <c r="A103" s="59"/>
      <c r="B103" s="59"/>
      <c r="C103" s="59"/>
      <c r="D103" s="59"/>
      <c r="E103" s="59"/>
      <c r="F103" s="3" t="s">
        <v>182</v>
      </c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61"/>
    </row>
    <row r="104" spans="1:18" ht="22.8" customHeight="1">
      <c r="A104" s="3">
        <v>53</v>
      </c>
      <c r="B104" s="3" t="s">
        <v>183</v>
      </c>
      <c r="C104" s="3" t="str">
        <f>+D104</f>
        <v>SHANDONG SHEENIER</v>
      </c>
      <c r="D104" s="3" t="s">
        <v>184</v>
      </c>
      <c r="E104" s="3" t="s">
        <v>72</v>
      </c>
      <c r="F104" s="3" t="s">
        <v>185</v>
      </c>
      <c r="G104" s="2">
        <v>46108</v>
      </c>
      <c r="H104" s="2">
        <v>46160</v>
      </c>
      <c r="I104" s="2">
        <v>46119</v>
      </c>
      <c r="J104" s="3" t="s">
        <v>51</v>
      </c>
      <c r="K104" s="3" t="s">
        <v>51</v>
      </c>
      <c r="L104" s="3" t="s">
        <v>51</v>
      </c>
      <c r="M104" s="3" t="s">
        <v>51</v>
      </c>
      <c r="N104" s="3"/>
      <c r="O104" s="10" t="s">
        <v>50</v>
      </c>
      <c r="P104" s="3" t="s">
        <v>51</v>
      </c>
      <c r="Q104" s="5" t="s">
        <v>556</v>
      </c>
      <c r="R104" s="5"/>
    </row>
    <row r="105" spans="1:18" s="8" customFormat="1">
      <c r="A105" s="61">
        <v>54</v>
      </c>
      <c r="B105" s="61" t="s">
        <v>186</v>
      </c>
      <c r="C105" s="61" t="s">
        <v>40</v>
      </c>
      <c r="D105" s="61" t="s">
        <v>187</v>
      </c>
      <c r="E105" s="61" t="s">
        <v>25</v>
      </c>
      <c r="F105" s="5" t="s">
        <v>188</v>
      </c>
      <c r="G105" s="60">
        <v>46108</v>
      </c>
      <c r="H105" s="60">
        <v>46158</v>
      </c>
      <c r="I105" s="60">
        <v>46119</v>
      </c>
      <c r="J105" s="61" t="s">
        <v>51</v>
      </c>
      <c r="K105" s="61" t="s">
        <v>51</v>
      </c>
      <c r="L105" s="61" t="s">
        <v>51</v>
      </c>
      <c r="M105" s="61" t="s">
        <v>51</v>
      </c>
      <c r="N105" s="61"/>
      <c r="O105" s="61" t="s">
        <v>50</v>
      </c>
      <c r="P105" s="61" t="s">
        <v>51</v>
      </c>
      <c r="Q105" s="61" t="s">
        <v>557</v>
      </c>
      <c r="R105" s="61" t="s">
        <v>367</v>
      </c>
    </row>
    <row r="106" spans="1:18" s="8" customFormat="1">
      <c r="A106" s="61"/>
      <c r="B106" s="61"/>
      <c r="C106" s="61"/>
      <c r="D106" s="61"/>
      <c r="E106" s="61"/>
      <c r="F106" s="5" t="s">
        <v>189</v>
      </c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</row>
    <row r="107" spans="1:18">
      <c r="A107" s="50">
        <v>55</v>
      </c>
      <c r="B107" s="50" t="s">
        <v>190</v>
      </c>
      <c r="C107" s="50" t="s">
        <v>87</v>
      </c>
      <c r="D107" s="50" t="s">
        <v>363</v>
      </c>
      <c r="E107" s="50" t="s">
        <v>25</v>
      </c>
      <c r="F107" s="3" t="s">
        <v>191</v>
      </c>
      <c r="G107" s="56">
        <v>46108</v>
      </c>
      <c r="H107" s="56">
        <v>46156</v>
      </c>
      <c r="I107" s="56">
        <v>46119</v>
      </c>
      <c r="J107" s="50" t="s">
        <v>51</v>
      </c>
      <c r="K107" s="50" t="s">
        <v>51</v>
      </c>
      <c r="L107" s="50" t="s">
        <v>51</v>
      </c>
      <c r="M107" s="50" t="s">
        <v>51</v>
      </c>
      <c r="N107" s="50"/>
      <c r="O107" s="50" t="s">
        <v>50</v>
      </c>
      <c r="P107" s="50" t="s">
        <v>50</v>
      </c>
      <c r="Q107" s="50" t="s">
        <v>440</v>
      </c>
      <c r="R107" s="50" t="s">
        <v>361</v>
      </c>
    </row>
    <row r="108" spans="1:18">
      <c r="A108" s="51"/>
      <c r="B108" s="51"/>
      <c r="C108" s="51"/>
      <c r="D108" s="51"/>
      <c r="E108" s="51"/>
      <c r="F108" s="3" t="s">
        <v>192</v>
      </c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</row>
    <row r="109" spans="1:18">
      <c r="A109" s="52"/>
      <c r="B109" s="52"/>
      <c r="C109" s="52"/>
      <c r="D109" s="52"/>
      <c r="E109" s="52"/>
      <c r="F109" s="3" t="s">
        <v>193</v>
      </c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</row>
    <row r="110" spans="1:18">
      <c r="A110" s="59">
        <v>56</v>
      </c>
      <c r="B110" s="59" t="s">
        <v>194</v>
      </c>
      <c r="C110" s="59" t="s">
        <v>87</v>
      </c>
      <c r="D110" s="59" t="s">
        <v>104</v>
      </c>
      <c r="E110" s="59" t="s">
        <v>195</v>
      </c>
      <c r="F110" s="3" t="s">
        <v>196</v>
      </c>
      <c r="G110" s="58">
        <v>46108</v>
      </c>
      <c r="H110" s="58">
        <v>46156</v>
      </c>
      <c r="I110" s="58">
        <v>46120</v>
      </c>
      <c r="J110" s="59" t="s">
        <v>51</v>
      </c>
      <c r="K110" s="59" t="s">
        <v>51</v>
      </c>
      <c r="L110" s="59" t="s">
        <v>51</v>
      </c>
      <c r="M110" s="59" t="s">
        <v>51</v>
      </c>
      <c r="N110" s="59" t="s">
        <v>50</v>
      </c>
      <c r="O110" s="59" t="s">
        <v>50</v>
      </c>
      <c r="P110" s="59" t="s">
        <v>50</v>
      </c>
      <c r="Q110" s="59" t="s">
        <v>427</v>
      </c>
      <c r="R110" s="61" t="s">
        <v>368</v>
      </c>
    </row>
    <row r="111" spans="1:18">
      <c r="A111" s="59"/>
      <c r="B111" s="59"/>
      <c r="C111" s="59"/>
      <c r="D111" s="59"/>
      <c r="E111" s="59"/>
      <c r="F111" s="3" t="s">
        <v>197</v>
      </c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61"/>
    </row>
    <row r="112" spans="1:18" s="8" customFormat="1" ht="28.2" customHeight="1">
      <c r="A112" s="5">
        <v>57</v>
      </c>
      <c r="B112" s="5" t="s">
        <v>198</v>
      </c>
      <c r="C112" s="5" t="s">
        <v>129</v>
      </c>
      <c r="D112" s="5" t="s">
        <v>199</v>
      </c>
      <c r="E112" s="5" t="s">
        <v>89</v>
      </c>
      <c r="F112" s="5" t="s">
        <v>200</v>
      </c>
      <c r="G112" s="6">
        <v>46108</v>
      </c>
      <c r="H112" s="6">
        <v>46161</v>
      </c>
      <c r="I112" s="6">
        <v>46120</v>
      </c>
      <c r="J112" s="5" t="s">
        <v>51</v>
      </c>
      <c r="K112" s="5" t="s">
        <v>51</v>
      </c>
      <c r="L112" s="5" t="s">
        <v>51</v>
      </c>
      <c r="M112" s="5"/>
      <c r="N112" s="5"/>
      <c r="O112" s="11" t="s">
        <v>50</v>
      </c>
      <c r="P112" s="5" t="s">
        <v>51</v>
      </c>
      <c r="Q112" s="5" t="s">
        <v>402</v>
      </c>
      <c r="R112" s="5"/>
    </row>
    <row r="113" spans="1:18" s="8" customFormat="1" ht="28.2" customHeight="1">
      <c r="A113" s="5">
        <v>58</v>
      </c>
      <c r="B113" s="5" t="s">
        <v>201</v>
      </c>
      <c r="C113" s="5" t="s">
        <v>129</v>
      </c>
      <c r="D113" s="5" t="s">
        <v>199</v>
      </c>
      <c r="E113" s="5" t="s">
        <v>89</v>
      </c>
      <c r="F113" s="5" t="s">
        <v>202</v>
      </c>
      <c r="G113" s="6">
        <v>46108</v>
      </c>
      <c r="H113" s="6">
        <v>46161</v>
      </c>
      <c r="I113" s="6">
        <v>46121</v>
      </c>
      <c r="J113" s="5" t="s">
        <v>51</v>
      </c>
      <c r="K113" s="5" t="s">
        <v>51</v>
      </c>
      <c r="L113" s="5" t="s">
        <v>51</v>
      </c>
      <c r="M113" s="5"/>
      <c r="N113" s="5"/>
      <c r="O113" s="11" t="s">
        <v>50</v>
      </c>
      <c r="P113" s="5" t="s">
        <v>51</v>
      </c>
      <c r="Q113" s="5" t="s">
        <v>402</v>
      </c>
      <c r="R113" s="5"/>
    </row>
    <row r="114" spans="1:18" s="8" customFormat="1" ht="28.2" customHeight="1">
      <c r="A114" s="5">
        <v>59</v>
      </c>
      <c r="B114" s="5" t="s">
        <v>203</v>
      </c>
      <c r="C114" s="5" t="s">
        <v>129</v>
      </c>
      <c r="D114" s="5" t="s">
        <v>199</v>
      </c>
      <c r="E114" s="5" t="s">
        <v>89</v>
      </c>
      <c r="F114" s="5" t="s">
        <v>204</v>
      </c>
      <c r="G114" s="6">
        <v>46108</v>
      </c>
      <c r="H114" s="6">
        <v>46161</v>
      </c>
      <c r="I114" s="6">
        <v>46121</v>
      </c>
      <c r="J114" s="5" t="s">
        <v>51</v>
      </c>
      <c r="K114" s="5" t="s">
        <v>51</v>
      </c>
      <c r="L114" s="5" t="s">
        <v>51</v>
      </c>
      <c r="M114" s="5"/>
      <c r="N114" s="5"/>
      <c r="O114" s="11" t="s">
        <v>50</v>
      </c>
      <c r="P114" s="5" t="s">
        <v>51</v>
      </c>
      <c r="Q114" s="5" t="s">
        <v>402</v>
      </c>
      <c r="R114" s="5"/>
    </row>
    <row r="115" spans="1:18" s="37" customFormat="1" ht="28.2" customHeight="1">
      <c r="A115" s="38">
        <v>60</v>
      </c>
      <c r="B115" s="38" t="s">
        <v>205</v>
      </c>
      <c r="C115" s="38" t="str">
        <f>+D115</f>
        <v>OCEANUS FISH</v>
      </c>
      <c r="D115" s="38" t="s">
        <v>206</v>
      </c>
      <c r="E115" s="38" t="s">
        <v>207</v>
      </c>
      <c r="F115" s="38" t="s">
        <v>208</v>
      </c>
      <c r="G115" s="39">
        <v>46111</v>
      </c>
      <c r="H115" s="39">
        <v>46137</v>
      </c>
      <c r="I115" s="39">
        <v>46121</v>
      </c>
      <c r="J115" s="38" t="s">
        <v>51</v>
      </c>
      <c r="K115" s="38" t="s">
        <v>51</v>
      </c>
      <c r="L115" s="38" t="s">
        <v>51</v>
      </c>
      <c r="M115" s="38" t="s">
        <v>51</v>
      </c>
      <c r="N115" s="38"/>
      <c r="O115" s="40"/>
      <c r="P115" s="38" t="s">
        <v>51</v>
      </c>
      <c r="Q115" s="38" t="s">
        <v>431</v>
      </c>
      <c r="R115" s="38" t="s">
        <v>369</v>
      </c>
    </row>
    <row r="116" spans="1:18" s="8" customFormat="1">
      <c r="A116" s="62">
        <v>61</v>
      </c>
      <c r="B116" s="62" t="s">
        <v>370</v>
      </c>
      <c r="C116" s="62" t="s">
        <v>40</v>
      </c>
      <c r="D116" s="62" t="s">
        <v>40</v>
      </c>
      <c r="E116" s="62" t="s">
        <v>41</v>
      </c>
      <c r="F116" s="5" t="s">
        <v>371</v>
      </c>
      <c r="G116" s="67">
        <v>46120</v>
      </c>
      <c r="H116" s="67">
        <v>46164</v>
      </c>
      <c r="I116" s="67"/>
      <c r="J116" s="62" t="s">
        <v>51</v>
      </c>
      <c r="K116" s="62" t="s">
        <v>51</v>
      </c>
      <c r="L116" s="62" t="s">
        <v>51</v>
      </c>
      <c r="M116" s="62" t="s">
        <v>51</v>
      </c>
      <c r="N116" s="62"/>
      <c r="O116" s="68"/>
      <c r="P116" s="62" t="s">
        <v>51</v>
      </c>
      <c r="Q116" s="62" t="s">
        <v>578</v>
      </c>
      <c r="R116" s="71"/>
    </row>
    <row r="117" spans="1:18" s="8" customFormat="1">
      <c r="A117" s="63"/>
      <c r="B117" s="63"/>
      <c r="C117" s="63"/>
      <c r="D117" s="63"/>
      <c r="E117" s="63"/>
      <c r="F117" s="5" t="s">
        <v>372</v>
      </c>
      <c r="G117" s="63"/>
      <c r="H117" s="63"/>
      <c r="I117" s="63"/>
      <c r="J117" s="63"/>
      <c r="K117" s="63"/>
      <c r="L117" s="63"/>
      <c r="M117" s="63"/>
      <c r="N117" s="63"/>
      <c r="O117" s="69"/>
      <c r="P117" s="63"/>
      <c r="Q117" s="63"/>
      <c r="R117" s="72"/>
    </row>
    <row r="118" spans="1:18" s="8" customFormat="1">
      <c r="A118" s="63"/>
      <c r="B118" s="63"/>
      <c r="C118" s="63"/>
      <c r="D118" s="63"/>
      <c r="E118" s="63"/>
      <c r="F118" s="5" t="s">
        <v>373</v>
      </c>
      <c r="G118" s="63"/>
      <c r="H118" s="63"/>
      <c r="I118" s="63"/>
      <c r="J118" s="63"/>
      <c r="K118" s="63"/>
      <c r="L118" s="63"/>
      <c r="M118" s="63"/>
      <c r="N118" s="63"/>
      <c r="O118" s="69"/>
      <c r="P118" s="63"/>
      <c r="Q118" s="63"/>
      <c r="R118" s="72"/>
    </row>
    <row r="119" spans="1:18" s="8" customFormat="1">
      <c r="A119" s="63"/>
      <c r="B119" s="63"/>
      <c r="C119" s="63"/>
      <c r="D119" s="63"/>
      <c r="E119" s="63"/>
      <c r="F119" s="5" t="s">
        <v>374</v>
      </c>
      <c r="G119" s="63"/>
      <c r="H119" s="63"/>
      <c r="I119" s="63"/>
      <c r="J119" s="63"/>
      <c r="K119" s="63"/>
      <c r="L119" s="63"/>
      <c r="M119" s="63"/>
      <c r="N119" s="63"/>
      <c r="O119" s="69"/>
      <c r="P119" s="63"/>
      <c r="Q119" s="63"/>
      <c r="R119" s="72"/>
    </row>
    <row r="120" spans="1:18" s="8" customFormat="1">
      <c r="A120" s="64"/>
      <c r="B120" s="64"/>
      <c r="C120" s="64"/>
      <c r="D120" s="64"/>
      <c r="E120" s="64"/>
      <c r="F120" s="5" t="s">
        <v>375</v>
      </c>
      <c r="G120" s="64"/>
      <c r="H120" s="64"/>
      <c r="I120" s="64"/>
      <c r="J120" s="64"/>
      <c r="K120" s="64"/>
      <c r="L120" s="64"/>
      <c r="M120" s="64"/>
      <c r="N120" s="64"/>
      <c r="O120" s="70"/>
      <c r="P120" s="64"/>
      <c r="Q120" s="64"/>
      <c r="R120" s="73"/>
    </row>
    <row r="121" spans="1:18" ht="18.600000000000001" customHeight="1">
      <c r="A121" s="59">
        <v>62</v>
      </c>
      <c r="B121" s="59" t="s">
        <v>378</v>
      </c>
      <c r="C121" s="59" t="s">
        <v>87</v>
      </c>
      <c r="D121" s="59" t="s">
        <v>376</v>
      </c>
      <c r="E121" s="59" t="s">
        <v>377</v>
      </c>
      <c r="F121" s="3" t="s">
        <v>379</v>
      </c>
      <c r="G121" s="58">
        <v>46120</v>
      </c>
      <c r="H121" s="58">
        <v>46161</v>
      </c>
      <c r="I121" s="58">
        <v>46125</v>
      </c>
      <c r="J121" s="59" t="s">
        <v>51</v>
      </c>
      <c r="K121" s="59" t="s">
        <v>51</v>
      </c>
      <c r="L121" s="59" t="s">
        <v>51</v>
      </c>
      <c r="M121" s="59" t="s">
        <v>51</v>
      </c>
      <c r="N121" s="59" t="s">
        <v>50</v>
      </c>
      <c r="O121" s="59" t="s">
        <v>50</v>
      </c>
      <c r="P121" s="59" t="s">
        <v>50</v>
      </c>
      <c r="Q121" s="61" t="s">
        <v>558</v>
      </c>
      <c r="R121" s="61"/>
    </row>
    <row r="122" spans="1:18" ht="18.600000000000001" customHeight="1">
      <c r="A122" s="59"/>
      <c r="B122" s="59"/>
      <c r="C122" s="59"/>
      <c r="D122" s="59"/>
      <c r="E122" s="59"/>
      <c r="F122" s="3" t="s">
        <v>380</v>
      </c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61"/>
      <c r="R122" s="61"/>
    </row>
    <row r="123" spans="1:18" s="8" customFormat="1">
      <c r="A123" s="62">
        <v>63</v>
      </c>
      <c r="B123" s="62" t="s">
        <v>381</v>
      </c>
      <c r="C123" s="62" t="s">
        <v>87</v>
      </c>
      <c r="D123" s="62" t="s">
        <v>382</v>
      </c>
      <c r="E123" s="62" t="s">
        <v>95</v>
      </c>
      <c r="F123" s="5" t="s">
        <v>383</v>
      </c>
      <c r="G123" s="67">
        <v>46120</v>
      </c>
      <c r="H123" s="67">
        <v>46162</v>
      </c>
      <c r="I123" s="67">
        <v>46127</v>
      </c>
      <c r="J123" s="62" t="s">
        <v>51</v>
      </c>
      <c r="K123" s="62" t="s">
        <v>51</v>
      </c>
      <c r="L123" s="62" t="s">
        <v>51</v>
      </c>
      <c r="M123" s="62" t="s">
        <v>51</v>
      </c>
      <c r="N123" s="62" t="s">
        <v>50</v>
      </c>
      <c r="O123" s="68" t="s">
        <v>50</v>
      </c>
      <c r="P123" s="62" t="s">
        <v>50</v>
      </c>
      <c r="Q123" s="62" t="s">
        <v>559</v>
      </c>
      <c r="R123" s="71"/>
    </row>
    <row r="124" spans="1:18" s="8" customFormat="1">
      <c r="A124" s="63"/>
      <c r="B124" s="63"/>
      <c r="C124" s="63"/>
      <c r="D124" s="63"/>
      <c r="E124" s="63"/>
      <c r="F124" s="5" t="s">
        <v>384</v>
      </c>
      <c r="G124" s="63"/>
      <c r="H124" s="63"/>
      <c r="I124" s="63"/>
      <c r="J124" s="63"/>
      <c r="K124" s="63"/>
      <c r="L124" s="63"/>
      <c r="M124" s="63"/>
      <c r="N124" s="63"/>
      <c r="O124" s="69"/>
      <c r="P124" s="63"/>
      <c r="Q124" s="63"/>
      <c r="R124" s="72"/>
    </row>
    <row r="125" spans="1:18" s="8" customFormat="1">
      <c r="A125" s="63"/>
      <c r="B125" s="63"/>
      <c r="C125" s="63"/>
      <c r="D125" s="63"/>
      <c r="E125" s="63"/>
      <c r="F125" s="5" t="s">
        <v>385</v>
      </c>
      <c r="G125" s="63"/>
      <c r="H125" s="63"/>
      <c r="I125" s="63"/>
      <c r="J125" s="63"/>
      <c r="K125" s="63"/>
      <c r="L125" s="63"/>
      <c r="M125" s="63"/>
      <c r="N125" s="63"/>
      <c r="O125" s="69"/>
      <c r="P125" s="63"/>
      <c r="Q125" s="63"/>
      <c r="R125" s="72"/>
    </row>
    <row r="126" spans="1:18" s="8" customFormat="1">
      <c r="A126" s="63"/>
      <c r="B126" s="63"/>
      <c r="C126" s="63"/>
      <c r="D126" s="63"/>
      <c r="E126" s="63"/>
      <c r="F126" s="5" t="s">
        <v>386</v>
      </c>
      <c r="G126" s="63"/>
      <c r="H126" s="63"/>
      <c r="I126" s="63"/>
      <c r="J126" s="63"/>
      <c r="K126" s="63"/>
      <c r="L126" s="63"/>
      <c r="M126" s="63"/>
      <c r="N126" s="63"/>
      <c r="O126" s="69"/>
      <c r="P126" s="63"/>
      <c r="Q126" s="63"/>
      <c r="R126" s="72"/>
    </row>
    <row r="127" spans="1:18" s="8" customFormat="1">
      <c r="A127" s="64"/>
      <c r="B127" s="64"/>
      <c r="C127" s="64"/>
      <c r="D127" s="64"/>
      <c r="E127" s="64"/>
      <c r="F127" s="5" t="s">
        <v>387</v>
      </c>
      <c r="G127" s="64"/>
      <c r="H127" s="64"/>
      <c r="I127" s="64"/>
      <c r="J127" s="64"/>
      <c r="K127" s="64"/>
      <c r="L127" s="64"/>
      <c r="M127" s="64"/>
      <c r="N127" s="64"/>
      <c r="O127" s="70"/>
      <c r="P127" s="64"/>
      <c r="Q127" s="64"/>
      <c r="R127" s="73"/>
    </row>
    <row r="128" spans="1:18" ht="28.2" customHeight="1">
      <c r="A128" s="3">
        <v>64</v>
      </c>
      <c r="B128" s="3" t="s">
        <v>393</v>
      </c>
      <c r="C128" s="3" t="s">
        <v>388</v>
      </c>
      <c r="D128" s="3" t="s">
        <v>388</v>
      </c>
      <c r="E128" s="3" t="s">
        <v>72</v>
      </c>
      <c r="F128" s="3" t="s">
        <v>392</v>
      </c>
      <c r="G128" s="2">
        <v>46122</v>
      </c>
      <c r="H128" s="2">
        <v>46167</v>
      </c>
      <c r="I128" s="2">
        <v>46128</v>
      </c>
      <c r="J128" s="3" t="s">
        <v>51</v>
      </c>
      <c r="K128" s="3" t="s">
        <v>51</v>
      </c>
      <c r="L128" s="3" t="s">
        <v>51</v>
      </c>
      <c r="M128" s="3" t="s">
        <v>51</v>
      </c>
      <c r="N128" s="3" t="s">
        <v>50</v>
      </c>
      <c r="O128" s="10" t="s">
        <v>50</v>
      </c>
      <c r="P128" s="3" t="s">
        <v>51</v>
      </c>
      <c r="Q128" s="5" t="s">
        <v>560</v>
      </c>
      <c r="R128" s="5"/>
    </row>
    <row r="129" spans="1:18" ht="28.2" customHeight="1">
      <c r="A129" s="3">
        <v>65</v>
      </c>
      <c r="B129" s="3" t="s">
        <v>403</v>
      </c>
      <c r="C129" s="3" t="str">
        <f>+D129</f>
        <v>YANTAI TAIXI</v>
      </c>
      <c r="D129" s="3" t="s">
        <v>388</v>
      </c>
      <c r="E129" s="3" t="s">
        <v>390</v>
      </c>
      <c r="F129" s="3" t="s">
        <v>389</v>
      </c>
      <c r="G129" s="2">
        <v>46122</v>
      </c>
      <c r="H129" s="2">
        <v>46167</v>
      </c>
      <c r="I129" s="2">
        <v>46128</v>
      </c>
      <c r="J129" s="3" t="s">
        <v>51</v>
      </c>
      <c r="K129" s="3" t="s">
        <v>51</v>
      </c>
      <c r="L129" s="3" t="s">
        <v>51</v>
      </c>
      <c r="M129" s="3" t="s">
        <v>51</v>
      </c>
      <c r="N129" s="3" t="s">
        <v>50</v>
      </c>
      <c r="O129" s="10" t="s">
        <v>50</v>
      </c>
      <c r="P129" s="3" t="s">
        <v>51</v>
      </c>
      <c r="Q129" s="5" t="s">
        <v>560</v>
      </c>
      <c r="R129" s="5"/>
    </row>
    <row r="130" spans="1:18" ht="28.2" customHeight="1">
      <c r="A130" s="3">
        <v>66</v>
      </c>
      <c r="B130" s="3" t="s">
        <v>404</v>
      </c>
      <c r="C130" s="3" t="str">
        <f>+D130</f>
        <v>YANTAI TAIXI</v>
      </c>
      <c r="D130" s="3" t="s">
        <v>388</v>
      </c>
      <c r="E130" s="3" t="s">
        <v>390</v>
      </c>
      <c r="F130" s="3" t="s">
        <v>391</v>
      </c>
      <c r="G130" s="2">
        <v>46122</v>
      </c>
      <c r="H130" s="2">
        <v>46167</v>
      </c>
      <c r="I130" s="2">
        <v>46128</v>
      </c>
      <c r="J130" s="3" t="s">
        <v>51</v>
      </c>
      <c r="K130" s="3" t="s">
        <v>51</v>
      </c>
      <c r="L130" s="3" t="s">
        <v>51</v>
      </c>
      <c r="M130" s="3" t="s">
        <v>51</v>
      </c>
      <c r="N130" s="3" t="s">
        <v>50</v>
      </c>
      <c r="O130" s="10" t="s">
        <v>50</v>
      </c>
      <c r="P130" s="3" t="s">
        <v>51</v>
      </c>
      <c r="Q130" s="5" t="s">
        <v>560</v>
      </c>
      <c r="R130" s="5"/>
    </row>
    <row r="131" spans="1:18" s="8" customFormat="1" ht="28.2" customHeight="1">
      <c r="A131" s="5">
        <v>67</v>
      </c>
      <c r="B131" s="5" t="s">
        <v>405</v>
      </c>
      <c r="C131" s="5" t="str">
        <f>+D131</f>
        <v>OCEANUS FISH</v>
      </c>
      <c r="D131" s="5" t="s">
        <v>206</v>
      </c>
      <c r="E131" s="5" t="s">
        <v>207</v>
      </c>
      <c r="F131" s="5" t="s">
        <v>406</v>
      </c>
      <c r="G131" s="6">
        <v>46125</v>
      </c>
      <c r="H131" s="6">
        <v>46150</v>
      </c>
      <c r="I131" s="6">
        <v>46128</v>
      </c>
      <c r="J131" s="5" t="s">
        <v>51</v>
      </c>
      <c r="K131" s="5" t="s">
        <v>51</v>
      </c>
      <c r="L131" s="5" t="s">
        <v>51</v>
      </c>
      <c r="M131" s="5" t="s">
        <v>51</v>
      </c>
      <c r="N131" s="5" t="s">
        <v>50</v>
      </c>
      <c r="O131" s="11" t="s">
        <v>50</v>
      </c>
      <c r="P131" s="5" t="s">
        <v>51</v>
      </c>
      <c r="Q131" s="36" t="s">
        <v>555</v>
      </c>
      <c r="R131" s="41"/>
    </row>
    <row r="132" spans="1:18" s="8" customFormat="1" ht="28.2" customHeight="1">
      <c r="A132" s="5">
        <v>68</v>
      </c>
      <c r="B132" s="5" t="s">
        <v>407</v>
      </c>
      <c r="C132" s="5" t="str">
        <f>+D132</f>
        <v>OCEANUS FISH</v>
      </c>
      <c r="D132" s="5" t="s">
        <v>206</v>
      </c>
      <c r="E132" s="5" t="s">
        <v>207</v>
      </c>
      <c r="F132" s="5" t="s">
        <v>408</v>
      </c>
      <c r="G132" s="6">
        <v>46125</v>
      </c>
      <c r="H132" s="6">
        <v>46150</v>
      </c>
      <c r="I132" s="6">
        <v>46128</v>
      </c>
      <c r="J132" s="5" t="s">
        <v>51</v>
      </c>
      <c r="K132" s="5" t="s">
        <v>51</v>
      </c>
      <c r="L132" s="5" t="s">
        <v>51</v>
      </c>
      <c r="M132" s="5" t="s">
        <v>51</v>
      </c>
      <c r="N132" s="5" t="s">
        <v>50</v>
      </c>
      <c r="O132" s="11" t="s">
        <v>50</v>
      </c>
      <c r="P132" s="5" t="s">
        <v>51</v>
      </c>
      <c r="Q132" s="36" t="s">
        <v>553</v>
      </c>
      <c r="R132" s="41"/>
    </row>
    <row r="133" spans="1:18" s="8" customFormat="1" ht="28.2" customHeight="1">
      <c r="A133" s="5">
        <v>69</v>
      </c>
      <c r="B133" s="5" t="s">
        <v>409</v>
      </c>
      <c r="C133" s="5" t="str">
        <f>+D133</f>
        <v>GLOBAL OCEAN</v>
      </c>
      <c r="D133" s="5" t="s">
        <v>410</v>
      </c>
      <c r="E133" s="5" t="s">
        <v>41</v>
      </c>
      <c r="F133" s="5" t="s">
        <v>411</v>
      </c>
      <c r="G133" s="6">
        <v>46123</v>
      </c>
      <c r="H133" s="6">
        <v>46155</v>
      </c>
      <c r="I133" s="6">
        <v>46129</v>
      </c>
      <c r="J133" s="5" t="s">
        <v>51</v>
      </c>
      <c r="K133" s="5" t="s">
        <v>51</v>
      </c>
      <c r="L133" s="5" t="s">
        <v>51</v>
      </c>
      <c r="M133" s="5" t="s">
        <v>51</v>
      </c>
      <c r="N133" s="5" t="s">
        <v>50</v>
      </c>
      <c r="O133" s="11" t="s">
        <v>50</v>
      </c>
      <c r="P133" s="5" t="s">
        <v>51</v>
      </c>
      <c r="Q133" s="36" t="s">
        <v>555</v>
      </c>
      <c r="R133" s="5"/>
    </row>
    <row r="134" spans="1:18" s="8" customFormat="1" ht="28.2" customHeight="1">
      <c r="A134" s="5">
        <v>70</v>
      </c>
      <c r="B134" s="5" t="s">
        <v>412</v>
      </c>
      <c r="C134" s="5" t="s">
        <v>74</v>
      </c>
      <c r="D134" s="5" t="s">
        <v>74</v>
      </c>
      <c r="E134" s="5" t="s">
        <v>41</v>
      </c>
      <c r="F134" s="5" t="s">
        <v>413</v>
      </c>
      <c r="G134" s="6">
        <v>46123</v>
      </c>
      <c r="H134" s="6">
        <v>46155</v>
      </c>
      <c r="I134" s="6">
        <v>46129</v>
      </c>
      <c r="J134" s="5" t="s">
        <v>51</v>
      </c>
      <c r="K134" s="5" t="s">
        <v>51</v>
      </c>
      <c r="L134" s="5" t="s">
        <v>51</v>
      </c>
      <c r="M134" s="5" t="s">
        <v>51</v>
      </c>
      <c r="N134" s="5" t="s">
        <v>50</v>
      </c>
      <c r="O134" s="11" t="s">
        <v>50</v>
      </c>
      <c r="P134" s="5" t="s">
        <v>51</v>
      </c>
      <c r="Q134" s="36" t="s">
        <v>555</v>
      </c>
      <c r="R134" s="5"/>
    </row>
    <row r="135" spans="1:18" ht="16.2" customHeight="1">
      <c r="A135" s="59">
        <v>71</v>
      </c>
      <c r="B135" s="59" t="s">
        <v>414</v>
      </c>
      <c r="C135" s="59" t="str">
        <f>+D135</f>
        <v>LONGKOU BOHAI</v>
      </c>
      <c r="D135" s="59" t="s">
        <v>158</v>
      </c>
      <c r="E135" s="59" t="s">
        <v>25</v>
      </c>
      <c r="F135" s="3" t="s">
        <v>415</v>
      </c>
      <c r="G135" s="56">
        <v>46129</v>
      </c>
      <c r="H135" s="56">
        <v>46195</v>
      </c>
      <c r="I135" s="56">
        <v>46140</v>
      </c>
      <c r="J135" s="50" t="s">
        <v>51</v>
      </c>
      <c r="K135" s="50" t="s">
        <v>51</v>
      </c>
      <c r="L135" s="50" t="s">
        <v>51</v>
      </c>
      <c r="M135" s="50" t="s">
        <v>51</v>
      </c>
      <c r="N135" s="50" t="s">
        <v>50</v>
      </c>
      <c r="O135" s="50" t="s">
        <v>50</v>
      </c>
      <c r="P135" s="50" t="s">
        <v>51</v>
      </c>
      <c r="Q135" s="67" t="s">
        <v>593</v>
      </c>
      <c r="R135" s="50"/>
    </row>
    <row r="136" spans="1:18" ht="16.2" customHeight="1">
      <c r="A136" s="59"/>
      <c r="B136" s="59"/>
      <c r="C136" s="59"/>
      <c r="D136" s="59"/>
      <c r="E136" s="59"/>
      <c r="F136" s="3" t="s">
        <v>416</v>
      </c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63"/>
      <c r="R136" s="51"/>
    </row>
    <row r="137" spans="1:18" ht="16.2" customHeight="1">
      <c r="A137" s="59"/>
      <c r="B137" s="59"/>
      <c r="C137" s="59"/>
      <c r="D137" s="59"/>
      <c r="E137" s="59"/>
      <c r="F137" s="3" t="s">
        <v>417</v>
      </c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63"/>
      <c r="R137" s="51"/>
    </row>
    <row r="138" spans="1:18" ht="16.2" customHeight="1">
      <c r="A138" s="59"/>
      <c r="B138" s="59"/>
      <c r="C138" s="59"/>
      <c r="D138" s="59"/>
      <c r="E138" s="59"/>
      <c r="F138" s="3" t="s">
        <v>418</v>
      </c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63"/>
      <c r="R138" s="51"/>
    </row>
    <row r="139" spans="1:18" ht="16.2" customHeight="1">
      <c r="A139" s="59"/>
      <c r="B139" s="59"/>
      <c r="C139" s="59"/>
      <c r="D139" s="59"/>
      <c r="E139" s="59"/>
      <c r="F139" s="3" t="s">
        <v>419</v>
      </c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63"/>
      <c r="R139" s="51"/>
    </row>
    <row r="140" spans="1:18" ht="16.2" customHeight="1">
      <c r="A140" s="59"/>
      <c r="B140" s="59"/>
      <c r="C140" s="59"/>
      <c r="D140" s="59"/>
      <c r="E140" s="59"/>
      <c r="F140" s="3" t="s">
        <v>420</v>
      </c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64"/>
      <c r="R140" s="52"/>
    </row>
    <row r="141" spans="1:18" ht="16.2" customHeight="1">
      <c r="A141" s="3">
        <v>72</v>
      </c>
      <c r="B141" s="3" t="s">
        <v>421</v>
      </c>
      <c r="C141" s="3" t="str">
        <f>+D141</f>
        <v>YANTAI TAIXI</v>
      </c>
      <c r="D141" s="3" t="s">
        <v>388</v>
      </c>
      <c r="E141" s="3" t="s">
        <v>72</v>
      </c>
      <c r="F141" s="3" t="s">
        <v>428</v>
      </c>
      <c r="G141" s="2">
        <v>46129</v>
      </c>
      <c r="H141" s="2">
        <v>46202</v>
      </c>
      <c r="I141" s="2">
        <v>46141</v>
      </c>
      <c r="J141" s="3" t="s">
        <v>51</v>
      </c>
      <c r="K141" s="3" t="s">
        <v>51</v>
      </c>
      <c r="L141" s="3" t="s">
        <v>51</v>
      </c>
      <c r="M141" s="3" t="s">
        <v>51</v>
      </c>
      <c r="N141" s="3" t="s">
        <v>50</v>
      </c>
      <c r="O141" s="10" t="s">
        <v>50</v>
      </c>
      <c r="P141" s="3" t="s">
        <v>51</v>
      </c>
      <c r="Q141" s="5" t="s">
        <v>595</v>
      </c>
      <c r="R141" s="5"/>
    </row>
    <row r="142" spans="1:18" s="8" customFormat="1" ht="28.2" customHeight="1">
      <c r="A142" s="5">
        <v>73</v>
      </c>
      <c r="B142" s="5" t="s">
        <v>429</v>
      </c>
      <c r="C142" s="5" t="s">
        <v>206</v>
      </c>
      <c r="D142" s="5" t="s">
        <v>206</v>
      </c>
      <c r="E142" s="5" t="s">
        <v>207</v>
      </c>
      <c r="F142" s="5" t="s">
        <v>430</v>
      </c>
      <c r="G142" s="6">
        <v>46132</v>
      </c>
      <c r="H142" s="6">
        <v>46157</v>
      </c>
      <c r="I142" s="6">
        <v>46141</v>
      </c>
      <c r="J142" s="5" t="s">
        <v>51</v>
      </c>
      <c r="K142" s="5" t="s">
        <v>51</v>
      </c>
      <c r="L142" s="5" t="s">
        <v>51</v>
      </c>
      <c r="M142" s="5" t="s">
        <v>51</v>
      </c>
      <c r="N142" s="5" t="s">
        <v>50</v>
      </c>
      <c r="O142" s="11" t="s">
        <v>50</v>
      </c>
      <c r="P142" s="5" t="s">
        <v>51</v>
      </c>
      <c r="Q142" s="5" t="s">
        <v>554</v>
      </c>
      <c r="R142" s="5"/>
    </row>
    <row r="143" spans="1:18">
      <c r="A143" s="59">
        <v>74</v>
      </c>
      <c r="B143" s="59" t="s">
        <v>445</v>
      </c>
      <c r="C143" s="59" t="s">
        <v>446</v>
      </c>
      <c r="D143" s="59" t="s">
        <v>447</v>
      </c>
      <c r="E143" s="59" t="s">
        <v>195</v>
      </c>
      <c r="F143" s="3" t="s">
        <v>448</v>
      </c>
      <c r="G143" s="58">
        <v>46134</v>
      </c>
      <c r="H143" s="58">
        <v>46169</v>
      </c>
      <c r="I143" s="58">
        <v>46149</v>
      </c>
      <c r="J143" s="59" t="s">
        <v>51</v>
      </c>
      <c r="K143" s="59" t="s">
        <v>51</v>
      </c>
      <c r="L143" s="59" t="s">
        <v>51</v>
      </c>
      <c r="M143" s="59" t="s">
        <v>51</v>
      </c>
      <c r="N143" s="59" t="s">
        <v>50</v>
      </c>
      <c r="O143" s="59" t="s">
        <v>50</v>
      </c>
      <c r="P143" s="59" t="s">
        <v>51</v>
      </c>
      <c r="Q143" s="59" t="s">
        <v>579</v>
      </c>
      <c r="R143" s="59"/>
    </row>
    <row r="144" spans="1:18">
      <c r="A144" s="59"/>
      <c r="B144" s="59"/>
      <c r="C144" s="59"/>
      <c r="D144" s="59"/>
      <c r="E144" s="59"/>
      <c r="F144" s="3" t="s">
        <v>449</v>
      </c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</row>
    <row r="145" spans="1:18">
      <c r="A145" s="59"/>
      <c r="B145" s="59"/>
      <c r="C145" s="59"/>
      <c r="D145" s="59"/>
      <c r="E145" s="59"/>
      <c r="F145" s="3" t="s">
        <v>450</v>
      </c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</row>
    <row r="146" spans="1:18">
      <c r="A146" s="59">
        <v>75</v>
      </c>
      <c r="B146" s="59" t="s">
        <v>451</v>
      </c>
      <c r="C146" s="59" t="s">
        <v>446</v>
      </c>
      <c r="D146" s="59" t="s">
        <v>446</v>
      </c>
      <c r="E146" s="59" t="s">
        <v>452</v>
      </c>
      <c r="F146" s="3" t="s">
        <v>453</v>
      </c>
      <c r="G146" s="60">
        <v>46134</v>
      </c>
      <c r="H146" s="60">
        <v>46176</v>
      </c>
      <c r="I146" s="58">
        <v>46146</v>
      </c>
      <c r="J146" s="59" t="s">
        <v>51</v>
      </c>
      <c r="K146" s="59" t="s">
        <v>51</v>
      </c>
      <c r="L146" s="59" t="s">
        <v>51</v>
      </c>
      <c r="M146" s="59" t="s">
        <v>51</v>
      </c>
      <c r="N146" s="59" t="s">
        <v>50</v>
      </c>
      <c r="O146" s="59" t="s">
        <v>50</v>
      </c>
      <c r="P146" s="59" t="s">
        <v>51</v>
      </c>
      <c r="Q146" s="61" t="s">
        <v>596</v>
      </c>
      <c r="R146" s="59"/>
    </row>
    <row r="147" spans="1:18">
      <c r="A147" s="59"/>
      <c r="B147" s="59"/>
      <c r="C147" s="59"/>
      <c r="D147" s="59"/>
      <c r="E147" s="59"/>
      <c r="F147" s="3" t="s">
        <v>454</v>
      </c>
      <c r="G147" s="61"/>
      <c r="H147" s="61"/>
      <c r="I147" s="59"/>
      <c r="J147" s="59"/>
      <c r="K147" s="59"/>
      <c r="L147" s="59"/>
      <c r="M147" s="59"/>
      <c r="N147" s="59"/>
      <c r="O147" s="59"/>
      <c r="P147" s="59"/>
      <c r="Q147" s="61"/>
      <c r="R147" s="59"/>
    </row>
    <row r="148" spans="1:18">
      <c r="A148" s="59"/>
      <c r="B148" s="59"/>
      <c r="C148" s="59"/>
      <c r="D148" s="59"/>
      <c r="E148" s="59"/>
      <c r="F148" s="3" t="s">
        <v>455</v>
      </c>
      <c r="G148" s="61"/>
      <c r="H148" s="61"/>
      <c r="I148" s="59"/>
      <c r="J148" s="59"/>
      <c r="K148" s="59"/>
      <c r="L148" s="59"/>
      <c r="M148" s="59"/>
      <c r="N148" s="59"/>
      <c r="O148" s="59"/>
      <c r="P148" s="59"/>
      <c r="Q148" s="61"/>
      <c r="R148" s="59"/>
    </row>
    <row r="149" spans="1:18">
      <c r="A149" s="59"/>
      <c r="B149" s="59"/>
      <c r="C149" s="59"/>
      <c r="D149" s="59"/>
      <c r="E149" s="59"/>
      <c r="F149" s="3" t="s">
        <v>456</v>
      </c>
      <c r="G149" s="61"/>
      <c r="H149" s="61"/>
      <c r="I149" s="59"/>
      <c r="J149" s="59"/>
      <c r="K149" s="59"/>
      <c r="L149" s="59"/>
      <c r="M149" s="59"/>
      <c r="N149" s="59"/>
      <c r="O149" s="59"/>
      <c r="P149" s="59"/>
      <c r="Q149" s="61"/>
      <c r="R149" s="59"/>
    </row>
    <row r="150" spans="1:18">
      <c r="A150" s="59"/>
      <c r="B150" s="59"/>
      <c r="C150" s="59"/>
      <c r="D150" s="59"/>
      <c r="E150" s="59"/>
      <c r="F150" s="3" t="s">
        <v>457</v>
      </c>
      <c r="G150" s="61"/>
      <c r="H150" s="61"/>
      <c r="I150" s="59"/>
      <c r="J150" s="59"/>
      <c r="K150" s="59"/>
      <c r="L150" s="59"/>
      <c r="M150" s="59"/>
      <c r="N150" s="59"/>
      <c r="O150" s="59"/>
      <c r="P150" s="59"/>
      <c r="Q150" s="61"/>
      <c r="R150" s="59"/>
    </row>
    <row r="151" spans="1:18">
      <c r="A151" s="59">
        <v>76</v>
      </c>
      <c r="B151" s="59" t="s">
        <v>458</v>
      </c>
      <c r="C151" s="59" t="s">
        <v>175</v>
      </c>
      <c r="D151" s="59" t="s">
        <v>175</v>
      </c>
      <c r="E151" s="59" t="s">
        <v>25</v>
      </c>
      <c r="F151" s="3" t="s">
        <v>459</v>
      </c>
      <c r="G151" s="58">
        <v>46134</v>
      </c>
      <c r="H151" s="58">
        <v>46180</v>
      </c>
      <c r="I151" s="58">
        <v>46148</v>
      </c>
      <c r="J151" s="59" t="s">
        <v>51</v>
      </c>
      <c r="K151" s="59" t="s">
        <v>51</v>
      </c>
      <c r="L151" s="59" t="s">
        <v>51</v>
      </c>
      <c r="M151" s="59" t="s">
        <v>51</v>
      </c>
      <c r="N151" s="59" t="s">
        <v>50</v>
      </c>
      <c r="O151" s="59" t="s">
        <v>50</v>
      </c>
      <c r="P151" s="59" t="s">
        <v>51</v>
      </c>
      <c r="Q151" s="61" t="s">
        <v>592</v>
      </c>
      <c r="R151" s="59" t="s">
        <v>598</v>
      </c>
    </row>
    <row r="152" spans="1:18">
      <c r="A152" s="59"/>
      <c r="B152" s="59"/>
      <c r="C152" s="59"/>
      <c r="D152" s="59"/>
      <c r="E152" s="59"/>
      <c r="F152" s="3" t="s">
        <v>460</v>
      </c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61"/>
      <c r="R152" s="59"/>
    </row>
    <row r="153" spans="1:18">
      <c r="A153" s="59"/>
      <c r="B153" s="59"/>
      <c r="C153" s="59"/>
      <c r="D153" s="59"/>
      <c r="E153" s="59"/>
      <c r="F153" s="3" t="s">
        <v>461</v>
      </c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61"/>
      <c r="R153" s="59"/>
    </row>
    <row r="154" spans="1:18" s="42" customFormat="1" ht="22.2" customHeight="1">
      <c r="A154" s="3">
        <v>77</v>
      </c>
      <c r="B154" s="3" t="s">
        <v>463</v>
      </c>
      <c r="C154" s="3" t="s">
        <v>462</v>
      </c>
      <c r="D154" s="3" t="s">
        <v>464</v>
      </c>
      <c r="E154" s="3" t="s">
        <v>465</v>
      </c>
      <c r="F154" s="3" t="s">
        <v>466</v>
      </c>
      <c r="G154" s="2">
        <v>46135</v>
      </c>
      <c r="H154" s="2">
        <v>46199</v>
      </c>
      <c r="I154" s="2">
        <v>46146</v>
      </c>
      <c r="J154" s="3" t="s">
        <v>51</v>
      </c>
      <c r="K154" s="3" t="s">
        <v>51</v>
      </c>
      <c r="L154" s="3" t="s">
        <v>51</v>
      </c>
      <c r="M154" s="3" t="s">
        <v>51</v>
      </c>
      <c r="N154" s="3" t="s">
        <v>50</v>
      </c>
      <c r="O154" s="10" t="s">
        <v>50</v>
      </c>
      <c r="P154" s="3" t="s">
        <v>51</v>
      </c>
      <c r="Q154" s="5" t="s">
        <v>592</v>
      </c>
      <c r="R154" s="3" t="s">
        <v>599</v>
      </c>
    </row>
    <row r="155" spans="1:18" s="42" customFormat="1" ht="22.2" customHeight="1">
      <c r="A155" s="3">
        <v>78</v>
      </c>
      <c r="B155" s="3" t="s">
        <v>467</v>
      </c>
      <c r="C155" s="3" t="s">
        <v>468</v>
      </c>
      <c r="D155" s="3" t="s">
        <v>468</v>
      </c>
      <c r="E155" s="3" t="s">
        <v>25</v>
      </c>
      <c r="F155" s="3" t="s">
        <v>469</v>
      </c>
      <c r="G155" s="2">
        <v>46134</v>
      </c>
      <c r="H155" s="2">
        <v>46180</v>
      </c>
      <c r="I155" s="2">
        <v>46148</v>
      </c>
      <c r="J155" s="3" t="s">
        <v>51</v>
      </c>
      <c r="K155" s="3" t="s">
        <v>51</v>
      </c>
      <c r="L155" s="3" t="s">
        <v>51</v>
      </c>
      <c r="M155" s="3" t="s">
        <v>51</v>
      </c>
      <c r="N155" s="3" t="s">
        <v>50</v>
      </c>
      <c r="O155" s="10" t="s">
        <v>50</v>
      </c>
      <c r="P155" s="3" t="s">
        <v>51</v>
      </c>
      <c r="Q155" s="5" t="s">
        <v>606</v>
      </c>
      <c r="R155" s="3"/>
    </row>
    <row r="156" spans="1:18" s="42" customFormat="1" ht="22.2" customHeight="1">
      <c r="A156" s="3">
        <v>79</v>
      </c>
      <c r="B156" s="3" t="s">
        <v>470</v>
      </c>
      <c r="C156" s="3" t="s">
        <v>446</v>
      </c>
      <c r="D156" s="3" t="s">
        <v>446</v>
      </c>
      <c r="E156" s="3" t="s">
        <v>95</v>
      </c>
      <c r="F156" s="3" t="s">
        <v>471</v>
      </c>
      <c r="G156" s="2">
        <v>46134</v>
      </c>
      <c r="H156" s="2">
        <v>46169</v>
      </c>
      <c r="I156" s="2">
        <v>46146</v>
      </c>
      <c r="J156" s="3" t="s">
        <v>51</v>
      </c>
      <c r="K156" s="3" t="s">
        <v>51</v>
      </c>
      <c r="L156" s="3" t="s">
        <v>51</v>
      </c>
      <c r="M156" s="3" t="s">
        <v>51</v>
      </c>
      <c r="N156" s="3" t="s">
        <v>50</v>
      </c>
      <c r="O156" s="10" t="s">
        <v>50</v>
      </c>
      <c r="P156" s="3" t="s">
        <v>51</v>
      </c>
      <c r="Q156" s="5" t="s">
        <v>596</v>
      </c>
      <c r="R156" s="3"/>
    </row>
    <row r="157" spans="1:18" s="42" customFormat="1" ht="22.2" customHeight="1">
      <c r="A157" s="3">
        <v>80</v>
      </c>
      <c r="B157" s="3" t="s">
        <v>472</v>
      </c>
      <c r="C157" s="3" t="s">
        <v>446</v>
      </c>
      <c r="D157" s="3" t="s">
        <v>473</v>
      </c>
      <c r="E157" s="3" t="s">
        <v>474</v>
      </c>
      <c r="F157" s="3" t="s">
        <v>475</v>
      </c>
      <c r="G157" s="2">
        <v>46134</v>
      </c>
      <c r="H157" s="2">
        <v>46187</v>
      </c>
      <c r="I157" s="2">
        <v>46148</v>
      </c>
      <c r="J157" s="3" t="s">
        <v>51</v>
      </c>
      <c r="K157" s="3" t="s">
        <v>51</v>
      </c>
      <c r="L157" s="3" t="s">
        <v>51</v>
      </c>
      <c r="M157" s="3" t="s">
        <v>51</v>
      </c>
      <c r="N157" s="3" t="s">
        <v>50</v>
      </c>
      <c r="O157" s="10" t="s">
        <v>50</v>
      </c>
      <c r="P157" s="3" t="s">
        <v>51</v>
      </c>
      <c r="Q157" s="5" t="s">
        <v>592</v>
      </c>
      <c r="R157" s="3"/>
    </row>
    <row r="158" spans="1:18" s="42" customFormat="1" ht="21.6" customHeight="1">
      <c r="A158" s="59">
        <v>81</v>
      </c>
      <c r="B158" s="59" t="s">
        <v>476</v>
      </c>
      <c r="C158" s="59" t="s">
        <v>184</v>
      </c>
      <c r="D158" s="59" t="s">
        <v>184</v>
      </c>
      <c r="E158" s="59" t="s">
        <v>390</v>
      </c>
      <c r="F158" s="3" t="s">
        <v>477</v>
      </c>
      <c r="G158" s="58">
        <v>46136</v>
      </c>
      <c r="H158" s="58">
        <v>46209</v>
      </c>
      <c r="I158" s="58">
        <v>46148</v>
      </c>
      <c r="J158" s="59" t="s">
        <v>51</v>
      </c>
      <c r="K158" s="59" t="s">
        <v>51</v>
      </c>
      <c r="L158" s="59" t="s">
        <v>51</v>
      </c>
      <c r="M158" s="59" t="s">
        <v>51</v>
      </c>
      <c r="N158" s="59" t="s">
        <v>50</v>
      </c>
      <c r="O158" s="59" t="s">
        <v>50</v>
      </c>
      <c r="P158" s="59" t="s">
        <v>51</v>
      </c>
      <c r="Q158" s="61" t="s">
        <v>594</v>
      </c>
      <c r="R158" s="59"/>
    </row>
    <row r="159" spans="1:18" s="42" customFormat="1" ht="21.6" customHeight="1">
      <c r="A159" s="59"/>
      <c r="B159" s="59"/>
      <c r="C159" s="59"/>
      <c r="D159" s="59"/>
      <c r="E159" s="59"/>
      <c r="F159" s="3" t="s">
        <v>478</v>
      </c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61"/>
      <c r="R159" s="59"/>
    </row>
    <row r="160" spans="1:18" s="42" customFormat="1" ht="22.2" customHeight="1">
      <c r="A160" s="3">
        <v>82</v>
      </c>
      <c r="B160" s="3" t="s">
        <v>479</v>
      </c>
      <c r="C160" s="3" t="s">
        <v>67</v>
      </c>
      <c r="D160" s="3" t="s">
        <v>67</v>
      </c>
      <c r="E160" s="3" t="s">
        <v>481</v>
      </c>
      <c r="F160" s="3" t="s">
        <v>480</v>
      </c>
      <c r="G160" s="2">
        <v>46136</v>
      </c>
      <c r="H160" s="2">
        <v>46202</v>
      </c>
      <c r="I160" s="2">
        <v>46148</v>
      </c>
      <c r="J160" s="3" t="s">
        <v>51</v>
      </c>
      <c r="K160" s="3" t="s">
        <v>51</v>
      </c>
      <c r="L160" s="3" t="s">
        <v>51</v>
      </c>
      <c r="M160" s="3" t="s">
        <v>51</v>
      </c>
      <c r="N160" s="3" t="s">
        <v>50</v>
      </c>
      <c r="O160" s="10" t="s">
        <v>50</v>
      </c>
      <c r="P160" s="3" t="s">
        <v>51</v>
      </c>
      <c r="Q160" s="3" t="s">
        <v>609</v>
      </c>
      <c r="R160" s="3" t="s">
        <v>600</v>
      </c>
    </row>
    <row r="161" spans="1:18" s="42" customFormat="1" ht="22.2" customHeight="1">
      <c r="A161" s="3">
        <v>83</v>
      </c>
      <c r="B161" s="3" t="s">
        <v>482</v>
      </c>
      <c r="C161" s="3" t="s">
        <v>483</v>
      </c>
      <c r="D161" s="3" t="s">
        <v>483</v>
      </c>
      <c r="E161" s="3" t="s">
        <v>481</v>
      </c>
      <c r="F161" s="3" t="s">
        <v>484</v>
      </c>
      <c r="G161" s="2">
        <v>46136</v>
      </c>
      <c r="H161" s="2">
        <v>46202</v>
      </c>
      <c r="I161" s="2">
        <v>46148</v>
      </c>
      <c r="J161" s="3" t="s">
        <v>51</v>
      </c>
      <c r="K161" s="3" t="s">
        <v>51</v>
      </c>
      <c r="L161" s="3" t="s">
        <v>51</v>
      </c>
      <c r="M161" s="3" t="s">
        <v>51</v>
      </c>
      <c r="N161" s="3" t="s">
        <v>50</v>
      </c>
      <c r="O161" s="10" t="s">
        <v>50</v>
      </c>
      <c r="P161" s="3" t="s">
        <v>51</v>
      </c>
      <c r="Q161" s="3" t="s">
        <v>604</v>
      </c>
      <c r="R161" s="3"/>
    </row>
    <row r="162" spans="1:18" s="8" customFormat="1">
      <c r="A162" s="61">
        <v>84</v>
      </c>
      <c r="B162" s="61" t="s">
        <v>485</v>
      </c>
      <c r="C162" s="61" t="s">
        <v>486</v>
      </c>
      <c r="D162" s="61" t="s">
        <v>486</v>
      </c>
      <c r="E162" s="61" t="s">
        <v>487</v>
      </c>
      <c r="F162" s="5" t="s">
        <v>488</v>
      </c>
      <c r="G162" s="60">
        <v>46139</v>
      </c>
      <c r="H162" s="60">
        <v>46161</v>
      </c>
      <c r="I162" s="60">
        <v>46149</v>
      </c>
      <c r="J162" s="61" t="s">
        <v>51</v>
      </c>
      <c r="K162" s="61" t="s">
        <v>51</v>
      </c>
      <c r="L162" s="61" t="s">
        <v>51</v>
      </c>
      <c r="M162" s="61" t="s">
        <v>51</v>
      </c>
      <c r="N162" s="61" t="s">
        <v>50</v>
      </c>
      <c r="O162" s="61" t="s">
        <v>51</v>
      </c>
      <c r="P162" s="61" t="s">
        <v>51</v>
      </c>
      <c r="Q162" s="61" t="s">
        <v>597</v>
      </c>
      <c r="R162" s="61"/>
    </row>
    <row r="163" spans="1:18" s="8" customFormat="1">
      <c r="A163" s="61"/>
      <c r="B163" s="61"/>
      <c r="C163" s="61"/>
      <c r="D163" s="61"/>
      <c r="E163" s="61"/>
      <c r="F163" s="5" t="s">
        <v>489</v>
      </c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</row>
    <row r="164" spans="1:18" s="8" customFormat="1">
      <c r="A164" s="61"/>
      <c r="B164" s="61"/>
      <c r="C164" s="61"/>
      <c r="D164" s="61"/>
      <c r="E164" s="61"/>
      <c r="F164" s="5" t="s">
        <v>490</v>
      </c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</row>
    <row r="165" spans="1:18" s="8" customFormat="1">
      <c r="A165" s="61"/>
      <c r="B165" s="61"/>
      <c r="C165" s="61"/>
      <c r="D165" s="61"/>
      <c r="E165" s="61"/>
      <c r="F165" s="5" t="s">
        <v>491</v>
      </c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</row>
    <row r="166" spans="1:18" s="8" customFormat="1">
      <c r="A166" s="61"/>
      <c r="B166" s="61"/>
      <c r="C166" s="61"/>
      <c r="D166" s="61"/>
      <c r="E166" s="61"/>
      <c r="F166" s="5" t="s">
        <v>492</v>
      </c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</row>
    <row r="167" spans="1:18" s="8" customFormat="1">
      <c r="A167" s="61">
        <v>85</v>
      </c>
      <c r="B167" s="61" t="s">
        <v>493</v>
      </c>
      <c r="C167" s="61" t="s">
        <v>486</v>
      </c>
      <c r="D167" s="61" t="s">
        <v>486</v>
      </c>
      <c r="E167" s="61" t="s">
        <v>487</v>
      </c>
      <c r="F167" s="5" t="s">
        <v>494</v>
      </c>
      <c r="G167" s="60">
        <v>46139</v>
      </c>
      <c r="H167" s="60">
        <v>46161</v>
      </c>
      <c r="I167" s="60">
        <v>46149</v>
      </c>
      <c r="J167" s="61" t="s">
        <v>51</v>
      </c>
      <c r="K167" s="61" t="s">
        <v>51</v>
      </c>
      <c r="L167" s="61" t="s">
        <v>51</v>
      </c>
      <c r="M167" s="61" t="s">
        <v>51</v>
      </c>
      <c r="N167" s="61" t="s">
        <v>50</v>
      </c>
      <c r="O167" s="61" t="s">
        <v>51</v>
      </c>
      <c r="P167" s="61" t="s">
        <v>51</v>
      </c>
      <c r="Q167" s="61" t="s">
        <v>605</v>
      </c>
      <c r="R167" s="61"/>
    </row>
    <row r="168" spans="1:18" s="8" customFormat="1">
      <c r="A168" s="61"/>
      <c r="B168" s="61"/>
      <c r="C168" s="61"/>
      <c r="D168" s="61"/>
      <c r="E168" s="61"/>
      <c r="F168" s="5" t="s">
        <v>495</v>
      </c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</row>
    <row r="169" spans="1:18" s="8" customFormat="1">
      <c r="A169" s="61"/>
      <c r="B169" s="61"/>
      <c r="C169" s="61"/>
      <c r="D169" s="61"/>
      <c r="E169" s="61"/>
      <c r="F169" s="5" t="s">
        <v>496</v>
      </c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</row>
    <row r="170" spans="1:18" s="8" customFormat="1">
      <c r="A170" s="61"/>
      <c r="B170" s="61"/>
      <c r="C170" s="61"/>
      <c r="D170" s="61"/>
      <c r="E170" s="61"/>
      <c r="F170" s="5" t="s">
        <v>497</v>
      </c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</row>
    <row r="171" spans="1:18" s="8" customFormat="1">
      <c r="A171" s="61"/>
      <c r="B171" s="61"/>
      <c r="C171" s="61"/>
      <c r="D171" s="61"/>
      <c r="E171" s="61"/>
      <c r="F171" s="5" t="s">
        <v>498</v>
      </c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</row>
    <row r="172" spans="1:18" s="8" customFormat="1">
      <c r="A172" s="61"/>
      <c r="B172" s="61"/>
      <c r="C172" s="61"/>
      <c r="D172" s="61"/>
      <c r="E172" s="61"/>
      <c r="F172" s="5" t="s">
        <v>499</v>
      </c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</row>
    <row r="173" spans="1:18" s="42" customFormat="1" ht="22.2" customHeight="1">
      <c r="A173" s="3">
        <v>86</v>
      </c>
      <c r="B173" s="3" t="s">
        <v>500</v>
      </c>
      <c r="C173" s="3" t="s">
        <v>446</v>
      </c>
      <c r="D173" s="3" t="s">
        <v>446</v>
      </c>
      <c r="E173" s="3" t="s">
        <v>501</v>
      </c>
      <c r="F173" s="3" t="s">
        <v>502</v>
      </c>
      <c r="G173" s="2">
        <v>46141</v>
      </c>
      <c r="H173" s="2">
        <v>46192</v>
      </c>
      <c r="I173" s="2">
        <v>46149</v>
      </c>
      <c r="J173" s="3" t="s">
        <v>51</v>
      </c>
      <c r="K173" s="3" t="s">
        <v>51</v>
      </c>
      <c r="L173" s="3" t="s">
        <v>51</v>
      </c>
      <c r="M173" s="3" t="s">
        <v>51</v>
      </c>
      <c r="N173" s="3" t="s">
        <v>50</v>
      </c>
      <c r="O173" s="10" t="s">
        <v>50</v>
      </c>
      <c r="P173" s="3" t="s">
        <v>51</v>
      </c>
      <c r="Q173" s="5" t="s">
        <v>596</v>
      </c>
      <c r="R173" s="3"/>
    </row>
    <row r="174" spans="1:18" s="42" customFormat="1" ht="22.2" customHeight="1">
      <c r="A174" s="3">
        <v>87</v>
      </c>
      <c r="B174" s="3" t="s">
        <v>503</v>
      </c>
      <c r="C174" s="3" t="s">
        <v>446</v>
      </c>
      <c r="D174" s="3" t="s">
        <v>446</v>
      </c>
      <c r="E174" s="3" t="s">
        <v>504</v>
      </c>
      <c r="F174" s="3" t="s">
        <v>505</v>
      </c>
      <c r="G174" s="2">
        <v>46141</v>
      </c>
      <c r="H174" s="2">
        <v>46183</v>
      </c>
      <c r="I174" s="2">
        <v>46149</v>
      </c>
      <c r="J174" s="3" t="s">
        <v>51</v>
      </c>
      <c r="K174" s="3" t="s">
        <v>51</v>
      </c>
      <c r="L174" s="3" t="s">
        <v>51</v>
      </c>
      <c r="M174" s="3" t="s">
        <v>51</v>
      </c>
      <c r="N174" s="3" t="s">
        <v>50</v>
      </c>
      <c r="O174" s="10" t="s">
        <v>50</v>
      </c>
      <c r="P174" s="3" t="s">
        <v>51</v>
      </c>
      <c r="Q174" s="5" t="s">
        <v>596</v>
      </c>
      <c r="R174" s="3"/>
    </row>
    <row r="175" spans="1:18" s="42" customFormat="1" ht="22.2" customHeight="1">
      <c r="A175" s="3">
        <v>88</v>
      </c>
      <c r="B175" s="3" t="s">
        <v>506</v>
      </c>
      <c r="C175" s="3" t="s">
        <v>507</v>
      </c>
      <c r="D175" s="3" t="s">
        <v>509</v>
      </c>
      <c r="E175" s="3" t="s">
        <v>510</v>
      </c>
      <c r="F175" s="3" t="s">
        <v>511</v>
      </c>
      <c r="G175" s="2">
        <v>46139</v>
      </c>
      <c r="H175" s="2">
        <v>46154</v>
      </c>
      <c r="I175" s="2">
        <v>46147</v>
      </c>
      <c r="J175" s="3" t="s">
        <v>51</v>
      </c>
      <c r="K175" s="3" t="s">
        <v>51</v>
      </c>
      <c r="L175" s="3" t="s">
        <v>51</v>
      </c>
      <c r="M175" s="3" t="s">
        <v>51</v>
      </c>
      <c r="N175" s="3" t="s">
        <v>50</v>
      </c>
      <c r="O175" s="10" t="s">
        <v>50</v>
      </c>
      <c r="P175" s="3" t="s">
        <v>51</v>
      </c>
      <c r="Q175" s="3" t="s">
        <v>513</v>
      </c>
      <c r="R175" s="3"/>
    </row>
    <row r="176" spans="1:18" s="42" customFormat="1" ht="22.2" customHeight="1">
      <c r="A176" s="3">
        <v>89</v>
      </c>
      <c r="B176" s="3" t="s">
        <v>508</v>
      </c>
      <c r="C176" s="3" t="s">
        <v>507</v>
      </c>
      <c r="D176" s="3" t="s">
        <v>509</v>
      </c>
      <c r="E176" s="3" t="s">
        <v>510</v>
      </c>
      <c r="F176" s="3" t="s">
        <v>512</v>
      </c>
      <c r="G176" s="2">
        <v>46139</v>
      </c>
      <c r="H176" s="2">
        <v>46154</v>
      </c>
      <c r="I176" s="2">
        <v>46147</v>
      </c>
      <c r="J176" s="3" t="s">
        <v>51</v>
      </c>
      <c r="K176" s="3" t="s">
        <v>51</v>
      </c>
      <c r="L176" s="3" t="s">
        <v>51</v>
      </c>
      <c r="M176" s="3" t="s">
        <v>51</v>
      </c>
      <c r="N176" s="3" t="s">
        <v>50</v>
      </c>
      <c r="O176" s="10" t="s">
        <v>50</v>
      </c>
      <c r="P176" s="3" t="s">
        <v>51</v>
      </c>
      <c r="Q176" s="3" t="s">
        <v>513</v>
      </c>
      <c r="R176" s="3"/>
    </row>
    <row r="177" spans="1:18" s="43" customFormat="1" ht="22.2" customHeight="1">
      <c r="A177" s="5">
        <v>90</v>
      </c>
      <c r="B177" s="5" t="s">
        <v>514</v>
      </c>
      <c r="C177" s="5" t="s">
        <v>206</v>
      </c>
      <c r="D177" s="5" t="s">
        <v>206</v>
      </c>
      <c r="E177" s="5" t="s">
        <v>207</v>
      </c>
      <c r="F177" s="5" t="s">
        <v>515</v>
      </c>
      <c r="G177" s="6">
        <v>46139</v>
      </c>
      <c r="H177" s="6">
        <v>46164</v>
      </c>
      <c r="I177" s="6">
        <v>46150</v>
      </c>
      <c r="J177" s="5" t="s">
        <v>51</v>
      </c>
      <c r="K177" s="5" t="s">
        <v>51</v>
      </c>
      <c r="L177" s="5" t="s">
        <v>51</v>
      </c>
      <c r="M177" s="5" t="s">
        <v>51</v>
      </c>
      <c r="N177" s="5" t="s">
        <v>50</v>
      </c>
      <c r="O177" s="11" t="s">
        <v>51</v>
      </c>
      <c r="P177" s="5" t="s">
        <v>51</v>
      </c>
      <c r="Q177" s="5" t="s">
        <v>603</v>
      </c>
      <c r="R177" s="5"/>
    </row>
    <row r="178" spans="1:18" s="42" customFormat="1" ht="22.2" customHeight="1">
      <c r="A178" s="3">
        <v>91</v>
      </c>
      <c r="B178" s="3" t="s">
        <v>516</v>
      </c>
      <c r="C178" s="3" t="s">
        <v>446</v>
      </c>
      <c r="D178" s="3" t="s">
        <v>517</v>
      </c>
      <c r="E178" s="3" t="s">
        <v>518</v>
      </c>
      <c r="F178" s="3" t="s">
        <v>519</v>
      </c>
      <c r="G178" s="2">
        <v>46141</v>
      </c>
      <c r="H178" s="2">
        <v>46183</v>
      </c>
      <c r="I178" s="2">
        <v>46150</v>
      </c>
      <c r="J178" s="3" t="s">
        <v>51</v>
      </c>
      <c r="K178" s="3" t="s">
        <v>51</v>
      </c>
      <c r="L178" s="3" t="s">
        <v>51</v>
      </c>
      <c r="M178" s="3" t="s">
        <v>51</v>
      </c>
      <c r="N178" s="3" t="s">
        <v>50</v>
      </c>
      <c r="O178" s="10" t="s">
        <v>50</v>
      </c>
      <c r="P178" s="3" t="s">
        <v>51</v>
      </c>
      <c r="Q178" s="3" t="s">
        <v>601</v>
      </c>
      <c r="R178" s="3"/>
    </row>
    <row r="179" spans="1:18" s="42" customFormat="1" ht="22.2" customHeight="1">
      <c r="A179" s="59">
        <v>92</v>
      </c>
      <c r="B179" s="58" t="s">
        <v>520</v>
      </c>
      <c r="C179" s="58" t="s">
        <v>446</v>
      </c>
      <c r="D179" s="58" t="s">
        <v>446</v>
      </c>
      <c r="E179" s="58" t="s">
        <v>501</v>
      </c>
      <c r="F179" s="3" t="s">
        <v>521</v>
      </c>
      <c r="G179" s="58">
        <v>46141</v>
      </c>
      <c r="H179" s="58">
        <v>46183</v>
      </c>
      <c r="I179" s="58">
        <v>46150</v>
      </c>
      <c r="J179" s="58" t="s">
        <v>51</v>
      </c>
      <c r="K179" s="58" t="s">
        <v>51</v>
      </c>
      <c r="L179" s="58" t="s">
        <v>51</v>
      </c>
      <c r="M179" s="58" t="s">
        <v>51</v>
      </c>
      <c r="N179" s="58" t="s">
        <v>50</v>
      </c>
      <c r="O179" s="58" t="s">
        <v>50</v>
      </c>
      <c r="P179" s="58" t="s">
        <v>51</v>
      </c>
      <c r="Q179" s="60" t="s">
        <v>596</v>
      </c>
      <c r="R179" s="58"/>
    </row>
    <row r="180" spans="1:18">
      <c r="A180" s="59"/>
      <c r="B180" s="58"/>
      <c r="C180" s="58"/>
      <c r="D180" s="58"/>
      <c r="E180" s="58"/>
      <c r="F180" s="3" t="s">
        <v>522</v>
      </c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60"/>
      <c r="R180" s="58"/>
    </row>
    <row r="181" spans="1:18">
      <c r="A181" s="59"/>
      <c r="B181" s="58"/>
      <c r="C181" s="58"/>
      <c r="D181" s="58"/>
      <c r="E181" s="58"/>
      <c r="F181" s="3" t="s">
        <v>523</v>
      </c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60"/>
      <c r="R181" s="58"/>
    </row>
    <row r="182" spans="1:18" s="42" customFormat="1" ht="22.2" customHeight="1">
      <c r="A182" s="3">
        <v>93</v>
      </c>
      <c r="B182" s="3" t="s">
        <v>524</v>
      </c>
      <c r="C182" s="3" t="s">
        <v>67</v>
      </c>
      <c r="D182" s="3" t="s">
        <v>67</v>
      </c>
      <c r="E182" s="3" t="s">
        <v>481</v>
      </c>
      <c r="F182" s="3" t="s">
        <v>525</v>
      </c>
      <c r="G182" s="2">
        <v>46141</v>
      </c>
      <c r="H182" s="2">
        <v>46199</v>
      </c>
      <c r="I182" s="2">
        <v>46150</v>
      </c>
      <c r="J182" s="3" t="s">
        <v>51</v>
      </c>
      <c r="K182" s="3" t="s">
        <v>51</v>
      </c>
      <c r="L182" s="3" t="s">
        <v>51</v>
      </c>
      <c r="M182" s="3" t="s">
        <v>51</v>
      </c>
      <c r="N182" s="3" t="s">
        <v>50</v>
      </c>
      <c r="O182" s="10" t="s">
        <v>50</v>
      </c>
      <c r="P182" s="3" t="s">
        <v>51</v>
      </c>
      <c r="Q182" s="3" t="s">
        <v>610</v>
      </c>
      <c r="R182" s="3" t="s">
        <v>600</v>
      </c>
    </row>
    <row r="183" spans="1:18">
      <c r="A183" s="59">
        <v>94</v>
      </c>
      <c r="B183" s="58" t="s">
        <v>526</v>
      </c>
      <c r="C183" s="58" t="s">
        <v>530</v>
      </c>
      <c r="D183" s="58" t="s">
        <v>527</v>
      </c>
      <c r="E183" s="58" t="s">
        <v>28</v>
      </c>
      <c r="F183" s="3" t="s">
        <v>528</v>
      </c>
      <c r="G183" s="58">
        <v>46141</v>
      </c>
      <c r="H183" s="58">
        <v>46187</v>
      </c>
      <c r="I183" s="58">
        <v>46150</v>
      </c>
      <c r="J183" s="58" t="s">
        <v>51</v>
      </c>
      <c r="K183" s="58" t="s">
        <v>51</v>
      </c>
      <c r="L183" s="58" t="s">
        <v>51</v>
      </c>
      <c r="M183" s="58" t="s">
        <v>51</v>
      </c>
      <c r="N183" s="58" t="s">
        <v>50</v>
      </c>
      <c r="O183" s="58" t="s">
        <v>50</v>
      </c>
      <c r="P183" s="58" t="s">
        <v>51</v>
      </c>
      <c r="Q183" s="60" t="s">
        <v>636</v>
      </c>
      <c r="R183" s="58"/>
    </row>
    <row r="184" spans="1:18">
      <c r="A184" s="59"/>
      <c r="B184" s="59"/>
      <c r="C184" s="59"/>
      <c r="D184" s="59"/>
      <c r="E184" s="59"/>
      <c r="F184" s="3" t="s">
        <v>529</v>
      </c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61"/>
      <c r="R184" s="59"/>
    </row>
    <row r="185" spans="1:18">
      <c r="A185" s="59">
        <v>95</v>
      </c>
      <c r="B185" s="59" t="s">
        <v>531</v>
      </c>
      <c r="C185" s="59" t="s">
        <v>175</v>
      </c>
      <c r="D185" s="59" t="s">
        <v>175</v>
      </c>
      <c r="E185" s="59" t="s">
        <v>481</v>
      </c>
      <c r="F185" s="3" t="s">
        <v>532</v>
      </c>
      <c r="G185" s="58">
        <v>46141</v>
      </c>
      <c r="H185" s="58">
        <v>46202</v>
      </c>
      <c r="I185" s="58">
        <v>46150</v>
      </c>
      <c r="J185" s="59" t="s">
        <v>51</v>
      </c>
      <c r="K185" s="59" t="s">
        <v>51</v>
      </c>
      <c r="L185" s="59" t="s">
        <v>51</v>
      </c>
      <c r="M185" s="59" t="s">
        <v>51</v>
      </c>
      <c r="N185" s="59" t="s">
        <v>50</v>
      </c>
      <c r="O185" s="59" t="s">
        <v>50</v>
      </c>
      <c r="P185" s="59" t="s">
        <v>51</v>
      </c>
      <c r="Q185" s="59" t="s">
        <v>602</v>
      </c>
      <c r="R185" s="59" t="s">
        <v>598</v>
      </c>
    </row>
    <row r="186" spans="1:18">
      <c r="A186" s="59"/>
      <c r="B186" s="59"/>
      <c r="C186" s="59"/>
      <c r="D186" s="59"/>
      <c r="E186" s="59"/>
      <c r="F186" s="3" t="s">
        <v>533</v>
      </c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</row>
    <row r="187" spans="1:18">
      <c r="A187" s="59"/>
      <c r="B187" s="59"/>
      <c r="C187" s="59"/>
      <c r="D187" s="59"/>
      <c r="E187" s="59"/>
      <c r="F187" s="3" t="s">
        <v>534</v>
      </c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</row>
    <row r="188" spans="1:18">
      <c r="A188" s="59"/>
      <c r="B188" s="59"/>
      <c r="C188" s="59"/>
      <c r="D188" s="59"/>
      <c r="E188" s="59"/>
      <c r="F188" s="3" t="s">
        <v>535</v>
      </c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</row>
    <row r="189" spans="1:18">
      <c r="A189" s="59"/>
      <c r="B189" s="59"/>
      <c r="C189" s="59"/>
      <c r="D189" s="59"/>
      <c r="E189" s="59"/>
      <c r="F189" s="3" t="s">
        <v>536</v>
      </c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</row>
    <row r="190" spans="1:18">
      <c r="A190" s="59"/>
      <c r="B190" s="59"/>
      <c r="C190" s="59"/>
      <c r="D190" s="59"/>
      <c r="E190" s="59"/>
      <c r="F190" s="3" t="s">
        <v>537</v>
      </c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</row>
    <row r="191" spans="1:18">
      <c r="A191" s="59"/>
      <c r="B191" s="59"/>
      <c r="C191" s="59"/>
      <c r="D191" s="59"/>
      <c r="E191" s="59"/>
      <c r="F191" s="3" t="s">
        <v>538</v>
      </c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</row>
    <row r="192" spans="1:18">
      <c r="A192" s="59">
        <v>96</v>
      </c>
      <c r="B192" s="59" t="s">
        <v>539</v>
      </c>
      <c r="C192" s="59" t="s">
        <v>483</v>
      </c>
      <c r="D192" s="59" t="s">
        <v>483</v>
      </c>
      <c r="E192" s="59" t="s">
        <v>28</v>
      </c>
      <c r="F192" s="3" t="s">
        <v>540</v>
      </c>
      <c r="G192" s="58">
        <v>46141</v>
      </c>
      <c r="H192" s="58">
        <v>46202</v>
      </c>
      <c r="I192" s="58">
        <v>46146</v>
      </c>
      <c r="J192" s="59" t="s">
        <v>51</v>
      </c>
      <c r="K192" s="59" t="s">
        <v>51</v>
      </c>
      <c r="L192" s="59" t="s">
        <v>51</v>
      </c>
      <c r="M192" s="59" t="s">
        <v>51</v>
      </c>
      <c r="N192" s="59" t="s">
        <v>50</v>
      </c>
      <c r="O192" s="59" t="s">
        <v>50</v>
      </c>
      <c r="P192" s="59" t="s">
        <v>51</v>
      </c>
      <c r="Q192" s="61" t="s">
        <v>637</v>
      </c>
      <c r="R192" s="59"/>
    </row>
    <row r="193" spans="1:18">
      <c r="A193" s="59"/>
      <c r="B193" s="59"/>
      <c r="C193" s="59"/>
      <c r="D193" s="59"/>
      <c r="E193" s="59"/>
      <c r="F193" s="3" t="s">
        <v>541</v>
      </c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61"/>
      <c r="R193" s="59"/>
    </row>
    <row r="194" spans="1:18">
      <c r="A194" s="59"/>
      <c r="B194" s="59"/>
      <c r="C194" s="59"/>
      <c r="D194" s="59"/>
      <c r="E194" s="59"/>
      <c r="F194" s="3" t="s">
        <v>542</v>
      </c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61"/>
      <c r="R194" s="59"/>
    </row>
    <row r="195" spans="1:18">
      <c r="A195" s="59"/>
      <c r="B195" s="59"/>
      <c r="C195" s="59"/>
      <c r="D195" s="59"/>
      <c r="E195" s="59"/>
      <c r="F195" s="3" t="s">
        <v>543</v>
      </c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61"/>
      <c r="R195" s="59"/>
    </row>
    <row r="196" spans="1:18">
      <c r="A196" s="59"/>
      <c r="B196" s="59"/>
      <c r="C196" s="59"/>
      <c r="D196" s="59"/>
      <c r="E196" s="59"/>
      <c r="F196" s="3" t="s">
        <v>544</v>
      </c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61"/>
      <c r="R196" s="59"/>
    </row>
    <row r="197" spans="1:18" s="42" customFormat="1" ht="22.2" customHeight="1">
      <c r="A197" s="3">
        <v>97</v>
      </c>
      <c r="B197" s="3" t="s">
        <v>545</v>
      </c>
      <c r="C197" s="3" t="s">
        <v>546</v>
      </c>
      <c r="D197" s="3" t="s">
        <v>546</v>
      </c>
      <c r="E197" s="3" t="s">
        <v>28</v>
      </c>
      <c r="F197" s="3" t="s">
        <v>547</v>
      </c>
      <c r="G197" s="2">
        <v>46141</v>
      </c>
      <c r="H197" s="2">
        <v>46200</v>
      </c>
      <c r="I197" s="2">
        <v>46150</v>
      </c>
      <c r="J197" s="3" t="s">
        <v>51</v>
      </c>
      <c r="K197" s="3" t="s">
        <v>51</v>
      </c>
      <c r="L197" s="3" t="s">
        <v>51</v>
      </c>
      <c r="M197" s="3" t="s">
        <v>51</v>
      </c>
      <c r="N197" s="3" t="s">
        <v>50</v>
      </c>
      <c r="O197" s="10" t="s">
        <v>50</v>
      </c>
      <c r="P197" s="3" t="s">
        <v>51</v>
      </c>
      <c r="Q197" s="5" t="s">
        <v>718</v>
      </c>
      <c r="R197" s="3" t="s">
        <v>638</v>
      </c>
    </row>
    <row r="198" spans="1:18" hidden="1">
      <c r="A198" s="59">
        <v>98</v>
      </c>
      <c r="B198" s="58" t="s">
        <v>548</v>
      </c>
      <c r="C198" s="58" t="s">
        <v>468</v>
      </c>
      <c r="D198" s="58" t="s">
        <v>468</v>
      </c>
      <c r="E198" s="58" t="s">
        <v>481</v>
      </c>
      <c r="F198" s="3" t="s">
        <v>549</v>
      </c>
      <c r="G198" s="58">
        <v>46150</v>
      </c>
      <c r="H198" s="58">
        <v>46209</v>
      </c>
      <c r="I198" s="58">
        <v>46161</v>
      </c>
      <c r="J198" s="58" t="s">
        <v>51</v>
      </c>
      <c r="K198" s="58" t="s">
        <v>51</v>
      </c>
      <c r="L198" s="58" t="s">
        <v>51</v>
      </c>
      <c r="M198" s="58" t="s">
        <v>51</v>
      </c>
      <c r="N198" s="58" t="s">
        <v>51</v>
      </c>
      <c r="O198" s="58" t="s">
        <v>50</v>
      </c>
      <c r="P198" s="58" t="s">
        <v>51</v>
      </c>
      <c r="Q198" s="60" t="s">
        <v>617</v>
      </c>
      <c r="R198" s="58"/>
    </row>
    <row r="199" spans="1:18" hidden="1">
      <c r="A199" s="59"/>
      <c r="B199" s="59"/>
      <c r="C199" s="59"/>
      <c r="D199" s="59"/>
      <c r="E199" s="59"/>
      <c r="F199" s="3" t="s">
        <v>550</v>
      </c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61"/>
      <c r="R199" s="59"/>
    </row>
    <row r="200" spans="1:18" hidden="1">
      <c r="A200" s="59"/>
      <c r="B200" s="59"/>
      <c r="C200" s="59"/>
      <c r="D200" s="59"/>
      <c r="E200" s="59"/>
      <c r="F200" s="3" t="s">
        <v>551</v>
      </c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61"/>
      <c r="R200" s="59"/>
    </row>
    <row r="201" spans="1:18" hidden="1">
      <c r="A201" s="59"/>
      <c r="B201" s="59"/>
      <c r="C201" s="59"/>
      <c r="D201" s="59"/>
      <c r="E201" s="59"/>
      <c r="F201" s="3" t="s">
        <v>552</v>
      </c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61"/>
      <c r="R201" s="59"/>
    </row>
    <row r="202" spans="1:18">
      <c r="A202" s="50">
        <v>99</v>
      </c>
      <c r="B202" s="50" t="s">
        <v>561</v>
      </c>
      <c r="C202" s="50" t="s">
        <v>616</v>
      </c>
      <c r="D202" s="50" t="s">
        <v>483</v>
      </c>
      <c r="E202" s="50" t="s">
        <v>28</v>
      </c>
      <c r="F202" s="3" t="s">
        <v>562</v>
      </c>
      <c r="G202" s="56">
        <v>46154</v>
      </c>
      <c r="H202" s="56">
        <v>46202</v>
      </c>
      <c r="I202" s="56">
        <v>46164</v>
      </c>
      <c r="J202" s="50" t="s">
        <v>51</v>
      </c>
      <c r="K202" s="50" t="s">
        <v>51</v>
      </c>
      <c r="L202" s="50" t="s">
        <v>51</v>
      </c>
      <c r="M202" s="50" t="s">
        <v>51</v>
      </c>
      <c r="N202" s="50" t="s">
        <v>51</v>
      </c>
      <c r="O202" s="50" t="s">
        <v>50</v>
      </c>
      <c r="P202" s="50" t="s">
        <v>51</v>
      </c>
      <c r="Q202" s="62" t="s">
        <v>617</v>
      </c>
      <c r="R202" s="50"/>
    </row>
    <row r="203" spans="1:18">
      <c r="A203" s="51"/>
      <c r="B203" s="51"/>
      <c r="C203" s="51"/>
      <c r="D203" s="51"/>
      <c r="E203" s="51"/>
      <c r="F203" s="3" t="s">
        <v>563</v>
      </c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63"/>
      <c r="R203" s="51"/>
    </row>
    <row r="204" spans="1:18">
      <c r="A204" s="52"/>
      <c r="B204" s="52"/>
      <c r="C204" s="52"/>
      <c r="D204" s="52"/>
      <c r="E204" s="52"/>
      <c r="F204" s="3" t="s">
        <v>564</v>
      </c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64"/>
      <c r="R204" s="52"/>
    </row>
    <row r="205" spans="1:18">
      <c r="A205" s="59">
        <v>100</v>
      </c>
      <c r="B205" s="59" t="s">
        <v>565</v>
      </c>
      <c r="C205" s="59" t="s">
        <v>87</v>
      </c>
      <c r="D205" s="59" t="s">
        <v>88</v>
      </c>
      <c r="E205" s="59" t="s">
        <v>89</v>
      </c>
      <c r="F205" s="3" t="s">
        <v>566</v>
      </c>
      <c r="G205" s="58">
        <v>46154</v>
      </c>
      <c r="H205" s="58">
        <v>46199</v>
      </c>
      <c r="I205" s="58">
        <v>46162</v>
      </c>
      <c r="J205" s="59" t="s">
        <v>51</v>
      </c>
      <c r="K205" s="59" t="s">
        <v>51</v>
      </c>
      <c r="L205" s="59" t="s">
        <v>51</v>
      </c>
      <c r="M205" s="59" t="s">
        <v>51</v>
      </c>
      <c r="N205" s="59" t="s">
        <v>50</v>
      </c>
      <c r="O205" s="59" t="s">
        <v>50</v>
      </c>
      <c r="P205" s="59" t="s">
        <v>51</v>
      </c>
      <c r="Q205" s="59" t="s">
        <v>611</v>
      </c>
      <c r="R205" s="59"/>
    </row>
    <row r="206" spans="1:18">
      <c r="A206" s="59"/>
      <c r="B206" s="59"/>
      <c r="C206" s="59"/>
      <c r="D206" s="59"/>
      <c r="E206" s="59"/>
      <c r="F206" s="3" t="s">
        <v>567</v>
      </c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</row>
    <row r="207" spans="1:18" ht="13.8" customHeight="1">
      <c r="A207" s="59"/>
      <c r="B207" s="59"/>
      <c r="C207" s="59"/>
      <c r="D207" s="59"/>
      <c r="E207" s="59"/>
      <c r="F207" s="3" t="s">
        <v>568</v>
      </c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</row>
    <row r="208" spans="1:18">
      <c r="A208" s="59"/>
      <c r="B208" s="59"/>
      <c r="C208" s="59"/>
      <c r="D208" s="59"/>
      <c r="E208" s="59"/>
      <c r="F208" s="3" t="s">
        <v>569</v>
      </c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</row>
    <row r="209" spans="1:18">
      <c r="A209" s="59"/>
      <c r="B209" s="59"/>
      <c r="C209" s="59"/>
      <c r="D209" s="59"/>
      <c r="E209" s="59"/>
      <c r="F209" s="3" t="s">
        <v>570</v>
      </c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</row>
    <row r="210" spans="1:18">
      <c r="A210" s="50">
        <v>101</v>
      </c>
      <c r="B210" s="50" t="s">
        <v>571</v>
      </c>
      <c r="C210" s="50" t="str">
        <f>+D210</f>
        <v>LONGKOU BOHAI</v>
      </c>
      <c r="D210" s="50" t="s">
        <v>158</v>
      </c>
      <c r="E210" s="50" t="s">
        <v>25</v>
      </c>
      <c r="F210" s="3" t="s">
        <v>572</v>
      </c>
      <c r="G210" s="56">
        <v>46154</v>
      </c>
      <c r="H210" s="56">
        <v>46199</v>
      </c>
      <c r="I210" s="56">
        <v>46167</v>
      </c>
      <c r="J210" s="50" t="s">
        <v>51</v>
      </c>
      <c r="K210" s="50" t="s">
        <v>51</v>
      </c>
      <c r="L210" s="50" t="s">
        <v>51</v>
      </c>
      <c r="M210" s="50" t="s">
        <v>51</v>
      </c>
      <c r="N210" s="50" t="s">
        <v>51</v>
      </c>
      <c r="O210" s="50" t="s">
        <v>50</v>
      </c>
      <c r="P210" s="50" t="s">
        <v>51</v>
      </c>
      <c r="Q210" s="53" t="s">
        <v>612</v>
      </c>
      <c r="R210" s="50"/>
    </row>
    <row r="211" spans="1:18">
      <c r="A211" s="51"/>
      <c r="B211" s="51"/>
      <c r="C211" s="51"/>
      <c r="D211" s="51"/>
      <c r="E211" s="51"/>
      <c r="F211" s="3" t="s">
        <v>573</v>
      </c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4"/>
      <c r="R211" s="51"/>
    </row>
    <row r="212" spans="1:18">
      <c r="A212" s="52"/>
      <c r="B212" s="52"/>
      <c r="C212" s="52"/>
      <c r="D212" s="52"/>
      <c r="E212" s="52"/>
      <c r="F212" s="3" t="s">
        <v>574</v>
      </c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5"/>
      <c r="R212" s="52"/>
    </row>
    <row r="213" spans="1:18">
      <c r="A213" s="59">
        <v>102</v>
      </c>
      <c r="B213" s="58" t="s">
        <v>575</v>
      </c>
      <c r="C213" s="58" t="s">
        <v>175</v>
      </c>
      <c r="D213" s="58" t="s">
        <v>175</v>
      </c>
      <c r="E213" s="58" t="s">
        <v>25</v>
      </c>
      <c r="F213" s="3" t="s">
        <v>576</v>
      </c>
      <c r="G213" s="58">
        <v>46154</v>
      </c>
      <c r="H213" s="58">
        <v>46199</v>
      </c>
      <c r="I213" s="58">
        <v>46167</v>
      </c>
      <c r="J213" s="58" t="s">
        <v>51</v>
      </c>
      <c r="K213" s="58" t="s">
        <v>51</v>
      </c>
      <c r="L213" s="58" t="s">
        <v>51</v>
      </c>
      <c r="M213" s="58" t="s">
        <v>51</v>
      </c>
      <c r="N213" s="58" t="s">
        <v>51</v>
      </c>
      <c r="O213" s="58" t="s">
        <v>50</v>
      </c>
      <c r="P213" s="58" t="s">
        <v>51</v>
      </c>
      <c r="Q213" s="65" t="s">
        <v>734</v>
      </c>
      <c r="R213" s="58" t="s">
        <v>700</v>
      </c>
    </row>
    <row r="214" spans="1:18">
      <c r="A214" s="59"/>
      <c r="B214" s="59"/>
      <c r="C214" s="59"/>
      <c r="D214" s="59"/>
      <c r="E214" s="59"/>
      <c r="F214" s="3" t="s">
        <v>577</v>
      </c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66"/>
      <c r="R214" s="59"/>
    </row>
    <row r="215" spans="1:18" s="42" customFormat="1" ht="22.2" customHeight="1">
      <c r="A215" s="3">
        <v>103</v>
      </c>
      <c r="B215" s="3" t="s">
        <v>580</v>
      </c>
      <c r="C215" s="3" t="s">
        <v>129</v>
      </c>
      <c r="D215" s="3" t="s">
        <v>581</v>
      </c>
      <c r="E215" s="3" t="s">
        <v>89</v>
      </c>
      <c r="F215" s="3" t="s">
        <v>582</v>
      </c>
      <c r="G215" s="2">
        <v>46154</v>
      </c>
      <c r="H215" s="2">
        <v>46200</v>
      </c>
      <c r="I215" s="2">
        <v>46164</v>
      </c>
      <c r="J215" s="3" t="s">
        <v>51</v>
      </c>
      <c r="K215" s="3" t="s">
        <v>51</v>
      </c>
      <c r="L215" s="3" t="s">
        <v>51</v>
      </c>
      <c r="M215" s="3" t="s">
        <v>51</v>
      </c>
      <c r="N215" s="3" t="s">
        <v>50</v>
      </c>
      <c r="O215" s="10" t="s">
        <v>50</v>
      </c>
      <c r="P215" s="3" t="s">
        <v>51</v>
      </c>
      <c r="Q215" s="5" t="s">
        <v>617</v>
      </c>
      <c r="R215" s="3"/>
    </row>
    <row r="216" spans="1:18" s="42" customFormat="1" ht="22.2" customHeight="1">
      <c r="A216" s="3">
        <v>104</v>
      </c>
      <c r="B216" s="3" t="s">
        <v>583</v>
      </c>
      <c r="C216" s="3" t="s">
        <v>613</v>
      </c>
      <c r="D216" s="3" t="s">
        <v>584</v>
      </c>
      <c r="E216" s="3" t="s">
        <v>28</v>
      </c>
      <c r="F216" s="3" t="s">
        <v>585</v>
      </c>
      <c r="G216" s="2">
        <v>46154</v>
      </c>
      <c r="H216" s="2">
        <v>46210</v>
      </c>
      <c r="I216" s="2">
        <v>46167</v>
      </c>
      <c r="J216" s="3" t="s">
        <v>51</v>
      </c>
      <c r="K216" s="3" t="s">
        <v>51</v>
      </c>
      <c r="L216" s="3" t="s">
        <v>51</v>
      </c>
      <c r="M216" s="3" t="s">
        <v>51</v>
      </c>
      <c r="N216" s="3" t="s">
        <v>51</v>
      </c>
      <c r="O216" s="10" t="s">
        <v>50</v>
      </c>
      <c r="P216" s="3" t="s">
        <v>51</v>
      </c>
      <c r="Q216" s="112" t="s">
        <v>733</v>
      </c>
      <c r="R216" s="3" t="s">
        <v>607</v>
      </c>
    </row>
    <row r="217" spans="1:18" s="42" customFormat="1" ht="22.2" customHeight="1">
      <c r="A217" s="3">
        <v>105</v>
      </c>
      <c r="B217" s="3" t="s">
        <v>586</v>
      </c>
      <c r="C217" s="3" t="str">
        <f>+D217</f>
        <v>HUNAN JINYUEYANG</v>
      </c>
      <c r="D217" s="3" t="s">
        <v>67</v>
      </c>
      <c r="E217" s="3" t="s">
        <v>25</v>
      </c>
      <c r="F217" s="3" t="s">
        <v>587</v>
      </c>
      <c r="G217" s="2">
        <v>46154</v>
      </c>
      <c r="H217" s="2">
        <v>46208</v>
      </c>
      <c r="I217" s="2">
        <v>46167</v>
      </c>
      <c r="J217" s="3" t="s">
        <v>51</v>
      </c>
      <c r="K217" s="3" t="s">
        <v>51</v>
      </c>
      <c r="L217" s="3" t="s">
        <v>51</v>
      </c>
      <c r="M217" s="3" t="s">
        <v>51</v>
      </c>
      <c r="N217" s="3" t="s">
        <v>51</v>
      </c>
      <c r="O217" s="10" t="s">
        <v>50</v>
      </c>
      <c r="P217" s="3" t="s">
        <v>51</v>
      </c>
      <c r="Q217" s="3" t="s">
        <v>5</v>
      </c>
      <c r="R217" s="3" t="s">
        <v>639</v>
      </c>
    </row>
    <row r="218" spans="1:18" s="42" customFormat="1" ht="22.2" customHeight="1">
      <c r="A218" s="3">
        <v>106</v>
      </c>
      <c r="B218" s="3" t="s">
        <v>588</v>
      </c>
      <c r="C218" s="3" t="s">
        <v>129</v>
      </c>
      <c r="D218" s="3" t="s">
        <v>199</v>
      </c>
      <c r="E218" s="3" t="s">
        <v>89</v>
      </c>
      <c r="F218" s="3" t="s">
        <v>589</v>
      </c>
      <c r="G218" s="2">
        <v>46154</v>
      </c>
      <c r="H218" s="2">
        <v>46215</v>
      </c>
      <c r="I218" s="2">
        <v>46164</v>
      </c>
      <c r="J218" s="3" t="s">
        <v>51</v>
      </c>
      <c r="K218" s="3" t="s">
        <v>51</v>
      </c>
      <c r="L218" s="3" t="s">
        <v>51</v>
      </c>
      <c r="M218" s="3" t="s">
        <v>51</v>
      </c>
      <c r="N218" s="3" t="s">
        <v>50</v>
      </c>
      <c r="O218" s="10" t="s">
        <v>50</v>
      </c>
      <c r="P218" s="3" t="s">
        <v>51</v>
      </c>
      <c r="Q218" s="5" t="s">
        <v>617</v>
      </c>
      <c r="R218" s="3"/>
    </row>
    <row r="219" spans="1:18" s="42" customFormat="1" ht="22.2" customHeight="1">
      <c r="A219" s="3">
        <v>107</v>
      </c>
      <c r="B219" s="3" t="s">
        <v>590</v>
      </c>
      <c r="C219" s="3" t="s">
        <v>665</v>
      </c>
      <c r="D219" s="3" t="s">
        <v>591</v>
      </c>
      <c r="E219" s="3" t="s">
        <v>89</v>
      </c>
      <c r="F219" s="3" t="s">
        <v>664</v>
      </c>
      <c r="G219" s="2">
        <v>46157</v>
      </c>
      <c r="H219" s="2">
        <v>46232</v>
      </c>
      <c r="I219" s="2">
        <v>46169</v>
      </c>
      <c r="J219" s="3" t="s">
        <v>51</v>
      </c>
      <c r="K219" s="3" t="s">
        <v>51</v>
      </c>
      <c r="L219" s="3" t="s">
        <v>51</v>
      </c>
      <c r="M219" s="3" t="s">
        <v>51</v>
      </c>
      <c r="N219" s="3" t="s">
        <v>51</v>
      </c>
      <c r="O219" s="10" t="s">
        <v>50</v>
      </c>
      <c r="P219" s="3" t="s">
        <v>51</v>
      </c>
      <c r="Q219" s="3" t="s">
        <v>702</v>
      </c>
      <c r="R219" s="3"/>
    </row>
    <row r="220" spans="1:18" s="42" customFormat="1" ht="21.6" hidden="1" customHeight="1">
      <c r="A220" s="3">
        <v>108</v>
      </c>
      <c r="B220" s="3" t="s">
        <v>614</v>
      </c>
      <c r="C220" s="3" t="s">
        <v>468</v>
      </c>
      <c r="D220" s="3" t="s">
        <v>468</v>
      </c>
      <c r="E220" s="3" t="s">
        <v>25</v>
      </c>
      <c r="F220" s="3" t="s">
        <v>615</v>
      </c>
      <c r="G220" s="2">
        <v>46157</v>
      </c>
      <c r="H220" s="2">
        <v>46216</v>
      </c>
      <c r="I220" s="2">
        <v>46168</v>
      </c>
      <c r="J220" s="3" t="s">
        <v>51</v>
      </c>
      <c r="K220" s="3" t="s">
        <v>51</v>
      </c>
      <c r="L220" s="3" t="s">
        <v>51</v>
      </c>
      <c r="M220" s="3" t="s">
        <v>51</v>
      </c>
      <c r="N220" s="3" t="s">
        <v>51</v>
      </c>
      <c r="O220" s="10" t="s">
        <v>50</v>
      </c>
      <c r="P220" s="3" t="s">
        <v>51</v>
      </c>
      <c r="Q220" s="5" t="s">
        <v>617</v>
      </c>
      <c r="R220" s="3"/>
    </row>
    <row r="221" spans="1:18">
      <c r="A221" s="50">
        <v>109</v>
      </c>
      <c r="B221" s="50" t="s">
        <v>618</v>
      </c>
      <c r="C221" s="50" t="s">
        <v>620</v>
      </c>
      <c r="D221" s="50" t="s">
        <v>619</v>
      </c>
      <c r="E221" s="50" t="s">
        <v>621</v>
      </c>
      <c r="F221" s="3" t="s">
        <v>622</v>
      </c>
      <c r="G221" s="56">
        <v>46157</v>
      </c>
      <c r="H221" s="56">
        <v>46221</v>
      </c>
      <c r="I221" s="56">
        <v>46169</v>
      </c>
      <c r="J221" s="50" t="s">
        <v>51</v>
      </c>
      <c r="K221" s="50" t="s">
        <v>51</v>
      </c>
      <c r="L221" s="50" t="s">
        <v>51</v>
      </c>
      <c r="M221" s="50" t="s">
        <v>51</v>
      </c>
      <c r="N221" s="50" t="s">
        <v>51</v>
      </c>
      <c r="O221" s="50" t="s">
        <v>50</v>
      </c>
      <c r="P221" s="50" t="s">
        <v>51</v>
      </c>
      <c r="Q221" s="62" t="s">
        <v>5</v>
      </c>
      <c r="R221" s="50" t="s">
        <v>625</v>
      </c>
    </row>
    <row r="222" spans="1:18">
      <c r="A222" s="51"/>
      <c r="B222" s="51"/>
      <c r="C222" s="51"/>
      <c r="D222" s="51"/>
      <c r="E222" s="51"/>
      <c r="F222" s="3" t="s">
        <v>623</v>
      </c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63"/>
      <c r="R222" s="51"/>
    </row>
    <row r="223" spans="1:18">
      <c r="A223" s="52"/>
      <c r="B223" s="52"/>
      <c r="C223" s="52"/>
      <c r="D223" s="52"/>
      <c r="E223" s="52"/>
      <c r="F223" s="3" t="s">
        <v>624</v>
      </c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64"/>
      <c r="R223" s="52"/>
    </row>
    <row r="224" spans="1:18" s="42" customFormat="1" ht="22.2" customHeight="1">
      <c r="A224" s="44">
        <v>110</v>
      </c>
      <c r="B224" s="44" t="s">
        <v>626</v>
      </c>
      <c r="C224" s="44" t="s">
        <v>175</v>
      </c>
      <c r="D224" s="44" t="str">
        <f>+C224</f>
        <v>LONGKOU YUNFENG</v>
      </c>
      <c r="E224" s="44" t="s">
        <v>25</v>
      </c>
      <c r="F224" s="3" t="s">
        <v>627</v>
      </c>
      <c r="G224" s="46">
        <v>46157</v>
      </c>
      <c r="H224" s="46">
        <v>46216</v>
      </c>
      <c r="I224" s="46">
        <v>46170</v>
      </c>
      <c r="J224" s="44" t="s">
        <v>51</v>
      </c>
      <c r="K224" s="44" t="s">
        <v>51</v>
      </c>
      <c r="L224" s="44" t="s">
        <v>51</v>
      </c>
      <c r="M224" s="44" t="s">
        <v>51</v>
      </c>
      <c r="N224" s="44" t="s">
        <v>51</v>
      </c>
      <c r="O224" s="44" t="s">
        <v>50</v>
      </c>
      <c r="P224" s="44" t="s">
        <v>51</v>
      </c>
      <c r="Q224" s="44" t="s">
        <v>703</v>
      </c>
      <c r="R224" s="3" t="s">
        <v>700</v>
      </c>
    </row>
    <row r="225" spans="1:18">
      <c r="A225" s="59">
        <v>111</v>
      </c>
      <c r="B225" s="58" t="s">
        <v>632</v>
      </c>
      <c r="C225" s="58" t="s">
        <v>631</v>
      </c>
      <c r="D225" s="58" t="str">
        <f>+C225</f>
        <v xml:space="preserve">TSUJINO </v>
      </c>
      <c r="E225" s="58" t="s">
        <v>633</v>
      </c>
      <c r="F225" s="3" t="s">
        <v>634</v>
      </c>
      <c r="G225" s="58">
        <v>46157</v>
      </c>
      <c r="H225" s="58">
        <v>46189</v>
      </c>
      <c r="I225" s="58">
        <v>46171</v>
      </c>
      <c r="J225" s="58" t="s">
        <v>51</v>
      </c>
      <c r="K225" s="58" t="s">
        <v>51</v>
      </c>
      <c r="L225" s="58" t="s">
        <v>51</v>
      </c>
      <c r="M225" s="58" t="s">
        <v>51</v>
      </c>
      <c r="N225" s="58" t="s">
        <v>50</v>
      </c>
      <c r="O225" s="58" t="s">
        <v>50</v>
      </c>
      <c r="P225" s="58" t="s">
        <v>51</v>
      </c>
      <c r="Q225" s="60" t="s">
        <v>704</v>
      </c>
      <c r="R225" s="58"/>
    </row>
    <row r="226" spans="1:18" ht="19.2" customHeight="1">
      <c r="A226" s="59">
        <v>112</v>
      </c>
      <c r="B226" s="59"/>
      <c r="C226" s="59"/>
      <c r="D226" s="59"/>
      <c r="E226" s="59"/>
      <c r="F226" s="49" t="s">
        <v>635</v>
      </c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61"/>
      <c r="R226" s="59"/>
    </row>
    <row r="227" spans="1:18" s="42" customFormat="1" ht="22.2" customHeight="1">
      <c r="A227" s="44">
        <v>112</v>
      </c>
      <c r="B227" s="44" t="s">
        <v>674</v>
      </c>
      <c r="C227" s="44" t="s">
        <v>666</v>
      </c>
      <c r="D227" s="44" t="str">
        <f>+C227</f>
        <v xml:space="preserve">KULALIA S.L </v>
      </c>
      <c r="E227" s="44" t="s">
        <v>41</v>
      </c>
      <c r="F227" s="3" t="s">
        <v>667</v>
      </c>
      <c r="G227" s="46">
        <v>46160</v>
      </c>
      <c r="H227" s="46">
        <v>46189</v>
      </c>
      <c r="I227" s="46"/>
      <c r="J227" s="44" t="s">
        <v>51</v>
      </c>
      <c r="K227" s="44" t="s">
        <v>51</v>
      </c>
      <c r="L227" s="44" t="s">
        <v>51</v>
      </c>
      <c r="M227" s="44" t="s">
        <v>51</v>
      </c>
      <c r="N227" s="44" t="s">
        <v>51</v>
      </c>
      <c r="O227" s="44" t="s">
        <v>51</v>
      </c>
      <c r="P227" s="44" t="s">
        <v>51</v>
      </c>
      <c r="Q227" s="44" t="s">
        <v>677</v>
      </c>
      <c r="R227" s="3"/>
    </row>
    <row r="228" spans="1:18" s="42" customFormat="1" ht="22.2" customHeight="1">
      <c r="A228" s="3">
        <v>113</v>
      </c>
      <c r="B228" s="3" t="s">
        <v>669</v>
      </c>
      <c r="C228" s="3" t="s">
        <v>668</v>
      </c>
      <c r="D228" s="3" t="s">
        <v>668</v>
      </c>
      <c r="E228" s="3" t="s">
        <v>207</v>
      </c>
      <c r="F228" s="3" t="s">
        <v>672</v>
      </c>
      <c r="G228" s="2">
        <v>46160</v>
      </c>
      <c r="H228" s="2">
        <v>46192</v>
      </c>
      <c r="I228" s="2"/>
      <c r="J228" s="3" t="s">
        <v>51</v>
      </c>
      <c r="K228" s="3" t="s">
        <v>51</v>
      </c>
      <c r="L228" s="3" t="s">
        <v>51</v>
      </c>
      <c r="M228" s="3" t="s">
        <v>51</v>
      </c>
      <c r="N228" s="3" t="s">
        <v>51</v>
      </c>
      <c r="O228" s="10" t="s">
        <v>51</v>
      </c>
      <c r="P228" s="3" t="s">
        <v>51</v>
      </c>
      <c r="Q228" s="2" t="s">
        <v>706</v>
      </c>
      <c r="R228" s="3"/>
    </row>
    <row r="229" spans="1:18" s="42" customFormat="1" ht="22.2" customHeight="1">
      <c r="A229" s="3">
        <v>114</v>
      </c>
      <c r="B229" s="3" t="s">
        <v>671</v>
      </c>
      <c r="C229" s="3" t="s">
        <v>670</v>
      </c>
      <c r="D229" s="3" t="s">
        <v>670</v>
      </c>
      <c r="E229" s="44" t="s">
        <v>41</v>
      </c>
      <c r="F229" s="3" t="s">
        <v>673</v>
      </c>
      <c r="G229" s="2">
        <v>46160</v>
      </c>
      <c r="H229" s="2">
        <v>46189</v>
      </c>
      <c r="I229" s="2"/>
      <c r="J229" s="3" t="s">
        <v>51</v>
      </c>
      <c r="K229" s="3" t="s">
        <v>51</v>
      </c>
      <c r="L229" s="3" t="s">
        <v>51</v>
      </c>
      <c r="M229" s="3" t="s">
        <v>51</v>
      </c>
      <c r="N229" s="3" t="s">
        <v>51</v>
      </c>
      <c r="O229" s="10" t="s">
        <v>51</v>
      </c>
      <c r="P229" s="3" t="s">
        <v>51</v>
      </c>
      <c r="Q229" s="3" t="s">
        <v>705</v>
      </c>
      <c r="R229" s="3"/>
    </row>
    <row r="230" spans="1:18" s="42" customFormat="1" ht="22.2" customHeight="1">
      <c r="A230" s="50">
        <v>115</v>
      </c>
      <c r="B230" s="50" t="s">
        <v>648</v>
      </c>
      <c r="C230" s="50" t="s">
        <v>175</v>
      </c>
      <c r="D230" s="50" t="s">
        <v>175</v>
      </c>
      <c r="E230" s="50" t="s">
        <v>25</v>
      </c>
      <c r="F230" s="3" t="s">
        <v>649</v>
      </c>
      <c r="G230" s="56">
        <v>46165</v>
      </c>
      <c r="H230" s="56">
        <v>46207</v>
      </c>
      <c r="I230" s="56">
        <v>46174</v>
      </c>
      <c r="J230" s="50" t="s">
        <v>51</v>
      </c>
      <c r="K230" s="50" t="s">
        <v>51</v>
      </c>
      <c r="L230" s="50" t="s">
        <v>51</v>
      </c>
      <c r="M230" s="50" t="s">
        <v>51</v>
      </c>
      <c r="N230" s="50" t="s">
        <v>51</v>
      </c>
      <c r="O230" s="50" t="s">
        <v>50</v>
      </c>
      <c r="P230" s="50" t="s">
        <v>51</v>
      </c>
      <c r="Q230" s="53" t="s">
        <v>699</v>
      </c>
      <c r="R230" s="50"/>
    </row>
    <row r="231" spans="1:18" s="42" customFormat="1" ht="22.2" customHeight="1">
      <c r="A231" s="52"/>
      <c r="B231" s="52"/>
      <c r="C231" s="52"/>
      <c r="D231" s="52"/>
      <c r="E231" s="52"/>
      <c r="F231" s="45" t="s">
        <v>650</v>
      </c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5"/>
      <c r="R231" s="52"/>
    </row>
    <row r="232" spans="1:18" s="42" customFormat="1" ht="22.2" hidden="1" customHeight="1">
      <c r="A232" s="3">
        <v>116</v>
      </c>
      <c r="B232" s="3" t="s">
        <v>662</v>
      </c>
      <c r="C232" s="3" t="s">
        <v>468</v>
      </c>
      <c r="D232" s="3" t="s">
        <v>468</v>
      </c>
      <c r="E232" s="3" t="s">
        <v>25</v>
      </c>
      <c r="F232" s="3" t="s">
        <v>663</v>
      </c>
      <c r="G232" s="2">
        <v>46165</v>
      </c>
      <c r="H232" s="2">
        <v>46206</v>
      </c>
      <c r="I232" s="2"/>
      <c r="J232" s="3" t="s">
        <v>51</v>
      </c>
      <c r="K232" s="3" t="s">
        <v>51</v>
      </c>
      <c r="L232" s="3" t="s">
        <v>51</v>
      </c>
      <c r="M232" s="3" t="s">
        <v>51</v>
      </c>
      <c r="N232" s="3" t="s">
        <v>51</v>
      </c>
      <c r="O232" s="10" t="s">
        <v>50</v>
      </c>
      <c r="P232" s="3" t="s">
        <v>51</v>
      </c>
      <c r="Q232" s="3" t="s">
        <v>702</v>
      </c>
      <c r="R232" s="3"/>
    </row>
    <row r="233" spans="1:18" s="42" customFormat="1" ht="22.2" customHeight="1">
      <c r="A233" s="3">
        <v>117</v>
      </c>
      <c r="B233" s="3" t="s">
        <v>645</v>
      </c>
      <c r="C233" s="3" t="s">
        <v>646</v>
      </c>
      <c r="D233" s="3" t="str">
        <f>+C233</f>
        <v>YANTAI HONGCHANG</v>
      </c>
      <c r="E233" s="3" t="s">
        <v>72</v>
      </c>
      <c r="F233" s="3" t="s">
        <v>647</v>
      </c>
      <c r="G233" s="2">
        <v>46165</v>
      </c>
      <c r="H233" s="2">
        <v>46216</v>
      </c>
      <c r="I233" s="2">
        <v>46174</v>
      </c>
      <c r="J233" s="3" t="s">
        <v>51</v>
      </c>
      <c r="K233" s="3" t="s">
        <v>51</v>
      </c>
      <c r="L233" s="3" t="s">
        <v>51</v>
      </c>
      <c r="M233" s="3" t="s">
        <v>51</v>
      </c>
      <c r="N233" s="3" t="s">
        <v>51</v>
      </c>
      <c r="O233" s="10"/>
      <c r="P233" s="3" t="s">
        <v>51</v>
      </c>
      <c r="Q233" s="47" t="s">
        <v>699</v>
      </c>
      <c r="R233" s="3"/>
    </row>
    <row r="234" spans="1:18" s="42" customFormat="1" ht="22.2" customHeight="1">
      <c r="A234" s="50">
        <v>118</v>
      </c>
      <c r="B234" s="50" t="s">
        <v>640</v>
      </c>
      <c r="C234" s="50" t="s">
        <v>468</v>
      </c>
      <c r="D234" s="50" t="s">
        <v>468</v>
      </c>
      <c r="E234" s="50" t="s">
        <v>25</v>
      </c>
      <c r="F234" s="3" t="s">
        <v>641</v>
      </c>
      <c r="G234" s="56">
        <v>46165</v>
      </c>
      <c r="H234" s="56">
        <v>46228</v>
      </c>
      <c r="I234" s="56">
        <v>46176</v>
      </c>
      <c r="J234" s="50" t="s">
        <v>51</v>
      </c>
      <c r="K234" s="50" t="s">
        <v>51</v>
      </c>
      <c r="L234" s="50" t="s">
        <v>51</v>
      </c>
      <c r="M234" s="50" t="s">
        <v>51</v>
      </c>
      <c r="N234" s="50" t="s">
        <v>51</v>
      </c>
      <c r="O234" s="50" t="s">
        <v>50</v>
      </c>
      <c r="P234" s="50" t="s">
        <v>51</v>
      </c>
      <c r="Q234" s="53" t="s">
        <v>699</v>
      </c>
      <c r="R234" s="50"/>
    </row>
    <row r="235" spans="1:18" s="42" customFormat="1" ht="22.2" customHeight="1">
      <c r="A235" s="51"/>
      <c r="B235" s="51"/>
      <c r="C235" s="51"/>
      <c r="D235" s="51"/>
      <c r="E235" s="51"/>
      <c r="F235" s="3" t="s">
        <v>642</v>
      </c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4"/>
      <c r="R235" s="51"/>
    </row>
    <row r="236" spans="1:18" s="42" customFormat="1" ht="22.2" customHeight="1">
      <c r="A236" s="51"/>
      <c r="B236" s="51"/>
      <c r="C236" s="51"/>
      <c r="D236" s="51"/>
      <c r="E236" s="51"/>
      <c r="F236" s="3" t="s">
        <v>643</v>
      </c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4"/>
      <c r="R236" s="51"/>
    </row>
    <row r="237" spans="1:18" s="42" customFormat="1" ht="22.2" customHeight="1">
      <c r="A237" s="52"/>
      <c r="B237" s="52" t="s">
        <v>640</v>
      </c>
      <c r="C237" s="52" t="s">
        <v>468</v>
      </c>
      <c r="D237" s="52" t="s">
        <v>468</v>
      </c>
      <c r="E237" s="52" t="s">
        <v>25</v>
      </c>
      <c r="F237" s="3" t="s">
        <v>644</v>
      </c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5"/>
      <c r="R237" s="52"/>
    </row>
    <row r="238" spans="1:18" s="42" customFormat="1" ht="22.2" customHeight="1">
      <c r="A238" s="50">
        <v>119</v>
      </c>
      <c r="B238" s="50" t="s">
        <v>628</v>
      </c>
      <c r="C238" s="50" t="s">
        <v>620</v>
      </c>
      <c r="D238" s="50" t="s">
        <v>619</v>
      </c>
      <c r="E238" s="50" t="s">
        <v>28</v>
      </c>
      <c r="F238" s="3" t="s">
        <v>629</v>
      </c>
      <c r="G238" s="56">
        <v>46165</v>
      </c>
      <c r="H238" s="56">
        <v>46218</v>
      </c>
      <c r="I238" s="56">
        <v>46170</v>
      </c>
      <c r="J238" s="50" t="s">
        <v>51</v>
      </c>
      <c r="K238" s="50" t="s">
        <v>51</v>
      </c>
      <c r="L238" s="50" t="s">
        <v>51</v>
      </c>
      <c r="M238" s="50" t="s">
        <v>51</v>
      </c>
      <c r="N238" s="50" t="s">
        <v>51</v>
      </c>
      <c r="O238" s="50" t="s">
        <v>50</v>
      </c>
      <c r="P238" s="50" t="s">
        <v>51</v>
      </c>
      <c r="Q238" s="53" t="s">
        <v>707</v>
      </c>
      <c r="R238" s="50"/>
    </row>
    <row r="239" spans="1:18" s="42" customFormat="1" ht="22.2" customHeight="1">
      <c r="A239" s="52"/>
      <c r="B239" s="52"/>
      <c r="C239" s="52"/>
      <c r="D239" s="52"/>
      <c r="E239" s="52"/>
      <c r="F239" s="45" t="s">
        <v>630</v>
      </c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5"/>
      <c r="R239" s="52"/>
    </row>
    <row r="240" spans="1:18" s="42" customFormat="1" ht="22.2" customHeight="1">
      <c r="A240" s="50">
        <v>120</v>
      </c>
      <c r="B240" s="50" t="s">
        <v>680</v>
      </c>
      <c r="C240" s="50" t="s">
        <v>681</v>
      </c>
      <c r="D240" s="50" t="str">
        <f>+C240</f>
        <v>ZHOUSHAN EAST</v>
      </c>
      <c r="E240" s="50" t="s">
        <v>682</v>
      </c>
      <c r="F240" s="3" t="s">
        <v>683</v>
      </c>
      <c r="G240" s="56">
        <v>46164</v>
      </c>
      <c r="H240" s="56">
        <v>46210</v>
      </c>
      <c r="I240" s="56">
        <v>46178</v>
      </c>
      <c r="J240" s="50" t="s">
        <v>51</v>
      </c>
      <c r="K240" s="50" t="s">
        <v>51</v>
      </c>
      <c r="L240" s="50" t="s">
        <v>51</v>
      </c>
      <c r="M240" s="50" t="s">
        <v>51</v>
      </c>
      <c r="N240" s="50" t="s">
        <v>51</v>
      </c>
      <c r="O240" s="50" t="s">
        <v>50</v>
      </c>
      <c r="P240" s="50" t="s">
        <v>51</v>
      </c>
      <c r="Q240" s="53" t="s">
        <v>699</v>
      </c>
      <c r="R240" s="50"/>
    </row>
    <row r="241" spans="1:18" s="42" customFormat="1" ht="22.2" customHeight="1">
      <c r="A241" s="51"/>
      <c r="B241" s="51"/>
      <c r="C241" s="51"/>
      <c r="D241" s="51"/>
      <c r="E241" s="51"/>
      <c r="F241" s="3" t="s">
        <v>684</v>
      </c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4"/>
      <c r="R241" s="51"/>
    </row>
    <row r="242" spans="1:18" s="42" customFormat="1" ht="22.2" customHeight="1">
      <c r="A242" s="52"/>
      <c r="B242" s="52"/>
      <c r="C242" s="52"/>
      <c r="D242" s="52"/>
      <c r="E242" s="52"/>
      <c r="F242" s="3" t="s">
        <v>685</v>
      </c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5"/>
      <c r="R242" s="52"/>
    </row>
    <row r="243" spans="1:18" s="42" customFormat="1" ht="22.2" hidden="1" customHeight="1">
      <c r="A243" s="50">
        <v>121</v>
      </c>
      <c r="B243" s="50" t="s">
        <v>651</v>
      </c>
      <c r="C243" s="50" t="s">
        <v>652</v>
      </c>
      <c r="D243" s="50" t="str">
        <f>+C243</f>
        <v>ZHEJIANG ZHOUFU</v>
      </c>
      <c r="E243" s="50" t="s">
        <v>653</v>
      </c>
      <c r="F243" s="3" t="s">
        <v>654</v>
      </c>
      <c r="G243" s="56">
        <v>46165</v>
      </c>
      <c r="H243" s="56">
        <v>46178</v>
      </c>
      <c r="I243" s="56"/>
      <c r="J243" s="50" t="s">
        <v>51</v>
      </c>
      <c r="K243" s="50" t="s">
        <v>51</v>
      </c>
      <c r="L243" s="50" t="s">
        <v>51</v>
      </c>
      <c r="M243" s="50" t="s">
        <v>51</v>
      </c>
      <c r="N243" s="50" t="s">
        <v>51</v>
      </c>
      <c r="O243" s="50" t="s">
        <v>50</v>
      </c>
      <c r="P243" s="50" t="s">
        <v>51</v>
      </c>
      <c r="Q243" s="62" t="s">
        <v>701</v>
      </c>
      <c r="R243" s="50"/>
    </row>
    <row r="244" spans="1:18" s="42" customFormat="1" ht="22.2" hidden="1" customHeight="1">
      <c r="A244" s="52"/>
      <c r="B244" s="52"/>
      <c r="C244" s="52"/>
      <c r="D244" s="52"/>
      <c r="E244" s="52"/>
      <c r="F244" s="45" t="s">
        <v>655</v>
      </c>
      <c r="G244" s="57"/>
      <c r="H244" s="57"/>
      <c r="I244" s="57"/>
      <c r="J244" s="52"/>
      <c r="K244" s="52"/>
      <c r="L244" s="52"/>
      <c r="M244" s="52"/>
      <c r="N244" s="52"/>
      <c r="O244" s="52"/>
      <c r="P244" s="52"/>
      <c r="Q244" s="64"/>
      <c r="R244" s="52"/>
    </row>
    <row r="245" spans="1:18" s="42" customFormat="1" ht="22.2" customHeight="1">
      <c r="A245" s="50">
        <v>122</v>
      </c>
      <c r="B245" s="50" t="s">
        <v>656</v>
      </c>
      <c r="C245" s="50" t="s">
        <v>657</v>
      </c>
      <c r="D245" s="50" t="s">
        <v>657</v>
      </c>
      <c r="E245" s="50" t="s">
        <v>72</v>
      </c>
      <c r="F245" s="3" t="s">
        <v>658</v>
      </c>
      <c r="G245" s="56">
        <v>46165</v>
      </c>
      <c r="H245" s="56">
        <v>46209</v>
      </c>
      <c r="I245" s="56">
        <v>46178</v>
      </c>
      <c r="J245" s="50" t="s">
        <v>51</v>
      </c>
      <c r="K245" s="50" t="s">
        <v>51</v>
      </c>
      <c r="L245" s="50" t="s">
        <v>51</v>
      </c>
      <c r="M245" s="50" t="s">
        <v>51</v>
      </c>
      <c r="N245" s="50" t="s">
        <v>51</v>
      </c>
      <c r="O245" s="50" t="s">
        <v>50</v>
      </c>
      <c r="P245" s="50" t="s">
        <v>51</v>
      </c>
      <c r="Q245" s="50" t="s">
        <v>5</v>
      </c>
      <c r="R245" s="50"/>
    </row>
    <row r="246" spans="1:18" s="42" customFormat="1" ht="22.2" customHeight="1">
      <c r="A246" s="51"/>
      <c r="B246" s="51"/>
      <c r="C246" s="51"/>
      <c r="D246" s="51"/>
      <c r="E246" s="51"/>
      <c r="F246" s="3" t="s">
        <v>659</v>
      </c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</row>
    <row r="247" spans="1:18" s="42" customFormat="1" ht="22.2" customHeight="1">
      <c r="A247" s="51"/>
      <c r="B247" s="51"/>
      <c r="C247" s="51"/>
      <c r="D247" s="51"/>
      <c r="E247" s="51"/>
      <c r="F247" s="3" t="s">
        <v>660</v>
      </c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</row>
    <row r="248" spans="1:18" s="42" customFormat="1" ht="22.2" customHeight="1">
      <c r="A248" s="52"/>
      <c r="B248" s="52"/>
      <c r="C248" s="52"/>
      <c r="D248" s="52"/>
      <c r="E248" s="52"/>
      <c r="F248" s="3" t="s">
        <v>661</v>
      </c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</row>
    <row r="249" spans="1:18" s="42" customFormat="1" ht="22.2" customHeight="1">
      <c r="A249" s="3">
        <v>123</v>
      </c>
      <c r="B249" s="44" t="s">
        <v>675</v>
      </c>
      <c r="C249" s="44" t="s">
        <v>410</v>
      </c>
      <c r="D249" s="44" t="str">
        <f>+C249</f>
        <v>GLOBAL OCEAN</v>
      </c>
      <c r="E249" s="44" t="s">
        <v>41</v>
      </c>
      <c r="F249" s="3" t="s">
        <v>676</v>
      </c>
      <c r="G249" s="46">
        <v>46168</v>
      </c>
      <c r="H249" s="2">
        <v>46189</v>
      </c>
      <c r="I249" s="46">
        <v>46177</v>
      </c>
      <c r="J249" s="44" t="s">
        <v>51</v>
      </c>
      <c r="K249" s="44" t="s">
        <v>51</v>
      </c>
      <c r="L249" s="44" t="s">
        <v>51</v>
      </c>
      <c r="M249" s="44" t="s">
        <v>51</v>
      </c>
      <c r="N249" s="44" t="s">
        <v>51</v>
      </c>
      <c r="O249" s="44" t="s">
        <v>51</v>
      </c>
      <c r="P249" s="44" t="s">
        <v>51</v>
      </c>
      <c r="Q249" s="44" t="s">
        <v>677</v>
      </c>
      <c r="R249" s="44"/>
    </row>
    <row r="250" spans="1:18" s="42" customFormat="1" ht="22.2" customHeight="1">
      <c r="A250" s="3">
        <v>124</v>
      </c>
      <c r="B250" s="3" t="s">
        <v>711</v>
      </c>
      <c r="C250" s="3" t="s">
        <v>175</v>
      </c>
      <c r="D250" s="3" t="str">
        <f>+C250</f>
        <v>LONGKOU YUNFENG</v>
      </c>
      <c r="E250" s="3" t="s">
        <v>25</v>
      </c>
      <c r="F250" s="3" t="s">
        <v>712</v>
      </c>
      <c r="G250" s="2">
        <v>46171</v>
      </c>
      <c r="H250" s="2">
        <v>46236</v>
      </c>
      <c r="I250" s="2">
        <v>46181</v>
      </c>
      <c r="J250" s="3" t="s">
        <v>51</v>
      </c>
      <c r="K250" s="3" t="s">
        <v>51</v>
      </c>
      <c r="L250" s="3" t="s">
        <v>51</v>
      </c>
      <c r="M250" s="3" t="s">
        <v>51</v>
      </c>
      <c r="N250" s="3" t="s">
        <v>51</v>
      </c>
      <c r="O250" s="10" t="s">
        <v>51</v>
      </c>
      <c r="P250" s="3" t="s">
        <v>51</v>
      </c>
      <c r="Q250" s="3" t="s">
        <v>5</v>
      </c>
      <c r="R250" s="3"/>
    </row>
    <row r="251" spans="1:18" s="42" customFormat="1" ht="22.2" customHeight="1">
      <c r="A251" s="3">
        <v>125</v>
      </c>
      <c r="B251" s="3" t="s">
        <v>687</v>
      </c>
      <c r="C251" s="3" t="s">
        <v>468</v>
      </c>
      <c r="D251" s="3" t="s">
        <v>468</v>
      </c>
      <c r="E251" s="3" t="s">
        <v>25</v>
      </c>
      <c r="F251" s="3" t="s">
        <v>688</v>
      </c>
      <c r="G251" s="2">
        <v>46171</v>
      </c>
      <c r="H251" s="2">
        <v>46206</v>
      </c>
      <c r="I251" s="2">
        <v>46178</v>
      </c>
      <c r="J251" s="3" t="s">
        <v>51</v>
      </c>
      <c r="K251" s="3" t="s">
        <v>51</v>
      </c>
      <c r="L251" s="3" t="s">
        <v>51</v>
      </c>
      <c r="M251" s="3" t="s">
        <v>51</v>
      </c>
      <c r="N251" s="3" t="s">
        <v>51</v>
      </c>
      <c r="O251" s="10" t="s">
        <v>50</v>
      </c>
      <c r="P251" s="3" t="s">
        <v>51</v>
      </c>
      <c r="Q251" s="47" t="s">
        <v>699</v>
      </c>
      <c r="R251" s="3"/>
    </row>
    <row r="252" spans="1:18" s="42" customFormat="1" ht="22.2" customHeight="1">
      <c r="A252" s="3">
        <v>126</v>
      </c>
      <c r="B252" s="3" t="s">
        <v>713</v>
      </c>
      <c r="C252" s="3" t="s">
        <v>714</v>
      </c>
      <c r="D252" s="3" t="str">
        <f>+C252</f>
        <v>NINGBO JUN TAO IMPORT</v>
      </c>
      <c r="E252" s="3" t="s">
        <v>28</v>
      </c>
      <c r="F252" s="3" t="s">
        <v>715</v>
      </c>
      <c r="G252" s="2">
        <v>46171</v>
      </c>
      <c r="H252" s="2">
        <v>46237</v>
      </c>
      <c r="I252" s="2">
        <v>46181</v>
      </c>
      <c r="J252" s="3" t="s">
        <v>51</v>
      </c>
      <c r="K252" s="3" t="s">
        <v>51</v>
      </c>
      <c r="L252" s="3" t="s">
        <v>51</v>
      </c>
      <c r="M252" s="3" t="s">
        <v>51</v>
      </c>
      <c r="N252" s="3" t="s">
        <v>51</v>
      </c>
      <c r="O252" s="10" t="s">
        <v>50</v>
      </c>
      <c r="P252" s="3" t="s">
        <v>51</v>
      </c>
      <c r="Q252" s="3" t="s">
        <v>5</v>
      </c>
      <c r="R252" s="3"/>
    </row>
    <row r="253" spans="1:18" s="42" customFormat="1" ht="19.8" customHeight="1">
      <c r="A253" s="3">
        <v>127</v>
      </c>
      <c r="B253" s="3" t="s">
        <v>689</v>
      </c>
      <c r="C253" s="3" t="s">
        <v>468</v>
      </c>
      <c r="D253" s="3" t="s">
        <v>468</v>
      </c>
      <c r="E253" s="3" t="s">
        <v>25</v>
      </c>
      <c r="F253" s="3"/>
      <c r="G253" s="2">
        <v>46171</v>
      </c>
      <c r="H253" s="2">
        <v>46206</v>
      </c>
      <c r="I253" s="2">
        <v>46178</v>
      </c>
      <c r="J253" s="3" t="s">
        <v>51</v>
      </c>
      <c r="K253" s="3" t="s">
        <v>51</v>
      </c>
      <c r="L253" s="3" t="s">
        <v>51</v>
      </c>
      <c r="M253" s="3" t="s">
        <v>51</v>
      </c>
      <c r="N253" s="3" t="s">
        <v>51</v>
      </c>
      <c r="O253" s="10" t="s">
        <v>50</v>
      </c>
      <c r="P253" s="3" t="s">
        <v>51</v>
      </c>
      <c r="Q253" s="47" t="s">
        <v>699</v>
      </c>
      <c r="R253" s="3"/>
    </row>
    <row r="254" spans="1:18" s="42" customFormat="1" ht="22.2" customHeight="1">
      <c r="A254" s="3">
        <v>128</v>
      </c>
      <c r="B254" s="3" t="s">
        <v>725</v>
      </c>
      <c r="C254" s="3" t="s">
        <v>726</v>
      </c>
      <c r="D254" s="3" t="str">
        <f>+C254</f>
        <v>YANTAI HIZEN</v>
      </c>
      <c r="E254" s="3" t="s">
        <v>72</v>
      </c>
      <c r="F254" s="3" t="s">
        <v>727</v>
      </c>
      <c r="G254" s="2">
        <v>46171</v>
      </c>
      <c r="H254" s="2">
        <v>46179</v>
      </c>
      <c r="I254" s="2">
        <v>46184</v>
      </c>
      <c r="J254" s="3" t="s">
        <v>51</v>
      </c>
      <c r="K254" s="3" t="s">
        <v>51</v>
      </c>
      <c r="L254" s="3" t="s">
        <v>51</v>
      </c>
      <c r="M254" s="3" t="s">
        <v>51</v>
      </c>
      <c r="N254" s="3" t="s">
        <v>51</v>
      </c>
      <c r="O254" s="10" t="s">
        <v>50</v>
      </c>
      <c r="P254" s="3" t="s">
        <v>51</v>
      </c>
      <c r="Q254" s="3" t="s">
        <v>5</v>
      </c>
      <c r="R254" s="3"/>
    </row>
    <row r="255" spans="1:18" s="42" customFormat="1" ht="22.2" customHeight="1">
      <c r="A255" s="50">
        <v>129</v>
      </c>
      <c r="B255" s="50" t="s">
        <v>728</v>
      </c>
      <c r="C255" s="50" t="s">
        <v>729</v>
      </c>
      <c r="D255" s="50" t="s">
        <v>619</v>
      </c>
      <c r="E255" s="50" t="s">
        <v>36</v>
      </c>
      <c r="F255" s="3" t="s">
        <v>730</v>
      </c>
      <c r="G255" s="56">
        <v>46171</v>
      </c>
      <c r="H255" s="56">
        <v>46194</v>
      </c>
      <c r="I255" s="56">
        <v>46181</v>
      </c>
      <c r="J255" s="50" t="s">
        <v>51</v>
      </c>
      <c r="K255" s="50" t="s">
        <v>51</v>
      </c>
      <c r="L255" s="50" t="s">
        <v>51</v>
      </c>
      <c r="M255" s="50" t="s">
        <v>51</v>
      </c>
      <c r="N255" s="50" t="s">
        <v>51</v>
      </c>
      <c r="O255" s="50" t="s">
        <v>50</v>
      </c>
      <c r="P255" s="50" t="s">
        <v>51</v>
      </c>
      <c r="Q255" s="50"/>
      <c r="R255" s="50"/>
    </row>
    <row r="256" spans="1:18" s="42" customFormat="1" ht="22.2" customHeight="1">
      <c r="A256" s="51"/>
      <c r="B256" s="51"/>
      <c r="C256" s="51"/>
      <c r="D256" s="51"/>
      <c r="E256" s="51"/>
      <c r="F256" s="3" t="s">
        <v>731</v>
      </c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</row>
    <row r="257" spans="1:18" s="42" customFormat="1" ht="22.2" customHeight="1">
      <c r="A257" s="52"/>
      <c r="B257" s="52"/>
      <c r="C257" s="52"/>
      <c r="D257" s="52"/>
      <c r="E257" s="52"/>
      <c r="F257" s="3" t="s">
        <v>732</v>
      </c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</row>
    <row r="258" spans="1:18" s="42" customFormat="1" ht="22.2" customHeight="1">
      <c r="A258" s="50">
        <v>130</v>
      </c>
      <c r="B258" s="50" t="s">
        <v>690</v>
      </c>
      <c r="C258" s="50" t="s">
        <v>35</v>
      </c>
      <c r="D258" s="50" t="str">
        <f>+C258</f>
        <v>YANTAI JIAHONG IMP &amp; EXP</v>
      </c>
      <c r="E258" s="50" t="s">
        <v>25</v>
      </c>
      <c r="F258" s="3" t="s">
        <v>691</v>
      </c>
      <c r="G258" s="56">
        <v>46171</v>
      </c>
      <c r="H258" s="56">
        <v>46153</v>
      </c>
      <c r="I258" s="56">
        <v>46178</v>
      </c>
      <c r="J258" s="50" t="s">
        <v>51</v>
      </c>
      <c r="K258" s="50" t="s">
        <v>51</v>
      </c>
      <c r="L258" s="50" t="s">
        <v>51</v>
      </c>
      <c r="M258" s="50" t="s">
        <v>51</v>
      </c>
      <c r="N258" s="50" t="s">
        <v>51</v>
      </c>
      <c r="O258" s="50" t="s">
        <v>50</v>
      </c>
      <c r="P258" s="50" t="s">
        <v>51</v>
      </c>
      <c r="Q258" s="50" t="s">
        <v>5</v>
      </c>
      <c r="R258" s="50"/>
    </row>
    <row r="259" spans="1:18" s="42" customFormat="1" ht="22.2" customHeight="1">
      <c r="A259" s="51"/>
      <c r="B259" s="51"/>
      <c r="C259" s="51"/>
      <c r="D259" s="51"/>
      <c r="E259" s="51"/>
      <c r="F259" s="3" t="s">
        <v>692</v>
      </c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</row>
    <row r="260" spans="1:18" s="42" customFormat="1" ht="22.2" customHeight="1">
      <c r="A260" s="51"/>
      <c r="B260" s="51"/>
      <c r="C260" s="51"/>
      <c r="D260" s="51"/>
      <c r="E260" s="51"/>
      <c r="F260" s="3" t="s">
        <v>693</v>
      </c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</row>
    <row r="261" spans="1:18" s="42" customFormat="1" ht="22.2" customHeight="1">
      <c r="A261" s="51"/>
      <c r="B261" s="51"/>
      <c r="C261" s="51"/>
      <c r="D261" s="51"/>
      <c r="E261" s="51"/>
      <c r="F261" s="3" t="s">
        <v>694</v>
      </c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</row>
    <row r="262" spans="1:18" s="42" customFormat="1" ht="22.2" customHeight="1">
      <c r="A262" s="51"/>
      <c r="B262" s="51"/>
      <c r="C262" s="51"/>
      <c r="D262" s="51"/>
      <c r="E262" s="51"/>
      <c r="F262" s="3" t="s">
        <v>695</v>
      </c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</row>
    <row r="263" spans="1:18" s="42" customFormat="1" ht="22.2" customHeight="1">
      <c r="A263" s="51"/>
      <c r="B263" s="51"/>
      <c r="C263" s="51"/>
      <c r="D263" s="51"/>
      <c r="E263" s="51"/>
      <c r="F263" s="3" t="s">
        <v>696</v>
      </c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</row>
    <row r="264" spans="1:18" s="42" customFormat="1" ht="22.2" customHeight="1">
      <c r="A264" s="51"/>
      <c r="B264" s="51"/>
      <c r="C264" s="51"/>
      <c r="D264" s="51"/>
      <c r="E264" s="51"/>
      <c r="F264" s="3" t="s">
        <v>697</v>
      </c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</row>
    <row r="265" spans="1:18" s="42" customFormat="1" ht="22.2" customHeight="1">
      <c r="A265" s="52"/>
      <c r="B265" s="52"/>
      <c r="C265" s="52"/>
      <c r="D265" s="52"/>
      <c r="E265" s="52"/>
      <c r="F265" s="3" t="s">
        <v>698</v>
      </c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</row>
    <row r="266" spans="1:18" s="42" customFormat="1" ht="22.2" customHeight="1">
      <c r="A266" s="3">
        <v>131</v>
      </c>
      <c r="B266" s="3" t="s">
        <v>723</v>
      </c>
      <c r="C266" s="3" t="s">
        <v>546</v>
      </c>
      <c r="D266" s="3" t="str">
        <f>+C266</f>
        <v>SHENZHEN YUESHI</v>
      </c>
      <c r="E266" s="3" t="s">
        <v>25</v>
      </c>
      <c r="F266" s="3" t="s">
        <v>724</v>
      </c>
      <c r="G266" s="2">
        <v>46171</v>
      </c>
      <c r="H266" s="2">
        <v>46213</v>
      </c>
      <c r="I266" s="2">
        <v>46181</v>
      </c>
      <c r="J266" s="3" t="s">
        <v>51</v>
      </c>
      <c r="K266" s="3" t="s">
        <v>51</v>
      </c>
      <c r="L266" s="3" t="s">
        <v>51</v>
      </c>
      <c r="M266" s="3" t="s">
        <v>51</v>
      </c>
      <c r="N266" s="3" t="s">
        <v>51</v>
      </c>
      <c r="O266" s="10" t="s">
        <v>50</v>
      </c>
      <c r="P266" s="3" t="s">
        <v>51</v>
      </c>
      <c r="Q266" s="3"/>
      <c r="R266" s="3"/>
    </row>
    <row r="267" spans="1:18" s="42" customFormat="1" ht="22.2" customHeight="1">
      <c r="A267" s="3">
        <v>132</v>
      </c>
      <c r="B267" s="3" t="s">
        <v>719</v>
      </c>
      <c r="C267" s="3" t="str">
        <f>+C268</f>
        <v xml:space="preserve">TSUJINO </v>
      </c>
      <c r="D267" s="3" t="str">
        <f>+C267</f>
        <v xml:space="preserve">TSUJINO </v>
      </c>
      <c r="E267" s="3" t="s">
        <v>720</v>
      </c>
      <c r="F267" s="3" t="s">
        <v>721</v>
      </c>
      <c r="G267" s="2">
        <v>46171</v>
      </c>
      <c r="H267" s="2">
        <v>46203</v>
      </c>
      <c r="I267" s="2">
        <v>46182</v>
      </c>
      <c r="J267" s="3" t="s">
        <v>51</v>
      </c>
      <c r="K267" s="3" t="s">
        <v>51</v>
      </c>
      <c r="L267" s="3" t="s">
        <v>51</v>
      </c>
      <c r="M267" s="3" t="s">
        <v>51</v>
      </c>
      <c r="N267" s="3" t="s">
        <v>51</v>
      </c>
      <c r="O267" s="10" t="s">
        <v>50</v>
      </c>
      <c r="P267" s="3" t="s">
        <v>51</v>
      </c>
      <c r="Q267" s="3" t="s">
        <v>722</v>
      </c>
      <c r="R267" s="3"/>
    </row>
    <row r="268" spans="1:18" s="42" customFormat="1" ht="22.2" customHeight="1">
      <c r="A268" s="3">
        <v>133</v>
      </c>
      <c r="B268" s="3" t="s">
        <v>716</v>
      </c>
      <c r="C268" s="3" t="s">
        <v>631</v>
      </c>
      <c r="D268" s="3" t="s">
        <v>88</v>
      </c>
      <c r="E268" s="3" t="s">
        <v>89</v>
      </c>
      <c r="F268" s="3" t="s">
        <v>717</v>
      </c>
      <c r="G268" s="2">
        <v>46171</v>
      </c>
      <c r="H268" s="2">
        <v>46222</v>
      </c>
      <c r="I268" s="2">
        <v>46273</v>
      </c>
      <c r="J268" s="3" t="s">
        <v>51</v>
      </c>
      <c r="K268" s="3" t="s">
        <v>51</v>
      </c>
      <c r="L268" s="3" t="s">
        <v>51</v>
      </c>
      <c r="M268" s="3" t="s">
        <v>51</v>
      </c>
      <c r="N268" s="3" t="s">
        <v>51</v>
      </c>
      <c r="O268" s="10" t="s">
        <v>50</v>
      </c>
      <c r="P268" s="3" t="s">
        <v>50</v>
      </c>
      <c r="Q268" s="3" t="s">
        <v>718</v>
      </c>
      <c r="R268" s="3"/>
    </row>
    <row r="269" spans="1:18" s="42" customFormat="1" ht="22.2" customHeight="1">
      <c r="A269" s="3">
        <v>134</v>
      </c>
      <c r="B269" s="3" t="s">
        <v>678</v>
      </c>
      <c r="C269" s="3" t="s">
        <v>679</v>
      </c>
      <c r="D269" s="3" t="str">
        <f>+C269</f>
        <v>LONGKOU SANMING</v>
      </c>
      <c r="E269" s="3" t="s">
        <v>72</v>
      </c>
      <c r="F269" s="3">
        <v>6502206550</v>
      </c>
      <c r="G269" s="2">
        <v>46171</v>
      </c>
      <c r="H269" s="2">
        <v>46209</v>
      </c>
      <c r="I269" s="2">
        <v>46178</v>
      </c>
      <c r="J269" s="3" t="s">
        <v>51</v>
      </c>
      <c r="K269" s="3" t="s">
        <v>51</v>
      </c>
      <c r="L269" s="3" t="s">
        <v>51</v>
      </c>
      <c r="M269" s="3" t="s">
        <v>51</v>
      </c>
      <c r="N269" s="3" t="s">
        <v>51</v>
      </c>
      <c r="O269" s="10" t="s">
        <v>50</v>
      </c>
      <c r="P269" s="3" t="s">
        <v>51</v>
      </c>
      <c r="Q269" s="3" t="s">
        <v>686</v>
      </c>
      <c r="R269" s="3"/>
    </row>
    <row r="270" spans="1:18" s="42" customFormat="1" ht="22.2" customHeight="1">
      <c r="A270" s="3">
        <v>135</v>
      </c>
      <c r="B270" s="3" t="s">
        <v>708</v>
      </c>
      <c r="C270" s="3" t="s">
        <v>666</v>
      </c>
      <c r="D270" s="3" t="s">
        <v>666</v>
      </c>
      <c r="E270" s="3" t="s">
        <v>41</v>
      </c>
      <c r="F270" s="3" t="s">
        <v>709</v>
      </c>
      <c r="G270" s="2">
        <v>46175</v>
      </c>
      <c r="H270" s="2">
        <v>46196</v>
      </c>
      <c r="I270" s="2"/>
      <c r="J270" s="3" t="s">
        <v>51</v>
      </c>
      <c r="K270" s="3" t="s">
        <v>51</v>
      </c>
      <c r="L270" s="3" t="s">
        <v>51</v>
      </c>
      <c r="M270" s="3" t="s">
        <v>51</v>
      </c>
      <c r="N270" s="3" t="s">
        <v>51</v>
      </c>
      <c r="O270" s="10" t="s">
        <v>51</v>
      </c>
      <c r="P270" s="3" t="s">
        <v>51</v>
      </c>
      <c r="Q270" s="3" t="s">
        <v>710</v>
      </c>
      <c r="R270" s="3"/>
    </row>
  </sheetData>
  <autoFilter ref="A1:R269" xr:uid="{6966F96E-32D2-49CC-9D2C-B0DDE14FD4CE}"/>
  <mergeCells count="901">
    <mergeCell ref="A255:A257"/>
    <mergeCell ref="B255:B257"/>
    <mergeCell ref="C255:C257"/>
    <mergeCell ref="D255:D257"/>
    <mergeCell ref="E255:E257"/>
    <mergeCell ref="G255:G257"/>
    <mergeCell ref="H255:H257"/>
    <mergeCell ref="I255:I257"/>
    <mergeCell ref="J255:J257"/>
    <mergeCell ref="Q88:Q89"/>
    <mergeCell ref="Q90:Q93"/>
    <mergeCell ref="Q94:Q95"/>
    <mergeCell ref="K60:K66"/>
    <mergeCell ref="O60:O66"/>
    <mergeCell ref="P60:P66"/>
    <mergeCell ref="Q60:Q66"/>
    <mergeCell ref="A67:A71"/>
    <mergeCell ref="A60:A66"/>
    <mergeCell ref="B60:B66"/>
    <mergeCell ref="C60:C66"/>
    <mergeCell ref="D60:D66"/>
    <mergeCell ref="E60:E66"/>
    <mergeCell ref="G60:G66"/>
    <mergeCell ref="H60:H66"/>
    <mergeCell ref="I60:I66"/>
    <mergeCell ref="L60:L66"/>
    <mergeCell ref="M67:M71"/>
    <mergeCell ref="K67:K71"/>
    <mergeCell ref="O67:O71"/>
    <mergeCell ref="P67:P71"/>
    <mergeCell ref="Q67:Q71"/>
    <mergeCell ref="B67:B71"/>
    <mergeCell ref="C67:C71"/>
    <mergeCell ref="O54:O55"/>
    <mergeCell ref="P54:P55"/>
    <mergeCell ref="Q54:Q55"/>
    <mergeCell ref="A56:A59"/>
    <mergeCell ref="B56:B59"/>
    <mergeCell ref="C56:C59"/>
    <mergeCell ref="D56:D59"/>
    <mergeCell ref="E56:E59"/>
    <mergeCell ref="G56:G59"/>
    <mergeCell ref="H56:H59"/>
    <mergeCell ref="I56:I59"/>
    <mergeCell ref="L56:L59"/>
    <mergeCell ref="N56:N59"/>
    <mergeCell ref="M56:M59"/>
    <mergeCell ref="K56:K59"/>
    <mergeCell ref="O56:O59"/>
    <mergeCell ref="P56:P59"/>
    <mergeCell ref="Q56:Q59"/>
    <mergeCell ref="A54:A55"/>
    <mergeCell ref="L54:L55"/>
    <mergeCell ref="G45:G47"/>
    <mergeCell ref="H45:H47"/>
    <mergeCell ref="I45:I47"/>
    <mergeCell ref="L45:L47"/>
    <mergeCell ref="N54:N55"/>
    <mergeCell ref="M54:M55"/>
    <mergeCell ref="K54:K55"/>
    <mergeCell ref="M45:M47"/>
    <mergeCell ref="K45:K47"/>
    <mergeCell ref="O45:O47"/>
    <mergeCell ref="P45:P47"/>
    <mergeCell ref="Q45:Q47"/>
    <mergeCell ref="A49:A53"/>
    <mergeCell ref="B49:B53"/>
    <mergeCell ref="C49:C53"/>
    <mergeCell ref="D49:D53"/>
    <mergeCell ref="E49:E53"/>
    <mergeCell ref="G49:G53"/>
    <mergeCell ref="H49:H53"/>
    <mergeCell ref="I49:I53"/>
    <mergeCell ref="L49:L53"/>
    <mergeCell ref="N49:N53"/>
    <mergeCell ref="M49:M53"/>
    <mergeCell ref="K49:K53"/>
    <mergeCell ref="O49:O53"/>
    <mergeCell ref="P49:P53"/>
    <mergeCell ref="Q49:Q53"/>
    <mergeCell ref="A45:A47"/>
    <mergeCell ref="B45:B47"/>
    <mergeCell ref="N45:N47"/>
    <mergeCell ref="C45:C47"/>
    <mergeCell ref="D45:D47"/>
    <mergeCell ref="E45:E47"/>
    <mergeCell ref="R2:R3"/>
    <mergeCell ref="R4:R8"/>
    <mergeCell ref="G2:G3"/>
    <mergeCell ref="H2:H3"/>
    <mergeCell ref="I2:I3"/>
    <mergeCell ref="L2:L3"/>
    <mergeCell ref="N2:N3"/>
    <mergeCell ref="M2:M3"/>
    <mergeCell ref="A2:A3"/>
    <mergeCell ref="B2:B3"/>
    <mergeCell ref="C2:C3"/>
    <mergeCell ref="D2:D3"/>
    <mergeCell ref="E2:E3"/>
    <mergeCell ref="K2:K3"/>
    <mergeCell ref="O2:O3"/>
    <mergeCell ref="P2:P3"/>
    <mergeCell ref="Q2:Q3"/>
    <mergeCell ref="H4:H8"/>
    <mergeCell ref="I4:I8"/>
    <mergeCell ref="L4:L8"/>
    <mergeCell ref="N4:N8"/>
    <mergeCell ref="M4:M8"/>
    <mergeCell ref="K4:K8"/>
    <mergeCell ref="O4:O8"/>
    <mergeCell ref="Q16:Q21"/>
    <mergeCell ref="A16:A21"/>
    <mergeCell ref="B16:B21"/>
    <mergeCell ref="P4:P8"/>
    <mergeCell ref="Q4:Q8"/>
    <mergeCell ref="G9:G13"/>
    <mergeCell ref="K14:K15"/>
    <mergeCell ref="O14:O15"/>
    <mergeCell ref="P14:P15"/>
    <mergeCell ref="Q14:Q15"/>
    <mergeCell ref="H14:H15"/>
    <mergeCell ref="A4:A8"/>
    <mergeCell ref="B4:B8"/>
    <mergeCell ref="C4:C8"/>
    <mergeCell ref="D4:D8"/>
    <mergeCell ref="E4:E8"/>
    <mergeCell ref="G4:G8"/>
    <mergeCell ref="K9:K13"/>
    <mergeCell ref="O9:O13"/>
    <mergeCell ref="P9:P13"/>
    <mergeCell ref="I14:I15"/>
    <mergeCell ref="L14:L15"/>
    <mergeCell ref="N14:N15"/>
    <mergeCell ref="M14:M15"/>
    <mergeCell ref="Q9:Q13"/>
    <mergeCell ref="A14:A15"/>
    <mergeCell ref="B14:B15"/>
    <mergeCell ref="C14:C15"/>
    <mergeCell ref="D14:D15"/>
    <mergeCell ref="E14:E15"/>
    <mergeCell ref="G14:G15"/>
    <mergeCell ref="H9:H13"/>
    <mergeCell ref="I9:I13"/>
    <mergeCell ref="L9:L13"/>
    <mergeCell ref="N9:N13"/>
    <mergeCell ref="M9:M13"/>
    <mergeCell ref="A9:A13"/>
    <mergeCell ref="B9:B13"/>
    <mergeCell ref="C9:C13"/>
    <mergeCell ref="D9:D13"/>
    <mergeCell ref="E9:E13"/>
    <mergeCell ref="C16:C21"/>
    <mergeCell ref="D16:D21"/>
    <mergeCell ref="E16:E21"/>
    <mergeCell ref="G16:G21"/>
    <mergeCell ref="H16:H21"/>
    <mergeCell ref="I16:I21"/>
    <mergeCell ref="L16:L21"/>
    <mergeCell ref="N16:N21"/>
    <mergeCell ref="P22:P34"/>
    <mergeCell ref="M16:M21"/>
    <mergeCell ref="K16:K21"/>
    <mergeCell ref="O16:O21"/>
    <mergeCell ref="P16:P21"/>
    <mergeCell ref="Q22:Q34"/>
    <mergeCell ref="G22:G34"/>
    <mergeCell ref="H22:H34"/>
    <mergeCell ref="I22:I34"/>
    <mergeCell ref="L22:L34"/>
    <mergeCell ref="N22:N34"/>
    <mergeCell ref="M22:M34"/>
    <mergeCell ref="A22:A34"/>
    <mergeCell ref="B22:B34"/>
    <mergeCell ref="C22:C34"/>
    <mergeCell ref="D22:D34"/>
    <mergeCell ref="E22:E34"/>
    <mergeCell ref="K22:K34"/>
    <mergeCell ref="O22:O34"/>
    <mergeCell ref="A40:A44"/>
    <mergeCell ref="B40:B44"/>
    <mergeCell ref="C40:C44"/>
    <mergeCell ref="D40:D44"/>
    <mergeCell ref="E40:E44"/>
    <mergeCell ref="G40:G44"/>
    <mergeCell ref="H40:H44"/>
    <mergeCell ref="I40:I44"/>
    <mergeCell ref="A35:A36"/>
    <mergeCell ref="B35:B36"/>
    <mergeCell ref="C35:C36"/>
    <mergeCell ref="D35:D36"/>
    <mergeCell ref="E35:E36"/>
    <mergeCell ref="G35:G36"/>
    <mergeCell ref="N40:N44"/>
    <mergeCell ref="M40:M44"/>
    <mergeCell ref="K40:K44"/>
    <mergeCell ref="O40:O44"/>
    <mergeCell ref="K35:K36"/>
    <mergeCell ref="O35:O36"/>
    <mergeCell ref="H35:H36"/>
    <mergeCell ref="I35:I36"/>
    <mergeCell ref="L35:L36"/>
    <mergeCell ref="N35:N36"/>
    <mergeCell ref="M35:M36"/>
    <mergeCell ref="A72:A75"/>
    <mergeCell ref="B72:B75"/>
    <mergeCell ref="C72:C75"/>
    <mergeCell ref="D72:D75"/>
    <mergeCell ref="E72:E75"/>
    <mergeCell ref="G72:G75"/>
    <mergeCell ref="H72:H75"/>
    <mergeCell ref="I72:I75"/>
    <mergeCell ref="B54:B55"/>
    <mergeCell ref="C54:C55"/>
    <mergeCell ref="D54:D55"/>
    <mergeCell ref="E54:E55"/>
    <mergeCell ref="G54:G55"/>
    <mergeCell ref="H54:H55"/>
    <mergeCell ref="I54:I55"/>
    <mergeCell ref="E67:E71"/>
    <mergeCell ref="D67:D71"/>
    <mergeCell ref="G67:G71"/>
    <mergeCell ref="H67:H71"/>
    <mergeCell ref="I67:I71"/>
    <mergeCell ref="K72:K75"/>
    <mergeCell ref="O72:O75"/>
    <mergeCell ref="P72:P75"/>
    <mergeCell ref="Q72:Q75"/>
    <mergeCell ref="J2:J3"/>
    <mergeCell ref="J4:J8"/>
    <mergeCell ref="J9:J13"/>
    <mergeCell ref="J14:J15"/>
    <mergeCell ref="J16:J21"/>
    <mergeCell ref="J22:J34"/>
    <mergeCell ref="J35:J36"/>
    <mergeCell ref="J40:J44"/>
    <mergeCell ref="J45:J47"/>
    <mergeCell ref="J49:J53"/>
    <mergeCell ref="J54:J55"/>
    <mergeCell ref="J56:J59"/>
    <mergeCell ref="J60:J66"/>
    <mergeCell ref="J67:J71"/>
    <mergeCell ref="J72:J75"/>
    <mergeCell ref="P35:P36"/>
    <mergeCell ref="Q35:Q36"/>
    <mergeCell ref="P40:P44"/>
    <mergeCell ref="Q40:Q44"/>
    <mergeCell ref="L40:L44"/>
    <mergeCell ref="R9:R13"/>
    <mergeCell ref="R14:R15"/>
    <mergeCell ref="R16:R21"/>
    <mergeCell ref="R22:R34"/>
    <mergeCell ref="R35:R36"/>
    <mergeCell ref="R40:R44"/>
    <mergeCell ref="R45:R47"/>
    <mergeCell ref="R49:R53"/>
    <mergeCell ref="R54:R55"/>
    <mergeCell ref="L80:L87"/>
    <mergeCell ref="M80:M87"/>
    <mergeCell ref="N80:N87"/>
    <mergeCell ref="O80:O87"/>
    <mergeCell ref="P80:P87"/>
    <mergeCell ref="R56:R59"/>
    <mergeCell ref="R60:R66"/>
    <mergeCell ref="R67:R71"/>
    <mergeCell ref="R72:R75"/>
    <mergeCell ref="R80:R87"/>
    <mergeCell ref="L72:L75"/>
    <mergeCell ref="N72:N75"/>
    <mergeCell ref="M72:M75"/>
    <mergeCell ref="L67:L71"/>
    <mergeCell ref="N67:N71"/>
    <mergeCell ref="N60:N66"/>
    <mergeCell ref="M60:M66"/>
    <mergeCell ref="Q80:Q87"/>
    <mergeCell ref="M88:M89"/>
    <mergeCell ref="N88:N89"/>
    <mergeCell ref="O88:O89"/>
    <mergeCell ref="P88:P89"/>
    <mergeCell ref="R88:R89"/>
    <mergeCell ref="A80:A87"/>
    <mergeCell ref="B80:B87"/>
    <mergeCell ref="C80:C87"/>
    <mergeCell ref="D80:D87"/>
    <mergeCell ref="E80:E87"/>
    <mergeCell ref="G80:G87"/>
    <mergeCell ref="A88:A89"/>
    <mergeCell ref="B88:B89"/>
    <mergeCell ref="C88:C89"/>
    <mergeCell ref="D88:D89"/>
    <mergeCell ref="E88:E89"/>
    <mergeCell ref="G88:G89"/>
    <mergeCell ref="H88:H89"/>
    <mergeCell ref="I88:I89"/>
    <mergeCell ref="J88:J89"/>
    <mergeCell ref="H80:H87"/>
    <mergeCell ref="I80:I87"/>
    <mergeCell ref="J80:J87"/>
    <mergeCell ref="K80:K87"/>
    <mergeCell ref="D90:D93"/>
    <mergeCell ref="E90:E93"/>
    <mergeCell ref="G90:G93"/>
    <mergeCell ref="H90:H93"/>
    <mergeCell ref="I90:I93"/>
    <mergeCell ref="J90:J93"/>
    <mergeCell ref="K88:K89"/>
    <mergeCell ref="L88:L89"/>
    <mergeCell ref="K90:K93"/>
    <mergeCell ref="L90:L93"/>
    <mergeCell ref="M90:M93"/>
    <mergeCell ref="N90:N93"/>
    <mergeCell ref="O90:O93"/>
    <mergeCell ref="P90:P93"/>
    <mergeCell ref="R90:R93"/>
    <mergeCell ref="A94:A95"/>
    <mergeCell ref="B94:B95"/>
    <mergeCell ref="C94:C95"/>
    <mergeCell ref="D94:D95"/>
    <mergeCell ref="E94:E95"/>
    <mergeCell ref="G94:G95"/>
    <mergeCell ref="H94:H95"/>
    <mergeCell ref="I94:I95"/>
    <mergeCell ref="J94:J95"/>
    <mergeCell ref="K94:K95"/>
    <mergeCell ref="L94:L95"/>
    <mergeCell ref="M94:M95"/>
    <mergeCell ref="N94:N95"/>
    <mergeCell ref="O94:O95"/>
    <mergeCell ref="P94:P95"/>
    <mergeCell ref="A90:A93"/>
    <mergeCell ref="B90:B93"/>
    <mergeCell ref="R94:R95"/>
    <mergeCell ref="C90:C93"/>
    <mergeCell ref="A100:A101"/>
    <mergeCell ref="B100:B101"/>
    <mergeCell ref="C100:C101"/>
    <mergeCell ref="D100:D101"/>
    <mergeCell ref="E100:E101"/>
    <mergeCell ref="G100:G101"/>
    <mergeCell ref="H100:H101"/>
    <mergeCell ref="I100:I101"/>
    <mergeCell ref="J100:J101"/>
    <mergeCell ref="K100:K101"/>
    <mergeCell ref="L100:L101"/>
    <mergeCell ref="M100:M101"/>
    <mergeCell ref="N100:N101"/>
    <mergeCell ref="O100:O101"/>
    <mergeCell ref="P100:P101"/>
    <mergeCell ref="Q100:Q101"/>
    <mergeCell ref="R100:R101"/>
    <mergeCell ref="A102:A103"/>
    <mergeCell ref="B102:B103"/>
    <mergeCell ref="C102:C103"/>
    <mergeCell ref="D102:D103"/>
    <mergeCell ref="E102:E103"/>
    <mergeCell ref="G102:G103"/>
    <mergeCell ref="H102:H103"/>
    <mergeCell ref="I102:I103"/>
    <mergeCell ref="J102:J103"/>
    <mergeCell ref="K102:K103"/>
    <mergeCell ref="L102:L103"/>
    <mergeCell ref="M102:M103"/>
    <mergeCell ref="N102:N103"/>
    <mergeCell ref="O102:O103"/>
    <mergeCell ref="P102:P103"/>
    <mergeCell ref="Q102:Q103"/>
    <mergeCell ref="R102:R103"/>
    <mergeCell ref="A105:A106"/>
    <mergeCell ref="B105:B106"/>
    <mergeCell ref="C105:C106"/>
    <mergeCell ref="D105:D106"/>
    <mergeCell ref="E105:E106"/>
    <mergeCell ref="G105:G106"/>
    <mergeCell ref="H105:H106"/>
    <mergeCell ref="I105:I106"/>
    <mergeCell ref="J105:J106"/>
    <mergeCell ref="K105:K106"/>
    <mergeCell ref="L105:L106"/>
    <mergeCell ref="M105:M106"/>
    <mergeCell ref="N105:N106"/>
    <mergeCell ref="O105:O106"/>
    <mergeCell ref="P105:P106"/>
    <mergeCell ref="Q105:Q106"/>
    <mergeCell ref="R105:R106"/>
    <mergeCell ref="A107:A109"/>
    <mergeCell ref="B107:B109"/>
    <mergeCell ref="C107:C109"/>
    <mergeCell ref="D107:D109"/>
    <mergeCell ref="E107:E109"/>
    <mergeCell ref="G107:G109"/>
    <mergeCell ref="Q107:Q109"/>
    <mergeCell ref="R107:R109"/>
    <mergeCell ref="A110:A111"/>
    <mergeCell ref="B110:B111"/>
    <mergeCell ref="C110:C111"/>
    <mergeCell ref="D110:D111"/>
    <mergeCell ref="E110:E111"/>
    <mergeCell ref="G110:G111"/>
    <mergeCell ref="H110:H111"/>
    <mergeCell ref="I110:I111"/>
    <mergeCell ref="J110:J111"/>
    <mergeCell ref="K110:K111"/>
    <mergeCell ref="L110:L111"/>
    <mergeCell ref="M110:M111"/>
    <mergeCell ref="N110:N111"/>
    <mergeCell ref="O110:O111"/>
    <mergeCell ref="P110:P111"/>
    <mergeCell ref="Q110:Q111"/>
    <mergeCell ref="R110:R111"/>
    <mergeCell ref="H107:H109"/>
    <mergeCell ref="I107:I109"/>
    <mergeCell ref="J107:J109"/>
    <mergeCell ref="K107:K109"/>
    <mergeCell ref="L107:L109"/>
    <mergeCell ref="M107:M109"/>
    <mergeCell ref="N107:N109"/>
    <mergeCell ref="O107:O109"/>
    <mergeCell ref="P107:P109"/>
    <mergeCell ref="I121:I122"/>
    <mergeCell ref="J121:J122"/>
    <mergeCell ref="A116:A120"/>
    <mergeCell ref="B116:B120"/>
    <mergeCell ref="C116:C120"/>
    <mergeCell ref="D116:D120"/>
    <mergeCell ref="E116:E120"/>
    <mergeCell ref="G116:G120"/>
    <mergeCell ref="H116:H120"/>
    <mergeCell ref="I116:I120"/>
    <mergeCell ref="J116:J120"/>
    <mergeCell ref="K116:K120"/>
    <mergeCell ref="L116:L120"/>
    <mergeCell ref="M116:M120"/>
    <mergeCell ref="N116:N120"/>
    <mergeCell ref="O116:O120"/>
    <mergeCell ref="P116:P120"/>
    <mergeCell ref="Q116:Q120"/>
    <mergeCell ref="R116:R120"/>
    <mergeCell ref="K121:K122"/>
    <mergeCell ref="L121:L122"/>
    <mergeCell ref="M121:M122"/>
    <mergeCell ref="N121:N122"/>
    <mergeCell ref="O121:O122"/>
    <mergeCell ref="P121:P122"/>
    <mergeCell ref="Q121:Q122"/>
    <mergeCell ref="R121:R122"/>
    <mergeCell ref="K123:K127"/>
    <mergeCell ref="L123:L127"/>
    <mergeCell ref="M123:M127"/>
    <mergeCell ref="N123:N127"/>
    <mergeCell ref="O123:O127"/>
    <mergeCell ref="P123:P127"/>
    <mergeCell ref="Q123:Q127"/>
    <mergeCell ref="R123:R127"/>
    <mergeCell ref="A121:A122"/>
    <mergeCell ref="B121:B122"/>
    <mergeCell ref="C121:C122"/>
    <mergeCell ref="D121:D122"/>
    <mergeCell ref="E121:E122"/>
    <mergeCell ref="G121:G122"/>
    <mergeCell ref="A123:A127"/>
    <mergeCell ref="B123:B127"/>
    <mergeCell ref="C123:C127"/>
    <mergeCell ref="D123:D127"/>
    <mergeCell ref="E123:E127"/>
    <mergeCell ref="G123:G127"/>
    <mergeCell ref="H123:H127"/>
    <mergeCell ref="I123:I127"/>
    <mergeCell ref="J123:J127"/>
    <mergeCell ref="H121:H122"/>
    <mergeCell ref="K135:K140"/>
    <mergeCell ref="L135:L140"/>
    <mergeCell ref="M135:M140"/>
    <mergeCell ref="N135:N140"/>
    <mergeCell ref="O135:O140"/>
    <mergeCell ref="P135:P140"/>
    <mergeCell ref="Q135:Q140"/>
    <mergeCell ref="R135:R140"/>
    <mergeCell ref="A135:A140"/>
    <mergeCell ref="B135:B140"/>
    <mergeCell ref="C135:C140"/>
    <mergeCell ref="D135:D140"/>
    <mergeCell ref="E135:E140"/>
    <mergeCell ref="A143:A145"/>
    <mergeCell ref="B143:B145"/>
    <mergeCell ref="C143:C145"/>
    <mergeCell ref="D143:D145"/>
    <mergeCell ref="E143:E145"/>
    <mergeCell ref="H143:H145"/>
    <mergeCell ref="I143:I145"/>
    <mergeCell ref="J143:J145"/>
    <mergeCell ref="G135:G140"/>
    <mergeCell ref="H135:H140"/>
    <mergeCell ref="I135:I140"/>
    <mergeCell ref="J135:J140"/>
    <mergeCell ref="K143:K145"/>
    <mergeCell ref="L143:L145"/>
    <mergeCell ref="M143:M145"/>
    <mergeCell ref="N143:N145"/>
    <mergeCell ref="O143:O145"/>
    <mergeCell ref="P143:P145"/>
    <mergeCell ref="Q143:Q145"/>
    <mergeCell ref="R143:R145"/>
    <mergeCell ref="E146:E150"/>
    <mergeCell ref="L146:L150"/>
    <mergeCell ref="M146:M150"/>
    <mergeCell ref="N146:N150"/>
    <mergeCell ref="O146:O150"/>
    <mergeCell ref="P146:P150"/>
    <mergeCell ref="Q146:Q150"/>
    <mergeCell ref="R146:R150"/>
    <mergeCell ref="G143:G145"/>
    <mergeCell ref="A146:A150"/>
    <mergeCell ref="B146:B150"/>
    <mergeCell ref="C146:C150"/>
    <mergeCell ref="D146:D150"/>
    <mergeCell ref="G146:G150"/>
    <mergeCell ref="H146:H150"/>
    <mergeCell ref="I146:I150"/>
    <mergeCell ref="J146:J150"/>
    <mergeCell ref="K146:K150"/>
    <mergeCell ref="G151:G153"/>
    <mergeCell ref="A151:A153"/>
    <mergeCell ref="B151:B153"/>
    <mergeCell ref="C151:C153"/>
    <mergeCell ref="D151:D153"/>
    <mergeCell ref="E151:E153"/>
    <mergeCell ref="H151:H153"/>
    <mergeCell ref="I151:I153"/>
    <mergeCell ref="J151:J153"/>
    <mergeCell ref="K158:K159"/>
    <mergeCell ref="K151:K153"/>
    <mergeCell ref="L151:L153"/>
    <mergeCell ref="M151:M153"/>
    <mergeCell ref="N151:N153"/>
    <mergeCell ref="O151:O153"/>
    <mergeCell ref="P151:P153"/>
    <mergeCell ref="Q151:Q153"/>
    <mergeCell ref="R151:R153"/>
    <mergeCell ref="L158:L159"/>
    <mergeCell ref="M158:M159"/>
    <mergeCell ref="N158:N159"/>
    <mergeCell ref="O158:O159"/>
    <mergeCell ref="P158:P159"/>
    <mergeCell ref="Q158:Q159"/>
    <mergeCell ref="R158:R159"/>
    <mergeCell ref="A162:A166"/>
    <mergeCell ref="B162:B166"/>
    <mergeCell ref="C162:C166"/>
    <mergeCell ref="D162:D166"/>
    <mergeCell ref="G162:G166"/>
    <mergeCell ref="H162:H166"/>
    <mergeCell ref="I162:I166"/>
    <mergeCell ref="J162:J166"/>
    <mergeCell ref="A158:A159"/>
    <mergeCell ref="B158:B159"/>
    <mergeCell ref="C158:C159"/>
    <mergeCell ref="D158:D159"/>
    <mergeCell ref="G158:G159"/>
    <mergeCell ref="H158:H159"/>
    <mergeCell ref="I158:I159"/>
    <mergeCell ref="J158:J159"/>
    <mergeCell ref="E158:E159"/>
    <mergeCell ref="K162:K166"/>
    <mergeCell ref="L162:L166"/>
    <mergeCell ref="M162:M166"/>
    <mergeCell ref="N162:N166"/>
    <mergeCell ref="O162:O166"/>
    <mergeCell ref="P162:P166"/>
    <mergeCell ref="Q162:Q166"/>
    <mergeCell ref="R162:R166"/>
    <mergeCell ref="E167:E172"/>
    <mergeCell ref="L167:L172"/>
    <mergeCell ref="M167:M172"/>
    <mergeCell ref="N167:N172"/>
    <mergeCell ref="O167:O172"/>
    <mergeCell ref="P167:P172"/>
    <mergeCell ref="Q167:Q172"/>
    <mergeCell ref="R167:R172"/>
    <mergeCell ref="E162:E166"/>
    <mergeCell ref="A167:A172"/>
    <mergeCell ref="B167:B172"/>
    <mergeCell ref="C167:C172"/>
    <mergeCell ref="D167:D172"/>
    <mergeCell ref="G167:G172"/>
    <mergeCell ref="H167:H172"/>
    <mergeCell ref="I167:I172"/>
    <mergeCell ref="J167:J172"/>
    <mergeCell ref="K167:K172"/>
    <mergeCell ref="K179:K181"/>
    <mergeCell ref="L179:L181"/>
    <mergeCell ref="M179:M181"/>
    <mergeCell ref="N179:N181"/>
    <mergeCell ref="O179:O181"/>
    <mergeCell ref="P179:P181"/>
    <mergeCell ref="Q179:Q181"/>
    <mergeCell ref="R179:R181"/>
    <mergeCell ref="G179:G181"/>
    <mergeCell ref="H179:H181"/>
    <mergeCell ref="I179:I181"/>
    <mergeCell ref="A183:A184"/>
    <mergeCell ref="B183:B184"/>
    <mergeCell ref="C183:C184"/>
    <mergeCell ref="D183:D184"/>
    <mergeCell ref="E183:E184"/>
    <mergeCell ref="H183:H184"/>
    <mergeCell ref="I183:I184"/>
    <mergeCell ref="J183:J184"/>
    <mergeCell ref="J179:J181"/>
    <mergeCell ref="A179:A181"/>
    <mergeCell ref="B179:B181"/>
    <mergeCell ref="C179:C181"/>
    <mergeCell ref="D179:D181"/>
    <mergeCell ref="E179:E181"/>
    <mergeCell ref="K183:K184"/>
    <mergeCell ref="L183:L184"/>
    <mergeCell ref="M183:M184"/>
    <mergeCell ref="N183:N184"/>
    <mergeCell ref="O183:O184"/>
    <mergeCell ref="P183:P184"/>
    <mergeCell ref="Q183:Q184"/>
    <mergeCell ref="R183:R184"/>
    <mergeCell ref="E185:E191"/>
    <mergeCell ref="G185:G191"/>
    <mergeCell ref="H185:H191"/>
    <mergeCell ref="I185:I191"/>
    <mergeCell ref="J185:J191"/>
    <mergeCell ref="K185:K191"/>
    <mergeCell ref="L185:L191"/>
    <mergeCell ref="M185:M191"/>
    <mergeCell ref="N185:N191"/>
    <mergeCell ref="O185:O191"/>
    <mergeCell ref="P185:P191"/>
    <mergeCell ref="Q185:Q191"/>
    <mergeCell ref="R185:R191"/>
    <mergeCell ref="G183:G184"/>
    <mergeCell ref="P192:P196"/>
    <mergeCell ref="Q192:Q196"/>
    <mergeCell ref="R192:R196"/>
    <mergeCell ref="B192:B196"/>
    <mergeCell ref="C192:C196"/>
    <mergeCell ref="D192:D196"/>
    <mergeCell ref="A192:A196"/>
    <mergeCell ref="B185:B191"/>
    <mergeCell ref="C185:C191"/>
    <mergeCell ref="D185:D191"/>
    <mergeCell ref="A185:A191"/>
    <mergeCell ref="E192:E196"/>
    <mergeCell ref="G192:G196"/>
    <mergeCell ref="H192:H196"/>
    <mergeCell ref="I192:I196"/>
    <mergeCell ref="J192:J196"/>
    <mergeCell ref="K192:K196"/>
    <mergeCell ref="L192:L196"/>
    <mergeCell ref="M192:M196"/>
    <mergeCell ref="N192:N196"/>
    <mergeCell ref="O192:O196"/>
    <mergeCell ref="P198:P201"/>
    <mergeCell ref="Q198:Q201"/>
    <mergeCell ref="R198:R201"/>
    <mergeCell ref="B198:B201"/>
    <mergeCell ref="C198:C201"/>
    <mergeCell ref="D198:D201"/>
    <mergeCell ref="E198:E201"/>
    <mergeCell ref="A198:A201"/>
    <mergeCell ref="G198:G201"/>
    <mergeCell ref="H198:H201"/>
    <mergeCell ref="I198:I201"/>
    <mergeCell ref="J198:J201"/>
    <mergeCell ref="K198:K201"/>
    <mergeCell ref="L198:L201"/>
    <mergeCell ref="M198:M201"/>
    <mergeCell ref="N198:N201"/>
    <mergeCell ref="O198:O201"/>
    <mergeCell ref="C202:C204"/>
    <mergeCell ref="A202:A204"/>
    <mergeCell ref="B202:B204"/>
    <mergeCell ref="D202:D204"/>
    <mergeCell ref="E202:E204"/>
    <mergeCell ref="G202:G204"/>
    <mergeCell ref="H202:H204"/>
    <mergeCell ref="E205:E209"/>
    <mergeCell ref="A205:A209"/>
    <mergeCell ref="B205:B209"/>
    <mergeCell ref="C205:C209"/>
    <mergeCell ref="D205:D209"/>
    <mergeCell ref="G205:G209"/>
    <mergeCell ref="H205:H209"/>
    <mergeCell ref="P205:P209"/>
    <mergeCell ref="Q205:Q209"/>
    <mergeCell ref="R205:R209"/>
    <mergeCell ref="R202:R204"/>
    <mergeCell ref="I202:I204"/>
    <mergeCell ref="J202:J204"/>
    <mergeCell ref="K202:K204"/>
    <mergeCell ref="L202:L204"/>
    <mergeCell ref="M202:M204"/>
    <mergeCell ref="N202:N204"/>
    <mergeCell ref="O202:O204"/>
    <mergeCell ref="P202:P204"/>
    <mergeCell ref="Q202:Q204"/>
    <mergeCell ref="I205:I209"/>
    <mergeCell ref="J205:J209"/>
    <mergeCell ref="K205:K209"/>
    <mergeCell ref="L205:L209"/>
    <mergeCell ref="M205:M209"/>
    <mergeCell ref="N205:N209"/>
    <mergeCell ref="O205:O209"/>
    <mergeCell ref="E210:E212"/>
    <mergeCell ref="G210:G212"/>
    <mergeCell ref="A210:A212"/>
    <mergeCell ref="B210:B212"/>
    <mergeCell ref="C210:C212"/>
    <mergeCell ref="D210:D212"/>
    <mergeCell ref="H210:H212"/>
    <mergeCell ref="I210:I212"/>
    <mergeCell ref="J210:J212"/>
    <mergeCell ref="A213:A214"/>
    <mergeCell ref="B213:B214"/>
    <mergeCell ref="C213:C214"/>
    <mergeCell ref="D213:D214"/>
    <mergeCell ref="E213:E214"/>
    <mergeCell ref="G213:G214"/>
    <mergeCell ref="H213:H214"/>
    <mergeCell ref="I213:I214"/>
    <mergeCell ref="J213:J214"/>
    <mergeCell ref="R213:R214"/>
    <mergeCell ref="K210:K212"/>
    <mergeCell ref="L210:L212"/>
    <mergeCell ref="M210:M212"/>
    <mergeCell ref="N210:N212"/>
    <mergeCell ref="O210:O212"/>
    <mergeCell ref="P210:P212"/>
    <mergeCell ref="Q210:Q212"/>
    <mergeCell ref="R210:R212"/>
    <mergeCell ref="K213:K214"/>
    <mergeCell ref="L213:L214"/>
    <mergeCell ref="M213:M214"/>
    <mergeCell ref="N213:N214"/>
    <mergeCell ref="O213:O214"/>
    <mergeCell ref="P213:P214"/>
    <mergeCell ref="Q213:Q214"/>
    <mergeCell ref="K221:K223"/>
    <mergeCell ref="L221:L223"/>
    <mergeCell ref="M221:M223"/>
    <mergeCell ref="N221:N223"/>
    <mergeCell ref="O221:O223"/>
    <mergeCell ref="P221:P223"/>
    <mergeCell ref="Q221:Q223"/>
    <mergeCell ref="R221:R223"/>
    <mergeCell ref="A221:A223"/>
    <mergeCell ref="B221:B223"/>
    <mergeCell ref="C221:C223"/>
    <mergeCell ref="D221:D223"/>
    <mergeCell ref="E221:E223"/>
    <mergeCell ref="G221:G223"/>
    <mergeCell ref="H221:H223"/>
    <mergeCell ref="I221:I223"/>
    <mergeCell ref="J221:J223"/>
    <mergeCell ref="P238:P239"/>
    <mergeCell ref="Q238:Q239"/>
    <mergeCell ref="A225:A226"/>
    <mergeCell ref="B225:B226"/>
    <mergeCell ref="C225:C226"/>
    <mergeCell ref="D225:D226"/>
    <mergeCell ref="E225:E226"/>
    <mergeCell ref="G225:G226"/>
    <mergeCell ref="H225:H226"/>
    <mergeCell ref="A238:A239"/>
    <mergeCell ref="B238:B239"/>
    <mergeCell ref="C238:C239"/>
    <mergeCell ref="D238:D239"/>
    <mergeCell ref="E238:E239"/>
    <mergeCell ref="G238:G239"/>
    <mergeCell ref="H238:H239"/>
    <mergeCell ref="I238:I239"/>
    <mergeCell ref="J238:J239"/>
    <mergeCell ref="I225:I226"/>
    <mergeCell ref="J225:J226"/>
    <mergeCell ref="K225:K226"/>
    <mergeCell ref="L225:L226"/>
    <mergeCell ref="M225:M226"/>
    <mergeCell ref="N225:N226"/>
    <mergeCell ref="O225:O226"/>
    <mergeCell ref="P225:P226"/>
    <mergeCell ref="Q225:Q226"/>
    <mergeCell ref="R225:R226"/>
    <mergeCell ref="A234:A237"/>
    <mergeCell ref="B234:B237"/>
    <mergeCell ref="C234:C237"/>
    <mergeCell ref="D234:D237"/>
    <mergeCell ref="E234:E237"/>
    <mergeCell ref="G234:G237"/>
    <mergeCell ref="H234:H237"/>
    <mergeCell ref="I234:I237"/>
    <mergeCell ref="J234:J237"/>
    <mergeCell ref="K234:K237"/>
    <mergeCell ref="L234:L237"/>
    <mergeCell ref="M234:M237"/>
    <mergeCell ref="N234:N237"/>
    <mergeCell ref="O234:O237"/>
    <mergeCell ref="P234:P237"/>
    <mergeCell ref="Q234:Q237"/>
    <mergeCell ref="R234:R237"/>
    <mergeCell ref="A230:A231"/>
    <mergeCell ref="B230:B231"/>
    <mergeCell ref="C230:C231"/>
    <mergeCell ref="N230:N231"/>
    <mergeCell ref="O230:O231"/>
    <mergeCell ref="P230:P231"/>
    <mergeCell ref="D230:D231"/>
    <mergeCell ref="E230:E231"/>
    <mergeCell ref="G230:G231"/>
    <mergeCell ref="H230:H231"/>
    <mergeCell ref="I230:I231"/>
    <mergeCell ref="J230:J231"/>
    <mergeCell ref="K230:K231"/>
    <mergeCell ref="L230:L231"/>
    <mergeCell ref="M230:M231"/>
    <mergeCell ref="A245:A248"/>
    <mergeCell ref="B245:B248"/>
    <mergeCell ref="C245:C248"/>
    <mergeCell ref="D245:D248"/>
    <mergeCell ref="E245:E248"/>
    <mergeCell ref="G245:G248"/>
    <mergeCell ref="H245:H248"/>
    <mergeCell ref="I245:I248"/>
    <mergeCell ref="J245:J248"/>
    <mergeCell ref="R230:R231"/>
    <mergeCell ref="K245:K248"/>
    <mergeCell ref="L245:L248"/>
    <mergeCell ref="M245:M248"/>
    <mergeCell ref="N245:N248"/>
    <mergeCell ref="O245:O248"/>
    <mergeCell ref="P245:P248"/>
    <mergeCell ref="Q245:Q248"/>
    <mergeCell ref="R245:R248"/>
    <mergeCell ref="R238:R239"/>
    <mergeCell ref="R243:R244"/>
    <mergeCell ref="Q230:Q231"/>
    <mergeCell ref="K243:K244"/>
    <mergeCell ref="L243:L244"/>
    <mergeCell ref="M243:M244"/>
    <mergeCell ref="N243:N244"/>
    <mergeCell ref="O243:O244"/>
    <mergeCell ref="P243:P244"/>
    <mergeCell ref="Q243:Q244"/>
    <mergeCell ref="K238:K239"/>
    <mergeCell ref="L238:L239"/>
    <mergeCell ref="M238:M239"/>
    <mergeCell ref="N238:N239"/>
    <mergeCell ref="O238:O239"/>
    <mergeCell ref="J243:J244"/>
    <mergeCell ref="I243:I244"/>
    <mergeCell ref="H243:H244"/>
    <mergeCell ref="G243:G244"/>
    <mergeCell ref="E243:E244"/>
    <mergeCell ref="D243:D244"/>
    <mergeCell ref="C243:C244"/>
    <mergeCell ref="B243:B244"/>
    <mergeCell ref="A243:A244"/>
    <mergeCell ref="A240:A242"/>
    <mergeCell ref="B240:B242"/>
    <mergeCell ref="C240:C242"/>
    <mergeCell ref="D240:D242"/>
    <mergeCell ref="E240:E242"/>
    <mergeCell ref="G240:G242"/>
    <mergeCell ref="H240:H242"/>
    <mergeCell ref="I240:I242"/>
    <mergeCell ref="J240:J242"/>
    <mergeCell ref="A258:A265"/>
    <mergeCell ref="B258:B265"/>
    <mergeCell ref="C258:C265"/>
    <mergeCell ref="D258:D265"/>
    <mergeCell ref="E258:E265"/>
    <mergeCell ref="G258:G265"/>
    <mergeCell ref="H258:H265"/>
    <mergeCell ref="I258:I265"/>
    <mergeCell ref="J258:J265"/>
    <mergeCell ref="R258:R265"/>
    <mergeCell ref="K240:K242"/>
    <mergeCell ref="L240:L242"/>
    <mergeCell ref="M240:M242"/>
    <mergeCell ref="N240:N242"/>
    <mergeCell ref="O240:O242"/>
    <mergeCell ref="P240:P242"/>
    <mergeCell ref="Q240:Q242"/>
    <mergeCell ref="R240:R242"/>
    <mergeCell ref="K258:K265"/>
    <mergeCell ref="L258:L265"/>
    <mergeCell ref="M258:M265"/>
    <mergeCell ref="N258:N265"/>
    <mergeCell ref="O258:O265"/>
    <mergeCell ref="P258:P265"/>
    <mergeCell ref="Q258:Q265"/>
    <mergeCell ref="K255:K257"/>
    <mergeCell ref="L255:L257"/>
    <mergeCell ref="M255:M257"/>
    <mergeCell ref="N255:N257"/>
    <mergeCell ref="O255:O257"/>
    <mergeCell ref="P255:P257"/>
    <mergeCell ref="Q255:Q257"/>
    <mergeCell ref="R255:R257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04D01-CF57-4080-86F9-5C85E379FE56}">
  <sheetPr>
    <pageSetUpPr fitToPage="1"/>
  </sheetPr>
  <dimension ref="A1:I141"/>
  <sheetViews>
    <sheetView topLeftCell="A128" workbookViewId="0">
      <selection activeCell="H134" sqref="H134"/>
    </sheetView>
  </sheetViews>
  <sheetFormatPr baseColWidth="10" defaultRowHeight="14.4"/>
  <cols>
    <col min="1" max="1" width="8.77734375" bestFit="1" customWidth="1"/>
    <col min="2" max="2" width="20.5546875" customWidth="1"/>
    <col min="3" max="3" width="26.21875" customWidth="1"/>
    <col min="4" max="4" width="8.77734375" bestFit="1" customWidth="1"/>
    <col min="5" max="5" width="11.88671875" bestFit="1" customWidth="1"/>
    <col min="6" max="6" width="12.5546875" bestFit="1" customWidth="1"/>
  </cols>
  <sheetData>
    <row r="1" spans="1:6" ht="18.600000000000001" customHeight="1">
      <c r="A1" s="18" t="s">
        <v>209</v>
      </c>
      <c r="B1" s="19" t="s">
        <v>210</v>
      </c>
      <c r="C1" s="19" t="s">
        <v>211</v>
      </c>
      <c r="D1" s="18" t="s">
        <v>209</v>
      </c>
    </row>
    <row r="2" spans="1:6" ht="18.600000000000001" customHeight="1">
      <c r="A2" s="20" t="s">
        <v>212</v>
      </c>
      <c r="B2" s="21" t="s">
        <v>213</v>
      </c>
      <c r="C2" s="22">
        <v>46109</v>
      </c>
      <c r="D2" s="20" t="s">
        <v>212</v>
      </c>
      <c r="E2" t="s">
        <v>97</v>
      </c>
      <c r="F2" t="s">
        <v>101</v>
      </c>
    </row>
    <row r="3" spans="1:6" ht="18.600000000000001" customHeight="1">
      <c r="A3" s="20" t="s">
        <v>214</v>
      </c>
      <c r="B3" s="21" t="s">
        <v>213</v>
      </c>
      <c r="C3" s="22">
        <v>46109</v>
      </c>
      <c r="D3" s="20" t="s">
        <v>214</v>
      </c>
      <c r="E3" t="s">
        <v>97</v>
      </c>
      <c r="F3" t="s">
        <v>101</v>
      </c>
    </row>
    <row r="4" spans="1:6" ht="18.600000000000001" customHeight="1">
      <c r="A4" s="20" t="s">
        <v>215</v>
      </c>
      <c r="B4" s="21" t="s">
        <v>213</v>
      </c>
      <c r="C4" s="22">
        <v>46109</v>
      </c>
      <c r="D4" s="20" t="s">
        <v>215</v>
      </c>
      <c r="E4" t="s">
        <v>97</v>
      </c>
      <c r="F4" t="s">
        <v>101</v>
      </c>
    </row>
    <row r="5" spans="1:6" ht="18.600000000000001" customHeight="1">
      <c r="A5" s="20" t="s">
        <v>216</v>
      </c>
      <c r="B5" s="21" t="s">
        <v>213</v>
      </c>
      <c r="C5" s="22">
        <v>46109</v>
      </c>
      <c r="D5" s="20" t="s">
        <v>216</v>
      </c>
      <c r="E5" t="s">
        <v>97</v>
      </c>
      <c r="F5" t="s">
        <v>101</v>
      </c>
    </row>
    <row r="6" spans="1:6" ht="18.600000000000001" customHeight="1">
      <c r="A6" s="20" t="s">
        <v>217</v>
      </c>
      <c r="B6" s="21" t="s">
        <v>213</v>
      </c>
      <c r="C6" s="22">
        <v>46109</v>
      </c>
      <c r="D6" s="20" t="s">
        <v>217</v>
      </c>
      <c r="E6" t="s">
        <v>97</v>
      </c>
      <c r="F6" t="s">
        <v>101</v>
      </c>
    </row>
    <row r="7" spans="1:6" ht="18.600000000000001" customHeight="1">
      <c r="A7" s="20" t="s">
        <v>218</v>
      </c>
      <c r="B7" s="21" t="s">
        <v>213</v>
      </c>
      <c r="C7" s="22">
        <v>46109</v>
      </c>
      <c r="D7" s="20" t="s">
        <v>218</v>
      </c>
      <c r="E7" t="s">
        <v>97</v>
      </c>
      <c r="F7" t="s">
        <v>101</v>
      </c>
    </row>
    <row r="8" spans="1:6" ht="18.600000000000001" customHeight="1">
      <c r="A8" s="20" t="s">
        <v>219</v>
      </c>
      <c r="B8" s="21" t="s">
        <v>213</v>
      </c>
      <c r="C8" s="22">
        <v>46109</v>
      </c>
      <c r="D8" s="20" t="s">
        <v>219</v>
      </c>
      <c r="E8" t="s">
        <v>97</v>
      </c>
      <c r="F8" t="s">
        <v>101</v>
      </c>
    </row>
    <row r="9" spans="1:6" ht="18.600000000000001" customHeight="1">
      <c r="A9" s="20" t="s">
        <v>220</v>
      </c>
      <c r="B9" s="21" t="s">
        <v>213</v>
      </c>
      <c r="C9" s="22">
        <v>46109</v>
      </c>
      <c r="D9" s="20" t="s">
        <v>220</v>
      </c>
      <c r="E9" t="s">
        <v>97</v>
      </c>
      <c r="F9" t="s">
        <v>101</v>
      </c>
    </row>
    <row r="10" spans="1:6" ht="18.600000000000001" customHeight="1">
      <c r="A10" s="20" t="s">
        <v>221</v>
      </c>
      <c r="B10" s="21" t="s">
        <v>213</v>
      </c>
      <c r="C10" s="22">
        <v>46109</v>
      </c>
      <c r="D10" s="20" t="s">
        <v>221</v>
      </c>
      <c r="E10" t="s">
        <v>97</v>
      </c>
      <c r="F10" t="s">
        <v>101</v>
      </c>
    </row>
    <row r="11" spans="1:6" ht="18.600000000000001" customHeight="1">
      <c r="A11" s="20" t="s">
        <v>222</v>
      </c>
      <c r="B11" s="21" t="s">
        <v>213</v>
      </c>
      <c r="C11" s="22">
        <v>46109</v>
      </c>
      <c r="D11" s="20" t="s">
        <v>222</v>
      </c>
      <c r="E11" t="s">
        <v>97</v>
      </c>
      <c r="F11" t="s">
        <v>101</v>
      </c>
    </row>
    <row r="12" spans="1:6" ht="18.600000000000001" customHeight="1">
      <c r="A12" s="20" t="s">
        <v>223</v>
      </c>
      <c r="B12" s="21" t="s">
        <v>213</v>
      </c>
      <c r="C12" s="22">
        <v>46109</v>
      </c>
      <c r="D12" s="20" t="s">
        <v>223</v>
      </c>
      <c r="E12" t="s">
        <v>97</v>
      </c>
      <c r="F12" t="s">
        <v>101</v>
      </c>
    </row>
    <row r="13" spans="1:6" ht="18.600000000000001" customHeight="1">
      <c r="A13" s="20" t="s">
        <v>224</v>
      </c>
      <c r="B13" s="21" t="s">
        <v>213</v>
      </c>
      <c r="C13" s="22">
        <v>46109</v>
      </c>
      <c r="D13" s="20" t="s">
        <v>224</v>
      </c>
      <c r="E13" t="s">
        <v>97</v>
      </c>
      <c r="F13" t="s">
        <v>101</v>
      </c>
    </row>
    <row r="14" spans="1:6" ht="18.600000000000001" customHeight="1">
      <c r="A14" s="20" t="s">
        <v>225</v>
      </c>
      <c r="B14" s="21" t="s">
        <v>213</v>
      </c>
      <c r="C14" s="22">
        <v>46109</v>
      </c>
      <c r="D14" s="20" t="s">
        <v>225</v>
      </c>
      <c r="E14" t="s">
        <v>97</v>
      </c>
      <c r="F14" t="s">
        <v>101</v>
      </c>
    </row>
    <row r="15" spans="1:6" ht="18.600000000000001" customHeight="1">
      <c r="A15" s="20" t="s">
        <v>226</v>
      </c>
      <c r="B15" s="21" t="s">
        <v>213</v>
      </c>
      <c r="C15" s="22">
        <v>46109</v>
      </c>
      <c r="D15" s="20" t="s">
        <v>226</v>
      </c>
      <c r="E15" t="s">
        <v>97</v>
      </c>
      <c r="F15" t="s">
        <v>100</v>
      </c>
    </row>
    <row r="16" spans="1:6" ht="18.600000000000001" customHeight="1">
      <c r="A16" s="20" t="s">
        <v>227</v>
      </c>
      <c r="B16" s="21" t="s">
        <v>213</v>
      </c>
      <c r="C16" s="22">
        <v>46109</v>
      </c>
      <c r="D16" s="20" t="s">
        <v>227</v>
      </c>
      <c r="E16" t="s">
        <v>97</v>
      </c>
      <c r="F16" t="s">
        <v>100</v>
      </c>
    </row>
    <row r="17" spans="1:6" ht="18.600000000000001" customHeight="1">
      <c r="A17" s="20" t="s">
        <v>228</v>
      </c>
      <c r="B17" s="21" t="s">
        <v>213</v>
      </c>
      <c r="C17" s="22">
        <v>46109</v>
      </c>
      <c r="D17" s="20" t="s">
        <v>228</v>
      </c>
      <c r="E17" t="s">
        <v>97</v>
      </c>
      <c r="F17" t="s">
        <v>100</v>
      </c>
    </row>
    <row r="18" spans="1:6" ht="18.600000000000001" customHeight="1">
      <c r="A18" s="20" t="s">
        <v>229</v>
      </c>
      <c r="B18" s="21" t="s">
        <v>213</v>
      </c>
      <c r="C18" s="22">
        <v>46109</v>
      </c>
      <c r="D18" s="20" t="s">
        <v>229</v>
      </c>
      <c r="E18" t="s">
        <v>97</v>
      </c>
      <c r="F18" t="s">
        <v>100</v>
      </c>
    </row>
    <row r="19" spans="1:6" ht="18.600000000000001" customHeight="1">
      <c r="A19" s="20" t="s">
        <v>230</v>
      </c>
      <c r="B19" s="21" t="s">
        <v>213</v>
      </c>
      <c r="C19" s="22">
        <v>46109</v>
      </c>
      <c r="D19" s="20" t="s">
        <v>230</v>
      </c>
      <c r="E19" t="s">
        <v>97</v>
      </c>
      <c r="F19" t="s">
        <v>100</v>
      </c>
    </row>
    <row r="20" spans="1:6" ht="18.600000000000001" customHeight="1">
      <c r="A20" s="20" t="s">
        <v>231</v>
      </c>
      <c r="B20" s="21" t="s">
        <v>213</v>
      </c>
      <c r="C20" s="22">
        <v>46109</v>
      </c>
      <c r="D20" s="20" t="s">
        <v>231</v>
      </c>
      <c r="E20" t="s">
        <v>97</v>
      </c>
      <c r="F20" t="s">
        <v>100</v>
      </c>
    </row>
    <row r="21" spans="1:6" ht="18.600000000000001" customHeight="1">
      <c r="A21" s="20" t="s">
        <v>232</v>
      </c>
      <c r="B21" s="21" t="s">
        <v>213</v>
      </c>
      <c r="C21" s="22">
        <v>46109</v>
      </c>
      <c r="D21" s="20" t="s">
        <v>232</v>
      </c>
      <c r="E21" t="s">
        <v>97</v>
      </c>
      <c r="F21" t="s">
        <v>102</v>
      </c>
    </row>
    <row r="22" spans="1:6" ht="18.600000000000001" customHeight="1">
      <c r="A22" s="20" t="s">
        <v>233</v>
      </c>
      <c r="B22" s="21" t="s">
        <v>213</v>
      </c>
      <c r="C22" s="22">
        <v>46109</v>
      </c>
      <c r="D22" s="20" t="s">
        <v>233</v>
      </c>
      <c r="E22" t="s">
        <v>97</v>
      </c>
      <c r="F22" t="s">
        <v>102</v>
      </c>
    </row>
    <row r="23" spans="1:6" ht="18.600000000000001" customHeight="1">
      <c r="A23" s="20" t="s">
        <v>234</v>
      </c>
      <c r="B23" s="21" t="s">
        <v>213</v>
      </c>
      <c r="C23" s="22">
        <v>46109</v>
      </c>
      <c r="D23" s="20" t="s">
        <v>234</v>
      </c>
      <c r="E23" t="s">
        <v>97</v>
      </c>
      <c r="F23" t="s">
        <v>102</v>
      </c>
    </row>
    <row r="24" spans="1:6" ht="18.600000000000001" customHeight="1">
      <c r="A24" s="20" t="s">
        <v>235</v>
      </c>
      <c r="B24" s="21" t="s">
        <v>213</v>
      </c>
      <c r="C24" s="22">
        <v>46109</v>
      </c>
      <c r="D24" s="20" t="s">
        <v>235</v>
      </c>
      <c r="E24" t="s">
        <v>97</v>
      </c>
      <c r="F24" t="s">
        <v>102</v>
      </c>
    </row>
    <row r="25" spans="1:6" ht="18.600000000000001" customHeight="1">
      <c r="A25" s="20" t="s">
        <v>236</v>
      </c>
      <c r="B25" s="21" t="s">
        <v>213</v>
      </c>
      <c r="C25" s="22">
        <v>46109</v>
      </c>
      <c r="D25" s="20" t="s">
        <v>236</v>
      </c>
      <c r="E25" t="s">
        <v>97</v>
      </c>
      <c r="F25" t="s">
        <v>98</v>
      </c>
    </row>
    <row r="26" spans="1:6" ht="18.600000000000001" customHeight="1">
      <c r="A26" s="20" t="s">
        <v>237</v>
      </c>
      <c r="B26" s="21" t="s">
        <v>213</v>
      </c>
      <c r="C26" s="22">
        <v>46109</v>
      </c>
      <c r="D26" s="20" t="s">
        <v>237</v>
      </c>
      <c r="E26" t="s">
        <v>97</v>
      </c>
      <c r="F26" t="s">
        <v>98</v>
      </c>
    </row>
    <row r="27" spans="1:6" ht="18.600000000000001" customHeight="1">
      <c r="A27" s="20" t="s">
        <v>238</v>
      </c>
      <c r="B27" s="21" t="s">
        <v>213</v>
      </c>
      <c r="C27" s="22">
        <v>46109</v>
      </c>
      <c r="D27" s="20" t="s">
        <v>238</v>
      </c>
      <c r="E27" t="s">
        <v>97</v>
      </c>
      <c r="F27" t="s">
        <v>98</v>
      </c>
    </row>
    <row r="28" spans="1:6" ht="18.600000000000001" customHeight="1">
      <c r="A28" s="20" t="s">
        <v>239</v>
      </c>
      <c r="B28" s="21" t="s">
        <v>213</v>
      </c>
      <c r="C28" s="22">
        <v>46109</v>
      </c>
      <c r="D28" s="20" t="s">
        <v>239</v>
      </c>
      <c r="E28" t="s">
        <v>97</v>
      </c>
      <c r="F28" t="s">
        <v>98</v>
      </c>
    </row>
    <row r="29" spans="1:6" ht="18.600000000000001" customHeight="1">
      <c r="A29" s="20" t="s">
        <v>240</v>
      </c>
      <c r="B29" s="21" t="s">
        <v>213</v>
      </c>
      <c r="C29" s="22">
        <v>46109</v>
      </c>
      <c r="D29" s="20" t="s">
        <v>240</v>
      </c>
      <c r="E29" t="s">
        <v>97</v>
      </c>
      <c r="F29" t="s">
        <v>98</v>
      </c>
    </row>
    <row r="30" spans="1:6" ht="18.600000000000001" customHeight="1">
      <c r="A30" s="20" t="s">
        <v>241</v>
      </c>
      <c r="B30" s="21" t="s">
        <v>213</v>
      </c>
      <c r="C30" s="22">
        <v>46109</v>
      </c>
      <c r="D30" s="20" t="s">
        <v>241</v>
      </c>
      <c r="E30" t="s">
        <v>97</v>
      </c>
      <c r="F30" t="s">
        <v>98</v>
      </c>
    </row>
    <row r="31" spans="1:6" ht="18.600000000000001" customHeight="1">
      <c r="A31" s="20" t="s">
        <v>242</v>
      </c>
      <c r="B31" s="21" t="s">
        <v>213</v>
      </c>
      <c r="C31" s="22">
        <v>46109</v>
      </c>
      <c r="D31" s="20" t="s">
        <v>242</v>
      </c>
      <c r="E31" t="s">
        <v>97</v>
      </c>
      <c r="F31" t="s">
        <v>98</v>
      </c>
    </row>
    <row r="32" spans="1:6" ht="18.600000000000001" customHeight="1">
      <c r="A32" s="20" t="s">
        <v>243</v>
      </c>
      <c r="B32" s="21" t="s">
        <v>213</v>
      </c>
      <c r="C32" s="22">
        <v>46109</v>
      </c>
      <c r="D32" s="20" t="s">
        <v>243</v>
      </c>
      <c r="E32" t="s">
        <v>97</v>
      </c>
      <c r="F32" t="s">
        <v>98</v>
      </c>
    </row>
    <row r="33" spans="1:6" ht="18.600000000000001" customHeight="1">
      <c r="A33" s="20" t="s">
        <v>244</v>
      </c>
      <c r="B33" s="21" t="s">
        <v>213</v>
      </c>
      <c r="C33" s="22">
        <v>46109</v>
      </c>
      <c r="D33" s="20" t="s">
        <v>244</v>
      </c>
      <c r="E33" t="s">
        <v>97</v>
      </c>
      <c r="F33" t="s">
        <v>98</v>
      </c>
    </row>
    <row r="34" spans="1:6" ht="18.600000000000001" customHeight="1">
      <c r="A34" s="20" t="s">
        <v>245</v>
      </c>
      <c r="B34" s="21" t="s">
        <v>213</v>
      </c>
      <c r="C34" s="22">
        <v>46109</v>
      </c>
      <c r="D34" s="20" t="s">
        <v>245</v>
      </c>
      <c r="E34" t="s">
        <v>97</v>
      </c>
      <c r="F34" t="s">
        <v>99</v>
      </c>
    </row>
    <row r="35" spans="1:6" ht="18.600000000000001" customHeight="1">
      <c r="A35" s="20" t="s">
        <v>246</v>
      </c>
      <c r="B35" s="21" t="s">
        <v>213</v>
      </c>
      <c r="C35" s="22">
        <v>46109</v>
      </c>
      <c r="D35" s="20" t="s">
        <v>246</v>
      </c>
      <c r="E35" t="s">
        <v>97</v>
      </c>
      <c r="F35" t="s">
        <v>99</v>
      </c>
    </row>
    <row r="36" spans="1:6" ht="18.600000000000001" customHeight="1">
      <c r="A36" s="20" t="s">
        <v>247</v>
      </c>
      <c r="B36" s="21" t="s">
        <v>213</v>
      </c>
      <c r="C36" s="22">
        <v>46109</v>
      </c>
      <c r="D36" s="20" t="s">
        <v>247</v>
      </c>
      <c r="E36" t="s">
        <v>97</v>
      </c>
      <c r="F36" t="s">
        <v>99</v>
      </c>
    </row>
    <row r="37" spans="1:6" ht="18.600000000000001" customHeight="1">
      <c r="A37" s="20" t="s">
        <v>248</v>
      </c>
      <c r="B37" s="21" t="s">
        <v>213</v>
      </c>
      <c r="C37" s="22">
        <v>46109</v>
      </c>
      <c r="D37" s="20" t="s">
        <v>248</v>
      </c>
      <c r="E37" t="s">
        <v>97</v>
      </c>
      <c r="F37" t="s">
        <v>99</v>
      </c>
    </row>
    <row r="38" spans="1:6" ht="18.600000000000001" customHeight="1">
      <c r="A38" s="20" t="s">
        <v>249</v>
      </c>
      <c r="B38" s="21" t="s">
        <v>213</v>
      </c>
      <c r="C38" s="22">
        <v>46109</v>
      </c>
      <c r="D38" s="20" t="s">
        <v>249</v>
      </c>
      <c r="E38" t="s">
        <v>97</v>
      </c>
      <c r="F38" t="s">
        <v>99</v>
      </c>
    </row>
    <row r="39" spans="1:6" s="33" customFormat="1" ht="18.600000000000001" customHeight="1">
      <c r="A39" s="30" t="s">
        <v>250</v>
      </c>
      <c r="B39" s="31" t="s">
        <v>213</v>
      </c>
      <c r="C39" s="32">
        <v>46109</v>
      </c>
      <c r="D39" s="30" t="s">
        <v>250</v>
      </c>
      <c r="E39" s="33" t="s">
        <v>122</v>
      </c>
      <c r="F39" s="33" t="s">
        <v>123</v>
      </c>
    </row>
    <row r="40" spans="1:6" ht="18.600000000000001" customHeight="1">
      <c r="A40" s="20" t="s">
        <v>251</v>
      </c>
      <c r="B40" s="21" t="s">
        <v>213</v>
      </c>
      <c r="C40" s="22">
        <v>46109</v>
      </c>
      <c r="D40" s="20" t="s">
        <v>251</v>
      </c>
      <c r="E40" s="33" t="s">
        <v>122</v>
      </c>
      <c r="F40" s="33" t="s">
        <v>123</v>
      </c>
    </row>
    <row r="41" spans="1:6" ht="18.600000000000001" customHeight="1">
      <c r="A41" s="20" t="s">
        <v>252</v>
      </c>
      <c r="B41" s="21" t="s">
        <v>213</v>
      </c>
      <c r="C41" s="22">
        <v>46109</v>
      </c>
      <c r="D41" s="20" t="s">
        <v>252</v>
      </c>
      <c r="E41" s="33" t="s">
        <v>122</v>
      </c>
      <c r="F41" s="33" t="s">
        <v>123</v>
      </c>
    </row>
    <row r="42" spans="1:6" ht="18.600000000000001" customHeight="1">
      <c r="A42" s="20" t="s">
        <v>253</v>
      </c>
      <c r="B42" s="21" t="s">
        <v>213</v>
      </c>
      <c r="C42" s="22">
        <v>46109</v>
      </c>
      <c r="D42" s="20" t="s">
        <v>253</v>
      </c>
      <c r="E42" s="33" t="s">
        <v>122</v>
      </c>
      <c r="F42" s="33" t="s">
        <v>123</v>
      </c>
    </row>
    <row r="43" spans="1:6" ht="18.600000000000001" customHeight="1">
      <c r="A43" s="20" t="s">
        <v>254</v>
      </c>
      <c r="B43" s="21" t="s">
        <v>213</v>
      </c>
      <c r="C43" s="22">
        <v>46109</v>
      </c>
      <c r="D43" s="20" t="s">
        <v>254</v>
      </c>
      <c r="E43" s="33" t="s">
        <v>122</v>
      </c>
      <c r="F43" s="33" t="s">
        <v>123</v>
      </c>
    </row>
    <row r="44" spans="1:6" ht="18.600000000000001" customHeight="1">
      <c r="A44" s="20" t="s">
        <v>255</v>
      </c>
      <c r="B44" s="21" t="s">
        <v>213</v>
      </c>
      <c r="C44" s="22">
        <v>46109</v>
      </c>
      <c r="D44" s="20" t="s">
        <v>255</v>
      </c>
      <c r="E44" s="33" t="s">
        <v>122</v>
      </c>
      <c r="F44" s="33" t="s">
        <v>123</v>
      </c>
    </row>
    <row r="45" spans="1:6" ht="18.600000000000001" customHeight="1">
      <c r="A45" s="20" t="s">
        <v>256</v>
      </c>
      <c r="B45" s="21" t="s">
        <v>213</v>
      </c>
      <c r="C45" s="22">
        <v>46109</v>
      </c>
      <c r="D45" s="20" t="s">
        <v>256</v>
      </c>
      <c r="E45" s="33" t="s">
        <v>122</v>
      </c>
      <c r="F45" s="33" t="s">
        <v>123</v>
      </c>
    </row>
    <row r="46" spans="1:6" ht="18.600000000000001" customHeight="1">
      <c r="A46" s="20" t="s">
        <v>257</v>
      </c>
      <c r="B46" s="21" t="s">
        <v>213</v>
      </c>
      <c r="C46" s="22">
        <v>46109</v>
      </c>
      <c r="D46" s="20" t="s">
        <v>257</v>
      </c>
      <c r="E46" s="33" t="s">
        <v>122</v>
      </c>
      <c r="F46" s="33" t="s">
        <v>123</v>
      </c>
    </row>
    <row r="47" spans="1:6" ht="18.600000000000001" customHeight="1">
      <c r="A47" s="20" t="s">
        <v>258</v>
      </c>
      <c r="B47" s="21" t="s">
        <v>213</v>
      </c>
      <c r="C47" s="22">
        <v>46109</v>
      </c>
      <c r="D47" s="20" t="s">
        <v>258</v>
      </c>
      <c r="E47" s="33" t="s">
        <v>122</v>
      </c>
      <c r="F47" s="33" t="s">
        <v>123</v>
      </c>
    </row>
    <row r="48" spans="1:6" ht="18.600000000000001" customHeight="1">
      <c r="A48" s="20" t="s">
        <v>259</v>
      </c>
      <c r="B48" s="21" t="s">
        <v>213</v>
      </c>
      <c r="C48" s="22">
        <v>46109</v>
      </c>
      <c r="D48" s="20" t="s">
        <v>259</v>
      </c>
      <c r="E48" s="33" t="s">
        <v>122</v>
      </c>
      <c r="F48" s="33" t="s">
        <v>123</v>
      </c>
    </row>
    <row r="49" spans="1:6" ht="18.600000000000001" customHeight="1">
      <c r="A49" s="20" t="s">
        <v>260</v>
      </c>
      <c r="B49" s="21" t="s">
        <v>213</v>
      </c>
      <c r="C49" s="22">
        <v>46109</v>
      </c>
      <c r="D49" s="20" t="s">
        <v>260</v>
      </c>
      <c r="E49" s="33" t="s">
        <v>122</v>
      </c>
      <c r="F49" s="33" t="s">
        <v>123</v>
      </c>
    </row>
    <row r="50" spans="1:6" ht="18.600000000000001" customHeight="1">
      <c r="A50" s="20" t="s">
        <v>261</v>
      </c>
      <c r="B50" s="21" t="s">
        <v>213</v>
      </c>
      <c r="C50" s="22">
        <v>46109</v>
      </c>
      <c r="D50" s="20" t="s">
        <v>261</v>
      </c>
      <c r="E50" s="33" t="s">
        <v>122</v>
      </c>
      <c r="F50" s="33" t="s">
        <v>125</v>
      </c>
    </row>
    <row r="51" spans="1:6" ht="18.600000000000001" customHeight="1">
      <c r="A51" s="20" t="s">
        <v>262</v>
      </c>
      <c r="B51" s="21" t="s">
        <v>213</v>
      </c>
      <c r="C51" s="22">
        <v>46109</v>
      </c>
      <c r="D51" s="20" t="s">
        <v>262</v>
      </c>
      <c r="E51" s="33" t="s">
        <v>122</v>
      </c>
      <c r="F51" s="33" t="s">
        <v>125</v>
      </c>
    </row>
    <row r="52" spans="1:6" ht="18.600000000000001" customHeight="1">
      <c r="A52" s="20" t="s">
        <v>263</v>
      </c>
      <c r="B52" s="21" t="s">
        <v>213</v>
      </c>
      <c r="C52" s="22">
        <v>46109</v>
      </c>
      <c r="D52" s="20" t="s">
        <v>263</v>
      </c>
      <c r="E52" s="33" t="s">
        <v>122</v>
      </c>
      <c r="F52" s="33" t="s">
        <v>125</v>
      </c>
    </row>
    <row r="53" spans="1:6" ht="18.600000000000001" customHeight="1">
      <c r="A53" s="20" t="s">
        <v>264</v>
      </c>
      <c r="B53" s="21" t="s">
        <v>213</v>
      </c>
      <c r="C53" s="22">
        <v>46109</v>
      </c>
      <c r="D53" s="20" t="s">
        <v>264</v>
      </c>
      <c r="E53" s="33" t="s">
        <v>122</v>
      </c>
      <c r="F53" s="33" t="s">
        <v>125</v>
      </c>
    </row>
    <row r="54" spans="1:6" ht="18.600000000000001" customHeight="1">
      <c r="A54" s="20" t="s">
        <v>265</v>
      </c>
      <c r="B54" s="21" t="s">
        <v>213</v>
      </c>
      <c r="C54" s="22">
        <v>46109</v>
      </c>
      <c r="D54" s="20" t="s">
        <v>265</v>
      </c>
      <c r="E54" s="33" t="s">
        <v>122</v>
      </c>
      <c r="F54" s="33" t="s">
        <v>125</v>
      </c>
    </row>
    <row r="55" spans="1:6" ht="18.600000000000001" customHeight="1">
      <c r="A55" s="20" t="s">
        <v>266</v>
      </c>
      <c r="B55" s="21" t="s">
        <v>213</v>
      </c>
      <c r="C55" s="22">
        <v>46109</v>
      </c>
      <c r="D55" s="20" t="s">
        <v>266</v>
      </c>
      <c r="E55" s="33" t="s">
        <v>122</v>
      </c>
      <c r="F55" s="33" t="s">
        <v>125</v>
      </c>
    </row>
    <row r="56" spans="1:6" ht="18.600000000000001" customHeight="1">
      <c r="A56" s="20" t="s">
        <v>267</v>
      </c>
      <c r="B56" s="21" t="s">
        <v>213</v>
      </c>
      <c r="C56" s="22">
        <v>46109</v>
      </c>
      <c r="D56" s="20" t="s">
        <v>267</v>
      </c>
      <c r="E56" s="33" t="s">
        <v>122</v>
      </c>
      <c r="F56" s="33" t="s">
        <v>125</v>
      </c>
    </row>
    <row r="57" spans="1:6" ht="18.600000000000001" customHeight="1">
      <c r="A57" s="20" t="s">
        <v>268</v>
      </c>
      <c r="B57" s="21" t="s">
        <v>213</v>
      </c>
      <c r="C57" s="22">
        <v>46109</v>
      </c>
      <c r="D57" s="20" t="s">
        <v>268</v>
      </c>
      <c r="E57" s="33" t="s">
        <v>122</v>
      </c>
      <c r="F57" s="33" t="s">
        <v>125</v>
      </c>
    </row>
    <row r="58" spans="1:6" ht="18.600000000000001" customHeight="1">
      <c r="A58" s="20" t="s">
        <v>269</v>
      </c>
      <c r="B58" s="21" t="s">
        <v>213</v>
      </c>
      <c r="C58" s="22">
        <v>46109</v>
      </c>
      <c r="D58" s="20" t="s">
        <v>269</v>
      </c>
      <c r="E58" s="33" t="s">
        <v>122</v>
      </c>
      <c r="F58" s="33" t="s">
        <v>125</v>
      </c>
    </row>
    <row r="59" spans="1:6" ht="18.600000000000001" customHeight="1">
      <c r="A59" s="20" t="s">
        <v>270</v>
      </c>
      <c r="B59" s="21" t="s">
        <v>213</v>
      </c>
      <c r="C59" s="22">
        <v>46109</v>
      </c>
      <c r="D59" s="20" t="s">
        <v>270</v>
      </c>
      <c r="E59" s="33" t="s">
        <v>122</v>
      </c>
      <c r="F59" s="33" t="s">
        <v>125</v>
      </c>
    </row>
    <row r="60" spans="1:6" ht="18.600000000000001" customHeight="1">
      <c r="A60" s="20" t="s">
        <v>271</v>
      </c>
      <c r="B60" s="21" t="s">
        <v>213</v>
      </c>
      <c r="C60" s="22">
        <v>46109</v>
      </c>
      <c r="D60" s="20" t="s">
        <v>271</v>
      </c>
      <c r="E60" s="33" t="s">
        <v>122</v>
      </c>
      <c r="F60" s="33" t="s">
        <v>125</v>
      </c>
    </row>
    <row r="61" spans="1:6" ht="18.600000000000001" customHeight="1">
      <c r="A61" s="20" t="s">
        <v>272</v>
      </c>
      <c r="B61" s="21" t="s">
        <v>213</v>
      </c>
      <c r="C61" s="22">
        <v>46109</v>
      </c>
      <c r="D61" s="20" t="s">
        <v>272</v>
      </c>
      <c r="E61" s="33" t="s">
        <v>122</v>
      </c>
      <c r="F61" s="33" t="s">
        <v>125</v>
      </c>
    </row>
    <row r="62" spans="1:6" ht="18.600000000000001" customHeight="1">
      <c r="A62" s="20" t="s">
        <v>273</v>
      </c>
      <c r="B62" s="21" t="s">
        <v>213</v>
      </c>
      <c r="C62" s="22">
        <v>46109</v>
      </c>
      <c r="D62" s="20" t="s">
        <v>273</v>
      </c>
      <c r="E62" s="33" t="s">
        <v>122</v>
      </c>
      <c r="F62" s="33" t="s">
        <v>125</v>
      </c>
    </row>
    <row r="63" spans="1:6" ht="18.600000000000001" customHeight="1">
      <c r="A63" s="20" t="s">
        <v>274</v>
      </c>
      <c r="B63" s="21" t="s">
        <v>213</v>
      </c>
      <c r="C63" s="22">
        <v>46109</v>
      </c>
      <c r="D63" s="20" t="s">
        <v>274</v>
      </c>
      <c r="E63" s="33" t="s">
        <v>122</v>
      </c>
      <c r="F63" s="33" t="s">
        <v>127</v>
      </c>
    </row>
    <row r="64" spans="1:6" ht="18.600000000000001" customHeight="1">
      <c r="A64" s="20" t="s">
        <v>275</v>
      </c>
      <c r="B64" s="21" t="s">
        <v>213</v>
      </c>
      <c r="C64" s="22">
        <v>46109</v>
      </c>
      <c r="D64" s="20" t="s">
        <v>275</v>
      </c>
      <c r="E64" s="33" t="s">
        <v>122</v>
      </c>
      <c r="F64" s="33" t="s">
        <v>127</v>
      </c>
    </row>
    <row r="65" spans="1:6" ht="18.600000000000001" customHeight="1">
      <c r="A65" s="20" t="s">
        <v>276</v>
      </c>
      <c r="B65" s="21" t="s">
        <v>213</v>
      </c>
      <c r="C65" s="22">
        <v>46109</v>
      </c>
      <c r="D65" s="20" t="s">
        <v>276</v>
      </c>
      <c r="E65" s="33" t="s">
        <v>122</v>
      </c>
      <c r="F65" s="33" t="s">
        <v>127</v>
      </c>
    </row>
    <row r="66" spans="1:6" ht="18.600000000000001" customHeight="1">
      <c r="A66" s="20" t="s">
        <v>277</v>
      </c>
      <c r="B66" s="21" t="s">
        <v>213</v>
      </c>
      <c r="C66" s="22">
        <v>46109</v>
      </c>
      <c r="D66" s="20" t="s">
        <v>277</v>
      </c>
      <c r="E66" s="33" t="s">
        <v>122</v>
      </c>
      <c r="F66" s="33" t="s">
        <v>127</v>
      </c>
    </row>
    <row r="67" spans="1:6" ht="18.600000000000001" customHeight="1">
      <c r="A67" s="20" t="s">
        <v>278</v>
      </c>
      <c r="B67" s="21" t="s">
        <v>213</v>
      </c>
      <c r="C67" s="22">
        <v>46109</v>
      </c>
      <c r="D67" s="20" t="s">
        <v>278</v>
      </c>
      <c r="E67" s="33" t="s">
        <v>122</v>
      </c>
      <c r="F67" s="33" t="s">
        <v>127</v>
      </c>
    </row>
    <row r="68" spans="1:6" ht="18.600000000000001" customHeight="1">
      <c r="A68" s="20" t="s">
        <v>279</v>
      </c>
      <c r="B68" s="21" t="s">
        <v>213</v>
      </c>
      <c r="C68" s="22">
        <v>46109</v>
      </c>
      <c r="D68" s="20" t="s">
        <v>279</v>
      </c>
      <c r="E68" s="33" t="s">
        <v>122</v>
      </c>
      <c r="F68" s="33" t="s">
        <v>127</v>
      </c>
    </row>
    <row r="69" spans="1:6" ht="18.600000000000001" customHeight="1">
      <c r="A69" s="20" t="s">
        <v>280</v>
      </c>
      <c r="B69" s="21" t="s">
        <v>213</v>
      </c>
      <c r="C69" s="22">
        <v>46109</v>
      </c>
      <c r="D69" s="20" t="s">
        <v>280</v>
      </c>
      <c r="E69" s="33" t="s">
        <v>122</v>
      </c>
      <c r="F69" s="33" t="s">
        <v>127</v>
      </c>
    </row>
    <row r="70" spans="1:6" ht="18.600000000000001" customHeight="1">
      <c r="A70" s="20" t="s">
        <v>281</v>
      </c>
      <c r="B70" s="21" t="s">
        <v>213</v>
      </c>
      <c r="C70" s="22">
        <v>46109</v>
      </c>
      <c r="D70" s="20" t="s">
        <v>281</v>
      </c>
      <c r="E70" s="33" t="s">
        <v>122</v>
      </c>
      <c r="F70" s="33" t="s">
        <v>127</v>
      </c>
    </row>
    <row r="71" spans="1:6" ht="18.600000000000001" customHeight="1">
      <c r="A71" s="20" t="s">
        <v>282</v>
      </c>
      <c r="B71" s="21" t="s">
        <v>213</v>
      </c>
      <c r="C71" s="22">
        <v>46109</v>
      </c>
      <c r="D71" s="20" t="s">
        <v>282</v>
      </c>
      <c r="E71" s="33" t="s">
        <v>122</v>
      </c>
      <c r="F71" s="33" t="s">
        <v>333</v>
      </c>
    </row>
    <row r="72" spans="1:6" ht="18.600000000000001" customHeight="1">
      <c r="A72" s="20" t="s">
        <v>283</v>
      </c>
      <c r="B72" s="21" t="s">
        <v>213</v>
      </c>
      <c r="C72" s="22">
        <v>46109</v>
      </c>
      <c r="D72" s="20" t="s">
        <v>283</v>
      </c>
      <c r="E72" s="33" t="s">
        <v>122</v>
      </c>
      <c r="F72" s="33" t="s">
        <v>333</v>
      </c>
    </row>
    <row r="73" spans="1:6" ht="18.600000000000001" customHeight="1">
      <c r="A73" s="20" t="s">
        <v>284</v>
      </c>
      <c r="B73" s="21" t="s">
        <v>213</v>
      </c>
      <c r="C73" s="22">
        <v>46109</v>
      </c>
      <c r="D73" s="20" t="s">
        <v>284</v>
      </c>
      <c r="E73" s="33" t="s">
        <v>122</v>
      </c>
      <c r="F73" s="33" t="s">
        <v>333</v>
      </c>
    </row>
    <row r="74" spans="1:6" ht="18.600000000000001" customHeight="1">
      <c r="A74" s="20" t="s">
        <v>285</v>
      </c>
      <c r="B74" s="21" t="s">
        <v>213</v>
      </c>
      <c r="C74" s="22">
        <v>46109</v>
      </c>
      <c r="D74" s="20" t="s">
        <v>285</v>
      </c>
      <c r="E74" s="33" t="s">
        <v>122</v>
      </c>
      <c r="F74" s="33" t="s">
        <v>333</v>
      </c>
    </row>
    <row r="75" spans="1:6" ht="18.600000000000001" customHeight="1">
      <c r="A75" s="20" t="s">
        <v>286</v>
      </c>
      <c r="B75" s="21" t="s">
        <v>213</v>
      </c>
      <c r="C75" s="22">
        <v>46109</v>
      </c>
      <c r="D75" s="20" t="s">
        <v>286</v>
      </c>
      <c r="E75" s="33" t="s">
        <v>122</v>
      </c>
      <c r="F75" s="33" t="s">
        <v>333</v>
      </c>
    </row>
    <row r="76" spans="1:6" ht="18.600000000000001" customHeight="1">
      <c r="A76" s="20" t="s">
        <v>287</v>
      </c>
      <c r="B76" s="21" t="s">
        <v>213</v>
      </c>
      <c r="C76" s="22">
        <v>46109</v>
      </c>
      <c r="D76" s="20" t="s">
        <v>287</v>
      </c>
      <c r="E76" s="33" t="s">
        <v>122</v>
      </c>
      <c r="F76" s="33" t="s">
        <v>333</v>
      </c>
    </row>
    <row r="77" spans="1:6" ht="18.600000000000001" customHeight="1">
      <c r="A77" s="20" t="s">
        <v>288</v>
      </c>
      <c r="B77" s="21" t="s">
        <v>213</v>
      </c>
      <c r="C77" s="22">
        <v>46109</v>
      </c>
      <c r="D77" s="20" t="s">
        <v>288</v>
      </c>
      <c r="E77" s="33" t="s">
        <v>122</v>
      </c>
      <c r="F77" s="33" t="s">
        <v>333</v>
      </c>
    </row>
    <row r="78" spans="1:6" ht="18.600000000000001" customHeight="1">
      <c r="A78" s="20" t="s">
        <v>289</v>
      </c>
      <c r="B78" s="21" t="s">
        <v>213</v>
      </c>
      <c r="C78" s="22">
        <v>46109</v>
      </c>
      <c r="D78" s="20" t="s">
        <v>289</v>
      </c>
      <c r="E78" s="33" t="s">
        <v>122</v>
      </c>
      <c r="F78" s="33" t="s">
        <v>333</v>
      </c>
    </row>
    <row r="79" spans="1:6" ht="18.600000000000001" customHeight="1">
      <c r="A79" s="20" t="s">
        <v>290</v>
      </c>
      <c r="B79" s="21" t="s">
        <v>213</v>
      </c>
      <c r="C79" s="22">
        <v>46109</v>
      </c>
      <c r="D79" s="20" t="s">
        <v>290</v>
      </c>
      <c r="E79" s="33" t="s">
        <v>122</v>
      </c>
      <c r="F79" s="33" t="s">
        <v>333</v>
      </c>
    </row>
    <row r="80" spans="1:6" ht="18.600000000000001" customHeight="1">
      <c r="A80" s="20" t="s">
        <v>291</v>
      </c>
      <c r="B80" s="21" t="s">
        <v>213</v>
      </c>
      <c r="C80" s="22">
        <v>46109</v>
      </c>
      <c r="D80" s="20" t="s">
        <v>291</v>
      </c>
      <c r="E80" s="33" t="s">
        <v>122</v>
      </c>
      <c r="F80" s="33" t="s">
        <v>333</v>
      </c>
    </row>
    <row r="81" spans="1:9" ht="18.600000000000001" customHeight="1">
      <c r="A81" s="20" t="s">
        <v>292</v>
      </c>
      <c r="B81" s="21" t="s">
        <v>213</v>
      </c>
      <c r="C81" s="22">
        <v>46109</v>
      </c>
      <c r="D81" s="20" t="s">
        <v>292</v>
      </c>
      <c r="E81" s="33" t="s">
        <v>122</v>
      </c>
      <c r="F81" s="33" t="s">
        <v>333</v>
      </c>
    </row>
    <row r="82" spans="1:9" ht="18.600000000000001" customHeight="1">
      <c r="A82" s="20" t="s">
        <v>293</v>
      </c>
      <c r="B82" s="21" t="s">
        <v>213</v>
      </c>
      <c r="C82" s="22">
        <v>46109</v>
      </c>
      <c r="D82" s="20" t="s">
        <v>293</v>
      </c>
      <c r="E82" s="33" t="s">
        <v>122</v>
      </c>
      <c r="F82" s="33" t="s">
        <v>333</v>
      </c>
    </row>
    <row r="83" spans="1:9" ht="18.600000000000001" customHeight="1">
      <c r="A83" s="20" t="s">
        <v>294</v>
      </c>
      <c r="B83" s="21" t="s">
        <v>213</v>
      </c>
      <c r="C83" s="22">
        <v>46109</v>
      </c>
      <c r="D83" s="20" t="s">
        <v>294</v>
      </c>
      <c r="E83" s="33" t="s">
        <v>122</v>
      </c>
      <c r="F83" s="33" t="s">
        <v>124</v>
      </c>
    </row>
    <row r="84" spans="1:9" ht="18.600000000000001" customHeight="1">
      <c r="A84" s="20" t="s">
        <v>295</v>
      </c>
      <c r="B84" s="21" t="s">
        <v>213</v>
      </c>
      <c r="C84" s="22">
        <v>46109</v>
      </c>
      <c r="D84" s="20" t="s">
        <v>295</v>
      </c>
      <c r="E84" s="33" t="s">
        <v>122</v>
      </c>
      <c r="F84" s="33" t="s">
        <v>124</v>
      </c>
    </row>
    <row r="85" spans="1:9" ht="18.600000000000001" customHeight="1">
      <c r="A85" s="20" t="s">
        <v>296</v>
      </c>
      <c r="B85" s="21" t="s">
        <v>213</v>
      </c>
      <c r="C85" s="22">
        <v>46109</v>
      </c>
      <c r="D85" s="20" t="s">
        <v>296</v>
      </c>
      <c r="E85" s="33" t="s">
        <v>122</v>
      </c>
      <c r="F85" s="33" t="s">
        <v>124</v>
      </c>
    </row>
    <row r="86" spans="1:9" ht="18.600000000000001" customHeight="1">
      <c r="A86" s="20" t="s">
        <v>297</v>
      </c>
      <c r="B86" s="21" t="s">
        <v>213</v>
      </c>
      <c r="C86" s="22">
        <v>46109</v>
      </c>
      <c r="D86" s="20" t="s">
        <v>297</v>
      </c>
      <c r="E86" s="33" t="s">
        <v>122</v>
      </c>
      <c r="F86" s="33" t="s">
        <v>124</v>
      </c>
    </row>
    <row r="87" spans="1:9" ht="18.600000000000001" customHeight="1">
      <c r="A87" s="20" t="s">
        <v>298</v>
      </c>
      <c r="B87" s="21" t="s">
        <v>213</v>
      </c>
      <c r="C87" s="22">
        <v>46109</v>
      </c>
      <c r="D87" s="20" t="s">
        <v>298</v>
      </c>
      <c r="E87" s="33" t="s">
        <v>122</v>
      </c>
      <c r="F87" s="33" t="s">
        <v>124</v>
      </c>
    </row>
    <row r="88" spans="1:9" ht="18.600000000000001" customHeight="1">
      <c r="A88" s="20" t="s">
        <v>299</v>
      </c>
      <c r="B88" s="21" t="s">
        <v>213</v>
      </c>
      <c r="C88" s="22">
        <v>46109</v>
      </c>
      <c r="D88" s="20" t="s">
        <v>299</v>
      </c>
      <c r="E88" s="33" t="s">
        <v>122</v>
      </c>
      <c r="F88" s="33" t="s">
        <v>124</v>
      </c>
    </row>
    <row r="89" spans="1:9" ht="18.600000000000001" customHeight="1">
      <c r="A89" s="20" t="s">
        <v>300</v>
      </c>
      <c r="B89" s="21" t="s">
        <v>213</v>
      </c>
      <c r="C89" s="22">
        <v>46109</v>
      </c>
      <c r="D89" s="20" t="s">
        <v>300</v>
      </c>
      <c r="E89" s="33" t="s">
        <v>122</v>
      </c>
      <c r="F89" s="33" t="s">
        <v>124</v>
      </c>
    </row>
    <row r="90" spans="1:9" ht="18.600000000000001" customHeight="1">
      <c r="A90" s="20" t="s">
        <v>301</v>
      </c>
      <c r="B90" s="21" t="s">
        <v>213</v>
      </c>
      <c r="C90" s="22">
        <v>46109</v>
      </c>
      <c r="D90" s="20" t="s">
        <v>301</v>
      </c>
      <c r="E90" s="33" t="s">
        <v>122</v>
      </c>
      <c r="F90" s="33" t="s">
        <v>124</v>
      </c>
    </row>
    <row r="91" spans="1:9" ht="18.600000000000001" customHeight="1">
      <c r="A91" s="20" t="s">
        <v>302</v>
      </c>
      <c r="B91" s="21" t="s">
        <v>213</v>
      </c>
      <c r="C91" s="22">
        <v>46109</v>
      </c>
      <c r="D91" s="20" t="s">
        <v>302</v>
      </c>
      <c r="E91" s="33" t="s">
        <v>122</v>
      </c>
      <c r="F91" s="33" t="s">
        <v>124</v>
      </c>
    </row>
    <row r="92" spans="1:9" ht="18.600000000000001" customHeight="1">
      <c r="A92" s="20" t="s">
        <v>303</v>
      </c>
      <c r="B92" s="21" t="s">
        <v>213</v>
      </c>
      <c r="C92" s="22">
        <v>46109</v>
      </c>
      <c r="D92" s="20" t="s">
        <v>303</v>
      </c>
      <c r="E92" s="33" t="s">
        <v>122</v>
      </c>
      <c r="F92" s="33" t="s">
        <v>124</v>
      </c>
      <c r="I92">
        <f>57+5</f>
        <v>62</v>
      </c>
    </row>
    <row r="93" spans="1:9" ht="18.600000000000001" customHeight="1">
      <c r="A93" s="27" t="s">
        <v>304</v>
      </c>
      <c r="B93" s="28" t="s">
        <v>213</v>
      </c>
      <c r="C93" s="29">
        <v>46109</v>
      </c>
      <c r="D93" s="27" t="s">
        <v>304</v>
      </c>
      <c r="E93" s="33" t="s">
        <v>122</v>
      </c>
      <c r="F93" s="33" t="s">
        <v>124</v>
      </c>
    </row>
    <row r="94" spans="1:9" ht="18.600000000000001" customHeight="1">
      <c r="A94" s="27" t="s">
        <v>305</v>
      </c>
      <c r="B94" s="28" t="s">
        <v>213</v>
      </c>
      <c r="C94" s="29">
        <v>46109</v>
      </c>
      <c r="D94" s="27" t="s">
        <v>305</v>
      </c>
      <c r="E94" s="33" t="s">
        <v>122</v>
      </c>
      <c r="F94" s="33" t="s">
        <v>124</v>
      </c>
    </row>
    <row r="95" spans="1:9" ht="18.600000000000001" customHeight="1">
      <c r="A95" s="27" t="s">
        <v>306</v>
      </c>
      <c r="B95" s="28" t="s">
        <v>213</v>
      </c>
      <c r="C95" s="29">
        <v>46109</v>
      </c>
      <c r="D95" s="27" t="s">
        <v>306</v>
      </c>
      <c r="E95" s="33" t="s">
        <v>122</v>
      </c>
      <c r="F95" s="33" t="s">
        <v>124</v>
      </c>
    </row>
    <row r="96" spans="1:9" ht="18.600000000000001" customHeight="1">
      <c r="A96" s="27" t="s">
        <v>307</v>
      </c>
      <c r="B96" s="28" t="s">
        <v>213</v>
      </c>
      <c r="C96" s="29">
        <v>46109</v>
      </c>
      <c r="D96" s="27" t="s">
        <v>307</v>
      </c>
      <c r="E96" t="s">
        <v>70</v>
      </c>
      <c r="F96" s="8" t="s">
        <v>73</v>
      </c>
      <c r="G96">
        <v>1</v>
      </c>
    </row>
    <row r="97" spans="1:7" ht="18.600000000000001" customHeight="1">
      <c r="A97" s="27" t="s">
        <v>308</v>
      </c>
      <c r="B97" s="28" t="s">
        <v>213</v>
      </c>
      <c r="C97" s="29">
        <v>46109</v>
      </c>
      <c r="D97" s="27" t="s">
        <v>308</v>
      </c>
      <c r="E97" t="s">
        <v>70</v>
      </c>
      <c r="F97" s="8" t="s">
        <v>73</v>
      </c>
      <c r="G97">
        <v>2</v>
      </c>
    </row>
    <row r="98" spans="1:7" ht="18.600000000000001" customHeight="1">
      <c r="A98" s="27" t="s">
        <v>309</v>
      </c>
      <c r="B98" s="28" t="s">
        <v>213</v>
      </c>
      <c r="C98" s="29">
        <v>46109</v>
      </c>
      <c r="D98" s="27" t="s">
        <v>309</v>
      </c>
      <c r="E98" t="s">
        <v>70</v>
      </c>
      <c r="F98" s="8" t="s">
        <v>73</v>
      </c>
      <c r="G98">
        <v>3</v>
      </c>
    </row>
    <row r="99" spans="1:7" ht="18.600000000000001" customHeight="1">
      <c r="A99" s="27" t="s">
        <v>310</v>
      </c>
      <c r="B99" s="28" t="s">
        <v>213</v>
      </c>
      <c r="C99" s="29">
        <v>46109</v>
      </c>
      <c r="D99" s="27" t="s">
        <v>310</v>
      </c>
      <c r="E99" t="s">
        <v>70</v>
      </c>
      <c r="F99" s="8" t="s">
        <v>73</v>
      </c>
      <c r="G99">
        <v>4</v>
      </c>
    </row>
    <row r="100" spans="1:7" ht="18.600000000000001" customHeight="1">
      <c r="A100" s="27" t="s">
        <v>311</v>
      </c>
      <c r="B100" s="28" t="s">
        <v>213</v>
      </c>
      <c r="C100" s="29">
        <v>46109</v>
      </c>
      <c r="D100" s="27" t="s">
        <v>311</v>
      </c>
      <c r="E100" t="s">
        <v>70</v>
      </c>
      <c r="F100" s="8" t="s">
        <v>73</v>
      </c>
      <c r="G100">
        <v>5</v>
      </c>
    </row>
    <row r="101" spans="1:7" ht="18.600000000000001" customHeight="1">
      <c r="A101" s="27" t="s">
        <v>312</v>
      </c>
      <c r="B101" s="28" t="s">
        <v>213</v>
      </c>
      <c r="C101" s="29">
        <v>46109</v>
      </c>
      <c r="D101" s="27" t="s">
        <v>312</v>
      </c>
      <c r="E101" t="s">
        <v>70</v>
      </c>
      <c r="F101" s="8" t="s">
        <v>73</v>
      </c>
      <c r="G101">
        <v>6</v>
      </c>
    </row>
    <row r="102" spans="1:7" ht="18.600000000000001" customHeight="1">
      <c r="A102" s="27" t="s">
        <v>335</v>
      </c>
      <c r="B102" s="28" t="s">
        <v>213</v>
      </c>
      <c r="C102" s="29">
        <v>46119</v>
      </c>
      <c r="D102" s="27" t="s">
        <v>335</v>
      </c>
      <c r="E102" t="s">
        <v>70</v>
      </c>
      <c r="F102" s="8" t="s">
        <v>73</v>
      </c>
      <c r="G102">
        <v>7</v>
      </c>
    </row>
    <row r="103" spans="1:7" ht="18.600000000000001" customHeight="1">
      <c r="A103" s="27" t="s">
        <v>336</v>
      </c>
      <c r="B103" s="28" t="s">
        <v>213</v>
      </c>
      <c r="C103" s="29">
        <v>46119</v>
      </c>
      <c r="D103" s="27" t="s">
        <v>336</v>
      </c>
      <c r="E103" t="s">
        <v>70</v>
      </c>
      <c r="F103" s="8" t="s">
        <v>73</v>
      </c>
      <c r="G103">
        <v>8</v>
      </c>
    </row>
    <row r="104" spans="1:7" ht="18.600000000000001" customHeight="1">
      <c r="A104" s="27" t="s">
        <v>337</v>
      </c>
      <c r="B104" s="28" t="s">
        <v>213</v>
      </c>
      <c r="C104" s="29">
        <v>46119</v>
      </c>
      <c r="D104" s="27" t="s">
        <v>337</v>
      </c>
      <c r="E104" t="s">
        <v>70</v>
      </c>
      <c r="F104" s="8" t="s">
        <v>73</v>
      </c>
      <c r="G104">
        <v>9</v>
      </c>
    </row>
    <row r="105" spans="1:7" ht="18.600000000000001" customHeight="1">
      <c r="A105" s="27" t="s">
        <v>338</v>
      </c>
      <c r="B105" s="28" t="s">
        <v>213</v>
      </c>
      <c r="C105" s="29">
        <v>46119</v>
      </c>
      <c r="D105" s="27" t="s">
        <v>338</v>
      </c>
      <c r="E105" t="s">
        <v>70</v>
      </c>
      <c r="F105" s="8" t="s">
        <v>73</v>
      </c>
      <c r="G105">
        <v>10</v>
      </c>
    </row>
    <row r="106" spans="1:7" ht="18.600000000000001" customHeight="1">
      <c r="A106" s="27" t="s">
        <v>339</v>
      </c>
      <c r="B106" s="28" t="s">
        <v>213</v>
      </c>
      <c r="C106" s="29">
        <v>46119</v>
      </c>
      <c r="D106" s="27" t="s">
        <v>339</v>
      </c>
      <c r="E106" t="s">
        <v>70</v>
      </c>
      <c r="F106" s="8" t="s">
        <v>73</v>
      </c>
      <c r="G106">
        <v>11</v>
      </c>
    </row>
    <row r="107" spans="1:7" ht="18.600000000000001" customHeight="1">
      <c r="A107" s="27" t="s">
        <v>340</v>
      </c>
      <c r="B107" s="28" t="s">
        <v>213</v>
      </c>
      <c r="C107" s="29">
        <v>46119</v>
      </c>
      <c r="D107" s="27" t="s">
        <v>340</v>
      </c>
      <c r="E107" t="s">
        <v>70</v>
      </c>
      <c r="F107" s="8" t="s">
        <v>73</v>
      </c>
      <c r="G107">
        <v>12</v>
      </c>
    </row>
    <row r="108" spans="1:7" ht="18.600000000000001" customHeight="1">
      <c r="A108" s="27" t="s">
        <v>341</v>
      </c>
      <c r="B108" s="28" t="s">
        <v>213</v>
      </c>
      <c r="C108" s="29">
        <v>46119</v>
      </c>
      <c r="D108" s="27" t="s">
        <v>341</v>
      </c>
      <c r="E108" t="s">
        <v>70</v>
      </c>
      <c r="F108" s="8" t="s">
        <v>73</v>
      </c>
      <c r="G108">
        <v>13</v>
      </c>
    </row>
    <row r="109" spans="1:7" ht="18.600000000000001" customHeight="1">
      <c r="A109" s="27" t="s">
        <v>342</v>
      </c>
      <c r="B109" s="28" t="s">
        <v>213</v>
      </c>
      <c r="C109" s="29">
        <v>46119</v>
      </c>
      <c r="D109" s="27" t="s">
        <v>342</v>
      </c>
      <c r="E109" t="s">
        <v>70</v>
      </c>
      <c r="F109" s="8" t="s">
        <v>73</v>
      </c>
      <c r="G109">
        <v>14</v>
      </c>
    </row>
    <row r="110" spans="1:7" ht="18.600000000000001" customHeight="1">
      <c r="A110" s="27" t="s">
        <v>343</v>
      </c>
      <c r="B110" s="28" t="s">
        <v>213</v>
      </c>
      <c r="C110" s="29">
        <v>46119</v>
      </c>
      <c r="D110" s="27" t="s">
        <v>343</v>
      </c>
      <c r="E110" t="s">
        <v>70</v>
      </c>
      <c r="F110" s="8" t="s">
        <v>73</v>
      </c>
      <c r="G110">
        <v>15</v>
      </c>
    </row>
    <row r="111" spans="1:7" ht="18.600000000000001" customHeight="1">
      <c r="A111" s="27" t="s">
        <v>344</v>
      </c>
      <c r="B111" s="28" t="s">
        <v>213</v>
      </c>
      <c r="C111" s="29">
        <v>46119</v>
      </c>
      <c r="D111" s="27" t="s">
        <v>344</v>
      </c>
      <c r="E111" t="s">
        <v>70</v>
      </c>
      <c r="F111" s="8" t="s">
        <v>73</v>
      </c>
      <c r="G111">
        <v>16</v>
      </c>
    </row>
    <row r="112" spans="1:7" ht="18.600000000000001" customHeight="1">
      <c r="A112" s="27" t="s">
        <v>345</v>
      </c>
      <c r="B112" s="28" t="s">
        <v>213</v>
      </c>
      <c r="C112" s="29">
        <v>46119</v>
      </c>
      <c r="D112" s="27" t="s">
        <v>345</v>
      </c>
      <c r="E112" t="s">
        <v>70</v>
      </c>
      <c r="F112" s="8" t="s">
        <v>73</v>
      </c>
      <c r="G112">
        <v>17</v>
      </c>
    </row>
    <row r="113" spans="1:7" ht="18.600000000000001" customHeight="1">
      <c r="A113" s="27" t="s">
        <v>346</v>
      </c>
      <c r="B113" s="28" t="s">
        <v>213</v>
      </c>
      <c r="C113" s="29">
        <v>46119</v>
      </c>
      <c r="D113" s="27" t="s">
        <v>346</v>
      </c>
      <c r="E113" t="s">
        <v>70</v>
      </c>
      <c r="F113" s="8" t="s">
        <v>73</v>
      </c>
      <c r="G113">
        <v>18</v>
      </c>
    </row>
    <row r="114" spans="1:7" ht="18.600000000000001" customHeight="1">
      <c r="A114" s="27" t="s">
        <v>347</v>
      </c>
      <c r="B114" s="28" t="s">
        <v>213</v>
      </c>
      <c r="C114" s="29">
        <v>46119</v>
      </c>
      <c r="D114" s="27" t="s">
        <v>347</v>
      </c>
      <c r="E114" t="s">
        <v>70</v>
      </c>
      <c r="F114" s="8" t="s">
        <v>73</v>
      </c>
      <c r="G114">
        <v>19</v>
      </c>
    </row>
    <row r="115" spans="1:7" ht="18.600000000000001" customHeight="1">
      <c r="D115" s="34"/>
    </row>
    <row r="116" spans="1:7" ht="18.600000000000001" customHeight="1">
      <c r="D116" s="34"/>
    </row>
    <row r="117" spans="1:7" ht="18.600000000000001" customHeight="1">
      <c r="D117" s="34"/>
    </row>
    <row r="118" spans="1:7" ht="18.600000000000001" customHeight="1">
      <c r="D118" s="34"/>
    </row>
    <row r="119" spans="1:7" ht="18.600000000000001" customHeight="1">
      <c r="A119" s="23" t="s">
        <v>313</v>
      </c>
      <c r="D119" s="23" t="s">
        <v>313</v>
      </c>
    </row>
    <row r="120" spans="1:7" ht="18.600000000000001" customHeight="1">
      <c r="A120" s="24" t="s">
        <v>209</v>
      </c>
      <c r="B120" s="25" t="s">
        <v>210</v>
      </c>
      <c r="C120" s="26" t="s">
        <v>211</v>
      </c>
      <c r="D120" s="24" t="s">
        <v>209</v>
      </c>
    </row>
    <row r="121" spans="1:7" ht="18.600000000000001" customHeight="1">
      <c r="A121" s="20" t="s">
        <v>314</v>
      </c>
      <c r="B121" s="21" t="s">
        <v>213</v>
      </c>
      <c r="C121" s="22">
        <v>46109</v>
      </c>
      <c r="D121" s="20" t="s">
        <v>314</v>
      </c>
      <c r="E121" t="s">
        <v>97</v>
      </c>
      <c r="F121" t="s">
        <v>101</v>
      </c>
    </row>
    <row r="122" spans="1:7" ht="18.600000000000001" customHeight="1">
      <c r="A122" s="20" t="s">
        <v>315</v>
      </c>
      <c r="B122" s="21" t="s">
        <v>213</v>
      </c>
      <c r="C122" s="22">
        <v>46109</v>
      </c>
      <c r="D122" s="20" t="s">
        <v>315</v>
      </c>
      <c r="E122" t="s">
        <v>97</v>
      </c>
      <c r="F122" t="s">
        <v>100</v>
      </c>
    </row>
    <row r="123" spans="1:7" ht="18.600000000000001" customHeight="1">
      <c r="A123" s="20" t="s">
        <v>316</v>
      </c>
      <c r="B123" s="21" t="s">
        <v>213</v>
      </c>
      <c r="C123" s="22">
        <v>46109</v>
      </c>
      <c r="D123" s="20" t="s">
        <v>316</v>
      </c>
      <c r="E123" t="s">
        <v>97</v>
      </c>
      <c r="F123" t="s">
        <v>102</v>
      </c>
    </row>
    <row r="124" spans="1:7" ht="18.600000000000001" customHeight="1">
      <c r="A124" s="20" t="s">
        <v>317</v>
      </c>
      <c r="B124" s="21" t="s">
        <v>213</v>
      </c>
      <c r="C124" s="22">
        <v>46109</v>
      </c>
      <c r="D124" s="20" t="s">
        <v>317</v>
      </c>
      <c r="E124" t="s">
        <v>97</v>
      </c>
      <c r="F124" t="s">
        <v>98</v>
      </c>
    </row>
    <row r="125" spans="1:7" ht="18.600000000000001" customHeight="1">
      <c r="A125" s="20" t="s">
        <v>318</v>
      </c>
      <c r="B125" s="21" t="s">
        <v>213</v>
      </c>
      <c r="C125" s="22">
        <v>46109</v>
      </c>
      <c r="D125" s="20" t="s">
        <v>318</v>
      </c>
      <c r="E125" t="s">
        <v>97</v>
      </c>
      <c r="F125" t="s">
        <v>99</v>
      </c>
    </row>
    <row r="126" spans="1:7" s="33" customFormat="1" ht="18.600000000000001" customHeight="1">
      <c r="A126" s="30" t="s">
        <v>319</v>
      </c>
      <c r="B126" s="31" t="s">
        <v>213</v>
      </c>
      <c r="C126" s="32">
        <v>46109</v>
      </c>
      <c r="D126" s="30" t="s">
        <v>319</v>
      </c>
      <c r="E126" s="33" t="s">
        <v>122</v>
      </c>
      <c r="F126" s="33" t="s">
        <v>123</v>
      </c>
    </row>
    <row r="127" spans="1:7" ht="18.600000000000001" customHeight="1">
      <c r="A127" s="20" t="s">
        <v>320</v>
      </c>
      <c r="B127" s="21" t="s">
        <v>213</v>
      </c>
      <c r="C127" s="22">
        <v>46109</v>
      </c>
      <c r="D127" s="20" t="s">
        <v>320</v>
      </c>
      <c r="E127" s="33" t="s">
        <v>122</v>
      </c>
      <c r="F127" s="33" t="s">
        <v>125</v>
      </c>
    </row>
    <row r="128" spans="1:7" ht="18.600000000000001" customHeight="1">
      <c r="A128" s="20" t="s">
        <v>321</v>
      </c>
      <c r="B128" s="21" t="s">
        <v>213</v>
      </c>
      <c r="C128" s="22">
        <v>46109</v>
      </c>
      <c r="D128" s="20" t="s">
        <v>321</v>
      </c>
      <c r="E128" s="33" t="s">
        <v>122</v>
      </c>
      <c r="F128" s="33" t="s">
        <v>127</v>
      </c>
    </row>
    <row r="129" spans="1:6" ht="18.600000000000001" customHeight="1">
      <c r="A129" s="20" t="s">
        <v>322</v>
      </c>
      <c r="B129" s="21" t="s">
        <v>213</v>
      </c>
      <c r="C129" s="22">
        <v>46109</v>
      </c>
      <c r="D129" s="20" t="s">
        <v>322</v>
      </c>
      <c r="E129" s="33" t="s">
        <v>122</v>
      </c>
      <c r="F129" s="33" t="s">
        <v>333</v>
      </c>
    </row>
    <row r="130" spans="1:6" ht="18.600000000000001" customHeight="1">
      <c r="A130" s="20" t="s">
        <v>323</v>
      </c>
      <c r="B130" s="21" t="s">
        <v>213</v>
      </c>
      <c r="C130" s="22">
        <v>46109</v>
      </c>
      <c r="D130" s="20" t="s">
        <v>323</v>
      </c>
      <c r="E130" s="33" t="s">
        <v>122</v>
      </c>
      <c r="F130" s="33" t="s">
        <v>124</v>
      </c>
    </row>
    <row r="131" spans="1:6" ht="18.600000000000001" customHeight="1">
      <c r="A131" s="20" t="s">
        <v>324</v>
      </c>
      <c r="B131" s="21" t="s">
        <v>213</v>
      </c>
      <c r="C131" s="22">
        <v>46109</v>
      </c>
      <c r="D131" s="20" t="s">
        <v>324</v>
      </c>
      <c r="E131" s="8" t="s">
        <v>70</v>
      </c>
      <c r="F131" s="8" t="s">
        <v>73</v>
      </c>
    </row>
    <row r="132" spans="1:6" ht="18.600000000000001" customHeight="1">
      <c r="A132" s="20" t="s">
        <v>325</v>
      </c>
      <c r="B132" s="21" t="s">
        <v>213</v>
      </c>
      <c r="C132" s="22">
        <v>46109</v>
      </c>
      <c r="D132" s="20" t="s">
        <v>325</v>
      </c>
    </row>
    <row r="133" spans="1:6" ht="18.600000000000001" customHeight="1">
      <c r="A133" s="20" t="s">
        <v>326</v>
      </c>
      <c r="B133" s="21" t="s">
        <v>213</v>
      </c>
      <c r="C133" s="22">
        <v>46109</v>
      </c>
      <c r="D133" s="20" t="s">
        <v>326</v>
      </c>
    </row>
    <row r="136" spans="1:6" ht="18.600000000000001" customHeight="1">
      <c r="A136" s="27" t="s">
        <v>327</v>
      </c>
      <c r="B136" s="28" t="s">
        <v>213</v>
      </c>
      <c r="C136" s="29">
        <v>46109</v>
      </c>
      <c r="D136" s="27" t="s">
        <v>327</v>
      </c>
      <c r="E136" t="s">
        <v>94</v>
      </c>
      <c r="F136" t="s">
        <v>96</v>
      </c>
    </row>
    <row r="137" spans="1:6" ht="18.600000000000001" customHeight="1">
      <c r="A137" s="27" t="s">
        <v>328</v>
      </c>
      <c r="B137" s="28" t="s">
        <v>213</v>
      </c>
      <c r="C137" s="29">
        <v>46109</v>
      </c>
      <c r="D137" s="27" t="s">
        <v>328</v>
      </c>
      <c r="E137" t="s">
        <v>79</v>
      </c>
      <c r="F137" t="s">
        <v>81</v>
      </c>
    </row>
    <row r="138" spans="1:6" ht="18.600000000000001" customHeight="1">
      <c r="A138" s="27" t="s">
        <v>329</v>
      </c>
      <c r="B138" s="28" t="s">
        <v>213</v>
      </c>
      <c r="C138" s="29">
        <v>46109</v>
      </c>
      <c r="D138" s="27" t="s">
        <v>329</v>
      </c>
      <c r="E138" t="s">
        <v>79</v>
      </c>
      <c r="F138" t="s">
        <v>84</v>
      </c>
    </row>
    <row r="139" spans="1:6" ht="18.600000000000001" customHeight="1">
      <c r="A139" s="27" t="s">
        <v>330</v>
      </c>
      <c r="B139" s="28" t="s">
        <v>213</v>
      </c>
      <c r="C139" s="29">
        <v>46109</v>
      </c>
      <c r="D139" s="27" t="s">
        <v>330</v>
      </c>
      <c r="E139" t="s">
        <v>79</v>
      </c>
      <c r="F139" t="s">
        <v>82</v>
      </c>
    </row>
    <row r="140" spans="1:6" ht="18.600000000000001" customHeight="1">
      <c r="A140" s="27" t="s">
        <v>331</v>
      </c>
      <c r="B140" s="28" t="s">
        <v>213</v>
      </c>
      <c r="C140" s="29">
        <v>46109</v>
      </c>
      <c r="D140" s="27" t="s">
        <v>331</v>
      </c>
      <c r="E140" t="s">
        <v>79</v>
      </c>
      <c r="F140" t="s">
        <v>83</v>
      </c>
    </row>
    <row r="141" spans="1:6" ht="18.600000000000001" customHeight="1">
      <c r="A141" s="27" t="s">
        <v>332</v>
      </c>
      <c r="B141" s="28" t="s">
        <v>213</v>
      </c>
      <c r="C141" s="29">
        <v>46109</v>
      </c>
      <c r="D141" s="27" t="s">
        <v>332</v>
      </c>
      <c r="E141" t="s">
        <v>79</v>
      </c>
      <c r="F141" t="s">
        <v>85</v>
      </c>
    </row>
  </sheetData>
  <phoneticPr fontId="9" type="noConversion"/>
  <pageMargins left="0.7" right="0.7" top="0.75" bottom="0.75" header="0.3" footer="0.3"/>
  <pageSetup scale="2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743CD-5A76-43B5-A836-5A920D2BEA45}">
  <dimension ref="A1:D25"/>
  <sheetViews>
    <sheetView workbookViewId="0">
      <selection activeCell="D25" sqref="D25"/>
    </sheetView>
  </sheetViews>
  <sheetFormatPr baseColWidth="10" defaultRowHeight="14.4"/>
  <sheetData>
    <row r="1" spans="1:4">
      <c r="B1">
        <v>1200</v>
      </c>
      <c r="C1" t="s">
        <v>395</v>
      </c>
    </row>
    <row r="3" spans="1:4">
      <c r="B3">
        <v>1100</v>
      </c>
      <c r="C3" t="s">
        <v>396</v>
      </c>
    </row>
    <row r="4" spans="1:4">
      <c r="B4">
        <v>4000</v>
      </c>
      <c r="C4" t="s">
        <v>397</v>
      </c>
    </row>
    <row r="5" spans="1:4">
      <c r="B5">
        <v>1400</v>
      </c>
      <c r="C5" t="s">
        <v>398</v>
      </c>
    </row>
    <row r="6" spans="1:4">
      <c r="B6">
        <v>15000</v>
      </c>
      <c r="C6" t="s">
        <v>399</v>
      </c>
    </row>
    <row r="7" spans="1:4">
      <c r="B7">
        <v>300</v>
      </c>
      <c r="C7" t="s">
        <v>400</v>
      </c>
    </row>
    <row r="8" spans="1:4">
      <c r="B8">
        <v>400</v>
      </c>
      <c r="C8" t="s">
        <v>401</v>
      </c>
    </row>
    <row r="10" spans="1:4">
      <c r="A10">
        <v>75000</v>
      </c>
      <c r="B10">
        <f>SUM(B1:B8)</f>
        <v>23400</v>
      </c>
      <c r="D10">
        <f>+A10-B10</f>
        <v>51600</v>
      </c>
    </row>
    <row r="18" spans="1:4">
      <c r="A18" t="s">
        <v>608</v>
      </c>
      <c r="B18">
        <v>2800</v>
      </c>
    </row>
    <row r="19" spans="1:4">
      <c r="A19" t="s">
        <v>401</v>
      </c>
      <c r="B19">
        <v>2000</v>
      </c>
    </row>
    <row r="20" spans="1:4">
      <c r="C20">
        <v>800</v>
      </c>
    </row>
    <row r="21" spans="1:4">
      <c r="C21">
        <v>2600</v>
      </c>
    </row>
    <row r="22" spans="1:4">
      <c r="C22">
        <v>2500</v>
      </c>
    </row>
    <row r="23" spans="1:4">
      <c r="C23">
        <v>3000</v>
      </c>
    </row>
    <row r="24" spans="1:4">
      <c r="C24">
        <f>SUM(C20:C23)</f>
        <v>8900</v>
      </c>
      <c r="D24">
        <v>11300</v>
      </c>
    </row>
    <row r="25" spans="1:4">
      <c r="D25">
        <f>+D24-C24</f>
        <v>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Peñaranda Castro, Harry</dc:creator>
  <cp:lastModifiedBy>Comercialpf (PFRO)</cp:lastModifiedBy>
  <cp:lastPrinted>2026-04-24T16:56:04Z</cp:lastPrinted>
  <dcterms:created xsi:type="dcterms:W3CDTF">2026-03-25T21:27:28Z</dcterms:created>
  <dcterms:modified xsi:type="dcterms:W3CDTF">2026-06-11T18:34:37Z</dcterms:modified>
</cp:coreProperties>
</file>