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rry\OneDrive\Desktop\"/>
    </mc:Choice>
  </mc:AlternateContent>
  <xr:revisionPtr revIDLastSave="0" documentId="13_ncr:1_{1C86A114-0E8A-48DE-8A47-CC35962899CF}" xr6:coauthVersionLast="47" xr6:coauthVersionMax="47" xr10:uidLastSave="{00000000-0000-0000-0000-000000000000}"/>
  <bookViews>
    <workbookView xWindow="-108" yWindow="-108" windowWidth="23256" windowHeight="12456" xr2:uid="{034E0DE9-1529-4428-BB84-C53197D8511B}"/>
  </bookViews>
  <sheets>
    <sheet name="Hoja1" sheetId="1" r:id="rId1"/>
    <sheet name="Hoja2" sheetId="2" r:id="rId2"/>
    <sheet name="Hoja3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1" i="1" l="1"/>
  <c r="C135" i="1"/>
  <c r="C133" i="1"/>
  <c r="C132" i="1"/>
  <c r="C131" i="1"/>
  <c r="C130" i="1"/>
  <c r="C129" i="1"/>
  <c r="D10" i="4" l="1"/>
  <c r="B10" i="4"/>
  <c r="C115" i="1" l="1"/>
  <c r="C104" i="1"/>
  <c r="C99" i="1"/>
  <c r="R96" i="1"/>
  <c r="R97" i="1" s="1"/>
  <c r="R98" i="1" s="1"/>
  <c r="C90" i="1"/>
  <c r="C80" i="1"/>
  <c r="D39" i="1" l="1"/>
  <c r="D38" i="1"/>
  <c r="D3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tc={D4F9348D-973A-4D48-B4B4-2439544BFD35}</author>
    <author>Harry Peñaranda Castro</author>
  </authors>
  <commentList>
    <comment ref="H9" authorId="0" shapeId="0" xr:uid="{D4F9348D-973A-4D48-B4B4-2439544BFD3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Aún no hay fecha exacta</t>
      </text>
    </comment>
    <comment ref="I48" authorId="1" shapeId="0" xr:uid="{F71D40B4-1577-40FD-BEF1-DA1B1D1477A5}">
      <text>
        <r>
          <rPr>
            <b/>
            <sz val="9"/>
            <color indexed="81"/>
            <rFont val="Tahoma"/>
            <family val="2"/>
          </rPr>
          <t>Correccion sanitario, numero de factura</t>
        </r>
      </text>
    </comment>
  </commentList>
</comments>
</file>

<file path=xl/sharedStrings.xml><?xml version="1.0" encoding="utf-8"?>
<sst xmlns="http://schemas.openxmlformats.org/spreadsheetml/2006/main" count="1380" uniqueCount="444">
  <si>
    <t xml:space="preserve">FP162B-2026 </t>
  </si>
  <si>
    <t xml:space="preserve">AVANCE GROUP </t>
  </si>
  <si>
    <t>DANDONG RONGZHENG</t>
  </si>
  <si>
    <t>TLLU1209650</t>
  </si>
  <si>
    <t>TTNU8969683</t>
  </si>
  <si>
    <t>DRAFT</t>
  </si>
  <si>
    <t>DALIAN, CHINA</t>
  </si>
  <si>
    <t>ORIGINALES</t>
  </si>
  <si>
    <t>CC</t>
  </si>
  <si>
    <t>CO</t>
  </si>
  <si>
    <t>SANIT</t>
  </si>
  <si>
    <t>IV</t>
  </si>
  <si>
    <t>FACT</t>
  </si>
  <si>
    <t>OTROS</t>
  </si>
  <si>
    <t>ITEM</t>
  </si>
  <si>
    <t xml:space="preserve">FP </t>
  </si>
  <si>
    <t>CONSIG/NOTIFY</t>
  </si>
  <si>
    <t>DESTINO</t>
  </si>
  <si>
    <t>FP162A-2026</t>
  </si>
  <si>
    <t>DALIAN NEL CASO TRADE</t>
  </si>
  <si>
    <t>ONEU9093320</t>
  </si>
  <si>
    <t>TLLU1063376</t>
  </si>
  <si>
    <t>TTNU8060365</t>
  </si>
  <si>
    <t>TTNU8344649</t>
  </si>
  <si>
    <t>TTNU8410669</t>
  </si>
  <si>
    <t>QINGDAO, CHINA</t>
  </si>
  <si>
    <t>FP168B-2026</t>
  </si>
  <si>
    <t>RONGCHENG HONGWEI</t>
  </si>
  <si>
    <t>SHIDAO,CHINA</t>
  </si>
  <si>
    <t>DFOU6140009</t>
  </si>
  <si>
    <t>OERU4058334</t>
  </si>
  <si>
    <t>OERU4012159</t>
  </si>
  <si>
    <t>SZLU9460273</t>
  </si>
  <si>
    <t>SEGU9517288</t>
  </si>
  <si>
    <t>FP168C-2026</t>
  </si>
  <si>
    <t>YANTAI JIAHONG IMP &amp; EXP</t>
  </si>
  <si>
    <t>XIAMEN, CHINA</t>
  </si>
  <si>
    <t>TEMU9353998</t>
  </si>
  <si>
    <t>CXRU1339000</t>
  </si>
  <si>
    <t>FP170A-2026</t>
  </si>
  <si>
    <t>KULALIA</t>
  </si>
  <si>
    <t>VIGO, ESPAÑA</t>
  </si>
  <si>
    <t>CXRU1536185</t>
  </si>
  <si>
    <t>UACU4747537</t>
  </si>
  <si>
    <t>HLBU6185586</t>
  </si>
  <si>
    <t>GESU9582036</t>
  </si>
  <si>
    <t>HLBU9171056</t>
  </si>
  <si>
    <t>HLBU6250830</t>
  </si>
  <si>
    <t>ZARPE</t>
  </si>
  <si>
    <t>CNT</t>
  </si>
  <si>
    <t>LLEGADA</t>
  </si>
  <si>
    <t>-</t>
  </si>
  <si>
    <t>ok</t>
  </si>
  <si>
    <t>FP168A-2026</t>
  </si>
  <si>
    <t>CXRU1489442</t>
  </si>
  <si>
    <t>TEMU9324639</t>
  </si>
  <si>
    <t>CBHU2840856</t>
  </si>
  <si>
    <t>TTNU8572823</t>
  </si>
  <si>
    <t>DFOU6155056</t>
  </si>
  <si>
    <t>CXRU1352742</t>
  </si>
  <si>
    <t>OERU4804388</t>
  </si>
  <si>
    <t>TEMU9558302</t>
  </si>
  <si>
    <t>CBHU2840732</t>
  </si>
  <si>
    <t>OTPU6164548</t>
  </si>
  <si>
    <t>OERU4009509</t>
  </si>
  <si>
    <t>SZLU9218212</t>
  </si>
  <si>
    <t>OTPU6168420</t>
  </si>
  <si>
    <t>FP151-2026</t>
  </si>
  <si>
    <t>HUNAN JINYUEYANG</t>
  </si>
  <si>
    <t>CXRU1495640</t>
  </si>
  <si>
    <t>OERU4157635</t>
  </si>
  <si>
    <t>FP164-2026</t>
  </si>
  <si>
    <t>SACRAMENTO CO LTD</t>
  </si>
  <si>
    <t>YANTAI, CHINA</t>
  </si>
  <si>
    <t>SZLU9677084</t>
  </si>
  <si>
    <t>OVERSEA</t>
  </si>
  <si>
    <t>HLBU 9637606</t>
  </si>
  <si>
    <t>FP150-2026/A</t>
  </si>
  <si>
    <t>HLBU 9403948</t>
  </si>
  <si>
    <t>FP150-2026/B</t>
  </si>
  <si>
    <t>FP171-2026</t>
  </si>
  <si>
    <t>PESCIRO ASIA</t>
  </si>
  <si>
    <t>BMOU9773030</t>
  </si>
  <si>
    <t>BMOU9830910</t>
  </si>
  <si>
    <t>FBIU5398657</t>
  </si>
  <si>
    <t>ONEU9087190</t>
  </si>
  <si>
    <t>SZLU9687360</t>
  </si>
  <si>
    <t>FP161A-2026</t>
  </si>
  <si>
    <t>TSUJINO</t>
  </si>
  <si>
    <t>CP AXTRA</t>
  </si>
  <si>
    <t>LAT KRABANG, TAILANDIA</t>
  </si>
  <si>
    <t>SEGU9848033</t>
  </si>
  <si>
    <t>TRIU8893540</t>
  </si>
  <si>
    <t>TTNU8770897</t>
  </si>
  <si>
    <t>reportado 26/03</t>
  </si>
  <si>
    <t>FP159-2026</t>
  </si>
  <si>
    <t>SENDAI-JAPON</t>
  </si>
  <si>
    <t>SZLU9544815</t>
  </si>
  <si>
    <t>FP169A-2026</t>
  </si>
  <si>
    <t>ONEU9076641</t>
  </si>
  <si>
    <t>ONEU9093443</t>
  </si>
  <si>
    <t>ONEU9116560</t>
  </si>
  <si>
    <t>SEGU9839854</t>
  </si>
  <si>
    <t>TTNU8412846</t>
  </si>
  <si>
    <t>FP163A-2026</t>
  </si>
  <si>
    <t>CJ FRESHWAY CORP</t>
  </si>
  <si>
    <t>BUSAN, KOREA</t>
  </si>
  <si>
    <t>FBIU5006118</t>
  </si>
  <si>
    <t>OERU4146121</t>
  </si>
  <si>
    <t>FP170B-2026</t>
  </si>
  <si>
    <t>VIGO ESPAÑA</t>
  </si>
  <si>
    <t>TLLU1056994</t>
  </si>
  <si>
    <t>CGMU5393602</t>
  </si>
  <si>
    <t>AMCU9373760</t>
  </si>
  <si>
    <t>CGMU5619855</t>
  </si>
  <si>
    <t>FP172A-2026</t>
  </si>
  <si>
    <t>CGMU5476142</t>
  </si>
  <si>
    <t>CGMU5397613</t>
  </si>
  <si>
    <t>CXRU1608161</t>
  </si>
  <si>
    <t>TEMU9278240</t>
  </si>
  <si>
    <t>SEGU9401554</t>
  </si>
  <si>
    <t>TTNU8496240</t>
  </si>
  <si>
    <t>AMCU9396744</t>
  </si>
  <si>
    <t>FP169B-2026</t>
  </si>
  <si>
    <t>FSCU5737556</t>
  </si>
  <si>
    <t>FSCU5752709</t>
  </si>
  <si>
    <t>FSCU5859507</t>
  </si>
  <si>
    <t>OTPU6314627</t>
  </si>
  <si>
    <t>TTNU8772190</t>
  </si>
  <si>
    <t>FP179B1-2026</t>
  </si>
  <si>
    <t>DAIRECK</t>
  </si>
  <si>
    <t>SANYUAN SEAFOODS</t>
  </si>
  <si>
    <t>FSCU5734048</t>
  </si>
  <si>
    <t>FP179A-2026</t>
  </si>
  <si>
    <t>HACER FOOD</t>
  </si>
  <si>
    <t>LAEM CHABANG, TAILANDIA</t>
  </si>
  <si>
    <t>SZLU9233454</t>
  </si>
  <si>
    <t>FP174-2026</t>
  </si>
  <si>
    <t>RONCHENG FENGRONG</t>
  </si>
  <si>
    <t>BL</t>
  </si>
  <si>
    <t>OBSERVACIÓN</t>
  </si>
  <si>
    <t>1.- Pendiente Anexo IV, se ingresó al sistema hoy 28/03 ni bien planta termino de enviar información</t>
  </si>
  <si>
    <t>PENDIENTE APROBAR DRAFT</t>
  </si>
  <si>
    <t>FP179B2-2026</t>
  </si>
  <si>
    <t>SEGU9310372</t>
  </si>
  <si>
    <t>FP184-2026</t>
  </si>
  <si>
    <t>LONGKOU JIABAO AQUATIC</t>
  </si>
  <si>
    <t>TTNU8571072</t>
  </si>
  <si>
    <t>OERU4250687</t>
  </si>
  <si>
    <t>DFOU6146434</t>
  </si>
  <si>
    <t>FBIU5011618</t>
  </si>
  <si>
    <t>OERU4039756</t>
  </si>
  <si>
    <t>TTNU8271590</t>
  </si>
  <si>
    <t>SEGU9966571</t>
  </si>
  <si>
    <t>SEGU9380019</t>
  </si>
  <si>
    <t xml:space="preserve">ok </t>
  </si>
  <si>
    <t>FP176-2026</t>
  </si>
  <si>
    <t>CBHU2839351</t>
  </si>
  <si>
    <t>TEMU9534804</t>
  </si>
  <si>
    <t>FP185-2026</t>
  </si>
  <si>
    <t>LONGKOU BOHAI</t>
  </si>
  <si>
    <t>BMOU9256079</t>
  </si>
  <si>
    <t>TTNU8646269</t>
  </si>
  <si>
    <t>SZLU9367200</t>
  </si>
  <si>
    <t>OERU4074192</t>
  </si>
  <si>
    <t>FP167-2026</t>
  </si>
  <si>
    <t>KAJORNKULKAWIN FOODS</t>
  </si>
  <si>
    <t>BANGKOK, TAILANDIA</t>
  </si>
  <si>
    <t>CXRU1545269</t>
  </si>
  <si>
    <t>OTPU6169597</t>
  </si>
  <si>
    <t>FP179B3-2026</t>
  </si>
  <si>
    <t>TTNU8473590</t>
  </si>
  <si>
    <t>FP179B4-2026</t>
  </si>
  <si>
    <t>KKFU6735032</t>
  </si>
  <si>
    <t>FP179B5-2026</t>
  </si>
  <si>
    <t>SEGU9059523</t>
  </si>
  <si>
    <t>FP165-2026</t>
  </si>
  <si>
    <t>LONGKOU YUNFENG</t>
  </si>
  <si>
    <t>CGMU9308804</t>
  </si>
  <si>
    <t>FP161B-2026</t>
  </si>
  <si>
    <t>DFOU6145905</t>
  </si>
  <si>
    <t>DFOU6150389</t>
  </si>
  <si>
    <t>FP181-2026</t>
  </si>
  <si>
    <t>CXRU1183600</t>
  </si>
  <si>
    <t>KKFU6757140</t>
  </si>
  <si>
    <t>FP183-2026</t>
  </si>
  <si>
    <t>SHANDONG SHEENIER</t>
  </si>
  <si>
    <t>OERU4018970</t>
  </si>
  <si>
    <t>FP172B-2026</t>
  </si>
  <si>
    <t>QINGDAO BUENO TRADE</t>
  </si>
  <si>
    <t>SEGU9689034</t>
  </si>
  <si>
    <t>CXRU1218224</t>
  </si>
  <si>
    <t>FP176B-2026</t>
  </si>
  <si>
    <t>KKFU6763841</t>
  </si>
  <si>
    <t>TCLU1365130</t>
  </si>
  <si>
    <t>TTNU8343180</t>
  </si>
  <si>
    <t>FP177A-2026</t>
  </si>
  <si>
    <t>PUSAN, KOREA</t>
  </si>
  <si>
    <t>KKFU6747687</t>
  </si>
  <si>
    <t>KKFU6758866</t>
  </si>
  <si>
    <t>FP179C1-2026</t>
  </si>
  <si>
    <t>KHUNRUNG SEAFOOD</t>
  </si>
  <si>
    <t>OERU4167130</t>
  </si>
  <si>
    <t>FP179C2-2026</t>
  </si>
  <si>
    <t>OERU4026379</t>
  </si>
  <si>
    <t>FP189-2026</t>
  </si>
  <si>
    <t>SEGU9970611</t>
  </si>
  <si>
    <t>FP153-2026</t>
  </si>
  <si>
    <t>OCEANUS FISH</t>
  </si>
  <si>
    <t>VALENCIA, ESPAÑA</t>
  </si>
  <si>
    <t>HLBU 9458154</t>
  </si>
  <si>
    <t>CODIGO</t>
  </si>
  <si>
    <t>EMPRESA </t>
  </si>
  <si>
    <t>FECHA DE ENTREGA DE CODIGO</t>
  </si>
  <si>
    <t>3370-C</t>
  </si>
  <si>
    <t>PERU FROST S.A.C.</t>
  </si>
  <si>
    <t>3371-C</t>
  </si>
  <si>
    <t>3372-C</t>
  </si>
  <si>
    <t>3373-C</t>
  </si>
  <si>
    <t>3374-C</t>
  </si>
  <si>
    <t>3375-C</t>
  </si>
  <si>
    <t>3376-C</t>
  </si>
  <si>
    <t>3377-C</t>
  </si>
  <si>
    <t>3378-C</t>
  </si>
  <si>
    <t>3379-C</t>
  </si>
  <si>
    <t>3380-C</t>
  </si>
  <si>
    <t>3381-C</t>
  </si>
  <si>
    <t>3382-C</t>
  </si>
  <si>
    <t>3383-C</t>
  </si>
  <si>
    <t>3384-C</t>
  </si>
  <si>
    <t>3385-C</t>
  </si>
  <si>
    <t>3386-C</t>
  </si>
  <si>
    <t>3387-C</t>
  </si>
  <si>
    <t>3388-C</t>
  </si>
  <si>
    <t>3389-C</t>
  </si>
  <si>
    <t>3390-C</t>
  </si>
  <si>
    <t>3391-C</t>
  </si>
  <si>
    <t>3392-C</t>
  </si>
  <si>
    <t>3393-C</t>
  </si>
  <si>
    <t>3394-C</t>
  </si>
  <si>
    <t>3395-C</t>
  </si>
  <si>
    <t>3396-C</t>
  </si>
  <si>
    <t>3397-C</t>
  </si>
  <si>
    <t>3398-C</t>
  </si>
  <si>
    <t>3399-C</t>
  </si>
  <si>
    <t>3400-C</t>
  </si>
  <si>
    <t>3401-C</t>
  </si>
  <si>
    <t>3402-C</t>
  </si>
  <si>
    <t>3403-C</t>
  </si>
  <si>
    <t>3404-C</t>
  </si>
  <si>
    <t>3405-C</t>
  </si>
  <si>
    <t>3406-C</t>
  </si>
  <si>
    <t>3407-C</t>
  </si>
  <si>
    <t>3408-C</t>
  </si>
  <si>
    <t>3409-C</t>
  </si>
  <si>
    <t>3410-C</t>
  </si>
  <si>
    <t>3411-C</t>
  </si>
  <si>
    <t>3412-C</t>
  </si>
  <si>
    <t>3413-C</t>
  </si>
  <si>
    <t>3414-C</t>
  </si>
  <si>
    <t>3415-C</t>
  </si>
  <si>
    <t>3416-C</t>
  </si>
  <si>
    <t>3417-C</t>
  </si>
  <si>
    <t>3418-C</t>
  </si>
  <si>
    <t>3419-C</t>
  </si>
  <si>
    <t>3420-C</t>
  </si>
  <si>
    <t>3421-C</t>
  </si>
  <si>
    <t>3422-C</t>
  </si>
  <si>
    <t>3423-C</t>
  </si>
  <si>
    <t>3424-C</t>
  </si>
  <si>
    <t>3425-C</t>
  </si>
  <si>
    <t>3426-C</t>
  </si>
  <si>
    <t>3427-C</t>
  </si>
  <si>
    <t>3428-C</t>
  </si>
  <si>
    <t>3429-C</t>
  </si>
  <si>
    <t>3430-C</t>
  </si>
  <si>
    <t>3431-C</t>
  </si>
  <si>
    <t>3432-C</t>
  </si>
  <si>
    <t>3433-C</t>
  </si>
  <si>
    <t>3434-C</t>
  </si>
  <si>
    <t>3435-C</t>
  </si>
  <si>
    <t>3436-C</t>
  </si>
  <si>
    <t>3437-C</t>
  </si>
  <si>
    <t>3438-C</t>
  </si>
  <si>
    <t>3439-C</t>
  </si>
  <si>
    <t>3440-C</t>
  </si>
  <si>
    <t>3441-C</t>
  </si>
  <si>
    <t>3442-C</t>
  </si>
  <si>
    <t>3443-C</t>
  </si>
  <si>
    <t>3444-C</t>
  </si>
  <si>
    <t>3445-C</t>
  </si>
  <si>
    <t>3446-C</t>
  </si>
  <si>
    <t>3447-C</t>
  </si>
  <si>
    <t>3448-C</t>
  </si>
  <si>
    <t>3449-C</t>
  </si>
  <si>
    <t>3450-C</t>
  </si>
  <si>
    <t>3451-C</t>
  </si>
  <si>
    <t>3452-C</t>
  </si>
  <si>
    <t>3453-C</t>
  </si>
  <si>
    <t>3454-C</t>
  </si>
  <si>
    <t>3455-C</t>
  </si>
  <si>
    <t>3456-C</t>
  </si>
  <si>
    <t>3457-C</t>
  </si>
  <si>
    <t>3458-C</t>
  </si>
  <si>
    <t>3459-C</t>
  </si>
  <si>
    <t>3460-C</t>
  </si>
  <si>
    <t>3461-C</t>
  </si>
  <si>
    <t>3462-C</t>
  </si>
  <si>
    <t>3463-C</t>
  </si>
  <si>
    <t>3464-C</t>
  </si>
  <si>
    <t>3465-C</t>
  </si>
  <si>
    <t>3466-C</t>
  </si>
  <si>
    <t>3467-C</t>
  </si>
  <si>
    <t>3468-C</t>
  </si>
  <si>
    <t>3469-C</t>
  </si>
  <si>
    <t></t>
  </si>
  <si>
    <t>1239-S</t>
  </si>
  <si>
    <t>1240-S</t>
  </si>
  <si>
    <t>1241-S</t>
  </si>
  <si>
    <t>1242-S</t>
  </si>
  <si>
    <t>1243-S</t>
  </si>
  <si>
    <t>1244-S</t>
  </si>
  <si>
    <t>1245-S</t>
  </si>
  <si>
    <t>1246-S</t>
  </si>
  <si>
    <t>1247-S</t>
  </si>
  <si>
    <t>1248-S</t>
  </si>
  <si>
    <t>1249-S</t>
  </si>
  <si>
    <t>1250-S</t>
  </si>
  <si>
    <t>1251-S</t>
  </si>
  <si>
    <t>1252-J</t>
  </si>
  <si>
    <t>1253-J</t>
  </si>
  <si>
    <t>1254-J</t>
  </si>
  <si>
    <t>1255-J</t>
  </si>
  <si>
    <t>1256-J</t>
  </si>
  <si>
    <t>1257-J</t>
  </si>
  <si>
    <t>reportado 30/03 PENDIENTE CC</t>
  </si>
  <si>
    <t xml:space="preserve"> OTPU6314627</t>
  </si>
  <si>
    <t>02/04</t>
  </si>
  <si>
    <t>4093-C</t>
  </si>
  <si>
    <t>4094-C</t>
  </si>
  <si>
    <t>4095-C</t>
  </si>
  <si>
    <t>4096-C</t>
  </si>
  <si>
    <t>4097-C</t>
  </si>
  <si>
    <t>4098-C</t>
  </si>
  <si>
    <t>4099-C</t>
  </si>
  <si>
    <t>4100-C</t>
  </si>
  <si>
    <t>4101-C</t>
  </si>
  <si>
    <t>4102-C</t>
  </si>
  <si>
    <t>4103-C</t>
  </si>
  <si>
    <t>4104-C</t>
  </si>
  <si>
    <t>4105-C</t>
  </si>
  <si>
    <t xml:space="preserve">Pendiente CO </t>
  </si>
  <si>
    <t>1.- correccion por tercera vez</t>
  </si>
  <si>
    <t>reportado total 3/4</t>
  </si>
  <si>
    <t>reportado total 1/4</t>
  </si>
  <si>
    <t>reportado total 9/4</t>
  </si>
  <si>
    <t xml:space="preserve">reportado total 2/4 </t>
  </si>
  <si>
    <t xml:space="preserve"> 1.- Certificados de captura pendiente de firma Gob Reg. Lima                                                                                           </t>
  </si>
  <si>
    <t xml:space="preserve">reportado total 10/4 </t>
  </si>
  <si>
    <t>1.- A la espera de que el Gog Reg lo firme</t>
  </si>
  <si>
    <t>1.- Ya se envio a planta para que lo firmen</t>
  </si>
  <si>
    <t>Reportado 08/04</t>
  </si>
  <si>
    <t>09/04 Reportado sin Anexo IV</t>
  </si>
  <si>
    <t>Reportado 31/03</t>
  </si>
  <si>
    <t>1.- Solicitó HACCP traducido</t>
  </si>
  <si>
    <t>1.- 09/04 CC se envio a planta para la firma</t>
  </si>
  <si>
    <t>1.- cambio de consignee y notify</t>
  </si>
  <si>
    <t>RONGCHENG CHENTAO</t>
  </si>
  <si>
    <t xml:space="preserve">RONGCHENG CHENTAO </t>
  </si>
  <si>
    <t>1.- CC Pendiente que apruebe el Gob Reg Lima</t>
  </si>
  <si>
    <t>1.- Hoy se reporta</t>
  </si>
  <si>
    <t xml:space="preserve">1.- CC PENDIENTE  </t>
  </si>
  <si>
    <t>FACTURADO</t>
  </si>
  <si>
    <t>1.- A solicitado quitar facturacion a terceros</t>
  </si>
  <si>
    <t>1.- CO Camara de comercio de Lima</t>
  </si>
  <si>
    <t>1.-CC  Pendiente de firma de Gob Reg</t>
  </si>
  <si>
    <t>FP172C-2026</t>
  </si>
  <si>
    <t>CXRU1190256</t>
  </si>
  <si>
    <t>FSCU5816737</t>
  </si>
  <si>
    <t>TLLU1075314</t>
  </si>
  <si>
    <t>TTNU8191386</t>
  </si>
  <si>
    <t>TTNU8343724</t>
  </si>
  <si>
    <t>KAMOI FOODS</t>
  </si>
  <si>
    <t>HAKATA, JAPON</t>
  </si>
  <si>
    <t>FP188-2026</t>
  </si>
  <si>
    <t>SEGU9312040</t>
  </si>
  <si>
    <t>TEMU9542461</t>
  </si>
  <si>
    <t>FP173-2026</t>
  </si>
  <si>
    <t>MINAMI FOOD</t>
  </si>
  <si>
    <t>BMOU9768630</t>
  </si>
  <si>
    <t>IKSU5205757</t>
  </si>
  <si>
    <t>ONEU9368474</t>
  </si>
  <si>
    <t>ONEU9459044</t>
  </si>
  <si>
    <t>SEGU9107658</t>
  </si>
  <si>
    <t>YANTAI TAIXI</t>
  </si>
  <si>
    <t>SEKU9018257</t>
  </si>
  <si>
    <t>YANTAI,CHINA</t>
  </si>
  <si>
    <t>OERU4131184</t>
  </si>
  <si>
    <t>CXRU1501851</t>
  </si>
  <si>
    <t>FP192-2026</t>
  </si>
  <si>
    <t>Reportado 11/04</t>
  </si>
  <si>
    <t>EFECTIVO</t>
  </si>
  <si>
    <t>DUCHA</t>
  </si>
  <si>
    <t>VIDRIO</t>
  </si>
  <si>
    <t>MUDANZA</t>
  </si>
  <si>
    <t>NELIA</t>
  </si>
  <si>
    <t>BATERIA</t>
  </si>
  <si>
    <t>CASA</t>
  </si>
  <si>
    <t>REPORTADO 14/4</t>
  </si>
  <si>
    <t>FP193-2026</t>
  </si>
  <si>
    <t>FP194-2026</t>
  </si>
  <si>
    <t>FP178A-2025</t>
  </si>
  <si>
    <t>TTNU8077795</t>
  </si>
  <si>
    <t>FP186-2026</t>
  </si>
  <si>
    <t>HLBU9805891</t>
  </si>
  <si>
    <t>FP145B-2026</t>
  </si>
  <si>
    <t>GLOBAL OCEAN</t>
  </si>
  <si>
    <t>MSGU9171495</t>
  </si>
  <si>
    <t>FP150-2026</t>
  </si>
  <si>
    <t>MEDU9077428</t>
  </si>
  <si>
    <t>FP198A-2026</t>
  </si>
  <si>
    <t>FBIU5040386</t>
  </si>
  <si>
    <t>OERU4332445</t>
  </si>
  <si>
    <t>OERU4199651</t>
  </si>
  <si>
    <t>SZLU9408320</t>
  </si>
  <si>
    <t>FBIU5341625</t>
  </si>
  <si>
    <t>OERU4331916</t>
  </si>
  <si>
    <t>FP191-2026</t>
  </si>
  <si>
    <t>1.- Certificado de captura se encuentra para la firma.                                                                              2.- CO ya esta tramitado.Reportado 14/04  PENDIENTE CC</t>
  </si>
  <si>
    <t>Reportado 16/04</t>
  </si>
  <si>
    <t>reportado 16/04</t>
  </si>
  <si>
    <t>Reportado 14/4  sin CC, IV</t>
  </si>
  <si>
    <t>21/04 reportado</t>
  </si>
  <si>
    <t>Reportado 22/04</t>
  </si>
  <si>
    <t>22/04 REPORTADO</t>
  </si>
  <si>
    <t>Reportado 21/04</t>
  </si>
  <si>
    <t>22/04 reportado  PENDIENTE CC</t>
  </si>
  <si>
    <t xml:space="preserve"> 14/04 reportado PENDIENTE CC</t>
  </si>
  <si>
    <t xml:space="preserve"> 14/04  reportado PENDIENTE CC</t>
  </si>
  <si>
    <t>22/04 reportado PENDIENTE CC</t>
  </si>
  <si>
    <t>22/04 reportado PENDIENTE CC y anexo IV</t>
  </si>
  <si>
    <t>OERU4032330</t>
  </si>
  <si>
    <t>FP178B-2026</t>
  </si>
  <si>
    <t>HLBU6006696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</si>
</sst>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9"/>
      <color indexed="81"/>
      <name val="Tahoma"/>
      <family val="2"/>
    </font>
    <font>
      <sz val="11"/>
      <color rgb="FFC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color theme="1"/>
      <name val="FluentSystemIcons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7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1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16" fontId="0" fillId="2" borderId="1" xfId="0" applyNumberFormat="1" applyFill="1" applyBorder="1" applyAlignment="1">
      <alignment horizontal="center" vertical="center"/>
    </xf>
    <xf numFmtId="16" fontId="2" fillId="2" borderId="1" xfId="0" applyNumberFormat="1" applyFont="1" applyFill="1" applyBorder="1" applyAlignment="1">
      <alignment horizontal="center" vertical="center"/>
    </xf>
    <xf numFmtId="0" fontId="0" fillId="2" borderId="0" xfId="0" applyFill="1"/>
    <xf numFmtId="0" fontId="0" fillId="2" borderId="3" xfId="0" applyFill="1" applyBorder="1" applyAlignment="1">
      <alignment vertical="center"/>
    </xf>
    <xf numFmtId="0" fontId="0" fillId="2" borderId="0" xfId="0" applyFill="1" applyAlignment="1">
      <alignment vertical="center"/>
    </xf>
    <xf numFmtId="49" fontId="0" fillId="0" borderId="1" xfId="0" applyNumberFormat="1" applyBorder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16" fontId="0" fillId="3" borderId="1" xfId="0" applyNumberForma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0" fillId="3" borderId="0" xfId="0" applyFill="1"/>
    <xf numFmtId="0" fontId="5" fillId="4" borderId="7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49" fontId="5" fillId="4" borderId="5" xfId="0" applyNumberFormat="1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 wrapText="1"/>
    </xf>
    <xf numFmtId="0" fontId="6" fillId="5" borderId="9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wrapText="1"/>
    </xf>
    <xf numFmtId="0" fontId="6" fillId="0" borderId="10" xfId="0" applyFont="1" applyBorder="1" applyAlignment="1">
      <alignment horizontal="center" wrapText="1"/>
    </xf>
    <xf numFmtId="14" fontId="7" fillId="0" borderId="3" xfId="0" applyNumberFormat="1" applyFont="1" applyBorder="1" applyAlignment="1">
      <alignment horizontal="center" wrapText="1"/>
    </xf>
    <xf numFmtId="0" fontId="8" fillId="0" borderId="0" xfId="0" applyFont="1"/>
    <xf numFmtId="0" fontId="6" fillId="6" borderId="1" xfId="0" applyFont="1" applyFill="1" applyBorder="1" applyAlignment="1">
      <alignment horizontal="center" vertical="center" wrapText="1"/>
    </xf>
    <xf numFmtId="0" fontId="6" fillId="6" borderId="9" xfId="0" applyFont="1" applyFill="1" applyBorder="1" applyAlignment="1">
      <alignment horizontal="center" vertical="center" wrapText="1"/>
    </xf>
    <xf numFmtId="0" fontId="6" fillId="6" borderId="9" xfId="0" applyFont="1" applyFill="1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14" fontId="7" fillId="0" borderId="1" xfId="0" applyNumberFormat="1" applyFont="1" applyBorder="1" applyAlignment="1">
      <alignment horizontal="center" wrapText="1"/>
    </xf>
    <xf numFmtId="0" fontId="0" fillId="7" borderId="1" xfId="0" applyFill="1" applyBorder="1" applyAlignment="1">
      <alignment horizontal="center" vertical="center" wrapText="1"/>
    </xf>
    <xf numFmtId="0" fontId="7" fillId="8" borderId="3" xfId="0" applyFont="1" applyFill="1" applyBorder="1" applyAlignment="1">
      <alignment horizontal="center" wrapText="1"/>
    </xf>
    <xf numFmtId="0" fontId="6" fillId="8" borderId="10" xfId="0" applyFont="1" applyFill="1" applyBorder="1" applyAlignment="1">
      <alignment horizontal="center" wrapText="1"/>
    </xf>
    <xf numFmtId="14" fontId="7" fillId="8" borderId="3" xfId="0" applyNumberFormat="1" applyFont="1" applyFill="1" applyBorder="1" applyAlignment="1">
      <alignment horizontal="center" wrapText="1"/>
    </xf>
    <xf numFmtId="0" fontId="0" fillId="8" borderId="0" xfId="0" applyFill="1"/>
    <xf numFmtId="0" fontId="0" fillId="7" borderId="1" xfId="0" applyFill="1" applyBorder="1" applyAlignment="1">
      <alignment horizontal="center" vertical="center"/>
    </xf>
    <xf numFmtId="0" fontId="7" fillId="0" borderId="0" xfId="0" applyFont="1" applyAlignment="1">
      <alignment horizont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10" fillId="9" borderId="1" xfId="0" applyFont="1" applyFill="1" applyBorder="1" applyAlignment="1">
      <alignment vertical="center"/>
    </xf>
    <xf numFmtId="0" fontId="10" fillId="9" borderId="0" xfId="0" applyFont="1" applyFill="1"/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vertical="center"/>
    </xf>
    <xf numFmtId="16" fontId="10" fillId="2" borderId="1" xfId="0" applyNumberFormat="1" applyFont="1" applyFill="1" applyBorder="1" applyAlignment="1">
      <alignment horizontal="center"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0" fillId="2" borderId="0" xfId="0" applyFont="1" applyFill="1"/>
    <xf numFmtId="0" fontId="0" fillId="3" borderId="1" xfId="0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" fontId="0" fillId="0" borderId="2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6" fontId="0" fillId="2" borderId="2" xfId="0" applyNumberForma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49" fontId="0" fillId="3" borderId="2" xfId="0" applyNumberFormat="1" applyFill="1" applyBorder="1" applyAlignment="1">
      <alignment horizontal="center" vertical="center"/>
    </xf>
    <xf numFmtId="49" fontId="0" fillId="3" borderId="4" xfId="0" applyNumberFormat="1" applyFill="1" applyBorder="1" applyAlignment="1">
      <alignment horizontal="center" vertical="center"/>
    </xf>
    <xf numFmtId="49" fontId="0" fillId="3" borderId="3" xfId="0" applyNumberForma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" fontId="0" fillId="3" borderId="2" xfId="0" applyNumberFormat="1" applyFill="1" applyBorder="1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center" vertical="center"/>
    </xf>
    <xf numFmtId="0" fontId="10" fillId="9" borderId="3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top" wrapText="1"/>
    </xf>
    <xf numFmtId="0" fontId="0" fillId="0" borderId="4" xfId="0" applyBorder="1" applyAlignment="1">
      <alignment horizontal="center" vertical="top" wrapText="1"/>
    </xf>
    <xf numFmtId="0" fontId="0" fillId="0" borderId="3" xfId="0" applyBorder="1" applyAlignment="1">
      <alignment horizontal="center" vertical="top" wrapText="1"/>
    </xf>
    <xf numFmtId="0" fontId="0" fillId="2" borderId="1" xfId="0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16" fontId="0" fillId="2" borderId="3" xfId="0" applyNumberFormat="1" applyFill="1" applyBorder="1" applyAlignment="1">
      <alignment horizontal="center" vertical="center"/>
    </xf>
    <xf numFmtId="16" fontId="0" fillId="2" borderId="4" xfId="0" applyNumberFormat="1" applyFill="1" applyBorder="1" applyAlignment="1">
      <alignment horizontal="center" vertical="center"/>
    </xf>
    <xf numFmtId="16" fontId="2" fillId="2" borderId="3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16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16" fontId="2" fillId="2" borderId="1" xfId="0" applyNumberFormat="1" applyFont="1" applyFill="1" applyBorder="1" applyAlignment="1">
      <alignment horizontal="center" vertical="center"/>
    </xf>
    <xf numFmtId="0" fontId="0" fillId="2" borderId="3" xfId="0" applyFill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16" fontId="2" fillId="2" borderId="2" xfId="0" applyNumberFormat="1" applyFont="1" applyFill="1" applyBorder="1" applyAlignment="1">
      <alignment horizontal="center" vertical="center"/>
    </xf>
    <xf numFmtId="16" fontId="2" fillId="2" borderId="4" xfId="0" applyNumberFormat="1" applyFont="1" applyFill="1" applyBorder="1" applyAlignment="1">
      <alignment horizontal="center" vertical="center"/>
    </xf>
    <xf numFmtId="16" fontId="1" fillId="2" borderId="2" xfId="0" applyNumberFormat="1" applyFont="1" applyFill="1" applyBorder="1" applyAlignment="1">
      <alignment horizontal="center" vertical="center"/>
    </xf>
    <xf numFmtId="16" fontId="1" fillId="2" borderId="4" xfId="0" applyNumberFormat="1" applyFont="1" applyFill="1" applyBorder="1" applyAlignment="1">
      <alignment horizontal="center" vertical="center"/>
    </xf>
    <xf numFmtId="16" fontId="1" fillId="2" borderId="3" xfId="0" applyNumberFormat="1" applyFont="1" applyFill="1" applyBorder="1" applyAlignment="1">
      <alignment horizontal="center" vertical="center"/>
    </xf>
    <xf numFmtId="1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1" xfId="0" applyBorder="1" applyAlignment="1">
      <alignment horizontal="center" vertical="top" wrapText="1"/>
    </xf>
    <xf numFmtId="16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10" fillId="9" borderId="1" xfId="0" applyFont="1" applyFill="1" applyBorder="1" applyAlignment="1">
      <alignment vertical="center"/>
    </xf>
    <xf numFmtId="16" fontId="10" fillId="9" borderId="1" xfId="0" applyNumberFormat="1" applyFont="1" applyFill="1" applyBorder="1" applyAlignment="1">
      <alignment horizontal="center" vertical="center"/>
    </xf>
    <xf numFmtId="16" fontId="11" fillId="9" borderId="1" xfId="0" applyNumberFormat="1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49" fontId="10" fillId="9" borderId="1" xfId="0" applyNumberFormat="1" applyFont="1" applyFill="1" applyBorder="1" applyAlignment="1">
      <alignment horizontal="center" vertical="center"/>
    </xf>
    <xf numFmtId="49" fontId="10" fillId="9" borderId="2" xfId="0" applyNumberFormat="1" applyFont="1" applyFill="1" applyBorder="1" applyAlignment="1">
      <alignment horizontal="center" vertical="center"/>
    </xf>
    <xf numFmtId="49" fontId="10" fillId="9" borderId="4" xfId="0" applyNumberFormat="1" applyFont="1" applyFill="1" applyBorder="1" applyAlignment="1">
      <alignment horizontal="center" vertical="center"/>
    </xf>
    <xf numFmtId="49" fontId="10" fillId="9" borderId="3" xfId="0" applyNumberFormat="1" applyFont="1" applyFill="1" applyBorder="1" applyAlignment="1">
      <alignment horizontal="center" vertical="center"/>
    </xf>
    <xf numFmtId="16" fontId="10" fillId="9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eñaranda Castro, Harry" id="{2659E932-BA08-4CD9-9B69-AF6371A9B68A}" userId="S::hpenaranda@corpac.gob.pe::9d50c386-60fd-4975-b6a2-2f657f3cc00c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9" dT="2026-03-26T13:27:53.50" personId="{2659E932-BA08-4CD9-9B69-AF6371A9B68A}" id="{D4F9348D-973A-4D48-B4B4-2439544BFD35}">
    <text>Aún no hay fecha exacta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6F96E-32D2-49CC-9D2C-B0DDE14FD4CE}">
  <dimension ref="A1:R142"/>
  <sheetViews>
    <sheetView tabSelected="1" zoomScale="70" zoomScaleNormal="70" workbookViewId="0">
      <pane ySplit="1" topLeftCell="A56" activePane="bottomLeft" state="frozen"/>
      <selection pane="bottomLeft" activeCell="I135" sqref="I135:I140"/>
    </sheetView>
  </sheetViews>
  <sheetFormatPr baseColWidth="10" defaultRowHeight="14.4"/>
  <cols>
    <col min="1" max="1" width="11.5546875" style="1"/>
    <col min="2" max="2" width="13.88671875" style="1" bestFit="1" customWidth="1"/>
    <col min="3" max="3" width="18.88671875" style="5" bestFit="1" customWidth="1"/>
    <col min="4" max="4" width="23.33203125" style="5" bestFit="1" customWidth="1"/>
    <col min="5" max="5" width="24" style="5" bestFit="1" customWidth="1"/>
    <col min="6" max="6" width="14.109375" style="1" bestFit="1" customWidth="1"/>
    <col min="7" max="9" width="11.5546875" style="5"/>
    <col min="10" max="10" width="5.21875" style="5" bestFit="1" customWidth="1"/>
    <col min="11" max="11" width="7.21875" style="5" bestFit="1" customWidth="1"/>
    <col min="12" max="12" width="5.21875" style="5" bestFit="1" customWidth="1"/>
    <col min="13" max="13" width="6.77734375" style="5" bestFit="1" customWidth="1"/>
    <col min="14" max="14" width="3.44140625" style="5" bestFit="1" customWidth="1"/>
    <col min="15" max="15" width="5.77734375" style="15" customWidth="1"/>
    <col min="16" max="16" width="8.5546875" style="5" bestFit="1" customWidth="1"/>
    <col min="17" max="17" width="33.88671875" style="5" customWidth="1"/>
    <col min="18" max="18" width="59.109375" style="5" customWidth="1"/>
  </cols>
  <sheetData>
    <row r="1" spans="1:18" s="5" customFormat="1" ht="48.6" customHeight="1" thickBot="1">
      <c r="A1" s="21" t="s">
        <v>14</v>
      </c>
      <c r="B1" s="22" t="s">
        <v>15</v>
      </c>
      <c r="C1" s="22" t="s">
        <v>372</v>
      </c>
      <c r="D1" s="22" t="s">
        <v>16</v>
      </c>
      <c r="E1" s="22" t="s">
        <v>17</v>
      </c>
      <c r="F1" s="22" t="s">
        <v>49</v>
      </c>
      <c r="G1" s="22" t="s">
        <v>48</v>
      </c>
      <c r="H1" s="22" t="s">
        <v>50</v>
      </c>
      <c r="I1" s="22" t="s">
        <v>5</v>
      </c>
      <c r="J1" s="22" t="s">
        <v>139</v>
      </c>
      <c r="K1" s="23" t="s">
        <v>10</v>
      </c>
      <c r="L1" s="23" t="s">
        <v>12</v>
      </c>
      <c r="M1" s="23" t="s">
        <v>9</v>
      </c>
      <c r="N1" s="23" t="s">
        <v>8</v>
      </c>
      <c r="O1" s="24" t="s">
        <v>11</v>
      </c>
      <c r="P1" s="23" t="s">
        <v>13</v>
      </c>
      <c r="Q1" s="25" t="s">
        <v>7</v>
      </c>
      <c r="R1" s="25" t="s">
        <v>140</v>
      </c>
    </row>
    <row r="2" spans="1:18" s="1" customFormat="1" ht="40.200000000000003" hidden="1" customHeight="1">
      <c r="A2" s="60">
        <v>20</v>
      </c>
      <c r="B2" s="60" t="s">
        <v>0</v>
      </c>
      <c r="C2" s="60" t="s">
        <v>1</v>
      </c>
      <c r="D2" s="60" t="s">
        <v>2</v>
      </c>
      <c r="E2" s="60" t="s">
        <v>6</v>
      </c>
      <c r="F2" s="2" t="s">
        <v>3</v>
      </c>
      <c r="G2" s="85">
        <v>46070</v>
      </c>
      <c r="H2" s="115">
        <v>46115</v>
      </c>
      <c r="I2" s="85">
        <v>46102</v>
      </c>
      <c r="J2" s="85" t="s">
        <v>52</v>
      </c>
      <c r="K2" s="122" t="s">
        <v>52</v>
      </c>
      <c r="L2" s="122" t="s">
        <v>52</v>
      </c>
      <c r="M2" s="122"/>
      <c r="N2" s="122"/>
      <c r="O2" s="124" t="s">
        <v>51</v>
      </c>
      <c r="P2" s="122" t="s">
        <v>52</v>
      </c>
      <c r="Q2" s="126" t="s">
        <v>351</v>
      </c>
      <c r="R2" s="119" t="s">
        <v>352</v>
      </c>
    </row>
    <row r="3" spans="1:18" s="1" customFormat="1" ht="37.200000000000003" hidden="1" customHeight="1">
      <c r="A3" s="60"/>
      <c r="B3" s="60"/>
      <c r="C3" s="60"/>
      <c r="D3" s="60"/>
      <c r="E3" s="60"/>
      <c r="F3" s="2" t="s">
        <v>4</v>
      </c>
      <c r="G3" s="60"/>
      <c r="H3" s="116"/>
      <c r="I3" s="60"/>
      <c r="J3" s="85"/>
      <c r="K3" s="123"/>
      <c r="L3" s="123"/>
      <c r="M3" s="123"/>
      <c r="N3" s="123"/>
      <c r="O3" s="125"/>
      <c r="P3" s="123"/>
      <c r="Q3" s="127"/>
      <c r="R3" s="120"/>
    </row>
    <row r="4" spans="1:18" hidden="1">
      <c r="A4" s="60">
        <v>21</v>
      </c>
      <c r="B4" s="60" t="s">
        <v>18</v>
      </c>
      <c r="C4" s="60" t="s">
        <v>1</v>
      </c>
      <c r="D4" s="60" t="s">
        <v>19</v>
      </c>
      <c r="E4" s="60" t="s">
        <v>25</v>
      </c>
      <c r="F4" s="2" t="s">
        <v>20</v>
      </c>
      <c r="G4" s="85">
        <v>46070</v>
      </c>
      <c r="H4" s="115">
        <v>46115</v>
      </c>
      <c r="I4" s="85">
        <v>46097</v>
      </c>
      <c r="J4" s="60" t="s">
        <v>52</v>
      </c>
      <c r="K4" s="60" t="s">
        <v>52</v>
      </c>
      <c r="L4" s="60" t="s">
        <v>52</v>
      </c>
      <c r="M4" s="117"/>
      <c r="N4" s="60"/>
      <c r="O4" s="88" t="s">
        <v>51</v>
      </c>
      <c r="P4" s="60" t="s">
        <v>52</v>
      </c>
      <c r="Q4" s="60" t="s">
        <v>353</v>
      </c>
      <c r="R4" s="121"/>
    </row>
    <row r="5" spans="1:18" hidden="1">
      <c r="A5" s="60"/>
      <c r="B5" s="60"/>
      <c r="C5" s="60"/>
      <c r="D5" s="60"/>
      <c r="E5" s="60"/>
      <c r="F5" s="2" t="s">
        <v>21</v>
      </c>
      <c r="G5" s="60"/>
      <c r="H5" s="116"/>
      <c r="I5" s="60"/>
      <c r="J5" s="60"/>
      <c r="K5" s="60"/>
      <c r="L5" s="60"/>
      <c r="M5" s="118"/>
      <c r="N5" s="60"/>
      <c r="O5" s="88"/>
      <c r="P5" s="60"/>
      <c r="Q5" s="60"/>
      <c r="R5" s="121"/>
    </row>
    <row r="6" spans="1:18" hidden="1">
      <c r="A6" s="60"/>
      <c r="B6" s="60"/>
      <c r="C6" s="60"/>
      <c r="D6" s="60"/>
      <c r="E6" s="60"/>
      <c r="F6" s="2" t="s">
        <v>22</v>
      </c>
      <c r="G6" s="60"/>
      <c r="H6" s="116"/>
      <c r="I6" s="60"/>
      <c r="J6" s="60"/>
      <c r="K6" s="60"/>
      <c r="L6" s="60"/>
      <c r="M6" s="118"/>
      <c r="N6" s="60"/>
      <c r="O6" s="88"/>
      <c r="P6" s="60"/>
      <c r="Q6" s="60"/>
      <c r="R6" s="121"/>
    </row>
    <row r="7" spans="1:18" hidden="1">
      <c r="A7" s="60"/>
      <c r="B7" s="60"/>
      <c r="C7" s="60"/>
      <c r="D7" s="60"/>
      <c r="E7" s="60"/>
      <c r="F7" s="2" t="s">
        <v>23</v>
      </c>
      <c r="G7" s="60"/>
      <c r="H7" s="116"/>
      <c r="I7" s="60"/>
      <c r="J7" s="60"/>
      <c r="K7" s="60"/>
      <c r="L7" s="60"/>
      <c r="M7" s="118"/>
      <c r="N7" s="60"/>
      <c r="O7" s="88"/>
      <c r="P7" s="60"/>
      <c r="Q7" s="60"/>
      <c r="R7" s="121"/>
    </row>
    <row r="8" spans="1:18" hidden="1">
      <c r="A8" s="60"/>
      <c r="B8" s="60"/>
      <c r="C8" s="60"/>
      <c r="D8" s="60"/>
      <c r="E8" s="60"/>
      <c r="F8" s="2" t="s">
        <v>24</v>
      </c>
      <c r="G8" s="60"/>
      <c r="H8" s="116"/>
      <c r="I8" s="60"/>
      <c r="J8" s="60"/>
      <c r="K8" s="60"/>
      <c r="L8" s="60"/>
      <c r="M8" s="118"/>
      <c r="N8" s="60"/>
      <c r="O8" s="88"/>
      <c r="P8" s="60"/>
      <c r="Q8" s="60"/>
      <c r="R8" s="121"/>
    </row>
    <row r="9" spans="1:18" hidden="1">
      <c r="A9" s="60">
        <v>22</v>
      </c>
      <c r="B9" s="60" t="s">
        <v>26</v>
      </c>
      <c r="C9" s="60" t="s">
        <v>1</v>
      </c>
      <c r="D9" s="60" t="s">
        <v>27</v>
      </c>
      <c r="E9" s="60" t="s">
        <v>28</v>
      </c>
      <c r="F9" s="2" t="s">
        <v>29</v>
      </c>
      <c r="G9" s="85">
        <v>46073</v>
      </c>
      <c r="H9" s="115">
        <v>46115</v>
      </c>
      <c r="I9" s="85">
        <v>46097</v>
      </c>
      <c r="J9" s="60" t="s">
        <v>52</v>
      </c>
      <c r="K9" s="60" t="s">
        <v>52</v>
      </c>
      <c r="L9" s="60" t="s">
        <v>52</v>
      </c>
      <c r="M9" s="117"/>
      <c r="N9" s="60"/>
      <c r="O9" s="88" t="s">
        <v>51</v>
      </c>
      <c r="P9" s="60" t="s">
        <v>52</v>
      </c>
      <c r="Q9" s="97" t="s">
        <v>354</v>
      </c>
      <c r="R9" s="94"/>
    </row>
    <row r="10" spans="1:18" hidden="1">
      <c r="A10" s="60"/>
      <c r="B10" s="60"/>
      <c r="C10" s="60"/>
      <c r="D10" s="60"/>
      <c r="E10" s="60"/>
      <c r="F10" s="2" t="s">
        <v>30</v>
      </c>
      <c r="G10" s="60"/>
      <c r="H10" s="116"/>
      <c r="I10" s="60"/>
      <c r="J10" s="60"/>
      <c r="K10" s="60"/>
      <c r="L10" s="60"/>
      <c r="M10" s="118"/>
      <c r="N10" s="60"/>
      <c r="O10" s="88"/>
      <c r="P10" s="60"/>
      <c r="Q10" s="97"/>
      <c r="R10" s="95"/>
    </row>
    <row r="11" spans="1:18" hidden="1">
      <c r="A11" s="60"/>
      <c r="B11" s="60"/>
      <c r="C11" s="60"/>
      <c r="D11" s="60"/>
      <c r="E11" s="60"/>
      <c r="F11" s="2" t="s">
        <v>31</v>
      </c>
      <c r="G11" s="60"/>
      <c r="H11" s="116"/>
      <c r="I11" s="60"/>
      <c r="J11" s="60"/>
      <c r="K11" s="60"/>
      <c r="L11" s="60"/>
      <c r="M11" s="118"/>
      <c r="N11" s="60"/>
      <c r="O11" s="88"/>
      <c r="P11" s="60"/>
      <c r="Q11" s="97"/>
      <c r="R11" s="95"/>
    </row>
    <row r="12" spans="1:18" hidden="1">
      <c r="A12" s="60"/>
      <c r="B12" s="60"/>
      <c r="C12" s="60"/>
      <c r="D12" s="60"/>
      <c r="E12" s="60"/>
      <c r="F12" s="2" t="s">
        <v>32</v>
      </c>
      <c r="G12" s="60"/>
      <c r="H12" s="116"/>
      <c r="I12" s="60"/>
      <c r="J12" s="60"/>
      <c r="K12" s="60"/>
      <c r="L12" s="60"/>
      <c r="M12" s="118"/>
      <c r="N12" s="60"/>
      <c r="O12" s="88"/>
      <c r="P12" s="60"/>
      <c r="Q12" s="97"/>
      <c r="R12" s="95"/>
    </row>
    <row r="13" spans="1:18" hidden="1">
      <c r="A13" s="60"/>
      <c r="B13" s="60"/>
      <c r="C13" s="60"/>
      <c r="D13" s="60"/>
      <c r="E13" s="60"/>
      <c r="F13" s="2" t="s">
        <v>33</v>
      </c>
      <c r="G13" s="60"/>
      <c r="H13" s="116"/>
      <c r="I13" s="60"/>
      <c r="J13" s="60"/>
      <c r="K13" s="60"/>
      <c r="L13" s="60"/>
      <c r="M13" s="118"/>
      <c r="N13" s="60"/>
      <c r="O13" s="88"/>
      <c r="P13" s="60"/>
      <c r="Q13" s="97"/>
      <c r="R13" s="96"/>
    </row>
    <row r="14" spans="1:18" s="12" customFormat="1" ht="28.8" hidden="1" customHeight="1">
      <c r="A14" s="62">
        <v>23</v>
      </c>
      <c r="B14" s="62" t="s">
        <v>34</v>
      </c>
      <c r="C14" s="62" t="s">
        <v>1</v>
      </c>
      <c r="D14" s="62" t="s">
        <v>35</v>
      </c>
      <c r="E14" s="62" t="s">
        <v>36</v>
      </c>
      <c r="F14" s="11" t="s">
        <v>37</v>
      </c>
      <c r="G14" s="65">
        <v>46073</v>
      </c>
      <c r="H14" s="110">
        <v>46121</v>
      </c>
      <c r="I14" s="65">
        <v>46097</v>
      </c>
      <c r="J14" s="65" t="s">
        <v>52</v>
      </c>
      <c r="K14" s="65" t="s">
        <v>52</v>
      </c>
      <c r="L14" s="65" t="s">
        <v>52</v>
      </c>
      <c r="M14" s="65"/>
      <c r="N14" s="65"/>
      <c r="O14" s="66" t="s">
        <v>51</v>
      </c>
      <c r="P14" s="65" t="s">
        <v>52</v>
      </c>
      <c r="Q14" s="72" t="s">
        <v>355</v>
      </c>
      <c r="R14" s="72"/>
    </row>
    <row r="15" spans="1:18" s="12" customFormat="1" ht="27.6" hidden="1" customHeight="1">
      <c r="A15" s="64"/>
      <c r="B15" s="64"/>
      <c r="C15" s="64"/>
      <c r="D15" s="64"/>
      <c r="E15" s="64"/>
      <c r="F15" s="7" t="s">
        <v>38</v>
      </c>
      <c r="G15" s="99"/>
      <c r="H15" s="101"/>
      <c r="I15" s="99"/>
      <c r="J15" s="99"/>
      <c r="K15" s="99"/>
      <c r="L15" s="99"/>
      <c r="M15" s="99"/>
      <c r="N15" s="99"/>
      <c r="O15" s="68"/>
      <c r="P15" s="99"/>
      <c r="Q15" s="74"/>
      <c r="R15" s="74"/>
    </row>
    <row r="16" spans="1:18" s="10" customFormat="1" hidden="1">
      <c r="A16" s="61">
        <v>24</v>
      </c>
      <c r="B16" s="61" t="s">
        <v>39</v>
      </c>
      <c r="C16" s="61" t="s">
        <v>40</v>
      </c>
      <c r="D16" s="61" t="s">
        <v>40</v>
      </c>
      <c r="E16" s="61" t="s">
        <v>41</v>
      </c>
      <c r="F16" s="7" t="s">
        <v>42</v>
      </c>
      <c r="G16" s="87">
        <v>46076</v>
      </c>
      <c r="H16" s="107">
        <v>46098</v>
      </c>
      <c r="I16" s="61" t="s">
        <v>51</v>
      </c>
      <c r="J16" s="61"/>
      <c r="K16" s="61" t="s">
        <v>52</v>
      </c>
      <c r="L16" s="61" t="s">
        <v>52</v>
      </c>
      <c r="M16" s="61" t="s">
        <v>52</v>
      </c>
      <c r="N16" s="61" t="s">
        <v>52</v>
      </c>
      <c r="O16" s="106" t="s">
        <v>337</v>
      </c>
      <c r="P16" s="61" t="s">
        <v>52</v>
      </c>
      <c r="Q16" s="61" t="s">
        <v>356</v>
      </c>
      <c r="R16" s="97"/>
    </row>
    <row r="17" spans="1:18" s="10" customFormat="1" hidden="1">
      <c r="A17" s="61"/>
      <c r="B17" s="61"/>
      <c r="C17" s="61"/>
      <c r="D17" s="61"/>
      <c r="E17" s="61"/>
      <c r="F17" s="7" t="s">
        <v>43</v>
      </c>
      <c r="G17" s="61"/>
      <c r="H17" s="102"/>
      <c r="I17" s="61"/>
      <c r="J17" s="61"/>
      <c r="K17" s="61"/>
      <c r="L17" s="61"/>
      <c r="M17" s="61"/>
      <c r="N17" s="61"/>
      <c r="O17" s="106"/>
      <c r="P17" s="61"/>
      <c r="Q17" s="61"/>
      <c r="R17" s="97"/>
    </row>
    <row r="18" spans="1:18" s="10" customFormat="1" hidden="1">
      <c r="A18" s="61"/>
      <c r="B18" s="61"/>
      <c r="C18" s="61"/>
      <c r="D18" s="61"/>
      <c r="E18" s="61"/>
      <c r="F18" s="7" t="s">
        <v>44</v>
      </c>
      <c r="G18" s="61"/>
      <c r="H18" s="102"/>
      <c r="I18" s="61"/>
      <c r="J18" s="61"/>
      <c r="K18" s="61"/>
      <c r="L18" s="61"/>
      <c r="M18" s="61"/>
      <c r="N18" s="61"/>
      <c r="O18" s="106"/>
      <c r="P18" s="61"/>
      <c r="Q18" s="61"/>
      <c r="R18" s="97"/>
    </row>
    <row r="19" spans="1:18" s="10" customFormat="1" hidden="1">
      <c r="A19" s="61"/>
      <c r="B19" s="61"/>
      <c r="C19" s="61"/>
      <c r="D19" s="61"/>
      <c r="E19" s="61"/>
      <c r="F19" s="7" t="s">
        <v>45</v>
      </c>
      <c r="G19" s="61"/>
      <c r="H19" s="102"/>
      <c r="I19" s="61"/>
      <c r="J19" s="61"/>
      <c r="K19" s="61"/>
      <c r="L19" s="61"/>
      <c r="M19" s="61"/>
      <c r="N19" s="61"/>
      <c r="O19" s="106"/>
      <c r="P19" s="61"/>
      <c r="Q19" s="61"/>
      <c r="R19" s="97"/>
    </row>
    <row r="20" spans="1:18" s="10" customFormat="1" hidden="1">
      <c r="A20" s="61"/>
      <c r="B20" s="61"/>
      <c r="C20" s="61"/>
      <c r="D20" s="61"/>
      <c r="E20" s="61"/>
      <c r="F20" s="7" t="s">
        <v>46</v>
      </c>
      <c r="G20" s="61"/>
      <c r="H20" s="102"/>
      <c r="I20" s="61"/>
      <c r="J20" s="61"/>
      <c r="K20" s="61"/>
      <c r="L20" s="61"/>
      <c r="M20" s="61"/>
      <c r="N20" s="61"/>
      <c r="O20" s="106"/>
      <c r="P20" s="61"/>
      <c r="Q20" s="61"/>
      <c r="R20" s="97"/>
    </row>
    <row r="21" spans="1:18" s="10" customFormat="1" hidden="1">
      <c r="A21" s="61"/>
      <c r="B21" s="61"/>
      <c r="C21" s="61"/>
      <c r="D21" s="61"/>
      <c r="E21" s="61"/>
      <c r="F21" s="7" t="s">
        <v>47</v>
      </c>
      <c r="G21" s="61"/>
      <c r="H21" s="102"/>
      <c r="I21" s="61"/>
      <c r="J21" s="61"/>
      <c r="K21" s="61"/>
      <c r="L21" s="61"/>
      <c r="M21" s="61"/>
      <c r="N21" s="61"/>
      <c r="O21" s="106"/>
      <c r="P21" s="61"/>
      <c r="Q21" s="61"/>
      <c r="R21" s="97"/>
    </row>
    <row r="22" spans="1:18" s="10" customFormat="1" hidden="1">
      <c r="A22" s="61">
        <v>25</v>
      </c>
      <c r="B22" s="61" t="s">
        <v>53</v>
      </c>
      <c r="C22" s="61" t="s">
        <v>1</v>
      </c>
      <c r="D22" s="61" t="s">
        <v>19</v>
      </c>
      <c r="E22" s="61" t="s">
        <v>25</v>
      </c>
      <c r="F22" s="7" t="s">
        <v>54</v>
      </c>
      <c r="G22" s="65">
        <v>46078</v>
      </c>
      <c r="H22" s="110">
        <v>46129</v>
      </c>
      <c r="I22" s="87">
        <v>46097</v>
      </c>
      <c r="J22" s="61" t="s">
        <v>52</v>
      </c>
      <c r="K22" s="61" t="s">
        <v>52</v>
      </c>
      <c r="L22" s="61" t="s">
        <v>52</v>
      </c>
      <c r="M22" s="112"/>
      <c r="N22" s="61"/>
      <c r="O22" s="106" t="s">
        <v>51</v>
      </c>
      <c r="P22" s="61" t="s">
        <v>52</v>
      </c>
      <c r="Q22" s="84" t="s">
        <v>429</v>
      </c>
      <c r="R22" s="97" t="s">
        <v>357</v>
      </c>
    </row>
    <row r="23" spans="1:18" s="10" customFormat="1" hidden="1">
      <c r="A23" s="61"/>
      <c r="B23" s="61"/>
      <c r="C23" s="61"/>
      <c r="D23" s="61"/>
      <c r="E23" s="61"/>
      <c r="F23" s="7" t="s">
        <v>55</v>
      </c>
      <c r="G23" s="100"/>
      <c r="H23" s="111"/>
      <c r="I23" s="61"/>
      <c r="J23" s="61"/>
      <c r="K23" s="61"/>
      <c r="L23" s="61"/>
      <c r="M23" s="113"/>
      <c r="N23" s="61"/>
      <c r="O23" s="106"/>
      <c r="P23" s="61"/>
      <c r="Q23" s="84"/>
      <c r="R23" s="97"/>
    </row>
    <row r="24" spans="1:18" s="10" customFormat="1" hidden="1">
      <c r="A24" s="61"/>
      <c r="B24" s="61"/>
      <c r="C24" s="61"/>
      <c r="D24" s="61"/>
      <c r="E24" s="61"/>
      <c r="F24" s="7" t="s">
        <v>56</v>
      </c>
      <c r="G24" s="100"/>
      <c r="H24" s="111"/>
      <c r="I24" s="61"/>
      <c r="J24" s="61"/>
      <c r="K24" s="61"/>
      <c r="L24" s="61"/>
      <c r="M24" s="113"/>
      <c r="N24" s="61"/>
      <c r="O24" s="106"/>
      <c r="P24" s="61"/>
      <c r="Q24" s="84"/>
      <c r="R24" s="97"/>
    </row>
    <row r="25" spans="1:18" s="10" customFormat="1" hidden="1">
      <c r="A25" s="61"/>
      <c r="B25" s="61"/>
      <c r="C25" s="61"/>
      <c r="D25" s="61"/>
      <c r="E25" s="61"/>
      <c r="F25" s="7" t="s">
        <v>57</v>
      </c>
      <c r="G25" s="100"/>
      <c r="H25" s="111"/>
      <c r="I25" s="61"/>
      <c r="J25" s="61"/>
      <c r="K25" s="61"/>
      <c r="L25" s="61"/>
      <c r="M25" s="113"/>
      <c r="N25" s="61"/>
      <c r="O25" s="106"/>
      <c r="P25" s="61"/>
      <c r="Q25" s="84"/>
      <c r="R25" s="97"/>
    </row>
    <row r="26" spans="1:18" s="10" customFormat="1" hidden="1">
      <c r="A26" s="61"/>
      <c r="B26" s="61"/>
      <c r="C26" s="61"/>
      <c r="D26" s="61"/>
      <c r="E26" s="61"/>
      <c r="F26" s="7" t="s">
        <v>58</v>
      </c>
      <c r="G26" s="100"/>
      <c r="H26" s="111"/>
      <c r="I26" s="61"/>
      <c r="J26" s="61"/>
      <c r="K26" s="61"/>
      <c r="L26" s="61"/>
      <c r="M26" s="113"/>
      <c r="N26" s="61"/>
      <c r="O26" s="106"/>
      <c r="P26" s="61"/>
      <c r="Q26" s="84"/>
      <c r="R26" s="97"/>
    </row>
    <row r="27" spans="1:18" s="10" customFormat="1" hidden="1">
      <c r="A27" s="61"/>
      <c r="B27" s="61"/>
      <c r="C27" s="61"/>
      <c r="D27" s="61"/>
      <c r="E27" s="61"/>
      <c r="F27" s="7" t="s">
        <v>59</v>
      </c>
      <c r="G27" s="100"/>
      <c r="H27" s="111"/>
      <c r="I27" s="61"/>
      <c r="J27" s="61"/>
      <c r="K27" s="61"/>
      <c r="L27" s="61"/>
      <c r="M27" s="113"/>
      <c r="N27" s="61"/>
      <c r="O27" s="106"/>
      <c r="P27" s="61"/>
      <c r="Q27" s="84"/>
      <c r="R27" s="97"/>
    </row>
    <row r="28" spans="1:18" s="10" customFormat="1" hidden="1">
      <c r="A28" s="61"/>
      <c r="B28" s="61"/>
      <c r="C28" s="61"/>
      <c r="D28" s="61"/>
      <c r="E28" s="61"/>
      <c r="F28" s="7" t="s">
        <v>60</v>
      </c>
      <c r="G28" s="100"/>
      <c r="H28" s="111"/>
      <c r="I28" s="61"/>
      <c r="J28" s="61"/>
      <c r="K28" s="61"/>
      <c r="L28" s="61"/>
      <c r="M28" s="113"/>
      <c r="N28" s="61"/>
      <c r="O28" s="106"/>
      <c r="P28" s="61"/>
      <c r="Q28" s="84"/>
      <c r="R28" s="97"/>
    </row>
    <row r="29" spans="1:18" s="10" customFormat="1" hidden="1">
      <c r="A29" s="61"/>
      <c r="B29" s="61"/>
      <c r="C29" s="61"/>
      <c r="D29" s="61"/>
      <c r="E29" s="61"/>
      <c r="F29" s="7" t="s">
        <v>61</v>
      </c>
      <c r="G29" s="100"/>
      <c r="H29" s="111"/>
      <c r="I29" s="61"/>
      <c r="J29" s="61"/>
      <c r="K29" s="61"/>
      <c r="L29" s="61"/>
      <c r="M29" s="113"/>
      <c r="N29" s="61"/>
      <c r="O29" s="106"/>
      <c r="P29" s="61"/>
      <c r="Q29" s="84"/>
      <c r="R29" s="97"/>
    </row>
    <row r="30" spans="1:18" s="10" customFormat="1" hidden="1">
      <c r="A30" s="61"/>
      <c r="B30" s="61"/>
      <c r="C30" s="61"/>
      <c r="D30" s="61"/>
      <c r="E30" s="61"/>
      <c r="F30" s="7" t="s">
        <v>62</v>
      </c>
      <c r="G30" s="100"/>
      <c r="H30" s="111"/>
      <c r="I30" s="61"/>
      <c r="J30" s="61"/>
      <c r="K30" s="61"/>
      <c r="L30" s="61"/>
      <c r="M30" s="113"/>
      <c r="N30" s="61"/>
      <c r="O30" s="106"/>
      <c r="P30" s="61"/>
      <c r="Q30" s="84"/>
      <c r="R30" s="97"/>
    </row>
    <row r="31" spans="1:18" s="10" customFormat="1" hidden="1">
      <c r="A31" s="61"/>
      <c r="B31" s="61"/>
      <c r="C31" s="61"/>
      <c r="D31" s="61"/>
      <c r="E31" s="61"/>
      <c r="F31" s="7" t="s">
        <v>63</v>
      </c>
      <c r="G31" s="100"/>
      <c r="H31" s="111"/>
      <c r="I31" s="61"/>
      <c r="J31" s="61"/>
      <c r="K31" s="61"/>
      <c r="L31" s="61"/>
      <c r="M31" s="113"/>
      <c r="N31" s="61"/>
      <c r="O31" s="106"/>
      <c r="P31" s="61"/>
      <c r="Q31" s="84"/>
      <c r="R31" s="97"/>
    </row>
    <row r="32" spans="1:18" s="10" customFormat="1" hidden="1">
      <c r="A32" s="61"/>
      <c r="B32" s="61"/>
      <c r="C32" s="61"/>
      <c r="D32" s="61"/>
      <c r="E32" s="61"/>
      <c r="F32" s="7" t="s">
        <v>64</v>
      </c>
      <c r="G32" s="100"/>
      <c r="H32" s="111"/>
      <c r="I32" s="61"/>
      <c r="J32" s="61"/>
      <c r="K32" s="61"/>
      <c r="L32" s="61"/>
      <c r="M32" s="113"/>
      <c r="N32" s="61"/>
      <c r="O32" s="106"/>
      <c r="P32" s="61"/>
      <c r="Q32" s="84"/>
      <c r="R32" s="97"/>
    </row>
    <row r="33" spans="1:18" s="10" customFormat="1" hidden="1">
      <c r="A33" s="61"/>
      <c r="B33" s="61"/>
      <c r="C33" s="61"/>
      <c r="D33" s="61"/>
      <c r="E33" s="61"/>
      <c r="F33" s="7" t="s">
        <v>65</v>
      </c>
      <c r="G33" s="100"/>
      <c r="H33" s="111"/>
      <c r="I33" s="61"/>
      <c r="J33" s="61"/>
      <c r="K33" s="61"/>
      <c r="L33" s="61"/>
      <c r="M33" s="113"/>
      <c r="N33" s="61"/>
      <c r="O33" s="106"/>
      <c r="P33" s="61"/>
      <c r="Q33" s="84"/>
      <c r="R33" s="97"/>
    </row>
    <row r="34" spans="1:18" s="10" customFormat="1" hidden="1">
      <c r="A34" s="61"/>
      <c r="B34" s="61"/>
      <c r="C34" s="61"/>
      <c r="D34" s="61"/>
      <c r="E34" s="61"/>
      <c r="F34" s="7" t="s">
        <v>66</v>
      </c>
      <c r="G34" s="99"/>
      <c r="H34" s="101"/>
      <c r="I34" s="61"/>
      <c r="J34" s="61"/>
      <c r="K34" s="61"/>
      <c r="L34" s="61"/>
      <c r="M34" s="114"/>
      <c r="N34" s="61"/>
      <c r="O34" s="106"/>
      <c r="P34" s="61"/>
      <c r="Q34" s="84"/>
      <c r="R34" s="97"/>
    </row>
    <row r="35" spans="1:18" s="12" customFormat="1" ht="24.6" hidden="1" customHeight="1">
      <c r="A35" s="64">
        <v>26</v>
      </c>
      <c r="B35" s="108" t="s">
        <v>67</v>
      </c>
      <c r="C35" s="64" t="s">
        <v>68</v>
      </c>
      <c r="D35" s="64" t="s">
        <v>68</v>
      </c>
      <c r="E35" s="64" t="s">
        <v>25</v>
      </c>
      <c r="F35" s="11" t="s">
        <v>69</v>
      </c>
      <c r="G35" s="99">
        <v>46080</v>
      </c>
      <c r="H35" s="101">
        <v>46129</v>
      </c>
      <c r="I35" s="99">
        <v>46097</v>
      </c>
      <c r="J35" s="100" t="s">
        <v>52</v>
      </c>
      <c r="K35" s="100" t="s">
        <v>52</v>
      </c>
      <c r="L35" s="100" t="s">
        <v>52</v>
      </c>
      <c r="M35" s="100"/>
      <c r="N35" s="100"/>
      <c r="O35" s="67" t="s">
        <v>51</v>
      </c>
      <c r="P35" s="100" t="s">
        <v>52</v>
      </c>
      <c r="Q35" s="73" t="s">
        <v>361</v>
      </c>
      <c r="R35" s="98"/>
    </row>
    <row r="36" spans="1:18" s="12" customFormat="1" ht="24.6" hidden="1" customHeight="1">
      <c r="A36" s="61"/>
      <c r="B36" s="109"/>
      <c r="C36" s="61"/>
      <c r="D36" s="61"/>
      <c r="E36" s="61"/>
      <c r="F36" s="7" t="s">
        <v>70</v>
      </c>
      <c r="G36" s="61"/>
      <c r="H36" s="102"/>
      <c r="I36" s="61"/>
      <c r="J36" s="99"/>
      <c r="K36" s="99"/>
      <c r="L36" s="99"/>
      <c r="M36" s="99"/>
      <c r="N36" s="99"/>
      <c r="O36" s="68"/>
      <c r="P36" s="99"/>
      <c r="Q36" s="74"/>
      <c r="R36" s="74"/>
    </row>
    <row r="37" spans="1:18" s="10" customFormat="1" ht="41.4" hidden="1" customHeight="1">
      <c r="A37" s="6">
        <v>27</v>
      </c>
      <c r="B37" s="7" t="s">
        <v>71</v>
      </c>
      <c r="C37" s="6" t="s">
        <v>72</v>
      </c>
      <c r="D37" s="6" t="str">
        <f>+C37</f>
        <v>SACRAMENTO CO LTD</v>
      </c>
      <c r="E37" s="6" t="s">
        <v>73</v>
      </c>
      <c r="F37" s="7" t="s">
        <v>74</v>
      </c>
      <c r="G37" s="8">
        <v>46080</v>
      </c>
      <c r="H37" s="9">
        <v>46129</v>
      </c>
      <c r="I37" s="8">
        <v>46097</v>
      </c>
      <c r="J37" s="6" t="s">
        <v>52</v>
      </c>
      <c r="K37" s="6" t="s">
        <v>52</v>
      </c>
      <c r="L37" s="6" t="s">
        <v>52</v>
      </c>
      <c r="M37" s="6"/>
      <c r="N37" s="6"/>
      <c r="O37" s="14" t="s">
        <v>51</v>
      </c>
      <c r="P37" s="6" t="s">
        <v>52</v>
      </c>
      <c r="Q37" s="38" t="s">
        <v>335</v>
      </c>
      <c r="R37" s="45" t="s">
        <v>360</v>
      </c>
    </row>
    <row r="38" spans="1:18" s="10" customFormat="1" ht="28.8" hidden="1">
      <c r="A38" s="6">
        <v>28</v>
      </c>
      <c r="B38" s="7" t="s">
        <v>77</v>
      </c>
      <c r="C38" s="6" t="s">
        <v>75</v>
      </c>
      <c r="D38" s="6" t="str">
        <f>+C38</f>
        <v>OVERSEA</v>
      </c>
      <c r="E38" s="6" t="s">
        <v>41</v>
      </c>
      <c r="F38" s="7" t="s">
        <v>76</v>
      </c>
      <c r="G38" s="8">
        <v>46082</v>
      </c>
      <c r="H38" s="9">
        <v>46106</v>
      </c>
      <c r="I38" s="8">
        <v>46092</v>
      </c>
      <c r="J38" s="6" t="s">
        <v>52</v>
      </c>
      <c r="K38" s="6" t="s">
        <v>52</v>
      </c>
      <c r="L38" s="6" t="s">
        <v>52</v>
      </c>
      <c r="M38" s="6" t="s">
        <v>52</v>
      </c>
      <c r="N38" s="6" t="s">
        <v>52</v>
      </c>
      <c r="O38" s="14"/>
      <c r="P38" s="6" t="s">
        <v>52</v>
      </c>
      <c r="Q38" s="6" t="s">
        <v>356</v>
      </c>
      <c r="R38" s="46" t="s">
        <v>141</v>
      </c>
    </row>
    <row r="39" spans="1:18" s="10" customFormat="1" ht="28.8" hidden="1">
      <c r="A39" s="6">
        <v>29</v>
      </c>
      <c r="B39" s="7" t="s">
        <v>79</v>
      </c>
      <c r="C39" s="6" t="s">
        <v>75</v>
      </c>
      <c r="D39" s="6" t="str">
        <f>+C39</f>
        <v>OVERSEA</v>
      </c>
      <c r="E39" s="6" t="s">
        <v>41</v>
      </c>
      <c r="F39" s="7" t="s">
        <v>78</v>
      </c>
      <c r="G39" s="8">
        <v>46082</v>
      </c>
      <c r="H39" s="9">
        <v>46106</v>
      </c>
      <c r="I39" s="8">
        <v>46092</v>
      </c>
      <c r="J39" s="6" t="s">
        <v>52</v>
      </c>
      <c r="K39" s="6" t="s">
        <v>52</v>
      </c>
      <c r="L39" s="6" t="s">
        <v>52</v>
      </c>
      <c r="M39" s="6" t="s">
        <v>52</v>
      </c>
      <c r="N39" s="6" t="s">
        <v>52</v>
      </c>
      <c r="O39" s="14"/>
      <c r="P39" s="6" t="s">
        <v>52</v>
      </c>
      <c r="Q39" s="6" t="s">
        <v>358</v>
      </c>
      <c r="R39" s="46" t="s">
        <v>141</v>
      </c>
    </row>
    <row r="40" spans="1:18" s="10" customFormat="1" hidden="1">
      <c r="A40" s="61">
        <v>30</v>
      </c>
      <c r="B40" s="61" t="s">
        <v>80</v>
      </c>
      <c r="C40" s="61" t="s">
        <v>81</v>
      </c>
      <c r="D40" s="61" t="s">
        <v>27</v>
      </c>
      <c r="E40" s="61" t="s">
        <v>28</v>
      </c>
      <c r="F40" s="7" t="s">
        <v>82</v>
      </c>
      <c r="G40" s="87">
        <v>46085</v>
      </c>
      <c r="H40" s="107">
        <v>46131</v>
      </c>
      <c r="I40" s="87">
        <v>46098</v>
      </c>
      <c r="J40" s="61" t="s">
        <v>52</v>
      </c>
      <c r="K40" s="61" t="s">
        <v>52</v>
      </c>
      <c r="L40" s="61" t="s">
        <v>52</v>
      </c>
      <c r="M40" s="104"/>
      <c r="N40" s="61"/>
      <c r="O40" s="106" t="s">
        <v>51</v>
      </c>
      <c r="P40" s="61" t="s">
        <v>52</v>
      </c>
      <c r="Q40" s="103" t="s">
        <v>429</v>
      </c>
      <c r="R40" s="97" t="s">
        <v>428</v>
      </c>
    </row>
    <row r="41" spans="1:18" s="10" customFormat="1" hidden="1">
      <c r="A41" s="61"/>
      <c r="B41" s="61"/>
      <c r="C41" s="61"/>
      <c r="D41" s="61"/>
      <c r="E41" s="61"/>
      <c r="F41" s="7" t="s">
        <v>83</v>
      </c>
      <c r="G41" s="61"/>
      <c r="H41" s="102"/>
      <c r="I41" s="61"/>
      <c r="J41" s="61"/>
      <c r="K41" s="61"/>
      <c r="L41" s="61"/>
      <c r="M41" s="105"/>
      <c r="N41" s="61"/>
      <c r="O41" s="106"/>
      <c r="P41" s="61"/>
      <c r="Q41" s="103"/>
      <c r="R41" s="97"/>
    </row>
    <row r="42" spans="1:18" s="10" customFormat="1" hidden="1">
      <c r="A42" s="61"/>
      <c r="B42" s="61"/>
      <c r="C42" s="61"/>
      <c r="D42" s="61"/>
      <c r="E42" s="61"/>
      <c r="F42" s="7" t="s">
        <v>84</v>
      </c>
      <c r="G42" s="61"/>
      <c r="H42" s="102"/>
      <c r="I42" s="61"/>
      <c r="J42" s="61"/>
      <c r="K42" s="61"/>
      <c r="L42" s="61"/>
      <c r="M42" s="105"/>
      <c r="N42" s="61"/>
      <c r="O42" s="106"/>
      <c r="P42" s="61"/>
      <c r="Q42" s="103"/>
      <c r="R42" s="97"/>
    </row>
    <row r="43" spans="1:18" s="10" customFormat="1" hidden="1">
      <c r="A43" s="61"/>
      <c r="B43" s="61"/>
      <c r="C43" s="61"/>
      <c r="D43" s="61"/>
      <c r="E43" s="61"/>
      <c r="F43" s="7" t="s">
        <v>85</v>
      </c>
      <c r="G43" s="61"/>
      <c r="H43" s="102"/>
      <c r="I43" s="61"/>
      <c r="J43" s="61"/>
      <c r="K43" s="61"/>
      <c r="L43" s="61"/>
      <c r="M43" s="105"/>
      <c r="N43" s="61"/>
      <c r="O43" s="106"/>
      <c r="P43" s="61"/>
      <c r="Q43" s="103"/>
      <c r="R43" s="97"/>
    </row>
    <row r="44" spans="1:18" s="10" customFormat="1" hidden="1">
      <c r="A44" s="61"/>
      <c r="B44" s="61"/>
      <c r="C44" s="61"/>
      <c r="D44" s="61"/>
      <c r="E44" s="61"/>
      <c r="F44" s="7" t="s">
        <v>86</v>
      </c>
      <c r="G44" s="61"/>
      <c r="H44" s="102"/>
      <c r="I44" s="61"/>
      <c r="J44" s="61"/>
      <c r="K44" s="61"/>
      <c r="L44" s="61"/>
      <c r="M44" s="105"/>
      <c r="N44" s="61"/>
      <c r="O44" s="106"/>
      <c r="P44" s="61"/>
      <c r="Q44" s="103"/>
      <c r="R44" s="97"/>
    </row>
    <row r="45" spans="1:18" s="10" customFormat="1" hidden="1">
      <c r="A45" s="61">
        <v>31</v>
      </c>
      <c r="B45" s="61" t="s">
        <v>87</v>
      </c>
      <c r="C45" s="61" t="s">
        <v>88</v>
      </c>
      <c r="D45" s="61" t="s">
        <v>89</v>
      </c>
      <c r="E45" s="61" t="s">
        <v>90</v>
      </c>
      <c r="F45" s="7" t="s">
        <v>91</v>
      </c>
      <c r="G45" s="87">
        <v>46085</v>
      </c>
      <c r="H45" s="107">
        <v>46140</v>
      </c>
      <c r="I45" s="87">
        <v>46093</v>
      </c>
      <c r="J45" s="61" t="s">
        <v>52</v>
      </c>
      <c r="K45" s="61" t="s">
        <v>52</v>
      </c>
      <c r="L45" s="61" t="s">
        <v>52</v>
      </c>
      <c r="M45" s="61" t="s">
        <v>52</v>
      </c>
      <c r="N45" s="61" t="s">
        <v>52</v>
      </c>
      <c r="O45" s="106" t="s">
        <v>51</v>
      </c>
      <c r="P45" s="61" t="s">
        <v>52</v>
      </c>
      <c r="Q45" s="61" t="s">
        <v>94</v>
      </c>
      <c r="R45" s="61"/>
    </row>
    <row r="46" spans="1:18" s="10" customFormat="1" hidden="1">
      <c r="A46" s="61"/>
      <c r="B46" s="61"/>
      <c r="C46" s="61"/>
      <c r="D46" s="61"/>
      <c r="E46" s="61"/>
      <c r="F46" s="7" t="s">
        <v>92</v>
      </c>
      <c r="G46" s="61"/>
      <c r="H46" s="102"/>
      <c r="I46" s="61"/>
      <c r="J46" s="61"/>
      <c r="K46" s="61"/>
      <c r="L46" s="61"/>
      <c r="M46" s="61"/>
      <c r="N46" s="61"/>
      <c r="O46" s="106"/>
      <c r="P46" s="61"/>
      <c r="Q46" s="63"/>
      <c r="R46" s="61"/>
    </row>
    <row r="47" spans="1:18" s="10" customFormat="1" hidden="1">
      <c r="A47" s="61"/>
      <c r="B47" s="61"/>
      <c r="C47" s="61"/>
      <c r="D47" s="61"/>
      <c r="E47" s="61"/>
      <c r="F47" s="7" t="s">
        <v>93</v>
      </c>
      <c r="G47" s="61"/>
      <c r="H47" s="102"/>
      <c r="I47" s="61"/>
      <c r="J47" s="61"/>
      <c r="K47" s="61"/>
      <c r="L47" s="61"/>
      <c r="M47" s="61"/>
      <c r="N47" s="61"/>
      <c r="O47" s="106"/>
      <c r="P47" s="61"/>
      <c r="Q47" s="64"/>
      <c r="R47" s="61"/>
    </row>
    <row r="48" spans="1:18" s="10" customFormat="1" hidden="1">
      <c r="A48" s="6">
        <v>32</v>
      </c>
      <c r="B48" s="7" t="s">
        <v>95</v>
      </c>
      <c r="C48" s="6" t="s">
        <v>88</v>
      </c>
      <c r="D48" s="6" t="s">
        <v>88</v>
      </c>
      <c r="E48" s="6" t="s">
        <v>96</v>
      </c>
      <c r="F48" s="7" t="s">
        <v>97</v>
      </c>
      <c r="G48" s="8">
        <v>46085</v>
      </c>
      <c r="H48" s="9">
        <v>46127</v>
      </c>
      <c r="I48" s="8">
        <v>46098</v>
      </c>
      <c r="J48" s="6" t="s">
        <v>52</v>
      </c>
      <c r="K48" s="6" t="s">
        <v>52</v>
      </c>
      <c r="L48" s="6" t="s">
        <v>52</v>
      </c>
      <c r="M48" s="6" t="s">
        <v>52</v>
      </c>
      <c r="N48" s="6" t="s">
        <v>52</v>
      </c>
      <c r="O48" s="14" t="s">
        <v>51</v>
      </c>
      <c r="P48" s="6" t="s">
        <v>52</v>
      </c>
      <c r="Q48" s="43" t="s">
        <v>94</v>
      </c>
      <c r="R48" s="6" t="s">
        <v>359</v>
      </c>
    </row>
    <row r="49" spans="1:18" s="10" customFormat="1" hidden="1">
      <c r="A49" s="61">
        <v>33</v>
      </c>
      <c r="B49" s="61" t="s">
        <v>98</v>
      </c>
      <c r="C49" s="61" t="s">
        <v>88</v>
      </c>
      <c r="D49" s="61" t="s">
        <v>19</v>
      </c>
      <c r="E49" s="61" t="s">
        <v>25</v>
      </c>
      <c r="F49" s="7" t="s">
        <v>99</v>
      </c>
      <c r="G49" s="87">
        <v>46085</v>
      </c>
      <c r="H49" s="107">
        <v>46131</v>
      </c>
      <c r="I49" s="87">
        <v>46097</v>
      </c>
      <c r="J49" s="61" t="s">
        <v>52</v>
      </c>
      <c r="K49" s="61" t="s">
        <v>52</v>
      </c>
      <c r="L49" s="61" t="s">
        <v>52</v>
      </c>
      <c r="M49" s="104"/>
      <c r="N49" s="61" t="s">
        <v>51</v>
      </c>
      <c r="O49" s="106" t="s">
        <v>51</v>
      </c>
      <c r="P49" s="61" t="s">
        <v>52</v>
      </c>
      <c r="Q49" s="84" t="s">
        <v>434</v>
      </c>
      <c r="R49" s="97" t="s">
        <v>360</v>
      </c>
    </row>
    <row r="50" spans="1:18" s="10" customFormat="1" hidden="1">
      <c r="A50" s="61"/>
      <c r="B50" s="61"/>
      <c r="C50" s="61"/>
      <c r="D50" s="61"/>
      <c r="E50" s="61"/>
      <c r="F50" s="7" t="s">
        <v>100</v>
      </c>
      <c r="G50" s="61"/>
      <c r="H50" s="102"/>
      <c r="I50" s="61"/>
      <c r="J50" s="61"/>
      <c r="K50" s="61"/>
      <c r="L50" s="61"/>
      <c r="M50" s="105"/>
      <c r="N50" s="61"/>
      <c r="O50" s="106"/>
      <c r="P50" s="61"/>
      <c r="Q50" s="84"/>
      <c r="R50" s="97"/>
    </row>
    <row r="51" spans="1:18" s="10" customFormat="1" hidden="1">
      <c r="A51" s="61"/>
      <c r="B51" s="61"/>
      <c r="C51" s="61"/>
      <c r="D51" s="61"/>
      <c r="E51" s="61"/>
      <c r="F51" s="7" t="s">
        <v>101</v>
      </c>
      <c r="G51" s="61"/>
      <c r="H51" s="102"/>
      <c r="I51" s="61"/>
      <c r="J51" s="61"/>
      <c r="K51" s="61"/>
      <c r="L51" s="61"/>
      <c r="M51" s="105"/>
      <c r="N51" s="61"/>
      <c r="O51" s="106"/>
      <c r="P51" s="61"/>
      <c r="Q51" s="84"/>
      <c r="R51" s="97"/>
    </row>
    <row r="52" spans="1:18" s="10" customFormat="1" hidden="1">
      <c r="A52" s="61"/>
      <c r="B52" s="61"/>
      <c r="C52" s="61"/>
      <c r="D52" s="61"/>
      <c r="E52" s="61"/>
      <c r="F52" s="7" t="s">
        <v>102</v>
      </c>
      <c r="G52" s="61"/>
      <c r="H52" s="102"/>
      <c r="I52" s="61"/>
      <c r="J52" s="61"/>
      <c r="K52" s="61"/>
      <c r="L52" s="61"/>
      <c r="M52" s="105"/>
      <c r="N52" s="61"/>
      <c r="O52" s="106"/>
      <c r="P52" s="61"/>
      <c r="Q52" s="84"/>
      <c r="R52" s="97"/>
    </row>
    <row r="53" spans="1:18" s="10" customFormat="1" hidden="1">
      <c r="A53" s="61"/>
      <c r="B53" s="61"/>
      <c r="C53" s="61"/>
      <c r="D53" s="61"/>
      <c r="E53" s="61"/>
      <c r="F53" s="7" t="s">
        <v>103</v>
      </c>
      <c r="G53" s="61"/>
      <c r="H53" s="102"/>
      <c r="I53" s="61"/>
      <c r="J53" s="61"/>
      <c r="K53" s="61"/>
      <c r="L53" s="61"/>
      <c r="M53" s="105"/>
      <c r="N53" s="61"/>
      <c r="O53" s="106"/>
      <c r="P53" s="61"/>
      <c r="Q53" s="84"/>
      <c r="R53" s="97"/>
    </row>
    <row r="54" spans="1:18" s="12" customFormat="1" hidden="1">
      <c r="A54" s="64">
        <v>34</v>
      </c>
      <c r="B54" s="64" t="s">
        <v>104</v>
      </c>
      <c r="C54" s="64" t="s">
        <v>88</v>
      </c>
      <c r="D54" s="64" t="s">
        <v>105</v>
      </c>
      <c r="E54" s="64" t="s">
        <v>106</v>
      </c>
      <c r="F54" s="11" t="s">
        <v>107</v>
      </c>
      <c r="G54" s="99">
        <v>46087</v>
      </c>
      <c r="H54" s="101">
        <v>46130</v>
      </c>
      <c r="I54" s="99">
        <v>46097</v>
      </c>
      <c r="J54" s="100" t="s">
        <v>52</v>
      </c>
      <c r="K54" s="100" t="s">
        <v>52</v>
      </c>
      <c r="L54" s="100" t="s">
        <v>52</v>
      </c>
      <c r="M54" s="100"/>
      <c r="N54" s="100" t="s">
        <v>51</v>
      </c>
      <c r="O54" s="67" t="s">
        <v>51</v>
      </c>
      <c r="P54" s="100" t="s">
        <v>52</v>
      </c>
      <c r="Q54" s="63" t="s">
        <v>400</v>
      </c>
      <c r="R54" s="63"/>
    </row>
    <row r="55" spans="1:18" s="12" customFormat="1" hidden="1">
      <c r="A55" s="61"/>
      <c r="B55" s="61"/>
      <c r="C55" s="61"/>
      <c r="D55" s="61"/>
      <c r="E55" s="61"/>
      <c r="F55" s="7" t="s">
        <v>108</v>
      </c>
      <c r="G55" s="61"/>
      <c r="H55" s="102"/>
      <c r="I55" s="61"/>
      <c r="J55" s="99"/>
      <c r="K55" s="99"/>
      <c r="L55" s="99"/>
      <c r="M55" s="99"/>
      <c r="N55" s="99"/>
      <c r="O55" s="68"/>
      <c r="P55" s="99"/>
      <c r="Q55" s="64"/>
      <c r="R55" s="64"/>
    </row>
    <row r="56" spans="1:18" s="48" customFormat="1">
      <c r="A56" s="90">
        <v>35</v>
      </c>
      <c r="B56" s="90" t="s">
        <v>109</v>
      </c>
      <c r="C56" s="90" t="s">
        <v>40</v>
      </c>
      <c r="D56" s="90" t="s">
        <v>40</v>
      </c>
      <c r="E56" s="90" t="s">
        <v>110</v>
      </c>
      <c r="F56" s="47" t="s">
        <v>111</v>
      </c>
      <c r="G56" s="129">
        <v>46092</v>
      </c>
      <c r="H56" s="129">
        <v>46119</v>
      </c>
      <c r="I56" s="129">
        <v>46100</v>
      </c>
      <c r="J56" s="90" t="s">
        <v>52</v>
      </c>
      <c r="K56" s="90" t="s">
        <v>52</v>
      </c>
      <c r="L56" s="90" t="s">
        <v>52</v>
      </c>
      <c r="M56" s="130" t="s">
        <v>52</v>
      </c>
      <c r="N56" s="90" t="s">
        <v>52</v>
      </c>
      <c r="O56" s="132"/>
      <c r="P56" s="90" t="s">
        <v>52</v>
      </c>
      <c r="Q56" s="90" t="s">
        <v>362</v>
      </c>
      <c r="R56" s="90"/>
    </row>
    <row r="57" spans="1:18" s="48" customFormat="1">
      <c r="A57" s="128"/>
      <c r="B57" s="128"/>
      <c r="C57" s="90"/>
      <c r="D57" s="90"/>
      <c r="E57" s="90"/>
      <c r="F57" s="47" t="s">
        <v>112</v>
      </c>
      <c r="G57" s="90"/>
      <c r="H57" s="90"/>
      <c r="I57" s="90"/>
      <c r="J57" s="90"/>
      <c r="K57" s="90"/>
      <c r="L57" s="90"/>
      <c r="M57" s="131"/>
      <c r="N57" s="90"/>
      <c r="O57" s="132"/>
      <c r="P57" s="90"/>
      <c r="Q57" s="90"/>
      <c r="R57" s="90"/>
    </row>
    <row r="58" spans="1:18" s="48" customFormat="1">
      <c r="A58" s="128"/>
      <c r="B58" s="128"/>
      <c r="C58" s="90"/>
      <c r="D58" s="90"/>
      <c r="E58" s="90"/>
      <c r="F58" s="47" t="s">
        <v>113</v>
      </c>
      <c r="G58" s="90"/>
      <c r="H58" s="90"/>
      <c r="I58" s="90"/>
      <c r="J58" s="90"/>
      <c r="K58" s="90"/>
      <c r="L58" s="90"/>
      <c r="M58" s="131"/>
      <c r="N58" s="90"/>
      <c r="O58" s="132"/>
      <c r="P58" s="90"/>
      <c r="Q58" s="90"/>
      <c r="R58" s="90"/>
    </row>
    <row r="59" spans="1:18" s="48" customFormat="1">
      <c r="A59" s="128"/>
      <c r="B59" s="128"/>
      <c r="C59" s="90"/>
      <c r="D59" s="90"/>
      <c r="E59" s="90"/>
      <c r="F59" s="47" t="s">
        <v>114</v>
      </c>
      <c r="G59" s="90"/>
      <c r="H59" s="90"/>
      <c r="I59" s="90"/>
      <c r="J59" s="90"/>
      <c r="K59" s="90"/>
      <c r="L59" s="90"/>
      <c r="M59" s="131"/>
      <c r="N59" s="90"/>
      <c r="O59" s="132"/>
      <c r="P59" s="90"/>
      <c r="Q59" s="90"/>
      <c r="R59" s="90"/>
    </row>
    <row r="60" spans="1:18" s="48" customFormat="1" hidden="1">
      <c r="A60" s="91">
        <v>36</v>
      </c>
      <c r="B60" s="91" t="s">
        <v>115</v>
      </c>
      <c r="C60" s="91" t="s">
        <v>40</v>
      </c>
      <c r="D60" s="91" t="s">
        <v>40</v>
      </c>
      <c r="E60" s="91" t="s">
        <v>41</v>
      </c>
      <c r="F60" s="47" t="s">
        <v>116</v>
      </c>
      <c r="G60" s="136">
        <v>46092</v>
      </c>
      <c r="H60" s="136">
        <v>46119</v>
      </c>
      <c r="I60" s="136">
        <v>46101</v>
      </c>
      <c r="J60" s="91" t="s">
        <v>52</v>
      </c>
      <c r="K60" s="91" t="s">
        <v>52</v>
      </c>
      <c r="L60" s="91" t="s">
        <v>52</v>
      </c>
      <c r="M60" s="91" t="s">
        <v>52</v>
      </c>
      <c r="N60" s="91" t="s">
        <v>52</v>
      </c>
      <c r="O60" s="133"/>
      <c r="P60" s="91" t="s">
        <v>52</v>
      </c>
      <c r="Q60" s="91" t="s">
        <v>432</v>
      </c>
      <c r="R60" s="91"/>
    </row>
    <row r="61" spans="1:18" s="48" customFormat="1" hidden="1">
      <c r="A61" s="92"/>
      <c r="B61" s="92"/>
      <c r="C61" s="92"/>
      <c r="D61" s="92"/>
      <c r="E61" s="92"/>
      <c r="F61" s="47" t="s">
        <v>117</v>
      </c>
      <c r="G61" s="92"/>
      <c r="H61" s="92"/>
      <c r="I61" s="92"/>
      <c r="J61" s="92"/>
      <c r="K61" s="92"/>
      <c r="L61" s="92"/>
      <c r="M61" s="92"/>
      <c r="N61" s="92"/>
      <c r="O61" s="134"/>
      <c r="P61" s="92"/>
      <c r="Q61" s="92"/>
      <c r="R61" s="92"/>
    </row>
    <row r="62" spans="1:18" s="48" customFormat="1" hidden="1">
      <c r="A62" s="92"/>
      <c r="B62" s="92"/>
      <c r="C62" s="92"/>
      <c r="D62" s="92"/>
      <c r="E62" s="92"/>
      <c r="F62" s="47" t="s">
        <v>118</v>
      </c>
      <c r="G62" s="92"/>
      <c r="H62" s="92"/>
      <c r="I62" s="92"/>
      <c r="J62" s="92"/>
      <c r="K62" s="92"/>
      <c r="L62" s="92"/>
      <c r="M62" s="92"/>
      <c r="N62" s="92"/>
      <c r="O62" s="134"/>
      <c r="P62" s="92"/>
      <c r="Q62" s="92"/>
      <c r="R62" s="92"/>
    </row>
    <row r="63" spans="1:18" s="48" customFormat="1" hidden="1">
      <c r="A63" s="92"/>
      <c r="B63" s="92"/>
      <c r="C63" s="92"/>
      <c r="D63" s="92"/>
      <c r="E63" s="92"/>
      <c r="F63" s="47" t="s">
        <v>119</v>
      </c>
      <c r="G63" s="92"/>
      <c r="H63" s="92"/>
      <c r="I63" s="92"/>
      <c r="J63" s="92"/>
      <c r="K63" s="92"/>
      <c r="L63" s="92"/>
      <c r="M63" s="92"/>
      <c r="N63" s="92"/>
      <c r="O63" s="134"/>
      <c r="P63" s="92"/>
      <c r="Q63" s="92"/>
      <c r="R63" s="92"/>
    </row>
    <row r="64" spans="1:18" s="48" customFormat="1" hidden="1">
      <c r="A64" s="92"/>
      <c r="B64" s="92"/>
      <c r="C64" s="92"/>
      <c r="D64" s="92"/>
      <c r="E64" s="92"/>
      <c r="F64" s="47" t="s">
        <v>120</v>
      </c>
      <c r="G64" s="92"/>
      <c r="H64" s="92"/>
      <c r="I64" s="92"/>
      <c r="J64" s="92"/>
      <c r="K64" s="92"/>
      <c r="L64" s="92"/>
      <c r="M64" s="92"/>
      <c r="N64" s="92"/>
      <c r="O64" s="134"/>
      <c r="P64" s="92"/>
      <c r="Q64" s="92"/>
      <c r="R64" s="92"/>
    </row>
    <row r="65" spans="1:18" s="48" customFormat="1" hidden="1">
      <c r="A65" s="92"/>
      <c r="B65" s="92"/>
      <c r="C65" s="92"/>
      <c r="D65" s="92"/>
      <c r="E65" s="92"/>
      <c r="F65" s="47" t="s">
        <v>121</v>
      </c>
      <c r="G65" s="92"/>
      <c r="H65" s="92"/>
      <c r="I65" s="92"/>
      <c r="J65" s="92"/>
      <c r="K65" s="92"/>
      <c r="L65" s="92"/>
      <c r="M65" s="92"/>
      <c r="N65" s="92"/>
      <c r="O65" s="134"/>
      <c r="P65" s="92"/>
      <c r="Q65" s="92"/>
      <c r="R65" s="92"/>
    </row>
    <row r="66" spans="1:18" s="48" customFormat="1" hidden="1">
      <c r="A66" s="93"/>
      <c r="B66" s="93"/>
      <c r="C66" s="93"/>
      <c r="D66" s="93"/>
      <c r="E66" s="93"/>
      <c r="F66" s="47" t="s">
        <v>122</v>
      </c>
      <c r="G66" s="93"/>
      <c r="H66" s="93"/>
      <c r="I66" s="93"/>
      <c r="J66" s="93"/>
      <c r="K66" s="93"/>
      <c r="L66" s="93"/>
      <c r="M66" s="93"/>
      <c r="N66" s="93"/>
      <c r="O66" s="135"/>
      <c r="P66" s="93"/>
      <c r="Q66" s="93"/>
      <c r="R66" s="93"/>
    </row>
    <row r="67" spans="1:18" s="10" customFormat="1" hidden="1">
      <c r="A67" s="62">
        <v>37</v>
      </c>
      <c r="B67" s="62" t="s">
        <v>123</v>
      </c>
      <c r="C67" s="62" t="s">
        <v>88</v>
      </c>
      <c r="D67" s="62" t="s">
        <v>19</v>
      </c>
      <c r="E67" s="62" t="s">
        <v>25</v>
      </c>
      <c r="F67" s="7" t="s">
        <v>124</v>
      </c>
      <c r="G67" s="65">
        <v>46092</v>
      </c>
      <c r="H67" s="65">
        <v>46145</v>
      </c>
      <c r="I67" s="65">
        <v>46104</v>
      </c>
      <c r="J67" s="62" t="s">
        <v>52</v>
      </c>
      <c r="K67" s="62" t="s">
        <v>52</v>
      </c>
      <c r="L67" s="62" t="s">
        <v>52</v>
      </c>
      <c r="M67" s="62"/>
      <c r="N67" s="62"/>
      <c r="O67" s="66" t="s">
        <v>51</v>
      </c>
      <c r="P67" s="62" t="s">
        <v>52</v>
      </c>
      <c r="Q67" s="69" t="s">
        <v>335</v>
      </c>
      <c r="R67" s="72" t="s">
        <v>360</v>
      </c>
    </row>
    <row r="68" spans="1:18" s="10" customFormat="1" hidden="1">
      <c r="A68" s="63"/>
      <c r="B68" s="63"/>
      <c r="C68" s="63"/>
      <c r="D68" s="63"/>
      <c r="E68" s="63"/>
      <c r="F68" s="7" t="s">
        <v>125</v>
      </c>
      <c r="G68" s="63"/>
      <c r="H68" s="63"/>
      <c r="I68" s="63"/>
      <c r="J68" s="63"/>
      <c r="K68" s="63"/>
      <c r="L68" s="63"/>
      <c r="M68" s="63"/>
      <c r="N68" s="63"/>
      <c r="O68" s="67"/>
      <c r="P68" s="63"/>
      <c r="Q68" s="70"/>
      <c r="R68" s="73"/>
    </row>
    <row r="69" spans="1:18" s="10" customFormat="1" hidden="1">
      <c r="A69" s="63"/>
      <c r="B69" s="63"/>
      <c r="C69" s="63"/>
      <c r="D69" s="63"/>
      <c r="E69" s="63"/>
      <c r="F69" s="7" t="s">
        <v>126</v>
      </c>
      <c r="G69" s="63"/>
      <c r="H69" s="63"/>
      <c r="I69" s="63"/>
      <c r="J69" s="63"/>
      <c r="K69" s="63"/>
      <c r="L69" s="63"/>
      <c r="M69" s="63"/>
      <c r="N69" s="63"/>
      <c r="O69" s="67"/>
      <c r="P69" s="63"/>
      <c r="Q69" s="70"/>
      <c r="R69" s="73"/>
    </row>
    <row r="70" spans="1:18" s="10" customFormat="1" hidden="1">
      <c r="A70" s="63"/>
      <c r="B70" s="63"/>
      <c r="C70" s="63"/>
      <c r="D70" s="63"/>
      <c r="E70" s="63"/>
      <c r="F70" s="7" t="s">
        <v>127</v>
      </c>
      <c r="G70" s="63"/>
      <c r="H70" s="63"/>
      <c r="I70" s="63"/>
      <c r="J70" s="63"/>
      <c r="K70" s="63"/>
      <c r="L70" s="63"/>
      <c r="M70" s="63"/>
      <c r="N70" s="63"/>
      <c r="O70" s="67"/>
      <c r="P70" s="63"/>
      <c r="Q70" s="70"/>
      <c r="R70" s="73"/>
    </row>
    <row r="71" spans="1:18" s="10" customFormat="1" hidden="1">
      <c r="A71" s="64"/>
      <c r="B71" s="64"/>
      <c r="C71" s="64"/>
      <c r="D71" s="64"/>
      <c r="E71" s="64"/>
      <c r="F71" s="7" t="s">
        <v>128</v>
      </c>
      <c r="G71" s="64"/>
      <c r="H71" s="64"/>
      <c r="I71" s="64"/>
      <c r="J71" s="64"/>
      <c r="K71" s="64"/>
      <c r="L71" s="64"/>
      <c r="M71" s="64"/>
      <c r="N71" s="64"/>
      <c r="O71" s="68"/>
      <c r="P71" s="64"/>
      <c r="Q71" s="71"/>
      <c r="R71" s="74"/>
    </row>
    <row r="72" spans="1:18" s="10" customFormat="1" hidden="1">
      <c r="A72" s="60">
        <v>38</v>
      </c>
      <c r="B72" s="60" t="s">
        <v>137</v>
      </c>
      <c r="C72" s="60" t="s">
        <v>81</v>
      </c>
      <c r="D72" s="60" t="s">
        <v>138</v>
      </c>
      <c r="E72" s="60" t="s">
        <v>28</v>
      </c>
      <c r="F72" s="7" t="s">
        <v>124</v>
      </c>
      <c r="G72" s="85">
        <v>46092</v>
      </c>
      <c r="H72" s="85">
        <v>46147</v>
      </c>
      <c r="I72" s="85">
        <v>46104</v>
      </c>
      <c r="J72" s="60" t="s">
        <v>52</v>
      </c>
      <c r="K72" s="60" t="s">
        <v>52</v>
      </c>
      <c r="L72" s="60" t="s">
        <v>52</v>
      </c>
      <c r="M72" s="60"/>
      <c r="N72" s="60"/>
      <c r="O72" s="88" t="s">
        <v>51</v>
      </c>
      <c r="P72" s="60" t="s">
        <v>52</v>
      </c>
      <c r="Q72" s="84" t="s">
        <v>430</v>
      </c>
      <c r="R72" s="89" t="s">
        <v>359</v>
      </c>
    </row>
    <row r="73" spans="1:18" hidden="1">
      <c r="A73" s="60"/>
      <c r="B73" s="60"/>
      <c r="C73" s="60"/>
      <c r="D73" s="60"/>
      <c r="E73" s="60"/>
      <c r="F73" s="2" t="s">
        <v>125</v>
      </c>
      <c r="G73" s="60"/>
      <c r="H73" s="60"/>
      <c r="I73" s="60"/>
      <c r="J73" s="60"/>
      <c r="K73" s="60"/>
      <c r="L73" s="60"/>
      <c r="M73" s="60"/>
      <c r="N73" s="60"/>
      <c r="O73" s="88"/>
      <c r="P73" s="60"/>
      <c r="Q73" s="84"/>
      <c r="R73" s="89"/>
    </row>
    <row r="74" spans="1:18" hidden="1">
      <c r="A74" s="60"/>
      <c r="B74" s="60"/>
      <c r="C74" s="60"/>
      <c r="D74" s="60"/>
      <c r="E74" s="60"/>
      <c r="F74" s="2" t="s">
        <v>126</v>
      </c>
      <c r="G74" s="60"/>
      <c r="H74" s="60"/>
      <c r="I74" s="60"/>
      <c r="J74" s="60"/>
      <c r="K74" s="60"/>
      <c r="L74" s="60"/>
      <c r="M74" s="60"/>
      <c r="N74" s="60"/>
      <c r="O74" s="88"/>
      <c r="P74" s="60"/>
      <c r="Q74" s="84"/>
      <c r="R74" s="89"/>
    </row>
    <row r="75" spans="1:18" hidden="1">
      <c r="A75" s="60"/>
      <c r="B75" s="60"/>
      <c r="C75" s="60"/>
      <c r="D75" s="60"/>
      <c r="E75" s="60"/>
      <c r="F75" s="2" t="s">
        <v>127</v>
      </c>
      <c r="G75" s="60"/>
      <c r="H75" s="60"/>
      <c r="I75" s="60"/>
      <c r="J75" s="60"/>
      <c r="K75" s="60"/>
      <c r="L75" s="60"/>
      <c r="M75" s="60"/>
      <c r="N75" s="60"/>
      <c r="O75" s="88"/>
      <c r="P75" s="60"/>
      <c r="Q75" s="84"/>
      <c r="R75" s="89"/>
    </row>
    <row r="76" spans="1:18" s="53" customFormat="1" ht="63" hidden="1" customHeight="1">
      <c r="A76" s="49"/>
      <c r="B76" s="49"/>
      <c r="C76" s="49"/>
      <c r="D76" s="49"/>
      <c r="E76" s="49"/>
      <c r="F76" s="49"/>
      <c r="G76" s="51"/>
      <c r="H76" s="51"/>
      <c r="I76" s="51"/>
      <c r="J76" s="49"/>
      <c r="K76" s="49"/>
      <c r="L76" s="49"/>
      <c r="M76" s="49"/>
      <c r="N76" s="49"/>
      <c r="O76" s="52"/>
      <c r="P76" s="49"/>
      <c r="Q76" s="49"/>
      <c r="R76" s="55"/>
    </row>
    <row r="77" spans="1:18" ht="22.8" hidden="1" customHeight="1">
      <c r="A77" s="4">
        <v>40</v>
      </c>
      <c r="B77" s="2" t="s">
        <v>133</v>
      </c>
      <c r="C77" s="4" t="s">
        <v>130</v>
      </c>
      <c r="D77" s="4" t="s">
        <v>134</v>
      </c>
      <c r="E77" s="4" t="s">
        <v>135</v>
      </c>
      <c r="F77" s="2" t="s">
        <v>136</v>
      </c>
      <c r="G77" s="3">
        <v>46101</v>
      </c>
      <c r="H77" s="3">
        <v>46166</v>
      </c>
      <c r="I77" s="3">
        <v>46107</v>
      </c>
      <c r="J77" s="4" t="s">
        <v>52</v>
      </c>
      <c r="K77" s="4" t="s">
        <v>52</v>
      </c>
      <c r="L77" s="4" t="s">
        <v>52</v>
      </c>
      <c r="M77" s="4" t="s">
        <v>52</v>
      </c>
      <c r="N77" s="4" t="s">
        <v>51</v>
      </c>
      <c r="O77" s="13" t="s">
        <v>51</v>
      </c>
      <c r="P77" s="4" t="s">
        <v>52</v>
      </c>
      <c r="Q77" s="6" t="s">
        <v>363</v>
      </c>
      <c r="R77" s="6"/>
    </row>
    <row r="78" spans="1:18" ht="22.8" customHeight="1">
      <c r="A78" s="4">
        <v>41</v>
      </c>
      <c r="B78" s="2" t="s">
        <v>129</v>
      </c>
      <c r="C78" s="4" t="s">
        <v>130</v>
      </c>
      <c r="D78" s="4" t="s">
        <v>131</v>
      </c>
      <c r="E78" s="4" t="s">
        <v>90</v>
      </c>
      <c r="F78" s="2" t="s">
        <v>132</v>
      </c>
      <c r="G78" s="3">
        <v>46101</v>
      </c>
      <c r="H78" s="3">
        <v>46168</v>
      </c>
      <c r="I78" s="3">
        <v>46107</v>
      </c>
      <c r="J78" s="4" t="s">
        <v>52</v>
      </c>
      <c r="K78" s="4" t="s">
        <v>52</v>
      </c>
      <c r="L78" s="4" t="s">
        <v>52</v>
      </c>
      <c r="M78" s="4" t="s">
        <v>52</v>
      </c>
      <c r="N78" s="4" t="s">
        <v>51</v>
      </c>
      <c r="O78" s="13" t="s">
        <v>51</v>
      </c>
      <c r="P78" s="4"/>
      <c r="Q78" s="6" t="s">
        <v>142</v>
      </c>
      <c r="R78" s="6" t="s">
        <v>364</v>
      </c>
    </row>
    <row r="79" spans="1:18" ht="22.8" customHeight="1">
      <c r="A79" s="4">
        <v>42</v>
      </c>
      <c r="B79" s="2" t="s">
        <v>143</v>
      </c>
      <c r="C79" s="4" t="s">
        <v>130</v>
      </c>
      <c r="D79" s="4" t="s">
        <v>131</v>
      </c>
      <c r="E79" s="4" t="s">
        <v>90</v>
      </c>
      <c r="F79" s="2" t="s">
        <v>144</v>
      </c>
      <c r="G79" s="3">
        <v>46101</v>
      </c>
      <c r="H79" s="3">
        <v>46166</v>
      </c>
      <c r="I79" s="3">
        <v>46107</v>
      </c>
      <c r="J79" s="4" t="s">
        <v>52</v>
      </c>
      <c r="K79" s="4" t="s">
        <v>52</v>
      </c>
      <c r="L79" s="4" t="s">
        <v>52</v>
      </c>
      <c r="M79" s="4" t="s">
        <v>52</v>
      </c>
      <c r="N79" s="4" t="s">
        <v>51</v>
      </c>
      <c r="O79" s="13" t="s">
        <v>51</v>
      </c>
      <c r="P79" s="4" t="s">
        <v>52</v>
      </c>
      <c r="Q79" s="6" t="s">
        <v>142</v>
      </c>
      <c r="R79" s="6" t="s">
        <v>364</v>
      </c>
    </row>
    <row r="80" spans="1:18" s="10" customFormat="1" hidden="1">
      <c r="A80" s="61">
        <v>43</v>
      </c>
      <c r="B80" s="61" t="s">
        <v>145</v>
      </c>
      <c r="C80" s="61" t="str">
        <f>+D80</f>
        <v>LONGKOU JIABAO AQUATIC</v>
      </c>
      <c r="D80" s="61" t="s">
        <v>146</v>
      </c>
      <c r="E80" s="61" t="s">
        <v>25</v>
      </c>
      <c r="F80" s="7" t="s">
        <v>147</v>
      </c>
      <c r="G80" s="85">
        <v>46106</v>
      </c>
      <c r="H80" s="87">
        <v>46157</v>
      </c>
      <c r="I80" s="87">
        <v>46118</v>
      </c>
      <c r="J80" s="61" t="s">
        <v>52</v>
      </c>
      <c r="K80" s="61" t="s">
        <v>155</v>
      </c>
      <c r="L80" s="61" t="s">
        <v>52</v>
      </c>
      <c r="M80" s="61" t="s">
        <v>52</v>
      </c>
      <c r="N80" s="61" t="s">
        <v>51</v>
      </c>
      <c r="O80" s="61" t="s">
        <v>51</v>
      </c>
      <c r="P80" s="61" t="s">
        <v>52</v>
      </c>
      <c r="Q80" s="84" t="s">
        <v>434</v>
      </c>
      <c r="R80" s="61" t="s">
        <v>365</v>
      </c>
    </row>
    <row r="81" spans="1:18" s="10" customFormat="1" hidden="1">
      <c r="A81" s="61"/>
      <c r="B81" s="61"/>
      <c r="C81" s="61"/>
      <c r="D81" s="61"/>
      <c r="E81" s="61"/>
      <c r="F81" s="7" t="s">
        <v>148</v>
      </c>
      <c r="G81" s="85"/>
      <c r="H81" s="61"/>
      <c r="I81" s="61"/>
      <c r="J81" s="61"/>
      <c r="K81" s="61"/>
      <c r="L81" s="61"/>
      <c r="M81" s="61"/>
      <c r="N81" s="61"/>
      <c r="O81" s="61"/>
      <c r="P81" s="61"/>
      <c r="Q81" s="84"/>
      <c r="R81" s="61"/>
    </row>
    <row r="82" spans="1:18" s="10" customFormat="1" hidden="1">
      <c r="A82" s="61"/>
      <c r="B82" s="61"/>
      <c r="C82" s="61"/>
      <c r="D82" s="61"/>
      <c r="E82" s="61"/>
      <c r="F82" s="7" t="s">
        <v>149</v>
      </c>
      <c r="G82" s="85"/>
      <c r="H82" s="61"/>
      <c r="I82" s="61"/>
      <c r="J82" s="61"/>
      <c r="K82" s="61"/>
      <c r="L82" s="61"/>
      <c r="M82" s="61"/>
      <c r="N82" s="61"/>
      <c r="O82" s="61"/>
      <c r="P82" s="61"/>
      <c r="Q82" s="84"/>
      <c r="R82" s="61"/>
    </row>
    <row r="83" spans="1:18" s="10" customFormat="1" hidden="1">
      <c r="A83" s="61"/>
      <c r="B83" s="61"/>
      <c r="C83" s="61"/>
      <c r="D83" s="61"/>
      <c r="E83" s="61"/>
      <c r="F83" s="7" t="s">
        <v>150</v>
      </c>
      <c r="G83" s="85"/>
      <c r="H83" s="61"/>
      <c r="I83" s="61"/>
      <c r="J83" s="61"/>
      <c r="K83" s="61"/>
      <c r="L83" s="61"/>
      <c r="M83" s="61"/>
      <c r="N83" s="61"/>
      <c r="O83" s="61"/>
      <c r="P83" s="61"/>
      <c r="Q83" s="84"/>
      <c r="R83" s="61"/>
    </row>
    <row r="84" spans="1:18" s="10" customFormat="1" hidden="1">
      <c r="A84" s="61"/>
      <c r="B84" s="61"/>
      <c r="C84" s="61"/>
      <c r="D84" s="61"/>
      <c r="E84" s="61"/>
      <c r="F84" s="7" t="s">
        <v>151</v>
      </c>
      <c r="G84" s="85"/>
      <c r="H84" s="61"/>
      <c r="I84" s="61"/>
      <c r="J84" s="61"/>
      <c r="K84" s="61"/>
      <c r="L84" s="61"/>
      <c r="M84" s="61"/>
      <c r="N84" s="61"/>
      <c r="O84" s="61"/>
      <c r="P84" s="61"/>
      <c r="Q84" s="84"/>
      <c r="R84" s="61"/>
    </row>
    <row r="85" spans="1:18" hidden="1">
      <c r="A85" s="61"/>
      <c r="B85" s="61"/>
      <c r="C85" s="61"/>
      <c r="D85" s="61"/>
      <c r="E85" s="61"/>
      <c r="F85" s="2" t="s">
        <v>152</v>
      </c>
      <c r="G85" s="85"/>
      <c r="H85" s="61"/>
      <c r="I85" s="61"/>
      <c r="J85" s="61"/>
      <c r="K85" s="61"/>
      <c r="L85" s="61"/>
      <c r="M85" s="61"/>
      <c r="N85" s="61"/>
      <c r="O85" s="61"/>
      <c r="P85" s="61"/>
      <c r="Q85" s="84"/>
      <c r="R85" s="61"/>
    </row>
    <row r="86" spans="1:18" hidden="1">
      <c r="A86" s="61"/>
      <c r="B86" s="61"/>
      <c r="C86" s="61"/>
      <c r="D86" s="61"/>
      <c r="E86" s="61"/>
      <c r="F86" s="2" t="s">
        <v>153</v>
      </c>
      <c r="G86" s="85"/>
      <c r="H86" s="61"/>
      <c r="I86" s="61"/>
      <c r="J86" s="61"/>
      <c r="K86" s="61"/>
      <c r="L86" s="61"/>
      <c r="M86" s="61"/>
      <c r="N86" s="61"/>
      <c r="O86" s="61"/>
      <c r="P86" s="61"/>
      <c r="Q86" s="84"/>
      <c r="R86" s="61"/>
    </row>
    <row r="87" spans="1:18" hidden="1">
      <c r="A87" s="61"/>
      <c r="B87" s="61"/>
      <c r="C87" s="61"/>
      <c r="D87" s="61"/>
      <c r="E87" s="61"/>
      <c r="F87" s="2" t="s">
        <v>154</v>
      </c>
      <c r="G87" s="85"/>
      <c r="H87" s="61"/>
      <c r="I87" s="61"/>
      <c r="J87" s="61"/>
      <c r="K87" s="61"/>
      <c r="L87" s="61"/>
      <c r="M87" s="61"/>
      <c r="N87" s="61"/>
      <c r="O87" s="61"/>
      <c r="P87" s="61"/>
      <c r="Q87" s="84"/>
      <c r="R87" s="61"/>
    </row>
    <row r="88" spans="1:18">
      <c r="A88" s="60">
        <v>44</v>
      </c>
      <c r="B88" s="60" t="s">
        <v>156</v>
      </c>
      <c r="C88" s="60" t="s">
        <v>88</v>
      </c>
      <c r="D88" s="60" t="s">
        <v>367</v>
      </c>
      <c r="E88" s="60" t="s">
        <v>25</v>
      </c>
      <c r="F88" s="2" t="s">
        <v>157</v>
      </c>
      <c r="G88" s="85">
        <v>46106</v>
      </c>
      <c r="H88" s="85">
        <v>46157</v>
      </c>
      <c r="I88" s="85">
        <v>46118</v>
      </c>
      <c r="J88" s="60" t="s">
        <v>52</v>
      </c>
      <c r="K88" s="60" t="s">
        <v>52</v>
      </c>
      <c r="L88" s="60" t="s">
        <v>52</v>
      </c>
      <c r="M88" s="60" t="s">
        <v>52</v>
      </c>
      <c r="N88" s="60" t="s">
        <v>51</v>
      </c>
      <c r="O88" s="60" t="s">
        <v>51</v>
      </c>
      <c r="P88" s="60" t="s">
        <v>52</v>
      </c>
      <c r="Q88" s="84" t="s">
        <v>436</v>
      </c>
      <c r="R88" s="61" t="s">
        <v>366</v>
      </c>
    </row>
    <row r="89" spans="1:18">
      <c r="A89" s="60"/>
      <c r="B89" s="60"/>
      <c r="C89" s="60"/>
      <c r="D89" s="60"/>
      <c r="E89" s="60"/>
      <c r="F89" s="2" t="s">
        <v>158</v>
      </c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84"/>
      <c r="R89" s="61"/>
    </row>
    <row r="90" spans="1:18" s="10" customFormat="1" hidden="1">
      <c r="A90" s="60">
        <v>45</v>
      </c>
      <c r="B90" s="60" t="s">
        <v>159</v>
      </c>
      <c r="C90" s="60" t="str">
        <f>+D90</f>
        <v>LONGKOU BOHAI</v>
      </c>
      <c r="D90" s="60" t="s">
        <v>160</v>
      </c>
      <c r="E90" s="60" t="s">
        <v>25</v>
      </c>
      <c r="F90" s="7" t="s">
        <v>161</v>
      </c>
      <c r="G90" s="85">
        <v>46106</v>
      </c>
      <c r="H90" s="85">
        <v>46157</v>
      </c>
      <c r="I90" s="85">
        <v>46118</v>
      </c>
      <c r="J90" s="60" t="s">
        <v>52</v>
      </c>
      <c r="K90" s="60" t="s">
        <v>52</v>
      </c>
      <c r="L90" s="60" t="s">
        <v>52</v>
      </c>
      <c r="M90" s="60" t="s">
        <v>52</v>
      </c>
      <c r="N90" s="60"/>
      <c r="O90" s="88" t="s">
        <v>51</v>
      </c>
      <c r="P90" s="60" t="s">
        <v>52</v>
      </c>
      <c r="Q90" s="84" t="s">
        <v>434</v>
      </c>
      <c r="R90" s="89" t="s">
        <v>369</v>
      </c>
    </row>
    <row r="91" spans="1:18" hidden="1">
      <c r="A91" s="60"/>
      <c r="B91" s="60"/>
      <c r="C91" s="60"/>
      <c r="D91" s="60"/>
      <c r="E91" s="60"/>
      <c r="F91" s="2" t="s">
        <v>162</v>
      </c>
      <c r="G91" s="60"/>
      <c r="H91" s="60"/>
      <c r="I91" s="60"/>
      <c r="J91" s="60"/>
      <c r="K91" s="60"/>
      <c r="L91" s="60"/>
      <c r="M91" s="60"/>
      <c r="N91" s="60"/>
      <c r="O91" s="88"/>
      <c r="P91" s="60"/>
      <c r="Q91" s="84"/>
      <c r="R91" s="89"/>
    </row>
    <row r="92" spans="1:18" hidden="1">
      <c r="A92" s="60"/>
      <c r="B92" s="60"/>
      <c r="C92" s="60"/>
      <c r="D92" s="60"/>
      <c r="E92" s="60"/>
      <c r="F92" s="2" t="s">
        <v>163</v>
      </c>
      <c r="G92" s="60"/>
      <c r="H92" s="60"/>
      <c r="I92" s="60"/>
      <c r="J92" s="60"/>
      <c r="K92" s="60"/>
      <c r="L92" s="60"/>
      <c r="M92" s="60"/>
      <c r="N92" s="60"/>
      <c r="O92" s="88"/>
      <c r="P92" s="60"/>
      <c r="Q92" s="84"/>
      <c r="R92" s="89"/>
    </row>
    <row r="93" spans="1:18" hidden="1">
      <c r="A93" s="60"/>
      <c r="B93" s="60"/>
      <c r="C93" s="60"/>
      <c r="D93" s="60"/>
      <c r="E93" s="60"/>
      <c r="F93" s="2" t="s">
        <v>164</v>
      </c>
      <c r="G93" s="60"/>
      <c r="H93" s="60"/>
      <c r="I93" s="60"/>
      <c r="J93" s="60"/>
      <c r="K93" s="60"/>
      <c r="L93" s="60"/>
      <c r="M93" s="60"/>
      <c r="N93" s="60"/>
      <c r="O93" s="88"/>
      <c r="P93" s="60"/>
      <c r="Q93" s="84"/>
      <c r="R93" s="89"/>
    </row>
    <row r="94" spans="1:18" hidden="1">
      <c r="A94" s="60">
        <v>46</v>
      </c>
      <c r="B94" s="60" t="s">
        <v>165</v>
      </c>
      <c r="C94" s="60" t="s">
        <v>88</v>
      </c>
      <c r="D94" s="60" t="s">
        <v>166</v>
      </c>
      <c r="E94" s="60" t="s">
        <v>167</v>
      </c>
      <c r="F94" s="2" t="s">
        <v>168</v>
      </c>
      <c r="G94" s="85">
        <v>46106</v>
      </c>
      <c r="H94" s="85">
        <v>46165</v>
      </c>
      <c r="I94" s="85">
        <v>46118</v>
      </c>
      <c r="J94" s="60" t="s">
        <v>52</v>
      </c>
      <c r="K94" s="60" t="s">
        <v>52</v>
      </c>
      <c r="L94" s="60" t="s">
        <v>52</v>
      </c>
      <c r="M94" s="60"/>
      <c r="N94" s="60"/>
      <c r="O94" s="60" t="s">
        <v>51</v>
      </c>
      <c r="P94" s="60"/>
      <c r="Q94" s="60" t="s">
        <v>408</v>
      </c>
      <c r="R94" s="61" t="s">
        <v>370</v>
      </c>
    </row>
    <row r="95" spans="1:18" hidden="1">
      <c r="A95" s="60"/>
      <c r="B95" s="60"/>
      <c r="C95" s="60"/>
      <c r="D95" s="60"/>
      <c r="E95" s="60"/>
      <c r="F95" s="2" t="s">
        <v>169</v>
      </c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1"/>
    </row>
    <row r="96" spans="1:18" ht="27" customHeight="1">
      <c r="A96" s="4">
        <v>47</v>
      </c>
      <c r="B96" s="2" t="s">
        <v>170</v>
      </c>
      <c r="C96" s="4" t="s">
        <v>130</v>
      </c>
      <c r="D96" s="4" t="s">
        <v>131</v>
      </c>
      <c r="E96" s="4" t="s">
        <v>90</v>
      </c>
      <c r="F96" s="2" t="s">
        <v>171</v>
      </c>
      <c r="G96" s="3">
        <v>46108</v>
      </c>
      <c r="H96" s="3">
        <v>46180</v>
      </c>
      <c r="I96" s="3">
        <v>46119</v>
      </c>
      <c r="J96" s="4" t="s">
        <v>52</v>
      </c>
      <c r="K96" s="4" t="s">
        <v>52</v>
      </c>
      <c r="L96" s="4" t="s">
        <v>52</v>
      </c>
      <c r="M96" s="4" t="s">
        <v>52</v>
      </c>
      <c r="N96" s="4"/>
      <c r="O96" s="13" t="s">
        <v>51</v>
      </c>
      <c r="P96" s="4"/>
      <c r="Q96" s="6" t="s">
        <v>142</v>
      </c>
      <c r="R96" s="6" t="str">
        <f>+R78</f>
        <v>1.- Solicitó HACCP traducido</v>
      </c>
    </row>
    <row r="97" spans="1:18" ht="27" customHeight="1">
      <c r="A97" s="4">
        <v>48</v>
      </c>
      <c r="B97" s="2" t="s">
        <v>172</v>
      </c>
      <c r="C97" s="4" t="s">
        <v>130</v>
      </c>
      <c r="D97" s="4" t="s">
        <v>131</v>
      </c>
      <c r="E97" s="4" t="s">
        <v>90</v>
      </c>
      <c r="F97" s="2" t="s">
        <v>173</v>
      </c>
      <c r="G97" s="3">
        <v>46108</v>
      </c>
      <c r="H97" s="3">
        <v>46180</v>
      </c>
      <c r="I97" s="3">
        <v>46119</v>
      </c>
      <c r="J97" s="4" t="s">
        <v>52</v>
      </c>
      <c r="K97" s="4" t="s">
        <v>52</v>
      </c>
      <c r="L97" s="4" t="s">
        <v>52</v>
      </c>
      <c r="M97" s="4" t="s">
        <v>52</v>
      </c>
      <c r="N97" s="4"/>
      <c r="O97" s="13" t="s">
        <v>51</v>
      </c>
      <c r="P97" s="4"/>
      <c r="Q97" s="6" t="s">
        <v>142</v>
      </c>
      <c r="R97" s="6" t="str">
        <f>+R96</f>
        <v>1.- Solicitó HACCP traducido</v>
      </c>
    </row>
    <row r="98" spans="1:18" ht="27" customHeight="1">
      <c r="A98" s="4">
        <v>49</v>
      </c>
      <c r="B98" s="2" t="s">
        <v>174</v>
      </c>
      <c r="C98" s="4" t="s">
        <v>130</v>
      </c>
      <c r="D98" s="4" t="s">
        <v>131</v>
      </c>
      <c r="E98" s="4" t="s">
        <v>90</v>
      </c>
      <c r="F98" s="2" t="s">
        <v>175</v>
      </c>
      <c r="G98" s="3">
        <v>46108</v>
      </c>
      <c r="H98" s="3">
        <v>46180</v>
      </c>
      <c r="I98" s="3">
        <v>46119</v>
      </c>
      <c r="J98" s="4" t="s">
        <v>52</v>
      </c>
      <c r="K98" s="4" t="s">
        <v>52</v>
      </c>
      <c r="L98" s="4" t="s">
        <v>52</v>
      </c>
      <c r="M98" s="4" t="s">
        <v>52</v>
      </c>
      <c r="N98" s="4"/>
      <c r="O98" s="13" t="s">
        <v>51</v>
      </c>
      <c r="P98" s="4"/>
      <c r="Q98" s="6" t="s">
        <v>142</v>
      </c>
      <c r="R98" s="6" t="str">
        <f>+R97</f>
        <v>1.- Solicitó HACCP traducido</v>
      </c>
    </row>
    <row r="99" spans="1:18" ht="27" customHeight="1">
      <c r="A99" s="4">
        <v>50</v>
      </c>
      <c r="B99" s="2" t="s">
        <v>176</v>
      </c>
      <c r="C99" s="4" t="str">
        <f>+D99</f>
        <v>LONGKOU YUNFENG</v>
      </c>
      <c r="D99" s="4" t="s">
        <v>177</v>
      </c>
      <c r="E99" s="4" t="s">
        <v>25</v>
      </c>
      <c r="F99" s="2" t="s">
        <v>178</v>
      </c>
      <c r="G99" s="3">
        <v>46106</v>
      </c>
      <c r="H99" s="3">
        <v>46147</v>
      </c>
      <c r="I99" s="3">
        <v>46119</v>
      </c>
      <c r="J99" s="4" t="s">
        <v>52</v>
      </c>
      <c r="K99" s="4" t="s">
        <v>52</v>
      </c>
      <c r="L99" s="4" t="s">
        <v>52</v>
      </c>
      <c r="M99" s="4" t="s">
        <v>52</v>
      </c>
      <c r="N99" s="4"/>
      <c r="O99" s="13" t="s">
        <v>51</v>
      </c>
      <c r="P99" s="4" t="s">
        <v>52</v>
      </c>
      <c r="Q99" s="43" t="s">
        <v>437</v>
      </c>
      <c r="R99" s="6" t="s">
        <v>371</v>
      </c>
    </row>
    <row r="100" spans="1:18" hidden="1">
      <c r="A100" s="60">
        <v>51</v>
      </c>
      <c r="B100" s="60" t="s">
        <v>179</v>
      </c>
      <c r="C100" s="60" t="s">
        <v>88</v>
      </c>
      <c r="D100" s="60" t="s">
        <v>89</v>
      </c>
      <c r="E100" s="60" t="s">
        <v>90</v>
      </c>
      <c r="F100" s="2" t="s">
        <v>180</v>
      </c>
      <c r="G100" s="85">
        <v>46108</v>
      </c>
      <c r="H100" s="85">
        <v>46162</v>
      </c>
      <c r="I100" s="85">
        <v>46118</v>
      </c>
      <c r="J100" s="60" t="s">
        <v>52</v>
      </c>
      <c r="K100" s="60" t="s">
        <v>52</v>
      </c>
      <c r="L100" s="60" t="s">
        <v>52</v>
      </c>
      <c r="M100" s="60"/>
      <c r="N100" s="60"/>
      <c r="O100" s="60" t="s">
        <v>51</v>
      </c>
      <c r="P100" s="60"/>
      <c r="Q100" s="60" t="s">
        <v>408</v>
      </c>
      <c r="R100" s="61"/>
    </row>
    <row r="101" spans="1:18" hidden="1">
      <c r="A101" s="60"/>
      <c r="B101" s="60"/>
      <c r="C101" s="60"/>
      <c r="D101" s="60"/>
      <c r="E101" s="60"/>
      <c r="F101" s="2" t="s">
        <v>181</v>
      </c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1"/>
    </row>
    <row r="102" spans="1:18" hidden="1">
      <c r="A102" s="60">
        <v>52</v>
      </c>
      <c r="B102" s="60" t="s">
        <v>182</v>
      </c>
      <c r="C102" s="60" t="s">
        <v>88</v>
      </c>
      <c r="D102" s="60" t="s">
        <v>89</v>
      </c>
      <c r="E102" s="60" t="s">
        <v>90</v>
      </c>
      <c r="F102" s="2" t="s">
        <v>183</v>
      </c>
      <c r="G102" s="85">
        <v>46108</v>
      </c>
      <c r="H102" s="85">
        <v>46180</v>
      </c>
      <c r="I102" s="85">
        <v>46119</v>
      </c>
      <c r="J102" s="60" t="s">
        <v>52</v>
      </c>
      <c r="K102" s="60" t="s">
        <v>52</v>
      </c>
      <c r="L102" s="60" t="s">
        <v>52</v>
      </c>
      <c r="M102" s="60"/>
      <c r="N102" s="60"/>
      <c r="O102" s="60" t="s">
        <v>51</v>
      </c>
      <c r="P102" s="60"/>
      <c r="Q102" s="60" t="s">
        <v>408</v>
      </c>
      <c r="R102" s="61"/>
    </row>
    <row r="103" spans="1:18" hidden="1">
      <c r="A103" s="60"/>
      <c r="B103" s="60"/>
      <c r="C103" s="60"/>
      <c r="D103" s="60"/>
      <c r="E103" s="60"/>
      <c r="F103" s="2" t="s">
        <v>184</v>
      </c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1"/>
    </row>
    <row r="104" spans="1:18" ht="22.8" customHeight="1">
      <c r="A104" s="4">
        <v>53</v>
      </c>
      <c r="B104" s="2" t="s">
        <v>185</v>
      </c>
      <c r="C104" s="4" t="str">
        <f>+D104</f>
        <v>SHANDONG SHEENIER</v>
      </c>
      <c r="D104" s="4" t="s">
        <v>186</v>
      </c>
      <c r="E104" s="4" t="s">
        <v>73</v>
      </c>
      <c r="F104" s="2" t="s">
        <v>187</v>
      </c>
      <c r="G104" s="3">
        <v>46108</v>
      </c>
      <c r="H104" s="3">
        <v>46160</v>
      </c>
      <c r="I104" s="3">
        <v>46119</v>
      </c>
      <c r="J104" s="4" t="s">
        <v>52</v>
      </c>
      <c r="K104" s="4" t="s">
        <v>52</v>
      </c>
      <c r="L104" s="4" t="s">
        <v>52</v>
      </c>
      <c r="M104" s="4" t="s">
        <v>52</v>
      </c>
      <c r="N104" s="4"/>
      <c r="O104" s="13" t="s">
        <v>51</v>
      </c>
      <c r="P104" s="4" t="s">
        <v>52</v>
      </c>
      <c r="Q104" s="43" t="s">
        <v>437</v>
      </c>
      <c r="R104" s="6"/>
    </row>
    <row r="105" spans="1:18" s="10" customFormat="1">
      <c r="A105" s="61">
        <v>54</v>
      </c>
      <c r="B105" s="61" t="s">
        <v>188</v>
      </c>
      <c r="C105" s="61" t="s">
        <v>40</v>
      </c>
      <c r="D105" s="61" t="s">
        <v>189</v>
      </c>
      <c r="E105" s="61" t="s">
        <v>25</v>
      </c>
      <c r="F105" s="7" t="s">
        <v>190</v>
      </c>
      <c r="G105" s="87">
        <v>46108</v>
      </c>
      <c r="H105" s="87">
        <v>46158</v>
      </c>
      <c r="I105" s="87">
        <v>46119</v>
      </c>
      <c r="J105" s="61" t="s">
        <v>52</v>
      </c>
      <c r="K105" s="61" t="s">
        <v>52</v>
      </c>
      <c r="L105" s="61" t="s">
        <v>52</v>
      </c>
      <c r="M105" s="61" t="s">
        <v>52</v>
      </c>
      <c r="N105" s="61"/>
      <c r="O105" s="61" t="s">
        <v>51</v>
      </c>
      <c r="P105" s="61" t="s">
        <v>52</v>
      </c>
      <c r="Q105" s="84" t="s">
        <v>438</v>
      </c>
      <c r="R105" s="61" t="s">
        <v>373</v>
      </c>
    </row>
    <row r="106" spans="1:18" s="10" customFormat="1">
      <c r="A106" s="61"/>
      <c r="B106" s="61"/>
      <c r="C106" s="61"/>
      <c r="D106" s="61"/>
      <c r="E106" s="61"/>
      <c r="F106" s="7" t="s">
        <v>191</v>
      </c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84"/>
      <c r="R106" s="61"/>
    </row>
    <row r="107" spans="1:18">
      <c r="A107" s="59">
        <v>55</v>
      </c>
      <c r="B107" s="59" t="s">
        <v>192</v>
      </c>
      <c r="C107" s="59" t="s">
        <v>88</v>
      </c>
      <c r="D107" s="59" t="s">
        <v>368</v>
      </c>
      <c r="E107" s="59" t="s">
        <v>25</v>
      </c>
      <c r="F107" s="2" t="s">
        <v>193</v>
      </c>
      <c r="G107" s="56">
        <v>46108</v>
      </c>
      <c r="H107" s="56">
        <v>46156</v>
      </c>
      <c r="I107" s="56">
        <v>46119</v>
      </c>
      <c r="J107" s="59" t="s">
        <v>52</v>
      </c>
      <c r="K107" s="59" t="s">
        <v>52</v>
      </c>
      <c r="L107" s="59" t="s">
        <v>52</v>
      </c>
      <c r="M107" s="59" t="s">
        <v>52</v>
      </c>
      <c r="N107" s="59"/>
      <c r="O107" s="59" t="s">
        <v>51</v>
      </c>
      <c r="P107" s="59" t="s">
        <v>52</v>
      </c>
      <c r="Q107" s="59" t="s">
        <v>142</v>
      </c>
      <c r="R107" s="59" t="s">
        <v>366</v>
      </c>
    </row>
    <row r="108" spans="1:18">
      <c r="A108" s="57"/>
      <c r="B108" s="57"/>
      <c r="C108" s="57"/>
      <c r="D108" s="57"/>
      <c r="E108" s="57"/>
      <c r="F108" s="2" t="s">
        <v>194</v>
      </c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</row>
    <row r="109" spans="1:18">
      <c r="A109" s="58"/>
      <c r="B109" s="58"/>
      <c r="C109" s="58"/>
      <c r="D109" s="58"/>
      <c r="E109" s="58"/>
      <c r="F109" s="2" t="s">
        <v>195</v>
      </c>
      <c r="G109" s="58"/>
      <c r="H109" s="58"/>
      <c r="I109" s="58"/>
      <c r="J109" s="58"/>
      <c r="K109" s="58"/>
      <c r="L109" s="58"/>
      <c r="M109" s="58"/>
      <c r="N109" s="58"/>
      <c r="O109" s="58"/>
      <c r="P109" s="58"/>
      <c r="Q109" s="58"/>
      <c r="R109" s="58"/>
    </row>
    <row r="110" spans="1:18" hidden="1">
      <c r="A110" s="60">
        <v>56</v>
      </c>
      <c r="B110" s="60" t="s">
        <v>196</v>
      </c>
      <c r="C110" s="60" t="s">
        <v>88</v>
      </c>
      <c r="D110" s="60" t="s">
        <v>105</v>
      </c>
      <c r="E110" s="60" t="s">
        <v>197</v>
      </c>
      <c r="F110" s="2" t="s">
        <v>198</v>
      </c>
      <c r="G110" s="85">
        <v>46108</v>
      </c>
      <c r="H110" s="85">
        <v>46156</v>
      </c>
      <c r="I110" s="85">
        <v>46120</v>
      </c>
      <c r="J110" s="60" t="s">
        <v>52</v>
      </c>
      <c r="K110" s="60" t="s">
        <v>52</v>
      </c>
      <c r="L110" s="60" t="s">
        <v>52</v>
      </c>
      <c r="M110" s="60" t="s">
        <v>52</v>
      </c>
      <c r="N110" s="60" t="s">
        <v>51</v>
      </c>
      <c r="O110" s="60" t="s">
        <v>51</v>
      </c>
      <c r="P110" s="60"/>
      <c r="Q110" s="60" t="s">
        <v>435</v>
      </c>
      <c r="R110" s="61" t="s">
        <v>374</v>
      </c>
    </row>
    <row r="111" spans="1:18" hidden="1">
      <c r="A111" s="60"/>
      <c r="B111" s="60"/>
      <c r="C111" s="60"/>
      <c r="D111" s="60"/>
      <c r="E111" s="60"/>
      <c r="F111" s="2" t="s">
        <v>199</v>
      </c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1"/>
    </row>
    <row r="112" spans="1:18" ht="28.2" hidden="1" customHeight="1">
      <c r="A112" s="4">
        <v>57</v>
      </c>
      <c r="B112" s="2" t="s">
        <v>200</v>
      </c>
      <c r="C112" s="4" t="s">
        <v>130</v>
      </c>
      <c r="D112" s="4" t="s">
        <v>201</v>
      </c>
      <c r="E112" s="4" t="s">
        <v>90</v>
      </c>
      <c r="F112" s="2" t="s">
        <v>202</v>
      </c>
      <c r="G112" s="3">
        <v>46108</v>
      </c>
      <c r="H112" s="3">
        <v>46161</v>
      </c>
      <c r="I112" s="3">
        <v>46120</v>
      </c>
      <c r="J112" s="4" t="s">
        <v>52</v>
      </c>
      <c r="K112" s="4" t="s">
        <v>52</v>
      </c>
      <c r="L112" s="4" t="s">
        <v>52</v>
      </c>
      <c r="M112" s="4"/>
      <c r="N112" s="4"/>
      <c r="O112" s="13" t="s">
        <v>51</v>
      </c>
      <c r="P112" s="4"/>
      <c r="Q112" s="6" t="s">
        <v>408</v>
      </c>
      <c r="R112" s="6"/>
    </row>
    <row r="113" spans="1:18" ht="28.2" hidden="1" customHeight="1">
      <c r="A113" s="4">
        <v>58</v>
      </c>
      <c r="B113" s="2" t="s">
        <v>203</v>
      </c>
      <c r="C113" s="4" t="s">
        <v>130</v>
      </c>
      <c r="D113" s="4" t="s">
        <v>201</v>
      </c>
      <c r="E113" s="4" t="s">
        <v>90</v>
      </c>
      <c r="F113" s="2" t="s">
        <v>204</v>
      </c>
      <c r="G113" s="3">
        <v>46108</v>
      </c>
      <c r="H113" s="3">
        <v>46161</v>
      </c>
      <c r="I113" s="3">
        <v>46121</v>
      </c>
      <c r="J113" s="4" t="s">
        <v>52</v>
      </c>
      <c r="K113" s="4" t="s">
        <v>52</v>
      </c>
      <c r="L113" s="4" t="s">
        <v>52</v>
      </c>
      <c r="M113" s="4"/>
      <c r="N113" s="4"/>
      <c r="O113" s="13" t="s">
        <v>51</v>
      </c>
      <c r="P113" s="4"/>
      <c r="Q113" s="6" t="s">
        <v>408</v>
      </c>
      <c r="R113" s="6"/>
    </row>
    <row r="114" spans="1:18" ht="28.2" hidden="1" customHeight="1">
      <c r="A114" s="4">
        <v>59</v>
      </c>
      <c r="B114" s="2" t="s">
        <v>205</v>
      </c>
      <c r="C114" s="4" t="s">
        <v>130</v>
      </c>
      <c r="D114" s="4" t="s">
        <v>201</v>
      </c>
      <c r="E114" s="4" t="s">
        <v>90</v>
      </c>
      <c r="F114" s="2" t="s">
        <v>206</v>
      </c>
      <c r="G114" s="3">
        <v>46108</v>
      </c>
      <c r="H114" s="3">
        <v>46161</v>
      </c>
      <c r="I114" s="3">
        <v>46121</v>
      </c>
      <c r="J114" s="4" t="s">
        <v>52</v>
      </c>
      <c r="K114" s="4" t="s">
        <v>52</v>
      </c>
      <c r="L114" s="4" t="s">
        <v>52</v>
      </c>
      <c r="M114" s="4"/>
      <c r="N114" s="4"/>
      <c r="O114" s="13" t="s">
        <v>51</v>
      </c>
      <c r="P114" s="4"/>
      <c r="Q114" s="6" t="s">
        <v>408</v>
      </c>
      <c r="R114" s="6"/>
    </row>
    <row r="115" spans="1:18" s="53" customFormat="1" ht="28.2" hidden="1" customHeight="1">
      <c r="A115" s="49">
        <v>60</v>
      </c>
      <c r="B115" s="50" t="s">
        <v>207</v>
      </c>
      <c r="C115" s="49" t="str">
        <f>+D115</f>
        <v>OCEANUS FISH</v>
      </c>
      <c r="D115" s="49" t="s">
        <v>208</v>
      </c>
      <c r="E115" s="49" t="s">
        <v>209</v>
      </c>
      <c r="F115" s="50" t="s">
        <v>210</v>
      </c>
      <c r="G115" s="51">
        <v>46111</v>
      </c>
      <c r="H115" s="51">
        <v>46137</v>
      </c>
      <c r="I115" s="51">
        <v>46121</v>
      </c>
      <c r="J115" s="49" t="s">
        <v>52</v>
      </c>
      <c r="K115" s="49" t="s">
        <v>52</v>
      </c>
      <c r="L115" s="49" t="s">
        <v>52</v>
      </c>
      <c r="M115" s="49" t="s">
        <v>52</v>
      </c>
      <c r="N115" s="49"/>
      <c r="O115" s="52"/>
      <c r="P115" s="49" t="s">
        <v>52</v>
      </c>
      <c r="Q115" s="49" t="s">
        <v>433</v>
      </c>
      <c r="R115" s="49" t="s">
        <v>375</v>
      </c>
    </row>
    <row r="116" spans="1:18" s="20" customFormat="1">
      <c r="A116" s="75">
        <v>61</v>
      </c>
      <c r="B116" s="75" t="s">
        <v>376</v>
      </c>
      <c r="C116" s="75" t="s">
        <v>40</v>
      </c>
      <c r="D116" s="75" t="s">
        <v>40</v>
      </c>
      <c r="E116" s="75" t="s">
        <v>41</v>
      </c>
      <c r="F116" s="17" t="s">
        <v>377</v>
      </c>
      <c r="G116" s="86">
        <v>46120</v>
      </c>
      <c r="H116" s="86">
        <v>46164</v>
      </c>
      <c r="I116" s="86"/>
      <c r="J116" s="75" t="s">
        <v>52</v>
      </c>
      <c r="K116" s="75" t="s">
        <v>52</v>
      </c>
      <c r="L116" s="75" t="s">
        <v>52</v>
      </c>
      <c r="M116" s="75" t="s">
        <v>52</v>
      </c>
      <c r="N116" s="75"/>
      <c r="O116" s="78"/>
      <c r="P116" s="75" t="s">
        <v>52</v>
      </c>
      <c r="Q116" s="75" t="s">
        <v>431</v>
      </c>
      <c r="R116" s="81"/>
    </row>
    <row r="117" spans="1:18" s="20" customFormat="1">
      <c r="A117" s="76"/>
      <c r="B117" s="76"/>
      <c r="C117" s="76"/>
      <c r="D117" s="76"/>
      <c r="E117" s="76"/>
      <c r="F117" s="17" t="s">
        <v>378</v>
      </c>
      <c r="G117" s="76"/>
      <c r="H117" s="76"/>
      <c r="I117" s="76"/>
      <c r="J117" s="76"/>
      <c r="K117" s="76"/>
      <c r="L117" s="76"/>
      <c r="M117" s="76"/>
      <c r="N117" s="76"/>
      <c r="O117" s="79"/>
      <c r="P117" s="76"/>
      <c r="Q117" s="76"/>
      <c r="R117" s="82"/>
    </row>
    <row r="118" spans="1:18" s="20" customFormat="1">
      <c r="A118" s="76"/>
      <c r="B118" s="76"/>
      <c r="C118" s="76"/>
      <c r="D118" s="76"/>
      <c r="E118" s="76"/>
      <c r="F118" s="17" t="s">
        <v>379</v>
      </c>
      <c r="G118" s="76"/>
      <c r="H118" s="76"/>
      <c r="I118" s="76"/>
      <c r="J118" s="76"/>
      <c r="K118" s="76"/>
      <c r="L118" s="76"/>
      <c r="M118" s="76"/>
      <c r="N118" s="76"/>
      <c r="O118" s="79"/>
      <c r="P118" s="76"/>
      <c r="Q118" s="76"/>
      <c r="R118" s="82"/>
    </row>
    <row r="119" spans="1:18" s="20" customFormat="1">
      <c r="A119" s="76"/>
      <c r="B119" s="76"/>
      <c r="C119" s="76"/>
      <c r="D119" s="76"/>
      <c r="E119" s="76"/>
      <c r="F119" s="17" t="s">
        <v>380</v>
      </c>
      <c r="G119" s="76"/>
      <c r="H119" s="76"/>
      <c r="I119" s="76"/>
      <c r="J119" s="76"/>
      <c r="K119" s="76"/>
      <c r="L119" s="76"/>
      <c r="M119" s="76"/>
      <c r="N119" s="76"/>
      <c r="O119" s="79"/>
      <c r="P119" s="76"/>
      <c r="Q119" s="76"/>
      <c r="R119" s="82"/>
    </row>
    <row r="120" spans="1:18" s="20" customFormat="1">
      <c r="A120" s="77"/>
      <c r="B120" s="77"/>
      <c r="C120" s="77"/>
      <c r="D120" s="77"/>
      <c r="E120" s="77"/>
      <c r="F120" s="17" t="s">
        <v>381</v>
      </c>
      <c r="G120" s="77"/>
      <c r="H120" s="77"/>
      <c r="I120" s="77"/>
      <c r="J120" s="77"/>
      <c r="K120" s="77"/>
      <c r="L120" s="77"/>
      <c r="M120" s="77"/>
      <c r="N120" s="77"/>
      <c r="O120" s="80"/>
      <c r="P120" s="77"/>
      <c r="Q120" s="77"/>
      <c r="R120" s="83"/>
    </row>
    <row r="121" spans="1:18" ht="18.600000000000001" customHeight="1">
      <c r="A121" s="60">
        <v>62</v>
      </c>
      <c r="B121" s="60" t="s">
        <v>384</v>
      </c>
      <c r="C121" s="60" t="s">
        <v>88</v>
      </c>
      <c r="D121" s="60" t="s">
        <v>382</v>
      </c>
      <c r="E121" s="60" t="s">
        <v>383</v>
      </c>
      <c r="F121" s="2" t="s">
        <v>385</v>
      </c>
      <c r="G121" s="85">
        <v>46120</v>
      </c>
      <c r="H121" s="85">
        <v>46161</v>
      </c>
      <c r="I121" s="85">
        <v>46125</v>
      </c>
      <c r="J121" s="60" t="s">
        <v>52</v>
      </c>
      <c r="K121" s="60" t="s">
        <v>52</v>
      </c>
      <c r="L121" s="60" t="s">
        <v>52</v>
      </c>
      <c r="M121" s="60" t="s">
        <v>52</v>
      </c>
      <c r="N121" s="60" t="s">
        <v>51</v>
      </c>
      <c r="O121" s="60" t="s">
        <v>51</v>
      </c>
      <c r="P121" s="60" t="s">
        <v>52</v>
      </c>
      <c r="Q121" s="84" t="s">
        <v>439</v>
      </c>
      <c r="R121" s="61"/>
    </row>
    <row r="122" spans="1:18" ht="18.600000000000001" customHeight="1">
      <c r="A122" s="60"/>
      <c r="B122" s="60"/>
      <c r="C122" s="60"/>
      <c r="D122" s="60"/>
      <c r="E122" s="60"/>
      <c r="F122" s="2" t="s">
        <v>386</v>
      </c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84"/>
      <c r="R122" s="61"/>
    </row>
    <row r="123" spans="1:18" s="10" customFormat="1">
      <c r="A123" s="62">
        <v>63</v>
      </c>
      <c r="B123" s="62" t="s">
        <v>387</v>
      </c>
      <c r="C123" s="62" t="s">
        <v>88</v>
      </c>
      <c r="D123" s="62" t="s">
        <v>388</v>
      </c>
      <c r="E123" s="62" t="s">
        <v>96</v>
      </c>
      <c r="F123" s="7" t="s">
        <v>389</v>
      </c>
      <c r="G123" s="65">
        <v>46120</v>
      </c>
      <c r="H123" s="65">
        <v>46162</v>
      </c>
      <c r="I123" s="65">
        <v>46127</v>
      </c>
      <c r="J123" s="62" t="s">
        <v>52</v>
      </c>
      <c r="K123" s="62" t="s">
        <v>52</v>
      </c>
      <c r="L123" s="62" t="s">
        <v>52</v>
      </c>
      <c r="M123" s="62" t="s">
        <v>52</v>
      </c>
      <c r="N123" s="62" t="s">
        <v>51</v>
      </c>
      <c r="O123" s="66" t="s">
        <v>51</v>
      </c>
      <c r="P123" s="62" t="s">
        <v>52</v>
      </c>
      <c r="Q123" s="69" t="s">
        <v>439</v>
      </c>
      <c r="R123" s="72"/>
    </row>
    <row r="124" spans="1:18" s="10" customFormat="1">
      <c r="A124" s="63"/>
      <c r="B124" s="63"/>
      <c r="C124" s="63"/>
      <c r="D124" s="63"/>
      <c r="E124" s="63"/>
      <c r="F124" s="7" t="s">
        <v>390</v>
      </c>
      <c r="G124" s="63"/>
      <c r="H124" s="63"/>
      <c r="I124" s="63"/>
      <c r="J124" s="63"/>
      <c r="K124" s="63"/>
      <c r="L124" s="63"/>
      <c r="M124" s="63"/>
      <c r="N124" s="63"/>
      <c r="O124" s="67"/>
      <c r="P124" s="63"/>
      <c r="Q124" s="70"/>
      <c r="R124" s="73"/>
    </row>
    <row r="125" spans="1:18" s="10" customFormat="1">
      <c r="A125" s="63"/>
      <c r="B125" s="63"/>
      <c r="C125" s="63"/>
      <c r="D125" s="63"/>
      <c r="E125" s="63"/>
      <c r="F125" s="7" t="s">
        <v>391</v>
      </c>
      <c r="G125" s="63"/>
      <c r="H125" s="63"/>
      <c r="I125" s="63"/>
      <c r="J125" s="63"/>
      <c r="K125" s="63"/>
      <c r="L125" s="63"/>
      <c r="M125" s="63"/>
      <c r="N125" s="63"/>
      <c r="O125" s="67"/>
      <c r="P125" s="63"/>
      <c r="Q125" s="70"/>
      <c r="R125" s="73"/>
    </row>
    <row r="126" spans="1:18" s="10" customFormat="1">
      <c r="A126" s="63"/>
      <c r="B126" s="63"/>
      <c r="C126" s="63"/>
      <c r="D126" s="63"/>
      <c r="E126" s="63"/>
      <c r="F126" s="7" t="s">
        <v>392</v>
      </c>
      <c r="G126" s="63"/>
      <c r="H126" s="63"/>
      <c r="I126" s="63"/>
      <c r="J126" s="63"/>
      <c r="K126" s="63"/>
      <c r="L126" s="63"/>
      <c r="M126" s="63"/>
      <c r="N126" s="63"/>
      <c r="O126" s="67"/>
      <c r="P126" s="63"/>
      <c r="Q126" s="70"/>
      <c r="R126" s="73"/>
    </row>
    <row r="127" spans="1:18" s="10" customFormat="1">
      <c r="A127" s="64"/>
      <c r="B127" s="64"/>
      <c r="C127" s="64"/>
      <c r="D127" s="64"/>
      <c r="E127" s="64"/>
      <c r="F127" s="7" t="s">
        <v>393</v>
      </c>
      <c r="G127" s="64"/>
      <c r="H127" s="64"/>
      <c r="I127" s="64"/>
      <c r="J127" s="64"/>
      <c r="K127" s="64"/>
      <c r="L127" s="64"/>
      <c r="M127" s="64"/>
      <c r="N127" s="64"/>
      <c r="O127" s="68"/>
      <c r="P127" s="64"/>
      <c r="Q127" s="71"/>
      <c r="R127" s="74"/>
    </row>
    <row r="128" spans="1:18" ht="28.2" customHeight="1">
      <c r="A128" s="4">
        <v>64</v>
      </c>
      <c r="B128" s="2" t="s">
        <v>399</v>
      </c>
      <c r="C128" s="4" t="s">
        <v>394</v>
      </c>
      <c r="D128" s="4" t="s">
        <v>394</v>
      </c>
      <c r="E128" s="4" t="s">
        <v>73</v>
      </c>
      <c r="F128" s="2" t="s">
        <v>398</v>
      </c>
      <c r="G128" s="3">
        <v>46122</v>
      </c>
      <c r="H128" s="3">
        <v>46167</v>
      </c>
      <c r="I128" s="3">
        <v>46128</v>
      </c>
      <c r="J128" s="4" t="s">
        <v>52</v>
      </c>
      <c r="K128" s="4" t="s">
        <v>52</v>
      </c>
      <c r="L128" s="4" t="s">
        <v>52</v>
      </c>
      <c r="M128" s="4" t="s">
        <v>52</v>
      </c>
      <c r="N128" s="4" t="s">
        <v>51</v>
      </c>
      <c r="O128" s="13" t="s">
        <v>51</v>
      </c>
      <c r="P128" s="4" t="s">
        <v>52</v>
      </c>
      <c r="Q128" s="43" t="s">
        <v>439</v>
      </c>
      <c r="R128" s="6"/>
    </row>
    <row r="129" spans="1:18" ht="28.2" customHeight="1">
      <c r="A129" s="4">
        <v>65</v>
      </c>
      <c r="B129" s="2" t="s">
        <v>409</v>
      </c>
      <c r="C129" s="4" t="str">
        <f>+D129</f>
        <v>YANTAI TAIXI</v>
      </c>
      <c r="D129" s="4" t="s">
        <v>394</v>
      </c>
      <c r="E129" s="4" t="s">
        <v>396</v>
      </c>
      <c r="F129" s="2" t="s">
        <v>395</v>
      </c>
      <c r="G129" s="3">
        <v>46122</v>
      </c>
      <c r="H129" s="3">
        <v>46167</v>
      </c>
      <c r="I129" s="3">
        <v>46128</v>
      </c>
      <c r="J129" s="4" t="s">
        <v>52</v>
      </c>
      <c r="K129" s="4" t="s">
        <v>52</v>
      </c>
      <c r="L129" s="4" t="s">
        <v>52</v>
      </c>
      <c r="M129" s="4" t="s">
        <v>52</v>
      </c>
      <c r="N129" s="4" t="s">
        <v>51</v>
      </c>
      <c r="O129" s="13" t="s">
        <v>51</v>
      </c>
      <c r="P129" s="4" t="s">
        <v>52</v>
      </c>
      <c r="Q129" s="43" t="s">
        <v>439</v>
      </c>
      <c r="R129" s="6"/>
    </row>
    <row r="130" spans="1:18" ht="28.2" customHeight="1">
      <c r="A130" s="4">
        <v>66</v>
      </c>
      <c r="B130" s="2" t="s">
        <v>410</v>
      </c>
      <c r="C130" s="4" t="str">
        <f>+D130</f>
        <v>YANTAI TAIXI</v>
      </c>
      <c r="D130" s="4" t="s">
        <v>394</v>
      </c>
      <c r="E130" s="4" t="s">
        <v>396</v>
      </c>
      <c r="F130" s="2" t="s">
        <v>397</v>
      </c>
      <c r="G130" s="3">
        <v>46122</v>
      </c>
      <c r="H130" s="3">
        <v>46167</v>
      </c>
      <c r="I130" s="3">
        <v>46128</v>
      </c>
      <c r="J130" s="4" t="s">
        <v>52</v>
      </c>
      <c r="K130" s="4" t="s">
        <v>52</v>
      </c>
      <c r="L130" s="4" t="s">
        <v>52</v>
      </c>
      <c r="M130" s="4" t="s">
        <v>52</v>
      </c>
      <c r="N130" s="4" t="s">
        <v>51</v>
      </c>
      <c r="O130" s="13" t="s">
        <v>51</v>
      </c>
      <c r="P130" s="4" t="s">
        <v>52</v>
      </c>
      <c r="Q130" s="43" t="s">
        <v>439</v>
      </c>
      <c r="R130" s="6"/>
    </row>
    <row r="131" spans="1:18" s="20" customFormat="1" ht="28.2" customHeight="1">
      <c r="A131" s="16">
        <v>67</v>
      </c>
      <c r="B131" s="17" t="s">
        <v>411</v>
      </c>
      <c r="C131" s="16" t="str">
        <f>+D131</f>
        <v>OCEANUS FISH</v>
      </c>
      <c r="D131" s="16" t="s">
        <v>208</v>
      </c>
      <c r="E131" s="16" t="s">
        <v>209</v>
      </c>
      <c r="F131" s="17" t="s">
        <v>412</v>
      </c>
      <c r="G131" s="18">
        <v>46125</v>
      </c>
      <c r="H131" s="18">
        <v>46150</v>
      </c>
      <c r="I131" s="18">
        <v>46128</v>
      </c>
      <c r="J131" s="16" t="s">
        <v>52</v>
      </c>
      <c r="K131" s="16" t="s">
        <v>52</v>
      </c>
      <c r="L131" s="16" t="s">
        <v>52</v>
      </c>
      <c r="M131" s="16" t="s">
        <v>52</v>
      </c>
      <c r="N131" s="16"/>
      <c r="O131" s="19"/>
      <c r="P131" s="16" t="s">
        <v>52</v>
      </c>
      <c r="Q131" s="54" t="s">
        <v>440</v>
      </c>
      <c r="R131" s="16"/>
    </row>
    <row r="132" spans="1:18" s="20" customFormat="1" ht="28.2" customHeight="1">
      <c r="A132" s="16">
        <v>68</v>
      </c>
      <c r="B132" s="17" t="s">
        <v>413</v>
      </c>
      <c r="C132" s="16" t="str">
        <f>+D132</f>
        <v>OCEANUS FISH</v>
      </c>
      <c r="D132" s="16" t="s">
        <v>208</v>
      </c>
      <c r="E132" s="16" t="s">
        <v>209</v>
      </c>
      <c r="F132" s="17" t="s">
        <v>414</v>
      </c>
      <c r="G132" s="18">
        <v>46125</v>
      </c>
      <c r="H132" s="18">
        <v>46150</v>
      </c>
      <c r="I132" s="18">
        <v>46128</v>
      </c>
      <c r="J132" s="16" t="s">
        <v>52</v>
      </c>
      <c r="K132" s="16" t="s">
        <v>52</v>
      </c>
      <c r="L132" s="16" t="s">
        <v>52</v>
      </c>
      <c r="M132" s="16" t="s">
        <v>52</v>
      </c>
      <c r="N132" s="16"/>
      <c r="O132" s="19"/>
      <c r="P132" s="16" t="s">
        <v>52</v>
      </c>
      <c r="Q132" s="54" t="s">
        <v>440</v>
      </c>
      <c r="R132" s="16"/>
    </row>
    <row r="133" spans="1:18" s="20" customFormat="1" ht="28.2" customHeight="1">
      <c r="A133" s="16">
        <v>69</v>
      </c>
      <c r="B133" s="17" t="s">
        <v>415</v>
      </c>
      <c r="C133" s="16" t="str">
        <f>+D133</f>
        <v>GLOBAL OCEAN</v>
      </c>
      <c r="D133" s="16" t="s">
        <v>416</v>
      </c>
      <c r="E133" s="16" t="s">
        <v>41</v>
      </c>
      <c r="F133" s="17" t="s">
        <v>417</v>
      </c>
      <c r="G133" s="18">
        <v>46123</v>
      </c>
      <c r="H133" s="18">
        <v>46155</v>
      </c>
      <c r="I133" s="18">
        <v>46129</v>
      </c>
      <c r="J133" s="16" t="s">
        <v>52</v>
      </c>
      <c r="K133" s="16" t="s">
        <v>52</v>
      </c>
      <c r="L133" s="16" t="s">
        <v>52</v>
      </c>
      <c r="M133" s="16" t="s">
        <v>52</v>
      </c>
      <c r="N133" s="16"/>
      <c r="O133" s="19"/>
      <c r="P133" s="16" t="s">
        <v>52</v>
      </c>
      <c r="Q133" s="54" t="s">
        <v>440</v>
      </c>
      <c r="R133" s="16"/>
    </row>
    <row r="134" spans="1:18" s="20" customFormat="1" ht="28.2" customHeight="1">
      <c r="A134" s="16">
        <v>70</v>
      </c>
      <c r="B134" s="17" t="s">
        <v>418</v>
      </c>
      <c r="C134" s="16" t="s">
        <v>75</v>
      </c>
      <c r="D134" s="16" t="s">
        <v>75</v>
      </c>
      <c r="E134" s="16" t="s">
        <v>41</v>
      </c>
      <c r="F134" s="17" t="s">
        <v>419</v>
      </c>
      <c r="G134" s="18">
        <v>46123</v>
      </c>
      <c r="H134" s="18">
        <v>46155</v>
      </c>
      <c r="I134" s="18">
        <v>46129</v>
      </c>
      <c r="J134" s="16" t="s">
        <v>52</v>
      </c>
      <c r="K134" s="16" t="s">
        <v>52</v>
      </c>
      <c r="L134" s="16" t="s">
        <v>52</v>
      </c>
      <c r="M134" s="16" t="s">
        <v>52</v>
      </c>
      <c r="N134" s="16"/>
      <c r="O134" s="19"/>
      <c r="P134" s="16" t="s">
        <v>52</v>
      </c>
      <c r="Q134" s="54" t="s">
        <v>440</v>
      </c>
      <c r="R134" s="16"/>
    </row>
    <row r="135" spans="1:18" ht="19.8" customHeight="1">
      <c r="A135" s="60">
        <v>71</v>
      </c>
      <c r="B135" s="60" t="s">
        <v>420</v>
      </c>
      <c r="C135" s="60" t="str">
        <f>+D135</f>
        <v>LONGKOU BOHAI</v>
      </c>
      <c r="D135" s="60" t="s">
        <v>160</v>
      </c>
      <c r="E135" s="60" t="s">
        <v>25</v>
      </c>
      <c r="F135" s="2" t="s">
        <v>421</v>
      </c>
      <c r="G135" s="56">
        <v>46129</v>
      </c>
      <c r="H135" s="56">
        <v>46195</v>
      </c>
      <c r="I135" s="59"/>
      <c r="J135" s="59"/>
      <c r="K135" s="59"/>
      <c r="L135" s="59"/>
      <c r="M135" s="59"/>
      <c r="N135" s="59"/>
      <c r="O135" s="59"/>
      <c r="P135" s="59"/>
      <c r="Q135" s="59"/>
      <c r="R135" s="59"/>
    </row>
    <row r="136" spans="1:18" ht="19.8" customHeight="1">
      <c r="A136" s="60"/>
      <c r="B136" s="60"/>
      <c r="C136" s="60"/>
      <c r="D136" s="60"/>
      <c r="E136" s="60"/>
      <c r="F136" s="2" t="s">
        <v>422</v>
      </c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</row>
    <row r="137" spans="1:18" ht="19.8" customHeight="1">
      <c r="A137" s="60"/>
      <c r="B137" s="60"/>
      <c r="C137" s="60"/>
      <c r="D137" s="60"/>
      <c r="E137" s="60"/>
      <c r="F137" s="2" t="s">
        <v>423</v>
      </c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</row>
    <row r="138" spans="1:18" ht="19.8" customHeight="1">
      <c r="A138" s="60"/>
      <c r="B138" s="60"/>
      <c r="C138" s="60"/>
      <c r="D138" s="60"/>
      <c r="E138" s="60"/>
      <c r="F138" s="2" t="s">
        <v>424</v>
      </c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</row>
    <row r="139" spans="1:18" ht="19.8" customHeight="1">
      <c r="A139" s="60"/>
      <c r="B139" s="60"/>
      <c r="C139" s="60"/>
      <c r="D139" s="60"/>
      <c r="E139" s="60"/>
      <c r="F139" s="2" t="s">
        <v>425</v>
      </c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</row>
    <row r="140" spans="1:18" ht="19.8" customHeight="1">
      <c r="A140" s="60"/>
      <c r="B140" s="60"/>
      <c r="C140" s="60"/>
      <c r="D140" s="60"/>
      <c r="E140" s="60"/>
      <c r="F140" s="2" t="s">
        <v>426</v>
      </c>
      <c r="G140" s="58"/>
      <c r="H140" s="58"/>
      <c r="I140" s="58"/>
      <c r="J140" s="58"/>
      <c r="K140" s="58"/>
      <c r="L140" s="58"/>
      <c r="M140" s="58"/>
      <c r="N140" s="58"/>
      <c r="O140" s="58"/>
      <c r="P140" s="58"/>
      <c r="Q140" s="58"/>
      <c r="R140" s="58"/>
    </row>
    <row r="141" spans="1:18" ht="28.2" customHeight="1">
      <c r="A141" s="4">
        <v>72</v>
      </c>
      <c r="B141" s="2" t="s">
        <v>427</v>
      </c>
      <c r="C141" s="4" t="str">
        <f>+D141</f>
        <v>YANTAI TAIXI</v>
      </c>
      <c r="D141" s="4" t="s">
        <v>394</v>
      </c>
      <c r="E141" s="4" t="s">
        <v>73</v>
      </c>
      <c r="F141" s="2" t="s">
        <v>441</v>
      </c>
      <c r="G141" s="3">
        <v>46129</v>
      </c>
      <c r="H141" s="3">
        <v>46202</v>
      </c>
      <c r="I141" s="3"/>
      <c r="J141" s="4"/>
      <c r="K141" s="4"/>
      <c r="L141" s="4"/>
      <c r="M141" s="4"/>
      <c r="N141" s="4"/>
      <c r="O141" s="13"/>
      <c r="P141" s="4"/>
      <c r="Q141" s="6"/>
      <c r="R141" s="6"/>
    </row>
    <row r="142" spans="1:18" s="20" customFormat="1" ht="28.2" customHeight="1">
      <c r="A142" s="16">
        <v>73</v>
      </c>
      <c r="B142" s="17" t="s">
        <v>442</v>
      </c>
      <c r="C142" s="16" t="s">
        <v>208</v>
      </c>
      <c r="D142" s="16" t="s">
        <v>208</v>
      </c>
      <c r="E142" s="16" t="s">
        <v>209</v>
      </c>
      <c r="F142" s="17" t="s">
        <v>443</v>
      </c>
      <c r="G142" s="18">
        <v>46132</v>
      </c>
      <c r="H142" s="18">
        <v>46157</v>
      </c>
      <c r="I142" s="18"/>
      <c r="J142" s="16"/>
      <c r="K142" s="16"/>
      <c r="L142" s="16"/>
      <c r="M142" s="16"/>
      <c r="N142" s="16"/>
      <c r="O142" s="19"/>
      <c r="P142" s="16"/>
      <c r="Q142" s="16"/>
      <c r="R142" s="16"/>
    </row>
  </sheetData>
  <mergeCells count="476">
    <mergeCell ref="N67:N71"/>
    <mergeCell ref="N60:N66"/>
    <mergeCell ref="M60:M66"/>
    <mergeCell ref="K60:K66"/>
    <mergeCell ref="O60:O66"/>
    <mergeCell ref="P60:P66"/>
    <mergeCell ref="Q60:Q66"/>
    <mergeCell ref="A67:A71"/>
    <mergeCell ref="A60:A66"/>
    <mergeCell ref="B60:B66"/>
    <mergeCell ref="C60:C66"/>
    <mergeCell ref="D60:D66"/>
    <mergeCell ref="E60:E66"/>
    <mergeCell ref="G60:G66"/>
    <mergeCell ref="H60:H66"/>
    <mergeCell ref="I60:I66"/>
    <mergeCell ref="L60:L66"/>
    <mergeCell ref="M67:M71"/>
    <mergeCell ref="K67:K71"/>
    <mergeCell ref="O67:O71"/>
    <mergeCell ref="P67:P71"/>
    <mergeCell ref="Q67:Q71"/>
    <mergeCell ref="B67:B71"/>
    <mergeCell ref="C67:C71"/>
    <mergeCell ref="D67:D71"/>
    <mergeCell ref="G67:G71"/>
    <mergeCell ref="H67:H71"/>
    <mergeCell ref="I67:I71"/>
    <mergeCell ref="L67:L71"/>
    <mergeCell ref="O54:O55"/>
    <mergeCell ref="P54:P55"/>
    <mergeCell ref="Q54:Q55"/>
    <mergeCell ref="A56:A59"/>
    <mergeCell ref="B56:B59"/>
    <mergeCell ref="C56:C59"/>
    <mergeCell ref="D56:D59"/>
    <mergeCell ref="E56:E59"/>
    <mergeCell ref="G56:G59"/>
    <mergeCell ref="H56:H59"/>
    <mergeCell ref="I56:I59"/>
    <mergeCell ref="L56:L59"/>
    <mergeCell ref="N56:N59"/>
    <mergeCell ref="M56:M59"/>
    <mergeCell ref="K56:K59"/>
    <mergeCell ref="O56:O59"/>
    <mergeCell ref="P56:P59"/>
    <mergeCell ref="Q56:Q59"/>
    <mergeCell ref="A54:A55"/>
    <mergeCell ref="L54:L55"/>
    <mergeCell ref="G45:G47"/>
    <mergeCell ref="H45:H47"/>
    <mergeCell ref="I45:I47"/>
    <mergeCell ref="L45:L47"/>
    <mergeCell ref="N54:N55"/>
    <mergeCell ref="M54:M55"/>
    <mergeCell ref="K54:K55"/>
    <mergeCell ref="M45:M47"/>
    <mergeCell ref="K45:K47"/>
    <mergeCell ref="O45:O47"/>
    <mergeCell ref="P45:P47"/>
    <mergeCell ref="Q45:Q47"/>
    <mergeCell ref="A49:A53"/>
    <mergeCell ref="B49:B53"/>
    <mergeCell ref="C49:C53"/>
    <mergeCell ref="D49:D53"/>
    <mergeCell ref="E49:E53"/>
    <mergeCell ref="G49:G53"/>
    <mergeCell ref="H49:H53"/>
    <mergeCell ref="I49:I53"/>
    <mergeCell ref="L49:L53"/>
    <mergeCell ref="N49:N53"/>
    <mergeCell ref="M49:M53"/>
    <mergeCell ref="K49:K53"/>
    <mergeCell ref="O49:O53"/>
    <mergeCell ref="P49:P53"/>
    <mergeCell ref="Q49:Q53"/>
    <mergeCell ref="A45:A47"/>
    <mergeCell ref="B45:B47"/>
    <mergeCell ref="N45:N47"/>
    <mergeCell ref="C45:C47"/>
    <mergeCell ref="D45:D47"/>
    <mergeCell ref="E45:E47"/>
    <mergeCell ref="R2:R3"/>
    <mergeCell ref="R4:R8"/>
    <mergeCell ref="G2:G3"/>
    <mergeCell ref="H2:H3"/>
    <mergeCell ref="I2:I3"/>
    <mergeCell ref="L2:L3"/>
    <mergeCell ref="N2:N3"/>
    <mergeCell ref="M2:M3"/>
    <mergeCell ref="A2:A3"/>
    <mergeCell ref="B2:B3"/>
    <mergeCell ref="C2:C3"/>
    <mergeCell ref="D2:D3"/>
    <mergeCell ref="E2:E3"/>
    <mergeCell ref="K2:K3"/>
    <mergeCell ref="O2:O3"/>
    <mergeCell ref="P2:P3"/>
    <mergeCell ref="Q2:Q3"/>
    <mergeCell ref="H4:H8"/>
    <mergeCell ref="I4:I8"/>
    <mergeCell ref="L4:L8"/>
    <mergeCell ref="N4:N8"/>
    <mergeCell ref="M4:M8"/>
    <mergeCell ref="K4:K8"/>
    <mergeCell ref="O4:O8"/>
    <mergeCell ref="Q16:Q21"/>
    <mergeCell ref="A16:A21"/>
    <mergeCell ref="B16:B21"/>
    <mergeCell ref="P4:P8"/>
    <mergeCell ref="Q4:Q8"/>
    <mergeCell ref="G9:G13"/>
    <mergeCell ref="K14:K15"/>
    <mergeCell ref="O14:O15"/>
    <mergeCell ref="P14:P15"/>
    <mergeCell ref="Q14:Q15"/>
    <mergeCell ref="H14:H15"/>
    <mergeCell ref="A4:A8"/>
    <mergeCell ref="B4:B8"/>
    <mergeCell ref="C4:C8"/>
    <mergeCell ref="D4:D8"/>
    <mergeCell ref="E4:E8"/>
    <mergeCell ref="G4:G8"/>
    <mergeCell ref="K9:K13"/>
    <mergeCell ref="O9:O13"/>
    <mergeCell ref="P9:P13"/>
    <mergeCell ref="I14:I15"/>
    <mergeCell ref="L14:L15"/>
    <mergeCell ref="N14:N15"/>
    <mergeCell ref="M14:M15"/>
    <mergeCell ref="Q9:Q13"/>
    <mergeCell ref="A14:A15"/>
    <mergeCell ref="B14:B15"/>
    <mergeCell ref="C14:C15"/>
    <mergeCell ref="D14:D15"/>
    <mergeCell ref="E14:E15"/>
    <mergeCell ref="G14:G15"/>
    <mergeCell ref="H9:H13"/>
    <mergeCell ref="I9:I13"/>
    <mergeCell ref="L9:L13"/>
    <mergeCell ref="N9:N13"/>
    <mergeCell ref="M9:M13"/>
    <mergeCell ref="A9:A13"/>
    <mergeCell ref="B9:B13"/>
    <mergeCell ref="C9:C13"/>
    <mergeCell ref="D9:D13"/>
    <mergeCell ref="E9:E13"/>
    <mergeCell ref="C16:C21"/>
    <mergeCell ref="D16:D21"/>
    <mergeCell ref="E16:E21"/>
    <mergeCell ref="G16:G21"/>
    <mergeCell ref="H16:H21"/>
    <mergeCell ref="I16:I21"/>
    <mergeCell ref="L16:L21"/>
    <mergeCell ref="N16:N21"/>
    <mergeCell ref="P22:P34"/>
    <mergeCell ref="M16:M21"/>
    <mergeCell ref="K16:K21"/>
    <mergeCell ref="O16:O21"/>
    <mergeCell ref="P16:P21"/>
    <mergeCell ref="Q22:Q34"/>
    <mergeCell ref="G22:G34"/>
    <mergeCell ref="H22:H34"/>
    <mergeCell ref="I22:I34"/>
    <mergeCell ref="L22:L34"/>
    <mergeCell ref="N22:N34"/>
    <mergeCell ref="M22:M34"/>
    <mergeCell ref="A22:A34"/>
    <mergeCell ref="B22:B34"/>
    <mergeCell ref="C22:C34"/>
    <mergeCell ref="D22:D34"/>
    <mergeCell ref="E22:E34"/>
    <mergeCell ref="K22:K34"/>
    <mergeCell ref="O22:O34"/>
    <mergeCell ref="K35:K36"/>
    <mergeCell ref="O35:O36"/>
    <mergeCell ref="H35:H36"/>
    <mergeCell ref="I35:I36"/>
    <mergeCell ref="L35:L36"/>
    <mergeCell ref="N35:N36"/>
    <mergeCell ref="M35:M36"/>
    <mergeCell ref="A40:A44"/>
    <mergeCell ref="B40:B44"/>
    <mergeCell ref="C40:C44"/>
    <mergeCell ref="D40:D44"/>
    <mergeCell ref="E40:E44"/>
    <mergeCell ref="G40:G44"/>
    <mergeCell ref="H40:H44"/>
    <mergeCell ref="I40:I44"/>
    <mergeCell ref="A35:A36"/>
    <mergeCell ref="B35:B36"/>
    <mergeCell ref="C35:C36"/>
    <mergeCell ref="D35:D36"/>
    <mergeCell ref="E35:E36"/>
    <mergeCell ref="G35:G36"/>
    <mergeCell ref="Q35:Q36"/>
    <mergeCell ref="A72:A75"/>
    <mergeCell ref="B72:B75"/>
    <mergeCell ref="C72:C75"/>
    <mergeCell ref="D72:D75"/>
    <mergeCell ref="E72:E75"/>
    <mergeCell ref="G72:G75"/>
    <mergeCell ref="H72:H75"/>
    <mergeCell ref="I72:I75"/>
    <mergeCell ref="B54:B55"/>
    <mergeCell ref="C54:C55"/>
    <mergeCell ref="D54:D55"/>
    <mergeCell ref="E54:E55"/>
    <mergeCell ref="G54:G55"/>
    <mergeCell ref="H54:H55"/>
    <mergeCell ref="I54:I55"/>
    <mergeCell ref="E67:E71"/>
    <mergeCell ref="P40:P44"/>
    <mergeCell ref="Q40:Q44"/>
    <mergeCell ref="L40:L44"/>
    <mergeCell ref="N40:N44"/>
    <mergeCell ref="M40:M44"/>
    <mergeCell ref="K40:K44"/>
    <mergeCell ref="O40:O44"/>
    <mergeCell ref="R80:R87"/>
    <mergeCell ref="L72:L75"/>
    <mergeCell ref="N72:N75"/>
    <mergeCell ref="M72:M75"/>
    <mergeCell ref="K72:K75"/>
    <mergeCell ref="O72:O75"/>
    <mergeCell ref="P72:P75"/>
    <mergeCell ref="Q72:Q75"/>
    <mergeCell ref="J2:J3"/>
    <mergeCell ref="J4:J8"/>
    <mergeCell ref="J9:J13"/>
    <mergeCell ref="J14:J15"/>
    <mergeCell ref="J16:J21"/>
    <mergeCell ref="J22:J34"/>
    <mergeCell ref="J35:J36"/>
    <mergeCell ref="J40:J44"/>
    <mergeCell ref="J45:J47"/>
    <mergeCell ref="J49:J53"/>
    <mergeCell ref="J54:J55"/>
    <mergeCell ref="J56:J59"/>
    <mergeCell ref="J60:J66"/>
    <mergeCell ref="J67:J71"/>
    <mergeCell ref="J72:J75"/>
    <mergeCell ref="P35:P36"/>
    <mergeCell ref="R56:R59"/>
    <mergeCell ref="R60:R66"/>
    <mergeCell ref="R67:R71"/>
    <mergeCell ref="R72:R75"/>
    <mergeCell ref="R9:R13"/>
    <mergeCell ref="R14:R15"/>
    <mergeCell ref="R16:R21"/>
    <mergeCell ref="R22:R34"/>
    <mergeCell ref="R35:R36"/>
    <mergeCell ref="R40:R44"/>
    <mergeCell ref="R45:R47"/>
    <mergeCell ref="R49:R53"/>
    <mergeCell ref="R54:R55"/>
    <mergeCell ref="I80:I87"/>
    <mergeCell ref="J80:J87"/>
    <mergeCell ref="K80:K87"/>
    <mergeCell ref="L80:L87"/>
    <mergeCell ref="M80:M87"/>
    <mergeCell ref="N80:N87"/>
    <mergeCell ref="O80:O87"/>
    <mergeCell ref="P80:P87"/>
    <mergeCell ref="Q80:Q87"/>
    <mergeCell ref="K88:K89"/>
    <mergeCell ref="L88:L89"/>
    <mergeCell ref="M88:M89"/>
    <mergeCell ref="N88:N89"/>
    <mergeCell ref="O88:O89"/>
    <mergeCell ref="P88:P89"/>
    <mergeCell ref="Q88:Q89"/>
    <mergeCell ref="R88:R89"/>
    <mergeCell ref="A80:A87"/>
    <mergeCell ref="B80:B87"/>
    <mergeCell ref="C80:C87"/>
    <mergeCell ref="D80:D87"/>
    <mergeCell ref="E80:E87"/>
    <mergeCell ref="G80:G87"/>
    <mergeCell ref="A88:A89"/>
    <mergeCell ref="B88:B89"/>
    <mergeCell ref="C88:C89"/>
    <mergeCell ref="D88:D89"/>
    <mergeCell ref="E88:E89"/>
    <mergeCell ref="G88:G89"/>
    <mergeCell ref="H88:H89"/>
    <mergeCell ref="I88:I89"/>
    <mergeCell ref="J88:J89"/>
    <mergeCell ref="H80:H87"/>
    <mergeCell ref="A90:A93"/>
    <mergeCell ref="B90:B93"/>
    <mergeCell ref="C90:C93"/>
    <mergeCell ref="D90:D93"/>
    <mergeCell ref="E90:E93"/>
    <mergeCell ref="G90:G93"/>
    <mergeCell ref="H90:H93"/>
    <mergeCell ref="I90:I93"/>
    <mergeCell ref="J90:J93"/>
    <mergeCell ref="K90:K93"/>
    <mergeCell ref="L90:L93"/>
    <mergeCell ref="M90:M93"/>
    <mergeCell ref="N90:N93"/>
    <mergeCell ref="O90:O93"/>
    <mergeCell ref="P90:P93"/>
    <mergeCell ref="Q90:Q93"/>
    <mergeCell ref="R90:R93"/>
    <mergeCell ref="A94:A95"/>
    <mergeCell ref="B94:B95"/>
    <mergeCell ref="C94:C95"/>
    <mergeCell ref="D94:D95"/>
    <mergeCell ref="E94:E95"/>
    <mergeCell ref="G94:G95"/>
    <mergeCell ref="H94:H95"/>
    <mergeCell ref="I94:I95"/>
    <mergeCell ref="J94:J95"/>
    <mergeCell ref="K94:K95"/>
    <mergeCell ref="L94:L95"/>
    <mergeCell ref="M94:M95"/>
    <mergeCell ref="N94:N95"/>
    <mergeCell ref="O94:O95"/>
    <mergeCell ref="P94:P95"/>
    <mergeCell ref="Q94:Q95"/>
    <mergeCell ref="R94:R95"/>
    <mergeCell ref="A100:A101"/>
    <mergeCell ref="B100:B101"/>
    <mergeCell ref="C100:C101"/>
    <mergeCell ref="D100:D101"/>
    <mergeCell ref="E100:E101"/>
    <mergeCell ref="G100:G101"/>
    <mergeCell ref="H100:H101"/>
    <mergeCell ref="I100:I101"/>
    <mergeCell ref="J100:J101"/>
    <mergeCell ref="K100:K101"/>
    <mergeCell ref="L100:L101"/>
    <mergeCell ref="M100:M101"/>
    <mergeCell ref="N100:N101"/>
    <mergeCell ref="O100:O101"/>
    <mergeCell ref="P100:P101"/>
    <mergeCell ref="Q100:Q101"/>
    <mergeCell ref="R100:R101"/>
    <mergeCell ref="A102:A103"/>
    <mergeCell ref="B102:B103"/>
    <mergeCell ref="C102:C103"/>
    <mergeCell ref="D102:D103"/>
    <mergeCell ref="E102:E103"/>
    <mergeCell ref="G102:G103"/>
    <mergeCell ref="H102:H103"/>
    <mergeCell ref="I102:I103"/>
    <mergeCell ref="J102:J103"/>
    <mergeCell ref="K102:K103"/>
    <mergeCell ref="L102:L103"/>
    <mergeCell ref="M102:M103"/>
    <mergeCell ref="N102:N103"/>
    <mergeCell ref="O102:O103"/>
    <mergeCell ref="P102:P103"/>
    <mergeCell ref="Q102:Q103"/>
    <mergeCell ref="R102:R103"/>
    <mergeCell ref="A105:A106"/>
    <mergeCell ref="B105:B106"/>
    <mergeCell ref="C105:C106"/>
    <mergeCell ref="D105:D106"/>
    <mergeCell ref="E105:E106"/>
    <mergeCell ref="G105:G106"/>
    <mergeCell ref="H105:H106"/>
    <mergeCell ref="I105:I106"/>
    <mergeCell ref="J105:J106"/>
    <mergeCell ref="K105:K106"/>
    <mergeCell ref="L105:L106"/>
    <mergeCell ref="M105:M106"/>
    <mergeCell ref="N105:N106"/>
    <mergeCell ref="O105:O106"/>
    <mergeCell ref="P105:P106"/>
    <mergeCell ref="Q105:Q106"/>
    <mergeCell ref="R105:R106"/>
    <mergeCell ref="A107:A109"/>
    <mergeCell ref="B107:B109"/>
    <mergeCell ref="C107:C109"/>
    <mergeCell ref="D107:D109"/>
    <mergeCell ref="E107:E109"/>
    <mergeCell ref="G107:G109"/>
    <mergeCell ref="Q107:Q109"/>
    <mergeCell ref="R107:R109"/>
    <mergeCell ref="A110:A111"/>
    <mergeCell ref="B110:B111"/>
    <mergeCell ref="C110:C111"/>
    <mergeCell ref="D110:D111"/>
    <mergeCell ref="E110:E111"/>
    <mergeCell ref="G110:G111"/>
    <mergeCell ref="H110:H111"/>
    <mergeCell ref="I110:I111"/>
    <mergeCell ref="J110:J111"/>
    <mergeCell ref="K110:K111"/>
    <mergeCell ref="L110:L111"/>
    <mergeCell ref="M110:M111"/>
    <mergeCell ref="N110:N111"/>
    <mergeCell ref="O110:O111"/>
    <mergeCell ref="P110:P111"/>
    <mergeCell ref="Q110:Q111"/>
    <mergeCell ref="R110:R111"/>
    <mergeCell ref="H107:H109"/>
    <mergeCell ref="I107:I109"/>
    <mergeCell ref="J107:J109"/>
    <mergeCell ref="K107:K109"/>
    <mergeCell ref="L107:L109"/>
    <mergeCell ref="M107:M109"/>
    <mergeCell ref="N107:N109"/>
    <mergeCell ref="O107:O109"/>
    <mergeCell ref="P107:P109"/>
    <mergeCell ref="A116:A120"/>
    <mergeCell ref="B116:B120"/>
    <mergeCell ref="C116:C120"/>
    <mergeCell ref="D116:D120"/>
    <mergeCell ref="E116:E120"/>
    <mergeCell ref="G116:G120"/>
    <mergeCell ref="H116:H120"/>
    <mergeCell ref="I116:I120"/>
    <mergeCell ref="J116:J120"/>
    <mergeCell ref="A121:A122"/>
    <mergeCell ref="B121:B122"/>
    <mergeCell ref="C121:C122"/>
    <mergeCell ref="D121:D122"/>
    <mergeCell ref="E121:E122"/>
    <mergeCell ref="G121:G122"/>
    <mergeCell ref="H121:H122"/>
    <mergeCell ref="I121:I122"/>
    <mergeCell ref="J121:J122"/>
    <mergeCell ref="Q123:Q127"/>
    <mergeCell ref="R123:R127"/>
    <mergeCell ref="K116:K120"/>
    <mergeCell ref="L116:L120"/>
    <mergeCell ref="M116:M120"/>
    <mergeCell ref="N116:N120"/>
    <mergeCell ref="O116:O120"/>
    <mergeCell ref="P116:P120"/>
    <mergeCell ref="Q116:Q120"/>
    <mergeCell ref="R116:R120"/>
    <mergeCell ref="K121:K122"/>
    <mergeCell ref="L121:L122"/>
    <mergeCell ref="M121:M122"/>
    <mergeCell ref="N121:N122"/>
    <mergeCell ref="O121:O122"/>
    <mergeCell ref="P121:P122"/>
    <mergeCell ref="Q121:Q122"/>
    <mergeCell ref="P135:P140"/>
    <mergeCell ref="Q135:Q140"/>
    <mergeCell ref="R135:R140"/>
    <mergeCell ref="A135:A140"/>
    <mergeCell ref="B135:B140"/>
    <mergeCell ref="C135:C140"/>
    <mergeCell ref="D135:D140"/>
    <mergeCell ref="E135:E140"/>
    <mergeCell ref="R121:R122"/>
    <mergeCell ref="A123:A127"/>
    <mergeCell ref="B123:B127"/>
    <mergeCell ref="C123:C127"/>
    <mergeCell ref="D123:D127"/>
    <mergeCell ref="E123:E127"/>
    <mergeCell ref="G123:G127"/>
    <mergeCell ref="H123:H127"/>
    <mergeCell ref="I123:I127"/>
    <mergeCell ref="J123:J127"/>
    <mergeCell ref="K123:K127"/>
    <mergeCell ref="L123:L127"/>
    <mergeCell ref="M123:M127"/>
    <mergeCell ref="N123:N127"/>
    <mergeCell ref="O123:O127"/>
    <mergeCell ref="P123:P127"/>
    <mergeCell ref="G135:G140"/>
    <mergeCell ref="H135:H140"/>
    <mergeCell ref="I135:I140"/>
    <mergeCell ref="J135:J140"/>
    <mergeCell ref="K135:K140"/>
    <mergeCell ref="L135:L140"/>
    <mergeCell ref="M135:M140"/>
    <mergeCell ref="N135:N140"/>
    <mergeCell ref="O135:O140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04D01-CF57-4080-86F9-5C85E379FE56}">
  <dimension ref="A1:G141"/>
  <sheetViews>
    <sheetView topLeftCell="A124" workbookViewId="0">
      <selection activeCell="J141" sqref="J141"/>
    </sheetView>
  </sheetViews>
  <sheetFormatPr baseColWidth="10" defaultRowHeight="14.4"/>
  <cols>
    <col min="1" max="1" width="8.77734375" bestFit="1" customWidth="1"/>
    <col min="2" max="2" width="20.5546875" customWidth="1"/>
    <col min="3" max="3" width="26.21875" customWidth="1"/>
    <col min="4" max="4" width="8.77734375" bestFit="1" customWidth="1"/>
    <col min="5" max="5" width="11.88671875" bestFit="1" customWidth="1"/>
    <col min="6" max="6" width="12.5546875" bestFit="1" customWidth="1"/>
  </cols>
  <sheetData>
    <row r="1" spans="1:6" ht="18.600000000000001" customHeight="1">
      <c r="A1" s="26" t="s">
        <v>211</v>
      </c>
      <c r="B1" s="27" t="s">
        <v>212</v>
      </c>
      <c r="C1" s="27" t="s">
        <v>213</v>
      </c>
      <c r="D1" s="26" t="s">
        <v>211</v>
      </c>
    </row>
    <row r="2" spans="1:6" ht="18.600000000000001" customHeight="1">
      <c r="A2" s="28" t="s">
        <v>214</v>
      </c>
      <c r="B2" s="29" t="s">
        <v>215</v>
      </c>
      <c r="C2" s="30">
        <v>46109</v>
      </c>
      <c r="D2" s="28" t="s">
        <v>214</v>
      </c>
      <c r="E2" t="s">
        <v>98</v>
      </c>
      <c r="F2" t="s">
        <v>102</v>
      </c>
    </row>
    <row r="3" spans="1:6" ht="18.600000000000001" customHeight="1">
      <c r="A3" s="28" t="s">
        <v>216</v>
      </c>
      <c r="B3" s="29" t="s">
        <v>215</v>
      </c>
      <c r="C3" s="30">
        <v>46109</v>
      </c>
      <c r="D3" s="28" t="s">
        <v>216</v>
      </c>
      <c r="E3" t="s">
        <v>98</v>
      </c>
      <c r="F3" t="s">
        <v>102</v>
      </c>
    </row>
    <row r="4" spans="1:6" ht="18.600000000000001" customHeight="1">
      <c r="A4" s="28" t="s">
        <v>217</v>
      </c>
      <c r="B4" s="29" t="s">
        <v>215</v>
      </c>
      <c r="C4" s="30">
        <v>46109</v>
      </c>
      <c r="D4" s="28" t="s">
        <v>217</v>
      </c>
      <c r="E4" t="s">
        <v>98</v>
      </c>
      <c r="F4" t="s">
        <v>102</v>
      </c>
    </row>
    <row r="5" spans="1:6" ht="18.600000000000001" customHeight="1">
      <c r="A5" s="28" t="s">
        <v>218</v>
      </c>
      <c r="B5" s="29" t="s">
        <v>215</v>
      </c>
      <c r="C5" s="30">
        <v>46109</v>
      </c>
      <c r="D5" s="28" t="s">
        <v>218</v>
      </c>
      <c r="E5" t="s">
        <v>98</v>
      </c>
      <c r="F5" t="s">
        <v>102</v>
      </c>
    </row>
    <row r="6" spans="1:6" ht="18.600000000000001" customHeight="1">
      <c r="A6" s="28" t="s">
        <v>219</v>
      </c>
      <c r="B6" s="29" t="s">
        <v>215</v>
      </c>
      <c r="C6" s="30">
        <v>46109</v>
      </c>
      <c r="D6" s="28" t="s">
        <v>219</v>
      </c>
      <c r="E6" t="s">
        <v>98</v>
      </c>
      <c r="F6" t="s">
        <v>102</v>
      </c>
    </row>
    <row r="7" spans="1:6" ht="18.600000000000001" customHeight="1">
      <c r="A7" s="28" t="s">
        <v>220</v>
      </c>
      <c r="B7" s="29" t="s">
        <v>215</v>
      </c>
      <c r="C7" s="30">
        <v>46109</v>
      </c>
      <c r="D7" s="28" t="s">
        <v>220</v>
      </c>
      <c r="E7" t="s">
        <v>98</v>
      </c>
      <c r="F7" t="s">
        <v>102</v>
      </c>
    </row>
    <row r="8" spans="1:6" ht="18.600000000000001" customHeight="1">
      <c r="A8" s="28" t="s">
        <v>221</v>
      </c>
      <c r="B8" s="29" t="s">
        <v>215</v>
      </c>
      <c r="C8" s="30">
        <v>46109</v>
      </c>
      <c r="D8" s="28" t="s">
        <v>221</v>
      </c>
      <c r="E8" t="s">
        <v>98</v>
      </c>
      <c r="F8" t="s">
        <v>102</v>
      </c>
    </row>
    <row r="9" spans="1:6" ht="18.600000000000001" customHeight="1">
      <c r="A9" s="28" t="s">
        <v>222</v>
      </c>
      <c r="B9" s="29" t="s">
        <v>215</v>
      </c>
      <c r="C9" s="30">
        <v>46109</v>
      </c>
      <c r="D9" s="28" t="s">
        <v>222</v>
      </c>
      <c r="E9" t="s">
        <v>98</v>
      </c>
      <c r="F9" t="s">
        <v>102</v>
      </c>
    </row>
    <row r="10" spans="1:6" ht="18.600000000000001" customHeight="1">
      <c r="A10" s="28" t="s">
        <v>223</v>
      </c>
      <c r="B10" s="29" t="s">
        <v>215</v>
      </c>
      <c r="C10" s="30">
        <v>46109</v>
      </c>
      <c r="D10" s="28" t="s">
        <v>223</v>
      </c>
      <c r="E10" t="s">
        <v>98</v>
      </c>
      <c r="F10" t="s">
        <v>102</v>
      </c>
    </row>
    <row r="11" spans="1:6" ht="18.600000000000001" customHeight="1">
      <c r="A11" s="28" t="s">
        <v>224</v>
      </c>
      <c r="B11" s="29" t="s">
        <v>215</v>
      </c>
      <c r="C11" s="30">
        <v>46109</v>
      </c>
      <c r="D11" s="28" t="s">
        <v>224</v>
      </c>
      <c r="E11" t="s">
        <v>98</v>
      </c>
      <c r="F11" t="s">
        <v>102</v>
      </c>
    </row>
    <row r="12" spans="1:6" ht="18.600000000000001" customHeight="1">
      <c r="A12" s="28" t="s">
        <v>225</v>
      </c>
      <c r="B12" s="29" t="s">
        <v>215</v>
      </c>
      <c r="C12" s="30">
        <v>46109</v>
      </c>
      <c r="D12" s="28" t="s">
        <v>225</v>
      </c>
      <c r="E12" t="s">
        <v>98</v>
      </c>
      <c r="F12" t="s">
        <v>102</v>
      </c>
    </row>
    <row r="13" spans="1:6" ht="18.600000000000001" customHeight="1">
      <c r="A13" s="28" t="s">
        <v>226</v>
      </c>
      <c r="B13" s="29" t="s">
        <v>215</v>
      </c>
      <c r="C13" s="30">
        <v>46109</v>
      </c>
      <c r="D13" s="28" t="s">
        <v>226</v>
      </c>
      <c r="E13" t="s">
        <v>98</v>
      </c>
      <c r="F13" t="s">
        <v>102</v>
      </c>
    </row>
    <row r="14" spans="1:6" ht="18.600000000000001" customHeight="1">
      <c r="A14" s="28" t="s">
        <v>227</v>
      </c>
      <c r="B14" s="29" t="s">
        <v>215</v>
      </c>
      <c r="C14" s="30">
        <v>46109</v>
      </c>
      <c r="D14" s="28" t="s">
        <v>227</v>
      </c>
      <c r="E14" t="s">
        <v>98</v>
      </c>
      <c r="F14" t="s">
        <v>102</v>
      </c>
    </row>
    <row r="15" spans="1:6" ht="18.600000000000001" customHeight="1">
      <c r="A15" s="28" t="s">
        <v>228</v>
      </c>
      <c r="B15" s="29" t="s">
        <v>215</v>
      </c>
      <c r="C15" s="30">
        <v>46109</v>
      </c>
      <c r="D15" s="28" t="s">
        <v>228</v>
      </c>
      <c r="E15" t="s">
        <v>98</v>
      </c>
      <c r="F15" t="s">
        <v>101</v>
      </c>
    </row>
    <row r="16" spans="1:6" ht="18.600000000000001" customHeight="1">
      <c r="A16" s="28" t="s">
        <v>229</v>
      </c>
      <c r="B16" s="29" t="s">
        <v>215</v>
      </c>
      <c r="C16" s="30">
        <v>46109</v>
      </c>
      <c r="D16" s="28" t="s">
        <v>229</v>
      </c>
      <c r="E16" t="s">
        <v>98</v>
      </c>
      <c r="F16" t="s">
        <v>101</v>
      </c>
    </row>
    <row r="17" spans="1:6" ht="18.600000000000001" customHeight="1">
      <c r="A17" s="28" t="s">
        <v>230</v>
      </c>
      <c r="B17" s="29" t="s">
        <v>215</v>
      </c>
      <c r="C17" s="30">
        <v>46109</v>
      </c>
      <c r="D17" s="28" t="s">
        <v>230</v>
      </c>
      <c r="E17" t="s">
        <v>98</v>
      </c>
      <c r="F17" t="s">
        <v>101</v>
      </c>
    </row>
    <row r="18" spans="1:6" ht="18.600000000000001" customHeight="1">
      <c r="A18" s="28" t="s">
        <v>231</v>
      </c>
      <c r="B18" s="29" t="s">
        <v>215</v>
      </c>
      <c r="C18" s="30">
        <v>46109</v>
      </c>
      <c r="D18" s="28" t="s">
        <v>231</v>
      </c>
      <c r="E18" t="s">
        <v>98</v>
      </c>
      <c r="F18" t="s">
        <v>101</v>
      </c>
    </row>
    <row r="19" spans="1:6" ht="18.600000000000001" customHeight="1">
      <c r="A19" s="28" t="s">
        <v>232</v>
      </c>
      <c r="B19" s="29" t="s">
        <v>215</v>
      </c>
      <c r="C19" s="30">
        <v>46109</v>
      </c>
      <c r="D19" s="28" t="s">
        <v>232</v>
      </c>
      <c r="E19" t="s">
        <v>98</v>
      </c>
      <c r="F19" t="s">
        <v>101</v>
      </c>
    </row>
    <row r="20" spans="1:6" ht="18.600000000000001" customHeight="1">
      <c r="A20" s="28" t="s">
        <v>233</v>
      </c>
      <c r="B20" s="29" t="s">
        <v>215</v>
      </c>
      <c r="C20" s="30">
        <v>46109</v>
      </c>
      <c r="D20" s="28" t="s">
        <v>233</v>
      </c>
      <c r="E20" t="s">
        <v>98</v>
      </c>
      <c r="F20" t="s">
        <v>101</v>
      </c>
    </row>
    <row r="21" spans="1:6" ht="18.600000000000001" customHeight="1">
      <c r="A21" s="28" t="s">
        <v>234</v>
      </c>
      <c r="B21" s="29" t="s">
        <v>215</v>
      </c>
      <c r="C21" s="30">
        <v>46109</v>
      </c>
      <c r="D21" s="28" t="s">
        <v>234</v>
      </c>
      <c r="E21" t="s">
        <v>98</v>
      </c>
      <c r="F21" t="s">
        <v>103</v>
      </c>
    </row>
    <row r="22" spans="1:6" ht="18.600000000000001" customHeight="1">
      <c r="A22" s="28" t="s">
        <v>235</v>
      </c>
      <c r="B22" s="29" t="s">
        <v>215</v>
      </c>
      <c r="C22" s="30">
        <v>46109</v>
      </c>
      <c r="D22" s="28" t="s">
        <v>235</v>
      </c>
      <c r="E22" t="s">
        <v>98</v>
      </c>
      <c r="F22" t="s">
        <v>103</v>
      </c>
    </row>
    <row r="23" spans="1:6" ht="18.600000000000001" customHeight="1">
      <c r="A23" s="28" t="s">
        <v>236</v>
      </c>
      <c r="B23" s="29" t="s">
        <v>215</v>
      </c>
      <c r="C23" s="30">
        <v>46109</v>
      </c>
      <c r="D23" s="28" t="s">
        <v>236</v>
      </c>
      <c r="E23" t="s">
        <v>98</v>
      </c>
      <c r="F23" t="s">
        <v>103</v>
      </c>
    </row>
    <row r="24" spans="1:6" ht="18.600000000000001" customHeight="1">
      <c r="A24" s="28" t="s">
        <v>237</v>
      </c>
      <c r="B24" s="29" t="s">
        <v>215</v>
      </c>
      <c r="C24" s="30">
        <v>46109</v>
      </c>
      <c r="D24" s="28" t="s">
        <v>237</v>
      </c>
      <c r="E24" t="s">
        <v>98</v>
      </c>
      <c r="F24" t="s">
        <v>103</v>
      </c>
    </row>
    <row r="25" spans="1:6" ht="18.600000000000001" customHeight="1">
      <c r="A25" s="28" t="s">
        <v>238</v>
      </c>
      <c r="B25" s="29" t="s">
        <v>215</v>
      </c>
      <c r="C25" s="30">
        <v>46109</v>
      </c>
      <c r="D25" s="28" t="s">
        <v>238</v>
      </c>
      <c r="E25" t="s">
        <v>98</v>
      </c>
      <c r="F25" t="s">
        <v>99</v>
      </c>
    </row>
    <row r="26" spans="1:6" ht="18.600000000000001" customHeight="1">
      <c r="A26" s="28" t="s">
        <v>239</v>
      </c>
      <c r="B26" s="29" t="s">
        <v>215</v>
      </c>
      <c r="C26" s="30">
        <v>46109</v>
      </c>
      <c r="D26" s="28" t="s">
        <v>239</v>
      </c>
      <c r="E26" t="s">
        <v>98</v>
      </c>
      <c r="F26" t="s">
        <v>99</v>
      </c>
    </row>
    <row r="27" spans="1:6" ht="18.600000000000001" customHeight="1">
      <c r="A27" s="28" t="s">
        <v>240</v>
      </c>
      <c r="B27" s="29" t="s">
        <v>215</v>
      </c>
      <c r="C27" s="30">
        <v>46109</v>
      </c>
      <c r="D27" s="28" t="s">
        <v>240</v>
      </c>
      <c r="E27" t="s">
        <v>98</v>
      </c>
      <c r="F27" t="s">
        <v>99</v>
      </c>
    </row>
    <row r="28" spans="1:6" ht="18.600000000000001" customHeight="1">
      <c r="A28" s="28" t="s">
        <v>241</v>
      </c>
      <c r="B28" s="29" t="s">
        <v>215</v>
      </c>
      <c r="C28" s="30">
        <v>46109</v>
      </c>
      <c r="D28" s="28" t="s">
        <v>241</v>
      </c>
      <c r="E28" t="s">
        <v>98</v>
      </c>
      <c r="F28" t="s">
        <v>99</v>
      </c>
    </row>
    <row r="29" spans="1:6" ht="18.600000000000001" customHeight="1">
      <c r="A29" s="28" t="s">
        <v>242</v>
      </c>
      <c r="B29" s="29" t="s">
        <v>215</v>
      </c>
      <c r="C29" s="30">
        <v>46109</v>
      </c>
      <c r="D29" s="28" t="s">
        <v>242</v>
      </c>
      <c r="E29" t="s">
        <v>98</v>
      </c>
      <c r="F29" t="s">
        <v>99</v>
      </c>
    </row>
    <row r="30" spans="1:6" ht="18.600000000000001" customHeight="1">
      <c r="A30" s="28" t="s">
        <v>243</v>
      </c>
      <c r="B30" s="29" t="s">
        <v>215</v>
      </c>
      <c r="C30" s="30">
        <v>46109</v>
      </c>
      <c r="D30" s="28" t="s">
        <v>243</v>
      </c>
      <c r="E30" t="s">
        <v>98</v>
      </c>
      <c r="F30" t="s">
        <v>99</v>
      </c>
    </row>
    <row r="31" spans="1:6" ht="18.600000000000001" customHeight="1">
      <c r="A31" s="28" t="s">
        <v>244</v>
      </c>
      <c r="B31" s="29" t="s">
        <v>215</v>
      </c>
      <c r="C31" s="30">
        <v>46109</v>
      </c>
      <c r="D31" s="28" t="s">
        <v>244</v>
      </c>
      <c r="E31" t="s">
        <v>98</v>
      </c>
      <c r="F31" t="s">
        <v>99</v>
      </c>
    </row>
    <row r="32" spans="1:6" ht="18.600000000000001" customHeight="1">
      <c r="A32" s="28" t="s">
        <v>245</v>
      </c>
      <c r="B32" s="29" t="s">
        <v>215</v>
      </c>
      <c r="C32" s="30">
        <v>46109</v>
      </c>
      <c r="D32" s="28" t="s">
        <v>245</v>
      </c>
      <c r="E32" t="s">
        <v>98</v>
      </c>
      <c r="F32" t="s">
        <v>99</v>
      </c>
    </row>
    <row r="33" spans="1:6" ht="18.600000000000001" customHeight="1">
      <c r="A33" s="28" t="s">
        <v>246</v>
      </c>
      <c r="B33" s="29" t="s">
        <v>215</v>
      </c>
      <c r="C33" s="30">
        <v>46109</v>
      </c>
      <c r="D33" s="28" t="s">
        <v>246</v>
      </c>
      <c r="E33" t="s">
        <v>98</v>
      </c>
      <c r="F33" t="s">
        <v>99</v>
      </c>
    </row>
    <row r="34" spans="1:6" ht="18.600000000000001" customHeight="1">
      <c r="A34" s="28" t="s">
        <v>247</v>
      </c>
      <c r="B34" s="29" t="s">
        <v>215</v>
      </c>
      <c r="C34" s="30">
        <v>46109</v>
      </c>
      <c r="D34" s="28" t="s">
        <v>247</v>
      </c>
      <c r="E34" t="s">
        <v>98</v>
      </c>
      <c r="F34" t="s">
        <v>100</v>
      </c>
    </row>
    <row r="35" spans="1:6" ht="18.600000000000001" customHeight="1">
      <c r="A35" s="28" t="s">
        <v>248</v>
      </c>
      <c r="B35" s="29" t="s">
        <v>215</v>
      </c>
      <c r="C35" s="30">
        <v>46109</v>
      </c>
      <c r="D35" s="28" t="s">
        <v>248</v>
      </c>
      <c r="E35" t="s">
        <v>98</v>
      </c>
      <c r="F35" t="s">
        <v>100</v>
      </c>
    </row>
    <row r="36" spans="1:6" ht="18.600000000000001" customHeight="1">
      <c r="A36" s="28" t="s">
        <v>249</v>
      </c>
      <c r="B36" s="29" t="s">
        <v>215</v>
      </c>
      <c r="C36" s="30">
        <v>46109</v>
      </c>
      <c r="D36" s="28" t="s">
        <v>249</v>
      </c>
      <c r="E36" t="s">
        <v>98</v>
      </c>
      <c r="F36" t="s">
        <v>100</v>
      </c>
    </row>
    <row r="37" spans="1:6" ht="18.600000000000001" customHeight="1">
      <c r="A37" s="28" t="s">
        <v>250</v>
      </c>
      <c r="B37" s="29" t="s">
        <v>215</v>
      </c>
      <c r="C37" s="30">
        <v>46109</v>
      </c>
      <c r="D37" s="28" t="s">
        <v>250</v>
      </c>
      <c r="E37" t="s">
        <v>98</v>
      </c>
      <c r="F37" t="s">
        <v>100</v>
      </c>
    </row>
    <row r="38" spans="1:6" ht="18.600000000000001" customHeight="1">
      <c r="A38" s="28" t="s">
        <v>251</v>
      </c>
      <c r="B38" s="29" t="s">
        <v>215</v>
      </c>
      <c r="C38" s="30">
        <v>46109</v>
      </c>
      <c r="D38" s="28" t="s">
        <v>251</v>
      </c>
      <c r="E38" t="s">
        <v>98</v>
      </c>
      <c r="F38" t="s">
        <v>100</v>
      </c>
    </row>
    <row r="39" spans="1:6" s="42" customFormat="1" ht="18.600000000000001" customHeight="1">
      <c r="A39" s="39" t="s">
        <v>252</v>
      </c>
      <c r="B39" s="40" t="s">
        <v>215</v>
      </c>
      <c r="C39" s="41">
        <v>46109</v>
      </c>
      <c r="D39" s="39" t="s">
        <v>252</v>
      </c>
      <c r="E39" s="42" t="s">
        <v>123</v>
      </c>
      <c r="F39" s="42" t="s">
        <v>124</v>
      </c>
    </row>
    <row r="40" spans="1:6" ht="18.600000000000001" customHeight="1">
      <c r="A40" s="28" t="s">
        <v>253</v>
      </c>
      <c r="B40" s="29" t="s">
        <v>215</v>
      </c>
      <c r="C40" s="30">
        <v>46109</v>
      </c>
      <c r="D40" s="28" t="s">
        <v>253</v>
      </c>
      <c r="E40" s="42" t="s">
        <v>123</v>
      </c>
      <c r="F40" s="42" t="s">
        <v>124</v>
      </c>
    </row>
    <row r="41" spans="1:6" ht="18.600000000000001" customHeight="1">
      <c r="A41" s="28" t="s">
        <v>254</v>
      </c>
      <c r="B41" s="29" t="s">
        <v>215</v>
      </c>
      <c r="C41" s="30">
        <v>46109</v>
      </c>
      <c r="D41" s="28" t="s">
        <v>254</v>
      </c>
      <c r="E41" s="42" t="s">
        <v>123</v>
      </c>
      <c r="F41" s="42" t="s">
        <v>124</v>
      </c>
    </row>
    <row r="42" spans="1:6" ht="18.600000000000001" customHeight="1">
      <c r="A42" s="28" t="s">
        <v>255</v>
      </c>
      <c r="B42" s="29" t="s">
        <v>215</v>
      </c>
      <c r="C42" s="30">
        <v>46109</v>
      </c>
      <c r="D42" s="28" t="s">
        <v>255</v>
      </c>
      <c r="E42" s="42" t="s">
        <v>123</v>
      </c>
      <c r="F42" s="42" t="s">
        <v>124</v>
      </c>
    </row>
    <row r="43" spans="1:6" ht="18.600000000000001" customHeight="1">
      <c r="A43" s="28" t="s">
        <v>256</v>
      </c>
      <c r="B43" s="29" t="s">
        <v>215</v>
      </c>
      <c r="C43" s="30">
        <v>46109</v>
      </c>
      <c r="D43" s="28" t="s">
        <v>256</v>
      </c>
      <c r="E43" s="42" t="s">
        <v>123</v>
      </c>
      <c r="F43" s="42" t="s">
        <v>124</v>
      </c>
    </row>
    <row r="44" spans="1:6" ht="18.600000000000001" customHeight="1">
      <c r="A44" s="28" t="s">
        <v>257</v>
      </c>
      <c r="B44" s="29" t="s">
        <v>215</v>
      </c>
      <c r="C44" s="30">
        <v>46109</v>
      </c>
      <c r="D44" s="28" t="s">
        <v>257</v>
      </c>
      <c r="E44" s="42" t="s">
        <v>123</v>
      </c>
      <c r="F44" s="42" t="s">
        <v>124</v>
      </c>
    </row>
    <row r="45" spans="1:6" ht="18.600000000000001" customHeight="1">
      <c r="A45" s="28" t="s">
        <v>258</v>
      </c>
      <c r="B45" s="29" t="s">
        <v>215</v>
      </c>
      <c r="C45" s="30">
        <v>46109</v>
      </c>
      <c r="D45" s="28" t="s">
        <v>258</v>
      </c>
      <c r="E45" s="42" t="s">
        <v>123</v>
      </c>
      <c r="F45" s="42" t="s">
        <v>124</v>
      </c>
    </row>
    <row r="46" spans="1:6" ht="18.600000000000001" customHeight="1">
      <c r="A46" s="28" t="s">
        <v>259</v>
      </c>
      <c r="B46" s="29" t="s">
        <v>215</v>
      </c>
      <c r="C46" s="30">
        <v>46109</v>
      </c>
      <c r="D46" s="28" t="s">
        <v>259</v>
      </c>
      <c r="E46" s="42" t="s">
        <v>123</v>
      </c>
      <c r="F46" s="42" t="s">
        <v>124</v>
      </c>
    </row>
    <row r="47" spans="1:6" ht="18.600000000000001" customHeight="1">
      <c r="A47" s="28" t="s">
        <v>260</v>
      </c>
      <c r="B47" s="29" t="s">
        <v>215</v>
      </c>
      <c r="C47" s="30">
        <v>46109</v>
      </c>
      <c r="D47" s="28" t="s">
        <v>260</v>
      </c>
      <c r="E47" s="42" t="s">
        <v>123</v>
      </c>
      <c r="F47" s="42" t="s">
        <v>124</v>
      </c>
    </row>
    <row r="48" spans="1:6" ht="18.600000000000001" customHeight="1">
      <c r="A48" s="28" t="s">
        <v>261</v>
      </c>
      <c r="B48" s="29" t="s">
        <v>215</v>
      </c>
      <c r="C48" s="30">
        <v>46109</v>
      </c>
      <c r="D48" s="28" t="s">
        <v>261</v>
      </c>
      <c r="E48" s="42" t="s">
        <v>123</v>
      </c>
      <c r="F48" s="42" t="s">
        <v>124</v>
      </c>
    </row>
    <row r="49" spans="1:6" ht="18.600000000000001" customHeight="1">
      <c r="A49" s="28" t="s">
        <v>262</v>
      </c>
      <c r="B49" s="29" t="s">
        <v>215</v>
      </c>
      <c r="C49" s="30">
        <v>46109</v>
      </c>
      <c r="D49" s="28" t="s">
        <v>262</v>
      </c>
      <c r="E49" s="42" t="s">
        <v>123</v>
      </c>
      <c r="F49" s="42" t="s">
        <v>124</v>
      </c>
    </row>
    <row r="50" spans="1:6" ht="18.600000000000001" customHeight="1">
      <c r="A50" s="28" t="s">
        <v>263</v>
      </c>
      <c r="B50" s="29" t="s">
        <v>215</v>
      </c>
      <c r="C50" s="30">
        <v>46109</v>
      </c>
      <c r="D50" s="28" t="s">
        <v>263</v>
      </c>
      <c r="E50" s="42" t="s">
        <v>123</v>
      </c>
      <c r="F50" s="42" t="s">
        <v>126</v>
      </c>
    </row>
    <row r="51" spans="1:6" ht="18.600000000000001" customHeight="1">
      <c r="A51" s="28" t="s">
        <v>264</v>
      </c>
      <c r="B51" s="29" t="s">
        <v>215</v>
      </c>
      <c r="C51" s="30">
        <v>46109</v>
      </c>
      <c r="D51" s="28" t="s">
        <v>264</v>
      </c>
      <c r="E51" s="42" t="s">
        <v>123</v>
      </c>
      <c r="F51" s="42" t="s">
        <v>126</v>
      </c>
    </row>
    <row r="52" spans="1:6" ht="18.600000000000001" customHeight="1">
      <c r="A52" s="28" t="s">
        <v>265</v>
      </c>
      <c r="B52" s="29" t="s">
        <v>215</v>
      </c>
      <c r="C52" s="30">
        <v>46109</v>
      </c>
      <c r="D52" s="28" t="s">
        <v>265</v>
      </c>
      <c r="E52" s="42" t="s">
        <v>123</v>
      </c>
      <c r="F52" s="42" t="s">
        <v>126</v>
      </c>
    </row>
    <row r="53" spans="1:6" ht="18.600000000000001" customHeight="1">
      <c r="A53" s="28" t="s">
        <v>266</v>
      </c>
      <c r="B53" s="29" t="s">
        <v>215</v>
      </c>
      <c r="C53" s="30">
        <v>46109</v>
      </c>
      <c r="D53" s="28" t="s">
        <v>266</v>
      </c>
      <c r="E53" s="42" t="s">
        <v>123</v>
      </c>
      <c r="F53" s="42" t="s">
        <v>126</v>
      </c>
    </row>
    <row r="54" spans="1:6" ht="18.600000000000001" customHeight="1">
      <c r="A54" s="28" t="s">
        <v>267</v>
      </c>
      <c r="B54" s="29" t="s">
        <v>215</v>
      </c>
      <c r="C54" s="30">
        <v>46109</v>
      </c>
      <c r="D54" s="28" t="s">
        <v>267</v>
      </c>
      <c r="E54" s="42" t="s">
        <v>123</v>
      </c>
      <c r="F54" s="42" t="s">
        <v>126</v>
      </c>
    </row>
    <row r="55" spans="1:6" ht="18.600000000000001" customHeight="1">
      <c r="A55" s="28" t="s">
        <v>268</v>
      </c>
      <c r="B55" s="29" t="s">
        <v>215</v>
      </c>
      <c r="C55" s="30">
        <v>46109</v>
      </c>
      <c r="D55" s="28" t="s">
        <v>268</v>
      </c>
      <c r="E55" s="42" t="s">
        <v>123</v>
      </c>
      <c r="F55" s="42" t="s">
        <v>126</v>
      </c>
    </row>
    <row r="56" spans="1:6" ht="18.600000000000001" customHeight="1">
      <c r="A56" s="28" t="s">
        <v>269</v>
      </c>
      <c r="B56" s="29" t="s">
        <v>215</v>
      </c>
      <c r="C56" s="30">
        <v>46109</v>
      </c>
      <c r="D56" s="28" t="s">
        <v>269</v>
      </c>
      <c r="E56" s="42" t="s">
        <v>123</v>
      </c>
      <c r="F56" s="42" t="s">
        <v>126</v>
      </c>
    </row>
    <row r="57" spans="1:6" ht="18.600000000000001" customHeight="1">
      <c r="A57" s="28" t="s">
        <v>270</v>
      </c>
      <c r="B57" s="29" t="s">
        <v>215</v>
      </c>
      <c r="C57" s="30">
        <v>46109</v>
      </c>
      <c r="D57" s="28" t="s">
        <v>270</v>
      </c>
      <c r="E57" s="42" t="s">
        <v>123</v>
      </c>
      <c r="F57" s="42" t="s">
        <v>126</v>
      </c>
    </row>
    <row r="58" spans="1:6" ht="18.600000000000001" customHeight="1">
      <c r="A58" s="28" t="s">
        <v>271</v>
      </c>
      <c r="B58" s="29" t="s">
        <v>215</v>
      </c>
      <c r="C58" s="30">
        <v>46109</v>
      </c>
      <c r="D58" s="28" t="s">
        <v>271</v>
      </c>
      <c r="E58" s="42" t="s">
        <v>123</v>
      </c>
      <c r="F58" s="42" t="s">
        <v>126</v>
      </c>
    </row>
    <row r="59" spans="1:6" ht="18.600000000000001" customHeight="1">
      <c r="A59" s="28" t="s">
        <v>272</v>
      </c>
      <c r="B59" s="29" t="s">
        <v>215</v>
      </c>
      <c r="C59" s="30">
        <v>46109</v>
      </c>
      <c r="D59" s="28" t="s">
        <v>272</v>
      </c>
      <c r="E59" s="42" t="s">
        <v>123</v>
      </c>
      <c r="F59" s="42" t="s">
        <v>126</v>
      </c>
    </row>
    <row r="60" spans="1:6" ht="18.600000000000001" customHeight="1">
      <c r="A60" s="28" t="s">
        <v>273</v>
      </c>
      <c r="B60" s="29" t="s">
        <v>215</v>
      </c>
      <c r="C60" s="30">
        <v>46109</v>
      </c>
      <c r="D60" s="28" t="s">
        <v>273</v>
      </c>
      <c r="E60" s="42" t="s">
        <v>123</v>
      </c>
      <c r="F60" s="42" t="s">
        <v>126</v>
      </c>
    </row>
    <row r="61" spans="1:6" ht="18.600000000000001" customHeight="1">
      <c r="A61" s="28" t="s">
        <v>274</v>
      </c>
      <c r="B61" s="29" t="s">
        <v>215</v>
      </c>
      <c r="C61" s="30">
        <v>46109</v>
      </c>
      <c r="D61" s="28" t="s">
        <v>274</v>
      </c>
      <c r="E61" s="42" t="s">
        <v>123</v>
      </c>
      <c r="F61" s="42" t="s">
        <v>126</v>
      </c>
    </row>
    <row r="62" spans="1:6" ht="18.600000000000001" customHeight="1">
      <c r="A62" s="28" t="s">
        <v>275</v>
      </c>
      <c r="B62" s="29" t="s">
        <v>215</v>
      </c>
      <c r="C62" s="30">
        <v>46109</v>
      </c>
      <c r="D62" s="28" t="s">
        <v>275</v>
      </c>
      <c r="E62" s="42" t="s">
        <v>123</v>
      </c>
      <c r="F62" s="42" t="s">
        <v>126</v>
      </c>
    </row>
    <row r="63" spans="1:6" ht="18.600000000000001" customHeight="1">
      <c r="A63" s="28" t="s">
        <v>276</v>
      </c>
      <c r="B63" s="29" t="s">
        <v>215</v>
      </c>
      <c r="C63" s="30">
        <v>46109</v>
      </c>
      <c r="D63" s="28" t="s">
        <v>276</v>
      </c>
      <c r="E63" s="42" t="s">
        <v>123</v>
      </c>
      <c r="F63" s="42" t="s">
        <v>128</v>
      </c>
    </row>
    <row r="64" spans="1:6" ht="18.600000000000001" customHeight="1">
      <c r="A64" s="28" t="s">
        <v>277</v>
      </c>
      <c r="B64" s="29" t="s">
        <v>215</v>
      </c>
      <c r="C64" s="30">
        <v>46109</v>
      </c>
      <c r="D64" s="28" t="s">
        <v>277</v>
      </c>
      <c r="E64" s="42" t="s">
        <v>123</v>
      </c>
      <c r="F64" s="42" t="s">
        <v>128</v>
      </c>
    </row>
    <row r="65" spans="1:6" ht="18.600000000000001" customHeight="1">
      <c r="A65" s="28" t="s">
        <v>278</v>
      </c>
      <c r="B65" s="29" t="s">
        <v>215</v>
      </c>
      <c r="C65" s="30">
        <v>46109</v>
      </c>
      <c r="D65" s="28" t="s">
        <v>278</v>
      </c>
      <c r="E65" s="42" t="s">
        <v>123</v>
      </c>
      <c r="F65" s="42" t="s">
        <v>128</v>
      </c>
    </row>
    <row r="66" spans="1:6" ht="18.600000000000001" customHeight="1">
      <c r="A66" s="28" t="s">
        <v>279</v>
      </c>
      <c r="B66" s="29" t="s">
        <v>215</v>
      </c>
      <c r="C66" s="30">
        <v>46109</v>
      </c>
      <c r="D66" s="28" t="s">
        <v>279</v>
      </c>
      <c r="E66" s="42" t="s">
        <v>123</v>
      </c>
      <c r="F66" s="42" t="s">
        <v>128</v>
      </c>
    </row>
    <row r="67" spans="1:6" ht="18.600000000000001" customHeight="1">
      <c r="A67" s="28" t="s">
        <v>280</v>
      </c>
      <c r="B67" s="29" t="s">
        <v>215</v>
      </c>
      <c r="C67" s="30">
        <v>46109</v>
      </c>
      <c r="D67" s="28" t="s">
        <v>280</v>
      </c>
      <c r="E67" s="42" t="s">
        <v>123</v>
      </c>
      <c r="F67" s="42" t="s">
        <v>128</v>
      </c>
    </row>
    <row r="68" spans="1:6" ht="18.600000000000001" customHeight="1">
      <c r="A68" s="28" t="s">
        <v>281</v>
      </c>
      <c r="B68" s="29" t="s">
        <v>215</v>
      </c>
      <c r="C68" s="30">
        <v>46109</v>
      </c>
      <c r="D68" s="28" t="s">
        <v>281</v>
      </c>
      <c r="E68" s="42" t="s">
        <v>123</v>
      </c>
      <c r="F68" s="42" t="s">
        <v>128</v>
      </c>
    </row>
    <row r="69" spans="1:6" ht="18.600000000000001" customHeight="1">
      <c r="A69" s="28" t="s">
        <v>282</v>
      </c>
      <c r="B69" s="29" t="s">
        <v>215</v>
      </c>
      <c r="C69" s="30">
        <v>46109</v>
      </c>
      <c r="D69" s="28" t="s">
        <v>282</v>
      </c>
      <c r="E69" s="42" t="s">
        <v>123</v>
      </c>
      <c r="F69" s="42" t="s">
        <v>128</v>
      </c>
    </row>
    <row r="70" spans="1:6" ht="18.600000000000001" customHeight="1">
      <c r="A70" s="28" t="s">
        <v>283</v>
      </c>
      <c r="B70" s="29" t="s">
        <v>215</v>
      </c>
      <c r="C70" s="30">
        <v>46109</v>
      </c>
      <c r="D70" s="28" t="s">
        <v>283</v>
      </c>
      <c r="E70" s="42" t="s">
        <v>123</v>
      </c>
      <c r="F70" s="42" t="s">
        <v>128</v>
      </c>
    </row>
    <row r="71" spans="1:6" ht="18.600000000000001" customHeight="1">
      <c r="A71" s="28" t="s">
        <v>284</v>
      </c>
      <c r="B71" s="29" t="s">
        <v>215</v>
      </c>
      <c r="C71" s="30">
        <v>46109</v>
      </c>
      <c r="D71" s="28" t="s">
        <v>284</v>
      </c>
      <c r="E71" s="42" t="s">
        <v>123</v>
      </c>
      <c r="F71" s="42" t="s">
        <v>336</v>
      </c>
    </row>
    <row r="72" spans="1:6" ht="18.600000000000001" customHeight="1">
      <c r="A72" s="28" t="s">
        <v>285</v>
      </c>
      <c r="B72" s="29" t="s">
        <v>215</v>
      </c>
      <c r="C72" s="30">
        <v>46109</v>
      </c>
      <c r="D72" s="28" t="s">
        <v>285</v>
      </c>
      <c r="E72" s="42" t="s">
        <v>123</v>
      </c>
      <c r="F72" s="42" t="s">
        <v>336</v>
      </c>
    </row>
    <row r="73" spans="1:6" ht="18.600000000000001" customHeight="1">
      <c r="A73" s="28" t="s">
        <v>286</v>
      </c>
      <c r="B73" s="29" t="s">
        <v>215</v>
      </c>
      <c r="C73" s="30">
        <v>46109</v>
      </c>
      <c r="D73" s="28" t="s">
        <v>286</v>
      </c>
      <c r="E73" s="42" t="s">
        <v>123</v>
      </c>
      <c r="F73" s="42" t="s">
        <v>336</v>
      </c>
    </row>
    <row r="74" spans="1:6" ht="18.600000000000001" customHeight="1">
      <c r="A74" s="28" t="s">
        <v>287</v>
      </c>
      <c r="B74" s="29" t="s">
        <v>215</v>
      </c>
      <c r="C74" s="30">
        <v>46109</v>
      </c>
      <c r="D74" s="28" t="s">
        <v>287</v>
      </c>
      <c r="E74" s="42" t="s">
        <v>123</v>
      </c>
      <c r="F74" s="42" t="s">
        <v>336</v>
      </c>
    </row>
    <row r="75" spans="1:6" ht="18.600000000000001" customHeight="1">
      <c r="A75" s="28" t="s">
        <v>288</v>
      </c>
      <c r="B75" s="29" t="s">
        <v>215</v>
      </c>
      <c r="C75" s="30">
        <v>46109</v>
      </c>
      <c r="D75" s="28" t="s">
        <v>288</v>
      </c>
      <c r="E75" s="42" t="s">
        <v>123</v>
      </c>
      <c r="F75" s="42" t="s">
        <v>336</v>
      </c>
    </row>
    <row r="76" spans="1:6" ht="18.600000000000001" customHeight="1">
      <c r="A76" s="28" t="s">
        <v>289</v>
      </c>
      <c r="B76" s="29" t="s">
        <v>215</v>
      </c>
      <c r="C76" s="30">
        <v>46109</v>
      </c>
      <c r="D76" s="28" t="s">
        <v>289</v>
      </c>
      <c r="E76" s="42" t="s">
        <v>123</v>
      </c>
      <c r="F76" s="42" t="s">
        <v>336</v>
      </c>
    </row>
    <row r="77" spans="1:6" ht="18.600000000000001" customHeight="1">
      <c r="A77" s="28" t="s">
        <v>290</v>
      </c>
      <c r="B77" s="29" t="s">
        <v>215</v>
      </c>
      <c r="C77" s="30">
        <v>46109</v>
      </c>
      <c r="D77" s="28" t="s">
        <v>290</v>
      </c>
      <c r="E77" s="42" t="s">
        <v>123</v>
      </c>
      <c r="F77" s="42" t="s">
        <v>336</v>
      </c>
    </row>
    <row r="78" spans="1:6" ht="18.600000000000001" customHeight="1">
      <c r="A78" s="28" t="s">
        <v>291</v>
      </c>
      <c r="B78" s="29" t="s">
        <v>215</v>
      </c>
      <c r="C78" s="30">
        <v>46109</v>
      </c>
      <c r="D78" s="28" t="s">
        <v>291</v>
      </c>
      <c r="E78" s="42" t="s">
        <v>123</v>
      </c>
      <c r="F78" s="42" t="s">
        <v>336</v>
      </c>
    </row>
    <row r="79" spans="1:6" ht="18.600000000000001" customHeight="1">
      <c r="A79" s="28" t="s">
        <v>292</v>
      </c>
      <c r="B79" s="29" t="s">
        <v>215</v>
      </c>
      <c r="C79" s="30">
        <v>46109</v>
      </c>
      <c r="D79" s="28" t="s">
        <v>292</v>
      </c>
      <c r="E79" s="42" t="s">
        <v>123</v>
      </c>
      <c r="F79" s="42" t="s">
        <v>336</v>
      </c>
    </row>
    <row r="80" spans="1:6" ht="18.600000000000001" customHeight="1">
      <c r="A80" s="28" t="s">
        <v>293</v>
      </c>
      <c r="B80" s="29" t="s">
        <v>215</v>
      </c>
      <c r="C80" s="30">
        <v>46109</v>
      </c>
      <c r="D80" s="28" t="s">
        <v>293</v>
      </c>
      <c r="E80" s="42" t="s">
        <v>123</v>
      </c>
      <c r="F80" s="42" t="s">
        <v>336</v>
      </c>
    </row>
    <row r="81" spans="1:7" ht="18.600000000000001" customHeight="1">
      <c r="A81" s="28" t="s">
        <v>294</v>
      </c>
      <c r="B81" s="29" t="s">
        <v>215</v>
      </c>
      <c r="C81" s="30">
        <v>46109</v>
      </c>
      <c r="D81" s="28" t="s">
        <v>294</v>
      </c>
      <c r="E81" s="42" t="s">
        <v>123</v>
      </c>
      <c r="F81" s="42" t="s">
        <v>336</v>
      </c>
    </row>
    <row r="82" spans="1:7" ht="18.600000000000001" customHeight="1">
      <c r="A82" s="28" t="s">
        <v>295</v>
      </c>
      <c r="B82" s="29" t="s">
        <v>215</v>
      </c>
      <c r="C82" s="30">
        <v>46109</v>
      </c>
      <c r="D82" s="28" t="s">
        <v>295</v>
      </c>
      <c r="E82" s="42" t="s">
        <v>123</v>
      </c>
      <c r="F82" s="42" t="s">
        <v>336</v>
      </c>
    </row>
    <row r="83" spans="1:7" ht="18.600000000000001" customHeight="1">
      <c r="A83" s="28" t="s">
        <v>296</v>
      </c>
      <c r="B83" s="29" t="s">
        <v>215</v>
      </c>
      <c r="C83" s="30">
        <v>46109</v>
      </c>
      <c r="D83" s="28" t="s">
        <v>296</v>
      </c>
      <c r="E83" s="42" t="s">
        <v>123</v>
      </c>
      <c r="F83" s="42" t="s">
        <v>125</v>
      </c>
    </row>
    <row r="84" spans="1:7" ht="18.600000000000001" customHeight="1">
      <c r="A84" s="28" t="s">
        <v>297</v>
      </c>
      <c r="B84" s="29" t="s">
        <v>215</v>
      </c>
      <c r="C84" s="30">
        <v>46109</v>
      </c>
      <c r="D84" s="28" t="s">
        <v>297</v>
      </c>
      <c r="E84" s="42" t="s">
        <v>123</v>
      </c>
      <c r="F84" s="42" t="s">
        <v>125</v>
      </c>
    </row>
    <row r="85" spans="1:7" ht="18.600000000000001" customHeight="1">
      <c r="A85" s="28" t="s">
        <v>298</v>
      </c>
      <c r="B85" s="29" t="s">
        <v>215</v>
      </c>
      <c r="C85" s="30">
        <v>46109</v>
      </c>
      <c r="D85" s="28" t="s">
        <v>298</v>
      </c>
      <c r="E85" s="42" t="s">
        <v>123</v>
      </c>
      <c r="F85" s="42" t="s">
        <v>125</v>
      </c>
    </row>
    <row r="86" spans="1:7" ht="18.600000000000001" customHeight="1">
      <c r="A86" s="28" t="s">
        <v>299</v>
      </c>
      <c r="B86" s="29" t="s">
        <v>215</v>
      </c>
      <c r="C86" s="30">
        <v>46109</v>
      </c>
      <c r="D86" s="28" t="s">
        <v>299</v>
      </c>
      <c r="E86" s="42" t="s">
        <v>123</v>
      </c>
      <c r="F86" s="42" t="s">
        <v>125</v>
      </c>
    </row>
    <row r="87" spans="1:7" ht="18.600000000000001" customHeight="1">
      <c r="A87" s="28" t="s">
        <v>300</v>
      </c>
      <c r="B87" s="29" t="s">
        <v>215</v>
      </c>
      <c r="C87" s="30">
        <v>46109</v>
      </c>
      <c r="D87" s="28" t="s">
        <v>300</v>
      </c>
      <c r="E87" s="42" t="s">
        <v>123</v>
      </c>
      <c r="F87" s="42" t="s">
        <v>125</v>
      </c>
    </row>
    <row r="88" spans="1:7" ht="18.600000000000001" customHeight="1">
      <c r="A88" s="28" t="s">
        <v>301</v>
      </c>
      <c r="B88" s="29" t="s">
        <v>215</v>
      </c>
      <c r="C88" s="30">
        <v>46109</v>
      </c>
      <c r="D88" s="28" t="s">
        <v>301</v>
      </c>
      <c r="E88" s="42" t="s">
        <v>123</v>
      </c>
      <c r="F88" s="42" t="s">
        <v>125</v>
      </c>
    </row>
    <row r="89" spans="1:7" ht="18.600000000000001" customHeight="1">
      <c r="A89" s="28" t="s">
        <v>302</v>
      </c>
      <c r="B89" s="29" t="s">
        <v>215</v>
      </c>
      <c r="C89" s="30">
        <v>46109</v>
      </c>
      <c r="D89" s="28" t="s">
        <v>302</v>
      </c>
      <c r="E89" s="42" t="s">
        <v>123</v>
      </c>
      <c r="F89" s="42" t="s">
        <v>125</v>
      </c>
    </row>
    <row r="90" spans="1:7" ht="18.600000000000001" customHeight="1">
      <c r="A90" s="28" t="s">
        <v>303</v>
      </c>
      <c r="B90" s="29" t="s">
        <v>215</v>
      </c>
      <c r="C90" s="30">
        <v>46109</v>
      </c>
      <c r="D90" s="28" t="s">
        <v>303</v>
      </c>
      <c r="E90" s="42" t="s">
        <v>123</v>
      </c>
      <c r="F90" s="42" t="s">
        <v>125</v>
      </c>
    </row>
    <row r="91" spans="1:7" ht="18.600000000000001" customHeight="1">
      <c r="A91" s="28" t="s">
        <v>304</v>
      </c>
      <c r="B91" s="29" t="s">
        <v>215</v>
      </c>
      <c r="C91" s="30">
        <v>46109</v>
      </c>
      <c r="D91" s="28" t="s">
        <v>304</v>
      </c>
      <c r="E91" s="42" t="s">
        <v>123</v>
      </c>
      <c r="F91" s="42" t="s">
        <v>125</v>
      </c>
    </row>
    <row r="92" spans="1:7" ht="18.600000000000001" customHeight="1">
      <c r="A92" s="28" t="s">
        <v>305</v>
      </c>
      <c r="B92" s="29" t="s">
        <v>215</v>
      </c>
      <c r="C92" s="30">
        <v>46109</v>
      </c>
      <c r="D92" s="28" t="s">
        <v>305</v>
      </c>
      <c r="E92" s="42" t="s">
        <v>123</v>
      </c>
      <c r="F92" s="42" t="s">
        <v>125</v>
      </c>
    </row>
    <row r="93" spans="1:7" ht="18.600000000000001" customHeight="1">
      <c r="A93" s="35" t="s">
        <v>306</v>
      </c>
      <c r="B93" s="36" t="s">
        <v>215</v>
      </c>
      <c r="C93" s="37">
        <v>46109</v>
      </c>
      <c r="D93" s="35" t="s">
        <v>306</v>
      </c>
      <c r="E93" s="42" t="s">
        <v>123</v>
      </c>
      <c r="F93" s="42" t="s">
        <v>125</v>
      </c>
    </row>
    <row r="94" spans="1:7" ht="18.600000000000001" customHeight="1">
      <c r="A94" s="35" t="s">
        <v>307</v>
      </c>
      <c r="B94" s="36" t="s">
        <v>215</v>
      </c>
      <c r="C94" s="37">
        <v>46109</v>
      </c>
      <c r="D94" s="35" t="s">
        <v>307</v>
      </c>
      <c r="E94" s="42" t="s">
        <v>123</v>
      </c>
      <c r="F94" s="42" t="s">
        <v>125</v>
      </c>
    </row>
    <row r="95" spans="1:7" ht="18.600000000000001" customHeight="1">
      <c r="A95" s="35" t="s">
        <v>308</v>
      </c>
      <c r="B95" s="36" t="s">
        <v>215</v>
      </c>
      <c r="C95" s="37">
        <v>46109</v>
      </c>
      <c r="D95" s="35" t="s">
        <v>308</v>
      </c>
      <c r="E95" s="42" t="s">
        <v>123</v>
      </c>
      <c r="F95" s="42" t="s">
        <v>125</v>
      </c>
    </row>
    <row r="96" spans="1:7" ht="18.600000000000001" customHeight="1">
      <c r="A96" s="35" t="s">
        <v>309</v>
      </c>
      <c r="B96" s="36" t="s">
        <v>215</v>
      </c>
      <c r="C96" s="37">
        <v>46109</v>
      </c>
      <c r="D96" s="35" t="s">
        <v>309</v>
      </c>
      <c r="E96" t="s">
        <v>71</v>
      </c>
      <c r="F96" s="10" t="s">
        <v>74</v>
      </c>
      <c r="G96">
        <v>1</v>
      </c>
    </row>
    <row r="97" spans="1:7" ht="18.600000000000001" customHeight="1">
      <c r="A97" s="35" t="s">
        <v>310</v>
      </c>
      <c r="B97" s="36" t="s">
        <v>215</v>
      </c>
      <c r="C97" s="37">
        <v>46109</v>
      </c>
      <c r="D97" s="35" t="s">
        <v>310</v>
      </c>
      <c r="E97" t="s">
        <v>71</v>
      </c>
      <c r="F97" s="10" t="s">
        <v>74</v>
      </c>
      <c r="G97">
        <v>2</v>
      </c>
    </row>
    <row r="98" spans="1:7" ht="18.600000000000001" customHeight="1">
      <c r="A98" s="35" t="s">
        <v>311</v>
      </c>
      <c r="B98" s="36" t="s">
        <v>215</v>
      </c>
      <c r="C98" s="37">
        <v>46109</v>
      </c>
      <c r="D98" s="35" t="s">
        <v>311</v>
      </c>
      <c r="E98" t="s">
        <v>71</v>
      </c>
      <c r="F98" s="10" t="s">
        <v>74</v>
      </c>
      <c r="G98">
        <v>3</v>
      </c>
    </row>
    <row r="99" spans="1:7" ht="18.600000000000001" customHeight="1">
      <c r="A99" s="35" t="s">
        <v>312</v>
      </c>
      <c r="B99" s="36" t="s">
        <v>215</v>
      </c>
      <c r="C99" s="37">
        <v>46109</v>
      </c>
      <c r="D99" s="35" t="s">
        <v>312</v>
      </c>
      <c r="E99" t="s">
        <v>71</v>
      </c>
      <c r="F99" s="10" t="s">
        <v>74</v>
      </c>
      <c r="G99">
        <v>4</v>
      </c>
    </row>
    <row r="100" spans="1:7" ht="18.600000000000001" customHeight="1">
      <c r="A100" s="35" t="s">
        <v>313</v>
      </c>
      <c r="B100" s="36" t="s">
        <v>215</v>
      </c>
      <c r="C100" s="37">
        <v>46109</v>
      </c>
      <c r="D100" s="35" t="s">
        <v>313</v>
      </c>
      <c r="E100" t="s">
        <v>71</v>
      </c>
      <c r="F100" s="10" t="s">
        <v>74</v>
      </c>
      <c r="G100">
        <v>5</v>
      </c>
    </row>
    <row r="101" spans="1:7" ht="18.600000000000001" customHeight="1">
      <c r="A101" s="35" t="s">
        <v>314</v>
      </c>
      <c r="B101" s="36" t="s">
        <v>215</v>
      </c>
      <c r="C101" s="37">
        <v>46109</v>
      </c>
      <c r="D101" s="35" t="s">
        <v>314</v>
      </c>
      <c r="E101" t="s">
        <v>71</v>
      </c>
      <c r="F101" s="10" t="s">
        <v>74</v>
      </c>
      <c r="G101">
        <v>6</v>
      </c>
    </row>
    <row r="102" spans="1:7" ht="18.600000000000001" customHeight="1">
      <c r="A102" s="35" t="s">
        <v>338</v>
      </c>
      <c r="B102" s="36" t="s">
        <v>215</v>
      </c>
      <c r="C102" s="37">
        <v>46119</v>
      </c>
      <c r="D102" s="35" t="s">
        <v>338</v>
      </c>
      <c r="E102" t="s">
        <v>71</v>
      </c>
      <c r="F102" s="10" t="s">
        <v>74</v>
      </c>
      <c r="G102">
        <v>7</v>
      </c>
    </row>
    <row r="103" spans="1:7" ht="18.600000000000001" customHeight="1">
      <c r="A103" s="35" t="s">
        <v>339</v>
      </c>
      <c r="B103" s="36" t="s">
        <v>215</v>
      </c>
      <c r="C103" s="37">
        <v>46119</v>
      </c>
      <c r="D103" s="35" t="s">
        <v>339</v>
      </c>
      <c r="E103" t="s">
        <v>71</v>
      </c>
      <c r="F103" s="10" t="s">
        <v>74</v>
      </c>
      <c r="G103">
        <v>8</v>
      </c>
    </row>
    <row r="104" spans="1:7" ht="18.600000000000001" customHeight="1">
      <c r="A104" s="35" t="s">
        <v>340</v>
      </c>
      <c r="B104" s="36" t="s">
        <v>215</v>
      </c>
      <c r="C104" s="37">
        <v>46119</v>
      </c>
      <c r="D104" s="35" t="s">
        <v>340</v>
      </c>
      <c r="E104" t="s">
        <v>71</v>
      </c>
      <c r="F104" s="10" t="s">
        <v>74</v>
      </c>
      <c r="G104">
        <v>9</v>
      </c>
    </row>
    <row r="105" spans="1:7" ht="18.600000000000001" customHeight="1">
      <c r="A105" s="35" t="s">
        <v>341</v>
      </c>
      <c r="B105" s="36" t="s">
        <v>215</v>
      </c>
      <c r="C105" s="37">
        <v>46119</v>
      </c>
      <c r="D105" s="35" t="s">
        <v>341</v>
      </c>
      <c r="E105" t="s">
        <v>71</v>
      </c>
      <c r="F105" s="10" t="s">
        <v>74</v>
      </c>
      <c r="G105">
        <v>10</v>
      </c>
    </row>
    <row r="106" spans="1:7" ht="18.600000000000001" customHeight="1">
      <c r="A106" s="35" t="s">
        <v>342</v>
      </c>
      <c r="B106" s="36" t="s">
        <v>215</v>
      </c>
      <c r="C106" s="37">
        <v>46119</v>
      </c>
      <c r="D106" s="35" t="s">
        <v>342</v>
      </c>
      <c r="E106" t="s">
        <v>71</v>
      </c>
      <c r="F106" s="10" t="s">
        <v>74</v>
      </c>
      <c r="G106">
        <v>11</v>
      </c>
    </row>
    <row r="107" spans="1:7" ht="18.600000000000001" customHeight="1">
      <c r="A107" s="35" t="s">
        <v>343</v>
      </c>
      <c r="B107" s="36" t="s">
        <v>215</v>
      </c>
      <c r="C107" s="37">
        <v>46119</v>
      </c>
      <c r="D107" s="35" t="s">
        <v>343</v>
      </c>
      <c r="E107" t="s">
        <v>71</v>
      </c>
      <c r="F107" s="10" t="s">
        <v>74</v>
      </c>
      <c r="G107">
        <v>12</v>
      </c>
    </row>
    <row r="108" spans="1:7" ht="18.600000000000001" customHeight="1">
      <c r="A108" s="35" t="s">
        <v>344</v>
      </c>
      <c r="B108" s="36" t="s">
        <v>215</v>
      </c>
      <c r="C108" s="37">
        <v>46119</v>
      </c>
      <c r="D108" s="35" t="s">
        <v>344</v>
      </c>
      <c r="E108" t="s">
        <v>71</v>
      </c>
      <c r="F108" s="10" t="s">
        <v>74</v>
      </c>
      <c r="G108">
        <v>13</v>
      </c>
    </row>
    <row r="109" spans="1:7" ht="18.600000000000001" customHeight="1">
      <c r="A109" s="35" t="s">
        <v>345</v>
      </c>
      <c r="B109" s="36" t="s">
        <v>215</v>
      </c>
      <c r="C109" s="37">
        <v>46119</v>
      </c>
      <c r="D109" s="35" t="s">
        <v>345</v>
      </c>
      <c r="E109" t="s">
        <v>71</v>
      </c>
      <c r="F109" s="10" t="s">
        <v>74</v>
      </c>
      <c r="G109">
        <v>14</v>
      </c>
    </row>
    <row r="110" spans="1:7" ht="18.600000000000001" customHeight="1">
      <c r="A110" s="35" t="s">
        <v>346</v>
      </c>
      <c r="B110" s="36" t="s">
        <v>215</v>
      </c>
      <c r="C110" s="37">
        <v>46119</v>
      </c>
      <c r="D110" s="35" t="s">
        <v>346</v>
      </c>
      <c r="E110" t="s">
        <v>71</v>
      </c>
      <c r="F110" s="10" t="s">
        <v>74</v>
      </c>
      <c r="G110">
        <v>15</v>
      </c>
    </row>
    <row r="111" spans="1:7" ht="18.600000000000001" customHeight="1">
      <c r="A111" s="35" t="s">
        <v>347</v>
      </c>
      <c r="B111" s="36" t="s">
        <v>215</v>
      </c>
      <c r="C111" s="37">
        <v>46119</v>
      </c>
      <c r="D111" s="35" t="s">
        <v>347</v>
      </c>
      <c r="E111" t="s">
        <v>71</v>
      </c>
      <c r="F111" s="10" t="s">
        <v>74</v>
      </c>
      <c r="G111">
        <v>16</v>
      </c>
    </row>
    <row r="112" spans="1:7" ht="18.600000000000001" customHeight="1">
      <c r="A112" s="35" t="s">
        <v>348</v>
      </c>
      <c r="B112" s="36" t="s">
        <v>215</v>
      </c>
      <c r="C112" s="37">
        <v>46119</v>
      </c>
      <c r="D112" s="35" t="s">
        <v>348</v>
      </c>
      <c r="E112" t="s">
        <v>71</v>
      </c>
      <c r="F112" s="10" t="s">
        <v>74</v>
      </c>
      <c r="G112">
        <v>17</v>
      </c>
    </row>
    <row r="113" spans="1:7" ht="18.600000000000001" customHeight="1">
      <c r="A113" s="35" t="s">
        <v>349</v>
      </c>
      <c r="B113" s="36" t="s">
        <v>215</v>
      </c>
      <c r="C113" s="37">
        <v>46119</v>
      </c>
      <c r="D113" s="35" t="s">
        <v>349</v>
      </c>
      <c r="E113" t="s">
        <v>71</v>
      </c>
      <c r="F113" s="10" t="s">
        <v>74</v>
      </c>
      <c r="G113">
        <v>18</v>
      </c>
    </row>
    <row r="114" spans="1:7" ht="18.600000000000001" customHeight="1">
      <c r="A114" s="35" t="s">
        <v>350</v>
      </c>
      <c r="B114" s="36" t="s">
        <v>215</v>
      </c>
      <c r="C114" s="37">
        <v>46119</v>
      </c>
      <c r="D114" s="35" t="s">
        <v>350</v>
      </c>
      <c r="E114" t="s">
        <v>71</v>
      </c>
      <c r="F114" s="10" t="s">
        <v>74</v>
      </c>
      <c r="G114">
        <v>19</v>
      </c>
    </row>
    <row r="115" spans="1:7" ht="18.600000000000001" customHeight="1">
      <c r="D115" s="44"/>
    </row>
    <row r="116" spans="1:7" ht="18.600000000000001" customHeight="1">
      <c r="D116" s="44"/>
    </row>
    <row r="117" spans="1:7" ht="18.600000000000001" customHeight="1">
      <c r="D117" s="44"/>
    </row>
    <row r="118" spans="1:7" ht="18.600000000000001" customHeight="1">
      <c r="D118" s="44"/>
    </row>
    <row r="119" spans="1:7" ht="18.600000000000001" customHeight="1">
      <c r="A119" s="31" t="s">
        <v>315</v>
      </c>
      <c r="D119" s="31" t="s">
        <v>315</v>
      </c>
    </row>
    <row r="120" spans="1:7" ht="18.600000000000001" customHeight="1">
      <c r="A120" s="32" t="s">
        <v>211</v>
      </c>
      <c r="B120" s="33" t="s">
        <v>212</v>
      </c>
      <c r="C120" s="34" t="s">
        <v>213</v>
      </c>
      <c r="D120" s="32" t="s">
        <v>211</v>
      </c>
    </row>
    <row r="121" spans="1:7" ht="18.600000000000001" customHeight="1">
      <c r="A121" s="28" t="s">
        <v>316</v>
      </c>
      <c r="B121" s="29" t="s">
        <v>215</v>
      </c>
      <c r="C121" s="30">
        <v>46109</v>
      </c>
      <c r="D121" s="28" t="s">
        <v>316</v>
      </c>
      <c r="E121" t="s">
        <v>98</v>
      </c>
      <c r="F121" t="s">
        <v>102</v>
      </c>
    </row>
    <row r="122" spans="1:7" ht="18.600000000000001" customHeight="1">
      <c r="A122" s="28" t="s">
        <v>317</v>
      </c>
      <c r="B122" s="29" t="s">
        <v>215</v>
      </c>
      <c r="C122" s="30">
        <v>46109</v>
      </c>
      <c r="D122" s="28" t="s">
        <v>317</v>
      </c>
      <c r="E122" t="s">
        <v>98</v>
      </c>
      <c r="F122" t="s">
        <v>101</v>
      </c>
    </row>
    <row r="123" spans="1:7" ht="18.600000000000001" customHeight="1">
      <c r="A123" s="28" t="s">
        <v>318</v>
      </c>
      <c r="B123" s="29" t="s">
        <v>215</v>
      </c>
      <c r="C123" s="30">
        <v>46109</v>
      </c>
      <c r="D123" s="28" t="s">
        <v>318</v>
      </c>
      <c r="E123" t="s">
        <v>98</v>
      </c>
      <c r="F123" t="s">
        <v>103</v>
      </c>
    </row>
    <row r="124" spans="1:7" ht="18.600000000000001" customHeight="1">
      <c r="A124" s="28" t="s">
        <v>319</v>
      </c>
      <c r="B124" s="29" t="s">
        <v>215</v>
      </c>
      <c r="C124" s="30">
        <v>46109</v>
      </c>
      <c r="D124" s="28" t="s">
        <v>319</v>
      </c>
      <c r="E124" t="s">
        <v>98</v>
      </c>
      <c r="F124" t="s">
        <v>99</v>
      </c>
    </row>
    <row r="125" spans="1:7" ht="18.600000000000001" customHeight="1">
      <c r="A125" s="28" t="s">
        <v>320</v>
      </c>
      <c r="B125" s="29" t="s">
        <v>215</v>
      </c>
      <c r="C125" s="30">
        <v>46109</v>
      </c>
      <c r="D125" s="28" t="s">
        <v>320</v>
      </c>
      <c r="E125" t="s">
        <v>98</v>
      </c>
      <c r="F125" t="s">
        <v>100</v>
      </c>
    </row>
    <row r="126" spans="1:7" s="42" customFormat="1" ht="18.600000000000001" customHeight="1">
      <c r="A126" s="39" t="s">
        <v>321</v>
      </c>
      <c r="B126" s="40" t="s">
        <v>215</v>
      </c>
      <c r="C126" s="41">
        <v>46109</v>
      </c>
      <c r="D126" s="39" t="s">
        <v>321</v>
      </c>
      <c r="E126" s="42" t="s">
        <v>123</v>
      </c>
      <c r="F126" s="42" t="s">
        <v>124</v>
      </c>
    </row>
    <row r="127" spans="1:7" ht="18.600000000000001" customHeight="1">
      <c r="A127" s="28" t="s">
        <v>322</v>
      </c>
      <c r="B127" s="29" t="s">
        <v>215</v>
      </c>
      <c r="C127" s="30">
        <v>46109</v>
      </c>
      <c r="D127" s="28" t="s">
        <v>322</v>
      </c>
      <c r="E127" s="42" t="s">
        <v>123</v>
      </c>
      <c r="F127" s="42" t="s">
        <v>126</v>
      </c>
    </row>
    <row r="128" spans="1:7" ht="18.600000000000001" customHeight="1">
      <c r="A128" s="28" t="s">
        <v>323</v>
      </c>
      <c r="B128" s="29" t="s">
        <v>215</v>
      </c>
      <c r="C128" s="30">
        <v>46109</v>
      </c>
      <c r="D128" s="28" t="s">
        <v>323</v>
      </c>
      <c r="E128" s="42" t="s">
        <v>123</v>
      </c>
      <c r="F128" s="42" t="s">
        <v>128</v>
      </c>
    </row>
    <row r="129" spans="1:6" ht="18.600000000000001" customHeight="1">
      <c r="A129" s="28" t="s">
        <v>324</v>
      </c>
      <c r="B129" s="29" t="s">
        <v>215</v>
      </c>
      <c r="C129" s="30">
        <v>46109</v>
      </c>
      <c r="D129" s="28" t="s">
        <v>324</v>
      </c>
      <c r="E129" s="42" t="s">
        <v>123</v>
      </c>
      <c r="F129" s="42" t="s">
        <v>336</v>
      </c>
    </row>
    <row r="130" spans="1:6" ht="18.600000000000001" customHeight="1">
      <c r="A130" s="28" t="s">
        <v>325</v>
      </c>
      <c r="B130" s="29" t="s">
        <v>215</v>
      </c>
      <c r="C130" s="30">
        <v>46109</v>
      </c>
      <c r="D130" s="28" t="s">
        <v>325</v>
      </c>
      <c r="E130" s="42" t="s">
        <v>123</v>
      </c>
      <c r="F130" s="42" t="s">
        <v>125</v>
      </c>
    </row>
    <row r="131" spans="1:6" ht="18.600000000000001" customHeight="1">
      <c r="A131" s="28" t="s">
        <v>326</v>
      </c>
      <c r="B131" s="29" t="s">
        <v>215</v>
      </c>
      <c r="C131" s="30">
        <v>46109</v>
      </c>
      <c r="D131" s="28" t="s">
        <v>326</v>
      </c>
      <c r="E131" s="10" t="s">
        <v>71</v>
      </c>
      <c r="F131" s="10" t="s">
        <v>74</v>
      </c>
    </row>
    <row r="132" spans="1:6" ht="18.600000000000001" customHeight="1">
      <c r="A132" s="28" t="s">
        <v>327</v>
      </c>
      <c r="B132" s="29" t="s">
        <v>215</v>
      </c>
      <c r="C132" s="30">
        <v>46109</v>
      </c>
      <c r="D132" s="28" t="s">
        <v>327</v>
      </c>
    </row>
    <row r="133" spans="1:6" ht="18.600000000000001" customHeight="1">
      <c r="A133" s="28" t="s">
        <v>328</v>
      </c>
      <c r="B133" s="29" t="s">
        <v>215</v>
      </c>
      <c r="C133" s="30">
        <v>46109</v>
      </c>
      <c r="D133" s="28" t="s">
        <v>328</v>
      </c>
    </row>
    <row r="136" spans="1:6" ht="18.600000000000001" customHeight="1">
      <c r="A136" s="35" t="s">
        <v>329</v>
      </c>
      <c r="B136" s="36" t="s">
        <v>215</v>
      </c>
      <c r="C136" s="37">
        <v>46109</v>
      </c>
      <c r="D136" s="35" t="s">
        <v>329</v>
      </c>
      <c r="E136" t="s">
        <v>95</v>
      </c>
      <c r="F136" t="s">
        <v>97</v>
      </c>
    </row>
    <row r="137" spans="1:6" ht="18.600000000000001" customHeight="1">
      <c r="A137" s="35" t="s">
        <v>330</v>
      </c>
      <c r="B137" s="36" t="s">
        <v>215</v>
      </c>
      <c r="C137" s="37">
        <v>46109</v>
      </c>
      <c r="D137" s="35" t="s">
        <v>330</v>
      </c>
      <c r="E137" t="s">
        <v>80</v>
      </c>
      <c r="F137" t="s">
        <v>82</v>
      </c>
    </row>
    <row r="138" spans="1:6" ht="18.600000000000001" customHeight="1">
      <c r="A138" s="35" t="s">
        <v>331</v>
      </c>
      <c r="B138" s="36" t="s">
        <v>215</v>
      </c>
      <c r="C138" s="37">
        <v>46109</v>
      </c>
      <c r="D138" s="35" t="s">
        <v>331</v>
      </c>
      <c r="E138" t="s">
        <v>80</v>
      </c>
      <c r="F138" t="s">
        <v>85</v>
      </c>
    </row>
    <row r="139" spans="1:6" ht="18.600000000000001" customHeight="1">
      <c r="A139" s="35" t="s">
        <v>332</v>
      </c>
      <c r="B139" s="36" t="s">
        <v>215</v>
      </c>
      <c r="C139" s="37">
        <v>46109</v>
      </c>
      <c r="D139" s="35" t="s">
        <v>332</v>
      </c>
      <c r="E139" t="s">
        <v>80</v>
      </c>
      <c r="F139" t="s">
        <v>83</v>
      </c>
    </row>
    <row r="140" spans="1:6" ht="18.600000000000001" customHeight="1">
      <c r="A140" s="35" t="s">
        <v>333</v>
      </c>
      <c r="B140" s="36" t="s">
        <v>215</v>
      </c>
      <c r="C140" s="37">
        <v>46109</v>
      </c>
      <c r="D140" s="35" t="s">
        <v>333</v>
      </c>
      <c r="E140" t="s">
        <v>80</v>
      </c>
      <c r="F140" t="s">
        <v>84</v>
      </c>
    </row>
    <row r="141" spans="1:6" ht="18.600000000000001" customHeight="1">
      <c r="A141" s="35" t="s">
        <v>334</v>
      </c>
      <c r="B141" s="36" t="s">
        <v>215</v>
      </c>
      <c r="C141" s="37">
        <v>46109</v>
      </c>
      <c r="D141" s="35" t="s">
        <v>334</v>
      </c>
      <c r="E141" t="s">
        <v>80</v>
      </c>
      <c r="F141" t="s">
        <v>86</v>
      </c>
    </row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743CD-5A76-43B5-A836-5A920D2BEA45}">
  <dimension ref="A1:D10"/>
  <sheetViews>
    <sheetView workbookViewId="0">
      <selection sqref="A1:E12"/>
    </sheetView>
  </sheetViews>
  <sheetFormatPr baseColWidth="10" defaultRowHeight="14.4"/>
  <sheetData>
    <row r="1" spans="1:4">
      <c r="B1">
        <v>1200</v>
      </c>
      <c r="C1" t="s">
        <v>401</v>
      </c>
    </row>
    <row r="3" spans="1:4">
      <c r="B3">
        <v>1100</v>
      </c>
      <c r="C3" t="s">
        <v>402</v>
      </c>
    </row>
    <row r="4" spans="1:4">
      <c r="B4">
        <v>4000</v>
      </c>
      <c r="C4" t="s">
        <v>403</v>
      </c>
    </row>
    <row r="5" spans="1:4">
      <c r="B5">
        <v>1400</v>
      </c>
      <c r="C5" t="s">
        <v>404</v>
      </c>
    </row>
    <row r="6" spans="1:4">
      <c r="B6">
        <v>15000</v>
      </c>
      <c r="C6" t="s">
        <v>405</v>
      </c>
    </row>
    <row r="7" spans="1:4">
      <c r="B7">
        <v>300</v>
      </c>
      <c r="C7" t="s">
        <v>406</v>
      </c>
    </row>
    <row r="8" spans="1:4">
      <c r="B8">
        <v>400</v>
      </c>
      <c r="C8" t="s">
        <v>407</v>
      </c>
    </row>
    <row r="10" spans="1:4">
      <c r="A10">
        <v>75000</v>
      </c>
      <c r="B10">
        <f>SUM(B1:B8)</f>
        <v>23400</v>
      </c>
      <c r="D10">
        <f>+A10-B10</f>
        <v>51600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Peñaranda Castro, Harry</dc:creator>
  <cp:lastModifiedBy>Peñaranda Castro, Harry</cp:lastModifiedBy>
  <dcterms:created xsi:type="dcterms:W3CDTF">2026-03-25T21:27:28Z</dcterms:created>
  <dcterms:modified xsi:type="dcterms:W3CDTF">2026-04-23T23:10:54Z</dcterms:modified>
</cp:coreProperties>
</file>