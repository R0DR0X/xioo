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13_ncr:1_{32816DA6-8B21-441E-A3CB-CCE05849E62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UMEN" sheetId="8" r:id="rId1"/>
    <sheet name="Hoja2" sheetId="3" state="hidden" r:id="rId2"/>
    <sheet name="DÍAS" sheetId="6" state="hidden" r:id="rId3"/>
    <sheet name="Data" sheetId="1" r:id="rId4"/>
  </sheets>
  <definedNames>
    <definedName name="_xlnm._FilterDatabase" localSheetId="3" hidden="1">Data!$A$1:$Q$180</definedName>
  </definedNames>
  <calcPr calcId="191029"/>
  <pivotCaches>
    <pivotCache cacheId="108" r:id="rId5"/>
    <pivotCache cacheId="10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1" l="1"/>
  <c r="P32" i="1"/>
  <c r="N176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2" i="1"/>
  <c r="P161" i="1"/>
  <c r="P160" i="1"/>
  <c r="P154" i="1"/>
  <c r="P153" i="1"/>
  <c r="P152" i="1"/>
  <c r="P149" i="1"/>
  <c r="P124" i="1"/>
  <c r="P123" i="1"/>
  <c r="P122" i="1"/>
  <c r="P121" i="1"/>
  <c r="P120" i="1"/>
  <c r="P119" i="1"/>
  <c r="P114" i="1"/>
  <c r="P113" i="1"/>
  <c r="P112" i="1"/>
  <c r="P111" i="1"/>
  <c r="P110" i="1"/>
  <c r="P109" i="1"/>
  <c r="P108" i="1"/>
  <c r="P107" i="1"/>
  <c r="P106" i="1"/>
  <c r="P61" i="1"/>
  <c r="P60" i="1"/>
  <c r="P59" i="1"/>
  <c r="P58" i="1"/>
  <c r="P39" i="1"/>
  <c r="P38" i="1"/>
  <c r="P37" i="1"/>
  <c r="P36" i="1"/>
  <c r="P35" i="1"/>
  <c r="P34" i="1"/>
  <c r="P33" i="1"/>
  <c r="L179" i="1"/>
  <c r="L178" i="1"/>
  <c r="L177" i="1"/>
  <c r="L174" i="1"/>
  <c r="L173" i="1"/>
  <c r="L172" i="1"/>
  <c r="L171" i="1"/>
  <c r="L170" i="1"/>
  <c r="L169" i="1"/>
  <c r="L161" i="1"/>
  <c r="L123" i="1"/>
  <c r="L121" i="1"/>
  <c r="L120" i="1"/>
  <c r="L119" i="1"/>
  <c r="L109" i="1"/>
  <c r="L108" i="1"/>
  <c r="L107" i="1"/>
  <c r="L106" i="1"/>
  <c r="L58" i="1"/>
  <c r="L37" i="1"/>
  <c r="L36" i="1"/>
  <c r="L35" i="1"/>
  <c r="L34" i="1"/>
  <c r="L33" i="1"/>
  <c r="K180" i="1"/>
  <c r="M180" i="1" s="1"/>
  <c r="L180" i="1" s="1"/>
  <c r="K179" i="1"/>
  <c r="K178" i="1"/>
  <c r="K177" i="1"/>
  <c r="K176" i="1"/>
  <c r="K175" i="1"/>
  <c r="M175" i="1" s="1"/>
  <c r="K174" i="1"/>
  <c r="K173" i="1"/>
  <c r="K172" i="1"/>
  <c r="K171" i="1"/>
  <c r="K170" i="1"/>
  <c r="K169" i="1"/>
  <c r="K162" i="1"/>
  <c r="K161" i="1"/>
  <c r="K160" i="1"/>
  <c r="K154" i="1"/>
  <c r="K153" i="1"/>
  <c r="K152" i="1"/>
  <c r="K149" i="1"/>
  <c r="K124" i="1"/>
  <c r="K123" i="1"/>
  <c r="K122" i="1"/>
  <c r="M122" i="1" s="1"/>
  <c r="K121" i="1"/>
  <c r="K120" i="1"/>
  <c r="K119" i="1"/>
  <c r="K114" i="1"/>
  <c r="K113" i="1"/>
  <c r="K112" i="1"/>
  <c r="K111" i="1"/>
  <c r="K110" i="1"/>
  <c r="M110" i="1" s="1"/>
  <c r="K109" i="1"/>
  <c r="K108" i="1"/>
  <c r="K107" i="1"/>
  <c r="K106" i="1"/>
  <c r="K61" i="1"/>
  <c r="K60" i="1"/>
  <c r="K59" i="1"/>
  <c r="K58" i="1"/>
  <c r="K39" i="1"/>
  <c r="K38" i="1"/>
  <c r="K37" i="1"/>
  <c r="K36" i="1"/>
  <c r="K35" i="1"/>
  <c r="K34" i="1"/>
  <c r="K33" i="1"/>
  <c r="K32" i="1"/>
  <c r="N178" i="1"/>
  <c r="N179" i="1"/>
  <c r="N180" i="1"/>
  <c r="N177" i="1"/>
  <c r="N175" i="1"/>
  <c r="N170" i="1"/>
  <c r="N171" i="1"/>
  <c r="N172" i="1"/>
  <c r="N173" i="1"/>
  <c r="N174" i="1"/>
  <c r="N169" i="1"/>
  <c r="N162" i="1"/>
  <c r="N160" i="1"/>
  <c r="N161" i="1"/>
  <c r="N153" i="1"/>
  <c r="N154" i="1"/>
  <c r="N152" i="1"/>
  <c r="N149" i="1"/>
  <c r="N124" i="1"/>
  <c r="N123" i="1"/>
  <c r="N120" i="1"/>
  <c r="N121" i="1"/>
  <c r="N122" i="1"/>
  <c r="N119" i="1"/>
  <c r="N112" i="1"/>
  <c r="N113" i="1"/>
  <c r="N114" i="1"/>
  <c r="N111" i="1"/>
  <c r="N110" i="1"/>
  <c r="N109" i="1"/>
  <c r="N108" i="1"/>
  <c r="N107" i="1"/>
  <c r="N39" i="1"/>
  <c r="N61" i="1"/>
  <c r="N60" i="1"/>
  <c r="N58" i="1"/>
  <c r="N33" i="1"/>
  <c r="N34" i="1"/>
  <c r="N35" i="1"/>
  <c r="N36" i="1"/>
  <c r="N37" i="1"/>
  <c r="N32" i="1"/>
  <c r="O149" i="1" l="1"/>
  <c r="O61" i="1"/>
  <c r="O39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2" i="1"/>
  <c r="O161" i="1"/>
  <c r="O160" i="1"/>
  <c r="O154" i="1"/>
  <c r="O153" i="1"/>
  <c r="O152" i="1"/>
  <c r="O124" i="1"/>
  <c r="O123" i="1"/>
  <c r="O122" i="1"/>
  <c r="O121" i="1"/>
  <c r="O120" i="1"/>
  <c r="O119" i="1"/>
  <c r="O114" i="1"/>
  <c r="O113" i="1"/>
  <c r="O112" i="1"/>
  <c r="O111" i="1"/>
  <c r="O110" i="1"/>
  <c r="O109" i="1"/>
  <c r="O108" i="1"/>
  <c r="O107" i="1"/>
  <c r="O106" i="1"/>
  <c r="O60" i="1"/>
  <c r="O59" i="1"/>
  <c r="O58" i="1"/>
  <c r="O38" i="1"/>
  <c r="O37" i="1"/>
  <c r="O36" i="1"/>
  <c r="O35" i="1"/>
  <c r="O34" i="1"/>
  <c r="O33" i="1"/>
  <c r="O32" i="1"/>
  <c r="O116" i="1"/>
  <c r="O117" i="1"/>
  <c r="O118" i="1"/>
  <c r="O115" i="1"/>
  <c r="N116" i="1"/>
  <c r="N117" i="1"/>
  <c r="N118" i="1"/>
  <c r="N115" i="1"/>
  <c r="O151" i="1"/>
  <c r="N151" i="1"/>
  <c r="O168" i="1"/>
  <c r="O167" i="1"/>
  <c r="O166" i="1"/>
  <c r="O165" i="1"/>
  <c r="O164" i="1"/>
  <c r="O163" i="1"/>
  <c r="O159" i="1"/>
  <c r="O158" i="1"/>
  <c r="O157" i="1"/>
  <c r="O156" i="1"/>
  <c r="O155" i="1"/>
  <c r="O150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N168" i="1"/>
  <c r="N167" i="1"/>
  <c r="N166" i="1"/>
  <c r="N165" i="1"/>
  <c r="N164" i="1"/>
  <c r="N163" i="1"/>
  <c r="N159" i="1"/>
  <c r="N158" i="1"/>
  <c r="N157" i="1"/>
  <c r="N156" i="1"/>
  <c r="N155" i="1"/>
  <c r="N150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<sst xmlns="http://schemas.openxmlformats.org/spreadsheetml/2006/main" count="1331" uniqueCount="449">
  <si>
    <t>Cliente</t>
  </si>
  <si>
    <t>Nombre de cliente</t>
  </si>
  <si>
    <t>Referencia</t>
  </si>
  <si>
    <t>Clase de documento</t>
  </si>
  <si>
    <t>Fecha de documento</t>
  </si>
  <si>
    <t>Demora tras vencimiento neto</t>
  </si>
  <si>
    <t>Fecha de pago</t>
  </si>
  <si>
    <t>Importe en moneda doc.</t>
  </si>
  <si>
    <t>Moneda del documento</t>
  </si>
  <si>
    <t>1000013966</t>
  </si>
  <si>
    <t>ARKANO TRADING SOCIEDAD ANONIMA CER</t>
  </si>
  <si>
    <t>01-0F101-0004694</t>
  </si>
  <si>
    <t>DF</t>
  </si>
  <si>
    <t>PEN</t>
  </si>
  <si>
    <t>ARKANO TRADING SOCIEDAD ANONIMA CER</t>
  </si>
  <si>
    <t>01-0F101-0004700</t>
  </si>
  <si>
    <t>ARKANO TRADING SOCIEDAD ANONIMA CER</t>
  </si>
  <si>
    <t>01-0F101-0004710</t>
  </si>
  <si>
    <t>ARKANO TRADING SOCIEDAD ANONIMA CER</t>
  </si>
  <si>
    <t>01-0F101-0004729</t>
  </si>
  <si>
    <t>ARKANO TRADING SOCIEDAD ANONIMA CER</t>
  </si>
  <si>
    <t>01-0F101-0004736</t>
  </si>
  <si>
    <t>ARKANO TRADING SOCIEDAD ANONIMA CER</t>
  </si>
  <si>
    <t>01-0F101-0004758</t>
  </si>
  <si>
    <t>ARKANO TRADING SOCIEDAD ANONIMA CER</t>
  </si>
  <si>
    <t>01-0F101-0004762</t>
  </si>
  <si>
    <t>ARKANO TRADING SOCIEDAD ANONIMA CER</t>
  </si>
  <si>
    <t>01-0F101-0004763</t>
  </si>
  <si>
    <t>ARKANO TRADING SOCIEDAD ANONIMA CER</t>
  </si>
  <si>
    <t>01-0F101-0004772</t>
  </si>
  <si>
    <t>ARKANO TRADING SOCIEDAD ANONIMA CER</t>
  </si>
  <si>
    <t>01-0F101-0004803</t>
  </si>
  <si>
    <t>ARKANO TRADING SOCIEDAD ANONIMA CER</t>
  </si>
  <si>
    <t>01-0F101-0004855</t>
  </si>
  <si>
    <t>ARKANO TRADING SOCIEDAD ANONIMA CER</t>
  </si>
  <si>
    <t>01-0F101-0005160</t>
  </si>
  <si>
    <t>ARKANO TRADING SOCIEDAD ANONIMA CER</t>
  </si>
  <si>
    <t>01-0F101-0005198</t>
  </si>
  <si>
    <t>ARKANO TRADING SOCIEDAD ANONIMA CER</t>
  </si>
  <si>
    <t>01-0F101-0005211</t>
  </si>
  <si>
    <t>ARKANO TRADING SOCIEDAD ANONIMA CER</t>
  </si>
  <si>
    <t>01-0F101-0005224</t>
  </si>
  <si>
    <t>ARKANO TRADING SOCIEDAD ANONIMA CER</t>
  </si>
  <si>
    <t>01-0F101-0005225</t>
  </si>
  <si>
    <t>ARKANO TRADING SOCIEDAD ANONIMA CER</t>
  </si>
  <si>
    <t>01-0F101-0005231</t>
  </si>
  <si>
    <t>AVANCE GROUP LTD</t>
  </si>
  <si>
    <t>01-0F002-0000251</t>
  </si>
  <si>
    <t>DE</t>
  </si>
  <si>
    <t>USD</t>
  </si>
  <si>
    <t>1000013676</t>
  </si>
  <si>
    <t>CARLOS ALBERTO MARTINEZ QUEREVALU</t>
  </si>
  <si>
    <t>03-0B001-0004349</t>
  </si>
  <si>
    <t>DB</t>
  </si>
  <si>
    <t>CARLOS ALBERTO MARTINEZ QUEREVALU</t>
  </si>
  <si>
    <t>03-0B001-0004350</t>
  </si>
  <si>
    <t>CARLOS ALBERTO MARTINEZ QUEREVALU</t>
  </si>
  <si>
    <t>03-0B001-0004421</t>
  </si>
  <si>
    <t>CARLOS ALBERTO MARTINEZ QUEREVALU</t>
  </si>
  <si>
    <t>03-0B001-0004422</t>
  </si>
  <si>
    <t>1000013678</t>
  </si>
  <si>
    <t>CORPORACION NACIONAL PERU EXPORTACI</t>
  </si>
  <si>
    <t>01-0F101-0005458</t>
  </si>
  <si>
    <t>CORPORACION NACIONAL PERU EXPORTACI</t>
  </si>
  <si>
    <t>01-0F101-0005470</t>
  </si>
  <si>
    <t>CORPORACION NACIONAL PERU EXPORTACI</t>
  </si>
  <si>
    <t>01-0F101-0005482</t>
  </si>
  <si>
    <t>CORPORACION NACIONAL PERU EXPORTACI</t>
  </si>
  <si>
    <t>01-0F101-0005569</t>
  </si>
  <si>
    <t>CORPORACION NACIONAL PERU EXPORTACI</t>
  </si>
  <si>
    <t>01-0F101-0005730</t>
  </si>
  <si>
    <t>CORPORACION NACIONAL PERU EXPORTACI</t>
  </si>
  <si>
    <t>01-0F101-0005740</t>
  </si>
  <si>
    <t>CORPORACION NACIONAL PERU EXPORTACI</t>
  </si>
  <si>
    <t>01-0F101-0006016</t>
  </si>
  <si>
    <t>1000002057</t>
  </si>
  <si>
    <t>CRISTO DE LA VICTORIA S.A.C.</t>
  </si>
  <si>
    <t>01-0F101-0006035</t>
  </si>
  <si>
    <t>CRISTO DE LA VICTORIA S.A.C.</t>
  </si>
  <si>
    <t>01-0F101-0006036</t>
  </si>
  <si>
    <t>2000001381</t>
  </si>
  <si>
    <t>DAIRECK SA</t>
  </si>
  <si>
    <t>01-0F002-0000281</t>
  </si>
  <si>
    <t>DAIRECK SA</t>
  </si>
  <si>
    <t>01-0F002-0000282</t>
  </si>
  <si>
    <t>DAIRECK SA</t>
  </si>
  <si>
    <t>01-0F002-0000283</t>
  </si>
  <si>
    <t>DAIRECK SA</t>
  </si>
  <si>
    <t>01-0F002-0000284</t>
  </si>
  <si>
    <t>DAIRECK SA</t>
  </si>
  <si>
    <t>01-0F002-0000285</t>
  </si>
  <si>
    <t>DAIRECK SA</t>
  </si>
  <si>
    <t>01-0F002-0000286</t>
  </si>
  <si>
    <t>DAIRECK SA</t>
  </si>
  <si>
    <t>FT-0F002-0000270</t>
  </si>
  <si>
    <t>ZV</t>
  </si>
  <si>
    <t>DZ</t>
  </si>
  <si>
    <t>1000013754</t>
  </si>
  <si>
    <t>ELMER SIXTO SOJO ACARO</t>
  </si>
  <si>
    <t>03-0B001-0004423</t>
  </si>
  <si>
    <t>ELMER SIXTO SOJO ACARO</t>
  </si>
  <si>
    <t>03-0B001-0004424</t>
  </si>
  <si>
    <t>ELMER SIXTO SOJO ACARO</t>
  </si>
  <si>
    <t>03-0B001-0004429</t>
  </si>
  <si>
    <t>ELMER SIXTO SOJO ACARO</t>
  </si>
  <si>
    <t>03-0B001-0004430</t>
  </si>
  <si>
    <t>ELMER SIXTO SOJO ACARO</t>
  </si>
  <si>
    <t>03-0B001-0004435</t>
  </si>
  <si>
    <t>ELMER SIXTO SOJO ACARO</t>
  </si>
  <si>
    <t>03-0B001-0004436</t>
  </si>
  <si>
    <t>ELMER SIXTO SOJO ACARO</t>
  </si>
  <si>
    <t>03-0B001-0004437</t>
  </si>
  <si>
    <t>ELMER SIXTO SOJO ACARO</t>
  </si>
  <si>
    <t>03-0B001-0004438</t>
  </si>
  <si>
    <t>ELMER SIXTO SOJO ACARO</t>
  </si>
  <si>
    <t>03-0B001-0004439</t>
  </si>
  <si>
    <t>ELMER SIXTO SOJO ACARO</t>
  </si>
  <si>
    <t>03-0B001-0004440</t>
  </si>
  <si>
    <t>ELMER SIXTO SOJO ACARO</t>
  </si>
  <si>
    <t>03-0B001-0004449</t>
  </si>
  <si>
    <t>ELMER SIXTO SOJO ACARO</t>
  </si>
  <si>
    <t>03-0B001-0004450</t>
  </si>
  <si>
    <t>ELMER SIXTO SOJO ACARO</t>
  </si>
  <si>
    <t>03-0B001-0004455</t>
  </si>
  <si>
    <t>ELMER SIXTO SOJO ACARO</t>
  </si>
  <si>
    <t>03-0B001-0004456</t>
  </si>
  <si>
    <t>ELMER SIXTO SOJO ACARO</t>
  </si>
  <si>
    <t>03-0B001-0004462</t>
  </si>
  <si>
    <t>ELMER SIXTO SOJO ACARO</t>
  </si>
  <si>
    <t>03-0B001-0004463</t>
  </si>
  <si>
    <t>ELMER SIXTO SOJO ACARO</t>
  </si>
  <si>
    <t>03-0B001-0004464</t>
  </si>
  <si>
    <t>ELMER SIXTO SOJO ACARO</t>
  </si>
  <si>
    <t>03-0B001-0004465</t>
  </si>
  <si>
    <t>2000001361</t>
  </si>
  <si>
    <t>GLOBAL OCEAN FLEXTRADING, S. L</t>
  </si>
  <si>
    <t>GLOBAL OCEAN FLEXTRADING, S. L</t>
  </si>
  <si>
    <t>01-0F002-0000295</t>
  </si>
  <si>
    <t>GLOBAL OCEAN FLEXTRADING, S. L</t>
  </si>
  <si>
    <t>07-0F002-0000043</t>
  </si>
  <si>
    <t>DC</t>
  </si>
  <si>
    <t>2000001398</t>
  </si>
  <si>
    <t>Hunan Jinyueyang Import and Export</t>
  </si>
  <si>
    <t>ANTICIPO HUNANJI</t>
  </si>
  <si>
    <t>1000000875</t>
  </si>
  <si>
    <t>INVERSIONES JOCYMAS SOCIEDAD ANONIM</t>
  </si>
  <si>
    <t>01-0F101-0005948</t>
  </si>
  <si>
    <t>INVERSIONES JOCYMAS SOCIEDAD ANONIM</t>
  </si>
  <si>
    <t>01-0F101-0005949</t>
  </si>
  <si>
    <t>1000006830</t>
  </si>
  <si>
    <t>JAHFISH E.I.R.L.</t>
  </si>
  <si>
    <t>01-0F101-0005794</t>
  </si>
  <si>
    <t>JAHFISH E.I.R.L.</t>
  </si>
  <si>
    <t>01-0F101-0005795</t>
  </si>
  <si>
    <t>JAHFISH E.I.R.L.</t>
  </si>
  <si>
    <t>01-0F101-0005803</t>
  </si>
  <si>
    <t>JAHFISH E.I.R.L.</t>
  </si>
  <si>
    <t>01-0F101-0005804</t>
  </si>
  <si>
    <t>JAHFISH E.I.R.L.</t>
  </si>
  <si>
    <t>01-0F101-0005805</t>
  </si>
  <si>
    <t>JAHFISH E.I.R.L.</t>
  </si>
  <si>
    <t>01-0F101-0005806</t>
  </si>
  <si>
    <t>JAHFISH E.I.R.L.</t>
  </si>
  <si>
    <t>01-0F101-0005820</t>
  </si>
  <si>
    <t>JAHFISH E.I.R.L.</t>
  </si>
  <si>
    <t>01-0F101-0005821</t>
  </si>
  <si>
    <t>JAHFISH E.I.R.L.</t>
  </si>
  <si>
    <t>01-0F101-0005833</t>
  </si>
  <si>
    <t>JAHFISH E.I.R.L.</t>
  </si>
  <si>
    <t>01-0F101-0005834</t>
  </si>
  <si>
    <t>JAHFISH E.I.R.L.</t>
  </si>
  <si>
    <t>01-0F101-0005865</t>
  </si>
  <si>
    <t>JAHFISH E.I.R.L.</t>
  </si>
  <si>
    <t>01-0F101-0005866</t>
  </si>
  <si>
    <t>JAHFISH E.I.R.L.</t>
  </si>
  <si>
    <t>01-0F101-0005888</t>
  </si>
  <si>
    <t>JAHFISH E.I.R.L.</t>
  </si>
  <si>
    <t>01-0F101-0005889</t>
  </si>
  <si>
    <t>JAHFISH E.I.R.L.</t>
  </si>
  <si>
    <t>01-0F101-0005894</t>
  </si>
  <si>
    <t>JAHFISH E.I.R.L.</t>
  </si>
  <si>
    <t>01-0F101-0005895</t>
  </si>
  <si>
    <t>JAHFISH E.I.R.L.</t>
  </si>
  <si>
    <t>01-0F101-0005904</t>
  </si>
  <si>
    <t>JAHFISH E.I.R.L.</t>
  </si>
  <si>
    <t>01-0F101-0005905</t>
  </si>
  <si>
    <t>JAHFISH E.I.R.L.</t>
  </si>
  <si>
    <t>01-0F101-0005924</t>
  </si>
  <si>
    <t>JAHFISH E.I.R.L.</t>
  </si>
  <si>
    <t>01-0F101-0005925</t>
  </si>
  <si>
    <t>JAHFISH E.I.R.L.</t>
  </si>
  <si>
    <t>01-0F101-0005927</t>
  </si>
  <si>
    <t>JAHFISH E.I.R.L.</t>
  </si>
  <si>
    <t>01-0F101-0005928</t>
  </si>
  <si>
    <t>JAHFISH E.I.R.L.</t>
  </si>
  <si>
    <t>01-0F101-0005943</t>
  </si>
  <si>
    <t>JAHFISH E.I.R.L.</t>
  </si>
  <si>
    <t>01-0F101-0005944</t>
  </si>
  <si>
    <t>JAHFISH E.I.R.L.</t>
  </si>
  <si>
    <t>01-0F101-0005950</t>
  </si>
  <si>
    <t>JAHFISH E.I.R.L.</t>
  </si>
  <si>
    <t>01-0F101-0005951</t>
  </si>
  <si>
    <t>JAHFISH E.I.R.L.</t>
  </si>
  <si>
    <t>01-0F101-0005946</t>
  </si>
  <si>
    <t>JAHFISH E.I.R.L.</t>
  </si>
  <si>
    <t>01-0F101-0005947</t>
  </si>
  <si>
    <t>JAHFISH E.I.R.L.</t>
  </si>
  <si>
    <t>01-0F101-0005970</t>
  </si>
  <si>
    <t>JAHFISH E.I.R.L.</t>
  </si>
  <si>
    <t>01-0F101-0005971</t>
  </si>
  <si>
    <t>JAHFISH E.I.R.L.</t>
  </si>
  <si>
    <t>01-0F101-0005978</t>
  </si>
  <si>
    <t>JAHFISH E.I.R.L.</t>
  </si>
  <si>
    <t>01-0F101-0005979</t>
  </si>
  <si>
    <t>JAHFISH E.I.R.L.</t>
  </si>
  <si>
    <t>01-0F101-0005986</t>
  </si>
  <si>
    <t>JAHFISH E.I.R.L.</t>
  </si>
  <si>
    <t>01-0F101-0005987</t>
  </si>
  <si>
    <t>JAHFISH E.I.R.L.</t>
  </si>
  <si>
    <t>01-0F101-0005990</t>
  </si>
  <si>
    <t>JAHFISH E.I.R.L.</t>
  </si>
  <si>
    <t>01-0F101-0005991</t>
  </si>
  <si>
    <t>JAHFISH E.I.R.L.</t>
  </si>
  <si>
    <t>01-0F101-0006004</t>
  </si>
  <si>
    <t>JAHFISH E.I.R.L.</t>
  </si>
  <si>
    <t>01-0F101-0006005</t>
  </si>
  <si>
    <t>JAHFISH E.I.R.L.</t>
  </si>
  <si>
    <t>01-0F101-0006031</t>
  </si>
  <si>
    <t>JAHFISH E.I.R.L.</t>
  </si>
  <si>
    <t>01-0F101-0006032</t>
  </si>
  <si>
    <t>JAHFISH E.I.R.L.</t>
  </si>
  <si>
    <t>01-0F101-0006037</t>
  </si>
  <si>
    <t>JAHFISH E.I.R.L.</t>
  </si>
  <si>
    <t>01-0F101-0006038</t>
  </si>
  <si>
    <t>2000001172</t>
  </si>
  <si>
    <t>KULALIA SL</t>
  </si>
  <si>
    <t>FT-0F002-0000264</t>
  </si>
  <si>
    <t>KULALIA SL</t>
  </si>
  <si>
    <t>01-0F002-0000275</t>
  </si>
  <si>
    <t>KULALIA SL</t>
  </si>
  <si>
    <t>01-0F002-0000289</t>
  </si>
  <si>
    <t>2000000231</t>
  </si>
  <si>
    <t>LONGKOU JIABAO AQUATIC FOODSTUFFS</t>
  </si>
  <si>
    <t>01-0F002-0000273</t>
  </si>
  <si>
    <t>LONGKOU JIABAO AQUATIC FOODSTUFFS</t>
  </si>
  <si>
    <t>01-0F002-0000299</t>
  </si>
  <si>
    <t>2000001409</t>
  </si>
  <si>
    <t>Longkou Yunfeng Aquatic Food Co.,Lt</t>
  </si>
  <si>
    <t>SALDO A FAVOR</t>
  </si>
  <si>
    <t>Longkou Yunfeng Aquatic Food Co.,Lt</t>
  </si>
  <si>
    <t>SALDO A FAVOR</t>
  </si>
  <si>
    <t>Longkou Yunfeng Aquatic Food Co.,Lt</t>
  </si>
  <si>
    <t>ANTICIPO LONGYUN</t>
  </si>
  <si>
    <t>Longkou Yunfeng Aquatic Food Co.,Lt</t>
  </si>
  <si>
    <t>ANTICIPO LONGYUN</t>
  </si>
  <si>
    <t>6002007</t>
  </si>
  <si>
    <t>NAVAPEZ E.I.R.L.</t>
  </si>
  <si>
    <t>01-0F101-0004638</t>
  </si>
  <si>
    <t>NAVAPEZ E.I.R.L.</t>
  </si>
  <si>
    <t>01-0F101-0004639</t>
  </si>
  <si>
    <t>NAVAPEZ E.I.R.L.</t>
  </si>
  <si>
    <t>01-0F101-0004653</t>
  </si>
  <si>
    <t>NAVAPEZ E.I.R.L.</t>
  </si>
  <si>
    <t>01-0F101-0004654</t>
  </si>
  <si>
    <t>2000001359</t>
  </si>
  <si>
    <t>OCEANUS FISH S.L.</t>
  </si>
  <si>
    <t>01-0F002-0000287</t>
  </si>
  <si>
    <t>OCEANUS FISH S.L.</t>
  </si>
  <si>
    <t>01-0F002-0000296</t>
  </si>
  <si>
    <t>OCEANUS FISH S.L.</t>
  </si>
  <si>
    <t>01-0F002-0000297</t>
  </si>
  <si>
    <t>OCEANUS FISH S.L.</t>
  </si>
  <si>
    <t>01-0F002-0000301</t>
  </si>
  <si>
    <t>2000001369</t>
  </si>
  <si>
    <t>OVERSEA ATLANTIC FISH S.L.</t>
  </si>
  <si>
    <t>01-0F002-0000298</t>
  </si>
  <si>
    <t>OVERSEA ATLANTIC FISH S.L.</t>
  </si>
  <si>
    <t>SALDO A FAVOR</t>
  </si>
  <si>
    <t>1000013925</t>
  </si>
  <si>
    <t>PEGASUS ENTERPRISE S.A.C.</t>
  </si>
  <si>
    <t>FT-0F003-0000101</t>
  </si>
  <si>
    <t>PEGASUS ENTERPRISE S.A.C.</t>
  </si>
  <si>
    <t>01-0F003-0000129</t>
  </si>
  <si>
    <t>PEGASUS ENTERPRISE S.A.C.</t>
  </si>
  <si>
    <t>01-0F003-0000168</t>
  </si>
  <si>
    <t>PEGASUS ENTERPRISE S.A.C.</t>
  </si>
  <si>
    <t>01-0F003-0000174</t>
  </si>
  <si>
    <t>1000015185</t>
  </si>
  <si>
    <t>PESCACORD PERU SOCIEDAD ANONIMA CER</t>
  </si>
  <si>
    <t>01-0F101-0005798</t>
  </si>
  <si>
    <t>PESCACORD PERU SOCIEDAD ANONIMA CER</t>
  </si>
  <si>
    <t>01-0F101-0005799</t>
  </si>
  <si>
    <t>PESCACORD PERU SOCIEDAD ANONIMA CER</t>
  </si>
  <si>
    <t>01-0F101-0005814</t>
  </si>
  <si>
    <t>PESCACORD PERU SOCIEDAD ANONIMA CER</t>
  </si>
  <si>
    <t>01-0F101-0005815</t>
  </si>
  <si>
    <t>PESCACORD PERU SOCIEDAD ANONIMA CER</t>
  </si>
  <si>
    <t>01-0F101-0005849</t>
  </si>
  <si>
    <t>PESCACORD PERU SOCIEDAD ANONIMA CER</t>
  </si>
  <si>
    <t>01-0F101-0005850</t>
  </si>
  <si>
    <t>PESCACORD PERU SOCIEDAD ANONIMA CER</t>
  </si>
  <si>
    <t>01-0F101-0005890</t>
  </si>
  <si>
    <t>PESCACORD PERU SOCIEDAD ANONIMA CER</t>
  </si>
  <si>
    <t>01-0F101-0005891</t>
  </si>
  <si>
    <t>PESCACORD PERU SOCIEDAD ANONIMA CER</t>
  </si>
  <si>
    <t>01-0F101-0005902</t>
  </si>
  <si>
    <t>PESCACORD PERU SOCIEDAD ANONIMA CER</t>
  </si>
  <si>
    <t>01-0F101-0005903</t>
  </si>
  <si>
    <t>PESCACORD PERU SOCIEDAD ANONIMA CER</t>
  </si>
  <si>
    <t>01-0F101-0005937</t>
  </si>
  <si>
    <t>PESCACORD PERU SOCIEDAD ANONIMA CER</t>
  </si>
  <si>
    <t>01-0F101-0005938</t>
  </si>
  <si>
    <t>PESCACORD PERU SOCIEDAD ANONIMA CER</t>
  </si>
  <si>
    <t>01-0F101-0005962</t>
  </si>
  <si>
    <t>PESCACORD PERU SOCIEDAD ANONIMA CER</t>
  </si>
  <si>
    <t>01-0F101-0005963</t>
  </si>
  <si>
    <t>PESCACORD PERU SOCIEDAD ANONIMA CER</t>
  </si>
  <si>
    <t>01-0F101-0005996</t>
  </si>
  <si>
    <t>PESCACORD PERU SOCIEDAD ANONIMA CER</t>
  </si>
  <si>
    <t>01-0F101-0005997</t>
  </si>
  <si>
    <t>PESCACORD PERU SOCIEDAD ANONIMA CER</t>
  </si>
  <si>
    <t>01-0F101-0006010</t>
  </si>
  <si>
    <t>PESCACORD PERU SOCIEDAD ANONIMA CER</t>
  </si>
  <si>
    <t>01-0F101-0006011</t>
  </si>
  <si>
    <t>PESCACORD PERU SOCIEDAD ANONIMA CER</t>
  </si>
  <si>
    <t>01-0F101-0006023</t>
  </si>
  <si>
    <t>PESCACORD PERU SOCIEDAD ANONIMA CER</t>
  </si>
  <si>
    <t>01-0F101-0006024</t>
  </si>
  <si>
    <t>Pesciro Asia International LTD.</t>
  </si>
  <si>
    <t>FT-0F002-0000267</t>
  </si>
  <si>
    <t>2000000267</t>
  </si>
  <si>
    <t>PESCIRO SLU</t>
  </si>
  <si>
    <t>FT-0F002-0000265</t>
  </si>
  <si>
    <t>6000434</t>
  </si>
  <si>
    <t>PESQUERA HAYDUK S.A.</t>
  </si>
  <si>
    <t>01-0F003-0000083</t>
  </si>
  <si>
    <t>1000001607</t>
  </si>
  <si>
    <t>PROVEEDORA DE PRODUCTOS MARINOS</t>
  </si>
  <si>
    <t>01-0F003-0000181</t>
  </si>
  <si>
    <t>2000001419</t>
  </si>
  <si>
    <t>Qingdao Haiyujia International</t>
  </si>
  <si>
    <t>ANTICIPO QINGHAI</t>
  </si>
  <si>
    <t>Qingdao Haiyujia International</t>
  </si>
  <si>
    <t>ANTICIPO QINGHAI</t>
  </si>
  <si>
    <t>Qingdao Haiyujia International</t>
  </si>
  <si>
    <t>ANTICIPO QINGHAI</t>
  </si>
  <si>
    <t>1000001965</t>
  </si>
  <si>
    <t>SERVICIOS DIESEL EXPRESS E.I.R.L.</t>
  </si>
  <si>
    <t>01-0F101-0005864</t>
  </si>
  <si>
    <t>SERVICIOS DIESEL EXPRESS E.I.R.L.</t>
  </si>
  <si>
    <t>01-0F101-0005878</t>
  </si>
  <si>
    <t>SERVICIOS DIESEL EXPRESS E.I.R.L.</t>
  </si>
  <si>
    <t>01-0F101-0005917</t>
  </si>
  <si>
    <t>SERVICIOS DIESEL EXPRESS E.I.R.L.</t>
  </si>
  <si>
    <t>01-0F101-0005955</t>
  </si>
  <si>
    <t>SERVICIOS DIESEL EXPRESS E.I.R.L.</t>
  </si>
  <si>
    <t>01-0F101-0005998</t>
  </si>
  <si>
    <t>2000001418</t>
  </si>
  <si>
    <t>Shandong Sheenier Food Co., Ltd.</t>
  </si>
  <si>
    <t>ANTICIPO SHANSHE</t>
  </si>
  <si>
    <t>Shandong Sheenier Food Co., Ltd.</t>
  </si>
  <si>
    <t>01-0F002-0000288</t>
  </si>
  <si>
    <t>Shandong Sheenier Food Co., Ltd.</t>
  </si>
  <si>
    <t>ANTICIPO SHANSHE</t>
  </si>
  <si>
    <t>1000013801</t>
  </si>
  <si>
    <t>STL 5.0 S.A.C.</t>
  </si>
  <si>
    <t>01-0F101-0005685</t>
  </si>
  <si>
    <t>STL 5.0 S.A.C.</t>
  </si>
  <si>
    <t>01-0F101-0005686</t>
  </si>
  <si>
    <t>STL 5.0 S.A.C.</t>
  </si>
  <si>
    <t>01-0F101-0006012</t>
  </si>
  <si>
    <t>STL 5.0 S.A.C.</t>
  </si>
  <si>
    <t>01-0F101-0006013</t>
  </si>
  <si>
    <t>1000013794</t>
  </si>
  <si>
    <t>TECAMPA EIRL</t>
  </si>
  <si>
    <t>FT-0F101-0004285</t>
  </si>
  <si>
    <t>1000013686</t>
  </si>
  <si>
    <t>TRANSPORTES O Y G S.A.C.</t>
  </si>
  <si>
    <t>01-0F101-0005906</t>
  </si>
  <si>
    <t>2000000786</t>
  </si>
  <si>
    <t>TSUJINO &amp; CO., LTD</t>
  </si>
  <si>
    <t>01-0F002-0000271</t>
  </si>
  <si>
    <t>TSUJINO &amp; CO., LTD</t>
  </si>
  <si>
    <t>01-0F002-0000272</t>
  </si>
  <si>
    <t>01-0F002-0000276</t>
  </si>
  <si>
    <t>TSUJINO &amp; CO., LTD</t>
  </si>
  <si>
    <t>01-0F002-0000277</t>
  </si>
  <si>
    <t>TSUJINO &amp; CO., LTD</t>
  </si>
  <si>
    <t>01-0F002-0000278</t>
  </si>
  <si>
    <t>TSUJINO &amp; CO., LTD</t>
  </si>
  <si>
    <t>01-0F002-0000280</t>
  </si>
  <si>
    <t>TSUJINO &amp; CO., LTD</t>
  </si>
  <si>
    <t>01-0F002-0000290</t>
  </si>
  <si>
    <t>TSUJINO &amp; CO., LTD</t>
  </si>
  <si>
    <t>01-0F002-0000291</t>
  </si>
  <si>
    <t>2000001348</t>
  </si>
  <si>
    <t>YANTAI JIAHONG IMP &amp; EXP CO., LTD.</t>
  </si>
  <si>
    <t>01-0F002-0000302</t>
  </si>
  <si>
    <t>2000001069</t>
  </si>
  <si>
    <t>YANTAI TAIXI FOODSTUFF CO., LTD</t>
  </si>
  <si>
    <t>ANTICIPO YANTAIT</t>
  </si>
  <si>
    <t>YANTAI TAIXI FOODSTUFF CO., LTD</t>
  </si>
  <si>
    <t>01-0F002-0000294</t>
  </si>
  <si>
    <t>YANTAI TAIXI FOODSTUFF CO., LTD</t>
  </si>
  <si>
    <t>01-0F002-0000292</t>
  </si>
  <si>
    <t>YANTAI TAIXI FOODSTUFF CO., LTD</t>
  </si>
  <si>
    <t>01-0F002-0000293</t>
  </si>
  <si>
    <t>YANTAI TAIXI FOODSTUFF CO., LTD</t>
  </si>
  <si>
    <t>01-0F002-0000300</t>
  </si>
  <si>
    <t>UNIDAD DE NEGOCIO</t>
  </si>
  <si>
    <t>NACIONAL</t>
  </si>
  <si>
    <t>RESIDUOS</t>
  </si>
  <si>
    <t>RODRIGO</t>
  </si>
  <si>
    <t>EXPORTACIÓN</t>
  </si>
  <si>
    <t>Etiquetas de fila</t>
  </si>
  <si>
    <t>Suma de Importe en moneda doc.</t>
  </si>
  <si>
    <t>Total general</t>
  </si>
  <si>
    <t>Etiquetas de columna</t>
  </si>
  <si>
    <t>Mar</t>
  </si>
  <si>
    <t>Abr</t>
  </si>
  <si>
    <t>FECHA IDEAL DE PAGO</t>
  </si>
  <si>
    <t>DÍAS VENCIDOS</t>
  </si>
  <si>
    <t>Vcto finanzas SEMANA PASADA</t>
  </si>
  <si>
    <t>Vcto finanzas</t>
  </si>
  <si>
    <t>USD HOMOL</t>
  </si>
  <si>
    <t>DÍAS ATRASADOS</t>
  </si>
  <si>
    <t>ANTIGÜEDAD</t>
  </si>
  <si>
    <t>(Todas)</t>
  </si>
  <si>
    <t>ANTICIPO DAIRECK</t>
  </si>
  <si>
    <t>Suma de USD HOMOL</t>
  </si>
  <si>
    <t>0-45</t>
  </si>
  <si>
    <t>46-60</t>
  </si>
  <si>
    <t>Cuenta de DÍAS VENCIDOS</t>
  </si>
  <si>
    <t>Suma de DÍAS ATRASADOS</t>
  </si>
  <si>
    <t>(Varios elementos)</t>
  </si>
  <si>
    <t>May</t>
  </si>
  <si>
    <t>Jun</t>
  </si>
  <si>
    <t>Total Abr</t>
  </si>
  <si>
    <t>Total May</t>
  </si>
  <si>
    <t>&lt;29/04/2026</t>
  </si>
  <si>
    <t>29-Abr</t>
  </si>
  <si>
    <t>12-May</t>
  </si>
  <si>
    <t>13-May</t>
  </si>
  <si>
    <t>14-May</t>
  </si>
  <si>
    <t>23-May</t>
  </si>
  <si>
    <t>27-May</t>
  </si>
  <si>
    <t>28-May</t>
  </si>
  <si>
    <t>CUENTAS POR COBRAR ACTUAL DEL 27/04/2026</t>
  </si>
  <si>
    <t>CUENTAS POR COBRAR SEMANA PASADA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</si>
</sst>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28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3" fontId="1" fillId="0" borderId="0" xfId="0" quotePrefix="1" applyNumberFormat="1" applyFont="1" applyAlignment="1">
      <alignment vertical="top"/>
    </xf>
    <xf numFmtId="4" fontId="1" fillId="0" borderId="0" xfId="0" quotePrefix="1" applyNumberFormat="1" applyFont="1" applyAlignment="1">
      <alignment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vertical="top"/>
    </xf>
    <xf numFmtId="0" fontId="0" fillId="0" borderId="0" xfId="0" applyAlignment="1">
      <alignment horizontal="left" vertical="top" indent="1"/>
    </xf>
    <xf numFmtId="0" fontId="0" fillId="0" borderId="0" xfId="0" applyAlignment="1">
      <alignment vertical="top" wrapText="1"/>
    </xf>
    <xf numFmtId="0" fontId="4" fillId="3" borderId="0" xfId="2" applyFont="1" applyFill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14" fontId="0" fillId="0" borderId="0" xfId="0" applyNumberFormat="1" applyAlignment="1">
      <alignment vertical="top"/>
    </xf>
    <xf numFmtId="43" fontId="0" fillId="0" borderId="0" xfId="1" applyFont="1" applyAlignment="1">
      <alignment vertical="top"/>
    </xf>
    <xf numFmtId="43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0" fontId="0" fillId="0" borderId="0" xfId="0" pivotButton="1" applyAlignment="1">
      <alignment vertical="top" wrapText="1"/>
    </xf>
    <xf numFmtId="164" fontId="0" fillId="0" borderId="0" xfId="0" applyNumberFormat="1" applyAlignment="1">
      <alignment vertical="top"/>
    </xf>
    <xf numFmtId="164" fontId="0" fillId="3" borderId="0" xfId="0" applyNumberFormat="1" applyFill="1" applyAlignment="1">
      <alignment vertical="top"/>
    </xf>
    <xf numFmtId="164" fontId="0" fillId="4" borderId="0" xfId="0" applyNumberFormat="1" applyFill="1" applyAlignment="1">
      <alignment vertical="top"/>
    </xf>
    <xf numFmtId="0" fontId="4" fillId="0" borderId="0" xfId="2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</cellXfs>
  <cellStyles count="3">
    <cellStyle name="Millares" xfId="1" builtinId="3"/>
    <cellStyle name="Normal" xfId="0" builtinId="0"/>
    <cellStyle name="Normal 2" xfId="2" xr:uid="{DCE4546E-F1F3-458F-B58C-1E0C1BCEA5D7}"/>
  </cellStyles>
  <dxfs count="38">
    <dxf>
      <alignment wrapText="1"/>
    </dxf>
    <dxf>
      <alignment wrapText="1"/>
    </dxf>
    <dxf>
      <numFmt numFmtId="35" formatCode="_-* #,##0.00_-;\-* #,##0.00_-;_-* &quot;-&quot;??_-;_-@_-"/>
    </dxf>
    <dxf>
      <alignment wrapText="1"/>
    </dxf>
    <dxf>
      <alignment wrapText="1"/>
    </dxf>
    <dxf>
      <numFmt numFmtId="35" formatCode="_-* #,##0.00_-;\-* #,##0.00_-;_-* &quot;-&quot;??_-;_-@_-"/>
    </dxf>
    <dxf>
      <numFmt numFmtId="35" formatCode="_-* #,##0.00_-;\-* #,##0.00_-;_-* &quot;-&quot;??_-;_-@_-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rgb="FFFFFF00"/>
        </patternFill>
      </fill>
    </dxf>
    <dxf>
      <numFmt numFmtId="164" formatCode="_-* #,##0_-;\-* #,##0_-;_-* &quot;-&quot;??_-;_-@_-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rgb="FFFFFF00"/>
        </patternFill>
      </fill>
    </dxf>
    <dxf>
      <numFmt numFmtId="164" formatCode="_-* #,##0_-;\-* #,##0_-;_-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aydukcorporacion-my.sharepoint.com/Users/victorcsr/Desktop/Victor/8.%20CxC/2026/15.%20Deuda%2017.04.2026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Hugo Caman San Roman (PFRO)" refreshedDate="46139.745515856484" createdVersion="8" refreshedVersion="8" minRefreshableVersion="3" recordCount="115" xr:uid="{712E5EAB-7406-41CB-B291-11EB8455B174}">
  <cacheSource type="worksheet">
    <worksheetSource ref="A1:T1048576" sheet="Data" r:id="rId2"/>
  </cacheSource>
  <cacheFields count="23">
    <cacheField name="Cliente" numFmtId="0">
      <sharedItems containsBlank="1"/>
    </cacheField>
    <cacheField name="Nombre de cliente" numFmtId="0">
      <sharedItems containsBlank="1" count="28">
        <s v="ARKANO TRADING SOCIEDAD ANONIMA CER"/>
        <s v="AVANCE GROUP LTD"/>
        <s v="CORPORACION NACIONAL PERU EXPORTACI"/>
        <s v="DAIRECK SA"/>
        <s v="ELMER SIXTO SOJO ACARO"/>
        <s v="GLOBAL OCEAN FLEXTRADING, S. L"/>
        <s v="Hunan Jinyueyang Import and Export"/>
        <s v="JAHFISH E.I.R.L."/>
        <s v="KULALIA SL"/>
        <s v="LONGKOU JIABAO AQUATIC FOODSTUFFS"/>
        <s v="Longkou Yunfeng Aquatic Food Co.,Lt"/>
        <s v="NAVAPEZ E.I.R.L."/>
        <s v="OCEANUS FISH S.L."/>
        <s v="OVERSEA ATLANTIC FISH S.L."/>
        <s v="PEGASUS ENTERPRISE S.A.C."/>
        <s v="PESCACORD PERU SOCIEDAD ANONIMA CER"/>
        <s v="Pesciro Asia International LTD."/>
        <s v="PESCIRO SLU"/>
        <s v="PESQUERA HAYDUK S.A."/>
        <s v="Qingdao Haiyujia International"/>
        <s v="SERVICIOS DIESEL EXPRESS E.I.R.L."/>
        <s v="Shandong Sheenier Food Co., Ltd."/>
        <s v="STL 5.0 S.A.C."/>
        <s v="TECAMPA EIRL"/>
        <s v="TRANSPORTES O Y G S.A.C."/>
        <s v="TSUJINO &amp; CO., LTD"/>
        <s v="YANTAI TAIXI FOODSTUFF CO., LTD"/>
        <m/>
      </sharedItems>
    </cacheField>
    <cacheField name="Nº documento" numFmtId="0">
      <sharedItems containsBlank="1"/>
    </cacheField>
    <cacheField name="Referencia" numFmtId="0">
      <sharedItems containsBlank="1" count="109">
        <s v="01-0F101-0004694"/>
        <s v="01-0F101-0004700"/>
        <s v="01-0F101-0004710"/>
        <s v="01-0F101-0004729"/>
        <s v="01-0F101-0004736"/>
        <s v="01-0F101-0004758"/>
        <s v="01-0F101-0004762"/>
        <s v="01-0F101-0004763"/>
        <s v="01-0F101-0004772"/>
        <s v="01-0F101-0004803"/>
        <s v="01-0F101-0004855"/>
        <s v="01-0F101-0005160"/>
        <s v="01-0F101-0005198"/>
        <s v="01-0F101-0005211"/>
        <s v="01-0F101-0005224"/>
        <s v="01-0F101-0005225"/>
        <s v="01-0F101-0005231"/>
        <s v="01-0F002-0000251"/>
        <s v="01-0F101-0005458"/>
        <s v="01-0F101-0005470"/>
        <s v="01-0F101-0005482"/>
        <s v="01-0F101-0005569"/>
        <s v="01-0F101-0005730"/>
        <s v="01-0F101-0005740"/>
        <s v="FT-0F002-0000270"/>
        <s v="01-0F002-0000281"/>
        <s v="01-0F002-0000282"/>
        <s v="01-0F002-0000283"/>
        <s v="01-0F002-0000284"/>
        <s v="01-0F002-0000285"/>
        <s v="01-0F002-0000286"/>
        <s v="03-0B001-0004423"/>
        <s v="03-0B001-0004424"/>
        <s v="03-0B001-0004429"/>
        <s v="03-0B001-0004430"/>
        <s v="03-0B001-0004435"/>
        <s v="03-0B001-0004436"/>
        <s v="01-0F002-0000295"/>
        <s v="07-0F002-0000043"/>
        <s v="ANTICIPO HUNANJI"/>
        <s v="01-0F101-0005794"/>
        <s v="01-0F101-0005795"/>
        <s v="01-0F101-0005803"/>
        <s v="01-0F101-0005804"/>
        <s v="01-0F101-0005805"/>
        <s v="01-0F101-0005806"/>
        <s v="01-0F101-0005820"/>
        <s v="01-0F101-0005821"/>
        <s v="01-0F101-0005833"/>
        <s v="01-0F101-0005834"/>
        <s v="01-0F101-0005865"/>
        <s v="01-0F101-0005866"/>
        <s v="01-0F101-0005888"/>
        <s v="01-0F101-0005889"/>
        <s v="01-0F101-0005894"/>
        <s v="01-0F101-0005895"/>
        <s v="01-0F101-0005904"/>
        <s v="01-0F101-0005905"/>
        <s v="FT-0F002-0000264"/>
        <s v="01-0F002-0000275"/>
        <s v="01-0F002-0000289"/>
        <s v="01-0F002-0000273"/>
        <s v="SALDO A FAVOR"/>
        <s v="ANTICIPO LONGYUN"/>
        <s v="01-0F101-0004638"/>
        <s v="01-0F101-0004639"/>
        <s v="01-0F101-0004653"/>
        <s v="01-0F101-0004654"/>
        <s v="01-0F002-0000287"/>
        <s v="01-0F002-0000296"/>
        <s v="01-0F002-0000297"/>
        <s v="01-0F002-0000298"/>
        <s v="FT-0F003-0000101"/>
        <s v="01-0F003-0000129"/>
        <s v="01-0F003-0000168"/>
        <s v="01-0F003-0000174"/>
        <s v="01-0F101-0005849"/>
        <s v="01-0F101-0005850"/>
        <s v="01-0F101-0005890"/>
        <s v="01-0F101-0005891"/>
        <s v="01-0F101-0005902"/>
        <s v="01-0F101-0005903"/>
        <s v="FT-0F002-0000267"/>
        <s v="FT-0F002-0000265"/>
        <s v="01-0F003-0000083"/>
        <s v="ANTICIPO QINGHAI"/>
        <s v="01-0F101-0005781"/>
        <s v="01-0F101-0005813"/>
        <s v="01-0F101-0005832"/>
        <s v="01-0F101-0005864"/>
        <s v="01-0F101-0005878"/>
        <s v="ANTICIPO SHANSHE"/>
        <s v="01-0F002-0000288"/>
        <s v="01-0F101-0005687"/>
        <s v="FT-0F101-0004285"/>
        <s v="01-0F101-0005906"/>
        <s v="01-0F002-0000271"/>
        <s v="01-0F002-0000272"/>
        <s v="01-0F002-0000276"/>
        <s v="01-0F002-0000277"/>
        <s v="01-0F002-0000278"/>
        <s v="01-0F002-0000280"/>
        <s v="01-0F002-0000290"/>
        <s v="01-0F002-0000291"/>
        <s v="ANTICIPO YANTAIT"/>
        <s v="01-0F002-0000294"/>
        <s v="01-0F002-0000292"/>
        <s v="01-0F002-0000293"/>
        <m/>
      </sharedItems>
    </cacheField>
    <cacheField name="Clase de documento" numFmtId="0">
      <sharedItems containsBlank="1" count="7">
        <s v="DF"/>
        <s v="DE"/>
        <s v="DB"/>
        <s v="DC"/>
        <s v="DZ"/>
        <s v="ZV"/>
        <m/>
      </sharedItems>
    </cacheField>
    <cacheField name="Fecha de documento" numFmtId="0">
      <sharedItems containsNonDate="0" containsDate="1" containsString="0" containsBlank="1" minDate="2025-10-07T00:00:00" maxDate="2026-04-21T00:00:00"/>
    </cacheField>
    <cacheField name="Demora tras vencimiento neto" numFmtId="0">
      <sharedItems containsString="0" containsBlank="1" containsNumber="1" containsInteger="1" minValue="-52" maxValue="190"/>
    </cacheField>
    <cacheField name="Fecha de pago" numFmtId="0">
      <sharedItems containsNonDate="0" containsDate="1" containsString="0" containsBlank="1" minDate="2025-10-12T00:00:00" maxDate="2026-06-12T00:00:00"/>
    </cacheField>
    <cacheField name="Importe en moneda doc." numFmtId="0">
      <sharedItems containsString="0" containsBlank="1" containsNumber="1" minValue="-168395" maxValue="669600"/>
    </cacheField>
    <cacheField name="Moneda del documento" numFmtId="0">
      <sharedItems containsBlank="1"/>
    </cacheField>
    <cacheField name="UNIDAD DE NEGOCIO" numFmtId="0">
      <sharedItems containsBlank="1"/>
    </cacheField>
    <cacheField name="Doc.compensación" numFmtId="0">
      <sharedItems containsBlank="1"/>
    </cacheField>
    <cacheField name="Bloqueo de pago" numFmtId="0">
      <sharedItems containsBlank="1"/>
    </cacheField>
    <cacheField name="FECHA IDEAL DE PAGO" numFmtId="0">
      <sharedItems containsNonDate="0" containsDate="1" containsString="0" containsBlank="1" minDate="2026-04-14T00:00:00" maxDate="2026-06-05T00:00:00"/>
    </cacheField>
    <cacheField name="DÍAS VENCIDOS" numFmtId="0">
      <sharedItems containsString="0" containsBlank="1" containsNumber="1" containsInteger="1" minValue="2" maxValue="26"/>
    </cacheField>
    <cacheField name="Vcto finanzas SEMANA PASADA" numFmtId="0">
      <sharedItems containsNonDate="0" containsDate="1" containsString="0" containsBlank="1" minDate="2026-04-14T00:00:00" maxDate="2026-05-24T00:00:00"/>
    </cacheField>
    <cacheField name="Vcto finanzas" numFmtId="0">
      <sharedItems containsNonDate="0" containsDate="1" containsString="0" containsBlank="1" minDate="2025-10-12T00:00:00" maxDate="2026-05-29T00:00:00" count="50">
        <d v="2025-11-26T00:00:00"/>
        <d v="2025-11-27T00:00:00"/>
        <d v="2025-11-28T00:00:00"/>
        <d v="2025-11-29T00:00:00"/>
        <d v="2025-12-04T00:00:00"/>
        <d v="2026-01-13T00:00:00"/>
        <d v="2026-01-15T00:00:00"/>
        <d v="2026-01-17T00:00:00"/>
        <d v="2026-01-23T00:00:00"/>
        <d v="2026-01-26T00:00:00"/>
        <d v="2026-04-30T00:00:00"/>
        <d v="2026-03-24T00:00:00"/>
        <d v="2026-03-26T00:00:00"/>
        <d v="2026-03-28T00:00:00"/>
        <d v="2026-04-06T00:00:00"/>
        <d v="2026-04-16T00:00:00"/>
        <d v="2026-04-17T00:00:00"/>
        <d v="2026-05-05T00:00:00"/>
        <d v="2026-05-13T00:00:00"/>
        <d v="2026-04-23T00:00:00"/>
        <d v="2026-04-26T00:00:00"/>
        <d v="2026-05-27T00:00:00"/>
        <d v="2026-04-21T00:00:00"/>
        <d v="2026-04-22T00:00:00"/>
        <d v="2026-04-24T00:00:00"/>
        <d v="2026-04-25T00:00:00"/>
        <d v="2026-04-19T00:00:00"/>
        <d v="2026-04-29T00:00:00"/>
        <d v="2026-05-12T00:00:00"/>
        <d v="2026-05-23T00:00:00"/>
        <d v="2026-03-17T00:00:00"/>
        <d v="2026-04-01T00:00:00"/>
        <d v="2025-11-10T00:00:00"/>
        <d v="2025-11-13T00:00:00"/>
        <d v="2026-04-20T00:00:00"/>
        <d v="2026-05-28T00:00:00"/>
        <d v="2025-10-21T00:00:00"/>
        <d v="2025-11-11T00:00:00"/>
        <d v="2026-02-07T00:00:00"/>
        <d v="2026-03-10T00:00:00"/>
        <d v="2026-05-02T00:00:00"/>
        <d v="2025-10-14T00:00:00"/>
        <d v="2026-03-31T00:00:00"/>
        <d v="2026-04-18T00:00:00"/>
        <d v="2026-05-14T00:00:00"/>
        <d v="2026-04-08T00:00:00"/>
        <d v="2025-10-12T00:00:00"/>
        <d v="2026-04-27T00:00:00"/>
        <m/>
        <d v="2026-04-14T00:00:00" u="1"/>
      </sharedItems>
      <fieldGroup par="22"/>
    </cacheField>
    <cacheField name="USD HOMOL" numFmtId="0">
      <sharedItems containsString="0" containsBlank="1" containsNumber="1" minValue="-168395" maxValue="669600"/>
    </cacheField>
    <cacheField name="DÍAS ATRASADOS" numFmtId="0">
      <sharedItems containsString="0" containsBlank="1" containsNumber="1" containsInteger="1" minValue="7" maxValue="58"/>
    </cacheField>
    <cacheField name="ANTIGÜEDAD" numFmtId="0">
      <sharedItems containsBlank="1" count="3">
        <m/>
        <s v="46-60"/>
        <s v="0-45"/>
      </sharedItems>
    </cacheField>
    <cacheField name="Meses (Vcto finanzas)" numFmtId="0" databaseField="0">
      <fieldGroup base="16">
        <rangePr groupBy="months" startDate="2025-10-12T00:00:00" endDate="2026-05-29T00:00:00"/>
        <groupItems count="14">
          <s v="&lt;12/10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29/05/2026"/>
        </groupItems>
      </fieldGroup>
    </cacheField>
    <cacheField name="Trimestres (Vcto finanzas)" numFmtId="0" databaseField="0">
      <fieldGroup base="16">
        <rangePr groupBy="quarters" startDate="2025-10-12T00:00:00" endDate="2026-05-29T00:00:00"/>
        <groupItems count="6">
          <s v="&lt;12/10/2025"/>
          <s v="Trim.1"/>
          <s v="Trim.2"/>
          <s v="Trim.3"/>
          <s v="Trim.4"/>
          <s v="&gt;29/05/2026"/>
        </groupItems>
      </fieldGroup>
    </cacheField>
    <cacheField name="Años (Vcto finanzas)" numFmtId="0" databaseField="0">
      <fieldGroup base="16">
        <rangePr groupBy="years" startDate="2025-10-12T00:00:00" endDate="2026-05-29T00:00:00"/>
        <groupItems count="4">
          <s v="&lt;12/10/2025"/>
          <s v="2025"/>
          <s v="2026"/>
          <s v="&gt;29/0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139.831181597219" createdVersion="8" refreshedVersion="8" minRefreshableVersion="3" recordCount="183" xr:uid="{D48C09F8-1DB5-40BB-805C-7A3D712D94BC}">
  <cacheSource type="worksheet">
    <worksheetSource ref="A1:Q1048576" sheet="Data"/>
  </cacheSource>
  <cacheFields count="22">
    <cacheField name="Cliente" numFmtId="0">
      <sharedItems containsBlank="1"/>
    </cacheField>
    <cacheField name="Nombre de cliente" numFmtId="0">
      <sharedItems containsBlank="1" count="31">
        <s v="ARKANO TRADING SOCIEDAD ANONIMA CER"/>
        <s v="CARLOS ALBERTO MARTINEZ QUEREVALU"/>
        <s v="CORPORACION NACIONAL PERU EXPORTACI"/>
        <s v="CRISTO DE LA VICTORIA S.A.C."/>
        <s v="DAIRECK SA"/>
        <s v="ELMER SIXTO SOJO ACARO"/>
        <s v="GLOBAL OCEAN FLEXTRADING, S. L"/>
        <s v="Hunan Jinyueyang Import and Export"/>
        <s v="INVERSIONES JOCYMAS SOCIEDAD ANONIM"/>
        <s v="JAHFISH E.I.R.L."/>
        <s v="KULALIA SL"/>
        <s v="LONGKOU JIABAO AQUATIC FOODSTUFFS"/>
        <s v="Longkou Yunfeng Aquatic Food Co.,Lt"/>
        <s v="NAVAPEZ E.I.R.L."/>
        <s v="OCEANUS FISH S.L."/>
        <s v="OVERSEA ATLANTIC FISH S.L."/>
        <s v="PEGASUS ENTERPRISE S.A.C."/>
        <s v="PESCACORD PERU SOCIEDAD ANONIMA CER"/>
        <s v="PESCIRO SLU"/>
        <s v="PESQUERA HAYDUK S.A."/>
        <s v="PROVEEDORA DE PRODUCTOS MARINOS"/>
        <s v="Qingdao Haiyujia International"/>
        <s v="SERVICIOS DIESEL EXPRESS E.I.R.L."/>
        <s v="Shandong Sheenier Food Co., Ltd."/>
        <s v="STL 5.0 S.A.C."/>
        <s v="TECAMPA EIRL"/>
        <s v="TRANSPORTES O Y G S.A.C."/>
        <s v="TSUJINO &amp; CO., LTD"/>
        <s v="YANTAI JIAHONG IMP &amp; EXP CO., LTD."/>
        <s v="YANTAI TAIXI FOODSTUFF CO., LTD"/>
        <m/>
      </sharedItems>
    </cacheField>
    <cacheField name="Referencia" numFmtId="0">
      <sharedItems containsBlank="1" count="172">
        <s v="01-0F101-0004694"/>
        <s v="01-0F101-0004700"/>
        <s v="01-0F101-0004710"/>
        <s v="01-0F101-0004729"/>
        <s v="01-0F101-0004736"/>
        <s v="01-0F101-0004758"/>
        <s v="01-0F101-0004762"/>
        <s v="01-0F101-0004763"/>
        <s v="01-0F101-0004772"/>
        <s v="01-0F101-0004803"/>
        <s v="01-0F101-0004855"/>
        <s v="01-0F101-0005160"/>
        <s v="01-0F101-0005198"/>
        <s v="01-0F101-0005211"/>
        <s v="01-0F101-0005224"/>
        <s v="01-0F101-0005225"/>
        <s v="01-0F101-0005231"/>
        <s v="03-0B001-0004349"/>
        <s v="03-0B001-0004350"/>
        <s v="03-0B001-0004421"/>
        <s v="03-0B001-0004422"/>
        <s v="01-0F101-0005458"/>
        <s v="01-0F101-0005470"/>
        <s v="01-0F101-0005482"/>
        <s v="01-0F101-0005569"/>
        <s v="01-0F101-0005730"/>
        <s v="01-0F101-0005740"/>
        <s v="01-0F101-0006016"/>
        <s v="01-0F101-0006035"/>
        <s v="01-0F101-0006036"/>
        <s v="01-0F002-0000281"/>
        <s v="01-0F002-0000282"/>
        <s v="01-0F002-0000283"/>
        <s v="01-0F002-0000284"/>
        <s v="01-0F002-0000285"/>
        <s v="01-0F002-0000286"/>
        <s v="FT-0F002-0000270"/>
        <s v="ANTICIPO DAIRECK"/>
        <s v="03-0B001-0004423"/>
        <s v="03-0B001-0004424"/>
        <s v="03-0B001-0004429"/>
        <s v="03-0B001-0004430"/>
        <s v="03-0B001-0004435"/>
        <s v="03-0B001-0004436"/>
        <s v="03-0B001-0004437"/>
        <s v="03-0B001-0004438"/>
        <s v="03-0B001-0004439"/>
        <s v="03-0B001-0004440"/>
        <s v="03-0B001-0004449"/>
        <s v="03-0B001-0004450"/>
        <s v="03-0B001-0004455"/>
        <s v="03-0B001-0004456"/>
        <s v="03-0B001-0004462"/>
        <s v="03-0B001-0004463"/>
        <s v="03-0B001-0004464"/>
        <s v="03-0B001-0004465"/>
        <s v="01-0F002-0000295"/>
        <s v="07-0F002-0000043"/>
        <s v="ANTICIPO HUNANJI"/>
        <s v="01-0F101-0005948"/>
        <s v="01-0F101-0005949"/>
        <s v="01-0F101-0005794"/>
        <s v="01-0F101-0005795"/>
        <s v="01-0F101-0005803"/>
        <s v="01-0F101-0005804"/>
        <s v="01-0F101-0005805"/>
        <s v="01-0F101-0005806"/>
        <s v="01-0F101-0005820"/>
        <s v="01-0F101-0005821"/>
        <s v="01-0F101-0005833"/>
        <s v="01-0F101-0005834"/>
        <s v="01-0F101-0005865"/>
        <s v="01-0F101-0005866"/>
        <s v="01-0F101-0005888"/>
        <s v="01-0F101-0005889"/>
        <s v="01-0F101-0005894"/>
        <s v="01-0F101-0005895"/>
        <s v="01-0F101-0005904"/>
        <s v="01-0F101-0005905"/>
        <s v="01-0F101-0005924"/>
        <s v="01-0F101-0005925"/>
        <s v="01-0F101-0005927"/>
        <s v="01-0F101-0005928"/>
        <s v="01-0F101-0005943"/>
        <s v="01-0F101-0005944"/>
        <s v="01-0F101-0005950"/>
        <s v="01-0F101-0005951"/>
        <s v="01-0F101-0005946"/>
        <s v="01-0F101-0005947"/>
        <s v="01-0F101-0005970"/>
        <s v="01-0F101-0005971"/>
        <s v="01-0F101-0005978"/>
        <s v="01-0F101-0005979"/>
        <s v="01-0F101-0005986"/>
        <s v="01-0F101-0005987"/>
        <s v="01-0F101-0005990"/>
        <s v="01-0F101-0005991"/>
        <s v="01-0F101-0006004"/>
        <s v="01-0F101-0006005"/>
        <s v="01-0F101-0006031"/>
        <s v="01-0F101-0006032"/>
        <s v="01-0F101-0006037"/>
        <s v="01-0F101-0006038"/>
        <s v="FT-0F002-0000264"/>
        <s v="01-0F002-0000275"/>
        <s v="01-0F002-0000289"/>
        <s v="01-0F002-0000273"/>
        <s v="01-0F002-0000299"/>
        <s v="SALDO A FAVOR"/>
        <s v="ANTICIPO LONGYUN"/>
        <s v="01-0F101-0004638"/>
        <s v="01-0F101-0004639"/>
        <s v="01-0F101-0004653"/>
        <s v="01-0F101-0004654"/>
        <s v="01-0F002-0000287"/>
        <s v="01-0F002-0000296"/>
        <s v="01-0F002-0000297"/>
        <s v="01-0F002-0000301"/>
        <s v="01-0F002-0000298"/>
        <s v="FT-0F003-0000101"/>
        <s v="01-0F003-0000129"/>
        <s v="01-0F003-0000168"/>
        <s v="01-0F003-0000174"/>
        <s v="01-0F101-0005798"/>
        <s v="01-0F101-0005799"/>
        <s v="01-0F101-0005814"/>
        <s v="01-0F101-0005815"/>
        <s v="01-0F101-0005849"/>
        <s v="01-0F101-0005850"/>
        <s v="01-0F101-0005890"/>
        <s v="01-0F101-0005891"/>
        <s v="01-0F101-0005902"/>
        <s v="01-0F101-0005903"/>
        <s v="01-0F101-0005937"/>
        <s v="01-0F101-0005938"/>
        <s v="01-0F101-0005962"/>
        <s v="01-0F101-0005963"/>
        <s v="01-0F101-0005996"/>
        <s v="01-0F101-0005997"/>
        <s v="01-0F101-0006010"/>
        <s v="01-0F101-0006011"/>
        <s v="01-0F101-0006023"/>
        <s v="01-0F101-0006024"/>
        <s v="01-0F003-0000083"/>
        <s v="01-0F003-0000181"/>
        <s v="ANTICIPO QINGHAI"/>
        <s v="01-0F101-0005864"/>
        <s v="01-0F101-0005878"/>
        <s v="01-0F101-0005917"/>
        <s v="01-0F101-0005955"/>
        <s v="01-0F101-0005998"/>
        <s v="ANTICIPO SHANSHE"/>
        <s v="01-0F002-0000288"/>
        <s v="01-0F101-0005685"/>
        <s v="01-0F101-0005686"/>
        <s v="01-0F101-0006012"/>
        <s v="01-0F101-0006013"/>
        <s v="FT-0F101-0004285"/>
        <s v="01-0F101-0005906"/>
        <s v="01-0F002-0000272"/>
        <s v="01-0F002-0000277"/>
        <s v="01-0F002-0000278"/>
        <s v="01-0F002-0000280"/>
        <s v="01-0F002-0000290"/>
        <s v="01-0F002-0000291"/>
        <s v="01-0F002-0000302"/>
        <s v="ANTICIPO YANTAIT"/>
        <s v="01-0F002-0000294"/>
        <s v="01-0F002-0000292"/>
        <s v="01-0F002-0000293"/>
        <s v="01-0F002-0000300"/>
        <m/>
      </sharedItems>
    </cacheField>
    <cacheField name="Clase de documento" numFmtId="0">
      <sharedItems containsBlank="1" count="7">
        <s v="DF"/>
        <s v="DB"/>
        <s v="DE"/>
        <s v="ZV"/>
        <s v="DZ"/>
        <s v="DC"/>
        <m/>
      </sharedItems>
    </cacheField>
    <cacheField name="Fecha de documento" numFmtId="0">
      <sharedItems containsNonDate="0" containsDate="1" containsString="0" containsBlank="1" minDate="2025-10-07T00:00:00" maxDate="2026-04-27T00:00:00" count="50">
        <d v="2025-11-19T00:00:00"/>
        <d v="2025-11-20T00:00:00"/>
        <d v="2025-11-21T00:00:00"/>
        <d v="2025-11-22T00:00:00"/>
        <d v="2025-11-27T00:00:00"/>
        <d v="2026-01-06T00:00:00"/>
        <d v="2026-01-08T00:00:00"/>
        <d v="2026-01-10T00:00:00"/>
        <d v="2026-01-16T00:00:00"/>
        <d v="2026-01-19T00:00:00"/>
        <d v="2026-04-05T00:00:00"/>
        <d v="2026-04-16T00:00:00"/>
        <d v="2026-03-17T00:00:00"/>
        <d v="2026-03-19T00:00:00"/>
        <d v="2026-03-21T00:00:00"/>
        <d v="2026-03-30T00:00:00"/>
        <d v="2026-04-09T00:00:00"/>
        <d v="2026-04-10T00:00:00"/>
        <d v="2026-04-25T00:00:00"/>
        <d v="2026-04-26T00:00:00"/>
        <d v="2026-03-29T00:00:00"/>
        <d v="2026-04-01T00:00:00"/>
        <d v="2026-04-21T00:00:00"/>
        <d v="2026-04-17T00:00:00"/>
        <d v="2026-04-19T00:00:00"/>
        <d v="2026-04-20T00:00:00"/>
        <d v="2026-04-22T00:00:00"/>
        <d v="2026-04-23T00:00:00"/>
        <d v="2026-04-12T00:00:00"/>
        <d v="2026-04-06T00:00:00"/>
        <d v="2026-04-14T00:00:00"/>
        <d v="2026-04-15T00:00:00"/>
        <d v="2026-04-18T00:00:00"/>
        <d v="2026-04-24T00:00:00"/>
        <d v="2026-03-15T00:00:00"/>
        <d v="2026-03-28T00:00:00"/>
        <d v="2026-04-08T00:00:00"/>
        <d v="2026-04-07T00:00:00"/>
        <d v="2025-11-03T00:00:00"/>
        <d v="2025-11-06T00:00:00"/>
        <d v="2026-04-13T00:00:00"/>
        <d v="2025-10-21T00:00:00"/>
        <d v="2025-11-04T00:00:00"/>
        <d v="2026-01-31T00:00:00"/>
        <d v="2026-03-03T00:00:00"/>
        <d v="2025-10-07T00:00:00"/>
        <d v="2026-03-02T00:00:00"/>
        <d v="2025-10-12T00:00:00"/>
        <m/>
        <d v="2026-02-02T00:00:00" u="1"/>
      </sharedItems>
    </cacheField>
    <cacheField name="Demora tras vencimiento neto" numFmtId="0">
      <sharedItems containsString="0" containsBlank="1" containsNumber="1" containsInteger="1" minValue="-45" maxValue="197"/>
    </cacheField>
    <cacheField name="Fecha de pago" numFmtId="0">
      <sharedItems containsNonDate="0" containsDate="1" containsString="0" containsBlank="1" minDate="2025-10-12T00:00:00" maxDate="2026-06-12T00:00:00"/>
    </cacheField>
    <cacheField name="Importe en moneda doc." numFmtId="0">
      <sharedItems containsString="0" containsBlank="1" containsNumber="1" minValue="-168395" maxValue="669600"/>
    </cacheField>
    <cacheField name="Moneda del documento" numFmtId="0">
      <sharedItems containsBlank="1"/>
    </cacheField>
    <cacheField name="UNIDAD DE NEGOCIO" numFmtId="0">
      <sharedItems containsBlank="1" count="5">
        <s v="NACIONAL"/>
        <s v="EXPORTACIÓN"/>
        <s v="RODRIGO"/>
        <s v="RESIDUOS"/>
        <m/>
      </sharedItems>
    </cacheField>
    <cacheField name="FECHA IDEAL DE PAGO" numFmtId="0">
      <sharedItems containsNonDate="0" containsDate="1" containsString="0" containsBlank="1" minDate="2026-04-16T00:00:00" maxDate="2026-06-09T00:00:00"/>
    </cacheField>
    <cacheField name="DÍAS VENCIDOS" numFmtId="0">
      <sharedItems containsString="0" containsBlank="1" containsNumber="1" containsInteger="1" minValue="2" maxValue="40"/>
    </cacheField>
    <cacheField name="Vcto finanzas SEMANA PASADA" numFmtId="0">
      <sharedItems containsNonDate="0" containsDate="1" containsString="0" containsBlank="1" minDate="2026-04-29T00:00:00" maxDate="2026-06-09T00:00:00" count="10">
        <m/>
        <d v="2026-05-13T00:00:00"/>
        <d v="2026-05-27T00:00:00"/>
        <d v="2026-04-29T00:00:00"/>
        <d v="2026-05-12T00:00:00"/>
        <d v="2026-05-23T00:00:00"/>
        <d v="2026-06-06T00:00:00"/>
        <d v="2026-05-28T00:00:00"/>
        <d v="2026-05-14T00:00:00"/>
        <d v="2026-06-08T00:00:00"/>
      </sharedItems>
      <fieldGroup par="21"/>
    </cacheField>
    <cacheField name="Vcto finanzas" numFmtId="0">
      <sharedItems containsNonDate="0" containsDate="1" containsString="0" containsBlank="1" minDate="2025-10-12T00:00:00" maxDate="2026-06-12T00:00:00" count="56">
        <d v="2025-11-26T00:00:00"/>
        <d v="2025-11-27T00:00:00"/>
        <d v="2025-11-28T00:00:00"/>
        <d v="2025-11-29T00:00:00"/>
        <d v="2025-12-04T00:00:00"/>
        <d v="2026-01-13T00:00:00"/>
        <d v="2026-01-15T00:00:00"/>
        <d v="2026-01-17T00:00:00"/>
        <d v="2026-01-23T00:00:00"/>
        <d v="2026-01-26T00:00:00"/>
        <d v="2026-04-12T00:00:00"/>
        <d v="2026-04-23T00:00:00"/>
        <d v="2026-03-24T00:00:00"/>
        <d v="2026-03-26T00:00:00"/>
        <d v="2026-03-28T00:00:00"/>
        <d v="2026-04-06T00:00:00"/>
        <d v="2026-04-16T00:00:00"/>
        <d v="2026-04-17T00:00:00"/>
        <d v="2026-05-02T00:00:00"/>
        <d v="2026-05-03T00:00:00"/>
        <d v="2026-05-13T00:00:00"/>
        <d v="2026-05-05T00:00:00"/>
        <d v="2026-04-30T00:00:00"/>
        <d v="2026-04-26T00:00:00"/>
        <d v="2026-04-27T00:00:00"/>
        <d v="2026-04-29T00:00:00"/>
        <d v="2026-05-27T00:00:00"/>
        <m/>
        <d v="2026-04-21T00:00:00"/>
        <d v="2026-04-22T00:00:00"/>
        <d v="2026-04-24T00:00:00"/>
        <d v="2026-04-25T00:00:00"/>
        <d v="2026-04-19T00:00:00"/>
        <d v="2026-04-28T00:00:00"/>
        <d v="2026-05-01T00:00:00"/>
        <d v="2026-05-06T00:00:00"/>
        <d v="2026-05-12T00:00:00"/>
        <d v="2026-05-23T00:00:00"/>
        <d v="2026-06-06T00:00:00"/>
        <d v="2026-03-17T00:00:00"/>
        <d v="2026-04-01T00:00:00"/>
        <d v="2025-11-10T00:00:00"/>
        <d v="2025-11-13T00:00:00"/>
        <d v="2026-06-11T00:00:00"/>
        <d v="2026-05-28T00:00:00"/>
        <d v="2025-10-21T00:00:00"/>
        <d v="2025-11-11T00:00:00"/>
        <d v="2026-02-07T00:00:00"/>
        <d v="2026-03-10T00:00:00"/>
        <d v="2025-10-14T00:00:00"/>
        <d v="2026-03-31T00:00:00"/>
        <d v="2026-04-18T00:00:00"/>
        <d v="2026-05-14T00:00:00"/>
        <d v="2026-04-15T00:00:00"/>
        <d v="2025-10-12T00:00:00"/>
        <d v="2026-06-08T00:00:00"/>
      </sharedItems>
      <fieldGroup par="19"/>
    </cacheField>
    <cacheField name="USD HOMOL" numFmtId="0">
      <sharedItems containsString="0" containsBlank="1" containsNumber="1" minValue="-168395" maxValue="669600"/>
    </cacheField>
    <cacheField name="DÍAS ATRASADOS" numFmtId="0">
      <sharedItems containsString="0" containsBlank="1" containsNumber="1" containsInteger="1" minValue="3" maxValue="56"/>
    </cacheField>
    <cacheField name="ANTIGÜEDAD" numFmtId="0">
      <sharedItems containsBlank="1"/>
    </cacheField>
    <cacheField name="Meses (Vcto finanzas)" numFmtId="0" databaseField="0">
      <fieldGroup base="13">
        <rangePr groupBy="months" startDate="2025-10-12T00:00:00" endDate="2026-06-12T00:00:00"/>
        <groupItems count="14">
          <s v="&lt;12/10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2/06/2026"/>
        </groupItems>
      </fieldGroup>
    </cacheField>
    <cacheField name="Trimestres (Vcto finanzas)" numFmtId="0" databaseField="0">
      <fieldGroup base="13">
        <rangePr groupBy="quarters" startDate="2025-10-12T00:00:00" endDate="2026-06-12T00:00:00"/>
        <groupItems count="6">
          <s v="&lt;12/10/2025"/>
          <s v="Trim.1"/>
          <s v="Trim.2"/>
          <s v="Trim.3"/>
          <s v="Trim.4"/>
          <s v="&gt;12/06/2026"/>
        </groupItems>
      </fieldGroup>
    </cacheField>
    <cacheField name="Años (Vcto finanzas)" numFmtId="0" databaseField="0">
      <fieldGroup base="13">
        <rangePr groupBy="years" startDate="2025-10-12T00:00:00" endDate="2026-06-12T00:00:00"/>
        <groupItems count="4">
          <s v="&lt;12/10/2025"/>
          <s v="2025"/>
          <s v="2026"/>
          <s v="&gt;12/06/2026"/>
        </groupItems>
      </fieldGroup>
    </cacheField>
    <cacheField name="Días (Vcto finanzas SEMANA PASADA)" numFmtId="0" databaseField="0">
      <fieldGroup base="12">
        <rangePr groupBy="days" startDate="2026-04-29T00:00:00" endDate="2026-06-09T00:00:00"/>
        <groupItems count="368">
          <s v="&lt;29/04/2026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9/06/2026"/>
        </groupItems>
      </fieldGroup>
    </cacheField>
    <cacheField name="Meses (Vcto finanzas SEMANA PASADA)" numFmtId="0" databaseField="0">
      <fieldGroup base="12">
        <rangePr groupBy="months" startDate="2026-04-29T00:00:00" endDate="2026-06-09T00:00:00"/>
        <groupItems count="14">
          <s v="&lt;29/04/2026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9/06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">
  <r>
    <s v="1000013966"/>
    <x v="0"/>
    <s v="1200005220"/>
    <x v="0"/>
    <x v="0"/>
    <d v="2025-11-19T00:00:00"/>
    <n v="145"/>
    <d v="2025-11-26T00:00:00"/>
    <n v="42.48"/>
    <s v="PEN"/>
    <s v="NACIONAL"/>
    <s v=""/>
    <s v=""/>
    <m/>
    <m/>
    <m/>
    <x v="0"/>
    <n v="12.341661824520626"/>
    <m/>
    <x v="0"/>
  </r>
  <r>
    <s v="1000013966"/>
    <x v="0"/>
    <s v="1200005228"/>
    <x v="1"/>
    <x v="0"/>
    <d v="2025-11-19T00:00:00"/>
    <n v="145"/>
    <d v="2025-11-26T00:00:00"/>
    <n v="14.16"/>
    <s v="PEN"/>
    <s v="NACIONAL"/>
    <s v=""/>
    <s v=""/>
    <m/>
    <m/>
    <m/>
    <x v="0"/>
    <n v="4.1138872748402093"/>
    <m/>
    <x v="0"/>
  </r>
  <r>
    <s v="1000013966"/>
    <x v="0"/>
    <s v="1200005242"/>
    <x v="2"/>
    <x v="0"/>
    <d v="2025-11-19T00:00:00"/>
    <n v="145"/>
    <d v="2025-11-26T00:00:00"/>
    <n v="14.16"/>
    <s v="PEN"/>
    <s v="NACIONAL"/>
    <s v=""/>
    <s v=""/>
    <m/>
    <m/>
    <m/>
    <x v="0"/>
    <n v="4.1138872748402093"/>
    <m/>
    <x v="0"/>
  </r>
  <r>
    <s v="1000013966"/>
    <x v="0"/>
    <s v="1200005264"/>
    <x v="3"/>
    <x v="0"/>
    <d v="2025-11-20T00:00:00"/>
    <n v="144"/>
    <d v="2025-11-27T00:00:00"/>
    <n v="28.32"/>
    <s v="PEN"/>
    <s v="NACIONAL"/>
    <s v=""/>
    <s v=""/>
    <m/>
    <m/>
    <m/>
    <x v="1"/>
    <n v="8.2277745496804187"/>
    <m/>
    <x v="0"/>
  </r>
  <r>
    <s v="1000013966"/>
    <x v="0"/>
    <s v="1200005271"/>
    <x v="4"/>
    <x v="0"/>
    <d v="2025-11-20T00:00:00"/>
    <n v="144"/>
    <d v="2025-11-27T00:00:00"/>
    <n v="14.16"/>
    <s v="PEN"/>
    <s v="NACIONAL"/>
    <s v=""/>
    <s v=""/>
    <m/>
    <m/>
    <m/>
    <x v="1"/>
    <n v="4.1138872748402093"/>
    <m/>
    <x v="0"/>
  </r>
  <r>
    <s v="1000013966"/>
    <x v="0"/>
    <s v="1200005296"/>
    <x v="5"/>
    <x v="0"/>
    <d v="2025-11-21T00:00:00"/>
    <n v="143"/>
    <d v="2025-11-28T00:00:00"/>
    <n v="28.32"/>
    <s v="PEN"/>
    <s v="NACIONAL"/>
    <s v=""/>
    <s v=""/>
    <m/>
    <m/>
    <m/>
    <x v="2"/>
    <n v="8.2277745496804187"/>
    <m/>
    <x v="0"/>
  </r>
  <r>
    <s v="1000013966"/>
    <x v="0"/>
    <s v="1200005302"/>
    <x v="6"/>
    <x v="0"/>
    <d v="2025-11-21T00:00:00"/>
    <n v="143"/>
    <d v="2025-11-28T00:00:00"/>
    <n v="42.48"/>
    <s v="PEN"/>
    <s v="NACIONAL"/>
    <s v=""/>
    <s v=""/>
    <m/>
    <m/>
    <m/>
    <x v="2"/>
    <n v="12.341661824520626"/>
    <m/>
    <x v="0"/>
  </r>
  <r>
    <s v="1000013966"/>
    <x v="0"/>
    <s v="1200005304"/>
    <x v="7"/>
    <x v="0"/>
    <d v="2025-11-21T00:00:00"/>
    <n v="143"/>
    <d v="2025-11-28T00:00:00"/>
    <n v="42.48"/>
    <s v="PEN"/>
    <s v="NACIONAL"/>
    <s v=""/>
    <s v=""/>
    <m/>
    <m/>
    <m/>
    <x v="2"/>
    <n v="12.341661824520626"/>
    <m/>
    <x v="0"/>
  </r>
  <r>
    <s v="1000013966"/>
    <x v="0"/>
    <s v="1200005313"/>
    <x v="8"/>
    <x v="0"/>
    <d v="2025-11-21T00:00:00"/>
    <n v="143"/>
    <d v="2025-11-28T00:00:00"/>
    <n v="14.16"/>
    <s v="PEN"/>
    <s v="NACIONAL"/>
    <s v=""/>
    <s v=""/>
    <m/>
    <m/>
    <m/>
    <x v="2"/>
    <n v="4.1138872748402093"/>
    <m/>
    <x v="0"/>
  </r>
  <r>
    <s v="1000013966"/>
    <x v="0"/>
    <s v="1200005346"/>
    <x v="9"/>
    <x v="0"/>
    <d v="2025-11-22T00:00:00"/>
    <n v="142"/>
    <d v="2025-11-29T00:00:00"/>
    <n v="28.32"/>
    <s v="PEN"/>
    <s v="NACIONAL"/>
    <s v=""/>
    <s v=""/>
    <m/>
    <m/>
    <m/>
    <x v="3"/>
    <n v="8.2277745496804187"/>
    <m/>
    <x v="0"/>
  </r>
  <r>
    <s v="1000013966"/>
    <x v="0"/>
    <s v="1200005422"/>
    <x v="10"/>
    <x v="0"/>
    <d v="2025-11-27T00:00:00"/>
    <n v="137"/>
    <d v="2025-12-04T00:00:00"/>
    <n v="14.16"/>
    <s v="PEN"/>
    <s v="NACIONAL"/>
    <s v=""/>
    <s v=""/>
    <m/>
    <m/>
    <m/>
    <x v="4"/>
    <n v="4.1138872748402093"/>
    <m/>
    <x v="0"/>
  </r>
  <r>
    <s v="1000013966"/>
    <x v="0"/>
    <s v="1200000045"/>
    <x v="11"/>
    <x v="0"/>
    <d v="2026-01-06T00:00:00"/>
    <n v="97"/>
    <d v="2026-01-13T00:00:00"/>
    <n v="14.16"/>
    <s v="PEN"/>
    <s v="NACIONAL"/>
    <s v=""/>
    <s v=""/>
    <m/>
    <m/>
    <m/>
    <x v="5"/>
    <n v="4.1138872748402093"/>
    <m/>
    <x v="0"/>
  </r>
  <r>
    <s v="1000013966"/>
    <x v="0"/>
    <s v="1200000090"/>
    <x v="12"/>
    <x v="0"/>
    <d v="2026-01-08T00:00:00"/>
    <n v="95"/>
    <d v="2026-01-15T00:00:00"/>
    <n v="14.16"/>
    <s v="PEN"/>
    <s v="NACIONAL"/>
    <s v=""/>
    <s v=""/>
    <m/>
    <m/>
    <m/>
    <x v="6"/>
    <n v="4.1138872748402093"/>
    <m/>
    <x v="0"/>
  </r>
  <r>
    <s v="1000013966"/>
    <x v="0"/>
    <s v="1200000113"/>
    <x v="13"/>
    <x v="0"/>
    <d v="2026-01-10T00:00:00"/>
    <n v="93"/>
    <d v="2026-01-17T00:00:00"/>
    <n v="14.16"/>
    <s v="PEN"/>
    <s v="NACIONAL"/>
    <s v=""/>
    <s v=""/>
    <m/>
    <m/>
    <m/>
    <x v="7"/>
    <n v="4.1138872748402093"/>
    <m/>
    <x v="0"/>
  </r>
  <r>
    <s v="1000013966"/>
    <x v="0"/>
    <s v="1200000132"/>
    <x v="14"/>
    <x v="0"/>
    <d v="2026-01-16T00:00:00"/>
    <n v="87"/>
    <d v="2026-01-23T00:00:00"/>
    <n v="14.16"/>
    <s v="PEN"/>
    <s v="NACIONAL"/>
    <s v=""/>
    <s v=""/>
    <m/>
    <m/>
    <m/>
    <x v="8"/>
    <n v="4.1138872748402093"/>
    <m/>
    <x v="0"/>
  </r>
  <r>
    <s v="1000013966"/>
    <x v="0"/>
    <s v="1200000133"/>
    <x v="15"/>
    <x v="0"/>
    <d v="2026-01-16T00:00:00"/>
    <n v="87"/>
    <d v="2026-01-23T00:00:00"/>
    <n v="14.16"/>
    <s v="PEN"/>
    <s v="NACIONAL"/>
    <s v=""/>
    <s v=""/>
    <m/>
    <m/>
    <m/>
    <x v="8"/>
    <n v="4.1138872748402093"/>
    <m/>
    <x v="0"/>
  </r>
  <r>
    <s v="1000013966"/>
    <x v="0"/>
    <s v="1200000141"/>
    <x v="16"/>
    <x v="0"/>
    <d v="2026-01-19T00:00:00"/>
    <n v="84"/>
    <d v="2026-01-26T00:00:00"/>
    <n v="14.16"/>
    <s v="PEN"/>
    <s v="NACIONAL"/>
    <s v=""/>
    <s v=""/>
    <m/>
    <m/>
    <m/>
    <x v="9"/>
    <n v="4.1138872748402093"/>
    <m/>
    <x v="0"/>
  </r>
  <r>
    <s v="2000001028"/>
    <x v="1"/>
    <s v="1200000376"/>
    <x v="17"/>
    <x v="1"/>
    <d v="2026-02-28T00:00:00"/>
    <n v="6"/>
    <d v="2026-04-14T00:00:00"/>
    <n v="456300"/>
    <s v="USD"/>
    <s v="EXPORTACIÓN"/>
    <s v=""/>
    <s v=""/>
    <d v="2026-04-14T00:00:00"/>
    <m/>
    <d v="2026-04-14T00:00:00"/>
    <x v="10"/>
    <n v="456300"/>
    <n v="58"/>
    <x v="1"/>
  </r>
  <r>
    <s v="1000013678"/>
    <x v="2"/>
    <s v="1200000439"/>
    <x v="18"/>
    <x v="0"/>
    <d v="2026-03-17T00:00:00"/>
    <n v="27"/>
    <d v="2026-03-24T00:00:00"/>
    <n v="424.8"/>
    <s v="PEN"/>
    <s v="NACIONAL"/>
    <s v=""/>
    <s v=""/>
    <m/>
    <m/>
    <m/>
    <x v="11"/>
    <n v="123.41661824520627"/>
    <m/>
    <x v="0"/>
  </r>
  <r>
    <s v="1000013678"/>
    <x v="2"/>
    <s v="1200000453"/>
    <x v="19"/>
    <x v="0"/>
    <d v="2026-03-19T00:00:00"/>
    <n v="25"/>
    <d v="2026-03-26T00:00:00"/>
    <n v="283.2"/>
    <s v="PEN"/>
    <s v="NACIONAL"/>
    <s v=""/>
    <s v=""/>
    <m/>
    <m/>
    <m/>
    <x v="12"/>
    <n v="82.277745496804172"/>
    <m/>
    <x v="0"/>
  </r>
  <r>
    <s v="1000013678"/>
    <x v="2"/>
    <s v="1200000468"/>
    <x v="20"/>
    <x v="0"/>
    <d v="2026-03-21T00:00:00"/>
    <n v="23"/>
    <d v="2026-03-28T00:00:00"/>
    <n v="354"/>
    <s v="PEN"/>
    <s v="NACIONAL"/>
    <s v=""/>
    <s v=""/>
    <m/>
    <m/>
    <m/>
    <x v="13"/>
    <n v="102.84718187100522"/>
    <m/>
    <x v="0"/>
  </r>
  <r>
    <s v="1000013678"/>
    <x v="2"/>
    <s v="1200000582"/>
    <x v="21"/>
    <x v="0"/>
    <d v="2026-03-30T00:00:00"/>
    <n v="14"/>
    <d v="2026-04-06T00:00:00"/>
    <n v="283.2"/>
    <s v="PEN"/>
    <s v="NACIONAL"/>
    <s v=""/>
    <s v=""/>
    <m/>
    <m/>
    <m/>
    <x v="14"/>
    <n v="82.277745496804172"/>
    <m/>
    <x v="0"/>
  </r>
  <r>
    <s v="1000013678"/>
    <x v="2"/>
    <s v="1200000812"/>
    <x v="22"/>
    <x v="0"/>
    <d v="2026-04-09T00:00:00"/>
    <n v="4"/>
    <d v="2026-04-16T00:00:00"/>
    <n v="354"/>
    <s v="PEN"/>
    <s v="NACIONAL"/>
    <s v=""/>
    <s v=""/>
    <m/>
    <m/>
    <m/>
    <x v="15"/>
    <n v="102.84718187100522"/>
    <m/>
    <x v="0"/>
  </r>
  <r>
    <s v="1000013678"/>
    <x v="2"/>
    <s v="1200000824"/>
    <x v="23"/>
    <x v="0"/>
    <d v="2026-04-10T00:00:00"/>
    <n v="3"/>
    <d v="2026-04-17T00:00:00"/>
    <n v="236"/>
    <s v="PEN"/>
    <s v="NACIONAL"/>
    <s v=""/>
    <s v=""/>
    <m/>
    <m/>
    <m/>
    <x v="16"/>
    <n v="68.564787914003489"/>
    <m/>
    <x v="0"/>
  </r>
  <r>
    <s v="2000001381"/>
    <x v="3"/>
    <s v="1200000495"/>
    <x v="24"/>
    <x v="1"/>
    <d v="2026-03-21T00:00:00"/>
    <n v="-15"/>
    <d v="2026-05-05T00:00:00"/>
    <n v="2176.9899999999998"/>
    <s v="USD"/>
    <s v="EXPORTACIÓN"/>
    <s v=""/>
    <s v=""/>
    <d v="2026-05-05T00:00:00"/>
    <n v="8"/>
    <d v="2026-05-05T00:00:00"/>
    <x v="17"/>
    <n v="2176.9899999999998"/>
    <n v="37"/>
    <x v="2"/>
  </r>
  <r>
    <s v="2000001381"/>
    <x v="3"/>
    <s v="1200000635"/>
    <x v="25"/>
    <x v="1"/>
    <d v="2026-03-29T00:00:00"/>
    <n v="-23"/>
    <d v="2026-05-13T00:00:00"/>
    <n v="24860"/>
    <s v="USD"/>
    <s v="EXPORTACIÓN"/>
    <s v=""/>
    <s v=""/>
    <d v="2026-05-13T00:00:00"/>
    <n v="16"/>
    <d v="2026-05-13T00:00:00"/>
    <x v="18"/>
    <n v="24860"/>
    <n v="29"/>
    <x v="2"/>
  </r>
  <r>
    <s v="2000001381"/>
    <x v="3"/>
    <s v="1200000638"/>
    <x v="26"/>
    <x v="1"/>
    <d v="2026-03-29T00:00:00"/>
    <n v="-23"/>
    <d v="2026-05-13T00:00:00"/>
    <n v="24860"/>
    <s v="USD"/>
    <s v="EXPORTACIÓN"/>
    <s v=""/>
    <s v=""/>
    <d v="2026-05-13T00:00:00"/>
    <n v="16"/>
    <d v="2026-05-13T00:00:00"/>
    <x v="18"/>
    <n v="24860"/>
    <n v="29"/>
    <x v="2"/>
  </r>
  <r>
    <s v="2000001381"/>
    <x v="3"/>
    <s v="1200000639"/>
    <x v="27"/>
    <x v="1"/>
    <d v="2026-03-29T00:00:00"/>
    <n v="-23"/>
    <d v="2026-05-13T00:00:00"/>
    <n v="24860"/>
    <s v="USD"/>
    <s v="EXPORTACIÓN"/>
    <s v=""/>
    <s v=""/>
    <d v="2026-05-13T00:00:00"/>
    <n v="16"/>
    <d v="2026-05-13T00:00:00"/>
    <x v="18"/>
    <n v="24860"/>
    <n v="29"/>
    <x v="2"/>
  </r>
  <r>
    <s v="2000001381"/>
    <x v="3"/>
    <s v="1200000641"/>
    <x v="28"/>
    <x v="1"/>
    <d v="2026-03-29T00:00:00"/>
    <n v="-23"/>
    <d v="2026-05-13T00:00:00"/>
    <n v="28800"/>
    <s v="USD"/>
    <s v="EXPORTACIÓN"/>
    <s v=""/>
    <s v=""/>
    <d v="2026-05-13T00:00:00"/>
    <n v="16"/>
    <d v="2026-05-13T00:00:00"/>
    <x v="18"/>
    <n v="28800"/>
    <n v="29"/>
    <x v="2"/>
  </r>
  <r>
    <s v="2000001381"/>
    <x v="3"/>
    <s v="1200000642"/>
    <x v="29"/>
    <x v="1"/>
    <d v="2026-03-29T00:00:00"/>
    <n v="-23"/>
    <d v="2026-05-13T00:00:00"/>
    <n v="28800"/>
    <s v="USD"/>
    <s v="EXPORTACIÓN"/>
    <s v=""/>
    <s v=""/>
    <d v="2026-05-13T00:00:00"/>
    <n v="16"/>
    <d v="2026-05-13T00:00:00"/>
    <x v="18"/>
    <n v="28800"/>
    <n v="29"/>
    <x v="2"/>
  </r>
  <r>
    <s v="2000001381"/>
    <x v="3"/>
    <s v="1200000643"/>
    <x v="30"/>
    <x v="1"/>
    <d v="2026-03-29T00:00:00"/>
    <n v="-23"/>
    <d v="2026-05-13T00:00:00"/>
    <n v="29300"/>
    <s v="USD"/>
    <s v="EXPORTACIÓN"/>
    <s v=""/>
    <s v=""/>
    <d v="2026-05-13T00:00:00"/>
    <n v="16"/>
    <d v="2026-05-13T00:00:00"/>
    <x v="18"/>
    <n v="29300"/>
    <n v="29"/>
    <x v="2"/>
  </r>
  <r>
    <s v="1000013754"/>
    <x v="4"/>
    <s v="1200000998"/>
    <x v="31"/>
    <x v="2"/>
    <d v="2026-04-16T00:00:00"/>
    <n v="-3"/>
    <d v="2026-04-23T00:00:00"/>
    <n v="684.64"/>
    <s v="PEN"/>
    <s v="NACIONAL"/>
    <s v=""/>
    <s v=""/>
    <m/>
    <m/>
    <m/>
    <x v="19"/>
    <n v="198.90761185357348"/>
    <m/>
    <x v="0"/>
  </r>
  <r>
    <s v="1000013754"/>
    <x v="4"/>
    <s v="1200000999"/>
    <x v="32"/>
    <x v="2"/>
    <d v="2026-04-16T00:00:00"/>
    <n v="-3"/>
    <d v="2026-04-23T00:00:00"/>
    <n v="70.8"/>
    <s v="PEN"/>
    <s v="NACIONAL"/>
    <s v=""/>
    <s v=""/>
    <m/>
    <m/>
    <m/>
    <x v="19"/>
    <n v="20.569436374201043"/>
    <m/>
    <x v="0"/>
  </r>
  <r>
    <s v="1000013754"/>
    <x v="4"/>
    <s v="1200001016"/>
    <x v="33"/>
    <x v="2"/>
    <d v="2026-04-17T00:00:00"/>
    <n v="3"/>
    <d v="2026-04-17T00:00:00"/>
    <n v="586.70000000000005"/>
    <s v="PEN"/>
    <s v="NACIONAL"/>
    <s v=""/>
    <s v=""/>
    <m/>
    <m/>
    <m/>
    <x v="16"/>
    <n v="170.45322486926207"/>
    <m/>
    <x v="0"/>
  </r>
  <r>
    <s v="1000013754"/>
    <x v="4"/>
    <s v="1200001017"/>
    <x v="34"/>
    <x v="2"/>
    <d v="2026-04-17T00:00:00"/>
    <n v="3"/>
    <d v="2026-04-17T00:00:00"/>
    <n v="70.8"/>
    <s v="PEN"/>
    <s v="NACIONAL"/>
    <s v=""/>
    <s v=""/>
    <m/>
    <m/>
    <m/>
    <x v="16"/>
    <n v="20.569436374201043"/>
    <m/>
    <x v="0"/>
  </r>
  <r>
    <s v="1000013754"/>
    <x v="4"/>
    <s v="1200001059"/>
    <x v="35"/>
    <x v="2"/>
    <d v="2026-04-19T00:00:00"/>
    <n v="-6"/>
    <d v="2026-04-26T00:00:00"/>
    <n v="358.48"/>
    <s v="PEN"/>
    <s v="NACIONAL"/>
    <s v=""/>
    <s v=""/>
    <m/>
    <m/>
    <m/>
    <x v="20"/>
    <n v="104.14875072632191"/>
    <m/>
    <x v="0"/>
  </r>
  <r>
    <s v="1000013754"/>
    <x v="4"/>
    <s v="1200001060"/>
    <x v="36"/>
    <x v="2"/>
    <d v="2026-04-19T00:00:00"/>
    <n v="-6"/>
    <d v="2026-04-26T00:00:00"/>
    <n v="70.8"/>
    <s v="PEN"/>
    <s v="NACIONAL"/>
    <s v=""/>
    <s v=""/>
    <m/>
    <m/>
    <m/>
    <x v="20"/>
    <n v="20.569436374201043"/>
    <m/>
    <x v="0"/>
  </r>
  <r>
    <s v="2000001361"/>
    <x v="5"/>
    <s v="1200000957"/>
    <x v="37"/>
    <x v="1"/>
    <d v="2026-04-12T00:00:00"/>
    <n v="-37"/>
    <d v="2026-05-27T00:00:00"/>
    <n v="67550"/>
    <s v="USD"/>
    <s v="EXPORTACIÓN"/>
    <s v=""/>
    <s v=""/>
    <d v="2026-05-27T00:00:00"/>
    <m/>
    <m/>
    <x v="21"/>
    <n v="67550"/>
    <n v="15"/>
    <x v="2"/>
  </r>
  <r>
    <s v="2000001361"/>
    <x v="5"/>
    <s v="1200001071"/>
    <x v="38"/>
    <x v="3"/>
    <d v="2026-04-20T00:00:00"/>
    <n v="-37"/>
    <d v="2026-05-27T00:00:00"/>
    <n v="-0.02"/>
    <s v="USD"/>
    <s v="EXPORTACIÓN"/>
    <s v=""/>
    <s v=""/>
    <d v="2026-06-04T00:00:00"/>
    <m/>
    <m/>
    <x v="21"/>
    <n v="-0.02"/>
    <n v="7"/>
    <x v="2"/>
  </r>
  <r>
    <s v="2000001398"/>
    <x v="6"/>
    <s v="1300002533"/>
    <x v="39"/>
    <x v="4"/>
    <d v="2026-04-06T00:00:00"/>
    <n v="0"/>
    <d v="2026-04-30T00:00:00"/>
    <n v="-32370"/>
    <s v="USD"/>
    <s v="EXPORTACIÓN"/>
    <s v=""/>
    <s v="A"/>
    <d v="2026-05-21T00:00:00"/>
    <m/>
    <m/>
    <x v="10"/>
    <n v="-32370"/>
    <n v="21"/>
    <x v="2"/>
  </r>
  <r>
    <s v="1000006830"/>
    <x v="7"/>
    <s v="1200000903"/>
    <x v="40"/>
    <x v="0"/>
    <d v="2026-04-14T00:00:00"/>
    <n v="-1"/>
    <d v="2026-04-21T00:00:00"/>
    <n v="1138.94"/>
    <s v="PEN"/>
    <s v="NACIONAL"/>
    <s v=""/>
    <s v=""/>
    <m/>
    <m/>
    <m/>
    <x v="22"/>
    <n v="330.89482858803024"/>
    <m/>
    <x v="0"/>
  </r>
  <r>
    <s v="1000006830"/>
    <x v="7"/>
    <s v="1200000904"/>
    <x v="41"/>
    <x v="0"/>
    <d v="2026-04-14T00:00:00"/>
    <n v="-1"/>
    <d v="2026-04-21T00:00:00"/>
    <n v="118"/>
    <s v="PEN"/>
    <s v="NACIONAL"/>
    <s v=""/>
    <s v=""/>
    <m/>
    <m/>
    <m/>
    <x v="22"/>
    <n v="34.282393957001744"/>
    <m/>
    <x v="0"/>
  </r>
  <r>
    <s v="1000006830"/>
    <x v="7"/>
    <s v="1200000916"/>
    <x v="42"/>
    <x v="0"/>
    <d v="2026-04-14T00:00:00"/>
    <n v="-1"/>
    <d v="2026-04-21T00:00:00"/>
    <n v="599.35"/>
    <s v="PEN"/>
    <s v="NACIONAL"/>
    <s v=""/>
    <s v=""/>
    <m/>
    <m/>
    <m/>
    <x v="22"/>
    <n v="174.12841371295758"/>
    <m/>
    <x v="0"/>
  </r>
  <r>
    <s v="1000006830"/>
    <x v="7"/>
    <s v="1200000917"/>
    <x v="43"/>
    <x v="0"/>
    <d v="2026-04-14T00:00:00"/>
    <n v="-1"/>
    <d v="2026-04-21T00:00:00"/>
    <n v="212.4"/>
    <s v="PEN"/>
    <s v="NACIONAL"/>
    <s v=""/>
    <s v=""/>
    <m/>
    <m/>
    <m/>
    <x v="22"/>
    <n v="61.708309122603133"/>
    <m/>
    <x v="0"/>
  </r>
  <r>
    <s v="1000006830"/>
    <x v="7"/>
    <s v="1200000918"/>
    <x v="44"/>
    <x v="0"/>
    <d v="2026-04-14T00:00:00"/>
    <n v="-1"/>
    <d v="2026-04-21T00:00:00"/>
    <n v="260.31"/>
    <s v="PEN"/>
    <s v="NACIONAL"/>
    <s v=""/>
    <s v=""/>
    <m/>
    <m/>
    <m/>
    <x v="22"/>
    <n v="75.627542126670534"/>
    <m/>
    <x v="0"/>
  </r>
  <r>
    <s v="1000006830"/>
    <x v="7"/>
    <s v="1200000919"/>
    <x v="45"/>
    <x v="0"/>
    <d v="2026-04-14T00:00:00"/>
    <n v="-1"/>
    <d v="2026-04-21T00:00:00"/>
    <n v="70.8"/>
    <s v="PEN"/>
    <s v="NACIONAL"/>
    <s v=""/>
    <s v=""/>
    <m/>
    <m/>
    <m/>
    <x v="22"/>
    <n v="20.569436374201043"/>
    <m/>
    <x v="0"/>
  </r>
  <r>
    <s v="1000006830"/>
    <x v="7"/>
    <s v="1200000951"/>
    <x v="46"/>
    <x v="0"/>
    <d v="2026-04-15T00:00:00"/>
    <n v="-2"/>
    <d v="2026-04-22T00:00:00"/>
    <n v="906.71"/>
    <s v="PEN"/>
    <s v="NACIONAL"/>
    <s v=""/>
    <s v=""/>
    <m/>
    <m/>
    <m/>
    <x v="23"/>
    <n v="263.4253341080767"/>
    <m/>
    <x v="0"/>
  </r>
  <r>
    <s v="1000006830"/>
    <x v="7"/>
    <s v="1200000952"/>
    <x v="47"/>
    <x v="0"/>
    <d v="2026-04-15T00:00:00"/>
    <n v="-2"/>
    <d v="2026-04-22T00:00:00"/>
    <n v="94.4"/>
    <s v="PEN"/>
    <s v="NACIONAL"/>
    <s v=""/>
    <s v=""/>
    <m/>
    <m/>
    <m/>
    <x v="23"/>
    <n v="27.425915165601396"/>
    <m/>
    <x v="0"/>
  </r>
  <r>
    <s v="1000006830"/>
    <x v="7"/>
    <s v="1200000971"/>
    <x v="48"/>
    <x v="0"/>
    <d v="2026-04-15T00:00:00"/>
    <n v="-2"/>
    <d v="2026-04-22T00:00:00"/>
    <n v="965.43"/>
    <s v="PEN"/>
    <s v="NACIONAL"/>
    <s v=""/>
    <s v="A"/>
    <m/>
    <m/>
    <m/>
    <x v="23"/>
    <n v="280.48518303312022"/>
    <m/>
    <x v="0"/>
  </r>
  <r>
    <s v="1000006830"/>
    <x v="7"/>
    <s v="1200000972"/>
    <x v="49"/>
    <x v="0"/>
    <d v="2026-04-15T00:00:00"/>
    <n v="-2"/>
    <d v="2026-04-22T00:00:00"/>
    <n v="306.8"/>
    <s v="PEN"/>
    <s v="NACIONAL"/>
    <s v=""/>
    <s v=""/>
    <m/>
    <m/>
    <m/>
    <x v="23"/>
    <n v="89.134224288204535"/>
    <m/>
    <x v="0"/>
  </r>
  <r>
    <s v="1000006830"/>
    <x v="7"/>
    <s v="1200001026"/>
    <x v="50"/>
    <x v="0"/>
    <d v="2026-04-17T00:00:00"/>
    <n v="-4"/>
    <d v="2026-04-24T00:00:00"/>
    <n v="1350.16"/>
    <s v="PEN"/>
    <s v="NACIONAL"/>
    <s v=""/>
    <s v=""/>
    <m/>
    <m/>
    <m/>
    <x v="24"/>
    <n v="392.26031377106335"/>
    <m/>
    <x v="0"/>
  </r>
  <r>
    <s v="1000006830"/>
    <x v="7"/>
    <s v="1200001027"/>
    <x v="51"/>
    <x v="0"/>
    <d v="2026-04-17T00:00:00"/>
    <n v="-4"/>
    <d v="2026-04-24T00:00:00"/>
    <n v="141.6"/>
    <s v="PEN"/>
    <s v="NACIONAL"/>
    <s v=""/>
    <s v=""/>
    <m/>
    <m/>
    <m/>
    <x v="24"/>
    <n v="41.138872748402086"/>
    <m/>
    <x v="0"/>
  </r>
  <r>
    <s v="1000006830"/>
    <x v="7"/>
    <s v="1200001049"/>
    <x v="52"/>
    <x v="0"/>
    <d v="2026-04-18T00:00:00"/>
    <n v="-5"/>
    <d v="2026-04-25T00:00:00"/>
    <n v="1227.9100000000001"/>
    <s v="PEN"/>
    <s v="NACIONAL"/>
    <s v=""/>
    <s v=""/>
    <m/>
    <m/>
    <m/>
    <x v="25"/>
    <n v="356.74317257408484"/>
    <m/>
    <x v="0"/>
  </r>
  <r>
    <s v="1000006830"/>
    <x v="7"/>
    <s v="1200001050"/>
    <x v="53"/>
    <x v="0"/>
    <d v="2026-04-18T00:00:00"/>
    <n v="-5"/>
    <d v="2026-04-25T00:00:00"/>
    <n v="141.6"/>
    <s v="PEN"/>
    <s v="NACIONAL"/>
    <s v=""/>
    <s v=""/>
    <m/>
    <m/>
    <m/>
    <x v="25"/>
    <n v="41.138872748402086"/>
    <m/>
    <x v="0"/>
  </r>
  <r>
    <s v="1000006830"/>
    <x v="7"/>
    <s v="1200001057"/>
    <x v="54"/>
    <x v="0"/>
    <d v="2026-04-19T00:00:00"/>
    <n v="1"/>
    <d v="2026-04-19T00:00:00"/>
    <n v="302.79000000000002"/>
    <s v="PEN"/>
    <s v="NACIONAL"/>
    <s v=""/>
    <s v=""/>
    <m/>
    <m/>
    <m/>
    <x v="26"/>
    <n v="87.969203951191176"/>
    <m/>
    <x v="0"/>
  </r>
  <r>
    <s v="1000006830"/>
    <x v="7"/>
    <s v="1200001058"/>
    <x v="55"/>
    <x v="0"/>
    <d v="2026-04-19T00:00:00"/>
    <n v="1"/>
    <d v="2026-04-19T00:00:00"/>
    <n v="70.8"/>
    <s v="PEN"/>
    <s v="NACIONAL"/>
    <s v=""/>
    <s v=""/>
    <m/>
    <m/>
    <m/>
    <x v="26"/>
    <n v="20.569436374201043"/>
    <m/>
    <x v="0"/>
  </r>
  <r>
    <s v="1000006830"/>
    <x v="7"/>
    <s v="1200001069"/>
    <x v="56"/>
    <x v="0"/>
    <d v="2026-04-19T00:00:00"/>
    <n v="-6"/>
    <d v="2026-04-26T00:00:00"/>
    <n v="444.39"/>
    <s v="PEN"/>
    <s v="NACIONAL"/>
    <s v=""/>
    <s v=""/>
    <m/>
    <m/>
    <m/>
    <x v="20"/>
    <n v="129.10807669959325"/>
    <m/>
    <x v="0"/>
  </r>
  <r>
    <s v="1000006830"/>
    <x v="7"/>
    <s v="1200001070"/>
    <x v="57"/>
    <x v="0"/>
    <d v="2026-04-19T00:00:00"/>
    <n v="-6"/>
    <d v="2026-04-26T00:00:00"/>
    <n v="135.69999999999999"/>
    <s v="PEN"/>
    <s v="NACIONAL"/>
    <s v=""/>
    <s v=""/>
    <m/>
    <m/>
    <m/>
    <x v="20"/>
    <n v="39.424753050551999"/>
    <m/>
    <x v="0"/>
  </r>
  <r>
    <s v="2000001172"/>
    <x v="8"/>
    <s v="1300001584"/>
    <x v="58"/>
    <x v="5"/>
    <d v="2026-03-15T00:00:00"/>
    <n v="36"/>
    <d v="2026-03-15T00:00:00"/>
    <n v="147743.07"/>
    <s v="USD"/>
    <s v="EXPORTACIÓN"/>
    <s v=""/>
    <s v=""/>
    <d v="2026-04-29T00:00:00"/>
    <n v="2"/>
    <d v="2026-04-29T00:00:00"/>
    <x v="27"/>
    <n v="147743.07"/>
    <n v="43"/>
    <x v="2"/>
  </r>
  <r>
    <s v="2000001172"/>
    <x v="8"/>
    <s v="1200000623"/>
    <x v="59"/>
    <x v="1"/>
    <d v="2026-03-28T00:00:00"/>
    <n v="-22"/>
    <d v="2026-05-12T00:00:00"/>
    <n v="177221.7"/>
    <s v="USD"/>
    <s v="EXPORTACIÓN"/>
    <s v=""/>
    <s v=""/>
    <d v="2026-05-12T00:00:00"/>
    <n v="15"/>
    <d v="2026-05-12T00:00:00"/>
    <x v="28"/>
    <n v="177221.7"/>
    <n v="30"/>
    <x v="2"/>
  </r>
  <r>
    <s v="2000001172"/>
    <x v="8"/>
    <s v="1200000754"/>
    <x v="60"/>
    <x v="1"/>
    <d v="2026-04-08T00:00:00"/>
    <n v="-33"/>
    <d v="2026-05-23T00:00:00"/>
    <n v="175000"/>
    <s v="USD"/>
    <s v="EXPORTACIÓN"/>
    <s v=""/>
    <s v=""/>
    <d v="2026-05-23T00:00:00"/>
    <n v="26"/>
    <d v="2026-05-23T00:00:00"/>
    <x v="29"/>
    <n v="175000"/>
    <n v="19"/>
    <x v="2"/>
  </r>
  <r>
    <s v="2000000231"/>
    <x v="9"/>
    <s v="1200000616"/>
    <x v="61"/>
    <x v="1"/>
    <d v="2026-03-28T00:00:00"/>
    <n v="-22"/>
    <d v="2026-05-12T00:00:00"/>
    <n v="669600"/>
    <s v="USD"/>
    <s v="EXPORTACIÓN"/>
    <s v=""/>
    <s v=""/>
    <d v="2026-05-12T00:00:00"/>
    <n v="15"/>
    <d v="2026-05-12T00:00:00"/>
    <x v="28"/>
    <n v="669600"/>
    <n v="30"/>
    <x v="2"/>
  </r>
  <r>
    <s v="2000001409"/>
    <x v="10"/>
    <s v="1300001581"/>
    <x v="62"/>
    <x v="5"/>
    <d v="2026-03-17T00:00:00"/>
    <n v="0"/>
    <d v="2026-03-17T00:00:00"/>
    <n v="-7410"/>
    <s v="USD"/>
    <s v="EXPORTACIÓN"/>
    <s v=""/>
    <s v=""/>
    <d v="2026-05-01T00:00:00"/>
    <m/>
    <m/>
    <x v="30"/>
    <n v="-7410"/>
    <n v="41"/>
    <x v="2"/>
  </r>
  <r>
    <s v="2000001409"/>
    <x v="10"/>
    <s v="1300001598"/>
    <x v="62"/>
    <x v="5"/>
    <d v="2026-04-01T00:00:00"/>
    <n v="0"/>
    <d v="2026-04-01T00:00:00"/>
    <n v="-37"/>
    <s v="USD"/>
    <s v="EXPORTACIÓN"/>
    <s v=""/>
    <s v="A"/>
    <d v="2026-05-16T00:00:00"/>
    <m/>
    <m/>
    <x v="31"/>
    <n v="-37"/>
    <n v="26"/>
    <x v="2"/>
  </r>
  <r>
    <s v="2000001409"/>
    <x v="10"/>
    <s v="1300002535"/>
    <x v="63"/>
    <x v="4"/>
    <d v="2026-04-07T00:00:00"/>
    <n v="0"/>
    <d v="2026-04-30T00:00:00"/>
    <n v="-147370"/>
    <s v="USD"/>
    <s v="EXPORTACIÓN"/>
    <s v=""/>
    <s v="A"/>
    <d v="2026-05-22T00:00:00"/>
    <m/>
    <m/>
    <x v="10"/>
    <n v="-147370"/>
    <n v="20"/>
    <x v="2"/>
  </r>
  <r>
    <s v="6002007"/>
    <x v="11"/>
    <s v="1200005141"/>
    <x v="64"/>
    <x v="0"/>
    <d v="2025-11-03T00:00:00"/>
    <n v="161"/>
    <d v="2025-11-10T00:00:00"/>
    <n v="1403.26"/>
    <s v="PEN"/>
    <s v="RODRIGO"/>
    <s v=""/>
    <s v=""/>
    <m/>
    <m/>
    <m/>
    <x v="32"/>
    <n v="407.68739105171409"/>
    <m/>
    <x v="0"/>
  </r>
  <r>
    <s v="6002007"/>
    <x v="11"/>
    <s v="1200005142"/>
    <x v="65"/>
    <x v="0"/>
    <d v="2025-11-03T00:00:00"/>
    <n v="161"/>
    <d v="2025-11-10T00:00:00"/>
    <n v="141.6"/>
    <s v="PEN"/>
    <s v="RODRIGO"/>
    <s v=""/>
    <s v=""/>
    <m/>
    <m/>
    <m/>
    <x v="32"/>
    <n v="41.138872748402086"/>
    <m/>
    <x v="0"/>
  </r>
  <r>
    <s v="6002007"/>
    <x v="11"/>
    <s v="1200005158"/>
    <x v="66"/>
    <x v="0"/>
    <d v="2025-11-06T00:00:00"/>
    <n v="158"/>
    <d v="2025-11-13T00:00:00"/>
    <n v="1193.22"/>
    <s v="PEN"/>
    <s v="RODRIGO"/>
    <s v=""/>
    <s v=""/>
    <m/>
    <m/>
    <m/>
    <x v="33"/>
    <n v="346.66472980825102"/>
    <m/>
    <x v="0"/>
  </r>
  <r>
    <s v="6002007"/>
    <x v="11"/>
    <s v="1200005159"/>
    <x v="67"/>
    <x v="0"/>
    <d v="2025-11-06T00:00:00"/>
    <n v="158"/>
    <d v="2025-11-13T00:00:00"/>
    <n v="106.2"/>
    <s v="PEN"/>
    <s v="RODRIGO"/>
    <s v=""/>
    <s v=""/>
    <m/>
    <m/>
    <m/>
    <x v="33"/>
    <n v="30.854154561301566"/>
    <m/>
    <x v="0"/>
  </r>
  <r>
    <s v="2000001359"/>
    <x v="12"/>
    <s v="1200000644"/>
    <x v="68"/>
    <x v="1"/>
    <d v="2026-03-29T00:00:00"/>
    <n v="-23"/>
    <d v="2026-05-13T00:00:00"/>
    <n v="76700"/>
    <s v="USD"/>
    <s v="EXPORTACIÓN"/>
    <s v=""/>
    <s v=""/>
    <d v="2026-05-13T00:00:00"/>
    <n v="16"/>
    <d v="2026-05-13T00:00:00"/>
    <x v="18"/>
    <n v="76700"/>
    <n v="29"/>
    <x v="2"/>
  </r>
  <r>
    <s v="2000001359"/>
    <x v="12"/>
    <s v="1200000958"/>
    <x v="69"/>
    <x v="1"/>
    <d v="2026-04-12T00:00:00"/>
    <n v="-37"/>
    <d v="2026-05-27T00:00:00"/>
    <n v="36400"/>
    <s v="USD"/>
    <s v="EXPORTACIÓN"/>
    <s v=""/>
    <s v=""/>
    <d v="2026-05-27T00:00:00"/>
    <m/>
    <m/>
    <x v="21"/>
    <n v="36400"/>
    <n v="15"/>
    <x v="2"/>
  </r>
  <r>
    <s v="2000001359"/>
    <x v="12"/>
    <s v="1200000959"/>
    <x v="70"/>
    <x v="1"/>
    <d v="2026-04-12T00:00:00"/>
    <n v="-52"/>
    <d v="2026-06-11T00:00:00"/>
    <n v="80600"/>
    <s v="USD"/>
    <s v="EXPORTACIÓN"/>
    <s v=""/>
    <s v=""/>
    <d v="2026-05-27T00:00:00"/>
    <m/>
    <m/>
    <x v="21"/>
    <n v="80600"/>
    <n v="15"/>
    <x v="2"/>
  </r>
  <r>
    <s v="2000001369"/>
    <x v="13"/>
    <s v="1300001604"/>
    <x v="62"/>
    <x v="5"/>
    <d v="2026-04-20T00:00:00"/>
    <n v="0"/>
    <d v="2026-04-20T00:00:00"/>
    <n v="-6488"/>
    <s v="USD"/>
    <s v="EXPORTACIÓN"/>
    <s v=""/>
    <s v=""/>
    <d v="2026-06-04T00:00:00"/>
    <m/>
    <m/>
    <x v="34"/>
    <n v="-6488"/>
    <n v="7"/>
    <x v="2"/>
  </r>
  <r>
    <s v="2000001369"/>
    <x v="13"/>
    <s v="1200000985"/>
    <x v="71"/>
    <x v="1"/>
    <d v="2026-04-13T00:00:00"/>
    <n v="-38"/>
    <d v="2026-05-28T00:00:00"/>
    <n v="76700"/>
    <s v="USD"/>
    <s v="EXPORTACIÓN"/>
    <s v=""/>
    <s v=""/>
    <d v="2026-05-28T00:00:00"/>
    <m/>
    <m/>
    <x v="35"/>
    <n v="76700"/>
    <n v="14"/>
    <x v="2"/>
  </r>
  <r>
    <s v="1000013925"/>
    <x v="14"/>
    <s v="1300006898"/>
    <x v="72"/>
    <x v="5"/>
    <d v="2025-10-21T00:00:00"/>
    <n v="181"/>
    <d v="2025-10-21T00:00:00"/>
    <n v="4460"/>
    <s v="PEN"/>
    <s v="CISTERNA"/>
    <s v=""/>
    <s v=""/>
    <m/>
    <m/>
    <m/>
    <x v="36"/>
    <n v="1295.7582800697269"/>
    <m/>
    <x v="0"/>
  </r>
  <r>
    <s v="1000013925"/>
    <x v="14"/>
    <s v="1200005124"/>
    <x v="73"/>
    <x v="0"/>
    <d v="2025-11-04T00:00:00"/>
    <n v="160"/>
    <d v="2025-11-11T00:00:00"/>
    <n v="7097.98"/>
    <s v="PEN"/>
    <s v="CISTERNA"/>
    <s v=""/>
    <s v=""/>
    <m/>
    <m/>
    <m/>
    <x v="37"/>
    <n v="2062.1673445671117"/>
    <m/>
    <x v="0"/>
  </r>
  <r>
    <s v="1000013925"/>
    <x v="14"/>
    <s v="1200000182"/>
    <x v="74"/>
    <x v="0"/>
    <d v="2026-01-31T00:00:00"/>
    <n v="72"/>
    <d v="2026-02-07T00:00:00"/>
    <n v="4003.46"/>
    <s v="PEN"/>
    <s v="CISTERNA"/>
    <s v=""/>
    <s v=""/>
    <m/>
    <m/>
    <m/>
    <x v="38"/>
    <n v="1163.1202789076119"/>
    <m/>
    <x v="0"/>
  </r>
  <r>
    <s v="1000013925"/>
    <x v="14"/>
    <s v="1200000382"/>
    <x v="75"/>
    <x v="0"/>
    <d v="2026-03-03T00:00:00"/>
    <n v="41"/>
    <d v="2026-03-10T00:00:00"/>
    <n v="4956"/>
    <s v="PEN"/>
    <s v="CISTERNA"/>
    <s v=""/>
    <s v="A"/>
    <m/>
    <m/>
    <m/>
    <x v="39"/>
    <n v="1439.8605461940731"/>
    <m/>
    <x v="0"/>
  </r>
  <r>
    <s v="1000015185"/>
    <x v="15"/>
    <s v="1200000994"/>
    <x v="76"/>
    <x v="0"/>
    <d v="2026-04-16T00:00:00"/>
    <n v="-3"/>
    <d v="2026-04-23T00:00:00"/>
    <n v="777.76"/>
    <s v="PEN"/>
    <s v="NACIONAL"/>
    <s v=""/>
    <s v="A"/>
    <m/>
    <m/>
    <m/>
    <x v="19"/>
    <n v="225.96165020337011"/>
    <m/>
    <x v="0"/>
  </r>
  <r>
    <s v="1000015185"/>
    <x v="15"/>
    <s v="1200000995"/>
    <x v="77"/>
    <x v="0"/>
    <d v="2026-04-16T00:00:00"/>
    <n v="-3"/>
    <d v="2026-04-23T00:00:00"/>
    <n v="194.7"/>
    <s v="PEN"/>
    <s v="NACIONAL"/>
    <s v=""/>
    <s v=""/>
    <m/>
    <m/>
    <m/>
    <x v="19"/>
    <n v="56.565950029052871"/>
    <m/>
    <x v="0"/>
  </r>
  <r>
    <s v="1000015185"/>
    <x v="15"/>
    <s v="1200001051"/>
    <x v="78"/>
    <x v="0"/>
    <d v="2026-04-18T00:00:00"/>
    <n v="-5"/>
    <d v="2026-04-25T00:00:00"/>
    <n v="800.56"/>
    <s v="PEN"/>
    <s v="NACIONAL"/>
    <s v=""/>
    <s v="A"/>
    <m/>
    <m/>
    <m/>
    <x v="25"/>
    <n v="232.58570598489248"/>
    <m/>
    <x v="0"/>
  </r>
  <r>
    <s v="1000015185"/>
    <x v="15"/>
    <s v="1200001052"/>
    <x v="79"/>
    <x v="0"/>
    <d v="2026-04-18T00:00:00"/>
    <n v="-5"/>
    <d v="2026-04-25T00:00:00"/>
    <n v="212.4"/>
    <s v="PEN"/>
    <s v="NACIONAL"/>
    <s v=""/>
    <s v=""/>
    <m/>
    <m/>
    <m/>
    <x v="25"/>
    <n v="61.708309122603133"/>
    <m/>
    <x v="0"/>
  </r>
  <r>
    <s v="1000015185"/>
    <x v="15"/>
    <s v="1200001067"/>
    <x v="80"/>
    <x v="0"/>
    <d v="2026-04-19T00:00:00"/>
    <n v="-6"/>
    <d v="2026-04-26T00:00:00"/>
    <n v="729.85"/>
    <s v="PEN"/>
    <s v="NACIONAL"/>
    <s v=""/>
    <s v="A"/>
    <m/>
    <m/>
    <m/>
    <x v="20"/>
    <n v="212.04241719930272"/>
    <m/>
    <x v="0"/>
  </r>
  <r>
    <s v="1000015185"/>
    <x v="15"/>
    <s v="1200001068"/>
    <x v="81"/>
    <x v="0"/>
    <d v="2026-04-19T00:00:00"/>
    <n v="-6"/>
    <d v="2026-04-26T00:00:00"/>
    <n v="194.7"/>
    <s v="PEN"/>
    <s v="NACIONAL"/>
    <s v=""/>
    <s v=""/>
    <m/>
    <m/>
    <m/>
    <x v="20"/>
    <n v="56.565950029052871"/>
    <m/>
    <x v="0"/>
  </r>
  <r>
    <s v="2000001411"/>
    <x v="16"/>
    <s v="1300001586"/>
    <x v="82"/>
    <x v="5"/>
    <d v="2026-03-18T00:00:00"/>
    <n v="33"/>
    <d v="2026-03-18T00:00:00"/>
    <n v="125360"/>
    <s v="USD"/>
    <s v="EXPORTACIÓN"/>
    <s v=""/>
    <s v=""/>
    <d v="2026-05-02T00:00:00"/>
    <n v="5"/>
    <d v="2026-05-02T00:00:00"/>
    <x v="40"/>
    <n v="125360"/>
    <n v="40"/>
    <x v="2"/>
  </r>
  <r>
    <s v="2000000267"/>
    <x v="17"/>
    <s v="1300001587"/>
    <x v="83"/>
    <x v="5"/>
    <d v="2026-03-18T00:00:00"/>
    <n v="33"/>
    <d v="2026-03-18T00:00:00"/>
    <n v="31275"/>
    <s v="USD"/>
    <s v="EXPORTACIÓN"/>
    <s v=""/>
    <s v=""/>
    <d v="2026-05-02T00:00:00"/>
    <n v="5"/>
    <d v="2026-05-02T00:00:00"/>
    <x v="40"/>
    <n v="31275"/>
    <n v="40"/>
    <x v="2"/>
  </r>
  <r>
    <s v="6000434"/>
    <x v="18"/>
    <s v="1200004540"/>
    <x v="84"/>
    <x v="0"/>
    <d v="2025-10-07T00:00:00"/>
    <n v="188"/>
    <d v="2025-10-14T00:00:00"/>
    <n v="790"/>
    <s v="PEN"/>
    <s v="OTROS"/>
    <s v=""/>
    <s v=""/>
    <m/>
    <m/>
    <m/>
    <x v="41"/>
    <n v="229.51772225450318"/>
    <m/>
    <x v="0"/>
  </r>
  <r>
    <s v="2000001419"/>
    <x v="19"/>
    <s v="1300001727"/>
    <x v="85"/>
    <x v="4"/>
    <d v="2026-03-30T00:00:00"/>
    <n v="0"/>
    <d v="2026-03-31T00:00:00"/>
    <n v="-33875"/>
    <s v="USD"/>
    <s v="EXPORTACIÓN"/>
    <s v=""/>
    <s v="A"/>
    <d v="2026-05-14T00:00:00"/>
    <m/>
    <m/>
    <x v="42"/>
    <n v="-33875"/>
    <n v="28"/>
    <x v="2"/>
  </r>
  <r>
    <s v="2000001419"/>
    <x v="19"/>
    <s v="1300002536"/>
    <x v="85"/>
    <x v="4"/>
    <d v="2026-04-08T00:00:00"/>
    <n v="0"/>
    <d v="2026-04-30T00:00:00"/>
    <n v="-30635"/>
    <s v="USD"/>
    <s v="EXPORTACIÓN"/>
    <s v=""/>
    <s v="A"/>
    <d v="2026-05-23T00:00:00"/>
    <m/>
    <m/>
    <x v="10"/>
    <n v="-30635"/>
    <n v="19"/>
    <x v="2"/>
  </r>
  <r>
    <s v="2000001419"/>
    <x v="19"/>
    <s v="1300002536"/>
    <x v="85"/>
    <x v="4"/>
    <d v="2026-04-15T00:00:00"/>
    <n v="0"/>
    <d v="2026-04-30T00:00:00"/>
    <n v="-168395"/>
    <s v="USD"/>
    <s v="EXPORTACIÓN"/>
    <s v=""/>
    <s v="A"/>
    <d v="2026-05-30T00:00:00"/>
    <m/>
    <m/>
    <x v="10"/>
    <n v="-168395"/>
    <n v="12"/>
    <x v="2"/>
  </r>
  <r>
    <s v="1000001965"/>
    <x v="20"/>
    <s v="1200000883"/>
    <x v="86"/>
    <x v="0"/>
    <d v="2026-04-13T00:00:00"/>
    <n v="0"/>
    <d v="2026-04-20T00:00:00"/>
    <n v="590"/>
    <s v="PEN"/>
    <s v="NACIONAL"/>
    <s v=""/>
    <s v=""/>
    <m/>
    <m/>
    <m/>
    <x v="34"/>
    <n v="171.41196978500869"/>
    <m/>
    <x v="0"/>
  </r>
  <r>
    <s v="1000001965"/>
    <x v="20"/>
    <s v="1200000928"/>
    <x v="87"/>
    <x v="0"/>
    <d v="2026-04-14T00:00:00"/>
    <n v="-1"/>
    <d v="2026-04-21T00:00:00"/>
    <n v="590"/>
    <s v="PEN"/>
    <s v="NACIONAL"/>
    <s v=""/>
    <s v=""/>
    <m/>
    <m/>
    <m/>
    <x v="22"/>
    <n v="171.41196978500869"/>
    <m/>
    <x v="0"/>
  </r>
  <r>
    <s v="1000001965"/>
    <x v="20"/>
    <s v="1200000970"/>
    <x v="88"/>
    <x v="0"/>
    <d v="2026-04-15T00:00:00"/>
    <n v="-2"/>
    <d v="2026-04-22T00:00:00"/>
    <n v="590"/>
    <s v="PEN"/>
    <s v="NACIONAL"/>
    <s v=""/>
    <s v=""/>
    <m/>
    <m/>
    <m/>
    <x v="23"/>
    <n v="171.41196978500869"/>
    <m/>
    <x v="0"/>
  </r>
  <r>
    <s v="1000001965"/>
    <x v="20"/>
    <s v="1200001019"/>
    <x v="89"/>
    <x v="0"/>
    <d v="2026-04-17T00:00:00"/>
    <n v="3"/>
    <d v="2026-04-17T00:00:00"/>
    <n v="590"/>
    <s v="PEN"/>
    <s v="NACIONAL"/>
    <s v=""/>
    <s v=""/>
    <m/>
    <m/>
    <m/>
    <x v="16"/>
    <n v="171.41196978500869"/>
    <m/>
    <x v="0"/>
  </r>
  <r>
    <s v="1000001965"/>
    <x v="20"/>
    <s v="1200001039"/>
    <x v="90"/>
    <x v="0"/>
    <d v="2026-04-18T00:00:00"/>
    <n v="2"/>
    <d v="2026-04-18T00:00:00"/>
    <n v="590"/>
    <s v="PEN"/>
    <s v="NACIONAL"/>
    <s v=""/>
    <s v=""/>
    <m/>
    <m/>
    <m/>
    <x v="43"/>
    <n v="171.41196978500869"/>
    <m/>
    <x v="0"/>
  </r>
  <r>
    <s v="2000001418"/>
    <x v="21"/>
    <s v="1300001610"/>
    <x v="91"/>
    <x v="4"/>
    <d v="2026-03-02T00:00:00"/>
    <n v="0"/>
    <d v="2026-03-31T00:00:00"/>
    <n v="-13900"/>
    <s v="USD"/>
    <s v="EXPORTACIÓN"/>
    <s v=""/>
    <s v=""/>
    <d v="2026-04-16T00:00:00"/>
    <m/>
    <m/>
    <x v="42"/>
    <n v="-13900"/>
    <n v="56"/>
    <x v="1"/>
  </r>
  <r>
    <s v="2000001418"/>
    <x v="21"/>
    <s v="1200000646"/>
    <x v="92"/>
    <x v="1"/>
    <d v="2026-03-30T00:00:00"/>
    <n v="-24"/>
    <d v="2026-05-14T00:00:00"/>
    <n v="70200"/>
    <s v="USD"/>
    <s v="EXPORTACIÓN"/>
    <s v=""/>
    <s v=""/>
    <d v="2026-05-14T00:00:00"/>
    <n v="17"/>
    <d v="2026-05-14T00:00:00"/>
    <x v="44"/>
    <n v="70200"/>
    <n v="28"/>
    <x v="2"/>
  </r>
  <r>
    <s v="2000001418"/>
    <x v="21"/>
    <s v="1300002530"/>
    <x v="91"/>
    <x v="4"/>
    <d v="2026-04-01T00:00:00"/>
    <n v="0"/>
    <d v="2026-04-30T00:00:00"/>
    <n v="-29130"/>
    <s v="USD"/>
    <s v="EXPORTACIÓN"/>
    <s v=""/>
    <s v="A"/>
    <d v="2026-05-16T00:00:00"/>
    <m/>
    <m/>
    <x v="10"/>
    <n v="-29130"/>
    <n v="26"/>
    <x v="2"/>
  </r>
  <r>
    <s v="1000013801"/>
    <x v="22"/>
    <s v="1200000753"/>
    <x v="93"/>
    <x v="0"/>
    <d v="2026-04-08T00:00:00"/>
    <n v="12"/>
    <d v="2026-04-08T00:00:00"/>
    <n v="165.2"/>
    <s v="PEN"/>
    <s v="NACIONAL"/>
    <s v=""/>
    <s v=""/>
    <m/>
    <m/>
    <m/>
    <x v="45"/>
    <n v="47.995351539802435"/>
    <m/>
    <x v="0"/>
  </r>
  <r>
    <s v="1000013794"/>
    <x v="23"/>
    <s v="1300005699"/>
    <x v="94"/>
    <x v="4"/>
    <d v="2025-10-12T00:00:00"/>
    <n v="190"/>
    <d v="2025-10-12T00:00:00"/>
    <n v="56.64"/>
    <s v="PEN"/>
    <s v="NACIONAL"/>
    <s v=""/>
    <s v=""/>
    <m/>
    <m/>
    <m/>
    <x v="46"/>
    <n v="16.455549099360837"/>
    <m/>
    <x v="0"/>
  </r>
  <r>
    <s v="1000013686"/>
    <x v="24"/>
    <s v="1200001072"/>
    <x v="95"/>
    <x v="0"/>
    <d v="2026-04-20T00:00:00"/>
    <n v="-7"/>
    <d v="2026-04-27T00:00:00"/>
    <n v="1274.4000000000001"/>
    <s v="PEN"/>
    <s v="NACIONAL"/>
    <s v=""/>
    <s v=""/>
    <m/>
    <m/>
    <m/>
    <x v="47"/>
    <n v="370.24985473561884"/>
    <m/>
    <x v="0"/>
  </r>
  <r>
    <s v="2000000786"/>
    <x v="25"/>
    <s v="1200000614"/>
    <x v="96"/>
    <x v="1"/>
    <d v="2026-03-28T00:00:00"/>
    <n v="-22"/>
    <d v="2026-05-12T00:00:00"/>
    <n v="76800"/>
    <s v="USD"/>
    <s v="EXPORTACIÓN"/>
    <s v=""/>
    <s v=""/>
    <d v="2026-05-12T00:00:00"/>
    <n v="15"/>
    <d v="2026-05-12T00:00:00"/>
    <x v="28"/>
    <n v="76800"/>
    <n v="30"/>
    <x v="2"/>
  </r>
  <r>
    <s v="2000000786"/>
    <x v="25"/>
    <s v="1200000615"/>
    <x v="97"/>
    <x v="1"/>
    <d v="2026-03-28T00:00:00"/>
    <n v="-22"/>
    <d v="2026-05-12T00:00:00"/>
    <n v="86240"/>
    <s v="USD"/>
    <s v="EXPORTACIÓN"/>
    <s v=""/>
    <s v=""/>
    <d v="2026-05-12T00:00:00"/>
    <n v="15"/>
    <d v="2026-05-12T00:00:00"/>
    <x v="28"/>
    <n v="86240"/>
    <n v="30"/>
    <x v="2"/>
  </r>
  <r>
    <s v="2000000786"/>
    <x v="25"/>
    <s v="1200000624"/>
    <x v="98"/>
    <x v="1"/>
    <d v="2026-03-28T00:00:00"/>
    <n v="-22"/>
    <d v="2026-05-12T00:00:00"/>
    <n v="57600"/>
    <s v="USD"/>
    <s v="EXPORTACIÓN"/>
    <s v=""/>
    <s v=""/>
    <d v="2026-05-12T00:00:00"/>
    <n v="15"/>
    <d v="2026-05-12T00:00:00"/>
    <x v="28"/>
    <n v="57600"/>
    <n v="30"/>
    <x v="2"/>
  </r>
  <r>
    <s v="2000000786"/>
    <x v="25"/>
    <s v="1200000625"/>
    <x v="99"/>
    <x v="1"/>
    <d v="2026-03-28T00:00:00"/>
    <n v="-22"/>
    <d v="2026-05-12T00:00:00"/>
    <n v="129600"/>
    <s v="USD"/>
    <s v="EXPORTACIÓN"/>
    <s v=""/>
    <s v=""/>
    <d v="2026-05-12T00:00:00"/>
    <n v="15"/>
    <d v="2026-05-12T00:00:00"/>
    <x v="28"/>
    <n v="129600"/>
    <n v="30"/>
    <x v="2"/>
  </r>
  <r>
    <s v="2000000786"/>
    <x v="25"/>
    <s v="1200000630"/>
    <x v="100"/>
    <x v="1"/>
    <d v="2026-03-29T00:00:00"/>
    <n v="-23"/>
    <d v="2026-05-13T00:00:00"/>
    <n v="67200"/>
    <s v="USD"/>
    <s v="EXPORTACIÓN"/>
    <s v=""/>
    <s v=""/>
    <d v="2026-05-13T00:00:00"/>
    <n v="16"/>
    <d v="2026-05-13T00:00:00"/>
    <x v="18"/>
    <n v="67200"/>
    <n v="29"/>
    <x v="2"/>
  </r>
  <r>
    <s v="2000000786"/>
    <x v="25"/>
    <s v="1200000632"/>
    <x v="101"/>
    <x v="1"/>
    <d v="2026-03-29T00:00:00"/>
    <n v="-23"/>
    <d v="2026-05-13T00:00:00"/>
    <n v="72960"/>
    <s v="USD"/>
    <s v="EXPORTACIÓN"/>
    <s v=""/>
    <s v=""/>
    <d v="2026-05-13T00:00:00"/>
    <n v="16"/>
    <d v="2026-05-13T00:00:00"/>
    <x v="18"/>
    <n v="72960"/>
    <n v="29"/>
    <x v="2"/>
  </r>
  <r>
    <s v="2000000786"/>
    <x v="25"/>
    <s v="1200000802"/>
    <x v="102"/>
    <x v="1"/>
    <d v="2026-04-08T00:00:00"/>
    <n v="-33"/>
    <d v="2026-05-23T00:00:00"/>
    <n v="78200"/>
    <s v="USD"/>
    <s v="EXPORTACIÓN"/>
    <s v=""/>
    <s v=""/>
    <d v="2026-05-23T00:00:00"/>
    <m/>
    <m/>
    <x v="29"/>
    <n v="78200"/>
    <n v="19"/>
    <x v="2"/>
  </r>
  <r>
    <s v="2000000786"/>
    <x v="25"/>
    <s v="1200000803"/>
    <x v="103"/>
    <x v="1"/>
    <d v="2026-04-08T00:00:00"/>
    <n v="-33"/>
    <d v="2026-05-23T00:00:00"/>
    <n v="180000"/>
    <s v="USD"/>
    <s v="EXPORTACIÓN"/>
    <s v=""/>
    <s v=""/>
    <d v="2026-05-23T00:00:00"/>
    <m/>
    <m/>
    <x v="29"/>
    <n v="180000"/>
    <n v="19"/>
    <x v="2"/>
  </r>
  <r>
    <s v="2000001069"/>
    <x v="26"/>
    <s v="1300001606"/>
    <x v="104"/>
    <x v="4"/>
    <d v="2026-03-17T00:00:00"/>
    <n v="0"/>
    <d v="2026-03-31T00:00:00"/>
    <n v="-84100"/>
    <s v="USD"/>
    <s v="EXPORTACIÓN"/>
    <s v=""/>
    <s v="A"/>
    <d v="2026-05-01T00:00:00"/>
    <m/>
    <m/>
    <x v="42"/>
    <n v="-84100"/>
    <n v="41"/>
    <x v="2"/>
  </r>
  <r>
    <s v="2000001069"/>
    <x v="26"/>
    <s v="1200000936"/>
    <x v="105"/>
    <x v="1"/>
    <d v="2026-04-12T00:00:00"/>
    <n v="-37"/>
    <d v="2026-05-27T00:00:00"/>
    <n v="94500"/>
    <s v="USD"/>
    <s v="EXPORTACIÓN"/>
    <s v=""/>
    <s v=""/>
    <d v="2026-05-27T00:00:00"/>
    <m/>
    <m/>
    <x v="21"/>
    <n v="94500"/>
    <n v="15"/>
    <x v="2"/>
  </r>
  <r>
    <s v="2000001069"/>
    <x v="26"/>
    <s v="1200000938"/>
    <x v="106"/>
    <x v="1"/>
    <d v="2026-04-12T00:00:00"/>
    <n v="-37"/>
    <d v="2026-05-27T00:00:00"/>
    <n v="45900"/>
    <s v="USD"/>
    <s v="EXPORTACIÓN"/>
    <s v=""/>
    <s v=""/>
    <d v="2026-05-27T00:00:00"/>
    <m/>
    <m/>
    <x v="21"/>
    <n v="45900"/>
    <n v="15"/>
    <x v="2"/>
  </r>
  <r>
    <s v="2000001069"/>
    <x v="26"/>
    <s v="1200000942"/>
    <x v="107"/>
    <x v="1"/>
    <d v="2026-04-12T00:00:00"/>
    <n v="-37"/>
    <d v="2026-05-27T00:00:00"/>
    <n v="43200"/>
    <s v="USD"/>
    <s v="EXPORTACIÓN"/>
    <s v=""/>
    <s v=""/>
    <d v="2026-05-27T00:00:00"/>
    <m/>
    <m/>
    <x v="21"/>
    <n v="43200"/>
    <n v="15"/>
    <x v="2"/>
  </r>
  <r>
    <m/>
    <x v="27"/>
    <m/>
    <x v="108"/>
    <x v="6"/>
    <m/>
    <m/>
    <m/>
    <m/>
    <m/>
    <m/>
    <m/>
    <m/>
    <m/>
    <m/>
    <m/>
    <x v="48"/>
    <m/>
    <m/>
    <x v="0"/>
  </r>
  <r>
    <m/>
    <x v="27"/>
    <m/>
    <x v="108"/>
    <x v="6"/>
    <m/>
    <m/>
    <m/>
    <m/>
    <m/>
    <m/>
    <m/>
    <m/>
    <m/>
    <m/>
    <m/>
    <x v="48"/>
    <m/>
    <m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s v="1000013966"/>
    <x v="0"/>
    <x v="0"/>
    <x v="0"/>
    <x v="0"/>
    <n v="152"/>
    <d v="2025-11-26T00:00:00"/>
    <n v="42.48"/>
    <s v="PEN"/>
    <x v="0"/>
    <m/>
    <m/>
    <x v="0"/>
    <x v="0"/>
    <n v="12.213916043703277"/>
    <m/>
    <m/>
  </r>
  <r>
    <s v="1000013966"/>
    <x v="0"/>
    <x v="1"/>
    <x v="0"/>
    <x v="0"/>
    <n v="152"/>
    <d v="2025-11-26T00:00:00"/>
    <n v="14.16"/>
    <s v="PEN"/>
    <x v="0"/>
    <m/>
    <m/>
    <x v="0"/>
    <x v="0"/>
    <n v="4.0713053479010926"/>
    <m/>
    <m/>
  </r>
  <r>
    <s v="1000013966"/>
    <x v="0"/>
    <x v="2"/>
    <x v="0"/>
    <x v="0"/>
    <n v="152"/>
    <d v="2025-11-26T00:00:00"/>
    <n v="14.16"/>
    <s v="PEN"/>
    <x v="0"/>
    <m/>
    <m/>
    <x v="0"/>
    <x v="0"/>
    <n v="4.0713053479010926"/>
    <m/>
    <m/>
  </r>
  <r>
    <s v="1000013966"/>
    <x v="0"/>
    <x v="3"/>
    <x v="0"/>
    <x v="1"/>
    <n v="151"/>
    <d v="2025-11-27T00:00:00"/>
    <n v="28.32"/>
    <s v="PEN"/>
    <x v="0"/>
    <m/>
    <m/>
    <x v="0"/>
    <x v="1"/>
    <n v="8.1426106958021851"/>
    <m/>
    <m/>
  </r>
  <r>
    <s v="1000013966"/>
    <x v="0"/>
    <x v="4"/>
    <x v="0"/>
    <x v="1"/>
    <n v="151"/>
    <d v="2025-11-27T00:00:00"/>
    <n v="14.16"/>
    <s v="PEN"/>
    <x v="0"/>
    <m/>
    <m/>
    <x v="0"/>
    <x v="1"/>
    <n v="4.0713053479010926"/>
    <m/>
    <m/>
  </r>
  <r>
    <s v="1000013966"/>
    <x v="0"/>
    <x v="5"/>
    <x v="0"/>
    <x v="2"/>
    <n v="150"/>
    <d v="2025-11-28T00:00:00"/>
    <n v="28.32"/>
    <s v="PEN"/>
    <x v="0"/>
    <m/>
    <m/>
    <x v="0"/>
    <x v="2"/>
    <n v="8.1426106958021851"/>
    <m/>
    <m/>
  </r>
  <r>
    <s v="1000013966"/>
    <x v="0"/>
    <x v="6"/>
    <x v="0"/>
    <x v="2"/>
    <n v="150"/>
    <d v="2025-11-28T00:00:00"/>
    <n v="42.48"/>
    <s v="PEN"/>
    <x v="0"/>
    <m/>
    <m/>
    <x v="0"/>
    <x v="2"/>
    <n v="12.213916043703277"/>
    <m/>
    <m/>
  </r>
  <r>
    <s v="1000013966"/>
    <x v="0"/>
    <x v="7"/>
    <x v="0"/>
    <x v="2"/>
    <n v="150"/>
    <d v="2025-11-28T00:00:00"/>
    <n v="42.48"/>
    <s v="PEN"/>
    <x v="0"/>
    <m/>
    <m/>
    <x v="0"/>
    <x v="2"/>
    <n v="12.213916043703277"/>
    <m/>
    <m/>
  </r>
  <r>
    <s v="1000013966"/>
    <x v="0"/>
    <x v="8"/>
    <x v="0"/>
    <x v="2"/>
    <n v="150"/>
    <d v="2025-11-28T00:00:00"/>
    <n v="14.16"/>
    <s v="PEN"/>
    <x v="0"/>
    <m/>
    <m/>
    <x v="0"/>
    <x v="2"/>
    <n v="4.0713053479010926"/>
    <m/>
    <m/>
  </r>
  <r>
    <s v="1000013966"/>
    <x v="0"/>
    <x v="9"/>
    <x v="0"/>
    <x v="3"/>
    <n v="149"/>
    <d v="2025-11-29T00:00:00"/>
    <n v="28.32"/>
    <s v="PEN"/>
    <x v="0"/>
    <m/>
    <m/>
    <x v="0"/>
    <x v="3"/>
    <n v="8.1426106958021851"/>
    <m/>
    <m/>
  </r>
  <r>
    <s v="1000013966"/>
    <x v="0"/>
    <x v="10"/>
    <x v="0"/>
    <x v="4"/>
    <n v="144"/>
    <d v="2025-12-04T00:00:00"/>
    <n v="14.16"/>
    <s v="PEN"/>
    <x v="0"/>
    <m/>
    <m/>
    <x v="0"/>
    <x v="4"/>
    <n v="4.0713053479010926"/>
    <m/>
    <m/>
  </r>
  <r>
    <s v="1000013966"/>
    <x v="0"/>
    <x v="11"/>
    <x v="0"/>
    <x v="5"/>
    <n v="104"/>
    <d v="2026-01-13T00:00:00"/>
    <n v="14.16"/>
    <s v="PEN"/>
    <x v="0"/>
    <m/>
    <m/>
    <x v="0"/>
    <x v="5"/>
    <n v="4.0713053479010926"/>
    <m/>
    <m/>
  </r>
  <r>
    <s v="1000013966"/>
    <x v="0"/>
    <x v="12"/>
    <x v="0"/>
    <x v="6"/>
    <n v="102"/>
    <d v="2026-01-15T00:00:00"/>
    <n v="14.16"/>
    <s v="PEN"/>
    <x v="0"/>
    <m/>
    <m/>
    <x v="0"/>
    <x v="6"/>
    <n v="4.0713053479010926"/>
    <m/>
    <m/>
  </r>
  <r>
    <s v="1000013966"/>
    <x v="0"/>
    <x v="13"/>
    <x v="0"/>
    <x v="7"/>
    <n v="100"/>
    <d v="2026-01-17T00:00:00"/>
    <n v="14.16"/>
    <s v="PEN"/>
    <x v="0"/>
    <m/>
    <m/>
    <x v="0"/>
    <x v="7"/>
    <n v="4.0713053479010926"/>
    <m/>
    <m/>
  </r>
  <r>
    <s v="1000013966"/>
    <x v="0"/>
    <x v="14"/>
    <x v="0"/>
    <x v="8"/>
    <n v="94"/>
    <d v="2026-01-23T00:00:00"/>
    <n v="14.16"/>
    <s v="PEN"/>
    <x v="0"/>
    <m/>
    <m/>
    <x v="0"/>
    <x v="8"/>
    <n v="4.0713053479010926"/>
    <m/>
    <m/>
  </r>
  <r>
    <s v="1000013966"/>
    <x v="0"/>
    <x v="15"/>
    <x v="0"/>
    <x v="8"/>
    <n v="94"/>
    <d v="2026-01-23T00:00:00"/>
    <n v="14.16"/>
    <s v="PEN"/>
    <x v="0"/>
    <m/>
    <m/>
    <x v="0"/>
    <x v="8"/>
    <n v="4.0713053479010926"/>
    <m/>
    <m/>
  </r>
  <r>
    <s v="1000013966"/>
    <x v="0"/>
    <x v="16"/>
    <x v="0"/>
    <x v="9"/>
    <n v="91"/>
    <d v="2026-01-26T00:00:00"/>
    <n v="14.16"/>
    <s v="PEN"/>
    <x v="0"/>
    <m/>
    <m/>
    <x v="0"/>
    <x v="9"/>
    <n v="4.0713053479010926"/>
    <m/>
    <m/>
  </r>
  <r>
    <s v="1000013676"/>
    <x v="1"/>
    <x v="17"/>
    <x v="1"/>
    <x v="10"/>
    <n v="15"/>
    <d v="2026-04-12T00:00:00"/>
    <n v="250.4"/>
    <s v="PEN"/>
    <x v="0"/>
    <m/>
    <m/>
    <x v="0"/>
    <x v="10"/>
    <n v="71.995399654974122"/>
    <m/>
    <m/>
  </r>
  <r>
    <s v="1000013676"/>
    <x v="1"/>
    <x v="18"/>
    <x v="1"/>
    <x v="10"/>
    <n v="15"/>
    <d v="2026-04-12T00:00:00"/>
    <n v="23.6"/>
    <s v="PEN"/>
    <x v="0"/>
    <m/>
    <m/>
    <x v="0"/>
    <x v="10"/>
    <n v="6.7855089131684876"/>
    <m/>
    <m/>
  </r>
  <r>
    <s v="1000013676"/>
    <x v="1"/>
    <x v="19"/>
    <x v="1"/>
    <x v="11"/>
    <n v="4"/>
    <d v="2026-04-23T00:00:00"/>
    <n v="355.89"/>
    <s v="PEN"/>
    <x v="0"/>
    <m/>
    <m/>
    <x v="0"/>
    <x v="11"/>
    <n v="102.32604945370902"/>
    <m/>
    <m/>
  </r>
  <r>
    <s v="1000013676"/>
    <x v="1"/>
    <x v="20"/>
    <x v="1"/>
    <x v="11"/>
    <n v="4"/>
    <d v="2026-04-23T00:00:00"/>
    <n v="35.4"/>
    <s v="PEN"/>
    <x v="0"/>
    <m/>
    <m/>
    <x v="0"/>
    <x v="11"/>
    <n v="10.178263369752731"/>
    <m/>
    <m/>
  </r>
  <r>
    <s v="1000013678"/>
    <x v="2"/>
    <x v="21"/>
    <x v="0"/>
    <x v="12"/>
    <n v="34"/>
    <d v="2026-03-24T00:00:00"/>
    <n v="424.8"/>
    <s v="PEN"/>
    <x v="0"/>
    <m/>
    <m/>
    <x v="0"/>
    <x v="12"/>
    <n v="122.13916043703277"/>
    <m/>
    <m/>
  </r>
  <r>
    <s v="1000013678"/>
    <x v="2"/>
    <x v="22"/>
    <x v="0"/>
    <x v="13"/>
    <n v="32"/>
    <d v="2026-03-26T00:00:00"/>
    <n v="283.2"/>
    <s v="PEN"/>
    <x v="0"/>
    <m/>
    <m/>
    <x v="0"/>
    <x v="13"/>
    <n v="81.426106958021848"/>
    <m/>
    <m/>
  </r>
  <r>
    <s v="1000013678"/>
    <x v="2"/>
    <x v="23"/>
    <x v="0"/>
    <x v="14"/>
    <n v="30"/>
    <d v="2026-03-28T00:00:00"/>
    <n v="354"/>
    <s v="PEN"/>
    <x v="0"/>
    <m/>
    <m/>
    <x v="0"/>
    <x v="14"/>
    <n v="101.7826336975273"/>
    <m/>
    <m/>
  </r>
  <r>
    <s v="1000013678"/>
    <x v="2"/>
    <x v="24"/>
    <x v="0"/>
    <x v="15"/>
    <n v="21"/>
    <d v="2026-04-06T00:00:00"/>
    <n v="283.2"/>
    <s v="PEN"/>
    <x v="0"/>
    <m/>
    <m/>
    <x v="0"/>
    <x v="15"/>
    <n v="81.426106958021848"/>
    <m/>
    <m/>
  </r>
  <r>
    <s v="1000013678"/>
    <x v="2"/>
    <x v="25"/>
    <x v="0"/>
    <x v="16"/>
    <n v="11"/>
    <d v="2026-04-16T00:00:00"/>
    <n v="354"/>
    <s v="PEN"/>
    <x v="0"/>
    <m/>
    <m/>
    <x v="0"/>
    <x v="16"/>
    <n v="101.7826336975273"/>
    <m/>
    <m/>
  </r>
  <r>
    <s v="1000013678"/>
    <x v="2"/>
    <x v="26"/>
    <x v="0"/>
    <x v="17"/>
    <n v="10"/>
    <d v="2026-04-17T00:00:00"/>
    <n v="236"/>
    <s v="PEN"/>
    <x v="0"/>
    <m/>
    <m/>
    <x v="0"/>
    <x v="17"/>
    <n v="67.855089131684878"/>
    <m/>
    <m/>
  </r>
  <r>
    <s v="1000013678"/>
    <x v="2"/>
    <x v="27"/>
    <x v="0"/>
    <x v="18"/>
    <n v="-5"/>
    <d v="2026-05-02T00:00:00"/>
    <n v="354"/>
    <s v="PEN"/>
    <x v="0"/>
    <m/>
    <m/>
    <x v="0"/>
    <x v="18"/>
    <n v="101.7826336975273"/>
    <m/>
    <m/>
  </r>
  <r>
    <s v="1000002057"/>
    <x v="3"/>
    <x v="28"/>
    <x v="0"/>
    <x v="19"/>
    <n v="-6"/>
    <d v="2026-05-03T00:00:00"/>
    <n v="747.7"/>
    <s v="PEN"/>
    <x v="0"/>
    <m/>
    <m/>
    <x v="0"/>
    <x v="19"/>
    <n v="214.97987349051178"/>
    <m/>
    <m/>
  </r>
  <r>
    <s v="1000002057"/>
    <x v="3"/>
    <x v="29"/>
    <x v="0"/>
    <x v="19"/>
    <n v="-6"/>
    <d v="2026-05-03T00:00:00"/>
    <n v="265.5"/>
    <s v="PEN"/>
    <x v="0"/>
    <m/>
    <m/>
    <x v="0"/>
    <x v="19"/>
    <n v="76.336975273145484"/>
    <m/>
    <m/>
  </r>
  <r>
    <s v="2000001381"/>
    <x v="4"/>
    <x v="30"/>
    <x v="2"/>
    <x v="20"/>
    <n v="-16"/>
    <d v="2026-05-13T00:00:00"/>
    <n v="24860"/>
    <s v="USD"/>
    <x v="1"/>
    <d v="2026-05-13T00:00:00"/>
    <n v="16"/>
    <x v="1"/>
    <x v="20"/>
    <n v="24860"/>
    <n v="29"/>
    <s v="0-45"/>
  </r>
  <r>
    <s v="2000001381"/>
    <x v="4"/>
    <x v="31"/>
    <x v="2"/>
    <x v="20"/>
    <n v="-16"/>
    <d v="2026-05-13T00:00:00"/>
    <n v="24860"/>
    <s v="USD"/>
    <x v="1"/>
    <d v="2026-05-13T00:00:00"/>
    <n v="16"/>
    <x v="1"/>
    <x v="20"/>
    <n v="24860"/>
    <n v="29"/>
    <s v="0-45"/>
  </r>
  <r>
    <s v="2000001381"/>
    <x v="4"/>
    <x v="32"/>
    <x v="2"/>
    <x v="20"/>
    <n v="-16"/>
    <d v="2026-05-13T00:00:00"/>
    <n v="24860"/>
    <s v="USD"/>
    <x v="1"/>
    <d v="2026-05-13T00:00:00"/>
    <n v="16"/>
    <x v="1"/>
    <x v="20"/>
    <n v="24860"/>
    <n v="29"/>
    <s v="0-45"/>
  </r>
  <r>
    <s v="2000001381"/>
    <x v="4"/>
    <x v="33"/>
    <x v="2"/>
    <x v="20"/>
    <n v="-16"/>
    <d v="2026-05-13T00:00:00"/>
    <n v="28800"/>
    <s v="USD"/>
    <x v="1"/>
    <d v="2026-05-13T00:00:00"/>
    <n v="16"/>
    <x v="1"/>
    <x v="20"/>
    <n v="28800"/>
    <n v="29"/>
    <s v="0-45"/>
  </r>
  <r>
    <s v="2000001381"/>
    <x v="4"/>
    <x v="34"/>
    <x v="2"/>
    <x v="20"/>
    <n v="-16"/>
    <d v="2026-05-13T00:00:00"/>
    <n v="28800"/>
    <s v="USD"/>
    <x v="1"/>
    <d v="2026-05-13T00:00:00"/>
    <n v="16"/>
    <x v="1"/>
    <x v="20"/>
    <n v="28800"/>
    <n v="29"/>
    <s v="0-45"/>
  </r>
  <r>
    <s v="2000001381"/>
    <x v="4"/>
    <x v="35"/>
    <x v="2"/>
    <x v="20"/>
    <n v="-16"/>
    <d v="2026-05-13T00:00:00"/>
    <n v="29300"/>
    <s v="USD"/>
    <x v="1"/>
    <d v="2026-05-13T00:00:00"/>
    <n v="16"/>
    <x v="1"/>
    <x v="20"/>
    <n v="29300"/>
    <n v="29"/>
    <s v="0-45"/>
  </r>
  <r>
    <s v="2000001381"/>
    <x v="4"/>
    <x v="36"/>
    <x v="3"/>
    <x v="21"/>
    <n v="26"/>
    <d v="2026-04-01T00:00:00"/>
    <n v="2176.9899999999998"/>
    <s v="USD"/>
    <x v="1"/>
    <d v="2026-05-16T00:00:00"/>
    <m/>
    <x v="0"/>
    <x v="21"/>
    <n v="2176.9899999999998"/>
    <n v="26"/>
    <s v="0-45"/>
  </r>
  <r>
    <s v="2000001398"/>
    <x v="4"/>
    <x v="37"/>
    <x v="4"/>
    <x v="22"/>
    <n v="0"/>
    <d v="2026-04-30T00:00:00"/>
    <n v="-18900"/>
    <s v="USD"/>
    <x v="1"/>
    <d v="2026-06-05T00:00:00"/>
    <m/>
    <x v="0"/>
    <x v="22"/>
    <n v="-18900"/>
    <n v="6"/>
    <s v="0-45"/>
  </r>
  <r>
    <s v="1000013754"/>
    <x v="5"/>
    <x v="38"/>
    <x v="1"/>
    <x v="11"/>
    <n v="4"/>
    <d v="2026-04-23T00:00:00"/>
    <n v="684.64"/>
    <s v="PEN"/>
    <x v="0"/>
    <m/>
    <m/>
    <x v="0"/>
    <x v="11"/>
    <n v="196.84876365727428"/>
    <m/>
    <m/>
  </r>
  <r>
    <s v="1000013754"/>
    <x v="5"/>
    <x v="39"/>
    <x v="1"/>
    <x v="11"/>
    <n v="4"/>
    <d v="2026-04-23T00:00:00"/>
    <n v="70.8"/>
    <s v="PEN"/>
    <x v="0"/>
    <m/>
    <m/>
    <x v="0"/>
    <x v="11"/>
    <n v="20.356526739505462"/>
    <m/>
    <m/>
  </r>
  <r>
    <s v="1000013754"/>
    <x v="5"/>
    <x v="40"/>
    <x v="1"/>
    <x v="23"/>
    <n v="10"/>
    <d v="2026-04-17T00:00:00"/>
    <n v="586.70000000000005"/>
    <s v="PEN"/>
    <x v="0"/>
    <m/>
    <m/>
    <x v="0"/>
    <x v="17"/>
    <n v="168.68890166762509"/>
    <m/>
    <m/>
  </r>
  <r>
    <s v="1000013754"/>
    <x v="5"/>
    <x v="41"/>
    <x v="1"/>
    <x v="23"/>
    <n v="10"/>
    <d v="2026-04-17T00:00:00"/>
    <n v="70.8"/>
    <s v="PEN"/>
    <x v="0"/>
    <m/>
    <m/>
    <x v="0"/>
    <x v="17"/>
    <n v="20.356526739505462"/>
    <m/>
    <m/>
  </r>
  <r>
    <s v="1000013754"/>
    <x v="5"/>
    <x v="42"/>
    <x v="1"/>
    <x v="24"/>
    <n v="1"/>
    <d v="2026-04-26T00:00:00"/>
    <n v="358.48"/>
    <s v="PEN"/>
    <x v="0"/>
    <m/>
    <m/>
    <x v="0"/>
    <x v="23"/>
    <n v="103.07073030477285"/>
    <m/>
    <m/>
  </r>
  <r>
    <s v="1000013754"/>
    <x v="5"/>
    <x v="43"/>
    <x v="1"/>
    <x v="24"/>
    <n v="1"/>
    <d v="2026-04-26T00:00:00"/>
    <n v="70.8"/>
    <s v="PEN"/>
    <x v="0"/>
    <m/>
    <m/>
    <x v="0"/>
    <x v="23"/>
    <n v="20.356526739505462"/>
    <m/>
    <m/>
  </r>
  <r>
    <s v="1000013754"/>
    <x v="5"/>
    <x v="44"/>
    <x v="1"/>
    <x v="25"/>
    <n v="0"/>
    <d v="2026-04-27T00:00:00"/>
    <n v="405.68"/>
    <s v="PEN"/>
    <x v="0"/>
    <m/>
    <m/>
    <x v="0"/>
    <x v="24"/>
    <n v="116.64174813110982"/>
    <m/>
    <m/>
  </r>
  <r>
    <s v="1000013754"/>
    <x v="5"/>
    <x v="45"/>
    <x v="1"/>
    <x v="25"/>
    <n v="0"/>
    <d v="2026-04-27T00:00:00"/>
    <n v="70.8"/>
    <s v="PEN"/>
    <x v="0"/>
    <m/>
    <m/>
    <x v="0"/>
    <x v="24"/>
    <n v="20.356526739505462"/>
    <m/>
    <m/>
  </r>
  <r>
    <s v="1000013754"/>
    <x v="5"/>
    <x v="46"/>
    <x v="1"/>
    <x v="25"/>
    <n v="0"/>
    <d v="2026-04-27T00:00:00"/>
    <n v="371.23"/>
    <s v="PEN"/>
    <x v="0"/>
    <m/>
    <m/>
    <x v="0"/>
    <x v="24"/>
    <n v="106.73663024726855"/>
    <m/>
    <m/>
  </r>
  <r>
    <s v="1000013754"/>
    <x v="5"/>
    <x v="47"/>
    <x v="1"/>
    <x v="25"/>
    <n v="0"/>
    <d v="2026-04-27T00:00:00"/>
    <n v="47.2"/>
    <s v="PEN"/>
    <x v="0"/>
    <m/>
    <m/>
    <x v="0"/>
    <x v="24"/>
    <n v="13.571017826336975"/>
    <m/>
    <m/>
  </r>
  <r>
    <s v="1000013754"/>
    <x v="5"/>
    <x v="48"/>
    <x v="1"/>
    <x v="26"/>
    <n v="-2"/>
    <d v="2026-04-29T00:00:00"/>
    <n v="242.61"/>
    <s v="PEN"/>
    <x v="0"/>
    <m/>
    <m/>
    <x v="0"/>
    <x v="25"/>
    <n v="69.755606670500285"/>
    <m/>
    <m/>
  </r>
  <r>
    <s v="1000013754"/>
    <x v="5"/>
    <x v="49"/>
    <x v="1"/>
    <x v="26"/>
    <n v="-2"/>
    <d v="2026-04-29T00:00:00"/>
    <n v="47.2"/>
    <s v="PEN"/>
    <x v="0"/>
    <m/>
    <m/>
    <x v="0"/>
    <x v="25"/>
    <n v="13.571017826336975"/>
    <m/>
    <m/>
  </r>
  <r>
    <s v="1000013754"/>
    <x v="5"/>
    <x v="50"/>
    <x v="1"/>
    <x v="27"/>
    <n v="-3"/>
    <d v="2026-04-30T00:00:00"/>
    <n v="590.47"/>
    <s v="PEN"/>
    <x v="0"/>
    <m/>
    <m/>
    <x v="0"/>
    <x v="22"/>
    <n v="169.77285796434734"/>
    <m/>
    <m/>
  </r>
  <r>
    <s v="1000013754"/>
    <x v="5"/>
    <x v="51"/>
    <x v="1"/>
    <x v="27"/>
    <n v="-3"/>
    <d v="2026-04-30T00:00:00"/>
    <n v="70.8"/>
    <s v="PEN"/>
    <x v="0"/>
    <m/>
    <m/>
    <x v="0"/>
    <x v="22"/>
    <n v="20.356526739505462"/>
    <m/>
    <m/>
  </r>
  <r>
    <s v="1000013754"/>
    <x v="5"/>
    <x v="52"/>
    <x v="1"/>
    <x v="18"/>
    <n v="-5"/>
    <d v="2026-05-02T00:00:00"/>
    <n v="508.82"/>
    <s v="PEN"/>
    <x v="0"/>
    <m/>
    <m/>
    <x v="0"/>
    <x v="18"/>
    <n v="146.29672225416905"/>
    <m/>
    <m/>
  </r>
  <r>
    <s v="1000013754"/>
    <x v="5"/>
    <x v="53"/>
    <x v="1"/>
    <x v="18"/>
    <n v="-5"/>
    <d v="2026-05-02T00:00:00"/>
    <n v="47.2"/>
    <s v="PEN"/>
    <x v="0"/>
    <m/>
    <m/>
    <x v="0"/>
    <x v="18"/>
    <n v="13.571017826336975"/>
    <m/>
    <m/>
  </r>
  <r>
    <s v="1000013754"/>
    <x v="5"/>
    <x v="54"/>
    <x v="1"/>
    <x v="18"/>
    <n v="-5"/>
    <d v="2026-05-02T00:00:00"/>
    <n v="377.84"/>
    <s v="PEN"/>
    <x v="0"/>
    <m/>
    <m/>
    <x v="0"/>
    <x v="18"/>
    <n v="108.63714778608394"/>
    <m/>
    <m/>
  </r>
  <r>
    <s v="1000013754"/>
    <x v="5"/>
    <x v="55"/>
    <x v="1"/>
    <x v="18"/>
    <n v="-5"/>
    <d v="2026-05-02T00:00:00"/>
    <n v="47.2"/>
    <s v="PEN"/>
    <x v="0"/>
    <m/>
    <m/>
    <x v="0"/>
    <x v="18"/>
    <n v="13.571017826336975"/>
    <m/>
    <m/>
  </r>
  <r>
    <s v="2000001361"/>
    <x v="6"/>
    <x v="56"/>
    <x v="2"/>
    <x v="28"/>
    <n v="-30"/>
    <d v="2026-05-27T00:00:00"/>
    <n v="67550"/>
    <s v="USD"/>
    <x v="1"/>
    <d v="2026-05-27T00:00:00"/>
    <n v="30"/>
    <x v="2"/>
    <x v="26"/>
    <n v="67550"/>
    <n v="15"/>
    <s v="0-45"/>
  </r>
  <r>
    <s v="2000001361"/>
    <x v="6"/>
    <x v="57"/>
    <x v="5"/>
    <x v="25"/>
    <n v="-30"/>
    <d v="2026-05-27T00:00:00"/>
    <n v="-0.02"/>
    <s v="USD"/>
    <x v="1"/>
    <d v="2026-06-04T00:00:00"/>
    <m/>
    <x v="0"/>
    <x v="27"/>
    <n v="-0.02"/>
    <n v="7"/>
    <s v="0-45"/>
  </r>
  <r>
    <s v="2000001398"/>
    <x v="7"/>
    <x v="58"/>
    <x v="4"/>
    <x v="29"/>
    <n v="0"/>
    <d v="2026-04-30T00:00:00"/>
    <n v="-32370"/>
    <s v="USD"/>
    <x v="1"/>
    <d v="2026-05-21T00:00:00"/>
    <m/>
    <x v="0"/>
    <x v="22"/>
    <n v="-32370"/>
    <n v="21"/>
    <s v="0-45"/>
  </r>
  <r>
    <s v="2000001398"/>
    <x v="7"/>
    <x v="58"/>
    <x v="4"/>
    <x v="22"/>
    <n v="0"/>
    <d v="2026-04-30T00:00:00"/>
    <n v="-16460"/>
    <s v="USD"/>
    <x v="1"/>
    <d v="2026-06-05T00:00:00"/>
    <m/>
    <x v="0"/>
    <x v="22"/>
    <n v="-16460"/>
    <n v="6"/>
    <s v="0-45"/>
  </r>
  <r>
    <s v="1000000875"/>
    <x v="8"/>
    <x v="59"/>
    <x v="0"/>
    <x v="26"/>
    <n v="-2"/>
    <d v="2026-04-29T00:00:00"/>
    <n v="622.33000000000004"/>
    <s v="PEN"/>
    <x v="0"/>
    <m/>
    <m/>
    <x v="0"/>
    <x v="25"/>
    <n v="178.93329499712479"/>
    <m/>
    <m/>
  </r>
  <r>
    <s v="1000000875"/>
    <x v="8"/>
    <x v="60"/>
    <x v="0"/>
    <x v="26"/>
    <n v="-2"/>
    <d v="2026-04-29T00:00:00"/>
    <n v="123.9"/>
    <s v="PEN"/>
    <x v="0"/>
    <m/>
    <m/>
    <x v="0"/>
    <x v="25"/>
    <n v="35.62392179413456"/>
    <m/>
    <m/>
  </r>
  <r>
    <s v="1000006830"/>
    <x v="9"/>
    <x v="61"/>
    <x v="0"/>
    <x v="30"/>
    <n v="6"/>
    <d v="2026-04-21T00:00:00"/>
    <n v="1138.94"/>
    <s v="PEN"/>
    <x v="0"/>
    <m/>
    <m/>
    <x v="0"/>
    <x v="28"/>
    <n v="327.46981023576768"/>
    <m/>
    <m/>
  </r>
  <r>
    <s v="1000006830"/>
    <x v="9"/>
    <x v="62"/>
    <x v="0"/>
    <x v="30"/>
    <n v="6"/>
    <d v="2026-04-21T00:00:00"/>
    <n v="118"/>
    <s v="PEN"/>
    <x v="0"/>
    <m/>
    <m/>
    <x v="0"/>
    <x v="28"/>
    <n v="33.927544565842439"/>
    <m/>
    <m/>
  </r>
  <r>
    <s v="1000006830"/>
    <x v="9"/>
    <x v="63"/>
    <x v="0"/>
    <x v="30"/>
    <n v="6"/>
    <d v="2026-04-21T00:00:00"/>
    <n v="599.35"/>
    <s v="PEN"/>
    <x v="0"/>
    <m/>
    <m/>
    <x v="0"/>
    <x v="28"/>
    <n v="172.32604945370903"/>
    <m/>
    <m/>
  </r>
  <r>
    <s v="1000006830"/>
    <x v="9"/>
    <x v="64"/>
    <x v="0"/>
    <x v="30"/>
    <n v="6"/>
    <d v="2026-04-21T00:00:00"/>
    <n v="212.4"/>
    <s v="PEN"/>
    <x v="0"/>
    <m/>
    <m/>
    <x v="0"/>
    <x v="28"/>
    <n v="61.069580218516386"/>
    <m/>
    <m/>
  </r>
  <r>
    <s v="1000006830"/>
    <x v="9"/>
    <x v="65"/>
    <x v="0"/>
    <x v="30"/>
    <n v="6"/>
    <d v="2026-04-21T00:00:00"/>
    <n v="260.31"/>
    <s v="PEN"/>
    <x v="0"/>
    <m/>
    <m/>
    <x v="0"/>
    <x v="28"/>
    <n v="74.844738355376649"/>
    <m/>
    <m/>
  </r>
  <r>
    <s v="1000006830"/>
    <x v="9"/>
    <x v="66"/>
    <x v="0"/>
    <x v="30"/>
    <n v="6"/>
    <d v="2026-04-21T00:00:00"/>
    <n v="70.8"/>
    <s v="PEN"/>
    <x v="0"/>
    <m/>
    <m/>
    <x v="0"/>
    <x v="28"/>
    <n v="20.356526739505462"/>
    <m/>
    <m/>
  </r>
  <r>
    <s v="1000006830"/>
    <x v="9"/>
    <x v="67"/>
    <x v="0"/>
    <x v="31"/>
    <n v="5"/>
    <d v="2026-04-22T00:00:00"/>
    <n v="906.71"/>
    <s v="PEN"/>
    <x v="0"/>
    <m/>
    <m/>
    <x v="0"/>
    <x v="29"/>
    <n v="260.69867740080508"/>
    <m/>
    <m/>
  </r>
  <r>
    <s v="1000006830"/>
    <x v="9"/>
    <x v="68"/>
    <x v="0"/>
    <x v="31"/>
    <n v="5"/>
    <d v="2026-04-22T00:00:00"/>
    <n v="94.4"/>
    <s v="PEN"/>
    <x v="0"/>
    <m/>
    <m/>
    <x v="0"/>
    <x v="29"/>
    <n v="27.14203565267395"/>
    <m/>
    <m/>
  </r>
  <r>
    <s v="1000006830"/>
    <x v="9"/>
    <x v="69"/>
    <x v="0"/>
    <x v="31"/>
    <n v="5"/>
    <d v="2026-04-22T00:00:00"/>
    <n v="965.43"/>
    <s v="PEN"/>
    <x v="0"/>
    <m/>
    <m/>
    <x v="0"/>
    <x v="29"/>
    <n v="277.58194364577338"/>
    <m/>
    <m/>
  </r>
  <r>
    <s v="1000006830"/>
    <x v="9"/>
    <x v="70"/>
    <x v="0"/>
    <x v="31"/>
    <n v="5"/>
    <d v="2026-04-22T00:00:00"/>
    <n v="306.8"/>
    <s v="PEN"/>
    <x v="0"/>
    <m/>
    <m/>
    <x v="0"/>
    <x v="29"/>
    <n v="88.211615871190332"/>
    <m/>
    <m/>
  </r>
  <r>
    <s v="1000006830"/>
    <x v="9"/>
    <x v="71"/>
    <x v="0"/>
    <x v="23"/>
    <n v="3"/>
    <d v="2026-04-24T00:00:00"/>
    <n v="1350.16"/>
    <s v="PEN"/>
    <x v="0"/>
    <m/>
    <m/>
    <x v="0"/>
    <x v="30"/>
    <n v="388.20011500862563"/>
    <m/>
    <m/>
  </r>
  <r>
    <s v="1000006830"/>
    <x v="9"/>
    <x v="72"/>
    <x v="0"/>
    <x v="23"/>
    <n v="3"/>
    <d v="2026-04-24T00:00:00"/>
    <n v="141.6"/>
    <s v="PEN"/>
    <x v="0"/>
    <m/>
    <m/>
    <x v="0"/>
    <x v="30"/>
    <n v="40.713053479010924"/>
    <m/>
    <m/>
  </r>
  <r>
    <s v="1000006830"/>
    <x v="9"/>
    <x v="73"/>
    <x v="0"/>
    <x v="32"/>
    <n v="2"/>
    <d v="2026-04-25T00:00:00"/>
    <n v="1227.9100000000001"/>
    <s v="PEN"/>
    <x v="0"/>
    <m/>
    <m/>
    <x v="0"/>
    <x v="31"/>
    <n v="353.05060379528464"/>
    <m/>
    <m/>
  </r>
  <r>
    <s v="1000006830"/>
    <x v="9"/>
    <x v="74"/>
    <x v="0"/>
    <x v="32"/>
    <n v="2"/>
    <d v="2026-04-25T00:00:00"/>
    <n v="141.6"/>
    <s v="PEN"/>
    <x v="0"/>
    <m/>
    <m/>
    <x v="0"/>
    <x v="31"/>
    <n v="40.713053479010924"/>
    <m/>
    <m/>
  </r>
  <r>
    <s v="1000006830"/>
    <x v="9"/>
    <x v="75"/>
    <x v="0"/>
    <x v="24"/>
    <n v="8"/>
    <d v="2026-04-19T00:00:00"/>
    <n v="302.79000000000002"/>
    <s v="PEN"/>
    <x v="0"/>
    <m/>
    <m/>
    <x v="0"/>
    <x v="32"/>
    <n v="87.058654399079927"/>
    <m/>
    <m/>
  </r>
  <r>
    <s v="1000006830"/>
    <x v="9"/>
    <x v="76"/>
    <x v="0"/>
    <x v="24"/>
    <n v="8"/>
    <d v="2026-04-19T00:00:00"/>
    <n v="70.8"/>
    <s v="PEN"/>
    <x v="0"/>
    <m/>
    <m/>
    <x v="0"/>
    <x v="32"/>
    <n v="20.356526739505462"/>
    <m/>
    <m/>
  </r>
  <r>
    <s v="1000006830"/>
    <x v="9"/>
    <x v="77"/>
    <x v="0"/>
    <x v="24"/>
    <n v="1"/>
    <d v="2026-04-26T00:00:00"/>
    <n v="444.39"/>
    <s v="PEN"/>
    <x v="0"/>
    <m/>
    <m/>
    <x v="0"/>
    <x v="23"/>
    <n v="127.77170787809085"/>
    <m/>
    <m/>
  </r>
  <r>
    <s v="1000006830"/>
    <x v="9"/>
    <x v="78"/>
    <x v="0"/>
    <x v="24"/>
    <n v="1"/>
    <d v="2026-04-26T00:00:00"/>
    <n v="135.69999999999999"/>
    <s v="PEN"/>
    <x v="0"/>
    <m/>
    <m/>
    <x v="0"/>
    <x v="23"/>
    <n v="39.016676250718795"/>
    <m/>
    <m/>
  </r>
  <r>
    <s v="1000006830"/>
    <x v="9"/>
    <x v="79"/>
    <x v="0"/>
    <x v="25"/>
    <n v="0"/>
    <d v="2026-04-27T00:00:00"/>
    <n v="705.17"/>
    <s v="PEN"/>
    <x v="0"/>
    <m/>
    <m/>
    <x v="0"/>
    <x v="24"/>
    <n v="202.75158136860261"/>
    <m/>
    <m/>
  </r>
  <r>
    <s v="1000006830"/>
    <x v="9"/>
    <x v="80"/>
    <x v="0"/>
    <x v="25"/>
    <n v="0"/>
    <d v="2026-04-27T00:00:00"/>
    <n v="70.8"/>
    <s v="PEN"/>
    <x v="0"/>
    <m/>
    <m/>
    <x v="0"/>
    <x v="24"/>
    <n v="20.356526739505462"/>
    <m/>
    <m/>
  </r>
  <r>
    <s v="1000006830"/>
    <x v="9"/>
    <x v="81"/>
    <x v="0"/>
    <x v="22"/>
    <n v="-1"/>
    <d v="2026-04-28T00:00:00"/>
    <n v="387.23"/>
    <s v="PEN"/>
    <x v="0"/>
    <m/>
    <m/>
    <x v="0"/>
    <x v="33"/>
    <n v="111.33697527314548"/>
    <m/>
    <m/>
  </r>
  <r>
    <s v="1000006830"/>
    <x v="9"/>
    <x v="82"/>
    <x v="0"/>
    <x v="22"/>
    <n v="-1"/>
    <d v="2026-04-28T00:00:00"/>
    <n v="153.4"/>
    <s v="PEN"/>
    <x v="0"/>
    <m/>
    <m/>
    <x v="0"/>
    <x v="33"/>
    <n v="44.105807935595166"/>
    <m/>
    <m/>
  </r>
  <r>
    <s v="1000006830"/>
    <x v="9"/>
    <x v="83"/>
    <x v="0"/>
    <x v="22"/>
    <n v="-1"/>
    <d v="2026-04-28T00:00:00"/>
    <n v="295.94"/>
    <s v="PEN"/>
    <x v="0"/>
    <m/>
    <m/>
    <x v="0"/>
    <x v="33"/>
    <n v="85.089131684876364"/>
    <m/>
    <m/>
  </r>
  <r>
    <s v="1000006830"/>
    <x v="9"/>
    <x v="84"/>
    <x v="0"/>
    <x v="22"/>
    <n v="-1"/>
    <d v="2026-04-28T00:00:00"/>
    <n v="47.2"/>
    <s v="PEN"/>
    <x v="0"/>
    <m/>
    <m/>
    <x v="0"/>
    <x v="33"/>
    <n v="13.571017826336975"/>
    <m/>
    <m/>
  </r>
  <r>
    <s v="1000006830"/>
    <x v="9"/>
    <x v="85"/>
    <x v="0"/>
    <x v="22"/>
    <n v="-1"/>
    <d v="2026-04-28T00:00:00"/>
    <n v="484.04"/>
    <s v="PEN"/>
    <x v="0"/>
    <m/>
    <m/>
    <x v="0"/>
    <x v="33"/>
    <n v="139.17193789534215"/>
    <m/>
    <m/>
  </r>
  <r>
    <s v="1000006830"/>
    <x v="9"/>
    <x v="86"/>
    <x v="0"/>
    <x v="22"/>
    <n v="-1"/>
    <d v="2026-04-28T00:00:00"/>
    <n v="153.4"/>
    <s v="PEN"/>
    <x v="0"/>
    <m/>
    <m/>
    <x v="0"/>
    <x v="33"/>
    <n v="44.105807935595166"/>
    <m/>
    <m/>
  </r>
  <r>
    <s v="1000006830"/>
    <x v="9"/>
    <x v="87"/>
    <x v="0"/>
    <x v="26"/>
    <n v="-2"/>
    <d v="2026-04-29T00:00:00"/>
    <n v="673.36"/>
    <s v="PEN"/>
    <x v="0"/>
    <m/>
    <m/>
    <x v="0"/>
    <x v="25"/>
    <n v="193.60552041403105"/>
    <m/>
    <m/>
  </r>
  <r>
    <s v="1000006830"/>
    <x v="9"/>
    <x v="88"/>
    <x v="0"/>
    <x v="26"/>
    <n v="-2"/>
    <d v="2026-04-29T00:00:00"/>
    <n v="177"/>
    <s v="PEN"/>
    <x v="0"/>
    <m/>
    <m/>
    <x v="0"/>
    <x v="25"/>
    <n v="50.891316848763651"/>
    <m/>
    <m/>
  </r>
  <r>
    <s v="1000006830"/>
    <x v="9"/>
    <x v="89"/>
    <x v="0"/>
    <x v="27"/>
    <n v="-3"/>
    <d v="2026-04-30T00:00:00"/>
    <n v="425.27"/>
    <s v="PEN"/>
    <x v="0"/>
    <m/>
    <m/>
    <x v="0"/>
    <x v="22"/>
    <n v="122.2742955721679"/>
    <m/>
    <m/>
  </r>
  <r>
    <s v="1000006830"/>
    <x v="9"/>
    <x v="90"/>
    <x v="0"/>
    <x v="27"/>
    <n v="-3"/>
    <d v="2026-04-30T00:00:00"/>
    <n v="47.2"/>
    <s v="PEN"/>
    <x v="0"/>
    <m/>
    <m/>
    <x v="0"/>
    <x v="22"/>
    <n v="13.571017826336975"/>
    <m/>
    <m/>
  </r>
  <r>
    <s v="1000006830"/>
    <x v="9"/>
    <x v="91"/>
    <x v="0"/>
    <x v="27"/>
    <n v="-3"/>
    <d v="2026-04-30T00:00:00"/>
    <n v="639.09"/>
    <s v="PEN"/>
    <x v="0"/>
    <m/>
    <m/>
    <x v="0"/>
    <x v="22"/>
    <n v="183.75215641173088"/>
    <m/>
    <m/>
  </r>
  <r>
    <s v="1000006830"/>
    <x v="9"/>
    <x v="92"/>
    <x v="0"/>
    <x v="27"/>
    <n v="-3"/>
    <d v="2026-04-30T00:00:00"/>
    <n v="70.8"/>
    <s v="PEN"/>
    <x v="0"/>
    <m/>
    <m/>
    <x v="0"/>
    <x v="22"/>
    <n v="20.356526739505462"/>
    <m/>
    <m/>
  </r>
  <r>
    <s v="1000006830"/>
    <x v="9"/>
    <x v="93"/>
    <x v="0"/>
    <x v="33"/>
    <n v="3"/>
    <d v="2026-04-24T00:00:00"/>
    <n v="627.1"/>
    <s v="PEN"/>
    <x v="0"/>
    <m/>
    <m/>
    <x v="0"/>
    <x v="30"/>
    <n v="180.30477285796434"/>
    <m/>
    <m/>
  </r>
  <r>
    <s v="1000006830"/>
    <x v="9"/>
    <x v="94"/>
    <x v="0"/>
    <x v="33"/>
    <n v="3"/>
    <d v="2026-04-24T00:00:00"/>
    <n v="177"/>
    <s v="PEN"/>
    <x v="0"/>
    <m/>
    <m/>
    <x v="0"/>
    <x v="30"/>
    <n v="50.891316848763651"/>
    <m/>
    <m/>
  </r>
  <r>
    <s v="1000006830"/>
    <x v="9"/>
    <x v="95"/>
    <x v="0"/>
    <x v="33"/>
    <n v="-4"/>
    <d v="2026-05-01T00:00:00"/>
    <n v="425.04"/>
    <s v="PEN"/>
    <x v="0"/>
    <m/>
    <m/>
    <x v="0"/>
    <x v="34"/>
    <n v="122.20816561242093"/>
    <m/>
    <m/>
  </r>
  <r>
    <s v="1000006830"/>
    <x v="9"/>
    <x v="96"/>
    <x v="0"/>
    <x v="33"/>
    <n v="-4"/>
    <d v="2026-05-01T00:00:00"/>
    <n v="47.2"/>
    <s v="PEN"/>
    <x v="0"/>
    <m/>
    <m/>
    <x v="0"/>
    <x v="34"/>
    <n v="13.571017826336975"/>
    <m/>
    <m/>
  </r>
  <r>
    <s v="1000006830"/>
    <x v="9"/>
    <x v="97"/>
    <x v="0"/>
    <x v="33"/>
    <n v="-4"/>
    <d v="2026-05-01T00:00:00"/>
    <n v="1539"/>
    <s v="PEN"/>
    <x v="0"/>
    <m/>
    <m/>
    <x v="0"/>
    <x v="34"/>
    <n v="442.49568717653824"/>
    <m/>
    <m/>
  </r>
  <r>
    <s v="1000006830"/>
    <x v="9"/>
    <x v="98"/>
    <x v="0"/>
    <x v="33"/>
    <n v="-4"/>
    <d v="2026-05-01T00:00:00"/>
    <n v="536.9"/>
    <s v="PEN"/>
    <x v="0"/>
    <m/>
    <m/>
    <x v="0"/>
    <x v="34"/>
    <n v="154.37032777458307"/>
    <m/>
    <m/>
  </r>
  <r>
    <s v="1000006830"/>
    <x v="9"/>
    <x v="99"/>
    <x v="0"/>
    <x v="19"/>
    <n v="-6"/>
    <d v="2026-05-03T00:00:00"/>
    <n v="692.66"/>
    <s v="PEN"/>
    <x v="0"/>
    <m/>
    <m/>
    <x v="0"/>
    <x v="19"/>
    <n v="199.15468660149509"/>
    <m/>
    <m/>
  </r>
  <r>
    <s v="1000006830"/>
    <x v="9"/>
    <x v="100"/>
    <x v="0"/>
    <x v="19"/>
    <n v="-6"/>
    <d v="2026-05-03T00:00:00"/>
    <n v="70.8"/>
    <s v="PEN"/>
    <x v="0"/>
    <m/>
    <m/>
    <x v="0"/>
    <x v="19"/>
    <n v="20.356526739505462"/>
    <m/>
    <m/>
  </r>
  <r>
    <s v="1000006830"/>
    <x v="9"/>
    <x v="101"/>
    <x v="0"/>
    <x v="19"/>
    <n v="-6"/>
    <d v="2026-05-03T00:00:00"/>
    <n v="631.39"/>
    <s v="PEN"/>
    <x v="0"/>
    <m/>
    <m/>
    <x v="0"/>
    <x v="19"/>
    <n v="181.5382403680276"/>
    <m/>
    <m/>
  </r>
  <r>
    <s v="1000006830"/>
    <x v="9"/>
    <x v="102"/>
    <x v="0"/>
    <x v="19"/>
    <n v="-6"/>
    <d v="2026-05-03T00:00:00"/>
    <n v="153.4"/>
    <s v="PEN"/>
    <x v="0"/>
    <m/>
    <m/>
    <x v="0"/>
    <x v="19"/>
    <n v="44.105807935595166"/>
    <m/>
    <m/>
  </r>
  <r>
    <s v="2000001172"/>
    <x v="10"/>
    <x v="103"/>
    <x v="3"/>
    <x v="34"/>
    <n v="43"/>
    <d v="2026-03-15T00:00:00"/>
    <n v="147743.07"/>
    <s v="USD"/>
    <x v="1"/>
    <d v="2026-04-29T00:00:00"/>
    <n v="2"/>
    <x v="3"/>
    <x v="35"/>
    <n v="147743.07"/>
    <n v="43"/>
    <s v="0-45"/>
  </r>
  <r>
    <s v="2000001172"/>
    <x v="10"/>
    <x v="104"/>
    <x v="2"/>
    <x v="35"/>
    <n v="-15"/>
    <d v="2026-05-12T00:00:00"/>
    <n v="177221.7"/>
    <s v="USD"/>
    <x v="1"/>
    <d v="2026-05-12T00:00:00"/>
    <n v="15"/>
    <x v="4"/>
    <x v="36"/>
    <n v="177221.7"/>
    <n v="30"/>
    <s v="0-45"/>
  </r>
  <r>
    <s v="2000001172"/>
    <x v="10"/>
    <x v="105"/>
    <x v="2"/>
    <x v="36"/>
    <n v="-26"/>
    <d v="2026-05-23T00:00:00"/>
    <n v="175000"/>
    <s v="USD"/>
    <x v="1"/>
    <d v="2026-05-23T00:00:00"/>
    <n v="26"/>
    <x v="5"/>
    <x v="37"/>
    <n v="175000"/>
    <n v="19"/>
    <s v="0-45"/>
  </r>
  <r>
    <s v="2000000231"/>
    <x v="11"/>
    <x v="106"/>
    <x v="2"/>
    <x v="35"/>
    <n v="-15"/>
    <d v="2026-05-12T00:00:00"/>
    <n v="669600"/>
    <s v="USD"/>
    <x v="1"/>
    <d v="2026-05-12T00:00:00"/>
    <n v="15"/>
    <x v="4"/>
    <x v="36"/>
    <n v="669600"/>
    <n v="30"/>
    <s v="0-45"/>
  </r>
  <r>
    <s v="2000000231"/>
    <x v="11"/>
    <x v="107"/>
    <x v="2"/>
    <x v="26"/>
    <n v="-40"/>
    <d v="2026-06-06T00:00:00"/>
    <n v="631800"/>
    <s v="USD"/>
    <x v="1"/>
    <d v="2026-06-06T00:00:00"/>
    <m/>
    <x v="6"/>
    <x v="38"/>
    <n v="631800"/>
    <n v="5"/>
    <s v="0-45"/>
  </r>
  <r>
    <s v="2000001409"/>
    <x v="12"/>
    <x v="108"/>
    <x v="3"/>
    <x v="12"/>
    <n v="0"/>
    <d v="2026-03-17T00:00:00"/>
    <n v="-7410"/>
    <s v="USD"/>
    <x v="1"/>
    <d v="2026-05-01T00:00:00"/>
    <m/>
    <x v="0"/>
    <x v="39"/>
    <n v="-7410"/>
    <n v="41"/>
    <s v="0-45"/>
  </r>
  <r>
    <s v="2000001409"/>
    <x v="12"/>
    <x v="108"/>
    <x v="3"/>
    <x v="21"/>
    <n v="0"/>
    <d v="2026-04-01T00:00:00"/>
    <n v="-37"/>
    <s v="USD"/>
    <x v="1"/>
    <d v="2026-05-16T00:00:00"/>
    <m/>
    <x v="0"/>
    <x v="40"/>
    <n v="-37"/>
    <n v="26"/>
    <s v="0-45"/>
  </r>
  <r>
    <s v="2000001409"/>
    <x v="12"/>
    <x v="109"/>
    <x v="4"/>
    <x v="37"/>
    <n v="0"/>
    <d v="2026-04-30T00:00:00"/>
    <n v="-147370"/>
    <s v="USD"/>
    <x v="1"/>
    <d v="2026-05-22T00:00:00"/>
    <m/>
    <x v="0"/>
    <x v="22"/>
    <n v="-147370"/>
    <n v="20"/>
    <s v="0-45"/>
  </r>
  <r>
    <s v="2000001409"/>
    <x v="12"/>
    <x v="109"/>
    <x v="4"/>
    <x v="30"/>
    <n v="0"/>
    <d v="2026-04-30T00:00:00"/>
    <n v="-27943"/>
    <s v="USD"/>
    <x v="1"/>
    <d v="2026-05-29T00:00:00"/>
    <m/>
    <x v="0"/>
    <x v="22"/>
    <n v="-27943"/>
    <n v="13"/>
    <s v="0-45"/>
  </r>
  <r>
    <s v="6002007"/>
    <x v="13"/>
    <x v="110"/>
    <x v="0"/>
    <x v="38"/>
    <n v="168"/>
    <d v="2025-11-10T00:00:00"/>
    <n v="1403.26"/>
    <s v="PEN"/>
    <x v="2"/>
    <m/>
    <m/>
    <x v="0"/>
    <x v="41"/>
    <n v="403.46751006325474"/>
    <m/>
    <m/>
  </r>
  <r>
    <s v="6002007"/>
    <x v="13"/>
    <x v="111"/>
    <x v="0"/>
    <x v="38"/>
    <n v="168"/>
    <d v="2025-11-10T00:00:00"/>
    <n v="141.6"/>
    <s v="PEN"/>
    <x v="2"/>
    <m/>
    <m/>
    <x v="0"/>
    <x v="41"/>
    <n v="40.713053479010924"/>
    <m/>
    <m/>
  </r>
  <r>
    <s v="6002007"/>
    <x v="13"/>
    <x v="112"/>
    <x v="0"/>
    <x v="39"/>
    <n v="165"/>
    <d v="2025-11-13T00:00:00"/>
    <n v="1193.22"/>
    <s v="PEN"/>
    <x v="2"/>
    <m/>
    <m/>
    <x v="0"/>
    <x v="42"/>
    <n v="343.0764807360552"/>
    <m/>
    <m/>
  </r>
  <r>
    <s v="6002007"/>
    <x v="13"/>
    <x v="113"/>
    <x v="0"/>
    <x v="39"/>
    <n v="165"/>
    <d v="2025-11-13T00:00:00"/>
    <n v="106.2"/>
    <s v="PEN"/>
    <x v="2"/>
    <m/>
    <m/>
    <x v="0"/>
    <x v="42"/>
    <n v="30.534790109258193"/>
    <m/>
    <m/>
  </r>
  <r>
    <s v="2000001359"/>
    <x v="14"/>
    <x v="114"/>
    <x v="2"/>
    <x v="20"/>
    <n v="-16"/>
    <d v="2026-05-13T00:00:00"/>
    <n v="76700"/>
    <s v="USD"/>
    <x v="1"/>
    <d v="2026-05-13T00:00:00"/>
    <n v="16"/>
    <x v="1"/>
    <x v="20"/>
    <n v="76700"/>
    <n v="29"/>
    <s v="0-45"/>
  </r>
  <r>
    <s v="2000001359"/>
    <x v="14"/>
    <x v="115"/>
    <x v="2"/>
    <x v="28"/>
    <n v="-30"/>
    <d v="2026-05-27T00:00:00"/>
    <n v="36400"/>
    <s v="USD"/>
    <x v="1"/>
    <d v="2026-05-27T00:00:00"/>
    <n v="30"/>
    <x v="2"/>
    <x v="26"/>
    <n v="36400"/>
    <n v="15"/>
    <s v="0-45"/>
  </r>
  <r>
    <s v="2000001359"/>
    <x v="14"/>
    <x v="116"/>
    <x v="2"/>
    <x v="28"/>
    <n v="-45"/>
    <d v="2026-06-11T00:00:00"/>
    <n v="80600"/>
    <s v="USD"/>
    <x v="1"/>
    <d v="2026-05-27T00:00:00"/>
    <n v="30"/>
    <x v="2"/>
    <x v="43"/>
    <n v="80600"/>
    <n v="15"/>
    <s v="0-45"/>
  </r>
  <r>
    <s v="2000001359"/>
    <x v="14"/>
    <x v="117"/>
    <x v="2"/>
    <x v="26"/>
    <n v="-40"/>
    <d v="2026-06-06T00:00:00"/>
    <n v="36400"/>
    <s v="USD"/>
    <x v="1"/>
    <d v="2026-06-06T00:00:00"/>
    <m/>
    <x v="6"/>
    <x v="38"/>
    <n v="36400"/>
    <n v="5"/>
    <s v="0-45"/>
  </r>
  <r>
    <s v="2000001369"/>
    <x v="15"/>
    <x v="118"/>
    <x v="2"/>
    <x v="40"/>
    <n v="-31"/>
    <d v="2026-05-28T00:00:00"/>
    <n v="76700"/>
    <s v="USD"/>
    <x v="1"/>
    <d v="2026-05-28T00:00:00"/>
    <n v="31"/>
    <x v="7"/>
    <x v="44"/>
    <n v="76700"/>
    <n v="14"/>
    <s v="0-45"/>
  </r>
  <r>
    <s v="2000001369"/>
    <x v="15"/>
    <x v="108"/>
    <x v="3"/>
    <x v="23"/>
    <n v="0"/>
    <d v="2026-04-17T00:00:00"/>
    <n v="-6488"/>
    <s v="USD"/>
    <x v="1"/>
    <d v="2026-06-01T00:00:00"/>
    <m/>
    <x v="0"/>
    <x v="17"/>
    <n v="-6488"/>
    <n v="10"/>
    <s v="0-45"/>
  </r>
  <r>
    <s v="1000013925"/>
    <x v="16"/>
    <x v="119"/>
    <x v="3"/>
    <x v="41"/>
    <n v="188"/>
    <d v="2025-10-21T00:00:00"/>
    <n v="4460"/>
    <s v="PEN"/>
    <x v="0"/>
    <m/>
    <m/>
    <x v="0"/>
    <x v="45"/>
    <n v="1282.3461759631971"/>
    <m/>
    <m/>
  </r>
  <r>
    <s v="1000013925"/>
    <x v="16"/>
    <x v="120"/>
    <x v="0"/>
    <x v="42"/>
    <n v="167"/>
    <d v="2025-11-11T00:00:00"/>
    <n v="7097.98"/>
    <s v="PEN"/>
    <x v="0"/>
    <m/>
    <m/>
    <x v="0"/>
    <x v="46"/>
    <n v="2040.8223116733752"/>
    <m/>
    <m/>
  </r>
  <r>
    <s v="1000013925"/>
    <x v="16"/>
    <x v="121"/>
    <x v="0"/>
    <x v="43"/>
    <n v="79"/>
    <d v="2026-02-07T00:00:00"/>
    <n v="4003.46"/>
    <s v="PEN"/>
    <x v="0"/>
    <m/>
    <m/>
    <x v="0"/>
    <x v="47"/>
    <n v="1151.081081081081"/>
    <m/>
    <m/>
  </r>
  <r>
    <s v="1000013925"/>
    <x v="16"/>
    <x v="122"/>
    <x v="0"/>
    <x v="44"/>
    <n v="48"/>
    <d v="2026-03-10T00:00:00"/>
    <n v="4956"/>
    <s v="PEN"/>
    <x v="0"/>
    <m/>
    <m/>
    <x v="0"/>
    <x v="48"/>
    <n v="1424.9568717653824"/>
    <m/>
    <m/>
  </r>
  <r>
    <s v="1000015185"/>
    <x v="17"/>
    <x v="123"/>
    <x v="0"/>
    <x v="30"/>
    <n v="6"/>
    <d v="2026-04-21T00:00:00"/>
    <n v="650.55999999999995"/>
    <s v="PEN"/>
    <x v="0"/>
    <m/>
    <m/>
    <x v="0"/>
    <x v="28"/>
    <n v="187.05002875215638"/>
    <m/>
    <m/>
  </r>
  <r>
    <s v="1000015185"/>
    <x v="17"/>
    <x v="124"/>
    <x v="0"/>
    <x v="30"/>
    <n v="6"/>
    <d v="2026-04-21T00:00:00"/>
    <n v="194.7"/>
    <s v="PEN"/>
    <x v="0"/>
    <m/>
    <m/>
    <x v="0"/>
    <x v="28"/>
    <n v="55.980448533640015"/>
    <m/>
    <m/>
  </r>
  <r>
    <s v="1000015185"/>
    <x v="17"/>
    <x v="125"/>
    <x v="0"/>
    <x v="30"/>
    <n v="6"/>
    <d v="2026-04-21T00:00:00"/>
    <n v="973.03"/>
    <s v="PEN"/>
    <x v="0"/>
    <m/>
    <m/>
    <x v="0"/>
    <x v="28"/>
    <n v="279.76710753306497"/>
    <m/>
    <m/>
  </r>
  <r>
    <s v="1000015185"/>
    <x v="17"/>
    <x v="126"/>
    <x v="0"/>
    <x v="30"/>
    <n v="6"/>
    <d v="2026-04-21T00:00:00"/>
    <n v="424.8"/>
    <s v="PEN"/>
    <x v="0"/>
    <m/>
    <m/>
    <x v="0"/>
    <x v="28"/>
    <n v="122.13916043703277"/>
    <m/>
    <m/>
  </r>
  <r>
    <s v="1000015185"/>
    <x v="17"/>
    <x v="127"/>
    <x v="0"/>
    <x v="11"/>
    <n v="4"/>
    <d v="2026-04-23T00:00:00"/>
    <n v="777.76"/>
    <s v="PEN"/>
    <x v="0"/>
    <m/>
    <m/>
    <x v="0"/>
    <x v="11"/>
    <n v="223.62277170787809"/>
    <m/>
    <m/>
  </r>
  <r>
    <s v="1000015185"/>
    <x v="17"/>
    <x v="128"/>
    <x v="0"/>
    <x v="11"/>
    <n v="4"/>
    <d v="2026-04-23T00:00:00"/>
    <n v="194.7"/>
    <s v="PEN"/>
    <x v="0"/>
    <m/>
    <m/>
    <x v="0"/>
    <x v="11"/>
    <n v="55.980448533640015"/>
    <m/>
    <m/>
  </r>
  <r>
    <s v="1000015185"/>
    <x v="17"/>
    <x v="129"/>
    <x v="0"/>
    <x v="32"/>
    <n v="2"/>
    <d v="2026-04-25T00:00:00"/>
    <n v="800.56"/>
    <s v="PEN"/>
    <x v="0"/>
    <m/>
    <m/>
    <x v="0"/>
    <x v="31"/>
    <n v="230.1782633697527"/>
    <m/>
    <m/>
  </r>
  <r>
    <s v="1000015185"/>
    <x v="17"/>
    <x v="130"/>
    <x v="0"/>
    <x v="32"/>
    <n v="2"/>
    <d v="2026-04-25T00:00:00"/>
    <n v="212.4"/>
    <s v="PEN"/>
    <x v="0"/>
    <m/>
    <m/>
    <x v="0"/>
    <x v="31"/>
    <n v="61.069580218516386"/>
    <m/>
    <m/>
  </r>
  <r>
    <s v="1000015185"/>
    <x v="17"/>
    <x v="131"/>
    <x v="0"/>
    <x v="24"/>
    <n v="1"/>
    <d v="2026-04-26T00:00:00"/>
    <n v="729.85"/>
    <s v="PEN"/>
    <x v="0"/>
    <m/>
    <m/>
    <x v="0"/>
    <x v="23"/>
    <n v="209.84761357101783"/>
    <m/>
    <m/>
  </r>
  <r>
    <s v="1000015185"/>
    <x v="17"/>
    <x v="132"/>
    <x v="0"/>
    <x v="24"/>
    <n v="1"/>
    <d v="2026-04-26T00:00:00"/>
    <n v="194.7"/>
    <s v="PEN"/>
    <x v="0"/>
    <m/>
    <m/>
    <x v="0"/>
    <x v="23"/>
    <n v="55.980448533640015"/>
    <m/>
    <m/>
  </r>
  <r>
    <s v="1000015185"/>
    <x v="17"/>
    <x v="133"/>
    <x v="0"/>
    <x v="22"/>
    <n v="-1"/>
    <d v="2026-04-28T00:00:00"/>
    <n v="408.37"/>
    <s v="PEN"/>
    <x v="0"/>
    <m/>
    <m/>
    <x v="0"/>
    <x v="33"/>
    <n v="117.41518113858538"/>
    <m/>
    <m/>
  </r>
  <r>
    <s v="1000015185"/>
    <x v="17"/>
    <x v="134"/>
    <x v="0"/>
    <x v="22"/>
    <n v="-1"/>
    <d v="2026-04-28T00:00:00"/>
    <n v="135.69999999999999"/>
    <s v="PEN"/>
    <x v="0"/>
    <m/>
    <m/>
    <x v="0"/>
    <x v="33"/>
    <n v="39.016676250718795"/>
    <m/>
    <m/>
  </r>
  <r>
    <s v="1000015185"/>
    <x v="17"/>
    <x v="135"/>
    <x v="0"/>
    <x v="26"/>
    <n v="-2"/>
    <d v="2026-04-29T00:00:00"/>
    <n v="934.7"/>
    <s v="PEN"/>
    <x v="0"/>
    <m/>
    <m/>
    <x v="0"/>
    <x v="25"/>
    <n v="268.74640598044851"/>
    <m/>
    <m/>
  </r>
  <r>
    <s v="1000015185"/>
    <x v="17"/>
    <x v="136"/>
    <x v="0"/>
    <x v="26"/>
    <n v="-2"/>
    <d v="2026-04-29T00:00:00"/>
    <n v="230.1"/>
    <s v="PEN"/>
    <x v="0"/>
    <m/>
    <m/>
    <x v="0"/>
    <x v="25"/>
    <n v="66.158711903392742"/>
    <m/>
    <m/>
  </r>
  <r>
    <s v="1000015185"/>
    <x v="17"/>
    <x v="137"/>
    <x v="0"/>
    <x v="33"/>
    <n v="-4"/>
    <d v="2026-05-01T00:00:00"/>
    <n v="513.77"/>
    <s v="PEN"/>
    <x v="0"/>
    <m/>
    <m/>
    <x v="0"/>
    <x v="34"/>
    <n v="147.71995399654972"/>
    <m/>
    <m/>
  </r>
  <r>
    <s v="1000015185"/>
    <x v="17"/>
    <x v="138"/>
    <x v="0"/>
    <x v="33"/>
    <n v="-4"/>
    <d v="2026-05-01T00:00:00"/>
    <n v="177"/>
    <s v="PEN"/>
    <x v="0"/>
    <m/>
    <m/>
    <x v="0"/>
    <x v="34"/>
    <n v="50.891316848763651"/>
    <m/>
    <m/>
  </r>
  <r>
    <s v="1000015185"/>
    <x v="17"/>
    <x v="139"/>
    <x v="0"/>
    <x v="18"/>
    <n v="2"/>
    <d v="2026-04-25T00:00:00"/>
    <n v="663.11"/>
    <s v="PEN"/>
    <x v="0"/>
    <m/>
    <m/>
    <x v="0"/>
    <x v="31"/>
    <n v="190.65842438182864"/>
    <m/>
    <m/>
  </r>
  <r>
    <s v="1000015185"/>
    <x v="17"/>
    <x v="140"/>
    <x v="0"/>
    <x v="18"/>
    <n v="2"/>
    <d v="2026-04-25T00:00:00"/>
    <n v="194.7"/>
    <s v="PEN"/>
    <x v="0"/>
    <m/>
    <m/>
    <x v="0"/>
    <x v="31"/>
    <n v="55.980448533640015"/>
    <m/>
    <m/>
  </r>
  <r>
    <s v="1000015185"/>
    <x v="17"/>
    <x v="141"/>
    <x v="0"/>
    <x v="19"/>
    <n v="-6"/>
    <d v="2026-05-03T00:00:00"/>
    <n v="1273.03"/>
    <s v="PEN"/>
    <x v="0"/>
    <m/>
    <m/>
    <x v="0"/>
    <x v="19"/>
    <n v="366.02357676825761"/>
    <m/>
    <m/>
  </r>
  <r>
    <s v="1000015185"/>
    <x v="17"/>
    <x v="142"/>
    <x v="0"/>
    <x v="19"/>
    <n v="-6"/>
    <d v="2026-05-03T00:00:00"/>
    <n v="389.4"/>
    <s v="PEN"/>
    <x v="0"/>
    <m/>
    <m/>
    <x v="0"/>
    <x v="19"/>
    <n v="111.96089706728003"/>
    <m/>
    <m/>
  </r>
  <r>
    <s v="2000000267"/>
    <x v="18"/>
    <x v="108"/>
    <x v="3"/>
    <x v="26"/>
    <n v="0"/>
    <d v="2026-04-22T00:00:00"/>
    <n v="-7645"/>
    <s v="USD"/>
    <x v="1"/>
    <d v="2026-06-06T00:00:00"/>
    <m/>
    <x v="0"/>
    <x v="29"/>
    <n v="-7645"/>
    <n v="5"/>
    <s v="0-45"/>
  </r>
  <r>
    <s v="6000434"/>
    <x v="19"/>
    <x v="143"/>
    <x v="0"/>
    <x v="45"/>
    <n v="195"/>
    <d v="2025-10-14T00:00:00"/>
    <n v="790"/>
    <s v="PEN"/>
    <x v="0"/>
    <m/>
    <m/>
    <x v="0"/>
    <x v="49"/>
    <n v="227.14203565267394"/>
    <m/>
    <m/>
  </r>
  <r>
    <s v="1000001607"/>
    <x v="20"/>
    <x v="144"/>
    <x v="0"/>
    <x v="26"/>
    <n v="2"/>
    <d v="2026-04-25T00:00:00"/>
    <n v="21687.46"/>
    <s v="PEN"/>
    <x v="3"/>
    <m/>
    <m/>
    <x v="0"/>
    <x v="31"/>
    <n v="6235.6124209315694"/>
    <m/>
    <m/>
  </r>
  <r>
    <s v="2000001419"/>
    <x v="21"/>
    <x v="145"/>
    <x v="4"/>
    <x v="15"/>
    <n v="0"/>
    <d v="2026-03-31T00:00:00"/>
    <n v="-33875"/>
    <s v="USD"/>
    <x v="1"/>
    <d v="2026-05-14T00:00:00"/>
    <m/>
    <x v="0"/>
    <x v="50"/>
    <n v="-33875"/>
    <n v="28"/>
    <s v="0-45"/>
  </r>
  <r>
    <s v="2000001419"/>
    <x v="21"/>
    <x v="145"/>
    <x v="4"/>
    <x v="36"/>
    <n v="0"/>
    <d v="2026-04-30T00:00:00"/>
    <n v="-30635"/>
    <s v="USD"/>
    <x v="1"/>
    <d v="2026-05-23T00:00:00"/>
    <m/>
    <x v="0"/>
    <x v="22"/>
    <n v="-30635"/>
    <n v="19"/>
    <s v="0-45"/>
  </r>
  <r>
    <s v="2000001419"/>
    <x v="21"/>
    <x v="145"/>
    <x v="4"/>
    <x v="31"/>
    <n v="0"/>
    <d v="2026-04-30T00:00:00"/>
    <n v="-168395"/>
    <s v="USD"/>
    <x v="1"/>
    <d v="2026-05-30T00:00:00"/>
    <m/>
    <x v="0"/>
    <x v="22"/>
    <n v="-168395"/>
    <n v="12"/>
    <s v="0-45"/>
  </r>
  <r>
    <s v="1000001965"/>
    <x v="22"/>
    <x v="146"/>
    <x v="0"/>
    <x v="23"/>
    <n v="10"/>
    <d v="2026-04-17T00:00:00"/>
    <n v="590"/>
    <s v="PEN"/>
    <x v="0"/>
    <m/>
    <m/>
    <x v="0"/>
    <x v="17"/>
    <n v="169.63772282921218"/>
    <m/>
    <m/>
  </r>
  <r>
    <s v="1000001965"/>
    <x v="22"/>
    <x v="147"/>
    <x v="0"/>
    <x v="32"/>
    <n v="9"/>
    <d v="2026-04-18T00:00:00"/>
    <n v="590"/>
    <s v="PEN"/>
    <x v="0"/>
    <m/>
    <m/>
    <x v="0"/>
    <x v="51"/>
    <n v="169.63772282921218"/>
    <m/>
    <m/>
  </r>
  <r>
    <s v="1000001965"/>
    <x v="22"/>
    <x v="148"/>
    <x v="0"/>
    <x v="25"/>
    <n v="0"/>
    <d v="2026-04-27T00:00:00"/>
    <n v="590"/>
    <s v="PEN"/>
    <x v="0"/>
    <m/>
    <m/>
    <x v="0"/>
    <x v="24"/>
    <n v="169.63772282921218"/>
    <m/>
    <m/>
  </r>
  <r>
    <s v="1000001965"/>
    <x v="22"/>
    <x v="149"/>
    <x v="0"/>
    <x v="26"/>
    <n v="-2"/>
    <d v="2026-04-29T00:00:00"/>
    <n v="590"/>
    <s v="PEN"/>
    <x v="0"/>
    <m/>
    <m/>
    <x v="0"/>
    <x v="25"/>
    <n v="169.63772282921218"/>
    <m/>
    <m/>
  </r>
  <r>
    <s v="1000001965"/>
    <x v="22"/>
    <x v="150"/>
    <x v="0"/>
    <x v="33"/>
    <n v="-4"/>
    <d v="2026-05-01T00:00:00"/>
    <n v="590"/>
    <s v="PEN"/>
    <x v="0"/>
    <m/>
    <m/>
    <x v="0"/>
    <x v="34"/>
    <n v="169.63772282921218"/>
    <m/>
    <m/>
  </r>
  <r>
    <s v="2000001418"/>
    <x v="23"/>
    <x v="151"/>
    <x v="4"/>
    <x v="46"/>
    <n v="0"/>
    <d v="2026-03-31T00:00:00"/>
    <n v="-13900"/>
    <s v="USD"/>
    <x v="1"/>
    <d v="2026-04-16T00:00:00"/>
    <m/>
    <x v="0"/>
    <x v="50"/>
    <n v="-13900"/>
    <n v="56"/>
    <s v="46-60"/>
  </r>
  <r>
    <s v="2000001418"/>
    <x v="23"/>
    <x v="152"/>
    <x v="2"/>
    <x v="15"/>
    <n v="-17"/>
    <d v="2026-05-14T00:00:00"/>
    <n v="70200"/>
    <s v="USD"/>
    <x v="1"/>
    <d v="2026-05-14T00:00:00"/>
    <n v="17"/>
    <x v="8"/>
    <x v="52"/>
    <n v="70200"/>
    <n v="28"/>
    <s v="0-45"/>
  </r>
  <r>
    <s v="2000001418"/>
    <x v="23"/>
    <x v="151"/>
    <x v="4"/>
    <x v="21"/>
    <n v="0"/>
    <d v="2026-04-30T00:00:00"/>
    <n v="-29130"/>
    <s v="USD"/>
    <x v="1"/>
    <d v="2026-05-16T00:00:00"/>
    <m/>
    <x v="0"/>
    <x v="22"/>
    <n v="-29130"/>
    <n v="26"/>
    <s v="0-45"/>
  </r>
  <r>
    <s v="1000013801"/>
    <x v="24"/>
    <x v="153"/>
    <x v="0"/>
    <x v="36"/>
    <n v="12"/>
    <d v="2026-04-15T00:00:00"/>
    <n v="554.13"/>
    <s v="PEN"/>
    <x v="0"/>
    <m/>
    <m/>
    <x v="0"/>
    <x v="53"/>
    <n v="159.32432432432432"/>
    <m/>
    <m/>
  </r>
  <r>
    <s v="1000013801"/>
    <x v="24"/>
    <x v="154"/>
    <x v="0"/>
    <x v="36"/>
    <n v="12"/>
    <d v="2026-04-15T00:00:00"/>
    <n v="123.9"/>
    <s v="PEN"/>
    <x v="0"/>
    <m/>
    <m/>
    <x v="0"/>
    <x v="53"/>
    <n v="35.62392179413456"/>
    <m/>
    <m/>
  </r>
  <r>
    <s v="1000013801"/>
    <x v="24"/>
    <x v="155"/>
    <x v="0"/>
    <x v="18"/>
    <n v="-5"/>
    <d v="2026-05-02T00:00:00"/>
    <n v="668.82"/>
    <s v="PEN"/>
    <x v="0"/>
    <m/>
    <m/>
    <x v="0"/>
    <x v="18"/>
    <n v="192.30017251293847"/>
    <m/>
    <m/>
  </r>
  <r>
    <s v="1000013801"/>
    <x v="24"/>
    <x v="156"/>
    <x v="0"/>
    <x v="18"/>
    <n v="-5"/>
    <d v="2026-05-02T00:00:00"/>
    <n v="123.9"/>
    <s v="PEN"/>
    <x v="0"/>
    <m/>
    <m/>
    <x v="0"/>
    <x v="18"/>
    <n v="35.62392179413456"/>
    <m/>
    <m/>
  </r>
  <r>
    <s v="1000013794"/>
    <x v="25"/>
    <x v="157"/>
    <x v="4"/>
    <x v="47"/>
    <n v="197"/>
    <d v="2025-10-12T00:00:00"/>
    <n v="56.64"/>
    <s v="PEN"/>
    <x v="0"/>
    <m/>
    <m/>
    <x v="0"/>
    <x v="54"/>
    <n v="16.28522139160437"/>
    <m/>
    <m/>
  </r>
  <r>
    <s v="1000013686"/>
    <x v="26"/>
    <x v="158"/>
    <x v="0"/>
    <x v="25"/>
    <n v="0"/>
    <d v="2026-04-27T00:00:00"/>
    <n v="1274.4000000000001"/>
    <s v="PEN"/>
    <x v="0"/>
    <m/>
    <m/>
    <x v="0"/>
    <x v="24"/>
    <n v="366.41748131109836"/>
    <m/>
    <m/>
  </r>
  <r>
    <s v="2000000786"/>
    <x v="27"/>
    <x v="159"/>
    <x v="2"/>
    <x v="35"/>
    <n v="-15"/>
    <d v="2026-05-12T00:00:00"/>
    <n v="86240"/>
    <s v="USD"/>
    <x v="1"/>
    <d v="2026-05-12T00:00:00"/>
    <n v="15"/>
    <x v="4"/>
    <x v="36"/>
    <n v="86240"/>
    <n v="30"/>
    <s v="0-45"/>
  </r>
  <r>
    <s v="2000000786"/>
    <x v="27"/>
    <x v="160"/>
    <x v="2"/>
    <x v="35"/>
    <n v="-15"/>
    <d v="2026-05-12T00:00:00"/>
    <n v="129600"/>
    <s v="USD"/>
    <x v="1"/>
    <d v="2026-05-12T00:00:00"/>
    <n v="15"/>
    <x v="4"/>
    <x v="36"/>
    <n v="129600"/>
    <n v="30"/>
    <s v="0-45"/>
  </r>
  <r>
    <s v="2000000786"/>
    <x v="27"/>
    <x v="161"/>
    <x v="2"/>
    <x v="20"/>
    <n v="-16"/>
    <d v="2026-05-13T00:00:00"/>
    <n v="67200"/>
    <s v="USD"/>
    <x v="1"/>
    <d v="2026-05-13T00:00:00"/>
    <n v="16"/>
    <x v="1"/>
    <x v="20"/>
    <n v="67200"/>
    <n v="29"/>
    <s v="0-45"/>
  </r>
  <r>
    <s v="2000000786"/>
    <x v="27"/>
    <x v="162"/>
    <x v="2"/>
    <x v="20"/>
    <n v="-16"/>
    <d v="2026-05-13T00:00:00"/>
    <n v="72960"/>
    <s v="USD"/>
    <x v="1"/>
    <d v="2026-05-13T00:00:00"/>
    <n v="16"/>
    <x v="1"/>
    <x v="20"/>
    <n v="72960"/>
    <n v="29"/>
    <s v="0-45"/>
  </r>
  <r>
    <s v="2000000786"/>
    <x v="27"/>
    <x v="163"/>
    <x v="2"/>
    <x v="36"/>
    <n v="-26"/>
    <d v="2026-05-23T00:00:00"/>
    <n v="78200"/>
    <s v="USD"/>
    <x v="1"/>
    <d v="2026-05-23T00:00:00"/>
    <n v="26"/>
    <x v="5"/>
    <x v="37"/>
    <n v="78200"/>
    <n v="19"/>
    <s v="0-45"/>
  </r>
  <r>
    <s v="2000000786"/>
    <x v="27"/>
    <x v="164"/>
    <x v="2"/>
    <x v="36"/>
    <n v="-26"/>
    <d v="2026-05-23T00:00:00"/>
    <n v="180000"/>
    <s v="USD"/>
    <x v="1"/>
    <d v="2026-05-23T00:00:00"/>
    <n v="26"/>
    <x v="5"/>
    <x v="37"/>
    <n v="180000"/>
    <n v="19"/>
    <s v="0-45"/>
  </r>
  <r>
    <s v="2000001348"/>
    <x v="28"/>
    <x v="165"/>
    <x v="2"/>
    <x v="33"/>
    <n v="-42"/>
    <d v="2026-06-08T00:00:00"/>
    <n v="30250"/>
    <s v="USD"/>
    <x v="1"/>
    <d v="2026-06-08T00:00:00"/>
    <m/>
    <x v="9"/>
    <x v="55"/>
    <n v="30250"/>
    <n v="3"/>
    <s v="0-45"/>
  </r>
  <r>
    <s v="2000001069"/>
    <x v="29"/>
    <x v="166"/>
    <x v="4"/>
    <x v="12"/>
    <n v="0"/>
    <d v="2026-03-31T00:00:00"/>
    <n v="-84100"/>
    <s v="USD"/>
    <x v="1"/>
    <d v="2026-05-01T00:00:00"/>
    <m/>
    <x v="0"/>
    <x v="50"/>
    <n v="-84100"/>
    <n v="41"/>
    <s v="0-45"/>
  </r>
  <r>
    <s v="2000001069"/>
    <x v="29"/>
    <x v="167"/>
    <x v="2"/>
    <x v="28"/>
    <n v="-30"/>
    <d v="2026-05-27T00:00:00"/>
    <n v="94500"/>
    <s v="USD"/>
    <x v="1"/>
    <d v="2026-05-27T00:00:00"/>
    <n v="30"/>
    <x v="2"/>
    <x v="26"/>
    <n v="94500"/>
    <n v="15"/>
    <s v="0-45"/>
  </r>
  <r>
    <s v="2000001069"/>
    <x v="29"/>
    <x v="168"/>
    <x v="2"/>
    <x v="28"/>
    <n v="-30"/>
    <d v="2026-05-27T00:00:00"/>
    <n v="45900"/>
    <s v="USD"/>
    <x v="1"/>
    <d v="2026-05-27T00:00:00"/>
    <n v="30"/>
    <x v="2"/>
    <x v="26"/>
    <n v="45900"/>
    <n v="15"/>
    <s v="0-45"/>
  </r>
  <r>
    <s v="2000001069"/>
    <x v="29"/>
    <x v="169"/>
    <x v="2"/>
    <x v="28"/>
    <n v="-30"/>
    <d v="2026-05-27T00:00:00"/>
    <n v="43200"/>
    <s v="USD"/>
    <x v="1"/>
    <d v="2026-05-27T00:00:00"/>
    <n v="30"/>
    <x v="2"/>
    <x v="26"/>
    <n v="43200"/>
    <n v="15"/>
    <s v="0-45"/>
  </r>
  <r>
    <s v="2000001069"/>
    <x v="29"/>
    <x v="170"/>
    <x v="2"/>
    <x v="26"/>
    <n v="-40"/>
    <d v="2026-06-06T00:00:00"/>
    <n v="95904"/>
    <s v="USD"/>
    <x v="1"/>
    <d v="2026-06-06T00:00:00"/>
    <n v="40"/>
    <x v="6"/>
    <x v="38"/>
    <n v="95904"/>
    <n v="5"/>
    <s v="0-45"/>
  </r>
  <r>
    <m/>
    <x v="30"/>
    <x v="171"/>
    <x v="6"/>
    <x v="48"/>
    <m/>
    <m/>
    <m/>
    <m/>
    <x v="4"/>
    <m/>
    <m/>
    <x v="0"/>
    <x v="27"/>
    <m/>
    <m/>
    <m/>
  </r>
  <r>
    <m/>
    <x v="30"/>
    <x v="171"/>
    <x v="6"/>
    <x v="48"/>
    <m/>
    <m/>
    <m/>
    <m/>
    <x v="4"/>
    <m/>
    <m/>
    <x v="0"/>
    <x v="27"/>
    <m/>
    <m/>
    <m/>
  </r>
  <r>
    <m/>
    <x v="30"/>
    <x v="171"/>
    <x v="6"/>
    <x v="48"/>
    <m/>
    <m/>
    <m/>
    <m/>
    <x v="4"/>
    <m/>
    <m/>
    <x v="0"/>
    <x v="27"/>
    <m/>
    <m/>
    <m/>
  </r>
  <r>
    <m/>
    <x v="30"/>
    <x v="171"/>
    <x v="6"/>
    <x v="48"/>
    <m/>
    <m/>
    <m/>
    <m/>
    <x v="4"/>
    <m/>
    <m/>
    <x v="0"/>
    <x v="27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022A24-0EDF-4949-BFF6-D997E76EE2B7}" name="TablaDinámica5" cacheId="10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:M24" firstHeaderRow="1" firstDataRow="4" firstDataCol="1" rowPageCount="2" colPageCount="1"/>
  <pivotFields count="22">
    <pivotField showAll="0"/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axis="axisPage" showAll="0">
      <items count="8">
        <item x="1"/>
        <item x="5"/>
        <item x="2"/>
        <item x="0"/>
        <item x="4"/>
        <item x="3"/>
        <item x="6"/>
        <item t="default"/>
      </items>
    </pivotField>
    <pivotField showAll="0"/>
    <pivotField showAll="0"/>
    <pivotField showAll="0"/>
    <pivotField dataField="1" showAll="0"/>
    <pivotField showAll="0"/>
    <pivotField axis="axisPage" multipleItemSelectionAllowed="1" showAll="0">
      <items count="6">
        <item x="1"/>
        <item h="1" x="0"/>
        <item h="1" x="3"/>
        <item h="1" x="2"/>
        <item h="1" x="4"/>
        <item t="default"/>
      </items>
    </pivotField>
    <pivotField showAll="0"/>
    <pivotField showAll="0"/>
    <pivotField axis="axisCol" showAll="0">
      <items count="11">
        <item x="3"/>
        <item x="4"/>
        <item x="1"/>
        <item x="8"/>
        <item x="5"/>
        <item x="2"/>
        <item x="7"/>
        <item x="0"/>
        <item x="6"/>
        <item x="9"/>
        <item t="default"/>
      </items>
    </pivotField>
    <pivotField showAll="0">
      <items count="57">
        <item x="54"/>
        <item x="49"/>
        <item x="45"/>
        <item x="41"/>
        <item x="46"/>
        <item x="42"/>
        <item x="0"/>
        <item x="1"/>
        <item x="2"/>
        <item x="3"/>
        <item x="4"/>
        <item x="5"/>
        <item x="6"/>
        <item x="7"/>
        <item x="8"/>
        <item x="9"/>
        <item x="47"/>
        <item x="48"/>
        <item x="39"/>
        <item x="12"/>
        <item x="13"/>
        <item x="14"/>
        <item x="50"/>
        <item x="40"/>
        <item x="15"/>
        <item x="10"/>
        <item x="53"/>
        <item x="16"/>
        <item x="17"/>
        <item x="51"/>
        <item x="32"/>
        <item x="28"/>
        <item x="29"/>
        <item x="11"/>
        <item x="30"/>
        <item x="31"/>
        <item x="23"/>
        <item x="24"/>
        <item x="33"/>
        <item x="25"/>
        <item x="22"/>
        <item x="34"/>
        <item x="18"/>
        <item x="19"/>
        <item x="21"/>
        <item x="35"/>
        <item x="36"/>
        <item x="20"/>
        <item x="52"/>
        <item x="37"/>
        <item x="26"/>
        <item x="44"/>
        <item x="38"/>
        <item x="55"/>
        <item x="43"/>
        <item x="27"/>
        <item t="default"/>
      </items>
    </pivotField>
    <pivotField showAll="0"/>
    <pivotField showAll="0"/>
    <pivotField showAll="0"/>
    <pivotField showAll="0">
      <items count="15">
        <item h="1" sd="0" x="0"/>
        <item sd="0" x="1"/>
        <item sd="0" x="2"/>
        <item sd="0" x="3"/>
        <item x="4"/>
        <item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x="4"/>
        <item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15">
    <i>
      <x v="4"/>
    </i>
    <i>
      <x v="6"/>
    </i>
    <i>
      <x v="7"/>
    </i>
    <i>
      <x v="10"/>
    </i>
    <i>
      <x v="11"/>
    </i>
    <i>
      <x v="12"/>
    </i>
    <i>
      <x v="14"/>
    </i>
    <i>
      <x v="15"/>
    </i>
    <i>
      <x v="18"/>
    </i>
    <i>
      <x v="21"/>
    </i>
    <i>
      <x v="23"/>
    </i>
    <i>
      <x v="27"/>
    </i>
    <i>
      <x v="28"/>
    </i>
    <i>
      <x v="29"/>
    </i>
    <i t="grand">
      <x/>
    </i>
  </rowItems>
  <colFields count="3">
    <field x="21"/>
    <field x="20"/>
    <field x="12"/>
  </colFields>
  <colItems count="12">
    <i>
      <x/>
    </i>
    <i>
      <x v="4"/>
      <x v="120"/>
    </i>
    <i t="default">
      <x v="4"/>
    </i>
    <i>
      <x v="5"/>
      <x v="133"/>
    </i>
    <i r="1">
      <x v="134"/>
    </i>
    <i r="1">
      <x v="135"/>
    </i>
    <i r="1">
      <x v="144"/>
    </i>
    <i r="1">
      <x v="148"/>
    </i>
    <i r="1">
      <x v="149"/>
    </i>
    <i t="default">
      <x v="5"/>
    </i>
    <i>
      <x v="6"/>
    </i>
    <i t="grand">
      <x/>
    </i>
  </colItems>
  <pageFields count="2">
    <pageField fld="3" hier="-1"/>
    <pageField fld="9" hier="-1"/>
  </pageFields>
  <dataFields count="1">
    <dataField name="Suma de Importe en moneda doc." fld="7" baseField="0" baseItem="0" numFmtId="164"/>
  </dataFields>
  <formats count="15">
    <format dxfId="21">
      <pivotArea outline="0" collapsedLevelsAreSubtotals="1" fieldPosition="0"/>
    </format>
    <format dxfId="20">
      <pivotArea collapsedLevelsAreSubtotals="1" fieldPosition="0">
        <references count="3">
          <reference field="1" count="1">
            <x v="10"/>
          </reference>
          <reference field="20" count="1" selected="0">
            <x v="120"/>
          </reference>
          <reference field="21" count="1" selected="0">
            <x v="4"/>
          </reference>
        </references>
      </pivotArea>
    </format>
    <format dxfId="19">
      <pivotArea collapsedLevelsAreSubtotals="1" fieldPosition="0">
        <references count="3">
          <reference field="1" count="2">
            <x v="10"/>
            <x v="11"/>
          </reference>
          <reference field="20" count="1" selected="0">
            <x v="133"/>
          </reference>
          <reference field="21" count="1" selected="0">
            <x v="5"/>
          </reference>
        </references>
      </pivotArea>
    </format>
    <format dxfId="18">
      <pivotArea collapsedLevelsAreSubtotals="1" fieldPosition="0">
        <references count="3">
          <reference field="1" count="1">
            <x v="27"/>
          </reference>
          <reference field="20" count="2" selected="0">
            <x v="133"/>
            <x v="134"/>
          </reference>
          <reference field="21" count="1" selected="0">
            <x v="5"/>
          </reference>
        </references>
      </pivotArea>
    </format>
    <format dxfId="17">
      <pivotArea collapsedLevelsAreSubtotals="1" fieldPosition="0">
        <references count="3">
          <reference field="1" count="1">
            <x v="14"/>
          </reference>
          <reference field="20" count="1" selected="0">
            <x v="134"/>
          </reference>
          <reference field="21" count="1" selected="0">
            <x v="5"/>
          </reference>
        </references>
      </pivotArea>
    </format>
    <format dxfId="16">
      <pivotArea collapsedLevelsAreSubtotals="1" fieldPosition="0">
        <references count="3">
          <reference field="1" count="1">
            <x v="4"/>
          </reference>
          <reference field="20" count="1" selected="0">
            <x v="134"/>
          </reference>
          <reference field="21" count="1" selected="0">
            <x v="5"/>
          </reference>
        </references>
      </pivotArea>
    </format>
    <format dxfId="15">
      <pivotArea collapsedLevelsAreSubtotals="1" fieldPosition="0">
        <references count="3">
          <reference field="1" count="1">
            <x v="23"/>
          </reference>
          <reference field="20" count="1" selected="0">
            <x v="135"/>
          </reference>
          <reference field="21" count="1" selected="0">
            <x v="5"/>
          </reference>
        </references>
      </pivotArea>
    </format>
    <format dxfId="14">
      <pivotArea collapsedLevelsAreSubtotals="1" fieldPosition="0">
        <references count="3">
          <reference field="1" count="1">
            <x v="27"/>
          </reference>
          <reference field="20" count="1" selected="0">
            <x v="144"/>
          </reference>
          <reference field="21" count="1" selected="0">
            <x v="5"/>
          </reference>
        </references>
      </pivotArea>
    </format>
    <format dxfId="13">
      <pivotArea collapsedLevelsAreSubtotals="1" fieldPosition="0">
        <references count="3">
          <reference field="1" count="1">
            <x v="10"/>
          </reference>
          <reference field="20" count="1" selected="0">
            <x v="144"/>
          </reference>
          <reference field="21" count="1" selected="0">
            <x v="5"/>
          </reference>
        </references>
      </pivotArea>
    </format>
    <format dxfId="12">
      <pivotArea collapsedLevelsAreSubtotals="1" fieldPosition="0">
        <references count="3">
          <reference field="1" count="1">
            <x v="6"/>
          </reference>
          <reference field="20" count="1" selected="0">
            <x v="148"/>
          </reference>
          <reference field="21" count="1" selected="0">
            <x v="5"/>
          </reference>
        </references>
      </pivotArea>
    </format>
    <format dxfId="11">
      <pivotArea collapsedLevelsAreSubtotals="1" fieldPosition="0">
        <references count="3">
          <reference field="1" count="1">
            <x v="14"/>
          </reference>
          <reference field="20" count="1" selected="0">
            <x v="148"/>
          </reference>
          <reference field="21" count="1" selected="0">
            <x v="5"/>
          </reference>
        </references>
      </pivotArea>
    </format>
    <format dxfId="10">
      <pivotArea collapsedLevelsAreSubtotals="1" fieldPosition="0">
        <references count="3">
          <reference field="1" count="1">
            <x v="29"/>
          </reference>
          <reference field="20" count="1" selected="0">
            <x v="148"/>
          </reference>
          <reference field="21" count="1" selected="0">
            <x v="5"/>
          </reference>
        </references>
      </pivotArea>
    </format>
    <format dxfId="9">
      <pivotArea collapsedLevelsAreSubtotals="1" fieldPosition="0">
        <references count="3">
          <reference field="1" count="1">
            <x v="15"/>
          </reference>
          <reference field="20" count="1" selected="0">
            <x v="149"/>
          </reference>
          <reference field="21" count="1" selected="0">
            <x v="5"/>
          </reference>
        </references>
      </pivotArea>
    </format>
    <format dxfId="8">
      <pivotArea collapsedLevelsAreSubtotals="1" fieldPosition="0">
        <references count="3">
          <reference field="1" count="1">
            <x v="14"/>
          </reference>
          <reference field="20" count="1" selected="0">
            <x v="148"/>
          </reference>
          <reference field="21" count="1" selected="0">
            <x v="5"/>
          </reference>
        </references>
      </pivotArea>
    </format>
    <format dxfId="7">
      <pivotArea collapsedLevelsAreSubtotals="1" fieldPosition="0">
        <references count="2">
          <reference field="1" count="1">
            <x v="14"/>
          </reference>
          <reference field="21" count="1" selected="0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911039-50FF-47BF-BC61-F45F710E4FC4}" name="TablaDinámica8" cacheId="10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2:R49" firstHeaderRow="1" firstDataRow="3" firstDataCol="1" rowPageCount="2" colPageCount="1"/>
  <pivotFields count="22">
    <pivotField showAll="0"/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axis="axisPage" showAll="0">
      <items count="8">
        <item x="1"/>
        <item x="5"/>
        <item x="2"/>
        <item x="0"/>
        <item x="4"/>
        <item x="3"/>
        <item x="6"/>
        <item t="default"/>
      </items>
    </pivotField>
    <pivotField showAll="0"/>
    <pivotField showAll="0"/>
    <pivotField showAll="0"/>
    <pivotField dataField="1" showAll="0"/>
    <pivotField showAll="0"/>
    <pivotField axis="axisPage" multipleItemSelectionAllowed="1" showAll="0">
      <items count="6">
        <item x="1"/>
        <item h="1" x="0"/>
        <item h="1" x="3"/>
        <item h="1" x="2"/>
        <item h="1" x="4"/>
        <item t="default"/>
      </items>
    </pivotField>
    <pivotField showAll="0"/>
    <pivotField showAll="0"/>
    <pivotField showAll="0">
      <items count="11">
        <item x="3"/>
        <item x="4"/>
        <item x="1"/>
        <item x="8"/>
        <item x="5"/>
        <item x="2"/>
        <item x="7"/>
        <item x="0"/>
        <item x="6"/>
        <item x="9"/>
        <item t="default"/>
      </items>
    </pivotField>
    <pivotField axis="axisCol" showAll="0">
      <items count="57">
        <item x="54"/>
        <item x="49"/>
        <item x="45"/>
        <item x="41"/>
        <item x="46"/>
        <item x="42"/>
        <item x="0"/>
        <item x="1"/>
        <item x="2"/>
        <item x="3"/>
        <item x="4"/>
        <item x="5"/>
        <item x="6"/>
        <item x="7"/>
        <item x="8"/>
        <item x="9"/>
        <item x="47"/>
        <item x="48"/>
        <item x="39"/>
        <item x="12"/>
        <item x="13"/>
        <item x="14"/>
        <item x="50"/>
        <item x="40"/>
        <item x="15"/>
        <item x="10"/>
        <item x="53"/>
        <item x="16"/>
        <item x="17"/>
        <item x="51"/>
        <item x="32"/>
        <item x="28"/>
        <item x="29"/>
        <item x="11"/>
        <item x="30"/>
        <item x="31"/>
        <item x="23"/>
        <item x="24"/>
        <item x="33"/>
        <item x="25"/>
        <item x="22"/>
        <item x="34"/>
        <item x="18"/>
        <item x="19"/>
        <item x="21"/>
        <item x="35"/>
        <item x="36"/>
        <item x="20"/>
        <item x="52"/>
        <item x="37"/>
        <item x="26"/>
        <item x="44"/>
        <item x="38"/>
        <item x="55"/>
        <item x="43"/>
        <item x="27"/>
        <item t="default"/>
      </items>
    </pivotField>
    <pivotField showAll="0"/>
    <pivotField showAll="0"/>
    <pivotField showAll="0"/>
    <pivotField axis="axisCol" showAll="0">
      <items count="15">
        <item h="1" sd="0" x="0"/>
        <item sd="0" x="1"/>
        <item sd="0" x="2"/>
        <item sd="0" x="3"/>
        <item x="4"/>
        <item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5">
    <i>
      <x v="4"/>
    </i>
    <i>
      <x v="6"/>
    </i>
    <i>
      <x v="7"/>
    </i>
    <i>
      <x v="10"/>
    </i>
    <i>
      <x v="11"/>
    </i>
    <i>
      <x v="12"/>
    </i>
    <i>
      <x v="14"/>
    </i>
    <i>
      <x v="15"/>
    </i>
    <i>
      <x v="18"/>
    </i>
    <i>
      <x v="21"/>
    </i>
    <i>
      <x v="23"/>
    </i>
    <i>
      <x v="27"/>
    </i>
    <i>
      <x v="28"/>
    </i>
    <i>
      <x v="29"/>
    </i>
    <i t="grand">
      <x/>
    </i>
  </rowItems>
  <colFields count="2">
    <field x="17"/>
    <field x="13"/>
  </colFields>
  <colItems count="17">
    <i>
      <x v="3"/>
    </i>
    <i>
      <x v="4"/>
      <x v="23"/>
    </i>
    <i r="1">
      <x v="28"/>
    </i>
    <i r="1">
      <x v="32"/>
    </i>
    <i r="1">
      <x v="40"/>
    </i>
    <i t="default">
      <x v="4"/>
    </i>
    <i>
      <x v="5"/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t="default">
      <x v="5"/>
    </i>
    <i>
      <x v="6"/>
    </i>
    <i t="grand">
      <x/>
    </i>
  </colItems>
  <pageFields count="2">
    <pageField fld="3" hier="-1"/>
    <pageField fld="9" hier="-1"/>
  </pageFields>
  <dataFields count="1">
    <dataField name="Suma de Importe en moneda doc." fld="7" baseField="0" baseItem="0" numFmtId="164"/>
  </dataFields>
  <formats count="16">
    <format dxfId="37">
      <pivotArea outline="0" collapsedLevelsAreSubtotals="1" fieldPosition="0"/>
    </format>
    <format dxfId="36">
      <pivotArea collapsedLevelsAreSubtotals="1" fieldPosition="0">
        <references count="3">
          <reference field="1" count="1">
            <x v="10"/>
          </reference>
          <reference field="13" count="1" selected="0">
            <x v="45"/>
          </reference>
          <reference field="17" count="1" selected="0">
            <x v="5"/>
          </reference>
        </references>
      </pivotArea>
    </format>
    <format dxfId="35">
      <pivotArea collapsedLevelsAreSubtotals="1" fieldPosition="0">
        <references count="3">
          <reference field="1" count="2">
            <x v="10"/>
            <x v="11"/>
          </reference>
          <reference field="13" count="1" selected="0">
            <x v="46"/>
          </reference>
          <reference field="17" count="1" selected="0">
            <x v="5"/>
          </reference>
        </references>
      </pivotArea>
    </format>
    <format dxfId="34">
      <pivotArea collapsedLevelsAreSubtotals="1" fieldPosition="0">
        <references count="3">
          <reference field="1" count="1">
            <x v="27"/>
          </reference>
          <reference field="13" count="1" selected="0">
            <x v="46"/>
          </reference>
          <reference field="17" count="1" selected="0">
            <x v="5"/>
          </reference>
        </references>
      </pivotArea>
    </format>
    <format dxfId="33">
      <pivotArea collapsedLevelsAreSubtotals="1" fieldPosition="0">
        <references count="3">
          <reference field="1" count="1">
            <x v="4"/>
          </reference>
          <reference field="13" count="1" selected="0">
            <x v="47"/>
          </reference>
          <reference field="17" count="1" selected="0">
            <x v="5"/>
          </reference>
        </references>
      </pivotArea>
    </format>
    <format dxfId="32">
      <pivotArea collapsedLevelsAreSubtotals="1" fieldPosition="0">
        <references count="3">
          <reference field="1" count="1">
            <x v="14"/>
          </reference>
          <reference field="13" count="1" selected="0">
            <x v="47"/>
          </reference>
          <reference field="17" count="1" selected="0">
            <x v="5"/>
          </reference>
        </references>
      </pivotArea>
    </format>
    <format dxfId="31">
      <pivotArea collapsedLevelsAreSubtotals="1" fieldPosition="0">
        <references count="3">
          <reference field="1" count="1">
            <x v="27"/>
          </reference>
          <reference field="13" count="1" selected="0">
            <x v="47"/>
          </reference>
          <reference field="17" count="1" selected="0">
            <x v="5"/>
          </reference>
        </references>
      </pivotArea>
    </format>
    <format dxfId="30">
      <pivotArea collapsedLevelsAreSubtotals="1" fieldPosition="0">
        <references count="3">
          <reference field="1" count="1">
            <x v="23"/>
          </reference>
          <reference field="13" count="1" selected="0">
            <x v="48"/>
          </reference>
          <reference field="17" count="1" selected="0">
            <x v="5"/>
          </reference>
        </references>
      </pivotArea>
    </format>
    <format dxfId="29">
      <pivotArea collapsedLevelsAreSubtotals="1" fieldPosition="0">
        <references count="3">
          <reference field="1" count="1">
            <x v="10"/>
          </reference>
          <reference field="13" count="1" selected="0">
            <x v="49"/>
          </reference>
          <reference field="17" count="1" selected="0">
            <x v="5"/>
          </reference>
        </references>
      </pivotArea>
    </format>
    <format dxfId="28">
      <pivotArea collapsedLevelsAreSubtotals="1" fieldPosition="0">
        <references count="3">
          <reference field="1" count="1">
            <x v="27"/>
          </reference>
          <reference field="13" count="1" selected="0">
            <x v="49"/>
          </reference>
          <reference field="17" count="1" selected="0">
            <x v="5"/>
          </reference>
        </references>
      </pivotArea>
    </format>
    <format dxfId="27">
      <pivotArea collapsedLevelsAreSubtotals="1" fieldPosition="0">
        <references count="3">
          <reference field="1" count="1">
            <x v="6"/>
          </reference>
          <reference field="13" count="1" selected="0">
            <x v="50"/>
          </reference>
          <reference field="17" count="1" selected="0">
            <x v="5"/>
          </reference>
        </references>
      </pivotArea>
    </format>
    <format dxfId="26">
      <pivotArea collapsedLevelsAreSubtotals="1" fieldPosition="0">
        <references count="3">
          <reference field="1" count="1">
            <x v="14"/>
          </reference>
          <reference field="13" count="1" selected="0">
            <x v="50"/>
          </reference>
          <reference field="17" count="1" selected="0">
            <x v="5"/>
          </reference>
        </references>
      </pivotArea>
    </format>
    <format dxfId="25">
      <pivotArea collapsedLevelsAreSubtotals="1" fieldPosition="0">
        <references count="3">
          <reference field="1" count="1">
            <x v="29"/>
          </reference>
          <reference field="13" count="1" selected="0">
            <x v="50"/>
          </reference>
          <reference field="17" count="1" selected="0">
            <x v="5"/>
          </reference>
        </references>
      </pivotArea>
    </format>
    <format dxfId="24">
      <pivotArea collapsedLevelsAreSubtotals="1" fieldPosition="0">
        <references count="3">
          <reference field="1" count="1">
            <x v="15"/>
          </reference>
          <reference field="13" count="1" selected="0">
            <x v="51"/>
          </reference>
          <reference field="17" count="1" selected="0">
            <x v="5"/>
          </reference>
        </references>
      </pivotArea>
    </format>
    <format dxfId="23">
      <pivotArea collapsedLevelsAreSubtotals="1" fieldPosition="0">
        <references count="3">
          <reference field="1" count="1">
            <x v="14"/>
          </reference>
          <reference field="13" count="1" selected="0">
            <x v="50"/>
          </reference>
          <reference field="17" count="1" selected="0">
            <x v="5"/>
          </reference>
        </references>
      </pivotArea>
    </format>
    <format dxfId="22">
      <pivotArea collapsedLevelsAreSubtotals="1" fieldPosition="0">
        <references count="2">
          <reference field="1" count="1">
            <x v="14"/>
          </reference>
          <reference field="17" count="1" selected="0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96CE32-A889-4E57-8F8F-0573BB2E8B64}" name="TablaDinámica1" cacheId="10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B60" firstHeaderRow="1" firstDataRow="1" firstDataCol="1" rowPageCount="3" colPageCount="1"/>
  <pivotFields count="22">
    <pivotField showAll="0"/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showAll="0">
      <items count="173">
        <item x="159"/>
        <item x="106"/>
        <item x="104"/>
        <item x="160"/>
        <item x="161"/>
        <item x="162"/>
        <item x="30"/>
        <item x="31"/>
        <item x="32"/>
        <item x="33"/>
        <item x="34"/>
        <item x="35"/>
        <item x="114"/>
        <item x="152"/>
        <item x="105"/>
        <item x="163"/>
        <item x="164"/>
        <item x="168"/>
        <item x="169"/>
        <item x="167"/>
        <item x="56"/>
        <item x="115"/>
        <item x="116"/>
        <item x="118"/>
        <item x="107"/>
        <item x="170"/>
        <item x="117"/>
        <item x="165"/>
        <item x="143"/>
        <item x="120"/>
        <item x="121"/>
        <item x="122"/>
        <item x="144"/>
        <item x="110"/>
        <item x="111"/>
        <item x="112"/>
        <item x="1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21"/>
        <item x="22"/>
        <item x="23"/>
        <item x="24"/>
        <item x="153"/>
        <item x="154"/>
        <item x="25"/>
        <item x="26"/>
        <item x="61"/>
        <item x="62"/>
        <item x="123"/>
        <item x="124"/>
        <item x="63"/>
        <item x="64"/>
        <item x="65"/>
        <item x="66"/>
        <item x="125"/>
        <item x="126"/>
        <item x="67"/>
        <item x="68"/>
        <item x="69"/>
        <item x="70"/>
        <item x="127"/>
        <item x="128"/>
        <item x="146"/>
        <item x="71"/>
        <item x="72"/>
        <item x="147"/>
        <item x="73"/>
        <item x="74"/>
        <item x="129"/>
        <item x="130"/>
        <item x="75"/>
        <item x="76"/>
        <item x="131"/>
        <item x="132"/>
        <item x="77"/>
        <item x="78"/>
        <item x="158"/>
        <item x="148"/>
        <item x="79"/>
        <item x="80"/>
        <item x="81"/>
        <item x="82"/>
        <item x="133"/>
        <item x="134"/>
        <item x="83"/>
        <item x="84"/>
        <item x="87"/>
        <item x="88"/>
        <item x="59"/>
        <item x="60"/>
        <item x="85"/>
        <item x="86"/>
        <item x="149"/>
        <item x="135"/>
        <item x="136"/>
        <item x="89"/>
        <item x="90"/>
        <item x="91"/>
        <item x="92"/>
        <item x="93"/>
        <item x="94"/>
        <item x="95"/>
        <item x="96"/>
        <item x="137"/>
        <item x="138"/>
        <item x="150"/>
        <item x="97"/>
        <item x="98"/>
        <item x="139"/>
        <item x="140"/>
        <item x="155"/>
        <item x="156"/>
        <item x="27"/>
        <item x="141"/>
        <item x="142"/>
        <item x="99"/>
        <item x="100"/>
        <item x="28"/>
        <item x="29"/>
        <item x="101"/>
        <item x="102"/>
        <item x="17"/>
        <item x="18"/>
        <item x="19"/>
        <item x="20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7"/>
        <item x="37"/>
        <item x="58"/>
        <item x="109"/>
        <item x="145"/>
        <item x="151"/>
        <item x="166"/>
        <item x="103"/>
        <item x="36"/>
        <item x="119"/>
        <item x="157"/>
        <item x="108"/>
        <item x="171"/>
        <item t="default"/>
      </items>
    </pivotField>
    <pivotField axis="axisPage" showAll="0">
      <items count="8">
        <item x="1"/>
        <item x="5"/>
        <item x="2"/>
        <item x="0"/>
        <item x="4"/>
        <item x="3"/>
        <item x="6"/>
        <item t="default"/>
      </items>
    </pivotField>
    <pivotField axis="axisPage" showAll="0">
      <items count="51">
        <item x="45"/>
        <item x="47"/>
        <item x="41"/>
        <item x="38"/>
        <item x="42"/>
        <item x="39"/>
        <item x="0"/>
        <item x="1"/>
        <item x="2"/>
        <item x="3"/>
        <item x="4"/>
        <item x="5"/>
        <item x="6"/>
        <item x="7"/>
        <item x="8"/>
        <item x="9"/>
        <item x="43"/>
        <item m="1" x="49"/>
        <item x="46"/>
        <item x="44"/>
        <item x="34"/>
        <item x="12"/>
        <item x="13"/>
        <item x="14"/>
        <item x="35"/>
        <item x="20"/>
        <item x="15"/>
        <item x="21"/>
        <item x="10"/>
        <item x="29"/>
        <item x="37"/>
        <item x="36"/>
        <item x="16"/>
        <item x="17"/>
        <item x="28"/>
        <item x="40"/>
        <item x="30"/>
        <item x="31"/>
        <item x="11"/>
        <item x="23"/>
        <item x="32"/>
        <item x="24"/>
        <item x="25"/>
        <item x="22"/>
        <item x="26"/>
        <item x="27"/>
        <item x="33"/>
        <item x="18"/>
        <item x="19"/>
        <item x="48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6">
        <item x="1"/>
        <item h="1" x="0"/>
        <item h="1" x="3"/>
        <item h="1" x="2"/>
        <item h="1" x="4"/>
        <item t="default"/>
      </items>
    </pivotField>
    <pivotField showAll="0"/>
    <pivotField showAll="0"/>
    <pivotField showAll="0">
      <items count="11">
        <item x="3"/>
        <item x="4"/>
        <item x="1"/>
        <item x="8"/>
        <item x="5"/>
        <item x="2"/>
        <item x="7"/>
        <item x="0"/>
        <item x="6"/>
        <item x="9"/>
        <item t="default"/>
      </items>
    </pivotField>
    <pivotField showAll="0">
      <items count="57">
        <item x="54"/>
        <item x="49"/>
        <item x="45"/>
        <item x="41"/>
        <item x="46"/>
        <item x="42"/>
        <item x="0"/>
        <item x="1"/>
        <item x="2"/>
        <item x="3"/>
        <item x="4"/>
        <item x="5"/>
        <item x="6"/>
        <item x="7"/>
        <item x="8"/>
        <item x="9"/>
        <item x="47"/>
        <item x="48"/>
        <item x="39"/>
        <item x="12"/>
        <item x="13"/>
        <item x="14"/>
        <item x="50"/>
        <item x="40"/>
        <item x="15"/>
        <item x="10"/>
        <item x="53"/>
        <item x="16"/>
        <item x="17"/>
        <item x="51"/>
        <item x="32"/>
        <item x="28"/>
        <item x="29"/>
        <item x="11"/>
        <item x="30"/>
        <item x="31"/>
        <item x="23"/>
        <item x="24"/>
        <item x="33"/>
        <item x="25"/>
        <item x="22"/>
        <item x="34"/>
        <item x="18"/>
        <item x="19"/>
        <item x="21"/>
        <item x="36"/>
        <item x="20"/>
        <item x="52"/>
        <item x="37"/>
        <item x="26"/>
        <item x="44"/>
        <item x="38"/>
        <item x="55"/>
        <item x="43"/>
        <item x="27"/>
        <item x="35"/>
        <item t="default"/>
      </items>
    </pivotField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"/>
    <field x="2"/>
  </rowFields>
  <rowItems count="55">
    <i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60"/>
    </i>
    <i r="1">
      <x v="167"/>
    </i>
    <i>
      <x v="6"/>
    </i>
    <i r="1">
      <x v="20"/>
    </i>
    <i r="1">
      <x v="159"/>
    </i>
    <i>
      <x v="7"/>
    </i>
    <i r="1">
      <x v="161"/>
    </i>
    <i>
      <x v="10"/>
    </i>
    <i r="1">
      <x v="2"/>
    </i>
    <i r="1">
      <x v="14"/>
    </i>
    <i r="1">
      <x v="166"/>
    </i>
    <i>
      <x v="11"/>
    </i>
    <i r="1">
      <x v="1"/>
    </i>
    <i r="1">
      <x v="24"/>
    </i>
    <i>
      <x v="12"/>
    </i>
    <i r="1">
      <x v="162"/>
    </i>
    <i r="1">
      <x v="170"/>
    </i>
    <i>
      <x v="14"/>
    </i>
    <i r="1">
      <x v="12"/>
    </i>
    <i r="1">
      <x v="21"/>
    </i>
    <i r="1">
      <x v="22"/>
    </i>
    <i r="1">
      <x v="26"/>
    </i>
    <i>
      <x v="15"/>
    </i>
    <i r="1">
      <x v="23"/>
    </i>
    <i r="1">
      <x v="170"/>
    </i>
    <i>
      <x v="18"/>
    </i>
    <i r="1">
      <x v="170"/>
    </i>
    <i>
      <x v="21"/>
    </i>
    <i r="1">
      <x v="163"/>
    </i>
    <i>
      <x v="23"/>
    </i>
    <i r="1">
      <x v="13"/>
    </i>
    <i r="1">
      <x v="164"/>
    </i>
    <i>
      <x v="27"/>
    </i>
    <i r="1">
      <x/>
    </i>
    <i r="1">
      <x v="3"/>
    </i>
    <i r="1">
      <x v="4"/>
    </i>
    <i r="1">
      <x v="5"/>
    </i>
    <i r="1">
      <x v="15"/>
    </i>
    <i r="1">
      <x v="16"/>
    </i>
    <i>
      <x v="28"/>
    </i>
    <i r="1">
      <x v="27"/>
    </i>
    <i>
      <x v="29"/>
    </i>
    <i r="1">
      <x v="17"/>
    </i>
    <i r="1">
      <x v="18"/>
    </i>
    <i r="1">
      <x v="19"/>
    </i>
    <i r="1">
      <x v="25"/>
    </i>
    <i r="1">
      <x v="165"/>
    </i>
    <i t="grand">
      <x/>
    </i>
  </rowItems>
  <colItems count="1">
    <i/>
  </colItems>
  <pageFields count="3">
    <pageField fld="4" hier="-1"/>
    <pageField fld="9" hier="-1"/>
    <pageField fld="3" hier="-1"/>
  </pageFields>
  <dataFields count="1">
    <dataField name="Suma de USD HOMOL" fld="14" baseField="0" baseItem="0" numFmtId="43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3C1544-25B5-4505-B80E-B136B6C63C3D}" name="TablaDinámica6" cacheId="10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4:I7" firstHeaderRow="0" firstDataRow="1" firstDataCol="1" rowPageCount="2" colPageCount="1"/>
  <pivotFields count="23">
    <pivotField showAll="0"/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axis="axisRow" showAll="0">
      <items count="110">
        <item x="17"/>
        <item x="96"/>
        <item x="97"/>
        <item x="61"/>
        <item x="59"/>
        <item x="98"/>
        <item x="99"/>
        <item x="100"/>
        <item x="101"/>
        <item x="25"/>
        <item x="26"/>
        <item x="27"/>
        <item x="28"/>
        <item x="29"/>
        <item x="30"/>
        <item x="68"/>
        <item x="92"/>
        <item x="60"/>
        <item x="102"/>
        <item x="103"/>
        <item x="106"/>
        <item x="107"/>
        <item x="105"/>
        <item x="37"/>
        <item x="69"/>
        <item x="70"/>
        <item x="71"/>
        <item x="84"/>
        <item x="73"/>
        <item x="74"/>
        <item x="75"/>
        <item x="64"/>
        <item x="65"/>
        <item x="66"/>
        <item x="6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93"/>
        <item x="22"/>
        <item x="23"/>
        <item x="86"/>
        <item x="40"/>
        <item x="41"/>
        <item x="42"/>
        <item x="43"/>
        <item x="44"/>
        <item x="45"/>
        <item x="87"/>
        <item x="46"/>
        <item x="47"/>
        <item x="88"/>
        <item x="48"/>
        <item x="49"/>
        <item x="76"/>
        <item x="77"/>
        <item x="89"/>
        <item x="50"/>
        <item x="51"/>
        <item x="90"/>
        <item x="52"/>
        <item x="53"/>
        <item x="78"/>
        <item x="79"/>
        <item x="54"/>
        <item x="55"/>
        <item x="80"/>
        <item x="81"/>
        <item x="56"/>
        <item x="57"/>
        <item x="95"/>
        <item x="31"/>
        <item x="32"/>
        <item x="33"/>
        <item x="34"/>
        <item x="35"/>
        <item x="36"/>
        <item x="38"/>
        <item x="39"/>
        <item x="63"/>
        <item x="85"/>
        <item x="91"/>
        <item x="104"/>
        <item x="58"/>
        <item x="83"/>
        <item x="82"/>
        <item x="24"/>
        <item x="72"/>
        <item x="94"/>
        <item x="62"/>
        <item x="108"/>
        <item t="default"/>
      </items>
    </pivotField>
    <pivotField axis="axisPage" multipleItemSelectionAllowed="1" showAll="0">
      <items count="8">
        <item h="1" x="2"/>
        <item h="1" x="3"/>
        <item x="1"/>
        <item h="1" x="0"/>
        <item h="1" x="4"/>
        <item x="5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51">
        <item x="46"/>
        <item x="41"/>
        <item x="36"/>
        <item x="32"/>
        <item x="37"/>
        <item x="33"/>
        <item x="0"/>
        <item x="1"/>
        <item x="2"/>
        <item x="3"/>
        <item x="4"/>
        <item x="5"/>
        <item x="6"/>
        <item x="7"/>
        <item x="8"/>
        <item x="9"/>
        <item x="38"/>
        <item x="39"/>
        <item x="30"/>
        <item x="11"/>
        <item x="12"/>
        <item x="13"/>
        <item x="42"/>
        <item x="31"/>
        <item x="14"/>
        <item x="45"/>
        <item m="1" x="49"/>
        <item x="15"/>
        <item x="16"/>
        <item x="43"/>
        <item x="26"/>
        <item x="34"/>
        <item x="22"/>
        <item x="23"/>
        <item x="19"/>
        <item x="24"/>
        <item x="25"/>
        <item x="20"/>
        <item x="47"/>
        <item x="27"/>
        <item x="10"/>
        <item x="40"/>
        <item x="17"/>
        <item x="28"/>
        <item x="18"/>
        <item x="44"/>
        <item x="29"/>
        <item x="21"/>
        <item x="35"/>
        <item x="48"/>
        <item t="default"/>
      </items>
    </pivotField>
    <pivotField dataField="1" showAll="0"/>
    <pivotField dataField="1" showAll="0"/>
    <pivotField axis="axisPage" multipleItemSelectionAllowed="1" showAll="0">
      <items count="4">
        <item h="1" x="2"/>
        <item x="1"/>
        <item h="1" x="0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2">
    <field x="1"/>
    <field x="3"/>
  </rowFields>
  <rowItems count="3">
    <i>
      <x v="1"/>
    </i>
    <i r="1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4" hier="-1"/>
    <pageField fld="19" hier="-1"/>
  </pageFields>
  <dataFields count="3">
    <dataField name="Cuenta de DÍAS VENCIDOS" fld="14" subtotal="count" baseField="0" baseItem="0"/>
    <dataField name="Suma de DÍAS ATRASADOS" fld="18" baseField="0" baseItem="0" numFmtId="43"/>
    <dataField name="Suma de USD HOMOL" fld="17" baseField="0" baseItem="0" numFmtId="43"/>
  </dataFields>
  <formats count="3">
    <format dxfId="2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1">
      <pivotArea field="1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91F77F-033F-4E61-9689-A00E719BA7E0}" name="TablaDinámica5" cacheId="10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D49" firstHeaderRow="0" firstDataRow="1" firstDataCol="1" rowPageCount="2" colPageCount="1"/>
  <pivotFields count="23">
    <pivotField showAll="0"/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axis="axisRow" showAll="0">
      <items count="110">
        <item x="17"/>
        <item x="96"/>
        <item x="97"/>
        <item x="61"/>
        <item x="59"/>
        <item x="98"/>
        <item x="99"/>
        <item x="100"/>
        <item x="101"/>
        <item x="25"/>
        <item x="26"/>
        <item x="27"/>
        <item x="28"/>
        <item x="29"/>
        <item x="30"/>
        <item x="68"/>
        <item x="92"/>
        <item x="60"/>
        <item x="102"/>
        <item x="103"/>
        <item x="106"/>
        <item x="107"/>
        <item x="105"/>
        <item x="37"/>
        <item x="69"/>
        <item x="70"/>
        <item x="71"/>
        <item x="84"/>
        <item x="73"/>
        <item x="74"/>
        <item x="75"/>
        <item x="64"/>
        <item x="65"/>
        <item x="66"/>
        <item x="6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93"/>
        <item x="22"/>
        <item x="23"/>
        <item x="86"/>
        <item x="40"/>
        <item x="41"/>
        <item x="42"/>
        <item x="43"/>
        <item x="44"/>
        <item x="45"/>
        <item x="87"/>
        <item x="46"/>
        <item x="47"/>
        <item x="88"/>
        <item x="48"/>
        <item x="49"/>
        <item x="76"/>
        <item x="77"/>
        <item x="89"/>
        <item x="50"/>
        <item x="51"/>
        <item x="90"/>
        <item x="52"/>
        <item x="53"/>
        <item x="78"/>
        <item x="79"/>
        <item x="54"/>
        <item x="55"/>
        <item x="80"/>
        <item x="81"/>
        <item x="56"/>
        <item x="57"/>
        <item x="95"/>
        <item x="31"/>
        <item x="32"/>
        <item x="33"/>
        <item x="34"/>
        <item x="35"/>
        <item x="36"/>
        <item x="38"/>
        <item x="39"/>
        <item x="63"/>
        <item x="85"/>
        <item x="91"/>
        <item x="104"/>
        <item x="58"/>
        <item x="83"/>
        <item x="82"/>
        <item x="24"/>
        <item x="72"/>
        <item x="94"/>
        <item x="62"/>
        <item x="108"/>
        <item t="default"/>
      </items>
    </pivotField>
    <pivotField axis="axisPage" multipleItemSelectionAllowed="1" showAll="0">
      <items count="8">
        <item h="1" x="2"/>
        <item h="1" x="3"/>
        <item x="1"/>
        <item h="1" x="0"/>
        <item h="1" x="4"/>
        <item x="5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51">
        <item x="46"/>
        <item x="41"/>
        <item x="36"/>
        <item x="32"/>
        <item x="37"/>
        <item x="33"/>
        <item x="0"/>
        <item x="1"/>
        <item x="2"/>
        <item x="3"/>
        <item x="4"/>
        <item x="5"/>
        <item x="6"/>
        <item x="7"/>
        <item x="8"/>
        <item x="9"/>
        <item x="38"/>
        <item x="39"/>
        <item x="30"/>
        <item x="11"/>
        <item x="12"/>
        <item x="13"/>
        <item x="42"/>
        <item x="31"/>
        <item x="14"/>
        <item x="45"/>
        <item m="1" x="49"/>
        <item x="15"/>
        <item x="16"/>
        <item x="43"/>
        <item x="26"/>
        <item x="34"/>
        <item x="22"/>
        <item x="23"/>
        <item x="19"/>
        <item x="24"/>
        <item x="25"/>
        <item x="20"/>
        <item x="47"/>
        <item x="27"/>
        <item x="10"/>
        <item x="40"/>
        <item x="17"/>
        <item x="28"/>
        <item x="18"/>
        <item x="44"/>
        <item x="29"/>
        <item x="21"/>
        <item x="35"/>
        <item x="48"/>
        <item t="default"/>
      </items>
    </pivotField>
    <pivotField dataField="1" showAll="0"/>
    <pivotField dataField="1" showAll="0"/>
    <pivotField axis="axisPage" multipleItemSelectionAllowed="1" showAll="0">
      <items count="4">
        <item x="2"/>
        <item h="1" x="1"/>
        <item h="1" x="0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2">
    <field x="1"/>
    <field x="3"/>
  </rowFields>
  <rowItems count="45">
    <i>
      <x v="3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04"/>
    </i>
    <i>
      <x v="5"/>
    </i>
    <i r="1">
      <x v="23"/>
    </i>
    <i>
      <x v="8"/>
    </i>
    <i r="1">
      <x v="4"/>
    </i>
    <i r="1">
      <x v="17"/>
    </i>
    <i r="1">
      <x v="101"/>
    </i>
    <i>
      <x v="9"/>
    </i>
    <i r="1">
      <x v="3"/>
    </i>
    <i>
      <x v="10"/>
    </i>
    <i r="1">
      <x v="107"/>
    </i>
    <i>
      <x v="12"/>
    </i>
    <i r="1">
      <x v="15"/>
    </i>
    <i r="1">
      <x v="24"/>
    </i>
    <i r="1">
      <x v="25"/>
    </i>
    <i>
      <x v="13"/>
    </i>
    <i r="1">
      <x v="26"/>
    </i>
    <i r="1">
      <x v="107"/>
    </i>
    <i>
      <x v="16"/>
    </i>
    <i r="1">
      <x v="103"/>
    </i>
    <i>
      <x v="17"/>
    </i>
    <i r="1">
      <x v="102"/>
    </i>
    <i>
      <x v="21"/>
    </i>
    <i r="1">
      <x v="16"/>
    </i>
    <i>
      <x v="25"/>
    </i>
    <i r="1">
      <x v="1"/>
    </i>
    <i r="1">
      <x v="2"/>
    </i>
    <i r="1">
      <x v="5"/>
    </i>
    <i r="1">
      <x v="6"/>
    </i>
    <i r="1">
      <x v="7"/>
    </i>
    <i r="1">
      <x v="8"/>
    </i>
    <i r="1">
      <x v="18"/>
    </i>
    <i r="1">
      <x v="19"/>
    </i>
    <i>
      <x v="26"/>
    </i>
    <i r="1">
      <x v="20"/>
    </i>
    <i r="1">
      <x v="21"/>
    </i>
    <i r="1">
      <x v="2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4" hier="-1"/>
    <pageField fld="19" hier="-1"/>
  </pageFields>
  <dataFields count="3">
    <dataField name="Cuenta de DÍAS VENCIDOS" fld="14" subtotal="count" baseField="0" baseItem="0"/>
    <dataField name="Suma de DÍAS ATRASADOS" fld="18" baseField="0" baseItem="0" numFmtId="43"/>
    <dataField name="Suma de USD HOMOL" fld="17" baseField="0" baseItem="0" numFmtId="43"/>
  </dataFields>
  <formats count="3">
    <format dxfId="5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4">
      <pivotArea field="1" type="button" dataOnly="0" labelOnly="1" outline="0" axis="axisRow" fieldPosition="0"/>
    </format>
    <format dxfId="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89A27-6B8C-40AC-8ECB-755CFCC6A5D3}">
  <dimension ref="A1:R49"/>
  <sheetViews>
    <sheetView showGridLines="0" tabSelected="1" topLeftCell="A22" zoomScale="90" zoomScaleNormal="90" workbookViewId="0">
      <selection activeCell="B53" sqref="B53"/>
    </sheetView>
  </sheetViews>
  <sheetFormatPr baseColWidth="10" defaultRowHeight="14.4" x14ac:dyDescent="0.3"/>
  <cols>
    <col min="1" max="1" width="36.5546875" bestFit="1" customWidth="1"/>
    <col min="2" max="2" width="22.44140625" bestFit="1" customWidth="1"/>
    <col min="3" max="3" width="10.33203125" bestFit="1" customWidth="1"/>
    <col min="4" max="6" width="11.44140625" bestFit="1" customWidth="1"/>
    <col min="7" max="7" width="9.6640625" bestFit="1" customWidth="1"/>
    <col min="8" max="9" width="10.33203125" bestFit="1" customWidth="1"/>
    <col min="10" max="15" width="11.44140625" bestFit="1" customWidth="1"/>
    <col min="16" max="16" width="11.33203125" bestFit="1" customWidth="1"/>
    <col min="17" max="17" width="9.6640625" bestFit="1" customWidth="1"/>
    <col min="18" max="18" width="12.44140625" bestFit="1" customWidth="1"/>
    <col min="19" max="19" width="10.88671875" bestFit="1" customWidth="1"/>
    <col min="20" max="20" width="12.44140625" bestFit="1" customWidth="1"/>
    <col min="21" max="24" width="10.33203125" bestFit="1" customWidth="1"/>
    <col min="25" max="26" width="9.33203125" bestFit="1" customWidth="1"/>
    <col min="27" max="41" width="10.33203125" bestFit="1" customWidth="1"/>
    <col min="42" max="42" width="10.6640625" bestFit="1" customWidth="1"/>
    <col min="43" max="46" width="9.33203125" bestFit="1" customWidth="1"/>
    <col min="47" max="52" width="10.33203125" bestFit="1" customWidth="1"/>
    <col min="53" max="54" width="9.33203125" bestFit="1" customWidth="1"/>
    <col min="55" max="56" width="10.33203125" bestFit="1" customWidth="1"/>
  </cols>
  <sheetData>
    <row r="1" spans="1:13" x14ac:dyDescent="0.3">
      <c r="A1" s="26" t="s">
        <v>448</v>
      </c>
    </row>
    <row r="2" spans="1:13" x14ac:dyDescent="0.3">
      <c r="A2" s="26"/>
    </row>
    <row r="3" spans="1:13" x14ac:dyDescent="0.3">
      <c r="A3" s="8" t="s">
        <v>3</v>
      </c>
      <c r="B3" t="s">
        <v>427</v>
      </c>
    </row>
    <row r="4" spans="1:13" x14ac:dyDescent="0.3">
      <c r="A4" s="8" t="s">
        <v>409</v>
      </c>
      <c r="B4" t="s">
        <v>413</v>
      </c>
    </row>
    <row r="6" spans="1:13" x14ac:dyDescent="0.3">
      <c r="A6" s="8" t="s">
        <v>415</v>
      </c>
      <c r="B6" s="8" t="s">
        <v>417</v>
      </c>
    </row>
    <row r="7" spans="1:13" x14ac:dyDescent="0.3">
      <c r="B7" t="s">
        <v>439</v>
      </c>
      <c r="C7" t="s">
        <v>419</v>
      </c>
      <c r="D7" t="s">
        <v>437</v>
      </c>
      <c r="E7" t="s">
        <v>435</v>
      </c>
      <c r="K7" t="s">
        <v>438</v>
      </c>
      <c r="L7" t="s">
        <v>436</v>
      </c>
      <c r="M7" t="s">
        <v>416</v>
      </c>
    </row>
    <row r="8" spans="1:13" x14ac:dyDescent="0.3">
      <c r="C8" t="s">
        <v>440</v>
      </c>
      <c r="E8" t="s">
        <v>441</v>
      </c>
      <c r="F8" t="s">
        <v>442</v>
      </c>
      <c r="G8" t="s">
        <v>443</v>
      </c>
      <c r="H8" t="s">
        <v>444</v>
      </c>
      <c r="I8" t="s">
        <v>445</v>
      </c>
      <c r="J8" t="s">
        <v>446</v>
      </c>
    </row>
    <row r="9" spans="1:13" x14ac:dyDescent="0.3">
      <c r="A9" s="8" t="s">
        <v>414</v>
      </c>
    </row>
    <row r="10" spans="1:13" x14ac:dyDescent="0.3">
      <c r="A10" s="9" t="s">
        <v>81</v>
      </c>
      <c r="B10" s="21">
        <v>-16723.010000000002</v>
      </c>
      <c r="C10" s="21"/>
      <c r="D10" s="21"/>
      <c r="E10" s="21"/>
      <c r="F10" s="23">
        <v>161480</v>
      </c>
      <c r="G10" s="21"/>
      <c r="H10" s="21"/>
      <c r="I10" s="21"/>
      <c r="J10" s="21"/>
      <c r="K10" s="21">
        <v>161480</v>
      </c>
      <c r="L10" s="21"/>
      <c r="M10" s="21">
        <v>144756.99</v>
      </c>
    </row>
    <row r="11" spans="1:13" x14ac:dyDescent="0.3">
      <c r="A11" s="9" t="s">
        <v>135</v>
      </c>
      <c r="B11" s="21">
        <v>-0.02</v>
      </c>
      <c r="C11" s="21"/>
      <c r="D11" s="21"/>
      <c r="E11" s="21"/>
      <c r="F11" s="21"/>
      <c r="G11" s="21"/>
      <c r="H11" s="21"/>
      <c r="I11" s="23">
        <v>67550</v>
      </c>
      <c r="J11" s="21"/>
      <c r="K11" s="21">
        <v>67550</v>
      </c>
      <c r="L11" s="21"/>
      <c r="M11" s="21">
        <v>67549.98</v>
      </c>
    </row>
    <row r="12" spans="1:13" x14ac:dyDescent="0.3">
      <c r="A12" s="9" t="s">
        <v>142</v>
      </c>
      <c r="B12" s="21">
        <v>-48830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>
        <v>-48830</v>
      </c>
    </row>
    <row r="13" spans="1:13" x14ac:dyDescent="0.3">
      <c r="A13" s="9" t="s">
        <v>235</v>
      </c>
      <c r="B13" s="21"/>
      <c r="C13" s="22">
        <v>147743.07</v>
      </c>
      <c r="D13" s="21">
        <v>147743.07</v>
      </c>
      <c r="E13" s="23">
        <v>177221.7</v>
      </c>
      <c r="F13" s="21"/>
      <c r="G13" s="21"/>
      <c r="H13" s="23">
        <v>175000</v>
      </c>
      <c r="I13" s="21"/>
      <c r="J13" s="21"/>
      <c r="K13" s="21">
        <v>352221.7</v>
      </c>
      <c r="L13" s="21"/>
      <c r="M13" s="21">
        <v>499964.77</v>
      </c>
    </row>
    <row r="14" spans="1:13" x14ac:dyDescent="0.3">
      <c r="A14" s="9" t="s">
        <v>242</v>
      </c>
      <c r="B14" s="21"/>
      <c r="C14" s="21"/>
      <c r="D14" s="21"/>
      <c r="E14" s="23">
        <v>669600</v>
      </c>
      <c r="F14" s="21"/>
      <c r="G14" s="21"/>
      <c r="H14" s="21"/>
      <c r="I14" s="21"/>
      <c r="J14" s="21"/>
      <c r="K14" s="21">
        <v>669600</v>
      </c>
      <c r="L14" s="21">
        <v>631800</v>
      </c>
      <c r="M14" s="21">
        <v>1301400</v>
      </c>
    </row>
    <row r="15" spans="1:13" x14ac:dyDescent="0.3">
      <c r="A15" s="9" t="s">
        <v>247</v>
      </c>
      <c r="B15" s="21">
        <v>-182760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>
        <v>-182760</v>
      </c>
    </row>
    <row r="16" spans="1:13" x14ac:dyDescent="0.3">
      <c r="A16" s="9" t="s">
        <v>265</v>
      </c>
      <c r="B16" s="21"/>
      <c r="C16" s="21"/>
      <c r="D16" s="21"/>
      <c r="E16" s="21"/>
      <c r="F16" s="23">
        <v>76700</v>
      </c>
      <c r="G16" s="21"/>
      <c r="H16" s="21"/>
      <c r="I16" s="22">
        <v>117000</v>
      </c>
      <c r="J16" s="21"/>
      <c r="K16" s="21">
        <v>193700</v>
      </c>
      <c r="L16" s="22">
        <v>36400</v>
      </c>
      <c r="M16" s="21">
        <v>230100</v>
      </c>
    </row>
    <row r="17" spans="1:13" x14ac:dyDescent="0.3">
      <c r="A17" s="9" t="s">
        <v>274</v>
      </c>
      <c r="B17" s="21">
        <v>-6488</v>
      </c>
      <c r="C17" s="21"/>
      <c r="D17" s="21"/>
      <c r="E17" s="21"/>
      <c r="F17" s="21"/>
      <c r="G17" s="21"/>
      <c r="H17" s="21"/>
      <c r="I17" s="21"/>
      <c r="J17" s="23">
        <v>76700</v>
      </c>
      <c r="K17" s="21">
        <v>76700</v>
      </c>
      <c r="L17" s="21"/>
      <c r="M17" s="21">
        <v>70212</v>
      </c>
    </row>
    <row r="18" spans="1:13" x14ac:dyDescent="0.3">
      <c r="A18" s="9" t="s">
        <v>331</v>
      </c>
      <c r="B18" s="21">
        <v>-7645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>
        <v>-7645</v>
      </c>
    </row>
    <row r="19" spans="1:13" x14ac:dyDescent="0.3">
      <c r="A19" s="9" t="s">
        <v>340</v>
      </c>
      <c r="B19" s="21">
        <v>-232905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>
        <v>-232905</v>
      </c>
    </row>
    <row r="20" spans="1:13" x14ac:dyDescent="0.3">
      <c r="A20" s="9" t="s">
        <v>358</v>
      </c>
      <c r="B20" s="21">
        <v>-43030</v>
      </c>
      <c r="C20" s="21"/>
      <c r="D20" s="21"/>
      <c r="E20" s="21"/>
      <c r="F20" s="21"/>
      <c r="G20" s="23">
        <v>70200</v>
      </c>
      <c r="H20" s="21"/>
      <c r="I20" s="21"/>
      <c r="J20" s="21"/>
      <c r="K20" s="21">
        <v>70200</v>
      </c>
      <c r="L20" s="21"/>
      <c r="M20" s="21">
        <v>27170</v>
      </c>
    </row>
    <row r="21" spans="1:13" x14ac:dyDescent="0.3">
      <c r="A21" s="9" t="s">
        <v>380</v>
      </c>
      <c r="B21" s="21"/>
      <c r="C21" s="21"/>
      <c r="D21" s="21"/>
      <c r="E21" s="23">
        <v>215840</v>
      </c>
      <c r="F21" s="23">
        <v>140160</v>
      </c>
      <c r="G21" s="21"/>
      <c r="H21" s="23">
        <v>258200</v>
      </c>
      <c r="I21" s="21"/>
      <c r="J21" s="21"/>
      <c r="K21" s="21">
        <v>614200</v>
      </c>
      <c r="L21" s="21"/>
      <c r="M21" s="21">
        <v>614200</v>
      </c>
    </row>
    <row r="22" spans="1:13" x14ac:dyDescent="0.3">
      <c r="A22" s="9" t="s">
        <v>396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>
        <v>30250</v>
      </c>
      <c r="M22" s="21">
        <v>30250</v>
      </c>
    </row>
    <row r="23" spans="1:13" x14ac:dyDescent="0.3">
      <c r="A23" s="9" t="s">
        <v>399</v>
      </c>
      <c r="B23" s="21">
        <v>-84100</v>
      </c>
      <c r="C23" s="21"/>
      <c r="D23" s="21"/>
      <c r="E23" s="21"/>
      <c r="F23" s="21"/>
      <c r="G23" s="21"/>
      <c r="H23" s="21"/>
      <c r="I23" s="23">
        <v>183600</v>
      </c>
      <c r="J23" s="21"/>
      <c r="K23" s="21">
        <v>183600</v>
      </c>
      <c r="L23" s="21">
        <v>95904</v>
      </c>
      <c r="M23" s="21">
        <v>195404</v>
      </c>
    </row>
    <row r="24" spans="1:13" x14ac:dyDescent="0.3">
      <c r="A24" s="9" t="s">
        <v>416</v>
      </c>
      <c r="B24" s="21">
        <v>-622481.03</v>
      </c>
      <c r="C24" s="21">
        <v>147743.07</v>
      </c>
      <c r="D24" s="21">
        <v>147743.07</v>
      </c>
      <c r="E24" s="21">
        <v>1062661.7</v>
      </c>
      <c r="F24" s="21">
        <v>378340</v>
      </c>
      <c r="G24" s="21">
        <v>70200</v>
      </c>
      <c r="H24" s="21">
        <v>433200</v>
      </c>
      <c r="I24" s="21">
        <v>368150</v>
      </c>
      <c r="J24" s="21">
        <v>76700</v>
      </c>
      <c r="K24" s="21">
        <v>2389251.7000000002</v>
      </c>
      <c r="L24" s="21">
        <v>794354</v>
      </c>
      <c r="M24" s="21">
        <v>2708867.74</v>
      </c>
    </row>
    <row r="27" spans="1:13" ht="15.6" x14ac:dyDescent="0.3">
      <c r="A27" s="27" t="s">
        <v>447</v>
      </c>
    </row>
    <row r="29" spans="1:13" x14ac:dyDescent="0.3">
      <c r="A29" s="8" t="s">
        <v>3</v>
      </c>
      <c r="B29" t="s">
        <v>427</v>
      </c>
    </row>
    <row r="30" spans="1:13" x14ac:dyDescent="0.3">
      <c r="A30" s="8" t="s">
        <v>409</v>
      </c>
      <c r="B30" t="s">
        <v>413</v>
      </c>
    </row>
    <row r="32" spans="1:13" x14ac:dyDescent="0.3">
      <c r="A32" s="8" t="s">
        <v>415</v>
      </c>
      <c r="B32" s="8" t="s">
        <v>417</v>
      </c>
    </row>
    <row r="33" spans="1:18" x14ac:dyDescent="0.3">
      <c r="B33" t="s">
        <v>418</v>
      </c>
      <c r="C33" t="s">
        <v>419</v>
      </c>
      <c r="G33" t="s">
        <v>437</v>
      </c>
      <c r="H33" t="s">
        <v>435</v>
      </c>
      <c r="P33" t="s">
        <v>438</v>
      </c>
      <c r="Q33" t="s">
        <v>436</v>
      </c>
      <c r="R33" t="s">
        <v>416</v>
      </c>
    </row>
    <row r="34" spans="1:18" x14ac:dyDescent="0.3">
      <c r="A34" s="8" t="s">
        <v>414</v>
      </c>
      <c r="C34" s="16">
        <v>46113</v>
      </c>
      <c r="D34" s="16">
        <v>46129</v>
      </c>
      <c r="E34" s="16">
        <v>46134</v>
      </c>
      <c r="F34" s="16">
        <v>46142</v>
      </c>
      <c r="H34" s="16">
        <v>46147</v>
      </c>
      <c r="I34" s="16">
        <v>46148</v>
      </c>
      <c r="J34" s="16">
        <v>46154</v>
      </c>
      <c r="K34" s="16">
        <v>46155</v>
      </c>
      <c r="L34" s="16">
        <v>46156</v>
      </c>
      <c r="M34" s="16">
        <v>46165</v>
      </c>
      <c r="N34" s="16">
        <v>46169</v>
      </c>
      <c r="O34" s="16">
        <v>46170</v>
      </c>
    </row>
    <row r="35" spans="1:18" x14ac:dyDescent="0.3">
      <c r="A35" s="9" t="s">
        <v>81</v>
      </c>
      <c r="B35" s="21"/>
      <c r="C35" s="21"/>
      <c r="D35" s="21"/>
      <c r="E35" s="21"/>
      <c r="F35" s="21">
        <v>-18900</v>
      </c>
      <c r="G35" s="21">
        <v>-18900</v>
      </c>
      <c r="H35" s="21">
        <v>2176.9899999999998</v>
      </c>
      <c r="I35" s="21"/>
      <c r="J35" s="21"/>
      <c r="K35" s="23">
        <v>161480</v>
      </c>
      <c r="L35" s="21"/>
      <c r="M35" s="21"/>
      <c r="N35" s="21"/>
      <c r="O35" s="21"/>
      <c r="P35" s="21">
        <v>163656.99</v>
      </c>
      <c r="Q35" s="21"/>
      <c r="R35" s="21">
        <v>144756.99</v>
      </c>
    </row>
    <row r="36" spans="1:18" x14ac:dyDescent="0.3">
      <c r="A36" s="9" t="s">
        <v>135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3">
        <v>67550</v>
      </c>
      <c r="O36" s="21"/>
      <c r="P36" s="21">
        <v>67550</v>
      </c>
      <c r="Q36" s="21"/>
      <c r="R36" s="21">
        <v>67550</v>
      </c>
    </row>
    <row r="37" spans="1:18" x14ac:dyDescent="0.3">
      <c r="A37" s="9" t="s">
        <v>142</v>
      </c>
      <c r="B37" s="21"/>
      <c r="C37" s="21"/>
      <c r="D37" s="21"/>
      <c r="E37" s="21"/>
      <c r="F37" s="21">
        <v>-48830</v>
      </c>
      <c r="G37" s="21">
        <v>-48830</v>
      </c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>
        <v>-48830</v>
      </c>
    </row>
    <row r="38" spans="1:18" x14ac:dyDescent="0.3">
      <c r="A38" s="9" t="s">
        <v>235</v>
      </c>
      <c r="B38" s="21"/>
      <c r="C38" s="21"/>
      <c r="D38" s="21"/>
      <c r="E38" s="21"/>
      <c r="F38" s="21"/>
      <c r="G38" s="21"/>
      <c r="H38" s="21"/>
      <c r="I38" s="22">
        <v>147743.07</v>
      </c>
      <c r="J38" s="23">
        <v>177221.7</v>
      </c>
      <c r="K38" s="21"/>
      <c r="L38" s="21"/>
      <c r="M38" s="23">
        <v>175000</v>
      </c>
      <c r="N38" s="21"/>
      <c r="O38" s="21"/>
      <c r="P38" s="21">
        <v>499964.77</v>
      </c>
      <c r="Q38" s="21"/>
      <c r="R38" s="21">
        <v>499964.77</v>
      </c>
    </row>
    <row r="39" spans="1:18" x14ac:dyDescent="0.3">
      <c r="A39" s="9" t="s">
        <v>242</v>
      </c>
      <c r="B39" s="21"/>
      <c r="C39" s="21"/>
      <c r="D39" s="21"/>
      <c r="E39" s="21"/>
      <c r="F39" s="21"/>
      <c r="G39" s="21"/>
      <c r="H39" s="21"/>
      <c r="I39" s="21"/>
      <c r="J39" s="23">
        <v>669600</v>
      </c>
      <c r="K39" s="21"/>
      <c r="L39" s="21"/>
      <c r="M39" s="21"/>
      <c r="N39" s="21"/>
      <c r="O39" s="21"/>
      <c r="P39" s="21">
        <v>669600</v>
      </c>
      <c r="Q39" s="21">
        <v>631800</v>
      </c>
      <c r="R39" s="21">
        <v>1301400</v>
      </c>
    </row>
    <row r="40" spans="1:18" x14ac:dyDescent="0.3">
      <c r="A40" s="9" t="s">
        <v>247</v>
      </c>
      <c r="B40" s="21">
        <v>-7410</v>
      </c>
      <c r="C40" s="21">
        <v>-37</v>
      </c>
      <c r="D40" s="21"/>
      <c r="E40" s="21"/>
      <c r="F40" s="21">
        <v>-175313</v>
      </c>
      <c r="G40" s="21">
        <v>-175350</v>
      </c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>
        <v>-182760</v>
      </c>
    </row>
    <row r="41" spans="1:18" x14ac:dyDescent="0.3">
      <c r="A41" s="9" t="s">
        <v>265</v>
      </c>
      <c r="B41" s="21"/>
      <c r="C41" s="21"/>
      <c r="D41" s="21"/>
      <c r="E41" s="21"/>
      <c r="F41" s="21"/>
      <c r="G41" s="21"/>
      <c r="H41" s="21"/>
      <c r="I41" s="21"/>
      <c r="J41" s="21"/>
      <c r="K41" s="23">
        <v>76700</v>
      </c>
      <c r="L41" s="21"/>
      <c r="M41" s="21"/>
      <c r="N41" s="22">
        <v>36400</v>
      </c>
      <c r="O41" s="21"/>
      <c r="P41" s="21">
        <v>113100</v>
      </c>
      <c r="Q41" s="22">
        <v>117000</v>
      </c>
      <c r="R41" s="21">
        <v>230100</v>
      </c>
    </row>
    <row r="42" spans="1:18" x14ac:dyDescent="0.3">
      <c r="A42" s="9" t="s">
        <v>274</v>
      </c>
      <c r="B42" s="21"/>
      <c r="C42" s="21"/>
      <c r="D42" s="21">
        <v>-6488</v>
      </c>
      <c r="E42" s="21"/>
      <c r="F42" s="21"/>
      <c r="G42" s="21">
        <v>-6488</v>
      </c>
      <c r="H42" s="21"/>
      <c r="I42" s="21"/>
      <c r="J42" s="21"/>
      <c r="K42" s="21"/>
      <c r="L42" s="21"/>
      <c r="M42" s="21"/>
      <c r="N42" s="21"/>
      <c r="O42" s="23">
        <v>76700</v>
      </c>
      <c r="P42" s="21">
        <v>76700</v>
      </c>
      <c r="Q42" s="21"/>
      <c r="R42" s="21">
        <v>70212</v>
      </c>
    </row>
    <row r="43" spans="1:18" x14ac:dyDescent="0.3">
      <c r="A43" s="9" t="s">
        <v>331</v>
      </c>
      <c r="B43" s="21"/>
      <c r="C43" s="21"/>
      <c r="D43" s="21"/>
      <c r="E43" s="21">
        <v>-7645</v>
      </c>
      <c r="F43" s="21"/>
      <c r="G43" s="21">
        <v>-7645</v>
      </c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>
        <v>-7645</v>
      </c>
    </row>
    <row r="44" spans="1:18" x14ac:dyDescent="0.3">
      <c r="A44" s="9" t="s">
        <v>340</v>
      </c>
      <c r="B44" s="21">
        <v>-33875</v>
      </c>
      <c r="C44" s="21"/>
      <c r="D44" s="21"/>
      <c r="E44" s="21"/>
      <c r="F44" s="21">
        <v>-199030</v>
      </c>
      <c r="G44" s="21">
        <v>-199030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>
        <v>-232905</v>
      </c>
    </row>
    <row r="45" spans="1:18" x14ac:dyDescent="0.3">
      <c r="A45" s="9" t="s">
        <v>358</v>
      </c>
      <c r="B45" s="21">
        <v>-13900</v>
      </c>
      <c r="C45" s="21"/>
      <c r="D45" s="21"/>
      <c r="E45" s="21"/>
      <c r="F45" s="21">
        <v>-29130</v>
      </c>
      <c r="G45" s="21">
        <v>-29130</v>
      </c>
      <c r="H45" s="21"/>
      <c r="I45" s="21"/>
      <c r="J45" s="21"/>
      <c r="K45" s="21"/>
      <c r="L45" s="23">
        <v>70200</v>
      </c>
      <c r="M45" s="21"/>
      <c r="N45" s="21"/>
      <c r="O45" s="21"/>
      <c r="P45" s="21">
        <v>70200</v>
      </c>
      <c r="Q45" s="21"/>
      <c r="R45" s="21">
        <v>27170</v>
      </c>
    </row>
    <row r="46" spans="1:18" x14ac:dyDescent="0.3">
      <c r="A46" s="9" t="s">
        <v>380</v>
      </c>
      <c r="B46" s="21"/>
      <c r="C46" s="21"/>
      <c r="D46" s="21"/>
      <c r="E46" s="21"/>
      <c r="F46" s="21"/>
      <c r="G46" s="21"/>
      <c r="H46" s="21"/>
      <c r="I46" s="21"/>
      <c r="J46" s="23">
        <v>215840</v>
      </c>
      <c r="K46" s="23">
        <v>140160</v>
      </c>
      <c r="L46" s="21"/>
      <c r="M46" s="23">
        <v>258200</v>
      </c>
      <c r="N46" s="21"/>
      <c r="O46" s="21"/>
      <c r="P46" s="21">
        <v>614200</v>
      </c>
      <c r="Q46" s="21"/>
      <c r="R46" s="21">
        <v>614200</v>
      </c>
    </row>
    <row r="47" spans="1:18" x14ac:dyDescent="0.3">
      <c r="A47" s="9" t="s">
        <v>396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>
        <v>30250</v>
      </c>
      <c r="R47" s="21">
        <v>30250</v>
      </c>
    </row>
    <row r="48" spans="1:18" x14ac:dyDescent="0.3">
      <c r="A48" s="9" t="s">
        <v>399</v>
      </c>
      <c r="B48" s="21">
        <v>-84100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3">
        <v>183600</v>
      </c>
      <c r="O48" s="21"/>
      <c r="P48" s="21">
        <v>183600</v>
      </c>
      <c r="Q48" s="21">
        <v>95904</v>
      </c>
      <c r="R48" s="21">
        <v>195404</v>
      </c>
    </row>
    <row r="49" spans="1:18" x14ac:dyDescent="0.3">
      <c r="A49" s="9" t="s">
        <v>416</v>
      </c>
      <c r="B49" s="21">
        <v>-139285</v>
      </c>
      <c r="C49" s="21">
        <v>-37</v>
      </c>
      <c r="D49" s="21">
        <v>-6488</v>
      </c>
      <c r="E49" s="21">
        <v>-7645</v>
      </c>
      <c r="F49" s="21">
        <v>-471203</v>
      </c>
      <c r="G49" s="21">
        <v>-485373</v>
      </c>
      <c r="H49" s="21">
        <v>2176.9899999999998</v>
      </c>
      <c r="I49" s="21">
        <v>147743.07</v>
      </c>
      <c r="J49" s="21">
        <v>1062661.7</v>
      </c>
      <c r="K49" s="21">
        <v>378340</v>
      </c>
      <c r="L49" s="21">
        <v>70200</v>
      </c>
      <c r="M49" s="21">
        <v>433200</v>
      </c>
      <c r="N49" s="21">
        <v>287550</v>
      </c>
      <c r="O49" s="21">
        <v>76700</v>
      </c>
      <c r="P49" s="21">
        <v>2458571.7599999998</v>
      </c>
      <c r="Q49" s="21">
        <v>874954</v>
      </c>
      <c r="R49" s="21">
        <v>2708867.76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24B9-7F06-4D62-8BCC-7AB72D41EAA2}">
  <dimension ref="A1:B60"/>
  <sheetViews>
    <sheetView workbookViewId="0">
      <selection activeCell="B6" sqref="B6:B212"/>
    </sheetView>
  </sheetViews>
  <sheetFormatPr baseColWidth="10" defaultRowHeight="14.4" x14ac:dyDescent="0.3"/>
  <cols>
    <col min="1" max="1" width="37.21875" bestFit="1" customWidth="1"/>
    <col min="2" max="2" width="18.88671875" bestFit="1" customWidth="1"/>
  </cols>
  <sheetData>
    <row r="1" spans="1:2" x14ac:dyDescent="0.3">
      <c r="A1" s="8" t="s">
        <v>4</v>
      </c>
      <c r="B1" t="s">
        <v>427</v>
      </c>
    </row>
    <row r="2" spans="1:2" x14ac:dyDescent="0.3">
      <c r="A2" s="8" t="s">
        <v>409</v>
      </c>
      <c r="B2" t="s">
        <v>413</v>
      </c>
    </row>
    <row r="3" spans="1:2" x14ac:dyDescent="0.3">
      <c r="A3" s="8" t="s">
        <v>3</v>
      </c>
      <c r="B3" t="s">
        <v>427</v>
      </c>
    </row>
    <row r="5" spans="1:2" x14ac:dyDescent="0.3">
      <c r="A5" s="8" t="s">
        <v>414</v>
      </c>
      <c r="B5" t="s">
        <v>429</v>
      </c>
    </row>
    <row r="6" spans="1:2" x14ac:dyDescent="0.3">
      <c r="A6" s="9" t="s">
        <v>81</v>
      </c>
      <c r="B6" s="18">
        <v>144756.99</v>
      </c>
    </row>
    <row r="7" spans="1:2" x14ac:dyDescent="0.3">
      <c r="A7" s="11" t="s">
        <v>82</v>
      </c>
      <c r="B7" s="18">
        <v>24860</v>
      </c>
    </row>
    <row r="8" spans="1:2" x14ac:dyDescent="0.3">
      <c r="A8" s="11" t="s">
        <v>84</v>
      </c>
      <c r="B8" s="18">
        <v>24860</v>
      </c>
    </row>
    <row r="9" spans="1:2" x14ac:dyDescent="0.3">
      <c r="A9" s="11" t="s">
        <v>86</v>
      </c>
      <c r="B9" s="18">
        <v>24860</v>
      </c>
    </row>
    <row r="10" spans="1:2" x14ac:dyDescent="0.3">
      <c r="A10" s="11" t="s">
        <v>88</v>
      </c>
      <c r="B10" s="18">
        <v>28800</v>
      </c>
    </row>
    <row r="11" spans="1:2" x14ac:dyDescent="0.3">
      <c r="A11" s="11" t="s">
        <v>90</v>
      </c>
      <c r="B11" s="18">
        <v>28800</v>
      </c>
    </row>
    <row r="12" spans="1:2" x14ac:dyDescent="0.3">
      <c r="A12" s="11" t="s">
        <v>92</v>
      </c>
      <c r="B12" s="18">
        <v>29300</v>
      </c>
    </row>
    <row r="13" spans="1:2" x14ac:dyDescent="0.3">
      <c r="A13" s="11" t="s">
        <v>428</v>
      </c>
      <c r="B13" s="18">
        <v>-18900</v>
      </c>
    </row>
    <row r="14" spans="1:2" x14ac:dyDescent="0.3">
      <c r="A14" s="11" t="s">
        <v>94</v>
      </c>
      <c r="B14" s="18">
        <v>2176.9899999999998</v>
      </c>
    </row>
    <row r="15" spans="1:2" x14ac:dyDescent="0.3">
      <c r="A15" s="9" t="s">
        <v>135</v>
      </c>
      <c r="B15" s="18">
        <v>67549.98</v>
      </c>
    </row>
    <row r="16" spans="1:2" x14ac:dyDescent="0.3">
      <c r="A16" s="11" t="s">
        <v>137</v>
      </c>
      <c r="B16" s="18">
        <v>67550</v>
      </c>
    </row>
    <row r="17" spans="1:2" x14ac:dyDescent="0.3">
      <c r="A17" s="11" t="s">
        <v>139</v>
      </c>
      <c r="B17" s="18">
        <v>-0.02</v>
      </c>
    </row>
    <row r="18" spans="1:2" x14ac:dyDescent="0.3">
      <c r="A18" s="9" t="s">
        <v>142</v>
      </c>
      <c r="B18" s="18">
        <v>-48830</v>
      </c>
    </row>
    <row r="19" spans="1:2" x14ac:dyDescent="0.3">
      <c r="A19" s="11" t="s">
        <v>143</v>
      </c>
      <c r="B19" s="18">
        <v>-48830</v>
      </c>
    </row>
    <row r="20" spans="1:2" x14ac:dyDescent="0.3">
      <c r="A20" s="9" t="s">
        <v>235</v>
      </c>
      <c r="B20" s="18">
        <v>499964.77</v>
      </c>
    </row>
    <row r="21" spans="1:2" x14ac:dyDescent="0.3">
      <c r="A21" s="11" t="s">
        <v>238</v>
      </c>
      <c r="B21" s="18">
        <v>177221.7</v>
      </c>
    </row>
    <row r="22" spans="1:2" x14ac:dyDescent="0.3">
      <c r="A22" s="11" t="s">
        <v>240</v>
      </c>
      <c r="B22" s="18">
        <v>175000</v>
      </c>
    </row>
    <row r="23" spans="1:2" x14ac:dyDescent="0.3">
      <c r="A23" s="11" t="s">
        <v>236</v>
      </c>
      <c r="B23" s="18">
        <v>147743.07</v>
      </c>
    </row>
    <row r="24" spans="1:2" x14ac:dyDescent="0.3">
      <c r="A24" s="9" t="s">
        <v>242</v>
      </c>
      <c r="B24" s="18">
        <v>1301400</v>
      </c>
    </row>
    <row r="25" spans="1:2" x14ac:dyDescent="0.3">
      <c r="A25" s="11" t="s">
        <v>243</v>
      </c>
      <c r="B25" s="18">
        <v>669600</v>
      </c>
    </row>
    <row r="26" spans="1:2" x14ac:dyDescent="0.3">
      <c r="A26" s="11" t="s">
        <v>245</v>
      </c>
      <c r="B26" s="18">
        <v>631800</v>
      </c>
    </row>
    <row r="27" spans="1:2" x14ac:dyDescent="0.3">
      <c r="A27" s="9" t="s">
        <v>247</v>
      </c>
      <c r="B27" s="18">
        <v>-182760</v>
      </c>
    </row>
    <row r="28" spans="1:2" x14ac:dyDescent="0.3">
      <c r="A28" s="11" t="s">
        <v>252</v>
      </c>
      <c r="B28" s="18">
        <v>-175313</v>
      </c>
    </row>
    <row r="29" spans="1:2" x14ac:dyDescent="0.3">
      <c r="A29" s="11" t="s">
        <v>248</v>
      </c>
      <c r="B29" s="18">
        <v>-7447</v>
      </c>
    </row>
    <row r="30" spans="1:2" x14ac:dyDescent="0.3">
      <c r="A30" s="9" t="s">
        <v>265</v>
      </c>
      <c r="B30" s="18">
        <v>230100</v>
      </c>
    </row>
    <row r="31" spans="1:2" x14ac:dyDescent="0.3">
      <c r="A31" s="11" t="s">
        <v>266</v>
      </c>
      <c r="B31" s="18">
        <v>76700</v>
      </c>
    </row>
    <row r="32" spans="1:2" x14ac:dyDescent="0.3">
      <c r="A32" s="11" t="s">
        <v>268</v>
      </c>
      <c r="B32" s="18">
        <v>36400</v>
      </c>
    </row>
    <row r="33" spans="1:2" x14ac:dyDescent="0.3">
      <c r="A33" s="11" t="s">
        <v>270</v>
      </c>
      <c r="B33" s="18">
        <v>80600</v>
      </c>
    </row>
    <row r="34" spans="1:2" x14ac:dyDescent="0.3">
      <c r="A34" s="11" t="s">
        <v>272</v>
      </c>
      <c r="B34" s="18">
        <v>36400</v>
      </c>
    </row>
    <row r="35" spans="1:2" x14ac:dyDescent="0.3">
      <c r="A35" s="9" t="s">
        <v>274</v>
      </c>
      <c r="B35" s="18">
        <v>70212</v>
      </c>
    </row>
    <row r="36" spans="1:2" x14ac:dyDescent="0.3">
      <c r="A36" s="11" t="s">
        <v>275</v>
      </c>
      <c r="B36" s="18">
        <v>76700</v>
      </c>
    </row>
    <row r="37" spans="1:2" x14ac:dyDescent="0.3">
      <c r="A37" s="11" t="s">
        <v>248</v>
      </c>
      <c r="B37" s="18">
        <v>-6488</v>
      </c>
    </row>
    <row r="38" spans="1:2" x14ac:dyDescent="0.3">
      <c r="A38" s="9" t="s">
        <v>331</v>
      </c>
      <c r="B38" s="18">
        <v>-7645</v>
      </c>
    </row>
    <row r="39" spans="1:2" x14ac:dyDescent="0.3">
      <c r="A39" s="11" t="s">
        <v>248</v>
      </c>
      <c r="B39" s="18">
        <v>-7645</v>
      </c>
    </row>
    <row r="40" spans="1:2" x14ac:dyDescent="0.3">
      <c r="A40" s="9" t="s">
        <v>340</v>
      </c>
      <c r="B40" s="18">
        <v>-232905</v>
      </c>
    </row>
    <row r="41" spans="1:2" x14ac:dyDescent="0.3">
      <c r="A41" s="11" t="s">
        <v>341</v>
      </c>
      <c r="B41" s="18">
        <v>-232905</v>
      </c>
    </row>
    <row r="42" spans="1:2" x14ac:dyDescent="0.3">
      <c r="A42" s="9" t="s">
        <v>358</v>
      </c>
      <c r="B42" s="18">
        <v>27170</v>
      </c>
    </row>
    <row r="43" spans="1:2" x14ac:dyDescent="0.3">
      <c r="A43" s="11" t="s">
        <v>361</v>
      </c>
      <c r="B43" s="18">
        <v>70200</v>
      </c>
    </row>
    <row r="44" spans="1:2" x14ac:dyDescent="0.3">
      <c r="A44" s="11" t="s">
        <v>359</v>
      </c>
      <c r="B44" s="18">
        <v>-43030</v>
      </c>
    </row>
    <row r="45" spans="1:2" x14ac:dyDescent="0.3">
      <c r="A45" s="9" t="s">
        <v>380</v>
      </c>
      <c r="B45" s="18">
        <v>614200</v>
      </c>
    </row>
    <row r="46" spans="1:2" x14ac:dyDescent="0.3">
      <c r="A46" s="11" t="s">
        <v>383</v>
      </c>
      <c r="B46" s="18">
        <v>86240</v>
      </c>
    </row>
    <row r="47" spans="1:2" x14ac:dyDescent="0.3">
      <c r="A47" s="11" t="s">
        <v>386</v>
      </c>
      <c r="B47" s="18">
        <v>129600</v>
      </c>
    </row>
    <row r="48" spans="1:2" x14ac:dyDescent="0.3">
      <c r="A48" s="11" t="s">
        <v>388</v>
      </c>
      <c r="B48" s="18">
        <v>67200</v>
      </c>
    </row>
    <row r="49" spans="1:2" x14ac:dyDescent="0.3">
      <c r="A49" s="11" t="s">
        <v>390</v>
      </c>
      <c r="B49" s="18">
        <v>72960</v>
      </c>
    </row>
    <row r="50" spans="1:2" x14ac:dyDescent="0.3">
      <c r="A50" s="11" t="s">
        <v>392</v>
      </c>
      <c r="B50" s="18">
        <v>78200</v>
      </c>
    </row>
    <row r="51" spans="1:2" x14ac:dyDescent="0.3">
      <c r="A51" s="11" t="s">
        <v>394</v>
      </c>
      <c r="B51" s="18">
        <v>180000</v>
      </c>
    </row>
    <row r="52" spans="1:2" x14ac:dyDescent="0.3">
      <c r="A52" s="9" t="s">
        <v>396</v>
      </c>
      <c r="B52" s="18">
        <v>30250</v>
      </c>
    </row>
    <row r="53" spans="1:2" x14ac:dyDescent="0.3">
      <c r="A53" s="11" t="s">
        <v>397</v>
      </c>
      <c r="B53" s="18">
        <v>30250</v>
      </c>
    </row>
    <row r="54" spans="1:2" x14ac:dyDescent="0.3">
      <c r="A54" s="9" t="s">
        <v>399</v>
      </c>
      <c r="B54" s="18">
        <v>195404</v>
      </c>
    </row>
    <row r="55" spans="1:2" x14ac:dyDescent="0.3">
      <c r="A55" s="11" t="s">
        <v>404</v>
      </c>
      <c r="B55" s="18">
        <v>45900</v>
      </c>
    </row>
    <row r="56" spans="1:2" x14ac:dyDescent="0.3">
      <c r="A56" s="11" t="s">
        <v>406</v>
      </c>
      <c r="B56" s="18">
        <v>43200</v>
      </c>
    </row>
    <row r="57" spans="1:2" x14ac:dyDescent="0.3">
      <c r="A57" s="11" t="s">
        <v>402</v>
      </c>
      <c r="B57" s="18">
        <v>94500</v>
      </c>
    </row>
    <row r="58" spans="1:2" x14ac:dyDescent="0.3">
      <c r="A58" s="11" t="s">
        <v>408</v>
      </c>
      <c r="B58" s="18">
        <v>95904</v>
      </c>
    </row>
    <row r="59" spans="1:2" x14ac:dyDescent="0.3">
      <c r="A59" s="11" t="s">
        <v>400</v>
      </c>
      <c r="B59" s="18">
        <v>-84100</v>
      </c>
    </row>
    <row r="60" spans="1:2" x14ac:dyDescent="0.3">
      <c r="A60" s="9" t="s">
        <v>416</v>
      </c>
      <c r="B60" s="18">
        <v>2708867.74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EFD7A-5547-43E1-AA75-F6C8FD24C3AA}">
  <dimension ref="A1:I49"/>
  <sheetViews>
    <sheetView workbookViewId="0">
      <selection activeCell="G5" sqref="G5"/>
    </sheetView>
  </sheetViews>
  <sheetFormatPr baseColWidth="10" defaultRowHeight="14.4" x14ac:dyDescent="0.3"/>
  <cols>
    <col min="1" max="1" width="37.21875" customWidth="1"/>
    <col min="2" max="2" width="23.109375" customWidth="1"/>
    <col min="3" max="3" width="23.21875" customWidth="1"/>
    <col min="4" max="4" width="18.88671875" customWidth="1"/>
    <col min="5" max="5" width="3.44140625" customWidth="1"/>
    <col min="6" max="6" width="19.5546875" bestFit="1" customWidth="1"/>
    <col min="7" max="7" width="18.33203125" bestFit="1" customWidth="1"/>
    <col min="8" max="8" width="11.109375" bestFit="1" customWidth="1"/>
    <col min="9" max="9" width="11.44140625" bestFit="1" customWidth="1"/>
  </cols>
  <sheetData>
    <row r="1" spans="1:9" x14ac:dyDescent="0.3">
      <c r="A1" s="8" t="s">
        <v>3</v>
      </c>
      <c r="B1" t="s">
        <v>434</v>
      </c>
      <c r="F1" s="8" t="s">
        <v>3</v>
      </c>
      <c r="G1" t="s">
        <v>434</v>
      </c>
    </row>
    <row r="2" spans="1:9" x14ac:dyDescent="0.3">
      <c r="A2" s="8" t="s">
        <v>426</v>
      </c>
      <c r="B2" t="s">
        <v>430</v>
      </c>
      <c r="F2" s="8" t="s">
        <v>426</v>
      </c>
      <c r="G2" t="s">
        <v>431</v>
      </c>
    </row>
    <row r="4" spans="1:9" ht="43.2" x14ac:dyDescent="0.3">
      <c r="A4" s="20" t="s">
        <v>414</v>
      </c>
      <c r="B4" s="12" t="s">
        <v>432</v>
      </c>
      <c r="C4" s="12" t="s">
        <v>433</v>
      </c>
      <c r="D4" s="12" t="s">
        <v>429</v>
      </c>
      <c r="F4" s="20" t="s">
        <v>414</v>
      </c>
      <c r="G4" s="12" t="s">
        <v>432</v>
      </c>
      <c r="H4" s="12" t="s">
        <v>433</v>
      </c>
      <c r="I4" s="12" t="s">
        <v>429</v>
      </c>
    </row>
    <row r="5" spans="1:9" x14ac:dyDescent="0.3">
      <c r="A5" s="9" t="s">
        <v>81</v>
      </c>
      <c r="B5">
        <v>7</v>
      </c>
      <c r="C5" s="18">
        <v>211</v>
      </c>
      <c r="D5" s="18">
        <v>163656.99</v>
      </c>
      <c r="F5" s="9" t="s">
        <v>46</v>
      </c>
      <c r="H5" s="18">
        <v>58</v>
      </c>
      <c r="I5" s="18">
        <v>456300</v>
      </c>
    </row>
    <row r="6" spans="1:9" x14ac:dyDescent="0.3">
      <c r="A6" s="11" t="s">
        <v>82</v>
      </c>
      <c r="B6">
        <v>1</v>
      </c>
      <c r="C6" s="18">
        <v>29</v>
      </c>
      <c r="D6" s="18">
        <v>24860</v>
      </c>
      <c r="F6" s="11" t="s">
        <v>47</v>
      </c>
      <c r="H6" s="18">
        <v>58</v>
      </c>
      <c r="I6" s="18">
        <v>456300</v>
      </c>
    </row>
    <row r="7" spans="1:9" x14ac:dyDescent="0.3">
      <c r="A7" s="11" t="s">
        <v>84</v>
      </c>
      <c r="B7">
        <v>1</v>
      </c>
      <c r="C7" s="18">
        <v>29</v>
      </c>
      <c r="D7" s="18">
        <v>24860</v>
      </c>
      <c r="F7" s="9" t="s">
        <v>416</v>
      </c>
      <c r="H7" s="18">
        <v>58</v>
      </c>
      <c r="I7" s="18">
        <v>456300</v>
      </c>
    </row>
    <row r="8" spans="1:9" x14ac:dyDescent="0.3">
      <c r="A8" s="11" t="s">
        <v>86</v>
      </c>
      <c r="B8">
        <v>1</v>
      </c>
      <c r="C8" s="18">
        <v>29</v>
      </c>
      <c r="D8" s="18">
        <v>24860</v>
      </c>
    </row>
    <row r="9" spans="1:9" x14ac:dyDescent="0.3">
      <c r="A9" s="11" t="s">
        <v>88</v>
      </c>
      <c r="B9">
        <v>1</v>
      </c>
      <c r="C9" s="18">
        <v>29</v>
      </c>
      <c r="D9" s="18">
        <v>28800</v>
      </c>
    </row>
    <row r="10" spans="1:9" x14ac:dyDescent="0.3">
      <c r="A10" s="11" t="s">
        <v>90</v>
      </c>
      <c r="B10">
        <v>1</v>
      </c>
      <c r="C10" s="18">
        <v>29</v>
      </c>
      <c r="D10" s="18">
        <v>28800</v>
      </c>
    </row>
    <row r="11" spans="1:9" x14ac:dyDescent="0.3">
      <c r="A11" s="11" t="s">
        <v>92</v>
      </c>
      <c r="B11">
        <v>1</v>
      </c>
      <c r="C11" s="18">
        <v>29</v>
      </c>
      <c r="D11" s="18">
        <v>29300</v>
      </c>
    </row>
    <row r="12" spans="1:9" x14ac:dyDescent="0.3">
      <c r="A12" s="11" t="s">
        <v>94</v>
      </c>
      <c r="B12">
        <v>1</v>
      </c>
      <c r="C12" s="18">
        <v>37</v>
      </c>
      <c r="D12" s="18">
        <v>2176.9899999999998</v>
      </c>
    </row>
    <row r="13" spans="1:9" x14ac:dyDescent="0.3">
      <c r="A13" s="9" t="s">
        <v>135</v>
      </c>
      <c r="C13" s="18">
        <v>15</v>
      </c>
      <c r="D13" s="18">
        <v>67550</v>
      </c>
    </row>
    <row r="14" spans="1:9" x14ac:dyDescent="0.3">
      <c r="A14" s="11" t="s">
        <v>137</v>
      </c>
      <c r="C14" s="18">
        <v>15</v>
      </c>
      <c r="D14" s="18">
        <v>67550</v>
      </c>
    </row>
    <row r="15" spans="1:9" x14ac:dyDescent="0.3">
      <c r="A15" s="9" t="s">
        <v>235</v>
      </c>
      <c r="B15">
        <v>3</v>
      </c>
      <c r="C15" s="18">
        <v>92</v>
      </c>
      <c r="D15" s="18">
        <v>499964.77</v>
      </c>
    </row>
    <row r="16" spans="1:9" x14ac:dyDescent="0.3">
      <c r="A16" s="11" t="s">
        <v>238</v>
      </c>
      <c r="B16">
        <v>1</v>
      </c>
      <c r="C16" s="18">
        <v>30</v>
      </c>
      <c r="D16" s="18">
        <v>177221.7</v>
      </c>
    </row>
    <row r="17" spans="1:4" x14ac:dyDescent="0.3">
      <c r="A17" s="11" t="s">
        <v>240</v>
      </c>
      <c r="B17">
        <v>1</v>
      </c>
      <c r="C17" s="18">
        <v>19</v>
      </c>
      <c r="D17" s="18">
        <v>175000</v>
      </c>
    </row>
    <row r="18" spans="1:4" x14ac:dyDescent="0.3">
      <c r="A18" s="11" t="s">
        <v>236</v>
      </c>
      <c r="B18">
        <v>1</v>
      </c>
      <c r="C18" s="18">
        <v>43</v>
      </c>
      <c r="D18" s="18">
        <v>147743.07</v>
      </c>
    </row>
    <row r="19" spans="1:4" x14ac:dyDescent="0.3">
      <c r="A19" s="9" t="s">
        <v>242</v>
      </c>
      <c r="B19">
        <v>1</v>
      </c>
      <c r="C19" s="18">
        <v>30</v>
      </c>
      <c r="D19" s="18">
        <v>669600</v>
      </c>
    </row>
    <row r="20" spans="1:4" x14ac:dyDescent="0.3">
      <c r="A20" s="11" t="s">
        <v>243</v>
      </c>
      <c r="B20">
        <v>1</v>
      </c>
      <c r="C20" s="18">
        <v>30</v>
      </c>
      <c r="D20" s="18">
        <v>669600</v>
      </c>
    </row>
    <row r="21" spans="1:4" x14ac:dyDescent="0.3">
      <c r="A21" s="9" t="s">
        <v>247</v>
      </c>
      <c r="C21" s="18">
        <v>67</v>
      </c>
      <c r="D21" s="18">
        <v>-7447</v>
      </c>
    </row>
    <row r="22" spans="1:4" x14ac:dyDescent="0.3">
      <c r="A22" s="11" t="s">
        <v>248</v>
      </c>
      <c r="C22" s="18">
        <v>67</v>
      </c>
      <c r="D22" s="18">
        <v>-7447</v>
      </c>
    </row>
    <row r="23" spans="1:4" x14ac:dyDescent="0.3">
      <c r="A23" s="9" t="s">
        <v>265</v>
      </c>
      <c r="B23">
        <v>1</v>
      </c>
      <c r="C23" s="18">
        <v>59</v>
      </c>
      <c r="D23" s="18">
        <v>193700</v>
      </c>
    </row>
    <row r="24" spans="1:4" x14ac:dyDescent="0.3">
      <c r="A24" s="11" t="s">
        <v>266</v>
      </c>
      <c r="B24">
        <v>1</v>
      </c>
      <c r="C24" s="18">
        <v>29</v>
      </c>
      <c r="D24" s="18">
        <v>76700</v>
      </c>
    </row>
    <row r="25" spans="1:4" x14ac:dyDescent="0.3">
      <c r="A25" s="11" t="s">
        <v>268</v>
      </c>
      <c r="C25" s="18">
        <v>15</v>
      </c>
      <c r="D25" s="18">
        <v>36400</v>
      </c>
    </row>
    <row r="26" spans="1:4" x14ac:dyDescent="0.3">
      <c r="A26" s="11" t="s">
        <v>270</v>
      </c>
      <c r="C26" s="18">
        <v>15</v>
      </c>
      <c r="D26" s="18">
        <v>80600</v>
      </c>
    </row>
    <row r="27" spans="1:4" x14ac:dyDescent="0.3">
      <c r="A27" s="9" t="s">
        <v>274</v>
      </c>
      <c r="C27" s="18">
        <v>21</v>
      </c>
      <c r="D27" s="18">
        <v>70212</v>
      </c>
    </row>
    <row r="28" spans="1:4" x14ac:dyDescent="0.3">
      <c r="A28" s="11" t="s">
        <v>275</v>
      </c>
      <c r="C28" s="18">
        <v>14</v>
      </c>
      <c r="D28" s="18">
        <v>76700</v>
      </c>
    </row>
    <row r="29" spans="1:4" x14ac:dyDescent="0.3">
      <c r="A29" s="11" t="s">
        <v>248</v>
      </c>
      <c r="C29" s="18">
        <v>7</v>
      </c>
      <c r="D29" s="18">
        <v>-6488</v>
      </c>
    </row>
    <row r="30" spans="1:4" x14ac:dyDescent="0.3">
      <c r="A30" s="9" t="s">
        <v>328</v>
      </c>
      <c r="B30">
        <v>1</v>
      </c>
      <c r="C30" s="18">
        <v>40</v>
      </c>
      <c r="D30" s="18">
        <v>125360</v>
      </c>
    </row>
    <row r="31" spans="1:4" x14ac:dyDescent="0.3">
      <c r="A31" s="11" t="s">
        <v>329</v>
      </c>
      <c r="B31">
        <v>1</v>
      </c>
      <c r="C31" s="18">
        <v>40</v>
      </c>
      <c r="D31" s="18">
        <v>125360</v>
      </c>
    </row>
    <row r="32" spans="1:4" x14ac:dyDescent="0.3">
      <c r="A32" s="9" t="s">
        <v>331</v>
      </c>
      <c r="B32">
        <v>1</v>
      </c>
      <c r="C32" s="18">
        <v>40</v>
      </c>
      <c r="D32" s="18">
        <v>31275</v>
      </c>
    </row>
    <row r="33" spans="1:4" x14ac:dyDescent="0.3">
      <c r="A33" s="11" t="s">
        <v>332</v>
      </c>
      <c r="B33">
        <v>1</v>
      </c>
      <c r="C33" s="18">
        <v>40</v>
      </c>
      <c r="D33" s="18">
        <v>31275</v>
      </c>
    </row>
    <row r="34" spans="1:4" x14ac:dyDescent="0.3">
      <c r="A34" s="9" t="s">
        <v>358</v>
      </c>
      <c r="B34">
        <v>1</v>
      </c>
      <c r="C34" s="18">
        <v>28</v>
      </c>
      <c r="D34" s="18">
        <v>70200</v>
      </c>
    </row>
    <row r="35" spans="1:4" x14ac:dyDescent="0.3">
      <c r="A35" s="11" t="s">
        <v>361</v>
      </c>
      <c r="B35">
        <v>1</v>
      </c>
      <c r="C35" s="18">
        <v>28</v>
      </c>
      <c r="D35" s="18">
        <v>70200</v>
      </c>
    </row>
    <row r="36" spans="1:4" x14ac:dyDescent="0.3">
      <c r="A36" s="9" t="s">
        <v>380</v>
      </c>
      <c r="B36">
        <v>6</v>
      </c>
      <c r="C36" s="18">
        <v>216</v>
      </c>
      <c r="D36" s="18">
        <v>748600</v>
      </c>
    </row>
    <row r="37" spans="1:4" x14ac:dyDescent="0.3">
      <c r="A37" s="11" t="s">
        <v>381</v>
      </c>
      <c r="B37">
        <v>1</v>
      </c>
      <c r="C37" s="18">
        <v>30</v>
      </c>
      <c r="D37" s="18">
        <v>76800</v>
      </c>
    </row>
    <row r="38" spans="1:4" x14ac:dyDescent="0.3">
      <c r="A38" s="11" t="s">
        <v>383</v>
      </c>
      <c r="B38">
        <v>1</v>
      </c>
      <c r="C38" s="18">
        <v>30</v>
      </c>
      <c r="D38" s="18">
        <v>86240</v>
      </c>
    </row>
    <row r="39" spans="1:4" x14ac:dyDescent="0.3">
      <c r="A39" s="11" t="s">
        <v>384</v>
      </c>
      <c r="B39">
        <v>1</v>
      </c>
      <c r="C39" s="18">
        <v>30</v>
      </c>
      <c r="D39" s="18">
        <v>57600</v>
      </c>
    </row>
    <row r="40" spans="1:4" x14ac:dyDescent="0.3">
      <c r="A40" s="11" t="s">
        <v>386</v>
      </c>
      <c r="B40">
        <v>1</v>
      </c>
      <c r="C40" s="18">
        <v>30</v>
      </c>
      <c r="D40" s="18">
        <v>129600</v>
      </c>
    </row>
    <row r="41" spans="1:4" x14ac:dyDescent="0.3">
      <c r="A41" s="11" t="s">
        <v>388</v>
      </c>
      <c r="B41">
        <v>1</v>
      </c>
      <c r="C41" s="18">
        <v>29</v>
      </c>
      <c r="D41" s="18">
        <v>67200</v>
      </c>
    </row>
    <row r="42" spans="1:4" x14ac:dyDescent="0.3">
      <c r="A42" s="11" t="s">
        <v>390</v>
      </c>
      <c r="B42">
        <v>1</v>
      </c>
      <c r="C42" s="18">
        <v>29</v>
      </c>
      <c r="D42" s="18">
        <v>72960</v>
      </c>
    </row>
    <row r="43" spans="1:4" x14ac:dyDescent="0.3">
      <c r="A43" s="11" t="s">
        <v>392</v>
      </c>
      <c r="C43" s="18">
        <v>19</v>
      </c>
      <c r="D43" s="18">
        <v>78200</v>
      </c>
    </row>
    <row r="44" spans="1:4" x14ac:dyDescent="0.3">
      <c r="A44" s="11" t="s">
        <v>394</v>
      </c>
      <c r="C44" s="18">
        <v>19</v>
      </c>
      <c r="D44" s="18">
        <v>180000</v>
      </c>
    </row>
    <row r="45" spans="1:4" x14ac:dyDescent="0.3">
      <c r="A45" s="9" t="s">
        <v>399</v>
      </c>
      <c r="C45" s="18">
        <v>45</v>
      </c>
      <c r="D45" s="18">
        <v>183600</v>
      </c>
    </row>
    <row r="46" spans="1:4" x14ac:dyDescent="0.3">
      <c r="A46" s="11" t="s">
        <v>404</v>
      </c>
      <c r="C46" s="18">
        <v>15</v>
      </c>
      <c r="D46" s="18">
        <v>45900</v>
      </c>
    </row>
    <row r="47" spans="1:4" x14ac:dyDescent="0.3">
      <c r="A47" s="11" t="s">
        <v>406</v>
      </c>
      <c r="C47" s="18">
        <v>15</v>
      </c>
      <c r="D47" s="18">
        <v>43200</v>
      </c>
    </row>
    <row r="48" spans="1:4" x14ac:dyDescent="0.3">
      <c r="A48" s="11" t="s">
        <v>402</v>
      </c>
      <c r="C48" s="18">
        <v>15</v>
      </c>
      <c r="D48" s="18">
        <v>94500</v>
      </c>
    </row>
    <row r="49" spans="1:4" x14ac:dyDescent="0.3">
      <c r="A49" s="9" t="s">
        <v>416</v>
      </c>
      <c r="B49">
        <v>21</v>
      </c>
      <c r="C49" s="18">
        <v>864</v>
      </c>
      <c r="D49" s="18">
        <v>2816271.76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183"/>
  <sheetViews>
    <sheetView topLeftCell="B1" workbookViewId="0">
      <pane ySplit="1" topLeftCell="A38" activePane="bottomLeft" state="frozen"/>
      <selection pane="bottomLeft" activeCell="H39" sqref="H39:H162"/>
    </sheetView>
  </sheetViews>
  <sheetFormatPr baseColWidth="10" defaultColWidth="8.88671875" defaultRowHeight="14.4" outlineLevelRow="1" x14ac:dyDescent="0.3"/>
  <cols>
    <col min="1" max="1" width="11" bestFit="1" customWidth="1"/>
    <col min="2" max="2" width="36" bestFit="1" customWidth="1"/>
    <col min="3" max="3" width="17" bestFit="1" customWidth="1"/>
    <col min="4" max="4" width="19" bestFit="1" customWidth="1"/>
    <col min="5" max="5" width="19" customWidth="1"/>
    <col min="6" max="6" width="29" customWidth="1"/>
    <col min="7" max="7" width="14" customWidth="1"/>
    <col min="8" max="8" width="23" customWidth="1"/>
    <col min="9" max="9" width="21" customWidth="1"/>
    <col min="10" max="10" width="25" customWidth="1"/>
    <col min="11" max="11" width="10.33203125" bestFit="1" customWidth="1"/>
    <col min="12" max="12" width="9.6640625" customWidth="1"/>
    <col min="13" max="13" width="11.88671875" customWidth="1"/>
    <col min="14" max="14" width="12.77734375" bestFit="1" customWidth="1"/>
    <col min="15" max="15" width="12.21875" bestFit="1" customWidth="1"/>
    <col min="16" max="16" width="12.6640625" customWidth="1"/>
    <col min="17" max="17" width="12.6640625" bestFit="1" customWidth="1"/>
  </cols>
  <sheetData>
    <row r="1" spans="1:17" ht="52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409</v>
      </c>
      <c r="K1" s="24" t="s">
        <v>420</v>
      </c>
      <c r="L1" s="25" t="s">
        <v>421</v>
      </c>
      <c r="M1" s="24" t="s">
        <v>422</v>
      </c>
      <c r="N1" s="13" t="s">
        <v>423</v>
      </c>
      <c r="O1" s="13" t="s">
        <v>424</v>
      </c>
      <c r="P1" s="14" t="s">
        <v>425</v>
      </c>
      <c r="Q1" s="15" t="s">
        <v>426</v>
      </c>
    </row>
    <row r="2" spans="1:17" hidden="1" outlineLevel="1" x14ac:dyDescent="0.3">
      <c r="A2" s="2" t="s">
        <v>9</v>
      </c>
      <c r="B2" s="2" t="s">
        <v>10</v>
      </c>
      <c r="C2" s="2" t="s">
        <v>11</v>
      </c>
      <c r="D2" s="2" t="s">
        <v>12</v>
      </c>
      <c r="E2" s="3">
        <v>45980</v>
      </c>
      <c r="F2" s="4">
        <v>152</v>
      </c>
      <c r="G2" s="3">
        <v>45987</v>
      </c>
      <c r="H2" s="5">
        <v>42.48</v>
      </c>
      <c r="I2" s="2" t="s">
        <v>13</v>
      </c>
      <c r="J2" s="2" t="s">
        <v>410</v>
      </c>
      <c r="N2" s="16">
        <f>G2</f>
        <v>45987</v>
      </c>
      <c r="O2" s="17">
        <f>H2/3.478</f>
        <v>12.213916043703277</v>
      </c>
    </row>
    <row r="3" spans="1:17" hidden="1" outlineLevel="1" x14ac:dyDescent="0.3">
      <c r="A3" s="2" t="s">
        <v>9</v>
      </c>
      <c r="B3" s="2" t="s">
        <v>14</v>
      </c>
      <c r="C3" s="2" t="s">
        <v>15</v>
      </c>
      <c r="D3" s="2" t="s">
        <v>12</v>
      </c>
      <c r="E3" s="3">
        <v>45980</v>
      </c>
      <c r="F3" s="4">
        <v>152</v>
      </c>
      <c r="G3" s="3">
        <v>45987</v>
      </c>
      <c r="H3" s="5">
        <v>14.16</v>
      </c>
      <c r="I3" s="2" t="s">
        <v>13</v>
      </c>
      <c r="J3" s="2" t="s">
        <v>410</v>
      </c>
      <c r="N3" s="16">
        <f t="shared" ref="N3:N18" si="0">G3</f>
        <v>45987</v>
      </c>
      <c r="O3" s="17">
        <f t="shared" ref="O3:O18" si="1">H3/3.478</f>
        <v>4.0713053479010926</v>
      </c>
    </row>
    <row r="4" spans="1:17" hidden="1" outlineLevel="1" x14ac:dyDescent="0.3">
      <c r="A4" s="2" t="s">
        <v>9</v>
      </c>
      <c r="B4" s="2" t="s">
        <v>16</v>
      </c>
      <c r="C4" s="2" t="s">
        <v>17</v>
      </c>
      <c r="D4" s="2" t="s">
        <v>12</v>
      </c>
      <c r="E4" s="3">
        <v>45980</v>
      </c>
      <c r="F4" s="4">
        <v>152</v>
      </c>
      <c r="G4" s="3">
        <v>45987</v>
      </c>
      <c r="H4" s="5">
        <v>14.16</v>
      </c>
      <c r="I4" s="2" t="s">
        <v>13</v>
      </c>
      <c r="J4" s="2" t="s">
        <v>410</v>
      </c>
      <c r="N4" s="16">
        <f t="shared" si="0"/>
        <v>45987</v>
      </c>
      <c r="O4" s="17">
        <f t="shared" si="1"/>
        <v>4.0713053479010926</v>
      </c>
    </row>
    <row r="5" spans="1:17" hidden="1" outlineLevel="1" x14ac:dyDescent="0.3">
      <c r="A5" s="2" t="s">
        <v>9</v>
      </c>
      <c r="B5" s="2" t="s">
        <v>18</v>
      </c>
      <c r="C5" s="2" t="s">
        <v>19</v>
      </c>
      <c r="D5" s="2" t="s">
        <v>12</v>
      </c>
      <c r="E5" s="3">
        <v>45981</v>
      </c>
      <c r="F5" s="4">
        <v>151</v>
      </c>
      <c r="G5" s="3">
        <v>45988</v>
      </c>
      <c r="H5" s="5">
        <v>28.32</v>
      </c>
      <c r="I5" s="2" t="s">
        <v>13</v>
      </c>
      <c r="J5" s="2" t="s">
        <v>410</v>
      </c>
      <c r="N5" s="16">
        <f t="shared" si="0"/>
        <v>45988</v>
      </c>
      <c r="O5" s="17">
        <f t="shared" si="1"/>
        <v>8.1426106958021851</v>
      </c>
    </row>
    <row r="6" spans="1:17" hidden="1" outlineLevel="1" x14ac:dyDescent="0.3">
      <c r="A6" s="2" t="s">
        <v>9</v>
      </c>
      <c r="B6" s="2" t="s">
        <v>20</v>
      </c>
      <c r="C6" s="2" t="s">
        <v>21</v>
      </c>
      <c r="D6" s="2" t="s">
        <v>12</v>
      </c>
      <c r="E6" s="3">
        <v>45981</v>
      </c>
      <c r="F6" s="4">
        <v>151</v>
      </c>
      <c r="G6" s="3">
        <v>45988</v>
      </c>
      <c r="H6" s="5">
        <v>14.16</v>
      </c>
      <c r="I6" s="2" t="s">
        <v>13</v>
      </c>
      <c r="J6" s="2" t="s">
        <v>410</v>
      </c>
      <c r="N6" s="16">
        <f t="shared" si="0"/>
        <v>45988</v>
      </c>
      <c r="O6" s="17">
        <f t="shared" si="1"/>
        <v>4.0713053479010926</v>
      </c>
    </row>
    <row r="7" spans="1:17" hidden="1" outlineLevel="1" x14ac:dyDescent="0.3">
      <c r="A7" s="2" t="s">
        <v>9</v>
      </c>
      <c r="B7" s="2" t="s">
        <v>22</v>
      </c>
      <c r="C7" s="2" t="s">
        <v>23</v>
      </c>
      <c r="D7" s="2" t="s">
        <v>12</v>
      </c>
      <c r="E7" s="3">
        <v>45982</v>
      </c>
      <c r="F7" s="4">
        <v>150</v>
      </c>
      <c r="G7" s="3">
        <v>45989</v>
      </c>
      <c r="H7" s="5">
        <v>28.32</v>
      </c>
      <c r="I7" s="2" t="s">
        <v>13</v>
      </c>
      <c r="J7" s="2" t="s">
        <v>410</v>
      </c>
      <c r="N7" s="16">
        <f t="shared" si="0"/>
        <v>45989</v>
      </c>
      <c r="O7" s="17">
        <f t="shared" si="1"/>
        <v>8.1426106958021851</v>
      </c>
    </row>
    <row r="8" spans="1:17" hidden="1" outlineLevel="1" x14ac:dyDescent="0.3">
      <c r="A8" s="2" t="s">
        <v>9</v>
      </c>
      <c r="B8" s="2" t="s">
        <v>24</v>
      </c>
      <c r="C8" s="2" t="s">
        <v>25</v>
      </c>
      <c r="D8" s="2" t="s">
        <v>12</v>
      </c>
      <c r="E8" s="3">
        <v>45982</v>
      </c>
      <c r="F8" s="4">
        <v>150</v>
      </c>
      <c r="G8" s="3">
        <v>45989</v>
      </c>
      <c r="H8" s="5">
        <v>42.48</v>
      </c>
      <c r="I8" s="2" t="s">
        <v>13</v>
      </c>
      <c r="J8" s="2" t="s">
        <v>410</v>
      </c>
      <c r="N8" s="16">
        <f t="shared" si="0"/>
        <v>45989</v>
      </c>
      <c r="O8" s="17">
        <f t="shared" si="1"/>
        <v>12.213916043703277</v>
      </c>
    </row>
    <row r="9" spans="1:17" hidden="1" outlineLevel="1" x14ac:dyDescent="0.3">
      <c r="A9" s="2" t="s">
        <v>9</v>
      </c>
      <c r="B9" s="2" t="s">
        <v>26</v>
      </c>
      <c r="C9" s="2" t="s">
        <v>27</v>
      </c>
      <c r="D9" s="2" t="s">
        <v>12</v>
      </c>
      <c r="E9" s="3">
        <v>45982</v>
      </c>
      <c r="F9" s="4">
        <v>150</v>
      </c>
      <c r="G9" s="3">
        <v>45989</v>
      </c>
      <c r="H9" s="5">
        <v>42.48</v>
      </c>
      <c r="I9" s="2" t="s">
        <v>13</v>
      </c>
      <c r="J9" s="2" t="s">
        <v>410</v>
      </c>
      <c r="N9" s="16">
        <f t="shared" si="0"/>
        <v>45989</v>
      </c>
      <c r="O9" s="17">
        <f t="shared" si="1"/>
        <v>12.213916043703277</v>
      </c>
    </row>
    <row r="10" spans="1:17" hidden="1" outlineLevel="1" x14ac:dyDescent="0.3">
      <c r="A10" s="2" t="s">
        <v>9</v>
      </c>
      <c r="B10" s="2" t="s">
        <v>28</v>
      </c>
      <c r="C10" s="2" t="s">
        <v>29</v>
      </c>
      <c r="D10" s="2" t="s">
        <v>12</v>
      </c>
      <c r="E10" s="3">
        <v>45982</v>
      </c>
      <c r="F10" s="4">
        <v>150</v>
      </c>
      <c r="G10" s="3">
        <v>45989</v>
      </c>
      <c r="H10" s="5">
        <v>14.16</v>
      </c>
      <c r="I10" s="2" t="s">
        <v>13</v>
      </c>
      <c r="J10" s="2" t="s">
        <v>410</v>
      </c>
      <c r="N10" s="16">
        <f t="shared" si="0"/>
        <v>45989</v>
      </c>
      <c r="O10" s="17">
        <f t="shared" si="1"/>
        <v>4.0713053479010926</v>
      </c>
    </row>
    <row r="11" spans="1:17" hidden="1" outlineLevel="1" x14ac:dyDescent="0.3">
      <c r="A11" s="2" t="s">
        <v>9</v>
      </c>
      <c r="B11" s="2" t="s">
        <v>30</v>
      </c>
      <c r="C11" s="2" t="s">
        <v>31</v>
      </c>
      <c r="D11" s="2" t="s">
        <v>12</v>
      </c>
      <c r="E11" s="3">
        <v>45983</v>
      </c>
      <c r="F11" s="4">
        <v>149</v>
      </c>
      <c r="G11" s="3">
        <v>45990</v>
      </c>
      <c r="H11" s="5">
        <v>28.32</v>
      </c>
      <c r="I11" s="2" t="s">
        <v>13</v>
      </c>
      <c r="J11" s="2" t="s">
        <v>410</v>
      </c>
      <c r="N11" s="16">
        <f t="shared" si="0"/>
        <v>45990</v>
      </c>
      <c r="O11" s="17">
        <f t="shared" si="1"/>
        <v>8.1426106958021851</v>
      </c>
    </row>
    <row r="12" spans="1:17" hidden="1" outlineLevel="1" x14ac:dyDescent="0.3">
      <c r="A12" s="2" t="s">
        <v>9</v>
      </c>
      <c r="B12" s="2" t="s">
        <v>32</v>
      </c>
      <c r="C12" s="2" t="s">
        <v>33</v>
      </c>
      <c r="D12" s="2" t="s">
        <v>12</v>
      </c>
      <c r="E12" s="3">
        <v>45988</v>
      </c>
      <c r="F12" s="4">
        <v>144</v>
      </c>
      <c r="G12" s="3">
        <v>45995</v>
      </c>
      <c r="H12" s="5">
        <v>14.16</v>
      </c>
      <c r="I12" s="2" t="s">
        <v>13</v>
      </c>
      <c r="J12" s="2" t="s">
        <v>410</v>
      </c>
      <c r="N12" s="16">
        <f t="shared" si="0"/>
        <v>45995</v>
      </c>
      <c r="O12" s="17">
        <f t="shared" si="1"/>
        <v>4.0713053479010926</v>
      </c>
    </row>
    <row r="13" spans="1:17" hidden="1" outlineLevel="1" x14ac:dyDescent="0.3">
      <c r="A13" s="2" t="s">
        <v>9</v>
      </c>
      <c r="B13" s="2" t="s">
        <v>34</v>
      </c>
      <c r="C13" s="2" t="s">
        <v>35</v>
      </c>
      <c r="D13" s="2" t="s">
        <v>12</v>
      </c>
      <c r="E13" s="3">
        <v>46028</v>
      </c>
      <c r="F13" s="4">
        <v>104</v>
      </c>
      <c r="G13" s="3">
        <v>46035</v>
      </c>
      <c r="H13" s="5">
        <v>14.16</v>
      </c>
      <c r="I13" s="2" t="s">
        <v>13</v>
      </c>
      <c r="J13" s="2" t="s">
        <v>410</v>
      </c>
      <c r="N13" s="16">
        <f t="shared" si="0"/>
        <v>46035</v>
      </c>
      <c r="O13" s="17">
        <f t="shared" si="1"/>
        <v>4.0713053479010926</v>
      </c>
    </row>
    <row r="14" spans="1:17" hidden="1" outlineLevel="1" x14ac:dyDescent="0.3">
      <c r="A14" s="2" t="s">
        <v>9</v>
      </c>
      <c r="B14" s="2" t="s">
        <v>36</v>
      </c>
      <c r="C14" s="2" t="s">
        <v>37</v>
      </c>
      <c r="D14" s="2" t="s">
        <v>12</v>
      </c>
      <c r="E14" s="3">
        <v>46030</v>
      </c>
      <c r="F14" s="4">
        <v>102</v>
      </c>
      <c r="G14" s="3">
        <v>46037</v>
      </c>
      <c r="H14" s="5">
        <v>14.16</v>
      </c>
      <c r="I14" s="2" t="s">
        <v>13</v>
      </c>
      <c r="J14" s="2" t="s">
        <v>410</v>
      </c>
      <c r="N14" s="16">
        <f t="shared" si="0"/>
        <v>46037</v>
      </c>
      <c r="O14" s="17">
        <f t="shared" si="1"/>
        <v>4.0713053479010926</v>
      </c>
    </row>
    <row r="15" spans="1:17" hidden="1" outlineLevel="1" x14ac:dyDescent="0.3">
      <c r="A15" s="2" t="s">
        <v>9</v>
      </c>
      <c r="B15" s="2" t="s">
        <v>38</v>
      </c>
      <c r="C15" s="2" t="s">
        <v>39</v>
      </c>
      <c r="D15" s="2" t="s">
        <v>12</v>
      </c>
      <c r="E15" s="3">
        <v>46032</v>
      </c>
      <c r="F15" s="4">
        <v>100</v>
      </c>
      <c r="G15" s="3">
        <v>46039</v>
      </c>
      <c r="H15" s="5">
        <v>14.16</v>
      </c>
      <c r="I15" s="2" t="s">
        <v>13</v>
      </c>
      <c r="J15" s="2" t="s">
        <v>410</v>
      </c>
      <c r="N15" s="16">
        <f t="shared" si="0"/>
        <v>46039</v>
      </c>
      <c r="O15" s="17">
        <f t="shared" si="1"/>
        <v>4.0713053479010926</v>
      </c>
    </row>
    <row r="16" spans="1:17" hidden="1" outlineLevel="1" x14ac:dyDescent="0.3">
      <c r="A16" s="2" t="s">
        <v>9</v>
      </c>
      <c r="B16" s="2" t="s">
        <v>40</v>
      </c>
      <c r="C16" s="2" t="s">
        <v>41</v>
      </c>
      <c r="D16" s="2" t="s">
        <v>12</v>
      </c>
      <c r="E16" s="3">
        <v>46038</v>
      </c>
      <c r="F16" s="4">
        <v>94</v>
      </c>
      <c r="G16" s="3">
        <v>46045</v>
      </c>
      <c r="H16" s="5">
        <v>14.16</v>
      </c>
      <c r="I16" s="2" t="s">
        <v>13</v>
      </c>
      <c r="J16" s="2" t="s">
        <v>410</v>
      </c>
      <c r="N16" s="16">
        <f t="shared" si="0"/>
        <v>46045</v>
      </c>
      <c r="O16" s="17">
        <f t="shared" si="1"/>
        <v>4.0713053479010926</v>
      </c>
    </row>
    <row r="17" spans="1:17" hidden="1" outlineLevel="1" x14ac:dyDescent="0.3">
      <c r="A17" s="2" t="s">
        <v>9</v>
      </c>
      <c r="B17" s="2" t="s">
        <v>42</v>
      </c>
      <c r="C17" s="2" t="s">
        <v>43</v>
      </c>
      <c r="D17" s="2" t="s">
        <v>12</v>
      </c>
      <c r="E17" s="3">
        <v>46038</v>
      </c>
      <c r="F17" s="4">
        <v>94</v>
      </c>
      <c r="G17" s="3">
        <v>46045</v>
      </c>
      <c r="H17" s="5">
        <v>14.16</v>
      </c>
      <c r="I17" s="2" t="s">
        <v>13</v>
      </c>
      <c r="J17" s="2" t="s">
        <v>410</v>
      </c>
      <c r="N17" s="16">
        <f t="shared" si="0"/>
        <v>46045</v>
      </c>
      <c r="O17" s="17">
        <f t="shared" si="1"/>
        <v>4.0713053479010926</v>
      </c>
    </row>
    <row r="18" spans="1:17" hidden="1" outlineLevel="1" x14ac:dyDescent="0.3">
      <c r="A18" s="2" t="s">
        <v>9</v>
      </c>
      <c r="B18" s="2" t="s">
        <v>44</v>
      </c>
      <c r="C18" s="2" t="s">
        <v>45</v>
      </c>
      <c r="D18" s="2" t="s">
        <v>12</v>
      </c>
      <c r="E18" s="3">
        <v>46041</v>
      </c>
      <c r="F18" s="4">
        <v>91</v>
      </c>
      <c r="G18" s="3">
        <v>46048</v>
      </c>
      <c r="H18" s="5">
        <v>14.16</v>
      </c>
      <c r="I18" s="2" t="s">
        <v>13</v>
      </c>
      <c r="J18" s="2" t="s">
        <v>410</v>
      </c>
      <c r="N18" s="16">
        <f t="shared" si="0"/>
        <v>46048</v>
      </c>
      <c r="O18" s="17">
        <f t="shared" si="1"/>
        <v>4.0713053479010926</v>
      </c>
    </row>
    <row r="19" spans="1:17" hidden="1" outlineLevel="1" x14ac:dyDescent="0.3">
      <c r="A19" s="2" t="s">
        <v>50</v>
      </c>
      <c r="B19" s="2" t="s">
        <v>51</v>
      </c>
      <c r="C19" s="2" t="s">
        <v>52</v>
      </c>
      <c r="D19" s="2" t="s">
        <v>53</v>
      </c>
      <c r="E19" s="3">
        <v>46117</v>
      </c>
      <c r="F19" s="4">
        <v>15</v>
      </c>
      <c r="G19" s="3">
        <v>46124</v>
      </c>
      <c r="H19" s="5">
        <v>250.4</v>
      </c>
      <c r="I19" s="2" t="s">
        <v>13</v>
      </c>
      <c r="J19" s="2" t="s">
        <v>410</v>
      </c>
      <c r="N19" s="16">
        <f t="shared" ref="N19:N31" si="2">G19</f>
        <v>46124</v>
      </c>
      <c r="O19" s="17">
        <f t="shared" ref="O19:O31" si="3">H19/3.478</f>
        <v>71.995399654974122</v>
      </c>
    </row>
    <row r="20" spans="1:17" hidden="1" outlineLevel="1" x14ac:dyDescent="0.3">
      <c r="A20" s="2" t="s">
        <v>50</v>
      </c>
      <c r="B20" s="2" t="s">
        <v>54</v>
      </c>
      <c r="C20" s="2" t="s">
        <v>55</v>
      </c>
      <c r="D20" s="2" t="s">
        <v>53</v>
      </c>
      <c r="E20" s="3">
        <v>46117</v>
      </c>
      <c r="F20" s="4">
        <v>15</v>
      </c>
      <c r="G20" s="3">
        <v>46124</v>
      </c>
      <c r="H20" s="5">
        <v>23.6</v>
      </c>
      <c r="I20" s="2" t="s">
        <v>13</v>
      </c>
      <c r="J20" s="2" t="s">
        <v>410</v>
      </c>
      <c r="N20" s="16">
        <f t="shared" si="2"/>
        <v>46124</v>
      </c>
      <c r="O20" s="17">
        <f t="shared" si="3"/>
        <v>6.7855089131684876</v>
      </c>
    </row>
    <row r="21" spans="1:17" hidden="1" outlineLevel="1" x14ac:dyDescent="0.3">
      <c r="A21" s="2" t="s">
        <v>50</v>
      </c>
      <c r="B21" s="2" t="s">
        <v>56</v>
      </c>
      <c r="C21" s="2" t="s">
        <v>57</v>
      </c>
      <c r="D21" s="2" t="s">
        <v>53</v>
      </c>
      <c r="E21" s="3">
        <v>46128</v>
      </c>
      <c r="F21" s="4">
        <v>4</v>
      </c>
      <c r="G21" s="3">
        <v>46135</v>
      </c>
      <c r="H21" s="5">
        <v>355.89</v>
      </c>
      <c r="I21" s="2" t="s">
        <v>13</v>
      </c>
      <c r="J21" s="2" t="s">
        <v>410</v>
      </c>
      <c r="N21" s="16">
        <f t="shared" si="2"/>
        <v>46135</v>
      </c>
      <c r="O21" s="17">
        <f t="shared" si="3"/>
        <v>102.32604945370902</v>
      </c>
    </row>
    <row r="22" spans="1:17" hidden="1" outlineLevel="1" x14ac:dyDescent="0.3">
      <c r="A22" s="2" t="s">
        <v>50</v>
      </c>
      <c r="B22" s="2" t="s">
        <v>58</v>
      </c>
      <c r="C22" s="2" t="s">
        <v>59</v>
      </c>
      <c r="D22" s="2" t="s">
        <v>53</v>
      </c>
      <c r="E22" s="3">
        <v>46128</v>
      </c>
      <c r="F22" s="4">
        <v>4</v>
      </c>
      <c r="G22" s="3">
        <v>46135</v>
      </c>
      <c r="H22" s="5">
        <v>35.4</v>
      </c>
      <c r="I22" s="2" t="s">
        <v>13</v>
      </c>
      <c r="J22" s="2" t="s">
        <v>410</v>
      </c>
      <c r="N22" s="16">
        <f t="shared" si="2"/>
        <v>46135</v>
      </c>
      <c r="O22" s="17">
        <f t="shared" si="3"/>
        <v>10.178263369752731</v>
      </c>
    </row>
    <row r="23" spans="1:17" hidden="1" outlineLevel="1" x14ac:dyDescent="0.3">
      <c r="A23" s="2" t="s">
        <v>60</v>
      </c>
      <c r="B23" s="2" t="s">
        <v>61</v>
      </c>
      <c r="C23" s="2" t="s">
        <v>62</v>
      </c>
      <c r="D23" s="2" t="s">
        <v>12</v>
      </c>
      <c r="E23" s="3">
        <v>46098</v>
      </c>
      <c r="F23" s="4">
        <v>34</v>
      </c>
      <c r="G23" s="3">
        <v>46105</v>
      </c>
      <c r="H23" s="5">
        <v>424.8</v>
      </c>
      <c r="I23" s="2" t="s">
        <v>13</v>
      </c>
      <c r="J23" s="2" t="s">
        <v>410</v>
      </c>
      <c r="N23" s="16">
        <f t="shared" si="2"/>
        <v>46105</v>
      </c>
      <c r="O23" s="17">
        <f t="shared" si="3"/>
        <v>122.13916043703277</v>
      </c>
    </row>
    <row r="24" spans="1:17" hidden="1" outlineLevel="1" x14ac:dyDescent="0.3">
      <c r="A24" s="2" t="s">
        <v>60</v>
      </c>
      <c r="B24" s="2" t="s">
        <v>63</v>
      </c>
      <c r="C24" s="2" t="s">
        <v>64</v>
      </c>
      <c r="D24" s="2" t="s">
        <v>12</v>
      </c>
      <c r="E24" s="3">
        <v>46100</v>
      </c>
      <c r="F24" s="4">
        <v>32</v>
      </c>
      <c r="G24" s="3">
        <v>46107</v>
      </c>
      <c r="H24" s="5">
        <v>283.2</v>
      </c>
      <c r="I24" s="2" t="s">
        <v>13</v>
      </c>
      <c r="J24" s="2" t="s">
        <v>410</v>
      </c>
      <c r="N24" s="16">
        <f t="shared" si="2"/>
        <v>46107</v>
      </c>
      <c r="O24" s="17">
        <f t="shared" si="3"/>
        <v>81.426106958021848</v>
      </c>
    </row>
    <row r="25" spans="1:17" hidden="1" outlineLevel="1" x14ac:dyDescent="0.3">
      <c r="A25" s="2" t="s">
        <v>60</v>
      </c>
      <c r="B25" s="2" t="s">
        <v>65</v>
      </c>
      <c r="C25" s="2" t="s">
        <v>66</v>
      </c>
      <c r="D25" s="2" t="s">
        <v>12</v>
      </c>
      <c r="E25" s="3">
        <v>46102</v>
      </c>
      <c r="F25" s="4">
        <v>30</v>
      </c>
      <c r="G25" s="3">
        <v>46109</v>
      </c>
      <c r="H25" s="5">
        <v>354</v>
      </c>
      <c r="I25" s="2" t="s">
        <v>13</v>
      </c>
      <c r="J25" s="2" t="s">
        <v>410</v>
      </c>
      <c r="N25" s="16">
        <f t="shared" si="2"/>
        <v>46109</v>
      </c>
      <c r="O25" s="17">
        <f t="shared" si="3"/>
        <v>101.7826336975273</v>
      </c>
    </row>
    <row r="26" spans="1:17" hidden="1" outlineLevel="1" x14ac:dyDescent="0.3">
      <c r="A26" s="2" t="s">
        <v>60</v>
      </c>
      <c r="B26" s="2" t="s">
        <v>67</v>
      </c>
      <c r="C26" s="2" t="s">
        <v>68</v>
      </c>
      <c r="D26" s="2" t="s">
        <v>12</v>
      </c>
      <c r="E26" s="3">
        <v>46111</v>
      </c>
      <c r="F26" s="4">
        <v>21</v>
      </c>
      <c r="G26" s="3">
        <v>46118</v>
      </c>
      <c r="H26" s="5">
        <v>283.2</v>
      </c>
      <c r="I26" s="2" t="s">
        <v>13</v>
      </c>
      <c r="J26" s="2" t="s">
        <v>410</v>
      </c>
      <c r="N26" s="16">
        <f t="shared" si="2"/>
        <v>46118</v>
      </c>
      <c r="O26" s="17">
        <f t="shared" si="3"/>
        <v>81.426106958021848</v>
      </c>
    </row>
    <row r="27" spans="1:17" hidden="1" outlineLevel="1" x14ac:dyDescent="0.3">
      <c r="A27" s="2" t="s">
        <v>60</v>
      </c>
      <c r="B27" s="2" t="s">
        <v>69</v>
      </c>
      <c r="C27" s="2" t="s">
        <v>70</v>
      </c>
      <c r="D27" s="2" t="s">
        <v>12</v>
      </c>
      <c r="E27" s="3">
        <v>46121</v>
      </c>
      <c r="F27" s="4">
        <v>11</v>
      </c>
      <c r="G27" s="3">
        <v>46128</v>
      </c>
      <c r="H27" s="5">
        <v>354</v>
      </c>
      <c r="I27" s="2" t="s">
        <v>13</v>
      </c>
      <c r="J27" s="2" t="s">
        <v>410</v>
      </c>
      <c r="N27" s="16">
        <f t="shared" si="2"/>
        <v>46128</v>
      </c>
      <c r="O27" s="17">
        <f t="shared" si="3"/>
        <v>101.7826336975273</v>
      </c>
    </row>
    <row r="28" spans="1:17" hidden="1" outlineLevel="1" x14ac:dyDescent="0.3">
      <c r="A28" s="2" t="s">
        <v>60</v>
      </c>
      <c r="B28" s="2" t="s">
        <v>71</v>
      </c>
      <c r="C28" s="2" t="s">
        <v>72</v>
      </c>
      <c r="D28" s="2" t="s">
        <v>12</v>
      </c>
      <c r="E28" s="3">
        <v>46122</v>
      </c>
      <c r="F28" s="4">
        <v>10</v>
      </c>
      <c r="G28" s="3">
        <v>46129</v>
      </c>
      <c r="H28" s="5">
        <v>236</v>
      </c>
      <c r="I28" s="2" t="s">
        <v>13</v>
      </c>
      <c r="J28" s="2" t="s">
        <v>410</v>
      </c>
      <c r="N28" s="16">
        <f t="shared" si="2"/>
        <v>46129</v>
      </c>
      <c r="O28" s="17">
        <f t="shared" si="3"/>
        <v>67.855089131684878</v>
      </c>
    </row>
    <row r="29" spans="1:17" hidden="1" outlineLevel="1" x14ac:dyDescent="0.3">
      <c r="A29" s="2" t="s">
        <v>60</v>
      </c>
      <c r="B29" s="2" t="s">
        <v>73</v>
      </c>
      <c r="C29" s="2" t="s">
        <v>74</v>
      </c>
      <c r="D29" s="2" t="s">
        <v>12</v>
      </c>
      <c r="E29" s="3">
        <v>46137</v>
      </c>
      <c r="F29" s="6">
        <v>-5</v>
      </c>
      <c r="G29" s="3">
        <v>46144</v>
      </c>
      <c r="H29" s="5">
        <v>354</v>
      </c>
      <c r="I29" s="2" t="s">
        <v>13</v>
      </c>
      <c r="J29" s="2" t="s">
        <v>410</v>
      </c>
      <c r="N29" s="16">
        <f t="shared" si="2"/>
        <v>46144</v>
      </c>
      <c r="O29" s="17">
        <f t="shared" si="3"/>
        <v>101.7826336975273</v>
      </c>
    </row>
    <row r="30" spans="1:17" hidden="1" outlineLevel="1" x14ac:dyDescent="0.3">
      <c r="A30" s="2" t="s">
        <v>75</v>
      </c>
      <c r="B30" s="2" t="s">
        <v>76</v>
      </c>
      <c r="C30" s="2" t="s">
        <v>77</v>
      </c>
      <c r="D30" s="2" t="s">
        <v>12</v>
      </c>
      <c r="E30" s="3">
        <v>46138</v>
      </c>
      <c r="F30" s="6">
        <v>-6</v>
      </c>
      <c r="G30" s="3">
        <v>46145</v>
      </c>
      <c r="H30" s="5">
        <v>747.7</v>
      </c>
      <c r="I30" s="2" t="s">
        <v>13</v>
      </c>
      <c r="J30" s="2" t="s">
        <v>410</v>
      </c>
      <c r="N30" s="16">
        <f t="shared" si="2"/>
        <v>46145</v>
      </c>
      <c r="O30" s="17">
        <f t="shared" si="3"/>
        <v>214.97987349051178</v>
      </c>
    </row>
    <row r="31" spans="1:17" hidden="1" outlineLevel="1" x14ac:dyDescent="0.3">
      <c r="A31" s="2" t="s">
        <v>75</v>
      </c>
      <c r="B31" s="2" t="s">
        <v>78</v>
      </c>
      <c r="C31" s="2" t="s">
        <v>79</v>
      </c>
      <c r="D31" s="2" t="s">
        <v>12</v>
      </c>
      <c r="E31" s="3">
        <v>46138</v>
      </c>
      <c r="F31" s="6">
        <v>-6</v>
      </c>
      <c r="G31" s="3">
        <v>46145</v>
      </c>
      <c r="H31" s="5">
        <v>265.5</v>
      </c>
      <c r="I31" s="2" t="s">
        <v>13</v>
      </c>
      <c r="J31" s="2" t="s">
        <v>410</v>
      </c>
      <c r="N31" s="16">
        <f t="shared" si="2"/>
        <v>46145</v>
      </c>
      <c r="O31" s="17">
        <f t="shared" si="3"/>
        <v>76.336975273145484</v>
      </c>
    </row>
    <row r="32" spans="1:17" hidden="1" outlineLevel="1" x14ac:dyDescent="0.3">
      <c r="A32" s="2" t="s">
        <v>80</v>
      </c>
      <c r="B32" s="2" t="s">
        <v>81</v>
      </c>
      <c r="C32" s="2" t="s">
        <v>82</v>
      </c>
      <c r="D32" s="2" t="s">
        <v>48</v>
      </c>
      <c r="E32" s="3">
        <v>46110</v>
      </c>
      <c r="F32" s="6">
        <v>-16</v>
      </c>
      <c r="G32" s="3">
        <v>46155</v>
      </c>
      <c r="H32" s="5">
        <v>24860</v>
      </c>
      <c r="I32" s="2" t="s">
        <v>49</v>
      </c>
      <c r="J32" s="2" t="s">
        <v>413</v>
      </c>
      <c r="K32" s="16">
        <f>E32+45</f>
        <v>46155</v>
      </c>
      <c r="L32" s="19">
        <f ca="1">M32-TODAY()</f>
        <v>16</v>
      </c>
      <c r="M32" s="16">
        <v>46155</v>
      </c>
      <c r="N32" s="16">
        <f>G32</f>
        <v>46155</v>
      </c>
      <c r="O32" s="10">
        <f t="shared" ref="O32:O39" si="4">H32</f>
        <v>24860</v>
      </c>
      <c r="P32" s="19">
        <f ca="1">TODAY()-E32</f>
        <v>29</v>
      </c>
      <c r="Q32" t="s">
        <v>430</v>
      </c>
    </row>
    <row r="33" spans="1:17" hidden="1" outlineLevel="1" x14ac:dyDescent="0.3">
      <c r="A33" s="2" t="s">
        <v>80</v>
      </c>
      <c r="B33" s="2" t="s">
        <v>83</v>
      </c>
      <c r="C33" s="2" t="s">
        <v>84</v>
      </c>
      <c r="D33" s="2" t="s">
        <v>48</v>
      </c>
      <c r="E33" s="3">
        <v>46110</v>
      </c>
      <c r="F33" s="6">
        <v>-16</v>
      </c>
      <c r="G33" s="3">
        <v>46155</v>
      </c>
      <c r="H33" s="5">
        <v>24860</v>
      </c>
      <c r="I33" s="2" t="s">
        <v>49</v>
      </c>
      <c r="J33" s="2" t="s">
        <v>413</v>
      </c>
      <c r="K33" s="16">
        <f t="shared" ref="K33:K39" si="5">E33+45</f>
        <v>46155</v>
      </c>
      <c r="L33" s="19">
        <f t="shared" ref="L33:L37" ca="1" si="6">M33-TODAY()</f>
        <v>16</v>
      </c>
      <c r="M33" s="16">
        <v>46155</v>
      </c>
      <c r="N33" s="16">
        <f t="shared" ref="N33:N37" si="7">G33</f>
        <v>46155</v>
      </c>
      <c r="O33" s="10">
        <f t="shared" si="4"/>
        <v>24860</v>
      </c>
      <c r="P33" s="19">
        <f t="shared" ref="P33:P39" ca="1" si="8">TODAY()-E33</f>
        <v>29</v>
      </c>
      <c r="Q33" t="s">
        <v>430</v>
      </c>
    </row>
    <row r="34" spans="1:17" hidden="1" outlineLevel="1" x14ac:dyDescent="0.3">
      <c r="A34" s="2" t="s">
        <v>80</v>
      </c>
      <c r="B34" s="2" t="s">
        <v>85</v>
      </c>
      <c r="C34" s="2" t="s">
        <v>86</v>
      </c>
      <c r="D34" s="2" t="s">
        <v>48</v>
      </c>
      <c r="E34" s="3">
        <v>46110</v>
      </c>
      <c r="F34" s="6">
        <v>-16</v>
      </c>
      <c r="G34" s="3">
        <v>46155</v>
      </c>
      <c r="H34" s="5">
        <v>24860</v>
      </c>
      <c r="I34" s="2" t="s">
        <v>49</v>
      </c>
      <c r="J34" s="2" t="s">
        <v>413</v>
      </c>
      <c r="K34" s="16">
        <f t="shared" si="5"/>
        <v>46155</v>
      </c>
      <c r="L34" s="19">
        <f t="shared" ca="1" si="6"/>
        <v>16</v>
      </c>
      <c r="M34" s="16">
        <v>46155</v>
      </c>
      <c r="N34" s="16">
        <f t="shared" si="7"/>
        <v>46155</v>
      </c>
      <c r="O34" s="10">
        <f t="shared" si="4"/>
        <v>24860</v>
      </c>
      <c r="P34" s="19">
        <f t="shared" ca="1" si="8"/>
        <v>29</v>
      </c>
      <c r="Q34" t="s">
        <v>430</v>
      </c>
    </row>
    <row r="35" spans="1:17" hidden="1" outlineLevel="1" x14ac:dyDescent="0.3">
      <c r="A35" s="2" t="s">
        <v>80</v>
      </c>
      <c r="B35" s="2" t="s">
        <v>87</v>
      </c>
      <c r="C35" s="2" t="s">
        <v>88</v>
      </c>
      <c r="D35" s="2" t="s">
        <v>48</v>
      </c>
      <c r="E35" s="3">
        <v>46110</v>
      </c>
      <c r="F35" s="6">
        <v>-16</v>
      </c>
      <c r="G35" s="3">
        <v>46155</v>
      </c>
      <c r="H35" s="5">
        <v>28800</v>
      </c>
      <c r="I35" s="2" t="s">
        <v>49</v>
      </c>
      <c r="J35" s="2" t="s">
        <v>413</v>
      </c>
      <c r="K35" s="16">
        <f t="shared" si="5"/>
        <v>46155</v>
      </c>
      <c r="L35" s="19">
        <f t="shared" ca="1" si="6"/>
        <v>16</v>
      </c>
      <c r="M35" s="16">
        <v>46155</v>
      </c>
      <c r="N35" s="16">
        <f t="shared" si="7"/>
        <v>46155</v>
      </c>
      <c r="O35" s="10">
        <f t="shared" si="4"/>
        <v>28800</v>
      </c>
      <c r="P35" s="19">
        <f t="shared" ca="1" si="8"/>
        <v>29</v>
      </c>
      <c r="Q35" t="s">
        <v>430</v>
      </c>
    </row>
    <row r="36" spans="1:17" hidden="1" outlineLevel="1" x14ac:dyDescent="0.3">
      <c r="A36" s="2" t="s">
        <v>80</v>
      </c>
      <c r="B36" s="2" t="s">
        <v>89</v>
      </c>
      <c r="C36" s="2" t="s">
        <v>90</v>
      </c>
      <c r="D36" s="2" t="s">
        <v>48</v>
      </c>
      <c r="E36" s="3">
        <v>46110</v>
      </c>
      <c r="F36" s="6">
        <v>-16</v>
      </c>
      <c r="G36" s="3">
        <v>46155</v>
      </c>
      <c r="H36" s="5">
        <v>28800</v>
      </c>
      <c r="I36" s="2" t="s">
        <v>49</v>
      </c>
      <c r="J36" s="2" t="s">
        <v>413</v>
      </c>
      <c r="K36" s="16">
        <f t="shared" si="5"/>
        <v>46155</v>
      </c>
      <c r="L36" s="19">
        <f t="shared" ca="1" si="6"/>
        <v>16</v>
      </c>
      <c r="M36" s="16">
        <v>46155</v>
      </c>
      <c r="N36" s="16">
        <f t="shared" si="7"/>
        <v>46155</v>
      </c>
      <c r="O36" s="10">
        <f t="shared" si="4"/>
        <v>28800</v>
      </c>
      <c r="P36" s="19">
        <f t="shared" ca="1" si="8"/>
        <v>29</v>
      </c>
      <c r="Q36" t="s">
        <v>430</v>
      </c>
    </row>
    <row r="37" spans="1:17" hidden="1" outlineLevel="1" x14ac:dyDescent="0.3">
      <c r="A37" s="2" t="s">
        <v>80</v>
      </c>
      <c r="B37" s="2" t="s">
        <v>91</v>
      </c>
      <c r="C37" s="2" t="s">
        <v>92</v>
      </c>
      <c r="D37" s="2" t="s">
        <v>48</v>
      </c>
      <c r="E37" s="3">
        <v>46110</v>
      </c>
      <c r="F37" s="6">
        <v>-16</v>
      </c>
      <c r="G37" s="3">
        <v>46155</v>
      </c>
      <c r="H37" s="5">
        <v>29300</v>
      </c>
      <c r="I37" s="2" t="s">
        <v>49</v>
      </c>
      <c r="J37" s="2" t="s">
        <v>413</v>
      </c>
      <c r="K37" s="16">
        <f t="shared" si="5"/>
        <v>46155</v>
      </c>
      <c r="L37" s="19">
        <f t="shared" ca="1" si="6"/>
        <v>16</v>
      </c>
      <c r="M37" s="16">
        <v>46155</v>
      </c>
      <c r="N37" s="16">
        <f t="shared" si="7"/>
        <v>46155</v>
      </c>
      <c r="O37" s="10">
        <f t="shared" si="4"/>
        <v>29300</v>
      </c>
      <c r="P37" s="19">
        <f t="shared" ca="1" si="8"/>
        <v>29</v>
      </c>
      <c r="Q37" t="s">
        <v>430</v>
      </c>
    </row>
    <row r="38" spans="1:17" hidden="1" outlineLevel="1" x14ac:dyDescent="0.3">
      <c r="A38" s="2" t="s">
        <v>80</v>
      </c>
      <c r="B38" s="2" t="s">
        <v>93</v>
      </c>
      <c r="C38" s="2" t="s">
        <v>94</v>
      </c>
      <c r="D38" s="2" t="s">
        <v>95</v>
      </c>
      <c r="E38" s="3">
        <v>46113</v>
      </c>
      <c r="F38" s="4">
        <v>26</v>
      </c>
      <c r="G38" s="3">
        <v>46113</v>
      </c>
      <c r="H38" s="5">
        <v>2176.9899999999998</v>
      </c>
      <c r="I38" s="2" t="s">
        <v>49</v>
      </c>
      <c r="J38" s="2" t="s">
        <v>413</v>
      </c>
      <c r="K38" s="16">
        <f t="shared" si="5"/>
        <v>46158</v>
      </c>
      <c r="L38" s="19"/>
      <c r="M38" s="16"/>
      <c r="N38" s="16">
        <v>46147</v>
      </c>
      <c r="O38" s="10">
        <f t="shared" si="4"/>
        <v>2176.9899999999998</v>
      </c>
      <c r="P38" s="19">
        <f t="shared" ca="1" si="8"/>
        <v>26</v>
      </c>
      <c r="Q38" t="s">
        <v>430</v>
      </c>
    </row>
    <row r="39" spans="1:17" outlineLevel="1" x14ac:dyDescent="0.3">
      <c r="A39" s="2" t="s">
        <v>141</v>
      </c>
      <c r="B39" s="2" t="s">
        <v>81</v>
      </c>
      <c r="C39" s="2" t="s">
        <v>428</v>
      </c>
      <c r="D39" s="2" t="s">
        <v>96</v>
      </c>
      <c r="E39" s="3">
        <v>46133</v>
      </c>
      <c r="F39" s="4">
        <v>0</v>
      </c>
      <c r="G39" s="3">
        <v>46142</v>
      </c>
      <c r="H39" s="7">
        <v>-18900</v>
      </c>
      <c r="I39" s="2" t="s">
        <v>49</v>
      </c>
      <c r="J39" s="2" t="s">
        <v>413</v>
      </c>
      <c r="K39" s="16">
        <f t="shared" si="5"/>
        <v>46178</v>
      </c>
      <c r="L39" s="19"/>
      <c r="M39" s="16"/>
      <c r="N39" s="16">
        <f>G39</f>
        <v>46142</v>
      </c>
      <c r="O39" s="10">
        <f t="shared" si="4"/>
        <v>-18900</v>
      </c>
      <c r="P39" s="19">
        <f t="shared" ca="1" si="8"/>
        <v>6</v>
      </c>
      <c r="Q39" t="s">
        <v>430</v>
      </c>
    </row>
    <row r="40" spans="1:17" hidden="1" outlineLevel="1" x14ac:dyDescent="0.3">
      <c r="A40" s="2" t="s">
        <v>97</v>
      </c>
      <c r="B40" s="2" t="s">
        <v>98</v>
      </c>
      <c r="C40" s="2" t="s">
        <v>99</v>
      </c>
      <c r="D40" s="2" t="s">
        <v>53</v>
      </c>
      <c r="E40" s="3">
        <v>46128</v>
      </c>
      <c r="F40" s="4">
        <v>4</v>
      </c>
      <c r="G40" s="3">
        <v>46135</v>
      </c>
      <c r="H40" s="5">
        <v>684.64</v>
      </c>
      <c r="I40" s="2" t="s">
        <v>13</v>
      </c>
      <c r="J40" s="2" t="s">
        <v>410</v>
      </c>
      <c r="N40" s="16">
        <f t="shared" ref="N40:N57" si="9">G40</f>
        <v>46135</v>
      </c>
      <c r="O40" s="17">
        <f t="shared" ref="O40:O57" si="10">H40/3.478</f>
        <v>196.84876365727428</v>
      </c>
    </row>
    <row r="41" spans="1:17" hidden="1" outlineLevel="1" x14ac:dyDescent="0.3">
      <c r="A41" s="2" t="s">
        <v>97</v>
      </c>
      <c r="B41" s="2" t="s">
        <v>100</v>
      </c>
      <c r="C41" s="2" t="s">
        <v>101</v>
      </c>
      <c r="D41" s="2" t="s">
        <v>53</v>
      </c>
      <c r="E41" s="3">
        <v>46128</v>
      </c>
      <c r="F41" s="4">
        <v>4</v>
      </c>
      <c r="G41" s="3">
        <v>46135</v>
      </c>
      <c r="H41" s="5">
        <v>70.8</v>
      </c>
      <c r="I41" s="2" t="s">
        <v>13</v>
      </c>
      <c r="J41" s="2" t="s">
        <v>410</v>
      </c>
      <c r="N41" s="16">
        <f t="shared" si="9"/>
        <v>46135</v>
      </c>
      <c r="O41" s="17">
        <f t="shared" si="10"/>
        <v>20.356526739505462</v>
      </c>
    </row>
    <row r="42" spans="1:17" hidden="1" outlineLevel="1" x14ac:dyDescent="0.3">
      <c r="A42" s="2" t="s">
        <v>97</v>
      </c>
      <c r="B42" s="2" t="s">
        <v>102</v>
      </c>
      <c r="C42" s="2" t="s">
        <v>103</v>
      </c>
      <c r="D42" s="2" t="s">
        <v>53</v>
      </c>
      <c r="E42" s="3">
        <v>46129</v>
      </c>
      <c r="F42" s="4">
        <v>10</v>
      </c>
      <c r="G42" s="3">
        <v>46129</v>
      </c>
      <c r="H42" s="5">
        <v>586.70000000000005</v>
      </c>
      <c r="I42" s="2" t="s">
        <v>13</v>
      </c>
      <c r="J42" s="2" t="s">
        <v>410</v>
      </c>
      <c r="N42" s="16">
        <f t="shared" si="9"/>
        <v>46129</v>
      </c>
      <c r="O42" s="17">
        <f t="shared" si="10"/>
        <v>168.68890166762509</v>
      </c>
    </row>
    <row r="43" spans="1:17" hidden="1" outlineLevel="1" x14ac:dyDescent="0.3">
      <c r="A43" s="2" t="s">
        <v>97</v>
      </c>
      <c r="B43" s="2" t="s">
        <v>104</v>
      </c>
      <c r="C43" s="2" t="s">
        <v>105</v>
      </c>
      <c r="D43" s="2" t="s">
        <v>53</v>
      </c>
      <c r="E43" s="3">
        <v>46129</v>
      </c>
      <c r="F43" s="4">
        <v>10</v>
      </c>
      <c r="G43" s="3">
        <v>46129</v>
      </c>
      <c r="H43" s="5">
        <v>70.8</v>
      </c>
      <c r="I43" s="2" t="s">
        <v>13</v>
      </c>
      <c r="J43" s="2" t="s">
        <v>410</v>
      </c>
      <c r="N43" s="16">
        <f t="shared" si="9"/>
        <v>46129</v>
      </c>
      <c r="O43" s="17">
        <f t="shared" si="10"/>
        <v>20.356526739505462</v>
      </c>
    </row>
    <row r="44" spans="1:17" hidden="1" outlineLevel="1" x14ac:dyDescent="0.3">
      <c r="A44" s="2" t="s">
        <v>97</v>
      </c>
      <c r="B44" s="2" t="s">
        <v>106</v>
      </c>
      <c r="C44" s="2" t="s">
        <v>107</v>
      </c>
      <c r="D44" s="2" t="s">
        <v>53</v>
      </c>
      <c r="E44" s="3">
        <v>46131</v>
      </c>
      <c r="F44" s="4">
        <v>1</v>
      </c>
      <c r="G44" s="3">
        <v>46138</v>
      </c>
      <c r="H44" s="5">
        <v>358.48</v>
      </c>
      <c r="I44" s="2" t="s">
        <v>13</v>
      </c>
      <c r="J44" s="2" t="s">
        <v>410</v>
      </c>
      <c r="N44" s="16">
        <f t="shared" si="9"/>
        <v>46138</v>
      </c>
      <c r="O44" s="17">
        <f t="shared" si="10"/>
        <v>103.07073030477285</v>
      </c>
    </row>
    <row r="45" spans="1:17" hidden="1" outlineLevel="1" x14ac:dyDescent="0.3">
      <c r="A45" s="2" t="s">
        <v>97</v>
      </c>
      <c r="B45" s="2" t="s">
        <v>108</v>
      </c>
      <c r="C45" s="2" t="s">
        <v>109</v>
      </c>
      <c r="D45" s="2" t="s">
        <v>53</v>
      </c>
      <c r="E45" s="3">
        <v>46131</v>
      </c>
      <c r="F45" s="4">
        <v>1</v>
      </c>
      <c r="G45" s="3">
        <v>46138</v>
      </c>
      <c r="H45" s="5">
        <v>70.8</v>
      </c>
      <c r="I45" s="2" t="s">
        <v>13</v>
      </c>
      <c r="J45" s="2" t="s">
        <v>410</v>
      </c>
      <c r="N45" s="16">
        <f t="shared" si="9"/>
        <v>46138</v>
      </c>
      <c r="O45" s="17">
        <f t="shared" si="10"/>
        <v>20.356526739505462</v>
      </c>
    </row>
    <row r="46" spans="1:17" hidden="1" outlineLevel="1" x14ac:dyDescent="0.3">
      <c r="A46" s="2" t="s">
        <v>97</v>
      </c>
      <c r="B46" s="2" t="s">
        <v>110</v>
      </c>
      <c r="C46" s="2" t="s">
        <v>111</v>
      </c>
      <c r="D46" s="2" t="s">
        <v>53</v>
      </c>
      <c r="E46" s="3">
        <v>46132</v>
      </c>
      <c r="F46" s="4">
        <v>0</v>
      </c>
      <c r="G46" s="3">
        <v>46139</v>
      </c>
      <c r="H46" s="5">
        <v>405.68</v>
      </c>
      <c r="I46" s="2" t="s">
        <v>13</v>
      </c>
      <c r="J46" s="2" t="s">
        <v>410</v>
      </c>
      <c r="N46" s="16">
        <f t="shared" si="9"/>
        <v>46139</v>
      </c>
      <c r="O46" s="17">
        <f t="shared" si="10"/>
        <v>116.64174813110982</v>
      </c>
    </row>
    <row r="47" spans="1:17" hidden="1" outlineLevel="1" x14ac:dyDescent="0.3">
      <c r="A47" s="2" t="s">
        <v>97</v>
      </c>
      <c r="B47" s="2" t="s">
        <v>112</v>
      </c>
      <c r="C47" s="2" t="s">
        <v>113</v>
      </c>
      <c r="D47" s="2" t="s">
        <v>53</v>
      </c>
      <c r="E47" s="3">
        <v>46132</v>
      </c>
      <c r="F47" s="4">
        <v>0</v>
      </c>
      <c r="G47" s="3">
        <v>46139</v>
      </c>
      <c r="H47" s="5">
        <v>70.8</v>
      </c>
      <c r="I47" s="2" t="s">
        <v>13</v>
      </c>
      <c r="J47" s="2" t="s">
        <v>410</v>
      </c>
      <c r="N47" s="16">
        <f t="shared" si="9"/>
        <v>46139</v>
      </c>
      <c r="O47" s="17">
        <f t="shared" si="10"/>
        <v>20.356526739505462</v>
      </c>
    </row>
    <row r="48" spans="1:17" hidden="1" outlineLevel="1" x14ac:dyDescent="0.3">
      <c r="A48" s="2" t="s">
        <v>97</v>
      </c>
      <c r="B48" s="2" t="s">
        <v>114</v>
      </c>
      <c r="C48" s="2" t="s">
        <v>115</v>
      </c>
      <c r="D48" s="2" t="s">
        <v>53</v>
      </c>
      <c r="E48" s="3">
        <v>46132</v>
      </c>
      <c r="F48" s="4">
        <v>0</v>
      </c>
      <c r="G48" s="3">
        <v>46139</v>
      </c>
      <c r="H48" s="5">
        <v>371.23</v>
      </c>
      <c r="I48" s="2" t="s">
        <v>13</v>
      </c>
      <c r="J48" s="2" t="s">
        <v>410</v>
      </c>
      <c r="N48" s="16">
        <f t="shared" si="9"/>
        <v>46139</v>
      </c>
      <c r="O48" s="17">
        <f t="shared" si="10"/>
        <v>106.73663024726855</v>
      </c>
    </row>
    <row r="49" spans="1:17" hidden="1" outlineLevel="1" x14ac:dyDescent="0.3">
      <c r="A49" s="2" t="s">
        <v>97</v>
      </c>
      <c r="B49" s="2" t="s">
        <v>116</v>
      </c>
      <c r="C49" s="2" t="s">
        <v>117</v>
      </c>
      <c r="D49" s="2" t="s">
        <v>53</v>
      </c>
      <c r="E49" s="3">
        <v>46132</v>
      </c>
      <c r="F49" s="4">
        <v>0</v>
      </c>
      <c r="G49" s="3">
        <v>46139</v>
      </c>
      <c r="H49" s="5">
        <v>47.2</v>
      </c>
      <c r="I49" s="2" t="s">
        <v>13</v>
      </c>
      <c r="J49" s="2" t="s">
        <v>410</v>
      </c>
      <c r="N49" s="16">
        <f t="shared" si="9"/>
        <v>46139</v>
      </c>
      <c r="O49" s="17">
        <f t="shared" si="10"/>
        <v>13.571017826336975</v>
      </c>
    </row>
    <row r="50" spans="1:17" hidden="1" outlineLevel="1" x14ac:dyDescent="0.3">
      <c r="A50" s="2" t="s">
        <v>97</v>
      </c>
      <c r="B50" s="2" t="s">
        <v>118</v>
      </c>
      <c r="C50" s="2" t="s">
        <v>119</v>
      </c>
      <c r="D50" s="2" t="s">
        <v>53</v>
      </c>
      <c r="E50" s="3">
        <v>46134</v>
      </c>
      <c r="F50" s="6">
        <v>-2</v>
      </c>
      <c r="G50" s="3">
        <v>46141</v>
      </c>
      <c r="H50" s="5">
        <v>242.61</v>
      </c>
      <c r="I50" s="2" t="s">
        <v>13</v>
      </c>
      <c r="J50" s="2" t="s">
        <v>410</v>
      </c>
      <c r="N50" s="16">
        <f t="shared" si="9"/>
        <v>46141</v>
      </c>
      <c r="O50" s="17">
        <f t="shared" si="10"/>
        <v>69.755606670500285</v>
      </c>
    </row>
    <row r="51" spans="1:17" hidden="1" outlineLevel="1" x14ac:dyDescent="0.3">
      <c r="A51" s="2" t="s">
        <v>97</v>
      </c>
      <c r="B51" s="2" t="s">
        <v>120</v>
      </c>
      <c r="C51" s="2" t="s">
        <v>121</v>
      </c>
      <c r="D51" s="2" t="s">
        <v>53</v>
      </c>
      <c r="E51" s="3">
        <v>46134</v>
      </c>
      <c r="F51" s="6">
        <v>-2</v>
      </c>
      <c r="G51" s="3">
        <v>46141</v>
      </c>
      <c r="H51" s="5">
        <v>47.2</v>
      </c>
      <c r="I51" s="2" t="s">
        <v>13</v>
      </c>
      <c r="J51" s="2" t="s">
        <v>410</v>
      </c>
      <c r="N51" s="16">
        <f t="shared" si="9"/>
        <v>46141</v>
      </c>
      <c r="O51" s="17">
        <f t="shared" si="10"/>
        <v>13.571017826336975</v>
      </c>
    </row>
    <row r="52" spans="1:17" hidden="1" outlineLevel="1" x14ac:dyDescent="0.3">
      <c r="A52" s="2" t="s">
        <v>97</v>
      </c>
      <c r="B52" s="2" t="s">
        <v>122</v>
      </c>
      <c r="C52" s="2" t="s">
        <v>123</v>
      </c>
      <c r="D52" s="2" t="s">
        <v>53</v>
      </c>
      <c r="E52" s="3">
        <v>46135</v>
      </c>
      <c r="F52" s="6">
        <v>-3</v>
      </c>
      <c r="G52" s="3">
        <v>46142</v>
      </c>
      <c r="H52" s="5">
        <v>590.47</v>
      </c>
      <c r="I52" s="2" t="s">
        <v>13</v>
      </c>
      <c r="J52" s="2" t="s">
        <v>410</v>
      </c>
      <c r="N52" s="16">
        <f t="shared" si="9"/>
        <v>46142</v>
      </c>
      <c r="O52" s="17">
        <f t="shared" si="10"/>
        <v>169.77285796434734</v>
      </c>
    </row>
    <row r="53" spans="1:17" hidden="1" outlineLevel="1" x14ac:dyDescent="0.3">
      <c r="A53" s="2" t="s">
        <v>97</v>
      </c>
      <c r="B53" s="2" t="s">
        <v>124</v>
      </c>
      <c r="C53" s="2" t="s">
        <v>125</v>
      </c>
      <c r="D53" s="2" t="s">
        <v>53</v>
      </c>
      <c r="E53" s="3">
        <v>46135</v>
      </c>
      <c r="F53" s="6">
        <v>-3</v>
      </c>
      <c r="G53" s="3">
        <v>46142</v>
      </c>
      <c r="H53" s="5">
        <v>70.8</v>
      </c>
      <c r="I53" s="2" t="s">
        <v>13</v>
      </c>
      <c r="J53" s="2" t="s">
        <v>410</v>
      </c>
      <c r="N53" s="16">
        <f t="shared" si="9"/>
        <v>46142</v>
      </c>
      <c r="O53" s="17">
        <f t="shared" si="10"/>
        <v>20.356526739505462</v>
      </c>
    </row>
    <row r="54" spans="1:17" hidden="1" outlineLevel="1" x14ac:dyDescent="0.3">
      <c r="A54" s="2" t="s">
        <v>97</v>
      </c>
      <c r="B54" s="2" t="s">
        <v>126</v>
      </c>
      <c r="C54" s="2" t="s">
        <v>127</v>
      </c>
      <c r="D54" s="2" t="s">
        <v>53</v>
      </c>
      <c r="E54" s="3">
        <v>46137</v>
      </c>
      <c r="F54" s="6">
        <v>-5</v>
      </c>
      <c r="G54" s="3">
        <v>46144</v>
      </c>
      <c r="H54" s="5">
        <v>508.82</v>
      </c>
      <c r="I54" s="2" t="s">
        <v>13</v>
      </c>
      <c r="J54" s="2" t="s">
        <v>410</v>
      </c>
      <c r="N54" s="16">
        <f t="shared" si="9"/>
        <v>46144</v>
      </c>
      <c r="O54" s="17">
        <f t="shared" si="10"/>
        <v>146.29672225416905</v>
      </c>
    </row>
    <row r="55" spans="1:17" hidden="1" outlineLevel="1" x14ac:dyDescent="0.3">
      <c r="A55" s="2" t="s">
        <v>97</v>
      </c>
      <c r="B55" s="2" t="s">
        <v>128</v>
      </c>
      <c r="C55" s="2" t="s">
        <v>129</v>
      </c>
      <c r="D55" s="2" t="s">
        <v>53</v>
      </c>
      <c r="E55" s="3">
        <v>46137</v>
      </c>
      <c r="F55" s="6">
        <v>-5</v>
      </c>
      <c r="G55" s="3">
        <v>46144</v>
      </c>
      <c r="H55" s="5">
        <v>47.2</v>
      </c>
      <c r="I55" s="2" t="s">
        <v>13</v>
      </c>
      <c r="J55" s="2" t="s">
        <v>410</v>
      </c>
      <c r="N55" s="16">
        <f t="shared" si="9"/>
        <v>46144</v>
      </c>
      <c r="O55" s="17">
        <f t="shared" si="10"/>
        <v>13.571017826336975</v>
      </c>
    </row>
    <row r="56" spans="1:17" hidden="1" outlineLevel="1" x14ac:dyDescent="0.3">
      <c r="A56" s="2" t="s">
        <v>97</v>
      </c>
      <c r="B56" s="2" t="s">
        <v>130</v>
      </c>
      <c r="C56" s="2" t="s">
        <v>131</v>
      </c>
      <c r="D56" s="2" t="s">
        <v>53</v>
      </c>
      <c r="E56" s="3">
        <v>46137</v>
      </c>
      <c r="F56" s="6">
        <v>-5</v>
      </c>
      <c r="G56" s="3">
        <v>46144</v>
      </c>
      <c r="H56" s="5">
        <v>377.84</v>
      </c>
      <c r="I56" s="2" t="s">
        <v>13</v>
      </c>
      <c r="J56" s="2" t="s">
        <v>410</v>
      </c>
      <c r="N56" s="16">
        <f t="shared" si="9"/>
        <v>46144</v>
      </c>
      <c r="O56" s="17">
        <f t="shared" si="10"/>
        <v>108.63714778608394</v>
      </c>
    </row>
    <row r="57" spans="1:17" hidden="1" outlineLevel="1" x14ac:dyDescent="0.3">
      <c r="A57" s="2" t="s">
        <v>97</v>
      </c>
      <c r="B57" s="2" t="s">
        <v>132</v>
      </c>
      <c r="C57" s="2" t="s">
        <v>133</v>
      </c>
      <c r="D57" s="2" t="s">
        <v>53</v>
      </c>
      <c r="E57" s="3">
        <v>46137</v>
      </c>
      <c r="F57" s="6">
        <v>-5</v>
      </c>
      <c r="G57" s="3">
        <v>46144</v>
      </c>
      <c r="H57" s="5">
        <v>47.2</v>
      </c>
      <c r="I57" s="2" t="s">
        <v>13</v>
      </c>
      <c r="J57" s="2" t="s">
        <v>410</v>
      </c>
      <c r="N57" s="16">
        <f t="shared" si="9"/>
        <v>46144</v>
      </c>
      <c r="O57" s="17">
        <f t="shared" si="10"/>
        <v>13.571017826336975</v>
      </c>
    </row>
    <row r="58" spans="1:17" hidden="1" outlineLevel="1" x14ac:dyDescent="0.3">
      <c r="A58" s="2" t="s">
        <v>134</v>
      </c>
      <c r="B58" s="2" t="s">
        <v>136</v>
      </c>
      <c r="C58" s="2" t="s">
        <v>137</v>
      </c>
      <c r="D58" s="2" t="s">
        <v>48</v>
      </c>
      <c r="E58" s="3">
        <v>46124</v>
      </c>
      <c r="F58" s="6">
        <v>-30</v>
      </c>
      <c r="G58" s="3">
        <v>46169</v>
      </c>
      <c r="H58" s="5">
        <v>67550</v>
      </c>
      <c r="I58" s="2" t="s">
        <v>49</v>
      </c>
      <c r="J58" s="2" t="s">
        <v>413</v>
      </c>
      <c r="K58" s="16">
        <f t="shared" ref="K58:K61" si="11">E58+45</f>
        <v>46169</v>
      </c>
      <c r="L58" s="19">
        <f t="shared" ref="L58" ca="1" si="12">M58-TODAY()</f>
        <v>30</v>
      </c>
      <c r="M58" s="16">
        <v>46169</v>
      </c>
      <c r="N58" s="16">
        <f>G58</f>
        <v>46169</v>
      </c>
      <c r="O58" s="10">
        <f t="shared" ref="O58:O60" si="13">H58</f>
        <v>67550</v>
      </c>
      <c r="P58" s="19">
        <f t="shared" ref="P58:P61" ca="1" si="14">TODAY()-E58</f>
        <v>15</v>
      </c>
      <c r="Q58" t="s">
        <v>430</v>
      </c>
    </row>
    <row r="59" spans="1:17" outlineLevel="1" x14ac:dyDescent="0.3">
      <c r="A59" s="2" t="s">
        <v>134</v>
      </c>
      <c r="B59" s="2" t="s">
        <v>138</v>
      </c>
      <c r="C59" s="2" t="s">
        <v>139</v>
      </c>
      <c r="D59" s="2" t="s">
        <v>140</v>
      </c>
      <c r="E59" s="3">
        <v>46132</v>
      </c>
      <c r="F59" s="6">
        <v>-30</v>
      </c>
      <c r="G59" s="3">
        <v>46169</v>
      </c>
      <c r="H59" s="7">
        <v>-0.02</v>
      </c>
      <c r="I59" s="2" t="s">
        <v>49</v>
      </c>
      <c r="J59" s="2" t="s">
        <v>413</v>
      </c>
      <c r="K59" s="16">
        <f t="shared" si="11"/>
        <v>46177</v>
      </c>
      <c r="L59" s="19"/>
      <c r="N59" s="16"/>
      <c r="O59" s="10">
        <f t="shared" si="13"/>
        <v>-0.02</v>
      </c>
      <c r="P59" s="19">
        <f t="shared" ca="1" si="14"/>
        <v>7</v>
      </c>
      <c r="Q59" t="s">
        <v>430</v>
      </c>
    </row>
    <row r="60" spans="1:17" outlineLevel="1" x14ac:dyDescent="0.3">
      <c r="A60" s="2" t="s">
        <v>141</v>
      </c>
      <c r="B60" s="2" t="s">
        <v>142</v>
      </c>
      <c r="C60" s="2" t="s">
        <v>143</v>
      </c>
      <c r="D60" s="2" t="s">
        <v>96</v>
      </c>
      <c r="E60" s="3">
        <v>46118</v>
      </c>
      <c r="F60" s="4">
        <v>0</v>
      </c>
      <c r="G60" s="3">
        <v>46142</v>
      </c>
      <c r="H60" s="7">
        <v>-32370</v>
      </c>
      <c r="I60" s="2" t="s">
        <v>49</v>
      </c>
      <c r="J60" s="2" t="s">
        <v>413</v>
      </c>
      <c r="K60" s="16">
        <f t="shared" si="11"/>
        <v>46163</v>
      </c>
      <c r="L60" s="19"/>
      <c r="N60" s="16">
        <f>G60</f>
        <v>46142</v>
      </c>
      <c r="O60" s="10">
        <f t="shared" si="13"/>
        <v>-32370</v>
      </c>
      <c r="P60" s="19">
        <f t="shared" ca="1" si="14"/>
        <v>21</v>
      </c>
      <c r="Q60" t="s">
        <v>430</v>
      </c>
    </row>
    <row r="61" spans="1:17" outlineLevel="1" x14ac:dyDescent="0.3">
      <c r="A61" s="2" t="s">
        <v>141</v>
      </c>
      <c r="B61" s="2" t="s">
        <v>142</v>
      </c>
      <c r="C61" s="2" t="s">
        <v>143</v>
      </c>
      <c r="D61" s="2" t="s">
        <v>96</v>
      </c>
      <c r="E61" s="3">
        <v>46133</v>
      </c>
      <c r="F61" s="4">
        <v>0</v>
      </c>
      <c r="G61" s="3">
        <v>46142</v>
      </c>
      <c r="H61" s="7">
        <v>-16460</v>
      </c>
      <c r="I61" s="2" t="s">
        <v>49</v>
      </c>
      <c r="J61" s="2" t="s">
        <v>413</v>
      </c>
      <c r="K61" s="16">
        <f t="shared" si="11"/>
        <v>46178</v>
      </c>
      <c r="L61" s="19"/>
      <c r="N61" s="16">
        <f>G61</f>
        <v>46142</v>
      </c>
      <c r="O61" s="10">
        <f t="shared" ref="O61" si="15">H61</f>
        <v>-16460</v>
      </c>
      <c r="P61" s="19">
        <f t="shared" ca="1" si="14"/>
        <v>6</v>
      </c>
      <c r="Q61" t="s">
        <v>430</v>
      </c>
    </row>
    <row r="62" spans="1:17" hidden="1" outlineLevel="1" x14ac:dyDescent="0.3">
      <c r="A62" s="2" t="s">
        <v>144</v>
      </c>
      <c r="B62" s="2" t="s">
        <v>145</v>
      </c>
      <c r="C62" s="2" t="s">
        <v>146</v>
      </c>
      <c r="D62" s="2" t="s">
        <v>12</v>
      </c>
      <c r="E62" s="3">
        <v>46134</v>
      </c>
      <c r="F62" s="6">
        <v>-2</v>
      </c>
      <c r="G62" s="3">
        <v>46141</v>
      </c>
      <c r="H62" s="5">
        <v>622.33000000000004</v>
      </c>
      <c r="I62" s="2" t="s">
        <v>13</v>
      </c>
      <c r="J62" s="2" t="s">
        <v>410</v>
      </c>
      <c r="N62" s="16">
        <f t="shared" ref="N62:N105" si="16">G62</f>
        <v>46141</v>
      </c>
      <c r="O62" s="17">
        <f t="shared" ref="O62:O105" si="17">H62/3.478</f>
        <v>178.93329499712479</v>
      </c>
    </row>
    <row r="63" spans="1:17" hidden="1" outlineLevel="1" x14ac:dyDescent="0.3">
      <c r="A63" s="2" t="s">
        <v>144</v>
      </c>
      <c r="B63" s="2" t="s">
        <v>147</v>
      </c>
      <c r="C63" s="2" t="s">
        <v>148</v>
      </c>
      <c r="D63" s="2" t="s">
        <v>12</v>
      </c>
      <c r="E63" s="3">
        <v>46134</v>
      </c>
      <c r="F63" s="6">
        <v>-2</v>
      </c>
      <c r="G63" s="3">
        <v>46141</v>
      </c>
      <c r="H63" s="5">
        <v>123.9</v>
      </c>
      <c r="I63" s="2" t="s">
        <v>13</v>
      </c>
      <c r="J63" s="2" t="s">
        <v>410</v>
      </c>
      <c r="N63" s="16">
        <f t="shared" si="16"/>
        <v>46141</v>
      </c>
      <c r="O63" s="17">
        <f t="shared" si="17"/>
        <v>35.62392179413456</v>
      </c>
    </row>
    <row r="64" spans="1:17" hidden="1" outlineLevel="1" x14ac:dyDescent="0.3">
      <c r="A64" s="2" t="s">
        <v>149</v>
      </c>
      <c r="B64" s="2" t="s">
        <v>150</v>
      </c>
      <c r="C64" s="2" t="s">
        <v>151</v>
      </c>
      <c r="D64" s="2" t="s">
        <v>12</v>
      </c>
      <c r="E64" s="3">
        <v>46126</v>
      </c>
      <c r="F64" s="4">
        <v>6</v>
      </c>
      <c r="G64" s="3">
        <v>46133</v>
      </c>
      <c r="H64" s="5">
        <v>1138.94</v>
      </c>
      <c r="I64" s="2" t="s">
        <v>13</v>
      </c>
      <c r="J64" s="2" t="s">
        <v>410</v>
      </c>
      <c r="N64" s="16">
        <f t="shared" si="16"/>
        <v>46133</v>
      </c>
      <c r="O64" s="17">
        <f t="shared" si="17"/>
        <v>327.46981023576768</v>
      </c>
    </row>
    <row r="65" spans="1:15" hidden="1" outlineLevel="1" x14ac:dyDescent="0.3">
      <c r="A65" s="2" t="s">
        <v>149</v>
      </c>
      <c r="B65" s="2" t="s">
        <v>152</v>
      </c>
      <c r="C65" s="2" t="s">
        <v>153</v>
      </c>
      <c r="D65" s="2" t="s">
        <v>12</v>
      </c>
      <c r="E65" s="3">
        <v>46126</v>
      </c>
      <c r="F65" s="4">
        <v>6</v>
      </c>
      <c r="G65" s="3">
        <v>46133</v>
      </c>
      <c r="H65" s="5">
        <v>118</v>
      </c>
      <c r="I65" s="2" t="s">
        <v>13</v>
      </c>
      <c r="J65" s="2" t="s">
        <v>410</v>
      </c>
      <c r="N65" s="16">
        <f t="shared" si="16"/>
        <v>46133</v>
      </c>
      <c r="O65" s="17">
        <f t="shared" si="17"/>
        <v>33.927544565842439</v>
      </c>
    </row>
    <row r="66" spans="1:15" hidden="1" outlineLevel="1" x14ac:dyDescent="0.3">
      <c r="A66" s="2" t="s">
        <v>149</v>
      </c>
      <c r="B66" s="2" t="s">
        <v>154</v>
      </c>
      <c r="C66" s="2" t="s">
        <v>155</v>
      </c>
      <c r="D66" s="2" t="s">
        <v>12</v>
      </c>
      <c r="E66" s="3">
        <v>46126</v>
      </c>
      <c r="F66" s="4">
        <v>6</v>
      </c>
      <c r="G66" s="3">
        <v>46133</v>
      </c>
      <c r="H66" s="5">
        <v>599.35</v>
      </c>
      <c r="I66" s="2" t="s">
        <v>13</v>
      </c>
      <c r="J66" s="2" t="s">
        <v>410</v>
      </c>
      <c r="N66" s="16">
        <f t="shared" si="16"/>
        <v>46133</v>
      </c>
      <c r="O66" s="17">
        <f t="shared" si="17"/>
        <v>172.32604945370903</v>
      </c>
    </row>
    <row r="67" spans="1:15" hidden="1" outlineLevel="1" x14ac:dyDescent="0.3">
      <c r="A67" s="2" t="s">
        <v>149</v>
      </c>
      <c r="B67" s="2" t="s">
        <v>156</v>
      </c>
      <c r="C67" s="2" t="s">
        <v>157</v>
      </c>
      <c r="D67" s="2" t="s">
        <v>12</v>
      </c>
      <c r="E67" s="3">
        <v>46126</v>
      </c>
      <c r="F67" s="4">
        <v>6</v>
      </c>
      <c r="G67" s="3">
        <v>46133</v>
      </c>
      <c r="H67" s="5">
        <v>212.4</v>
      </c>
      <c r="I67" s="2" t="s">
        <v>13</v>
      </c>
      <c r="J67" s="2" t="s">
        <v>410</v>
      </c>
      <c r="N67" s="16">
        <f t="shared" si="16"/>
        <v>46133</v>
      </c>
      <c r="O67" s="17">
        <f t="shared" si="17"/>
        <v>61.069580218516386</v>
      </c>
    </row>
    <row r="68" spans="1:15" hidden="1" outlineLevel="1" x14ac:dyDescent="0.3">
      <c r="A68" s="2" t="s">
        <v>149</v>
      </c>
      <c r="B68" s="2" t="s">
        <v>158</v>
      </c>
      <c r="C68" s="2" t="s">
        <v>159</v>
      </c>
      <c r="D68" s="2" t="s">
        <v>12</v>
      </c>
      <c r="E68" s="3">
        <v>46126</v>
      </c>
      <c r="F68" s="4">
        <v>6</v>
      </c>
      <c r="G68" s="3">
        <v>46133</v>
      </c>
      <c r="H68" s="5">
        <v>260.31</v>
      </c>
      <c r="I68" s="2" t="s">
        <v>13</v>
      </c>
      <c r="J68" s="2" t="s">
        <v>410</v>
      </c>
      <c r="N68" s="16">
        <f t="shared" si="16"/>
        <v>46133</v>
      </c>
      <c r="O68" s="17">
        <f t="shared" si="17"/>
        <v>74.844738355376649</v>
      </c>
    </row>
    <row r="69" spans="1:15" hidden="1" outlineLevel="1" x14ac:dyDescent="0.3">
      <c r="A69" s="2" t="s">
        <v>149</v>
      </c>
      <c r="B69" s="2" t="s">
        <v>160</v>
      </c>
      <c r="C69" s="2" t="s">
        <v>161</v>
      </c>
      <c r="D69" s="2" t="s">
        <v>12</v>
      </c>
      <c r="E69" s="3">
        <v>46126</v>
      </c>
      <c r="F69" s="4">
        <v>6</v>
      </c>
      <c r="G69" s="3">
        <v>46133</v>
      </c>
      <c r="H69" s="5">
        <v>70.8</v>
      </c>
      <c r="I69" s="2" t="s">
        <v>13</v>
      </c>
      <c r="J69" s="2" t="s">
        <v>410</v>
      </c>
      <c r="N69" s="16">
        <f t="shared" si="16"/>
        <v>46133</v>
      </c>
      <c r="O69" s="17">
        <f t="shared" si="17"/>
        <v>20.356526739505462</v>
      </c>
    </row>
    <row r="70" spans="1:15" hidden="1" outlineLevel="1" x14ac:dyDescent="0.3">
      <c r="A70" s="2" t="s">
        <v>149</v>
      </c>
      <c r="B70" s="2" t="s">
        <v>162</v>
      </c>
      <c r="C70" s="2" t="s">
        <v>163</v>
      </c>
      <c r="D70" s="2" t="s">
        <v>12</v>
      </c>
      <c r="E70" s="3">
        <v>46127</v>
      </c>
      <c r="F70" s="4">
        <v>5</v>
      </c>
      <c r="G70" s="3">
        <v>46134</v>
      </c>
      <c r="H70" s="5">
        <v>906.71</v>
      </c>
      <c r="I70" s="2" t="s">
        <v>13</v>
      </c>
      <c r="J70" s="2" t="s">
        <v>410</v>
      </c>
      <c r="N70" s="16">
        <f t="shared" si="16"/>
        <v>46134</v>
      </c>
      <c r="O70" s="17">
        <f t="shared" si="17"/>
        <v>260.69867740080508</v>
      </c>
    </row>
    <row r="71" spans="1:15" hidden="1" outlineLevel="1" x14ac:dyDescent="0.3">
      <c r="A71" s="2" t="s">
        <v>149</v>
      </c>
      <c r="B71" s="2" t="s">
        <v>164</v>
      </c>
      <c r="C71" s="2" t="s">
        <v>165</v>
      </c>
      <c r="D71" s="2" t="s">
        <v>12</v>
      </c>
      <c r="E71" s="3">
        <v>46127</v>
      </c>
      <c r="F71" s="4">
        <v>5</v>
      </c>
      <c r="G71" s="3">
        <v>46134</v>
      </c>
      <c r="H71" s="5">
        <v>94.4</v>
      </c>
      <c r="I71" s="2" t="s">
        <v>13</v>
      </c>
      <c r="J71" s="2" t="s">
        <v>410</v>
      </c>
      <c r="N71" s="16">
        <f t="shared" si="16"/>
        <v>46134</v>
      </c>
      <c r="O71" s="17">
        <f t="shared" si="17"/>
        <v>27.14203565267395</v>
      </c>
    </row>
    <row r="72" spans="1:15" hidden="1" outlineLevel="1" x14ac:dyDescent="0.3">
      <c r="A72" s="2" t="s">
        <v>149</v>
      </c>
      <c r="B72" s="2" t="s">
        <v>166</v>
      </c>
      <c r="C72" s="2" t="s">
        <v>167</v>
      </c>
      <c r="D72" s="2" t="s">
        <v>12</v>
      </c>
      <c r="E72" s="3">
        <v>46127</v>
      </c>
      <c r="F72" s="4">
        <v>5</v>
      </c>
      <c r="G72" s="3">
        <v>46134</v>
      </c>
      <c r="H72" s="5">
        <v>965.43</v>
      </c>
      <c r="I72" s="2" t="s">
        <v>13</v>
      </c>
      <c r="J72" s="2" t="s">
        <v>410</v>
      </c>
      <c r="N72" s="16">
        <f t="shared" si="16"/>
        <v>46134</v>
      </c>
      <c r="O72" s="17">
        <f t="shared" si="17"/>
        <v>277.58194364577338</v>
      </c>
    </row>
    <row r="73" spans="1:15" hidden="1" outlineLevel="1" x14ac:dyDescent="0.3">
      <c r="A73" s="2" t="s">
        <v>149</v>
      </c>
      <c r="B73" s="2" t="s">
        <v>168</v>
      </c>
      <c r="C73" s="2" t="s">
        <v>169</v>
      </c>
      <c r="D73" s="2" t="s">
        <v>12</v>
      </c>
      <c r="E73" s="3">
        <v>46127</v>
      </c>
      <c r="F73" s="4">
        <v>5</v>
      </c>
      <c r="G73" s="3">
        <v>46134</v>
      </c>
      <c r="H73" s="5">
        <v>306.8</v>
      </c>
      <c r="I73" s="2" t="s">
        <v>13</v>
      </c>
      <c r="J73" s="2" t="s">
        <v>410</v>
      </c>
      <c r="N73" s="16">
        <f t="shared" si="16"/>
        <v>46134</v>
      </c>
      <c r="O73" s="17">
        <f t="shared" si="17"/>
        <v>88.211615871190332</v>
      </c>
    </row>
    <row r="74" spans="1:15" hidden="1" outlineLevel="1" x14ac:dyDescent="0.3">
      <c r="A74" s="2" t="s">
        <v>149</v>
      </c>
      <c r="B74" s="2" t="s">
        <v>170</v>
      </c>
      <c r="C74" s="2" t="s">
        <v>171</v>
      </c>
      <c r="D74" s="2" t="s">
        <v>12</v>
      </c>
      <c r="E74" s="3">
        <v>46129</v>
      </c>
      <c r="F74" s="4">
        <v>3</v>
      </c>
      <c r="G74" s="3">
        <v>46136</v>
      </c>
      <c r="H74" s="5">
        <v>1350.16</v>
      </c>
      <c r="I74" s="2" t="s">
        <v>13</v>
      </c>
      <c r="J74" s="2" t="s">
        <v>410</v>
      </c>
      <c r="N74" s="16">
        <f t="shared" si="16"/>
        <v>46136</v>
      </c>
      <c r="O74" s="17">
        <f t="shared" si="17"/>
        <v>388.20011500862563</v>
      </c>
    </row>
    <row r="75" spans="1:15" hidden="1" outlineLevel="1" x14ac:dyDescent="0.3">
      <c r="A75" s="2" t="s">
        <v>149</v>
      </c>
      <c r="B75" s="2" t="s">
        <v>172</v>
      </c>
      <c r="C75" s="2" t="s">
        <v>173</v>
      </c>
      <c r="D75" s="2" t="s">
        <v>12</v>
      </c>
      <c r="E75" s="3">
        <v>46129</v>
      </c>
      <c r="F75" s="4">
        <v>3</v>
      </c>
      <c r="G75" s="3">
        <v>46136</v>
      </c>
      <c r="H75" s="5">
        <v>141.6</v>
      </c>
      <c r="I75" s="2" t="s">
        <v>13</v>
      </c>
      <c r="J75" s="2" t="s">
        <v>410</v>
      </c>
      <c r="N75" s="16">
        <f t="shared" si="16"/>
        <v>46136</v>
      </c>
      <c r="O75" s="17">
        <f t="shared" si="17"/>
        <v>40.713053479010924</v>
      </c>
    </row>
    <row r="76" spans="1:15" hidden="1" outlineLevel="1" x14ac:dyDescent="0.3">
      <c r="A76" s="2" t="s">
        <v>149</v>
      </c>
      <c r="B76" s="2" t="s">
        <v>174</v>
      </c>
      <c r="C76" s="2" t="s">
        <v>175</v>
      </c>
      <c r="D76" s="2" t="s">
        <v>12</v>
      </c>
      <c r="E76" s="3">
        <v>46130</v>
      </c>
      <c r="F76" s="4">
        <v>2</v>
      </c>
      <c r="G76" s="3">
        <v>46137</v>
      </c>
      <c r="H76" s="5">
        <v>1227.9100000000001</v>
      </c>
      <c r="I76" s="2" t="s">
        <v>13</v>
      </c>
      <c r="J76" s="2" t="s">
        <v>410</v>
      </c>
      <c r="N76" s="16">
        <f t="shared" si="16"/>
        <v>46137</v>
      </c>
      <c r="O76" s="17">
        <f t="shared" si="17"/>
        <v>353.05060379528464</v>
      </c>
    </row>
    <row r="77" spans="1:15" hidden="1" outlineLevel="1" x14ac:dyDescent="0.3">
      <c r="A77" s="2" t="s">
        <v>149</v>
      </c>
      <c r="B77" s="2" t="s">
        <v>176</v>
      </c>
      <c r="C77" s="2" t="s">
        <v>177</v>
      </c>
      <c r="D77" s="2" t="s">
        <v>12</v>
      </c>
      <c r="E77" s="3">
        <v>46130</v>
      </c>
      <c r="F77" s="4">
        <v>2</v>
      </c>
      <c r="G77" s="3">
        <v>46137</v>
      </c>
      <c r="H77" s="5">
        <v>141.6</v>
      </c>
      <c r="I77" s="2" t="s">
        <v>13</v>
      </c>
      <c r="J77" s="2" t="s">
        <v>410</v>
      </c>
      <c r="N77" s="16">
        <f t="shared" si="16"/>
        <v>46137</v>
      </c>
      <c r="O77" s="17">
        <f t="shared" si="17"/>
        <v>40.713053479010924</v>
      </c>
    </row>
    <row r="78" spans="1:15" hidden="1" outlineLevel="1" x14ac:dyDescent="0.3">
      <c r="A78" s="2" t="s">
        <v>149</v>
      </c>
      <c r="B78" s="2" t="s">
        <v>178</v>
      </c>
      <c r="C78" s="2" t="s">
        <v>179</v>
      </c>
      <c r="D78" s="2" t="s">
        <v>12</v>
      </c>
      <c r="E78" s="3">
        <v>46131</v>
      </c>
      <c r="F78" s="4">
        <v>8</v>
      </c>
      <c r="G78" s="3">
        <v>46131</v>
      </c>
      <c r="H78" s="5">
        <v>302.79000000000002</v>
      </c>
      <c r="I78" s="2" t="s">
        <v>13</v>
      </c>
      <c r="J78" s="2" t="s">
        <v>410</v>
      </c>
      <c r="N78" s="16">
        <f t="shared" si="16"/>
        <v>46131</v>
      </c>
      <c r="O78" s="17">
        <f t="shared" si="17"/>
        <v>87.058654399079927</v>
      </c>
    </row>
    <row r="79" spans="1:15" hidden="1" outlineLevel="1" x14ac:dyDescent="0.3">
      <c r="A79" s="2" t="s">
        <v>149</v>
      </c>
      <c r="B79" s="2" t="s">
        <v>180</v>
      </c>
      <c r="C79" s="2" t="s">
        <v>181</v>
      </c>
      <c r="D79" s="2" t="s">
        <v>12</v>
      </c>
      <c r="E79" s="3">
        <v>46131</v>
      </c>
      <c r="F79" s="4">
        <v>8</v>
      </c>
      <c r="G79" s="3">
        <v>46131</v>
      </c>
      <c r="H79" s="5">
        <v>70.8</v>
      </c>
      <c r="I79" s="2" t="s">
        <v>13</v>
      </c>
      <c r="J79" s="2" t="s">
        <v>410</v>
      </c>
      <c r="N79" s="16">
        <f t="shared" si="16"/>
        <v>46131</v>
      </c>
      <c r="O79" s="17">
        <f t="shared" si="17"/>
        <v>20.356526739505462</v>
      </c>
    </row>
    <row r="80" spans="1:15" hidden="1" outlineLevel="1" x14ac:dyDescent="0.3">
      <c r="A80" s="2" t="s">
        <v>149</v>
      </c>
      <c r="B80" s="2" t="s">
        <v>182</v>
      </c>
      <c r="C80" s="2" t="s">
        <v>183</v>
      </c>
      <c r="D80" s="2" t="s">
        <v>12</v>
      </c>
      <c r="E80" s="3">
        <v>46131</v>
      </c>
      <c r="F80" s="4">
        <v>1</v>
      </c>
      <c r="G80" s="3">
        <v>46138</v>
      </c>
      <c r="H80" s="5">
        <v>444.39</v>
      </c>
      <c r="I80" s="2" t="s">
        <v>13</v>
      </c>
      <c r="J80" s="2" t="s">
        <v>410</v>
      </c>
      <c r="N80" s="16">
        <f t="shared" si="16"/>
        <v>46138</v>
      </c>
      <c r="O80" s="17">
        <f t="shared" si="17"/>
        <v>127.77170787809085</v>
      </c>
    </row>
    <row r="81" spans="1:15" hidden="1" outlineLevel="1" x14ac:dyDescent="0.3">
      <c r="A81" s="2" t="s">
        <v>149</v>
      </c>
      <c r="B81" s="2" t="s">
        <v>184</v>
      </c>
      <c r="C81" s="2" t="s">
        <v>185</v>
      </c>
      <c r="D81" s="2" t="s">
        <v>12</v>
      </c>
      <c r="E81" s="3">
        <v>46131</v>
      </c>
      <c r="F81" s="4">
        <v>1</v>
      </c>
      <c r="G81" s="3">
        <v>46138</v>
      </c>
      <c r="H81" s="5">
        <v>135.69999999999999</v>
      </c>
      <c r="I81" s="2" t="s">
        <v>13</v>
      </c>
      <c r="J81" s="2" t="s">
        <v>410</v>
      </c>
      <c r="N81" s="16">
        <f t="shared" si="16"/>
        <v>46138</v>
      </c>
      <c r="O81" s="17">
        <f t="shared" si="17"/>
        <v>39.016676250718795</v>
      </c>
    </row>
    <row r="82" spans="1:15" hidden="1" outlineLevel="1" x14ac:dyDescent="0.3">
      <c r="A82" s="2" t="s">
        <v>149</v>
      </c>
      <c r="B82" s="2" t="s">
        <v>186</v>
      </c>
      <c r="C82" s="2" t="s">
        <v>187</v>
      </c>
      <c r="D82" s="2" t="s">
        <v>12</v>
      </c>
      <c r="E82" s="3">
        <v>46132</v>
      </c>
      <c r="F82" s="4">
        <v>0</v>
      </c>
      <c r="G82" s="3">
        <v>46139</v>
      </c>
      <c r="H82" s="5">
        <v>705.17</v>
      </c>
      <c r="I82" s="2" t="s">
        <v>13</v>
      </c>
      <c r="J82" s="2" t="s">
        <v>410</v>
      </c>
      <c r="N82" s="16">
        <f t="shared" si="16"/>
        <v>46139</v>
      </c>
      <c r="O82" s="17">
        <f t="shared" si="17"/>
        <v>202.75158136860261</v>
      </c>
    </row>
    <row r="83" spans="1:15" hidden="1" outlineLevel="1" x14ac:dyDescent="0.3">
      <c r="A83" s="2" t="s">
        <v>149</v>
      </c>
      <c r="B83" s="2" t="s">
        <v>188</v>
      </c>
      <c r="C83" s="2" t="s">
        <v>189</v>
      </c>
      <c r="D83" s="2" t="s">
        <v>12</v>
      </c>
      <c r="E83" s="3">
        <v>46132</v>
      </c>
      <c r="F83" s="4">
        <v>0</v>
      </c>
      <c r="G83" s="3">
        <v>46139</v>
      </c>
      <c r="H83" s="5">
        <v>70.8</v>
      </c>
      <c r="I83" s="2" t="s">
        <v>13</v>
      </c>
      <c r="J83" s="2" t="s">
        <v>410</v>
      </c>
      <c r="N83" s="16">
        <f t="shared" si="16"/>
        <v>46139</v>
      </c>
      <c r="O83" s="17">
        <f t="shared" si="17"/>
        <v>20.356526739505462</v>
      </c>
    </row>
    <row r="84" spans="1:15" hidden="1" outlineLevel="1" x14ac:dyDescent="0.3">
      <c r="A84" s="2" t="s">
        <v>149</v>
      </c>
      <c r="B84" s="2" t="s">
        <v>190</v>
      </c>
      <c r="C84" s="2" t="s">
        <v>191</v>
      </c>
      <c r="D84" s="2" t="s">
        <v>12</v>
      </c>
      <c r="E84" s="3">
        <v>46133</v>
      </c>
      <c r="F84" s="6">
        <v>-1</v>
      </c>
      <c r="G84" s="3">
        <v>46140</v>
      </c>
      <c r="H84" s="5">
        <v>387.23</v>
      </c>
      <c r="I84" s="2" t="s">
        <v>13</v>
      </c>
      <c r="J84" s="2" t="s">
        <v>410</v>
      </c>
      <c r="N84" s="16">
        <f t="shared" si="16"/>
        <v>46140</v>
      </c>
      <c r="O84" s="17">
        <f t="shared" si="17"/>
        <v>111.33697527314548</v>
      </c>
    </row>
    <row r="85" spans="1:15" hidden="1" outlineLevel="1" x14ac:dyDescent="0.3">
      <c r="A85" s="2" t="s">
        <v>149</v>
      </c>
      <c r="B85" s="2" t="s">
        <v>192</v>
      </c>
      <c r="C85" s="2" t="s">
        <v>193</v>
      </c>
      <c r="D85" s="2" t="s">
        <v>12</v>
      </c>
      <c r="E85" s="3">
        <v>46133</v>
      </c>
      <c r="F85" s="6">
        <v>-1</v>
      </c>
      <c r="G85" s="3">
        <v>46140</v>
      </c>
      <c r="H85" s="5">
        <v>153.4</v>
      </c>
      <c r="I85" s="2" t="s">
        <v>13</v>
      </c>
      <c r="J85" s="2" t="s">
        <v>410</v>
      </c>
      <c r="N85" s="16">
        <f t="shared" si="16"/>
        <v>46140</v>
      </c>
      <c r="O85" s="17">
        <f t="shared" si="17"/>
        <v>44.105807935595166</v>
      </c>
    </row>
    <row r="86" spans="1:15" hidden="1" outlineLevel="1" x14ac:dyDescent="0.3">
      <c r="A86" s="2" t="s">
        <v>149</v>
      </c>
      <c r="B86" s="2" t="s">
        <v>194</v>
      </c>
      <c r="C86" s="2" t="s">
        <v>195</v>
      </c>
      <c r="D86" s="2" t="s">
        <v>12</v>
      </c>
      <c r="E86" s="3">
        <v>46133</v>
      </c>
      <c r="F86" s="6">
        <v>-1</v>
      </c>
      <c r="G86" s="3">
        <v>46140</v>
      </c>
      <c r="H86" s="5">
        <v>295.94</v>
      </c>
      <c r="I86" s="2" t="s">
        <v>13</v>
      </c>
      <c r="J86" s="2" t="s">
        <v>410</v>
      </c>
      <c r="N86" s="16">
        <f t="shared" si="16"/>
        <v>46140</v>
      </c>
      <c r="O86" s="17">
        <f t="shared" si="17"/>
        <v>85.089131684876364</v>
      </c>
    </row>
    <row r="87" spans="1:15" hidden="1" outlineLevel="1" x14ac:dyDescent="0.3">
      <c r="A87" s="2" t="s">
        <v>149</v>
      </c>
      <c r="B87" s="2" t="s">
        <v>196</v>
      </c>
      <c r="C87" s="2" t="s">
        <v>197</v>
      </c>
      <c r="D87" s="2" t="s">
        <v>12</v>
      </c>
      <c r="E87" s="3">
        <v>46133</v>
      </c>
      <c r="F87" s="6">
        <v>-1</v>
      </c>
      <c r="G87" s="3">
        <v>46140</v>
      </c>
      <c r="H87" s="5">
        <v>47.2</v>
      </c>
      <c r="I87" s="2" t="s">
        <v>13</v>
      </c>
      <c r="J87" s="2" t="s">
        <v>410</v>
      </c>
      <c r="N87" s="16">
        <f t="shared" si="16"/>
        <v>46140</v>
      </c>
      <c r="O87" s="17">
        <f t="shared" si="17"/>
        <v>13.571017826336975</v>
      </c>
    </row>
    <row r="88" spans="1:15" hidden="1" outlineLevel="1" x14ac:dyDescent="0.3">
      <c r="A88" s="2" t="s">
        <v>149</v>
      </c>
      <c r="B88" s="2" t="s">
        <v>198</v>
      </c>
      <c r="C88" s="2" t="s">
        <v>199</v>
      </c>
      <c r="D88" s="2" t="s">
        <v>12</v>
      </c>
      <c r="E88" s="3">
        <v>46133</v>
      </c>
      <c r="F88" s="6">
        <v>-1</v>
      </c>
      <c r="G88" s="3">
        <v>46140</v>
      </c>
      <c r="H88" s="5">
        <v>484.04</v>
      </c>
      <c r="I88" s="2" t="s">
        <v>13</v>
      </c>
      <c r="J88" s="2" t="s">
        <v>410</v>
      </c>
      <c r="N88" s="16">
        <f t="shared" si="16"/>
        <v>46140</v>
      </c>
      <c r="O88" s="17">
        <f t="shared" si="17"/>
        <v>139.17193789534215</v>
      </c>
    </row>
    <row r="89" spans="1:15" hidden="1" outlineLevel="1" x14ac:dyDescent="0.3">
      <c r="A89" s="2" t="s">
        <v>149</v>
      </c>
      <c r="B89" s="2" t="s">
        <v>200</v>
      </c>
      <c r="C89" s="2" t="s">
        <v>201</v>
      </c>
      <c r="D89" s="2" t="s">
        <v>12</v>
      </c>
      <c r="E89" s="3">
        <v>46133</v>
      </c>
      <c r="F89" s="6">
        <v>-1</v>
      </c>
      <c r="G89" s="3">
        <v>46140</v>
      </c>
      <c r="H89" s="5">
        <v>153.4</v>
      </c>
      <c r="I89" s="2" t="s">
        <v>13</v>
      </c>
      <c r="J89" s="2" t="s">
        <v>410</v>
      </c>
      <c r="N89" s="16">
        <f t="shared" si="16"/>
        <v>46140</v>
      </c>
      <c r="O89" s="17">
        <f t="shared" si="17"/>
        <v>44.105807935595166</v>
      </c>
    </row>
    <row r="90" spans="1:15" hidden="1" outlineLevel="1" x14ac:dyDescent="0.3">
      <c r="A90" s="2" t="s">
        <v>149</v>
      </c>
      <c r="B90" s="2" t="s">
        <v>202</v>
      </c>
      <c r="C90" s="2" t="s">
        <v>203</v>
      </c>
      <c r="D90" s="2" t="s">
        <v>12</v>
      </c>
      <c r="E90" s="3">
        <v>46134</v>
      </c>
      <c r="F90" s="6">
        <v>-2</v>
      </c>
      <c r="G90" s="3">
        <v>46141</v>
      </c>
      <c r="H90" s="5">
        <v>673.36</v>
      </c>
      <c r="I90" s="2" t="s">
        <v>13</v>
      </c>
      <c r="J90" s="2" t="s">
        <v>410</v>
      </c>
      <c r="N90" s="16">
        <f t="shared" si="16"/>
        <v>46141</v>
      </c>
      <c r="O90" s="17">
        <f t="shared" si="17"/>
        <v>193.60552041403105</v>
      </c>
    </row>
    <row r="91" spans="1:15" hidden="1" outlineLevel="1" x14ac:dyDescent="0.3">
      <c r="A91" s="2" t="s">
        <v>149</v>
      </c>
      <c r="B91" s="2" t="s">
        <v>204</v>
      </c>
      <c r="C91" s="2" t="s">
        <v>205</v>
      </c>
      <c r="D91" s="2" t="s">
        <v>12</v>
      </c>
      <c r="E91" s="3">
        <v>46134</v>
      </c>
      <c r="F91" s="6">
        <v>-2</v>
      </c>
      <c r="G91" s="3">
        <v>46141</v>
      </c>
      <c r="H91" s="5">
        <v>177</v>
      </c>
      <c r="I91" s="2" t="s">
        <v>13</v>
      </c>
      <c r="J91" s="2" t="s">
        <v>410</v>
      </c>
      <c r="N91" s="16">
        <f t="shared" si="16"/>
        <v>46141</v>
      </c>
      <c r="O91" s="17">
        <f t="shared" si="17"/>
        <v>50.891316848763651</v>
      </c>
    </row>
    <row r="92" spans="1:15" hidden="1" outlineLevel="1" x14ac:dyDescent="0.3">
      <c r="A92" s="2" t="s">
        <v>149</v>
      </c>
      <c r="B92" s="2" t="s">
        <v>206</v>
      </c>
      <c r="C92" s="2" t="s">
        <v>207</v>
      </c>
      <c r="D92" s="2" t="s">
        <v>12</v>
      </c>
      <c r="E92" s="3">
        <v>46135</v>
      </c>
      <c r="F92" s="6">
        <v>-3</v>
      </c>
      <c r="G92" s="3">
        <v>46142</v>
      </c>
      <c r="H92" s="5">
        <v>425.27</v>
      </c>
      <c r="I92" s="2" t="s">
        <v>13</v>
      </c>
      <c r="J92" s="2" t="s">
        <v>410</v>
      </c>
      <c r="N92" s="16">
        <f t="shared" si="16"/>
        <v>46142</v>
      </c>
      <c r="O92" s="17">
        <f t="shared" si="17"/>
        <v>122.2742955721679</v>
      </c>
    </row>
    <row r="93" spans="1:15" hidden="1" outlineLevel="1" x14ac:dyDescent="0.3">
      <c r="A93" s="2" t="s">
        <v>149</v>
      </c>
      <c r="B93" s="2" t="s">
        <v>208</v>
      </c>
      <c r="C93" s="2" t="s">
        <v>209</v>
      </c>
      <c r="D93" s="2" t="s">
        <v>12</v>
      </c>
      <c r="E93" s="3">
        <v>46135</v>
      </c>
      <c r="F93" s="6">
        <v>-3</v>
      </c>
      <c r="G93" s="3">
        <v>46142</v>
      </c>
      <c r="H93" s="5">
        <v>47.2</v>
      </c>
      <c r="I93" s="2" t="s">
        <v>13</v>
      </c>
      <c r="J93" s="2" t="s">
        <v>410</v>
      </c>
      <c r="N93" s="16">
        <f t="shared" si="16"/>
        <v>46142</v>
      </c>
      <c r="O93" s="17">
        <f t="shared" si="17"/>
        <v>13.571017826336975</v>
      </c>
    </row>
    <row r="94" spans="1:15" hidden="1" outlineLevel="1" x14ac:dyDescent="0.3">
      <c r="A94" s="2" t="s">
        <v>149</v>
      </c>
      <c r="B94" s="2" t="s">
        <v>210</v>
      </c>
      <c r="C94" s="2" t="s">
        <v>211</v>
      </c>
      <c r="D94" s="2" t="s">
        <v>12</v>
      </c>
      <c r="E94" s="3">
        <v>46135</v>
      </c>
      <c r="F94" s="6">
        <v>-3</v>
      </c>
      <c r="G94" s="3">
        <v>46142</v>
      </c>
      <c r="H94" s="5">
        <v>639.09</v>
      </c>
      <c r="I94" s="2" t="s">
        <v>13</v>
      </c>
      <c r="J94" s="2" t="s">
        <v>410</v>
      </c>
      <c r="N94" s="16">
        <f t="shared" si="16"/>
        <v>46142</v>
      </c>
      <c r="O94" s="17">
        <f t="shared" si="17"/>
        <v>183.75215641173088</v>
      </c>
    </row>
    <row r="95" spans="1:15" hidden="1" outlineLevel="1" x14ac:dyDescent="0.3">
      <c r="A95" s="2" t="s">
        <v>149</v>
      </c>
      <c r="B95" s="2" t="s">
        <v>212</v>
      </c>
      <c r="C95" s="2" t="s">
        <v>213</v>
      </c>
      <c r="D95" s="2" t="s">
        <v>12</v>
      </c>
      <c r="E95" s="3">
        <v>46135</v>
      </c>
      <c r="F95" s="6">
        <v>-3</v>
      </c>
      <c r="G95" s="3">
        <v>46142</v>
      </c>
      <c r="H95" s="5">
        <v>70.8</v>
      </c>
      <c r="I95" s="2" t="s">
        <v>13</v>
      </c>
      <c r="J95" s="2" t="s">
        <v>410</v>
      </c>
      <c r="N95" s="16">
        <f t="shared" si="16"/>
        <v>46142</v>
      </c>
      <c r="O95" s="17">
        <f t="shared" si="17"/>
        <v>20.356526739505462</v>
      </c>
    </row>
    <row r="96" spans="1:15" hidden="1" outlineLevel="1" x14ac:dyDescent="0.3">
      <c r="A96" s="2" t="s">
        <v>149</v>
      </c>
      <c r="B96" s="2" t="s">
        <v>214</v>
      </c>
      <c r="C96" s="2" t="s">
        <v>215</v>
      </c>
      <c r="D96" s="2" t="s">
        <v>12</v>
      </c>
      <c r="E96" s="3">
        <v>46136</v>
      </c>
      <c r="F96" s="4">
        <v>3</v>
      </c>
      <c r="G96" s="3">
        <v>46136</v>
      </c>
      <c r="H96" s="5">
        <v>627.1</v>
      </c>
      <c r="I96" s="2" t="s">
        <v>13</v>
      </c>
      <c r="J96" s="2" t="s">
        <v>410</v>
      </c>
      <c r="N96" s="16">
        <f t="shared" si="16"/>
        <v>46136</v>
      </c>
      <c r="O96" s="17">
        <f t="shared" si="17"/>
        <v>180.30477285796434</v>
      </c>
    </row>
    <row r="97" spans="1:17" hidden="1" outlineLevel="1" x14ac:dyDescent="0.3">
      <c r="A97" s="2" t="s">
        <v>149</v>
      </c>
      <c r="B97" s="2" t="s">
        <v>216</v>
      </c>
      <c r="C97" s="2" t="s">
        <v>217</v>
      </c>
      <c r="D97" s="2" t="s">
        <v>12</v>
      </c>
      <c r="E97" s="3">
        <v>46136</v>
      </c>
      <c r="F97" s="4">
        <v>3</v>
      </c>
      <c r="G97" s="3">
        <v>46136</v>
      </c>
      <c r="H97" s="5">
        <v>177</v>
      </c>
      <c r="I97" s="2" t="s">
        <v>13</v>
      </c>
      <c r="J97" s="2" t="s">
        <v>410</v>
      </c>
      <c r="N97" s="16">
        <f t="shared" si="16"/>
        <v>46136</v>
      </c>
      <c r="O97" s="17">
        <f t="shared" si="17"/>
        <v>50.891316848763651</v>
      </c>
    </row>
    <row r="98" spans="1:17" hidden="1" outlineLevel="1" x14ac:dyDescent="0.3">
      <c r="A98" s="2" t="s">
        <v>149</v>
      </c>
      <c r="B98" s="2" t="s">
        <v>218</v>
      </c>
      <c r="C98" s="2" t="s">
        <v>219</v>
      </c>
      <c r="D98" s="2" t="s">
        <v>12</v>
      </c>
      <c r="E98" s="3">
        <v>46136</v>
      </c>
      <c r="F98" s="6">
        <v>-4</v>
      </c>
      <c r="G98" s="3">
        <v>46143</v>
      </c>
      <c r="H98" s="5">
        <v>425.04</v>
      </c>
      <c r="I98" s="2" t="s">
        <v>13</v>
      </c>
      <c r="J98" s="2" t="s">
        <v>410</v>
      </c>
      <c r="N98" s="16">
        <f t="shared" si="16"/>
        <v>46143</v>
      </c>
      <c r="O98" s="17">
        <f t="shared" si="17"/>
        <v>122.20816561242093</v>
      </c>
    </row>
    <row r="99" spans="1:17" hidden="1" outlineLevel="1" x14ac:dyDescent="0.3">
      <c r="A99" s="2" t="s">
        <v>149</v>
      </c>
      <c r="B99" s="2" t="s">
        <v>220</v>
      </c>
      <c r="C99" s="2" t="s">
        <v>221</v>
      </c>
      <c r="D99" s="2" t="s">
        <v>12</v>
      </c>
      <c r="E99" s="3">
        <v>46136</v>
      </c>
      <c r="F99" s="6">
        <v>-4</v>
      </c>
      <c r="G99" s="3">
        <v>46143</v>
      </c>
      <c r="H99" s="5">
        <v>47.2</v>
      </c>
      <c r="I99" s="2" t="s">
        <v>13</v>
      </c>
      <c r="J99" s="2" t="s">
        <v>410</v>
      </c>
      <c r="N99" s="16">
        <f t="shared" si="16"/>
        <v>46143</v>
      </c>
      <c r="O99" s="17">
        <f t="shared" si="17"/>
        <v>13.571017826336975</v>
      </c>
    </row>
    <row r="100" spans="1:17" hidden="1" outlineLevel="1" x14ac:dyDescent="0.3">
      <c r="A100" s="2" t="s">
        <v>149</v>
      </c>
      <c r="B100" s="2" t="s">
        <v>222</v>
      </c>
      <c r="C100" s="2" t="s">
        <v>223</v>
      </c>
      <c r="D100" s="2" t="s">
        <v>12</v>
      </c>
      <c r="E100" s="3">
        <v>46136</v>
      </c>
      <c r="F100" s="6">
        <v>-4</v>
      </c>
      <c r="G100" s="3">
        <v>46143</v>
      </c>
      <c r="H100" s="5">
        <v>1539</v>
      </c>
      <c r="I100" s="2" t="s">
        <v>13</v>
      </c>
      <c r="J100" s="2" t="s">
        <v>410</v>
      </c>
      <c r="N100" s="16">
        <f t="shared" si="16"/>
        <v>46143</v>
      </c>
      <c r="O100" s="17">
        <f t="shared" si="17"/>
        <v>442.49568717653824</v>
      </c>
    </row>
    <row r="101" spans="1:17" hidden="1" outlineLevel="1" x14ac:dyDescent="0.3">
      <c r="A101" s="2" t="s">
        <v>149</v>
      </c>
      <c r="B101" s="2" t="s">
        <v>224</v>
      </c>
      <c r="C101" s="2" t="s">
        <v>225</v>
      </c>
      <c r="D101" s="2" t="s">
        <v>12</v>
      </c>
      <c r="E101" s="3">
        <v>46136</v>
      </c>
      <c r="F101" s="6">
        <v>-4</v>
      </c>
      <c r="G101" s="3">
        <v>46143</v>
      </c>
      <c r="H101" s="5">
        <v>536.9</v>
      </c>
      <c r="I101" s="2" t="s">
        <v>13</v>
      </c>
      <c r="J101" s="2" t="s">
        <v>410</v>
      </c>
      <c r="N101" s="16">
        <f t="shared" si="16"/>
        <v>46143</v>
      </c>
      <c r="O101" s="17">
        <f t="shared" si="17"/>
        <v>154.37032777458307</v>
      </c>
    </row>
    <row r="102" spans="1:17" hidden="1" outlineLevel="1" x14ac:dyDescent="0.3">
      <c r="A102" s="2" t="s">
        <v>149</v>
      </c>
      <c r="B102" s="2" t="s">
        <v>226</v>
      </c>
      <c r="C102" s="2" t="s">
        <v>227</v>
      </c>
      <c r="D102" s="2" t="s">
        <v>12</v>
      </c>
      <c r="E102" s="3">
        <v>46138</v>
      </c>
      <c r="F102" s="6">
        <v>-6</v>
      </c>
      <c r="G102" s="3">
        <v>46145</v>
      </c>
      <c r="H102" s="5">
        <v>692.66</v>
      </c>
      <c r="I102" s="2" t="s">
        <v>13</v>
      </c>
      <c r="J102" s="2" t="s">
        <v>410</v>
      </c>
      <c r="N102" s="16">
        <f t="shared" si="16"/>
        <v>46145</v>
      </c>
      <c r="O102" s="17">
        <f t="shared" si="17"/>
        <v>199.15468660149509</v>
      </c>
    </row>
    <row r="103" spans="1:17" hidden="1" outlineLevel="1" x14ac:dyDescent="0.3">
      <c r="A103" s="2" t="s">
        <v>149</v>
      </c>
      <c r="B103" s="2" t="s">
        <v>228</v>
      </c>
      <c r="C103" s="2" t="s">
        <v>229</v>
      </c>
      <c r="D103" s="2" t="s">
        <v>12</v>
      </c>
      <c r="E103" s="3">
        <v>46138</v>
      </c>
      <c r="F103" s="6">
        <v>-6</v>
      </c>
      <c r="G103" s="3">
        <v>46145</v>
      </c>
      <c r="H103" s="5">
        <v>70.8</v>
      </c>
      <c r="I103" s="2" t="s">
        <v>13</v>
      </c>
      <c r="J103" s="2" t="s">
        <v>410</v>
      </c>
      <c r="N103" s="16">
        <f t="shared" si="16"/>
        <v>46145</v>
      </c>
      <c r="O103" s="17">
        <f t="shared" si="17"/>
        <v>20.356526739505462</v>
      </c>
    </row>
    <row r="104" spans="1:17" hidden="1" outlineLevel="1" x14ac:dyDescent="0.3">
      <c r="A104" s="2" t="s">
        <v>149</v>
      </c>
      <c r="B104" s="2" t="s">
        <v>230</v>
      </c>
      <c r="C104" s="2" t="s">
        <v>231</v>
      </c>
      <c r="D104" s="2" t="s">
        <v>12</v>
      </c>
      <c r="E104" s="3">
        <v>46138</v>
      </c>
      <c r="F104" s="6">
        <v>-6</v>
      </c>
      <c r="G104" s="3">
        <v>46145</v>
      </c>
      <c r="H104" s="5">
        <v>631.39</v>
      </c>
      <c r="I104" s="2" t="s">
        <v>13</v>
      </c>
      <c r="J104" s="2" t="s">
        <v>410</v>
      </c>
      <c r="N104" s="16">
        <f t="shared" si="16"/>
        <v>46145</v>
      </c>
      <c r="O104" s="17">
        <f t="shared" si="17"/>
        <v>181.5382403680276</v>
      </c>
    </row>
    <row r="105" spans="1:17" hidden="1" outlineLevel="1" x14ac:dyDescent="0.3">
      <c r="A105" s="2" t="s">
        <v>149</v>
      </c>
      <c r="B105" s="2" t="s">
        <v>232</v>
      </c>
      <c r="C105" s="2" t="s">
        <v>233</v>
      </c>
      <c r="D105" s="2" t="s">
        <v>12</v>
      </c>
      <c r="E105" s="3">
        <v>46138</v>
      </c>
      <c r="F105" s="6">
        <v>-6</v>
      </c>
      <c r="G105" s="3">
        <v>46145</v>
      </c>
      <c r="H105" s="5">
        <v>153.4</v>
      </c>
      <c r="I105" s="2" t="s">
        <v>13</v>
      </c>
      <c r="J105" s="2" t="s">
        <v>410</v>
      </c>
      <c r="N105" s="16">
        <f t="shared" si="16"/>
        <v>46145</v>
      </c>
      <c r="O105" s="17">
        <f t="shared" si="17"/>
        <v>44.105807935595166</v>
      </c>
    </row>
    <row r="106" spans="1:17" hidden="1" outlineLevel="1" x14ac:dyDescent="0.3">
      <c r="A106" s="2" t="s">
        <v>234</v>
      </c>
      <c r="B106" s="2" t="s">
        <v>235</v>
      </c>
      <c r="C106" s="2" t="s">
        <v>236</v>
      </c>
      <c r="D106" s="2" t="s">
        <v>95</v>
      </c>
      <c r="E106" s="3">
        <v>46096</v>
      </c>
      <c r="F106" s="4">
        <v>43</v>
      </c>
      <c r="G106" s="3">
        <v>46096</v>
      </c>
      <c r="H106" s="5">
        <v>147743.07</v>
      </c>
      <c r="I106" s="2" t="s">
        <v>49</v>
      </c>
      <c r="J106" s="2" t="s">
        <v>413</v>
      </c>
      <c r="K106" s="16">
        <f t="shared" ref="K106:K114" si="18">E106+45</f>
        <v>46141</v>
      </c>
      <c r="L106" s="19">
        <f t="shared" ref="L106:L109" ca="1" si="19">M106-TODAY()</f>
        <v>2</v>
      </c>
      <c r="M106" s="16">
        <v>46141</v>
      </c>
      <c r="N106" s="16">
        <v>46148</v>
      </c>
      <c r="O106" s="10">
        <f t="shared" ref="O106:O114" si="20">H106</f>
        <v>147743.07</v>
      </c>
      <c r="P106" s="19">
        <f t="shared" ref="P106:P114" ca="1" si="21">TODAY()-E106</f>
        <v>43</v>
      </c>
      <c r="Q106" t="s">
        <v>430</v>
      </c>
    </row>
    <row r="107" spans="1:17" hidden="1" outlineLevel="1" x14ac:dyDescent="0.3">
      <c r="A107" s="2" t="s">
        <v>234</v>
      </c>
      <c r="B107" s="2" t="s">
        <v>237</v>
      </c>
      <c r="C107" s="2" t="s">
        <v>238</v>
      </c>
      <c r="D107" s="2" t="s">
        <v>48</v>
      </c>
      <c r="E107" s="3">
        <v>46109</v>
      </c>
      <c r="F107" s="6">
        <v>-15</v>
      </c>
      <c r="G107" s="3">
        <v>46154</v>
      </c>
      <c r="H107" s="5">
        <v>177221.7</v>
      </c>
      <c r="I107" s="2" t="s">
        <v>49</v>
      </c>
      <c r="J107" s="2" t="s">
        <v>413</v>
      </c>
      <c r="K107" s="16">
        <f t="shared" si="18"/>
        <v>46154</v>
      </c>
      <c r="L107" s="19">
        <f t="shared" ca="1" si="19"/>
        <v>15</v>
      </c>
      <c r="M107" s="16">
        <v>46154</v>
      </c>
      <c r="N107" s="16">
        <f>G107</f>
        <v>46154</v>
      </c>
      <c r="O107" s="10">
        <f t="shared" si="20"/>
        <v>177221.7</v>
      </c>
      <c r="P107" s="19">
        <f t="shared" ca="1" si="21"/>
        <v>30</v>
      </c>
      <c r="Q107" t="s">
        <v>430</v>
      </c>
    </row>
    <row r="108" spans="1:17" hidden="1" outlineLevel="1" x14ac:dyDescent="0.3">
      <c r="A108" s="2" t="s">
        <v>234</v>
      </c>
      <c r="B108" s="2" t="s">
        <v>239</v>
      </c>
      <c r="C108" s="2" t="s">
        <v>240</v>
      </c>
      <c r="D108" s="2" t="s">
        <v>48</v>
      </c>
      <c r="E108" s="3">
        <v>46120</v>
      </c>
      <c r="F108" s="6">
        <v>-26</v>
      </c>
      <c r="G108" s="3">
        <v>46165</v>
      </c>
      <c r="H108" s="5">
        <v>175000</v>
      </c>
      <c r="I108" s="2" t="s">
        <v>49</v>
      </c>
      <c r="J108" s="2" t="s">
        <v>413</v>
      </c>
      <c r="K108" s="16">
        <f t="shared" si="18"/>
        <v>46165</v>
      </c>
      <c r="L108" s="19">
        <f t="shared" ca="1" si="19"/>
        <v>26</v>
      </c>
      <c r="M108" s="16">
        <v>46165</v>
      </c>
      <c r="N108" s="16">
        <f>G108</f>
        <v>46165</v>
      </c>
      <c r="O108" s="10">
        <f t="shared" si="20"/>
        <v>175000</v>
      </c>
      <c r="P108" s="19">
        <f t="shared" ca="1" si="21"/>
        <v>19</v>
      </c>
      <c r="Q108" t="s">
        <v>430</v>
      </c>
    </row>
    <row r="109" spans="1:17" hidden="1" outlineLevel="1" x14ac:dyDescent="0.3">
      <c r="A109" s="2" t="s">
        <v>241</v>
      </c>
      <c r="B109" s="2" t="s">
        <v>242</v>
      </c>
      <c r="C109" s="2" t="s">
        <v>243</v>
      </c>
      <c r="D109" s="2" t="s">
        <v>48</v>
      </c>
      <c r="E109" s="3">
        <v>46109</v>
      </c>
      <c r="F109" s="6">
        <v>-15</v>
      </c>
      <c r="G109" s="3">
        <v>46154</v>
      </c>
      <c r="H109" s="5">
        <v>669600</v>
      </c>
      <c r="I109" s="2" t="s">
        <v>49</v>
      </c>
      <c r="J109" s="2" t="s">
        <v>413</v>
      </c>
      <c r="K109" s="16">
        <f t="shared" si="18"/>
        <v>46154</v>
      </c>
      <c r="L109" s="19">
        <f t="shared" ca="1" si="19"/>
        <v>15</v>
      </c>
      <c r="M109" s="16">
        <v>46154</v>
      </c>
      <c r="N109" s="16">
        <f>G109</f>
        <v>46154</v>
      </c>
      <c r="O109" s="10">
        <f t="shared" si="20"/>
        <v>669600</v>
      </c>
      <c r="P109" s="19">
        <f t="shared" ca="1" si="21"/>
        <v>30</v>
      </c>
      <c r="Q109" t="s">
        <v>430</v>
      </c>
    </row>
    <row r="110" spans="1:17" hidden="1" outlineLevel="1" x14ac:dyDescent="0.3">
      <c r="A110" s="2" t="s">
        <v>241</v>
      </c>
      <c r="B110" s="2" t="s">
        <v>244</v>
      </c>
      <c r="C110" s="2" t="s">
        <v>245</v>
      </c>
      <c r="D110" s="2" t="s">
        <v>48</v>
      </c>
      <c r="E110" s="3">
        <v>46134</v>
      </c>
      <c r="F110" s="6">
        <v>-40</v>
      </c>
      <c r="G110" s="3">
        <v>46179</v>
      </c>
      <c r="H110" s="5">
        <v>631800</v>
      </c>
      <c r="I110" s="2" t="s">
        <v>49</v>
      </c>
      <c r="J110" s="2" t="s">
        <v>413</v>
      </c>
      <c r="K110" s="16">
        <f t="shared" si="18"/>
        <v>46179</v>
      </c>
      <c r="L110" s="19"/>
      <c r="M110" s="16">
        <f>K110</f>
        <v>46179</v>
      </c>
      <c r="N110" s="16">
        <f>G110</f>
        <v>46179</v>
      </c>
      <c r="O110" s="10">
        <f t="shared" si="20"/>
        <v>631800</v>
      </c>
      <c r="P110" s="19">
        <f t="shared" ca="1" si="21"/>
        <v>5</v>
      </c>
      <c r="Q110" t="s">
        <v>430</v>
      </c>
    </row>
    <row r="111" spans="1:17" hidden="1" outlineLevel="1" x14ac:dyDescent="0.3">
      <c r="A111" s="2" t="s">
        <v>246</v>
      </c>
      <c r="B111" s="2" t="s">
        <v>247</v>
      </c>
      <c r="C111" s="2" t="s">
        <v>248</v>
      </c>
      <c r="D111" s="2" t="s">
        <v>95</v>
      </c>
      <c r="E111" s="3">
        <v>46098</v>
      </c>
      <c r="F111" s="4">
        <v>0</v>
      </c>
      <c r="G111" s="3">
        <v>46098</v>
      </c>
      <c r="H111" s="7">
        <v>-7410</v>
      </c>
      <c r="I111" s="2" t="s">
        <v>49</v>
      </c>
      <c r="J111" s="2" t="s">
        <v>413</v>
      </c>
      <c r="K111" s="16">
        <f t="shared" si="18"/>
        <v>46143</v>
      </c>
      <c r="L111" s="19"/>
      <c r="M111" s="16"/>
      <c r="N111" s="16">
        <f>G111</f>
        <v>46098</v>
      </c>
      <c r="O111" s="10">
        <f t="shared" si="20"/>
        <v>-7410</v>
      </c>
      <c r="P111" s="19">
        <f t="shared" ca="1" si="21"/>
        <v>41</v>
      </c>
      <c r="Q111" t="s">
        <v>430</v>
      </c>
    </row>
    <row r="112" spans="1:17" outlineLevel="1" x14ac:dyDescent="0.3">
      <c r="A112" s="2" t="s">
        <v>246</v>
      </c>
      <c r="B112" s="2" t="s">
        <v>249</v>
      </c>
      <c r="C112" s="2" t="s">
        <v>250</v>
      </c>
      <c r="D112" s="2" t="s">
        <v>95</v>
      </c>
      <c r="E112" s="3">
        <v>46113</v>
      </c>
      <c r="F112" s="4">
        <v>0</v>
      </c>
      <c r="G112" s="3">
        <v>46113</v>
      </c>
      <c r="H112" s="7">
        <v>-37</v>
      </c>
      <c r="I112" s="2" t="s">
        <v>49</v>
      </c>
      <c r="J112" s="2" t="s">
        <v>413</v>
      </c>
      <c r="K112" s="16">
        <f t="shared" si="18"/>
        <v>46158</v>
      </c>
      <c r="L112" s="19"/>
      <c r="M112" s="16"/>
      <c r="N112" s="16">
        <f t="shared" ref="N112:N114" si="22">G112</f>
        <v>46113</v>
      </c>
      <c r="O112" s="10">
        <f t="shared" si="20"/>
        <v>-37</v>
      </c>
      <c r="P112" s="19">
        <f t="shared" ca="1" si="21"/>
        <v>26</v>
      </c>
      <c r="Q112" t="s">
        <v>430</v>
      </c>
    </row>
    <row r="113" spans="1:17" outlineLevel="1" x14ac:dyDescent="0.3">
      <c r="A113" s="2" t="s">
        <v>246</v>
      </c>
      <c r="B113" s="2" t="s">
        <v>251</v>
      </c>
      <c r="C113" s="2" t="s">
        <v>252</v>
      </c>
      <c r="D113" s="2" t="s">
        <v>96</v>
      </c>
      <c r="E113" s="3">
        <v>46119</v>
      </c>
      <c r="F113" s="4">
        <v>0</v>
      </c>
      <c r="G113" s="3">
        <v>46142</v>
      </c>
      <c r="H113" s="7">
        <v>-147370</v>
      </c>
      <c r="I113" s="2" t="s">
        <v>49</v>
      </c>
      <c r="J113" s="2" t="s">
        <v>413</v>
      </c>
      <c r="K113" s="16">
        <f t="shared" si="18"/>
        <v>46164</v>
      </c>
      <c r="L113" s="19"/>
      <c r="M113" s="16"/>
      <c r="N113" s="16">
        <f t="shared" si="22"/>
        <v>46142</v>
      </c>
      <c r="O113" s="10">
        <f t="shared" si="20"/>
        <v>-147370</v>
      </c>
      <c r="P113" s="19">
        <f t="shared" ca="1" si="21"/>
        <v>20</v>
      </c>
      <c r="Q113" t="s">
        <v>430</v>
      </c>
    </row>
    <row r="114" spans="1:17" outlineLevel="1" x14ac:dyDescent="0.3">
      <c r="A114" s="2" t="s">
        <v>246</v>
      </c>
      <c r="B114" s="2" t="s">
        <v>253</v>
      </c>
      <c r="C114" s="2" t="s">
        <v>254</v>
      </c>
      <c r="D114" s="2" t="s">
        <v>96</v>
      </c>
      <c r="E114" s="3">
        <v>46126</v>
      </c>
      <c r="F114" s="4">
        <v>0</v>
      </c>
      <c r="G114" s="3">
        <v>46142</v>
      </c>
      <c r="H114" s="7">
        <v>-27943</v>
      </c>
      <c r="I114" s="2" t="s">
        <v>49</v>
      </c>
      <c r="J114" s="2" t="s">
        <v>413</v>
      </c>
      <c r="K114" s="16">
        <f t="shared" si="18"/>
        <v>46171</v>
      </c>
      <c r="L114" s="19"/>
      <c r="M114" s="16"/>
      <c r="N114" s="16">
        <f t="shared" si="22"/>
        <v>46142</v>
      </c>
      <c r="O114" s="10">
        <f t="shared" si="20"/>
        <v>-27943</v>
      </c>
      <c r="P114" s="19">
        <f t="shared" ca="1" si="21"/>
        <v>13</v>
      </c>
      <c r="Q114" t="s">
        <v>430</v>
      </c>
    </row>
    <row r="115" spans="1:17" hidden="1" outlineLevel="1" x14ac:dyDescent="0.3">
      <c r="A115" s="2" t="s">
        <v>255</v>
      </c>
      <c r="B115" s="2" t="s">
        <v>256</v>
      </c>
      <c r="C115" s="2" t="s">
        <v>257</v>
      </c>
      <c r="D115" s="2" t="s">
        <v>12</v>
      </c>
      <c r="E115" s="3">
        <v>45964</v>
      </c>
      <c r="F115" s="4">
        <v>168</v>
      </c>
      <c r="G115" s="3">
        <v>45971</v>
      </c>
      <c r="H115" s="5">
        <v>1403.26</v>
      </c>
      <c r="I115" s="2" t="s">
        <v>13</v>
      </c>
      <c r="J115" s="2" t="s">
        <v>412</v>
      </c>
      <c r="M115" s="16"/>
      <c r="N115" s="16">
        <f>G115</f>
        <v>45971</v>
      </c>
      <c r="O115" s="17">
        <f>H115/3.478</f>
        <v>403.46751006325474</v>
      </c>
    </row>
    <row r="116" spans="1:17" hidden="1" outlineLevel="1" x14ac:dyDescent="0.3">
      <c r="A116" s="2" t="s">
        <v>255</v>
      </c>
      <c r="B116" s="2" t="s">
        <v>258</v>
      </c>
      <c r="C116" s="2" t="s">
        <v>259</v>
      </c>
      <c r="D116" s="2" t="s">
        <v>12</v>
      </c>
      <c r="E116" s="3">
        <v>45964</v>
      </c>
      <c r="F116" s="4">
        <v>168</v>
      </c>
      <c r="G116" s="3">
        <v>45971</v>
      </c>
      <c r="H116" s="5">
        <v>141.6</v>
      </c>
      <c r="I116" s="2" t="s">
        <v>13</v>
      </c>
      <c r="J116" s="2" t="s">
        <v>412</v>
      </c>
      <c r="M116" s="16"/>
      <c r="N116" s="16">
        <f t="shared" ref="N116:N118" si="23">G116</f>
        <v>45971</v>
      </c>
      <c r="O116" s="17">
        <f t="shared" ref="O116:O118" si="24">H116/3.478</f>
        <v>40.713053479010924</v>
      </c>
    </row>
    <row r="117" spans="1:17" hidden="1" outlineLevel="1" x14ac:dyDescent="0.3">
      <c r="A117" s="2" t="s">
        <v>255</v>
      </c>
      <c r="B117" s="2" t="s">
        <v>260</v>
      </c>
      <c r="C117" s="2" t="s">
        <v>261</v>
      </c>
      <c r="D117" s="2" t="s">
        <v>12</v>
      </c>
      <c r="E117" s="3">
        <v>45967</v>
      </c>
      <c r="F117" s="4">
        <v>165</v>
      </c>
      <c r="G117" s="3">
        <v>45974</v>
      </c>
      <c r="H117" s="5">
        <v>1193.22</v>
      </c>
      <c r="I117" s="2" t="s">
        <v>13</v>
      </c>
      <c r="J117" s="2" t="s">
        <v>412</v>
      </c>
      <c r="M117" s="16"/>
      <c r="N117" s="16">
        <f t="shared" si="23"/>
        <v>45974</v>
      </c>
      <c r="O117" s="17">
        <f t="shared" si="24"/>
        <v>343.0764807360552</v>
      </c>
    </row>
    <row r="118" spans="1:17" hidden="1" outlineLevel="1" x14ac:dyDescent="0.3">
      <c r="A118" s="2" t="s">
        <v>255</v>
      </c>
      <c r="B118" s="2" t="s">
        <v>262</v>
      </c>
      <c r="C118" s="2" t="s">
        <v>263</v>
      </c>
      <c r="D118" s="2" t="s">
        <v>12</v>
      </c>
      <c r="E118" s="3">
        <v>45967</v>
      </c>
      <c r="F118" s="4">
        <v>165</v>
      </c>
      <c r="G118" s="3">
        <v>45974</v>
      </c>
      <c r="H118" s="5">
        <v>106.2</v>
      </c>
      <c r="I118" s="2" t="s">
        <v>13</v>
      </c>
      <c r="J118" s="2" t="s">
        <v>412</v>
      </c>
      <c r="M118" s="16"/>
      <c r="N118" s="16">
        <f t="shared" si="23"/>
        <v>45974</v>
      </c>
      <c r="O118" s="17">
        <f t="shared" si="24"/>
        <v>30.534790109258193</v>
      </c>
    </row>
    <row r="119" spans="1:17" hidden="1" outlineLevel="1" x14ac:dyDescent="0.3">
      <c r="A119" s="2" t="s">
        <v>264</v>
      </c>
      <c r="B119" s="2" t="s">
        <v>265</v>
      </c>
      <c r="C119" s="2" t="s">
        <v>266</v>
      </c>
      <c r="D119" s="2" t="s">
        <v>48</v>
      </c>
      <c r="E119" s="3">
        <v>46110</v>
      </c>
      <c r="F119" s="6">
        <v>-16</v>
      </c>
      <c r="G119" s="3">
        <v>46155</v>
      </c>
      <c r="H119" s="5">
        <v>76700</v>
      </c>
      <c r="I119" s="2" t="s">
        <v>49</v>
      </c>
      <c r="J119" s="2" t="s">
        <v>413</v>
      </c>
      <c r="K119" s="16">
        <f t="shared" ref="K119:K124" si="25">E119+45</f>
        <v>46155</v>
      </c>
      <c r="L119" s="19">
        <f t="shared" ref="L119:L123" ca="1" si="26">M119-TODAY()</f>
        <v>16</v>
      </c>
      <c r="M119" s="16">
        <v>46155</v>
      </c>
      <c r="N119" s="16">
        <f>G119</f>
        <v>46155</v>
      </c>
      <c r="O119" s="10">
        <f t="shared" ref="O119:O124" si="27">H119</f>
        <v>76700</v>
      </c>
      <c r="P119" s="19">
        <f t="shared" ref="P119:P124" ca="1" si="28">TODAY()-E119</f>
        <v>29</v>
      </c>
      <c r="Q119" t="s">
        <v>430</v>
      </c>
    </row>
    <row r="120" spans="1:17" hidden="1" outlineLevel="1" x14ac:dyDescent="0.3">
      <c r="A120" s="2" t="s">
        <v>264</v>
      </c>
      <c r="B120" s="2" t="s">
        <v>267</v>
      </c>
      <c r="C120" s="2" t="s">
        <v>268</v>
      </c>
      <c r="D120" s="2" t="s">
        <v>48</v>
      </c>
      <c r="E120" s="3">
        <v>46124</v>
      </c>
      <c r="F120" s="6">
        <v>-30</v>
      </c>
      <c r="G120" s="3">
        <v>46169</v>
      </c>
      <c r="H120" s="5">
        <v>36400</v>
      </c>
      <c r="I120" s="2" t="s">
        <v>49</v>
      </c>
      <c r="J120" s="2" t="s">
        <v>413</v>
      </c>
      <c r="K120" s="16">
        <f t="shared" si="25"/>
        <v>46169</v>
      </c>
      <c r="L120" s="19">
        <f t="shared" ca="1" si="26"/>
        <v>30</v>
      </c>
      <c r="M120" s="16">
        <v>46169</v>
      </c>
      <c r="N120" s="16">
        <f t="shared" ref="N120:N122" si="29">G120</f>
        <v>46169</v>
      </c>
      <c r="O120" s="10">
        <f t="shared" si="27"/>
        <v>36400</v>
      </c>
      <c r="P120" s="19">
        <f t="shared" ca="1" si="28"/>
        <v>15</v>
      </c>
      <c r="Q120" t="s">
        <v>430</v>
      </c>
    </row>
    <row r="121" spans="1:17" hidden="1" outlineLevel="1" x14ac:dyDescent="0.3">
      <c r="A121" s="2" t="s">
        <v>264</v>
      </c>
      <c r="B121" s="2" t="s">
        <v>269</v>
      </c>
      <c r="C121" s="2" t="s">
        <v>270</v>
      </c>
      <c r="D121" s="2" t="s">
        <v>48</v>
      </c>
      <c r="E121" s="3">
        <v>46124</v>
      </c>
      <c r="F121" s="6">
        <v>-45</v>
      </c>
      <c r="G121" s="3">
        <v>46184</v>
      </c>
      <c r="H121" s="5">
        <v>80600</v>
      </c>
      <c r="I121" s="2" t="s">
        <v>49</v>
      </c>
      <c r="J121" s="2" t="s">
        <v>413</v>
      </c>
      <c r="K121" s="16">
        <f t="shared" si="25"/>
        <v>46169</v>
      </c>
      <c r="L121" s="19">
        <f t="shared" ca="1" si="26"/>
        <v>30</v>
      </c>
      <c r="M121" s="16">
        <v>46169</v>
      </c>
      <c r="N121" s="16">
        <f t="shared" si="29"/>
        <v>46184</v>
      </c>
      <c r="O121" s="10">
        <f t="shared" si="27"/>
        <v>80600</v>
      </c>
      <c r="P121" s="19">
        <f t="shared" ca="1" si="28"/>
        <v>15</v>
      </c>
      <c r="Q121" t="s">
        <v>430</v>
      </c>
    </row>
    <row r="122" spans="1:17" hidden="1" outlineLevel="1" x14ac:dyDescent="0.3">
      <c r="A122" s="2" t="s">
        <v>264</v>
      </c>
      <c r="B122" s="2" t="s">
        <v>271</v>
      </c>
      <c r="C122" s="2" t="s">
        <v>272</v>
      </c>
      <c r="D122" s="2" t="s">
        <v>48</v>
      </c>
      <c r="E122" s="3">
        <v>46134</v>
      </c>
      <c r="F122" s="6">
        <v>-40</v>
      </c>
      <c r="G122" s="3">
        <v>46179</v>
      </c>
      <c r="H122" s="5">
        <v>36400</v>
      </c>
      <c r="I122" s="2" t="s">
        <v>49</v>
      </c>
      <c r="J122" s="2" t="s">
        <v>413</v>
      </c>
      <c r="K122" s="16">
        <f t="shared" si="25"/>
        <v>46179</v>
      </c>
      <c r="L122" s="19"/>
      <c r="M122" s="16">
        <f>K122</f>
        <v>46179</v>
      </c>
      <c r="N122" s="16">
        <f t="shared" si="29"/>
        <v>46179</v>
      </c>
      <c r="O122" s="10">
        <f t="shared" si="27"/>
        <v>36400</v>
      </c>
      <c r="P122" s="19">
        <f t="shared" ca="1" si="28"/>
        <v>5</v>
      </c>
      <c r="Q122" t="s">
        <v>430</v>
      </c>
    </row>
    <row r="123" spans="1:17" hidden="1" outlineLevel="1" x14ac:dyDescent="0.3">
      <c r="A123" s="2" t="s">
        <v>273</v>
      </c>
      <c r="B123" s="2" t="s">
        <v>274</v>
      </c>
      <c r="C123" s="2" t="s">
        <v>275</v>
      </c>
      <c r="D123" s="2" t="s">
        <v>48</v>
      </c>
      <c r="E123" s="3">
        <v>46125</v>
      </c>
      <c r="F123" s="6">
        <v>-31</v>
      </c>
      <c r="G123" s="3">
        <v>46170</v>
      </c>
      <c r="H123" s="5">
        <v>76700</v>
      </c>
      <c r="I123" s="2" t="s">
        <v>49</v>
      </c>
      <c r="J123" s="2" t="s">
        <v>413</v>
      </c>
      <c r="K123" s="16">
        <f t="shared" si="25"/>
        <v>46170</v>
      </c>
      <c r="L123" s="19">
        <f t="shared" ca="1" si="26"/>
        <v>31</v>
      </c>
      <c r="M123" s="16">
        <v>46170</v>
      </c>
      <c r="N123" s="16">
        <f>G123</f>
        <v>46170</v>
      </c>
      <c r="O123" s="10">
        <f t="shared" si="27"/>
        <v>76700</v>
      </c>
      <c r="P123" s="19">
        <f t="shared" ca="1" si="28"/>
        <v>14</v>
      </c>
      <c r="Q123" t="s">
        <v>430</v>
      </c>
    </row>
    <row r="124" spans="1:17" outlineLevel="1" x14ac:dyDescent="0.3">
      <c r="A124" s="2" t="s">
        <v>273</v>
      </c>
      <c r="B124" s="2" t="s">
        <v>276</v>
      </c>
      <c r="C124" s="2" t="s">
        <v>277</v>
      </c>
      <c r="D124" s="2" t="s">
        <v>95</v>
      </c>
      <c r="E124" s="3">
        <v>46129</v>
      </c>
      <c r="F124" s="4">
        <v>0</v>
      </c>
      <c r="G124" s="3">
        <v>46129</v>
      </c>
      <c r="H124" s="7">
        <v>-6488</v>
      </c>
      <c r="I124" s="2" t="s">
        <v>49</v>
      </c>
      <c r="J124" s="2" t="s">
        <v>413</v>
      </c>
      <c r="K124" s="16">
        <f t="shared" si="25"/>
        <v>46174</v>
      </c>
      <c r="L124" s="19"/>
      <c r="M124" s="16"/>
      <c r="N124" s="16">
        <f>G124</f>
        <v>46129</v>
      </c>
      <c r="O124" s="10">
        <f t="shared" si="27"/>
        <v>-6488</v>
      </c>
      <c r="P124" s="19">
        <f t="shared" ca="1" si="28"/>
        <v>10</v>
      </c>
      <c r="Q124" t="s">
        <v>430</v>
      </c>
    </row>
    <row r="125" spans="1:17" hidden="1" outlineLevel="1" x14ac:dyDescent="0.3">
      <c r="A125" s="2" t="s">
        <v>278</v>
      </c>
      <c r="B125" s="2" t="s">
        <v>279</v>
      </c>
      <c r="C125" s="2" t="s">
        <v>280</v>
      </c>
      <c r="D125" s="2" t="s">
        <v>95</v>
      </c>
      <c r="E125" s="3">
        <v>45951</v>
      </c>
      <c r="F125" s="4">
        <v>188</v>
      </c>
      <c r="G125" s="3">
        <v>45951</v>
      </c>
      <c r="H125" s="5">
        <v>4460</v>
      </c>
      <c r="I125" s="2" t="s">
        <v>13</v>
      </c>
      <c r="J125" s="2" t="s">
        <v>410</v>
      </c>
      <c r="M125" s="16"/>
      <c r="N125" s="16">
        <f t="shared" ref="N125:N148" si="30">G125</f>
        <v>45951</v>
      </c>
      <c r="O125" s="17">
        <f t="shared" ref="O125:O148" si="31">H125/3.478</f>
        <v>1282.3461759631971</v>
      </c>
    </row>
    <row r="126" spans="1:17" hidden="1" outlineLevel="1" x14ac:dyDescent="0.3">
      <c r="A126" s="2" t="s">
        <v>278</v>
      </c>
      <c r="B126" s="2" t="s">
        <v>281</v>
      </c>
      <c r="C126" s="2" t="s">
        <v>282</v>
      </c>
      <c r="D126" s="2" t="s">
        <v>12</v>
      </c>
      <c r="E126" s="3">
        <v>45965</v>
      </c>
      <c r="F126" s="4">
        <v>167</v>
      </c>
      <c r="G126" s="3">
        <v>45972</v>
      </c>
      <c r="H126" s="5">
        <v>7097.98</v>
      </c>
      <c r="I126" s="2" t="s">
        <v>13</v>
      </c>
      <c r="J126" s="2" t="s">
        <v>410</v>
      </c>
      <c r="M126" s="16"/>
      <c r="N126" s="16">
        <f t="shared" si="30"/>
        <v>45972</v>
      </c>
      <c r="O126" s="17">
        <f t="shared" si="31"/>
        <v>2040.8223116733752</v>
      </c>
    </row>
    <row r="127" spans="1:17" hidden="1" outlineLevel="1" x14ac:dyDescent="0.3">
      <c r="A127" s="2" t="s">
        <v>278</v>
      </c>
      <c r="B127" s="2" t="s">
        <v>283</v>
      </c>
      <c r="C127" s="2" t="s">
        <v>284</v>
      </c>
      <c r="D127" s="2" t="s">
        <v>12</v>
      </c>
      <c r="E127" s="3">
        <v>46053</v>
      </c>
      <c r="F127" s="4">
        <v>79</v>
      </c>
      <c r="G127" s="3">
        <v>46060</v>
      </c>
      <c r="H127" s="5">
        <v>4003.46</v>
      </c>
      <c r="I127" s="2" t="s">
        <v>13</v>
      </c>
      <c r="J127" s="2" t="s">
        <v>410</v>
      </c>
      <c r="M127" s="16"/>
      <c r="N127" s="16">
        <f t="shared" si="30"/>
        <v>46060</v>
      </c>
      <c r="O127" s="17">
        <f t="shared" si="31"/>
        <v>1151.081081081081</v>
      </c>
    </row>
    <row r="128" spans="1:17" hidden="1" outlineLevel="1" x14ac:dyDescent="0.3">
      <c r="A128" s="2" t="s">
        <v>278</v>
      </c>
      <c r="B128" s="2" t="s">
        <v>285</v>
      </c>
      <c r="C128" s="2" t="s">
        <v>286</v>
      </c>
      <c r="D128" s="2" t="s">
        <v>12</v>
      </c>
      <c r="E128" s="3">
        <v>46084</v>
      </c>
      <c r="F128" s="4">
        <v>48</v>
      </c>
      <c r="G128" s="3">
        <v>46091</v>
      </c>
      <c r="H128" s="5">
        <v>4956</v>
      </c>
      <c r="I128" s="2" t="s">
        <v>13</v>
      </c>
      <c r="J128" s="2" t="s">
        <v>410</v>
      </c>
      <c r="M128" s="16"/>
      <c r="N128" s="16">
        <f t="shared" si="30"/>
        <v>46091</v>
      </c>
      <c r="O128" s="17">
        <f t="shared" si="31"/>
        <v>1424.9568717653824</v>
      </c>
    </row>
    <row r="129" spans="1:15" hidden="1" outlineLevel="1" x14ac:dyDescent="0.3">
      <c r="A129" s="2" t="s">
        <v>287</v>
      </c>
      <c r="B129" s="2" t="s">
        <v>288</v>
      </c>
      <c r="C129" s="2" t="s">
        <v>289</v>
      </c>
      <c r="D129" s="2" t="s">
        <v>12</v>
      </c>
      <c r="E129" s="3">
        <v>46126</v>
      </c>
      <c r="F129" s="4">
        <v>6</v>
      </c>
      <c r="G129" s="3">
        <v>46133</v>
      </c>
      <c r="H129" s="5">
        <v>650.55999999999995</v>
      </c>
      <c r="I129" s="2" t="s">
        <v>13</v>
      </c>
      <c r="J129" s="2" t="s">
        <v>410</v>
      </c>
      <c r="M129" s="16"/>
      <c r="N129" s="16">
        <f t="shared" si="30"/>
        <v>46133</v>
      </c>
      <c r="O129" s="17">
        <f t="shared" si="31"/>
        <v>187.05002875215638</v>
      </c>
    </row>
    <row r="130" spans="1:15" hidden="1" outlineLevel="1" x14ac:dyDescent="0.3">
      <c r="A130" s="2" t="s">
        <v>287</v>
      </c>
      <c r="B130" s="2" t="s">
        <v>290</v>
      </c>
      <c r="C130" s="2" t="s">
        <v>291</v>
      </c>
      <c r="D130" s="2" t="s">
        <v>12</v>
      </c>
      <c r="E130" s="3">
        <v>46126</v>
      </c>
      <c r="F130" s="4">
        <v>6</v>
      </c>
      <c r="G130" s="3">
        <v>46133</v>
      </c>
      <c r="H130" s="5">
        <v>194.7</v>
      </c>
      <c r="I130" s="2" t="s">
        <v>13</v>
      </c>
      <c r="J130" s="2" t="s">
        <v>410</v>
      </c>
      <c r="M130" s="16"/>
      <c r="N130" s="16">
        <f t="shared" si="30"/>
        <v>46133</v>
      </c>
      <c r="O130" s="17">
        <f t="shared" si="31"/>
        <v>55.980448533640015</v>
      </c>
    </row>
    <row r="131" spans="1:15" hidden="1" outlineLevel="1" x14ac:dyDescent="0.3">
      <c r="A131" s="2" t="s">
        <v>287</v>
      </c>
      <c r="B131" s="2" t="s">
        <v>292</v>
      </c>
      <c r="C131" s="2" t="s">
        <v>293</v>
      </c>
      <c r="D131" s="2" t="s">
        <v>12</v>
      </c>
      <c r="E131" s="3">
        <v>46126</v>
      </c>
      <c r="F131" s="4">
        <v>6</v>
      </c>
      <c r="G131" s="3">
        <v>46133</v>
      </c>
      <c r="H131" s="5">
        <v>973.03</v>
      </c>
      <c r="I131" s="2" t="s">
        <v>13</v>
      </c>
      <c r="J131" s="2" t="s">
        <v>410</v>
      </c>
      <c r="M131" s="16"/>
      <c r="N131" s="16">
        <f t="shared" si="30"/>
        <v>46133</v>
      </c>
      <c r="O131" s="17">
        <f t="shared" si="31"/>
        <v>279.76710753306497</v>
      </c>
    </row>
    <row r="132" spans="1:15" hidden="1" outlineLevel="1" x14ac:dyDescent="0.3">
      <c r="A132" s="2" t="s">
        <v>287</v>
      </c>
      <c r="B132" s="2" t="s">
        <v>294</v>
      </c>
      <c r="C132" s="2" t="s">
        <v>295</v>
      </c>
      <c r="D132" s="2" t="s">
        <v>12</v>
      </c>
      <c r="E132" s="3">
        <v>46126</v>
      </c>
      <c r="F132" s="4">
        <v>6</v>
      </c>
      <c r="G132" s="3">
        <v>46133</v>
      </c>
      <c r="H132" s="5">
        <v>424.8</v>
      </c>
      <c r="I132" s="2" t="s">
        <v>13</v>
      </c>
      <c r="J132" s="2" t="s">
        <v>410</v>
      </c>
      <c r="M132" s="16"/>
      <c r="N132" s="16">
        <f t="shared" si="30"/>
        <v>46133</v>
      </c>
      <c r="O132" s="17">
        <f t="shared" si="31"/>
        <v>122.13916043703277</v>
      </c>
    </row>
    <row r="133" spans="1:15" hidden="1" outlineLevel="1" x14ac:dyDescent="0.3">
      <c r="A133" s="2" t="s">
        <v>287</v>
      </c>
      <c r="B133" s="2" t="s">
        <v>296</v>
      </c>
      <c r="C133" s="2" t="s">
        <v>297</v>
      </c>
      <c r="D133" s="2" t="s">
        <v>12</v>
      </c>
      <c r="E133" s="3">
        <v>46128</v>
      </c>
      <c r="F133" s="4">
        <v>4</v>
      </c>
      <c r="G133" s="3">
        <v>46135</v>
      </c>
      <c r="H133" s="5">
        <v>777.76</v>
      </c>
      <c r="I133" s="2" t="s">
        <v>13</v>
      </c>
      <c r="J133" s="2" t="s">
        <v>410</v>
      </c>
      <c r="M133" s="16"/>
      <c r="N133" s="16">
        <f t="shared" si="30"/>
        <v>46135</v>
      </c>
      <c r="O133" s="17">
        <f t="shared" si="31"/>
        <v>223.62277170787809</v>
      </c>
    </row>
    <row r="134" spans="1:15" hidden="1" outlineLevel="1" x14ac:dyDescent="0.3">
      <c r="A134" s="2" t="s">
        <v>287</v>
      </c>
      <c r="B134" s="2" t="s">
        <v>298</v>
      </c>
      <c r="C134" s="2" t="s">
        <v>299</v>
      </c>
      <c r="D134" s="2" t="s">
        <v>12</v>
      </c>
      <c r="E134" s="3">
        <v>46128</v>
      </c>
      <c r="F134" s="4">
        <v>4</v>
      </c>
      <c r="G134" s="3">
        <v>46135</v>
      </c>
      <c r="H134" s="5">
        <v>194.7</v>
      </c>
      <c r="I134" s="2" t="s">
        <v>13</v>
      </c>
      <c r="J134" s="2" t="s">
        <v>410</v>
      </c>
      <c r="M134" s="16"/>
      <c r="N134" s="16">
        <f t="shared" si="30"/>
        <v>46135</v>
      </c>
      <c r="O134" s="17">
        <f t="shared" si="31"/>
        <v>55.980448533640015</v>
      </c>
    </row>
    <row r="135" spans="1:15" hidden="1" outlineLevel="1" x14ac:dyDescent="0.3">
      <c r="A135" s="2" t="s">
        <v>287</v>
      </c>
      <c r="B135" s="2" t="s">
        <v>300</v>
      </c>
      <c r="C135" s="2" t="s">
        <v>301</v>
      </c>
      <c r="D135" s="2" t="s">
        <v>12</v>
      </c>
      <c r="E135" s="3">
        <v>46130</v>
      </c>
      <c r="F135" s="4">
        <v>2</v>
      </c>
      <c r="G135" s="3">
        <v>46137</v>
      </c>
      <c r="H135" s="5">
        <v>800.56</v>
      </c>
      <c r="I135" s="2" t="s">
        <v>13</v>
      </c>
      <c r="J135" s="2" t="s">
        <v>410</v>
      </c>
      <c r="M135" s="16"/>
      <c r="N135" s="16">
        <f t="shared" si="30"/>
        <v>46137</v>
      </c>
      <c r="O135" s="17">
        <f t="shared" si="31"/>
        <v>230.1782633697527</v>
      </c>
    </row>
    <row r="136" spans="1:15" hidden="1" outlineLevel="1" x14ac:dyDescent="0.3">
      <c r="A136" s="2" t="s">
        <v>287</v>
      </c>
      <c r="B136" s="2" t="s">
        <v>302</v>
      </c>
      <c r="C136" s="2" t="s">
        <v>303</v>
      </c>
      <c r="D136" s="2" t="s">
        <v>12</v>
      </c>
      <c r="E136" s="3">
        <v>46130</v>
      </c>
      <c r="F136" s="4">
        <v>2</v>
      </c>
      <c r="G136" s="3">
        <v>46137</v>
      </c>
      <c r="H136" s="5">
        <v>212.4</v>
      </c>
      <c r="I136" s="2" t="s">
        <v>13</v>
      </c>
      <c r="J136" s="2" t="s">
        <v>410</v>
      </c>
      <c r="M136" s="16"/>
      <c r="N136" s="16">
        <f t="shared" si="30"/>
        <v>46137</v>
      </c>
      <c r="O136" s="17">
        <f t="shared" si="31"/>
        <v>61.069580218516386</v>
      </c>
    </row>
    <row r="137" spans="1:15" hidden="1" outlineLevel="1" x14ac:dyDescent="0.3">
      <c r="A137" s="2" t="s">
        <v>287</v>
      </c>
      <c r="B137" s="2" t="s">
        <v>304</v>
      </c>
      <c r="C137" s="2" t="s">
        <v>305</v>
      </c>
      <c r="D137" s="2" t="s">
        <v>12</v>
      </c>
      <c r="E137" s="3">
        <v>46131</v>
      </c>
      <c r="F137" s="4">
        <v>1</v>
      </c>
      <c r="G137" s="3">
        <v>46138</v>
      </c>
      <c r="H137" s="5">
        <v>729.85</v>
      </c>
      <c r="I137" s="2" t="s">
        <v>13</v>
      </c>
      <c r="J137" s="2" t="s">
        <v>410</v>
      </c>
      <c r="M137" s="16"/>
      <c r="N137" s="16">
        <f t="shared" si="30"/>
        <v>46138</v>
      </c>
      <c r="O137" s="17">
        <f t="shared" si="31"/>
        <v>209.84761357101783</v>
      </c>
    </row>
    <row r="138" spans="1:15" hidden="1" outlineLevel="1" x14ac:dyDescent="0.3">
      <c r="A138" s="2" t="s">
        <v>287</v>
      </c>
      <c r="B138" s="2" t="s">
        <v>306</v>
      </c>
      <c r="C138" s="2" t="s">
        <v>307</v>
      </c>
      <c r="D138" s="2" t="s">
        <v>12</v>
      </c>
      <c r="E138" s="3">
        <v>46131</v>
      </c>
      <c r="F138" s="4">
        <v>1</v>
      </c>
      <c r="G138" s="3">
        <v>46138</v>
      </c>
      <c r="H138" s="5">
        <v>194.7</v>
      </c>
      <c r="I138" s="2" t="s">
        <v>13</v>
      </c>
      <c r="J138" s="2" t="s">
        <v>410</v>
      </c>
      <c r="M138" s="16"/>
      <c r="N138" s="16">
        <f t="shared" si="30"/>
        <v>46138</v>
      </c>
      <c r="O138" s="17">
        <f t="shared" si="31"/>
        <v>55.980448533640015</v>
      </c>
    </row>
    <row r="139" spans="1:15" hidden="1" outlineLevel="1" x14ac:dyDescent="0.3">
      <c r="A139" s="2" t="s">
        <v>287</v>
      </c>
      <c r="B139" s="2" t="s">
        <v>308</v>
      </c>
      <c r="C139" s="2" t="s">
        <v>309</v>
      </c>
      <c r="D139" s="2" t="s">
        <v>12</v>
      </c>
      <c r="E139" s="3">
        <v>46133</v>
      </c>
      <c r="F139" s="6">
        <v>-1</v>
      </c>
      <c r="G139" s="3">
        <v>46140</v>
      </c>
      <c r="H139" s="5">
        <v>408.37</v>
      </c>
      <c r="I139" s="2" t="s">
        <v>13</v>
      </c>
      <c r="J139" s="2" t="s">
        <v>410</v>
      </c>
      <c r="M139" s="16"/>
      <c r="N139" s="16">
        <f t="shared" si="30"/>
        <v>46140</v>
      </c>
      <c r="O139" s="17">
        <f t="shared" si="31"/>
        <v>117.41518113858538</v>
      </c>
    </row>
    <row r="140" spans="1:15" hidden="1" outlineLevel="1" x14ac:dyDescent="0.3">
      <c r="A140" s="2" t="s">
        <v>287</v>
      </c>
      <c r="B140" s="2" t="s">
        <v>310</v>
      </c>
      <c r="C140" s="2" t="s">
        <v>311</v>
      </c>
      <c r="D140" s="2" t="s">
        <v>12</v>
      </c>
      <c r="E140" s="3">
        <v>46133</v>
      </c>
      <c r="F140" s="6">
        <v>-1</v>
      </c>
      <c r="G140" s="3">
        <v>46140</v>
      </c>
      <c r="H140" s="5">
        <v>135.69999999999999</v>
      </c>
      <c r="I140" s="2" t="s">
        <v>13</v>
      </c>
      <c r="J140" s="2" t="s">
        <v>410</v>
      </c>
      <c r="M140" s="16"/>
      <c r="N140" s="16">
        <f t="shared" si="30"/>
        <v>46140</v>
      </c>
      <c r="O140" s="17">
        <f t="shared" si="31"/>
        <v>39.016676250718795</v>
      </c>
    </row>
    <row r="141" spans="1:15" hidden="1" outlineLevel="1" x14ac:dyDescent="0.3">
      <c r="A141" s="2" t="s">
        <v>287</v>
      </c>
      <c r="B141" s="2" t="s">
        <v>312</v>
      </c>
      <c r="C141" s="2" t="s">
        <v>313</v>
      </c>
      <c r="D141" s="2" t="s">
        <v>12</v>
      </c>
      <c r="E141" s="3">
        <v>46134</v>
      </c>
      <c r="F141" s="6">
        <v>-2</v>
      </c>
      <c r="G141" s="3">
        <v>46141</v>
      </c>
      <c r="H141" s="5">
        <v>934.7</v>
      </c>
      <c r="I141" s="2" t="s">
        <v>13</v>
      </c>
      <c r="J141" s="2" t="s">
        <v>410</v>
      </c>
      <c r="M141" s="16"/>
      <c r="N141" s="16">
        <f t="shared" si="30"/>
        <v>46141</v>
      </c>
      <c r="O141" s="17">
        <f t="shared" si="31"/>
        <v>268.74640598044851</v>
      </c>
    </row>
    <row r="142" spans="1:15" hidden="1" outlineLevel="1" x14ac:dyDescent="0.3">
      <c r="A142" s="2" t="s">
        <v>287</v>
      </c>
      <c r="B142" s="2" t="s">
        <v>314</v>
      </c>
      <c r="C142" s="2" t="s">
        <v>315</v>
      </c>
      <c r="D142" s="2" t="s">
        <v>12</v>
      </c>
      <c r="E142" s="3">
        <v>46134</v>
      </c>
      <c r="F142" s="6">
        <v>-2</v>
      </c>
      <c r="G142" s="3">
        <v>46141</v>
      </c>
      <c r="H142" s="5">
        <v>230.1</v>
      </c>
      <c r="I142" s="2" t="s">
        <v>13</v>
      </c>
      <c r="J142" s="2" t="s">
        <v>410</v>
      </c>
      <c r="M142" s="16"/>
      <c r="N142" s="16">
        <f t="shared" si="30"/>
        <v>46141</v>
      </c>
      <c r="O142" s="17">
        <f t="shared" si="31"/>
        <v>66.158711903392742</v>
      </c>
    </row>
    <row r="143" spans="1:15" hidden="1" outlineLevel="1" x14ac:dyDescent="0.3">
      <c r="A143" s="2" t="s">
        <v>287</v>
      </c>
      <c r="B143" s="2" t="s">
        <v>316</v>
      </c>
      <c r="C143" s="2" t="s">
        <v>317</v>
      </c>
      <c r="D143" s="2" t="s">
        <v>12</v>
      </c>
      <c r="E143" s="3">
        <v>46136</v>
      </c>
      <c r="F143" s="6">
        <v>-4</v>
      </c>
      <c r="G143" s="3">
        <v>46143</v>
      </c>
      <c r="H143" s="5">
        <v>513.77</v>
      </c>
      <c r="I143" s="2" t="s">
        <v>13</v>
      </c>
      <c r="J143" s="2" t="s">
        <v>410</v>
      </c>
      <c r="M143" s="16"/>
      <c r="N143" s="16">
        <f t="shared" si="30"/>
        <v>46143</v>
      </c>
      <c r="O143" s="17">
        <f t="shared" si="31"/>
        <v>147.71995399654972</v>
      </c>
    </row>
    <row r="144" spans="1:15" hidden="1" outlineLevel="1" x14ac:dyDescent="0.3">
      <c r="A144" s="2" t="s">
        <v>287</v>
      </c>
      <c r="B144" s="2" t="s">
        <v>318</v>
      </c>
      <c r="C144" s="2" t="s">
        <v>319</v>
      </c>
      <c r="D144" s="2" t="s">
        <v>12</v>
      </c>
      <c r="E144" s="3">
        <v>46136</v>
      </c>
      <c r="F144" s="6">
        <v>-4</v>
      </c>
      <c r="G144" s="3">
        <v>46143</v>
      </c>
      <c r="H144" s="5">
        <v>177</v>
      </c>
      <c r="I144" s="2" t="s">
        <v>13</v>
      </c>
      <c r="J144" s="2" t="s">
        <v>410</v>
      </c>
      <c r="M144" s="16"/>
      <c r="N144" s="16">
        <f t="shared" si="30"/>
        <v>46143</v>
      </c>
      <c r="O144" s="17">
        <f t="shared" si="31"/>
        <v>50.891316848763651</v>
      </c>
    </row>
    <row r="145" spans="1:17" hidden="1" outlineLevel="1" x14ac:dyDescent="0.3">
      <c r="A145" s="2" t="s">
        <v>287</v>
      </c>
      <c r="B145" s="2" t="s">
        <v>320</v>
      </c>
      <c r="C145" s="2" t="s">
        <v>321</v>
      </c>
      <c r="D145" s="2" t="s">
        <v>12</v>
      </c>
      <c r="E145" s="3">
        <v>46137</v>
      </c>
      <c r="F145" s="4">
        <v>2</v>
      </c>
      <c r="G145" s="3">
        <v>46137</v>
      </c>
      <c r="H145" s="5">
        <v>663.11</v>
      </c>
      <c r="I145" s="2" t="s">
        <v>13</v>
      </c>
      <c r="J145" s="2" t="s">
        <v>410</v>
      </c>
      <c r="M145" s="16"/>
      <c r="N145" s="16">
        <f t="shared" si="30"/>
        <v>46137</v>
      </c>
      <c r="O145" s="17">
        <f t="shared" si="31"/>
        <v>190.65842438182864</v>
      </c>
    </row>
    <row r="146" spans="1:17" hidden="1" outlineLevel="1" x14ac:dyDescent="0.3">
      <c r="A146" s="2" t="s">
        <v>287</v>
      </c>
      <c r="B146" s="2" t="s">
        <v>322</v>
      </c>
      <c r="C146" s="2" t="s">
        <v>323</v>
      </c>
      <c r="D146" s="2" t="s">
        <v>12</v>
      </c>
      <c r="E146" s="3">
        <v>46137</v>
      </c>
      <c r="F146" s="4">
        <v>2</v>
      </c>
      <c r="G146" s="3">
        <v>46137</v>
      </c>
      <c r="H146" s="5">
        <v>194.7</v>
      </c>
      <c r="I146" s="2" t="s">
        <v>13</v>
      </c>
      <c r="J146" s="2" t="s">
        <v>410</v>
      </c>
      <c r="M146" s="16"/>
      <c r="N146" s="16">
        <f t="shared" si="30"/>
        <v>46137</v>
      </c>
      <c r="O146" s="17">
        <f t="shared" si="31"/>
        <v>55.980448533640015</v>
      </c>
    </row>
    <row r="147" spans="1:17" hidden="1" outlineLevel="1" x14ac:dyDescent="0.3">
      <c r="A147" s="2" t="s">
        <v>287</v>
      </c>
      <c r="B147" s="2" t="s">
        <v>324</v>
      </c>
      <c r="C147" s="2" t="s">
        <v>325</v>
      </c>
      <c r="D147" s="2" t="s">
        <v>12</v>
      </c>
      <c r="E147" s="3">
        <v>46138</v>
      </c>
      <c r="F147" s="6">
        <v>-6</v>
      </c>
      <c r="G147" s="3">
        <v>46145</v>
      </c>
      <c r="H147" s="5">
        <v>1273.03</v>
      </c>
      <c r="I147" s="2" t="s">
        <v>13</v>
      </c>
      <c r="J147" s="2" t="s">
        <v>410</v>
      </c>
      <c r="M147" s="16"/>
      <c r="N147" s="16">
        <f t="shared" si="30"/>
        <v>46145</v>
      </c>
      <c r="O147" s="17">
        <f t="shared" si="31"/>
        <v>366.02357676825761</v>
      </c>
    </row>
    <row r="148" spans="1:17" hidden="1" outlineLevel="1" x14ac:dyDescent="0.3">
      <c r="A148" s="2" t="s">
        <v>287</v>
      </c>
      <c r="B148" s="2" t="s">
        <v>326</v>
      </c>
      <c r="C148" s="2" t="s">
        <v>327</v>
      </c>
      <c r="D148" s="2" t="s">
        <v>12</v>
      </c>
      <c r="E148" s="3">
        <v>46138</v>
      </c>
      <c r="F148" s="6">
        <v>-6</v>
      </c>
      <c r="G148" s="3">
        <v>46145</v>
      </c>
      <c r="H148" s="5">
        <v>389.4</v>
      </c>
      <c r="I148" s="2" t="s">
        <v>13</v>
      </c>
      <c r="J148" s="2" t="s">
        <v>410</v>
      </c>
      <c r="M148" s="16"/>
      <c r="N148" s="16">
        <f t="shared" si="30"/>
        <v>46145</v>
      </c>
      <c r="O148" s="17">
        <f t="shared" si="31"/>
        <v>111.96089706728003</v>
      </c>
    </row>
    <row r="149" spans="1:17" outlineLevel="1" x14ac:dyDescent="0.3">
      <c r="A149" s="2" t="s">
        <v>330</v>
      </c>
      <c r="B149" s="2" t="s">
        <v>331</v>
      </c>
      <c r="C149" s="2" t="s">
        <v>248</v>
      </c>
      <c r="D149" s="2" t="s">
        <v>95</v>
      </c>
      <c r="E149" s="3">
        <v>46134</v>
      </c>
      <c r="F149" s="4">
        <v>0</v>
      </c>
      <c r="G149" s="3">
        <v>46134</v>
      </c>
      <c r="H149" s="7">
        <v>-7645</v>
      </c>
      <c r="I149" s="2" t="s">
        <v>49</v>
      </c>
      <c r="J149" s="2" t="s">
        <v>413</v>
      </c>
      <c r="K149" s="16">
        <f>E149+45</f>
        <v>46179</v>
      </c>
      <c r="L149" s="19"/>
      <c r="M149" s="16"/>
      <c r="N149" s="16">
        <f>G149</f>
        <v>46134</v>
      </c>
      <c r="O149" s="10">
        <f t="shared" ref="O149" si="32">H149</f>
        <v>-7645</v>
      </c>
      <c r="P149" s="19">
        <f ca="1">TODAY()-E149</f>
        <v>5</v>
      </c>
      <c r="Q149" t="s">
        <v>430</v>
      </c>
    </row>
    <row r="150" spans="1:17" hidden="1" outlineLevel="1" x14ac:dyDescent="0.3">
      <c r="A150" s="2" t="s">
        <v>333</v>
      </c>
      <c r="B150" s="2" t="s">
        <v>334</v>
      </c>
      <c r="C150" s="2" t="s">
        <v>335</v>
      </c>
      <c r="D150" s="2" t="s">
        <v>12</v>
      </c>
      <c r="E150" s="3">
        <v>45937</v>
      </c>
      <c r="F150" s="4">
        <v>195</v>
      </c>
      <c r="G150" s="3">
        <v>45944</v>
      </c>
      <c r="H150" s="5">
        <v>790</v>
      </c>
      <c r="I150" s="2" t="s">
        <v>13</v>
      </c>
      <c r="J150" s="2" t="s">
        <v>410</v>
      </c>
      <c r="M150" s="16"/>
      <c r="N150" s="16">
        <f>G150</f>
        <v>45944</v>
      </c>
      <c r="O150" s="17">
        <f>H150/3.478</f>
        <v>227.14203565267394</v>
      </c>
    </row>
    <row r="151" spans="1:17" hidden="1" outlineLevel="1" x14ac:dyDescent="0.3">
      <c r="A151" s="2" t="s">
        <v>336</v>
      </c>
      <c r="B151" s="2" t="s">
        <v>337</v>
      </c>
      <c r="C151" s="2" t="s">
        <v>338</v>
      </c>
      <c r="D151" s="2" t="s">
        <v>12</v>
      </c>
      <c r="E151" s="3">
        <v>46134</v>
      </c>
      <c r="F151" s="4">
        <v>2</v>
      </c>
      <c r="G151" s="3">
        <v>46137</v>
      </c>
      <c r="H151" s="5">
        <v>21687.46</v>
      </c>
      <c r="I151" s="2" t="s">
        <v>13</v>
      </c>
      <c r="J151" s="2" t="s">
        <v>411</v>
      </c>
      <c r="M151" s="16"/>
      <c r="N151" s="16">
        <f>G151</f>
        <v>46137</v>
      </c>
      <c r="O151" s="17">
        <f>H151/3.478</f>
        <v>6235.6124209315694</v>
      </c>
    </row>
    <row r="152" spans="1:17" hidden="1" outlineLevel="1" x14ac:dyDescent="0.3">
      <c r="A152" s="2" t="s">
        <v>339</v>
      </c>
      <c r="B152" s="2" t="s">
        <v>340</v>
      </c>
      <c r="C152" s="2" t="s">
        <v>341</v>
      </c>
      <c r="D152" s="2" t="s">
        <v>96</v>
      </c>
      <c r="E152" s="3">
        <v>46111</v>
      </c>
      <c r="F152" s="4">
        <v>0</v>
      </c>
      <c r="G152" s="3">
        <v>46112</v>
      </c>
      <c r="H152" s="7">
        <v>-33875</v>
      </c>
      <c r="I152" s="2" t="s">
        <v>49</v>
      </c>
      <c r="J152" s="2" t="s">
        <v>413</v>
      </c>
      <c r="K152" s="16">
        <f t="shared" ref="K152:K154" si="33">E152+45</f>
        <v>46156</v>
      </c>
      <c r="L152" s="19"/>
      <c r="M152" s="16"/>
      <c r="N152" s="16">
        <f>G152</f>
        <v>46112</v>
      </c>
      <c r="O152" s="10">
        <f t="shared" ref="O152:O154" si="34">H152</f>
        <v>-33875</v>
      </c>
      <c r="P152" s="19">
        <f t="shared" ref="P152:P154" ca="1" si="35">TODAY()-E152</f>
        <v>28</v>
      </c>
      <c r="Q152" t="s">
        <v>430</v>
      </c>
    </row>
    <row r="153" spans="1:17" outlineLevel="1" x14ac:dyDescent="0.3">
      <c r="A153" s="2" t="s">
        <v>339</v>
      </c>
      <c r="B153" s="2" t="s">
        <v>342</v>
      </c>
      <c r="C153" s="2" t="s">
        <v>343</v>
      </c>
      <c r="D153" s="2" t="s">
        <v>96</v>
      </c>
      <c r="E153" s="3">
        <v>46120</v>
      </c>
      <c r="F153" s="4">
        <v>0</v>
      </c>
      <c r="G153" s="3">
        <v>46142</v>
      </c>
      <c r="H153" s="7">
        <v>-30635</v>
      </c>
      <c r="I153" s="2" t="s">
        <v>49</v>
      </c>
      <c r="J153" s="2" t="s">
        <v>413</v>
      </c>
      <c r="K153" s="16">
        <f t="shared" si="33"/>
        <v>46165</v>
      </c>
      <c r="L153" s="19"/>
      <c r="M153" s="16"/>
      <c r="N153" s="16">
        <f t="shared" ref="N153:N154" si="36">G153</f>
        <v>46142</v>
      </c>
      <c r="O153" s="10">
        <f t="shared" si="34"/>
        <v>-30635</v>
      </c>
      <c r="P153" s="19">
        <f t="shared" ca="1" si="35"/>
        <v>19</v>
      </c>
      <c r="Q153" t="s">
        <v>430</v>
      </c>
    </row>
    <row r="154" spans="1:17" outlineLevel="1" x14ac:dyDescent="0.3">
      <c r="A154" s="2" t="s">
        <v>339</v>
      </c>
      <c r="B154" s="2" t="s">
        <v>344</v>
      </c>
      <c r="C154" s="2" t="s">
        <v>345</v>
      </c>
      <c r="D154" s="2" t="s">
        <v>96</v>
      </c>
      <c r="E154" s="3">
        <v>46127</v>
      </c>
      <c r="F154" s="4">
        <v>0</v>
      </c>
      <c r="G154" s="3">
        <v>46142</v>
      </c>
      <c r="H154" s="7">
        <v>-168395</v>
      </c>
      <c r="I154" s="2" t="s">
        <v>49</v>
      </c>
      <c r="J154" s="2" t="s">
        <v>413</v>
      </c>
      <c r="K154" s="16">
        <f t="shared" si="33"/>
        <v>46172</v>
      </c>
      <c r="L154" s="19"/>
      <c r="M154" s="16"/>
      <c r="N154" s="16">
        <f t="shared" si="36"/>
        <v>46142</v>
      </c>
      <c r="O154" s="10">
        <f t="shared" si="34"/>
        <v>-168395</v>
      </c>
      <c r="P154" s="19">
        <f t="shared" ca="1" si="35"/>
        <v>12</v>
      </c>
      <c r="Q154" t="s">
        <v>430</v>
      </c>
    </row>
    <row r="155" spans="1:17" hidden="1" outlineLevel="1" x14ac:dyDescent="0.3">
      <c r="A155" s="2" t="s">
        <v>346</v>
      </c>
      <c r="B155" s="2" t="s">
        <v>347</v>
      </c>
      <c r="C155" s="2" t="s">
        <v>348</v>
      </c>
      <c r="D155" s="2" t="s">
        <v>12</v>
      </c>
      <c r="E155" s="3">
        <v>46129</v>
      </c>
      <c r="F155" s="4">
        <v>10</v>
      </c>
      <c r="G155" s="3">
        <v>46129</v>
      </c>
      <c r="H155" s="5">
        <v>590</v>
      </c>
      <c r="I155" s="2" t="s">
        <v>13</v>
      </c>
      <c r="J155" s="2" t="s">
        <v>410</v>
      </c>
      <c r="M155" s="16"/>
      <c r="N155" s="16">
        <f t="shared" ref="N155:N159" si="37">G155</f>
        <v>46129</v>
      </c>
      <c r="O155" s="17">
        <f t="shared" ref="O155:O159" si="38">H155/3.478</f>
        <v>169.63772282921218</v>
      </c>
    </row>
    <row r="156" spans="1:17" hidden="1" outlineLevel="1" x14ac:dyDescent="0.3">
      <c r="A156" s="2" t="s">
        <v>346</v>
      </c>
      <c r="B156" s="2" t="s">
        <v>349</v>
      </c>
      <c r="C156" s="2" t="s">
        <v>350</v>
      </c>
      <c r="D156" s="2" t="s">
        <v>12</v>
      </c>
      <c r="E156" s="3">
        <v>46130</v>
      </c>
      <c r="F156" s="4">
        <v>9</v>
      </c>
      <c r="G156" s="3">
        <v>46130</v>
      </c>
      <c r="H156" s="5">
        <v>590</v>
      </c>
      <c r="I156" s="2" t="s">
        <v>13</v>
      </c>
      <c r="J156" s="2" t="s">
        <v>410</v>
      </c>
      <c r="M156" s="16"/>
      <c r="N156" s="16">
        <f t="shared" si="37"/>
        <v>46130</v>
      </c>
      <c r="O156" s="17">
        <f t="shared" si="38"/>
        <v>169.63772282921218</v>
      </c>
    </row>
    <row r="157" spans="1:17" hidden="1" outlineLevel="1" x14ac:dyDescent="0.3">
      <c r="A157" s="2" t="s">
        <v>346</v>
      </c>
      <c r="B157" s="2" t="s">
        <v>351</v>
      </c>
      <c r="C157" s="2" t="s">
        <v>352</v>
      </c>
      <c r="D157" s="2" t="s">
        <v>12</v>
      </c>
      <c r="E157" s="3">
        <v>46132</v>
      </c>
      <c r="F157" s="4">
        <v>0</v>
      </c>
      <c r="G157" s="3">
        <v>46139</v>
      </c>
      <c r="H157" s="5">
        <v>590</v>
      </c>
      <c r="I157" s="2" t="s">
        <v>13</v>
      </c>
      <c r="J157" s="2" t="s">
        <v>410</v>
      </c>
      <c r="M157" s="16"/>
      <c r="N157" s="16">
        <f t="shared" si="37"/>
        <v>46139</v>
      </c>
      <c r="O157" s="17">
        <f t="shared" si="38"/>
        <v>169.63772282921218</v>
      </c>
    </row>
    <row r="158" spans="1:17" hidden="1" outlineLevel="1" x14ac:dyDescent="0.3">
      <c r="A158" s="2" t="s">
        <v>346</v>
      </c>
      <c r="B158" s="2" t="s">
        <v>353</v>
      </c>
      <c r="C158" s="2" t="s">
        <v>354</v>
      </c>
      <c r="D158" s="2" t="s">
        <v>12</v>
      </c>
      <c r="E158" s="3">
        <v>46134</v>
      </c>
      <c r="F158" s="6">
        <v>-2</v>
      </c>
      <c r="G158" s="3">
        <v>46141</v>
      </c>
      <c r="H158" s="5">
        <v>590</v>
      </c>
      <c r="I158" s="2" t="s">
        <v>13</v>
      </c>
      <c r="J158" s="2" t="s">
        <v>410</v>
      </c>
      <c r="M158" s="16"/>
      <c r="N158" s="16">
        <f t="shared" si="37"/>
        <v>46141</v>
      </c>
      <c r="O158" s="17">
        <f t="shared" si="38"/>
        <v>169.63772282921218</v>
      </c>
    </row>
    <row r="159" spans="1:17" hidden="1" outlineLevel="1" x14ac:dyDescent="0.3">
      <c r="A159" s="2" t="s">
        <v>346</v>
      </c>
      <c r="B159" s="2" t="s">
        <v>355</v>
      </c>
      <c r="C159" s="2" t="s">
        <v>356</v>
      </c>
      <c r="D159" s="2" t="s">
        <v>12</v>
      </c>
      <c r="E159" s="3">
        <v>46136</v>
      </c>
      <c r="F159" s="6">
        <v>-4</v>
      </c>
      <c r="G159" s="3">
        <v>46143</v>
      </c>
      <c r="H159" s="5">
        <v>590</v>
      </c>
      <c r="I159" s="2" t="s">
        <v>13</v>
      </c>
      <c r="J159" s="2" t="s">
        <v>410</v>
      </c>
      <c r="M159" s="16"/>
      <c r="N159" s="16">
        <f t="shared" si="37"/>
        <v>46143</v>
      </c>
      <c r="O159" s="17">
        <f t="shared" si="38"/>
        <v>169.63772282921218</v>
      </c>
    </row>
    <row r="160" spans="1:17" hidden="1" outlineLevel="1" x14ac:dyDescent="0.3">
      <c r="A160" s="2" t="s">
        <v>357</v>
      </c>
      <c r="B160" s="2" t="s">
        <v>358</v>
      </c>
      <c r="C160" s="2" t="s">
        <v>359</v>
      </c>
      <c r="D160" s="2" t="s">
        <v>96</v>
      </c>
      <c r="E160" s="3">
        <v>46083</v>
      </c>
      <c r="F160" s="4">
        <v>0</v>
      </c>
      <c r="G160" s="3">
        <v>46112</v>
      </c>
      <c r="H160" s="7">
        <v>-13900</v>
      </c>
      <c r="I160" s="2" t="s">
        <v>49</v>
      </c>
      <c r="J160" s="2" t="s">
        <v>413</v>
      </c>
      <c r="K160" s="16">
        <f t="shared" ref="K160:K162" si="39">E160+45</f>
        <v>46128</v>
      </c>
      <c r="L160" s="19"/>
      <c r="M160" s="16"/>
      <c r="N160" s="16">
        <f>G160</f>
        <v>46112</v>
      </c>
      <c r="O160" s="10">
        <f t="shared" ref="O160:O162" si="40">H160</f>
        <v>-13900</v>
      </c>
      <c r="P160" s="19">
        <f t="shared" ref="P160:P162" ca="1" si="41">TODAY()-E160</f>
        <v>56</v>
      </c>
      <c r="Q160" t="s">
        <v>431</v>
      </c>
    </row>
    <row r="161" spans="1:17" hidden="1" outlineLevel="1" x14ac:dyDescent="0.3">
      <c r="A161" s="2" t="s">
        <v>357</v>
      </c>
      <c r="B161" s="2" t="s">
        <v>360</v>
      </c>
      <c r="C161" s="2" t="s">
        <v>361</v>
      </c>
      <c r="D161" s="2" t="s">
        <v>48</v>
      </c>
      <c r="E161" s="3">
        <v>46111</v>
      </c>
      <c r="F161" s="6">
        <v>-17</v>
      </c>
      <c r="G161" s="3">
        <v>46156</v>
      </c>
      <c r="H161" s="5">
        <v>70200</v>
      </c>
      <c r="I161" s="2" t="s">
        <v>49</v>
      </c>
      <c r="J161" s="2" t="s">
        <v>413</v>
      </c>
      <c r="K161" s="16">
        <f t="shared" si="39"/>
        <v>46156</v>
      </c>
      <c r="L161" s="19">
        <f t="shared" ref="L161" ca="1" si="42">M161-TODAY()</f>
        <v>17</v>
      </c>
      <c r="M161" s="16">
        <v>46156</v>
      </c>
      <c r="N161" s="16">
        <f>G161</f>
        <v>46156</v>
      </c>
      <c r="O161" s="10">
        <f t="shared" si="40"/>
        <v>70200</v>
      </c>
      <c r="P161" s="19">
        <f t="shared" ca="1" si="41"/>
        <v>28</v>
      </c>
      <c r="Q161" t="s">
        <v>430</v>
      </c>
    </row>
    <row r="162" spans="1:17" outlineLevel="1" x14ac:dyDescent="0.3">
      <c r="A162" s="2" t="s">
        <v>357</v>
      </c>
      <c r="B162" s="2" t="s">
        <v>362</v>
      </c>
      <c r="C162" s="2" t="s">
        <v>363</v>
      </c>
      <c r="D162" s="2" t="s">
        <v>96</v>
      </c>
      <c r="E162" s="3">
        <v>46113</v>
      </c>
      <c r="F162" s="4">
        <v>0</v>
      </c>
      <c r="G162" s="3">
        <v>46142</v>
      </c>
      <c r="H162" s="7">
        <v>-29130</v>
      </c>
      <c r="I162" s="2" t="s">
        <v>49</v>
      </c>
      <c r="J162" s="2" t="s">
        <v>413</v>
      </c>
      <c r="K162" s="16">
        <f t="shared" si="39"/>
        <v>46158</v>
      </c>
      <c r="L162" s="19"/>
      <c r="M162" s="16"/>
      <c r="N162" s="16">
        <f>G162</f>
        <v>46142</v>
      </c>
      <c r="O162" s="10">
        <f t="shared" si="40"/>
        <v>-29130</v>
      </c>
      <c r="P162" s="19">
        <f t="shared" ca="1" si="41"/>
        <v>26</v>
      </c>
      <c r="Q162" t="s">
        <v>430</v>
      </c>
    </row>
    <row r="163" spans="1:17" hidden="1" outlineLevel="1" x14ac:dyDescent="0.3">
      <c r="A163" s="2" t="s">
        <v>364</v>
      </c>
      <c r="B163" s="2" t="s">
        <v>365</v>
      </c>
      <c r="C163" s="2" t="s">
        <v>366</v>
      </c>
      <c r="D163" s="2" t="s">
        <v>12</v>
      </c>
      <c r="E163" s="3">
        <v>46120</v>
      </c>
      <c r="F163" s="4">
        <v>12</v>
      </c>
      <c r="G163" s="3">
        <v>46127</v>
      </c>
      <c r="H163" s="5">
        <v>554.13</v>
      </c>
      <c r="I163" s="2" t="s">
        <v>13</v>
      </c>
      <c r="J163" s="2" t="s">
        <v>410</v>
      </c>
      <c r="M163" s="16"/>
      <c r="N163" s="16">
        <f t="shared" ref="N163:N168" si="43">G163</f>
        <v>46127</v>
      </c>
      <c r="O163" s="17">
        <f t="shared" ref="O163:O168" si="44">H163/3.478</f>
        <v>159.32432432432432</v>
      </c>
    </row>
    <row r="164" spans="1:17" hidden="1" outlineLevel="1" x14ac:dyDescent="0.3">
      <c r="A164" s="2" t="s">
        <v>364</v>
      </c>
      <c r="B164" s="2" t="s">
        <v>367</v>
      </c>
      <c r="C164" s="2" t="s">
        <v>368</v>
      </c>
      <c r="D164" s="2" t="s">
        <v>12</v>
      </c>
      <c r="E164" s="3">
        <v>46120</v>
      </c>
      <c r="F164" s="4">
        <v>12</v>
      </c>
      <c r="G164" s="3">
        <v>46127</v>
      </c>
      <c r="H164" s="5">
        <v>123.9</v>
      </c>
      <c r="I164" s="2" t="s">
        <v>13</v>
      </c>
      <c r="J164" s="2" t="s">
        <v>410</v>
      </c>
      <c r="M164" s="16"/>
      <c r="N164" s="16">
        <f t="shared" si="43"/>
        <v>46127</v>
      </c>
      <c r="O164" s="17">
        <f t="shared" si="44"/>
        <v>35.62392179413456</v>
      </c>
    </row>
    <row r="165" spans="1:17" hidden="1" outlineLevel="1" x14ac:dyDescent="0.3">
      <c r="A165" s="2" t="s">
        <v>364</v>
      </c>
      <c r="B165" s="2" t="s">
        <v>369</v>
      </c>
      <c r="C165" s="2" t="s">
        <v>370</v>
      </c>
      <c r="D165" s="2" t="s">
        <v>12</v>
      </c>
      <c r="E165" s="3">
        <v>46137</v>
      </c>
      <c r="F165" s="6">
        <v>-5</v>
      </c>
      <c r="G165" s="3">
        <v>46144</v>
      </c>
      <c r="H165" s="5">
        <v>668.82</v>
      </c>
      <c r="I165" s="2" t="s">
        <v>13</v>
      </c>
      <c r="J165" s="2" t="s">
        <v>410</v>
      </c>
      <c r="M165" s="16"/>
      <c r="N165" s="16">
        <f t="shared" si="43"/>
        <v>46144</v>
      </c>
      <c r="O165" s="17">
        <f t="shared" si="44"/>
        <v>192.30017251293847</v>
      </c>
    </row>
    <row r="166" spans="1:17" hidden="1" outlineLevel="1" x14ac:dyDescent="0.3">
      <c r="A166" s="2" t="s">
        <v>364</v>
      </c>
      <c r="B166" s="2" t="s">
        <v>371</v>
      </c>
      <c r="C166" s="2" t="s">
        <v>372</v>
      </c>
      <c r="D166" s="2" t="s">
        <v>12</v>
      </c>
      <c r="E166" s="3">
        <v>46137</v>
      </c>
      <c r="F166" s="6">
        <v>-5</v>
      </c>
      <c r="G166" s="3">
        <v>46144</v>
      </c>
      <c r="H166" s="5">
        <v>123.9</v>
      </c>
      <c r="I166" s="2" t="s">
        <v>13</v>
      </c>
      <c r="J166" s="2" t="s">
        <v>410</v>
      </c>
      <c r="M166" s="16"/>
      <c r="N166" s="16">
        <f t="shared" si="43"/>
        <v>46144</v>
      </c>
      <c r="O166" s="17">
        <f t="shared" si="44"/>
        <v>35.62392179413456</v>
      </c>
    </row>
    <row r="167" spans="1:17" hidden="1" outlineLevel="1" x14ac:dyDescent="0.3">
      <c r="A167" s="2" t="s">
        <v>373</v>
      </c>
      <c r="B167" s="2" t="s">
        <v>374</v>
      </c>
      <c r="C167" s="2" t="s">
        <v>375</v>
      </c>
      <c r="D167" s="2" t="s">
        <v>96</v>
      </c>
      <c r="E167" s="3">
        <v>45942</v>
      </c>
      <c r="F167" s="4">
        <v>197</v>
      </c>
      <c r="G167" s="3">
        <v>45942</v>
      </c>
      <c r="H167" s="5">
        <v>56.64</v>
      </c>
      <c r="I167" s="2" t="s">
        <v>13</v>
      </c>
      <c r="J167" s="2" t="s">
        <v>410</v>
      </c>
      <c r="M167" s="16"/>
      <c r="N167" s="16">
        <f t="shared" si="43"/>
        <v>45942</v>
      </c>
      <c r="O167" s="17">
        <f t="shared" si="44"/>
        <v>16.28522139160437</v>
      </c>
    </row>
    <row r="168" spans="1:17" hidden="1" outlineLevel="1" x14ac:dyDescent="0.3">
      <c r="A168" s="2" t="s">
        <v>376</v>
      </c>
      <c r="B168" s="2" t="s">
        <v>377</v>
      </c>
      <c r="C168" s="2" t="s">
        <v>378</v>
      </c>
      <c r="D168" s="2" t="s">
        <v>12</v>
      </c>
      <c r="E168" s="3">
        <v>46132</v>
      </c>
      <c r="F168" s="4">
        <v>0</v>
      </c>
      <c r="G168" s="3">
        <v>46139</v>
      </c>
      <c r="H168" s="5">
        <v>1274.4000000000001</v>
      </c>
      <c r="I168" s="2" t="s">
        <v>13</v>
      </c>
      <c r="J168" s="2" t="s">
        <v>410</v>
      </c>
      <c r="M168" s="16"/>
      <c r="N168" s="16">
        <f t="shared" si="43"/>
        <v>46139</v>
      </c>
      <c r="O168" s="17">
        <f t="shared" si="44"/>
        <v>366.41748131109836</v>
      </c>
    </row>
    <row r="169" spans="1:17" hidden="1" outlineLevel="1" x14ac:dyDescent="0.3">
      <c r="A169" s="2" t="s">
        <v>379</v>
      </c>
      <c r="B169" s="2" t="s">
        <v>382</v>
      </c>
      <c r="C169" s="2" t="s">
        <v>383</v>
      </c>
      <c r="D169" s="2" t="s">
        <v>48</v>
      </c>
      <c r="E169" s="3">
        <v>46109</v>
      </c>
      <c r="F169" s="6">
        <v>-15</v>
      </c>
      <c r="G169" s="3">
        <v>46154</v>
      </c>
      <c r="H169" s="5">
        <v>86240</v>
      </c>
      <c r="I169" s="2" t="s">
        <v>49</v>
      </c>
      <c r="J169" s="2" t="s">
        <v>413</v>
      </c>
      <c r="K169" s="16">
        <f t="shared" ref="K169:K180" si="45">E169+45</f>
        <v>46154</v>
      </c>
      <c r="L169" s="19">
        <f t="shared" ref="L169:L180" ca="1" si="46">M169-TODAY()</f>
        <v>15</v>
      </c>
      <c r="M169" s="16">
        <v>46154</v>
      </c>
      <c r="N169" s="16">
        <f>G169</f>
        <v>46154</v>
      </c>
      <c r="O169" s="10">
        <f t="shared" ref="O169:O180" si="47">H169</f>
        <v>86240</v>
      </c>
      <c r="P169" s="19">
        <f t="shared" ref="P169:P180" ca="1" si="48">TODAY()-E169</f>
        <v>30</v>
      </c>
      <c r="Q169" t="s">
        <v>430</v>
      </c>
    </row>
    <row r="170" spans="1:17" hidden="1" outlineLevel="1" x14ac:dyDescent="0.3">
      <c r="A170" s="2" t="s">
        <v>379</v>
      </c>
      <c r="B170" s="2" t="s">
        <v>385</v>
      </c>
      <c r="C170" s="2" t="s">
        <v>386</v>
      </c>
      <c r="D170" s="2" t="s">
        <v>48</v>
      </c>
      <c r="E170" s="3">
        <v>46109</v>
      </c>
      <c r="F170" s="6">
        <v>-15</v>
      </c>
      <c r="G170" s="3">
        <v>46154</v>
      </c>
      <c r="H170" s="5">
        <v>129600</v>
      </c>
      <c r="I170" s="2" t="s">
        <v>49</v>
      </c>
      <c r="J170" s="2" t="s">
        <v>413</v>
      </c>
      <c r="K170" s="16">
        <f t="shared" si="45"/>
        <v>46154</v>
      </c>
      <c r="L170" s="19">
        <f t="shared" ca="1" si="46"/>
        <v>15</v>
      </c>
      <c r="M170" s="16">
        <v>46154</v>
      </c>
      <c r="N170" s="16">
        <f t="shared" ref="N170:N174" si="49">G170</f>
        <v>46154</v>
      </c>
      <c r="O170" s="10">
        <f t="shared" si="47"/>
        <v>129600</v>
      </c>
      <c r="P170" s="19">
        <f t="shared" ca="1" si="48"/>
        <v>30</v>
      </c>
      <c r="Q170" t="s">
        <v>430</v>
      </c>
    </row>
    <row r="171" spans="1:17" hidden="1" outlineLevel="1" x14ac:dyDescent="0.3">
      <c r="A171" s="2" t="s">
        <v>379</v>
      </c>
      <c r="B171" s="2" t="s">
        <v>387</v>
      </c>
      <c r="C171" s="2" t="s">
        <v>388</v>
      </c>
      <c r="D171" s="2" t="s">
        <v>48</v>
      </c>
      <c r="E171" s="3">
        <v>46110</v>
      </c>
      <c r="F171" s="6">
        <v>-16</v>
      </c>
      <c r="G171" s="3">
        <v>46155</v>
      </c>
      <c r="H171" s="5">
        <v>67200</v>
      </c>
      <c r="I171" s="2" t="s">
        <v>49</v>
      </c>
      <c r="J171" s="2" t="s">
        <v>413</v>
      </c>
      <c r="K171" s="16">
        <f t="shared" si="45"/>
        <v>46155</v>
      </c>
      <c r="L171" s="19">
        <f t="shared" ca="1" si="46"/>
        <v>16</v>
      </c>
      <c r="M171" s="16">
        <v>46155</v>
      </c>
      <c r="N171" s="16">
        <f t="shared" si="49"/>
        <v>46155</v>
      </c>
      <c r="O171" s="10">
        <f t="shared" si="47"/>
        <v>67200</v>
      </c>
      <c r="P171" s="19">
        <f t="shared" ca="1" si="48"/>
        <v>29</v>
      </c>
      <c r="Q171" t="s">
        <v>430</v>
      </c>
    </row>
    <row r="172" spans="1:17" hidden="1" outlineLevel="1" x14ac:dyDescent="0.3">
      <c r="A172" s="2" t="s">
        <v>379</v>
      </c>
      <c r="B172" s="2" t="s">
        <v>389</v>
      </c>
      <c r="C172" s="2" t="s">
        <v>390</v>
      </c>
      <c r="D172" s="2" t="s">
        <v>48</v>
      </c>
      <c r="E172" s="3">
        <v>46110</v>
      </c>
      <c r="F172" s="6">
        <v>-16</v>
      </c>
      <c r="G172" s="3">
        <v>46155</v>
      </c>
      <c r="H172" s="5">
        <v>72960</v>
      </c>
      <c r="I172" s="2" t="s">
        <v>49</v>
      </c>
      <c r="J172" s="2" t="s">
        <v>413</v>
      </c>
      <c r="K172" s="16">
        <f t="shared" si="45"/>
        <v>46155</v>
      </c>
      <c r="L172" s="19">
        <f t="shared" ca="1" si="46"/>
        <v>16</v>
      </c>
      <c r="M172" s="16">
        <v>46155</v>
      </c>
      <c r="N172" s="16">
        <f t="shared" si="49"/>
        <v>46155</v>
      </c>
      <c r="O172" s="10">
        <f t="shared" si="47"/>
        <v>72960</v>
      </c>
      <c r="P172" s="19">
        <f t="shared" ca="1" si="48"/>
        <v>29</v>
      </c>
      <c r="Q172" t="s">
        <v>430</v>
      </c>
    </row>
    <row r="173" spans="1:17" hidden="1" outlineLevel="1" x14ac:dyDescent="0.3">
      <c r="A173" s="2" t="s">
        <v>379</v>
      </c>
      <c r="B173" s="2" t="s">
        <v>391</v>
      </c>
      <c r="C173" s="2" t="s">
        <v>392</v>
      </c>
      <c r="D173" s="2" t="s">
        <v>48</v>
      </c>
      <c r="E173" s="3">
        <v>46120</v>
      </c>
      <c r="F173" s="6">
        <v>-26</v>
      </c>
      <c r="G173" s="3">
        <v>46165</v>
      </c>
      <c r="H173" s="5">
        <v>78200</v>
      </c>
      <c r="I173" s="2" t="s">
        <v>49</v>
      </c>
      <c r="J173" s="2" t="s">
        <v>413</v>
      </c>
      <c r="K173" s="16">
        <f t="shared" si="45"/>
        <v>46165</v>
      </c>
      <c r="L173" s="19">
        <f t="shared" ca="1" si="46"/>
        <v>26</v>
      </c>
      <c r="M173" s="16">
        <v>46165</v>
      </c>
      <c r="N173" s="16">
        <f t="shared" si="49"/>
        <v>46165</v>
      </c>
      <c r="O173" s="10">
        <f t="shared" si="47"/>
        <v>78200</v>
      </c>
      <c r="P173" s="19">
        <f t="shared" ca="1" si="48"/>
        <v>19</v>
      </c>
      <c r="Q173" t="s">
        <v>430</v>
      </c>
    </row>
    <row r="174" spans="1:17" hidden="1" outlineLevel="1" x14ac:dyDescent="0.3">
      <c r="A174" s="2" t="s">
        <v>379</v>
      </c>
      <c r="B174" s="2" t="s">
        <v>393</v>
      </c>
      <c r="C174" s="2" t="s">
        <v>394</v>
      </c>
      <c r="D174" s="2" t="s">
        <v>48</v>
      </c>
      <c r="E174" s="3">
        <v>46120</v>
      </c>
      <c r="F174" s="6">
        <v>-26</v>
      </c>
      <c r="G174" s="3">
        <v>46165</v>
      </c>
      <c r="H174" s="5">
        <v>180000</v>
      </c>
      <c r="I174" s="2" t="s">
        <v>49</v>
      </c>
      <c r="J174" s="2" t="s">
        <v>413</v>
      </c>
      <c r="K174" s="16">
        <f t="shared" si="45"/>
        <v>46165</v>
      </c>
      <c r="L174" s="19">
        <f t="shared" ca="1" si="46"/>
        <v>26</v>
      </c>
      <c r="M174" s="16">
        <v>46165</v>
      </c>
      <c r="N174" s="16">
        <f t="shared" si="49"/>
        <v>46165</v>
      </c>
      <c r="O174" s="10">
        <f t="shared" si="47"/>
        <v>180000</v>
      </c>
      <c r="P174" s="19">
        <f t="shared" ca="1" si="48"/>
        <v>19</v>
      </c>
      <c r="Q174" t="s">
        <v>430</v>
      </c>
    </row>
    <row r="175" spans="1:17" hidden="1" outlineLevel="1" x14ac:dyDescent="0.3">
      <c r="A175" s="2" t="s">
        <v>395</v>
      </c>
      <c r="B175" s="2" t="s">
        <v>396</v>
      </c>
      <c r="C175" s="2" t="s">
        <v>397</v>
      </c>
      <c r="D175" s="2" t="s">
        <v>48</v>
      </c>
      <c r="E175" s="3">
        <v>46136</v>
      </c>
      <c r="F175" s="6">
        <v>-42</v>
      </c>
      <c r="G175" s="3">
        <v>46181</v>
      </c>
      <c r="H175" s="5">
        <v>30250</v>
      </c>
      <c r="I175" s="2" t="s">
        <v>49</v>
      </c>
      <c r="J175" s="2" t="s">
        <v>413</v>
      </c>
      <c r="K175" s="16">
        <f t="shared" si="45"/>
        <v>46181</v>
      </c>
      <c r="L175" s="19"/>
      <c r="M175" s="16">
        <f>K175</f>
        <v>46181</v>
      </c>
      <c r="N175" s="16">
        <f>G175</f>
        <v>46181</v>
      </c>
      <c r="O175" s="10">
        <f t="shared" si="47"/>
        <v>30250</v>
      </c>
      <c r="P175" s="19">
        <f t="shared" ca="1" si="48"/>
        <v>3</v>
      </c>
      <c r="Q175" t="s">
        <v>430</v>
      </c>
    </row>
    <row r="176" spans="1:17" hidden="1" outlineLevel="1" x14ac:dyDescent="0.3">
      <c r="A176" s="2" t="s">
        <v>398</v>
      </c>
      <c r="B176" s="2" t="s">
        <v>399</v>
      </c>
      <c r="C176" s="2" t="s">
        <v>400</v>
      </c>
      <c r="D176" s="2" t="s">
        <v>96</v>
      </c>
      <c r="E176" s="3">
        <v>46098</v>
      </c>
      <c r="F176" s="4">
        <v>0</v>
      </c>
      <c r="G176" s="3">
        <v>46112</v>
      </c>
      <c r="H176" s="7">
        <v>-84100</v>
      </c>
      <c r="I176" s="2" t="s">
        <v>49</v>
      </c>
      <c r="J176" s="2" t="s">
        <v>413</v>
      </c>
      <c r="K176" s="16">
        <f t="shared" si="45"/>
        <v>46143</v>
      </c>
      <c r="L176" s="19"/>
      <c r="M176" s="16"/>
      <c r="N176" s="16">
        <f>G176</f>
        <v>46112</v>
      </c>
      <c r="O176" s="10">
        <f t="shared" si="47"/>
        <v>-84100</v>
      </c>
      <c r="P176" s="19">
        <f t="shared" ca="1" si="48"/>
        <v>41</v>
      </c>
      <c r="Q176" t="s">
        <v>430</v>
      </c>
    </row>
    <row r="177" spans="1:17" hidden="1" outlineLevel="1" x14ac:dyDescent="0.3">
      <c r="A177" s="2" t="s">
        <v>398</v>
      </c>
      <c r="B177" s="2" t="s">
        <v>401</v>
      </c>
      <c r="C177" s="2" t="s">
        <v>402</v>
      </c>
      <c r="D177" s="2" t="s">
        <v>48</v>
      </c>
      <c r="E177" s="3">
        <v>46124</v>
      </c>
      <c r="F177" s="6">
        <v>-30</v>
      </c>
      <c r="G177" s="3">
        <v>46169</v>
      </c>
      <c r="H177" s="5">
        <v>94500</v>
      </c>
      <c r="I177" s="2" t="s">
        <v>49</v>
      </c>
      <c r="J177" s="2" t="s">
        <v>413</v>
      </c>
      <c r="K177" s="16">
        <f t="shared" si="45"/>
        <v>46169</v>
      </c>
      <c r="L177" s="19">
        <f t="shared" ca="1" si="46"/>
        <v>30</v>
      </c>
      <c r="M177" s="16">
        <v>46169</v>
      </c>
      <c r="N177" s="16">
        <f>G177</f>
        <v>46169</v>
      </c>
      <c r="O177" s="10">
        <f t="shared" si="47"/>
        <v>94500</v>
      </c>
      <c r="P177" s="19">
        <f t="shared" ca="1" si="48"/>
        <v>15</v>
      </c>
      <c r="Q177" t="s">
        <v>430</v>
      </c>
    </row>
    <row r="178" spans="1:17" hidden="1" outlineLevel="1" x14ac:dyDescent="0.3">
      <c r="A178" s="2" t="s">
        <v>398</v>
      </c>
      <c r="B178" s="2" t="s">
        <v>403</v>
      </c>
      <c r="C178" s="2" t="s">
        <v>404</v>
      </c>
      <c r="D178" s="2" t="s">
        <v>48</v>
      </c>
      <c r="E178" s="3">
        <v>46124</v>
      </c>
      <c r="F178" s="6">
        <v>-30</v>
      </c>
      <c r="G178" s="3">
        <v>46169</v>
      </c>
      <c r="H178" s="5">
        <v>45900</v>
      </c>
      <c r="I178" s="2" t="s">
        <v>49</v>
      </c>
      <c r="J178" s="2" t="s">
        <v>413</v>
      </c>
      <c r="K178" s="16">
        <f t="shared" si="45"/>
        <v>46169</v>
      </c>
      <c r="L178" s="19">
        <f t="shared" ca="1" si="46"/>
        <v>30</v>
      </c>
      <c r="M178" s="16">
        <v>46169</v>
      </c>
      <c r="N178" s="16">
        <f t="shared" ref="N178:N180" si="50">G178</f>
        <v>46169</v>
      </c>
      <c r="O178" s="10">
        <f t="shared" si="47"/>
        <v>45900</v>
      </c>
      <c r="P178" s="19">
        <f t="shared" ca="1" si="48"/>
        <v>15</v>
      </c>
      <c r="Q178" t="s">
        <v>430</v>
      </c>
    </row>
    <row r="179" spans="1:17" hidden="1" outlineLevel="1" x14ac:dyDescent="0.3">
      <c r="A179" s="2" t="s">
        <v>398</v>
      </c>
      <c r="B179" s="2" t="s">
        <v>405</v>
      </c>
      <c r="C179" s="2" t="s">
        <v>406</v>
      </c>
      <c r="D179" s="2" t="s">
        <v>48</v>
      </c>
      <c r="E179" s="3">
        <v>46124</v>
      </c>
      <c r="F179" s="6">
        <v>-30</v>
      </c>
      <c r="G179" s="3">
        <v>46169</v>
      </c>
      <c r="H179" s="5">
        <v>43200</v>
      </c>
      <c r="I179" s="2" t="s">
        <v>49</v>
      </c>
      <c r="J179" s="2" t="s">
        <v>413</v>
      </c>
      <c r="K179" s="16">
        <f t="shared" si="45"/>
        <v>46169</v>
      </c>
      <c r="L179" s="19">
        <f t="shared" ca="1" si="46"/>
        <v>30</v>
      </c>
      <c r="M179" s="16">
        <v>46169</v>
      </c>
      <c r="N179" s="16">
        <f t="shared" si="50"/>
        <v>46169</v>
      </c>
      <c r="O179" s="10">
        <f t="shared" si="47"/>
        <v>43200</v>
      </c>
      <c r="P179" s="19">
        <f t="shared" ca="1" si="48"/>
        <v>15</v>
      </c>
      <c r="Q179" t="s">
        <v>430</v>
      </c>
    </row>
    <row r="180" spans="1:17" hidden="1" outlineLevel="1" x14ac:dyDescent="0.3">
      <c r="A180" s="2" t="s">
        <v>398</v>
      </c>
      <c r="B180" s="2" t="s">
        <v>407</v>
      </c>
      <c r="C180" s="2" t="s">
        <v>408</v>
      </c>
      <c r="D180" s="2" t="s">
        <v>48</v>
      </c>
      <c r="E180" s="3">
        <v>46134</v>
      </c>
      <c r="F180" s="6">
        <v>-40</v>
      </c>
      <c r="G180" s="3">
        <v>46179</v>
      </c>
      <c r="H180" s="5">
        <v>95904</v>
      </c>
      <c r="I180" s="2" t="s">
        <v>49</v>
      </c>
      <c r="J180" s="2" t="s">
        <v>413</v>
      </c>
      <c r="K180" s="16">
        <f t="shared" si="45"/>
        <v>46179</v>
      </c>
      <c r="L180" s="19">
        <f t="shared" ca="1" si="46"/>
        <v>40</v>
      </c>
      <c r="M180" s="16">
        <f>K180</f>
        <v>46179</v>
      </c>
      <c r="N180" s="16">
        <f t="shared" si="50"/>
        <v>46179</v>
      </c>
      <c r="O180" s="10">
        <f t="shared" si="47"/>
        <v>95904</v>
      </c>
      <c r="P180" s="19">
        <f t="shared" ca="1" si="48"/>
        <v>5</v>
      </c>
      <c r="Q180" t="s">
        <v>430</v>
      </c>
    </row>
    <row r="182" spans="1:17" x14ac:dyDescent="0.3">
      <c r="N182" s="16"/>
    </row>
    <row r="183" spans="1:17" x14ac:dyDescent="0.3">
      <c r="M183" s="16"/>
    </row>
  </sheetData>
  <autoFilter ref="A1:Q180" xr:uid="{00000000-0001-0000-0000-000000000000}">
    <filterColumn colId="4">
      <filters>
        <dateGroupItem year="2026" month="4" dateTimeGrouping="month"/>
      </filters>
    </filterColumn>
    <filterColumn colId="7">
      <customFilters>
        <customFilter operator="lessThan" val="0"/>
      </customFilters>
    </filterColumn>
    <filterColumn colId="9">
      <filters>
        <filter val="EXPORTACIÓN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Hoja2</vt:lpstr>
      <vt:lpstr>DÍAS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Rodrigo Sebastian Martinez Montalvo (PFRO)</cp:lastModifiedBy>
  <cp:revision>1</cp:revision>
  <dcterms:created xsi:type="dcterms:W3CDTF">2026-04-28T00:51:41Z</dcterms:created>
  <dcterms:modified xsi:type="dcterms:W3CDTF">2026-04-28T01:13:06Z</dcterms:modified>
  <cp:category/>
</cp:coreProperties>
</file>