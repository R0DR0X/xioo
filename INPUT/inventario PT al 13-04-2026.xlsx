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64E2C1CC-4154-47E2-8634-7ADEBEC5E768}" xr6:coauthVersionLast="47" xr6:coauthVersionMax="47" xr10:uidLastSave="{00000000-0000-0000-0000-000000000000}"/>
  <bookViews>
    <workbookView xWindow="-108" yWindow="-108" windowWidth="23256" windowHeight="13896" xr2:uid="{E49F44D6-2AA4-4DB6-B5AA-2D3E646476D9}"/>
  </bookViews>
  <sheets>
    <sheet name="RESUMEN AL 13-4-2026" sheetId="25" r:id="rId1"/>
    <sheet name="TD" sheetId="24" r:id="rId2"/>
    <sheet name="Abril2026" sheetId="23" r:id="rId3"/>
    <sheet name="Marzo2026" sheetId="21" r:id="rId4"/>
    <sheet name="Febrero2026" sheetId="20" r:id="rId5"/>
    <sheet name="Enero2026" sheetId="19" r:id="rId6"/>
    <sheet name="Estadistica" sheetId="22" r:id="rId7"/>
  </sheets>
  <externalReferences>
    <externalReference r:id="rId8"/>
    <externalReference r:id="rId9"/>
  </externalReferences>
  <calcPr calcId="191029"/>
  <pivotCaches>
    <pivotCache cacheId="4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4" i="25" l="1"/>
  <c r="BK15" i="25"/>
  <c r="BK12" i="25"/>
  <c r="BK8" i="25"/>
  <c r="BK5" i="25"/>
  <c r="BL5" i="25"/>
  <c r="BL6" i="25"/>
  <c r="BL7" i="25"/>
  <c r="BL8" i="25"/>
  <c r="BL9" i="25"/>
  <c r="BL10" i="25"/>
  <c r="BL11" i="25"/>
  <c r="BL12" i="25"/>
  <c r="BL13" i="25"/>
  <c r="BL14" i="25"/>
  <c r="BL15" i="25"/>
  <c r="BL16" i="25"/>
  <c r="BL17" i="25"/>
  <c r="BL18" i="25"/>
  <c r="BL19" i="25"/>
  <c r="BL20" i="25"/>
  <c r="BL21" i="25"/>
  <c r="BK22" i="25"/>
  <c r="BL22" i="25" s="1"/>
  <c r="BJ22" i="25"/>
  <c r="BK6" i="25"/>
  <c r="BK7" i="25"/>
  <c r="BK9" i="25"/>
  <c r="BK10" i="25"/>
  <c r="BK11" i="25"/>
  <c r="BK13" i="25"/>
  <c r="BK16" i="25"/>
  <c r="BK17" i="25"/>
  <c r="BK18" i="25"/>
  <c r="BK19" i="25"/>
  <c r="BK20" i="25"/>
  <c r="BK21" i="25"/>
  <c r="BJ5" i="25"/>
  <c r="BJ6" i="25"/>
  <c r="BJ7" i="25"/>
  <c r="BJ8" i="25"/>
  <c r="BJ9" i="25"/>
  <c r="BJ10" i="25"/>
  <c r="BJ11" i="25"/>
  <c r="BJ12" i="25"/>
  <c r="BJ13" i="25"/>
  <c r="BJ14" i="25"/>
  <c r="BJ15" i="25"/>
  <c r="BJ16" i="25"/>
  <c r="BJ17" i="25"/>
  <c r="BJ18" i="25"/>
  <c r="BJ19" i="25"/>
  <c r="BJ20" i="25"/>
  <c r="BJ21" i="25"/>
  <c r="BI6" i="25"/>
  <c r="BI7" i="25"/>
  <c r="BI8" i="25"/>
  <c r="BI9" i="25"/>
  <c r="BI10" i="25"/>
  <c r="BI11" i="25"/>
  <c r="BI12" i="25"/>
  <c r="BI13" i="25"/>
  <c r="BI14" i="25"/>
  <c r="BI15" i="25"/>
  <c r="BI16" i="25"/>
  <c r="BI17" i="25"/>
  <c r="BI18" i="25"/>
  <c r="BI19" i="25"/>
  <c r="BI20" i="25"/>
  <c r="BI21" i="25"/>
  <c r="BI5" i="25"/>
  <c r="BB5" i="25"/>
  <c r="BB6" i="25"/>
  <c r="BB7" i="25"/>
  <c r="BB8" i="25"/>
  <c r="BB9" i="25"/>
  <c r="BB10" i="25"/>
  <c r="BB11" i="25"/>
  <c r="BB12" i="25"/>
  <c r="BB13" i="25"/>
  <c r="BB14" i="25"/>
  <c r="BB15" i="25"/>
  <c r="BB16" i="25"/>
  <c r="BB17" i="25"/>
  <c r="BB18" i="25"/>
  <c r="BB19" i="25"/>
  <c r="BB20" i="25"/>
  <c r="BB21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AW5" i="25" a="1"/>
  <c r="AW5" i="25" s="1"/>
  <c r="AW6" i="25" a="1"/>
  <c r="AW6" i="25"/>
  <c r="AW7" i="25" a="1"/>
  <c r="AW7" i="25"/>
  <c r="AW8" i="25" a="1"/>
  <c r="AW8" i="25"/>
  <c r="AW9" i="25" a="1"/>
  <c r="AW9" i="25" s="1"/>
  <c r="AW10" i="25" a="1"/>
  <c r="AW10" i="25" s="1"/>
  <c r="AW11" i="25" a="1"/>
  <c r="AW11" i="25" s="1"/>
  <c r="AW12" i="25" a="1"/>
  <c r="AW12" i="25"/>
  <c r="AW13" i="25" a="1"/>
  <c r="AW13" i="25"/>
  <c r="AW14" i="25" a="1"/>
  <c r="AW14" i="25"/>
  <c r="AW15" i="25" a="1"/>
  <c r="AW15" i="25"/>
  <c r="AW16" i="25" a="1"/>
  <c r="AW16" i="25" s="1"/>
  <c r="AW17" i="25" a="1"/>
  <c r="AW17" i="25" s="1"/>
  <c r="AW18" i="25" a="1"/>
  <c r="AW18" i="25" s="1"/>
  <c r="AW19" i="25" a="1"/>
  <c r="AW19" i="25"/>
  <c r="AW20" i="25" a="1"/>
  <c r="AW20" i="25" s="1"/>
  <c r="AW21" i="25" a="1"/>
  <c r="AW21" i="25" s="1"/>
  <c r="AV5" i="25" a="1"/>
  <c r="AV5" i="25" s="1"/>
  <c r="AV6" i="25" a="1"/>
  <c r="AV6" i="25" s="1"/>
  <c r="AV7" i="25" a="1"/>
  <c r="AV7" i="25"/>
  <c r="AV8" i="25" a="1"/>
  <c r="AV8" i="25" s="1"/>
  <c r="AV9" i="25" a="1"/>
  <c r="AV9" i="25" s="1"/>
  <c r="AV10" i="25" a="1"/>
  <c r="AV10" i="25" s="1"/>
  <c r="AV11" i="25" a="1"/>
  <c r="AV11" i="25"/>
  <c r="AV12" i="25" a="1"/>
  <c r="AV12" i="25" s="1"/>
  <c r="AV13" i="25" a="1"/>
  <c r="AV13" i="25"/>
  <c r="AV14" i="25" a="1"/>
  <c r="AV14" i="25" s="1"/>
  <c r="AV15" i="25" a="1"/>
  <c r="AV15" i="25" s="1"/>
  <c r="AV16" i="25" a="1"/>
  <c r="AV16" i="25"/>
  <c r="AV17" i="25" a="1"/>
  <c r="AV17" i="25" s="1"/>
  <c r="AV18" i="25" a="1"/>
  <c r="AV18" i="25" s="1"/>
  <c r="AV19" i="25" a="1"/>
  <c r="AV19" i="25"/>
  <c r="AV20" i="25" a="1"/>
  <c r="AV20" i="25"/>
  <c r="AV21" i="25" a="1"/>
  <c r="AV21" i="25" s="1"/>
  <c r="AT14" i="25"/>
  <c r="AT20" i="25"/>
  <c r="AL6" i="25"/>
  <c r="AL5" i="25"/>
  <c r="AC12" i="25"/>
  <c r="Z13" i="25"/>
  <c r="Z7" i="25"/>
  <c r="W6" i="25"/>
  <c r="AN6" i="25" a="1"/>
  <c r="AN6" i="25" s="1"/>
  <c r="AN7" i="25" a="1"/>
  <c r="AN7" i="25"/>
  <c r="AN8" i="25" a="1"/>
  <c r="AN8" i="25"/>
  <c r="AO8" i="25" s="1"/>
  <c r="AN9" i="25" a="1"/>
  <c r="AN9" i="25"/>
  <c r="AN10" i="25" a="1"/>
  <c r="AN10" i="25" s="1"/>
  <c r="AN11" i="25" a="1"/>
  <c r="AN11" i="25" s="1"/>
  <c r="AN12" i="25" a="1"/>
  <c r="AN12" i="25" s="1"/>
  <c r="AN13" i="25" a="1"/>
  <c r="AN13" i="25"/>
  <c r="AO13" i="25" s="1"/>
  <c r="AN14" i="25" a="1"/>
  <c r="AN14" i="25"/>
  <c r="AN15" i="25" a="1"/>
  <c r="AN15" i="25"/>
  <c r="AN16" i="25" a="1"/>
  <c r="AN16" i="25"/>
  <c r="AN17" i="25" a="1"/>
  <c r="AN17" i="25"/>
  <c r="AN18" i="25" a="1"/>
  <c r="AN18" i="25" s="1"/>
  <c r="AN19" i="25" a="1"/>
  <c r="AN19" i="25" s="1"/>
  <c r="AN20" i="25" a="1"/>
  <c r="AN20" i="25"/>
  <c r="AO20" i="25" s="1"/>
  <c r="AN21" i="25" a="1"/>
  <c r="AN21" i="25" s="1"/>
  <c r="AN5" i="25" a="1"/>
  <c r="AN5" i="25" s="1"/>
  <c r="AK6" i="25" a="1"/>
  <c r="AK6" i="25"/>
  <c r="AK7" i="25" a="1"/>
  <c r="AK7" i="25" s="1"/>
  <c r="AK8" i="25" a="1"/>
  <c r="AK8" i="25"/>
  <c r="AL8" i="25" s="1"/>
  <c r="AK9" i="25" a="1"/>
  <c r="AK9" i="25" s="1"/>
  <c r="AK10" i="25" a="1"/>
  <c r="AK10" i="25" s="1"/>
  <c r="AL10" i="25" s="1"/>
  <c r="AK11" i="25" a="1"/>
  <c r="AK11" i="25" s="1"/>
  <c r="AK12" i="25" a="1"/>
  <c r="AK12" i="25" s="1"/>
  <c r="AK13" i="25" a="1"/>
  <c r="AK13" i="25"/>
  <c r="AK14" i="25" a="1"/>
  <c r="AK14" i="25"/>
  <c r="AK15" i="25" a="1"/>
  <c r="AK15" i="25" s="1"/>
  <c r="AK16" i="25" a="1"/>
  <c r="AK16" i="25"/>
  <c r="AL16" i="25" s="1"/>
  <c r="AK17" i="25" a="1"/>
  <c r="AK17" i="25"/>
  <c r="AK18" i="25" a="1"/>
  <c r="AK18" i="25" s="1"/>
  <c r="AK19" i="25" a="1"/>
  <c r="AK19" i="25"/>
  <c r="AK20" i="25" a="1"/>
  <c r="AK20" i="25" s="1"/>
  <c r="AK21" i="25" a="1"/>
  <c r="AK21" i="25" s="1"/>
  <c r="AL21" i="25" s="1"/>
  <c r="AK5" i="25" a="1"/>
  <c r="AK5" i="25" s="1"/>
  <c r="AT5" i="25" s="1"/>
  <c r="AH6" i="25" a="1"/>
  <c r="AH6" i="25" s="1"/>
  <c r="AT6" i="25" s="1"/>
  <c r="AH7" i="25" a="1"/>
  <c r="AH7" i="25"/>
  <c r="AH8" i="25" a="1"/>
  <c r="AH8" i="25" s="1"/>
  <c r="AH9" i="25" a="1"/>
  <c r="AH9" i="25" s="1"/>
  <c r="AH10" i="25" a="1"/>
  <c r="AH10" i="25" s="1"/>
  <c r="AI10" i="25" s="1"/>
  <c r="AH11" i="25" a="1"/>
  <c r="AH11" i="25" s="1"/>
  <c r="AI11" i="25" s="1"/>
  <c r="AH12" i="25" a="1"/>
  <c r="AH12" i="25" s="1"/>
  <c r="AH13" i="25" a="1"/>
  <c r="AH13" i="25" s="1"/>
  <c r="AH14" i="25" a="1"/>
  <c r="AH14" i="25" s="1"/>
  <c r="AH15" i="25" a="1"/>
  <c r="AH15" i="25"/>
  <c r="AH16" i="25" a="1"/>
  <c r="AH16" i="25" s="1"/>
  <c r="AH17" i="25" a="1"/>
  <c r="AH17" i="25" s="1"/>
  <c r="AI17" i="25" s="1"/>
  <c r="AH18" i="25" a="1"/>
  <c r="AH18" i="25" s="1"/>
  <c r="AI18" i="25" s="1"/>
  <c r="AH19" i="25" a="1"/>
  <c r="AH19" i="25" s="1"/>
  <c r="AH20" i="25" a="1"/>
  <c r="AH20" i="25" s="1"/>
  <c r="AH21" i="25" a="1"/>
  <c r="AH21" i="25"/>
  <c r="AH5" i="25" a="1"/>
  <c r="AH5" i="25" s="1"/>
  <c r="AE6" i="25" a="1"/>
  <c r="AE6" i="25"/>
  <c r="AE7" i="25" a="1"/>
  <c r="AE7" i="25" s="1"/>
  <c r="AE8" i="25" a="1"/>
  <c r="AE8" i="25"/>
  <c r="AF8" i="25" s="1"/>
  <c r="AE9" i="25" a="1"/>
  <c r="AE9" i="25"/>
  <c r="AE10" i="25" a="1"/>
  <c r="AE10" i="25" s="1"/>
  <c r="AE11" i="25" a="1"/>
  <c r="AE11" i="25" s="1"/>
  <c r="AE12" i="25" a="1"/>
  <c r="AE12" i="25" s="1"/>
  <c r="AE13" i="25" a="1"/>
  <c r="AE13" i="25" s="1"/>
  <c r="AE14" i="25" a="1"/>
  <c r="AE14" i="25" s="1"/>
  <c r="AE15" i="25" a="1"/>
  <c r="AE15" i="25"/>
  <c r="AF15" i="25" s="1"/>
  <c r="AE16" i="25" a="1"/>
  <c r="AE16" i="25"/>
  <c r="AE17" i="25" a="1"/>
  <c r="AE17" i="25"/>
  <c r="AE18" i="25" a="1"/>
  <c r="AE18" i="25" s="1"/>
  <c r="AE19" i="25" a="1"/>
  <c r="AE19" i="25" s="1"/>
  <c r="AE20" i="25" a="1"/>
  <c r="AE20" i="25" s="1"/>
  <c r="AE21" i="25" a="1"/>
  <c r="AE21" i="25"/>
  <c r="AE5" i="25" a="1"/>
  <c r="AE5" i="25" s="1"/>
  <c r="AB6" i="25" a="1"/>
  <c r="AB6" i="25" s="1"/>
  <c r="AC6" i="25" s="1"/>
  <c r="AB7" i="25" a="1"/>
  <c r="AB7" i="25"/>
  <c r="AB8" i="25" a="1"/>
  <c r="AB8" i="25"/>
  <c r="AC8" i="25" s="1"/>
  <c r="AB9" i="25" a="1"/>
  <c r="AB9" i="25" s="1"/>
  <c r="AC9" i="25" s="1"/>
  <c r="AB10" i="25" a="1"/>
  <c r="AB10" i="25" s="1"/>
  <c r="AB11" i="25" a="1"/>
  <c r="AB11" i="25" s="1"/>
  <c r="AC11" i="25" s="1"/>
  <c r="AB12" i="25" a="1"/>
  <c r="AB12" i="25" s="1"/>
  <c r="AB13" i="25" a="1"/>
  <c r="AB13" i="25"/>
  <c r="AB14" i="25" a="1"/>
  <c r="AB14" i="25" s="1"/>
  <c r="AB15" i="25" a="1"/>
  <c r="AB15" i="25"/>
  <c r="AB16" i="25" a="1"/>
  <c r="AB16" i="25" s="1"/>
  <c r="AB17" i="25" a="1"/>
  <c r="AB17" i="25"/>
  <c r="AB18" i="25" a="1"/>
  <c r="AB18" i="25" s="1"/>
  <c r="AB19" i="25" a="1"/>
  <c r="AB19" i="25" s="1"/>
  <c r="AC19" i="25" s="1"/>
  <c r="AB20" i="25" a="1"/>
  <c r="AB20" i="25"/>
  <c r="AB21" i="25" a="1"/>
  <c r="AB21" i="25" s="1"/>
  <c r="AB5" i="25" a="1"/>
  <c r="AB5" i="25" s="1"/>
  <c r="AC5" i="25" s="1"/>
  <c r="Y6" i="25" a="1"/>
  <c r="Y6" i="25" s="1"/>
  <c r="Y7" i="25" a="1"/>
  <c r="Y7" i="25" s="1"/>
  <c r="Y8" i="25" a="1"/>
  <c r="Y8" i="25"/>
  <c r="Z8" i="25" s="1"/>
  <c r="Y9" i="25" a="1"/>
  <c r="Y9" i="25" s="1"/>
  <c r="Z9" i="25" s="1"/>
  <c r="Y10" i="25" a="1"/>
  <c r="Y10" i="25" s="1"/>
  <c r="Z10" i="25" s="1"/>
  <c r="Y11" i="25" a="1"/>
  <c r="Y11" i="25"/>
  <c r="Z11" i="25" s="1"/>
  <c r="Y12" i="25" a="1"/>
  <c r="Y12" i="25" s="1"/>
  <c r="Z12" i="25" s="1"/>
  <c r="Y13" i="25" a="1"/>
  <c r="Y13" i="25" s="1"/>
  <c r="Y14" i="25" a="1"/>
  <c r="Y14" i="25"/>
  <c r="Z14" i="25" s="1"/>
  <c r="Y15" i="25" a="1"/>
  <c r="Y15" i="25"/>
  <c r="Y16" i="25" a="1"/>
  <c r="Y16" i="25" s="1"/>
  <c r="Z16" i="25" s="1"/>
  <c r="Y17" i="25" a="1"/>
  <c r="Y17" i="25" s="1"/>
  <c r="Z17" i="25" s="1"/>
  <c r="Y18" i="25" a="1"/>
  <c r="Y18" i="25" s="1"/>
  <c r="Z18" i="25" s="1"/>
  <c r="Y19" i="25" a="1"/>
  <c r="Y19" i="25" s="1"/>
  <c r="Z19" i="25" s="1"/>
  <c r="Y20" i="25" a="1"/>
  <c r="Y20" i="25" s="1"/>
  <c r="Y21" i="25" a="1"/>
  <c r="Y21" i="25" s="1"/>
  <c r="Y5" i="25" a="1"/>
  <c r="Y5" i="25" s="1"/>
  <c r="V6" i="25" a="1"/>
  <c r="V6" i="25" s="1"/>
  <c r="V7" i="25" a="1"/>
  <c r="V7" i="25"/>
  <c r="V8" i="25" a="1"/>
  <c r="V8" i="25" s="1"/>
  <c r="V9" i="25" a="1"/>
  <c r="V9" i="25" s="1"/>
  <c r="V10" i="25" a="1"/>
  <c r="V10" i="25" s="1"/>
  <c r="V11" i="25" a="1"/>
  <c r="V11" i="25"/>
  <c r="V12" i="25" a="1"/>
  <c r="V12" i="25" s="1"/>
  <c r="V13" i="25" a="1"/>
  <c r="V13" i="25" s="1"/>
  <c r="V14" i="25" a="1"/>
  <c r="V14" i="25"/>
  <c r="V15" i="25" a="1"/>
  <c r="V15" i="25" s="1"/>
  <c r="AQ15" i="25" s="1"/>
  <c r="V16" i="25" a="1"/>
  <c r="V16" i="25" s="1"/>
  <c r="V17" i="25" a="1"/>
  <c r="V17" i="25" s="1"/>
  <c r="W17" i="25" s="1"/>
  <c r="V18" i="25" a="1"/>
  <c r="V18" i="25" s="1"/>
  <c r="W18" i="25" s="1"/>
  <c r="V19" i="25" a="1"/>
  <c r="V19" i="25" s="1"/>
  <c r="V20" i="25" a="1"/>
  <c r="V20" i="25"/>
  <c r="V21" i="25" a="1"/>
  <c r="V21" i="25" s="1"/>
  <c r="V5" i="25" a="1"/>
  <c r="V5" i="25" s="1"/>
  <c r="AM6" i="25" a="1"/>
  <c r="AM6" i="25" s="1"/>
  <c r="AM7" i="25" a="1"/>
  <c r="AM7" i="25" s="1"/>
  <c r="AM8" i="25" a="1"/>
  <c r="AM8" i="25"/>
  <c r="AM9" i="25" a="1"/>
  <c r="AM9" i="25" s="1"/>
  <c r="AM10" i="25" a="1"/>
  <c r="AM10" i="25" s="1"/>
  <c r="AO10" i="25" s="1"/>
  <c r="AM11" i="25" a="1"/>
  <c r="AM11" i="25" s="1"/>
  <c r="AM12" i="25" a="1"/>
  <c r="AM12" i="25" s="1"/>
  <c r="AO12" i="25" s="1"/>
  <c r="AM13" i="25" a="1"/>
  <c r="AM13" i="25"/>
  <c r="AM14" i="25" a="1"/>
  <c r="AM14" i="25" s="1"/>
  <c r="AM15" i="25" a="1"/>
  <c r="AM15" i="25"/>
  <c r="AM16" i="25" a="1"/>
  <c r="AM16" i="25"/>
  <c r="AM17" i="25" a="1"/>
  <c r="AM17" i="25"/>
  <c r="AM18" i="25" a="1"/>
  <c r="AM18" i="25" s="1"/>
  <c r="AM19" i="25" a="1"/>
  <c r="AM19" i="25" s="1"/>
  <c r="AM20" i="25" a="1"/>
  <c r="AM20" i="25" s="1"/>
  <c r="AM21" i="25" a="1"/>
  <c r="AM21" i="25" s="1"/>
  <c r="AM5" i="25" a="1"/>
  <c r="AM5" i="25" s="1"/>
  <c r="AJ6" i="25" a="1"/>
  <c r="AJ6" i="25" s="1"/>
  <c r="AJ7" i="25" a="1"/>
  <c r="AJ7" i="25"/>
  <c r="AL7" i="25" s="1"/>
  <c r="AJ8" i="25" a="1"/>
  <c r="AJ8" i="25"/>
  <c r="AJ9" i="25" a="1"/>
  <c r="AJ9" i="25" s="1"/>
  <c r="AJ10" i="25" a="1"/>
  <c r="AJ10" i="25" s="1"/>
  <c r="AJ11" i="25" a="1"/>
  <c r="AJ11" i="25"/>
  <c r="AJ12" i="25" a="1"/>
  <c r="AJ12" i="25" s="1"/>
  <c r="AJ13" i="25" a="1"/>
  <c r="AJ13" i="25"/>
  <c r="AJ14" i="25" a="1"/>
  <c r="AJ14" i="25"/>
  <c r="AL14" i="25" s="1"/>
  <c r="AJ15" i="25" a="1"/>
  <c r="AJ15" i="25"/>
  <c r="AL15" i="25" s="1"/>
  <c r="AJ16" i="25" a="1"/>
  <c r="AJ16" i="25" s="1"/>
  <c r="AJ17" i="25" a="1"/>
  <c r="AJ17" i="25" s="1"/>
  <c r="AJ18" i="25" a="1"/>
  <c r="AJ18" i="25" s="1"/>
  <c r="AJ19" i="25" a="1"/>
  <c r="AJ19" i="25" s="1"/>
  <c r="AJ20" i="25" a="1"/>
  <c r="AJ20" i="25"/>
  <c r="AJ21" i="25" a="1"/>
  <c r="AJ21" i="25" s="1"/>
  <c r="AJ5" i="25" a="1"/>
  <c r="AJ5" i="25" s="1"/>
  <c r="AG6" i="25" a="1"/>
  <c r="AG6" i="25"/>
  <c r="AG7" i="25" a="1"/>
  <c r="AG7" i="25" s="1"/>
  <c r="AI7" i="25" s="1"/>
  <c r="AG8" i="25" a="1"/>
  <c r="AG8" i="25"/>
  <c r="AG9" i="25" a="1"/>
  <c r="AG9" i="25"/>
  <c r="AG10" i="25" a="1"/>
  <c r="AG10" i="25" s="1"/>
  <c r="AG11" i="25" a="1"/>
  <c r="AG11" i="25"/>
  <c r="AG12" i="25" a="1"/>
  <c r="AG12" i="25"/>
  <c r="AG13" i="25" a="1"/>
  <c r="AG13" i="25" s="1"/>
  <c r="AG14" i="25" a="1"/>
  <c r="AG14" i="25"/>
  <c r="AI14" i="25" s="1"/>
  <c r="AG15" i="25" a="1"/>
  <c r="AG15" i="25"/>
  <c r="AG16" i="25" a="1"/>
  <c r="AG16" i="25"/>
  <c r="AG17" i="25" a="1"/>
  <c r="AG17" i="25"/>
  <c r="AG18" i="25" a="1"/>
  <c r="AG18" i="25"/>
  <c r="AG19" i="25" a="1"/>
  <c r="AG19" i="25" s="1"/>
  <c r="AG20" i="25" a="1"/>
  <c r="AG20" i="25"/>
  <c r="AG21" i="25" a="1"/>
  <c r="AG21" i="25" s="1"/>
  <c r="AG5" i="25" a="1"/>
  <c r="AG5" i="25" s="1"/>
  <c r="AD6" i="25" a="1"/>
  <c r="AD6" i="25" s="1"/>
  <c r="AD7" i="25" a="1"/>
  <c r="AD7" i="25" s="1"/>
  <c r="AD8" i="25" a="1"/>
  <c r="AD8" i="25"/>
  <c r="AD9" i="25" a="1"/>
  <c r="AD9" i="25" s="1"/>
  <c r="AD10" i="25" a="1"/>
  <c r="AD10" i="25"/>
  <c r="AD11" i="25" a="1"/>
  <c r="AD11" i="25"/>
  <c r="AD12" i="25" a="1"/>
  <c r="AD12" i="25" s="1"/>
  <c r="AS12" i="25" s="1"/>
  <c r="AD13" i="25" a="1"/>
  <c r="AD13" i="25"/>
  <c r="AD14" i="25" a="1"/>
  <c r="AD14" i="25" s="1"/>
  <c r="AD15" i="25" a="1"/>
  <c r="AD15" i="25" s="1"/>
  <c r="AD16" i="25" a="1"/>
  <c r="AD16" i="25"/>
  <c r="AD17" i="25" a="1"/>
  <c r="AD17" i="25"/>
  <c r="AD18" i="25" a="1"/>
  <c r="AD18" i="25" s="1"/>
  <c r="AD19" i="25" a="1"/>
  <c r="AD19" i="25"/>
  <c r="AD20" i="25" a="1"/>
  <c r="AD20" i="25" s="1"/>
  <c r="AS20" i="25" s="1"/>
  <c r="AD21" i="25" a="1"/>
  <c r="AD21" i="25" s="1"/>
  <c r="AD5" i="25" a="1"/>
  <c r="AD5" i="25" s="1"/>
  <c r="AA6" i="25" a="1"/>
  <c r="AA6" i="25"/>
  <c r="AA7" i="25" a="1"/>
  <c r="AA7" i="25"/>
  <c r="AA8" i="25" a="1"/>
  <c r="AA8" i="25"/>
  <c r="AA9" i="25" a="1"/>
  <c r="AA9" i="25"/>
  <c r="AA10" i="25" a="1"/>
  <c r="AA10" i="25" s="1"/>
  <c r="AC10" i="25" s="1"/>
  <c r="AA11" i="25" a="1"/>
  <c r="AA11" i="25" s="1"/>
  <c r="AA12" i="25" a="1"/>
  <c r="AA12" i="25"/>
  <c r="AA13" i="25" a="1"/>
  <c r="AA13" i="25" s="1"/>
  <c r="AA14" i="25" a="1"/>
  <c r="AA14" i="25"/>
  <c r="AA15" i="25" a="1"/>
  <c r="AA15" i="25"/>
  <c r="AA16" i="25" a="1"/>
  <c r="AA16" i="25" s="1"/>
  <c r="AA17" i="25" a="1"/>
  <c r="AA17" i="25" s="1"/>
  <c r="AA18" i="25" a="1"/>
  <c r="AA18" i="25" s="1"/>
  <c r="AC18" i="25" s="1"/>
  <c r="AA19" i="25" a="1"/>
  <c r="AA19" i="25" s="1"/>
  <c r="AA20" i="25" a="1"/>
  <c r="AA20" i="25" s="1"/>
  <c r="AA21" i="25" a="1"/>
  <c r="AA21" i="25" s="1"/>
  <c r="AA5" i="25" a="1"/>
  <c r="AA5" i="25"/>
  <c r="X6" i="25" a="1"/>
  <c r="X6" i="25" s="1"/>
  <c r="X7" i="25" a="1"/>
  <c r="X7" i="25"/>
  <c r="X8" i="25" a="1"/>
  <c r="X8" i="25" s="1"/>
  <c r="X9" i="25" a="1"/>
  <c r="X9" i="25"/>
  <c r="X10" i="25" a="1"/>
  <c r="X10" i="25"/>
  <c r="X11" i="25" a="1"/>
  <c r="X11" i="25"/>
  <c r="X12" i="25" a="1"/>
  <c r="X12" i="25" s="1"/>
  <c r="X13" i="25" a="1"/>
  <c r="X13" i="25"/>
  <c r="X14" i="25" a="1"/>
  <c r="X14" i="25"/>
  <c r="X15" i="25" a="1"/>
  <c r="X15" i="25" s="1"/>
  <c r="X16" i="25" a="1"/>
  <c r="X16" i="25"/>
  <c r="X17" i="25" a="1"/>
  <c r="X17" i="25" s="1"/>
  <c r="X18" i="25" a="1"/>
  <c r="X18" i="25" s="1"/>
  <c r="X19" i="25" a="1"/>
  <c r="X19" i="25"/>
  <c r="X20" i="25" a="1"/>
  <c r="X20" i="25"/>
  <c r="X21" i="25" a="1"/>
  <c r="X21" i="25"/>
  <c r="X5" i="25" a="1"/>
  <c r="X5" i="25" s="1"/>
  <c r="U6" i="25" a="1"/>
  <c r="U6" i="25" s="1"/>
  <c r="U8" i="25" a="1"/>
  <c r="U8" i="25" s="1"/>
  <c r="AP8" i="25" s="1"/>
  <c r="U7" i="25" a="1"/>
  <c r="U7" i="25" s="1"/>
  <c r="U9" i="25" a="1"/>
  <c r="U9" i="25"/>
  <c r="U10" i="25" a="1"/>
  <c r="U10" i="25" s="1"/>
  <c r="U11" i="25" a="1"/>
  <c r="U11" i="25"/>
  <c r="AP11" i="25" s="1"/>
  <c r="U12" i="25" a="1"/>
  <c r="U12" i="25" s="1"/>
  <c r="U13" i="25" a="1"/>
  <c r="U13" i="25"/>
  <c r="U14" i="25" a="1"/>
  <c r="U14" i="25"/>
  <c r="AP14" i="25" s="1"/>
  <c r="U15" i="25" a="1"/>
  <c r="U15" i="25"/>
  <c r="AP15" i="25" s="1"/>
  <c r="U16" i="25" a="1"/>
  <c r="U16" i="25"/>
  <c r="U17" i="25" a="1"/>
  <c r="U17" i="25" s="1"/>
  <c r="U18" i="25" a="1"/>
  <c r="U18" i="25" s="1"/>
  <c r="U19" i="25" a="1"/>
  <c r="U19" i="25" s="1"/>
  <c r="AP19" i="25" s="1"/>
  <c r="U20" i="25" a="1"/>
  <c r="U20" i="25"/>
  <c r="U21" i="25" a="1"/>
  <c r="U21" i="25"/>
  <c r="W21" i="25" s="1"/>
  <c r="U5" i="25" a="1"/>
  <c r="U5" i="25" s="1"/>
  <c r="AP5" i="25" s="1"/>
  <c r="J22" i="25"/>
  <c r="BF22" i="25" s="1"/>
  <c r="K22" i="25"/>
  <c r="F22" i="25"/>
  <c r="G22" i="25"/>
  <c r="H22" i="25"/>
  <c r="BD22" i="25" s="1"/>
  <c r="I22" i="25"/>
  <c r="BE22" i="25" s="1"/>
  <c r="D21" i="25"/>
  <c r="D22" i="25" s="1"/>
  <c r="BI22" i="25" l="1"/>
  <c r="AO9" i="25"/>
  <c r="Z15" i="25"/>
  <c r="AO15" i="25"/>
  <c r="AP6" i="25"/>
  <c r="AQ13" i="25"/>
  <c r="AL13" i="25"/>
  <c r="AL20" i="25"/>
  <c r="AP12" i="25"/>
  <c r="AY12" i="25" s="1"/>
  <c r="AL12" i="25"/>
  <c r="AF7" i="25"/>
  <c r="AS14" i="25"/>
  <c r="AY14" i="25" s="1"/>
  <c r="AF6" i="25"/>
  <c r="AC16" i="25"/>
  <c r="AT16" i="25"/>
  <c r="AC15" i="25"/>
  <c r="AL17" i="25"/>
  <c r="AT7" i="25"/>
  <c r="AU7" i="25" s="1"/>
  <c r="AT15" i="25"/>
  <c r="AX14" i="25"/>
  <c r="W13" i="25"/>
  <c r="AP20" i="25"/>
  <c r="Z20" i="25"/>
  <c r="AI13" i="25"/>
  <c r="AP13" i="25"/>
  <c r="AC20" i="25"/>
  <c r="AI12" i="25"/>
  <c r="AO21" i="25"/>
  <c r="AI16" i="25"/>
  <c r="AO11" i="25"/>
  <c r="AT12" i="25"/>
  <c r="AO6" i="25"/>
  <c r="AX19" i="25"/>
  <c r="AP10" i="25"/>
  <c r="W16" i="25"/>
  <c r="AP9" i="25"/>
  <c r="AY9" i="25" s="1"/>
  <c r="AF21" i="25"/>
  <c r="W9" i="25"/>
  <c r="AL9" i="25"/>
  <c r="W15" i="25"/>
  <c r="AX20" i="25"/>
  <c r="AX21" i="25"/>
  <c r="AZ15" i="25"/>
  <c r="AC14" i="25"/>
  <c r="AQ14" i="25"/>
  <c r="AZ14" i="25" s="1"/>
  <c r="AB22" i="25"/>
  <c r="AC22" i="25" s="1"/>
  <c r="AC21" i="25"/>
  <c r="AQ21" i="25"/>
  <c r="AJ22" i="25"/>
  <c r="W20" i="25"/>
  <c r="AQ20" i="25"/>
  <c r="W11" i="25"/>
  <c r="AQ11" i="25"/>
  <c r="AQ10" i="25"/>
  <c r="AR10" i="25" s="1"/>
  <c r="W10" i="25"/>
  <c r="AL19" i="25"/>
  <c r="AA22" i="25"/>
  <c r="AG22" i="25"/>
  <c r="AI15" i="25"/>
  <c r="AS15" i="25"/>
  <c r="AY15" i="25" s="1"/>
  <c r="AL11" i="25"/>
  <c r="AS6" i="25"/>
  <c r="Y22" i="25"/>
  <c r="AS7" i="25"/>
  <c r="W19" i="25"/>
  <c r="AQ19" i="25"/>
  <c r="AF13" i="25"/>
  <c r="AS13" i="25"/>
  <c r="AP7" i="25"/>
  <c r="AY7" i="25" s="1"/>
  <c r="W7" i="25"/>
  <c r="AI9" i="25"/>
  <c r="AO19" i="25"/>
  <c r="AC13" i="25"/>
  <c r="AF18" i="25"/>
  <c r="AT18" i="25"/>
  <c r="AT10" i="25"/>
  <c r="AF10" i="25"/>
  <c r="AI19" i="25"/>
  <c r="AT19" i="25"/>
  <c r="AU19" i="25" s="1"/>
  <c r="AT8" i="25"/>
  <c r="AI8" i="25"/>
  <c r="AP16" i="25"/>
  <c r="AT17" i="25"/>
  <c r="AF17" i="25"/>
  <c r="AT9" i="25"/>
  <c r="AF9" i="25"/>
  <c r="AF14" i="25"/>
  <c r="X22" i="25"/>
  <c r="AF16" i="25"/>
  <c r="AS21" i="25"/>
  <c r="AU21" i="25" s="1"/>
  <c r="AQ7" i="25"/>
  <c r="AZ7" i="25" s="1"/>
  <c r="AC7" i="25"/>
  <c r="AF20" i="25"/>
  <c r="AU20" i="25"/>
  <c r="W12" i="25"/>
  <c r="AQ12" i="25"/>
  <c r="AS11" i="25"/>
  <c r="AY11" i="25" s="1"/>
  <c r="AQ18" i="25"/>
  <c r="AZ18" i="25" s="1"/>
  <c r="AQ8" i="25"/>
  <c r="AE22" i="25"/>
  <c r="AF22" i="25" s="1"/>
  <c r="AO16" i="25"/>
  <c r="W14" i="25"/>
  <c r="AT13" i="25"/>
  <c r="AU13" i="25" s="1"/>
  <c r="AH22" i="25"/>
  <c r="AI5" i="25"/>
  <c r="AS9" i="25"/>
  <c r="AO5" i="25"/>
  <c r="AN22" i="25"/>
  <c r="AO22" i="25" s="1"/>
  <c r="W8" i="25"/>
  <c r="U22" i="25"/>
  <c r="AP18" i="25"/>
  <c r="AS16" i="25"/>
  <c r="AU16" i="25" s="1"/>
  <c r="AS8" i="25"/>
  <c r="AY8" i="25" s="1"/>
  <c r="AQ5" i="25"/>
  <c r="AZ5" i="25" s="1"/>
  <c r="Z5" i="25"/>
  <c r="AO14" i="25"/>
  <c r="AO7" i="25"/>
  <c r="V22" i="25"/>
  <c r="AP21" i="25"/>
  <c r="AQ9" i="25"/>
  <c r="AZ9" i="25" s="1"/>
  <c r="AS19" i="25"/>
  <c r="AY19" i="25" s="1"/>
  <c r="AF5" i="25"/>
  <c r="AS18" i="25"/>
  <c r="AU18" i="25" s="1"/>
  <c r="AS10" i="25"/>
  <c r="AK22" i="25"/>
  <c r="AL22" i="25" s="1"/>
  <c r="AS17" i="25"/>
  <c r="AU17" i="25" s="1"/>
  <c r="AF12" i="25"/>
  <c r="AY20" i="25"/>
  <c r="AM22" i="25"/>
  <c r="AF19" i="25"/>
  <c r="AF11" i="25"/>
  <c r="AI21" i="25"/>
  <c r="AP17" i="25"/>
  <c r="W5" i="25"/>
  <c r="Z21" i="25"/>
  <c r="Z6" i="25"/>
  <c r="AI20" i="25"/>
  <c r="AL18" i="25"/>
  <c r="AQ6" i="25"/>
  <c r="AZ6" i="25" s="1"/>
  <c r="AT11" i="25"/>
  <c r="AU11" i="25" s="1"/>
  <c r="AQ17" i="25"/>
  <c r="AT21" i="25"/>
  <c r="AO18" i="25"/>
  <c r="AS5" i="25"/>
  <c r="AU5" i="25" s="1"/>
  <c r="AD22" i="25"/>
  <c r="AQ16" i="25"/>
  <c r="AI6" i="25"/>
  <c r="AO17" i="25"/>
  <c r="AC17" i="25"/>
  <c r="AX17" i="25"/>
  <c r="AX8" i="25"/>
  <c r="AX15" i="25"/>
  <c r="AX7" i="25"/>
  <c r="AX12" i="25"/>
  <c r="AR15" i="25"/>
  <c r="AX9" i="25"/>
  <c r="AX18" i="25"/>
  <c r="AX5" i="25"/>
  <c r="AV22" i="25"/>
  <c r="AX13" i="25"/>
  <c r="AX6" i="25"/>
  <c r="AX11" i="25"/>
  <c r="AW22" i="25"/>
  <c r="AX10" i="25"/>
  <c r="AX16" i="25"/>
  <c r="AU9" i="25"/>
  <c r="AU15" i="25"/>
  <c r="AU12" i="25"/>
  <c r="AR18" i="25"/>
  <c r="AR6" i="25"/>
  <c r="AR13" i="25"/>
  <c r="Q5" i="25"/>
  <c r="Q6" i="25"/>
  <c r="Q7" i="25"/>
  <c r="Q8" i="25"/>
  <c r="Q9" i="25"/>
  <c r="Q14" i="25"/>
  <c r="Q11" i="25"/>
  <c r="Q12" i="25"/>
  <c r="Q17" i="25"/>
  <c r="Q10" i="25"/>
  <c r="Q18" i="25"/>
  <c r="Q20" i="25"/>
  <c r="Q15" i="25"/>
  <c r="Q16" i="25"/>
  <c r="Q19" i="25"/>
  <c r="Q13" i="25"/>
  <c r="AO59" i="23"/>
  <c r="M6" i="25"/>
  <c r="N6" i="25" s="1"/>
  <c r="M7" i="25"/>
  <c r="N7" i="25" s="1"/>
  <c r="M8" i="25"/>
  <c r="N8" i="25"/>
  <c r="M9" i="25"/>
  <c r="N9" i="25" s="1"/>
  <c r="M14" i="25"/>
  <c r="N14" i="25" s="1"/>
  <c r="M11" i="25"/>
  <c r="N11" i="25" s="1"/>
  <c r="M12" i="25"/>
  <c r="N12" i="25" s="1"/>
  <c r="M17" i="25"/>
  <c r="N17" i="25" s="1"/>
  <c r="M10" i="25"/>
  <c r="N10" i="25" s="1"/>
  <c r="M18" i="25"/>
  <c r="N18" i="25" s="1"/>
  <c r="M20" i="25"/>
  <c r="N20" i="25" s="1"/>
  <c r="M15" i="25"/>
  <c r="N15" i="25" s="1"/>
  <c r="M16" i="25"/>
  <c r="N16" i="25" s="1"/>
  <c r="M19" i="25"/>
  <c r="N19" i="25" s="1"/>
  <c r="M13" i="25"/>
  <c r="N13" i="25" s="1"/>
  <c r="M5" i="25"/>
  <c r="AS3" i="23"/>
  <c r="AS4" i="23"/>
  <c r="AS5" i="23"/>
  <c r="AS6" i="23"/>
  <c r="AS7" i="23"/>
  <c r="AS8" i="23"/>
  <c r="AS9" i="23"/>
  <c r="AS10" i="23"/>
  <c r="AS11" i="23"/>
  <c r="AS12" i="23"/>
  <c r="AS13" i="23"/>
  <c r="AS14" i="23"/>
  <c r="AS15" i="23"/>
  <c r="AS16" i="23"/>
  <c r="AS17" i="23"/>
  <c r="AS18" i="23"/>
  <c r="AS19" i="23"/>
  <c r="AS20" i="23"/>
  <c r="AS21" i="23"/>
  <c r="AS22" i="23"/>
  <c r="AS23" i="23"/>
  <c r="AS24" i="23"/>
  <c r="AS25" i="23"/>
  <c r="AS26" i="23"/>
  <c r="AS27" i="23"/>
  <c r="AS28" i="23"/>
  <c r="AS29" i="23"/>
  <c r="AS30" i="23"/>
  <c r="AS31" i="23"/>
  <c r="AS32" i="23"/>
  <c r="AS33" i="23"/>
  <c r="AS34" i="23"/>
  <c r="AS35" i="23"/>
  <c r="AS36" i="23"/>
  <c r="AS37" i="23"/>
  <c r="AS38" i="23"/>
  <c r="AS39" i="23"/>
  <c r="AS41" i="23"/>
  <c r="AS42" i="23"/>
  <c r="AS43" i="23"/>
  <c r="AS44" i="23"/>
  <c r="AS45" i="23"/>
  <c r="AS46" i="23"/>
  <c r="AS47" i="23"/>
  <c r="AS48" i="23"/>
  <c r="AS49" i="23"/>
  <c r="AS50" i="23"/>
  <c r="AS51" i="23"/>
  <c r="AS52" i="23"/>
  <c r="AS53" i="23"/>
  <c r="AS54" i="23"/>
  <c r="AS55" i="23"/>
  <c r="AS56" i="23"/>
  <c r="AS57" i="23"/>
  <c r="AG59" i="23"/>
  <c r="AL45" i="23" s="1"/>
  <c r="AI3" i="23"/>
  <c r="AH3" i="23"/>
  <c r="AG3" i="23"/>
  <c r="AG4" i="23"/>
  <c r="AG5" i="23"/>
  <c r="AG6" i="23"/>
  <c r="AG7" i="23"/>
  <c r="AG8" i="23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H25" i="23" s="1"/>
  <c r="AG26" i="23"/>
  <c r="AG27" i="23"/>
  <c r="AG28" i="23"/>
  <c r="AG29" i="23"/>
  <c r="AH29" i="23" s="1"/>
  <c r="AG30" i="23"/>
  <c r="AG31" i="23"/>
  <c r="AG32" i="23"/>
  <c r="AI32" i="23" s="1"/>
  <c r="AG33" i="23"/>
  <c r="AG34" i="23"/>
  <c r="AG35" i="23"/>
  <c r="AG36" i="23"/>
  <c r="AG37" i="23"/>
  <c r="AG38" i="23"/>
  <c r="AH38" i="23" s="1"/>
  <c r="AG39" i="23"/>
  <c r="AG41" i="23"/>
  <c r="AG42" i="23"/>
  <c r="AG43" i="23"/>
  <c r="AG44" i="23"/>
  <c r="AH44" i="23" s="1"/>
  <c r="AG45" i="23"/>
  <c r="AG46" i="23"/>
  <c r="AG47" i="23"/>
  <c r="AG48" i="23"/>
  <c r="AG49" i="23"/>
  <c r="AG50" i="23"/>
  <c r="AG51" i="23"/>
  <c r="AG52" i="23"/>
  <c r="AG53" i="23"/>
  <c r="AG54" i="23"/>
  <c r="AG55" i="23"/>
  <c r="AG56" i="23"/>
  <c r="AG57" i="23"/>
  <c r="AG58" i="23"/>
  <c r="AF45" i="23"/>
  <c r="AE36" i="23"/>
  <c r="AF36" i="23" s="1"/>
  <c r="AN36" i="23"/>
  <c r="AE37" i="23"/>
  <c r="AF37" i="23"/>
  <c r="AN37" i="23"/>
  <c r="AE38" i="23"/>
  <c r="AF38" i="23"/>
  <c r="AN38" i="23"/>
  <c r="AE39" i="23"/>
  <c r="AF39" i="23"/>
  <c r="AH39" i="23"/>
  <c r="AI39" i="23"/>
  <c r="AN39" i="23"/>
  <c r="AE40" i="23"/>
  <c r="AF40" i="23"/>
  <c r="AG40" i="23" s="1"/>
  <c r="AN40" i="23"/>
  <c r="AE41" i="23"/>
  <c r="AF41" i="23"/>
  <c r="AN41" i="23"/>
  <c r="AE42" i="23"/>
  <c r="AF42" i="23" s="1"/>
  <c r="AN42" i="23"/>
  <c r="AE43" i="23"/>
  <c r="AF43" i="23"/>
  <c r="AH43" i="23"/>
  <c r="AI43" i="23"/>
  <c r="AN43" i="23"/>
  <c r="AE44" i="23"/>
  <c r="AF44" i="23"/>
  <c r="AI44" i="23"/>
  <c r="AN44" i="23"/>
  <c r="AE45" i="23"/>
  <c r="AN45" i="23"/>
  <c r="AE46" i="23"/>
  <c r="AF46" i="23"/>
  <c r="AN46" i="23"/>
  <c r="AE47" i="23"/>
  <c r="AF47" i="23"/>
  <c r="AN47" i="23"/>
  <c r="AE48" i="23"/>
  <c r="AF48" i="23" s="1"/>
  <c r="AN48" i="23"/>
  <c r="AE49" i="23"/>
  <c r="AF49" i="23"/>
  <c r="AN49" i="23"/>
  <c r="AE50" i="23"/>
  <c r="AF50" i="23"/>
  <c r="AN50" i="23"/>
  <c r="AE51" i="23"/>
  <c r="AF51" i="23"/>
  <c r="AH51" i="23"/>
  <c r="AI51" i="23"/>
  <c r="AN51" i="23"/>
  <c r="AE52" i="23"/>
  <c r="AF52" i="23"/>
  <c r="AN52" i="23"/>
  <c r="AE53" i="23"/>
  <c r="AF53" i="23"/>
  <c r="AN53" i="23"/>
  <c r="AE54" i="23"/>
  <c r="AF54" i="23" s="1"/>
  <c r="AN54" i="23"/>
  <c r="AE55" i="23"/>
  <c r="AF55" i="23"/>
  <c r="AN55" i="23"/>
  <c r="AE56" i="23"/>
  <c r="AF56" i="23"/>
  <c r="AN56" i="23"/>
  <c r="AE57" i="23"/>
  <c r="AF57" i="23"/>
  <c r="AN57" i="23"/>
  <c r="AU58" i="23"/>
  <c r="AM59" i="23"/>
  <c r="AF28" i="23"/>
  <c r="AE29" i="23"/>
  <c r="AN29" i="23"/>
  <c r="AE30" i="23"/>
  <c r="AF30" i="23" s="1"/>
  <c r="AN30" i="23"/>
  <c r="AE31" i="23"/>
  <c r="AF31" i="23"/>
  <c r="AH31" i="23"/>
  <c r="AI31" i="23"/>
  <c r="AN31" i="23"/>
  <c r="AE32" i="23"/>
  <c r="AF32" i="23"/>
  <c r="AH32" i="23"/>
  <c r="AN32" i="23"/>
  <c r="AE33" i="23"/>
  <c r="AF33" i="23"/>
  <c r="AN33" i="23"/>
  <c r="AE34" i="23"/>
  <c r="AF34" i="23"/>
  <c r="AN34" i="23"/>
  <c r="AE35" i="23"/>
  <c r="AF35" i="23" s="1"/>
  <c r="AN35" i="23"/>
  <c r="AE22" i="23"/>
  <c r="AF22" i="23" s="1"/>
  <c r="AE21" i="23"/>
  <c r="AF21" i="23" s="1"/>
  <c r="AE20" i="23"/>
  <c r="AF20" i="23" s="1"/>
  <c r="AF19" i="23"/>
  <c r="AE19" i="23"/>
  <c r="AE18" i="23"/>
  <c r="AF18" i="23" s="1"/>
  <c r="AE23" i="23"/>
  <c r="AF23" i="23" s="1"/>
  <c r="AN23" i="23"/>
  <c r="AE24" i="23"/>
  <c r="AF24" i="23"/>
  <c r="AN24" i="23"/>
  <c r="AE25" i="23"/>
  <c r="AF25" i="23"/>
  <c r="AN25" i="23"/>
  <c r="AE26" i="23"/>
  <c r="AF26" i="23"/>
  <c r="AN26" i="23"/>
  <c r="AE27" i="23"/>
  <c r="AF27" i="23"/>
  <c r="AN27" i="23"/>
  <c r="AE28" i="23"/>
  <c r="AN28" i="23"/>
  <c r="AN22" i="23"/>
  <c r="AN21" i="23"/>
  <c r="AN20" i="23"/>
  <c r="AN19" i="23"/>
  <c r="AN18" i="23"/>
  <c r="AN17" i="23"/>
  <c r="AE17" i="23"/>
  <c r="AF17" i="23" s="1"/>
  <c r="AN16" i="23"/>
  <c r="AE16" i="23"/>
  <c r="AF16" i="23" s="1"/>
  <c r="AN15" i="23"/>
  <c r="AF15" i="23"/>
  <c r="AE15" i="23"/>
  <c r="AN14" i="23"/>
  <c r="AE14" i="23"/>
  <c r="AF14" i="23" s="1"/>
  <c r="AN13" i="23"/>
  <c r="AE13" i="23"/>
  <c r="AF13" i="23" s="1"/>
  <c r="AN12" i="23"/>
  <c r="AE12" i="23"/>
  <c r="AN11" i="23"/>
  <c r="AF11" i="23"/>
  <c r="AE11" i="23"/>
  <c r="AN10" i="23"/>
  <c r="AE10" i="23"/>
  <c r="AF10" i="23" s="1"/>
  <c r="AN9" i="23"/>
  <c r="AE9" i="23"/>
  <c r="AF9" i="23" s="1"/>
  <c r="AN8" i="23"/>
  <c r="AE8" i="23"/>
  <c r="AF8" i="23" s="1"/>
  <c r="AN7" i="23"/>
  <c r="AF7" i="23"/>
  <c r="AE7" i="23"/>
  <c r="AN6" i="23"/>
  <c r="AF6" i="23"/>
  <c r="AE6" i="23"/>
  <c r="AN5" i="23"/>
  <c r="AI5" i="23"/>
  <c r="AH5" i="23"/>
  <c r="AF5" i="23"/>
  <c r="AE5" i="23"/>
  <c r="AN4" i="23"/>
  <c r="AE4" i="23"/>
  <c r="AF4" i="23" s="1"/>
  <c r="AN3" i="23"/>
  <c r="AE3" i="23"/>
  <c r="AF3" i="23" s="1"/>
  <c r="BC12" i="25" l="1"/>
  <c r="AY13" i="25"/>
  <c r="AU14" i="25"/>
  <c r="AY10" i="25"/>
  <c r="AZ11" i="25"/>
  <c r="AZ12" i="25"/>
  <c r="BA12" i="25" s="1"/>
  <c r="AY17" i="25"/>
  <c r="BC17" i="25" s="1"/>
  <c r="AY6" i="25"/>
  <c r="AR14" i="25"/>
  <c r="BC15" i="25"/>
  <c r="BA15" i="25"/>
  <c r="BC8" i="25"/>
  <c r="BC13" i="25"/>
  <c r="BC10" i="25"/>
  <c r="BC11" i="25"/>
  <c r="BA11" i="25"/>
  <c r="AR7" i="25"/>
  <c r="AZ13" i="25"/>
  <c r="BC14" i="25"/>
  <c r="AR5" i="25"/>
  <c r="AY16" i="25"/>
  <c r="AR20" i="25"/>
  <c r="AZ20" i="25"/>
  <c r="AP22" i="25"/>
  <c r="AR16" i="25"/>
  <c r="AZ16" i="25"/>
  <c r="AY18" i="25"/>
  <c r="AR11" i="25"/>
  <c r="BC19" i="25"/>
  <c r="AR8" i="25"/>
  <c r="AZ8" i="25"/>
  <c r="AU8" i="25"/>
  <c r="BC7" i="25"/>
  <c r="AQ22" i="25"/>
  <c r="AR22" i="25" s="1"/>
  <c r="BA9" i="25"/>
  <c r="AR21" i="25"/>
  <c r="AZ21" i="25"/>
  <c r="AR9" i="25"/>
  <c r="AT22" i="25"/>
  <c r="AY5" i="25"/>
  <c r="BA5" i="25" s="1"/>
  <c r="BC9" i="25"/>
  <c r="AY21" i="25"/>
  <c r="AZ19" i="25"/>
  <c r="AU6" i="25"/>
  <c r="AS22" i="25"/>
  <c r="AR17" i="25"/>
  <c r="AZ17" i="25"/>
  <c r="W22" i="25"/>
  <c r="AU10" i="25"/>
  <c r="AR12" i="25"/>
  <c r="BA14" i="25"/>
  <c r="BC20" i="25"/>
  <c r="AI22" i="25"/>
  <c r="Z22" i="25"/>
  <c r="AR19" i="25"/>
  <c r="BA7" i="25"/>
  <c r="AZ10" i="25"/>
  <c r="AX22" i="25"/>
  <c r="R16" i="25"/>
  <c r="S16" i="25" s="1"/>
  <c r="R13" i="25"/>
  <c r="S13" i="25" s="1"/>
  <c r="R19" i="25"/>
  <c r="S19" i="25" s="1"/>
  <c r="R7" i="25"/>
  <c r="S7" i="25" s="1"/>
  <c r="R6" i="25"/>
  <c r="S6" i="25" s="1"/>
  <c r="R17" i="25"/>
  <c r="S17" i="25" s="1"/>
  <c r="R15" i="25"/>
  <c r="S15" i="25" s="1"/>
  <c r="R14" i="25"/>
  <c r="S14" i="25" s="1"/>
  <c r="R9" i="25"/>
  <c r="S9" i="25" s="1"/>
  <c r="R8" i="25"/>
  <c r="S8" i="25" s="1"/>
  <c r="R20" i="25"/>
  <c r="S20" i="25" s="1"/>
  <c r="R18" i="25"/>
  <c r="S18" i="25" s="1"/>
  <c r="N5" i="25"/>
  <c r="M22" i="25"/>
  <c r="N22" i="25" s="1"/>
  <c r="R10" i="25"/>
  <c r="S10" i="25" s="1"/>
  <c r="R12" i="25"/>
  <c r="S12" i="25" s="1"/>
  <c r="R5" i="25"/>
  <c r="R11" i="25"/>
  <c r="S11" i="25" s="1"/>
  <c r="Q22" i="25"/>
  <c r="P22" i="25" s="1"/>
  <c r="AL34" i="23"/>
  <c r="AJ38" i="23"/>
  <c r="AL33" i="23"/>
  <c r="AK51" i="23"/>
  <c r="AK50" i="23"/>
  <c r="AJ27" i="23"/>
  <c r="AL21" i="23"/>
  <c r="AJ26" i="23"/>
  <c r="AK3" i="23"/>
  <c r="AK38" i="23"/>
  <c r="AJ39" i="23"/>
  <c r="AK25" i="23"/>
  <c r="AK24" i="23"/>
  <c r="AK15" i="23"/>
  <c r="AI40" i="23"/>
  <c r="AI59" i="23" s="1"/>
  <c r="AS40" i="23"/>
  <c r="AL20" i="23"/>
  <c r="AJ17" i="23"/>
  <c r="AL10" i="23"/>
  <c r="AJ52" i="23"/>
  <c r="AJ16" i="23"/>
  <c r="AL9" i="23"/>
  <c r="AJ51" i="23"/>
  <c r="AJ15" i="23"/>
  <c r="AL56" i="23"/>
  <c r="AL8" i="23"/>
  <c r="AJ14" i="23"/>
  <c r="AL46" i="23"/>
  <c r="AJ41" i="23"/>
  <c r="AJ5" i="23"/>
  <c r="AK27" i="23"/>
  <c r="AL11" i="23"/>
  <c r="AL23" i="23"/>
  <c r="AL35" i="23"/>
  <c r="AL47" i="23"/>
  <c r="AK4" i="23"/>
  <c r="AK16" i="23"/>
  <c r="AK28" i="23"/>
  <c r="AK40" i="23"/>
  <c r="AK52" i="23"/>
  <c r="AJ6" i="23"/>
  <c r="AJ18" i="23"/>
  <c r="AJ30" i="23"/>
  <c r="AJ42" i="23"/>
  <c r="AJ54" i="23"/>
  <c r="AL51" i="23"/>
  <c r="AJ34" i="23"/>
  <c r="AL4" i="23"/>
  <c r="AL28" i="23"/>
  <c r="AL52" i="23"/>
  <c r="AK21" i="23"/>
  <c r="AK45" i="23"/>
  <c r="AJ11" i="23"/>
  <c r="AJ35" i="23"/>
  <c r="AL5" i="23"/>
  <c r="AL17" i="23"/>
  <c r="AL29" i="23"/>
  <c r="AL41" i="23"/>
  <c r="AL53" i="23"/>
  <c r="AK10" i="23"/>
  <c r="AK22" i="23"/>
  <c r="AK34" i="23"/>
  <c r="AK46" i="23"/>
  <c r="AJ3" i="23"/>
  <c r="AO3" i="23" s="1"/>
  <c r="AJ24" i="23"/>
  <c r="AO24" i="23" s="1"/>
  <c r="AJ36" i="23"/>
  <c r="AJ48" i="23"/>
  <c r="AL6" i="23"/>
  <c r="AL30" i="23"/>
  <c r="AL54" i="23"/>
  <c r="AK23" i="23"/>
  <c r="AL12" i="23"/>
  <c r="AL24" i="23"/>
  <c r="AL36" i="23"/>
  <c r="AL48" i="23"/>
  <c r="AK5" i="23"/>
  <c r="AO5" i="23" s="1"/>
  <c r="AK17" i="23"/>
  <c r="AK29" i="23"/>
  <c r="AK41" i="23"/>
  <c r="AK53" i="23"/>
  <c r="AJ7" i="23"/>
  <c r="AJ19" i="23"/>
  <c r="AJ31" i="23"/>
  <c r="AO31" i="23" s="1"/>
  <c r="AJ43" i="23"/>
  <c r="AJ55" i="23"/>
  <c r="AL14" i="23"/>
  <c r="AL26" i="23"/>
  <c r="AL50" i="23"/>
  <c r="AK19" i="23"/>
  <c r="AK31" i="23"/>
  <c r="AK55" i="23"/>
  <c r="AJ21" i="23"/>
  <c r="AJ57" i="23"/>
  <c r="AL3" i="23"/>
  <c r="AL27" i="23"/>
  <c r="AK8" i="23"/>
  <c r="AK32" i="23"/>
  <c r="AO32" i="23" s="1"/>
  <c r="AK44" i="23"/>
  <c r="AO44" i="23" s="1"/>
  <c r="AT44" i="23" s="1"/>
  <c r="AU44" i="23" s="1"/>
  <c r="AJ10" i="23"/>
  <c r="AJ22" i="23"/>
  <c r="AJ46" i="23"/>
  <c r="AJ12" i="23"/>
  <c r="AL18" i="23"/>
  <c r="AL42" i="23"/>
  <c r="AK11" i="23"/>
  <c r="AK35" i="23"/>
  <c r="AK47" i="23"/>
  <c r="AJ13" i="23"/>
  <c r="AJ25" i="23"/>
  <c r="AO25" i="23" s="1"/>
  <c r="AT25" i="23" s="1"/>
  <c r="AU25" i="23" s="1"/>
  <c r="AJ37" i="23"/>
  <c r="AJ49" i="23"/>
  <c r="AL7" i="23"/>
  <c r="AL19" i="23"/>
  <c r="AL31" i="23"/>
  <c r="AL43" i="23"/>
  <c r="AL55" i="23"/>
  <c r="AL13" i="23"/>
  <c r="AL25" i="23"/>
  <c r="AL37" i="23"/>
  <c r="AL49" i="23"/>
  <c r="AK6" i="23"/>
  <c r="AK18" i="23"/>
  <c r="AK30" i="23"/>
  <c r="AK42" i="23"/>
  <c r="AK54" i="23"/>
  <c r="AJ8" i="23"/>
  <c r="AJ20" i="23"/>
  <c r="AJ32" i="23"/>
  <c r="AJ44" i="23"/>
  <c r="AJ56" i="23"/>
  <c r="AL38" i="23"/>
  <c r="AK7" i="23"/>
  <c r="AK43" i="23"/>
  <c r="AJ9" i="23"/>
  <c r="AJ33" i="23"/>
  <c r="AJ45" i="23"/>
  <c r="AO45" i="23" s="1"/>
  <c r="AL15" i="23"/>
  <c r="AL39" i="23"/>
  <c r="AK20" i="23"/>
  <c r="AK56" i="23"/>
  <c r="AL16" i="23"/>
  <c r="AL40" i="23"/>
  <c r="AK9" i="23"/>
  <c r="AK33" i="23"/>
  <c r="AK57" i="23"/>
  <c r="AJ23" i="23"/>
  <c r="AJ47" i="23"/>
  <c r="AJ29" i="23"/>
  <c r="AL32" i="23"/>
  <c r="AJ28" i="23"/>
  <c r="AK14" i="23"/>
  <c r="AL22" i="23"/>
  <c r="AK49" i="23"/>
  <c r="AK13" i="23"/>
  <c r="AK48" i="23"/>
  <c r="AK12" i="23"/>
  <c r="AJ53" i="23"/>
  <c r="AK39" i="23"/>
  <c r="AO39" i="23" s="1"/>
  <c r="AL57" i="23"/>
  <c r="AK37" i="23"/>
  <c r="AJ50" i="23"/>
  <c r="AK36" i="23"/>
  <c r="AJ40" i="23"/>
  <c r="AJ4" i="23"/>
  <c r="AK26" i="23"/>
  <c r="AL44" i="23"/>
  <c r="AH26" i="23"/>
  <c r="AI49" i="23"/>
  <c r="AI24" i="23"/>
  <c r="AI29" i="23"/>
  <c r="AO29" i="23" s="1"/>
  <c r="AT29" i="23" s="1"/>
  <c r="AU29" i="23" s="1"/>
  <c r="AH40" i="23"/>
  <c r="AH59" i="23" s="1"/>
  <c r="AI26" i="23"/>
  <c r="AH49" i="23"/>
  <c r="AH24" i="23"/>
  <c r="AI37" i="23"/>
  <c r="AO51" i="23"/>
  <c r="AH37" i="23"/>
  <c r="AI25" i="23"/>
  <c r="AI38" i="23"/>
  <c r="AO38" i="23" s="1"/>
  <c r="AT38" i="23" s="1"/>
  <c r="AU38" i="23" s="1"/>
  <c r="AI45" i="23"/>
  <c r="AH45" i="23"/>
  <c r="AH56" i="23"/>
  <c r="AI56" i="23"/>
  <c r="AI41" i="23"/>
  <c r="AH57" i="23"/>
  <c r="AI57" i="23"/>
  <c r="AH50" i="23"/>
  <c r="AI50" i="23"/>
  <c r="AI52" i="23"/>
  <c r="AH52" i="23"/>
  <c r="AI47" i="23"/>
  <c r="AI55" i="23"/>
  <c r="AH55" i="23"/>
  <c r="AH54" i="23"/>
  <c r="AI53" i="23"/>
  <c r="AH42" i="23"/>
  <c r="AH36" i="23"/>
  <c r="AH46" i="23"/>
  <c r="AH53" i="23"/>
  <c r="AH47" i="23"/>
  <c r="AH41" i="23"/>
  <c r="AI33" i="23"/>
  <c r="AH35" i="23"/>
  <c r="AH33" i="23"/>
  <c r="AH30" i="23"/>
  <c r="AI34" i="23"/>
  <c r="AH34" i="23"/>
  <c r="AO26" i="23"/>
  <c r="AP26" i="23" s="1"/>
  <c r="AI27" i="23"/>
  <c r="AH28" i="23"/>
  <c r="AI28" i="23"/>
  <c r="AH8" i="23"/>
  <c r="AH16" i="23"/>
  <c r="AI17" i="23"/>
  <c r="AH19" i="23"/>
  <c r="AH21" i="23"/>
  <c r="AI7" i="23"/>
  <c r="AH7" i="23"/>
  <c r="AI10" i="23"/>
  <c r="AH17" i="23"/>
  <c r="AH12" i="23"/>
  <c r="AI12" i="23"/>
  <c r="AH6" i="23"/>
  <c r="AI20" i="23"/>
  <c r="AH10" i="23"/>
  <c r="AI6" i="23"/>
  <c r="AH4" i="23"/>
  <c r="AH20" i="23"/>
  <c r="AH22" i="23"/>
  <c r="BA6" i="25" l="1"/>
  <c r="AU22" i="25"/>
  <c r="BC6" i="25"/>
  <c r="BC16" i="25"/>
  <c r="BA17" i="25"/>
  <c r="BA21" i="25"/>
  <c r="BA13" i="25"/>
  <c r="AZ22" i="25"/>
  <c r="BA19" i="25"/>
  <c r="BC18" i="25"/>
  <c r="BA18" i="25"/>
  <c r="BA16" i="25"/>
  <c r="BC21" i="25"/>
  <c r="BA20" i="25"/>
  <c r="BA10" i="25"/>
  <c r="BC5" i="25"/>
  <c r="AY22" i="25"/>
  <c r="BA8" i="25"/>
  <c r="R22" i="25"/>
  <c r="S22" i="25" s="1"/>
  <c r="S5" i="25"/>
  <c r="AP31" i="23"/>
  <c r="AT31" i="23"/>
  <c r="AU31" i="23" s="1"/>
  <c r="AP24" i="23"/>
  <c r="AT24" i="23"/>
  <c r="AU24" i="23" s="1"/>
  <c r="AP45" i="23"/>
  <c r="AT45" i="23"/>
  <c r="AU45" i="23" s="1"/>
  <c r="AP5" i="23"/>
  <c r="AT5" i="23"/>
  <c r="AU5" i="23" s="1"/>
  <c r="AP39" i="23"/>
  <c r="AT39" i="23"/>
  <c r="AU39" i="23" s="1"/>
  <c r="AP32" i="23"/>
  <c r="AT32" i="23"/>
  <c r="AU32" i="23" s="1"/>
  <c r="AP51" i="23"/>
  <c r="AT51" i="23"/>
  <c r="AU51" i="23" s="1"/>
  <c r="AT26" i="23"/>
  <c r="AU26" i="23" s="1"/>
  <c r="AS59" i="23"/>
  <c r="AR59" i="23" s="1"/>
  <c r="AT3" i="23"/>
  <c r="AU3" i="23" s="1"/>
  <c r="AP3" i="23"/>
  <c r="AO43" i="23"/>
  <c r="AO40" i="23"/>
  <c r="AP40" i="23" s="1"/>
  <c r="AO53" i="23"/>
  <c r="AO37" i="23"/>
  <c r="AO49" i="23"/>
  <c r="AP38" i="23"/>
  <c r="AP29" i="23"/>
  <c r="AP25" i="23"/>
  <c r="AP44" i="23"/>
  <c r="AO20" i="23"/>
  <c r="AO50" i="23"/>
  <c r="AO12" i="23"/>
  <c r="AT12" i="23" s="1"/>
  <c r="AU12" i="23" s="1"/>
  <c r="AO52" i="23"/>
  <c r="AH27" i="23"/>
  <c r="AO27" i="23" s="1"/>
  <c r="AT27" i="23" s="1"/>
  <c r="AU27" i="23" s="1"/>
  <c r="AI36" i="23"/>
  <c r="AO55" i="23"/>
  <c r="AI48" i="23"/>
  <c r="AI46" i="23"/>
  <c r="AO41" i="23"/>
  <c r="AI54" i="23"/>
  <c r="AO47" i="23"/>
  <c r="AO57" i="23"/>
  <c r="AI42" i="23"/>
  <c r="AO56" i="23"/>
  <c r="AH48" i="23"/>
  <c r="AO48" i="23" s="1"/>
  <c r="AO34" i="23"/>
  <c r="AT34" i="23" s="1"/>
  <c r="AU34" i="23" s="1"/>
  <c r="AO33" i="23"/>
  <c r="AO35" i="23"/>
  <c r="AI35" i="23"/>
  <c r="AI30" i="23"/>
  <c r="AI23" i="23"/>
  <c r="AO28" i="23"/>
  <c r="AT28" i="23" s="1"/>
  <c r="AU28" i="23" s="1"/>
  <c r="AH23" i="23"/>
  <c r="AI9" i="23"/>
  <c r="AI4" i="23"/>
  <c r="AI13" i="23"/>
  <c r="AO10" i="23"/>
  <c r="AI8" i="23"/>
  <c r="AI11" i="23"/>
  <c r="AH11" i="23"/>
  <c r="AO6" i="23"/>
  <c r="AT6" i="23" s="1"/>
  <c r="AU6" i="23" s="1"/>
  <c r="AI15" i="23"/>
  <c r="AH9" i="23"/>
  <c r="AI22" i="23"/>
  <c r="AH13" i="23"/>
  <c r="AO17" i="23"/>
  <c r="AH15" i="23"/>
  <c r="AI19" i="23"/>
  <c r="AO19" i="23" s="1"/>
  <c r="AI21" i="23"/>
  <c r="AI14" i="23"/>
  <c r="AI16" i="23"/>
  <c r="AH14" i="23"/>
  <c r="AO7" i="23"/>
  <c r="AI18" i="23"/>
  <c r="AH18" i="23"/>
  <c r="BA22" i="25" l="1"/>
  <c r="BF6" i="25"/>
  <c r="BF18" i="25"/>
  <c r="BE13" i="25"/>
  <c r="BD8" i="25"/>
  <c r="BD20" i="25"/>
  <c r="BG20" i="25" s="1"/>
  <c r="BH20" i="25" s="1"/>
  <c r="BF9" i="25"/>
  <c r="BF21" i="25"/>
  <c r="BE16" i="25"/>
  <c r="BD11" i="25"/>
  <c r="BG11" i="25" s="1"/>
  <c r="BH11" i="25" s="1"/>
  <c r="BF7" i="25"/>
  <c r="BF19" i="25"/>
  <c r="BE14" i="25"/>
  <c r="BD9" i="25"/>
  <c r="BD21" i="25"/>
  <c r="BF8" i="25"/>
  <c r="BF20" i="25"/>
  <c r="BE15" i="25"/>
  <c r="BD10" i="25"/>
  <c r="BG10" i="25" s="1"/>
  <c r="BH10" i="25" s="1"/>
  <c r="BF5" i="25"/>
  <c r="BE8" i="25"/>
  <c r="BD7" i="25"/>
  <c r="BF10" i="25"/>
  <c r="BE9" i="25"/>
  <c r="BD12" i="25"/>
  <c r="BF11" i="25"/>
  <c r="BE10" i="25"/>
  <c r="BD13" i="25"/>
  <c r="BG13" i="25" s="1"/>
  <c r="BH13" i="25" s="1"/>
  <c r="BF12" i="25"/>
  <c r="BE11" i="25"/>
  <c r="BD14" i="25"/>
  <c r="BE12" i="25"/>
  <c r="BD19" i="25"/>
  <c r="BG19" i="25" s="1"/>
  <c r="BH19" i="25" s="1"/>
  <c r="BF13" i="25"/>
  <c r="BF14" i="25"/>
  <c r="BD5" i="25"/>
  <c r="BG5" i="25" s="1"/>
  <c r="BD6" i="25"/>
  <c r="BE17" i="25"/>
  <c r="BE18" i="25"/>
  <c r="BE19" i="25"/>
  <c r="BE20" i="25"/>
  <c r="BE21" i="25"/>
  <c r="BF15" i="25"/>
  <c r="BF16" i="25"/>
  <c r="BD15" i="25"/>
  <c r="BG15" i="25" s="1"/>
  <c r="BH15" i="25" s="1"/>
  <c r="BF17" i="25"/>
  <c r="BE5" i="25"/>
  <c r="BE6" i="25"/>
  <c r="BE7" i="25"/>
  <c r="BD16" i="25"/>
  <c r="BD17" i="25"/>
  <c r="BG17" i="25" s="1"/>
  <c r="BH17" i="25" s="1"/>
  <c r="BD18" i="25"/>
  <c r="BG18" i="25"/>
  <c r="BH18" i="25" s="1"/>
  <c r="BB22" i="25"/>
  <c r="BC22" i="25"/>
  <c r="AP55" i="23"/>
  <c r="AT55" i="23"/>
  <c r="AU55" i="23" s="1"/>
  <c r="AP33" i="23"/>
  <c r="AT33" i="23"/>
  <c r="AU33" i="23" s="1"/>
  <c r="AP53" i="23"/>
  <c r="AT53" i="23"/>
  <c r="AU53" i="23" s="1"/>
  <c r="AP48" i="23"/>
  <c r="AT48" i="23"/>
  <c r="AU48" i="23" s="1"/>
  <c r="AP50" i="23"/>
  <c r="AT50" i="23"/>
  <c r="AU50" i="23" s="1"/>
  <c r="AP17" i="23"/>
  <c r="AT17" i="23"/>
  <c r="AU17" i="23" s="1"/>
  <c r="AP57" i="23"/>
  <c r="AT57" i="23"/>
  <c r="AU57" i="23" s="1"/>
  <c r="AP20" i="23"/>
  <c r="AT20" i="23"/>
  <c r="AU20" i="23" s="1"/>
  <c r="AP47" i="23"/>
  <c r="AT47" i="23"/>
  <c r="AU47" i="23" s="1"/>
  <c r="AP7" i="23"/>
  <c r="AT7" i="23"/>
  <c r="AU7" i="23" s="1"/>
  <c r="AP49" i="23"/>
  <c r="AT49" i="23"/>
  <c r="AU49" i="23" s="1"/>
  <c r="AP35" i="23"/>
  <c r="AT35" i="23"/>
  <c r="AU35" i="23" s="1"/>
  <c r="AP37" i="23"/>
  <c r="AT37" i="23"/>
  <c r="AU37" i="23" s="1"/>
  <c r="AP10" i="23"/>
  <c r="AT10" i="23"/>
  <c r="AU10" i="23" s="1"/>
  <c r="AP52" i="23"/>
  <c r="AT52" i="23"/>
  <c r="AU52" i="23" s="1"/>
  <c r="AP43" i="23"/>
  <c r="AT43" i="23"/>
  <c r="AU43" i="23" s="1"/>
  <c r="AP19" i="23"/>
  <c r="AT19" i="23"/>
  <c r="AU19" i="23" s="1"/>
  <c r="AP56" i="23"/>
  <c r="AT56" i="23"/>
  <c r="AU56" i="23" s="1"/>
  <c r="AP41" i="23"/>
  <c r="AT41" i="23"/>
  <c r="AU41" i="23" s="1"/>
  <c r="AT40" i="23"/>
  <c r="AU40" i="23" s="1"/>
  <c r="AO46" i="23"/>
  <c r="AO30" i="23"/>
  <c r="AO36" i="23"/>
  <c r="AO54" i="23"/>
  <c r="AP12" i="23"/>
  <c r="AO42" i="23"/>
  <c r="AP27" i="23"/>
  <c r="AP34" i="23"/>
  <c r="AO23" i="23"/>
  <c r="AP28" i="23"/>
  <c r="AO15" i="23"/>
  <c r="AO8" i="23"/>
  <c r="AO4" i="23"/>
  <c r="AO22" i="23"/>
  <c r="AO14" i="23"/>
  <c r="AO16" i="23"/>
  <c r="AO21" i="23"/>
  <c r="AO18" i="23"/>
  <c r="AP6" i="23"/>
  <c r="AO11" i="23"/>
  <c r="AO13" i="23"/>
  <c r="AO9" i="23"/>
  <c r="BG7" i="25" l="1"/>
  <c r="BH7" i="25" s="1"/>
  <c r="BG14" i="25"/>
  <c r="BH14" i="25" s="1"/>
  <c r="BG21" i="25"/>
  <c r="BH21" i="25" s="1"/>
  <c r="BH5" i="25"/>
  <c r="BG8" i="25"/>
  <c r="BH8" i="25" s="1"/>
  <c r="BG16" i="25"/>
  <c r="BH16" i="25" s="1"/>
  <c r="BG9" i="25"/>
  <c r="BH9" i="25" s="1"/>
  <c r="BG6" i="25"/>
  <c r="BH6" i="25" s="1"/>
  <c r="BG12" i="25"/>
  <c r="BH12" i="25" s="1"/>
  <c r="AP23" i="23"/>
  <c r="AT23" i="23"/>
  <c r="AU23" i="23" s="1"/>
  <c r="AP13" i="23"/>
  <c r="AT13" i="23"/>
  <c r="AU13" i="23" s="1"/>
  <c r="AP18" i="23"/>
  <c r="AT18" i="23"/>
  <c r="AU18" i="23" s="1"/>
  <c r="AP21" i="23"/>
  <c r="AT21" i="23"/>
  <c r="AU21" i="23" s="1"/>
  <c r="AP54" i="23"/>
  <c r="AT54" i="23"/>
  <c r="AU54" i="23" s="1"/>
  <c r="AP11" i="23"/>
  <c r="AT11" i="23"/>
  <c r="AU11" i="23" s="1"/>
  <c r="AP42" i="23"/>
  <c r="AT42" i="23"/>
  <c r="AU42" i="23" s="1"/>
  <c r="AP16" i="23"/>
  <c r="AT16" i="23"/>
  <c r="AU16" i="23" s="1"/>
  <c r="AP14" i="23"/>
  <c r="AT14" i="23"/>
  <c r="AU14" i="23" s="1"/>
  <c r="AP36" i="23"/>
  <c r="AT36" i="23"/>
  <c r="AU36" i="23" s="1"/>
  <c r="AP22" i="23"/>
  <c r="AT22" i="23"/>
  <c r="AU22" i="23" s="1"/>
  <c r="AP30" i="23"/>
  <c r="AT30" i="23"/>
  <c r="AU30" i="23" s="1"/>
  <c r="AP4" i="23"/>
  <c r="AT4" i="23"/>
  <c r="AP46" i="23"/>
  <c r="AT46" i="23"/>
  <c r="AU46" i="23" s="1"/>
  <c r="AP8" i="23"/>
  <c r="AT8" i="23"/>
  <c r="AU8" i="23" s="1"/>
  <c r="AP15" i="23"/>
  <c r="AT15" i="23"/>
  <c r="AU15" i="23" s="1"/>
  <c r="AP9" i="23"/>
  <c r="AT9" i="23"/>
  <c r="AU9" i="23" s="1"/>
  <c r="AP59" i="23"/>
  <c r="BG22" i="25" l="1"/>
  <c r="BH22" i="25" s="1"/>
  <c r="AU4" i="23"/>
  <c r="AT59" i="23"/>
  <c r="AU59" i="23" s="1"/>
  <c r="T57" i="23" l="1"/>
  <c r="T56" i="23"/>
  <c r="T55" i="23"/>
  <c r="T54" i="23"/>
  <c r="T53" i="23"/>
  <c r="T52" i="23"/>
  <c r="T51" i="23"/>
  <c r="T50" i="23"/>
  <c r="T49" i="23"/>
  <c r="T48" i="23"/>
  <c r="T47" i="23"/>
  <c r="T46" i="23"/>
  <c r="T45" i="23"/>
  <c r="T44" i="23"/>
  <c r="T43" i="23"/>
  <c r="T42" i="23"/>
  <c r="T41" i="23"/>
  <c r="T40" i="23"/>
  <c r="T39" i="23"/>
  <c r="T38" i="23"/>
  <c r="T37" i="23"/>
  <c r="T36" i="23"/>
  <c r="T35" i="23"/>
  <c r="T34" i="23"/>
  <c r="T33" i="23"/>
  <c r="T32" i="23"/>
  <c r="T31" i="23"/>
  <c r="T30" i="23"/>
  <c r="T29" i="23"/>
  <c r="T28" i="23"/>
  <c r="T27" i="23"/>
  <c r="T26" i="23"/>
  <c r="T25" i="23"/>
  <c r="T24" i="23"/>
  <c r="T23" i="23"/>
  <c r="T22" i="23"/>
  <c r="T21" i="23"/>
  <c r="T20" i="23"/>
  <c r="T19" i="23"/>
  <c r="T18" i="23"/>
  <c r="T17" i="23"/>
  <c r="T16" i="23"/>
  <c r="T15" i="23"/>
  <c r="T14" i="23"/>
  <c r="T13" i="23"/>
  <c r="T12" i="23"/>
  <c r="T11" i="23"/>
  <c r="T10" i="23"/>
  <c r="T9" i="23"/>
  <c r="T8" i="23"/>
  <c r="T7" i="23"/>
  <c r="T6" i="23"/>
  <c r="T5" i="23"/>
  <c r="Q28" i="23"/>
  <c r="O28" i="23"/>
  <c r="N28" i="23"/>
  <c r="I12" i="23"/>
  <c r="G12" i="23"/>
  <c r="G13" i="23"/>
  <c r="G27" i="23"/>
  <c r="F27" i="23"/>
  <c r="G25" i="23"/>
  <c r="F25" i="23"/>
  <c r="F26" i="23"/>
  <c r="G24" i="23"/>
  <c r="O24" i="23" s="1"/>
  <c r="O22" i="23"/>
  <c r="O23" i="23"/>
  <c r="Q22" i="23"/>
  <c r="O40" i="23"/>
  <c r="Q40" i="23" s="1"/>
  <c r="O39" i="23"/>
  <c r="O38" i="23"/>
  <c r="N40" i="23"/>
  <c r="N39" i="23"/>
  <c r="Q39" i="23" s="1"/>
  <c r="N38" i="23"/>
  <c r="Q38" i="23" s="1"/>
  <c r="I32" i="23"/>
  <c r="G32" i="23"/>
  <c r="F32" i="23"/>
  <c r="O32" i="23" s="1"/>
  <c r="I37" i="23"/>
  <c r="G37" i="23"/>
  <c r="F37" i="23"/>
  <c r="G35" i="23"/>
  <c r="F35" i="23"/>
  <c r="G33" i="23"/>
  <c r="F33" i="23"/>
  <c r="E33" i="23"/>
  <c r="G31" i="23"/>
  <c r="O31" i="23" s="1"/>
  <c r="I34" i="23"/>
  <c r="G34" i="23"/>
  <c r="F34" i="23"/>
  <c r="I30" i="23"/>
  <c r="O30" i="23" s="1"/>
  <c r="G30" i="23"/>
  <c r="F30" i="23"/>
  <c r="N22" i="23"/>
  <c r="I20" i="23"/>
  <c r="H20" i="23"/>
  <c r="N20" i="23"/>
  <c r="G20" i="23"/>
  <c r="F20" i="23"/>
  <c r="G53" i="23"/>
  <c r="O21" i="23"/>
  <c r="O19" i="23"/>
  <c r="N21" i="23"/>
  <c r="N19" i="23"/>
  <c r="N15" i="23"/>
  <c r="I15" i="23"/>
  <c r="G15" i="23"/>
  <c r="F15" i="23"/>
  <c r="I17" i="23"/>
  <c r="H17" i="23"/>
  <c r="P17" i="23"/>
  <c r="G17" i="23"/>
  <c r="F17" i="23"/>
  <c r="E17" i="23"/>
  <c r="P18" i="23"/>
  <c r="F18" i="23"/>
  <c r="O18" i="23" s="1"/>
  <c r="F16" i="23"/>
  <c r="O16" i="23" s="1"/>
  <c r="F14" i="23"/>
  <c r="O14" i="23" s="1"/>
  <c r="G44" i="23"/>
  <c r="F44" i="23"/>
  <c r="G42" i="23"/>
  <c r="F42" i="23"/>
  <c r="G41" i="23"/>
  <c r="F41" i="23"/>
  <c r="G11" i="23"/>
  <c r="F11" i="23"/>
  <c r="G9" i="23"/>
  <c r="F9" i="23"/>
  <c r="I5" i="23"/>
  <c r="H5" i="23"/>
  <c r="G5" i="23"/>
  <c r="F5" i="23"/>
  <c r="I4" i="23"/>
  <c r="H4" i="23"/>
  <c r="I3" i="23"/>
  <c r="H3" i="23"/>
  <c r="G3" i="23"/>
  <c r="F3" i="23"/>
  <c r="N7" i="23"/>
  <c r="U59" i="23"/>
  <c r="U64" i="23" s="1"/>
  <c r="S59" i="23"/>
  <c r="M59" i="23"/>
  <c r="L59" i="23"/>
  <c r="D59" i="23"/>
  <c r="Y57" i="23"/>
  <c r="Z57" i="23" s="1"/>
  <c r="O57" i="23"/>
  <c r="N57" i="23"/>
  <c r="Q57" i="23" s="1"/>
  <c r="Y56" i="23"/>
  <c r="Z56" i="23" s="1"/>
  <c r="O56" i="23"/>
  <c r="N56" i="23"/>
  <c r="Y55" i="23"/>
  <c r="Z55" i="23" s="1"/>
  <c r="O55" i="23"/>
  <c r="N55" i="23"/>
  <c r="Y54" i="23"/>
  <c r="Z54" i="23" s="1"/>
  <c r="O54" i="23"/>
  <c r="N54" i="23"/>
  <c r="Y53" i="23"/>
  <c r="Z53" i="23" s="1"/>
  <c r="O53" i="23"/>
  <c r="N53" i="23"/>
  <c r="Y52" i="23"/>
  <c r="Z52" i="23" s="1"/>
  <c r="O52" i="23"/>
  <c r="N52" i="23"/>
  <c r="O51" i="23"/>
  <c r="N51" i="23"/>
  <c r="Y50" i="23"/>
  <c r="Z50" i="23" s="1"/>
  <c r="N50" i="23"/>
  <c r="O50" i="23"/>
  <c r="Y49" i="23"/>
  <c r="N49" i="23"/>
  <c r="O49" i="23"/>
  <c r="Y48" i="23"/>
  <c r="Z48" i="23" s="1"/>
  <c r="O48" i="23"/>
  <c r="N48" i="23"/>
  <c r="Y47" i="23"/>
  <c r="Z47" i="23" s="1"/>
  <c r="O47" i="23"/>
  <c r="N47" i="23"/>
  <c r="Y46" i="23"/>
  <c r="Z46" i="23" s="1"/>
  <c r="O46" i="23"/>
  <c r="N46" i="23"/>
  <c r="Y45" i="23"/>
  <c r="O45" i="23"/>
  <c r="N45" i="23"/>
  <c r="Y44" i="23"/>
  <c r="Z44" i="23" s="1"/>
  <c r="N44" i="23"/>
  <c r="Y43" i="23"/>
  <c r="Z43" i="23" s="1"/>
  <c r="O43" i="23"/>
  <c r="N43" i="23"/>
  <c r="Y42" i="23"/>
  <c r="N42" i="23"/>
  <c r="Y41" i="23"/>
  <c r="N41" i="23"/>
  <c r="Y37" i="23"/>
  <c r="N37" i="23"/>
  <c r="Y36" i="23"/>
  <c r="Z36" i="23" s="1"/>
  <c r="O36" i="23"/>
  <c r="N36" i="23"/>
  <c r="Y35" i="23"/>
  <c r="N35" i="23"/>
  <c r="Y34" i="23"/>
  <c r="Z34" i="23" s="1"/>
  <c r="N34" i="23"/>
  <c r="Y33" i="23"/>
  <c r="Z33" i="23" s="1"/>
  <c r="N33" i="23"/>
  <c r="Y32" i="23"/>
  <c r="Z32" i="23" s="1"/>
  <c r="N32" i="23"/>
  <c r="Y31" i="23"/>
  <c r="Z31" i="23" s="1"/>
  <c r="N31" i="23"/>
  <c r="Y30" i="23"/>
  <c r="N30" i="23"/>
  <c r="Y29" i="23"/>
  <c r="Z29" i="23" s="1"/>
  <c r="N29" i="23"/>
  <c r="O29" i="23"/>
  <c r="Y27" i="23"/>
  <c r="N27" i="23"/>
  <c r="Y26" i="23"/>
  <c r="N26" i="23"/>
  <c r="O26" i="23"/>
  <c r="N25" i="23"/>
  <c r="O25" i="23"/>
  <c r="Y24" i="23"/>
  <c r="Z24" i="23" s="1"/>
  <c r="N24" i="23"/>
  <c r="Y23" i="23"/>
  <c r="Z23" i="23" s="1"/>
  <c r="N23" i="23"/>
  <c r="Y18" i="23"/>
  <c r="N18" i="23"/>
  <c r="Y17" i="23"/>
  <c r="N17" i="23"/>
  <c r="Y16" i="23"/>
  <c r="Z16" i="23" s="1"/>
  <c r="N16" i="23"/>
  <c r="Y14" i="23"/>
  <c r="Z14" i="23" s="1"/>
  <c r="N14" i="23"/>
  <c r="Y13" i="23"/>
  <c r="N13" i="23"/>
  <c r="O13" i="23"/>
  <c r="Y12" i="23"/>
  <c r="Z12" i="23" s="1"/>
  <c r="N12" i="23"/>
  <c r="Y11" i="23"/>
  <c r="Z11" i="23" s="1"/>
  <c r="N11" i="23"/>
  <c r="Y10" i="23"/>
  <c r="Z10" i="23" s="1"/>
  <c r="O10" i="23"/>
  <c r="N10" i="23"/>
  <c r="Y9" i="23"/>
  <c r="Z9" i="23" s="1"/>
  <c r="N9" i="23"/>
  <c r="Y8" i="23"/>
  <c r="Z8" i="23" s="1"/>
  <c r="O8" i="23"/>
  <c r="N8" i="23"/>
  <c r="Y7" i="23"/>
  <c r="O7" i="23"/>
  <c r="Y6" i="23"/>
  <c r="Z6" i="23" s="1"/>
  <c r="O6" i="23"/>
  <c r="N6" i="23"/>
  <c r="Y5" i="23"/>
  <c r="Z5" i="23" s="1"/>
  <c r="N5" i="23"/>
  <c r="Y4" i="23"/>
  <c r="N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6" i="23" s="1"/>
  <c r="A17" i="23" s="1"/>
  <c r="A18" i="23" s="1"/>
  <c r="A23" i="23" s="1"/>
  <c r="A24" i="23" s="1"/>
  <c r="A25" i="23" s="1"/>
  <c r="A26" i="23" s="1"/>
  <c r="A27" i="23" s="1"/>
  <c r="A29" i="23" s="1"/>
  <c r="A30" i="23" s="1"/>
  <c r="A31" i="23" s="1"/>
  <c r="Y3" i="23"/>
  <c r="Z3" i="23" s="1"/>
  <c r="N3" i="23"/>
  <c r="AB21" i="21"/>
  <c r="AB20" i="21"/>
  <c r="AG42" i="21"/>
  <c r="AI42" i="21" s="1"/>
  <c r="AF42" i="21"/>
  <c r="AO31" i="21"/>
  <c r="AQ31" i="21" s="1"/>
  <c r="AO24" i="21"/>
  <c r="AN21" i="21"/>
  <c r="AQ21" i="21"/>
  <c r="AR21" i="21" s="1"/>
  <c r="AH21" i="21"/>
  <c r="AO20" i="21"/>
  <c r="AN20" i="21"/>
  <c r="AH20" i="21"/>
  <c r="AO16" i="21"/>
  <c r="AN16" i="21"/>
  <c r="AQ16" i="21"/>
  <c r="AH16" i="21"/>
  <c r="AN13" i="21"/>
  <c r="AQ48" i="21"/>
  <c r="AR48" i="21" s="1"/>
  <c r="AQ47" i="21"/>
  <c r="AR47" i="21" s="1"/>
  <c r="AQ46" i="21"/>
  <c r="AR46" i="21" s="1"/>
  <c r="AQ45" i="21"/>
  <c r="AR45" i="21" s="1"/>
  <c r="AQ44" i="21"/>
  <c r="AR44" i="21" s="1"/>
  <c r="AQ43" i="21"/>
  <c r="AR43" i="21" s="1"/>
  <c r="AQ41" i="21"/>
  <c r="AR41" i="21" s="1"/>
  <c r="AQ40" i="21"/>
  <c r="AQ39" i="21"/>
  <c r="AR39" i="21" s="1"/>
  <c r="AQ38" i="21"/>
  <c r="AR38" i="21" s="1"/>
  <c r="AQ37" i="21"/>
  <c r="AR37" i="21" s="1"/>
  <c r="AQ36" i="21"/>
  <c r="AQ35" i="21"/>
  <c r="AR35" i="21" s="1"/>
  <c r="AQ34" i="21"/>
  <c r="AR34" i="21" s="1"/>
  <c r="AQ33" i="21"/>
  <c r="AQ32" i="21"/>
  <c r="AQ30" i="21"/>
  <c r="AR30" i="21" s="1"/>
  <c r="AQ28" i="21"/>
  <c r="AR28" i="21" s="1"/>
  <c r="AQ27" i="21"/>
  <c r="AR27" i="21" s="1"/>
  <c r="AQ26" i="21"/>
  <c r="AR26" i="21" s="1"/>
  <c r="AQ25" i="21"/>
  <c r="AR25" i="21" s="1"/>
  <c r="AQ24" i="21"/>
  <c r="AQ23" i="21"/>
  <c r="AR23" i="21" s="1"/>
  <c r="AQ22" i="21"/>
  <c r="AQ20" i="21"/>
  <c r="AR20" i="21" s="1"/>
  <c r="AQ19" i="21"/>
  <c r="AR19" i="21" s="1"/>
  <c r="AQ18" i="21"/>
  <c r="AR18" i="21" s="1"/>
  <c r="AQ17" i="21"/>
  <c r="AR17" i="21" s="1"/>
  <c r="AQ15" i="21"/>
  <c r="AR15" i="21" s="1"/>
  <c r="AQ14" i="21"/>
  <c r="AR14" i="21" s="1"/>
  <c r="AQ13" i="21"/>
  <c r="AQ12" i="21"/>
  <c r="AR12" i="21" s="1"/>
  <c r="AQ11" i="21"/>
  <c r="AR11" i="21" s="1"/>
  <c r="AQ10" i="21"/>
  <c r="AR10" i="21" s="1"/>
  <c r="AQ9" i="21"/>
  <c r="AR9" i="21" s="1"/>
  <c r="AQ8" i="21"/>
  <c r="AR8" i="21" s="1"/>
  <c r="AQ6" i="21"/>
  <c r="AR6" i="21" s="1"/>
  <c r="AQ5" i="21"/>
  <c r="AR5" i="21" s="1"/>
  <c r="AQ4" i="21"/>
  <c r="AQ3" i="21"/>
  <c r="AN7" i="21"/>
  <c r="AQ7" i="21" s="1"/>
  <c r="AO7" i="21"/>
  <c r="AC50" i="21"/>
  <c r="AB13" i="21"/>
  <c r="AB22" i="21"/>
  <c r="AG26" i="21"/>
  <c r="AF26" i="21"/>
  <c r="AI26" i="21" s="1"/>
  <c r="AL26" i="21" s="1"/>
  <c r="AB31" i="21"/>
  <c r="AB29" i="21"/>
  <c r="AB24" i="21"/>
  <c r="AG37" i="21"/>
  <c r="AF37" i="21"/>
  <c r="AI37" i="21" s="1"/>
  <c r="AL37" i="21" s="1"/>
  <c r="AB16" i="21"/>
  <c r="AB50" i="21" s="1"/>
  <c r="AB7" i="21"/>
  <c r="AB4" i="21"/>
  <c r="U51" i="21"/>
  <c r="S51" i="21"/>
  <c r="J51" i="21"/>
  <c r="I51" i="21"/>
  <c r="H51" i="21"/>
  <c r="U50" i="21"/>
  <c r="S50" i="21"/>
  <c r="J50" i="21"/>
  <c r="I50" i="21"/>
  <c r="H50" i="21"/>
  <c r="AA50" i="21"/>
  <c r="O37" i="23" l="1"/>
  <c r="Q37" i="23" s="1"/>
  <c r="O12" i="23"/>
  <c r="Q23" i="23"/>
  <c r="O33" i="23"/>
  <c r="O20" i="23"/>
  <c r="Q20" i="23" s="1"/>
  <c r="O34" i="23"/>
  <c r="Q34" i="23" s="1"/>
  <c r="O41" i="23"/>
  <c r="Q21" i="23"/>
  <c r="O42" i="23"/>
  <c r="Q42" i="23" s="1"/>
  <c r="O11" i="23"/>
  <c r="Q11" i="23" s="1"/>
  <c r="O17" i="23"/>
  <c r="Q17" i="23" s="1"/>
  <c r="Q19" i="23"/>
  <c r="Q51" i="23"/>
  <c r="Z18" i="23"/>
  <c r="H59" i="23"/>
  <c r="O15" i="23"/>
  <c r="Q15" i="23" s="1"/>
  <c r="Q31" i="23"/>
  <c r="E60" i="23"/>
  <c r="O5" i="23"/>
  <c r="Q5" i="23" s="1"/>
  <c r="O9" i="23"/>
  <c r="Q9" i="23" s="1"/>
  <c r="O44" i="23"/>
  <c r="Q44" i="23" s="1"/>
  <c r="O3" i="23"/>
  <c r="Q3" i="23" s="1"/>
  <c r="R3" i="23" s="1"/>
  <c r="Q50" i="23"/>
  <c r="Q14" i="23"/>
  <c r="G60" i="23"/>
  <c r="Q52" i="23"/>
  <c r="Q56" i="23"/>
  <c r="Q7" i="23"/>
  <c r="Z27" i="23"/>
  <c r="Q6" i="23"/>
  <c r="Q18" i="23"/>
  <c r="Y25" i="23"/>
  <c r="Z25" i="23" s="1"/>
  <c r="Q30" i="23"/>
  <c r="Z42" i="23"/>
  <c r="Z13" i="23"/>
  <c r="Z35" i="23"/>
  <c r="Q32" i="23"/>
  <c r="Q36" i="23"/>
  <c r="Q49" i="23"/>
  <c r="Z17" i="23"/>
  <c r="Z7" i="23"/>
  <c r="Z45" i="23"/>
  <c r="Q53" i="23"/>
  <c r="Q8" i="23"/>
  <c r="Z49" i="23"/>
  <c r="Q16" i="23"/>
  <c r="Z26" i="23"/>
  <c r="Z37" i="23"/>
  <c r="Q43" i="23"/>
  <c r="Q54" i="23"/>
  <c r="Q24" i="23"/>
  <c r="Q47" i="23"/>
  <c r="Z41" i="23"/>
  <c r="Q48" i="23"/>
  <c r="Q45" i="23"/>
  <c r="Q46" i="23"/>
  <c r="Q55" i="23"/>
  <c r="Q25" i="23"/>
  <c r="Q12" i="23"/>
  <c r="Q33" i="23"/>
  <c r="A32" i="23"/>
  <c r="A33" i="23"/>
  <c r="A34" i="23" s="1"/>
  <c r="A35" i="23" s="1"/>
  <c r="A36" i="23" s="1"/>
  <c r="A37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2" i="23" s="1"/>
  <c r="A53" i="23" s="1"/>
  <c r="A54" i="23" s="1"/>
  <c r="A55" i="23" s="1"/>
  <c r="A56" i="23" s="1"/>
  <c r="A57" i="23" s="1"/>
  <c r="F60" i="23"/>
  <c r="Z30" i="23"/>
  <c r="F59" i="23"/>
  <c r="O27" i="23"/>
  <c r="Q27" i="23" s="1"/>
  <c r="O35" i="23"/>
  <c r="Q35" i="23" s="1"/>
  <c r="G59" i="23"/>
  <c r="O4" i="23"/>
  <c r="Q4" i="23" s="1"/>
  <c r="T4" i="23" s="1"/>
  <c r="Q13" i="23"/>
  <c r="P59" i="23"/>
  <c r="W61" i="23" s="1"/>
  <c r="Q29" i="23"/>
  <c r="H60" i="23"/>
  <c r="Z4" i="23"/>
  <c r="Q41" i="23"/>
  <c r="Q26" i="23"/>
  <c r="Q10" i="23"/>
  <c r="N59" i="23"/>
  <c r="V59" i="23"/>
  <c r="U65" i="23" s="1"/>
  <c r="E59" i="23"/>
  <c r="W59" i="23"/>
  <c r="U63" i="23" s="1"/>
  <c r="AR3" i="21"/>
  <c r="AR22" i="21"/>
  <c r="AR31" i="21"/>
  <c r="AR16" i="21"/>
  <c r="Z22" i="21"/>
  <c r="Z21" i="21"/>
  <c r="Z20" i="21"/>
  <c r="X23" i="21"/>
  <c r="Z31" i="21"/>
  <c r="Z29" i="21"/>
  <c r="Z27" i="21"/>
  <c r="Z24" i="21"/>
  <c r="AH32" i="21"/>
  <c r="AR32" i="21" s="1"/>
  <c r="Z16" i="21"/>
  <c r="Z7" i="21"/>
  <c r="Z4" i="21"/>
  <c r="AG55" i="21"/>
  <c r="Y22" i="21"/>
  <c r="X22" i="21"/>
  <c r="AH22" i="21"/>
  <c r="W22" i="21"/>
  <c r="V22" i="21"/>
  <c r="Y20" i="21"/>
  <c r="X20" i="21"/>
  <c r="W20" i="21"/>
  <c r="V20" i="21"/>
  <c r="Y21" i="21"/>
  <c r="X21" i="21"/>
  <c r="Y12" i="21"/>
  <c r="X12" i="21"/>
  <c r="W12" i="21"/>
  <c r="Y13" i="21"/>
  <c r="X13" i="21"/>
  <c r="W13" i="21"/>
  <c r="Y31" i="21"/>
  <c r="X31" i="21"/>
  <c r="AH31" i="21"/>
  <c r="W31" i="21"/>
  <c r="V31" i="21"/>
  <c r="Y29" i="21"/>
  <c r="X29" i="21"/>
  <c r="W29" i="21"/>
  <c r="V29" i="21"/>
  <c r="Y27" i="21"/>
  <c r="X27" i="21"/>
  <c r="W27" i="21"/>
  <c r="V27" i="21"/>
  <c r="AH24" i="21"/>
  <c r="AR24" i="21" s="1"/>
  <c r="Y24" i="21"/>
  <c r="X24" i="21"/>
  <c r="W24" i="21"/>
  <c r="V24" i="21"/>
  <c r="Y16" i="21"/>
  <c r="X16" i="21"/>
  <c r="W16" i="21"/>
  <c r="V16" i="21"/>
  <c r="Y17" i="21"/>
  <c r="Y59" i="23" l="1"/>
  <c r="O59" i="23"/>
  <c r="C7" i="22" s="1"/>
  <c r="Z59" i="23"/>
  <c r="U66" i="23"/>
  <c r="Q59" i="23"/>
  <c r="T3" i="23"/>
  <c r="T59" i="23" s="1"/>
  <c r="Z50" i="21"/>
  <c r="Z51" i="21"/>
  <c r="AH40" i="21"/>
  <c r="AR40" i="21" s="1"/>
  <c r="W40" i="21"/>
  <c r="W35" i="21"/>
  <c r="W33" i="21"/>
  <c r="W32" i="21"/>
  <c r="AH7" i="21"/>
  <c r="AR7" i="21" s="1"/>
  <c r="X7" i="21"/>
  <c r="Y7" i="21"/>
  <c r="W7" i="21"/>
  <c r="V7" i="21"/>
  <c r="Y4" i="21"/>
  <c r="X4" i="21"/>
  <c r="AH4" i="21"/>
  <c r="AR4" i="21" s="1"/>
  <c r="W4" i="21"/>
  <c r="V4" i="21"/>
  <c r="C5" i="22"/>
  <c r="C4" i="22"/>
  <c r="AI54" i="21"/>
  <c r="T22" i="21"/>
  <c r="T20" i="21"/>
  <c r="T21" i="21"/>
  <c r="T13" i="21"/>
  <c r="T31" i="21"/>
  <c r="T29" i="21"/>
  <c r="T27" i="21"/>
  <c r="T24" i="21"/>
  <c r="AG43" i="21"/>
  <c r="T44" i="21"/>
  <c r="AG44" i="21" s="1"/>
  <c r="AF44" i="21"/>
  <c r="AF43" i="21"/>
  <c r="T17" i="21"/>
  <c r="T16" i="21"/>
  <c r="T32" i="21"/>
  <c r="T7" i="21"/>
  <c r="T4" i="21"/>
  <c r="Q22" i="21"/>
  <c r="R20" i="21"/>
  <c r="Q20" i="21"/>
  <c r="R12" i="21"/>
  <c r="AH13" i="21"/>
  <c r="AR13" i="21" s="1"/>
  <c r="R31" i="21"/>
  <c r="Q31" i="21"/>
  <c r="R29" i="21"/>
  <c r="Q29" i="21"/>
  <c r="R27" i="21"/>
  <c r="R24" i="21"/>
  <c r="R17" i="21"/>
  <c r="P16" i="21"/>
  <c r="R16" i="21"/>
  <c r="Q16" i="21"/>
  <c r="R41" i="21"/>
  <c r="R40" i="21"/>
  <c r="R32" i="21"/>
  <c r="R35" i="21"/>
  <c r="AH33" i="21"/>
  <c r="AR33" i="21" s="1"/>
  <c r="R7" i="21"/>
  <c r="Q7" i="21"/>
  <c r="R4" i="21"/>
  <c r="Q4" i="21"/>
  <c r="P22" i="21"/>
  <c r="P20" i="21"/>
  <c r="P21" i="21"/>
  <c r="P23" i="21"/>
  <c r="P12" i="21"/>
  <c r="O12" i="21"/>
  <c r="P13" i="21"/>
  <c r="P31" i="21"/>
  <c r="P29" i="21"/>
  <c r="P27" i="21"/>
  <c r="P24" i="21"/>
  <c r="P17" i="21"/>
  <c r="P41" i="21"/>
  <c r="P40" i="21"/>
  <c r="P35" i="21"/>
  <c r="P33" i="21"/>
  <c r="P32" i="21"/>
  <c r="P7" i="21"/>
  <c r="P4" i="21"/>
  <c r="AD7" i="20"/>
  <c r="AG15" i="19"/>
  <c r="AF19" i="19"/>
  <c r="N7" i="21"/>
  <c r="M7" i="21"/>
  <c r="L7" i="21"/>
  <c r="K7" i="21"/>
  <c r="N22" i="21"/>
  <c r="M22" i="21"/>
  <c r="L22" i="21"/>
  <c r="K22" i="21"/>
  <c r="N20" i="21"/>
  <c r="M20" i="21"/>
  <c r="L20" i="21"/>
  <c r="K20" i="21"/>
  <c r="N21" i="21"/>
  <c r="K21" i="21"/>
  <c r="N23" i="21"/>
  <c r="K23" i="21"/>
  <c r="N31" i="21"/>
  <c r="M31" i="21"/>
  <c r="K31" i="21"/>
  <c r="N29" i="21"/>
  <c r="M29" i="21"/>
  <c r="K29" i="21"/>
  <c r="N27" i="21"/>
  <c r="M27" i="21"/>
  <c r="K27" i="21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AA59" i="23" l="1"/>
  <c r="O50" i="21"/>
  <c r="O51" i="21"/>
  <c r="Q50" i="21"/>
  <c r="Q51" i="21"/>
  <c r="X50" i="21"/>
  <c r="X51" i="21"/>
  <c r="R51" i="21"/>
  <c r="R50" i="21"/>
  <c r="V51" i="21"/>
  <c r="V50" i="21"/>
  <c r="W50" i="21"/>
  <c r="W51" i="21"/>
  <c r="P50" i="21"/>
  <c r="P51" i="21"/>
  <c r="Y50" i="21"/>
  <c r="Y51" i="21"/>
  <c r="T51" i="21"/>
  <c r="T50" i="21"/>
  <c r="AI44" i="21"/>
  <c r="AL44" i="21" s="1"/>
  <c r="AI43" i="21"/>
  <c r="AL43" i="21" s="1"/>
  <c r="M24" i="21"/>
  <c r="L24" i="21"/>
  <c r="N16" i="21"/>
  <c r="M16" i="21"/>
  <c r="L16" i="21"/>
  <c r="K16" i="21"/>
  <c r="N41" i="21"/>
  <c r="L41" i="21"/>
  <c r="N40" i="21"/>
  <c r="L40" i="21"/>
  <c r="N35" i="21"/>
  <c r="L35" i="21"/>
  <c r="N33" i="21"/>
  <c r="L33" i="21"/>
  <c r="N32" i="21"/>
  <c r="L32" i="21"/>
  <c r="N4" i="21"/>
  <c r="M4" i="21"/>
  <c r="L4" i="21"/>
  <c r="K4" i="21"/>
  <c r="AP7" i="20"/>
  <c r="AI7" i="20"/>
  <c r="N50" i="21" l="1"/>
  <c r="N51" i="21"/>
  <c r="K50" i="21"/>
  <c r="K51" i="21"/>
  <c r="L50" i="21"/>
  <c r="L51" i="21"/>
  <c r="M50" i="21"/>
  <c r="M51" i="21"/>
  <c r="AR45" i="20"/>
  <c r="AQ45" i="20"/>
  <c r="AP20" i="20"/>
  <c r="AP17" i="20"/>
  <c r="AN36" i="20"/>
  <c r="AP28" i="20"/>
  <c r="AP16" i="20"/>
  <c r="AP13" i="20"/>
  <c r="AD22" i="20" l="1"/>
  <c r="AD20" i="20"/>
  <c r="AI20" i="20"/>
  <c r="AD21" i="20"/>
  <c r="U23" i="20"/>
  <c r="T23" i="20"/>
  <c r="S23" i="20"/>
  <c r="I23" i="20"/>
  <c r="F23" i="20"/>
  <c r="E23" i="20"/>
  <c r="AD12" i="20"/>
  <c r="AD13" i="20"/>
  <c r="AD30" i="20"/>
  <c r="AD28" i="20"/>
  <c r="AI28" i="20"/>
  <c r="K28" i="20"/>
  <c r="AD26" i="20"/>
  <c r="AD24" i="20"/>
  <c r="AD16" i="20"/>
  <c r="AI16" i="20"/>
  <c r="Y16" i="20"/>
  <c r="AD17" i="20"/>
  <c r="AI17" i="20"/>
  <c r="AI36" i="20"/>
  <c r="AD40" i="20"/>
  <c r="AD39" i="20"/>
  <c r="AD34" i="20"/>
  <c r="V34" i="20"/>
  <c r="U34" i="20"/>
  <c r="T34" i="20"/>
  <c r="S34" i="20"/>
  <c r="M34" i="20"/>
  <c r="L34" i="20"/>
  <c r="AD32" i="20"/>
  <c r="U32" i="20"/>
  <c r="T32" i="20"/>
  <c r="S32" i="20"/>
  <c r="AD31" i="20"/>
  <c r="AO7" i="20"/>
  <c r="AD4" i="20"/>
  <c r="U4" i="20"/>
  <c r="AO29" i="21" l="1"/>
  <c r="AO50" i="21" l="1"/>
  <c r="AQ29" i="21"/>
  <c r="AH29" i="21"/>
  <c r="E57" i="21"/>
  <c r="AR29" i="21" l="1"/>
  <c r="AQ50" i="21"/>
  <c r="F22" i="21"/>
  <c r="E22" i="21"/>
  <c r="F20" i="21"/>
  <c r="E20" i="21"/>
  <c r="F21" i="21"/>
  <c r="E21" i="21"/>
  <c r="F23" i="21"/>
  <c r="AG23" i="21" s="1"/>
  <c r="F12" i="21"/>
  <c r="AG12" i="21" s="1"/>
  <c r="F13" i="21"/>
  <c r="AG13" i="21" s="1"/>
  <c r="F31" i="21"/>
  <c r="AG31" i="21" s="1"/>
  <c r="F29" i="21"/>
  <c r="E29" i="21"/>
  <c r="F27" i="21"/>
  <c r="F24" i="21"/>
  <c r="AH36" i="21"/>
  <c r="AR36" i="21" s="1"/>
  <c r="F16" i="21"/>
  <c r="E16" i="21"/>
  <c r="G41" i="21"/>
  <c r="AG41" i="21" s="1"/>
  <c r="G40" i="21"/>
  <c r="AG40" i="21" s="1"/>
  <c r="G35" i="21"/>
  <c r="AG35" i="21" s="1"/>
  <c r="G33" i="21"/>
  <c r="AG33" i="21" s="1"/>
  <c r="G32" i="21"/>
  <c r="F7" i="21"/>
  <c r="E7" i="21"/>
  <c r="F4" i="21"/>
  <c r="E4" i="21"/>
  <c r="BC50" i="21"/>
  <c r="AN50" i="21"/>
  <c r="AK50" i="21"/>
  <c r="AE50" i="21"/>
  <c r="AD50" i="21"/>
  <c r="D50" i="21"/>
  <c r="AG48" i="21"/>
  <c r="AF48" i="21"/>
  <c r="AI48" i="21" s="1"/>
  <c r="AL48" i="21" s="1"/>
  <c r="AG47" i="21"/>
  <c r="AF47" i="21"/>
  <c r="AG46" i="21"/>
  <c r="AF46" i="21"/>
  <c r="AG45" i="21"/>
  <c r="AF45" i="21"/>
  <c r="AF41" i="21"/>
  <c r="AF40" i="21"/>
  <c r="AG39" i="21"/>
  <c r="AF39" i="21"/>
  <c r="AG38" i="21"/>
  <c r="AF38" i="21"/>
  <c r="AM50" i="21"/>
  <c r="AG36" i="21"/>
  <c r="AF36" i="21"/>
  <c r="AF35" i="21"/>
  <c r="AG34" i="21"/>
  <c r="AF34" i="21"/>
  <c r="AF33" i="21"/>
  <c r="AF32" i="21"/>
  <c r="AF31" i="21"/>
  <c r="AG30" i="21"/>
  <c r="AF30" i="21"/>
  <c r="AF29" i="21"/>
  <c r="AG28" i="21"/>
  <c r="AF28" i="21"/>
  <c r="AF27" i="21"/>
  <c r="AG27" i="21"/>
  <c r="AG25" i="21"/>
  <c r="AF25" i="21"/>
  <c r="AG24" i="21"/>
  <c r="AF24" i="21"/>
  <c r="AF23" i="21"/>
  <c r="AF22" i="21"/>
  <c r="AG22" i="21"/>
  <c r="AF21" i="21"/>
  <c r="AF20" i="21"/>
  <c r="AG19" i="21"/>
  <c r="AF19" i="21"/>
  <c r="AG18" i="21"/>
  <c r="AF18" i="21"/>
  <c r="AF17" i="21"/>
  <c r="AG17" i="21"/>
  <c r="AF16" i="21"/>
  <c r="AG15" i="21"/>
  <c r="AF15" i="21"/>
  <c r="AG14" i="21"/>
  <c r="AF14" i="21"/>
  <c r="AF13" i="21"/>
  <c r="AF12" i="21"/>
  <c r="AG11" i="21"/>
  <c r="AF11" i="21"/>
  <c r="AG10" i="21"/>
  <c r="AF10" i="21"/>
  <c r="AF9" i="21"/>
  <c r="AG9" i="21"/>
  <c r="AG8" i="21"/>
  <c r="AF8" i="21"/>
  <c r="AM54" i="21"/>
  <c r="AG6" i="21"/>
  <c r="AF6" i="21"/>
  <c r="AG5" i="21"/>
  <c r="AF5" i="21"/>
  <c r="AF4" i="2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G3" i="21"/>
  <c r="AF3" i="21"/>
  <c r="Z22" i="20"/>
  <c r="Y22" i="20"/>
  <c r="Z20" i="20"/>
  <c r="Y20" i="20"/>
  <c r="Z21" i="20"/>
  <c r="Z30" i="20"/>
  <c r="Y30" i="20"/>
  <c r="Z28" i="20"/>
  <c r="Y28" i="20"/>
  <c r="Z26" i="20"/>
  <c r="Z24" i="20"/>
  <c r="Z16" i="20"/>
  <c r="Z17" i="20"/>
  <c r="Y17" i="20"/>
  <c r="Z7" i="20"/>
  <c r="Z4" i="20"/>
  <c r="Y4" i="20"/>
  <c r="AI13" i="20"/>
  <c r="A27" i="21" l="1"/>
  <c r="A28" i="21" s="1"/>
  <c r="A29" i="21" s="1"/>
  <c r="A30" i="21" s="1"/>
  <c r="A31" i="21" s="1"/>
  <c r="A32" i="21" s="1"/>
  <c r="A33" i="21" s="1"/>
  <c r="A34" i="21" s="1"/>
  <c r="A35" i="21" s="1"/>
  <c r="A36" i="21" s="1"/>
  <c r="A26" i="21"/>
  <c r="AG20" i="21"/>
  <c r="AI20" i="21" s="1"/>
  <c r="AL20" i="21" s="1"/>
  <c r="AS50" i="21"/>
  <c r="AM55" i="21"/>
  <c r="AR50" i="21"/>
  <c r="AI46" i="21"/>
  <c r="AL46" i="21" s="1"/>
  <c r="AG32" i="21"/>
  <c r="G51" i="21"/>
  <c r="G50" i="21"/>
  <c r="E50" i="21"/>
  <c r="E51" i="21"/>
  <c r="AI25" i="21"/>
  <c r="AL25" i="21" s="1"/>
  <c r="F51" i="21"/>
  <c r="F50" i="21"/>
  <c r="AG21" i="21"/>
  <c r="AI21" i="21" s="1"/>
  <c r="AL21" i="21" s="1"/>
  <c r="AM56" i="21"/>
  <c r="AM57" i="21" s="1"/>
  <c r="AI39" i="21"/>
  <c r="AL39" i="21" s="1"/>
  <c r="AG7" i="21"/>
  <c r="AI7" i="21" s="1"/>
  <c r="AL7" i="21" s="1"/>
  <c r="AG16" i="21"/>
  <c r="AI16" i="21" s="1"/>
  <c r="AL16" i="21" s="1"/>
  <c r="AG29" i="21"/>
  <c r="AI29" i="21" s="1"/>
  <c r="AL29" i="21" s="1"/>
  <c r="AG4" i="21"/>
  <c r="AI4" i="21" s="1"/>
  <c r="AL4" i="21" s="1"/>
  <c r="AI15" i="21"/>
  <c r="AL15" i="21" s="1"/>
  <c r="AI45" i="21"/>
  <c r="AL45" i="21" s="1"/>
  <c r="AI5" i="21"/>
  <c r="AL5" i="21" s="1"/>
  <c r="AI28" i="21"/>
  <c r="AL28" i="21" s="1"/>
  <c r="AI36" i="21"/>
  <c r="AL36" i="21" s="1"/>
  <c r="AH50" i="21"/>
  <c r="AO52" i="21" s="1"/>
  <c r="AI47" i="21"/>
  <c r="AL47" i="21" s="1"/>
  <c r="AI14" i="21"/>
  <c r="AL14" i="21" s="1"/>
  <c r="AI11" i="21"/>
  <c r="AL11" i="21" s="1"/>
  <c r="AI34" i="21"/>
  <c r="AL34" i="21" s="1"/>
  <c r="AI10" i="21"/>
  <c r="AL10" i="21" s="1"/>
  <c r="AI18" i="21"/>
  <c r="AL18" i="21" s="1"/>
  <c r="AI30" i="21"/>
  <c r="AL30" i="21" s="1"/>
  <c r="AI38" i="21"/>
  <c r="AL38" i="21" s="1"/>
  <c r="AI8" i="21"/>
  <c r="AL8" i="21" s="1"/>
  <c r="AI13" i="21"/>
  <c r="AL13" i="21" s="1"/>
  <c r="AI19" i="21"/>
  <c r="AL19" i="21" s="1"/>
  <c r="AI23" i="21"/>
  <c r="AL23" i="21" s="1"/>
  <c r="AI31" i="21"/>
  <c r="AL31" i="21" s="1"/>
  <c r="AI6" i="21"/>
  <c r="AL6" i="21" s="1"/>
  <c r="AI17" i="21"/>
  <c r="AL17" i="21" s="1"/>
  <c r="AI24" i="21"/>
  <c r="AL24" i="21" s="1"/>
  <c r="AI3" i="21"/>
  <c r="AJ3" i="21" s="1"/>
  <c r="AI33" i="21"/>
  <c r="AL33" i="21" s="1"/>
  <c r="AI9" i="21"/>
  <c r="AL9" i="21" s="1"/>
  <c r="AI12" i="21"/>
  <c r="AL12" i="21" s="1"/>
  <c r="AI27" i="21"/>
  <c r="AL27" i="21" s="1"/>
  <c r="AI41" i="21"/>
  <c r="AL41" i="21" s="1"/>
  <c r="AI22" i="21"/>
  <c r="AL22" i="21" s="1"/>
  <c r="AI32" i="21"/>
  <c r="AL32" i="21" s="1"/>
  <c r="AI40" i="21"/>
  <c r="AL40" i="21" s="1"/>
  <c r="AI35" i="21"/>
  <c r="AL35" i="21" s="1"/>
  <c r="AF50" i="21"/>
  <c r="W22" i="20"/>
  <c r="U22" i="20"/>
  <c r="S22" i="20"/>
  <c r="R22" i="20"/>
  <c r="W20" i="20"/>
  <c r="V20" i="20"/>
  <c r="U20" i="20"/>
  <c r="T20" i="20"/>
  <c r="S20" i="20"/>
  <c r="R20" i="20"/>
  <c r="U21" i="20"/>
  <c r="T21" i="20"/>
  <c r="U12" i="20"/>
  <c r="U13" i="20"/>
  <c r="T13" i="20"/>
  <c r="W30" i="20"/>
  <c r="U30" i="20"/>
  <c r="T30" i="20"/>
  <c r="S30" i="20"/>
  <c r="R30" i="20"/>
  <c r="W28" i="20"/>
  <c r="V28" i="20"/>
  <c r="U28" i="20"/>
  <c r="T28" i="20"/>
  <c r="S28" i="20"/>
  <c r="R28" i="20"/>
  <c r="U26" i="20"/>
  <c r="U24" i="20"/>
  <c r="T24" i="20"/>
  <c r="W16" i="20"/>
  <c r="V16" i="20"/>
  <c r="S16" i="20"/>
  <c r="R16" i="20"/>
  <c r="U17" i="20"/>
  <c r="T17" i="20"/>
  <c r="S17" i="20"/>
  <c r="T40" i="20"/>
  <c r="S40" i="20"/>
  <c r="V39" i="20"/>
  <c r="T39" i="20"/>
  <c r="S39" i="20"/>
  <c r="V31" i="20"/>
  <c r="U31" i="20"/>
  <c r="T31" i="20"/>
  <c r="S31" i="20"/>
  <c r="V7" i="20"/>
  <c r="U7" i="20"/>
  <c r="T7" i="20"/>
  <c r="S7" i="20"/>
  <c r="R7" i="20"/>
  <c r="W4" i="20"/>
  <c r="T4" i="20"/>
  <c r="S4" i="20"/>
  <c r="R4" i="20"/>
  <c r="M12" i="20"/>
  <c r="L12" i="20"/>
  <c r="M13" i="20"/>
  <c r="L13" i="20"/>
  <c r="L23" i="20"/>
  <c r="M22" i="20"/>
  <c r="L22" i="20"/>
  <c r="K22" i="20"/>
  <c r="M20" i="20"/>
  <c r="L20" i="20"/>
  <c r="K20" i="20"/>
  <c r="L21" i="20"/>
  <c r="K30" i="20"/>
  <c r="L30" i="20"/>
  <c r="M30" i="20"/>
  <c r="M28" i="20"/>
  <c r="L28" i="20"/>
  <c r="L26" i="20"/>
  <c r="M24" i="20"/>
  <c r="L24" i="20"/>
  <c r="K24" i="20"/>
  <c r="L17" i="20"/>
  <c r="K16" i="20"/>
  <c r="L40" i="20"/>
  <c r="M40" i="20"/>
  <c r="M39" i="20"/>
  <c r="L39" i="20"/>
  <c r="M32" i="20"/>
  <c r="M31" i="20"/>
  <c r="L31" i="20"/>
  <c r="L7" i="20"/>
  <c r="K7" i="20"/>
  <c r="L4" i="20"/>
  <c r="K4" i="20"/>
  <c r="A37" i="21" l="1"/>
  <c r="A38" i="21" s="1"/>
  <c r="A39" i="21" s="1"/>
  <c r="A40" i="21" s="1"/>
  <c r="A41" i="21" s="1"/>
  <c r="E53" i="21"/>
  <c r="AG50" i="21"/>
  <c r="C6" i="22" s="1"/>
  <c r="C8" i="22" s="1"/>
  <c r="AL3" i="21"/>
  <c r="AL50" i="21" s="1"/>
  <c r="AI50" i="21"/>
  <c r="AI53" i="21" s="1"/>
  <c r="I17" i="20"/>
  <c r="H17" i="20"/>
  <c r="I30" i="20"/>
  <c r="H30" i="20"/>
  <c r="I28" i="20"/>
  <c r="H28" i="20"/>
  <c r="H24" i="20"/>
  <c r="I22" i="20"/>
  <c r="H22" i="20"/>
  <c r="I20" i="20"/>
  <c r="H20" i="20"/>
  <c r="H21" i="20"/>
  <c r="I16" i="20"/>
  <c r="H16" i="20"/>
  <c r="H40" i="20"/>
  <c r="H39" i="20"/>
  <c r="H34" i="20"/>
  <c r="H31" i="20"/>
  <c r="H11" i="20"/>
  <c r="I9" i="20"/>
  <c r="H9" i="20"/>
  <c r="J7" i="20"/>
  <c r="I7" i="20"/>
  <c r="I4" i="20"/>
  <c r="G12" i="20"/>
  <c r="E12" i="20"/>
  <c r="G13" i="20"/>
  <c r="F13" i="20"/>
  <c r="E13" i="20"/>
  <c r="G30" i="20"/>
  <c r="F30" i="20"/>
  <c r="E30" i="20"/>
  <c r="G28" i="20"/>
  <c r="F28" i="20"/>
  <c r="E28" i="20"/>
  <c r="G24" i="20"/>
  <c r="F24" i="20"/>
  <c r="E24" i="20"/>
  <c r="G22" i="20"/>
  <c r="F22" i="20"/>
  <c r="E22" i="20"/>
  <c r="G20" i="20"/>
  <c r="F20" i="20"/>
  <c r="E20" i="20"/>
  <c r="G21" i="20"/>
  <c r="G16" i="20"/>
  <c r="F16" i="20"/>
  <c r="G17" i="20"/>
  <c r="F17" i="20"/>
  <c r="E17" i="20"/>
  <c r="G31" i="20"/>
  <c r="F31" i="20"/>
  <c r="G11" i="20"/>
  <c r="G9" i="20"/>
  <c r="AH10" i="20"/>
  <c r="AG10" i="20"/>
  <c r="G7" i="20"/>
  <c r="A43" i="21" l="1"/>
  <c r="A44" i="21" s="1"/>
  <c r="A45" i="21" s="1"/>
  <c r="A46" i="21" s="1"/>
  <c r="A47" i="21" s="1"/>
  <c r="A48" i="21" s="1"/>
  <c r="AI57" i="21"/>
  <c r="BD50" i="21"/>
  <c r="AJ10" i="20"/>
  <c r="AM10" i="20" s="1"/>
  <c r="AG27" i="19"/>
  <c r="AG21" i="19"/>
  <c r="AG19" i="19"/>
  <c r="AG12" i="19"/>
  <c r="AG23" i="19"/>
  <c r="AG16" i="19"/>
  <c r="V45" i="19" l="1"/>
  <c r="O45" i="19"/>
  <c r="AP46" i="20"/>
  <c r="BD46" i="20"/>
  <c r="AO46" i="20"/>
  <c r="AN52" i="20" s="1"/>
  <c r="AN46" i="20"/>
  <c r="AN51" i="20" s="1"/>
  <c r="AF46" i="20"/>
  <c r="AE46" i="20"/>
  <c r="D46" i="20"/>
  <c r="AS44" i="20"/>
  <c r="AH44" i="20"/>
  <c r="AG44" i="20"/>
  <c r="AJ44" i="20" s="1"/>
  <c r="AM44" i="20" s="1"/>
  <c r="AS43" i="20"/>
  <c r="AH43" i="20"/>
  <c r="AG43" i="20"/>
  <c r="AS42" i="20"/>
  <c r="AH42" i="20"/>
  <c r="AG42" i="20"/>
  <c r="AS41" i="20"/>
  <c r="AH41" i="20"/>
  <c r="AG41" i="20"/>
  <c r="AS40" i="20"/>
  <c r="AG40" i="20"/>
  <c r="AH40" i="20"/>
  <c r="AS39" i="20"/>
  <c r="AG39" i="20"/>
  <c r="AH39" i="20"/>
  <c r="AS38" i="20"/>
  <c r="AH38" i="20"/>
  <c r="AG38" i="20"/>
  <c r="AS37" i="20"/>
  <c r="AH37" i="20"/>
  <c r="AG37" i="20"/>
  <c r="AS36" i="20"/>
  <c r="AH36" i="20"/>
  <c r="AG36" i="20"/>
  <c r="AS35" i="20"/>
  <c r="AH35" i="20"/>
  <c r="AG35" i="20"/>
  <c r="AG34" i="20"/>
  <c r="AH34" i="20"/>
  <c r="AS33" i="20"/>
  <c r="AH33" i="20"/>
  <c r="AG33" i="20"/>
  <c r="AS32" i="20"/>
  <c r="AH32" i="20"/>
  <c r="AG32" i="20"/>
  <c r="AS31" i="20"/>
  <c r="AG31" i="20"/>
  <c r="AH31" i="20"/>
  <c r="AS30" i="20"/>
  <c r="AG30" i="20"/>
  <c r="AS29" i="20"/>
  <c r="AH29" i="20"/>
  <c r="AG29" i="20"/>
  <c r="AS28" i="20"/>
  <c r="AG28" i="20"/>
  <c r="AS27" i="20"/>
  <c r="AH27" i="20"/>
  <c r="AG27" i="20"/>
  <c r="AS26" i="20"/>
  <c r="AG26" i="20"/>
  <c r="AH26" i="20"/>
  <c r="AS25" i="20"/>
  <c r="AH25" i="20"/>
  <c r="AG25" i="20"/>
  <c r="AS24" i="20"/>
  <c r="AG24" i="20"/>
  <c r="AS23" i="20"/>
  <c r="AH23" i="20"/>
  <c r="AG23" i="20"/>
  <c r="AS22" i="20"/>
  <c r="AG22" i="20"/>
  <c r="AS21" i="20"/>
  <c r="AG21" i="20"/>
  <c r="AH21" i="20"/>
  <c r="AS20" i="20"/>
  <c r="AG20" i="20"/>
  <c r="AS19" i="20"/>
  <c r="AH19" i="20"/>
  <c r="AG19" i="20"/>
  <c r="AS18" i="20"/>
  <c r="AH18" i="20"/>
  <c r="AG18" i="20"/>
  <c r="AS17" i="20"/>
  <c r="AG17" i="20"/>
  <c r="AH17" i="20"/>
  <c r="AS16" i="20"/>
  <c r="AG16" i="20"/>
  <c r="AS15" i="20"/>
  <c r="AH15" i="20"/>
  <c r="AG15" i="20"/>
  <c r="AJ15" i="20" s="1"/>
  <c r="AM15" i="20" s="1"/>
  <c r="AH14" i="20"/>
  <c r="AG14" i="20"/>
  <c r="AS13" i="20"/>
  <c r="AG13" i="20"/>
  <c r="AH13" i="20"/>
  <c r="A13" i="20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S12" i="20"/>
  <c r="AG12" i="20"/>
  <c r="AH12" i="20"/>
  <c r="AG11" i="20"/>
  <c r="AH11" i="20"/>
  <c r="AG9" i="20"/>
  <c r="AH9" i="20"/>
  <c r="AS8" i="20"/>
  <c r="AH8" i="20"/>
  <c r="AG8" i="20"/>
  <c r="AS7" i="20"/>
  <c r="AG7" i="20"/>
  <c r="AS6" i="20"/>
  <c r="AH6" i="20"/>
  <c r="AG6" i="20"/>
  <c r="AS5" i="20"/>
  <c r="AH5" i="20"/>
  <c r="AG5" i="20"/>
  <c r="AS4" i="20"/>
  <c r="AG4" i="20"/>
  <c r="A4" i="20"/>
  <c r="A5" i="20" s="1"/>
  <c r="A6" i="20" s="1"/>
  <c r="A7" i="20" s="1"/>
  <c r="A8" i="20" s="1"/>
  <c r="A9" i="20" s="1"/>
  <c r="AS3" i="20"/>
  <c r="AH3" i="20"/>
  <c r="AG3" i="20"/>
  <c r="S22" i="19"/>
  <c r="AC34" i="19"/>
  <c r="Z15" i="19"/>
  <c r="U15" i="19"/>
  <c r="S15" i="19"/>
  <c r="R15" i="19"/>
  <c r="Q15" i="19"/>
  <c r="P15" i="19"/>
  <c r="S16" i="19"/>
  <c r="AC35" i="19"/>
  <c r="Z21" i="19"/>
  <c r="U21" i="19"/>
  <c r="S21" i="19"/>
  <c r="R21" i="19"/>
  <c r="Q21" i="19"/>
  <c r="P21" i="19"/>
  <c r="U19" i="19"/>
  <c r="Z19" i="19"/>
  <c r="S19" i="19"/>
  <c r="R19" i="19"/>
  <c r="Q19" i="19"/>
  <c r="P19" i="19"/>
  <c r="Q20" i="19"/>
  <c r="S11" i="19"/>
  <c r="R11" i="19"/>
  <c r="P12" i="19"/>
  <c r="P45" i="19" s="1"/>
  <c r="Q12" i="19"/>
  <c r="S12" i="19"/>
  <c r="U29" i="19"/>
  <c r="T29" i="19"/>
  <c r="S29" i="19"/>
  <c r="R29" i="19"/>
  <c r="Q29" i="19"/>
  <c r="P29" i="19"/>
  <c r="P23" i="19"/>
  <c r="Q23" i="19"/>
  <c r="R23" i="19"/>
  <c r="S23" i="19"/>
  <c r="U23" i="19"/>
  <c r="Z23" i="19"/>
  <c r="Z27" i="19"/>
  <c r="U27" i="19"/>
  <c r="T27" i="19"/>
  <c r="S27" i="19"/>
  <c r="R27" i="19"/>
  <c r="Q27" i="19"/>
  <c r="P27" i="19"/>
  <c r="U25" i="19"/>
  <c r="R25" i="19"/>
  <c r="Q25" i="19"/>
  <c r="P25" i="19"/>
  <c r="P16" i="19"/>
  <c r="S35" i="19"/>
  <c r="T39" i="19"/>
  <c r="T38" i="19"/>
  <c r="S38" i="19"/>
  <c r="S33" i="19"/>
  <c r="R33" i="19"/>
  <c r="T30" i="19"/>
  <c r="T45" i="19" s="1"/>
  <c r="S30" i="19"/>
  <c r="R30" i="19"/>
  <c r="Y10" i="19"/>
  <c r="X10" i="19"/>
  <c r="AA10" i="19" s="1"/>
  <c r="AD10" i="19" s="1"/>
  <c r="Y9" i="19"/>
  <c r="X9" i="19"/>
  <c r="AA9" i="19" s="1"/>
  <c r="AD9" i="19" s="1"/>
  <c r="Q10" i="19"/>
  <c r="Q9" i="19"/>
  <c r="U7" i="19"/>
  <c r="T7" i="19"/>
  <c r="S7" i="19"/>
  <c r="R7" i="19"/>
  <c r="Q7" i="19"/>
  <c r="Z7" i="19"/>
  <c r="U4" i="19"/>
  <c r="U45" i="19" s="1"/>
  <c r="S4" i="19"/>
  <c r="S45" i="19" s="1"/>
  <c r="R4" i="19"/>
  <c r="R45" i="19" s="1"/>
  <c r="Q4" i="19"/>
  <c r="Q45" i="19" s="1"/>
  <c r="M21" i="19"/>
  <c r="L21" i="19"/>
  <c r="N19" i="19"/>
  <c r="M19" i="19"/>
  <c r="K19" i="19"/>
  <c r="N20" i="19"/>
  <c r="M20" i="19"/>
  <c r="L20" i="19"/>
  <c r="L22" i="19"/>
  <c r="L11" i="19"/>
  <c r="M12" i="19"/>
  <c r="K12" i="19"/>
  <c r="AN50" i="20" l="1"/>
  <c r="AP50" i="20" s="1"/>
  <c r="AQ46" i="20"/>
  <c r="AJ37" i="20"/>
  <c r="AM37" i="20" s="1"/>
  <c r="AJ41" i="20"/>
  <c r="AM41" i="20" s="1"/>
  <c r="AJ6" i="20"/>
  <c r="AM6" i="20" s="1"/>
  <c r="AJ34" i="20"/>
  <c r="AM34" i="20" s="1"/>
  <c r="AJ23" i="20"/>
  <c r="AM23" i="20" s="1"/>
  <c r="AJ27" i="20"/>
  <c r="AM27" i="20" s="1"/>
  <c r="AJ42" i="20"/>
  <c r="AM42" i="20" s="1"/>
  <c r="AJ21" i="20"/>
  <c r="AM21" i="20" s="1"/>
  <c r="AH16" i="20"/>
  <c r="AJ16" i="20" s="1"/>
  <c r="AM16" i="20" s="1"/>
  <c r="AJ5" i="20"/>
  <c r="AM5" i="20" s="1"/>
  <c r="AJ8" i="20"/>
  <c r="AM8" i="20" s="1"/>
  <c r="AH28" i="20"/>
  <c r="AJ28" i="20" s="1"/>
  <c r="AM28" i="20" s="1"/>
  <c r="AJ19" i="20"/>
  <c r="AM19" i="20" s="1"/>
  <c r="AJ25" i="20"/>
  <c r="AM25" i="20" s="1"/>
  <c r="AJ32" i="20"/>
  <c r="AM32" i="20" s="1"/>
  <c r="AJ29" i="20"/>
  <c r="AM29" i="20" s="1"/>
  <c r="AJ35" i="20"/>
  <c r="AM35" i="20" s="1"/>
  <c r="AJ12" i="20"/>
  <c r="AM12" i="20" s="1"/>
  <c r="AJ43" i="20"/>
  <c r="AM43" i="20" s="1"/>
  <c r="AJ14" i="20"/>
  <c r="AM14" i="20" s="1"/>
  <c r="AJ36" i="20"/>
  <c r="AM36" i="20" s="1"/>
  <c r="AJ39" i="20"/>
  <c r="AM39" i="20" s="1"/>
  <c r="AJ11" i="20"/>
  <c r="AM11" i="20" s="1"/>
  <c r="AJ18" i="20"/>
  <c r="AM18" i="20" s="1"/>
  <c r="AJ33" i="20"/>
  <c r="AM33" i="20" s="1"/>
  <c r="A32" i="20"/>
  <c r="A35" i="20" s="1"/>
  <c r="A37" i="20" s="1"/>
  <c r="A33" i="20"/>
  <c r="A36" i="20" s="1"/>
  <c r="A38" i="20" s="1"/>
  <c r="A39" i="20" s="1"/>
  <c r="A40" i="20" s="1"/>
  <c r="A41" i="20" s="1"/>
  <c r="A42" i="20" s="1"/>
  <c r="A43" i="20" s="1"/>
  <c r="A44" i="20" s="1"/>
  <c r="AL46" i="20"/>
  <c r="AS14" i="20"/>
  <c r="AJ40" i="20"/>
  <c r="AM40" i="20" s="1"/>
  <c r="AJ17" i="20"/>
  <c r="AM17" i="20" s="1"/>
  <c r="AH22" i="20"/>
  <c r="AJ22" i="20" s="1"/>
  <c r="AM22" i="20" s="1"/>
  <c r="AH24" i="20"/>
  <c r="AJ24" i="20" s="1"/>
  <c r="AM24" i="20" s="1"/>
  <c r="AJ26" i="20"/>
  <c r="AM26" i="20" s="1"/>
  <c r="AJ38" i="20"/>
  <c r="AM38" i="20" s="1"/>
  <c r="AN53" i="20"/>
  <c r="AJ31" i="20"/>
  <c r="AM31" i="20" s="1"/>
  <c r="AJ9" i="20"/>
  <c r="AM9" i="20" s="1"/>
  <c r="AH20" i="20"/>
  <c r="AJ20" i="20" s="1"/>
  <c r="AM20" i="20" s="1"/>
  <c r="AG46" i="20"/>
  <c r="E46" i="20"/>
  <c r="AH7" i="20"/>
  <c r="AJ7" i="20" s="1"/>
  <c r="AM7" i="20" s="1"/>
  <c r="AI46" i="20"/>
  <c r="AJ13" i="20"/>
  <c r="AM13" i="20" s="1"/>
  <c r="AH30" i="20"/>
  <c r="AJ30" i="20" s="1"/>
  <c r="AM30" i="20" s="1"/>
  <c r="AJ3" i="20"/>
  <c r="AK3" i="20" s="1"/>
  <c r="L29" i="19"/>
  <c r="M29" i="19"/>
  <c r="N27" i="19"/>
  <c r="M27" i="19"/>
  <c r="L27" i="19"/>
  <c r="M25" i="19"/>
  <c r="L25" i="19"/>
  <c r="I25" i="19"/>
  <c r="M23" i="19"/>
  <c r="L23" i="19"/>
  <c r="K23" i="19"/>
  <c r="K45" i="19" s="1"/>
  <c r="M16" i="19"/>
  <c r="L16" i="19"/>
  <c r="N15" i="19"/>
  <c r="M15" i="19"/>
  <c r="M30" i="19"/>
  <c r="M7" i="19"/>
  <c r="L7" i="19"/>
  <c r="M4" i="19"/>
  <c r="L4" i="19"/>
  <c r="I21" i="19"/>
  <c r="I19" i="19"/>
  <c r="I20" i="19"/>
  <c r="I12" i="19"/>
  <c r="I22" i="19"/>
  <c r="I29" i="19"/>
  <c r="J27" i="19"/>
  <c r="I27" i="19"/>
  <c r="I23" i="19"/>
  <c r="Z16" i="19"/>
  <c r="I16" i="19"/>
  <c r="I15" i="19"/>
  <c r="J39" i="19"/>
  <c r="X33" i="19"/>
  <c r="J33" i="19"/>
  <c r="Y33" i="19" s="1"/>
  <c r="J30" i="19"/>
  <c r="J7" i="19"/>
  <c r="I7" i="19"/>
  <c r="J4" i="19"/>
  <c r="I4" i="19"/>
  <c r="G21" i="19"/>
  <c r="G19" i="19"/>
  <c r="G27" i="19"/>
  <c r="G23" i="19"/>
  <c r="G15" i="19"/>
  <c r="G7" i="19"/>
  <c r="G4" i="19"/>
  <c r="F21" i="19"/>
  <c r="F19" i="19"/>
  <c r="E19" i="19"/>
  <c r="F20" i="19"/>
  <c r="F29" i="19"/>
  <c r="E29" i="19"/>
  <c r="F27" i="19"/>
  <c r="E27" i="19"/>
  <c r="E23" i="19"/>
  <c r="F15" i="19"/>
  <c r="E15" i="19"/>
  <c r="F16" i="19"/>
  <c r="E16" i="19"/>
  <c r="F7" i="19"/>
  <c r="E7" i="19"/>
  <c r="F4" i="19"/>
  <c r="Z12" i="19"/>
  <c r="L45" i="19" l="1"/>
  <c r="M45" i="19"/>
  <c r="N45" i="19"/>
  <c r="AM3" i="20"/>
  <c r="I45" i="19"/>
  <c r="J45" i="19"/>
  <c r="AA33" i="19"/>
  <c r="AD33" i="19" s="1"/>
  <c r="AQ45" i="19"/>
  <c r="AG45" i="19"/>
  <c r="AF45" i="19"/>
  <c r="AE51" i="19" s="1"/>
  <c r="AE45" i="19"/>
  <c r="AE50" i="19" s="1"/>
  <c r="W45" i="19"/>
  <c r="D45" i="19"/>
  <c r="Y43" i="19"/>
  <c r="X43" i="19"/>
  <c r="AA43" i="19" s="1"/>
  <c r="AD43" i="19" s="1"/>
  <c r="Y42" i="19"/>
  <c r="X42" i="19"/>
  <c r="Y41" i="19"/>
  <c r="X41" i="19"/>
  <c r="Y40" i="19"/>
  <c r="X40" i="19"/>
  <c r="X39" i="19"/>
  <c r="Y39" i="19"/>
  <c r="X38" i="19"/>
  <c r="Y38" i="19"/>
  <c r="Y37" i="19"/>
  <c r="X37" i="19"/>
  <c r="Y36" i="19"/>
  <c r="X36" i="19"/>
  <c r="Y35" i="19"/>
  <c r="X35" i="19"/>
  <c r="Y34" i="19"/>
  <c r="X34" i="19"/>
  <c r="Y32" i="19"/>
  <c r="X32" i="19"/>
  <c r="X31" i="19"/>
  <c r="Y31" i="19"/>
  <c r="X30" i="19"/>
  <c r="Y30" i="19"/>
  <c r="X29" i="19"/>
  <c r="Y29" i="19"/>
  <c r="Y28" i="19"/>
  <c r="X28" i="19"/>
  <c r="X27" i="19"/>
  <c r="Y27" i="19"/>
  <c r="Y26" i="19"/>
  <c r="X26" i="19"/>
  <c r="X25" i="19"/>
  <c r="Y25" i="19"/>
  <c r="X24" i="19"/>
  <c r="Y24" i="19"/>
  <c r="Y23" i="19"/>
  <c r="X23" i="19"/>
  <c r="E45" i="19"/>
  <c r="Y22" i="19"/>
  <c r="X22" i="19"/>
  <c r="X21" i="19"/>
  <c r="Y21" i="19"/>
  <c r="Y20" i="19"/>
  <c r="X20" i="19"/>
  <c r="X19" i="19"/>
  <c r="Y19" i="19"/>
  <c r="Y18" i="19"/>
  <c r="X18" i="19"/>
  <c r="AC17" i="19"/>
  <c r="Y17" i="19"/>
  <c r="X17" i="19"/>
  <c r="X16" i="19"/>
  <c r="X15" i="19"/>
  <c r="Y14" i="19"/>
  <c r="X14" i="19"/>
  <c r="AC13" i="19"/>
  <c r="Y13" i="19"/>
  <c r="X13" i="19"/>
  <c r="Y12" i="19"/>
  <c r="X12" i="19"/>
  <c r="H45" i="19"/>
  <c r="X11" i="19"/>
  <c r="Y11" i="19"/>
  <c r="Y8" i="19"/>
  <c r="X8" i="19"/>
  <c r="X7" i="19"/>
  <c r="Y7" i="19"/>
  <c r="Y6" i="19"/>
  <c r="X6" i="19"/>
  <c r="Y5" i="19"/>
  <c r="X5" i="19"/>
  <c r="X4" i="19"/>
  <c r="G45" i="19"/>
  <c r="Y4" i="19"/>
  <c r="A4" i="19"/>
  <c r="A5" i="19" s="1"/>
  <c r="A6" i="19" s="1"/>
  <c r="A7" i="19" s="1"/>
  <c r="A8" i="19" s="1"/>
  <c r="A9" i="19" s="1"/>
  <c r="Y3" i="19"/>
  <c r="X3" i="19"/>
  <c r="AE49" i="19" l="1"/>
  <c r="AE52" i="19" s="1"/>
  <c r="AG51" i="19"/>
  <c r="AA32" i="19"/>
  <c r="AD32" i="19" s="1"/>
  <c r="AA6" i="19"/>
  <c r="AD6" i="19" s="1"/>
  <c r="AA42" i="19"/>
  <c r="AD42" i="19" s="1"/>
  <c r="AA34" i="19"/>
  <c r="AD34" i="19" s="1"/>
  <c r="AA41" i="19"/>
  <c r="AD41" i="19" s="1"/>
  <c r="AA4" i="19"/>
  <c r="AD4" i="19" s="1"/>
  <c r="AA36" i="19"/>
  <c r="AD36" i="19" s="1"/>
  <c r="AA20" i="19"/>
  <c r="AD20" i="19" s="1"/>
  <c r="AA5" i="19"/>
  <c r="AD5" i="19" s="1"/>
  <c r="AA26" i="19"/>
  <c r="AD26" i="19" s="1"/>
  <c r="AA3" i="19"/>
  <c r="AB3" i="19" s="1"/>
  <c r="Z45" i="19"/>
  <c r="AA8" i="19"/>
  <c r="AD8" i="19" s="1"/>
  <c r="AA14" i="19"/>
  <c r="AD14" i="19" s="1"/>
  <c r="AA37" i="19"/>
  <c r="AD37" i="19" s="1"/>
  <c r="AA35" i="19"/>
  <c r="AD35" i="19" s="1"/>
  <c r="AA31" i="19"/>
  <c r="AD31" i="19" s="1"/>
  <c r="AA24" i="19"/>
  <c r="AD24" i="19" s="1"/>
  <c r="AA27" i="19"/>
  <c r="AD27" i="19" s="1"/>
  <c r="AA39" i="19"/>
  <c r="AD39" i="19" s="1"/>
  <c r="AA17" i="19"/>
  <c r="AD17" i="19" s="1"/>
  <c r="AA28" i="19"/>
  <c r="AD28" i="19" s="1"/>
  <c r="AA40" i="19"/>
  <c r="AD40" i="19" s="1"/>
  <c r="AA12" i="19"/>
  <c r="AD12" i="19" s="1"/>
  <c r="AA13" i="19"/>
  <c r="AD13" i="19" s="1"/>
  <c r="AA19" i="19"/>
  <c r="AD19" i="19" s="1"/>
  <c r="AA22" i="19"/>
  <c r="AD22" i="19" s="1"/>
  <c r="AA18" i="19"/>
  <c r="AD18" i="19" s="1"/>
  <c r="AA25" i="19"/>
  <c r="AD25" i="19" s="1"/>
  <c r="X45" i="19"/>
  <c r="AA23" i="19"/>
  <c r="AD23" i="19" s="1"/>
  <c r="AC45" i="19"/>
  <c r="AA21" i="19"/>
  <c r="AD21" i="19" s="1"/>
  <c r="AA30" i="19"/>
  <c r="AD30" i="19" s="1"/>
  <c r="AA7" i="19"/>
  <c r="AD7" i="19" s="1"/>
  <c r="AA38" i="19"/>
  <c r="AD38" i="19" s="1"/>
  <c r="Y15" i="19"/>
  <c r="AA15" i="19" s="1"/>
  <c r="AD15" i="19" s="1"/>
  <c r="AA29" i="19"/>
  <c r="AD29" i="19" s="1"/>
  <c r="Y16" i="19"/>
  <c r="AA16" i="19" s="1"/>
  <c r="AD16" i="19" s="1"/>
  <c r="AA11" i="19"/>
  <c r="AD11" i="19" s="1"/>
  <c r="F45" i="19"/>
  <c r="A12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D3" i="19"/>
  <c r="AD45" i="19" s="1"/>
  <c r="Y45" i="19"/>
  <c r="AA45" i="19"/>
  <c r="A26" i="19" l="1"/>
  <c r="A27" i="19" s="1"/>
  <c r="A28" i="19" s="1"/>
  <c r="A29" i="19" s="1"/>
  <c r="A30" i="19" s="1"/>
  <c r="AA48" i="19"/>
  <c r="AR45" i="19"/>
  <c r="AA52" i="19" l="1"/>
  <c r="A32" i="19"/>
  <c r="A35" i="19" s="1"/>
  <c r="A37" i="19" s="1"/>
  <c r="A38" i="19" s="1"/>
  <c r="A39" i="19" s="1"/>
  <c r="A40" i="19" s="1"/>
  <c r="A41" i="19" s="1"/>
  <c r="A42" i="19" s="1"/>
  <c r="A43" i="19" s="1"/>
  <c r="A31" i="19"/>
  <c r="A34" i="19" s="1"/>
  <c r="A36" i="19" s="1"/>
  <c r="AH4" i="20" l="1"/>
  <c r="AJ4" i="20" s="1"/>
  <c r="AJ46" i="20" l="1"/>
  <c r="AM4" i="20"/>
  <c r="AM46" i="20" s="1"/>
  <c r="AH46" i="20"/>
  <c r="BE46" i="20" l="1"/>
  <c r="AJ49" i="20"/>
  <c r="AJ5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tc={C87EF883-30C4-405A-828F-FD6A4F9A477E}</author>
  </authors>
  <commentList>
    <comment ref="AH50" authorId="0" shapeId="0" xr:uid="{C87EF883-30C4-405A-828F-FD6A4F9A4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tc={C2EFD358-6160-43E1-8FDF-2161BD213BE5}</author>
  </authors>
  <commentList>
    <comment ref="AI46" authorId="0" shapeId="0" xr:uid="{C2EFD358-6160-43E1-8FDF-2161BD213B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tc={53B486A3-A026-4DB1-B13F-7D075C5D5D9E}</author>
  </authors>
  <commentList>
    <comment ref="Z45" authorId="0" shapeId="0" xr:uid="{53B486A3-A026-4DB1-B13F-7D075C5D5D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<sst xmlns="http://schemas.openxmlformats.org/spreadsheetml/2006/main" count="527" uniqueCount="173">
  <si>
    <t>MATERIAL</t>
  </si>
  <si>
    <t>ID</t>
  </si>
  <si>
    <t>MOVIMIENTO INVENTARIO</t>
  </si>
  <si>
    <t>INGRESOS</t>
  </si>
  <si>
    <t>STOCK KG</t>
  </si>
  <si>
    <t xml:space="preserve">CODIGO </t>
  </si>
  <si>
    <t>SAP</t>
  </si>
  <si>
    <t>POTA NUCAS FR ABIERTAS 0.1 - 0.3 BL10 S2</t>
  </si>
  <si>
    <t>10004433</t>
  </si>
  <si>
    <t>POTA FILETE C/M C/T FR 0.5-1 BL10 S20</t>
  </si>
  <si>
    <t>10004434</t>
  </si>
  <si>
    <t>POTA FILETE C/M C/T FR 1-2 BL10 S20</t>
  </si>
  <si>
    <t>10007567</t>
  </si>
  <si>
    <t>POTA REJOS OR FR LIMPIOS S/COD BL10 S20</t>
  </si>
  <si>
    <t>10009187</t>
  </si>
  <si>
    <t>POTA REJOS FR C/B S/U S/V S/OR 0.3 - 0.5</t>
  </si>
  <si>
    <t>10007161</t>
  </si>
  <si>
    <t>POTA REJOS FR C/B S/U S/V S/OR 0.5-1 BL1</t>
  </si>
  <si>
    <t>10009186</t>
  </si>
  <si>
    <t>POTA REJOS FR S-S/POR C/UV 0.1 - 0.3 BL1</t>
  </si>
  <si>
    <t>STOCK INICIO</t>
  </si>
  <si>
    <t>Stock Inicial</t>
  </si>
  <si>
    <t>DATA</t>
  </si>
  <si>
    <t>MANUAL</t>
  </si>
  <si>
    <t>DIFERENCIA</t>
  </si>
  <si>
    <t>10009224</t>
  </si>
  <si>
    <t>BONITO ENT FR S/COD BL10 S20</t>
  </si>
  <si>
    <t>10006668</t>
  </si>
  <si>
    <t>POTA ALAS FR C/P C/C &lt; 0.5 BL10 S20</t>
  </si>
  <si>
    <t>10009178</t>
  </si>
  <si>
    <t>POTA ALAS FR C/P C/C (B) S/COD BL10 S20</t>
  </si>
  <si>
    <t>10006719</t>
  </si>
  <si>
    <t>POTA ALAS FR C/P C/C 0.5-1 BL10 S20</t>
  </si>
  <si>
    <t>POTA ALAS FR C/P C/C 0.3 - 0.5 BL10 S20</t>
  </si>
  <si>
    <t>10006720</t>
  </si>
  <si>
    <t>POTA ALAS FR C/P C/C 1-2 BL10 S20</t>
  </si>
  <si>
    <t>10006722</t>
  </si>
  <si>
    <t>POTA ALAS FR C/P C/C 2-UP BL10 S20</t>
  </si>
  <si>
    <t>10009241</t>
  </si>
  <si>
    <t>POTA ALAS PRE COC S/COD BL10 S20</t>
  </si>
  <si>
    <t>10009207</t>
  </si>
  <si>
    <t>POTA LABIOS FR S/COD BL10 S20</t>
  </si>
  <si>
    <t>10009184</t>
  </si>
  <si>
    <t>10005779</t>
  </si>
  <si>
    <t>POTA NUCAS FR ABIERTAS 0.5-1 BL10 S20</t>
  </si>
  <si>
    <t>10005776</t>
  </si>
  <si>
    <t>POTA NUCAS FR ABIERTAS 0.3-0.5 BL10 S20</t>
  </si>
  <si>
    <t>10005781</t>
  </si>
  <si>
    <t>POTA NUCAS FR ABIERTAS 1-2 BL10 S20</t>
  </si>
  <si>
    <t>10007162</t>
  </si>
  <si>
    <t>POTA REJOS FR C/B S/U S/V S/OR 1-2 BL10</t>
  </si>
  <si>
    <t>10009251</t>
  </si>
  <si>
    <t>POTA FILETE PRE COCIDO S/M S/T 0.6 - 1.0</t>
  </si>
  <si>
    <t>10009239</t>
  </si>
  <si>
    <t>POTA FILETE PRE COCIDO S/M S/T C/P S/COD</t>
  </si>
  <si>
    <t>10004435</t>
  </si>
  <si>
    <t>POTA FILETE C/M C/T FR 2-4 BL10 S20</t>
  </si>
  <si>
    <t>10005721</t>
  </si>
  <si>
    <t>POTA FILETE C/M C/T FR 2-4 (B) BL10 S20</t>
  </si>
  <si>
    <t>POTA CONOS</t>
  </si>
  <si>
    <t>POTA NUCAS FR CERRADA 0.1 - 0.3 BL10 S2</t>
  </si>
  <si>
    <t>SALIDAS</t>
  </si>
  <si>
    <t>POTA RECORTE  COCIDO (M) x 15</t>
  </si>
  <si>
    <t>VENTOSAS</t>
  </si>
  <si>
    <t>POTA RECORTE  COCIDO (T) X 15</t>
  </si>
  <si>
    <t>LANGOSTINO COLA PVD</t>
  </si>
  <si>
    <t>CONCHA ABANICO T/SOLO</t>
  </si>
  <si>
    <t>NUEVO STOCK  PARA ACTUALIZAR</t>
  </si>
  <si>
    <t>POTA REJOS FR 1 UP</t>
  </si>
  <si>
    <t>POTA REJOS FR 2 UP</t>
  </si>
  <si>
    <t>Embarques</t>
  </si>
  <si>
    <t>Resumen</t>
  </si>
  <si>
    <t>Embarcado:</t>
  </si>
  <si>
    <t>Reproceso:</t>
  </si>
  <si>
    <t>Muestreo</t>
  </si>
  <si>
    <t>REPROCESO</t>
  </si>
  <si>
    <t>MUESTREO</t>
  </si>
  <si>
    <t>EMBARQUE</t>
  </si>
  <si>
    <t xml:space="preserve">EMBARQUE </t>
  </si>
  <si>
    <t>DIFERENCUA</t>
  </si>
  <si>
    <t>CABALLA ENTERA FR S/COD</t>
  </si>
  <si>
    <t>FILETE  FR  REPROCESO x 10</t>
  </si>
  <si>
    <t>RECORTE FRESCO REPROCESO  x  BL10</t>
  </si>
  <si>
    <t>MEMBRANA FRESCA REPROCESO BL 10</t>
  </si>
  <si>
    <t>TELILLA FRESCA REPROCESO BL 10</t>
  </si>
  <si>
    <t xml:space="preserve"> STOCK   ENERO 2026</t>
  </si>
  <si>
    <t>FECHAS DIAS RECEPCION PRODUCCION ENERO 2026</t>
  </si>
  <si>
    <t>PPTA RECORTES PRECOCIDA B10 S20</t>
  </si>
  <si>
    <t>POTA ALAS PRE COC  3-UP BL10 S20</t>
  </si>
  <si>
    <t>POTA ALAS PRE COC B BL10 S20</t>
  </si>
  <si>
    <t>POTA ALAS PRE COC  3-UP BL9 S18</t>
  </si>
  <si>
    <t>POTA ALAS PRE COC B BL9 S18</t>
  </si>
  <si>
    <t>STOCK AL ENE 2026</t>
  </si>
  <si>
    <t>STOCK A MARZO 2026</t>
  </si>
  <si>
    <t>STOCK AL DIA FEBRERO 2026</t>
  </si>
  <si>
    <t>POTA FILETE C/M C/T FR 2-4 AA BL10 S20</t>
  </si>
  <si>
    <t xml:space="preserve"> STOCK   MARZO 2026</t>
  </si>
  <si>
    <t xml:space="preserve"> STOCK   FEBRERO 2026</t>
  </si>
  <si>
    <t>TUBO ALETA 1.0-1.5</t>
  </si>
  <si>
    <t>TUBO ALETA 0.5-1.0</t>
  </si>
  <si>
    <t>ENERO</t>
  </si>
  <si>
    <t>FEBRERO</t>
  </si>
  <si>
    <t>MARZO</t>
  </si>
  <si>
    <t>PRODUCCION 2026</t>
  </si>
  <si>
    <t>Tn</t>
  </si>
  <si>
    <t>RECORTE TELILLA FRESCA REPROCESO BL 10</t>
  </si>
  <si>
    <t>RECORTE MEMBRANA FRESCA REPROCESO BL 10</t>
  </si>
  <si>
    <t>FILETE  FR S/M S/T C/M 1-2 REPROCESO x 10</t>
  </si>
  <si>
    <t>POTA RECORTE FRESCO POR REPROCESO</t>
  </si>
  <si>
    <t>ABRIL</t>
  </si>
  <si>
    <t>POTA FILETE C/M C/T FR 0.5-1AA BL10 S20</t>
  </si>
  <si>
    <t>POTA FILETE C/M C/T FR 0.5-1AAA BL10 S20</t>
  </si>
  <si>
    <t>POTA FILETE C/M C/T FR 1-2 AAABL10 S20</t>
  </si>
  <si>
    <t>POTA FILETE C/M C/T FR 1-2 AABL10 S20</t>
  </si>
  <si>
    <t>POTA FILETE C/M C/T FR &lt; 0.5 BL10 S20</t>
  </si>
  <si>
    <t>POTA REJOS OR &lt; 60 FR LIMPIOS S/COD BL10 S20</t>
  </si>
  <si>
    <t>POTA NUCAS FR &lt;0.1 BL10 S20</t>
  </si>
  <si>
    <t>STOCK A ABRIL 2026</t>
  </si>
  <si>
    <t>CÓDIGO</t>
  </si>
  <si>
    <t>MATCH</t>
  </si>
  <si>
    <t>CPU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</si>
  <si>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</si>
  <si>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</si>
  <si>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</si>
  <si>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</si>
  <si>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</si>
  <si>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</si>
  <si>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</si>
  <si>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</si>
  <si>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</si>
  <si>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</si>
  <si>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Precio Abril x TM</t>
  </si>
  <si>
    <t>Venta Abril</t>
  </si>
  <si>
    <t>TOTAL</t>
  </si>
  <si>
    <t>TM</t>
  </si>
  <si>
    <t>Venta</t>
  </si>
  <si>
    <t>Precio x TM</t>
  </si>
  <si>
    <t>Etiquetas de fila</t>
  </si>
  <si>
    <t>(en blanco)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</si>
  <si>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</si>
  <si>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</si>
  <si>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</si>
  <si>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</si>
  <si>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</si>
  <si>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</si>
  <si>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</si>
  <si>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Código</t>
  </si>
  <si>
    <t>OTROS</t>
  </si>
  <si>
    <t>POTA FILETE CONGELADO</t>
  </si>
  <si>
    <t>POTA NUCAS CONGELADAS</t>
  </si>
  <si>
    <t>POTA NUCAS CONGELADAS FR&lt;0.1 BL10 S20</t>
  </si>
  <si>
    <t>POTA ALAS CONGELADAS</t>
  </si>
  <si>
    <t>POTA ALAS CONGELADAS FR C/P C/C 2-UP BL10 S20</t>
  </si>
  <si>
    <t>POTA ALAS COCIDAS</t>
  </si>
  <si>
    <t>POTA REJOS CONGELADOS</t>
  </si>
  <si>
    <t>POTA REJOS CONGELADOS FR LIMPIOS S/COD BL10 S20</t>
  </si>
  <si>
    <t>POTA ALAS CONGELADAS FR C/P C/C 0.5-1 BL10 S20</t>
  </si>
  <si>
    <t>POTA LABIOS CONGELADOS</t>
  </si>
  <si>
    <t>BONITO ENT</t>
  </si>
  <si>
    <t>POTA FILETE DARUMA</t>
  </si>
  <si>
    <t>POTA RECORTE COCIDO</t>
  </si>
  <si>
    <t>POTA REJOS CONGELADOS FR C/B S/U S/V S/OR 0.3 - 0.5</t>
  </si>
  <si>
    <t>Producto</t>
  </si>
  <si>
    <t>EMBARCADO</t>
  </si>
  <si>
    <t>POR EMBARCAR CON FECHA</t>
  </si>
  <si>
    <t>POR EMBARCAR SIN FECHA</t>
  </si>
  <si>
    <t>INVENTARIO PRODUCTO TERMINADO</t>
  </si>
  <si>
    <t>RENTABILIDAD DEL INVENTARIO</t>
  </si>
  <si>
    <t>RENTABILIDAD ABRIL</t>
  </si>
  <si>
    <t>VENTA ABRIL PROYECTADA</t>
  </si>
  <si>
    <t>CU</t>
  </si>
  <si>
    <t>Utilidad</t>
  </si>
  <si>
    <t>RENTABILIDAD STOCK FALTANTE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</si>
</sst>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0"/>
      <name val="Cambria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mbria"/>
      <family val="1"/>
    </font>
    <font>
      <b/>
      <sz val="11"/>
      <name val="Cambria"/>
      <family val="1"/>
    </font>
    <font>
      <sz val="11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3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2" borderId="1" xfId="0" applyNumberFormat="1" applyFont="1" applyFill="1" applyBorder="1"/>
    <xf numFmtId="3" fontId="1" fillId="0" borderId="0" xfId="0" applyNumberFormat="1" applyFont="1"/>
    <xf numFmtId="3" fontId="1" fillId="2" borderId="1" xfId="0" applyNumberFormat="1" applyFont="1" applyFill="1" applyBorder="1"/>
    <xf numFmtId="0" fontId="1" fillId="3" borderId="1" xfId="0" applyFont="1" applyFill="1" applyBorder="1"/>
    <xf numFmtId="0" fontId="1" fillId="5" borderId="0" xfId="0" applyFont="1" applyFill="1"/>
    <xf numFmtId="3" fontId="1" fillId="4" borderId="1" xfId="0" applyNumberFormat="1" applyFont="1" applyFill="1" applyBorder="1"/>
    <xf numFmtId="3" fontId="1" fillId="6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 applyAlignment="1">
      <alignment vertical="top"/>
    </xf>
    <xf numFmtId="14" fontId="1" fillId="2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/>
    <xf numFmtId="0" fontId="3" fillId="0" borderId="0" xfId="0" applyFont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3" fontId="1" fillId="7" borderId="1" xfId="0" applyNumberFormat="1" applyFont="1" applyFill="1" applyBorder="1"/>
    <xf numFmtId="3" fontId="2" fillId="7" borderId="1" xfId="0" applyNumberFormat="1" applyFont="1" applyFill="1" applyBorder="1"/>
    <xf numFmtId="0" fontId="0" fillId="3" borderId="1" xfId="0" applyFill="1" applyBorder="1" applyAlignment="1">
      <alignment vertical="top"/>
    </xf>
    <xf numFmtId="3" fontId="1" fillId="3" borderId="1" xfId="0" applyNumberFormat="1" applyFont="1" applyFill="1" applyBorder="1"/>
    <xf numFmtId="3" fontId="2" fillId="3" borderId="1" xfId="0" applyNumberFormat="1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3" fontId="2" fillId="8" borderId="1" xfId="0" applyNumberFormat="1" applyFont="1" applyFill="1" applyBorder="1"/>
    <xf numFmtId="3" fontId="1" fillId="5" borderId="1" xfId="0" applyNumberFormat="1" applyFont="1" applyFill="1" applyBorder="1"/>
    <xf numFmtId="3" fontId="1" fillId="5" borderId="0" xfId="0" applyNumberFormat="1" applyFont="1" applyFill="1"/>
    <xf numFmtId="0" fontId="1" fillId="9" borderId="1" xfId="0" applyFont="1" applyFill="1" applyBorder="1"/>
    <xf numFmtId="3" fontId="1" fillId="9" borderId="1" xfId="0" applyNumberFormat="1" applyFont="1" applyFill="1" applyBorder="1"/>
    <xf numFmtId="3" fontId="2" fillId="9" borderId="1" xfId="0" applyNumberFormat="1" applyFont="1" applyFill="1" applyBorder="1"/>
    <xf numFmtId="0" fontId="0" fillId="9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3" fontId="1" fillId="8" borderId="3" xfId="0" applyNumberFormat="1" applyFont="1" applyFill="1" applyBorder="1"/>
    <xf numFmtId="0" fontId="1" fillId="5" borderId="0" xfId="0" applyFont="1" applyFill="1" applyAlignment="1">
      <alignment horizontal="center" vertical="center"/>
    </xf>
    <xf numFmtId="3" fontId="4" fillId="2" borderId="1" xfId="0" applyNumberFormat="1" applyFont="1" applyFill="1" applyBorder="1"/>
    <xf numFmtId="3" fontId="1" fillId="9" borderId="2" xfId="0" applyNumberFormat="1" applyFont="1" applyFill="1" applyBorder="1"/>
    <xf numFmtId="0" fontId="1" fillId="5" borderId="1" xfId="0" applyFont="1" applyFill="1" applyBorder="1"/>
    <xf numFmtId="3" fontId="2" fillId="5" borderId="1" xfId="0" applyNumberFormat="1" applyFont="1" applyFill="1" applyBorder="1"/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3" fontId="3" fillId="10" borderId="1" xfId="0" applyNumberFormat="1" applyFont="1" applyFill="1" applyBorder="1"/>
    <xf numFmtId="3" fontId="1" fillId="10" borderId="1" xfId="0" applyNumberFormat="1" applyFont="1" applyFill="1" applyBorder="1"/>
    <xf numFmtId="0" fontId="1" fillId="10" borderId="1" xfId="0" applyFont="1" applyFill="1" applyBorder="1"/>
    <xf numFmtId="0" fontId="0" fillId="10" borderId="1" xfId="0" applyFill="1" applyBorder="1" applyAlignment="1">
      <alignment vertical="top"/>
    </xf>
    <xf numFmtId="0" fontId="0" fillId="7" borderId="1" xfId="0" applyFill="1" applyBorder="1" applyAlignment="1">
      <alignment horizontal="left" vertical="top"/>
    </xf>
    <xf numFmtId="3" fontId="2" fillId="8" borderId="3" xfId="0" applyNumberFormat="1" applyFont="1" applyFill="1" applyBorder="1"/>
    <xf numFmtId="0" fontId="0" fillId="8" borderId="1" xfId="0" applyFill="1" applyBorder="1" applyAlignment="1">
      <alignment horizontal="center" vertical="top"/>
    </xf>
    <xf numFmtId="0" fontId="1" fillId="11" borderId="1" xfId="0" applyFont="1" applyFill="1" applyBorder="1"/>
    <xf numFmtId="0" fontId="0" fillId="11" borderId="1" xfId="0" applyFill="1" applyBorder="1" applyAlignment="1">
      <alignment vertical="top"/>
    </xf>
    <xf numFmtId="3" fontId="1" fillId="11" borderId="1" xfId="0" applyNumberFormat="1" applyFont="1" applyFill="1" applyBorder="1"/>
    <xf numFmtId="3" fontId="1" fillId="11" borderId="3" xfId="0" applyNumberFormat="1" applyFont="1" applyFill="1" applyBorder="1"/>
    <xf numFmtId="3" fontId="1" fillId="11" borderId="0" xfId="0" applyNumberFormat="1" applyFont="1" applyFill="1"/>
    <xf numFmtId="3" fontId="0" fillId="7" borderId="1" xfId="0" applyNumberFormat="1" applyFill="1" applyBorder="1" applyAlignment="1">
      <alignment vertical="top"/>
    </xf>
    <xf numFmtId="3" fontId="0" fillId="5" borderId="1" xfId="0" applyNumberFormat="1" applyFill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3" fontId="0" fillId="8" borderId="1" xfId="0" applyNumberFormat="1" applyFill="1" applyBorder="1" applyAlignment="1">
      <alignment vertical="top"/>
    </xf>
    <xf numFmtId="3" fontId="0" fillId="6" borderId="1" xfId="0" applyNumberFormat="1" applyFill="1" applyBorder="1" applyAlignment="1">
      <alignment vertical="top"/>
    </xf>
    <xf numFmtId="3" fontId="0" fillId="9" borderId="1" xfId="0" applyNumberFormat="1" applyFill="1" applyBorder="1" applyAlignment="1">
      <alignment vertical="top"/>
    </xf>
    <xf numFmtId="3" fontId="0" fillId="10" borderId="1" xfId="0" applyNumberFormat="1" applyFill="1" applyBorder="1" applyAlignment="1">
      <alignment vertical="top"/>
    </xf>
    <xf numFmtId="3" fontId="1" fillId="0" borderId="1" xfId="0" applyNumberFormat="1" applyFont="1" applyBorder="1"/>
    <xf numFmtId="14" fontId="1" fillId="0" borderId="0" xfId="0" applyNumberFormat="1" applyFont="1"/>
    <xf numFmtId="164" fontId="1" fillId="11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4" fontId="1" fillId="11" borderId="3" xfId="0" applyNumberFormat="1" applyFont="1" applyFill="1" applyBorder="1"/>
    <xf numFmtId="4" fontId="1" fillId="11" borderId="1" xfId="0" applyNumberFormat="1" applyFont="1" applyFill="1" applyBorder="1"/>
    <xf numFmtId="4" fontId="2" fillId="11" borderId="3" xfId="0" applyNumberFormat="1" applyFont="1" applyFill="1" applyBorder="1"/>
    <xf numFmtId="4" fontId="1" fillId="5" borderId="0" xfId="0" applyNumberFormat="1" applyFont="1" applyFill="1"/>
    <xf numFmtId="164" fontId="1" fillId="11" borderId="1" xfId="0" applyNumberFormat="1" applyFont="1" applyFill="1" applyBorder="1"/>
    <xf numFmtId="164" fontId="0" fillId="11" borderId="1" xfId="0" applyNumberFormat="1" applyFill="1" applyBorder="1" applyAlignment="1">
      <alignment vertical="top"/>
    </xf>
    <xf numFmtId="3" fontId="2" fillId="2" borderId="1" xfId="0" applyNumberFormat="1" applyFont="1" applyFill="1" applyBorder="1"/>
    <xf numFmtId="4" fontId="1" fillId="0" borderId="0" xfId="0" applyNumberFormat="1" applyFont="1"/>
    <xf numFmtId="3" fontId="3" fillId="0" borderId="1" xfId="0" applyNumberFormat="1" applyFont="1" applyBorder="1"/>
    <xf numFmtId="0" fontId="5" fillId="5" borderId="0" xfId="0" applyFont="1" applyFill="1"/>
    <xf numFmtId="3" fontId="5" fillId="5" borderId="0" xfId="0" applyNumberFormat="1" applyFont="1" applyFill="1"/>
    <xf numFmtId="0" fontId="1" fillId="4" borderId="1" xfId="0" applyFont="1" applyFill="1" applyBorder="1"/>
    <xf numFmtId="0" fontId="1" fillId="4" borderId="3" xfId="0" applyFont="1" applyFill="1" applyBorder="1"/>
    <xf numFmtId="3" fontId="1" fillId="4" borderId="2" xfId="0" applyNumberFormat="1" applyFont="1" applyFill="1" applyBorder="1"/>
    <xf numFmtId="4" fontId="1" fillId="4" borderId="3" xfId="0" applyNumberFormat="1" applyFont="1" applyFill="1" applyBorder="1"/>
    <xf numFmtId="0" fontId="3" fillId="4" borderId="1" xfId="0" applyFont="1" applyFill="1" applyBorder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0" fontId="3" fillId="5" borderId="1" xfId="0" applyFont="1" applyFill="1" applyBorder="1"/>
    <xf numFmtId="3" fontId="3" fillId="5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3" fontId="1" fillId="10" borderId="2" xfId="0" applyNumberFormat="1" applyFont="1" applyFill="1" applyBorder="1"/>
    <xf numFmtId="3" fontId="1" fillId="10" borderId="0" xfId="0" applyNumberFormat="1" applyFont="1" applyFill="1"/>
    <xf numFmtId="3" fontId="2" fillId="10" borderId="1" xfId="0" applyNumberFormat="1" applyFont="1" applyFill="1" applyBorder="1"/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vertical="top"/>
    </xf>
    <xf numFmtId="3" fontId="2" fillId="4" borderId="1" xfId="0" applyNumberFormat="1" applyFont="1" applyFill="1" applyBorder="1"/>
    <xf numFmtId="164" fontId="1" fillId="5" borderId="0" xfId="0" applyNumberFormat="1" applyFont="1" applyFill="1"/>
    <xf numFmtId="3" fontId="0" fillId="0" borderId="0" xfId="0" applyNumberFormat="1"/>
    <xf numFmtId="3" fontId="1" fillId="2" borderId="0" xfId="0" applyNumberFormat="1" applyFont="1" applyFill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14" borderId="6" xfId="0" applyFont="1" applyFill="1" applyBorder="1" applyAlignment="1">
      <alignment horizontal="center"/>
    </xf>
    <xf numFmtId="0" fontId="10" fillId="14" borderId="5" xfId="0" applyFont="1" applyFill="1" applyBorder="1" applyAlignment="1">
      <alignment horizontal="center"/>
    </xf>
    <xf numFmtId="9" fontId="10" fillId="14" borderId="7" xfId="0" applyNumberFormat="1" applyFont="1" applyFill="1" applyBorder="1" applyAlignment="1">
      <alignment horizontal="center"/>
    </xf>
    <xf numFmtId="3" fontId="1" fillId="13" borderId="8" xfId="0" applyNumberFormat="1" applyFont="1" applyFill="1" applyBorder="1" applyAlignment="1">
      <alignment horizontal="center"/>
    </xf>
    <xf numFmtId="165" fontId="1" fillId="0" borderId="0" xfId="1" applyNumberFormat="1" applyFont="1" applyBorder="1"/>
    <xf numFmtId="165" fontId="1" fillId="0" borderId="0" xfId="0" applyNumberFormat="1" applyFont="1"/>
    <xf numFmtId="9" fontId="1" fillId="0" borderId="0" xfId="0" applyNumberFormat="1" applyFont="1"/>
    <xf numFmtId="165" fontId="1" fillId="4" borderId="9" xfId="0" applyNumberFormat="1" applyFont="1" applyFill="1" applyBorder="1"/>
    <xf numFmtId="165" fontId="1" fillId="4" borderId="9" xfId="1" applyNumberFormat="1" applyFont="1" applyFill="1" applyBorder="1"/>
    <xf numFmtId="165" fontId="1" fillId="0" borderId="0" xfId="1" applyNumberFormat="1" applyFont="1" applyFill="1" applyBorder="1"/>
    <xf numFmtId="165" fontId="11" fillId="14" borderId="9" xfId="1" applyNumberFormat="1" applyFont="1" applyFill="1" applyBorder="1"/>
    <xf numFmtId="165" fontId="11" fillId="14" borderId="0" xfId="0" applyNumberFormat="1" applyFont="1" applyFill="1"/>
    <xf numFmtId="165" fontId="11" fillId="14" borderId="9" xfId="0" applyNumberFormat="1" applyFont="1" applyFill="1" applyBorder="1"/>
    <xf numFmtId="9" fontId="11" fillId="14" borderId="10" xfId="2" applyFont="1" applyFill="1" applyBorder="1" applyAlignment="1">
      <alignment horizontal="center"/>
    </xf>
    <xf numFmtId="165" fontId="1" fillId="5" borderId="0" xfId="1" applyNumberFormat="1" applyFont="1" applyFill="1" applyBorder="1"/>
    <xf numFmtId="0" fontId="2" fillId="0" borderId="0" xfId="0" applyFont="1"/>
    <xf numFmtId="165" fontId="3" fillId="0" borderId="0" xfId="1" applyNumberFormat="1" applyFont="1" applyBorder="1"/>
    <xf numFmtId="0" fontId="1" fillId="13" borderId="8" xfId="0" applyFont="1" applyFill="1" applyBorder="1" applyAlignment="1">
      <alignment horizontal="center"/>
    </xf>
    <xf numFmtId="3" fontId="3" fillId="13" borderId="4" xfId="0" applyNumberFormat="1" applyFont="1" applyFill="1" applyBorder="1" applyAlignment="1">
      <alignment horizontal="center"/>
    </xf>
    <xf numFmtId="165" fontId="3" fillId="0" borderId="5" xfId="1" applyNumberFormat="1" applyFont="1" applyBorder="1"/>
    <xf numFmtId="9" fontId="3" fillId="0" borderId="5" xfId="2" applyFont="1" applyBorder="1"/>
    <xf numFmtId="165" fontId="3" fillId="4" borderId="6" xfId="1" applyNumberFormat="1" applyFont="1" applyFill="1" applyBorder="1"/>
    <xf numFmtId="165" fontId="1" fillId="0" borderId="5" xfId="1" applyNumberFormat="1" applyFont="1" applyFill="1" applyBorder="1"/>
    <xf numFmtId="165" fontId="3" fillId="14" borderId="6" xfId="1" applyNumberFormat="1" applyFont="1" applyFill="1" applyBorder="1"/>
    <xf numFmtId="165" fontId="3" fillId="14" borderId="5" xfId="1" applyNumberFormat="1" applyFont="1" applyFill="1" applyBorder="1"/>
    <xf numFmtId="9" fontId="10" fillId="14" borderId="7" xfId="2" applyFont="1" applyFill="1" applyBorder="1" applyAlignment="1">
      <alignment horizontal="center"/>
    </xf>
    <xf numFmtId="3" fontId="11" fillId="13" borderId="8" xfId="0" applyNumberFormat="1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164" fontId="1" fillId="0" borderId="0" xfId="0" applyNumberFormat="1" applyFont="1" applyFill="1"/>
    <xf numFmtId="0" fontId="1" fillId="0" borderId="0" xfId="0" applyFont="1" applyFill="1"/>
    <xf numFmtId="14" fontId="1" fillId="0" borderId="0" xfId="0" applyNumberFormat="1" applyFont="1" applyFill="1"/>
    <xf numFmtId="3" fontId="1" fillId="0" borderId="0" xfId="0" applyNumberFormat="1" applyFont="1" applyFill="1"/>
    <xf numFmtId="165" fontId="1" fillId="0" borderId="0" xfId="1" applyNumberFormat="1" applyFont="1"/>
    <xf numFmtId="1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9" fontId="11" fillId="14" borderId="9" xfId="2" applyFont="1" applyFill="1" applyBorder="1" applyAlignment="1">
      <alignment horizontal="center"/>
    </xf>
    <xf numFmtId="165" fontId="10" fillId="14" borderId="6" xfId="1" applyNumberFormat="1" applyFont="1" applyFill="1" applyBorder="1"/>
    <xf numFmtId="9" fontId="10" fillId="14" borderId="6" xfId="2" applyFont="1" applyFill="1" applyBorder="1" applyAlignment="1">
      <alignment horizontal="center"/>
    </xf>
    <xf numFmtId="0" fontId="8" fillId="15" borderId="11" xfId="0" applyFont="1" applyFill="1" applyBorder="1"/>
    <xf numFmtId="0" fontId="0" fillId="0" borderId="11" xfId="0" applyBorder="1" applyAlignment="1">
      <alignment horizontal="left"/>
    </xf>
    <xf numFmtId="165" fontId="0" fillId="0" borderId="8" xfId="1" applyNumberFormat="1" applyFont="1" applyBorder="1"/>
    <xf numFmtId="165" fontId="0" fillId="0" borderId="0" xfId="1" applyNumberFormat="1" applyFont="1" applyBorder="1"/>
    <xf numFmtId="165" fontId="0" fillId="0" borderId="10" xfId="1" applyNumberFormat="1" applyFont="1" applyBorder="1"/>
    <xf numFmtId="165" fontId="0" fillId="0" borderId="19" xfId="1" applyNumberFormat="1" applyFont="1" applyBorder="1"/>
    <xf numFmtId="165" fontId="0" fillId="0" borderId="20" xfId="1" applyNumberFormat="1" applyFont="1" applyBorder="1"/>
    <xf numFmtId="165" fontId="0" fillId="0" borderId="21" xfId="1" applyNumberFormat="1" applyFont="1" applyBorder="1"/>
    <xf numFmtId="0" fontId="3" fillId="0" borderId="1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65" fontId="8" fillId="0" borderId="11" xfId="0" applyNumberFormat="1" applyFont="1" applyBorder="1"/>
    <xf numFmtId="165" fontId="8" fillId="0" borderId="1" xfId="0" applyNumberFormat="1" applyFont="1" applyBorder="1"/>
    <xf numFmtId="165" fontId="8" fillId="0" borderId="23" xfId="1" applyNumberFormat="1" applyFont="1" applyBorder="1"/>
    <xf numFmtId="165" fontId="8" fillId="0" borderId="23" xfId="0" applyNumberFormat="1" applyFont="1" applyBorder="1"/>
    <xf numFmtId="165" fontId="8" fillId="0" borderId="1" xfId="1" applyNumberFormat="1" applyFont="1" applyBorder="1"/>
    <xf numFmtId="165" fontId="8" fillId="0" borderId="22" xfId="1" applyNumberFormat="1" applyFont="1" applyBorder="1"/>
    <xf numFmtId="0" fontId="8" fillId="0" borderId="0" xfId="0" applyFont="1"/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/>
    </xf>
    <xf numFmtId="9" fontId="3" fillId="0" borderId="16" xfId="0" applyNumberFormat="1" applyFont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0" fillId="14" borderId="12" xfId="0" applyFont="1" applyFill="1" applyBorder="1" applyAlignment="1">
      <alignment horizontal="center"/>
    </xf>
    <xf numFmtId="0" fontId="10" fillId="14" borderId="16" xfId="0" applyFont="1" applyFill="1" applyBorder="1" applyAlignment="1">
      <alignment horizontal="center"/>
    </xf>
    <xf numFmtId="9" fontId="10" fillId="14" borderId="17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9" fontId="3" fillId="0" borderId="26" xfId="0" applyNumberFormat="1" applyFont="1" applyBorder="1" applyAlignment="1">
      <alignment horizontal="center"/>
    </xf>
    <xf numFmtId="9" fontId="0" fillId="0" borderId="21" xfId="2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9" fontId="8" fillId="0" borderId="22" xfId="2" applyFont="1" applyBorder="1" applyAlignment="1">
      <alignment horizontal="center"/>
    </xf>
    <xf numFmtId="0" fontId="3" fillId="13" borderId="24" xfId="0" applyFont="1" applyFill="1" applyBorder="1" applyAlignment="1">
      <alignment horizontal="center"/>
    </xf>
    <xf numFmtId="0" fontId="3" fillId="13" borderId="26" xfId="0" applyFont="1" applyFill="1" applyBorder="1" applyAlignment="1">
      <alignment horizontal="center"/>
    </xf>
    <xf numFmtId="1" fontId="0" fillId="13" borderId="20" xfId="0" applyNumberFormat="1" applyFill="1" applyBorder="1" applyAlignment="1">
      <alignment horizontal="center"/>
    </xf>
    <xf numFmtId="1" fontId="3" fillId="13" borderId="28" xfId="0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0" fillId="0" borderId="19" xfId="0" applyFill="1" applyBorder="1"/>
    <xf numFmtId="0" fontId="0" fillId="0" borderId="19" xfId="0" applyFill="1" applyBorder="1" applyAlignment="1">
      <alignment vertical="top"/>
    </xf>
    <xf numFmtId="0" fontId="8" fillId="0" borderId="14" xfId="0" applyFont="1" applyBorder="1" applyAlignment="1">
      <alignment horizontal="center"/>
    </xf>
    <xf numFmtId="165" fontId="0" fillId="13" borderId="21" xfId="1" applyNumberFormat="1" applyFont="1" applyFill="1" applyBorder="1" applyAlignment="1">
      <alignment horizontal="center"/>
    </xf>
    <xf numFmtId="165" fontId="3" fillId="13" borderId="18" xfId="1" applyNumberFormat="1" applyFont="1" applyFill="1" applyBorder="1" applyAlignment="1">
      <alignment horizontal="center"/>
    </xf>
    <xf numFmtId="16" fontId="3" fillId="13" borderId="1" xfId="0" applyNumberFormat="1" applyFont="1" applyFill="1" applyBorder="1" applyAlignment="1">
      <alignment horizontal="center"/>
    </xf>
    <xf numFmtId="0" fontId="3" fillId="13" borderId="23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3" borderId="22" xfId="0" applyFont="1" applyFill="1" applyBorder="1" applyAlignment="1">
      <alignment horizontal="center"/>
    </xf>
    <xf numFmtId="165" fontId="0" fillId="13" borderId="0" xfId="1" applyNumberFormat="1" applyFont="1" applyFill="1" applyBorder="1"/>
    <xf numFmtId="165" fontId="0" fillId="13" borderId="19" xfId="1" applyNumberFormat="1" applyFont="1" applyFill="1" applyBorder="1"/>
    <xf numFmtId="165" fontId="0" fillId="13" borderId="21" xfId="1" applyNumberFormat="1" applyFont="1" applyFill="1" applyBorder="1"/>
    <xf numFmtId="165" fontId="8" fillId="13" borderId="23" xfId="0" applyNumberFormat="1" applyFont="1" applyFill="1" applyBorder="1"/>
    <xf numFmtId="165" fontId="8" fillId="13" borderId="1" xfId="0" applyNumberFormat="1" applyFont="1" applyFill="1" applyBorder="1"/>
    <xf numFmtId="165" fontId="8" fillId="13" borderId="22" xfId="1" applyNumberFormat="1" applyFont="1" applyFill="1" applyBorder="1"/>
    <xf numFmtId="16" fontId="3" fillId="14" borderId="1" xfId="0" applyNumberFormat="1" applyFont="1" applyFill="1" applyBorder="1" applyAlignment="1">
      <alignment horizontal="center"/>
    </xf>
    <xf numFmtId="0" fontId="3" fillId="14" borderId="1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4" borderId="22" xfId="0" applyFont="1" applyFill="1" applyBorder="1" applyAlignment="1">
      <alignment horizontal="center"/>
    </xf>
    <xf numFmtId="165" fontId="0" fillId="14" borderId="20" xfId="1" applyNumberFormat="1" applyFont="1" applyFill="1" applyBorder="1"/>
    <xf numFmtId="165" fontId="0" fillId="14" borderId="19" xfId="1" applyNumberFormat="1" applyFont="1" applyFill="1" applyBorder="1"/>
    <xf numFmtId="165" fontId="0" fillId="14" borderId="21" xfId="1" applyNumberFormat="1" applyFont="1" applyFill="1" applyBorder="1"/>
    <xf numFmtId="165" fontId="8" fillId="14" borderId="11" xfId="0" applyNumberFormat="1" applyFont="1" applyFill="1" applyBorder="1"/>
    <xf numFmtId="165" fontId="8" fillId="14" borderId="1" xfId="0" applyNumberFormat="1" applyFont="1" applyFill="1" applyBorder="1"/>
    <xf numFmtId="165" fontId="8" fillId="14" borderId="22" xfId="1" applyNumberFormat="1" applyFont="1" applyFill="1" applyBorder="1"/>
    <xf numFmtId="165" fontId="0" fillId="0" borderId="19" xfId="0" applyNumberFormat="1" applyBorder="1"/>
    <xf numFmtId="43" fontId="0" fillId="0" borderId="19" xfId="0" applyNumberFormat="1" applyBorder="1"/>
    <xf numFmtId="0" fontId="0" fillId="0" borderId="19" xfId="0" applyNumberFormat="1" applyBorder="1"/>
    <xf numFmtId="0" fontId="3" fillId="0" borderId="1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9" fontId="3" fillId="0" borderId="22" xfId="0" applyNumberFormat="1" applyFont="1" applyBorder="1" applyAlignment="1">
      <alignment horizontal="center"/>
    </xf>
    <xf numFmtId="16" fontId="3" fillId="13" borderId="11" xfId="0" applyNumberFormat="1" applyFont="1" applyFill="1" applyBorder="1" applyAlignment="1">
      <alignment horizontal="center"/>
    </xf>
    <xf numFmtId="165" fontId="8" fillId="13" borderId="23" xfId="1" applyNumberFormat="1" applyFont="1" applyFill="1" applyBorder="1"/>
    <xf numFmtId="16" fontId="3" fillId="0" borderId="13" xfId="0" applyNumberFormat="1" applyFont="1" applyBorder="1" applyAlignment="1">
      <alignment horizontal="center"/>
    </xf>
    <xf numFmtId="16" fontId="3" fillId="0" borderId="14" xfId="0" applyNumberFormat="1" applyFont="1" applyBorder="1" applyAlignment="1">
      <alignment horizontal="center"/>
    </xf>
    <xf numFmtId="16" fontId="3" fillId="0" borderId="15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65" fontId="8" fillId="0" borderId="31" xfId="0" applyNumberFormat="1" applyFont="1" applyBorder="1"/>
    <xf numFmtId="165" fontId="8" fillId="0" borderId="27" xfId="0" applyNumberFormat="1" applyFont="1" applyBorder="1"/>
    <xf numFmtId="165" fontId="8" fillId="0" borderId="32" xfId="1" applyNumberFormat="1" applyFont="1" applyBorder="1"/>
  </cellXfs>
  <cellStyles count="3">
    <cellStyle name="Millares" xfId="1" builtinId="3"/>
    <cellStyle name="Normal" xfId="0" builtinId="0"/>
    <cellStyle name="Porcentaje" xfId="2" builtinId="5"/>
  </cellStyles>
  <dxfs count="1">
    <dxf>
      <numFmt numFmtId="165" formatCode="_-* #,##0_-;\-* #,##0_-;_-* &quot;-&quot;??_-;_-@_-"/>
    </dxf>
  </dxfs>
  <tableStyles count="0" defaultTableStyle="TableStyleMedium2" defaultPivotStyle="PivotStyleLight16"/>
  <colors>
    <mruColors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28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4FC08E13-A5EF-4F9D-A16D-D0494BAB9DB8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6</xdr:row>
      <xdr:rowOff>0</xdr:rowOff>
    </xdr:from>
    <xdr:to>
      <xdr:col>28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DD7D49C2-74B1-42CD-A480-3BC4B3B266D5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AD73FFF-34BE-4456-BD43-4D4213FF6FED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E6091D7-19C1-4B62-A896-F4C3E688C746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84DB38A3-56B9-430C-B74E-1750805CFECD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3F573466-47AB-40A0-85A6-797D94730B28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602CF260-BA9A-40A4-98FB-CB77F138146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AEF1D9ED-A9E5-4727-9302-484472651C8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ydukcorporacion-my.sharepoint.com/personal/katherines_perufrost_com/Documents/PERUFROST/Finanzas/Flujo%20de%20Caja/Flujo%20Semanal/Rentabilidad%20por%20FP%202026.xlsx" TargetMode="External"/><Relationship Id="rId1" Type="http://schemas.openxmlformats.org/officeDocument/2006/relationships/externalLinkPath" Target="https://haydukcorporacion-my.sharepoint.com/personal/katherines_perufrost_com/Documents/PERUFROST/Finanzas/Flujo%20de%20Caja/Flujo%20Semanal/Rentabilidad%20por%20FP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RESUMEN%20VENTAS%20EXPORTACION%202025%20al%2013-4-2026.xlsx" TargetMode="External"/><Relationship Id="rId1" Type="http://schemas.openxmlformats.org/officeDocument/2006/relationships/externalLinkPath" Target="RESUMEN%20VENTAS%20EXPORTACION%202025%20al%2013-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"/>
      <sheetName val="Resumen"/>
      <sheetName val="Detalle Costos"/>
    </sheetNames>
    <sheetDataSet>
      <sheetData sheetId="0" refreshError="1"/>
      <sheetData sheetId="1" refreshError="1"/>
      <sheetData sheetId="2">
        <row r="5">
          <cell r="C5" t="str">
            <v>ENERO10009178Inventario inicial</v>
          </cell>
          <cell r="L5">
            <v>1.84</v>
          </cell>
        </row>
        <row r="6">
          <cell r="C6" t="str">
            <v>ENERO10009178Revalorización</v>
          </cell>
          <cell r="L6">
            <v>0</v>
          </cell>
        </row>
        <row r="7">
          <cell r="C7" t="str">
            <v>ENERO10009178Entradas</v>
          </cell>
          <cell r="L7">
            <v>1.72</v>
          </cell>
        </row>
        <row r="8">
          <cell r="C8" t="str">
            <v>ENERO10009178Inventario acumulado</v>
          </cell>
          <cell r="L8">
            <v>1.8</v>
          </cell>
        </row>
        <row r="9">
          <cell r="C9" t="str">
            <v>ENERO10009178Inventario final</v>
          </cell>
          <cell r="L9">
            <v>1.8</v>
          </cell>
        </row>
        <row r="10">
          <cell r="C10" t="str">
            <v>FEBRERO10009178Inventario inicial</v>
          </cell>
          <cell r="L10">
            <v>1.8</v>
          </cell>
        </row>
        <row r="11">
          <cell r="C11" t="str">
            <v>FEBRERO10009178Revalorización</v>
          </cell>
          <cell r="L11">
            <v>0</v>
          </cell>
        </row>
        <row r="12">
          <cell r="C12" t="str">
            <v>FEBRERO10009178Entradas</v>
          </cell>
          <cell r="L12">
            <v>1.57</v>
          </cell>
        </row>
        <row r="13">
          <cell r="C13" t="str">
            <v>FEBRERO10009178Inventario acumulado</v>
          </cell>
          <cell r="L13">
            <v>1.73</v>
          </cell>
        </row>
        <row r="14">
          <cell r="C14" t="str">
            <v>FEBRERO10009178Inventario final</v>
          </cell>
          <cell r="L14">
            <v>1.73</v>
          </cell>
        </row>
        <row r="15">
          <cell r="C15" t="str">
            <v>ENERO10006720Inventario inicial</v>
          </cell>
          <cell r="L15">
            <v>1.76</v>
          </cell>
        </row>
        <row r="16">
          <cell r="C16" t="str">
            <v>ENERO10006720Revalorización</v>
          </cell>
          <cell r="L16">
            <v>0</v>
          </cell>
        </row>
        <row r="17">
          <cell r="C17" t="str">
            <v>ENERO10006720Entradas</v>
          </cell>
          <cell r="L17">
            <v>1.71</v>
          </cell>
        </row>
        <row r="18">
          <cell r="C18" t="str">
            <v>ENERO10006720Inv. acumulado</v>
          </cell>
          <cell r="L18">
            <v>1.72</v>
          </cell>
        </row>
        <row r="19">
          <cell r="C19" t="str">
            <v>ENERO10006720Compensación</v>
          </cell>
          <cell r="L19">
            <v>1.72</v>
          </cell>
        </row>
        <row r="20">
          <cell r="C20" t="str">
            <v>ENERO10006720Inventario final</v>
          </cell>
          <cell r="L20">
            <v>1.72</v>
          </cell>
        </row>
        <row r="21">
          <cell r="C21" t="str">
            <v>FEBRERO10006720Inventario inicial</v>
          </cell>
          <cell r="L21">
            <v>1.72</v>
          </cell>
        </row>
        <row r="22">
          <cell r="C22" t="str">
            <v>FEBRERO10006720Revalorización</v>
          </cell>
          <cell r="L22">
            <v>0</v>
          </cell>
        </row>
        <row r="23">
          <cell r="C23" t="str">
            <v>FEBRERO10006720Entradas</v>
          </cell>
          <cell r="L23">
            <v>1.6</v>
          </cell>
        </row>
        <row r="24">
          <cell r="C24" t="str">
            <v>FEBRERO10006720Inventario acumulado</v>
          </cell>
          <cell r="L24">
            <v>1.64</v>
          </cell>
        </row>
        <row r="25">
          <cell r="C25" t="str">
            <v>FEBRERO10006720Compensación</v>
          </cell>
          <cell r="L25">
            <v>1.64</v>
          </cell>
        </row>
        <row r="26">
          <cell r="C26" t="str">
            <v>FEBRERO10006720Inventario final</v>
          </cell>
          <cell r="L26">
            <v>1.64</v>
          </cell>
        </row>
        <row r="27">
          <cell r="C27" t="str">
            <v>ENERO10006722Inventario inicial</v>
          </cell>
          <cell r="L27">
            <v>1.87</v>
          </cell>
        </row>
        <row r="28">
          <cell r="C28" t="str">
            <v>ENERO10006722Revalorización</v>
          </cell>
          <cell r="L28">
            <v>0</v>
          </cell>
        </row>
        <row r="29">
          <cell r="C29" t="str">
            <v>ENERO10006722Inv. acumulado</v>
          </cell>
          <cell r="L29">
            <v>1.87</v>
          </cell>
        </row>
        <row r="30">
          <cell r="C30" t="str">
            <v>ENERO10006722Inventario final</v>
          </cell>
          <cell r="L30">
            <v>1.87</v>
          </cell>
        </row>
        <row r="31">
          <cell r="C31" t="str">
            <v>FEBRERO10006722Inventario inicial</v>
          </cell>
          <cell r="L31">
            <v>1.87</v>
          </cell>
        </row>
        <row r="32">
          <cell r="C32" t="str">
            <v>FEBRERO10006722Revalorización</v>
          </cell>
          <cell r="L32">
            <v>0</v>
          </cell>
        </row>
        <row r="33">
          <cell r="C33" t="str">
            <v>FEBRERO10006722Inventario acumulado</v>
          </cell>
          <cell r="L33">
            <v>1.87</v>
          </cell>
        </row>
        <row r="34">
          <cell r="C34" t="str">
            <v>FEBRERO10006722Inventario final</v>
          </cell>
          <cell r="L34">
            <v>1.87</v>
          </cell>
        </row>
        <row r="35">
          <cell r="C35" t="str">
            <v>ENERO10007969Inventario inicial</v>
          </cell>
          <cell r="L35">
            <v>1.91</v>
          </cell>
        </row>
        <row r="36">
          <cell r="C36" t="str">
            <v>ENERO10007969Revalorización</v>
          </cell>
          <cell r="L36">
            <v>0</v>
          </cell>
        </row>
        <row r="37">
          <cell r="C37" t="str">
            <v>ENERO10007969Entradas</v>
          </cell>
          <cell r="L37">
            <v>1.37</v>
          </cell>
        </row>
        <row r="38">
          <cell r="C38" t="str">
            <v>ENERO10007969Inv. acumulado</v>
          </cell>
          <cell r="L38">
            <v>1.64</v>
          </cell>
        </row>
        <row r="39">
          <cell r="C39" t="str">
            <v>ENERO10007969Compensación</v>
          </cell>
          <cell r="L39">
            <v>1.64</v>
          </cell>
        </row>
        <row r="40">
          <cell r="C40" t="str">
            <v>ENERO10007969Inventario final</v>
          </cell>
          <cell r="L40">
            <v>1.64</v>
          </cell>
        </row>
        <row r="41">
          <cell r="C41" t="str">
            <v>FEBRERO10007969Inventario inicial</v>
          </cell>
          <cell r="L41">
            <v>1.64</v>
          </cell>
        </row>
        <row r="42">
          <cell r="C42" t="str">
            <v>FEBRERO10007969Revalorización</v>
          </cell>
          <cell r="L42">
            <v>0</v>
          </cell>
        </row>
        <row r="43">
          <cell r="C43" t="str">
            <v>FEBRERO10007969Entradas</v>
          </cell>
          <cell r="L43">
            <v>1.21</v>
          </cell>
        </row>
        <row r="44">
          <cell r="C44" t="str">
            <v>FEBRERO10007969Inventario acumulado</v>
          </cell>
          <cell r="L44">
            <v>1.4</v>
          </cell>
        </row>
        <row r="45">
          <cell r="C45" t="str">
            <v>FEBRERO10007969Compensación</v>
          </cell>
          <cell r="L45">
            <v>1.4</v>
          </cell>
        </row>
        <row r="46">
          <cell r="C46" t="str">
            <v>FEBRERO10007969Inventario final</v>
          </cell>
          <cell r="L46">
            <v>1.4</v>
          </cell>
        </row>
        <row r="47">
          <cell r="C47" t="str">
            <v>ENERO10005721Inventario inicial</v>
          </cell>
          <cell r="L47">
            <v>1.8</v>
          </cell>
        </row>
        <row r="48">
          <cell r="C48" t="str">
            <v>ENERO10005721Revalorización</v>
          </cell>
          <cell r="L48">
            <v>0</v>
          </cell>
        </row>
        <row r="49">
          <cell r="C49" t="str">
            <v>ENERO10005721Entradas</v>
          </cell>
          <cell r="L49">
            <v>1.88</v>
          </cell>
        </row>
        <row r="50">
          <cell r="C50" t="str">
            <v>ENERO10005721Inv. acumulado</v>
          </cell>
          <cell r="L50">
            <v>1.86</v>
          </cell>
        </row>
        <row r="51">
          <cell r="C51" t="str">
            <v>ENERO10005721Compensación</v>
          </cell>
          <cell r="L51">
            <v>1.86</v>
          </cell>
        </row>
        <row r="52">
          <cell r="C52" t="str">
            <v>ENERO10005721Inventario final</v>
          </cell>
          <cell r="L52">
            <v>1.86</v>
          </cell>
        </row>
        <row r="53">
          <cell r="C53" t="str">
            <v>FEBRERO10005721Inventario inicial</v>
          </cell>
          <cell r="L53">
            <v>1.86</v>
          </cell>
        </row>
        <row r="54">
          <cell r="C54" t="str">
            <v>FEBRERO10005721Revalorización</v>
          </cell>
          <cell r="L54">
            <v>0</v>
          </cell>
        </row>
        <row r="55">
          <cell r="C55" t="str">
            <v>FEBRERO10005721Entradas</v>
          </cell>
          <cell r="L55">
            <v>1.67</v>
          </cell>
        </row>
        <row r="56">
          <cell r="C56" t="str">
            <v>FEBRERO10005721Inventario acumulado</v>
          </cell>
          <cell r="L56">
            <v>1.74</v>
          </cell>
        </row>
        <row r="57">
          <cell r="C57" t="str">
            <v>FEBRERO10005721Compensación</v>
          </cell>
          <cell r="L57">
            <v>1.74</v>
          </cell>
        </row>
        <row r="58">
          <cell r="C58" t="str">
            <v>FEBRERO10005721Inventario final</v>
          </cell>
          <cell r="L58">
            <v>1.74</v>
          </cell>
        </row>
        <row r="59">
          <cell r="C59" t="str">
            <v>ENERO10005779Inventario inicial</v>
          </cell>
          <cell r="L59">
            <v>1.98</v>
          </cell>
        </row>
        <row r="60">
          <cell r="C60" t="str">
            <v>ENERO10005779Revalorización</v>
          </cell>
          <cell r="L60">
            <v>0</v>
          </cell>
        </row>
        <row r="61">
          <cell r="C61" t="str">
            <v>ENERO10005779Entradas</v>
          </cell>
          <cell r="L61">
            <v>1.88</v>
          </cell>
        </row>
        <row r="62">
          <cell r="C62" t="str">
            <v>ENERO10005779Inv. acumulado</v>
          </cell>
          <cell r="L62">
            <v>1.93</v>
          </cell>
        </row>
        <row r="63">
          <cell r="C63" t="str">
            <v>ENERO10005779Compensación</v>
          </cell>
          <cell r="L63">
            <v>1.93</v>
          </cell>
        </row>
        <row r="64">
          <cell r="C64" t="str">
            <v>ENERO10005779Inventario final</v>
          </cell>
          <cell r="L64">
            <v>1.93</v>
          </cell>
        </row>
        <row r="65">
          <cell r="C65" t="str">
            <v>FEBRERO10005779Inventario inicial</v>
          </cell>
          <cell r="L65">
            <v>1.93</v>
          </cell>
        </row>
        <row r="66">
          <cell r="C66" t="str">
            <v>FEBRERO10005779Revalorización</v>
          </cell>
          <cell r="L66">
            <v>0</v>
          </cell>
        </row>
        <row r="67">
          <cell r="C67" t="str">
            <v>FEBRERO10005779Entradas</v>
          </cell>
          <cell r="L67">
            <v>1.77</v>
          </cell>
        </row>
        <row r="68">
          <cell r="C68" t="str">
            <v>FEBRERO10005779Inventario acumulado</v>
          </cell>
          <cell r="L68">
            <v>1.86</v>
          </cell>
        </row>
        <row r="69">
          <cell r="C69" t="str">
            <v>FEBRERO10005779Compensación</v>
          </cell>
          <cell r="L69">
            <v>1.86</v>
          </cell>
        </row>
        <row r="70">
          <cell r="C70" t="str">
            <v>FEBRERO10005779Inventario final</v>
          </cell>
          <cell r="L70">
            <v>1.86</v>
          </cell>
        </row>
        <row r="71">
          <cell r="C71" t="str">
            <v>ENERO10005781Inventario inicial</v>
          </cell>
          <cell r="L71">
            <v>2.13</v>
          </cell>
        </row>
        <row r="72">
          <cell r="C72" t="str">
            <v>ENERO10005781Revalorización</v>
          </cell>
          <cell r="L72">
            <v>0</v>
          </cell>
        </row>
        <row r="73">
          <cell r="C73" t="str">
            <v>ENERO10005781Entradas</v>
          </cell>
          <cell r="L73">
            <v>1.89</v>
          </cell>
        </row>
        <row r="74">
          <cell r="C74" t="str">
            <v>ENERO10005781Inv. acumulado</v>
          </cell>
          <cell r="L74">
            <v>1.98</v>
          </cell>
        </row>
        <row r="75">
          <cell r="C75" t="str">
            <v>ENERO10005781Compensación</v>
          </cell>
          <cell r="L75">
            <v>1.98</v>
          </cell>
        </row>
        <row r="76">
          <cell r="C76" t="str">
            <v>ENERO10005781Inventario final</v>
          </cell>
          <cell r="L76">
            <v>1.98</v>
          </cell>
        </row>
        <row r="77">
          <cell r="C77" t="str">
            <v>FEBRERO10005781Inventario inicial</v>
          </cell>
          <cell r="L77">
            <v>1.98</v>
          </cell>
        </row>
        <row r="78">
          <cell r="C78" t="str">
            <v>FEBRERO10005781Revalorización</v>
          </cell>
          <cell r="L78">
            <v>0</v>
          </cell>
        </row>
        <row r="79">
          <cell r="C79" t="str">
            <v>FEBRERO10005781Entradas</v>
          </cell>
          <cell r="L79">
            <v>1.77</v>
          </cell>
        </row>
        <row r="80">
          <cell r="C80" t="str">
            <v>FEBRERO10005781Inventario acumulado</v>
          </cell>
          <cell r="L80">
            <v>1.86</v>
          </cell>
        </row>
        <row r="81">
          <cell r="C81" t="str">
            <v>FEBRERO10005781Inventario final</v>
          </cell>
          <cell r="L81">
            <v>1.86</v>
          </cell>
        </row>
        <row r="82">
          <cell r="C82" t="str">
            <v>ENERO10007567Inventario inicial</v>
          </cell>
          <cell r="L82">
            <v>1.91</v>
          </cell>
        </row>
        <row r="83">
          <cell r="C83" t="str">
            <v>ENERO10007567Revalorización</v>
          </cell>
          <cell r="L83">
            <v>0</v>
          </cell>
        </row>
        <row r="84">
          <cell r="C84" t="str">
            <v>ENERO10007567Entradas</v>
          </cell>
          <cell r="L84">
            <v>1.78</v>
          </cell>
        </row>
        <row r="85">
          <cell r="C85" t="str">
            <v>ENERO10007567Inv. acumulado</v>
          </cell>
          <cell r="L85">
            <v>1.83</v>
          </cell>
        </row>
        <row r="86">
          <cell r="C86" t="str">
            <v>ENERO10007567Compensación</v>
          </cell>
          <cell r="L86">
            <v>1.83</v>
          </cell>
        </row>
        <row r="87">
          <cell r="C87" t="str">
            <v>ENERO10007567Inventario final</v>
          </cell>
          <cell r="L87">
            <v>1.83</v>
          </cell>
        </row>
        <row r="88">
          <cell r="C88" t="str">
            <v>FEBRERO10007567Inventario inicial</v>
          </cell>
          <cell r="L88">
            <v>1.83</v>
          </cell>
        </row>
        <row r="89">
          <cell r="C89" t="str">
            <v>FEBRERO10007567Revalorización</v>
          </cell>
          <cell r="L89">
            <v>0</v>
          </cell>
        </row>
        <row r="90">
          <cell r="C90" t="str">
            <v>FEBRERO10007567Entradas</v>
          </cell>
          <cell r="L90">
            <v>1.65</v>
          </cell>
        </row>
        <row r="91">
          <cell r="C91" t="str">
            <v>FEBRERO10007567Inventario acumulado</v>
          </cell>
          <cell r="L91">
            <v>1.7</v>
          </cell>
        </row>
        <row r="92">
          <cell r="C92" t="str">
            <v>FEBRERO10007567Inventario final</v>
          </cell>
          <cell r="L92">
            <v>1.7</v>
          </cell>
        </row>
        <row r="93">
          <cell r="C93" t="str">
            <v>ENERO10007162Inventario inicial</v>
          </cell>
          <cell r="L93">
            <v>1.85</v>
          </cell>
        </row>
        <row r="94">
          <cell r="C94" t="str">
            <v>ENERO10007162Revalorización</v>
          </cell>
          <cell r="L94">
            <v>0</v>
          </cell>
        </row>
        <row r="95">
          <cell r="C95" t="str">
            <v>ENERO10007162Entradas</v>
          </cell>
          <cell r="L95">
            <v>1.78</v>
          </cell>
        </row>
        <row r="96">
          <cell r="C96" t="str">
            <v>ENERO10007162Inv. acumulado</v>
          </cell>
          <cell r="L96">
            <v>1.79</v>
          </cell>
        </row>
        <row r="97">
          <cell r="C97" t="str">
            <v>ENERO10007162Compensación</v>
          </cell>
          <cell r="L97">
            <v>1.79</v>
          </cell>
        </row>
        <row r="98">
          <cell r="C98" t="str">
            <v>ENERO10007162Inventario final</v>
          </cell>
          <cell r="L98">
            <v>1.79</v>
          </cell>
        </row>
        <row r="99">
          <cell r="C99" t="str">
            <v>FEBRERO10007162Inventario inicial</v>
          </cell>
          <cell r="L99">
            <v>1.79</v>
          </cell>
        </row>
        <row r="100">
          <cell r="C100" t="str">
            <v>FEBRERO10007162Revalorización</v>
          </cell>
          <cell r="L100">
            <v>0</v>
          </cell>
        </row>
        <row r="101">
          <cell r="C101" t="str">
            <v>FEBRERO10007162Entradas</v>
          </cell>
          <cell r="L101">
            <v>1.67</v>
          </cell>
        </row>
        <row r="102">
          <cell r="C102" t="str">
            <v>FEBRERO10007162Inventario acumulado</v>
          </cell>
          <cell r="L102">
            <v>1.72</v>
          </cell>
        </row>
        <row r="103">
          <cell r="C103" t="str">
            <v>FEBRERO10007162Compensación</v>
          </cell>
          <cell r="L103">
            <v>1.72</v>
          </cell>
        </row>
        <row r="104">
          <cell r="C104" t="str">
            <v>FEBRERO10007162Inventario final</v>
          </cell>
          <cell r="L104">
            <v>1.72</v>
          </cell>
        </row>
        <row r="105">
          <cell r="C105" t="str">
            <v>ENERO10009639Inventario inicial</v>
          </cell>
          <cell r="L105">
            <v>2.1</v>
          </cell>
        </row>
        <row r="106">
          <cell r="C106" t="str">
            <v>ENERO10009639Revalorización</v>
          </cell>
          <cell r="L106">
            <v>0</v>
          </cell>
        </row>
        <row r="107">
          <cell r="C107" t="str">
            <v>ENERO10009639Entradas</v>
          </cell>
          <cell r="L107">
            <v>1.84</v>
          </cell>
        </row>
        <row r="108">
          <cell r="C108" t="str">
            <v>ENERO10009639Inv. acumulado</v>
          </cell>
          <cell r="L108">
            <v>1.87</v>
          </cell>
        </row>
        <row r="109">
          <cell r="C109" t="str">
            <v>ENERO10009639Compensación</v>
          </cell>
          <cell r="L109">
            <v>1.87</v>
          </cell>
        </row>
        <row r="110">
          <cell r="C110" t="str">
            <v>ENERO10009639Inventario final</v>
          </cell>
          <cell r="L110">
            <v>1.87</v>
          </cell>
        </row>
        <row r="111">
          <cell r="C111" t="str">
            <v>FEBRERO10009639Inventario inicial</v>
          </cell>
          <cell r="L111">
            <v>1.87</v>
          </cell>
        </row>
        <row r="112">
          <cell r="C112" t="str">
            <v>FEBRERO10009639Revalorización</v>
          </cell>
          <cell r="L112">
            <v>0</v>
          </cell>
        </row>
        <row r="113">
          <cell r="C113" t="str">
            <v>FEBRERO10009639Entradas</v>
          </cell>
          <cell r="L113">
            <v>1.67</v>
          </cell>
        </row>
        <row r="114">
          <cell r="C114" t="str">
            <v>FEBRERO10009639Inventario acumulado</v>
          </cell>
          <cell r="L114">
            <v>1.75</v>
          </cell>
        </row>
        <row r="115">
          <cell r="C115" t="str">
            <v>FEBRERO10009639Compensación</v>
          </cell>
          <cell r="L115">
            <v>1.75</v>
          </cell>
        </row>
        <row r="116">
          <cell r="C116" t="str">
            <v>FEBRERO10009639Inventario final</v>
          </cell>
          <cell r="L116">
            <v>1.75</v>
          </cell>
        </row>
        <row r="117">
          <cell r="C117" t="str">
            <v>ENERO10009239Inventario inicial</v>
          </cell>
          <cell r="L117">
            <v>5.01</v>
          </cell>
        </row>
        <row r="118">
          <cell r="C118" t="str">
            <v>ENERO10009239Revalorización</v>
          </cell>
          <cell r="L118">
            <v>0</v>
          </cell>
        </row>
        <row r="119">
          <cell r="C119" t="str">
            <v>ENERO10009239Entradas</v>
          </cell>
          <cell r="L119">
            <v>2.2000000000000002</v>
          </cell>
        </row>
        <row r="120">
          <cell r="C120" t="str">
            <v>ENERO10009239Inv. acumulado</v>
          </cell>
          <cell r="L120">
            <v>2.21</v>
          </cell>
        </row>
        <row r="121">
          <cell r="C121" t="str">
            <v>ENERO10009239Inventario final</v>
          </cell>
          <cell r="L121">
            <v>2.21</v>
          </cell>
        </row>
        <row r="122">
          <cell r="C122" t="str">
            <v>FEBRERO10009239Inventario inicial</v>
          </cell>
          <cell r="L122">
            <v>2.21</v>
          </cell>
        </row>
        <row r="123">
          <cell r="C123" t="str">
            <v>FEBRERO10009239Revalorización</v>
          </cell>
          <cell r="L123">
            <v>0</v>
          </cell>
        </row>
        <row r="124">
          <cell r="C124" t="str">
            <v>FEBRERO10009239Entradas</v>
          </cell>
          <cell r="L124">
            <v>2.0699999999999998</v>
          </cell>
        </row>
        <row r="125">
          <cell r="C125" t="str">
            <v>FEBRERO10009239Inventario acumulado</v>
          </cell>
          <cell r="L125">
            <v>2.11</v>
          </cell>
        </row>
        <row r="126">
          <cell r="C126" t="str">
            <v>FEBRERO10009239Compensación</v>
          </cell>
          <cell r="L126">
            <v>2.11</v>
          </cell>
        </row>
        <row r="127">
          <cell r="C127" t="str">
            <v>FEBRERO10009239Inventario final</v>
          </cell>
          <cell r="L127">
            <v>2.11</v>
          </cell>
        </row>
        <row r="128">
          <cell r="C128" t="str">
            <v>ENERO10007050Inventario inicial</v>
          </cell>
          <cell r="L128">
            <v>0</v>
          </cell>
        </row>
        <row r="129">
          <cell r="C129" t="str">
            <v>ENERO10007050Revalorización</v>
          </cell>
          <cell r="L129">
            <v>0</v>
          </cell>
        </row>
        <row r="130">
          <cell r="C130" t="str">
            <v>ENERO10007050Entradas</v>
          </cell>
          <cell r="L130">
            <v>1.36</v>
          </cell>
        </row>
        <row r="131">
          <cell r="C131" t="str">
            <v>ENERO10007050Inv. acumulado</v>
          </cell>
          <cell r="L131">
            <v>1.36</v>
          </cell>
        </row>
        <row r="132">
          <cell r="C132" t="str">
            <v>ENERO10007050Inventario final</v>
          </cell>
          <cell r="L132">
            <v>1.36</v>
          </cell>
        </row>
        <row r="133">
          <cell r="C133" t="str">
            <v>FEBRERO10007050Inventario inicial</v>
          </cell>
          <cell r="L133">
            <v>1.36</v>
          </cell>
        </row>
        <row r="134">
          <cell r="C134" t="str">
            <v>FEBRERO10007050Revalorización</v>
          </cell>
          <cell r="L134">
            <v>0</v>
          </cell>
        </row>
        <row r="135">
          <cell r="C135" t="str">
            <v>FEBRERO10007050Entradas</v>
          </cell>
          <cell r="L135">
            <v>1.27</v>
          </cell>
        </row>
        <row r="136">
          <cell r="C136" t="str">
            <v>FEBRERO10007050Inventario acumulado</v>
          </cell>
          <cell r="L136">
            <v>1.31</v>
          </cell>
        </row>
        <row r="137">
          <cell r="C137" t="str">
            <v>FEBRERO10007050Inventario final</v>
          </cell>
          <cell r="L137">
            <v>1.31</v>
          </cell>
        </row>
        <row r="138">
          <cell r="C138" t="str">
            <v>ENERO10009331Inventario inicial</v>
          </cell>
          <cell r="L138">
            <v>0</v>
          </cell>
        </row>
        <row r="139">
          <cell r="C139" t="str">
            <v>ENERO10009331Revalorización</v>
          </cell>
          <cell r="L139">
            <v>0</v>
          </cell>
        </row>
        <row r="140">
          <cell r="C140" t="str">
            <v>ENERO10009331Entradas</v>
          </cell>
          <cell r="L140">
            <v>1.93</v>
          </cell>
        </row>
        <row r="141">
          <cell r="C141" t="str">
            <v>ENERO10009331Inv. acumulado</v>
          </cell>
          <cell r="L141">
            <v>1.93</v>
          </cell>
        </row>
        <row r="142">
          <cell r="C142" t="str">
            <v>ENERO10009331Inventario final</v>
          </cell>
          <cell r="L142">
            <v>1.93</v>
          </cell>
        </row>
        <row r="143">
          <cell r="C143" t="str">
            <v>FEBRERO10009331Inventario inicial</v>
          </cell>
          <cell r="L143">
            <v>1.93</v>
          </cell>
        </row>
        <row r="144">
          <cell r="C144" t="str">
            <v>FEBRERO10009331Revalorización</v>
          </cell>
          <cell r="L144">
            <v>0</v>
          </cell>
        </row>
        <row r="145">
          <cell r="C145" t="str">
            <v>FEBRERO10009331Entradas</v>
          </cell>
          <cell r="L145">
            <v>1.76</v>
          </cell>
        </row>
        <row r="146">
          <cell r="C146" t="str">
            <v>FEBRERO10009331Inventario acumulado</v>
          </cell>
          <cell r="L146">
            <v>1.81</v>
          </cell>
        </row>
        <row r="147">
          <cell r="C147" t="str">
            <v>FEBRERO10009331Inventario final</v>
          </cell>
          <cell r="L147">
            <v>1.81</v>
          </cell>
        </row>
        <row r="148">
          <cell r="C148" t="str">
            <v>ENERO10009332Inventario inicial</v>
          </cell>
          <cell r="L148">
            <v>3.11</v>
          </cell>
        </row>
        <row r="149">
          <cell r="C149" t="str">
            <v>ENERO10009332Revalorización</v>
          </cell>
          <cell r="L149">
            <v>0</v>
          </cell>
        </row>
        <row r="150">
          <cell r="C150" t="str">
            <v>ENERO10009332Entradas</v>
          </cell>
          <cell r="L150">
            <v>1.33</v>
          </cell>
        </row>
        <row r="151">
          <cell r="C151" t="str">
            <v>ENERO10009332Inv. acumulado</v>
          </cell>
          <cell r="L151">
            <v>1.94</v>
          </cell>
        </row>
        <row r="152">
          <cell r="C152" t="str">
            <v>ENERO10009332Inventario final</v>
          </cell>
          <cell r="L152">
            <v>1.94</v>
          </cell>
        </row>
        <row r="153">
          <cell r="C153" t="str">
            <v>FEBRERO10009332Inventario inicial</v>
          </cell>
          <cell r="L153">
            <v>1.94</v>
          </cell>
        </row>
        <row r="154">
          <cell r="C154" t="str">
            <v>FEBRERO10009332Revalorización</v>
          </cell>
          <cell r="L154">
            <v>0</v>
          </cell>
        </row>
        <row r="155">
          <cell r="C155" t="str">
            <v>FEBRERO10009332Entradas</v>
          </cell>
          <cell r="L155">
            <v>1.27</v>
          </cell>
        </row>
        <row r="156">
          <cell r="C156" t="str">
            <v>FEBRERO10009332Inventario acumulado</v>
          </cell>
          <cell r="L156">
            <v>1.53</v>
          </cell>
        </row>
        <row r="157">
          <cell r="C157" t="str">
            <v>FEBRERO10009332Compensación</v>
          </cell>
          <cell r="L157">
            <v>1.53</v>
          </cell>
        </row>
        <row r="158">
          <cell r="C158" t="str">
            <v>FEBRERO10009332Inventario final</v>
          </cell>
          <cell r="L158">
            <v>1.53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Hoja1"/>
      <sheetName val="Hoja3"/>
      <sheetName val="2026"/>
      <sheetName val="PROGRAMACION"/>
      <sheetName val="2025 TOTAS FP"/>
      <sheetName val="Hoja2"/>
      <sheetName val="PV PENDIENTES"/>
      <sheetName val="EECC GLOBAL"/>
      <sheetName val="FP CHINA"/>
      <sheetName val="ANULADAS"/>
    </sheetNames>
    <sheetDataSet>
      <sheetData sheetId="0"/>
      <sheetData sheetId="1"/>
      <sheetData sheetId="2">
        <row r="5">
          <cell r="F5">
            <v>10005721</v>
          </cell>
          <cell r="G5">
            <v>46119</v>
          </cell>
          <cell r="I5">
            <v>293</v>
          </cell>
          <cell r="J5">
            <v>436600</v>
          </cell>
        </row>
        <row r="6">
          <cell r="F6">
            <v>10006720</v>
          </cell>
          <cell r="G6">
            <v>46122</v>
          </cell>
          <cell r="I6">
            <v>27</v>
          </cell>
          <cell r="J6">
            <v>45900</v>
          </cell>
        </row>
        <row r="7">
          <cell r="F7">
            <v>10005721</v>
          </cell>
          <cell r="G7">
            <v>46122</v>
          </cell>
          <cell r="I7">
            <v>27</v>
          </cell>
          <cell r="J7">
            <v>43200</v>
          </cell>
        </row>
        <row r="8">
          <cell r="F8">
            <v>10009239</v>
          </cell>
          <cell r="G8">
            <v>46122</v>
          </cell>
          <cell r="I8">
            <v>27</v>
          </cell>
          <cell r="J8">
            <v>94500</v>
          </cell>
        </row>
        <row r="9">
          <cell r="F9">
            <v>10005721</v>
          </cell>
          <cell r="G9">
            <v>46125</v>
          </cell>
          <cell r="I9">
            <v>26</v>
          </cell>
          <cell r="J9">
            <v>36400</v>
          </cell>
        </row>
        <row r="10">
          <cell r="F10">
            <v>10007567</v>
          </cell>
          <cell r="G10">
            <v>46125</v>
          </cell>
          <cell r="I10">
            <v>26</v>
          </cell>
          <cell r="J10">
            <v>80600</v>
          </cell>
        </row>
        <row r="11">
          <cell r="F11">
            <v>10007050</v>
          </cell>
          <cell r="G11">
            <v>46129</v>
          </cell>
          <cell r="I11">
            <v>27</v>
          </cell>
          <cell r="J11">
            <v>97200</v>
          </cell>
        </row>
        <row r="12">
          <cell r="F12">
            <v>10009239</v>
          </cell>
          <cell r="G12">
            <v>46129</v>
          </cell>
          <cell r="I12">
            <v>162</v>
          </cell>
          <cell r="J12">
            <v>631800</v>
          </cell>
        </row>
        <row r="13">
          <cell r="F13">
            <v>10006720</v>
          </cell>
          <cell r="G13">
            <v>46132</v>
          </cell>
          <cell r="I13">
            <v>192</v>
          </cell>
          <cell r="J13">
            <v>313200</v>
          </cell>
        </row>
        <row r="14">
          <cell r="F14">
            <v>10007969</v>
          </cell>
          <cell r="G14">
            <v>46132</v>
          </cell>
          <cell r="I14">
            <v>24</v>
          </cell>
          <cell r="J14">
            <v>38400</v>
          </cell>
        </row>
        <row r="15">
          <cell r="F15">
            <v>10005721</v>
          </cell>
          <cell r="G15">
            <v>46132</v>
          </cell>
          <cell r="I15">
            <v>105</v>
          </cell>
          <cell r="J15">
            <v>221400</v>
          </cell>
        </row>
        <row r="16">
          <cell r="F16">
            <v>10005721</v>
          </cell>
          <cell r="G16">
            <v>46132</v>
          </cell>
          <cell r="I16">
            <v>26</v>
          </cell>
          <cell r="J16">
            <v>36400</v>
          </cell>
        </row>
        <row r="17">
          <cell r="G17">
            <v>46136</v>
          </cell>
          <cell r="I17">
            <v>27</v>
          </cell>
          <cell r="J17">
            <v>54000</v>
          </cell>
        </row>
        <row r="18">
          <cell r="G18">
            <v>46136</v>
          </cell>
          <cell r="I18">
            <v>27</v>
          </cell>
          <cell r="J18">
            <v>54000</v>
          </cell>
        </row>
        <row r="19">
          <cell r="F19">
            <v>10005721</v>
          </cell>
          <cell r="G19">
            <v>46139</v>
          </cell>
          <cell r="I19">
            <v>26</v>
          </cell>
          <cell r="J19">
            <v>36400</v>
          </cell>
        </row>
        <row r="27">
          <cell r="F27">
            <v>10007050</v>
          </cell>
          <cell r="I27">
            <v>189</v>
          </cell>
          <cell r="J27">
            <v>753300</v>
          </cell>
        </row>
        <row r="28">
          <cell r="F28">
            <v>10006720</v>
          </cell>
          <cell r="I28">
            <v>105</v>
          </cell>
          <cell r="J28">
            <v>227700</v>
          </cell>
        </row>
        <row r="29">
          <cell r="F29">
            <v>10005721</v>
          </cell>
          <cell r="I29">
            <v>294</v>
          </cell>
          <cell r="J29">
            <v>622200</v>
          </cell>
        </row>
        <row r="30">
          <cell r="F30">
            <v>10009239</v>
          </cell>
          <cell r="I30">
            <v>243</v>
          </cell>
          <cell r="J30">
            <v>904500</v>
          </cell>
        </row>
        <row r="31">
          <cell r="F31">
            <v>10007162</v>
          </cell>
          <cell r="I31">
            <v>135</v>
          </cell>
          <cell r="J31">
            <v>380700</v>
          </cell>
        </row>
        <row r="32">
          <cell r="F32">
            <v>10007567</v>
          </cell>
          <cell r="I32">
            <v>106</v>
          </cell>
          <cell r="J32">
            <v>314980</v>
          </cell>
        </row>
        <row r="33">
          <cell r="F33">
            <v>10009386</v>
          </cell>
          <cell r="I33">
            <v>27</v>
          </cell>
          <cell r="J33">
            <v>33750</v>
          </cell>
        </row>
        <row r="34">
          <cell r="F34">
            <v>10007050</v>
          </cell>
          <cell r="I34">
            <v>27</v>
          </cell>
          <cell r="J34">
            <v>67500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vid Cruzado (PFRO)" id="{2113452B-73D1-4DD7-B783-BED3B4DD71F3}" userId="S::davidc@perufrost.com::deb45060-f198-4284-95fb-b81c42c8c5a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25.657231481484" createdVersion="8" refreshedVersion="8" minRefreshableVersion="3" recordCount="55" xr:uid="{4A0D9E83-600B-4AC8-AA58-AB27C41BF4C4}">
  <cacheSource type="worksheet">
    <worksheetSource ref="AD2:AL57" sheet="Abril2026"/>
  </cacheSource>
  <cacheFields count="9">
    <cacheField name="CÓDIGO" numFmtId="0">
      <sharedItems containsString="0" containsBlank="1" containsNumber="1" containsInteger="1" minValue="10005721" maxValue="10009639" count="17">
        <n v="10009178"/>
        <n v="10006720"/>
        <n v="10006722"/>
        <n v="10007050"/>
        <n v="10009207"/>
        <n v="10007969"/>
        <n v="10005721"/>
        <n v="10005779"/>
        <n v="10005781"/>
        <n v="10009386"/>
        <n v="10007567"/>
        <n v="10007162"/>
        <n v="10009639"/>
        <n v="10009239"/>
        <m/>
        <n v="10009332"/>
        <n v="10009224"/>
      </sharedItems>
    </cacheField>
    <cacheField name="MATCH" numFmtId="0">
      <sharedItems/>
    </cacheField>
    <cacheField name="CPU" numFmtId="0">
      <sharedItems containsMixedTypes="1" containsNumber="1" minValue="0" maxValue="2.11"/>
    </cacheField>
    <cacheField name="TM en Stock" numFmtId="3">
      <sharedItems containsSemiMixedTypes="0" containsString="0" containsNumber="1" minValue="0" maxValue="282.27999999999997"/>
    </cacheField>
    <cacheField name="Costo Ventas" numFmtId="165">
      <sharedItems containsSemiMixedTypes="0" containsString="0" containsNumber="1" minValue="0" maxValue="485521.59999999992"/>
    </cacheField>
    <cacheField name="Gasto Ventas" numFmtId="165">
      <sharedItems containsSemiMixedTypes="0" containsString="0" containsNumber="1" minValue="0" maxValue="51374.959999999992"/>
    </cacheField>
    <cacheField name="Gasto ADM" numFmtId="165">
      <sharedItems containsSemiMixedTypes="0" containsString="0" containsNumber="1" minValue="0" maxValue="10309.957024391191"/>
    </cacheField>
    <cacheField name="Gasto Fin" numFmtId="165">
      <sharedItems containsSemiMixedTypes="0" containsString="0" containsNumber="1" minValue="0" maxValue="23342.094804208609"/>
    </cacheField>
    <cacheField name="Depreciación" numFmtId="165">
      <sharedItems containsSemiMixedTypes="0" containsString="0" containsNumber="1" minValue="0" maxValue="19515.201980224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s v="FEBRERO10009178Inventario final"/>
    <n v="1.73"/>
    <n v="13.68"/>
    <n v="23666.399999999998"/>
    <n v="2489.7599999999998"/>
    <n v="499.64649317582365"/>
    <n v="1131.2167242510054"/>
    <n v="945.75585620475249"/>
  </r>
  <r>
    <x v="0"/>
    <s v="FEBRERO10009178Inventario final"/>
    <n v="1.73"/>
    <n v="30.74"/>
    <n v="53180.2"/>
    <n v="5594.6799999999994"/>
    <n v="1122.7436549871943"/>
    <n v="2541.9299783242623"/>
    <n v="2125.1853084600943"/>
  </r>
  <r>
    <x v="0"/>
    <s v="FEBRERO10009178Inventario final"/>
    <n v="1.73"/>
    <n v="16.760000000000002"/>
    <n v="28994.800000000003"/>
    <n v="3050.32"/>
    <n v="612.14000187330453"/>
    <n v="1385.9058697695068"/>
    <n v="1158.6891922508519"/>
  </r>
  <r>
    <x v="0"/>
    <s v="FEBRERO10009178Inventario final"/>
    <n v="1.73"/>
    <n v="0.68"/>
    <n v="1176.4000000000001"/>
    <n v="123.76"/>
    <n v="24.836229192950302"/>
    <n v="56.230071088500274"/>
    <n v="47.01125601017776"/>
  </r>
  <r>
    <x v="1"/>
    <s v="FEBRERO10006720Inventario final"/>
    <n v="1.64"/>
    <n v="247.26"/>
    <n v="405506.39999999997"/>
    <n v="45001.32"/>
    <n v="9030.8912209542505"/>
    <n v="20446.246143150849"/>
    <n v="17094.12229570081"/>
  </r>
  <r>
    <x v="2"/>
    <s v="FEBRERO10006722Inventario final"/>
    <n v="1.87"/>
    <n v="0.12"/>
    <n v="224.4"/>
    <n v="21.84"/>
    <n v="4.382863975226523"/>
    <n v="9.922953721500047"/>
    <n v="8.2961040017960741"/>
  </r>
  <r>
    <x v="3"/>
    <s v="FEBRERO10007050Inventario final"/>
    <n v="1.31"/>
    <n v="35.92"/>
    <n v="47055.200000000004"/>
    <n v="6537.4400000000005"/>
    <n v="1311.9372832511394"/>
    <n v="2970.2708139690144"/>
    <n v="2483.3004645376254"/>
  </r>
  <r>
    <x v="3"/>
    <s v="FEBRERO10007050Inventario final"/>
    <n v="1.31"/>
    <n v="0"/>
    <n v="0"/>
    <n v="0"/>
    <n v="0"/>
    <n v="0"/>
    <n v="0"/>
  </r>
  <r>
    <x v="3"/>
    <s v="FEBRERO10007050Inventario final"/>
    <n v="1.31"/>
    <n v="7.1639999999999997"/>
    <n v="9384.84"/>
    <n v="1303.848"/>
    <n v="261.65697932102347"/>
    <n v="592.40033717355277"/>
    <n v="495.27740890722566"/>
  </r>
  <r>
    <x v="4"/>
    <s v="FEBRERO10009207Inventario final"/>
    <n v="0"/>
    <n v="32.44"/>
    <n v="0"/>
    <n v="5904.08"/>
    <n v="1184.8342279695701"/>
    <n v="2682.5051560455126"/>
    <n v="2242.7134484855387"/>
  </r>
  <r>
    <x v="5"/>
    <s v="FEBRERO10007969Inventario final"/>
    <n v="1.4"/>
    <n v="50.9"/>
    <n v="71259.999999999985"/>
    <n v="9263.7999999999993"/>
    <n v="1859.0648028252504"/>
    <n v="4208.9862035362703"/>
    <n v="3518.9307807618352"/>
  </r>
  <r>
    <x v="6"/>
    <s v="FEBRERO10005721Inventario final"/>
    <n v="1.74"/>
    <n v="0.56000000000000005"/>
    <n v="974.40000000000009"/>
    <n v="101.92000000000002"/>
    <n v="20.453365217723778"/>
    <n v="46.307117367000224"/>
    <n v="38.715152008381686"/>
  </r>
  <r>
    <x v="6"/>
    <s v="FEBRERO10005721Inventario final"/>
    <n v="1.74"/>
    <n v="7.88"/>
    <n v="13711.2"/>
    <n v="1434.16"/>
    <n v="287.80806770654169"/>
    <n v="651.60729437850307"/>
    <n v="544.77749611794229"/>
  </r>
  <r>
    <x v="6"/>
    <s v="FEBRERO10005721Inventario final"/>
    <n v="1.74"/>
    <n v="4.24"/>
    <n v="7377.6"/>
    <n v="771.68000000000006"/>
    <n v="154.86119379133717"/>
    <n v="350.61103149300169"/>
    <n v="293.12900806346136"/>
  </r>
  <r>
    <x v="6"/>
    <s v="FEBRERO10005721Inventario final"/>
    <n v="1.74"/>
    <n v="265.5"/>
    <n v="461969.99999999994"/>
    <n v="48321"/>
    <n v="9697.0865451886839"/>
    <n v="21954.535108818854"/>
    <n v="18355.130103973817"/>
  </r>
  <r>
    <x v="6"/>
    <s v="FEBRERO10005721Inventario final"/>
    <n v="1.74"/>
    <n v="54.08"/>
    <n v="94099.199999999997"/>
    <n v="9842.56"/>
    <n v="1975.2106981687532"/>
    <n v="4471.9444771560211"/>
    <n v="3738.7775368094308"/>
  </r>
  <r>
    <x v="6"/>
    <s v="FEBRERO10005721Inventario final"/>
    <n v="1.74"/>
    <n v="0.88"/>
    <n v="1531.1999999999998"/>
    <n v="160.16"/>
    <n v="32.141002484994509"/>
    <n v="72.768327291000347"/>
    <n v="60.838096013171217"/>
  </r>
  <r>
    <x v="6"/>
    <s v="FEBRERO10005721Inventario final"/>
    <n v="1.74"/>
    <n v="61.02"/>
    <n v="106174.8"/>
    <n v="11105.640000000001"/>
    <n v="2228.6863314026873"/>
    <n v="5045.8219673827743"/>
    <n v="4218.5688849133039"/>
  </r>
  <r>
    <x v="6"/>
    <s v="FEBRERO10005721Inventario final"/>
    <n v="1.74"/>
    <n v="1.88"/>
    <n v="3271.2"/>
    <n v="342.15999999999997"/>
    <n v="68.664868945215531"/>
    <n v="155.45960830350074"/>
    <n v="129.97229602813849"/>
  </r>
  <r>
    <x v="6"/>
    <s v="FEBRERO10005721Inventario final"/>
    <n v="1.74"/>
    <n v="0.56000000000000005"/>
    <n v="974.40000000000009"/>
    <n v="101.92000000000002"/>
    <n v="20.453365217723778"/>
    <n v="46.307117367000224"/>
    <n v="38.715152008381686"/>
  </r>
  <r>
    <x v="7"/>
    <s v="FEBRERO10005779Inventario final"/>
    <n v="1.86"/>
    <n v="1.1599999999999999"/>
    <n v="2157.6"/>
    <n v="211.11999999999998"/>
    <n v="42.367685093856394"/>
    <n v="95.921885974500455"/>
    <n v="80.195672017362057"/>
  </r>
  <r>
    <x v="7"/>
    <s v="FEBRERO10005779Inventario final"/>
    <n v="1.86"/>
    <n v="5.56"/>
    <n v="10341.6"/>
    <n v="1011.92"/>
    <n v="203.0726975188289"/>
    <n v="459.76352242950219"/>
    <n v="384.38615208321812"/>
  </r>
  <r>
    <x v="7"/>
    <s v="FEBRERO10005779Inventario final"/>
    <n v="1.86"/>
    <n v="83.88"/>
    <n v="156016.79999999999"/>
    <n v="15266.16"/>
    <n v="3063.6219186833396"/>
    <n v="6936.1446513285327"/>
    <n v="5798.9766972554562"/>
  </r>
  <r>
    <x v="7"/>
    <s v="FEBRERO10005779Inventario final"/>
    <n v="1.86"/>
    <n v="4.5599999999999996"/>
    <n v="8481.6"/>
    <n v="829.92"/>
    <n v="166.54883105860787"/>
    <n v="377.07224141700181"/>
    <n v="315.25195206825083"/>
  </r>
  <r>
    <x v="7"/>
    <s v="FEBRERO10005779Inventario final"/>
    <n v="1.86"/>
    <n v="63.56"/>
    <n v="118221.6"/>
    <n v="11567.92"/>
    <n v="2321.4569522116485"/>
    <n v="5255.8578211545255"/>
    <n v="4394.1697529513212"/>
  </r>
  <r>
    <x v="8"/>
    <s v="FEBRERO10005781Inventario final"/>
    <n v="1.86"/>
    <n v="5.48"/>
    <n v="10192.800000000001"/>
    <n v="997.36000000000013"/>
    <n v="200.15078820201126"/>
    <n v="453.14821994850223"/>
    <n v="378.85541608202078"/>
  </r>
  <r>
    <x v="9"/>
    <s v="FEBRERO10009386Inventario final"/>
    <n v="0"/>
    <n v="37.36"/>
    <n v="0"/>
    <n v="6799.5199999999995"/>
    <n v="1364.5316509538577"/>
    <n v="3089.3462586270148"/>
    <n v="2582.8537125591779"/>
  </r>
  <r>
    <x v="10"/>
    <s v="FEBRERO10007567Inventario final"/>
    <n v="1.7"/>
    <n v="88.76"/>
    <n v="150892"/>
    <n v="16154.320000000002"/>
    <n v="3241.8583870092189"/>
    <n v="7339.6781026695353"/>
    <n v="6136.3515933284971"/>
  </r>
  <r>
    <x v="11"/>
    <s v="FEBRERO10007162Inventario final"/>
    <n v="1.72"/>
    <n v="1.06"/>
    <n v="1823.2"/>
    <n v="192.92000000000002"/>
    <n v="38.715298447834293"/>
    <n v="87.652757873250422"/>
    <n v="73.282252015865339"/>
  </r>
  <r>
    <x v="11"/>
    <s v="FEBRERO10007162Inventario final"/>
    <n v="1.72"/>
    <n v="13.34"/>
    <n v="22944.799999999999"/>
    <n v="2427.88"/>
    <n v="487.22837857934854"/>
    <n v="1103.1016887067553"/>
    <n v="922.25022819966364"/>
  </r>
  <r>
    <x v="11"/>
    <s v="FEBRERO10007162Inventario final"/>
    <n v="1.72"/>
    <n v="15.58"/>
    <n v="26797.599999999999"/>
    <n v="2835.56"/>
    <n v="569.04183945024363"/>
    <n v="1288.3301581747562"/>
    <n v="1077.1108362331904"/>
  </r>
  <r>
    <x v="11"/>
    <s v="FEBRERO10007162Inventario final"/>
    <n v="1.72"/>
    <n v="4.9400000000000004"/>
    <n v="8496.8000000000011"/>
    <n v="899.08"/>
    <n v="180.4279003134919"/>
    <n v="408.49492820175197"/>
    <n v="341.52294807393844"/>
  </r>
  <r>
    <x v="11"/>
    <s v="FEBRERO10007162Inventario final"/>
    <n v="1.72"/>
    <n v="282.27999999999997"/>
    <n v="485521.59999999992"/>
    <n v="51374.959999999992"/>
    <n v="10309.957024391191"/>
    <n v="23342.094804208609"/>
    <n v="19515.201980224963"/>
  </r>
  <r>
    <x v="11"/>
    <s v="FEBRERO10007162Inventario final"/>
    <n v="1.72"/>
    <n v="1.96"/>
    <n v="3371.2"/>
    <n v="356.71999999999997"/>
    <n v="71.586778262033221"/>
    <n v="162.07491078450079"/>
    <n v="135.50303202933588"/>
  </r>
  <r>
    <x v="11"/>
    <s v="FEBRERO10007162Inventario final"/>
    <n v="1.72"/>
    <n v="52.64"/>
    <n v="90540.800000000003"/>
    <n v="9580.48"/>
    <n v="1922.6163304660349"/>
    <n v="4352.8690324980207"/>
    <n v="3639.2242887878783"/>
  </r>
  <r>
    <x v="12"/>
    <s v="FEBRERO10009639Inventario final"/>
    <n v="1.75"/>
    <n v="0.46"/>
    <n v="805"/>
    <n v="83.72"/>
    <n v="16.800978571701673"/>
    <n v="38.037989265750184"/>
    <n v="31.801732006884954"/>
  </r>
  <r>
    <x v="12"/>
    <s v="FEBRERO10009639Inventario final"/>
    <n v="1.75"/>
    <n v="1.94"/>
    <n v="3395"/>
    <n v="353.08"/>
    <n v="70.856300932828802"/>
    <n v="160.42108516425077"/>
    <n v="134.12034802903653"/>
  </r>
  <r>
    <x v="12"/>
    <s v="FEBRERO10009639Inventario final"/>
    <n v="1.75"/>
    <n v="2.2999999999999998"/>
    <n v="4024.9999999999995"/>
    <n v="418.59999999999997"/>
    <n v="84.004892858508356"/>
    <n v="190.18994632875089"/>
    <n v="159.00866003442476"/>
  </r>
  <r>
    <x v="13"/>
    <s v="FEBRERO10009239Inventario final"/>
    <n v="2.11"/>
    <n v="179.66"/>
    <n v="379082.6"/>
    <n v="32698.12"/>
    <n v="6561.8778482433099"/>
    <n v="14856.31554670582"/>
    <n v="12420.650374689023"/>
  </r>
  <r>
    <x v="13"/>
    <s v="FEBRERO10009239Inventario final"/>
    <n v="2.11"/>
    <n v="24.04"/>
    <n v="50724.399999999994"/>
    <n v="4375.28"/>
    <n v="878.03374970371351"/>
    <n v="1987.8983955405095"/>
    <n v="1661.9861683598135"/>
  </r>
  <r>
    <x v="3"/>
    <s v="FEBRERO10007050Inventario final"/>
    <n v="1.31"/>
    <n v="0.26"/>
    <n v="340.6"/>
    <n v="47.32"/>
    <n v="9.4962052796574685"/>
    <n v="21.499733063250105"/>
    <n v="17.974892003891497"/>
  </r>
  <r>
    <x v="3"/>
    <s v="FEBRERO10007050Inventario final"/>
    <n v="1.31"/>
    <n v="27.4"/>
    <n v="35894"/>
    <n v="4986.8"/>
    <n v="1000.7539410100561"/>
    <n v="2265.7410997425109"/>
    <n v="1894.2770804101037"/>
  </r>
  <r>
    <x v="14"/>
    <s v="FEBREROInventario final"/>
    <e v="#N/A"/>
    <n v="0"/>
    <n v="0"/>
    <n v="0"/>
    <n v="0"/>
    <n v="0"/>
    <n v="0"/>
  </r>
  <r>
    <x v="14"/>
    <s v="FEBREROInventario final"/>
    <e v="#N/A"/>
    <n v="0"/>
    <n v="0"/>
    <n v="0"/>
    <n v="0"/>
    <n v="0"/>
    <n v="0"/>
  </r>
  <r>
    <x v="14"/>
    <s v="FEBREROInventario final"/>
    <e v="#N/A"/>
    <n v="0"/>
    <n v="0"/>
    <n v="0"/>
    <n v="0"/>
    <n v="0"/>
    <n v="0"/>
  </r>
  <r>
    <x v="14"/>
    <s v="FEBREROInventario final"/>
    <e v="#N/A"/>
    <n v="0"/>
    <n v="0"/>
    <n v="0"/>
    <n v="0"/>
    <n v="0"/>
    <n v="0"/>
  </r>
  <r>
    <x v="15"/>
    <s v="FEBRERO10009332Inventario final"/>
    <n v="1.53"/>
    <n v="23.265000000000001"/>
    <n v="35595.449999999997"/>
    <n v="4234.2300000000005"/>
    <n v="849.72775319704226"/>
    <n v="1923.8126527558218"/>
    <n v="1608.407163348214"/>
  </r>
  <r>
    <x v="15"/>
    <s v="FEBRERO10009332Inventario final"/>
    <n v="1.53"/>
    <n v="40.29"/>
    <n v="61643.700000000004"/>
    <n v="7332.78"/>
    <n v="1471.5465796823053"/>
    <n v="3331.6317119936411"/>
    <n v="2785.4169186030322"/>
  </r>
  <r>
    <x v="14"/>
    <s v="FEBREROInventario final"/>
    <e v="#N/A"/>
    <n v="0"/>
    <n v="0"/>
    <n v="0"/>
    <n v="0"/>
    <n v="0"/>
    <n v="0"/>
  </r>
  <r>
    <x v="14"/>
    <s v="FEBREROInventario final"/>
    <e v="#N/A"/>
    <n v="0"/>
    <n v="0"/>
    <n v="0"/>
    <n v="0"/>
    <n v="0"/>
    <n v="0"/>
  </r>
  <r>
    <x v="14"/>
    <s v="FEBREROInventario final"/>
    <e v="#N/A"/>
    <n v="0"/>
    <n v="0"/>
    <n v="0"/>
    <n v="0"/>
    <n v="0"/>
    <n v="0"/>
  </r>
  <r>
    <x v="14"/>
    <s v="FEBREROInventario final"/>
    <e v="#N/A"/>
    <n v="0"/>
    <n v="0"/>
    <n v="0"/>
    <n v="0"/>
    <n v="0"/>
    <n v="0"/>
  </r>
  <r>
    <x v="14"/>
    <s v="FEBREROInventario final"/>
    <e v="#N/A"/>
    <n v="0"/>
    <n v="0"/>
    <n v="0"/>
    <n v="0"/>
    <n v="0"/>
    <n v="0"/>
  </r>
  <r>
    <x v="14"/>
    <s v="FEBREROInventario final"/>
    <e v="#N/A"/>
    <n v="0"/>
    <n v="0"/>
    <n v="0"/>
    <n v="0"/>
    <n v="0"/>
    <n v="0"/>
  </r>
  <r>
    <x v="16"/>
    <s v="FEBRERO10009224Inventario final"/>
    <e v="#N/A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078D2-3975-4442-ACD4-E8AFD1F25223}" name="TablaDinámica4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21" firstHeaderRow="0" firstDataRow="1" firstDataCol="1"/>
  <pivotFields count="9">
    <pivotField axis="axisRow" showAll="0">
      <items count="18">
        <item x="6"/>
        <item x="7"/>
        <item x="8"/>
        <item x="1"/>
        <item x="2"/>
        <item x="3"/>
        <item x="11"/>
        <item x="10"/>
        <item x="5"/>
        <item x="0"/>
        <item x="4"/>
        <item x="16"/>
        <item x="13"/>
        <item x="15"/>
        <item x="9"/>
        <item x="12"/>
        <item x="14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3" baseField="0" baseItem="0"/>
    <dataField name="Suma de Costo Ventas" fld="4" baseField="0" baseItem="0"/>
    <dataField name="Suma de Gasto Ventas" fld="5" baseField="0" baseItem="0"/>
    <dataField name="Suma de Gasto ADM" fld="6" baseField="0" baseItem="0"/>
    <dataField name="Suma de Gasto Fin" fld="7" baseField="0" baseItem="0"/>
    <dataField name="Suma de Depreciación" fld="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50" dT="2025-03-25T01:41:33.49" personId="{2113452B-73D1-4DD7-B783-BED3B4DD71F3}" id="{C87EF883-30C4-405A-828F-FD6A4F9A477E}">
    <text xml:space="preserve">Salida por muestreo de calidad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46" dT="2025-03-25T01:41:33.49" personId="{2113452B-73D1-4DD7-B783-BED3B4DD71F3}" id="{C2EFD358-6160-43E1-8FDF-2161BD213BE5}">
    <text xml:space="preserve">Salida por muestreo de calidad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Z45" dT="2025-03-25T01:41:33.49" personId="{2113452B-73D1-4DD7-B783-BED3B4DD71F3}" id="{53B486A3-A026-4DB1-B13F-7D075C5D5D9E}">
    <text xml:space="preserve">Salida por muestreo de calidad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B577-2E95-4F59-9B06-B1D9486E58A0}">
  <dimension ref="B2:BL31"/>
  <sheetViews>
    <sheetView showGridLines="0" tabSelected="1" topLeftCell="B1" zoomScale="80" zoomScaleNormal="80" workbookViewId="0">
      <pane xSplit="2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BK17" sqref="BK17"/>
    </sheetView>
  </sheetViews>
  <sheetFormatPr baseColWidth="10" defaultRowHeight="14.4" outlineLevelCol="1" x14ac:dyDescent="0.3"/>
  <cols>
    <col min="2" max="2" width="14.33203125" hidden="1" customWidth="1" outlineLevel="1"/>
    <col min="3" max="3" width="48" bestFit="1" customWidth="1" collapsed="1"/>
    <col min="4" max="4" width="12.88671875" bestFit="1" customWidth="1"/>
    <col min="5" max="5" width="12.88671875" customWidth="1"/>
    <col min="6" max="7" width="13.5546875" hidden="1" customWidth="1" outlineLevel="1"/>
    <col min="8" max="8" width="11.77734375" hidden="1" customWidth="1" outlineLevel="1"/>
    <col min="9" max="9" width="10.5546875" hidden="1" customWidth="1" outlineLevel="1"/>
    <col min="10" max="10" width="14.109375" hidden="1" customWidth="1" outlineLevel="1"/>
    <col min="11" max="11" width="13.77734375" hidden="1" customWidth="1" outlineLevel="1"/>
    <col min="12" max="12" width="13.44140625" hidden="1" customWidth="1" outlineLevel="1"/>
    <col min="13" max="13" width="17.33203125" hidden="1" customWidth="1" outlineLevel="1"/>
    <col min="14" max="14" width="23.33203125" hidden="1" customWidth="1" outlineLevel="1"/>
    <col min="15" max="15" width="4" hidden="1" customWidth="1" outlineLevel="1"/>
    <col min="16" max="16" width="18.21875" hidden="1" customWidth="1" outlineLevel="1"/>
    <col min="17" max="17" width="12.21875" hidden="1" customWidth="1" outlineLevel="1"/>
    <col min="18" max="18" width="13.77734375" hidden="1" customWidth="1" outlineLevel="1"/>
    <col min="19" max="19" width="13.44140625" hidden="1" customWidth="1" outlineLevel="1"/>
    <col min="20" max="20" width="6.44140625" customWidth="1" collapsed="1"/>
    <col min="21" max="22" width="0" hidden="1" customWidth="1" outlineLevel="1"/>
    <col min="23" max="23" width="12.6640625" hidden="1" customWidth="1" outlineLevel="1"/>
    <col min="24" max="25" width="0" hidden="1" customWidth="1" outlineLevel="1"/>
    <col min="26" max="26" width="12.6640625" hidden="1" customWidth="1" outlineLevel="1"/>
    <col min="27" max="28" width="0" hidden="1" customWidth="1" outlineLevel="1"/>
    <col min="29" max="29" width="12.6640625" hidden="1" customWidth="1" outlineLevel="1"/>
    <col min="30" max="31" width="0" hidden="1" customWidth="1" outlineLevel="1"/>
    <col min="32" max="32" width="12.6640625" hidden="1" customWidth="1" outlineLevel="1"/>
    <col min="33" max="34" width="0" hidden="1" customWidth="1" outlineLevel="1"/>
    <col min="35" max="35" width="12.6640625" hidden="1" customWidth="1" outlineLevel="1"/>
    <col min="36" max="37" width="0" hidden="1" customWidth="1" outlineLevel="1"/>
    <col min="38" max="38" width="12.6640625" hidden="1" customWidth="1" outlineLevel="1"/>
    <col min="39" max="40" width="0" hidden="1" customWidth="1" outlineLevel="1"/>
    <col min="41" max="41" width="12.6640625" hidden="1" customWidth="1" outlineLevel="1"/>
    <col min="42" max="42" width="11.5546875" collapsed="1"/>
    <col min="44" max="44" width="12.6640625" bestFit="1" customWidth="1"/>
    <col min="47" max="47" width="12.6640625" bestFit="1" customWidth="1"/>
    <col min="50" max="50" width="12.6640625" bestFit="1" customWidth="1"/>
    <col min="53" max="53" width="12.6640625" bestFit="1" customWidth="1"/>
    <col min="54" max="54" width="13.5546875" customWidth="1"/>
    <col min="55" max="55" width="13.6640625" bestFit="1" customWidth="1"/>
    <col min="56" max="56" width="11.88671875" bestFit="1" customWidth="1"/>
    <col min="57" max="57" width="11.44140625" bestFit="1" customWidth="1"/>
    <col min="58" max="58" width="14.21875" bestFit="1" customWidth="1"/>
    <col min="59" max="59" width="13.88671875" bestFit="1" customWidth="1"/>
    <col min="60" max="60" width="13.44140625" style="171" bestFit="1" customWidth="1"/>
    <col min="61" max="61" width="10.33203125" customWidth="1"/>
    <col min="62" max="62" width="13.109375" customWidth="1"/>
    <col min="64" max="64" width="13.44140625" bestFit="1" customWidth="1"/>
  </cols>
  <sheetData>
    <row r="2" spans="2:64" ht="15" thickBot="1" x14ac:dyDescent="0.35">
      <c r="C2" s="170" t="s">
        <v>166</v>
      </c>
    </row>
    <row r="3" spans="2:64" ht="15" thickBot="1" x14ac:dyDescent="0.35">
      <c r="F3" s="182" t="s">
        <v>167</v>
      </c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4"/>
      <c r="U3" s="145">
        <v>46119</v>
      </c>
      <c r="V3" s="145"/>
      <c r="W3" s="145"/>
      <c r="X3" s="145">
        <v>46122</v>
      </c>
      <c r="Y3" s="145"/>
      <c r="Z3" s="145"/>
      <c r="AA3" s="145">
        <v>46125</v>
      </c>
      <c r="AB3" s="145"/>
      <c r="AC3" s="145"/>
      <c r="AD3" s="145">
        <v>46129</v>
      </c>
      <c r="AE3" s="145"/>
      <c r="AF3" s="145"/>
      <c r="AG3" s="145">
        <v>46132</v>
      </c>
      <c r="AH3" s="145"/>
      <c r="AI3" s="145"/>
      <c r="AJ3" s="145">
        <v>46136</v>
      </c>
      <c r="AK3" s="145"/>
      <c r="AL3" s="145"/>
      <c r="AM3" s="145">
        <v>46139</v>
      </c>
      <c r="AN3" s="145"/>
      <c r="AO3" s="145"/>
      <c r="AP3" s="210" t="s">
        <v>163</v>
      </c>
      <c r="AQ3" s="210"/>
      <c r="AR3" s="210"/>
      <c r="AS3" s="200" t="s">
        <v>164</v>
      </c>
      <c r="AT3" s="200"/>
      <c r="AU3" s="200"/>
      <c r="AV3" s="200" t="s">
        <v>165</v>
      </c>
      <c r="AW3" s="200"/>
      <c r="AX3" s="226"/>
      <c r="AY3" s="228" t="s">
        <v>169</v>
      </c>
      <c r="AZ3" s="229"/>
      <c r="BA3" s="230"/>
      <c r="BB3" s="180" t="s">
        <v>168</v>
      </c>
      <c r="BC3" s="180"/>
      <c r="BD3" s="180"/>
      <c r="BE3" s="180"/>
      <c r="BF3" s="180"/>
      <c r="BG3" s="180"/>
      <c r="BH3" s="181"/>
      <c r="BI3" s="179" t="s">
        <v>172</v>
      </c>
      <c r="BJ3" s="180"/>
      <c r="BK3" s="180"/>
      <c r="BL3" s="181"/>
    </row>
    <row r="4" spans="2:64" ht="15" thickBot="1" x14ac:dyDescent="0.35">
      <c r="B4" s="153" t="s">
        <v>146</v>
      </c>
      <c r="C4" s="194" t="s">
        <v>162</v>
      </c>
      <c r="D4" s="190" t="s">
        <v>121</v>
      </c>
      <c r="E4" s="191" t="s">
        <v>170</v>
      </c>
      <c r="F4" s="172" t="s">
        <v>122</v>
      </c>
      <c r="G4" s="172" t="s">
        <v>123</v>
      </c>
      <c r="H4" s="172" t="s">
        <v>124</v>
      </c>
      <c r="I4" s="172" t="s">
        <v>125</v>
      </c>
      <c r="J4" s="172" t="s">
        <v>126</v>
      </c>
      <c r="K4" s="172" t="s">
        <v>127</v>
      </c>
      <c r="L4" s="173" t="s">
        <v>128</v>
      </c>
      <c r="M4" s="174" t="s">
        <v>129</v>
      </c>
      <c r="N4" s="174" t="s">
        <v>130</v>
      </c>
      <c r="O4" s="175"/>
      <c r="P4" s="176" t="s">
        <v>131</v>
      </c>
      <c r="Q4" s="177" t="s">
        <v>132</v>
      </c>
      <c r="R4" s="176" t="s">
        <v>127</v>
      </c>
      <c r="S4" s="178" t="s">
        <v>128</v>
      </c>
      <c r="U4" s="161" t="s">
        <v>134</v>
      </c>
      <c r="V4" s="146" t="s">
        <v>135</v>
      </c>
      <c r="W4" s="163" t="s">
        <v>136</v>
      </c>
      <c r="X4" s="146" t="s">
        <v>134</v>
      </c>
      <c r="Y4" s="163" t="s">
        <v>135</v>
      </c>
      <c r="Z4" s="146" t="s">
        <v>136</v>
      </c>
      <c r="AA4" s="163" t="s">
        <v>134</v>
      </c>
      <c r="AB4" s="146" t="s">
        <v>135</v>
      </c>
      <c r="AC4" s="163" t="s">
        <v>136</v>
      </c>
      <c r="AD4" s="146" t="s">
        <v>134</v>
      </c>
      <c r="AE4" s="163" t="s">
        <v>135</v>
      </c>
      <c r="AF4" s="146" t="s">
        <v>136</v>
      </c>
      <c r="AG4" s="163" t="s">
        <v>134</v>
      </c>
      <c r="AH4" s="146" t="s">
        <v>135</v>
      </c>
      <c r="AI4" s="163" t="s">
        <v>136</v>
      </c>
      <c r="AJ4" s="146" t="s">
        <v>134</v>
      </c>
      <c r="AK4" s="163" t="s">
        <v>135</v>
      </c>
      <c r="AL4" s="146" t="s">
        <v>136</v>
      </c>
      <c r="AM4" s="163" t="s">
        <v>134</v>
      </c>
      <c r="AN4" s="146" t="s">
        <v>135</v>
      </c>
      <c r="AO4" s="162" t="s">
        <v>136</v>
      </c>
      <c r="AP4" s="211" t="s">
        <v>134</v>
      </c>
      <c r="AQ4" s="212" t="s">
        <v>135</v>
      </c>
      <c r="AR4" s="213" t="s">
        <v>136</v>
      </c>
      <c r="AS4" s="201" t="s">
        <v>134</v>
      </c>
      <c r="AT4" s="202" t="s">
        <v>135</v>
      </c>
      <c r="AU4" s="203" t="s">
        <v>136</v>
      </c>
      <c r="AV4" s="201" t="s">
        <v>134</v>
      </c>
      <c r="AW4" s="202" t="s">
        <v>135</v>
      </c>
      <c r="AX4" s="201" t="s">
        <v>136</v>
      </c>
      <c r="AY4" s="231" t="s">
        <v>134</v>
      </c>
      <c r="AZ4" s="146" t="s">
        <v>135</v>
      </c>
      <c r="BA4" s="232" t="s">
        <v>136</v>
      </c>
      <c r="BB4" s="185" t="s">
        <v>122</v>
      </c>
      <c r="BC4" s="188" t="s">
        <v>123</v>
      </c>
      <c r="BD4" s="185" t="s">
        <v>124</v>
      </c>
      <c r="BE4" s="188" t="s">
        <v>125</v>
      </c>
      <c r="BF4" s="185" t="s">
        <v>126</v>
      </c>
      <c r="BG4" s="188" t="s">
        <v>127</v>
      </c>
      <c r="BH4" s="186" t="s">
        <v>128</v>
      </c>
      <c r="BI4" s="223" t="s">
        <v>134</v>
      </c>
      <c r="BJ4" s="223" t="s">
        <v>135</v>
      </c>
      <c r="BK4" s="224" t="s">
        <v>171</v>
      </c>
      <c r="BL4" s="225" t="s">
        <v>128</v>
      </c>
    </row>
    <row r="5" spans="2:64" x14ac:dyDescent="0.3">
      <c r="B5" s="154">
        <v>10005721</v>
      </c>
      <c r="C5" s="195" t="s">
        <v>148</v>
      </c>
      <c r="D5" s="192">
        <v>396.59999999999997</v>
      </c>
      <c r="E5" s="198">
        <f t="shared" ref="E5:E22" si="0">IFERROR(F5/D5,0)</f>
        <v>1739.9999999999998</v>
      </c>
      <c r="F5" s="149">
        <v>690083.99999999988</v>
      </c>
      <c r="G5" s="149">
        <v>72181.200000000012</v>
      </c>
      <c r="H5" s="149">
        <v>14485.365438123661</v>
      </c>
      <c r="I5" s="149">
        <v>32795.362049557654</v>
      </c>
      <c r="J5" s="149">
        <v>27418.623725936031</v>
      </c>
      <c r="K5" s="115">
        <v>0</v>
      </c>
      <c r="L5" s="117">
        <v>0</v>
      </c>
      <c r="M5" s="118">
        <f t="shared" ref="M5" si="1">F5+G5+H5+I5</f>
        <v>809545.92748768127</v>
      </c>
      <c r="N5" s="119">
        <f t="shared" ref="N5" si="2">IFERROR(M5/D5,0)</f>
        <v>2041.2151474727216</v>
      </c>
      <c r="P5" s="121">
        <v>2100</v>
      </c>
      <c r="Q5" s="121">
        <f>D5*P5</f>
        <v>832859.99999999988</v>
      </c>
      <c r="R5" s="121">
        <f t="shared" ref="R5:R19" si="3">Q5-M5</f>
        <v>23314.072512318613</v>
      </c>
      <c r="S5" s="150">
        <f t="shared" ref="S5:S22" si="4">IFERROR(R5/Q5,0)</f>
        <v>2.7992786917751623E-2</v>
      </c>
      <c r="U5" s="159" cm="1">
        <f t="array" ref="U5">SUM([2]Hoja3!$I$5:$I$19*([2]Hoja3!$F$5:$F$19=$B5)*([2]Hoja3!$G$5:$G$19=$U$3))</f>
        <v>293</v>
      </c>
      <c r="V5" s="158" cm="1">
        <f t="array" ref="V5">SUM([2]Hoja3!$J$5:$J$19*([2]Hoja3!$F$5:$F$19=$B5)*([2]Hoja3!$G$5:$G$19=$U$3))</f>
        <v>436600</v>
      </c>
      <c r="W5" s="156">
        <f>IFERROR(V5/U5,0)</f>
        <v>1490.1023890784984</v>
      </c>
      <c r="X5" s="158" cm="1">
        <f t="array" ref="X5">SUM([2]Hoja3!$I$5:$I$19*([2]Hoja3!$F$5:$F$19=$B5)*([2]Hoja3!$G$5:$G$19=$X$3))</f>
        <v>27</v>
      </c>
      <c r="Y5" s="156" cm="1">
        <f t="array" ref="Y5">SUM([2]Hoja3!$J$5:$J$19*([2]Hoja3!$F$5:$F$19=$B5)*([2]Hoja3!$G$5:$G$19=$X$3))</f>
        <v>43200</v>
      </c>
      <c r="Z5" s="158">
        <f>IFERROR(Y5/X5,0)</f>
        <v>1600</v>
      </c>
      <c r="AA5" s="156" cm="1">
        <f t="array" ref="AA5">SUM([2]Hoja3!$I$5:$I$19*([2]Hoja3!$F$5:$F$19=$B5)*([2]Hoja3!$G$5:$G$19=$AA$3))</f>
        <v>26</v>
      </c>
      <c r="AB5" s="158" cm="1">
        <f t="array" ref="AB5">SUM([2]Hoja3!$J$5:$J$19*([2]Hoja3!$F$5:$F$19=$B5)*([2]Hoja3!$G$5:$G$19=$AA$3))</f>
        <v>36400</v>
      </c>
      <c r="AC5" s="156">
        <f>IFERROR(AB5/AA5,0)</f>
        <v>1400</v>
      </c>
      <c r="AD5" s="158" cm="1">
        <f t="array" ref="AD5">SUM([2]Hoja3!$I$5:$I$19*([2]Hoja3!$F$5:$F$19=$B5)*([2]Hoja3!$G$5:$G$19=$AD$3))</f>
        <v>0</v>
      </c>
      <c r="AE5" s="156" cm="1">
        <f t="array" ref="AE5">SUM([2]Hoja3!$J$5:$J$19*([2]Hoja3!$F$5:$F$19=$B5)*([2]Hoja3!$G$5:$G$19=$AD$3))</f>
        <v>0</v>
      </c>
      <c r="AF5" s="158">
        <f>IFERROR(AE5/AD5,0)</f>
        <v>0</v>
      </c>
      <c r="AG5" s="156" cm="1">
        <f t="array" ref="AG5">SUM([2]Hoja3!$I$5:$I$19*([2]Hoja3!$F$5:$F$19=$B5)*([2]Hoja3!$G$5:$G$19=$AG$3))</f>
        <v>131</v>
      </c>
      <c r="AH5" s="158" cm="1">
        <f t="array" ref="AH5">SUM([2]Hoja3!$J$5:$J$19*([2]Hoja3!$F$5:$F$19=$B5)*([2]Hoja3!$G$5:$G$19=$AG$3))</f>
        <v>257800</v>
      </c>
      <c r="AI5" s="156">
        <f>IFERROR(AH5/AG5,0)</f>
        <v>1967.9389312977098</v>
      </c>
      <c r="AJ5" s="158" cm="1">
        <f t="array" ref="AJ5">SUM([2]Hoja3!$I$5:$I$19*([2]Hoja3!$F$5:$F$19=$B5)*([2]Hoja3!$G$5:$G$19=$AJ$3))</f>
        <v>0</v>
      </c>
      <c r="AK5" s="156" cm="1">
        <f t="array" ref="AK5">SUM([2]Hoja3!$J$5:$J$19*([2]Hoja3!$F$5:$F$19=$B5)*([2]Hoja3!$G$5:$G$19=$AJ$3))</f>
        <v>0</v>
      </c>
      <c r="AL5" s="158">
        <f>IFERROR(AK5/AJ5,0)</f>
        <v>0</v>
      </c>
      <c r="AM5" s="156" cm="1">
        <f t="array" ref="AM5">SUM([2]Hoja3!$I$5:$I$19*([2]Hoja3!$F$5:$F$19=$B5)*([2]Hoja3!$G$5:$G$19=$AM$3))</f>
        <v>26</v>
      </c>
      <c r="AN5" s="158" cm="1">
        <f t="array" ref="AN5">SUM([2]Hoja3!$J$5:$J$19*([2]Hoja3!$F$5:$F$19=$B5)*([2]Hoja3!$G$5:$G$19=$AM$3))</f>
        <v>36400</v>
      </c>
      <c r="AO5" s="160">
        <f>IFERROR(AN5/AM5,0)</f>
        <v>1400</v>
      </c>
      <c r="AP5" s="214">
        <f t="shared" ref="AP5:AP21" si="5">U5+X5+AA5</f>
        <v>346</v>
      </c>
      <c r="AQ5" s="215">
        <f t="shared" ref="AQ5:AQ21" si="6">V5+Y5+AB5</f>
        <v>516200</v>
      </c>
      <c r="AR5" s="216">
        <f>IFERROR(AQ5/AP5,0)</f>
        <v>1491.907514450867</v>
      </c>
      <c r="AS5" s="204">
        <f t="shared" ref="AS5:AS21" si="7">AD5+AG5+AJ5+AM5</f>
        <v>157</v>
      </c>
      <c r="AT5" s="205">
        <f t="shared" ref="AT5:AT21" si="8">AE5+AH5+AK5+AN5</f>
        <v>294200</v>
      </c>
      <c r="AU5" s="206">
        <f>IFERROR(AT5/AS5,0)</f>
        <v>1873.8853503184714</v>
      </c>
      <c r="AV5" s="204" cm="1">
        <f t="array" ref="AV5">SUM([2]Hoja3!$I$27:$I$34*([2]Hoja3!$F$27:$F$34=$B5))</f>
        <v>294</v>
      </c>
      <c r="AW5" s="205" cm="1">
        <f t="array" ref="AW5">SUM([2]Hoja3!$J$27:$J$34*([2]Hoja3!$F$27:$F$34=$B5))</f>
        <v>622200</v>
      </c>
      <c r="AX5" s="204">
        <f>IFERROR(AW5/AV5,0)</f>
        <v>2116.3265306122448</v>
      </c>
      <c r="AY5" s="155">
        <f t="shared" ref="AY5:AY21" si="9">AP5+AS5+AV5</f>
        <v>797</v>
      </c>
      <c r="AZ5" s="158">
        <f t="shared" ref="AZ5:AZ21" si="10">AQ5+AT5+AW5</f>
        <v>1432600</v>
      </c>
      <c r="BA5" s="157">
        <f>IFERROR(AZ5/AY5,0)</f>
        <v>1797.4905897114179</v>
      </c>
      <c r="BB5" s="156">
        <f t="shared" ref="BB5:BB21" si="11">AY5*E5</f>
        <v>1386779.9999999998</v>
      </c>
      <c r="BC5" s="158">
        <f>IFERROR(G5/$D5*$AY5,0)</f>
        <v>145054.00000000006</v>
      </c>
      <c r="BD5" s="156">
        <f>$BD$22/$AY$22*AY5</f>
        <v>24087.847133255877</v>
      </c>
      <c r="BE5" s="158">
        <f t="shared" ref="BE5:BE21" si="12">$BE$22/$AY$22*AY5</f>
        <v>54535.708546946647</v>
      </c>
      <c r="BF5" s="156">
        <f t="shared" ref="BF5:BF21" si="13">$BF$22/$AY$22*AY5</f>
        <v>45594.681041071526</v>
      </c>
      <c r="BG5" s="158">
        <f t="shared" ref="BG5:BG21" si="14">AZ5-BB5-BC5-BD5-BE5</f>
        <v>-177857.55568020235</v>
      </c>
      <c r="BH5" s="187">
        <f>IFERROR(BG5/AZ5,0)</f>
        <v>-0.12415018545316373</v>
      </c>
      <c r="BI5" s="220">
        <f>IF((AS5+AV5)&gt;D5,AS5+AV5-D5,0)</f>
        <v>54.400000000000034</v>
      </c>
      <c r="BJ5" s="221">
        <f t="shared" ref="BJ5:BJ21" si="15">IFERROR(AW5/AV5*BI5,0)</f>
        <v>115128.1632653062</v>
      </c>
      <c r="BK5" s="160">
        <f t="shared" ref="BK5:BK21" si="16">IFERROR(BJ5-(BB5+BC5+BD5+BE5)/AY5*BI5,0)</f>
        <v>5204.8370055783889</v>
      </c>
      <c r="BL5" s="187">
        <f t="shared" ref="BL5:BL22" si="17">IFERROR(BK5/BJ5,0)</f>
        <v>4.5209068380463457E-2</v>
      </c>
    </row>
    <row r="6" spans="2:64" x14ac:dyDescent="0.3">
      <c r="B6" s="154">
        <v>10005779</v>
      </c>
      <c r="C6" s="196" t="s">
        <v>149</v>
      </c>
      <c r="D6" s="192">
        <v>158.72</v>
      </c>
      <c r="E6" s="198">
        <f t="shared" si="0"/>
        <v>1860</v>
      </c>
      <c r="F6" s="149">
        <v>295219.20000000001</v>
      </c>
      <c r="G6" s="149">
        <v>28887.040000000001</v>
      </c>
      <c r="H6" s="149">
        <v>5797.068084566281</v>
      </c>
      <c r="I6" s="149">
        <v>13124.760122304062</v>
      </c>
      <c r="J6" s="149">
        <v>10972.980226375608</v>
      </c>
      <c r="K6" s="115">
        <v>0</v>
      </c>
      <c r="L6" s="117">
        <v>0</v>
      </c>
      <c r="M6" s="118">
        <f t="shared" ref="M6:M19" si="18">F6+G6+H6+I6</f>
        <v>343028.06820687035</v>
      </c>
      <c r="N6" s="119">
        <f t="shared" ref="N6:N19" si="19">IFERROR(M6/D6,0)</f>
        <v>2161.2151474727216</v>
      </c>
      <c r="P6" s="121">
        <v>1200</v>
      </c>
      <c r="Q6" s="121">
        <f t="shared" ref="Q6:Q19" si="20">D6*P6</f>
        <v>190464</v>
      </c>
      <c r="R6" s="121">
        <f t="shared" si="3"/>
        <v>-152564.06820687035</v>
      </c>
      <c r="S6" s="150">
        <f t="shared" si="4"/>
        <v>-0.80101262289393449</v>
      </c>
      <c r="U6" s="159" cm="1">
        <f t="array" ref="U6">SUM([2]Hoja3!$I$5:$I$19*([2]Hoja3!$F$5:$F$19=$B6)*([2]Hoja3!$G$5:$G$19=$U$3))</f>
        <v>0</v>
      </c>
      <c r="V6" s="158" cm="1">
        <f t="array" ref="V6">SUM([2]Hoja3!$J$5:$J$19*([2]Hoja3!$F$5:$F$19=$B6)*([2]Hoja3!$G$5:$G$19=$U$3))</f>
        <v>0</v>
      </c>
      <c r="W6" s="156">
        <f t="shared" ref="W6:W22" si="21">IFERROR(V6/U6,0)</f>
        <v>0</v>
      </c>
      <c r="X6" s="158" cm="1">
        <f t="array" ref="X6">SUM([2]Hoja3!$I$5:$I$19*([2]Hoja3!$F$5:$F$19=$B6)*([2]Hoja3!$G$5:$G$19=$X$3))</f>
        <v>0</v>
      </c>
      <c r="Y6" s="156" cm="1">
        <f t="array" ref="Y6">SUM([2]Hoja3!$J$5:$J$19*([2]Hoja3!$F$5:$F$19=$B6)*([2]Hoja3!$G$5:$G$19=$X$3))</f>
        <v>0</v>
      </c>
      <c r="Z6" s="158">
        <f t="shared" ref="Z6:Z22" si="22">IFERROR(Y6/X6,0)</f>
        <v>0</v>
      </c>
      <c r="AA6" s="156" cm="1">
        <f t="array" ref="AA6">SUM([2]Hoja3!$I$5:$I$19*([2]Hoja3!$F$5:$F$19=$B6)*([2]Hoja3!$G$5:$G$19=$AA$3))</f>
        <v>0</v>
      </c>
      <c r="AB6" s="158" cm="1">
        <f t="array" ref="AB6">SUM([2]Hoja3!$J$5:$J$19*([2]Hoja3!$F$5:$F$19=$B6)*([2]Hoja3!$G$5:$G$19=$AA$3))</f>
        <v>0</v>
      </c>
      <c r="AC6" s="156">
        <f t="shared" ref="AC6:AC22" si="23">IFERROR(AB6/AA6,0)</f>
        <v>0</v>
      </c>
      <c r="AD6" s="158" cm="1">
        <f t="array" ref="AD6">SUM([2]Hoja3!$I$5:$I$19*([2]Hoja3!$F$5:$F$19=$B6)*([2]Hoja3!$G$5:$G$19=$AD$3))</f>
        <v>0</v>
      </c>
      <c r="AE6" s="156" cm="1">
        <f t="array" ref="AE6">SUM([2]Hoja3!$J$5:$J$19*([2]Hoja3!$F$5:$F$19=$B6)*([2]Hoja3!$G$5:$G$19=$AD$3))</f>
        <v>0</v>
      </c>
      <c r="AF6" s="158">
        <f t="shared" ref="AF6:AF22" si="24">IFERROR(AE6/AD6,0)</f>
        <v>0</v>
      </c>
      <c r="AG6" s="156" cm="1">
        <f t="array" ref="AG6">SUM([2]Hoja3!$I$5:$I$19*([2]Hoja3!$F$5:$F$19=$B6)*([2]Hoja3!$G$5:$G$19=$AG$3))</f>
        <v>0</v>
      </c>
      <c r="AH6" s="158" cm="1">
        <f t="array" ref="AH6">SUM([2]Hoja3!$J$5:$J$19*([2]Hoja3!$F$5:$F$19=$B6)*([2]Hoja3!$G$5:$G$19=$AG$3))</f>
        <v>0</v>
      </c>
      <c r="AI6" s="156">
        <f t="shared" ref="AI6:AI22" si="25">IFERROR(AH6/AG6,0)</f>
        <v>0</v>
      </c>
      <c r="AJ6" s="158" cm="1">
        <f t="array" ref="AJ6">SUM([2]Hoja3!$I$5:$I$19*([2]Hoja3!$F$5:$F$19=$B6)*([2]Hoja3!$G$5:$G$19=$AJ$3))</f>
        <v>0</v>
      </c>
      <c r="AK6" s="156" cm="1">
        <f t="array" ref="AK6">SUM([2]Hoja3!$J$5:$J$19*([2]Hoja3!$F$5:$F$19=$B6)*([2]Hoja3!$G$5:$G$19=$AJ$3))</f>
        <v>0</v>
      </c>
      <c r="AL6" s="158">
        <f t="shared" ref="AL6:AL22" si="26">IFERROR(AK6/AJ6,0)</f>
        <v>0</v>
      </c>
      <c r="AM6" s="156" cm="1">
        <f t="array" ref="AM6">SUM([2]Hoja3!$I$5:$I$19*([2]Hoja3!$F$5:$F$19=$B6)*([2]Hoja3!$G$5:$G$19=$AM$3))</f>
        <v>0</v>
      </c>
      <c r="AN6" s="158" cm="1">
        <f t="array" ref="AN6">SUM([2]Hoja3!$J$5:$J$19*([2]Hoja3!$F$5:$F$19=$B6)*([2]Hoja3!$G$5:$G$19=$AM$3))</f>
        <v>0</v>
      </c>
      <c r="AO6" s="160">
        <f t="shared" ref="AO6:AO22" si="27">IFERROR(AN6/AM6,0)</f>
        <v>0</v>
      </c>
      <c r="AP6" s="214">
        <f t="shared" si="5"/>
        <v>0</v>
      </c>
      <c r="AQ6" s="215">
        <f t="shared" si="6"/>
        <v>0</v>
      </c>
      <c r="AR6" s="216">
        <f t="shared" ref="AR6:AR22" si="28">IFERROR(AQ6/AP6,0)</f>
        <v>0</v>
      </c>
      <c r="AS6" s="204">
        <f t="shared" si="7"/>
        <v>0</v>
      </c>
      <c r="AT6" s="205">
        <f t="shared" si="8"/>
        <v>0</v>
      </c>
      <c r="AU6" s="206">
        <f t="shared" ref="AU6:AU22" si="29">IFERROR(AT6/AS6,0)</f>
        <v>0</v>
      </c>
      <c r="AV6" s="204" cm="1">
        <f t="array" ref="AV6">SUM([2]Hoja3!$I$27:$I$34*([2]Hoja3!$F$27:$F$34=$B6))</f>
        <v>0</v>
      </c>
      <c r="AW6" s="205" cm="1">
        <f t="array" ref="AW6">SUM([2]Hoja3!$J$27:$J$34*([2]Hoja3!$F$27:$F$34=$B6))</f>
        <v>0</v>
      </c>
      <c r="AX6" s="204">
        <f t="shared" ref="AX6:AX22" si="30">IFERROR(AW6/AV6,0)</f>
        <v>0</v>
      </c>
      <c r="AY6" s="155">
        <f t="shared" si="9"/>
        <v>0</v>
      </c>
      <c r="AZ6" s="158">
        <f t="shared" si="10"/>
        <v>0</v>
      </c>
      <c r="BA6" s="157">
        <f t="shared" ref="BA6:BA22" si="31">IFERROR(AZ6/AY6,0)</f>
        <v>0</v>
      </c>
      <c r="BB6" s="156">
        <f t="shared" si="11"/>
        <v>0</v>
      </c>
      <c r="BC6" s="158">
        <f>IFERROR(G6/$D6*$AY6,0)</f>
        <v>0</v>
      </c>
      <c r="BD6" s="156">
        <f>$BD$22/$AY$22*AY6</f>
        <v>0</v>
      </c>
      <c r="BE6" s="158">
        <f t="shared" si="12"/>
        <v>0</v>
      </c>
      <c r="BF6" s="156">
        <f t="shared" si="13"/>
        <v>0</v>
      </c>
      <c r="BG6" s="158">
        <f t="shared" si="14"/>
        <v>0</v>
      </c>
      <c r="BH6" s="187">
        <f t="shared" ref="BH6:BH22" si="32">IFERROR(BG6/AZ6,0)</f>
        <v>0</v>
      </c>
      <c r="BI6" s="220">
        <f t="shared" ref="BI6:BI21" si="33">IF((AS6+AV6)&gt;D6,AS6+AV6-D6,0)</f>
        <v>0</v>
      </c>
      <c r="BJ6" s="222">
        <f t="shared" si="15"/>
        <v>0</v>
      </c>
      <c r="BK6" s="160">
        <f t="shared" si="16"/>
        <v>0</v>
      </c>
      <c r="BL6" s="187">
        <f t="shared" si="17"/>
        <v>0</v>
      </c>
    </row>
    <row r="7" spans="2:64" x14ac:dyDescent="0.3">
      <c r="B7" s="154">
        <v>10005781</v>
      </c>
      <c r="C7" s="196" t="s">
        <v>150</v>
      </c>
      <c r="D7" s="192">
        <v>5.48</v>
      </c>
      <c r="E7" s="198">
        <f t="shared" si="0"/>
        <v>1860</v>
      </c>
      <c r="F7" s="149">
        <v>10192.800000000001</v>
      </c>
      <c r="G7" s="149">
        <v>997.36000000000013</v>
      </c>
      <c r="H7" s="149">
        <v>200.15078820201126</v>
      </c>
      <c r="I7" s="149">
        <v>453.14821994850223</v>
      </c>
      <c r="J7" s="149">
        <v>378.85541608202078</v>
      </c>
      <c r="K7" s="115">
        <v>0</v>
      </c>
      <c r="L7" s="117">
        <v>0</v>
      </c>
      <c r="M7" s="118">
        <f t="shared" si="18"/>
        <v>11843.459008150514</v>
      </c>
      <c r="N7" s="119">
        <f t="shared" si="19"/>
        <v>2161.2151474727211</v>
      </c>
      <c r="P7" s="121">
        <v>1200</v>
      </c>
      <c r="Q7" s="121">
        <f t="shared" si="20"/>
        <v>6576.0000000000009</v>
      </c>
      <c r="R7" s="121">
        <f t="shared" si="3"/>
        <v>-5267.459008150513</v>
      </c>
      <c r="S7" s="150">
        <f t="shared" si="4"/>
        <v>-0.80101262289393438</v>
      </c>
      <c r="U7" s="159" cm="1">
        <f t="array" ref="U7">SUM([2]Hoja3!$I$5:$I$19*([2]Hoja3!$F$5:$F$19=$B7)*([2]Hoja3!$G$5:$G$19=$U$3))</f>
        <v>0</v>
      </c>
      <c r="V7" s="158" cm="1">
        <f t="array" ref="V7">SUM([2]Hoja3!$J$5:$J$19*([2]Hoja3!$F$5:$F$19=$B7)*([2]Hoja3!$G$5:$G$19=$U$3))</f>
        <v>0</v>
      </c>
      <c r="W7" s="156">
        <f t="shared" si="21"/>
        <v>0</v>
      </c>
      <c r="X7" s="158" cm="1">
        <f t="array" ref="X7">SUM([2]Hoja3!$I$5:$I$19*([2]Hoja3!$F$5:$F$19=$B7)*([2]Hoja3!$G$5:$G$19=$X$3))</f>
        <v>0</v>
      </c>
      <c r="Y7" s="156" cm="1">
        <f t="array" ref="Y7">SUM([2]Hoja3!$J$5:$J$19*([2]Hoja3!$F$5:$F$19=$B7)*([2]Hoja3!$G$5:$G$19=$X$3))</f>
        <v>0</v>
      </c>
      <c r="Z7" s="158">
        <f t="shared" si="22"/>
        <v>0</v>
      </c>
      <c r="AA7" s="156" cm="1">
        <f t="array" ref="AA7">SUM([2]Hoja3!$I$5:$I$19*([2]Hoja3!$F$5:$F$19=$B7)*([2]Hoja3!$G$5:$G$19=$AA$3))</f>
        <v>0</v>
      </c>
      <c r="AB7" s="158" cm="1">
        <f t="array" ref="AB7">SUM([2]Hoja3!$J$5:$J$19*([2]Hoja3!$F$5:$F$19=$B7)*([2]Hoja3!$G$5:$G$19=$AA$3))</f>
        <v>0</v>
      </c>
      <c r="AC7" s="156">
        <f t="shared" si="23"/>
        <v>0</v>
      </c>
      <c r="AD7" s="158" cm="1">
        <f t="array" ref="AD7">SUM([2]Hoja3!$I$5:$I$19*([2]Hoja3!$F$5:$F$19=$B7)*([2]Hoja3!$G$5:$G$19=$AD$3))</f>
        <v>0</v>
      </c>
      <c r="AE7" s="156" cm="1">
        <f t="array" ref="AE7">SUM([2]Hoja3!$J$5:$J$19*([2]Hoja3!$F$5:$F$19=$B7)*([2]Hoja3!$G$5:$G$19=$AD$3))</f>
        <v>0</v>
      </c>
      <c r="AF7" s="158">
        <f t="shared" si="24"/>
        <v>0</v>
      </c>
      <c r="AG7" s="156" cm="1">
        <f t="array" ref="AG7">SUM([2]Hoja3!$I$5:$I$19*([2]Hoja3!$F$5:$F$19=$B7)*([2]Hoja3!$G$5:$G$19=$AG$3))</f>
        <v>0</v>
      </c>
      <c r="AH7" s="158" cm="1">
        <f t="array" ref="AH7">SUM([2]Hoja3!$J$5:$J$19*([2]Hoja3!$F$5:$F$19=$B7)*([2]Hoja3!$G$5:$G$19=$AG$3))</f>
        <v>0</v>
      </c>
      <c r="AI7" s="156">
        <f t="shared" si="25"/>
        <v>0</v>
      </c>
      <c r="AJ7" s="158" cm="1">
        <f t="array" ref="AJ7">SUM([2]Hoja3!$I$5:$I$19*([2]Hoja3!$F$5:$F$19=$B7)*([2]Hoja3!$G$5:$G$19=$AJ$3))</f>
        <v>0</v>
      </c>
      <c r="AK7" s="156" cm="1">
        <f t="array" ref="AK7">SUM([2]Hoja3!$J$5:$J$19*([2]Hoja3!$F$5:$F$19=$B7)*([2]Hoja3!$G$5:$G$19=$AJ$3))</f>
        <v>0</v>
      </c>
      <c r="AL7" s="158">
        <f t="shared" si="26"/>
        <v>0</v>
      </c>
      <c r="AM7" s="156" cm="1">
        <f t="array" ref="AM7">SUM([2]Hoja3!$I$5:$I$19*([2]Hoja3!$F$5:$F$19=$B7)*([2]Hoja3!$G$5:$G$19=$AM$3))</f>
        <v>0</v>
      </c>
      <c r="AN7" s="158" cm="1">
        <f t="array" ref="AN7">SUM([2]Hoja3!$J$5:$J$19*([2]Hoja3!$F$5:$F$19=$B7)*([2]Hoja3!$G$5:$G$19=$AM$3))</f>
        <v>0</v>
      </c>
      <c r="AO7" s="160">
        <f t="shared" si="27"/>
        <v>0</v>
      </c>
      <c r="AP7" s="214">
        <f t="shared" si="5"/>
        <v>0</v>
      </c>
      <c r="AQ7" s="215">
        <f t="shared" si="6"/>
        <v>0</v>
      </c>
      <c r="AR7" s="216">
        <f t="shared" si="28"/>
        <v>0</v>
      </c>
      <c r="AS7" s="204">
        <f t="shared" si="7"/>
        <v>0</v>
      </c>
      <c r="AT7" s="205">
        <f t="shared" si="8"/>
        <v>0</v>
      </c>
      <c r="AU7" s="206">
        <f t="shared" si="29"/>
        <v>0</v>
      </c>
      <c r="AV7" s="204" cm="1">
        <f t="array" ref="AV7">SUM([2]Hoja3!$I$27:$I$34*([2]Hoja3!$F$27:$F$34=$B7))</f>
        <v>0</v>
      </c>
      <c r="AW7" s="205" cm="1">
        <f t="array" ref="AW7">SUM([2]Hoja3!$J$27:$J$34*([2]Hoja3!$F$27:$F$34=$B7))</f>
        <v>0</v>
      </c>
      <c r="AX7" s="204">
        <f t="shared" si="30"/>
        <v>0</v>
      </c>
      <c r="AY7" s="155">
        <f t="shared" si="9"/>
        <v>0</v>
      </c>
      <c r="AZ7" s="158">
        <f t="shared" si="10"/>
        <v>0</v>
      </c>
      <c r="BA7" s="157">
        <f t="shared" si="31"/>
        <v>0</v>
      </c>
      <c r="BB7" s="156">
        <f t="shared" si="11"/>
        <v>0</v>
      </c>
      <c r="BC7" s="158">
        <f>IFERROR(G7/$D7*$AY7,0)</f>
        <v>0</v>
      </c>
      <c r="BD7" s="156">
        <f>$BD$22/$AY$22*AY7</f>
        <v>0</v>
      </c>
      <c r="BE7" s="158">
        <f t="shared" si="12"/>
        <v>0</v>
      </c>
      <c r="BF7" s="156">
        <f t="shared" si="13"/>
        <v>0</v>
      </c>
      <c r="BG7" s="158">
        <f t="shared" si="14"/>
        <v>0</v>
      </c>
      <c r="BH7" s="187">
        <f t="shared" si="32"/>
        <v>0</v>
      </c>
      <c r="BI7" s="220">
        <f t="shared" si="33"/>
        <v>0</v>
      </c>
      <c r="BJ7" s="222">
        <f t="shared" si="15"/>
        <v>0</v>
      </c>
      <c r="BK7" s="160">
        <f t="shared" si="16"/>
        <v>0</v>
      </c>
      <c r="BL7" s="187">
        <f t="shared" si="17"/>
        <v>0</v>
      </c>
    </row>
    <row r="8" spans="2:64" x14ac:dyDescent="0.3">
      <c r="B8" s="154">
        <v>10006720</v>
      </c>
      <c r="C8" s="196" t="s">
        <v>151</v>
      </c>
      <c r="D8" s="192">
        <v>247.26</v>
      </c>
      <c r="E8" s="198">
        <f t="shared" si="0"/>
        <v>1640</v>
      </c>
      <c r="F8" s="149">
        <v>405506.39999999997</v>
      </c>
      <c r="G8" s="149">
        <v>45001.32</v>
      </c>
      <c r="H8" s="149">
        <v>9030.8912209542505</v>
      </c>
      <c r="I8" s="149">
        <v>20446.246143150849</v>
      </c>
      <c r="J8" s="149">
        <v>17094.12229570081</v>
      </c>
      <c r="K8" s="115">
        <v>0</v>
      </c>
      <c r="L8" s="117">
        <v>0</v>
      </c>
      <c r="M8" s="118">
        <f t="shared" si="18"/>
        <v>479984.85736410506</v>
      </c>
      <c r="N8" s="119">
        <f t="shared" si="19"/>
        <v>1941.2151474727214</v>
      </c>
      <c r="P8" s="121">
        <v>2150</v>
      </c>
      <c r="Q8" s="121">
        <f t="shared" si="20"/>
        <v>531609</v>
      </c>
      <c r="R8" s="121">
        <f t="shared" si="3"/>
        <v>51624.142635894939</v>
      </c>
      <c r="S8" s="150">
        <f t="shared" si="4"/>
        <v>9.7109233733618017E-2</v>
      </c>
      <c r="U8" s="159" cm="1">
        <f t="array" ref="U8">SUM([2]Hoja3!$I$5:$I$19*([2]Hoja3!$F$5:$F$19=$B8)*([2]Hoja3!$G$5:$G$19=$U$3))</f>
        <v>0</v>
      </c>
      <c r="V8" s="158" cm="1">
        <f t="array" ref="V8">SUM([2]Hoja3!$J$5:$J$19*([2]Hoja3!$F$5:$F$19=$B8)*([2]Hoja3!$G$5:$G$19=$U$3))</f>
        <v>0</v>
      </c>
      <c r="W8" s="156">
        <f t="shared" si="21"/>
        <v>0</v>
      </c>
      <c r="X8" s="158" cm="1">
        <f t="array" ref="X8">SUM([2]Hoja3!$I$5:$I$19*([2]Hoja3!$F$5:$F$19=$B8)*([2]Hoja3!$G$5:$G$19=$X$3))</f>
        <v>27</v>
      </c>
      <c r="Y8" s="156" cm="1">
        <f t="array" ref="Y8">SUM([2]Hoja3!$J$5:$J$19*([2]Hoja3!$F$5:$F$19=$B8)*([2]Hoja3!$G$5:$G$19=$X$3))</f>
        <v>45900</v>
      </c>
      <c r="Z8" s="158">
        <f t="shared" si="22"/>
        <v>1700</v>
      </c>
      <c r="AA8" s="156" cm="1">
        <f t="array" ref="AA8">SUM([2]Hoja3!$I$5:$I$19*([2]Hoja3!$F$5:$F$19=$B8)*([2]Hoja3!$G$5:$G$19=$AA$3))</f>
        <v>0</v>
      </c>
      <c r="AB8" s="158" cm="1">
        <f t="array" ref="AB8">SUM([2]Hoja3!$J$5:$J$19*([2]Hoja3!$F$5:$F$19=$B8)*([2]Hoja3!$G$5:$G$19=$AA$3))</f>
        <v>0</v>
      </c>
      <c r="AC8" s="156">
        <f t="shared" si="23"/>
        <v>0</v>
      </c>
      <c r="AD8" s="158" cm="1">
        <f t="array" ref="AD8">SUM([2]Hoja3!$I$5:$I$19*([2]Hoja3!$F$5:$F$19=$B8)*([2]Hoja3!$G$5:$G$19=$AD$3))</f>
        <v>0</v>
      </c>
      <c r="AE8" s="156" cm="1">
        <f t="array" ref="AE8">SUM([2]Hoja3!$J$5:$J$19*([2]Hoja3!$F$5:$F$19=$B8)*([2]Hoja3!$G$5:$G$19=$AD$3))</f>
        <v>0</v>
      </c>
      <c r="AF8" s="158">
        <f t="shared" si="24"/>
        <v>0</v>
      </c>
      <c r="AG8" s="156" cm="1">
        <f t="array" ref="AG8">SUM([2]Hoja3!$I$5:$I$19*([2]Hoja3!$F$5:$F$19=$B8)*([2]Hoja3!$G$5:$G$19=$AG$3))</f>
        <v>192</v>
      </c>
      <c r="AH8" s="158" cm="1">
        <f t="array" ref="AH8">SUM([2]Hoja3!$J$5:$J$19*([2]Hoja3!$F$5:$F$19=$B8)*([2]Hoja3!$G$5:$G$19=$AG$3))</f>
        <v>313200</v>
      </c>
      <c r="AI8" s="156">
        <f>IFERROR(AH8/AG8,0)</f>
        <v>1631.25</v>
      </c>
      <c r="AJ8" s="158" cm="1">
        <f t="array" ref="AJ8">SUM([2]Hoja3!$I$5:$I$19*([2]Hoja3!$F$5:$F$19=$B8)*([2]Hoja3!$G$5:$G$19=$AJ$3))</f>
        <v>0</v>
      </c>
      <c r="AK8" s="156" cm="1">
        <f t="array" ref="AK8">SUM([2]Hoja3!$J$5:$J$19*([2]Hoja3!$F$5:$F$19=$B8)*([2]Hoja3!$G$5:$G$19=$AJ$3))</f>
        <v>0</v>
      </c>
      <c r="AL8" s="158">
        <f t="shared" si="26"/>
        <v>0</v>
      </c>
      <c r="AM8" s="156" cm="1">
        <f t="array" ref="AM8">SUM([2]Hoja3!$I$5:$I$19*([2]Hoja3!$F$5:$F$19=$B8)*([2]Hoja3!$G$5:$G$19=$AM$3))</f>
        <v>0</v>
      </c>
      <c r="AN8" s="158" cm="1">
        <f t="array" ref="AN8">SUM([2]Hoja3!$J$5:$J$19*([2]Hoja3!$F$5:$F$19=$B8)*([2]Hoja3!$G$5:$G$19=$AM$3))</f>
        <v>0</v>
      </c>
      <c r="AO8" s="160">
        <f t="shared" si="27"/>
        <v>0</v>
      </c>
      <c r="AP8" s="214">
        <f t="shared" si="5"/>
        <v>27</v>
      </c>
      <c r="AQ8" s="215">
        <f t="shared" si="6"/>
        <v>45900</v>
      </c>
      <c r="AR8" s="216">
        <f t="shared" si="28"/>
        <v>1700</v>
      </c>
      <c r="AS8" s="204">
        <f t="shared" si="7"/>
        <v>192</v>
      </c>
      <c r="AT8" s="205">
        <f t="shared" si="8"/>
        <v>313200</v>
      </c>
      <c r="AU8" s="206">
        <f t="shared" si="29"/>
        <v>1631.25</v>
      </c>
      <c r="AV8" s="204" cm="1">
        <f t="array" ref="AV8">SUM([2]Hoja3!$I$27:$I$34*([2]Hoja3!$F$27:$F$34=$B8))</f>
        <v>105</v>
      </c>
      <c r="AW8" s="205" cm="1">
        <f t="array" ref="AW8">SUM([2]Hoja3!$J$27:$J$34*([2]Hoja3!$F$27:$F$34=$B8))</f>
        <v>227700</v>
      </c>
      <c r="AX8" s="204">
        <f t="shared" si="30"/>
        <v>2168.5714285714284</v>
      </c>
      <c r="AY8" s="155">
        <f t="shared" si="9"/>
        <v>324</v>
      </c>
      <c r="AZ8" s="158">
        <f t="shared" si="10"/>
        <v>586800</v>
      </c>
      <c r="BA8" s="157">
        <f t="shared" si="31"/>
        <v>1811.1111111111111</v>
      </c>
      <c r="BB8" s="156">
        <f t="shared" si="11"/>
        <v>531360</v>
      </c>
      <c r="BC8" s="158">
        <f>IFERROR(G8/$D8*$AY8,0)</f>
        <v>58968</v>
      </c>
      <c r="BD8" s="156">
        <f>$BD$22/$AY$22*AY8</f>
        <v>9792.2992110099167</v>
      </c>
      <c r="BE8" s="158">
        <f t="shared" si="12"/>
        <v>22170.09983589801</v>
      </c>
      <c r="BF8" s="156">
        <f t="shared" si="13"/>
        <v>18535.35339687224</v>
      </c>
      <c r="BG8" s="158">
        <f t="shared" si="14"/>
        <v>-35490.399046907929</v>
      </c>
      <c r="BH8" s="187">
        <f t="shared" si="32"/>
        <v>-6.048125263617575E-2</v>
      </c>
      <c r="BI8" s="220">
        <f t="shared" si="33"/>
        <v>49.740000000000009</v>
      </c>
      <c r="BJ8" s="220">
        <f t="shared" si="15"/>
        <v>107864.74285714288</v>
      </c>
      <c r="BK8" s="160">
        <f t="shared" si="16"/>
        <v>12331.642707163846</v>
      </c>
      <c r="BL8" s="187">
        <f t="shared" si="17"/>
        <v>0.11432505543999669</v>
      </c>
    </row>
    <row r="9" spans="2:64" x14ac:dyDescent="0.3">
      <c r="B9" s="154">
        <v>10006722</v>
      </c>
      <c r="C9" s="196" t="s">
        <v>152</v>
      </c>
      <c r="D9" s="192">
        <v>0.12</v>
      </c>
      <c r="E9" s="198">
        <f t="shared" si="0"/>
        <v>1870.0000000000002</v>
      </c>
      <c r="F9" s="149">
        <v>224.4</v>
      </c>
      <c r="G9" s="149">
        <v>21.84</v>
      </c>
      <c r="H9" s="149">
        <v>4.382863975226523</v>
      </c>
      <c r="I9" s="149">
        <v>9.922953721500047</v>
      </c>
      <c r="J9" s="149">
        <v>8.2961040017960741</v>
      </c>
      <c r="K9" s="115">
        <v>0</v>
      </c>
      <c r="L9" s="117">
        <v>0</v>
      </c>
      <c r="M9" s="118">
        <f t="shared" si="18"/>
        <v>260.54581769672654</v>
      </c>
      <c r="N9" s="119">
        <f t="shared" si="19"/>
        <v>2171.2151474727211</v>
      </c>
      <c r="P9" s="121">
        <v>2150</v>
      </c>
      <c r="Q9" s="121">
        <f t="shared" si="20"/>
        <v>258</v>
      </c>
      <c r="R9" s="121">
        <f t="shared" si="3"/>
        <v>-2.5458176967265445</v>
      </c>
      <c r="S9" s="150">
        <f t="shared" si="4"/>
        <v>-9.8675104524284674E-3</v>
      </c>
      <c r="U9" s="159" cm="1">
        <f t="array" ref="U9">SUM([2]Hoja3!$I$5:$I$19*([2]Hoja3!$F$5:$F$19=$B9)*([2]Hoja3!$G$5:$G$19=$U$3))</f>
        <v>0</v>
      </c>
      <c r="V9" s="158" cm="1">
        <f t="array" ref="V9">SUM([2]Hoja3!$J$5:$J$19*([2]Hoja3!$F$5:$F$19=$B9)*([2]Hoja3!$G$5:$G$19=$U$3))</f>
        <v>0</v>
      </c>
      <c r="W9" s="156">
        <f t="shared" si="21"/>
        <v>0</v>
      </c>
      <c r="X9" s="158" cm="1">
        <f t="array" ref="X9">SUM([2]Hoja3!$I$5:$I$19*([2]Hoja3!$F$5:$F$19=$B9)*([2]Hoja3!$G$5:$G$19=$X$3))</f>
        <v>0</v>
      </c>
      <c r="Y9" s="156" cm="1">
        <f t="array" ref="Y9">SUM([2]Hoja3!$J$5:$J$19*([2]Hoja3!$F$5:$F$19=$B9)*([2]Hoja3!$G$5:$G$19=$X$3))</f>
        <v>0</v>
      </c>
      <c r="Z9" s="158">
        <f t="shared" si="22"/>
        <v>0</v>
      </c>
      <c r="AA9" s="156" cm="1">
        <f t="array" ref="AA9">SUM([2]Hoja3!$I$5:$I$19*([2]Hoja3!$F$5:$F$19=$B9)*([2]Hoja3!$G$5:$G$19=$AA$3))</f>
        <v>0</v>
      </c>
      <c r="AB9" s="158" cm="1">
        <f t="array" ref="AB9">SUM([2]Hoja3!$J$5:$J$19*([2]Hoja3!$F$5:$F$19=$B9)*([2]Hoja3!$G$5:$G$19=$AA$3))</f>
        <v>0</v>
      </c>
      <c r="AC9" s="156">
        <f t="shared" si="23"/>
        <v>0</v>
      </c>
      <c r="AD9" s="158" cm="1">
        <f t="array" ref="AD9">SUM([2]Hoja3!$I$5:$I$19*([2]Hoja3!$F$5:$F$19=$B9)*([2]Hoja3!$G$5:$G$19=$AD$3))</f>
        <v>0</v>
      </c>
      <c r="AE9" s="156" cm="1">
        <f t="array" ref="AE9">SUM([2]Hoja3!$J$5:$J$19*([2]Hoja3!$F$5:$F$19=$B9)*([2]Hoja3!$G$5:$G$19=$AD$3))</f>
        <v>0</v>
      </c>
      <c r="AF9" s="158">
        <f t="shared" si="24"/>
        <v>0</v>
      </c>
      <c r="AG9" s="156" cm="1">
        <f t="array" ref="AG9">SUM([2]Hoja3!$I$5:$I$19*([2]Hoja3!$F$5:$F$19=$B9)*([2]Hoja3!$G$5:$G$19=$AG$3))</f>
        <v>0</v>
      </c>
      <c r="AH9" s="158" cm="1">
        <f t="array" ref="AH9">SUM([2]Hoja3!$J$5:$J$19*([2]Hoja3!$F$5:$F$19=$B9)*([2]Hoja3!$G$5:$G$19=$AG$3))</f>
        <v>0</v>
      </c>
      <c r="AI9" s="156">
        <f t="shared" si="25"/>
        <v>0</v>
      </c>
      <c r="AJ9" s="158" cm="1">
        <f t="array" ref="AJ9">SUM([2]Hoja3!$I$5:$I$19*([2]Hoja3!$F$5:$F$19=$B9)*([2]Hoja3!$G$5:$G$19=$AJ$3))</f>
        <v>0</v>
      </c>
      <c r="AK9" s="156" cm="1">
        <f t="array" ref="AK9">SUM([2]Hoja3!$J$5:$J$19*([2]Hoja3!$F$5:$F$19=$B9)*([2]Hoja3!$G$5:$G$19=$AJ$3))</f>
        <v>0</v>
      </c>
      <c r="AL9" s="158">
        <f t="shared" si="26"/>
        <v>0</v>
      </c>
      <c r="AM9" s="156" cm="1">
        <f t="array" ref="AM9">SUM([2]Hoja3!$I$5:$I$19*([2]Hoja3!$F$5:$F$19=$B9)*([2]Hoja3!$G$5:$G$19=$AM$3))</f>
        <v>0</v>
      </c>
      <c r="AN9" s="158" cm="1">
        <f t="array" ref="AN9">SUM([2]Hoja3!$J$5:$J$19*([2]Hoja3!$F$5:$F$19=$B9)*([2]Hoja3!$G$5:$G$19=$AM$3))</f>
        <v>0</v>
      </c>
      <c r="AO9" s="160">
        <f t="shared" si="27"/>
        <v>0</v>
      </c>
      <c r="AP9" s="214">
        <f t="shared" si="5"/>
        <v>0</v>
      </c>
      <c r="AQ9" s="215">
        <f t="shared" si="6"/>
        <v>0</v>
      </c>
      <c r="AR9" s="216">
        <f t="shared" si="28"/>
        <v>0</v>
      </c>
      <c r="AS9" s="204">
        <f t="shared" si="7"/>
        <v>0</v>
      </c>
      <c r="AT9" s="205">
        <f t="shared" si="8"/>
        <v>0</v>
      </c>
      <c r="AU9" s="206">
        <f t="shared" si="29"/>
        <v>0</v>
      </c>
      <c r="AV9" s="204" cm="1">
        <f t="array" ref="AV9">SUM([2]Hoja3!$I$27:$I$34*([2]Hoja3!$F$27:$F$34=$B9))</f>
        <v>0</v>
      </c>
      <c r="AW9" s="205" cm="1">
        <f t="array" ref="AW9">SUM([2]Hoja3!$J$27:$J$34*([2]Hoja3!$F$27:$F$34=$B9))</f>
        <v>0</v>
      </c>
      <c r="AX9" s="204">
        <f t="shared" si="30"/>
        <v>0</v>
      </c>
      <c r="AY9" s="155">
        <f t="shared" si="9"/>
        <v>0</v>
      </c>
      <c r="AZ9" s="158">
        <f t="shared" si="10"/>
        <v>0</v>
      </c>
      <c r="BA9" s="157">
        <f t="shared" si="31"/>
        <v>0</v>
      </c>
      <c r="BB9" s="156">
        <f t="shared" si="11"/>
        <v>0</v>
      </c>
      <c r="BC9" s="158">
        <f>IFERROR(G9/$D9*$AY9,0)</f>
        <v>0</v>
      </c>
      <c r="BD9" s="156">
        <f>$BD$22/$AY$22*AY9</f>
        <v>0</v>
      </c>
      <c r="BE9" s="158">
        <f t="shared" si="12"/>
        <v>0</v>
      </c>
      <c r="BF9" s="156">
        <f t="shared" si="13"/>
        <v>0</v>
      </c>
      <c r="BG9" s="158">
        <f t="shared" si="14"/>
        <v>0</v>
      </c>
      <c r="BH9" s="187">
        <f t="shared" si="32"/>
        <v>0</v>
      </c>
      <c r="BI9" s="220">
        <f t="shared" si="33"/>
        <v>0</v>
      </c>
      <c r="BJ9" s="222">
        <f t="shared" si="15"/>
        <v>0</v>
      </c>
      <c r="BK9" s="160">
        <f t="shared" si="16"/>
        <v>0</v>
      </c>
      <c r="BL9" s="187">
        <f t="shared" si="17"/>
        <v>0</v>
      </c>
    </row>
    <row r="10" spans="2:64" x14ac:dyDescent="0.3">
      <c r="B10" s="154">
        <v>10009178</v>
      </c>
      <c r="C10" s="196" t="s">
        <v>156</v>
      </c>
      <c r="D10" s="192">
        <v>61.860000000000007</v>
      </c>
      <c r="E10" s="198">
        <f t="shared" si="0"/>
        <v>1729.9999999999995</v>
      </c>
      <c r="F10" s="149">
        <v>107017.79999999999</v>
      </c>
      <c r="G10" s="149">
        <v>11258.519999999999</v>
      </c>
      <c r="H10" s="149">
        <v>2259.3663792292728</v>
      </c>
      <c r="I10" s="149">
        <v>5115.2826434332746</v>
      </c>
      <c r="J10" s="149">
        <v>4276.6416129258769</v>
      </c>
      <c r="K10" s="115">
        <v>0</v>
      </c>
      <c r="L10" s="117">
        <v>0</v>
      </c>
      <c r="M10" s="118">
        <f>F10+G10+H10+I10</f>
        <v>125650.96902266255</v>
      </c>
      <c r="N10" s="119">
        <f>IFERROR(M10/D10,0)</f>
        <v>2031.2151474727214</v>
      </c>
      <c r="P10" s="121">
        <v>2150</v>
      </c>
      <c r="Q10" s="121">
        <f>D10*P10</f>
        <v>132999</v>
      </c>
      <c r="R10" s="121">
        <f>Q10-M10</f>
        <v>7348.0309773374465</v>
      </c>
      <c r="S10" s="150">
        <f>IFERROR(R10/Q10,0)</f>
        <v>5.5248768617338823E-2</v>
      </c>
      <c r="U10" s="159" cm="1">
        <f t="array" ref="U10">SUM([2]Hoja3!$I$5:$I$19*([2]Hoja3!$F$5:$F$19=$B10)*([2]Hoja3!$G$5:$G$19=$U$3))</f>
        <v>0</v>
      </c>
      <c r="V10" s="158" cm="1">
        <f t="array" ref="V10">SUM([2]Hoja3!$J$5:$J$19*([2]Hoja3!$F$5:$F$19=$B10)*([2]Hoja3!$G$5:$G$19=$U$3))</f>
        <v>0</v>
      </c>
      <c r="W10" s="156">
        <f t="shared" si="21"/>
        <v>0</v>
      </c>
      <c r="X10" s="158" cm="1">
        <f t="array" ref="X10">SUM([2]Hoja3!$I$5:$I$19*([2]Hoja3!$F$5:$F$19=$B10)*([2]Hoja3!$G$5:$G$19=$X$3))</f>
        <v>0</v>
      </c>
      <c r="Y10" s="156" cm="1">
        <f t="array" ref="Y10">SUM([2]Hoja3!$J$5:$J$19*([2]Hoja3!$F$5:$F$19=$B10)*([2]Hoja3!$G$5:$G$19=$X$3))</f>
        <v>0</v>
      </c>
      <c r="Z10" s="158">
        <f t="shared" si="22"/>
        <v>0</v>
      </c>
      <c r="AA10" s="156" cm="1">
        <f t="array" ref="AA10">SUM([2]Hoja3!$I$5:$I$19*([2]Hoja3!$F$5:$F$19=$B10)*([2]Hoja3!$G$5:$G$19=$AA$3))</f>
        <v>0</v>
      </c>
      <c r="AB10" s="158" cm="1">
        <f t="array" ref="AB10">SUM([2]Hoja3!$J$5:$J$19*([2]Hoja3!$F$5:$F$19=$B10)*([2]Hoja3!$G$5:$G$19=$AA$3))</f>
        <v>0</v>
      </c>
      <c r="AC10" s="156">
        <f t="shared" si="23"/>
        <v>0</v>
      </c>
      <c r="AD10" s="158" cm="1">
        <f t="array" ref="AD10">SUM([2]Hoja3!$I$5:$I$19*([2]Hoja3!$F$5:$F$19=$B10)*([2]Hoja3!$G$5:$G$19=$AD$3))</f>
        <v>0</v>
      </c>
      <c r="AE10" s="156" cm="1">
        <f t="array" ref="AE10">SUM([2]Hoja3!$J$5:$J$19*([2]Hoja3!$F$5:$F$19=$B10)*([2]Hoja3!$G$5:$G$19=$AD$3))</f>
        <v>0</v>
      </c>
      <c r="AF10" s="158">
        <f t="shared" si="24"/>
        <v>0</v>
      </c>
      <c r="AG10" s="156" cm="1">
        <f t="array" ref="AG10">SUM([2]Hoja3!$I$5:$I$19*([2]Hoja3!$F$5:$F$19=$B10)*([2]Hoja3!$G$5:$G$19=$AG$3))</f>
        <v>0</v>
      </c>
      <c r="AH10" s="158" cm="1">
        <f t="array" ref="AH10">SUM([2]Hoja3!$J$5:$J$19*([2]Hoja3!$F$5:$F$19=$B10)*([2]Hoja3!$G$5:$G$19=$AG$3))</f>
        <v>0</v>
      </c>
      <c r="AI10" s="156">
        <f t="shared" si="25"/>
        <v>0</v>
      </c>
      <c r="AJ10" s="158" cm="1">
        <f t="array" ref="AJ10">SUM([2]Hoja3!$I$5:$I$19*([2]Hoja3!$F$5:$F$19=$B10)*([2]Hoja3!$G$5:$G$19=$AJ$3))</f>
        <v>0</v>
      </c>
      <c r="AK10" s="156" cm="1">
        <f t="array" ref="AK10">SUM([2]Hoja3!$J$5:$J$19*([2]Hoja3!$F$5:$F$19=$B10)*([2]Hoja3!$G$5:$G$19=$AJ$3))</f>
        <v>0</v>
      </c>
      <c r="AL10" s="158">
        <f t="shared" si="26"/>
        <v>0</v>
      </c>
      <c r="AM10" s="156" cm="1">
        <f t="array" ref="AM10">SUM([2]Hoja3!$I$5:$I$19*([2]Hoja3!$F$5:$F$19=$B10)*([2]Hoja3!$G$5:$G$19=$AM$3))</f>
        <v>0</v>
      </c>
      <c r="AN10" s="158" cm="1">
        <f t="array" ref="AN10">SUM([2]Hoja3!$J$5:$J$19*([2]Hoja3!$F$5:$F$19=$B10)*([2]Hoja3!$G$5:$G$19=$AM$3))</f>
        <v>0</v>
      </c>
      <c r="AO10" s="160">
        <f t="shared" si="27"/>
        <v>0</v>
      </c>
      <c r="AP10" s="214">
        <f t="shared" si="5"/>
        <v>0</v>
      </c>
      <c r="AQ10" s="215">
        <f t="shared" si="6"/>
        <v>0</v>
      </c>
      <c r="AR10" s="216">
        <f t="shared" si="28"/>
        <v>0</v>
      </c>
      <c r="AS10" s="204">
        <f t="shared" si="7"/>
        <v>0</v>
      </c>
      <c r="AT10" s="205">
        <f t="shared" si="8"/>
        <v>0</v>
      </c>
      <c r="AU10" s="206">
        <f t="shared" si="29"/>
        <v>0</v>
      </c>
      <c r="AV10" s="204" cm="1">
        <f t="array" ref="AV10">SUM([2]Hoja3!$I$27:$I$34*([2]Hoja3!$F$27:$F$34=$B10))</f>
        <v>0</v>
      </c>
      <c r="AW10" s="205" cm="1">
        <f t="array" ref="AW10">SUM([2]Hoja3!$J$27:$J$34*([2]Hoja3!$F$27:$F$34=$B10))</f>
        <v>0</v>
      </c>
      <c r="AX10" s="204">
        <f t="shared" si="30"/>
        <v>0</v>
      </c>
      <c r="AY10" s="155">
        <f t="shared" si="9"/>
        <v>0</v>
      </c>
      <c r="AZ10" s="158">
        <f t="shared" si="10"/>
        <v>0</v>
      </c>
      <c r="BA10" s="157">
        <f t="shared" si="31"/>
        <v>0</v>
      </c>
      <c r="BB10" s="156">
        <f t="shared" si="11"/>
        <v>0</v>
      </c>
      <c r="BC10" s="158">
        <f>IFERROR(G10/$D10*$AY10,0)</f>
        <v>0</v>
      </c>
      <c r="BD10" s="156">
        <f>$BD$22/$AY$22*AY10</f>
        <v>0</v>
      </c>
      <c r="BE10" s="158">
        <f t="shared" si="12"/>
        <v>0</v>
      </c>
      <c r="BF10" s="156">
        <f t="shared" si="13"/>
        <v>0</v>
      </c>
      <c r="BG10" s="158">
        <f t="shared" si="14"/>
        <v>0</v>
      </c>
      <c r="BH10" s="187">
        <f t="shared" si="32"/>
        <v>0</v>
      </c>
      <c r="BI10" s="220">
        <f t="shared" si="33"/>
        <v>0</v>
      </c>
      <c r="BJ10" s="222">
        <f t="shared" si="15"/>
        <v>0</v>
      </c>
      <c r="BK10" s="160">
        <f t="shared" si="16"/>
        <v>0</v>
      </c>
      <c r="BL10" s="187">
        <f t="shared" si="17"/>
        <v>0</v>
      </c>
    </row>
    <row r="11" spans="2:64" x14ac:dyDescent="0.3">
      <c r="B11" s="154">
        <v>10007162</v>
      </c>
      <c r="C11" s="196" t="s">
        <v>154</v>
      </c>
      <c r="D11" s="192">
        <v>371.79999999999995</v>
      </c>
      <c r="E11" s="198">
        <f t="shared" si="0"/>
        <v>1720</v>
      </c>
      <c r="F11" s="149">
        <v>639495.99999999988</v>
      </c>
      <c r="G11" s="149">
        <v>67667.599999999991</v>
      </c>
      <c r="H11" s="149">
        <v>13579.573549910177</v>
      </c>
      <c r="I11" s="149">
        <v>30744.618280447645</v>
      </c>
      <c r="J11" s="149">
        <v>25704.095565564836</v>
      </c>
      <c r="K11" s="115">
        <v>0</v>
      </c>
      <c r="L11" s="117">
        <v>0</v>
      </c>
      <c r="M11" s="118">
        <f t="shared" si="18"/>
        <v>751487.79183035775</v>
      </c>
      <c r="N11" s="119">
        <f t="shared" si="19"/>
        <v>2021.2151474727214</v>
      </c>
      <c r="P11" s="121">
        <v>2700</v>
      </c>
      <c r="Q11" s="121">
        <f t="shared" si="20"/>
        <v>1003859.9999999999</v>
      </c>
      <c r="R11" s="121">
        <f t="shared" si="3"/>
        <v>252372.20816964214</v>
      </c>
      <c r="S11" s="150">
        <f t="shared" si="4"/>
        <v>0.25140179723232536</v>
      </c>
      <c r="U11" s="159" cm="1">
        <f t="array" ref="U11">SUM([2]Hoja3!$I$5:$I$19*([2]Hoja3!$F$5:$F$19=$B11)*([2]Hoja3!$G$5:$G$19=$U$3))</f>
        <v>0</v>
      </c>
      <c r="V11" s="158" cm="1">
        <f t="array" ref="V11">SUM([2]Hoja3!$J$5:$J$19*([2]Hoja3!$F$5:$F$19=$B11)*([2]Hoja3!$G$5:$G$19=$U$3))</f>
        <v>0</v>
      </c>
      <c r="W11" s="156">
        <f t="shared" si="21"/>
        <v>0</v>
      </c>
      <c r="X11" s="158" cm="1">
        <f t="array" ref="X11">SUM([2]Hoja3!$I$5:$I$19*([2]Hoja3!$F$5:$F$19=$B11)*([2]Hoja3!$G$5:$G$19=$X$3))</f>
        <v>0</v>
      </c>
      <c r="Y11" s="156" cm="1">
        <f t="array" ref="Y11">SUM([2]Hoja3!$J$5:$J$19*([2]Hoja3!$F$5:$F$19=$B11)*([2]Hoja3!$G$5:$G$19=$X$3))</f>
        <v>0</v>
      </c>
      <c r="Z11" s="158">
        <f t="shared" si="22"/>
        <v>0</v>
      </c>
      <c r="AA11" s="156" cm="1">
        <f t="array" ref="AA11">SUM([2]Hoja3!$I$5:$I$19*([2]Hoja3!$F$5:$F$19=$B11)*([2]Hoja3!$G$5:$G$19=$AA$3))</f>
        <v>0</v>
      </c>
      <c r="AB11" s="158" cm="1">
        <f t="array" ref="AB11">SUM([2]Hoja3!$J$5:$J$19*([2]Hoja3!$F$5:$F$19=$B11)*([2]Hoja3!$G$5:$G$19=$AA$3))</f>
        <v>0</v>
      </c>
      <c r="AC11" s="156">
        <f t="shared" si="23"/>
        <v>0</v>
      </c>
      <c r="AD11" s="158" cm="1">
        <f t="array" ref="AD11">SUM([2]Hoja3!$I$5:$I$19*([2]Hoja3!$F$5:$F$19=$B11)*([2]Hoja3!$G$5:$G$19=$AD$3))</f>
        <v>0</v>
      </c>
      <c r="AE11" s="156" cm="1">
        <f t="array" ref="AE11">SUM([2]Hoja3!$J$5:$J$19*([2]Hoja3!$F$5:$F$19=$B11)*([2]Hoja3!$G$5:$G$19=$AD$3))</f>
        <v>0</v>
      </c>
      <c r="AF11" s="158">
        <f t="shared" si="24"/>
        <v>0</v>
      </c>
      <c r="AG11" s="156" cm="1">
        <f t="array" ref="AG11">SUM([2]Hoja3!$I$5:$I$19*([2]Hoja3!$F$5:$F$19=$B11)*([2]Hoja3!$G$5:$G$19=$AG$3))</f>
        <v>0</v>
      </c>
      <c r="AH11" s="158" cm="1">
        <f t="array" ref="AH11">SUM([2]Hoja3!$J$5:$J$19*([2]Hoja3!$F$5:$F$19=$B11)*([2]Hoja3!$G$5:$G$19=$AG$3))</f>
        <v>0</v>
      </c>
      <c r="AI11" s="156">
        <f t="shared" si="25"/>
        <v>0</v>
      </c>
      <c r="AJ11" s="158" cm="1">
        <f t="array" ref="AJ11">SUM([2]Hoja3!$I$5:$I$19*([2]Hoja3!$F$5:$F$19=$B11)*([2]Hoja3!$G$5:$G$19=$AJ$3))</f>
        <v>0</v>
      </c>
      <c r="AK11" s="156" cm="1">
        <f t="array" ref="AK11">SUM([2]Hoja3!$J$5:$J$19*([2]Hoja3!$F$5:$F$19=$B11)*([2]Hoja3!$G$5:$G$19=$AJ$3))</f>
        <v>0</v>
      </c>
      <c r="AL11" s="158">
        <f t="shared" si="26"/>
        <v>0</v>
      </c>
      <c r="AM11" s="156" cm="1">
        <f t="array" ref="AM11">SUM([2]Hoja3!$I$5:$I$19*([2]Hoja3!$F$5:$F$19=$B11)*([2]Hoja3!$G$5:$G$19=$AM$3))</f>
        <v>0</v>
      </c>
      <c r="AN11" s="158" cm="1">
        <f t="array" ref="AN11">SUM([2]Hoja3!$J$5:$J$19*([2]Hoja3!$F$5:$F$19=$B11)*([2]Hoja3!$G$5:$G$19=$AM$3))</f>
        <v>0</v>
      </c>
      <c r="AO11" s="160">
        <f t="shared" si="27"/>
        <v>0</v>
      </c>
      <c r="AP11" s="214">
        <f t="shared" si="5"/>
        <v>0</v>
      </c>
      <c r="AQ11" s="215">
        <f t="shared" si="6"/>
        <v>0</v>
      </c>
      <c r="AR11" s="216">
        <f t="shared" si="28"/>
        <v>0</v>
      </c>
      <c r="AS11" s="204">
        <f t="shared" si="7"/>
        <v>0</v>
      </c>
      <c r="AT11" s="205">
        <f t="shared" si="8"/>
        <v>0</v>
      </c>
      <c r="AU11" s="206">
        <f t="shared" si="29"/>
        <v>0</v>
      </c>
      <c r="AV11" s="204" cm="1">
        <f t="array" ref="AV11">SUM([2]Hoja3!$I$27:$I$34*([2]Hoja3!$F$27:$F$34=$B11))</f>
        <v>135</v>
      </c>
      <c r="AW11" s="205" cm="1">
        <f t="array" ref="AW11">SUM([2]Hoja3!$J$27:$J$34*([2]Hoja3!$F$27:$F$34=$B11))</f>
        <v>380700</v>
      </c>
      <c r="AX11" s="204">
        <f t="shared" si="30"/>
        <v>2820</v>
      </c>
      <c r="AY11" s="155">
        <f t="shared" si="9"/>
        <v>135</v>
      </c>
      <c r="AZ11" s="158">
        <f t="shared" si="10"/>
        <v>380700</v>
      </c>
      <c r="BA11" s="157">
        <f t="shared" si="31"/>
        <v>2820</v>
      </c>
      <c r="BB11" s="156">
        <f t="shared" si="11"/>
        <v>232200</v>
      </c>
      <c r="BC11" s="158">
        <f>IFERROR(G11/$D11*$AY11,0)</f>
        <v>24570</v>
      </c>
      <c r="BD11" s="156">
        <f>$BD$22/$AY$22*AY11</f>
        <v>4080.124671254132</v>
      </c>
      <c r="BE11" s="158">
        <f t="shared" si="12"/>
        <v>9237.541598290838</v>
      </c>
      <c r="BF11" s="156">
        <f t="shared" si="13"/>
        <v>7723.0639153634338</v>
      </c>
      <c r="BG11" s="158">
        <f t="shared" si="14"/>
        <v>110612.33373045502</v>
      </c>
      <c r="BH11" s="187">
        <f t="shared" si="32"/>
        <v>0.29054986532822435</v>
      </c>
      <c r="BI11" s="220">
        <f t="shared" si="33"/>
        <v>0</v>
      </c>
      <c r="BJ11" s="220">
        <f t="shared" si="15"/>
        <v>0</v>
      </c>
      <c r="BK11" s="160">
        <f t="shared" si="16"/>
        <v>0</v>
      </c>
      <c r="BL11" s="187">
        <f t="shared" si="17"/>
        <v>0</v>
      </c>
    </row>
    <row r="12" spans="2:64" x14ac:dyDescent="0.3">
      <c r="B12" s="154">
        <v>10007567</v>
      </c>
      <c r="C12" s="196" t="s">
        <v>155</v>
      </c>
      <c r="D12" s="192">
        <v>88.76</v>
      </c>
      <c r="E12" s="198">
        <f t="shared" si="0"/>
        <v>1700</v>
      </c>
      <c r="F12" s="149">
        <v>150892</v>
      </c>
      <c r="G12" s="149">
        <v>16154.320000000002</v>
      </c>
      <c r="H12" s="149">
        <v>3241.8583870092189</v>
      </c>
      <c r="I12" s="149">
        <v>7339.6781026695353</v>
      </c>
      <c r="J12" s="149">
        <v>6136.3515933284971</v>
      </c>
      <c r="K12" s="115">
        <v>0</v>
      </c>
      <c r="L12" s="117">
        <v>0</v>
      </c>
      <c r="M12" s="118">
        <f t="shared" si="18"/>
        <v>177627.85648967876</v>
      </c>
      <c r="N12" s="119">
        <f t="shared" si="19"/>
        <v>2001.2151474727214</v>
      </c>
      <c r="P12" s="121">
        <v>2700</v>
      </c>
      <c r="Q12" s="121">
        <f t="shared" si="20"/>
        <v>239652</v>
      </c>
      <c r="R12" s="121">
        <f t="shared" si="3"/>
        <v>62024.143510321243</v>
      </c>
      <c r="S12" s="150">
        <f t="shared" si="4"/>
        <v>0.25880920463973278</v>
      </c>
      <c r="U12" s="159" cm="1">
        <f t="array" ref="U12">SUM([2]Hoja3!$I$5:$I$19*([2]Hoja3!$F$5:$F$19=$B12)*([2]Hoja3!$G$5:$G$19=$U$3))</f>
        <v>0</v>
      </c>
      <c r="V12" s="158" cm="1">
        <f t="array" ref="V12">SUM([2]Hoja3!$J$5:$J$19*([2]Hoja3!$F$5:$F$19=$B12)*([2]Hoja3!$G$5:$G$19=$U$3))</f>
        <v>0</v>
      </c>
      <c r="W12" s="156">
        <f t="shared" si="21"/>
        <v>0</v>
      </c>
      <c r="X12" s="158" cm="1">
        <f t="array" ref="X12">SUM([2]Hoja3!$I$5:$I$19*([2]Hoja3!$F$5:$F$19=$B12)*([2]Hoja3!$G$5:$G$19=$X$3))</f>
        <v>0</v>
      </c>
      <c r="Y12" s="156" cm="1">
        <f t="array" ref="Y12">SUM([2]Hoja3!$J$5:$J$19*([2]Hoja3!$F$5:$F$19=$B12)*([2]Hoja3!$G$5:$G$19=$X$3))</f>
        <v>0</v>
      </c>
      <c r="Z12" s="158">
        <f t="shared" si="22"/>
        <v>0</v>
      </c>
      <c r="AA12" s="156" cm="1">
        <f t="array" ref="AA12">SUM([2]Hoja3!$I$5:$I$19*([2]Hoja3!$F$5:$F$19=$B12)*([2]Hoja3!$G$5:$G$19=$AA$3))</f>
        <v>26</v>
      </c>
      <c r="AB12" s="158" cm="1">
        <f t="array" ref="AB12">SUM([2]Hoja3!$J$5:$J$19*([2]Hoja3!$F$5:$F$19=$B12)*([2]Hoja3!$G$5:$G$19=$AA$3))</f>
        <v>80600</v>
      </c>
      <c r="AC12" s="156">
        <f t="shared" si="23"/>
        <v>3100</v>
      </c>
      <c r="AD12" s="158" cm="1">
        <f t="array" ref="AD12">SUM([2]Hoja3!$I$5:$I$19*([2]Hoja3!$F$5:$F$19=$B12)*([2]Hoja3!$G$5:$G$19=$AD$3))</f>
        <v>0</v>
      </c>
      <c r="AE12" s="156" cm="1">
        <f t="array" ref="AE12">SUM([2]Hoja3!$J$5:$J$19*([2]Hoja3!$F$5:$F$19=$B12)*([2]Hoja3!$G$5:$G$19=$AD$3))</f>
        <v>0</v>
      </c>
      <c r="AF12" s="158">
        <f t="shared" si="24"/>
        <v>0</v>
      </c>
      <c r="AG12" s="156" cm="1">
        <f t="array" ref="AG12">SUM([2]Hoja3!$I$5:$I$19*([2]Hoja3!$F$5:$F$19=$B12)*([2]Hoja3!$G$5:$G$19=$AG$3))</f>
        <v>0</v>
      </c>
      <c r="AH12" s="158" cm="1">
        <f t="array" ref="AH12">SUM([2]Hoja3!$J$5:$J$19*([2]Hoja3!$F$5:$F$19=$B12)*([2]Hoja3!$G$5:$G$19=$AG$3))</f>
        <v>0</v>
      </c>
      <c r="AI12" s="156">
        <f t="shared" si="25"/>
        <v>0</v>
      </c>
      <c r="AJ12" s="158" cm="1">
        <f t="array" ref="AJ12">SUM([2]Hoja3!$I$5:$I$19*([2]Hoja3!$F$5:$F$19=$B12)*([2]Hoja3!$G$5:$G$19=$AJ$3))</f>
        <v>0</v>
      </c>
      <c r="AK12" s="156" cm="1">
        <f t="array" ref="AK12">SUM([2]Hoja3!$J$5:$J$19*([2]Hoja3!$F$5:$F$19=$B12)*([2]Hoja3!$G$5:$G$19=$AJ$3))</f>
        <v>0</v>
      </c>
      <c r="AL12" s="158">
        <f t="shared" si="26"/>
        <v>0</v>
      </c>
      <c r="AM12" s="156" cm="1">
        <f t="array" ref="AM12">SUM([2]Hoja3!$I$5:$I$19*([2]Hoja3!$F$5:$F$19=$B12)*([2]Hoja3!$G$5:$G$19=$AM$3))</f>
        <v>0</v>
      </c>
      <c r="AN12" s="158" cm="1">
        <f t="array" ref="AN12">SUM([2]Hoja3!$J$5:$J$19*([2]Hoja3!$F$5:$F$19=$B12)*([2]Hoja3!$G$5:$G$19=$AM$3))</f>
        <v>0</v>
      </c>
      <c r="AO12" s="160">
        <f t="shared" si="27"/>
        <v>0</v>
      </c>
      <c r="AP12" s="214">
        <f t="shared" si="5"/>
        <v>26</v>
      </c>
      <c r="AQ12" s="215">
        <f t="shared" si="6"/>
        <v>80600</v>
      </c>
      <c r="AR12" s="216">
        <f t="shared" si="28"/>
        <v>3100</v>
      </c>
      <c r="AS12" s="204">
        <f t="shared" si="7"/>
        <v>0</v>
      </c>
      <c r="AT12" s="205">
        <f t="shared" si="8"/>
        <v>0</v>
      </c>
      <c r="AU12" s="206">
        <f t="shared" si="29"/>
        <v>0</v>
      </c>
      <c r="AV12" s="204" cm="1">
        <f t="array" ref="AV12">SUM([2]Hoja3!$I$27:$I$34*([2]Hoja3!$F$27:$F$34=$B12))</f>
        <v>106</v>
      </c>
      <c r="AW12" s="205" cm="1">
        <f t="array" ref="AW12">SUM([2]Hoja3!$J$27:$J$34*([2]Hoja3!$F$27:$F$34=$B12))</f>
        <v>314980</v>
      </c>
      <c r="AX12" s="204">
        <f t="shared" si="30"/>
        <v>2971.5094339622642</v>
      </c>
      <c r="AY12" s="155">
        <f t="shared" si="9"/>
        <v>132</v>
      </c>
      <c r="AZ12" s="158">
        <f t="shared" si="10"/>
        <v>395580</v>
      </c>
      <c r="BA12" s="157">
        <f t="shared" si="31"/>
        <v>2996.818181818182</v>
      </c>
      <c r="BB12" s="156">
        <f t="shared" si="11"/>
        <v>224400</v>
      </c>
      <c r="BC12" s="158">
        <f>IFERROR(G12/$D12*$AY12,0)</f>
        <v>24024</v>
      </c>
      <c r="BD12" s="156">
        <f>$BD$22/$AY$22*AY12</f>
        <v>3989.4552341151511</v>
      </c>
      <c r="BE12" s="158">
        <f t="shared" si="12"/>
        <v>9032.2628961065966</v>
      </c>
      <c r="BF12" s="156">
        <f t="shared" si="13"/>
        <v>7551.4402727998013</v>
      </c>
      <c r="BG12" s="158">
        <f t="shared" si="14"/>
        <v>134134.28186977823</v>
      </c>
      <c r="BH12" s="187">
        <f t="shared" si="32"/>
        <v>0.33908256704024026</v>
      </c>
      <c r="BI12" s="220">
        <f t="shared" si="33"/>
        <v>17.239999999999995</v>
      </c>
      <c r="BJ12" s="220">
        <f t="shared" si="15"/>
        <v>51228.822641509418</v>
      </c>
      <c r="BK12" s="160">
        <f t="shared" si="16"/>
        <v>17082.427334198641</v>
      </c>
      <c r="BL12" s="187">
        <f t="shared" si="17"/>
        <v>0.33345344385012632</v>
      </c>
    </row>
    <row r="13" spans="2:64" x14ac:dyDescent="0.3">
      <c r="B13" s="154">
        <v>10009639</v>
      </c>
      <c r="C13" s="196" t="s">
        <v>161</v>
      </c>
      <c r="D13" s="192">
        <v>4.6999999999999993</v>
      </c>
      <c r="E13" s="198">
        <f t="shared" si="0"/>
        <v>1750.0000000000002</v>
      </c>
      <c r="F13" s="149">
        <v>8225</v>
      </c>
      <c r="G13" s="149">
        <v>855.39999999999986</v>
      </c>
      <c r="H13" s="149">
        <v>171.66217236303885</v>
      </c>
      <c r="I13" s="149">
        <v>388.64902075875182</v>
      </c>
      <c r="J13" s="149">
        <v>324.93074007034625</v>
      </c>
      <c r="K13" s="115">
        <v>0</v>
      </c>
      <c r="L13" s="117">
        <v>0</v>
      </c>
      <c r="M13" s="118">
        <f>F13+G13+H13+I13</f>
        <v>9640.7111931217914</v>
      </c>
      <c r="N13" s="119">
        <f>IFERROR(M13/D13,0)</f>
        <v>2051.215147472722</v>
      </c>
      <c r="P13" s="121">
        <v>2700</v>
      </c>
      <c r="Q13" s="121">
        <f>D13*P13</f>
        <v>12689.999999999998</v>
      </c>
      <c r="R13" s="121">
        <f>Q13-M13</f>
        <v>3049.2888068782067</v>
      </c>
      <c r="S13" s="150">
        <f>IFERROR(R13/Q13,0)</f>
        <v>0.24029068612121413</v>
      </c>
      <c r="U13" s="159" cm="1">
        <f t="array" ref="U13">SUM([2]Hoja3!$I$5:$I$19*([2]Hoja3!$F$5:$F$19=$B13)*([2]Hoja3!$G$5:$G$19=$U$3))</f>
        <v>0</v>
      </c>
      <c r="V13" s="158" cm="1">
        <f t="array" ref="V13">SUM([2]Hoja3!$J$5:$J$19*([2]Hoja3!$F$5:$F$19=$B13)*([2]Hoja3!$G$5:$G$19=$U$3))</f>
        <v>0</v>
      </c>
      <c r="W13" s="156">
        <f t="shared" si="21"/>
        <v>0</v>
      </c>
      <c r="X13" s="158" cm="1">
        <f t="array" ref="X13">SUM([2]Hoja3!$I$5:$I$19*([2]Hoja3!$F$5:$F$19=$B13)*([2]Hoja3!$G$5:$G$19=$X$3))</f>
        <v>0</v>
      </c>
      <c r="Y13" s="156" cm="1">
        <f t="array" ref="Y13">SUM([2]Hoja3!$J$5:$J$19*([2]Hoja3!$F$5:$F$19=$B13)*([2]Hoja3!$G$5:$G$19=$X$3))</f>
        <v>0</v>
      </c>
      <c r="Z13" s="158">
        <f t="shared" si="22"/>
        <v>0</v>
      </c>
      <c r="AA13" s="156" cm="1">
        <f t="array" ref="AA13">SUM([2]Hoja3!$I$5:$I$19*([2]Hoja3!$F$5:$F$19=$B13)*([2]Hoja3!$G$5:$G$19=$AA$3))</f>
        <v>0</v>
      </c>
      <c r="AB13" s="158" cm="1">
        <f t="array" ref="AB13">SUM([2]Hoja3!$J$5:$J$19*([2]Hoja3!$F$5:$F$19=$B13)*([2]Hoja3!$G$5:$G$19=$AA$3))</f>
        <v>0</v>
      </c>
      <c r="AC13" s="156">
        <f t="shared" si="23"/>
        <v>0</v>
      </c>
      <c r="AD13" s="158" cm="1">
        <f t="array" ref="AD13">SUM([2]Hoja3!$I$5:$I$19*([2]Hoja3!$F$5:$F$19=$B13)*([2]Hoja3!$G$5:$G$19=$AD$3))</f>
        <v>0</v>
      </c>
      <c r="AE13" s="156" cm="1">
        <f t="array" ref="AE13">SUM([2]Hoja3!$J$5:$J$19*([2]Hoja3!$F$5:$F$19=$B13)*([2]Hoja3!$G$5:$G$19=$AD$3))</f>
        <v>0</v>
      </c>
      <c r="AF13" s="158">
        <f t="shared" si="24"/>
        <v>0</v>
      </c>
      <c r="AG13" s="156" cm="1">
        <f t="array" ref="AG13">SUM([2]Hoja3!$I$5:$I$19*([2]Hoja3!$F$5:$F$19=$B13)*([2]Hoja3!$G$5:$G$19=$AG$3))</f>
        <v>0</v>
      </c>
      <c r="AH13" s="158" cm="1">
        <f t="array" ref="AH13">SUM([2]Hoja3!$J$5:$J$19*([2]Hoja3!$F$5:$F$19=$B13)*([2]Hoja3!$G$5:$G$19=$AG$3))</f>
        <v>0</v>
      </c>
      <c r="AI13" s="156">
        <f t="shared" si="25"/>
        <v>0</v>
      </c>
      <c r="AJ13" s="158" cm="1">
        <f t="array" ref="AJ13">SUM([2]Hoja3!$I$5:$I$19*([2]Hoja3!$F$5:$F$19=$B13)*([2]Hoja3!$G$5:$G$19=$AJ$3))</f>
        <v>0</v>
      </c>
      <c r="AK13" s="156" cm="1">
        <f t="array" ref="AK13">SUM([2]Hoja3!$J$5:$J$19*([2]Hoja3!$F$5:$F$19=$B13)*([2]Hoja3!$G$5:$G$19=$AJ$3))</f>
        <v>0</v>
      </c>
      <c r="AL13" s="158">
        <f t="shared" si="26"/>
        <v>0</v>
      </c>
      <c r="AM13" s="156" cm="1">
        <f t="array" ref="AM13">SUM([2]Hoja3!$I$5:$I$19*([2]Hoja3!$F$5:$F$19=$B13)*([2]Hoja3!$G$5:$G$19=$AM$3))</f>
        <v>0</v>
      </c>
      <c r="AN13" s="158" cm="1">
        <f t="array" ref="AN13">SUM([2]Hoja3!$J$5:$J$19*([2]Hoja3!$F$5:$F$19=$B13)*([2]Hoja3!$G$5:$G$19=$AM$3))</f>
        <v>0</v>
      </c>
      <c r="AO13" s="160">
        <f t="shared" si="27"/>
        <v>0</v>
      </c>
      <c r="AP13" s="214">
        <f t="shared" si="5"/>
        <v>0</v>
      </c>
      <c r="AQ13" s="215">
        <f t="shared" si="6"/>
        <v>0</v>
      </c>
      <c r="AR13" s="216">
        <f t="shared" si="28"/>
        <v>0</v>
      </c>
      <c r="AS13" s="204">
        <f t="shared" si="7"/>
        <v>0</v>
      </c>
      <c r="AT13" s="205">
        <f t="shared" si="8"/>
        <v>0</v>
      </c>
      <c r="AU13" s="206">
        <f t="shared" si="29"/>
        <v>0</v>
      </c>
      <c r="AV13" s="204" cm="1">
        <f t="array" ref="AV13">SUM([2]Hoja3!$I$27:$I$34*([2]Hoja3!$F$27:$F$34=$B13))</f>
        <v>0</v>
      </c>
      <c r="AW13" s="205" cm="1">
        <f t="array" ref="AW13">SUM([2]Hoja3!$J$27:$J$34*([2]Hoja3!$F$27:$F$34=$B13))</f>
        <v>0</v>
      </c>
      <c r="AX13" s="204">
        <f t="shared" si="30"/>
        <v>0</v>
      </c>
      <c r="AY13" s="155">
        <f t="shared" si="9"/>
        <v>0</v>
      </c>
      <c r="AZ13" s="158">
        <f t="shared" si="10"/>
        <v>0</v>
      </c>
      <c r="BA13" s="157">
        <f t="shared" si="31"/>
        <v>0</v>
      </c>
      <c r="BB13" s="156">
        <f t="shared" si="11"/>
        <v>0</v>
      </c>
      <c r="BC13" s="158">
        <f>IFERROR(G13/$D13*$AY13,0)</f>
        <v>0</v>
      </c>
      <c r="BD13" s="156">
        <f>$BD$22/$AY$22*AY13</f>
        <v>0</v>
      </c>
      <c r="BE13" s="158">
        <f t="shared" si="12"/>
        <v>0</v>
      </c>
      <c r="BF13" s="156">
        <f t="shared" si="13"/>
        <v>0</v>
      </c>
      <c r="BG13" s="158">
        <f t="shared" si="14"/>
        <v>0</v>
      </c>
      <c r="BH13" s="187">
        <f t="shared" si="32"/>
        <v>0</v>
      </c>
      <c r="BI13" s="220">
        <f t="shared" si="33"/>
        <v>0</v>
      </c>
      <c r="BJ13" s="222">
        <f t="shared" si="15"/>
        <v>0</v>
      </c>
      <c r="BK13" s="160">
        <f t="shared" si="16"/>
        <v>0</v>
      </c>
      <c r="BL13" s="187">
        <f t="shared" si="17"/>
        <v>0</v>
      </c>
    </row>
    <row r="14" spans="2:64" x14ac:dyDescent="0.3">
      <c r="B14" s="154">
        <v>10007050</v>
      </c>
      <c r="C14" s="196" t="s">
        <v>153</v>
      </c>
      <c r="D14" s="192">
        <v>70.744</v>
      </c>
      <c r="E14" s="198">
        <f t="shared" si="0"/>
        <v>1310.0000000000002</v>
      </c>
      <c r="F14" s="149">
        <v>92674.640000000014</v>
      </c>
      <c r="G14" s="149">
        <v>12875.407999999999</v>
      </c>
      <c r="H14" s="149">
        <v>2583.8444088618767</v>
      </c>
      <c r="I14" s="149">
        <v>5849.9119839483283</v>
      </c>
      <c r="J14" s="149">
        <v>4890.829845858847</v>
      </c>
      <c r="K14" s="115">
        <v>0</v>
      </c>
      <c r="L14" s="117">
        <v>0</v>
      </c>
      <c r="M14" s="118">
        <f>F14+G14+H14+I14</f>
        <v>113983.80439281021</v>
      </c>
      <c r="N14" s="119">
        <f>IFERROR(M14/D14,0)</f>
        <v>1611.2151474727216</v>
      </c>
      <c r="P14" s="121">
        <v>3950</v>
      </c>
      <c r="Q14" s="121">
        <f>D14*P14</f>
        <v>279438.8</v>
      </c>
      <c r="R14" s="121">
        <f>Q14-M14</f>
        <v>165454.99560718978</v>
      </c>
      <c r="S14" s="150">
        <f>IFERROR(R14/Q14,0)</f>
        <v>0.59209743101956414</v>
      </c>
      <c r="U14" s="159" cm="1">
        <f t="array" ref="U14">SUM([2]Hoja3!$I$5:$I$19*([2]Hoja3!$F$5:$F$19=$B14)*([2]Hoja3!$G$5:$G$19=$U$3))</f>
        <v>0</v>
      </c>
      <c r="V14" s="158" cm="1">
        <f t="array" ref="V14">SUM([2]Hoja3!$J$5:$J$19*([2]Hoja3!$F$5:$F$19=$B14)*([2]Hoja3!$G$5:$G$19=$U$3))</f>
        <v>0</v>
      </c>
      <c r="W14" s="156">
        <f t="shared" si="21"/>
        <v>0</v>
      </c>
      <c r="X14" s="158" cm="1">
        <f t="array" ref="X14">SUM([2]Hoja3!$I$5:$I$19*([2]Hoja3!$F$5:$F$19=$B14)*([2]Hoja3!$G$5:$G$19=$X$3))</f>
        <v>0</v>
      </c>
      <c r="Y14" s="156" cm="1">
        <f t="array" ref="Y14">SUM([2]Hoja3!$J$5:$J$19*([2]Hoja3!$F$5:$F$19=$B14)*([2]Hoja3!$G$5:$G$19=$X$3))</f>
        <v>0</v>
      </c>
      <c r="Z14" s="158">
        <f t="shared" si="22"/>
        <v>0</v>
      </c>
      <c r="AA14" s="156" cm="1">
        <f t="array" ref="AA14">SUM([2]Hoja3!$I$5:$I$19*([2]Hoja3!$F$5:$F$19=$B14)*([2]Hoja3!$G$5:$G$19=$AA$3))</f>
        <v>0</v>
      </c>
      <c r="AB14" s="158" cm="1">
        <f t="array" ref="AB14">SUM([2]Hoja3!$J$5:$J$19*([2]Hoja3!$F$5:$F$19=$B14)*([2]Hoja3!$G$5:$G$19=$AA$3))</f>
        <v>0</v>
      </c>
      <c r="AC14" s="156">
        <f t="shared" si="23"/>
        <v>0</v>
      </c>
      <c r="AD14" s="158" cm="1">
        <f t="array" ref="AD14">SUM([2]Hoja3!$I$5:$I$19*([2]Hoja3!$F$5:$F$19=$B14)*([2]Hoja3!$G$5:$G$19=$AD$3))</f>
        <v>27</v>
      </c>
      <c r="AE14" s="156" cm="1">
        <f t="array" ref="AE14">SUM([2]Hoja3!$J$5:$J$19*([2]Hoja3!$F$5:$F$19=$B14)*([2]Hoja3!$G$5:$G$19=$AD$3))</f>
        <v>97200</v>
      </c>
      <c r="AF14" s="158">
        <f t="shared" si="24"/>
        <v>3600</v>
      </c>
      <c r="AG14" s="156" cm="1">
        <f t="array" ref="AG14">SUM([2]Hoja3!$I$5:$I$19*([2]Hoja3!$F$5:$F$19=$B14)*([2]Hoja3!$G$5:$G$19=$AG$3))</f>
        <v>0</v>
      </c>
      <c r="AH14" s="158" cm="1">
        <f t="array" ref="AH14">SUM([2]Hoja3!$J$5:$J$19*([2]Hoja3!$F$5:$F$19=$B14)*([2]Hoja3!$G$5:$G$19=$AG$3))</f>
        <v>0</v>
      </c>
      <c r="AI14" s="156">
        <f t="shared" si="25"/>
        <v>0</v>
      </c>
      <c r="AJ14" s="158" cm="1">
        <f t="array" ref="AJ14">SUM([2]Hoja3!$I$5:$I$19*([2]Hoja3!$F$5:$F$19=$B14)*([2]Hoja3!$G$5:$G$19=$AJ$3))</f>
        <v>0</v>
      </c>
      <c r="AK14" s="156" cm="1">
        <f t="array" ref="AK14">SUM([2]Hoja3!$J$5:$J$19*([2]Hoja3!$F$5:$F$19=$B14)*([2]Hoja3!$G$5:$G$19=$AJ$3))</f>
        <v>0</v>
      </c>
      <c r="AL14" s="158">
        <f t="shared" si="26"/>
        <v>0</v>
      </c>
      <c r="AM14" s="156" cm="1">
        <f t="array" ref="AM14">SUM([2]Hoja3!$I$5:$I$19*([2]Hoja3!$F$5:$F$19=$B14)*([2]Hoja3!$G$5:$G$19=$AM$3))</f>
        <v>0</v>
      </c>
      <c r="AN14" s="158" cm="1">
        <f t="array" ref="AN14">SUM([2]Hoja3!$J$5:$J$19*([2]Hoja3!$F$5:$F$19=$B14)*([2]Hoja3!$G$5:$G$19=$AM$3))</f>
        <v>0</v>
      </c>
      <c r="AO14" s="160">
        <f t="shared" si="27"/>
        <v>0</v>
      </c>
      <c r="AP14" s="214">
        <f t="shared" si="5"/>
        <v>0</v>
      </c>
      <c r="AQ14" s="215">
        <f t="shared" si="6"/>
        <v>0</v>
      </c>
      <c r="AR14" s="216">
        <f t="shared" si="28"/>
        <v>0</v>
      </c>
      <c r="AS14" s="204">
        <f t="shared" si="7"/>
        <v>27</v>
      </c>
      <c r="AT14" s="205">
        <f t="shared" si="8"/>
        <v>97200</v>
      </c>
      <c r="AU14" s="206">
        <f t="shared" si="29"/>
        <v>3600</v>
      </c>
      <c r="AV14" s="204" cm="1">
        <f t="array" ref="AV14">SUM([2]Hoja3!$I$27:$I$34*([2]Hoja3!$F$27:$F$34=$B14))</f>
        <v>216</v>
      </c>
      <c r="AW14" s="205" cm="1">
        <f t="array" ref="AW14">SUM([2]Hoja3!$J$27:$J$34*([2]Hoja3!$F$27:$F$34=$B14))</f>
        <v>820800</v>
      </c>
      <c r="AX14" s="204">
        <f t="shared" si="30"/>
        <v>3800</v>
      </c>
      <c r="AY14" s="155">
        <f t="shared" si="9"/>
        <v>243</v>
      </c>
      <c r="AZ14" s="158">
        <f t="shared" si="10"/>
        <v>918000</v>
      </c>
      <c r="BA14" s="157">
        <f t="shared" si="31"/>
        <v>3777.7777777777778</v>
      </c>
      <c r="BB14" s="156">
        <f t="shared" si="11"/>
        <v>318330.00000000006</v>
      </c>
      <c r="BC14" s="158">
        <f>IFERROR(G14/$D14*$AY14,0)</f>
        <v>44226</v>
      </c>
      <c r="BD14" s="156">
        <f>$BD$22/$AY$22*AY14</f>
        <v>7344.224408257438</v>
      </c>
      <c r="BE14" s="158">
        <f t="shared" si="12"/>
        <v>16627.574876923507</v>
      </c>
      <c r="BF14" s="156">
        <f t="shared" si="13"/>
        <v>13901.51504765418</v>
      </c>
      <c r="BG14" s="158">
        <f t="shared" si="14"/>
        <v>531472.20071481913</v>
      </c>
      <c r="BH14" s="187">
        <f t="shared" si="32"/>
        <v>0.578945752412657</v>
      </c>
      <c r="BI14" s="220">
        <f t="shared" si="33"/>
        <v>172.256</v>
      </c>
      <c r="BJ14" s="220">
        <f t="shared" si="15"/>
        <v>654572.80000000005</v>
      </c>
      <c r="BK14" s="160">
        <f t="shared" si="16"/>
        <v>380573.90043757966</v>
      </c>
      <c r="BL14" s="187">
        <f t="shared" si="17"/>
        <v>0.58140805795410322</v>
      </c>
    </row>
    <row r="15" spans="2:64" x14ac:dyDescent="0.3">
      <c r="B15" s="154">
        <v>10009239</v>
      </c>
      <c r="C15" s="196" t="s">
        <v>159</v>
      </c>
      <c r="D15" s="192">
        <v>203.7</v>
      </c>
      <c r="E15" s="198">
        <f t="shared" si="0"/>
        <v>2110</v>
      </c>
      <c r="F15" s="149">
        <v>429807</v>
      </c>
      <c r="G15" s="149">
        <v>37073.4</v>
      </c>
      <c r="H15" s="149">
        <v>7439.9115979470234</v>
      </c>
      <c r="I15" s="149">
        <v>16844.21394224633</v>
      </c>
      <c r="J15" s="149">
        <v>14082.636543048837</v>
      </c>
      <c r="K15" s="115">
        <v>0</v>
      </c>
      <c r="L15" s="117">
        <v>0</v>
      </c>
      <c r="M15" s="118">
        <f t="shared" si="18"/>
        <v>491164.52554019337</v>
      </c>
      <c r="N15" s="119">
        <f t="shared" si="19"/>
        <v>2411.2151474727216</v>
      </c>
      <c r="P15" s="121">
        <v>3950</v>
      </c>
      <c r="Q15" s="121">
        <f t="shared" si="20"/>
        <v>804615</v>
      </c>
      <c r="R15" s="121">
        <f t="shared" si="3"/>
        <v>313450.47445980663</v>
      </c>
      <c r="S15" s="150">
        <f t="shared" si="4"/>
        <v>0.38956578544994391</v>
      </c>
      <c r="U15" s="159" cm="1">
        <f t="array" ref="U15">SUM([2]Hoja3!$I$5:$I$19*([2]Hoja3!$F$5:$F$19=$B15)*([2]Hoja3!$G$5:$G$19=$U$3))</f>
        <v>0</v>
      </c>
      <c r="V15" s="158" cm="1">
        <f t="array" ref="V15">SUM([2]Hoja3!$J$5:$J$19*([2]Hoja3!$F$5:$F$19=$B15)*([2]Hoja3!$G$5:$G$19=$U$3))</f>
        <v>0</v>
      </c>
      <c r="W15" s="156">
        <f t="shared" si="21"/>
        <v>0</v>
      </c>
      <c r="X15" s="158" cm="1">
        <f t="array" ref="X15">SUM([2]Hoja3!$I$5:$I$19*([2]Hoja3!$F$5:$F$19=$B15)*([2]Hoja3!$G$5:$G$19=$X$3))</f>
        <v>27</v>
      </c>
      <c r="Y15" s="156" cm="1">
        <f t="array" ref="Y15">SUM([2]Hoja3!$J$5:$J$19*([2]Hoja3!$F$5:$F$19=$B15)*([2]Hoja3!$G$5:$G$19=$X$3))</f>
        <v>94500</v>
      </c>
      <c r="Z15" s="158">
        <f t="shared" si="22"/>
        <v>3500</v>
      </c>
      <c r="AA15" s="156" cm="1">
        <f t="array" ref="AA15">SUM([2]Hoja3!$I$5:$I$19*([2]Hoja3!$F$5:$F$19=$B15)*([2]Hoja3!$G$5:$G$19=$AA$3))</f>
        <v>0</v>
      </c>
      <c r="AB15" s="158" cm="1">
        <f t="array" ref="AB15">SUM([2]Hoja3!$J$5:$J$19*([2]Hoja3!$F$5:$F$19=$B15)*([2]Hoja3!$G$5:$G$19=$AA$3))</f>
        <v>0</v>
      </c>
      <c r="AC15" s="156">
        <f t="shared" si="23"/>
        <v>0</v>
      </c>
      <c r="AD15" s="158" cm="1">
        <f t="array" ref="AD15">SUM([2]Hoja3!$I$5:$I$19*([2]Hoja3!$F$5:$F$19=$B15)*([2]Hoja3!$G$5:$G$19=$AD$3))</f>
        <v>162</v>
      </c>
      <c r="AE15" s="156" cm="1">
        <f t="array" ref="AE15">SUM([2]Hoja3!$J$5:$J$19*([2]Hoja3!$F$5:$F$19=$B15)*([2]Hoja3!$G$5:$G$19=$AD$3))</f>
        <v>631800</v>
      </c>
      <c r="AF15" s="158">
        <f t="shared" si="24"/>
        <v>3900</v>
      </c>
      <c r="AG15" s="156" cm="1">
        <f t="array" ref="AG15">SUM([2]Hoja3!$I$5:$I$19*([2]Hoja3!$F$5:$F$19=$B15)*([2]Hoja3!$G$5:$G$19=$AG$3))</f>
        <v>0</v>
      </c>
      <c r="AH15" s="158" cm="1">
        <f t="array" ref="AH15">SUM([2]Hoja3!$J$5:$J$19*([2]Hoja3!$F$5:$F$19=$B15)*([2]Hoja3!$G$5:$G$19=$AG$3))</f>
        <v>0</v>
      </c>
      <c r="AI15" s="156">
        <f t="shared" si="25"/>
        <v>0</v>
      </c>
      <c r="AJ15" s="158" cm="1">
        <f t="array" ref="AJ15">SUM([2]Hoja3!$I$5:$I$19*([2]Hoja3!$F$5:$F$19=$B15)*([2]Hoja3!$G$5:$G$19=$AJ$3))</f>
        <v>0</v>
      </c>
      <c r="AK15" s="156" cm="1">
        <f t="array" ref="AK15">SUM([2]Hoja3!$J$5:$J$19*([2]Hoja3!$F$5:$F$19=$B15)*([2]Hoja3!$G$5:$G$19=$AJ$3))</f>
        <v>0</v>
      </c>
      <c r="AL15" s="158">
        <f t="shared" si="26"/>
        <v>0</v>
      </c>
      <c r="AM15" s="156" cm="1">
        <f t="array" ref="AM15">SUM([2]Hoja3!$I$5:$I$19*([2]Hoja3!$F$5:$F$19=$B15)*([2]Hoja3!$G$5:$G$19=$AM$3))</f>
        <v>0</v>
      </c>
      <c r="AN15" s="158" cm="1">
        <f t="array" ref="AN15">SUM([2]Hoja3!$J$5:$J$19*([2]Hoja3!$F$5:$F$19=$B15)*([2]Hoja3!$G$5:$G$19=$AM$3))</f>
        <v>0</v>
      </c>
      <c r="AO15" s="160">
        <f t="shared" si="27"/>
        <v>0</v>
      </c>
      <c r="AP15" s="214">
        <f t="shared" si="5"/>
        <v>27</v>
      </c>
      <c r="AQ15" s="215">
        <f t="shared" si="6"/>
        <v>94500</v>
      </c>
      <c r="AR15" s="216">
        <f t="shared" si="28"/>
        <v>3500</v>
      </c>
      <c r="AS15" s="204">
        <f t="shared" si="7"/>
        <v>162</v>
      </c>
      <c r="AT15" s="205">
        <f t="shared" si="8"/>
        <v>631800</v>
      </c>
      <c r="AU15" s="206">
        <f t="shared" si="29"/>
        <v>3900</v>
      </c>
      <c r="AV15" s="204" cm="1">
        <f t="array" ref="AV15">SUM([2]Hoja3!$I$27:$I$34*([2]Hoja3!$F$27:$F$34=$B15))</f>
        <v>243</v>
      </c>
      <c r="AW15" s="205" cm="1">
        <f t="array" ref="AW15">SUM([2]Hoja3!$J$27:$J$34*([2]Hoja3!$F$27:$F$34=$B15))</f>
        <v>904500</v>
      </c>
      <c r="AX15" s="204">
        <f t="shared" si="30"/>
        <v>3722.2222222222222</v>
      </c>
      <c r="AY15" s="155">
        <f t="shared" si="9"/>
        <v>432</v>
      </c>
      <c r="AZ15" s="158">
        <f t="shared" si="10"/>
        <v>1630800</v>
      </c>
      <c r="BA15" s="157">
        <f t="shared" si="31"/>
        <v>3775</v>
      </c>
      <c r="BB15" s="156">
        <f t="shared" si="11"/>
        <v>911520</v>
      </c>
      <c r="BC15" s="158">
        <f>IFERROR(G15/$D15*$AY15,0)</f>
        <v>78624.000000000015</v>
      </c>
      <c r="BD15" s="156">
        <f>$BD$22/$AY$22*AY15</f>
        <v>13056.398948013222</v>
      </c>
      <c r="BE15" s="158">
        <f t="shared" si="12"/>
        <v>29560.133114530679</v>
      </c>
      <c r="BF15" s="156">
        <f t="shared" si="13"/>
        <v>24713.804529162986</v>
      </c>
      <c r="BG15" s="158">
        <f t="shared" si="14"/>
        <v>598039.46793745609</v>
      </c>
      <c r="BH15" s="187">
        <f t="shared" si="32"/>
        <v>0.36671539608624976</v>
      </c>
      <c r="BI15" s="220">
        <f t="shared" si="33"/>
        <v>201.3</v>
      </c>
      <c r="BJ15" s="220">
        <f t="shared" si="15"/>
        <v>749283.33333333337</v>
      </c>
      <c r="BK15" s="160">
        <f t="shared" si="16"/>
        <v>268045.61318474513</v>
      </c>
      <c r="BL15" s="187">
        <f t="shared" si="17"/>
        <v>0.35773598752329355</v>
      </c>
    </row>
    <row r="16" spans="2:64" x14ac:dyDescent="0.3">
      <c r="B16" s="154">
        <v>10009332</v>
      </c>
      <c r="C16" s="196" t="s">
        <v>160</v>
      </c>
      <c r="D16" s="192">
        <v>63.555</v>
      </c>
      <c r="E16" s="198">
        <f t="shared" si="0"/>
        <v>1530</v>
      </c>
      <c r="F16" s="149">
        <v>97239.15</v>
      </c>
      <c r="G16" s="149">
        <v>11567.01</v>
      </c>
      <c r="H16" s="149">
        <v>2321.2743328793476</v>
      </c>
      <c r="I16" s="149">
        <v>5255.4443647494627</v>
      </c>
      <c r="J16" s="149">
        <v>4393.8240819512466</v>
      </c>
      <c r="K16" s="115">
        <v>0</v>
      </c>
      <c r="L16" s="117">
        <v>0</v>
      </c>
      <c r="M16" s="118">
        <f t="shared" si="18"/>
        <v>116382.8786976288</v>
      </c>
      <c r="N16" s="119">
        <f t="shared" si="19"/>
        <v>1831.2151474727211</v>
      </c>
      <c r="P16" s="121">
        <v>2000</v>
      </c>
      <c r="Q16" s="121">
        <f t="shared" si="20"/>
        <v>127110</v>
      </c>
      <c r="R16" s="121">
        <f t="shared" si="3"/>
        <v>10727.121302371204</v>
      </c>
      <c r="S16" s="150">
        <f t="shared" si="4"/>
        <v>8.4392426263639408E-2</v>
      </c>
      <c r="U16" s="159" cm="1">
        <f t="array" ref="U16">SUM([2]Hoja3!$I$5:$I$19*([2]Hoja3!$F$5:$F$19=$B16)*([2]Hoja3!$G$5:$G$19=$U$3))</f>
        <v>0</v>
      </c>
      <c r="V16" s="158" cm="1">
        <f t="array" ref="V16">SUM([2]Hoja3!$J$5:$J$19*([2]Hoja3!$F$5:$F$19=$B16)*([2]Hoja3!$G$5:$G$19=$U$3))</f>
        <v>0</v>
      </c>
      <c r="W16" s="156">
        <f t="shared" si="21"/>
        <v>0</v>
      </c>
      <c r="X16" s="158" cm="1">
        <f t="array" ref="X16">SUM([2]Hoja3!$I$5:$I$19*([2]Hoja3!$F$5:$F$19=$B16)*([2]Hoja3!$G$5:$G$19=$X$3))</f>
        <v>0</v>
      </c>
      <c r="Y16" s="156" cm="1">
        <f t="array" ref="Y16">SUM([2]Hoja3!$J$5:$J$19*([2]Hoja3!$F$5:$F$19=$B16)*([2]Hoja3!$G$5:$G$19=$X$3))</f>
        <v>0</v>
      </c>
      <c r="Z16" s="158">
        <f t="shared" si="22"/>
        <v>0</v>
      </c>
      <c r="AA16" s="156" cm="1">
        <f t="array" ref="AA16">SUM([2]Hoja3!$I$5:$I$19*([2]Hoja3!$F$5:$F$19=$B16)*([2]Hoja3!$G$5:$G$19=$AA$3))</f>
        <v>0</v>
      </c>
      <c r="AB16" s="158" cm="1">
        <f t="array" ref="AB16">SUM([2]Hoja3!$J$5:$J$19*([2]Hoja3!$F$5:$F$19=$B16)*([2]Hoja3!$G$5:$G$19=$AA$3))</f>
        <v>0</v>
      </c>
      <c r="AC16" s="156">
        <f t="shared" si="23"/>
        <v>0</v>
      </c>
      <c r="AD16" s="158" cm="1">
        <f t="array" ref="AD16">SUM([2]Hoja3!$I$5:$I$19*([2]Hoja3!$F$5:$F$19=$B16)*([2]Hoja3!$G$5:$G$19=$AD$3))</f>
        <v>0</v>
      </c>
      <c r="AE16" s="156" cm="1">
        <f t="array" ref="AE16">SUM([2]Hoja3!$J$5:$J$19*([2]Hoja3!$F$5:$F$19=$B16)*([2]Hoja3!$G$5:$G$19=$AD$3))</f>
        <v>0</v>
      </c>
      <c r="AF16" s="158">
        <f t="shared" si="24"/>
        <v>0</v>
      </c>
      <c r="AG16" s="156" cm="1">
        <f t="array" ref="AG16">SUM([2]Hoja3!$I$5:$I$19*([2]Hoja3!$F$5:$F$19=$B16)*([2]Hoja3!$G$5:$G$19=$AG$3))</f>
        <v>0</v>
      </c>
      <c r="AH16" s="158" cm="1">
        <f t="array" ref="AH16">SUM([2]Hoja3!$J$5:$J$19*([2]Hoja3!$F$5:$F$19=$B16)*([2]Hoja3!$G$5:$G$19=$AG$3))</f>
        <v>0</v>
      </c>
      <c r="AI16" s="156">
        <f t="shared" si="25"/>
        <v>0</v>
      </c>
      <c r="AJ16" s="158" cm="1">
        <f t="array" ref="AJ16">SUM([2]Hoja3!$I$5:$I$19*([2]Hoja3!$F$5:$F$19=$B16)*([2]Hoja3!$G$5:$G$19=$AJ$3))</f>
        <v>0</v>
      </c>
      <c r="AK16" s="156" cm="1">
        <f t="array" ref="AK16">SUM([2]Hoja3!$J$5:$J$19*([2]Hoja3!$F$5:$F$19=$B16)*([2]Hoja3!$G$5:$G$19=$AJ$3))</f>
        <v>0</v>
      </c>
      <c r="AL16" s="158">
        <f t="shared" si="26"/>
        <v>0</v>
      </c>
      <c r="AM16" s="156" cm="1">
        <f t="array" ref="AM16">SUM([2]Hoja3!$I$5:$I$19*([2]Hoja3!$F$5:$F$19=$B16)*([2]Hoja3!$G$5:$G$19=$AM$3))</f>
        <v>0</v>
      </c>
      <c r="AN16" s="158" cm="1">
        <f t="array" ref="AN16">SUM([2]Hoja3!$J$5:$J$19*([2]Hoja3!$F$5:$F$19=$B16)*([2]Hoja3!$G$5:$G$19=$AM$3))</f>
        <v>0</v>
      </c>
      <c r="AO16" s="160">
        <f t="shared" si="27"/>
        <v>0</v>
      </c>
      <c r="AP16" s="214">
        <f t="shared" si="5"/>
        <v>0</v>
      </c>
      <c r="AQ16" s="215">
        <f t="shared" si="6"/>
        <v>0</v>
      </c>
      <c r="AR16" s="216">
        <f t="shared" si="28"/>
        <v>0</v>
      </c>
      <c r="AS16" s="204">
        <f t="shared" si="7"/>
        <v>0</v>
      </c>
      <c r="AT16" s="205">
        <f t="shared" si="8"/>
        <v>0</v>
      </c>
      <c r="AU16" s="206">
        <f t="shared" si="29"/>
        <v>0</v>
      </c>
      <c r="AV16" s="204" cm="1">
        <f t="array" ref="AV16">SUM([2]Hoja3!$I$27:$I$34*([2]Hoja3!$F$27:$F$34=$B16))</f>
        <v>0</v>
      </c>
      <c r="AW16" s="205" cm="1">
        <f t="array" ref="AW16">SUM([2]Hoja3!$J$27:$J$34*([2]Hoja3!$F$27:$F$34=$B16))</f>
        <v>0</v>
      </c>
      <c r="AX16" s="204">
        <f t="shared" si="30"/>
        <v>0</v>
      </c>
      <c r="AY16" s="155">
        <f t="shared" si="9"/>
        <v>0</v>
      </c>
      <c r="AZ16" s="158">
        <f t="shared" si="10"/>
        <v>0</v>
      </c>
      <c r="BA16" s="157">
        <f t="shared" si="31"/>
        <v>0</v>
      </c>
      <c r="BB16" s="156">
        <f t="shared" si="11"/>
        <v>0</v>
      </c>
      <c r="BC16" s="158">
        <f>IFERROR(G16/$D16*$AY16,0)</f>
        <v>0</v>
      </c>
      <c r="BD16" s="156">
        <f>$BD$22/$AY$22*AY16</f>
        <v>0</v>
      </c>
      <c r="BE16" s="158">
        <f t="shared" si="12"/>
        <v>0</v>
      </c>
      <c r="BF16" s="156">
        <f t="shared" si="13"/>
        <v>0</v>
      </c>
      <c r="BG16" s="158">
        <f t="shared" si="14"/>
        <v>0</v>
      </c>
      <c r="BH16" s="187">
        <f t="shared" si="32"/>
        <v>0</v>
      </c>
      <c r="BI16" s="220">
        <f t="shared" si="33"/>
        <v>0</v>
      </c>
      <c r="BJ16" s="222">
        <f t="shared" si="15"/>
        <v>0</v>
      </c>
      <c r="BK16" s="160">
        <f t="shared" si="16"/>
        <v>0</v>
      </c>
      <c r="BL16" s="187">
        <f t="shared" si="17"/>
        <v>0</v>
      </c>
    </row>
    <row r="17" spans="2:64" x14ac:dyDescent="0.3">
      <c r="B17" s="154">
        <v>10007969</v>
      </c>
      <c r="C17" s="196" t="s">
        <v>59</v>
      </c>
      <c r="D17" s="192">
        <v>50.9</v>
      </c>
      <c r="E17" s="198">
        <f t="shared" si="0"/>
        <v>1399.9999999999998</v>
      </c>
      <c r="F17" s="149">
        <v>71259.999999999985</v>
      </c>
      <c r="G17" s="149">
        <v>9263.7999999999993</v>
      </c>
      <c r="H17" s="149">
        <v>1859.0648028252504</v>
      </c>
      <c r="I17" s="149">
        <v>4208.9862035362703</v>
      </c>
      <c r="J17" s="149">
        <v>3518.9307807618352</v>
      </c>
      <c r="K17" s="115">
        <v>0</v>
      </c>
      <c r="L17" s="117">
        <v>0</v>
      </c>
      <c r="M17" s="118">
        <f>F17+G17+H17+I17</f>
        <v>86591.85100636151</v>
      </c>
      <c r="N17" s="119">
        <f>IFERROR(M17/D17,0)</f>
        <v>1701.2151474727214</v>
      </c>
      <c r="P17" s="121">
        <v>1800</v>
      </c>
      <c r="Q17" s="121">
        <f>D17*P17</f>
        <v>91620</v>
      </c>
      <c r="R17" s="121">
        <f>Q17-M17</f>
        <v>5028.1489936384896</v>
      </c>
      <c r="S17" s="150">
        <f>IFERROR(R17/Q17,0)</f>
        <v>5.4880473626265983E-2</v>
      </c>
      <c r="U17" s="159" cm="1">
        <f t="array" ref="U17">SUM([2]Hoja3!$I$5:$I$19*([2]Hoja3!$F$5:$F$19=$B17)*([2]Hoja3!$G$5:$G$19=$U$3))</f>
        <v>0</v>
      </c>
      <c r="V17" s="158" cm="1">
        <f t="array" ref="V17">SUM([2]Hoja3!$J$5:$J$19*([2]Hoja3!$F$5:$F$19=$B17)*([2]Hoja3!$G$5:$G$19=$U$3))</f>
        <v>0</v>
      </c>
      <c r="W17" s="156">
        <f t="shared" si="21"/>
        <v>0</v>
      </c>
      <c r="X17" s="158" cm="1">
        <f t="array" ref="X17">SUM([2]Hoja3!$I$5:$I$19*([2]Hoja3!$F$5:$F$19=$B17)*([2]Hoja3!$G$5:$G$19=$X$3))</f>
        <v>0</v>
      </c>
      <c r="Y17" s="156" cm="1">
        <f t="array" ref="Y17">SUM([2]Hoja3!$J$5:$J$19*([2]Hoja3!$F$5:$F$19=$B17)*([2]Hoja3!$G$5:$G$19=$X$3))</f>
        <v>0</v>
      </c>
      <c r="Z17" s="158">
        <f t="shared" si="22"/>
        <v>0</v>
      </c>
      <c r="AA17" s="156" cm="1">
        <f t="array" ref="AA17">SUM([2]Hoja3!$I$5:$I$19*([2]Hoja3!$F$5:$F$19=$B17)*([2]Hoja3!$G$5:$G$19=$AA$3))</f>
        <v>0</v>
      </c>
      <c r="AB17" s="158" cm="1">
        <f t="array" ref="AB17">SUM([2]Hoja3!$J$5:$J$19*([2]Hoja3!$F$5:$F$19=$B17)*([2]Hoja3!$G$5:$G$19=$AA$3))</f>
        <v>0</v>
      </c>
      <c r="AC17" s="156">
        <f t="shared" si="23"/>
        <v>0</v>
      </c>
      <c r="AD17" s="158" cm="1">
        <f t="array" ref="AD17">SUM([2]Hoja3!$I$5:$I$19*([2]Hoja3!$F$5:$F$19=$B17)*([2]Hoja3!$G$5:$G$19=$AD$3))</f>
        <v>0</v>
      </c>
      <c r="AE17" s="156" cm="1">
        <f t="array" ref="AE17">SUM([2]Hoja3!$J$5:$J$19*([2]Hoja3!$F$5:$F$19=$B17)*([2]Hoja3!$G$5:$G$19=$AD$3))</f>
        <v>0</v>
      </c>
      <c r="AF17" s="158">
        <f t="shared" si="24"/>
        <v>0</v>
      </c>
      <c r="AG17" s="156" cm="1">
        <f t="array" ref="AG17">SUM([2]Hoja3!$I$5:$I$19*([2]Hoja3!$F$5:$F$19=$B17)*([2]Hoja3!$G$5:$G$19=$AG$3))</f>
        <v>24</v>
      </c>
      <c r="AH17" s="158" cm="1">
        <f t="array" ref="AH17">SUM([2]Hoja3!$J$5:$J$19*([2]Hoja3!$F$5:$F$19=$B17)*([2]Hoja3!$G$5:$G$19=$AG$3))</f>
        <v>38400</v>
      </c>
      <c r="AI17" s="156">
        <f t="shared" si="25"/>
        <v>1600</v>
      </c>
      <c r="AJ17" s="158" cm="1">
        <f t="array" ref="AJ17">SUM([2]Hoja3!$I$5:$I$19*([2]Hoja3!$F$5:$F$19=$B17)*([2]Hoja3!$G$5:$G$19=$AJ$3))</f>
        <v>0</v>
      </c>
      <c r="AK17" s="156" cm="1">
        <f t="array" ref="AK17">SUM([2]Hoja3!$J$5:$J$19*([2]Hoja3!$F$5:$F$19=$B17)*([2]Hoja3!$G$5:$G$19=$AJ$3))</f>
        <v>0</v>
      </c>
      <c r="AL17" s="158">
        <f t="shared" si="26"/>
        <v>0</v>
      </c>
      <c r="AM17" s="156" cm="1">
        <f t="array" ref="AM17">SUM([2]Hoja3!$I$5:$I$19*([2]Hoja3!$F$5:$F$19=$B17)*([2]Hoja3!$G$5:$G$19=$AM$3))</f>
        <v>0</v>
      </c>
      <c r="AN17" s="158" cm="1">
        <f t="array" ref="AN17">SUM([2]Hoja3!$J$5:$J$19*([2]Hoja3!$F$5:$F$19=$B17)*([2]Hoja3!$G$5:$G$19=$AM$3))</f>
        <v>0</v>
      </c>
      <c r="AO17" s="160">
        <f t="shared" si="27"/>
        <v>0</v>
      </c>
      <c r="AP17" s="214">
        <f t="shared" si="5"/>
        <v>0</v>
      </c>
      <c r="AQ17" s="215">
        <f t="shared" si="6"/>
        <v>0</v>
      </c>
      <c r="AR17" s="216">
        <f t="shared" si="28"/>
        <v>0</v>
      </c>
      <c r="AS17" s="204">
        <f t="shared" si="7"/>
        <v>24</v>
      </c>
      <c r="AT17" s="205">
        <f t="shared" si="8"/>
        <v>38400</v>
      </c>
      <c r="AU17" s="206">
        <f t="shared" si="29"/>
        <v>1600</v>
      </c>
      <c r="AV17" s="204" cm="1">
        <f t="array" ref="AV17">SUM([2]Hoja3!$I$27:$I$34*([2]Hoja3!$F$27:$F$34=$B17))</f>
        <v>0</v>
      </c>
      <c r="AW17" s="205" cm="1">
        <f t="array" ref="AW17">SUM([2]Hoja3!$J$27:$J$34*([2]Hoja3!$F$27:$F$34=$B17))</f>
        <v>0</v>
      </c>
      <c r="AX17" s="204">
        <f t="shared" si="30"/>
        <v>0</v>
      </c>
      <c r="AY17" s="155">
        <f t="shared" si="9"/>
        <v>24</v>
      </c>
      <c r="AZ17" s="158">
        <f t="shared" si="10"/>
        <v>38400</v>
      </c>
      <c r="BA17" s="157">
        <f t="shared" si="31"/>
        <v>1600</v>
      </c>
      <c r="BB17" s="156">
        <f t="shared" si="11"/>
        <v>33599.999999999993</v>
      </c>
      <c r="BC17" s="158">
        <f>IFERROR(G17/$D17*$AY17,0)</f>
        <v>4368</v>
      </c>
      <c r="BD17" s="156">
        <f>$BD$22/$AY$22*AY17</f>
        <v>725.35549711184569</v>
      </c>
      <c r="BE17" s="158">
        <f t="shared" si="12"/>
        <v>1642.2296174739267</v>
      </c>
      <c r="BF17" s="156">
        <f t="shared" si="13"/>
        <v>1372.9891405090548</v>
      </c>
      <c r="BG17" s="158">
        <f t="shared" si="14"/>
        <v>-1935.585114585765</v>
      </c>
      <c r="BH17" s="187">
        <f t="shared" si="32"/>
        <v>-5.0405862359004301E-2</v>
      </c>
      <c r="BI17" s="220">
        <f t="shared" si="33"/>
        <v>0</v>
      </c>
      <c r="BJ17" s="222">
        <f t="shared" si="15"/>
        <v>0</v>
      </c>
      <c r="BK17" s="160">
        <f t="shared" si="16"/>
        <v>0</v>
      </c>
      <c r="BL17" s="187">
        <f t="shared" si="17"/>
        <v>0</v>
      </c>
    </row>
    <row r="18" spans="2:64" x14ac:dyDescent="0.3">
      <c r="B18" s="154">
        <v>10009207</v>
      </c>
      <c r="C18" s="196" t="s">
        <v>157</v>
      </c>
      <c r="D18" s="192">
        <v>32.44</v>
      </c>
      <c r="E18" s="198">
        <f t="shared" si="0"/>
        <v>0</v>
      </c>
      <c r="F18" s="149">
        <v>0</v>
      </c>
      <c r="G18" s="149">
        <v>5904.08</v>
      </c>
      <c r="H18" s="149">
        <v>1184.8342279695701</v>
      </c>
      <c r="I18" s="149">
        <v>2682.5051560455126</v>
      </c>
      <c r="J18" s="149">
        <v>2242.7134484855387</v>
      </c>
      <c r="K18" s="115">
        <v>0</v>
      </c>
      <c r="L18" s="117">
        <v>0</v>
      </c>
      <c r="M18" s="118">
        <f>F18+G18+H18+I18</f>
        <v>9771.419384015082</v>
      </c>
      <c r="N18" s="119">
        <f>IFERROR(M18/D18,0)</f>
        <v>301.21514747272141</v>
      </c>
      <c r="P18" s="121">
        <v>1000</v>
      </c>
      <c r="Q18" s="121">
        <f>D18*P18</f>
        <v>32439.999999999996</v>
      </c>
      <c r="R18" s="121">
        <f>Q18-M18</f>
        <v>22668.580615984916</v>
      </c>
      <c r="S18" s="150">
        <f>IFERROR(R18/Q18,0)</f>
        <v>0.69878485252727862</v>
      </c>
      <c r="U18" s="159" cm="1">
        <f t="array" ref="U18">SUM([2]Hoja3!$I$5:$I$19*([2]Hoja3!$F$5:$F$19=$B18)*([2]Hoja3!$G$5:$G$19=$U$3))</f>
        <v>0</v>
      </c>
      <c r="V18" s="158" cm="1">
        <f t="array" ref="V18">SUM([2]Hoja3!$J$5:$J$19*([2]Hoja3!$F$5:$F$19=$B18)*([2]Hoja3!$G$5:$G$19=$U$3))</f>
        <v>0</v>
      </c>
      <c r="W18" s="156">
        <f t="shared" si="21"/>
        <v>0</v>
      </c>
      <c r="X18" s="158" cm="1">
        <f t="array" ref="X18">SUM([2]Hoja3!$I$5:$I$19*([2]Hoja3!$F$5:$F$19=$B18)*([2]Hoja3!$G$5:$G$19=$X$3))</f>
        <v>0</v>
      </c>
      <c r="Y18" s="156" cm="1">
        <f t="array" ref="Y18">SUM([2]Hoja3!$J$5:$J$19*([2]Hoja3!$F$5:$F$19=$B18)*([2]Hoja3!$G$5:$G$19=$X$3))</f>
        <v>0</v>
      </c>
      <c r="Z18" s="158">
        <f t="shared" si="22"/>
        <v>0</v>
      </c>
      <c r="AA18" s="156" cm="1">
        <f t="array" ref="AA18">SUM([2]Hoja3!$I$5:$I$19*([2]Hoja3!$F$5:$F$19=$B18)*([2]Hoja3!$G$5:$G$19=$AA$3))</f>
        <v>0</v>
      </c>
      <c r="AB18" s="158" cm="1">
        <f t="array" ref="AB18">SUM([2]Hoja3!$J$5:$J$19*([2]Hoja3!$F$5:$F$19=$B18)*([2]Hoja3!$G$5:$G$19=$AA$3))</f>
        <v>0</v>
      </c>
      <c r="AC18" s="156">
        <f t="shared" si="23"/>
        <v>0</v>
      </c>
      <c r="AD18" s="158" cm="1">
        <f t="array" ref="AD18">SUM([2]Hoja3!$I$5:$I$19*([2]Hoja3!$F$5:$F$19=$B18)*([2]Hoja3!$G$5:$G$19=$AD$3))</f>
        <v>0</v>
      </c>
      <c r="AE18" s="156" cm="1">
        <f t="array" ref="AE18">SUM([2]Hoja3!$J$5:$J$19*([2]Hoja3!$F$5:$F$19=$B18)*([2]Hoja3!$G$5:$G$19=$AD$3))</f>
        <v>0</v>
      </c>
      <c r="AF18" s="158">
        <f t="shared" si="24"/>
        <v>0</v>
      </c>
      <c r="AG18" s="156" cm="1">
        <f t="array" ref="AG18">SUM([2]Hoja3!$I$5:$I$19*([2]Hoja3!$F$5:$F$19=$B18)*([2]Hoja3!$G$5:$G$19=$AG$3))</f>
        <v>0</v>
      </c>
      <c r="AH18" s="158" cm="1">
        <f t="array" ref="AH18">SUM([2]Hoja3!$J$5:$J$19*([2]Hoja3!$F$5:$F$19=$B18)*([2]Hoja3!$G$5:$G$19=$AG$3))</f>
        <v>0</v>
      </c>
      <c r="AI18" s="156">
        <f t="shared" si="25"/>
        <v>0</v>
      </c>
      <c r="AJ18" s="158" cm="1">
        <f t="array" ref="AJ18">SUM([2]Hoja3!$I$5:$I$19*([2]Hoja3!$F$5:$F$19=$B18)*([2]Hoja3!$G$5:$G$19=$AJ$3))</f>
        <v>0</v>
      </c>
      <c r="AK18" s="156" cm="1">
        <f t="array" ref="AK18">SUM([2]Hoja3!$J$5:$J$19*([2]Hoja3!$F$5:$F$19=$B18)*([2]Hoja3!$G$5:$G$19=$AJ$3))</f>
        <v>0</v>
      </c>
      <c r="AL18" s="158">
        <f t="shared" si="26"/>
        <v>0</v>
      </c>
      <c r="AM18" s="156" cm="1">
        <f t="array" ref="AM18">SUM([2]Hoja3!$I$5:$I$19*([2]Hoja3!$F$5:$F$19=$B18)*([2]Hoja3!$G$5:$G$19=$AM$3))</f>
        <v>0</v>
      </c>
      <c r="AN18" s="158" cm="1">
        <f t="array" ref="AN18">SUM([2]Hoja3!$J$5:$J$19*([2]Hoja3!$F$5:$F$19=$B18)*([2]Hoja3!$G$5:$G$19=$AM$3))</f>
        <v>0</v>
      </c>
      <c r="AO18" s="160">
        <f t="shared" si="27"/>
        <v>0</v>
      </c>
      <c r="AP18" s="214">
        <f t="shared" si="5"/>
        <v>0</v>
      </c>
      <c r="AQ18" s="215">
        <f t="shared" si="6"/>
        <v>0</v>
      </c>
      <c r="AR18" s="216">
        <f t="shared" si="28"/>
        <v>0</v>
      </c>
      <c r="AS18" s="204">
        <f t="shared" si="7"/>
        <v>0</v>
      </c>
      <c r="AT18" s="205">
        <f t="shared" si="8"/>
        <v>0</v>
      </c>
      <c r="AU18" s="206">
        <f t="shared" si="29"/>
        <v>0</v>
      </c>
      <c r="AV18" s="204" cm="1">
        <f t="array" ref="AV18">SUM([2]Hoja3!$I$27:$I$34*([2]Hoja3!$F$27:$F$34=$B18))</f>
        <v>0</v>
      </c>
      <c r="AW18" s="205" cm="1">
        <f t="array" ref="AW18">SUM([2]Hoja3!$J$27:$J$34*([2]Hoja3!$F$27:$F$34=$B18))</f>
        <v>0</v>
      </c>
      <c r="AX18" s="204">
        <f t="shared" si="30"/>
        <v>0</v>
      </c>
      <c r="AY18" s="155">
        <f t="shared" si="9"/>
        <v>0</v>
      </c>
      <c r="AZ18" s="158">
        <f t="shared" si="10"/>
        <v>0</v>
      </c>
      <c r="BA18" s="157">
        <f t="shared" si="31"/>
        <v>0</v>
      </c>
      <c r="BB18" s="156">
        <f t="shared" si="11"/>
        <v>0</v>
      </c>
      <c r="BC18" s="158">
        <f>IFERROR(G18/$D18*$AY18,0)</f>
        <v>0</v>
      </c>
      <c r="BD18" s="156">
        <f>$BD$22/$AY$22*AY18</f>
        <v>0</v>
      </c>
      <c r="BE18" s="158">
        <f t="shared" si="12"/>
        <v>0</v>
      </c>
      <c r="BF18" s="156">
        <f t="shared" si="13"/>
        <v>0</v>
      </c>
      <c r="BG18" s="158">
        <f t="shared" si="14"/>
        <v>0</v>
      </c>
      <c r="BH18" s="187">
        <f t="shared" si="32"/>
        <v>0</v>
      </c>
      <c r="BI18" s="220">
        <f t="shared" si="33"/>
        <v>0</v>
      </c>
      <c r="BJ18" s="222">
        <f t="shared" si="15"/>
        <v>0</v>
      </c>
      <c r="BK18" s="160">
        <f t="shared" si="16"/>
        <v>0</v>
      </c>
      <c r="BL18" s="187">
        <f t="shared" si="17"/>
        <v>0</v>
      </c>
    </row>
    <row r="19" spans="2:64" x14ac:dyDescent="0.3">
      <c r="B19" s="154">
        <v>10009386</v>
      </c>
      <c r="C19" s="196" t="s">
        <v>63</v>
      </c>
      <c r="D19" s="192">
        <v>37.36</v>
      </c>
      <c r="E19" s="198">
        <f t="shared" si="0"/>
        <v>0</v>
      </c>
      <c r="F19" s="149">
        <v>0</v>
      </c>
      <c r="G19" s="149">
        <v>6799.5199999999995</v>
      </c>
      <c r="H19" s="149">
        <v>1364.5316509538577</v>
      </c>
      <c r="I19" s="149">
        <v>3089.3462586270148</v>
      </c>
      <c r="J19" s="149">
        <v>2582.8537125591779</v>
      </c>
      <c r="K19" s="115">
        <v>0</v>
      </c>
      <c r="L19" s="117">
        <v>0</v>
      </c>
      <c r="M19" s="118">
        <f t="shared" si="18"/>
        <v>11253.397909580872</v>
      </c>
      <c r="N19" s="119">
        <f t="shared" si="19"/>
        <v>301.21514747272141</v>
      </c>
      <c r="P19" s="121">
        <v>1000</v>
      </c>
      <c r="Q19" s="121">
        <f t="shared" si="20"/>
        <v>37360</v>
      </c>
      <c r="R19" s="121">
        <f t="shared" si="3"/>
        <v>26106.602090419128</v>
      </c>
      <c r="S19" s="150">
        <f t="shared" si="4"/>
        <v>0.69878485252727862</v>
      </c>
      <c r="U19" s="159" cm="1">
        <f t="array" ref="U19">SUM([2]Hoja3!$I$5:$I$19*([2]Hoja3!$F$5:$F$19=$B19)*([2]Hoja3!$G$5:$G$19=$U$3))</f>
        <v>0</v>
      </c>
      <c r="V19" s="158" cm="1">
        <f t="array" ref="V19">SUM([2]Hoja3!$J$5:$J$19*([2]Hoja3!$F$5:$F$19=$B19)*([2]Hoja3!$G$5:$G$19=$U$3))</f>
        <v>0</v>
      </c>
      <c r="W19" s="156">
        <f t="shared" si="21"/>
        <v>0</v>
      </c>
      <c r="X19" s="158" cm="1">
        <f t="array" ref="X19">SUM([2]Hoja3!$I$5:$I$19*([2]Hoja3!$F$5:$F$19=$B19)*([2]Hoja3!$G$5:$G$19=$X$3))</f>
        <v>0</v>
      </c>
      <c r="Y19" s="156" cm="1">
        <f t="array" ref="Y19">SUM([2]Hoja3!$J$5:$J$19*([2]Hoja3!$F$5:$F$19=$B19)*([2]Hoja3!$G$5:$G$19=$X$3))</f>
        <v>0</v>
      </c>
      <c r="Z19" s="158">
        <f t="shared" si="22"/>
        <v>0</v>
      </c>
      <c r="AA19" s="156" cm="1">
        <f t="array" ref="AA19">SUM([2]Hoja3!$I$5:$I$19*([2]Hoja3!$F$5:$F$19=$B19)*([2]Hoja3!$G$5:$G$19=$AA$3))</f>
        <v>0</v>
      </c>
      <c r="AB19" s="158" cm="1">
        <f t="array" ref="AB19">SUM([2]Hoja3!$J$5:$J$19*([2]Hoja3!$F$5:$F$19=$B19)*([2]Hoja3!$G$5:$G$19=$AA$3))</f>
        <v>0</v>
      </c>
      <c r="AC19" s="156">
        <f t="shared" si="23"/>
        <v>0</v>
      </c>
      <c r="AD19" s="158" cm="1">
        <f t="array" ref="AD19">SUM([2]Hoja3!$I$5:$I$19*([2]Hoja3!$F$5:$F$19=$B19)*([2]Hoja3!$G$5:$G$19=$AD$3))</f>
        <v>0</v>
      </c>
      <c r="AE19" s="156" cm="1">
        <f t="array" ref="AE19">SUM([2]Hoja3!$J$5:$J$19*([2]Hoja3!$F$5:$F$19=$B19)*([2]Hoja3!$G$5:$G$19=$AD$3))</f>
        <v>0</v>
      </c>
      <c r="AF19" s="158">
        <f t="shared" si="24"/>
        <v>0</v>
      </c>
      <c r="AG19" s="156" cm="1">
        <f t="array" ref="AG19">SUM([2]Hoja3!$I$5:$I$19*([2]Hoja3!$F$5:$F$19=$B19)*([2]Hoja3!$G$5:$G$19=$AG$3))</f>
        <v>0</v>
      </c>
      <c r="AH19" s="158" cm="1">
        <f t="array" ref="AH19">SUM([2]Hoja3!$J$5:$J$19*([2]Hoja3!$F$5:$F$19=$B19)*([2]Hoja3!$G$5:$G$19=$AG$3))</f>
        <v>0</v>
      </c>
      <c r="AI19" s="156">
        <f t="shared" si="25"/>
        <v>0</v>
      </c>
      <c r="AJ19" s="158" cm="1">
        <f t="array" ref="AJ19">SUM([2]Hoja3!$I$5:$I$19*([2]Hoja3!$F$5:$F$19=$B19)*([2]Hoja3!$G$5:$G$19=$AJ$3))</f>
        <v>0</v>
      </c>
      <c r="AK19" s="156" cm="1">
        <f t="array" ref="AK19">SUM([2]Hoja3!$J$5:$J$19*([2]Hoja3!$F$5:$F$19=$B19)*([2]Hoja3!$G$5:$G$19=$AJ$3))</f>
        <v>0</v>
      </c>
      <c r="AL19" s="158">
        <f t="shared" si="26"/>
        <v>0</v>
      </c>
      <c r="AM19" s="156" cm="1">
        <f t="array" ref="AM19">SUM([2]Hoja3!$I$5:$I$19*([2]Hoja3!$F$5:$F$19=$B19)*([2]Hoja3!$G$5:$G$19=$AM$3))</f>
        <v>0</v>
      </c>
      <c r="AN19" s="158" cm="1">
        <f t="array" ref="AN19">SUM([2]Hoja3!$J$5:$J$19*([2]Hoja3!$F$5:$F$19=$B19)*([2]Hoja3!$G$5:$G$19=$AM$3))</f>
        <v>0</v>
      </c>
      <c r="AO19" s="160">
        <f t="shared" si="27"/>
        <v>0</v>
      </c>
      <c r="AP19" s="214">
        <f t="shared" si="5"/>
        <v>0</v>
      </c>
      <c r="AQ19" s="215">
        <f t="shared" si="6"/>
        <v>0</v>
      </c>
      <c r="AR19" s="216">
        <f t="shared" si="28"/>
        <v>0</v>
      </c>
      <c r="AS19" s="204">
        <f t="shared" si="7"/>
        <v>0</v>
      </c>
      <c r="AT19" s="205">
        <f t="shared" si="8"/>
        <v>0</v>
      </c>
      <c r="AU19" s="206">
        <f t="shared" si="29"/>
        <v>0</v>
      </c>
      <c r="AV19" s="204" cm="1">
        <f t="array" ref="AV19">SUM([2]Hoja3!$I$27:$I$34*([2]Hoja3!$F$27:$F$34=$B19))</f>
        <v>27</v>
      </c>
      <c r="AW19" s="205" cm="1">
        <f t="array" ref="AW19">SUM([2]Hoja3!$J$27:$J$34*([2]Hoja3!$F$27:$F$34=$B19))</f>
        <v>33750</v>
      </c>
      <c r="AX19" s="204">
        <f t="shared" si="30"/>
        <v>1250</v>
      </c>
      <c r="AY19" s="155">
        <f t="shared" si="9"/>
        <v>27</v>
      </c>
      <c r="AZ19" s="158">
        <f t="shared" si="10"/>
        <v>33750</v>
      </c>
      <c r="BA19" s="157">
        <f t="shared" si="31"/>
        <v>1250</v>
      </c>
      <c r="BB19" s="156">
        <f t="shared" si="11"/>
        <v>0</v>
      </c>
      <c r="BC19" s="158">
        <f>IFERROR(G19/$D19*$AY19,0)</f>
        <v>4914</v>
      </c>
      <c r="BD19" s="156">
        <f>$BD$22/$AY$22*AY19</f>
        <v>816.02493425082639</v>
      </c>
      <c r="BE19" s="158">
        <f t="shared" si="12"/>
        <v>1847.5083196581675</v>
      </c>
      <c r="BF19" s="156">
        <f t="shared" si="13"/>
        <v>1544.6127830726866</v>
      </c>
      <c r="BG19" s="158">
        <f t="shared" si="14"/>
        <v>26172.466746091006</v>
      </c>
      <c r="BH19" s="187">
        <f t="shared" si="32"/>
        <v>0.77548049618047421</v>
      </c>
      <c r="BI19" s="220">
        <f t="shared" si="33"/>
        <v>0</v>
      </c>
      <c r="BJ19" s="220">
        <f t="shared" si="15"/>
        <v>0</v>
      </c>
      <c r="BK19" s="160">
        <f t="shared" si="16"/>
        <v>0</v>
      </c>
      <c r="BL19" s="187">
        <f t="shared" si="17"/>
        <v>0</v>
      </c>
    </row>
    <row r="20" spans="2:64" x14ac:dyDescent="0.3">
      <c r="B20" s="154">
        <v>10009224</v>
      </c>
      <c r="C20" s="196" t="s">
        <v>158</v>
      </c>
      <c r="D20" s="192">
        <v>0</v>
      </c>
      <c r="E20" s="198">
        <f t="shared" si="0"/>
        <v>0</v>
      </c>
      <c r="F20" s="149">
        <v>0</v>
      </c>
      <c r="G20" s="149">
        <v>0</v>
      </c>
      <c r="H20" s="149">
        <v>0</v>
      </c>
      <c r="I20" s="149">
        <v>0</v>
      </c>
      <c r="J20" s="149">
        <v>0</v>
      </c>
      <c r="K20" s="115">
        <v>0</v>
      </c>
      <c r="L20" s="117">
        <v>0</v>
      </c>
      <c r="M20" s="118">
        <f>F20+G20+H20+I20</f>
        <v>0</v>
      </c>
      <c r="N20" s="119">
        <f>IFERROR(M20/D20,0)</f>
        <v>0</v>
      </c>
      <c r="P20" s="121">
        <v>0</v>
      </c>
      <c r="Q20" s="121">
        <f>D20*P20</f>
        <v>0</v>
      </c>
      <c r="R20" s="121">
        <f>Q20-M20</f>
        <v>0</v>
      </c>
      <c r="S20" s="150">
        <f>IFERROR(R20/Q20,0)</f>
        <v>0</v>
      </c>
      <c r="U20" s="159" cm="1">
        <f t="array" ref="U20">SUM([2]Hoja3!$I$5:$I$19*([2]Hoja3!$F$5:$F$19=$B20)*([2]Hoja3!$G$5:$G$19=$U$3))</f>
        <v>0</v>
      </c>
      <c r="V20" s="158" cm="1">
        <f t="array" ref="V20">SUM([2]Hoja3!$J$5:$J$19*([2]Hoja3!$F$5:$F$19=$B20)*([2]Hoja3!$G$5:$G$19=$U$3))</f>
        <v>0</v>
      </c>
      <c r="W20" s="156">
        <f t="shared" si="21"/>
        <v>0</v>
      </c>
      <c r="X20" s="158" cm="1">
        <f t="array" ref="X20">SUM([2]Hoja3!$I$5:$I$19*([2]Hoja3!$F$5:$F$19=$B20)*([2]Hoja3!$G$5:$G$19=$X$3))</f>
        <v>0</v>
      </c>
      <c r="Y20" s="156" cm="1">
        <f t="array" ref="Y20">SUM([2]Hoja3!$J$5:$J$19*([2]Hoja3!$F$5:$F$19=$B20)*([2]Hoja3!$G$5:$G$19=$X$3))</f>
        <v>0</v>
      </c>
      <c r="Z20" s="158">
        <f t="shared" si="22"/>
        <v>0</v>
      </c>
      <c r="AA20" s="156" cm="1">
        <f t="array" ref="AA20">SUM([2]Hoja3!$I$5:$I$19*([2]Hoja3!$F$5:$F$19=$B20)*([2]Hoja3!$G$5:$G$19=$AA$3))</f>
        <v>0</v>
      </c>
      <c r="AB20" s="158" cm="1">
        <f t="array" ref="AB20">SUM([2]Hoja3!$J$5:$J$19*([2]Hoja3!$F$5:$F$19=$B20)*([2]Hoja3!$G$5:$G$19=$AA$3))</f>
        <v>0</v>
      </c>
      <c r="AC20" s="156">
        <f t="shared" si="23"/>
        <v>0</v>
      </c>
      <c r="AD20" s="158" cm="1">
        <f t="array" ref="AD20">SUM([2]Hoja3!$I$5:$I$19*([2]Hoja3!$F$5:$F$19=$B20)*([2]Hoja3!$G$5:$G$19=$AD$3))</f>
        <v>0</v>
      </c>
      <c r="AE20" s="156" cm="1">
        <f t="array" ref="AE20">SUM([2]Hoja3!$J$5:$J$19*([2]Hoja3!$F$5:$F$19=$B20)*([2]Hoja3!$G$5:$G$19=$AD$3))</f>
        <v>0</v>
      </c>
      <c r="AF20" s="158">
        <f t="shared" si="24"/>
        <v>0</v>
      </c>
      <c r="AG20" s="156" cm="1">
        <f t="array" ref="AG20">SUM([2]Hoja3!$I$5:$I$19*([2]Hoja3!$F$5:$F$19=$B20)*([2]Hoja3!$G$5:$G$19=$AG$3))</f>
        <v>0</v>
      </c>
      <c r="AH20" s="158" cm="1">
        <f t="array" ref="AH20">SUM([2]Hoja3!$J$5:$J$19*([2]Hoja3!$F$5:$F$19=$B20)*([2]Hoja3!$G$5:$G$19=$AG$3))</f>
        <v>0</v>
      </c>
      <c r="AI20" s="156">
        <f t="shared" si="25"/>
        <v>0</v>
      </c>
      <c r="AJ20" s="158" cm="1">
        <f t="array" ref="AJ20">SUM([2]Hoja3!$I$5:$I$19*([2]Hoja3!$F$5:$F$19=$B20)*([2]Hoja3!$G$5:$G$19=$AJ$3))</f>
        <v>0</v>
      </c>
      <c r="AK20" s="156" cm="1">
        <f t="array" ref="AK20">SUM([2]Hoja3!$J$5:$J$19*([2]Hoja3!$F$5:$F$19=$B20)*([2]Hoja3!$G$5:$G$19=$AJ$3))</f>
        <v>0</v>
      </c>
      <c r="AL20" s="158">
        <f t="shared" si="26"/>
        <v>0</v>
      </c>
      <c r="AM20" s="156" cm="1">
        <f t="array" ref="AM20">SUM([2]Hoja3!$I$5:$I$19*([2]Hoja3!$F$5:$F$19=$B20)*([2]Hoja3!$G$5:$G$19=$AM$3))</f>
        <v>0</v>
      </c>
      <c r="AN20" s="158" cm="1">
        <f t="array" ref="AN20">SUM([2]Hoja3!$J$5:$J$19*([2]Hoja3!$F$5:$F$19=$B20)*([2]Hoja3!$G$5:$G$19=$AM$3))</f>
        <v>0</v>
      </c>
      <c r="AO20" s="160">
        <f t="shared" si="27"/>
        <v>0</v>
      </c>
      <c r="AP20" s="214">
        <f t="shared" si="5"/>
        <v>0</v>
      </c>
      <c r="AQ20" s="215">
        <f t="shared" si="6"/>
        <v>0</v>
      </c>
      <c r="AR20" s="216">
        <f t="shared" si="28"/>
        <v>0</v>
      </c>
      <c r="AS20" s="204">
        <f t="shared" si="7"/>
        <v>0</v>
      </c>
      <c r="AT20" s="205">
        <f t="shared" si="8"/>
        <v>0</v>
      </c>
      <c r="AU20" s="206">
        <f t="shared" si="29"/>
        <v>0</v>
      </c>
      <c r="AV20" s="204" cm="1">
        <f t="array" ref="AV20">SUM([2]Hoja3!$I$27:$I$34*([2]Hoja3!$F$27:$F$34=$B20))</f>
        <v>0</v>
      </c>
      <c r="AW20" s="205" cm="1">
        <f t="array" ref="AW20">SUM([2]Hoja3!$J$27:$J$34*([2]Hoja3!$F$27:$F$34=$B20))</f>
        <v>0</v>
      </c>
      <c r="AX20" s="204">
        <f t="shared" si="30"/>
        <v>0</v>
      </c>
      <c r="AY20" s="155">
        <f t="shared" si="9"/>
        <v>0</v>
      </c>
      <c r="AZ20" s="158">
        <f t="shared" si="10"/>
        <v>0</v>
      </c>
      <c r="BA20" s="157">
        <f t="shared" si="31"/>
        <v>0</v>
      </c>
      <c r="BB20" s="156">
        <f t="shared" si="11"/>
        <v>0</v>
      </c>
      <c r="BC20" s="158">
        <f>IFERROR(G20/$D20*$AY20,0)</f>
        <v>0</v>
      </c>
      <c r="BD20" s="156">
        <f>$BD$22/$AY$22*AY20</f>
        <v>0</v>
      </c>
      <c r="BE20" s="158">
        <f t="shared" si="12"/>
        <v>0</v>
      </c>
      <c r="BF20" s="156">
        <f t="shared" si="13"/>
        <v>0</v>
      </c>
      <c r="BG20" s="158">
        <f t="shared" si="14"/>
        <v>0</v>
      </c>
      <c r="BH20" s="187">
        <f t="shared" si="32"/>
        <v>0</v>
      </c>
      <c r="BI20" s="220">
        <f t="shared" si="33"/>
        <v>0</v>
      </c>
      <c r="BJ20" s="222">
        <f t="shared" si="15"/>
        <v>0</v>
      </c>
      <c r="BK20" s="160">
        <f t="shared" si="16"/>
        <v>0</v>
      </c>
      <c r="BL20" s="187">
        <f t="shared" si="17"/>
        <v>0</v>
      </c>
    </row>
    <row r="21" spans="2:64" ht="15" thickBot="1" x14ac:dyDescent="0.35">
      <c r="B21" s="154"/>
      <c r="C21" s="196" t="s">
        <v>147</v>
      </c>
      <c r="D21" s="192">
        <f>Abril2026!Q59/1000-SUM(D5:D19)</f>
        <v>6.1287999999999556</v>
      </c>
      <c r="E21" s="198">
        <f t="shared" si="0"/>
        <v>0</v>
      </c>
      <c r="F21" s="149"/>
      <c r="G21" s="149"/>
      <c r="H21" s="149"/>
      <c r="I21" s="149"/>
      <c r="J21" s="149"/>
      <c r="K21" s="115"/>
      <c r="L21" s="117"/>
      <c r="M21" s="118"/>
      <c r="N21" s="119"/>
      <c r="P21" s="121"/>
      <c r="Q21" s="121"/>
      <c r="R21" s="121"/>
      <c r="S21" s="150"/>
      <c r="U21" s="159" cm="1">
        <f t="array" ref="U21">SUM([2]Hoja3!$I$5:$I$19*([2]Hoja3!$F$5:$F$19=$B21)*([2]Hoja3!$G$5:$G$19=$U$3))</f>
        <v>0</v>
      </c>
      <c r="V21" s="158" cm="1">
        <f t="array" ref="V21">SUM([2]Hoja3!$J$5:$J$19*([2]Hoja3!$F$5:$F$19=$B21)*([2]Hoja3!$G$5:$G$19=$U$3))</f>
        <v>0</v>
      </c>
      <c r="W21" s="156">
        <f t="shared" si="21"/>
        <v>0</v>
      </c>
      <c r="X21" s="158" cm="1">
        <f t="array" ref="X21">SUM([2]Hoja3!$I$5:$I$19*([2]Hoja3!$F$5:$F$19=$B21)*([2]Hoja3!$G$5:$G$19=$X$3))</f>
        <v>0</v>
      </c>
      <c r="Y21" s="156" cm="1">
        <f t="array" ref="Y21">SUM([2]Hoja3!$J$5:$J$19*([2]Hoja3!$F$5:$F$19=$B21)*([2]Hoja3!$G$5:$G$19=$X$3))</f>
        <v>0</v>
      </c>
      <c r="Z21" s="158">
        <f t="shared" si="22"/>
        <v>0</v>
      </c>
      <c r="AA21" s="156" cm="1">
        <f t="array" ref="AA21">SUM([2]Hoja3!$I$5:$I$19*([2]Hoja3!$F$5:$F$19=$B21)*([2]Hoja3!$G$5:$G$19=$AA$3))</f>
        <v>0</v>
      </c>
      <c r="AB21" s="158" cm="1">
        <f t="array" ref="AB21">SUM([2]Hoja3!$J$5:$J$19*([2]Hoja3!$F$5:$F$19=$B21)*([2]Hoja3!$G$5:$G$19=$AA$3))</f>
        <v>0</v>
      </c>
      <c r="AC21" s="156">
        <f t="shared" si="23"/>
        <v>0</v>
      </c>
      <c r="AD21" s="158" cm="1">
        <f t="array" ref="AD21">SUM([2]Hoja3!$I$5:$I$19*([2]Hoja3!$F$5:$F$19=$B21)*([2]Hoja3!$G$5:$G$19=$AD$3))</f>
        <v>0</v>
      </c>
      <c r="AE21" s="156" cm="1">
        <f t="array" ref="AE21">SUM([2]Hoja3!$J$5:$J$19*([2]Hoja3!$F$5:$F$19=$B21)*([2]Hoja3!$G$5:$G$19=$AD$3))</f>
        <v>0</v>
      </c>
      <c r="AF21" s="158">
        <f t="shared" si="24"/>
        <v>0</v>
      </c>
      <c r="AG21" s="156" cm="1">
        <f t="array" ref="AG21">SUM([2]Hoja3!$I$5:$I$19*([2]Hoja3!$F$5:$F$19=$B21)*([2]Hoja3!$G$5:$G$19=$AG$3))</f>
        <v>0</v>
      </c>
      <c r="AH21" s="158" cm="1">
        <f t="array" ref="AH21">SUM([2]Hoja3!$J$5:$J$19*([2]Hoja3!$F$5:$F$19=$B21)*([2]Hoja3!$G$5:$G$19=$AG$3))</f>
        <v>0</v>
      </c>
      <c r="AI21" s="156">
        <f t="shared" si="25"/>
        <v>0</v>
      </c>
      <c r="AJ21" s="158" cm="1">
        <f t="array" ref="AJ21">SUM([2]Hoja3!$I$5:$I$19*([2]Hoja3!$F$5:$F$19=$B21)*([2]Hoja3!$G$5:$G$19=$AJ$3))</f>
        <v>54</v>
      </c>
      <c r="AK21" s="156" cm="1">
        <f t="array" ref="AK21">SUM([2]Hoja3!$J$5:$J$19*([2]Hoja3!$F$5:$F$19=$B21)*([2]Hoja3!$G$5:$G$19=$AJ$3))</f>
        <v>108000</v>
      </c>
      <c r="AL21" s="158">
        <f t="shared" si="26"/>
        <v>2000</v>
      </c>
      <c r="AM21" s="156" cm="1">
        <f t="array" ref="AM21">SUM([2]Hoja3!$I$5:$I$19*([2]Hoja3!$F$5:$F$19=$B21)*([2]Hoja3!$G$5:$G$19=$AM$3))</f>
        <v>0</v>
      </c>
      <c r="AN21" s="158" cm="1">
        <f t="array" ref="AN21">SUM([2]Hoja3!$J$5:$J$19*([2]Hoja3!$F$5:$F$19=$B21)*([2]Hoja3!$G$5:$G$19=$AM$3))</f>
        <v>0</v>
      </c>
      <c r="AO21" s="160">
        <f t="shared" si="27"/>
        <v>0</v>
      </c>
      <c r="AP21" s="214">
        <f t="shared" si="5"/>
        <v>0</v>
      </c>
      <c r="AQ21" s="215">
        <f t="shared" si="6"/>
        <v>0</v>
      </c>
      <c r="AR21" s="216">
        <f t="shared" si="28"/>
        <v>0</v>
      </c>
      <c r="AS21" s="204">
        <f t="shared" si="7"/>
        <v>54</v>
      </c>
      <c r="AT21" s="205">
        <f t="shared" si="8"/>
        <v>108000</v>
      </c>
      <c r="AU21" s="206">
        <f t="shared" si="29"/>
        <v>2000</v>
      </c>
      <c r="AV21" s="204" cm="1">
        <f t="array" ref="AV21">SUM([2]Hoja3!$I$27:$I$34*([2]Hoja3!$F$27:$F$34=$B21))</f>
        <v>0</v>
      </c>
      <c r="AW21" s="205" cm="1">
        <f t="array" ref="AW21">SUM([2]Hoja3!$J$27:$J$34*([2]Hoja3!$F$27:$F$34=$B21))</f>
        <v>0</v>
      </c>
      <c r="AX21" s="204">
        <f t="shared" si="30"/>
        <v>0</v>
      </c>
      <c r="AY21" s="155">
        <f t="shared" si="9"/>
        <v>54</v>
      </c>
      <c r="AZ21" s="158">
        <f t="shared" si="10"/>
        <v>108000</v>
      </c>
      <c r="BA21" s="157">
        <f t="shared" si="31"/>
        <v>2000</v>
      </c>
      <c r="BB21" s="156">
        <f t="shared" si="11"/>
        <v>0</v>
      </c>
      <c r="BC21" s="158">
        <f>IFERROR(G21/$D21*$AY21,0)</f>
        <v>0</v>
      </c>
      <c r="BD21" s="156">
        <f>$BD$22/$AY$22*AY21</f>
        <v>1632.0498685016528</v>
      </c>
      <c r="BE21" s="158">
        <f t="shared" si="12"/>
        <v>3695.0166393163349</v>
      </c>
      <c r="BF21" s="156">
        <f t="shared" si="13"/>
        <v>3089.2255661453733</v>
      </c>
      <c r="BG21" s="158">
        <f t="shared" si="14"/>
        <v>102672.93349218201</v>
      </c>
      <c r="BH21" s="187">
        <f t="shared" si="32"/>
        <v>0.95067531011279638</v>
      </c>
      <c r="BI21" s="220">
        <f t="shared" si="33"/>
        <v>47.871200000000044</v>
      </c>
      <c r="BJ21" s="222">
        <f t="shared" si="15"/>
        <v>0</v>
      </c>
      <c r="BK21" s="160">
        <f t="shared" si="16"/>
        <v>-4722.4641890566063</v>
      </c>
      <c r="BL21" s="187">
        <f t="shared" si="17"/>
        <v>0</v>
      </c>
    </row>
    <row r="22" spans="2:64" ht="15" thickBot="1" x14ac:dyDescent="0.35">
      <c r="C22" s="197" t="s">
        <v>133</v>
      </c>
      <c r="D22" s="193">
        <f>SUM(D5:D21)</f>
        <v>1800.1278</v>
      </c>
      <c r="E22" s="199">
        <f t="shared" si="0"/>
        <v>1665.3475325474112</v>
      </c>
      <c r="F22" s="130">
        <f>SUM(F5:F21)</f>
        <v>2997838.3899999997</v>
      </c>
      <c r="G22" s="130">
        <f>SUM(G5:G21)</f>
        <v>326507.81800000003</v>
      </c>
      <c r="H22" s="130">
        <f>SUM(H5:H21)</f>
        <v>65523.779905770061</v>
      </c>
      <c r="I22" s="130">
        <f>SUM(I5:I21)</f>
        <v>148348.0754451447</v>
      </c>
      <c r="J22" s="130">
        <f t="shared" ref="J22:K22" si="34">SUM(J5:J21)</f>
        <v>124026.68569265128</v>
      </c>
      <c r="K22" s="130">
        <f t="shared" si="34"/>
        <v>0</v>
      </c>
      <c r="L22" s="131">
        <v>0</v>
      </c>
      <c r="M22" s="132">
        <f>SUM(M5:M21)</f>
        <v>3538218.063350915</v>
      </c>
      <c r="N22" s="132">
        <f t="shared" ref="N22" si="35">IFERROR(M22/D22,0)</f>
        <v>1965.53714872406</v>
      </c>
      <c r="P22" s="151">
        <f>Q22/D22</f>
        <v>2401.8026942309316</v>
      </c>
      <c r="Q22" s="151">
        <f>SUM(Q5:Q21)</f>
        <v>4323551.8</v>
      </c>
      <c r="R22" s="151">
        <f>SUM(R5:R21)</f>
        <v>785333.73664908495</v>
      </c>
      <c r="S22" s="152">
        <f t="shared" si="4"/>
        <v>0.18164087606145599</v>
      </c>
      <c r="U22" s="164">
        <f>SUM(U5:U21)</f>
        <v>293</v>
      </c>
      <c r="V22" s="165">
        <f>SUM(V5:V21)</f>
        <v>436600</v>
      </c>
      <c r="W22" s="166">
        <f t="shared" si="21"/>
        <v>1490.1023890784984</v>
      </c>
      <c r="X22" s="165">
        <f>SUM(X5:X21)</f>
        <v>81</v>
      </c>
      <c r="Y22" s="167">
        <f>SUM(Y5:Y21)</f>
        <v>183600</v>
      </c>
      <c r="Z22" s="168">
        <f t="shared" si="22"/>
        <v>2266.6666666666665</v>
      </c>
      <c r="AA22" s="167">
        <f>SUM(AA5:AA21)</f>
        <v>52</v>
      </c>
      <c r="AB22" s="165">
        <f>SUM(AB5:AB21)</f>
        <v>117000</v>
      </c>
      <c r="AC22" s="166">
        <f t="shared" si="23"/>
        <v>2250</v>
      </c>
      <c r="AD22" s="165">
        <f>SUM(AD5:AD21)</f>
        <v>189</v>
      </c>
      <c r="AE22" s="167">
        <f>SUM(AE5:AE21)</f>
        <v>729000</v>
      </c>
      <c r="AF22" s="168">
        <f t="shared" si="24"/>
        <v>3857.1428571428573</v>
      </c>
      <c r="AG22" s="167">
        <f>SUM(AG5:AG21)</f>
        <v>347</v>
      </c>
      <c r="AH22" s="165">
        <f>SUM(AH5:AH21)</f>
        <v>609400</v>
      </c>
      <c r="AI22" s="166">
        <f t="shared" si="25"/>
        <v>1756.1959654178675</v>
      </c>
      <c r="AJ22" s="165">
        <f>SUM(AJ5:AJ21)</f>
        <v>54</v>
      </c>
      <c r="AK22" s="167">
        <f>SUM(AK5:AK21)</f>
        <v>108000</v>
      </c>
      <c r="AL22" s="168">
        <f t="shared" si="26"/>
        <v>2000</v>
      </c>
      <c r="AM22" s="167">
        <f>SUM(AM5:AM21)</f>
        <v>26</v>
      </c>
      <c r="AN22" s="165">
        <f>SUM(AN5:AN21)</f>
        <v>36400</v>
      </c>
      <c r="AO22" s="169">
        <f t="shared" si="27"/>
        <v>1400</v>
      </c>
      <c r="AP22" s="217">
        <f>SUM(AP5:AP21)</f>
        <v>426</v>
      </c>
      <c r="AQ22" s="218">
        <f>SUM(AQ5:AQ21)</f>
        <v>737200</v>
      </c>
      <c r="AR22" s="219">
        <f t="shared" si="28"/>
        <v>1730.5164319248827</v>
      </c>
      <c r="AS22" s="207">
        <f>SUM(AS5:AS21)</f>
        <v>616</v>
      </c>
      <c r="AT22" s="208">
        <f>SUM(AT5:AT21)</f>
        <v>1482800</v>
      </c>
      <c r="AU22" s="209">
        <f t="shared" si="29"/>
        <v>2407.1428571428573</v>
      </c>
      <c r="AV22" s="207">
        <f>SUM(AV5:AV21)</f>
        <v>1126</v>
      </c>
      <c r="AW22" s="208">
        <f>SUM(AW5:AW21)</f>
        <v>3304630</v>
      </c>
      <c r="AX22" s="227">
        <f t="shared" si="30"/>
        <v>2934.8401420959149</v>
      </c>
      <c r="AY22" s="233">
        <f>SUM(AY5:AY21)</f>
        <v>2168</v>
      </c>
      <c r="AZ22" s="234">
        <f>SUM(AZ5:AZ21)</f>
        <v>5524630</v>
      </c>
      <c r="BA22" s="235">
        <f t="shared" si="31"/>
        <v>2548.261070110701</v>
      </c>
      <c r="BB22" s="166">
        <f>SUM(BB5:BB21)</f>
        <v>3638190</v>
      </c>
      <c r="BC22" s="168">
        <f>SUM(BC5:BC21)</f>
        <v>384748.00000000006</v>
      </c>
      <c r="BD22" s="166">
        <f t="shared" ref="BD22:BF22" si="36">H22</f>
        <v>65523.779905770061</v>
      </c>
      <c r="BE22" s="168">
        <f t="shared" si="36"/>
        <v>148348.0754451447</v>
      </c>
      <c r="BF22" s="166">
        <f t="shared" si="36"/>
        <v>124026.68569265128</v>
      </c>
      <c r="BG22" s="168">
        <f>SUM(BG5:BG21)</f>
        <v>1287820.1446490854</v>
      </c>
      <c r="BH22" s="189">
        <f t="shared" si="32"/>
        <v>0.23310522960797109</v>
      </c>
      <c r="BI22" s="168">
        <f>SUM(BI5:BI21)</f>
        <v>542.80720000000008</v>
      </c>
      <c r="BJ22" s="168">
        <f>SUM(BJ5:BJ21)</f>
        <v>1678077.8620972917</v>
      </c>
      <c r="BK22" s="169">
        <f>SUM(BK5:BK21)</f>
        <v>678515.95648020902</v>
      </c>
      <c r="BL22" s="189">
        <f t="shared" si="17"/>
        <v>0.40434116426051153</v>
      </c>
    </row>
    <row r="26" spans="2:64" x14ac:dyDescent="0.3">
      <c r="G26" s="149"/>
    </row>
    <row r="27" spans="2:64" x14ac:dyDescent="0.3">
      <c r="G27" s="149"/>
    </row>
    <row r="28" spans="2:64" x14ac:dyDescent="0.3">
      <c r="G28" s="149"/>
    </row>
    <row r="29" spans="2:64" x14ac:dyDescent="0.3">
      <c r="G29" s="149"/>
    </row>
    <row r="30" spans="2:64" x14ac:dyDescent="0.3">
      <c r="G30" s="149"/>
    </row>
    <row r="31" spans="2:64" x14ac:dyDescent="0.3">
      <c r="G31" s="149"/>
    </row>
  </sheetData>
  <mergeCells count="14">
    <mergeCell ref="F3:S3"/>
    <mergeCell ref="BB3:BH3"/>
    <mergeCell ref="BI3:BL3"/>
    <mergeCell ref="AM3:AO3"/>
    <mergeCell ref="AP3:AR3"/>
    <mergeCell ref="AS3:AU3"/>
    <mergeCell ref="AV3:AX3"/>
    <mergeCell ref="AY3:BA3"/>
    <mergeCell ref="U3:W3"/>
    <mergeCell ref="X3:Z3"/>
    <mergeCell ref="AA3:AC3"/>
    <mergeCell ref="AD3:AF3"/>
    <mergeCell ref="AG3:AI3"/>
    <mergeCell ref="AJ3:A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6D55-AF1A-43E0-8DF9-DCA89094BB49}">
  <dimension ref="A3:G21"/>
  <sheetViews>
    <sheetView workbookViewId="0">
      <selection activeCell="B11" sqref="B11"/>
    </sheetView>
  </sheetViews>
  <sheetFormatPr baseColWidth="10" defaultRowHeight="14.4" x14ac:dyDescent="0.3"/>
  <cols>
    <col min="1" max="1" width="16.5546875" bestFit="1" customWidth="1"/>
    <col min="2" max="2" width="18.44140625" bestFit="1" customWidth="1"/>
    <col min="3" max="3" width="19.44140625" bestFit="1" customWidth="1"/>
    <col min="4" max="4" width="19.5546875" bestFit="1" customWidth="1"/>
    <col min="5" max="5" width="17.6640625" bestFit="1" customWidth="1"/>
    <col min="6" max="6" width="16.44140625" bestFit="1" customWidth="1"/>
    <col min="7" max="7" width="19.77734375" bestFit="1" customWidth="1"/>
  </cols>
  <sheetData>
    <row r="3" spans="1:7" x14ac:dyDescent="0.3">
      <c r="A3" s="147" t="s">
        <v>137</v>
      </c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 t="s">
        <v>145</v>
      </c>
    </row>
    <row r="4" spans="1:7" x14ac:dyDescent="0.3">
      <c r="A4" s="148">
        <v>10005721</v>
      </c>
      <c r="B4" s="149">
        <v>396.59999999999997</v>
      </c>
      <c r="C4" s="149">
        <v>690083.99999999988</v>
      </c>
      <c r="D4" s="149">
        <v>72181.200000000012</v>
      </c>
      <c r="E4" s="149">
        <v>14485.365438123661</v>
      </c>
      <c r="F4" s="149">
        <v>32795.362049557654</v>
      </c>
      <c r="G4" s="149">
        <v>27418.623725936031</v>
      </c>
    </row>
    <row r="5" spans="1:7" x14ac:dyDescent="0.3">
      <c r="A5" s="148">
        <v>10005779</v>
      </c>
      <c r="B5" s="149">
        <v>158.72</v>
      </c>
      <c r="C5" s="149">
        <v>295219.20000000001</v>
      </c>
      <c r="D5" s="149">
        <v>28887.040000000001</v>
      </c>
      <c r="E5" s="149">
        <v>5797.068084566281</v>
      </c>
      <c r="F5" s="149">
        <v>13124.760122304062</v>
      </c>
      <c r="G5" s="149">
        <v>10972.980226375608</v>
      </c>
    </row>
    <row r="6" spans="1:7" x14ac:dyDescent="0.3">
      <c r="A6" s="148">
        <v>10005781</v>
      </c>
      <c r="B6" s="149">
        <v>5.48</v>
      </c>
      <c r="C6" s="149">
        <v>10192.800000000001</v>
      </c>
      <c r="D6" s="149">
        <v>997.36000000000013</v>
      </c>
      <c r="E6" s="149">
        <v>200.15078820201126</v>
      </c>
      <c r="F6" s="149">
        <v>453.14821994850223</v>
      </c>
      <c r="G6" s="149">
        <v>378.85541608202078</v>
      </c>
    </row>
    <row r="7" spans="1:7" x14ac:dyDescent="0.3">
      <c r="A7" s="148">
        <v>10006720</v>
      </c>
      <c r="B7" s="149">
        <v>247.26</v>
      </c>
      <c r="C7" s="149">
        <v>405506.39999999997</v>
      </c>
      <c r="D7" s="149">
        <v>45001.32</v>
      </c>
      <c r="E7" s="149">
        <v>9030.8912209542505</v>
      </c>
      <c r="F7" s="149">
        <v>20446.246143150849</v>
      </c>
      <c r="G7" s="149">
        <v>17094.12229570081</v>
      </c>
    </row>
    <row r="8" spans="1:7" x14ac:dyDescent="0.3">
      <c r="A8" s="148">
        <v>10006722</v>
      </c>
      <c r="B8" s="149">
        <v>0.12</v>
      </c>
      <c r="C8" s="149">
        <v>224.4</v>
      </c>
      <c r="D8" s="149">
        <v>21.84</v>
      </c>
      <c r="E8" s="149">
        <v>4.382863975226523</v>
      </c>
      <c r="F8" s="149">
        <v>9.922953721500047</v>
      </c>
      <c r="G8" s="149">
        <v>8.2961040017960741</v>
      </c>
    </row>
    <row r="9" spans="1:7" x14ac:dyDescent="0.3">
      <c r="A9" s="148">
        <v>10007050</v>
      </c>
      <c r="B9" s="149">
        <v>70.744</v>
      </c>
      <c r="C9" s="149">
        <v>92674.640000000014</v>
      </c>
      <c r="D9" s="149">
        <v>12875.407999999999</v>
      </c>
      <c r="E9" s="149">
        <v>2583.8444088618767</v>
      </c>
      <c r="F9" s="149">
        <v>5849.9119839483283</v>
      </c>
      <c r="G9" s="149">
        <v>4890.829845858847</v>
      </c>
    </row>
    <row r="10" spans="1:7" x14ac:dyDescent="0.3">
      <c r="A10" s="148">
        <v>10007162</v>
      </c>
      <c r="B10" s="149">
        <v>371.79999999999995</v>
      </c>
      <c r="C10" s="149">
        <v>639495.99999999988</v>
      </c>
      <c r="D10" s="149">
        <v>67667.599999999991</v>
      </c>
      <c r="E10" s="149">
        <v>13579.573549910177</v>
      </c>
      <c r="F10" s="149">
        <v>30744.618280447645</v>
      </c>
      <c r="G10" s="149">
        <v>25704.095565564836</v>
      </c>
    </row>
    <row r="11" spans="1:7" x14ac:dyDescent="0.3">
      <c r="A11" s="148">
        <v>10007567</v>
      </c>
      <c r="B11" s="149">
        <v>88.76</v>
      </c>
      <c r="C11" s="149">
        <v>150892</v>
      </c>
      <c r="D11" s="149">
        <v>16154.320000000002</v>
      </c>
      <c r="E11" s="149">
        <v>3241.8583870092189</v>
      </c>
      <c r="F11" s="149">
        <v>7339.6781026695353</v>
      </c>
      <c r="G11" s="149">
        <v>6136.3515933284971</v>
      </c>
    </row>
    <row r="12" spans="1:7" x14ac:dyDescent="0.3">
      <c r="A12" s="148">
        <v>10007969</v>
      </c>
      <c r="B12" s="149">
        <v>50.9</v>
      </c>
      <c r="C12" s="149">
        <v>71259.999999999985</v>
      </c>
      <c r="D12" s="149">
        <v>9263.7999999999993</v>
      </c>
      <c r="E12" s="149">
        <v>1859.0648028252504</v>
      </c>
      <c r="F12" s="149">
        <v>4208.9862035362703</v>
      </c>
      <c r="G12" s="149">
        <v>3518.9307807618352</v>
      </c>
    </row>
    <row r="13" spans="1:7" x14ac:dyDescent="0.3">
      <c r="A13" s="148">
        <v>10009178</v>
      </c>
      <c r="B13" s="149">
        <v>61.860000000000007</v>
      </c>
      <c r="C13" s="149">
        <v>107017.79999999999</v>
      </c>
      <c r="D13" s="149">
        <v>11258.519999999999</v>
      </c>
      <c r="E13" s="149">
        <v>2259.3663792292728</v>
      </c>
      <c r="F13" s="149">
        <v>5115.2826434332746</v>
      </c>
      <c r="G13" s="149">
        <v>4276.6416129258769</v>
      </c>
    </row>
    <row r="14" spans="1:7" x14ac:dyDescent="0.3">
      <c r="A14" s="148">
        <v>10009207</v>
      </c>
      <c r="B14" s="149">
        <v>32.44</v>
      </c>
      <c r="C14" s="149">
        <v>0</v>
      </c>
      <c r="D14" s="149">
        <v>5904.08</v>
      </c>
      <c r="E14" s="149">
        <v>1184.8342279695701</v>
      </c>
      <c r="F14" s="149">
        <v>2682.5051560455126</v>
      </c>
      <c r="G14" s="149">
        <v>2242.7134484855387</v>
      </c>
    </row>
    <row r="15" spans="1:7" x14ac:dyDescent="0.3">
      <c r="A15" s="148">
        <v>10009224</v>
      </c>
      <c r="B15" s="149">
        <v>0</v>
      </c>
      <c r="C15" s="149">
        <v>0</v>
      </c>
      <c r="D15" s="149">
        <v>0</v>
      </c>
      <c r="E15" s="149">
        <v>0</v>
      </c>
      <c r="F15" s="149">
        <v>0</v>
      </c>
      <c r="G15" s="149">
        <v>0</v>
      </c>
    </row>
    <row r="16" spans="1:7" x14ac:dyDescent="0.3">
      <c r="A16" s="148">
        <v>10009239</v>
      </c>
      <c r="B16" s="149">
        <v>203.7</v>
      </c>
      <c r="C16" s="149">
        <v>429807</v>
      </c>
      <c r="D16" s="149">
        <v>37073.4</v>
      </c>
      <c r="E16" s="149">
        <v>7439.9115979470234</v>
      </c>
      <c r="F16" s="149">
        <v>16844.21394224633</v>
      </c>
      <c r="G16" s="149">
        <v>14082.636543048837</v>
      </c>
    </row>
    <row r="17" spans="1:7" x14ac:dyDescent="0.3">
      <c r="A17" s="148">
        <v>10009332</v>
      </c>
      <c r="B17" s="149">
        <v>63.555</v>
      </c>
      <c r="C17" s="149">
        <v>97239.15</v>
      </c>
      <c r="D17" s="149">
        <v>11567.01</v>
      </c>
      <c r="E17" s="149">
        <v>2321.2743328793476</v>
      </c>
      <c r="F17" s="149">
        <v>5255.4443647494627</v>
      </c>
      <c r="G17" s="149">
        <v>4393.8240819512466</v>
      </c>
    </row>
    <row r="18" spans="1:7" x14ac:dyDescent="0.3">
      <c r="A18" s="148">
        <v>10009386</v>
      </c>
      <c r="B18" s="149">
        <v>37.36</v>
      </c>
      <c r="C18" s="149">
        <v>0</v>
      </c>
      <c r="D18" s="149">
        <v>6799.5199999999995</v>
      </c>
      <c r="E18" s="149">
        <v>1364.5316509538577</v>
      </c>
      <c r="F18" s="149">
        <v>3089.3462586270148</v>
      </c>
      <c r="G18" s="149">
        <v>2582.8537125591779</v>
      </c>
    </row>
    <row r="19" spans="1:7" x14ac:dyDescent="0.3">
      <c r="A19" s="148">
        <v>10009639</v>
      </c>
      <c r="B19" s="149">
        <v>4.6999999999999993</v>
      </c>
      <c r="C19" s="149">
        <v>8225</v>
      </c>
      <c r="D19" s="149">
        <v>855.39999999999986</v>
      </c>
      <c r="E19" s="149">
        <v>171.66217236303885</v>
      </c>
      <c r="F19" s="149">
        <v>388.64902075875182</v>
      </c>
      <c r="G19" s="149">
        <v>324.93074007034625</v>
      </c>
    </row>
    <row r="20" spans="1:7" x14ac:dyDescent="0.3">
      <c r="A20" s="148" t="s">
        <v>138</v>
      </c>
      <c r="B20" s="149">
        <v>0</v>
      </c>
      <c r="C20" s="149">
        <v>0</v>
      </c>
      <c r="D20" s="149">
        <v>0</v>
      </c>
      <c r="E20" s="149">
        <v>0</v>
      </c>
      <c r="F20" s="149">
        <v>0</v>
      </c>
      <c r="G20" s="149">
        <v>0</v>
      </c>
    </row>
    <row r="21" spans="1:7" x14ac:dyDescent="0.3">
      <c r="A21" s="148" t="s">
        <v>139</v>
      </c>
      <c r="B21" s="149">
        <v>1793.999</v>
      </c>
      <c r="C21" s="149">
        <v>2997838.3899999997</v>
      </c>
      <c r="D21" s="149">
        <v>326507.81800000009</v>
      </c>
      <c r="E21" s="149">
        <v>65523.779905770069</v>
      </c>
      <c r="F21" s="149">
        <v>148348.07544514473</v>
      </c>
      <c r="G21" s="149">
        <v>124026.68569265128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7501-08BF-43E0-9933-3399EF48FE61}">
  <sheetPr>
    <pageSetUpPr fitToPage="1"/>
  </sheetPr>
  <dimension ref="A1:BQ72"/>
  <sheetViews>
    <sheetView showGridLines="0" zoomScale="80" zoomScaleNormal="80" workbookViewId="0">
      <pane xSplit="3" ySplit="2" topLeftCell="N26" activePane="bottomRight" state="frozen"/>
      <selection pane="topRight" activeCell="D1" sqref="D1"/>
      <selection pane="bottomLeft" activeCell="A3" sqref="A3"/>
      <selection pane="bottomRight" activeCell="AD29" sqref="AD29"/>
    </sheetView>
  </sheetViews>
  <sheetFormatPr baseColWidth="10" defaultRowHeight="14.4" outlineLevelCol="1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11" width="12" style="3" customWidth="1"/>
    <col min="12" max="12" width="12.21875" style="3" customWidth="1"/>
    <col min="13" max="13" width="1.109375" style="3" customWidth="1"/>
    <col min="14" max="15" width="11.6640625" style="3" customWidth="1"/>
    <col min="16" max="16" width="11.88671875" style="3" customWidth="1"/>
    <col min="17" max="17" width="12.6640625" style="3" customWidth="1"/>
    <col min="18" max="18" width="0.88671875" style="8" customWidth="1"/>
    <col min="19" max="19" width="11.5546875" style="3" hidden="1" customWidth="1"/>
    <col min="20" max="20" width="12.77734375" style="3" hidden="1" customWidth="1"/>
    <col min="21" max="21" width="12.44140625" style="3" hidden="1" customWidth="1"/>
    <col min="22" max="22" width="11.44140625" style="3" hidden="1" customWidth="1"/>
    <col min="23" max="23" width="11.77734375" style="3" hidden="1" customWidth="1"/>
    <col min="24" max="26" width="9.77734375" style="8" hidden="1" customWidth="1"/>
    <col min="27" max="27" width="0" hidden="1" customWidth="1"/>
    <col min="28" max="28" width="9.77734375" style="3" hidden="1" customWidth="1"/>
    <col min="29" max="29" width="9.77734375" style="3" customWidth="1"/>
    <col min="30" max="30" width="9.88671875" style="3" customWidth="1" outlineLevel="1"/>
    <col min="31" max="31" width="32.6640625" style="3" customWidth="1" outlineLevel="1"/>
    <col min="32" max="32" width="9.77734375" style="3" customWidth="1" outlineLevel="1"/>
    <col min="33" max="33" width="12.88671875" style="3" bestFit="1" customWidth="1"/>
    <col min="34" max="35" width="13.5546875" style="3" bestFit="1" customWidth="1"/>
    <col min="36" max="37" width="11.5546875" style="3"/>
    <col min="38" max="38" width="14.109375" style="3" bestFit="1" customWidth="1"/>
    <col min="39" max="39" width="13.77734375" style="3" bestFit="1" customWidth="1"/>
    <col min="40" max="40" width="13.44140625" style="3" bestFit="1" customWidth="1"/>
    <col min="41" max="41" width="17.33203125" style="3" bestFit="1" customWidth="1"/>
    <col min="42" max="42" width="23.33203125" style="3" bestFit="1" customWidth="1"/>
    <col min="43" max="43" width="11.5546875" style="3"/>
    <col min="44" max="44" width="18.21875" style="3" bestFit="1" customWidth="1"/>
    <col min="45" max="45" width="12.21875" style="3" bestFit="1" customWidth="1"/>
    <col min="46" max="46" width="13.77734375" style="3" bestFit="1" customWidth="1"/>
    <col min="47" max="47" width="13.44140625" style="3" bestFit="1" customWidth="1"/>
    <col min="48" max="16384" width="11.5546875" style="3"/>
  </cols>
  <sheetData>
    <row r="1" spans="1:69" ht="15" thickBot="1" x14ac:dyDescent="0.35">
      <c r="A1" s="103" t="s">
        <v>1</v>
      </c>
      <c r="B1" s="2" t="s">
        <v>5</v>
      </c>
      <c r="C1" s="103" t="s">
        <v>0</v>
      </c>
      <c r="D1" s="103" t="s">
        <v>86</v>
      </c>
      <c r="E1" s="103"/>
      <c r="F1" s="103"/>
      <c r="G1" s="103"/>
      <c r="H1" s="103"/>
      <c r="I1" s="103"/>
      <c r="J1" s="103"/>
      <c r="K1" s="103"/>
      <c r="L1" s="103"/>
      <c r="N1" s="103" t="s">
        <v>2</v>
      </c>
      <c r="O1" s="103"/>
      <c r="P1" s="103"/>
      <c r="Q1" s="103"/>
      <c r="R1" s="27"/>
      <c r="S1" s="16" t="s">
        <v>22</v>
      </c>
      <c r="T1" s="99" t="s">
        <v>24</v>
      </c>
      <c r="AW1" s="145">
        <v>46119</v>
      </c>
      <c r="AX1" s="145"/>
      <c r="AY1" s="145"/>
      <c r="AZ1" s="145">
        <v>46122</v>
      </c>
      <c r="BA1" s="145"/>
      <c r="BB1" s="145"/>
      <c r="BC1" s="145">
        <v>46125</v>
      </c>
      <c r="BD1" s="145"/>
      <c r="BE1" s="145"/>
      <c r="BF1" s="145">
        <v>46129</v>
      </c>
      <c r="BG1" s="145"/>
      <c r="BH1" s="145"/>
      <c r="BI1" s="145">
        <v>46132</v>
      </c>
      <c r="BJ1" s="145"/>
      <c r="BK1" s="145"/>
      <c r="BL1" s="145">
        <v>46136</v>
      </c>
      <c r="BM1" s="145"/>
      <c r="BN1" s="145"/>
      <c r="BO1" s="145">
        <v>46139</v>
      </c>
      <c r="BP1" s="145"/>
      <c r="BQ1" s="145"/>
    </row>
    <row r="2" spans="1:69" ht="15" thickBot="1" x14ac:dyDescent="0.35">
      <c r="A2" s="103"/>
      <c r="B2" s="2" t="s">
        <v>6</v>
      </c>
      <c r="C2" s="103"/>
      <c r="D2" s="4" t="s">
        <v>20</v>
      </c>
      <c r="E2" s="4">
        <v>46118</v>
      </c>
      <c r="F2" s="4">
        <v>46119</v>
      </c>
      <c r="G2" s="4">
        <v>46120</v>
      </c>
      <c r="H2" s="4">
        <v>46121</v>
      </c>
      <c r="I2" s="4">
        <v>46122</v>
      </c>
      <c r="J2" s="4">
        <v>46123</v>
      </c>
      <c r="K2" s="4"/>
      <c r="L2" s="13"/>
      <c r="M2" s="34"/>
      <c r="N2" s="2" t="s">
        <v>21</v>
      </c>
      <c r="O2" s="2" t="s">
        <v>3</v>
      </c>
      <c r="P2" s="2" t="s">
        <v>61</v>
      </c>
      <c r="Q2" s="2" t="s">
        <v>4</v>
      </c>
      <c r="R2" s="27"/>
      <c r="S2" s="16" t="s">
        <v>23</v>
      </c>
      <c r="T2" s="100"/>
      <c r="U2" s="65" t="s">
        <v>75</v>
      </c>
      <c r="V2" s="65" t="s">
        <v>76</v>
      </c>
      <c r="W2" s="65" t="s">
        <v>77</v>
      </c>
      <c r="Y2" s="8" t="s">
        <v>4</v>
      </c>
      <c r="AD2" s="15" t="s">
        <v>118</v>
      </c>
      <c r="AE2" s="15" t="s">
        <v>119</v>
      </c>
      <c r="AF2" s="105" t="s">
        <v>120</v>
      </c>
      <c r="AG2" s="106" t="s">
        <v>121</v>
      </c>
      <c r="AH2" s="107" t="s">
        <v>122</v>
      </c>
      <c r="AI2" s="107" t="s">
        <v>123</v>
      </c>
      <c r="AJ2" s="107" t="s">
        <v>124</v>
      </c>
      <c r="AK2" s="107" t="s">
        <v>125</v>
      </c>
      <c r="AL2" s="107" t="s">
        <v>126</v>
      </c>
      <c r="AM2" s="107" t="s">
        <v>127</v>
      </c>
      <c r="AN2" s="108" t="s">
        <v>128</v>
      </c>
      <c r="AO2" s="109" t="s">
        <v>129</v>
      </c>
      <c r="AP2" s="109" t="s">
        <v>130</v>
      </c>
      <c r="AQ2" s="110"/>
      <c r="AR2" s="111" t="s">
        <v>131</v>
      </c>
      <c r="AS2" s="112" t="s">
        <v>132</v>
      </c>
      <c r="AT2" s="111" t="s">
        <v>127</v>
      </c>
      <c r="AU2" s="113" t="s">
        <v>128</v>
      </c>
      <c r="AW2" s="146" t="s">
        <v>134</v>
      </c>
      <c r="AX2" s="146" t="s">
        <v>135</v>
      </c>
      <c r="AY2" s="146" t="s">
        <v>136</v>
      </c>
      <c r="AZ2" s="146" t="s">
        <v>134</v>
      </c>
      <c r="BA2" s="146" t="s">
        <v>135</v>
      </c>
      <c r="BB2" s="146" t="s">
        <v>136</v>
      </c>
      <c r="BC2" s="146" t="s">
        <v>134</v>
      </c>
      <c r="BD2" s="146" t="s">
        <v>135</v>
      </c>
      <c r="BE2" s="146" t="s">
        <v>136</v>
      </c>
      <c r="BF2" s="146" t="s">
        <v>134</v>
      </c>
      <c r="BG2" s="146" t="s">
        <v>135</v>
      </c>
      <c r="BH2" s="146" t="s">
        <v>136</v>
      </c>
      <c r="BI2" s="146" t="s">
        <v>134</v>
      </c>
      <c r="BJ2" s="146" t="s">
        <v>135</v>
      </c>
      <c r="BK2" s="146" t="s">
        <v>136</v>
      </c>
      <c r="BL2" s="146" t="s">
        <v>134</v>
      </c>
      <c r="BM2" s="146" t="s">
        <v>135</v>
      </c>
      <c r="BN2" s="146" t="s">
        <v>136</v>
      </c>
      <c r="BO2" s="146" t="s">
        <v>134</v>
      </c>
      <c r="BP2" s="146" t="s">
        <v>135</v>
      </c>
      <c r="BQ2" s="146" t="s">
        <v>136</v>
      </c>
    </row>
    <row r="3" spans="1:69" x14ac:dyDescent="0.3">
      <c r="A3" s="17">
        <v>1</v>
      </c>
      <c r="B3" s="39" t="s">
        <v>27</v>
      </c>
      <c r="C3" s="39" t="s">
        <v>28</v>
      </c>
      <c r="D3" s="53">
        <v>620</v>
      </c>
      <c r="E3" s="18">
        <v>1780</v>
      </c>
      <c r="F3" s="18">
        <f>280+120</f>
        <v>400</v>
      </c>
      <c r="G3" s="18">
        <f>2640+180</f>
        <v>2820</v>
      </c>
      <c r="H3" s="18">
        <f>1680+0</f>
        <v>1680</v>
      </c>
      <c r="I3" s="18">
        <f>2860+1900</f>
        <v>4760</v>
      </c>
      <c r="J3" s="18">
        <v>1620</v>
      </c>
      <c r="K3" s="18"/>
      <c r="L3" s="18"/>
      <c r="M3" s="27"/>
      <c r="N3" s="18">
        <f>+D3</f>
        <v>620</v>
      </c>
      <c r="O3" s="18">
        <f t="shared" ref="O3:O57" si="0">SUM(E3:L3)</f>
        <v>13060</v>
      </c>
      <c r="P3" s="19"/>
      <c r="Q3" s="18">
        <f>+N3+O3-P3</f>
        <v>13680</v>
      </c>
      <c r="R3" s="27">
        <f>+N3-Q3</f>
        <v>-13060</v>
      </c>
      <c r="S3" s="18"/>
      <c r="T3" s="18">
        <f>+Q3-S3</f>
        <v>13680</v>
      </c>
      <c r="U3" s="60"/>
      <c r="V3" s="65"/>
      <c r="W3" s="60"/>
      <c r="X3" s="27"/>
      <c r="Y3" s="27">
        <f>SUM(U3:W3)</f>
        <v>0</v>
      </c>
      <c r="Z3" s="27">
        <f>+Y3-P3</f>
        <v>0</v>
      </c>
      <c r="AD3" s="3">
        <v>10009178</v>
      </c>
      <c r="AE3" s="3" t="str">
        <f>"FEBRERO"&amp;AD3&amp;"Inventario final"</f>
        <v>FEBRERO10009178Inventario final</v>
      </c>
      <c r="AF3" s="3">
        <f>INDEX('[1]Detalle Costos'!$L$5:$L$158,MATCH(AE3,'[1]Detalle Costos'!$C$5:$C$158,0))</f>
        <v>1.73</v>
      </c>
      <c r="AG3" s="114">
        <f t="shared" ref="AG3:AG34" si="1">IF(ISERROR(AF3),0,Q3/1000)</f>
        <v>13.68</v>
      </c>
      <c r="AH3" s="115">
        <f>IFERROR(AF3*AG3,0)*1000</f>
        <v>23666.399999999998</v>
      </c>
      <c r="AI3" s="116">
        <f>182*AG3</f>
        <v>2489.7599999999998</v>
      </c>
      <c r="AJ3" s="115">
        <f t="shared" ref="AJ3:AL3" si="2">$AJ$59/$AG$59*AG3</f>
        <v>499.64649317582365</v>
      </c>
      <c r="AK3" s="115">
        <f t="shared" ref="AK3:AK34" si="3">$AK$59/$AG$59*AG3</f>
        <v>1131.2167242510054</v>
      </c>
      <c r="AL3" s="115">
        <f t="shared" ref="AL3:AL34" si="4">$AL$59/$AG$59*AG3</f>
        <v>945.75585620475249</v>
      </c>
      <c r="AM3" s="115">
        <v>0</v>
      </c>
      <c r="AN3" s="117">
        <f t="shared" ref="AN3:AN48" si="5">$BC$50</f>
        <v>0</v>
      </c>
      <c r="AO3" s="118">
        <f>AH3+AI3+AJ3+AK3</f>
        <v>27787.023217426824</v>
      </c>
      <c r="AP3" s="119">
        <f>IFERROR(AO3/AG3,0)</f>
        <v>2031.2151474727211</v>
      </c>
      <c r="AQ3" s="120"/>
      <c r="AR3" s="121">
        <v>2150</v>
      </c>
      <c r="AS3" s="122">
        <f t="shared" ref="AS3:AS34" si="6">AR3*AG3</f>
        <v>29412</v>
      </c>
      <c r="AT3" s="123">
        <f t="shared" ref="AT3:AT34" si="7">AS3-AO3</f>
        <v>1624.976782573176</v>
      </c>
      <c r="AU3" s="124">
        <f t="shared" ref="AU3:AU34" si="8">IFERROR(AT3/AS3,0)</f>
        <v>5.5248768617339045E-2</v>
      </c>
    </row>
    <row r="4" spans="1:69" x14ac:dyDescent="0.3">
      <c r="A4" s="17">
        <f>+A3+1</f>
        <v>2</v>
      </c>
      <c r="B4" s="39" t="s">
        <v>29</v>
      </c>
      <c r="C4" s="39" t="s">
        <v>30</v>
      </c>
      <c r="D4" s="53">
        <v>29100</v>
      </c>
      <c r="E4" s="18">
        <v>400</v>
      </c>
      <c r="F4" s="18">
        <v>80</v>
      </c>
      <c r="G4" s="18">
        <v>240</v>
      </c>
      <c r="H4" s="18">
        <f>100+0</f>
        <v>100</v>
      </c>
      <c r="I4" s="18">
        <f>220+200</f>
        <v>420</v>
      </c>
      <c r="J4" s="18">
        <v>400</v>
      </c>
      <c r="K4" s="18"/>
      <c r="L4" s="18"/>
      <c r="M4" s="27"/>
      <c r="N4" s="18">
        <f>+D4</f>
        <v>29100</v>
      </c>
      <c r="O4" s="18">
        <f t="shared" si="0"/>
        <v>1640</v>
      </c>
      <c r="P4" s="19"/>
      <c r="Q4" s="18">
        <f t="shared" ref="Q4:Q56" si="9">+N4+O4-P4</f>
        <v>30740</v>
      </c>
      <c r="R4" s="27"/>
      <c r="S4" s="18"/>
      <c r="T4" s="18">
        <f t="shared" ref="T4:T57" si="10">+Q4-S4</f>
        <v>30740</v>
      </c>
      <c r="U4" s="60"/>
      <c r="V4" s="65"/>
      <c r="W4" s="60"/>
      <c r="X4" s="27"/>
      <c r="Y4" s="27">
        <f t="shared" ref="Y4:Y57" si="11">SUM(U4:W4)</f>
        <v>0</v>
      </c>
      <c r="Z4" s="27">
        <f t="shared" ref="Z4:Z57" si="12">+Y4-P4</f>
        <v>0</v>
      </c>
      <c r="AD4" s="3">
        <v>10009178</v>
      </c>
      <c r="AE4" s="3" t="str">
        <f t="shared" ref="AE4:AE47" si="13">"FEBRERO"&amp;AD4&amp;"Inventario final"</f>
        <v>FEBRERO10009178Inventario final</v>
      </c>
      <c r="AF4" s="3">
        <f>INDEX('[1]Detalle Costos'!$L$5:$L$158,MATCH(AE4,'[1]Detalle Costos'!$C$5:$C$158,0))</f>
        <v>1.73</v>
      </c>
      <c r="AG4" s="114">
        <f t="shared" si="1"/>
        <v>30.74</v>
      </c>
      <c r="AH4" s="115">
        <f t="shared" ref="AH3:AH47" si="14">IFERROR(AF4*AG4,0)*1000</f>
        <v>53180.2</v>
      </c>
      <c r="AI4" s="116">
        <f t="shared" ref="AI3:AI47" si="15">182*AG4</f>
        <v>5594.6799999999994</v>
      </c>
      <c r="AJ4" s="115">
        <f t="shared" ref="AJ3:AJ34" si="16">$AJ$59/$AG$59*AG4</f>
        <v>1122.7436549871943</v>
      </c>
      <c r="AK4" s="115">
        <f t="shared" si="3"/>
        <v>2541.9299783242623</v>
      </c>
      <c r="AL4" s="115">
        <f t="shared" si="4"/>
        <v>2125.1853084600943</v>
      </c>
      <c r="AM4" s="115">
        <v>0</v>
      </c>
      <c r="AN4" s="117">
        <f t="shared" si="5"/>
        <v>0</v>
      </c>
      <c r="AO4" s="118">
        <f t="shared" ref="AO4:AO47" si="17">AH4+AI4+AJ4+AK4</f>
        <v>62439.553633311451</v>
      </c>
      <c r="AP4" s="119">
        <f t="shared" ref="AP4:AP47" si="18">IFERROR(AO4/AG4,0)</f>
        <v>2031.2151474727214</v>
      </c>
      <c r="AQ4" s="120"/>
      <c r="AR4" s="121">
        <v>2150</v>
      </c>
      <c r="AS4" s="122">
        <f t="shared" si="6"/>
        <v>66091</v>
      </c>
      <c r="AT4" s="123">
        <f t="shared" si="7"/>
        <v>3651.4463666885495</v>
      </c>
      <c r="AU4" s="124">
        <f t="shared" si="8"/>
        <v>5.5248768617338961E-2</v>
      </c>
    </row>
    <row r="5" spans="1:69" x14ac:dyDescent="0.3">
      <c r="A5" s="17">
        <f t="shared" ref="A5:A48" si="19">+A4+1</f>
        <v>3</v>
      </c>
      <c r="B5" s="39" t="s">
        <v>31</v>
      </c>
      <c r="C5" s="39" t="s">
        <v>32</v>
      </c>
      <c r="D5" s="53">
        <v>680</v>
      </c>
      <c r="E5" s="18">
        <v>1540</v>
      </c>
      <c r="F5" s="18">
        <f>60+400</f>
        <v>460</v>
      </c>
      <c r="G5" s="18">
        <f>1940+180</f>
        <v>2120</v>
      </c>
      <c r="H5" s="18">
        <f>2820+0</f>
        <v>2820</v>
      </c>
      <c r="I5" s="18">
        <f>3880+2760</f>
        <v>6640</v>
      </c>
      <c r="J5" s="18">
        <v>2500</v>
      </c>
      <c r="K5" s="18"/>
      <c r="L5" s="18"/>
      <c r="M5" s="27"/>
      <c r="N5" s="18">
        <f>+D5</f>
        <v>680</v>
      </c>
      <c r="O5" s="18">
        <f t="shared" si="0"/>
        <v>16080</v>
      </c>
      <c r="P5" s="19"/>
      <c r="Q5" s="18">
        <f t="shared" si="9"/>
        <v>16760</v>
      </c>
      <c r="R5" s="27"/>
      <c r="S5" s="18"/>
      <c r="T5" s="18">
        <f t="shared" si="10"/>
        <v>16760</v>
      </c>
      <c r="U5" s="60"/>
      <c r="V5" s="65"/>
      <c r="W5" s="60"/>
      <c r="X5" s="27"/>
      <c r="Y5" s="27">
        <f t="shared" si="11"/>
        <v>0</v>
      </c>
      <c r="Z5" s="27">
        <f t="shared" si="12"/>
        <v>0</v>
      </c>
      <c r="AD5" s="3">
        <v>10009178</v>
      </c>
      <c r="AE5" s="3" t="str">
        <f t="shared" si="13"/>
        <v>FEBRERO10009178Inventario final</v>
      </c>
      <c r="AF5" s="3">
        <f>INDEX('[1]Detalle Costos'!$L$5:$L$158,MATCH(AE5,'[1]Detalle Costos'!$C$5:$C$158,0))</f>
        <v>1.73</v>
      </c>
      <c r="AG5" s="114">
        <f t="shared" si="1"/>
        <v>16.760000000000002</v>
      </c>
      <c r="AH5" s="115">
        <f t="shared" si="14"/>
        <v>28994.800000000003</v>
      </c>
      <c r="AI5" s="116">
        <f t="shared" si="15"/>
        <v>3050.32</v>
      </c>
      <c r="AJ5" s="115">
        <f t="shared" si="16"/>
        <v>612.14000187330453</v>
      </c>
      <c r="AK5" s="115">
        <f t="shared" si="3"/>
        <v>1385.9058697695068</v>
      </c>
      <c r="AL5" s="115">
        <f t="shared" si="4"/>
        <v>1158.6891922508519</v>
      </c>
      <c r="AM5" s="115">
        <v>0</v>
      </c>
      <c r="AN5" s="117">
        <f t="shared" si="5"/>
        <v>0</v>
      </c>
      <c r="AO5" s="118">
        <f t="shared" si="17"/>
        <v>34043.165871642814</v>
      </c>
      <c r="AP5" s="119">
        <f t="shared" si="18"/>
        <v>2031.2151474727214</v>
      </c>
      <c r="AQ5" s="120"/>
      <c r="AR5" s="121">
        <v>2150</v>
      </c>
      <c r="AS5" s="122">
        <f t="shared" si="6"/>
        <v>36034</v>
      </c>
      <c r="AT5" s="123">
        <f t="shared" si="7"/>
        <v>1990.8341283571863</v>
      </c>
      <c r="AU5" s="124">
        <f t="shared" si="8"/>
        <v>5.5248768617338802E-2</v>
      </c>
    </row>
    <row r="6" spans="1:69" x14ac:dyDescent="0.3">
      <c r="A6" s="17">
        <f t="shared" si="19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27"/>
      <c r="N6" s="18">
        <f>+D6</f>
        <v>680</v>
      </c>
      <c r="O6" s="18">
        <f t="shared" si="0"/>
        <v>0</v>
      </c>
      <c r="P6" s="19"/>
      <c r="Q6" s="18">
        <f t="shared" si="9"/>
        <v>680</v>
      </c>
      <c r="R6" s="27"/>
      <c r="S6" s="18"/>
      <c r="T6" s="18">
        <f t="shared" si="10"/>
        <v>680</v>
      </c>
      <c r="U6" s="60"/>
      <c r="V6" s="65"/>
      <c r="W6" s="60"/>
      <c r="X6" s="27"/>
      <c r="Y6" s="27">
        <f t="shared" si="11"/>
        <v>0</v>
      </c>
      <c r="Z6" s="27">
        <f t="shared" si="12"/>
        <v>0</v>
      </c>
      <c r="AD6" s="3">
        <v>10009178</v>
      </c>
      <c r="AE6" s="3" t="str">
        <f t="shared" si="13"/>
        <v>FEBRERO10009178Inventario final</v>
      </c>
      <c r="AF6" s="3">
        <f>INDEX('[1]Detalle Costos'!$L$5:$L$158,MATCH(AE6,'[1]Detalle Costos'!$C$5:$C$158,0))</f>
        <v>1.73</v>
      </c>
      <c r="AG6" s="114">
        <f t="shared" si="1"/>
        <v>0.68</v>
      </c>
      <c r="AH6" s="115">
        <f t="shared" si="14"/>
        <v>1176.4000000000001</v>
      </c>
      <c r="AI6" s="116">
        <f t="shared" si="15"/>
        <v>123.76</v>
      </c>
      <c r="AJ6" s="115">
        <f t="shared" si="16"/>
        <v>24.836229192950302</v>
      </c>
      <c r="AK6" s="115">
        <f t="shared" si="3"/>
        <v>56.230071088500274</v>
      </c>
      <c r="AL6" s="115">
        <f t="shared" si="4"/>
        <v>47.01125601017776</v>
      </c>
      <c r="AM6" s="115">
        <v>0</v>
      </c>
      <c r="AN6" s="117">
        <f t="shared" si="5"/>
        <v>0</v>
      </c>
      <c r="AO6" s="118">
        <f t="shared" si="17"/>
        <v>1381.2263002814507</v>
      </c>
      <c r="AP6" s="119">
        <f t="shared" si="18"/>
        <v>2031.2151474727214</v>
      </c>
      <c r="AQ6" s="120"/>
      <c r="AR6" s="121">
        <v>2150</v>
      </c>
      <c r="AS6" s="122">
        <f t="shared" si="6"/>
        <v>1462</v>
      </c>
      <c r="AT6" s="123">
        <f t="shared" si="7"/>
        <v>80.773699718549324</v>
      </c>
      <c r="AU6" s="124">
        <f t="shared" si="8"/>
        <v>5.5248768617338802E-2</v>
      </c>
    </row>
    <row r="7" spans="1:69" x14ac:dyDescent="0.3">
      <c r="A7" s="17">
        <f t="shared" si="19"/>
        <v>5</v>
      </c>
      <c r="B7" s="39" t="s">
        <v>34</v>
      </c>
      <c r="C7" s="39" t="s">
        <v>35</v>
      </c>
      <c r="D7" s="53">
        <v>274200</v>
      </c>
      <c r="E7" s="18">
        <v>60</v>
      </c>
      <c r="F7" s="18"/>
      <c r="G7" s="18"/>
      <c r="H7" s="18"/>
      <c r="I7" s="18"/>
      <c r="J7" s="18"/>
      <c r="K7" s="18"/>
      <c r="L7" s="18"/>
      <c r="M7" s="27"/>
      <c r="N7" s="18">
        <f>+D7</f>
        <v>274200</v>
      </c>
      <c r="O7" s="18">
        <f t="shared" si="0"/>
        <v>60</v>
      </c>
      <c r="P7" s="19">
        <v>27000</v>
      </c>
      <c r="Q7" s="18">
        <f t="shared" si="9"/>
        <v>247260</v>
      </c>
      <c r="R7" s="27"/>
      <c r="S7" s="18"/>
      <c r="T7" s="18">
        <f t="shared" si="10"/>
        <v>247260</v>
      </c>
      <c r="U7" s="60"/>
      <c r="V7" s="65"/>
      <c r="W7" s="60"/>
      <c r="X7" s="27"/>
      <c r="Y7" s="27">
        <f t="shared" si="11"/>
        <v>0</v>
      </c>
      <c r="Z7" s="27">
        <f t="shared" si="12"/>
        <v>-27000</v>
      </c>
      <c r="AD7" s="3">
        <v>10006720</v>
      </c>
      <c r="AE7" s="3" t="str">
        <f t="shared" si="13"/>
        <v>FEBRERO10006720Inventario final</v>
      </c>
      <c r="AF7" s="3">
        <f>INDEX('[1]Detalle Costos'!$L$5:$L$158,MATCH(AE7,'[1]Detalle Costos'!$C$5:$C$158,0))</f>
        <v>1.64</v>
      </c>
      <c r="AG7" s="114">
        <f t="shared" si="1"/>
        <v>247.26</v>
      </c>
      <c r="AH7" s="115">
        <f t="shared" si="14"/>
        <v>405506.39999999997</v>
      </c>
      <c r="AI7" s="116">
        <f t="shared" si="15"/>
        <v>45001.32</v>
      </c>
      <c r="AJ7" s="115">
        <f t="shared" si="16"/>
        <v>9030.8912209542505</v>
      </c>
      <c r="AK7" s="115">
        <f t="shared" si="3"/>
        <v>20446.246143150849</v>
      </c>
      <c r="AL7" s="115">
        <f t="shared" si="4"/>
        <v>17094.12229570081</v>
      </c>
      <c r="AM7" s="115">
        <v>0</v>
      </c>
      <c r="AN7" s="117">
        <f t="shared" si="5"/>
        <v>0</v>
      </c>
      <c r="AO7" s="118">
        <f t="shared" si="17"/>
        <v>479984.85736410506</v>
      </c>
      <c r="AP7" s="119">
        <f t="shared" si="18"/>
        <v>1941.2151474727214</v>
      </c>
      <c r="AQ7" s="120"/>
      <c r="AR7" s="121">
        <v>2150</v>
      </c>
      <c r="AS7" s="122">
        <f t="shared" si="6"/>
        <v>531609</v>
      </c>
      <c r="AT7" s="123">
        <f t="shared" si="7"/>
        <v>51624.142635894939</v>
      </c>
      <c r="AU7" s="124">
        <f t="shared" si="8"/>
        <v>9.7109233733618017E-2</v>
      </c>
    </row>
    <row r="8" spans="1:69" x14ac:dyDescent="0.3">
      <c r="A8" s="17">
        <f t="shared" si="19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27"/>
      <c r="N8" s="18">
        <f t="shared" ref="N8:N57" si="20">+D8</f>
        <v>120</v>
      </c>
      <c r="O8" s="18">
        <f t="shared" si="0"/>
        <v>0</v>
      </c>
      <c r="P8" s="19"/>
      <c r="Q8" s="18">
        <f t="shared" si="9"/>
        <v>120</v>
      </c>
      <c r="R8" s="27"/>
      <c r="S8" s="18"/>
      <c r="T8" s="18">
        <f t="shared" si="10"/>
        <v>120</v>
      </c>
      <c r="U8" s="60"/>
      <c r="V8" s="65"/>
      <c r="W8" s="60"/>
      <c r="X8" s="27"/>
      <c r="Y8" s="27">
        <f t="shared" si="11"/>
        <v>0</v>
      </c>
      <c r="Z8" s="27">
        <f t="shared" si="12"/>
        <v>0</v>
      </c>
      <c r="AD8" s="3">
        <v>10006722</v>
      </c>
      <c r="AE8" s="3" t="str">
        <f t="shared" si="13"/>
        <v>FEBRERO10006722Inventario final</v>
      </c>
      <c r="AF8" s="3">
        <f>INDEX('[1]Detalle Costos'!$L$5:$L$158,MATCH(AE8,'[1]Detalle Costos'!$C$5:$C$158,0))</f>
        <v>1.87</v>
      </c>
      <c r="AG8" s="114">
        <f t="shared" si="1"/>
        <v>0.12</v>
      </c>
      <c r="AH8" s="115">
        <f t="shared" si="14"/>
        <v>224.4</v>
      </c>
      <c r="AI8" s="116">
        <f t="shared" si="15"/>
        <v>21.84</v>
      </c>
      <c r="AJ8" s="115">
        <f t="shared" si="16"/>
        <v>4.382863975226523</v>
      </c>
      <c r="AK8" s="115">
        <f t="shared" si="3"/>
        <v>9.922953721500047</v>
      </c>
      <c r="AL8" s="115">
        <f t="shared" si="4"/>
        <v>8.2961040017960741</v>
      </c>
      <c r="AM8" s="115">
        <v>0</v>
      </c>
      <c r="AN8" s="117">
        <f t="shared" si="5"/>
        <v>0</v>
      </c>
      <c r="AO8" s="118">
        <f t="shared" si="17"/>
        <v>260.54581769672654</v>
      </c>
      <c r="AP8" s="119">
        <f t="shared" si="18"/>
        <v>2171.2151474727211</v>
      </c>
      <c r="AQ8" s="120"/>
      <c r="AR8" s="121">
        <v>2150</v>
      </c>
      <c r="AS8" s="122">
        <f t="shared" si="6"/>
        <v>258</v>
      </c>
      <c r="AT8" s="123">
        <f t="shared" si="7"/>
        <v>-2.5458176967265445</v>
      </c>
      <c r="AU8" s="124">
        <f t="shared" si="8"/>
        <v>-9.8675104524284674E-3</v>
      </c>
    </row>
    <row r="9" spans="1:69" x14ac:dyDescent="0.3">
      <c r="A9" s="17">
        <f t="shared" si="19"/>
        <v>7</v>
      </c>
      <c r="B9" s="39">
        <v>10009331</v>
      </c>
      <c r="C9" s="39" t="s">
        <v>90</v>
      </c>
      <c r="D9" s="53">
        <v>15138</v>
      </c>
      <c r="E9" s="18"/>
      <c r="F9" s="18">
        <f>4086+3078</f>
        <v>7164</v>
      </c>
      <c r="G9" s="18">
        <f>2088+2376</f>
        <v>4464</v>
      </c>
      <c r="H9" s="18">
        <v>2916</v>
      </c>
      <c r="I9" s="18">
        <v>3124</v>
      </c>
      <c r="J9" s="18">
        <v>3114</v>
      </c>
      <c r="K9" s="18"/>
      <c r="L9" s="18"/>
      <c r="M9" s="27"/>
      <c r="N9" s="18">
        <f t="shared" si="20"/>
        <v>15138</v>
      </c>
      <c r="O9" s="18">
        <f t="shared" si="0"/>
        <v>20782</v>
      </c>
      <c r="P9" s="19"/>
      <c r="Q9" s="18">
        <f t="shared" si="9"/>
        <v>35920</v>
      </c>
      <c r="R9" s="27"/>
      <c r="S9" s="18"/>
      <c r="T9" s="18">
        <f t="shared" si="10"/>
        <v>35920</v>
      </c>
      <c r="U9" s="60"/>
      <c r="V9" s="65"/>
      <c r="W9" s="60"/>
      <c r="X9" s="27"/>
      <c r="Y9" s="27">
        <f t="shared" si="11"/>
        <v>0</v>
      </c>
      <c r="Z9" s="27">
        <f t="shared" si="12"/>
        <v>0</v>
      </c>
      <c r="AD9" s="3">
        <v>10007050</v>
      </c>
      <c r="AE9" s="3" t="str">
        <f t="shared" si="13"/>
        <v>FEBRERO10007050Inventario final</v>
      </c>
      <c r="AF9" s="3">
        <f>INDEX('[1]Detalle Costos'!$L$5:$L$158,MATCH(AE9,'[1]Detalle Costos'!$C$5:$C$158,0))</f>
        <v>1.31</v>
      </c>
      <c r="AG9" s="114">
        <f t="shared" si="1"/>
        <v>35.92</v>
      </c>
      <c r="AH9" s="115">
        <f t="shared" si="14"/>
        <v>47055.200000000004</v>
      </c>
      <c r="AI9" s="116">
        <f t="shared" si="15"/>
        <v>6537.4400000000005</v>
      </c>
      <c r="AJ9" s="115">
        <f t="shared" si="16"/>
        <v>1311.9372832511394</v>
      </c>
      <c r="AK9" s="115">
        <f t="shared" si="3"/>
        <v>2970.2708139690144</v>
      </c>
      <c r="AL9" s="115">
        <f t="shared" si="4"/>
        <v>2483.3004645376254</v>
      </c>
      <c r="AM9" s="115">
        <v>0</v>
      </c>
      <c r="AN9" s="117">
        <f t="shared" si="5"/>
        <v>0</v>
      </c>
      <c r="AO9" s="118">
        <f t="shared" si="17"/>
        <v>57874.848097220158</v>
      </c>
      <c r="AP9" s="119">
        <f t="shared" si="18"/>
        <v>1611.2151474727214</v>
      </c>
      <c r="AQ9" s="120"/>
      <c r="AR9" s="121">
        <v>3950</v>
      </c>
      <c r="AS9" s="122">
        <f t="shared" si="6"/>
        <v>141884</v>
      </c>
      <c r="AT9" s="123">
        <f t="shared" si="7"/>
        <v>84009.151902779849</v>
      </c>
      <c r="AU9" s="124">
        <f t="shared" si="8"/>
        <v>0.59209743101956425</v>
      </c>
    </row>
    <row r="10" spans="1:69" x14ac:dyDescent="0.3">
      <c r="A10" s="17">
        <f t="shared" si="19"/>
        <v>8</v>
      </c>
      <c r="B10" s="39"/>
      <c r="C10" s="39" t="s">
        <v>88</v>
      </c>
      <c r="D10" s="53">
        <v>0</v>
      </c>
      <c r="E10" s="18"/>
      <c r="F10" s="18"/>
      <c r="G10" s="18"/>
      <c r="H10" s="18"/>
      <c r="I10" s="18"/>
      <c r="J10" s="18"/>
      <c r="K10" s="18"/>
      <c r="L10" s="18"/>
      <c r="M10" s="27"/>
      <c r="N10" s="18">
        <f t="shared" si="20"/>
        <v>0</v>
      </c>
      <c r="O10" s="18">
        <f t="shared" si="0"/>
        <v>0</v>
      </c>
      <c r="P10" s="19"/>
      <c r="Q10" s="18">
        <f t="shared" si="9"/>
        <v>0</v>
      </c>
      <c r="R10" s="27"/>
      <c r="S10" s="18"/>
      <c r="T10" s="18">
        <f t="shared" si="10"/>
        <v>0</v>
      </c>
      <c r="U10" s="60"/>
      <c r="V10" s="65"/>
      <c r="W10" s="60"/>
      <c r="X10" s="27"/>
      <c r="Y10" s="27">
        <f t="shared" si="11"/>
        <v>0</v>
      </c>
      <c r="Z10" s="27">
        <f t="shared" si="12"/>
        <v>0</v>
      </c>
      <c r="AD10" s="3">
        <v>10007050</v>
      </c>
      <c r="AE10" s="3" t="str">
        <f t="shared" si="13"/>
        <v>FEBRERO10007050Inventario final</v>
      </c>
      <c r="AF10" s="3">
        <f>INDEX('[1]Detalle Costos'!$L$5:$L$158,MATCH(AE10,'[1]Detalle Costos'!$C$5:$C$158,0))</f>
        <v>1.31</v>
      </c>
      <c r="AG10" s="114">
        <f t="shared" si="1"/>
        <v>0</v>
      </c>
      <c r="AH10" s="115">
        <f t="shared" si="14"/>
        <v>0</v>
      </c>
      <c r="AI10" s="116">
        <f t="shared" si="15"/>
        <v>0</v>
      </c>
      <c r="AJ10" s="115">
        <f t="shared" si="16"/>
        <v>0</v>
      </c>
      <c r="AK10" s="115">
        <f t="shared" si="3"/>
        <v>0</v>
      </c>
      <c r="AL10" s="115">
        <f t="shared" si="4"/>
        <v>0</v>
      </c>
      <c r="AM10" s="115">
        <v>0</v>
      </c>
      <c r="AN10" s="117">
        <f t="shared" si="5"/>
        <v>0</v>
      </c>
      <c r="AO10" s="118">
        <f t="shared" si="17"/>
        <v>0</v>
      </c>
      <c r="AP10" s="119">
        <f t="shared" si="18"/>
        <v>0</v>
      </c>
      <c r="AQ10" s="120"/>
      <c r="AR10" s="121"/>
      <c r="AS10" s="122">
        <f t="shared" si="6"/>
        <v>0</v>
      </c>
      <c r="AT10" s="123">
        <f t="shared" si="7"/>
        <v>0</v>
      </c>
      <c r="AU10" s="124">
        <f t="shared" si="8"/>
        <v>0</v>
      </c>
    </row>
    <row r="11" spans="1:69" x14ac:dyDescent="0.3">
      <c r="A11" s="17">
        <f t="shared" si="19"/>
        <v>9</v>
      </c>
      <c r="B11" s="39">
        <v>10009334</v>
      </c>
      <c r="C11" s="39" t="s">
        <v>91</v>
      </c>
      <c r="D11" s="53">
        <v>5472</v>
      </c>
      <c r="E11" s="18"/>
      <c r="F11" s="18">
        <f>324+342</f>
        <v>666</v>
      </c>
      <c r="G11" s="18">
        <f>540+36</f>
        <v>576</v>
      </c>
      <c r="H11" s="18">
        <v>216</v>
      </c>
      <c r="I11" s="18"/>
      <c r="J11" s="18">
        <v>234</v>
      </c>
      <c r="K11" s="18"/>
      <c r="L11" s="18"/>
      <c r="M11" s="27"/>
      <c r="N11" s="18">
        <f t="shared" si="20"/>
        <v>5472</v>
      </c>
      <c r="O11" s="18">
        <f t="shared" si="0"/>
        <v>1692</v>
      </c>
      <c r="P11" s="19"/>
      <c r="Q11" s="18">
        <f t="shared" si="9"/>
        <v>7164</v>
      </c>
      <c r="R11" s="27"/>
      <c r="S11" s="18"/>
      <c r="T11" s="18">
        <f t="shared" si="10"/>
        <v>7164</v>
      </c>
      <c r="U11" s="60"/>
      <c r="V11" s="65"/>
      <c r="W11" s="60"/>
      <c r="X11" s="27"/>
      <c r="Y11" s="27">
        <f t="shared" si="11"/>
        <v>0</v>
      </c>
      <c r="Z11" s="27">
        <f t="shared" si="12"/>
        <v>0</v>
      </c>
      <c r="AD11" s="3">
        <v>10007050</v>
      </c>
      <c r="AE11" s="3" t="str">
        <f t="shared" si="13"/>
        <v>FEBRERO10007050Inventario final</v>
      </c>
      <c r="AF11" s="3">
        <f>INDEX('[1]Detalle Costos'!$L$5:$L$158,MATCH(AE11,'[1]Detalle Costos'!$C$5:$C$158,0))</f>
        <v>1.31</v>
      </c>
      <c r="AG11" s="114">
        <f t="shared" si="1"/>
        <v>7.1639999999999997</v>
      </c>
      <c r="AH11" s="115">
        <f t="shared" si="14"/>
        <v>9384.84</v>
      </c>
      <c r="AI11" s="116">
        <f t="shared" si="15"/>
        <v>1303.848</v>
      </c>
      <c r="AJ11" s="115">
        <f t="shared" si="16"/>
        <v>261.65697932102347</v>
      </c>
      <c r="AK11" s="115">
        <f t="shared" si="3"/>
        <v>592.40033717355277</v>
      </c>
      <c r="AL11" s="115">
        <f t="shared" si="4"/>
        <v>495.27740890722566</v>
      </c>
      <c r="AM11" s="115">
        <v>0</v>
      </c>
      <c r="AN11" s="117">
        <f t="shared" si="5"/>
        <v>0</v>
      </c>
      <c r="AO11" s="118">
        <f t="shared" si="17"/>
        <v>11542.745316494576</v>
      </c>
      <c r="AP11" s="119">
        <f t="shared" si="18"/>
        <v>1611.2151474727216</v>
      </c>
      <c r="AQ11" s="120"/>
      <c r="AR11" s="121">
        <v>3950</v>
      </c>
      <c r="AS11" s="122">
        <f t="shared" si="6"/>
        <v>28297.8</v>
      </c>
      <c r="AT11" s="123">
        <f t="shared" si="7"/>
        <v>16755.054683505423</v>
      </c>
      <c r="AU11" s="124">
        <f t="shared" si="8"/>
        <v>0.59209743101956414</v>
      </c>
    </row>
    <row r="12" spans="1:69" s="8" customFormat="1" x14ac:dyDescent="0.25">
      <c r="A12" s="37">
        <f>+A11+1</f>
        <v>10</v>
      </c>
      <c r="B12" s="40" t="s">
        <v>40</v>
      </c>
      <c r="C12" s="40" t="s">
        <v>41</v>
      </c>
      <c r="D12" s="54">
        <v>30840</v>
      </c>
      <c r="E12" s="26">
        <v>320</v>
      </c>
      <c r="F12" s="26">
        <v>0</v>
      </c>
      <c r="G12" s="26">
        <f>260+140</f>
        <v>400</v>
      </c>
      <c r="H12" s="26">
        <v>280</v>
      </c>
      <c r="I12" s="26">
        <f>160+360</f>
        <v>520</v>
      </c>
      <c r="J12" s="26">
        <v>80</v>
      </c>
      <c r="K12" s="26"/>
      <c r="L12" s="26"/>
      <c r="M12" s="27"/>
      <c r="N12" s="26">
        <f t="shared" si="20"/>
        <v>30840</v>
      </c>
      <c r="O12" s="26">
        <f t="shared" si="0"/>
        <v>1600</v>
      </c>
      <c r="P12" s="38"/>
      <c r="Q12" s="26">
        <f t="shared" si="9"/>
        <v>32440</v>
      </c>
      <c r="R12" s="27"/>
      <c r="S12" s="18"/>
      <c r="T12" s="18">
        <f t="shared" si="10"/>
        <v>32440</v>
      </c>
      <c r="U12" s="60"/>
      <c r="V12" s="65"/>
      <c r="W12" s="60"/>
      <c r="X12" s="27"/>
      <c r="Y12" s="27">
        <f t="shared" si="11"/>
        <v>0</v>
      </c>
      <c r="Z12" s="27">
        <f t="shared" si="12"/>
        <v>0</v>
      </c>
      <c r="AD12" s="8">
        <v>10009207</v>
      </c>
      <c r="AE12" s="3" t="str">
        <f t="shared" si="13"/>
        <v>FEBRERO10009207Inventario final</v>
      </c>
      <c r="AF12" s="83">
        <v>0</v>
      </c>
      <c r="AG12" s="114">
        <f t="shared" si="1"/>
        <v>32.44</v>
      </c>
      <c r="AH12" s="115">
        <f t="shared" si="14"/>
        <v>0</v>
      </c>
      <c r="AI12" s="116">
        <f t="shared" si="15"/>
        <v>5904.08</v>
      </c>
      <c r="AJ12" s="125">
        <f t="shared" si="16"/>
        <v>1184.8342279695701</v>
      </c>
      <c r="AK12" s="115">
        <f t="shared" si="3"/>
        <v>2682.5051560455126</v>
      </c>
      <c r="AL12" s="115">
        <f t="shared" si="4"/>
        <v>2242.7134484855387</v>
      </c>
      <c r="AM12" s="115">
        <v>0</v>
      </c>
      <c r="AN12" s="117">
        <f t="shared" si="5"/>
        <v>0</v>
      </c>
      <c r="AO12" s="118">
        <f t="shared" si="17"/>
        <v>9771.419384015082</v>
      </c>
      <c r="AP12" s="119">
        <f t="shared" si="18"/>
        <v>301.21514747272141</v>
      </c>
      <c r="AQ12" s="120"/>
      <c r="AR12" s="121">
        <v>1000</v>
      </c>
      <c r="AS12" s="122">
        <f t="shared" si="6"/>
        <v>32439.999999999996</v>
      </c>
      <c r="AT12" s="123">
        <f t="shared" si="7"/>
        <v>22668.580615984916</v>
      </c>
      <c r="AU12" s="124">
        <f t="shared" si="8"/>
        <v>0.69878485252727862</v>
      </c>
    </row>
    <row r="13" spans="1:69" s="8" customFormat="1" x14ac:dyDescent="0.25">
      <c r="A13" s="37">
        <f>+A12+1</f>
        <v>11</v>
      </c>
      <c r="B13" s="40">
        <v>10007969</v>
      </c>
      <c r="C13" s="40" t="s">
        <v>59</v>
      </c>
      <c r="D13" s="54">
        <v>48300</v>
      </c>
      <c r="E13" s="26">
        <v>640</v>
      </c>
      <c r="F13" s="26">
        <v>280</v>
      </c>
      <c r="G13" s="26">
        <f>340+300</f>
        <v>640</v>
      </c>
      <c r="H13" s="26">
        <v>340</v>
      </c>
      <c r="I13" s="26">
        <v>700</v>
      </c>
      <c r="J13" s="26"/>
      <c r="K13" s="26"/>
      <c r="L13" s="26"/>
      <c r="M13" s="27"/>
      <c r="N13" s="26">
        <f t="shared" si="20"/>
        <v>48300</v>
      </c>
      <c r="O13" s="26">
        <f t="shared" si="0"/>
        <v>2600</v>
      </c>
      <c r="P13" s="38"/>
      <c r="Q13" s="26">
        <f t="shared" si="9"/>
        <v>50900</v>
      </c>
      <c r="R13" s="27"/>
      <c r="S13" s="18"/>
      <c r="T13" s="18">
        <f t="shared" si="10"/>
        <v>50900</v>
      </c>
      <c r="U13" s="60"/>
      <c r="V13" s="65"/>
      <c r="W13" s="60"/>
      <c r="X13" s="27"/>
      <c r="Y13" s="27">
        <f t="shared" si="11"/>
        <v>0</v>
      </c>
      <c r="Z13" s="27">
        <f t="shared" si="12"/>
        <v>0</v>
      </c>
      <c r="AD13" s="8">
        <v>10007969</v>
      </c>
      <c r="AE13" s="3" t="str">
        <f t="shared" si="13"/>
        <v>FEBRERO10007969Inventario final</v>
      </c>
      <c r="AF13" s="8">
        <f>INDEX('[1]Detalle Costos'!$L$5:$L$158,MATCH(AE13,'[1]Detalle Costos'!$C$5:$C$158,0))</f>
        <v>1.4</v>
      </c>
      <c r="AG13" s="114">
        <f t="shared" si="1"/>
        <v>50.9</v>
      </c>
      <c r="AH13" s="115">
        <f t="shared" si="14"/>
        <v>71259.999999999985</v>
      </c>
      <c r="AI13" s="116">
        <f t="shared" si="15"/>
        <v>9263.7999999999993</v>
      </c>
      <c r="AJ13" s="125">
        <f t="shared" si="16"/>
        <v>1859.0648028252504</v>
      </c>
      <c r="AK13" s="115">
        <f t="shared" si="3"/>
        <v>4208.9862035362703</v>
      </c>
      <c r="AL13" s="115">
        <f t="shared" si="4"/>
        <v>3518.9307807618352</v>
      </c>
      <c r="AM13" s="115">
        <v>0</v>
      </c>
      <c r="AN13" s="117">
        <f t="shared" si="5"/>
        <v>0</v>
      </c>
      <c r="AO13" s="118">
        <f t="shared" si="17"/>
        <v>86591.85100636151</v>
      </c>
      <c r="AP13" s="119">
        <f t="shared" si="18"/>
        <v>1701.2151474727214</v>
      </c>
      <c r="AQ13" s="120"/>
      <c r="AR13" s="121">
        <v>1800</v>
      </c>
      <c r="AS13" s="122">
        <f t="shared" si="6"/>
        <v>91620</v>
      </c>
      <c r="AT13" s="123">
        <f t="shared" si="7"/>
        <v>5028.1489936384896</v>
      </c>
      <c r="AU13" s="124">
        <f t="shared" si="8"/>
        <v>5.4880473626265983E-2</v>
      </c>
    </row>
    <row r="14" spans="1:69" x14ac:dyDescent="0.3">
      <c r="A14" s="7">
        <f>+A13+1</f>
        <v>12</v>
      </c>
      <c r="B14" s="20" t="s">
        <v>8</v>
      </c>
      <c r="C14" s="20" t="s">
        <v>9</v>
      </c>
      <c r="D14" s="55">
        <v>300</v>
      </c>
      <c r="E14" s="21"/>
      <c r="F14" s="21">
        <f>40+160</f>
        <v>200</v>
      </c>
      <c r="G14" s="21"/>
      <c r="H14" s="21"/>
      <c r="I14" s="21">
        <v>60</v>
      </c>
      <c r="J14" s="21"/>
      <c r="K14" s="21"/>
      <c r="L14" s="21"/>
      <c r="M14" s="27"/>
      <c r="N14" s="21">
        <f t="shared" si="20"/>
        <v>300</v>
      </c>
      <c r="O14" s="21">
        <f t="shared" si="0"/>
        <v>260</v>
      </c>
      <c r="P14" s="22"/>
      <c r="Q14" s="21">
        <f t="shared" si="9"/>
        <v>560</v>
      </c>
      <c r="R14" s="27"/>
      <c r="S14" s="18"/>
      <c r="T14" s="18">
        <f t="shared" si="10"/>
        <v>560</v>
      </c>
      <c r="U14" s="60"/>
      <c r="V14" s="65"/>
      <c r="W14" s="60"/>
      <c r="X14" s="27"/>
      <c r="Y14" s="27">
        <f t="shared" si="11"/>
        <v>0</v>
      </c>
      <c r="Z14" s="27">
        <f t="shared" si="12"/>
        <v>0</v>
      </c>
      <c r="AD14" s="3">
        <v>10005721</v>
      </c>
      <c r="AE14" s="3" t="str">
        <f t="shared" si="13"/>
        <v>FEBRERO10005721Inventario final</v>
      </c>
      <c r="AF14" s="3">
        <f>INDEX('[1]Detalle Costos'!$L$5:$L$158,MATCH(AE14,'[1]Detalle Costos'!$C$5:$C$158,0))</f>
        <v>1.74</v>
      </c>
      <c r="AG14" s="114">
        <f t="shared" si="1"/>
        <v>0.56000000000000005</v>
      </c>
      <c r="AH14" s="115">
        <f t="shared" si="14"/>
        <v>974.40000000000009</v>
      </c>
      <c r="AI14" s="116">
        <f t="shared" si="15"/>
        <v>101.92000000000002</v>
      </c>
      <c r="AJ14" s="115">
        <f t="shared" si="16"/>
        <v>20.453365217723778</v>
      </c>
      <c r="AK14" s="115">
        <f t="shared" si="3"/>
        <v>46.307117367000224</v>
      </c>
      <c r="AL14" s="115">
        <f t="shared" si="4"/>
        <v>38.715152008381686</v>
      </c>
      <c r="AM14" s="115">
        <v>0</v>
      </c>
      <c r="AN14" s="117">
        <f t="shared" si="5"/>
        <v>0</v>
      </c>
      <c r="AO14" s="118">
        <f t="shared" si="17"/>
        <v>1143.0804825847242</v>
      </c>
      <c r="AP14" s="119">
        <f t="shared" si="18"/>
        <v>2041.2151474727216</v>
      </c>
      <c r="AQ14" s="120"/>
      <c r="AR14" s="121">
        <v>2100</v>
      </c>
      <c r="AS14" s="122">
        <f t="shared" si="6"/>
        <v>1176</v>
      </c>
      <c r="AT14" s="123">
        <f t="shared" si="7"/>
        <v>32.919517415275777</v>
      </c>
      <c r="AU14" s="124">
        <f t="shared" si="8"/>
        <v>2.7992786917751512E-2</v>
      </c>
    </row>
    <row r="15" spans="1:69" x14ac:dyDescent="0.3">
      <c r="A15" s="7"/>
      <c r="B15" s="20">
        <v>10005711</v>
      </c>
      <c r="C15" s="20" t="s">
        <v>110</v>
      </c>
      <c r="D15" s="55">
        <v>0</v>
      </c>
      <c r="E15" s="21">
        <v>1100</v>
      </c>
      <c r="F15" s="21">
        <f>140+1180</f>
        <v>1320</v>
      </c>
      <c r="G15" s="21">
        <f>700+520</f>
        <v>1220</v>
      </c>
      <c r="H15" s="21">
        <v>1000</v>
      </c>
      <c r="I15" s="21">
        <f>260+1840</f>
        <v>2100</v>
      </c>
      <c r="J15" s="21">
        <v>1140</v>
      </c>
      <c r="K15" s="21"/>
      <c r="L15" s="21"/>
      <c r="M15" s="27"/>
      <c r="N15" s="21">
        <f t="shared" ref="N15" si="21">+D15</f>
        <v>0</v>
      </c>
      <c r="O15" s="21">
        <f t="shared" ref="O15" si="22">SUM(E15:L15)</f>
        <v>7880</v>
      </c>
      <c r="P15" s="22"/>
      <c r="Q15" s="21">
        <f t="shared" ref="Q15" si="23">+N15+O15-P15</f>
        <v>7880</v>
      </c>
      <c r="R15" s="27"/>
      <c r="S15" s="18"/>
      <c r="T15" s="18">
        <f t="shared" si="10"/>
        <v>7880</v>
      </c>
      <c r="U15" s="60"/>
      <c r="V15" s="65"/>
      <c r="W15" s="60"/>
      <c r="X15" s="27"/>
      <c r="Y15" s="27"/>
      <c r="Z15" s="27"/>
      <c r="AD15" s="3">
        <v>10005721</v>
      </c>
      <c r="AE15" s="3" t="str">
        <f t="shared" si="13"/>
        <v>FEBRERO10005721Inventario final</v>
      </c>
      <c r="AF15" s="3">
        <f>INDEX('[1]Detalle Costos'!$L$5:$L$158,MATCH(AE15,'[1]Detalle Costos'!$C$5:$C$158,0))</f>
        <v>1.74</v>
      </c>
      <c r="AG15" s="137">
        <f t="shared" si="1"/>
        <v>7.88</v>
      </c>
      <c r="AH15" s="115">
        <f t="shared" si="14"/>
        <v>13711.2</v>
      </c>
      <c r="AI15" s="116">
        <f t="shared" si="15"/>
        <v>1434.16</v>
      </c>
      <c r="AJ15" s="115">
        <f t="shared" si="16"/>
        <v>287.80806770654169</v>
      </c>
      <c r="AK15" s="115">
        <f t="shared" si="3"/>
        <v>651.60729437850307</v>
      </c>
      <c r="AL15" s="115">
        <f t="shared" si="4"/>
        <v>544.77749611794229</v>
      </c>
      <c r="AM15" s="115">
        <v>0</v>
      </c>
      <c r="AN15" s="117">
        <f t="shared" si="5"/>
        <v>0</v>
      </c>
      <c r="AO15" s="118">
        <f t="shared" si="17"/>
        <v>16084.775362085045</v>
      </c>
      <c r="AP15" s="119">
        <f t="shared" si="18"/>
        <v>2041.2151474727216</v>
      </c>
      <c r="AQ15" s="120"/>
      <c r="AR15" s="121">
        <v>2100</v>
      </c>
      <c r="AS15" s="122">
        <f t="shared" si="6"/>
        <v>16548</v>
      </c>
      <c r="AT15" s="123">
        <f t="shared" si="7"/>
        <v>463.22463791495466</v>
      </c>
      <c r="AU15" s="124">
        <f t="shared" si="8"/>
        <v>2.7992786917751672E-2</v>
      </c>
    </row>
    <row r="16" spans="1:69" x14ac:dyDescent="0.3">
      <c r="A16" s="7">
        <f>+A14+1</f>
        <v>13</v>
      </c>
      <c r="B16" s="20" t="s">
        <v>10</v>
      </c>
      <c r="C16" s="20" t="s">
        <v>11</v>
      </c>
      <c r="D16" s="55">
        <v>1120</v>
      </c>
      <c r="E16" s="21"/>
      <c r="F16" s="21">
        <f>280+840</f>
        <v>1120</v>
      </c>
      <c r="G16" s="21">
        <v>280</v>
      </c>
      <c r="H16" s="21"/>
      <c r="I16" s="21">
        <v>1720</v>
      </c>
      <c r="J16" s="21"/>
      <c r="K16" s="21"/>
      <c r="L16" s="21"/>
      <c r="M16" s="27"/>
      <c r="N16" s="21">
        <f t="shared" si="20"/>
        <v>1120</v>
      </c>
      <c r="O16" s="21">
        <f t="shared" si="0"/>
        <v>3120</v>
      </c>
      <c r="P16" s="22"/>
      <c r="Q16" s="21">
        <f t="shared" si="9"/>
        <v>4240</v>
      </c>
      <c r="R16" s="27"/>
      <c r="S16" s="18"/>
      <c r="T16" s="18">
        <f t="shared" si="10"/>
        <v>4240</v>
      </c>
      <c r="U16" s="60"/>
      <c r="V16" s="65"/>
      <c r="W16" s="60"/>
      <c r="X16" s="27"/>
      <c r="Y16" s="27">
        <f t="shared" si="11"/>
        <v>0</v>
      </c>
      <c r="Z16" s="27">
        <f t="shared" si="12"/>
        <v>0</v>
      </c>
      <c r="AD16" s="3">
        <v>10005721</v>
      </c>
      <c r="AE16" s="3" t="str">
        <f t="shared" si="13"/>
        <v>FEBRERO10005721Inventario final</v>
      </c>
      <c r="AF16" s="3">
        <f>INDEX('[1]Detalle Costos'!$L$5:$L$158,MATCH(AE16,'[1]Detalle Costos'!$C$5:$C$158,0))</f>
        <v>1.74</v>
      </c>
      <c r="AG16" s="137">
        <f t="shared" si="1"/>
        <v>4.24</v>
      </c>
      <c r="AH16" s="115">
        <f t="shared" si="14"/>
        <v>7377.6</v>
      </c>
      <c r="AI16" s="116">
        <f t="shared" si="15"/>
        <v>771.68000000000006</v>
      </c>
      <c r="AJ16" s="115">
        <f t="shared" si="16"/>
        <v>154.86119379133717</v>
      </c>
      <c r="AK16" s="115">
        <f t="shared" si="3"/>
        <v>350.61103149300169</v>
      </c>
      <c r="AL16" s="115">
        <f t="shared" si="4"/>
        <v>293.12900806346136</v>
      </c>
      <c r="AM16" s="115">
        <v>0</v>
      </c>
      <c r="AN16" s="117">
        <f t="shared" si="5"/>
        <v>0</v>
      </c>
      <c r="AO16" s="118">
        <f t="shared" si="17"/>
        <v>8654.7522252843391</v>
      </c>
      <c r="AP16" s="119">
        <f t="shared" si="18"/>
        <v>2041.2151474727214</v>
      </c>
      <c r="AQ16" s="120"/>
      <c r="AR16" s="121">
        <v>2100</v>
      </c>
      <c r="AS16" s="122">
        <f t="shared" si="6"/>
        <v>8904</v>
      </c>
      <c r="AT16" s="123">
        <f t="shared" si="7"/>
        <v>249.24777471566085</v>
      </c>
      <c r="AU16" s="124">
        <f t="shared" si="8"/>
        <v>2.7992786917751668E-2</v>
      </c>
    </row>
    <row r="17" spans="1:47" x14ac:dyDescent="0.3">
      <c r="A17" s="7">
        <f t="shared" ref="A17:A18" si="24">+A16+1</f>
        <v>14</v>
      </c>
      <c r="B17" s="20" t="s">
        <v>57</v>
      </c>
      <c r="C17" s="20" t="s">
        <v>95</v>
      </c>
      <c r="D17" s="55">
        <v>486640</v>
      </c>
      <c r="E17" s="21">
        <f>4760+7800</f>
        <v>12560</v>
      </c>
      <c r="F17" s="21">
        <f>4320+6300</f>
        <v>10620</v>
      </c>
      <c r="G17" s="21">
        <f>1920+2900</f>
        <v>4820</v>
      </c>
      <c r="H17" s="21">
        <f>1280+6180</f>
        <v>7460</v>
      </c>
      <c r="I17" s="21">
        <f>1160+11780</f>
        <v>12940</v>
      </c>
      <c r="J17" s="21">
        <v>1460</v>
      </c>
      <c r="K17" s="21"/>
      <c r="L17" s="21"/>
      <c r="M17" s="27"/>
      <c r="N17" s="21">
        <f t="shared" si="20"/>
        <v>486640</v>
      </c>
      <c r="O17" s="21">
        <f t="shared" si="0"/>
        <v>49860</v>
      </c>
      <c r="P17" s="22">
        <f>125000+120000+26000</f>
        <v>271000</v>
      </c>
      <c r="Q17" s="21">
        <f t="shared" si="9"/>
        <v>265500</v>
      </c>
      <c r="R17" s="27"/>
      <c r="S17" s="18"/>
      <c r="T17" s="18">
        <f t="shared" si="10"/>
        <v>265500</v>
      </c>
      <c r="U17" s="60"/>
      <c r="V17" s="65"/>
      <c r="W17" s="60">
        <v>125000</v>
      </c>
      <c r="X17" s="27"/>
      <c r="Y17" s="27">
        <f t="shared" si="11"/>
        <v>125000</v>
      </c>
      <c r="Z17" s="27">
        <f t="shared" si="12"/>
        <v>-146000</v>
      </c>
      <c r="AD17" s="3">
        <v>10005721</v>
      </c>
      <c r="AE17" s="3" t="str">
        <f t="shared" si="13"/>
        <v>FEBRERO10005721Inventario final</v>
      </c>
      <c r="AF17" s="3">
        <f>INDEX('[1]Detalle Costos'!$L$5:$L$158,MATCH(AE17,'[1]Detalle Costos'!$C$5:$C$158,0))</f>
        <v>1.74</v>
      </c>
      <c r="AG17" s="137">
        <f t="shared" si="1"/>
        <v>265.5</v>
      </c>
      <c r="AH17" s="115">
        <f t="shared" si="14"/>
        <v>461969.99999999994</v>
      </c>
      <c r="AI17" s="116">
        <f t="shared" si="15"/>
        <v>48321</v>
      </c>
      <c r="AJ17" s="115">
        <f t="shared" si="16"/>
        <v>9697.0865451886839</v>
      </c>
      <c r="AK17" s="115">
        <f t="shared" si="3"/>
        <v>21954.535108818854</v>
      </c>
      <c r="AL17" s="115">
        <f t="shared" si="4"/>
        <v>18355.130103973817</v>
      </c>
      <c r="AM17" s="115">
        <v>0</v>
      </c>
      <c r="AN17" s="117">
        <f t="shared" si="5"/>
        <v>0</v>
      </c>
      <c r="AO17" s="118">
        <f t="shared" si="17"/>
        <v>541942.62165400747</v>
      </c>
      <c r="AP17" s="119">
        <f t="shared" si="18"/>
        <v>2041.2151474727211</v>
      </c>
      <c r="AQ17" s="120"/>
      <c r="AR17" s="121">
        <v>2100</v>
      </c>
      <c r="AS17" s="122">
        <f t="shared" si="6"/>
        <v>557550</v>
      </c>
      <c r="AT17" s="123">
        <f t="shared" si="7"/>
        <v>15607.378345992533</v>
      </c>
      <c r="AU17" s="124">
        <f t="shared" si="8"/>
        <v>2.7992786917751828E-2</v>
      </c>
    </row>
    <row r="18" spans="1:47" x14ac:dyDescent="0.3">
      <c r="A18" s="7">
        <f t="shared" si="24"/>
        <v>15</v>
      </c>
      <c r="B18" s="20" t="s">
        <v>55</v>
      </c>
      <c r="C18" s="20" t="s">
        <v>56</v>
      </c>
      <c r="D18" s="55">
        <v>121200</v>
      </c>
      <c r="E18" s="21">
        <v>280</v>
      </c>
      <c r="F18" s="21">
        <f>320+2480</f>
        <v>2800</v>
      </c>
      <c r="G18" s="21">
        <v>740</v>
      </c>
      <c r="H18" s="21">
        <v>720</v>
      </c>
      <c r="I18" s="21">
        <v>1340</v>
      </c>
      <c r="J18" s="21"/>
      <c r="K18" s="21"/>
      <c r="L18" s="21"/>
      <c r="M18" s="27"/>
      <c r="N18" s="21">
        <f t="shared" si="20"/>
        <v>121200</v>
      </c>
      <c r="O18" s="21">
        <f t="shared" si="0"/>
        <v>5880</v>
      </c>
      <c r="P18" s="22">
        <f>46000+27000</f>
        <v>73000</v>
      </c>
      <c r="Q18" s="21">
        <f>+N18+O18-P18</f>
        <v>54080</v>
      </c>
      <c r="R18" s="27"/>
      <c r="S18" s="18"/>
      <c r="T18" s="18">
        <f t="shared" si="10"/>
        <v>54080</v>
      </c>
      <c r="U18" s="60"/>
      <c r="V18" s="65"/>
      <c r="W18" s="60">
        <v>46000</v>
      </c>
      <c r="X18" s="27"/>
      <c r="Y18" s="27">
        <f t="shared" si="11"/>
        <v>46000</v>
      </c>
      <c r="Z18" s="27">
        <f t="shared" si="12"/>
        <v>-27000</v>
      </c>
      <c r="AD18" s="3">
        <v>10005721</v>
      </c>
      <c r="AE18" s="3" t="str">
        <f t="shared" ref="AE18:AE22" si="25">"FEBRERO"&amp;AD18&amp;"Inventario final"</f>
        <v>FEBRERO10005721Inventario final</v>
      </c>
      <c r="AF18" s="3">
        <f>INDEX('[1]Detalle Costos'!$L$5:$L$158,MATCH(AE18,'[1]Detalle Costos'!$C$5:$C$158,0))</f>
        <v>1.74</v>
      </c>
      <c r="AG18" s="114">
        <f t="shared" si="1"/>
        <v>54.08</v>
      </c>
      <c r="AH18" s="115">
        <f t="shared" si="14"/>
        <v>94099.199999999997</v>
      </c>
      <c r="AI18" s="116">
        <f t="shared" si="15"/>
        <v>9842.56</v>
      </c>
      <c r="AJ18" s="115">
        <f t="shared" si="16"/>
        <v>1975.2106981687532</v>
      </c>
      <c r="AK18" s="115">
        <f t="shared" si="3"/>
        <v>4471.9444771560211</v>
      </c>
      <c r="AL18" s="115">
        <f t="shared" si="4"/>
        <v>3738.7775368094308</v>
      </c>
      <c r="AM18" s="115">
        <v>0</v>
      </c>
      <c r="AN18" s="117">
        <f t="shared" si="5"/>
        <v>0</v>
      </c>
      <c r="AO18" s="118">
        <f t="shared" si="17"/>
        <v>110388.91517532477</v>
      </c>
      <c r="AP18" s="119">
        <f t="shared" si="18"/>
        <v>2041.2151474727214</v>
      </c>
      <c r="AQ18" s="120"/>
      <c r="AR18" s="121">
        <v>1200</v>
      </c>
      <c r="AS18" s="122">
        <f t="shared" si="6"/>
        <v>64896</v>
      </c>
      <c r="AT18" s="123">
        <f t="shared" si="7"/>
        <v>-45492.915175324772</v>
      </c>
      <c r="AU18" s="124">
        <f t="shared" si="8"/>
        <v>-0.70101262289393451</v>
      </c>
    </row>
    <row r="19" spans="1:47" x14ac:dyDescent="0.3">
      <c r="A19" s="7"/>
      <c r="B19" s="20"/>
      <c r="C19" s="20" t="s">
        <v>111</v>
      </c>
      <c r="D19" s="55">
        <v>0</v>
      </c>
      <c r="E19" s="21"/>
      <c r="F19" s="21"/>
      <c r="G19" s="21"/>
      <c r="H19" s="21">
        <v>40</v>
      </c>
      <c r="I19" s="21">
        <v>120</v>
      </c>
      <c r="J19" s="21">
        <v>720</v>
      </c>
      <c r="K19" s="21"/>
      <c r="L19" s="21"/>
      <c r="M19" s="27"/>
      <c r="N19" s="21">
        <f t="shared" si="20"/>
        <v>0</v>
      </c>
      <c r="O19" s="21">
        <f t="shared" ref="O19:O22" si="26">SUM(E19:L19)</f>
        <v>880</v>
      </c>
      <c r="P19" s="22"/>
      <c r="Q19" s="21">
        <f t="shared" ref="Q19:Q22" si="27">+N19+O19-P19</f>
        <v>880</v>
      </c>
      <c r="R19" s="27"/>
      <c r="S19" s="18"/>
      <c r="T19" s="18">
        <f t="shared" si="10"/>
        <v>880</v>
      </c>
      <c r="U19" s="60"/>
      <c r="V19" s="65"/>
      <c r="W19" s="60"/>
      <c r="X19" s="27"/>
      <c r="Y19" s="27"/>
      <c r="Z19" s="27"/>
      <c r="AD19" s="3">
        <v>10005721</v>
      </c>
      <c r="AE19" s="3" t="str">
        <f t="shared" si="25"/>
        <v>FEBRERO10005721Inventario final</v>
      </c>
      <c r="AF19" s="3">
        <f>INDEX('[1]Detalle Costos'!$L$5:$L$158,MATCH(AE19,'[1]Detalle Costos'!$C$5:$C$158,0))</f>
        <v>1.74</v>
      </c>
      <c r="AG19" s="114">
        <f t="shared" si="1"/>
        <v>0.88</v>
      </c>
      <c r="AH19" s="115">
        <f t="shared" si="14"/>
        <v>1531.1999999999998</v>
      </c>
      <c r="AI19" s="116">
        <f t="shared" si="15"/>
        <v>160.16</v>
      </c>
      <c r="AJ19" s="115">
        <f t="shared" si="16"/>
        <v>32.141002484994509</v>
      </c>
      <c r="AK19" s="115">
        <f t="shared" si="3"/>
        <v>72.768327291000347</v>
      </c>
      <c r="AL19" s="115">
        <f t="shared" si="4"/>
        <v>60.838096013171217</v>
      </c>
      <c r="AM19" s="115">
        <v>0</v>
      </c>
      <c r="AN19" s="117">
        <f t="shared" si="5"/>
        <v>0</v>
      </c>
      <c r="AO19" s="118">
        <f t="shared" si="17"/>
        <v>1796.2693297759947</v>
      </c>
      <c r="AP19" s="119">
        <f t="shared" si="18"/>
        <v>2041.2151474727214</v>
      </c>
      <c r="AQ19" s="120"/>
      <c r="AR19" s="121">
        <v>1200</v>
      </c>
      <c r="AS19" s="122">
        <f t="shared" si="6"/>
        <v>1056</v>
      </c>
      <c r="AT19" s="123">
        <f t="shared" si="7"/>
        <v>-740.26932977599472</v>
      </c>
      <c r="AU19" s="124">
        <f t="shared" si="8"/>
        <v>-0.7010126228939344</v>
      </c>
    </row>
    <row r="20" spans="1:47" x14ac:dyDescent="0.3">
      <c r="A20" s="7"/>
      <c r="B20" s="20"/>
      <c r="C20" s="20" t="s">
        <v>113</v>
      </c>
      <c r="D20" s="55">
        <v>0</v>
      </c>
      <c r="E20" s="21">
        <v>7820</v>
      </c>
      <c r="F20" s="21">
        <f>1040+3620</f>
        <v>4660</v>
      </c>
      <c r="G20" s="21">
        <f>5080+940</f>
        <v>6020</v>
      </c>
      <c r="H20" s="21">
        <f>1100+9100</f>
        <v>10200</v>
      </c>
      <c r="I20" s="21">
        <f>8680+12460</f>
        <v>21140</v>
      </c>
      <c r="J20" s="21">
        <v>11180</v>
      </c>
      <c r="K20" s="21"/>
      <c r="L20" s="21"/>
      <c r="M20" s="27"/>
      <c r="N20" s="21">
        <f t="shared" ref="N20" si="28">+D20</f>
        <v>0</v>
      </c>
      <c r="O20" s="21">
        <f t="shared" ref="O20" si="29">SUM(E20:L20)</f>
        <v>61020</v>
      </c>
      <c r="P20" s="22"/>
      <c r="Q20" s="21">
        <f t="shared" ref="Q20" si="30">+N20+O20-P20</f>
        <v>61020</v>
      </c>
      <c r="R20" s="27"/>
      <c r="S20" s="18"/>
      <c r="T20" s="18">
        <f t="shared" si="10"/>
        <v>61020</v>
      </c>
      <c r="U20" s="60"/>
      <c r="V20" s="65"/>
      <c r="W20" s="60"/>
      <c r="X20" s="27"/>
      <c r="Y20" s="27"/>
      <c r="Z20" s="27"/>
      <c r="AD20" s="3">
        <v>10005721</v>
      </c>
      <c r="AE20" s="3" t="str">
        <f t="shared" si="25"/>
        <v>FEBRERO10005721Inventario final</v>
      </c>
      <c r="AF20" s="3">
        <f>INDEX('[1]Detalle Costos'!$L$5:$L$158,MATCH(AE20,'[1]Detalle Costos'!$C$5:$C$158,0))</f>
        <v>1.74</v>
      </c>
      <c r="AG20" s="114">
        <f t="shared" si="1"/>
        <v>61.02</v>
      </c>
      <c r="AH20" s="115">
        <f t="shared" si="14"/>
        <v>106174.8</v>
      </c>
      <c r="AI20" s="116">
        <f t="shared" si="15"/>
        <v>11105.640000000001</v>
      </c>
      <c r="AJ20" s="115">
        <f t="shared" si="16"/>
        <v>2228.6863314026873</v>
      </c>
      <c r="AK20" s="115">
        <f t="shared" si="3"/>
        <v>5045.8219673827743</v>
      </c>
      <c r="AL20" s="115">
        <f t="shared" si="4"/>
        <v>4218.5688849133039</v>
      </c>
      <c r="AM20" s="115">
        <v>0</v>
      </c>
      <c r="AN20" s="117">
        <f t="shared" si="5"/>
        <v>0</v>
      </c>
      <c r="AO20" s="118">
        <f t="shared" si="17"/>
        <v>124554.94829878546</v>
      </c>
      <c r="AP20" s="119">
        <f t="shared" si="18"/>
        <v>2041.2151474727214</v>
      </c>
      <c r="AQ20" s="120"/>
      <c r="AR20" s="121">
        <v>1200</v>
      </c>
      <c r="AS20" s="122">
        <f t="shared" si="6"/>
        <v>73224</v>
      </c>
      <c r="AT20" s="123">
        <f t="shared" si="7"/>
        <v>-51330.948298785457</v>
      </c>
      <c r="AU20" s="124">
        <f t="shared" si="8"/>
        <v>-0.70101262289393451</v>
      </c>
    </row>
    <row r="21" spans="1:47" x14ac:dyDescent="0.3">
      <c r="A21" s="7"/>
      <c r="B21" s="20"/>
      <c r="C21" s="20" t="s">
        <v>112</v>
      </c>
      <c r="D21" s="55">
        <v>0</v>
      </c>
      <c r="E21" s="21"/>
      <c r="F21" s="21"/>
      <c r="G21" s="21"/>
      <c r="H21" s="21">
        <v>320</v>
      </c>
      <c r="I21" s="21"/>
      <c r="J21" s="21">
        <v>1560</v>
      </c>
      <c r="K21" s="21"/>
      <c r="L21" s="21"/>
      <c r="M21" s="27"/>
      <c r="N21" s="21">
        <f t="shared" si="20"/>
        <v>0</v>
      </c>
      <c r="O21" s="21">
        <f t="shared" si="26"/>
        <v>1880</v>
      </c>
      <c r="P21" s="22"/>
      <c r="Q21" s="21">
        <f t="shared" si="27"/>
        <v>1880</v>
      </c>
      <c r="R21" s="27"/>
      <c r="S21" s="18"/>
      <c r="T21" s="18">
        <f t="shared" si="10"/>
        <v>1880</v>
      </c>
      <c r="U21" s="60"/>
      <c r="V21" s="65"/>
      <c r="W21" s="60"/>
      <c r="X21" s="27"/>
      <c r="Y21" s="27"/>
      <c r="Z21" s="27"/>
      <c r="AD21" s="3">
        <v>10005721</v>
      </c>
      <c r="AE21" s="3" t="str">
        <f t="shared" si="25"/>
        <v>FEBRERO10005721Inventario final</v>
      </c>
      <c r="AF21" s="3">
        <f>INDEX('[1]Detalle Costos'!$L$5:$L$158,MATCH(AE21,'[1]Detalle Costos'!$C$5:$C$158,0))</f>
        <v>1.74</v>
      </c>
      <c r="AG21" s="114">
        <f t="shared" si="1"/>
        <v>1.88</v>
      </c>
      <c r="AH21" s="115">
        <f t="shared" si="14"/>
        <v>3271.2</v>
      </c>
      <c r="AI21" s="116">
        <f t="shared" si="15"/>
        <v>342.15999999999997</v>
      </c>
      <c r="AJ21" s="115">
        <f t="shared" si="16"/>
        <v>68.664868945215531</v>
      </c>
      <c r="AK21" s="115">
        <f t="shared" si="3"/>
        <v>155.45960830350074</v>
      </c>
      <c r="AL21" s="115">
        <f t="shared" si="4"/>
        <v>129.97229602813849</v>
      </c>
      <c r="AM21" s="115">
        <v>0</v>
      </c>
      <c r="AN21" s="117">
        <f t="shared" si="5"/>
        <v>0</v>
      </c>
      <c r="AO21" s="118">
        <f t="shared" si="17"/>
        <v>3837.4844772487158</v>
      </c>
      <c r="AP21" s="119">
        <f t="shared" si="18"/>
        <v>2041.2151474727214</v>
      </c>
      <c r="AQ21" s="120"/>
      <c r="AR21" s="121">
        <v>1200</v>
      </c>
      <c r="AS21" s="122">
        <f t="shared" si="6"/>
        <v>2256</v>
      </c>
      <c r="AT21" s="123">
        <f t="shared" si="7"/>
        <v>-1581.4844772487158</v>
      </c>
      <c r="AU21" s="124">
        <f t="shared" si="8"/>
        <v>-0.70101262289393429</v>
      </c>
    </row>
    <row r="22" spans="1:47" x14ac:dyDescent="0.3">
      <c r="A22" s="7"/>
      <c r="B22" s="20"/>
      <c r="C22" s="20" t="s">
        <v>114</v>
      </c>
      <c r="D22" s="55">
        <v>0</v>
      </c>
      <c r="E22" s="21"/>
      <c r="F22" s="21"/>
      <c r="G22" s="21"/>
      <c r="H22" s="21"/>
      <c r="I22" s="21">
        <v>460</v>
      </c>
      <c r="J22" s="21">
        <v>100</v>
      </c>
      <c r="K22" s="21"/>
      <c r="L22" s="21"/>
      <c r="M22" s="27"/>
      <c r="N22" s="21">
        <f t="shared" si="20"/>
        <v>0</v>
      </c>
      <c r="O22" s="21">
        <f t="shared" si="26"/>
        <v>560</v>
      </c>
      <c r="P22" s="22"/>
      <c r="Q22" s="21">
        <f t="shared" si="27"/>
        <v>560</v>
      </c>
      <c r="R22" s="27"/>
      <c r="S22" s="18"/>
      <c r="T22" s="18">
        <f t="shared" si="10"/>
        <v>560</v>
      </c>
      <c r="U22" s="60"/>
      <c r="V22" s="65"/>
      <c r="W22" s="60"/>
      <c r="X22" s="27"/>
      <c r="Y22" s="27"/>
      <c r="Z22" s="27"/>
      <c r="AD22" s="3">
        <v>10005721</v>
      </c>
      <c r="AE22" s="3" t="str">
        <f t="shared" si="25"/>
        <v>FEBRERO10005721Inventario final</v>
      </c>
      <c r="AF22" s="3">
        <f>INDEX('[1]Detalle Costos'!$L$5:$L$158,MATCH(AE22,'[1]Detalle Costos'!$C$5:$C$158,0))</f>
        <v>1.74</v>
      </c>
      <c r="AG22" s="114">
        <f t="shared" si="1"/>
        <v>0.56000000000000005</v>
      </c>
      <c r="AH22" s="115">
        <f t="shared" si="14"/>
        <v>974.40000000000009</v>
      </c>
      <c r="AI22" s="116">
        <f t="shared" si="15"/>
        <v>101.92000000000002</v>
      </c>
      <c r="AJ22" s="115">
        <f t="shared" si="16"/>
        <v>20.453365217723778</v>
      </c>
      <c r="AK22" s="115">
        <f t="shared" si="3"/>
        <v>46.307117367000224</v>
      </c>
      <c r="AL22" s="115">
        <f t="shared" si="4"/>
        <v>38.715152008381686</v>
      </c>
      <c r="AM22" s="115">
        <v>0</v>
      </c>
      <c r="AN22" s="117">
        <f t="shared" si="5"/>
        <v>0</v>
      </c>
      <c r="AO22" s="118">
        <f t="shared" si="17"/>
        <v>1143.0804825847242</v>
      </c>
      <c r="AP22" s="119">
        <f t="shared" si="18"/>
        <v>2041.2151474727216</v>
      </c>
      <c r="AQ22" s="120"/>
      <c r="AR22" s="121">
        <v>1200</v>
      </c>
      <c r="AS22" s="122">
        <f t="shared" si="6"/>
        <v>672.00000000000011</v>
      </c>
      <c r="AT22" s="123">
        <f t="shared" si="7"/>
        <v>-471.08048258472411</v>
      </c>
      <c r="AU22" s="124">
        <f t="shared" si="8"/>
        <v>-0.70101262289393462</v>
      </c>
    </row>
    <row r="23" spans="1:47" x14ac:dyDescent="0.3">
      <c r="A23" s="23">
        <f>+A18+1</f>
        <v>16</v>
      </c>
      <c r="B23" s="47" t="s">
        <v>42</v>
      </c>
      <c r="C23" s="32" t="s">
        <v>7</v>
      </c>
      <c r="D23" s="56">
        <v>940</v>
      </c>
      <c r="E23" s="24"/>
      <c r="F23" s="24"/>
      <c r="G23" s="24">
        <v>20</v>
      </c>
      <c r="H23" s="24"/>
      <c r="I23" s="24">
        <v>100</v>
      </c>
      <c r="J23" s="24">
        <v>100</v>
      </c>
      <c r="K23" s="24"/>
      <c r="L23" s="24"/>
      <c r="M23" s="27"/>
      <c r="N23" s="24">
        <f t="shared" si="20"/>
        <v>940</v>
      </c>
      <c r="O23" s="24">
        <f t="shared" si="0"/>
        <v>220</v>
      </c>
      <c r="P23" s="25"/>
      <c r="Q23" s="24">
        <f t="shared" si="9"/>
        <v>1160</v>
      </c>
      <c r="R23" s="27"/>
      <c r="S23" s="18"/>
      <c r="T23" s="18">
        <f t="shared" si="10"/>
        <v>1160</v>
      </c>
      <c r="U23" s="60"/>
      <c r="V23" s="65"/>
      <c r="W23" s="60"/>
      <c r="X23" s="27"/>
      <c r="Y23" s="27">
        <f t="shared" si="11"/>
        <v>0</v>
      </c>
      <c r="Z23" s="27">
        <f t="shared" si="12"/>
        <v>0</v>
      </c>
      <c r="AD23" s="3">
        <v>10005779</v>
      </c>
      <c r="AE23" s="3" t="str">
        <f t="shared" ref="AE23:AE55" si="31">"FEBRERO"&amp;AD23&amp;"Inventario final"</f>
        <v>FEBRERO10005779Inventario final</v>
      </c>
      <c r="AF23" s="3">
        <f>INDEX('[1]Detalle Costos'!$L$5:$L$158,MATCH(AE23,'[1]Detalle Costos'!$C$5:$C$158,0))</f>
        <v>1.86</v>
      </c>
      <c r="AG23" s="114">
        <f t="shared" si="1"/>
        <v>1.1599999999999999</v>
      </c>
      <c r="AH23" s="115">
        <f t="shared" ref="AH23:AH55" si="32">IFERROR(AF23*AG23,0)*1000</f>
        <v>2157.6</v>
      </c>
      <c r="AI23" s="116">
        <f t="shared" ref="AI23:AI55" si="33">182*AG23</f>
        <v>211.11999999999998</v>
      </c>
      <c r="AJ23" s="115">
        <f t="shared" si="16"/>
        <v>42.367685093856394</v>
      </c>
      <c r="AK23" s="115">
        <f t="shared" si="3"/>
        <v>95.921885974500455</v>
      </c>
      <c r="AL23" s="115">
        <f t="shared" si="4"/>
        <v>80.195672017362057</v>
      </c>
      <c r="AM23" s="115">
        <v>0</v>
      </c>
      <c r="AN23" s="117">
        <f t="shared" ref="AN23:AN57" si="34">$BC$50</f>
        <v>0</v>
      </c>
      <c r="AO23" s="118">
        <f t="shared" ref="AO23:AO55" si="35">AH23+AI23+AJ23+AK23</f>
        <v>2507.0095710683568</v>
      </c>
      <c r="AP23" s="119">
        <f t="shared" ref="AP23:AP55" si="36">IFERROR(AO23/AG23,0)</f>
        <v>2161.2151474727216</v>
      </c>
      <c r="AQ23" s="120"/>
      <c r="AR23" s="121">
        <v>1200</v>
      </c>
      <c r="AS23" s="122">
        <f t="shared" si="6"/>
        <v>1392</v>
      </c>
      <c r="AT23" s="123">
        <f t="shared" si="7"/>
        <v>-1115.0095710683568</v>
      </c>
      <c r="AU23" s="124">
        <f t="shared" si="8"/>
        <v>-0.80101262289393449</v>
      </c>
    </row>
    <row r="24" spans="1:47" x14ac:dyDescent="0.3">
      <c r="A24" s="23">
        <f t="shared" ref="A24:A27" si="37">+A23+1</f>
        <v>17</v>
      </c>
      <c r="B24" s="47">
        <v>10009271</v>
      </c>
      <c r="C24" s="32" t="s">
        <v>60</v>
      </c>
      <c r="D24" s="56">
        <v>560</v>
      </c>
      <c r="E24" s="24">
        <v>1220</v>
      </c>
      <c r="F24" s="24">
        <v>1160</v>
      </c>
      <c r="G24" s="24">
        <f>220+800</f>
        <v>1020</v>
      </c>
      <c r="H24" s="24">
        <v>1460</v>
      </c>
      <c r="I24" s="24">
        <v>140</v>
      </c>
      <c r="J24" s="24"/>
      <c r="K24" s="24"/>
      <c r="L24" s="24"/>
      <c r="M24" s="27"/>
      <c r="N24" s="24">
        <f t="shared" si="20"/>
        <v>560</v>
      </c>
      <c r="O24" s="24">
        <f t="shared" si="0"/>
        <v>5000</v>
      </c>
      <c r="P24" s="25"/>
      <c r="Q24" s="24">
        <f t="shared" si="9"/>
        <v>5560</v>
      </c>
      <c r="R24" s="27"/>
      <c r="S24" s="18"/>
      <c r="T24" s="18">
        <f t="shared" si="10"/>
        <v>5560</v>
      </c>
      <c r="U24" s="60"/>
      <c r="V24" s="65"/>
      <c r="W24" s="60"/>
      <c r="X24" s="27"/>
      <c r="Y24" s="27">
        <f t="shared" si="11"/>
        <v>0</v>
      </c>
      <c r="Z24" s="27">
        <f t="shared" si="12"/>
        <v>0</v>
      </c>
      <c r="AD24" s="3">
        <v>10005779</v>
      </c>
      <c r="AE24" s="3" t="str">
        <f t="shared" si="31"/>
        <v>FEBRERO10005779Inventario final</v>
      </c>
      <c r="AF24" s="3">
        <f>INDEX('[1]Detalle Costos'!$L$5:$L$158,MATCH(AE24,'[1]Detalle Costos'!$C$5:$C$158,0))</f>
        <v>1.86</v>
      </c>
      <c r="AG24" s="114">
        <f t="shared" si="1"/>
        <v>5.56</v>
      </c>
      <c r="AH24" s="115">
        <f t="shared" si="32"/>
        <v>10341.6</v>
      </c>
      <c r="AI24" s="116">
        <f t="shared" si="33"/>
        <v>1011.92</v>
      </c>
      <c r="AJ24" s="115">
        <f t="shared" si="16"/>
        <v>203.0726975188289</v>
      </c>
      <c r="AK24" s="115">
        <f t="shared" si="3"/>
        <v>459.76352242950219</v>
      </c>
      <c r="AL24" s="115">
        <f t="shared" si="4"/>
        <v>384.38615208321812</v>
      </c>
      <c r="AM24" s="115">
        <v>0</v>
      </c>
      <c r="AN24" s="117">
        <f t="shared" si="34"/>
        <v>0</v>
      </c>
      <c r="AO24" s="118">
        <f t="shared" si="35"/>
        <v>12016.356219948331</v>
      </c>
      <c r="AP24" s="119">
        <f t="shared" si="36"/>
        <v>2161.2151474727216</v>
      </c>
      <c r="AQ24" s="120"/>
      <c r="AR24" s="121">
        <v>1200</v>
      </c>
      <c r="AS24" s="122">
        <f t="shared" si="6"/>
        <v>6671.9999999999991</v>
      </c>
      <c r="AT24" s="123">
        <f t="shared" si="7"/>
        <v>-5344.3562199483322</v>
      </c>
      <c r="AU24" s="124">
        <f t="shared" si="8"/>
        <v>-0.80101262289393482</v>
      </c>
    </row>
    <row r="25" spans="1:47" x14ac:dyDescent="0.3">
      <c r="A25" s="23">
        <f t="shared" si="37"/>
        <v>18</v>
      </c>
      <c r="B25" s="47" t="s">
        <v>43</v>
      </c>
      <c r="C25" s="32" t="s">
        <v>44</v>
      </c>
      <c r="D25" s="56">
        <v>78780</v>
      </c>
      <c r="E25" s="24">
        <v>1280</v>
      </c>
      <c r="F25" s="24">
        <f>120+1040</f>
        <v>1160</v>
      </c>
      <c r="G25" s="24">
        <f>140+380</f>
        <v>520</v>
      </c>
      <c r="H25" s="24">
        <v>720</v>
      </c>
      <c r="I25" s="24">
        <v>1160</v>
      </c>
      <c r="J25" s="24">
        <v>260</v>
      </c>
      <c r="K25" s="24"/>
      <c r="L25" s="24"/>
      <c r="M25" s="27"/>
      <c r="N25" s="24">
        <f t="shared" si="20"/>
        <v>78780</v>
      </c>
      <c r="O25" s="24">
        <f t="shared" si="0"/>
        <v>5100</v>
      </c>
      <c r="P25" s="25"/>
      <c r="Q25" s="24">
        <f t="shared" si="9"/>
        <v>83880</v>
      </c>
      <c r="R25" s="27"/>
      <c r="S25" s="18"/>
      <c r="T25" s="18">
        <f t="shared" si="10"/>
        <v>83880</v>
      </c>
      <c r="U25" s="60"/>
      <c r="V25" s="65"/>
      <c r="W25" s="60"/>
      <c r="X25" s="27"/>
      <c r="Y25" s="27">
        <f t="shared" si="11"/>
        <v>0</v>
      </c>
      <c r="Z25" s="27">
        <f t="shared" si="12"/>
        <v>0</v>
      </c>
      <c r="AD25" s="3">
        <v>10005779</v>
      </c>
      <c r="AE25" s="3" t="str">
        <f t="shared" si="31"/>
        <v>FEBRERO10005779Inventario final</v>
      </c>
      <c r="AF25" s="3">
        <f>INDEX('[1]Detalle Costos'!$L$5:$L$158,MATCH(AE25,'[1]Detalle Costos'!$C$5:$C$158,0))</f>
        <v>1.86</v>
      </c>
      <c r="AG25" s="114">
        <f t="shared" si="1"/>
        <v>83.88</v>
      </c>
      <c r="AH25" s="115">
        <f t="shared" si="32"/>
        <v>156016.79999999999</v>
      </c>
      <c r="AI25" s="116">
        <f t="shared" si="33"/>
        <v>15266.16</v>
      </c>
      <c r="AJ25" s="115">
        <f t="shared" si="16"/>
        <v>3063.6219186833396</v>
      </c>
      <c r="AK25" s="115">
        <f t="shared" si="3"/>
        <v>6936.1446513285327</v>
      </c>
      <c r="AL25" s="115">
        <f t="shared" si="4"/>
        <v>5798.9766972554562</v>
      </c>
      <c r="AM25" s="115">
        <v>0</v>
      </c>
      <c r="AN25" s="117">
        <f t="shared" si="34"/>
        <v>0</v>
      </c>
      <c r="AO25" s="118">
        <f t="shared" si="35"/>
        <v>181282.72657001187</v>
      </c>
      <c r="AP25" s="119">
        <f t="shared" si="36"/>
        <v>2161.2151474727216</v>
      </c>
      <c r="AQ25" s="120"/>
      <c r="AR25" s="121">
        <v>1200</v>
      </c>
      <c r="AS25" s="122">
        <f t="shared" si="6"/>
        <v>100656</v>
      </c>
      <c r="AT25" s="123">
        <f t="shared" si="7"/>
        <v>-80626.726570011873</v>
      </c>
      <c r="AU25" s="124">
        <f t="shared" si="8"/>
        <v>-0.80101262289393449</v>
      </c>
    </row>
    <row r="26" spans="1:47" x14ac:dyDescent="0.3">
      <c r="A26" s="23">
        <f t="shared" si="37"/>
        <v>19</v>
      </c>
      <c r="B26" s="47" t="s">
        <v>45</v>
      </c>
      <c r="C26" s="32" t="s">
        <v>46</v>
      </c>
      <c r="D26" s="56">
        <v>3620</v>
      </c>
      <c r="E26" s="24">
        <v>160</v>
      </c>
      <c r="F26" s="24">
        <f>20+180</f>
        <v>200</v>
      </c>
      <c r="G26" s="24">
        <v>40</v>
      </c>
      <c r="H26" s="24">
        <v>120</v>
      </c>
      <c r="I26" s="24">
        <v>380</v>
      </c>
      <c r="J26" s="24">
        <v>40</v>
      </c>
      <c r="K26" s="24"/>
      <c r="L26" s="24"/>
      <c r="M26" s="27"/>
      <c r="N26" s="24">
        <f t="shared" si="20"/>
        <v>3620</v>
      </c>
      <c r="O26" s="24">
        <f t="shared" si="0"/>
        <v>940</v>
      </c>
      <c r="P26" s="25"/>
      <c r="Q26" s="24">
        <f t="shared" si="9"/>
        <v>4560</v>
      </c>
      <c r="R26" s="27"/>
      <c r="S26" s="18"/>
      <c r="T26" s="18">
        <f t="shared" si="10"/>
        <v>4560</v>
      </c>
      <c r="U26" s="60"/>
      <c r="V26" s="65"/>
      <c r="W26" s="60"/>
      <c r="X26" s="27"/>
      <c r="Y26" s="27">
        <f t="shared" si="11"/>
        <v>0</v>
      </c>
      <c r="Z26" s="27">
        <f t="shared" si="12"/>
        <v>0</v>
      </c>
      <c r="AD26" s="3">
        <v>10005779</v>
      </c>
      <c r="AE26" s="3" t="str">
        <f t="shared" si="31"/>
        <v>FEBRERO10005779Inventario final</v>
      </c>
      <c r="AF26" s="3">
        <f>INDEX('[1]Detalle Costos'!$L$5:$L$158,MATCH(AE26,'[1]Detalle Costos'!$C$5:$C$158,0))</f>
        <v>1.86</v>
      </c>
      <c r="AG26" s="114">
        <f t="shared" si="1"/>
        <v>4.5599999999999996</v>
      </c>
      <c r="AH26" s="115">
        <f t="shared" si="32"/>
        <v>8481.6</v>
      </c>
      <c r="AI26" s="116">
        <f t="shared" si="33"/>
        <v>829.92</v>
      </c>
      <c r="AJ26" s="115">
        <f t="shared" si="16"/>
        <v>166.54883105860787</v>
      </c>
      <c r="AK26" s="115">
        <f t="shared" si="3"/>
        <v>377.07224141700181</v>
      </c>
      <c r="AL26" s="115">
        <f t="shared" si="4"/>
        <v>315.25195206825083</v>
      </c>
      <c r="AM26" s="115">
        <v>0</v>
      </c>
      <c r="AN26" s="117">
        <f t="shared" si="34"/>
        <v>0</v>
      </c>
      <c r="AO26" s="118">
        <f t="shared" si="35"/>
        <v>9855.1410724756097</v>
      </c>
      <c r="AP26" s="119">
        <f t="shared" si="36"/>
        <v>2161.2151474727216</v>
      </c>
      <c r="AQ26" s="120"/>
      <c r="AR26" s="121">
        <v>1200</v>
      </c>
      <c r="AS26" s="122">
        <f t="shared" si="6"/>
        <v>5471.9999999999991</v>
      </c>
      <c r="AT26" s="123">
        <f t="shared" si="7"/>
        <v>-4383.1410724756106</v>
      </c>
      <c r="AU26" s="124">
        <f t="shared" si="8"/>
        <v>-0.80101262289393482</v>
      </c>
    </row>
    <row r="27" spans="1:47" x14ac:dyDescent="0.3">
      <c r="A27" s="23">
        <f t="shared" si="37"/>
        <v>20</v>
      </c>
      <c r="B27" s="47" t="s">
        <v>47</v>
      </c>
      <c r="C27" s="32" t="s">
        <v>48</v>
      </c>
      <c r="D27" s="56">
        <v>57080</v>
      </c>
      <c r="E27" s="24">
        <v>1400</v>
      </c>
      <c r="F27" s="24">
        <f>280+1540</f>
        <v>1820</v>
      </c>
      <c r="G27" s="24">
        <f>200+580</f>
        <v>780</v>
      </c>
      <c r="H27" s="24">
        <v>1020</v>
      </c>
      <c r="I27" s="24">
        <v>1240</v>
      </c>
      <c r="J27" s="24">
        <v>220</v>
      </c>
      <c r="K27" s="24"/>
      <c r="L27" s="24"/>
      <c r="M27" s="27"/>
      <c r="N27" s="24">
        <f t="shared" si="20"/>
        <v>57080</v>
      </c>
      <c r="O27" s="24">
        <f t="shared" si="0"/>
        <v>6480</v>
      </c>
      <c r="P27" s="25"/>
      <c r="Q27" s="24">
        <f t="shared" si="9"/>
        <v>63560</v>
      </c>
      <c r="R27" s="27"/>
      <c r="S27" s="18"/>
      <c r="T27" s="18">
        <f t="shared" si="10"/>
        <v>63560</v>
      </c>
      <c r="U27" s="60"/>
      <c r="V27" s="65"/>
      <c r="W27" s="60"/>
      <c r="X27" s="27"/>
      <c r="Y27" s="27">
        <f t="shared" si="11"/>
        <v>0</v>
      </c>
      <c r="Z27" s="27">
        <f t="shared" si="12"/>
        <v>0</v>
      </c>
      <c r="AD27" s="3">
        <v>10005779</v>
      </c>
      <c r="AE27" s="3" t="str">
        <f t="shared" si="31"/>
        <v>FEBRERO10005779Inventario final</v>
      </c>
      <c r="AF27" s="3">
        <f>INDEX('[1]Detalle Costos'!$L$5:$L$158,MATCH(AE27,'[1]Detalle Costos'!$C$5:$C$158,0))</f>
        <v>1.86</v>
      </c>
      <c r="AG27" s="114">
        <f t="shared" si="1"/>
        <v>63.56</v>
      </c>
      <c r="AH27" s="115">
        <f t="shared" si="32"/>
        <v>118221.6</v>
      </c>
      <c r="AI27" s="116">
        <f t="shared" si="33"/>
        <v>11567.92</v>
      </c>
      <c r="AJ27" s="115">
        <f t="shared" si="16"/>
        <v>2321.4569522116485</v>
      </c>
      <c r="AK27" s="115">
        <f t="shared" si="3"/>
        <v>5255.8578211545255</v>
      </c>
      <c r="AL27" s="115">
        <f t="shared" si="4"/>
        <v>4394.1697529513212</v>
      </c>
      <c r="AM27" s="115">
        <v>0</v>
      </c>
      <c r="AN27" s="117">
        <f t="shared" si="34"/>
        <v>0</v>
      </c>
      <c r="AO27" s="118">
        <f t="shared" si="35"/>
        <v>137366.83477336616</v>
      </c>
      <c r="AP27" s="119">
        <f t="shared" si="36"/>
        <v>2161.2151474727211</v>
      </c>
      <c r="AQ27" s="120"/>
      <c r="AR27" s="121">
        <v>1200</v>
      </c>
      <c r="AS27" s="122">
        <f t="shared" si="6"/>
        <v>76272</v>
      </c>
      <c r="AT27" s="123">
        <f t="shared" si="7"/>
        <v>-61094.834773366165</v>
      </c>
      <c r="AU27" s="124">
        <f t="shared" si="8"/>
        <v>-0.80101262289393438</v>
      </c>
    </row>
    <row r="28" spans="1:47" x14ac:dyDescent="0.3">
      <c r="A28" s="23"/>
      <c r="B28" s="47"/>
      <c r="C28" s="32" t="s">
        <v>116</v>
      </c>
      <c r="D28" s="56">
        <v>0</v>
      </c>
      <c r="E28" s="24">
        <v>40</v>
      </c>
      <c r="F28" s="24">
        <v>60</v>
      </c>
      <c r="G28" s="24"/>
      <c r="H28" s="24">
        <v>160</v>
      </c>
      <c r="I28" s="24">
        <v>5220</v>
      </c>
      <c r="J28" s="24"/>
      <c r="K28" s="24"/>
      <c r="L28" s="24"/>
      <c r="M28" s="27"/>
      <c r="N28" s="24">
        <f t="shared" si="20"/>
        <v>0</v>
      </c>
      <c r="O28" s="24">
        <f t="shared" si="0"/>
        <v>5480</v>
      </c>
      <c r="P28" s="25"/>
      <c r="Q28" s="24">
        <f t="shared" si="9"/>
        <v>5480</v>
      </c>
      <c r="R28" s="27"/>
      <c r="S28" s="18"/>
      <c r="T28" s="18">
        <f t="shared" si="10"/>
        <v>5480</v>
      </c>
      <c r="U28" s="60"/>
      <c r="V28" s="65"/>
      <c r="W28" s="60"/>
      <c r="X28" s="27"/>
      <c r="Y28" s="27"/>
      <c r="Z28" s="27"/>
      <c r="AD28" s="3">
        <v>10005781</v>
      </c>
      <c r="AE28" s="3" t="str">
        <f t="shared" si="31"/>
        <v>FEBRERO10005781Inventario final</v>
      </c>
      <c r="AF28" s="3">
        <f>INDEX('[1]Detalle Costos'!$L$5:$L$158,MATCH(AE28,'[1]Detalle Costos'!$C$5:$C$158,0))</f>
        <v>1.86</v>
      </c>
      <c r="AG28" s="114">
        <f t="shared" si="1"/>
        <v>5.48</v>
      </c>
      <c r="AH28" s="115">
        <f t="shared" si="32"/>
        <v>10192.800000000001</v>
      </c>
      <c r="AI28" s="116">
        <f t="shared" si="33"/>
        <v>997.36000000000013</v>
      </c>
      <c r="AJ28" s="115">
        <f t="shared" si="16"/>
        <v>200.15078820201126</v>
      </c>
      <c r="AK28" s="115">
        <f t="shared" si="3"/>
        <v>453.14821994850223</v>
      </c>
      <c r="AL28" s="115">
        <f t="shared" si="4"/>
        <v>378.85541608202078</v>
      </c>
      <c r="AM28" s="115">
        <v>0</v>
      </c>
      <c r="AN28" s="117">
        <f t="shared" si="34"/>
        <v>0</v>
      </c>
      <c r="AO28" s="118">
        <f t="shared" si="35"/>
        <v>11843.459008150514</v>
      </c>
      <c r="AP28" s="119">
        <f t="shared" si="36"/>
        <v>2161.2151474727211</v>
      </c>
      <c r="AQ28" s="120"/>
      <c r="AR28" s="121">
        <v>1000</v>
      </c>
      <c r="AS28" s="122">
        <f t="shared" si="6"/>
        <v>5480</v>
      </c>
      <c r="AT28" s="123">
        <f t="shared" si="7"/>
        <v>-6363.4590081505139</v>
      </c>
      <c r="AU28" s="124">
        <f t="shared" si="8"/>
        <v>-1.1612151474727215</v>
      </c>
    </row>
    <row r="29" spans="1:47" x14ac:dyDescent="0.3">
      <c r="A29" s="78">
        <f>+A27+1</f>
        <v>21</v>
      </c>
      <c r="B29" s="93">
        <v>10009386</v>
      </c>
      <c r="C29" s="93" t="s">
        <v>63</v>
      </c>
      <c r="D29" s="94">
        <v>36360</v>
      </c>
      <c r="E29" s="9">
        <v>140</v>
      </c>
      <c r="F29" s="9">
        <v>360</v>
      </c>
      <c r="G29" s="9">
        <v>100</v>
      </c>
      <c r="H29" s="9">
        <v>200</v>
      </c>
      <c r="I29" s="9">
        <v>200</v>
      </c>
      <c r="J29" s="9"/>
      <c r="K29" s="9"/>
      <c r="L29" s="9"/>
      <c r="M29" s="27"/>
      <c r="N29" s="9">
        <f t="shared" si="20"/>
        <v>36360</v>
      </c>
      <c r="O29" s="9">
        <f t="shared" si="0"/>
        <v>1000</v>
      </c>
      <c r="P29" s="95"/>
      <c r="Q29" s="9">
        <f t="shared" si="9"/>
        <v>37360</v>
      </c>
      <c r="R29" s="27"/>
      <c r="S29" s="18"/>
      <c r="T29" s="18">
        <f t="shared" si="10"/>
        <v>37360</v>
      </c>
      <c r="U29" s="60"/>
      <c r="V29" s="65"/>
      <c r="W29" s="60"/>
      <c r="X29" s="27"/>
      <c r="Y29" s="27">
        <f t="shared" si="11"/>
        <v>0</v>
      </c>
      <c r="Z29" s="27">
        <f t="shared" si="12"/>
        <v>0</v>
      </c>
      <c r="AD29" s="3">
        <v>10009386</v>
      </c>
      <c r="AE29" s="3" t="str">
        <f t="shared" ref="AE29:AE56" si="38">"FEBRERO"&amp;AD29&amp;"Inventario final"</f>
        <v>FEBRERO10009386Inventario final</v>
      </c>
      <c r="AF29" s="126">
        <v>0</v>
      </c>
      <c r="AG29" s="114">
        <f t="shared" si="1"/>
        <v>37.36</v>
      </c>
      <c r="AH29" s="115">
        <f t="shared" ref="AH29:AH56" si="39">IFERROR(AF29*AG29,0)*1000</f>
        <v>0</v>
      </c>
      <c r="AI29" s="116">
        <f t="shared" ref="AI29:AI56" si="40">182*AG29</f>
        <v>6799.5199999999995</v>
      </c>
      <c r="AJ29" s="115">
        <f t="shared" si="16"/>
        <v>1364.5316509538577</v>
      </c>
      <c r="AK29" s="115">
        <f t="shared" si="3"/>
        <v>3089.3462586270148</v>
      </c>
      <c r="AL29" s="115">
        <f t="shared" si="4"/>
        <v>2582.8537125591779</v>
      </c>
      <c r="AM29" s="115">
        <v>0</v>
      </c>
      <c r="AN29" s="117">
        <f t="shared" si="34"/>
        <v>0</v>
      </c>
      <c r="AO29" s="118">
        <f t="shared" ref="AO29:AO56" si="41">AH29+AI29+AJ29+AK29</f>
        <v>11253.397909580872</v>
      </c>
      <c r="AP29" s="119">
        <f t="shared" ref="AP29:AP56" si="42">IFERROR(AO29/AG29,0)</f>
        <v>301.21514747272141</v>
      </c>
      <c r="AQ29" s="120"/>
      <c r="AR29" s="121">
        <v>1000</v>
      </c>
      <c r="AS29" s="122">
        <f t="shared" si="6"/>
        <v>37360</v>
      </c>
      <c r="AT29" s="123">
        <f t="shared" si="7"/>
        <v>26106.602090419128</v>
      </c>
      <c r="AU29" s="124">
        <f t="shared" si="8"/>
        <v>0.69878485252727862</v>
      </c>
    </row>
    <row r="30" spans="1:47" s="8" customFormat="1" x14ac:dyDescent="0.25">
      <c r="A30" s="11">
        <f>+A29+1</f>
        <v>22</v>
      </c>
      <c r="B30" s="12" t="s">
        <v>12</v>
      </c>
      <c r="C30" s="12" t="s">
        <v>13</v>
      </c>
      <c r="D30" s="57">
        <v>107860</v>
      </c>
      <c r="E30" s="10">
        <v>1220</v>
      </c>
      <c r="F30" s="10">
        <f>60+1740</f>
        <v>1800</v>
      </c>
      <c r="G30" s="10">
        <f>260+700</f>
        <v>960</v>
      </c>
      <c r="H30" s="10">
        <v>1440</v>
      </c>
      <c r="I30" s="10">
        <f>380+960</f>
        <v>1340</v>
      </c>
      <c r="J30" s="10">
        <v>140</v>
      </c>
      <c r="K30" s="10"/>
      <c r="L30" s="10"/>
      <c r="M30" s="26"/>
      <c r="N30" s="10">
        <f t="shared" si="20"/>
        <v>107860</v>
      </c>
      <c r="O30" s="10">
        <f t="shared" si="0"/>
        <v>6900</v>
      </c>
      <c r="P30" s="14">
        <v>26000</v>
      </c>
      <c r="Q30" s="10">
        <f t="shared" si="9"/>
        <v>88760</v>
      </c>
      <c r="R30" s="27"/>
      <c r="S30" s="18"/>
      <c r="T30" s="18">
        <f t="shared" si="10"/>
        <v>88760</v>
      </c>
      <c r="U30" s="60"/>
      <c r="V30" s="65"/>
      <c r="W30" s="60"/>
      <c r="X30" s="27"/>
      <c r="Y30" s="27">
        <f t="shared" si="11"/>
        <v>0</v>
      </c>
      <c r="Z30" s="27">
        <f t="shared" si="12"/>
        <v>-26000</v>
      </c>
      <c r="AD30" s="8">
        <v>10007567</v>
      </c>
      <c r="AE30" s="3" t="str">
        <f t="shared" si="38"/>
        <v>FEBRERO10007567Inventario final</v>
      </c>
      <c r="AF30" s="8">
        <f>INDEX('[1]Detalle Costos'!$L$5:$L$158,MATCH(AE30,'[1]Detalle Costos'!$C$5:$C$158,0))</f>
        <v>1.7</v>
      </c>
      <c r="AG30" s="114">
        <f t="shared" si="1"/>
        <v>88.76</v>
      </c>
      <c r="AH30" s="115">
        <f t="shared" si="39"/>
        <v>150892</v>
      </c>
      <c r="AI30" s="116">
        <f t="shared" si="40"/>
        <v>16154.320000000002</v>
      </c>
      <c r="AJ30" s="125">
        <f t="shared" si="16"/>
        <v>3241.8583870092189</v>
      </c>
      <c r="AK30" s="115">
        <f t="shared" si="3"/>
        <v>7339.6781026695353</v>
      </c>
      <c r="AL30" s="115">
        <f t="shared" si="4"/>
        <v>6136.3515933284971</v>
      </c>
      <c r="AM30" s="115">
        <v>0</v>
      </c>
      <c r="AN30" s="117">
        <f t="shared" si="34"/>
        <v>0</v>
      </c>
      <c r="AO30" s="118">
        <f t="shared" si="41"/>
        <v>177627.85648967876</v>
      </c>
      <c r="AP30" s="119">
        <f t="shared" si="42"/>
        <v>2001.2151474727214</v>
      </c>
      <c r="AQ30" s="120"/>
      <c r="AR30" s="121">
        <v>2700</v>
      </c>
      <c r="AS30" s="122">
        <f t="shared" si="6"/>
        <v>239652</v>
      </c>
      <c r="AT30" s="123">
        <f t="shared" si="7"/>
        <v>62024.143510321243</v>
      </c>
      <c r="AU30" s="124">
        <f t="shared" si="8"/>
        <v>0.25880920463973278</v>
      </c>
    </row>
    <row r="31" spans="1:47" x14ac:dyDescent="0.3">
      <c r="A31" s="11">
        <f t="shared" ref="A31:A37" si="43">+A30+1</f>
        <v>23</v>
      </c>
      <c r="B31" s="12" t="s">
        <v>14</v>
      </c>
      <c r="C31" s="12" t="s">
        <v>15</v>
      </c>
      <c r="D31" s="57">
        <v>140</v>
      </c>
      <c r="E31" s="10"/>
      <c r="F31" s="10">
        <v>100</v>
      </c>
      <c r="G31" s="10">
        <f>180+40</f>
        <v>220</v>
      </c>
      <c r="H31" s="10">
        <v>100</v>
      </c>
      <c r="I31" s="10">
        <v>500</v>
      </c>
      <c r="J31" s="10"/>
      <c r="K31" s="10"/>
      <c r="L31" s="10"/>
      <c r="M31" s="26"/>
      <c r="N31" s="10">
        <f t="shared" si="20"/>
        <v>140</v>
      </c>
      <c r="O31" s="10">
        <f t="shared" si="0"/>
        <v>920</v>
      </c>
      <c r="P31" s="14"/>
      <c r="Q31" s="10">
        <f>+N31+O31-P31</f>
        <v>1060</v>
      </c>
      <c r="R31" s="27"/>
      <c r="S31" s="18"/>
      <c r="T31" s="18">
        <f t="shared" si="10"/>
        <v>1060</v>
      </c>
      <c r="U31" s="60"/>
      <c r="V31" s="65"/>
      <c r="W31" s="60"/>
      <c r="X31" s="27"/>
      <c r="Y31" s="27">
        <f t="shared" si="11"/>
        <v>0</v>
      </c>
      <c r="Z31" s="27">
        <f t="shared" si="12"/>
        <v>0</v>
      </c>
      <c r="AD31" s="3">
        <v>10007162</v>
      </c>
      <c r="AE31" s="3" t="str">
        <f t="shared" si="38"/>
        <v>FEBRERO10007162Inventario final</v>
      </c>
      <c r="AF31" s="3">
        <f>INDEX('[1]Detalle Costos'!$L$5:$L$158,MATCH(AE31,'[1]Detalle Costos'!$C$5:$C$158,0))</f>
        <v>1.72</v>
      </c>
      <c r="AG31" s="114">
        <f t="shared" si="1"/>
        <v>1.06</v>
      </c>
      <c r="AH31" s="115">
        <f t="shared" si="39"/>
        <v>1823.2</v>
      </c>
      <c r="AI31" s="116">
        <f t="shared" si="40"/>
        <v>192.92000000000002</v>
      </c>
      <c r="AJ31" s="115">
        <f t="shared" si="16"/>
        <v>38.715298447834293</v>
      </c>
      <c r="AK31" s="115">
        <f t="shared" si="3"/>
        <v>87.652757873250422</v>
      </c>
      <c r="AL31" s="115">
        <f t="shared" si="4"/>
        <v>73.282252015865339</v>
      </c>
      <c r="AM31" s="115">
        <v>0</v>
      </c>
      <c r="AN31" s="117">
        <f t="shared" si="34"/>
        <v>0</v>
      </c>
      <c r="AO31" s="118">
        <f t="shared" si="41"/>
        <v>2142.4880563210845</v>
      </c>
      <c r="AP31" s="119">
        <f t="shared" si="42"/>
        <v>2021.2151474727211</v>
      </c>
      <c r="AQ31" s="120"/>
      <c r="AR31" s="121">
        <v>2700</v>
      </c>
      <c r="AS31" s="122">
        <f t="shared" si="6"/>
        <v>2862</v>
      </c>
      <c r="AT31" s="123">
        <f t="shared" si="7"/>
        <v>719.51194367891549</v>
      </c>
      <c r="AU31" s="124">
        <f t="shared" si="8"/>
        <v>0.25140179723232547</v>
      </c>
    </row>
    <row r="32" spans="1:47" x14ac:dyDescent="0.3">
      <c r="A32" s="11">
        <f t="shared" si="43"/>
        <v>24</v>
      </c>
      <c r="B32" s="12">
        <v>10009777</v>
      </c>
      <c r="C32" s="12" t="s">
        <v>15</v>
      </c>
      <c r="D32" s="57">
        <v>220</v>
      </c>
      <c r="E32" s="10"/>
      <c r="F32" s="10">
        <f>300+1240</f>
        <v>1540</v>
      </c>
      <c r="G32" s="10">
        <f>1420+380</f>
        <v>1800</v>
      </c>
      <c r="H32" s="10">
        <v>1920</v>
      </c>
      <c r="I32" s="10">
        <f>2000+1880</f>
        <v>3880</v>
      </c>
      <c r="J32" s="10">
        <v>3980</v>
      </c>
      <c r="K32" s="10"/>
      <c r="L32" s="10"/>
      <c r="M32" s="26"/>
      <c r="N32" s="10">
        <f t="shared" si="20"/>
        <v>220</v>
      </c>
      <c r="O32" s="10">
        <f t="shared" si="0"/>
        <v>13120</v>
      </c>
      <c r="P32" s="14"/>
      <c r="Q32" s="10">
        <f>+N32+O32-P32</f>
        <v>13340</v>
      </c>
      <c r="R32" s="27"/>
      <c r="S32" s="18"/>
      <c r="T32" s="18">
        <f t="shared" si="10"/>
        <v>13340</v>
      </c>
      <c r="U32" s="60"/>
      <c r="V32" s="65"/>
      <c r="W32" s="60"/>
      <c r="X32" s="27"/>
      <c r="Y32" s="27">
        <f t="shared" si="11"/>
        <v>0</v>
      </c>
      <c r="Z32" s="27">
        <f t="shared" si="12"/>
        <v>0</v>
      </c>
      <c r="AD32" s="3">
        <v>10007162</v>
      </c>
      <c r="AE32" s="3" t="str">
        <f t="shared" si="38"/>
        <v>FEBRERO10007162Inventario final</v>
      </c>
      <c r="AF32" s="3">
        <f>INDEX('[1]Detalle Costos'!$L$5:$L$158,MATCH(AE32,'[1]Detalle Costos'!$C$5:$C$158,0))</f>
        <v>1.72</v>
      </c>
      <c r="AG32" s="114">
        <f t="shared" si="1"/>
        <v>13.34</v>
      </c>
      <c r="AH32" s="115">
        <f t="shared" si="39"/>
        <v>22944.799999999999</v>
      </c>
      <c r="AI32" s="116">
        <f t="shared" si="40"/>
        <v>2427.88</v>
      </c>
      <c r="AJ32" s="115">
        <f t="shared" si="16"/>
        <v>487.22837857934854</v>
      </c>
      <c r="AK32" s="115">
        <f t="shared" si="3"/>
        <v>1103.1016887067553</v>
      </c>
      <c r="AL32" s="115">
        <f t="shared" si="4"/>
        <v>922.25022819966364</v>
      </c>
      <c r="AM32" s="115">
        <v>0</v>
      </c>
      <c r="AN32" s="117">
        <f t="shared" si="34"/>
        <v>0</v>
      </c>
      <c r="AO32" s="118">
        <f t="shared" si="41"/>
        <v>26963.010067286104</v>
      </c>
      <c r="AP32" s="119">
        <f t="shared" si="42"/>
        <v>2021.2151474727216</v>
      </c>
      <c r="AQ32" s="120"/>
      <c r="AR32" s="121">
        <v>2700</v>
      </c>
      <c r="AS32" s="122">
        <f t="shared" si="6"/>
        <v>36018</v>
      </c>
      <c r="AT32" s="123">
        <f t="shared" si="7"/>
        <v>9054.9899327138955</v>
      </c>
      <c r="AU32" s="124">
        <f t="shared" si="8"/>
        <v>0.25140179723232536</v>
      </c>
    </row>
    <row r="33" spans="1:47" x14ac:dyDescent="0.3">
      <c r="A33" s="11">
        <f>+A31+1</f>
        <v>24</v>
      </c>
      <c r="B33" s="12" t="s">
        <v>16</v>
      </c>
      <c r="C33" s="12" t="s">
        <v>17</v>
      </c>
      <c r="D33" s="57">
        <v>11080</v>
      </c>
      <c r="E33" s="10">
        <f>620+0</f>
        <v>620</v>
      </c>
      <c r="F33" s="10">
        <f>220+400</f>
        <v>620</v>
      </c>
      <c r="G33" s="10">
        <f>40+280</f>
        <v>320</v>
      </c>
      <c r="H33" s="10">
        <v>720</v>
      </c>
      <c r="I33" s="10">
        <v>2000</v>
      </c>
      <c r="J33" s="10">
        <v>220</v>
      </c>
      <c r="K33" s="10"/>
      <c r="L33" s="10"/>
      <c r="M33" s="26"/>
      <c r="N33" s="10">
        <f t="shared" si="20"/>
        <v>11080</v>
      </c>
      <c r="O33" s="10">
        <f t="shared" si="0"/>
        <v>4500</v>
      </c>
      <c r="P33" s="14"/>
      <c r="Q33" s="10">
        <f>+N33+O33-P33</f>
        <v>15580</v>
      </c>
      <c r="R33" s="27"/>
      <c r="S33" s="18"/>
      <c r="T33" s="18">
        <f t="shared" si="10"/>
        <v>15580</v>
      </c>
      <c r="U33" s="60"/>
      <c r="V33" s="65"/>
      <c r="W33" s="60"/>
      <c r="X33" s="27"/>
      <c r="Y33" s="27">
        <f t="shared" si="11"/>
        <v>0</v>
      </c>
      <c r="Z33" s="27">
        <f t="shared" si="12"/>
        <v>0</v>
      </c>
      <c r="AD33" s="3">
        <v>10007162</v>
      </c>
      <c r="AE33" s="3" t="str">
        <f t="shared" si="38"/>
        <v>FEBRERO10007162Inventario final</v>
      </c>
      <c r="AF33" s="3">
        <f>INDEX('[1]Detalle Costos'!$L$5:$L$158,MATCH(AE33,'[1]Detalle Costos'!$C$5:$C$158,0))</f>
        <v>1.72</v>
      </c>
      <c r="AG33" s="114">
        <f t="shared" si="1"/>
        <v>15.58</v>
      </c>
      <c r="AH33" s="115">
        <f t="shared" si="39"/>
        <v>26797.599999999999</v>
      </c>
      <c r="AI33" s="116">
        <f t="shared" si="40"/>
        <v>2835.56</v>
      </c>
      <c r="AJ33" s="115">
        <f t="shared" si="16"/>
        <v>569.04183945024363</v>
      </c>
      <c r="AK33" s="115">
        <f t="shared" si="3"/>
        <v>1288.3301581747562</v>
      </c>
      <c r="AL33" s="115">
        <f t="shared" si="4"/>
        <v>1077.1108362331904</v>
      </c>
      <c r="AM33" s="115">
        <v>0</v>
      </c>
      <c r="AN33" s="117">
        <f t="shared" si="34"/>
        <v>0</v>
      </c>
      <c r="AO33" s="118">
        <f t="shared" si="41"/>
        <v>31490.531997624999</v>
      </c>
      <c r="AP33" s="119">
        <f t="shared" si="42"/>
        <v>2021.2151474727214</v>
      </c>
      <c r="AQ33" s="120"/>
      <c r="AR33" s="121">
        <v>2700</v>
      </c>
      <c r="AS33" s="122">
        <f t="shared" si="6"/>
        <v>42066</v>
      </c>
      <c r="AT33" s="123">
        <f t="shared" si="7"/>
        <v>10575.468002375001</v>
      </c>
      <c r="AU33" s="124">
        <f t="shared" si="8"/>
        <v>0.25140179723232542</v>
      </c>
    </row>
    <row r="34" spans="1:47" x14ac:dyDescent="0.3">
      <c r="A34" s="11">
        <f t="shared" si="43"/>
        <v>25</v>
      </c>
      <c r="B34" s="12" t="s">
        <v>18</v>
      </c>
      <c r="C34" s="12" t="s">
        <v>19</v>
      </c>
      <c r="D34" s="57">
        <v>740</v>
      </c>
      <c r="E34" s="10"/>
      <c r="F34" s="10">
        <f>140+660</f>
        <v>800</v>
      </c>
      <c r="G34" s="10">
        <f>300+300</f>
        <v>600</v>
      </c>
      <c r="H34" s="10">
        <v>800</v>
      </c>
      <c r="I34" s="10">
        <f>780+500</f>
        <v>1280</v>
      </c>
      <c r="J34" s="10">
        <v>720</v>
      </c>
      <c r="K34" s="10"/>
      <c r="L34" s="10"/>
      <c r="M34" s="26"/>
      <c r="N34" s="10">
        <f t="shared" si="20"/>
        <v>740</v>
      </c>
      <c r="O34" s="10">
        <f t="shared" si="0"/>
        <v>4200</v>
      </c>
      <c r="P34" s="14"/>
      <c r="Q34" s="10">
        <f t="shared" si="9"/>
        <v>4940</v>
      </c>
      <c r="R34" s="27"/>
      <c r="S34" s="18"/>
      <c r="T34" s="18">
        <f t="shared" si="10"/>
        <v>4940</v>
      </c>
      <c r="U34" s="60"/>
      <c r="V34" s="65"/>
      <c r="W34" s="60"/>
      <c r="X34" s="27"/>
      <c r="Y34" s="27">
        <f t="shared" si="11"/>
        <v>0</v>
      </c>
      <c r="Z34" s="27">
        <f t="shared" si="12"/>
        <v>0</v>
      </c>
      <c r="AD34" s="3">
        <v>10007162</v>
      </c>
      <c r="AE34" s="3" t="str">
        <f t="shared" si="38"/>
        <v>FEBRERO10007162Inventario final</v>
      </c>
      <c r="AF34" s="3">
        <f>INDEX('[1]Detalle Costos'!$L$5:$L$158,MATCH(AE34,'[1]Detalle Costos'!$C$5:$C$158,0))</f>
        <v>1.72</v>
      </c>
      <c r="AG34" s="114">
        <f t="shared" si="1"/>
        <v>4.9400000000000004</v>
      </c>
      <c r="AH34" s="115">
        <f t="shared" si="39"/>
        <v>8496.8000000000011</v>
      </c>
      <c r="AI34" s="116">
        <f t="shared" si="40"/>
        <v>899.08</v>
      </c>
      <c r="AJ34" s="115">
        <f t="shared" si="16"/>
        <v>180.4279003134919</v>
      </c>
      <c r="AK34" s="115">
        <f t="shared" si="3"/>
        <v>408.49492820175197</v>
      </c>
      <c r="AL34" s="115">
        <f t="shared" si="4"/>
        <v>341.52294807393844</v>
      </c>
      <c r="AM34" s="115">
        <v>0</v>
      </c>
      <c r="AN34" s="117">
        <f t="shared" si="34"/>
        <v>0</v>
      </c>
      <c r="AO34" s="118">
        <f t="shared" si="41"/>
        <v>9984.802828515245</v>
      </c>
      <c r="AP34" s="119">
        <f t="shared" si="42"/>
        <v>2021.2151474727216</v>
      </c>
      <c r="AQ34" s="120"/>
      <c r="AR34" s="121">
        <v>2700</v>
      </c>
      <c r="AS34" s="122">
        <f t="shared" si="6"/>
        <v>13338.000000000002</v>
      </c>
      <c r="AT34" s="123">
        <f t="shared" si="7"/>
        <v>3353.1971714847568</v>
      </c>
      <c r="AU34" s="124">
        <f t="shared" si="8"/>
        <v>0.25140179723232542</v>
      </c>
    </row>
    <row r="35" spans="1:47" x14ac:dyDescent="0.3">
      <c r="A35" s="11">
        <f t="shared" si="43"/>
        <v>26</v>
      </c>
      <c r="B35" s="12" t="s">
        <v>49</v>
      </c>
      <c r="C35" s="12" t="s">
        <v>50</v>
      </c>
      <c r="D35" s="57">
        <v>267680</v>
      </c>
      <c r="E35" s="10">
        <v>3660</v>
      </c>
      <c r="F35" s="10">
        <f>800+2720</f>
        <v>3520</v>
      </c>
      <c r="G35" s="10">
        <f>500+1000</f>
        <v>1500</v>
      </c>
      <c r="H35" s="10">
        <v>2080</v>
      </c>
      <c r="I35" s="10">
        <v>3620</v>
      </c>
      <c r="J35" s="10">
        <v>220</v>
      </c>
      <c r="K35" s="10"/>
      <c r="L35" s="10"/>
      <c r="M35" s="26"/>
      <c r="N35" s="10">
        <f t="shared" si="20"/>
        <v>267680</v>
      </c>
      <c r="O35" s="10">
        <f t="shared" si="0"/>
        <v>14600</v>
      </c>
      <c r="P35" s="14"/>
      <c r="Q35" s="10">
        <f t="shared" si="9"/>
        <v>282280</v>
      </c>
      <c r="R35" s="27"/>
      <c r="S35" s="18"/>
      <c r="T35" s="18">
        <f t="shared" si="10"/>
        <v>282280</v>
      </c>
      <c r="U35" s="60"/>
      <c r="V35" s="65"/>
      <c r="W35" s="60"/>
      <c r="X35" s="27"/>
      <c r="Y35" s="27">
        <f t="shared" si="11"/>
        <v>0</v>
      </c>
      <c r="Z35" s="27">
        <f t="shared" si="12"/>
        <v>0</v>
      </c>
      <c r="AD35" s="3">
        <v>10007162</v>
      </c>
      <c r="AE35" s="3" t="str">
        <f t="shared" si="38"/>
        <v>FEBRERO10007162Inventario final</v>
      </c>
      <c r="AF35" s="3">
        <f>INDEX('[1]Detalle Costos'!$L$5:$L$158,MATCH(AE35,'[1]Detalle Costos'!$C$5:$C$158,0))</f>
        <v>1.72</v>
      </c>
      <c r="AG35" s="114">
        <f t="shared" ref="AG35:AG66" si="44">IF(ISERROR(AF35),0,Q35/1000)</f>
        <v>282.27999999999997</v>
      </c>
      <c r="AH35" s="115">
        <f t="shared" si="39"/>
        <v>485521.59999999992</v>
      </c>
      <c r="AI35" s="116">
        <f t="shared" si="40"/>
        <v>51374.959999999992</v>
      </c>
      <c r="AJ35" s="115">
        <f t="shared" ref="AJ35:AJ57" si="45">$AJ$59/$AG$59*AG35</f>
        <v>10309.957024391191</v>
      </c>
      <c r="AK35" s="115">
        <f t="shared" ref="AK35:AK57" si="46">$AK$59/$AG$59*AG35</f>
        <v>23342.094804208609</v>
      </c>
      <c r="AL35" s="115">
        <f t="shared" ref="AL35:AL57" si="47">$AL$59/$AG$59*AG35</f>
        <v>19515.201980224963</v>
      </c>
      <c r="AM35" s="115">
        <v>0</v>
      </c>
      <c r="AN35" s="117">
        <f t="shared" si="34"/>
        <v>0</v>
      </c>
      <c r="AO35" s="118">
        <f t="shared" si="41"/>
        <v>570548.61182859971</v>
      </c>
      <c r="AP35" s="119">
        <f t="shared" si="42"/>
        <v>2021.2151474727214</v>
      </c>
      <c r="AQ35" s="120"/>
      <c r="AR35" s="121">
        <v>2700</v>
      </c>
      <c r="AS35" s="122">
        <f t="shared" ref="AS35:AS66" si="48">AR35*AG35</f>
        <v>762155.99999999988</v>
      </c>
      <c r="AT35" s="123">
        <f t="shared" ref="AT35:AT66" si="49">AS35-AO35</f>
        <v>191607.38817140018</v>
      </c>
      <c r="AU35" s="124">
        <f t="shared" ref="AU35:AU66" si="50">IFERROR(AT35/AS35,0)</f>
        <v>0.25140179723232542</v>
      </c>
    </row>
    <row r="36" spans="1:47" ht="15.6" customHeight="1" x14ac:dyDescent="0.3">
      <c r="A36" s="11">
        <f t="shared" si="43"/>
        <v>27</v>
      </c>
      <c r="B36" s="12">
        <v>10009658</v>
      </c>
      <c r="C36" s="12" t="s">
        <v>68</v>
      </c>
      <c r="D36" s="57">
        <v>1960</v>
      </c>
      <c r="E36" s="10"/>
      <c r="F36" s="10"/>
      <c r="G36" s="10"/>
      <c r="H36" s="10"/>
      <c r="I36" s="10"/>
      <c r="J36" s="10"/>
      <c r="K36" s="10"/>
      <c r="L36" s="10"/>
      <c r="M36" s="26"/>
      <c r="N36" s="10">
        <f t="shared" si="20"/>
        <v>1960</v>
      </c>
      <c r="O36" s="10">
        <f t="shared" si="0"/>
        <v>0</v>
      </c>
      <c r="P36" s="14"/>
      <c r="Q36" s="10">
        <f>+N36+O36-P36</f>
        <v>1960</v>
      </c>
      <c r="R36" s="27"/>
      <c r="S36" s="18"/>
      <c r="T36" s="18">
        <f t="shared" si="10"/>
        <v>1960</v>
      </c>
      <c r="U36" s="60"/>
      <c r="V36" s="65"/>
      <c r="W36" s="60"/>
      <c r="X36" s="27"/>
      <c r="Y36" s="27">
        <f t="shared" si="11"/>
        <v>0</v>
      </c>
      <c r="Z36" s="27">
        <f t="shared" si="12"/>
        <v>0</v>
      </c>
      <c r="AD36" s="3">
        <v>10007162</v>
      </c>
      <c r="AE36" s="3" t="str">
        <f t="shared" ref="AE36:AE59" si="51">"FEBRERO"&amp;AD36&amp;"Inventario final"</f>
        <v>FEBRERO10007162Inventario final</v>
      </c>
      <c r="AF36" s="3">
        <f>INDEX('[1]Detalle Costos'!$L$5:$L$158,MATCH(AE36,'[1]Detalle Costos'!$C$5:$C$158,0))</f>
        <v>1.72</v>
      </c>
      <c r="AG36" s="114">
        <f t="shared" si="44"/>
        <v>1.96</v>
      </c>
      <c r="AH36" s="115">
        <f t="shared" ref="AH36:AH59" si="52">IFERROR(AF36*AG36,0)*1000</f>
        <v>3371.2</v>
      </c>
      <c r="AI36" s="116">
        <f t="shared" ref="AI36:AI59" si="53">182*AG36</f>
        <v>356.71999999999997</v>
      </c>
      <c r="AJ36" s="115">
        <f t="shared" si="45"/>
        <v>71.586778262033221</v>
      </c>
      <c r="AK36" s="115">
        <f t="shared" si="46"/>
        <v>162.07491078450079</v>
      </c>
      <c r="AL36" s="115">
        <f t="shared" si="47"/>
        <v>135.50303202933588</v>
      </c>
      <c r="AM36" s="115">
        <v>0</v>
      </c>
      <c r="AN36" s="117">
        <f t="shared" si="34"/>
        <v>0</v>
      </c>
      <c r="AO36" s="118">
        <f t="shared" ref="AO36:AO59" si="54">AH36+AI36+AJ36+AK36</f>
        <v>3961.5816890465335</v>
      </c>
      <c r="AP36" s="119">
        <f t="shared" ref="AP36:AP59" si="55">IFERROR(AO36/AG36,0)</f>
        <v>2021.2151474727211</v>
      </c>
      <c r="AQ36" s="120"/>
      <c r="AR36" s="121">
        <v>2700</v>
      </c>
      <c r="AS36" s="122">
        <f t="shared" si="48"/>
        <v>5292</v>
      </c>
      <c r="AT36" s="123">
        <f t="shared" si="49"/>
        <v>1330.4183109534665</v>
      </c>
      <c r="AU36" s="124">
        <f t="shared" si="50"/>
        <v>0.25140179723232547</v>
      </c>
    </row>
    <row r="37" spans="1:47" x14ac:dyDescent="0.3">
      <c r="A37" s="11">
        <f t="shared" si="43"/>
        <v>28</v>
      </c>
      <c r="B37" s="12">
        <v>10009639</v>
      </c>
      <c r="C37" s="12" t="s">
        <v>69</v>
      </c>
      <c r="D37" s="57">
        <v>44660</v>
      </c>
      <c r="E37" s="10">
        <v>1780</v>
      </c>
      <c r="F37" s="10">
        <f>460+1520</f>
        <v>1980</v>
      </c>
      <c r="G37" s="10">
        <f>380+500</f>
        <v>880</v>
      </c>
      <c r="H37" s="10">
        <v>1220</v>
      </c>
      <c r="I37" s="10">
        <f>140+1840</f>
        <v>1980</v>
      </c>
      <c r="J37" s="10">
        <v>140</v>
      </c>
      <c r="K37" s="10"/>
      <c r="L37" s="10"/>
      <c r="M37" s="26"/>
      <c r="N37" s="10">
        <f t="shared" si="20"/>
        <v>44660</v>
      </c>
      <c r="O37" s="10">
        <f t="shared" si="0"/>
        <v>7980</v>
      </c>
      <c r="P37" s="14"/>
      <c r="Q37" s="10">
        <f>+N37+O37-P37</f>
        <v>52640</v>
      </c>
      <c r="R37" s="27"/>
      <c r="S37" s="18"/>
      <c r="T37" s="18">
        <f t="shared" si="10"/>
        <v>52640</v>
      </c>
      <c r="U37" s="60"/>
      <c r="V37" s="65"/>
      <c r="W37" s="60"/>
      <c r="X37" s="27"/>
      <c r="Y37" s="27">
        <f t="shared" si="11"/>
        <v>0</v>
      </c>
      <c r="Z37" s="27">
        <f t="shared" si="12"/>
        <v>0</v>
      </c>
      <c r="AD37" s="3">
        <v>10007162</v>
      </c>
      <c r="AE37" s="3" t="str">
        <f t="shared" si="51"/>
        <v>FEBRERO10007162Inventario final</v>
      </c>
      <c r="AF37" s="3">
        <f>INDEX('[1]Detalle Costos'!$L$5:$L$158,MATCH(AE37,'[1]Detalle Costos'!$C$5:$C$158,0))</f>
        <v>1.72</v>
      </c>
      <c r="AG37" s="114">
        <f t="shared" si="44"/>
        <v>52.64</v>
      </c>
      <c r="AH37" s="115">
        <f t="shared" si="52"/>
        <v>90540.800000000003</v>
      </c>
      <c r="AI37" s="116">
        <f t="shared" si="53"/>
        <v>9580.48</v>
      </c>
      <c r="AJ37" s="115">
        <f t="shared" si="45"/>
        <v>1922.6163304660349</v>
      </c>
      <c r="AK37" s="115">
        <f t="shared" si="46"/>
        <v>4352.8690324980207</v>
      </c>
      <c r="AL37" s="115">
        <f t="shared" si="47"/>
        <v>3639.2242887878783</v>
      </c>
      <c r="AM37" s="115">
        <v>0</v>
      </c>
      <c r="AN37" s="117">
        <f t="shared" si="34"/>
        <v>0</v>
      </c>
      <c r="AO37" s="118">
        <f t="shared" si="54"/>
        <v>106396.76536296406</v>
      </c>
      <c r="AP37" s="119">
        <f t="shared" si="55"/>
        <v>2021.2151474727214</v>
      </c>
      <c r="AQ37" s="120"/>
      <c r="AR37" s="121">
        <v>2700</v>
      </c>
      <c r="AS37" s="122">
        <f t="shared" si="48"/>
        <v>142128</v>
      </c>
      <c r="AT37" s="123">
        <f t="shared" si="49"/>
        <v>35731.234637035945</v>
      </c>
      <c r="AU37" s="124">
        <f t="shared" si="50"/>
        <v>0.25140179723232542</v>
      </c>
    </row>
    <row r="38" spans="1:47" x14ac:dyDescent="0.3">
      <c r="A38" s="11"/>
      <c r="B38" s="12"/>
      <c r="C38" s="12" t="s">
        <v>19</v>
      </c>
      <c r="D38" s="57">
        <v>0</v>
      </c>
      <c r="E38" s="10">
        <v>300</v>
      </c>
      <c r="F38" s="10">
        <v>160</v>
      </c>
      <c r="G38" s="10"/>
      <c r="H38" s="10"/>
      <c r="I38" s="10"/>
      <c r="J38" s="10"/>
      <c r="K38" s="10"/>
      <c r="L38" s="10"/>
      <c r="M38" s="26"/>
      <c r="N38" s="10">
        <f t="shared" si="20"/>
        <v>0</v>
      </c>
      <c r="O38" s="10">
        <f t="shared" si="0"/>
        <v>460</v>
      </c>
      <c r="P38" s="14"/>
      <c r="Q38" s="10">
        <f t="shared" ref="Q38:Q40" si="56">+N38+O38-P38</f>
        <v>460</v>
      </c>
      <c r="R38" s="27"/>
      <c r="S38" s="18"/>
      <c r="T38" s="18">
        <f t="shared" si="10"/>
        <v>460</v>
      </c>
      <c r="U38" s="60"/>
      <c r="V38" s="65"/>
      <c r="W38" s="60"/>
      <c r="X38" s="27"/>
      <c r="Y38" s="27"/>
      <c r="Z38" s="27"/>
      <c r="AD38" s="3">
        <v>10009639</v>
      </c>
      <c r="AE38" s="3" t="str">
        <f t="shared" si="51"/>
        <v>FEBRERO10009639Inventario final</v>
      </c>
      <c r="AF38" s="3">
        <f>INDEX('[1]Detalle Costos'!$L$5:$L$158,MATCH(AE38,'[1]Detalle Costos'!$C$5:$C$158,0))</f>
        <v>1.75</v>
      </c>
      <c r="AG38" s="114">
        <f t="shared" si="44"/>
        <v>0.46</v>
      </c>
      <c r="AH38" s="115">
        <f t="shared" si="52"/>
        <v>805</v>
      </c>
      <c r="AI38" s="116">
        <f t="shared" si="53"/>
        <v>83.72</v>
      </c>
      <c r="AJ38" s="115">
        <f t="shared" si="45"/>
        <v>16.800978571701673</v>
      </c>
      <c r="AK38" s="115">
        <f t="shared" si="46"/>
        <v>38.037989265750184</v>
      </c>
      <c r="AL38" s="115">
        <f t="shared" si="47"/>
        <v>31.801732006884954</v>
      </c>
      <c r="AM38" s="115">
        <v>0</v>
      </c>
      <c r="AN38" s="117">
        <f t="shared" si="34"/>
        <v>0</v>
      </c>
      <c r="AO38" s="118">
        <f>AH38+AI38+AJ38+AK38</f>
        <v>943.55896783745186</v>
      </c>
      <c r="AP38" s="119">
        <f>IFERROR(AO38/AG38,0)</f>
        <v>2051.2151474727211</v>
      </c>
      <c r="AQ38" s="120"/>
      <c r="AR38" s="121">
        <v>2700</v>
      </c>
      <c r="AS38" s="122">
        <f t="shared" si="48"/>
        <v>1242</v>
      </c>
      <c r="AT38" s="123">
        <f t="shared" si="49"/>
        <v>298.44103216254814</v>
      </c>
      <c r="AU38" s="124">
        <f t="shared" si="50"/>
        <v>0.24029068612121429</v>
      </c>
    </row>
    <row r="39" spans="1:47" x14ac:dyDescent="0.3">
      <c r="A39" s="11"/>
      <c r="B39" s="12"/>
      <c r="C39" s="12" t="s">
        <v>15</v>
      </c>
      <c r="D39" s="57">
        <v>0</v>
      </c>
      <c r="E39" s="10">
        <v>1060</v>
      </c>
      <c r="F39" s="10">
        <v>600</v>
      </c>
      <c r="G39" s="10">
        <v>280</v>
      </c>
      <c r="H39" s="10"/>
      <c r="I39" s="10"/>
      <c r="J39" s="10"/>
      <c r="K39" s="10"/>
      <c r="L39" s="10"/>
      <c r="M39" s="26"/>
      <c r="N39" s="10">
        <f t="shared" si="20"/>
        <v>0</v>
      </c>
      <c r="O39" s="10">
        <f t="shared" si="0"/>
        <v>1940</v>
      </c>
      <c r="P39" s="14"/>
      <c r="Q39" s="10">
        <f t="shared" si="56"/>
        <v>1940</v>
      </c>
      <c r="R39" s="27"/>
      <c r="S39" s="18"/>
      <c r="T39" s="18">
        <f t="shared" si="10"/>
        <v>1940</v>
      </c>
      <c r="U39" s="60"/>
      <c r="V39" s="65"/>
      <c r="W39" s="60"/>
      <c r="X39" s="27"/>
      <c r="Y39" s="27"/>
      <c r="Z39" s="27"/>
      <c r="AD39" s="3">
        <v>10009639</v>
      </c>
      <c r="AE39" s="3" t="str">
        <f t="shared" si="51"/>
        <v>FEBRERO10009639Inventario final</v>
      </c>
      <c r="AF39" s="3">
        <f>INDEX('[1]Detalle Costos'!$L$5:$L$158,MATCH(AE39,'[1]Detalle Costos'!$C$5:$C$158,0))</f>
        <v>1.75</v>
      </c>
      <c r="AG39" s="114">
        <f t="shared" si="44"/>
        <v>1.94</v>
      </c>
      <c r="AH39" s="115">
        <f t="shared" si="52"/>
        <v>3395</v>
      </c>
      <c r="AI39" s="116">
        <f t="shared" si="53"/>
        <v>353.08</v>
      </c>
      <c r="AJ39" s="115">
        <f t="shared" si="45"/>
        <v>70.856300932828802</v>
      </c>
      <c r="AK39" s="115">
        <f t="shared" si="46"/>
        <v>160.42108516425077</v>
      </c>
      <c r="AL39" s="115">
        <f t="shared" si="47"/>
        <v>134.12034802903653</v>
      </c>
      <c r="AM39" s="115">
        <v>0</v>
      </c>
      <c r="AN39" s="117">
        <f t="shared" si="34"/>
        <v>0</v>
      </c>
      <c r="AO39" s="118">
        <f t="shared" ref="AO39:AO59" si="57">AH39+AI39+AJ39+AK39</f>
        <v>3979.3573860970791</v>
      </c>
      <c r="AP39" s="119">
        <f t="shared" ref="AP39:AP59" si="58">IFERROR(AO39/AG39,0)</f>
        <v>2051.2151474727211</v>
      </c>
      <c r="AQ39" s="120"/>
      <c r="AR39" s="121">
        <v>2700</v>
      </c>
      <c r="AS39" s="122">
        <f t="shared" si="48"/>
        <v>5238</v>
      </c>
      <c r="AT39" s="123">
        <f t="shared" si="49"/>
        <v>1258.6426139029209</v>
      </c>
      <c r="AU39" s="124">
        <f t="shared" si="50"/>
        <v>0.24029068612121438</v>
      </c>
    </row>
    <row r="40" spans="1:47" x14ac:dyDescent="0.3">
      <c r="A40" s="11"/>
      <c r="B40" s="12"/>
      <c r="C40" s="12" t="s">
        <v>115</v>
      </c>
      <c r="D40" s="57">
        <v>0</v>
      </c>
      <c r="E40" s="10"/>
      <c r="F40" s="10"/>
      <c r="G40" s="10"/>
      <c r="H40" s="10"/>
      <c r="I40" s="10">
        <v>2300</v>
      </c>
      <c r="J40" s="10"/>
      <c r="K40" s="10"/>
      <c r="L40" s="10"/>
      <c r="M40" s="26"/>
      <c r="N40" s="10">
        <f t="shared" si="20"/>
        <v>0</v>
      </c>
      <c r="O40" s="10">
        <f t="shared" si="0"/>
        <v>2300</v>
      </c>
      <c r="P40" s="14"/>
      <c r="Q40" s="10">
        <f t="shared" si="56"/>
        <v>2300</v>
      </c>
      <c r="R40" s="27"/>
      <c r="S40" s="18"/>
      <c r="T40" s="18">
        <f t="shared" si="10"/>
        <v>2300</v>
      </c>
      <c r="U40" s="60"/>
      <c r="V40" s="65"/>
      <c r="W40" s="60"/>
      <c r="X40" s="27"/>
      <c r="Y40" s="27"/>
      <c r="Z40" s="27"/>
      <c r="AD40" s="3">
        <v>10009639</v>
      </c>
      <c r="AE40" s="3" t="str">
        <f t="shared" si="51"/>
        <v>FEBRERO10009639Inventario final</v>
      </c>
      <c r="AF40" s="3">
        <f>INDEX('[1]Detalle Costos'!$L$5:$L$158,MATCH(AE40,'[1]Detalle Costos'!$C$5:$C$158,0))</f>
        <v>1.75</v>
      </c>
      <c r="AG40" s="114">
        <f t="shared" si="44"/>
        <v>2.2999999999999998</v>
      </c>
      <c r="AH40" s="115">
        <f t="shared" si="52"/>
        <v>4024.9999999999995</v>
      </c>
      <c r="AI40" s="116">
        <f t="shared" si="53"/>
        <v>418.59999999999997</v>
      </c>
      <c r="AJ40" s="115">
        <f t="shared" si="45"/>
        <v>84.004892858508356</v>
      </c>
      <c r="AK40" s="115">
        <f t="shared" si="46"/>
        <v>190.18994632875089</v>
      </c>
      <c r="AL40" s="115">
        <f t="shared" si="47"/>
        <v>159.00866003442476</v>
      </c>
      <c r="AM40" s="115">
        <v>0</v>
      </c>
      <c r="AN40" s="117">
        <f t="shared" si="34"/>
        <v>0</v>
      </c>
      <c r="AO40" s="118">
        <f t="shared" si="57"/>
        <v>4717.7948391872587</v>
      </c>
      <c r="AP40" s="119">
        <f t="shared" si="58"/>
        <v>2051.2151474727211</v>
      </c>
      <c r="AQ40" s="120"/>
      <c r="AR40" s="121">
        <v>3950</v>
      </c>
      <c r="AS40" s="122">
        <f t="shared" si="48"/>
        <v>9085</v>
      </c>
      <c r="AT40" s="123">
        <f t="shared" si="49"/>
        <v>4367.2051608127413</v>
      </c>
      <c r="AU40" s="124">
        <f t="shared" si="50"/>
        <v>0.48070502595627312</v>
      </c>
    </row>
    <row r="41" spans="1:47" x14ac:dyDescent="0.3">
      <c r="A41" s="28">
        <f>+A37+1</f>
        <v>29</v>
      </c>
      <c r="B41" s="31" t="s">
        <v>53</v>
      </c>
      <c r="C41" s="31" t="s">
        <v>54</v>
      </c>
      <c r="D41" s="58">
        <v>194440</v>
      </c>
      <c r="E41" s="29">
        <v>1620</v>
      </c>
      <c r="F41" s="29">
        <f>860+2360</f>
        <v>3220</v>
      </c>
      <c r="G41" s="29">
        <f>2040+2340</f>
        <v>4380</v>
      </c>
      <c r="H41" s="29">
        <v>960</v>
      </c>
      <c r="I41" s="29"/>
      <c r="J41" s="29">
        <v>2040</v>
      </c>
      <c r="K41" s="29"/>
      <c r="L41" s="29"/>
      <c r="M41" s="26"/>
      <c r="N41" s="29">
        <f t="shared" si="20"/>
        <v>194440</v>
      </c>
      <c r="O41" s="29">
        <f t="shared" si="0"/>
        <v>12220</v>
      </c>
      <c r="P41" s="30">
        <v>27000</v>
      </c>
      <c r="Q41" s="29">
        <f>+N41+O41-P41</f>
        <v>179660</v>
      </c>
      <c r="R41" s="27"/>
      <c r="S41" s="18"/>
      <c r="T41" s="18">
        <f t="shared" si="10"/>
        <v>179660</v>
      </c>
      <c r="U41" s="60"/>
      <c r="V41" s="65"/>
      <c r="W41" s="60"/>
      <c r="X41" s="27"/>
      <c r="Y41" s="27">
        <f t="shared" si="11"/>
        <v>0</v>
      </c>
      <c r="Z41" s="27">
        <f t="shared" si="12"/>
        <v>-27000</v>
      </c>
      <c r="AD41" s="3">
        <v>10009239</v>
      </c>
      <c r="AE41" s="3" t="str">
        <f t="shared" si="51"/>
        <v>FEBRERO10009239Inventario final</v>
      </c>
      <c r="AF41" s="3">
        <f>INDEX('[1]Detalle Costos'!$L$5:$L$158,MATCH(AE41,'[1]Detalle Costos'!$C$5:$C$158,0))</f>
        <v>2.11</v>
      </c>
      <c r="AG41" s="114">
        <f t="shared" si="44"/>
        <v>179.66</v>
      </c>
      <c r="AH41" s="115">
        <f t="shared" si="52"/>
        <v>379082.6</v>
      </c>
      <c r="AI41" s="116">
        <f t="shared" si="53"/>
        <v>32698.12</v>
      </c>
      <c r="AJ41" s="115">
        <f t="shared" si="45"/>
        <v>6561.8778482433099</v>
      </c>
      <c r="AK41" s="115">
        <f t="shared" si="46"/>
        <v>14856.31554670582</v>
      </c>
      <c r="AL41" s="115">
        <f t="shared" si="47"/>
        <v>12420.650374689023</v>
      </c>
      <c r="AM41" s="115">
        <v>0</v>
      </c>
      <c r="AN41" s="117">
        <f t="shared" si="34"/>
        <v>0</v>
      </c>
      <c r="AO41" s="118">
        <f t="shared" si="57"/>
        <v>433198.91339494905</v>
      </c>
      <c r="AP41" s="119">
        <f t="shared" si="58"/>
        <v>2411.2151474727211</v>
      </c>
      <c r="AQ41" s="120"/>
      <c r="AR41" s="121">
        <v>3950</v>
      </c>
      <c r="AS41" s="122">
        <f t="shared" si="48"/>
        <v>709657</v>
      </c>
      <c r="AT41" s="123">
        <f t="shared" si="49"/>
        <v>276458.08660505095</v>
      </c>
      <c r="AU41" s="124">
        <f t="shared" si="50"/>
        <v>0.38956578544994408</v>
      </c>
    </row>
    <row r="42" spans="1:47" x14ac:dyDescent="0.3">
      <c r="A42" s="28">
        <f t="shared" si="19"/>
        <v>30</v>
      </c>
      <c r="B42" s="31" t="s">
        <v>51</v>
      </c>
      <c r="C42" s="31" t="s">
        <v>52</v>
      </c>
      <c r="D42" s="58">
        <v>21620</v>
      </c>
      <c r="E42" s="29">
        <v>380</v>
      </c>
      <c r="F42" s="29">
        <f>200+440</f>
        <v>640</v>
      </c>
      <c r="G42" s="29">
        <f>480+440</f>
        <v>920</v>
      </c>
      <c r="H42" s="29">
        <v>320</v>
      </c>
      <c r="I42" s="29"/>
      <c r="J42" s="29">
        <v>160</v>
      </c>
      <c r="K42" s="29"/>
      <c r="L42" s="29"/>
      <c r="M42" s="26"/>
      <c r="N42" s="29">
        <f t="shared" si="20"/>
        <v>21620</v>
      </c>
      <c r="O42" s="29">
        <f t="shared" si="0"/>
        <v>2420</v>
      </c>
      <c r="P42" s="30"/>
      <c r="Q42" s="29">
        <f t="shared" si="9"/>
        <v>24040</v>
      </c>
      <c r="R42" s="27"/>
      <c r="S42" s="18"/>
      <c r="T42" s="18">
        <f t="shared" si="10"/>
        <v>24040</v>
      </c>
      <c r="U42" s="60"/>
      <c r="V42" s="65"/>
      <c r="W42" s="60"/>
      <c r="X42" s="27"/>
      <c r="Y42" s="27">
        <f t="shared" si="11"/>
        <v>0</v>
      </c>
      <c r="Z42" s="27">
        <f t="shared" si="12"/>
        <v>0</v>
      </c>
      <c r="AD42" s="3">
        <v>10009239</v>
      </c>
      <c r="AE42" s="3" t="str">
        <f t="shared" si="51"/>
        <v>FEBRERO10009239Inventario final</v>
      </c>
      <c r="AF42" s="3">
        <f>INDEX('[1]Detalle Costos'!$L$5:$L$158,MATCH(AE42,'[1]Detalle Costos'!$C$5:$C$158,0))</f>
        <v>2.11</v>
      </c>
      <c r="AG42" s="114">
        <f t="shared" si="44"/>
        <v>24.04</v>
      </c>
      <c r="AH42" s="115">
        <f t="shared" si="52"/>
        <v>50724.399999999994</v>
      </c>
      <c r="AI42" s="116">
        <f t="shared" si="53"/>
        <v>4375.28</v>
      </c>
      <c r="AJ42" s="115">
        <f t="shared" si="45"/>
        <v>878.03374970371351</v>
      </c>
      <c r="AK42" s="115">
        <f t="shared" si="46"/>
        <v>1987.8983955405095</v>
      </c>
      <c r="AL42" s="115">
        <f t="shared" si="47"/>
        <v>1661.9861683598135</v>
      </c>
      <c r="AM42" s="115">
        <v>0</v>
      </c>
      <c r="AN42" s="117">
        <f t="shared" si="34"/>
        <v>0</v>
      </c>
      <c r="AO42" s="118">
        <f t="shared" si="57"/>
        <v>57965.612145244217</v>
      </c>
      <c r="AP42" s="119">
        <f t="shared" si="58"/>
        <v>2411.2151474727211</v>
      </c>
      <c r="AQ42" s="120"/>
      <c r="AR42" s="121">
        <v>3950</v>
      </c>
      <c r="AS42" s="122">
        <f t="shared" si="48"/>
        <v>94958</v>
      </c>
      <c r="AT42" s="123">
        <f t="shared" si="49"/>
        <v>36992.387854755783</v>
      </c>
      <c r="AU42" s="124">
        <f t="shared" si="50"/>
        <v>0.38956578544994402</v>
      </c>
    </row>
    <row r="43" spans="1:47" x14ac:dyDescent="0.3">
      <c r="A43" s="28">
        <f t="shared" si="19"/>
        <v>31</v>
      </c>
      <c r="B43" s="31" t="s">
        <v>38</v>
      </c>
      <c r="C43" s="31" t="s">
        <v>39</v>
      </c>
      <c r="D43" s="58">
        <v>260</v>
      </c>
      <c r="E43" s="29"/>
      <c r="F43" s="29"/>
      <c r="G43" s="29"/>
      <c r="H43" s="29"/>
      <c r="I43" s="29"/>
      <c r="J43" s="29"/>
      <c r="K43" s="29"/>
      <c r="L43" s="29"/>
      <c r="M43" s="26"/>
      <c r="N43" s="29">
        <f t="shared" si="20"/>
        <v>260</v>
      </c>
      <c r="O43" s="29">
        <f t="shared" si="0"/>
        <v>0</v>
      </c>
      <c r="P43" s="30"/>
      <c r="Q43" s="29">
        <f t="shared" si="9"/>
        <v>260</v>
      </c>
      <c r="R43" s="27"/>
      <c r="S43" s="18"/>
      <c r="T43" s="18">
        <f t="shared" si="10"/>
        <v>260</v>
      </c>
      <c r="U43" s="60"/>
      <c r="V43" s="65"/>
      <c r="W43" s="60"/>
      <c r="X43" s="27"/>
      <c r="Y43" s="27">
        <f t="shared" si="11"/>
        <v>0</v>
      </c>
      <c r="Z43" s="27">
        <f t="shared" si="12"/>
        <v>0</v>
      </c>
      <c r="AD43" s="3">
        <v>10007050</v>
      </c>
      <c r="AE43" s="3" t="str">
        <f t="shared" si="51"/>
        <v>FEBRERO10007050Inventario final</v>
      </c>
      <c r="AF43" s="3">
        <f>INDEX('[1]Detalle Costos'!$L$5:$L$158,MATCH(AE43,'[1]Detalle Costos'!$C$5:$C$158,0))</f>
        <v>1.31</v>
      </c>
      <c r="AG43" s="114">
        <f t="shared" si="44"/>
        <v>0.26</v>
      </c>
      <c r="AH43" s="115">
        <f t="shared" si="52"/>
        <v>340.6</v>
      </c>
      <c r="AI43" s="116">
        <f t="shared" si="53"/>
        <v>47.32</v>
      </c>
      <c r="AJ43" s="115">
        <f t="shared" si="45"/>
        <v>9.4962052796574685</v>
      </c>
      <c r="AK43" s="115">
        <f t="shared" si="46"/>
        <v>21.499733063250105</v>
      </c>
      <c r="AL43" s="115">
        <f t="shared" si="47"/>
        <v>17.974892003891497</v>
      </c>
      <c r="AM43" s="115">
        <v>0</v>
      </c>
      <c r="AN43" s="117">
        <f t="shared" si="34"/>
        <v>0</v>
      </c>
      <c r="AO43" s="118">
        <f t="shared" si="57"/>
        <v>418.91593834290762</v>
      </c>
      <c r="AP43" s="119">
        <f t="shared" si="58"/>
        <v>1611.2151474727216</v>
      </c>
      <c r="AQ43" s="120"/>
      <c r="AR43" s="121">
        <v>3950</v>
      </c>
      <c r="AS43" s="122">
        <f t="shared" si="48"/>
        <v>1027</v>
      </c>
      <c r="AT43" s="123">
        <f t="shared" si="49"/>
        <v>608.08406165709243</v>
      </c>
      <c r="AU43" s="124">
        <f t="shared" si="50"/>
        <v>0.59209743101956425</v>
      </c>
    </row>
    <row r="44" spans="1:47" x14ac:dyDescent="0.3">
      <c r="A44" s="28">
        <f t="shared" si="19"/>
        <v>32</v>
      </c>
      <c r="B44" s="31">
        <v>10007050</v>
      </c>
      <c r="C44" s="31" t="s">
        <v>87</v>
      </c>
      <c r="D44" s="58">
        <v>49620</v>
      </c>
      <c r="E44" s="29"/>
      <c r="F44" s="36">
        <f>400+400</f>
        <v>800</v>
      </c>
      <c r="G44" s="36">
        <f>40+2140</f>
        <v>2180</v>
      </c>
      <c r="H44" s="36">
        <v>200</v>
      </c>
      <c r="I44" s="36"/>
      <c r="J44" s="36">
        <v>720</v>
      </c>
      <c r="K44" s="36"/>
      <c r="L44" s="36"/>
      <c r="M44" s="27"/>
      <c r="N44" s="29">
        <f t="shared" si="20"/>
        <v>49620</v>
      </c>
      <c r="O44" s="29">
        <f t="shared" si="0"/>
        <v>3900</v>
      </c>
      <c r="P44" s="30">
        <v>26120</v>
      </c>
      <c r="Q44" s="29">
        <f t="shared" si="9"/>
        <v>27400</v>
      </c>
      <c r="R44" s="27"/>
      <c r="S44" s="18"/>
      <c r="T44" s="18">
        <f t="shared" si="10"/>
        <v>27400</v>
      </c>
      <c r="U44" s="60"/>
      <c r="V44" s="65"/>
      <c r="W44" s="60"/>
      <c r="X44" s="27"/>
      <c r="Y44" s="27">
        <f t="shared" si="11"/>
        <v>0</v>
      </c>
      <c r="Z44" s="27">
        <f t="shared" si="12"/>
        <v>-26120</v>
      </c>
      <c r="AD44" s="3">
        <v>10007050</v>
      </c>
      <c r="AE44" s="3" t="str">
        <f t="shared" si="51"/>
        <v>FEBRERO10007050Inventario final</v>
      </c>
      <c r="AF44" s="3">
        <f>INDEX('[1]Detalle Costos'!$L$5:$L$158,MATCH(AE44,'[1]Detalle Costos'!$C$5:$C$158,0))</f>
        <v>1.31</v>
      </c>
      <c r="AG44" s="114">
        <f t="shared" si="44"/>
        <v>27.4</v>
      </c>
      <c r="AH44" s="115">
        <f t="shared" si="52"/>
        <v>35894</v>
      </c>
      <c r="AI44" s="116">
        <f t="shared" si="53"/>
        <v>4986.8</v>
      </c>
      <c r="AJ44" s="115">
        <f t="shared" si="45"/>
        <v>1000.7539410100561</v>
      </c>
      <c r="AK44" s="115">
        <f t="shared" si="46"/>
        <v>2265.7410997425109</v>
      </c>
      <c r="AL44" s="115">
        <f t="shared" si="47"/>
        <v>1894.2770804101037</v>
      </c>
      <c r="AM44" s="115">
        <v>0</v>
      </c>
      <c r="AN44" s="117">
        <f t="shared" si="34"/>
        <v>0</v>
      </c>
      <c r="AO44" s="118">
        <f t="shared" si="57"/>
        <v>44147.295040752571</v>
      </c>
      <c r="AP44" s="119">
        <f t="shared" si="58"/>
        <v>1611.2151474727216</v>
      </c>
      <c r="AQ44" s="120"/>
      <c r="AR44" s="121">
        <v>2000</v>
      </c>
      <c r="AS44" s="122">
        <f t="shared" si="48"/>
        <v>54800</v>
      </c>
      <c r="AT44" s="123">
        <f t="shared" si="49"/>
        <v>10652.704959247429</v>
      </c>
      <c r="AU44" s="124">
        <f t="shared" si="50"/>
        <v>0.1943924262636392</v>
      </c>
    </row>
    <row r="45" spans="1:47" ht="18.600000000000001" customHeight="1" x14ac:dyDescent="0.3">
      <c r="A45" s="43">
        <f>+A44+1</f>
        <v>33</v>
      </c>
      <c r="B45" s="44"/>
      <c r="C45" s="44" t="s">
        <v>81</v>
      </c>
      <c r="D45" s="59">
        <v>9450</v>
      </c>
      <c r="E45" s="42"/>
      <c r="F45" s="90"/>
      <c r="G45" s="90"/>
      <c r="H45" s="90"/>
      <c r="I45" s="90"/>
      <c r="J45" s="90"/>
      <c r="K45" s="90"/>
      <c r="L45" s="90"/>
      <c r="M45" s="91"/>
      <c r="N45" s="42">
        <f t="shared" si="20"/>
        <v>9450</v>
      </c>
      <c r="O45" s="42">
        <f t="shared" si="0"/>
        <v>0</v>
      </c>
      <c r="P45" s="92">
        <v>9450</v>
      </c>
      <c r="Q45" s="42">
        <f t="shared" si="9"/>
        <v>0</v>
      </c>
      <c r="R45" s="27"/>
      <c r="S45" s="18"/>
      <c r="T45" s="18">
        <f t="shared" si="10"/>
        <v>0</v>
      </c>
      <c r="U45" s="60"/>
      <c r="V45" s="65"/>
      <c r="W45" s="60"/>
      <c r="X45" s="27"/>
      <c r="Y45" s="27">
        <f t="shared" si="11"/>
        <v>0</v>
      </c>
      <c r="Z45" s="27">
        <f t="shared" si="12"/>
        <v>-9450</v>
      </c>
      <c r="AE45" s="3" t="str">
        <f t="shared" si="51"/>
        <v>FEBREROInventario final</v>
      </c>
      <c r="AF45" s="3" t="e">
        <f>INDEX('[1]Detalle Costos'!$L$5:$L$158,MATCH(AE45,'[1]Detalle Costos'!$C$5:$C$158,0))</f>
        <v>#N/A</v>
      </c>
      <c r="AG45" s="114">
        <f t="shared" si="44"/>
        <v>0</v>
      </c>
      <c r="AH45" s="115">
        <f t="shared" si="52"/>
        <v>0</v>
      </c>
      <c r="AI45" s="116">
        <f t="shared" si="53"/>
        <v>0</v>
      </c>
      <c r="AJ45" s="115">
        <f t="shared" si="45"/>
        <v>0</v>
      </c>
      <c r="AK45" s="115">
        <f t="shared" si="46"/>
        <v>0</v>
      </c>
      <c r="AL45" s="115">
        <f t="shared" si="47"/>
        <v>0</v>
      </c>
      <c r="AM45" s="115">
        <v>0</v>
      </c>
      <c r="AN45" s="117">
        <f t="shared" si="34"/>
        <v>0</v>
      </c>
      <c r="AO45" s="118">
        <f t="shared" si="57"/>
        <v>0</v>
      </c>
      <c r="AP45" s="119">
        <f t="shared" si="58"/>
        <v>0</v>
      </c>
      <c r="AQ45" s="120"/>
      <c r="AR45" s="121"/>
      <c r="AS45" s="122">
        <f t="shared" si="48"/>
        <v>0</v>
      </c>
      <c r="AT45" s="123">
        <f t="shared" si="49"/>
        <v>0</v>
      </c>
      <c r="AU45" s="124">
        <f t="shared" si="50"/>
        <v>0</v>
      </c>
    </row>
    <row r="46" spans="1:47" ht="18.600000000000001" customHeight="1" x14ac:dyDescent="0.3">
      <c r="A46" s="43">
        <f t="shared" si="19"/>
        <v>34</v>
      </c>
      <c r="B46" s="44"/>
      <c r="C46" s="44" t="s">
        <v>107</v>
      </c>
      <c r="D46" s="59">
        <v>3460</v>
      </c>
      <c r="E46" s="42"/>
      <c r="F46" s="90"/>
      <c r="G46" s="90"/>
      <c r="H46" s="90"/>
      <c r="I46" s="90"/>
      <c r="J46" s="90"/>
      <c r="K46" s="90"/>
      <c r="L46" s="90"/>
      <c r="M46" s="91"/>
      <c r="N46" s="42">
        <f t="shared" si="20"/>
        <v>3460</v>
      </c>
      <c r="O46" s="42">
        <f t="shared" si="0"/>
        <v>0</v>
      </c>
      <c r="P46" s="92">
        <v>3460</v>
      </c>
      <c r="Q46" s="42">
        <f t="shared" si="9"/>
        <v>0</v>
      </c>
      <c r="R46" s="27"/>
      <c r="S46" s="18"/>
      <c r="T46" s="18">
        <f t="shared" si="10"/>
        <v>0</v>
      </c>
      <c r="U46" s="60"/>
      <c r="V46" s="65"/>
      <c r="W46" s="60"/>
      <c r="X46" s="27"/>
      <c r="Y46" s="27">
        <f t="shared" si="11"/>
        <v>0</v>
      </c>
      <c r="Z46" s="27">
        <f t="shared" si="12"/>
        <v>-3460</v>
      </c>
      <c r="AE46" s="3" t="str">
        <f t="shared" si="51"/>
        <v>FEBREROInventario final</v>
      </c>
      <c r="AF46" s="3" t="e">
        <f>INDEX('[1]Detalle Costos'!$L$5:$L$158,MATCH(AE46,'[1]Detalle Costos'!$C$5:$C$158,0))</f>
        <v>#N/A</v>
      </c>
      <c r="AG46" s="114">
        <f t="shared" si="44"/>
        <v>0</v>
      </c>
      <c r="AH46" s="115">
        <f t="shared" si="52"/>
        <v>0</v>
      </c>
      <c r="AI46" s="116">
        <f t="shared" si="53"/>
        <v>0</v>
      </c>
      <c r="AJ46" s="115">
        <f t="shared" si="45"/>
        <v>0</v>
      </c>
      <c r="AK46" s="115">
        <f t="shared" si="46"/>
        <v>0</v>
      </c>
      <c r="AL46" s="115">
        <f t="shared" si="47"/>
        <v>0</v>
      </c>
      <c r="AM46" s="115">
        <v>0</v>
      </c>
      <c r="AN46" s="117">
        <f t="shared" si="34"/>
        <v>0</v>
      </c>
      <c r="AO46" s="118">
        <f t="shared" si="57"/>
        <v>0</v>
      </c>
      <c r="AP46" s="119">
        <f t="shared" si="58"/>
        <v>0</v>
      </c>
      <c r="AQ46" s="120"/>
      <c r="AR46" s="121"/>
      <c r="AS46" s="122">
        <f t="shared" si="48"/>
        <v>0</v>
      </c>
      <c r="AT46" s="123">
        <f t="shared" si="49"/>
        <v>0</v>
      </c>
      <c r="AU46" s="124">
        <f t="shared" si="50"/>
        <v>0</v>
      </c>
    </row>
    <row r="47" spans="1:47" x14ac:dyDescent="0.3">
      <c r="A47" s="43">
        <f t="shared" si="19"/>
        <v>35</v>
      </c>
      <c r="B47" s="44"/>
      <c r="C47" s="44" t="s">
        <v>106</v>
      </c>
      <c r="D47" s="59">
        <v>2380</v>
      </c>
      <c r="E47" s="42"/>
      <c r="F47" s="90"/>
      <c r="G47" s="90"/>
      <c r="H47" s="90"/>
      <c r="I47" s="90"/>
      <c r="J47" s="90"/>
      <c r="K47" s="90"/>
      <c r="L47" s="90"/>
      <c r="M47" s="91"/>
      <c r="N47" s="42">
        <f t="shared" si="20"/>
        <v>2380</v>
      </c>
      <c r="O47" s="42">
        <f t="shared" si="0"/>
        <v>0</v>
      </c>
      <c r="P47" s="92">
        <v>2380</v>
      </c>
      <c r="Q47" s="42">
        <f t="shared" si="9"/>
        <v>0</v>
      </c>
      <c r="R47" s="27"/>
      <c r="S47" s="18"/>
      <c r="T47" s="18">
        <f t="shared" si="10"/>
        <v>0</v>
      </c>
      <c r="U47" s="60"/>
      <c r="V47" s="65"/>
      <c r="W47" s="60"/>
      <c r="X47" s="27"/>
      <c r="Y47" s="27">
        <f t="shared" si="11"/>
        <v>0</v>
      </c>
      <c r="Z47" s="27">
        <f t="shared" si="12"/>
        <v>-2380</v>
      </c>
      <c r="AE47" s="3" t="str">
        <f t="shared" si="51"/>
        <v>FEBREROInventario final</v>
      </c>
      <c r="AF47" s="3" t="e">
        <f>INDEX('[1]Detalle Costos'!$L$5:$L$158,MATCH(AE47,'[1]Detalle Costos'!$C$5:$C$158,0))</f>
        <v>#N/A</v>
      </c>
      <c r="AG47" s="114">
        <f t="shared" si="44"/>
        <v>0</v>
      </c>
      <c r="AH47" s="115">
        <f t="shared" si="52"/>
        <v>0</v>
      </c>
      <c r="AI47" s="116">
        <f t="shared" si="53"/>
        <v>0</v>
      </c>
      <c r="AJ47" s="115">
        <f t="shared" si="45"/>
        <v>0</v>
      </c>
      <c r="AK47" s="115">
        <f t="shared" si="46"/>
        <v>0</v>
      </c>
      <c r="AL47" s="115">
        <f t="shared" si="47"/>
        <v>0</v>
      </c>
      <c r="AM47" s="115">
        <v>0</v>
      </c>
      <c r="AN47" s="117">
        <f t="shared" si="34"/>
        <v>0</v>
      </c>
      <c r="AO47" s="118">
        <f t="shared" si="57"/>
        <v>0</v>
      </c>
      <c r="AP47" s="119">
        <f t="shared" si="58"/>
        <v>0</v>
      </c>
      <c r="AQ47" s="120"/>
      <c r="AR47" s="121"/>
      <c r="AS47" s="122">
        <f t="shared" si="48"/>
        <v>0</v>
      </c>
      <c r="AT47" s="123">
        <f t="shared" si="49"/>
        <v>0</v>
      </c>
      <c r="AU47" s="124">
        <f t="shared" si="50"/>
        <v>0</v>
      </c>
    </row>
    <row r="48" spans="1:47" x14ac:dyDescent="0.3">
      <c r="A48" s="43">
        <f t="shared" si="19"/>
        <v>36</v>
      </c>
      <c r="B48" s="44"/>
      <c r="C48" s="44" t="s">
        <v>105</v>
      </c>
      <c r="D48" s="59">
        <v>2200</v>
      </c>
      <c r="E48" s="42"/>
      <c r="F48" s="90"/>
      <c r="G48" s="90"/>
      <c r="H48" s="90"/>
      <c r="I48" s="90"/>
      <c r="J48" s="90"/>
      <c r="K48" s="90"/>
      <c r="L48" s="90"/>
      <c r="M48" s="91"/>
      <c r="N48" s="42">
        <f t="shared" si="20"/>
        <v>2200</v>
      </c>
      <c r="O48" s="42">
        <f t="shared" si="0"/>
        <v>0</v>
      </c>
      <c r="P48" s="92">
        <v>2200</v>
      </c>
      <c r="Q48" s="42">
        <f t="shared" si="9"/>
        <v>0</v>
      </c>
      <c r="R48" s="27"/>
      <c r="S48" s="18"/>
      <c r="T48" s="18">
        <f t="shared" si="10"/>
        <v>0</v>
      </c>
      <c r="U48" s="60"/>
      <c r="V48" s="65"/>
      <c r="W48" s="60"/>
      <c r="X48" s="27"/>
      <c r="Y48" s="27">
        <f t="shared" si="11"/>
        <v>0</v>
      </c>
      <c r="Z48" s="27">
        <f t="shared" si="12"/>
        <v>-2200</v>
      </c>
      <c r="AE48" s="3" t="str">
        <f t="shared" si="51"/>
        <v>FEBREROInventario final</v>
      </c>
      <c r="AF48" s="15" t="e">
        <f>INDEX('[1]Detalle Costos'!$L$5:$L$158,MATCH(AE48,'[1]Detalle Costos'!$C$5:$C$158,0))</f>
        <v>#N/A</v>
      </c>
      <c r="AG48" s="114">
        <f t="shared" si="44"/>
        <v>0</v>
      </c>
      <c r="AH48" s="115">
        <f t="shared" si="52"/>
        <v>0</v>
      </c>
      <c r="AI48" s="116">
        <f t="shared" si="53"/>
        <v>0</v>
      </c>
      <c r="AJ48" s="127">
        <f t="shared" si="45"/>
        <v>0</v>
      </c>
      <c r="AK48" s="115">
        <f t="shared" si="46"/>
        <v>0</v>
      </c>
      <c r="AL48" s="115">
        <f t="shared" si="47"/>
        <v>0</v>
      </c>
      <c r="AM48" s="115">
        <v>0</v>
      </c>
      <c r="AN48" s="117">
        <f t="shared" si="34"/>
        <v>0</v>
      </c>
      <c r="AO48" s="118">
        <f t="shared" si="57"/>
        <v>0</v>
      </c>
      <c r="AP48" s="119">
        <f t="shared" si="58"/>
        <v>0</v>
      </c>
      <c r="AQ48" s="120"/>
      <c r="AR48" s="121"/>
      <c r="AS48" s="122">
        <f t="shared" si="48"/>
        <v>0</v>
      </c>
      <c r="AT48" s="123">
        <f t="shared" si="49"/>
        <v>0</v>
      </c>
      <c r="AU48" s="124">
        <f t="shared" si="50"/>
        <v>0</v>
      </c>
    </row>
    <row r="49" spans="1:49" s="15" customFormat="1" x14ac:dyDescent="0.25">
      <c r="A49" s="23">
        <f>+A48+1</f>
        <v>37</v>
      </c>
      <c r="B49" s="32">
        <v>10009337</v>
      </c>
      <c r="C49" s="32" t="s">
        <v>62</v>
      </c>
      <c r="D49" s="56">
        <v>21210</v>
      </c>
      <c r="E49" s="24"/>
      <c r="F49" s="33">
        <v>345</v>
      </c>
      <c r="G49" s="33">
        <v>1230</v>
      </c>
      <c r="H49" s="33">
        <v>180</v>
      </c>
      <c r="I49" s="33"/>
      <c r="J49" s="33">
        <v>300</v>
      </c>
      <c r="K49" s="33"/>
      <c r="L49" s="33"/>
      <c r="M49" s="27"/>
      <c r="N49" s="33">
        <f t="shared" si="20"/>
        <v>21210</v>
      </c>
      <c r="O49" s="24">
        <f t="shared" si="0"/>
        <v>2055</v>
      </c>
      <c r="P49" s="46"/>
      <c r="Q49" s="24">
        <f t="shared" si="9"/>
        <v>23265</v>
      </c>
      <c r="R49" s="27">
        <v>52320</v>
      </c>
      <c r="S49" s="18"/>
      <c r="T49" s="18">
        <f t="shared" si="10"/>
        <v>23265</v>
      </c>
      <c r="U49" s="60"/>
      <c r="V49" s="65"/>
      <c r="W49" s="60"/>
      <c r="X49" s="27"/>
      <c r="Y49" s="27">
        <f t="shared" si="11"/>
        <v>0</v>
      </c>
      <c r="Z49" s="27">
        <f t="shared" si="12"/>
        <v>0</v>
      </c>
      <c r="AD49" s="3">
        <v>10009332</v>
      </c>
      <c r="AE49" s="3" t="str">
        <f t="shared" si="51"/>
        <v>FEBRERO10009332Inventario final</v>
      </c>
      <c r="AF49" s="15">
        <f>INDEX('[1]Detalle Costos'!$L$5:$L$158,MATCH(AE49,'[1]Detalle Costos'!$C$5:$C$158,0))</f>
        <v>1.53</v>
      </c>
      <c r="AG49" s="114">
        <f t="shared" si="44"/>
        <v>23.265000000000001</v>
      </c>
      <c r="AH49" s="115">
        <f t="shared" si="52"/>
        <v>35595.449999999997</v>
      </c>
      <c r="AI49" s="116">
        <f t="shared" si="53"/>
        <v>4234.2300000000005</v>
      </c>
      <c r="AJ49" s="127">
        <f t="shared" si="45"/>
        <v>849.72775319704226</v>
      </c>
      <c r="AK49" s="115">
        <f t="shared" si="46"/>
        <v>1923.8126527558218</v>
      </c>
      <c r="AL49" s="115">
        <f t="shared" si="47"/>
        <v>1608.407163348214</v>
      </c>
      <c r="AM49" s="115">
        <v>0</v>
      </c>
      <c r="AN49" s="117">
        <f t="shared" si="34"/>
        <v>0</v>
      </c>
      <c r="AO49" s="118">
        <f t="shared" si="57"/>
        <v>42603.220405952859</v>
      </c>
      <c r="AP49" s="119">
        <f t="shared" si="58"/>
        <v>1831.2151474727211</v>
      </c>
      <c r="AQ49" s="120"/>
      <c r="AR49" s="121">
        <v>2000</v>
      </c>
      <c r="AS49" s="122">
        <f t="shared" si="48"/>
        <v>46530</v>
      </c>
      <c r="AT49" s="123">
        <f t="shared" si="49"/>
        <v>3926.7795940471406</v>
      </c>
      <c r="AU49" s="124">
        <f t="shared" si="50"/>
        <v>8.4392426263639381E-2</v>
      </c>
    </row>
    <row r="50" spans="1:49" s="15" customFormat="1" x14ac:dyDescent="0.25">
      <c r="A50" s="23">
        <f t="shared" ref="A50:A53" si="59">+A49+1</f>
        <v>38</v>
      </c>
      <c r="B50" s="32">
        <v>10009332</v>
      </c>
      <c r="C50" s="32" t="s">
        <v>64</v>
      </c>
      <c r="D50" s="56">
        <v>39360</v>
      </c>
      <c r="E50" s="24"/>
      <c r="F50" s="33">
        <v>345</v>
      </c>
      <c r="G50" s="33">
        <v>1080</v>
      </c>
      <c r="H50" s="33">
        <v>180</v>
      </c>
      <c r="I50" s="33"/>
      <c r="J50" s="33">
        <v>225</v>
      </c>
      <c r="K50" s="33"/>
      <c r="L50" s="33"/>
      <c r="M50" s="27"/>
      <c r="N50" s="33">
        <f t="shared" si="20"/>
        <v>39360</v>
      </c>
      <c r="O50" s="24">
        <f t="shared" si="0"/>
        <v>1830</v>
      </c>
      <c r="P50" s="46">
        <v>900</v>
      </c>
      <c r="Q50" s="24">
        <f t="shared" si="9"/>
        <v>40290</v>
      </c>
      <c r="R50" s="27"/>
      <c r="S50" s="18"/>
      <c r="T50" s="18">
        <f t="shared" si="10"/>
        <v>40290</v>
      </c>
      <c r="U50" s="60"/>
      <c r="V50" s="65"/>
      <c r="W50" s="60"/>
      <c r="X50" s="27"/>
      <c r="Y50" s="27">
        <f t="shared" si="11"/>
        <v>0</v>
      </c>
      <c r="Z50" s="27">
        <f t="shared" si="12"/>
        <v>-900</v>
      </c>
      <c r="AD50" s="3">
        <v>10009332</v>
      </c>
      <c r="AE50" s="3" t="str">
        <f t="shared" si="51"/>
        <v>FEBRERO10009332Inventario final</v>
      </c>
      <c r="AF50" s="15">
        <f>INDEX('[1]Detalle Costos'!$L$5:$L$158,MATCH(AE50,'[1]Detalle Costos'!$C$5:$C$158,0))</f>
        <v>1.53</v>
      </c>
      <c r="AG50" s="114">
        <f t="shared" si="44"/>
        <v>40.29</v>
      </c>
      <c r="AH50" s="115">
        <f t="shared" si="52"/>
        <v>61643.700000000004</v>
      </c>
      <c r="AI50" s="116">
        <f t="shared" si="53"/>
        <v>7332.78</v>
      </c>
      <c r="AJ50" s="127">
        <f t="shared" si="45"/>
        <v>1471.5465796823053</v>
      </c>
      <c r="AK50" s="115">
        <f t="shared" si="46"/>
        <v>3331.6317119936411</v>
      </c>
      <c r="AL50" s="115">
        <f t="shared" si="47"/>
        <v>2785.4169186030322</v>
      </c>
      <c r="AM50" s="115">
        <v>0</v>
      </c>
      <c r="AN50" s="117">
        <f t="shared" si="34"/>
        <v>0</v>
      </c>
      <c r="AO50" s="118">
        <f t="shared" si="57"/>
        <v>73779.658291675965</v>
      </c>
      <c r="AP50" s="119">
        <f t="shared" si="58"/>
        <v>1831.215147472722</v>
      </c>
      <c r="AQ50" s="120"/>
      <c r="AR50" s="121">
        <v>2000</v>
      </c>
      <c r="AS50" s="122">
        <f t="shared" si="48"/>
        <v>80580</v>
      </c>
      <c r="AT50" s="123">
        <f t="shared" si="49"/>
        <v>6800.3417083240347</v>
      </c>
      <c r="AU50" s="124">
        <f t="shared" si="50"/>
        <v>8.4392426263639048E-2</v>
      </c>
    </row>
    <row r="51" spans="1:49" s="15" customFormat="1" x14ac:dyDescent="0.25">
      <c r="A51" s="23"/>
      <c r="B51" s="32"/>
      <c r="C51" s="32" t="s">
        <v>108</v>
      </c>
      <c r="D51" s="56">
        <v>4920</v>
      </c>
      <c r="E51" s="24"/>
      <c r="F51" s="33"/>
      <c r="G51" s="33"/>
      <c r="H51" s="33"/>
      <c r="I51" s="33"/>
      <c r="J51" s="33"/>
      <c r="K51" s="33"/>
      <c r="L51" s="33"/>
      <c r="M51" s="27"/>
      <c r="N51" s="33">
        <f t="shared" si="20"/>
        <v>4920</v>
      </c>
      <c r="O51" s="24">
        <f t="shared" si="0"/>
        <v>0</v>
      </c>
      <c r="P51" s="46">
        <v>4920</v>
      </c>
      <c r="Q51" s="24">
        <f t="shared" si="9"/>
        <v>0</v>
      </c>
      <c r="R51" s="27"/>
      <c r="S51" s="18"/>
      <c r="T51" s="18">
        <f t="shared" si="10"/>
        <v>0</v>
      </c>
      <c r="U51" s="60"/>
      <c r="V51" s="65"/>
      <c r="W51" s="60"/>
      <c r="X51" s="27"/>
      <c r="Y51" s="27"/>
      <c r="Z51" s="27"/>
      <c r="AE51" s="3" t="str">
        <f t="shared" si="51"/>
        <v>FEBREROInventario final</v>
      </c>
      <c r="AF51" s="15" t="e">
        <f>INDEX('[1]Detalle Costos'!$L$5:$L$158,MATCH(AE51,'[1]Detalle Costos'!$C$5:$C$158,0))</f>
        <v>#N/A</v>
      </c>
      <c r="AG51" s="114">
        <f t="shared" si="44"/>
        <v>0</v>
      </c>
      <c r="AH51" s="115">
        <f t="shared" si="52"/>
        <v>0</v>
      </c>
      <c r="AI51" s="116">
        <f t="shared" si="53"/>
        <v>0</v>
      </c>
      <c r="AJ51" s="127">
        <f t="shared" si="45"/>
        <v>0</v>
      </c>
      <c r="AK51" s="115">
        <f t="shared" si="46"/>
        <v>0</v>
      </c>
      <c r="AL51" s="115">
        <f t="shared" si="47"/>
        <v>0</v>
      </c>
      <c r="AM51" s="115">
        <v>0</v>
      </c>
      <c r="AN51" s="117">
        <f t="shared" si="34"/>
        <v>0</v>
      </c>
      <c r="AO51" s="118">
        <f t="shared" si="57"/>
        <v>0</v>
      </c>
      <c r="AP51" s="119">
        <f t="shared" si="58"/>
        <v>0</v>
      </c>
      <c r="AQ51" s="120"/>
      <c r="AR51" s="121"/>
      <c r="AS51" s="122">
        <f t="shared" si="48"/>
        <v>0</v>
      </c>
      <c r="AT51" s="123">
        <f t="shared" si="49"/>
        <v>0</v>
      </c>
      <c r="AU51" s="124">
        <f t="shared" si="50"/>
        <v>0</v>
      </c>
    </row>
    <row r="52" spans="1:49" s="15" customFormat="1" x14ac:dyDescent="0.25">
      <c r="A52" s="23">
        <f>+A50+1</f>
        <v>39</v>
      </c>
      <c r="B52" s="32"/>
      <c r="C52" s="32" t="s">
        <v>99</v>
      </c>
      <c r="D52" s="56">
        <v>20</v>
      </c>
      <c r="E52" s="24">
        <v>140</v>
      </c>
      <c r="F52" s="33"/>
      <c r="G52" s="33">
        <v>220</v>
      </c>
      <c r="H52" s="33"/>
      <c r="I52" s="33"/>
      <c r="J52" s="33"/>
      <c r="K52" s="33"/>
      <c r="L52" s="33"/>
      <c r="M52" s="27"/>
      <c r="N52" s="33">
        <f t="shared" si="20"/>
        <v>20</v>
      </c>
      <c r="O52" s="24">
        <f t="shared" si="0"/>
        <v>360</v>
      </c>
      <c r="P52" s="46"/>
      <c r="Q52" s="24">
        <f t="shared" si="9"/>
        <v>380</v>
      </c>
      <c r="R52" s="27"/>
      <c r="S52" s="18"/>
      <c r="T52" s="18">
        <f t="shared" si="10"/>
        <v>380</v>
      </c>
      <c r="U52" s="60"/>
      <c r="V52" s="65"/>
      <c r="W52" s="60"/>
      <c r="X52" s="27"/>
      <c r="Y52" s="27">
        <f t="shared" si="11"/>
        <v>0</v>
      </c>
      <c r="Z52" s="27">
        <f t="shared" si="12"/>
        <v>0</v>
      </c>
      <c r="AE52" s="3" t="str">
        <f t="shared" si="51"/>
        <v>FEBREROInventario final</v>
      </c>
      <c r="AF52" s="15" t="e">
        <f>INDEX('[1]Detalle Costos'!$L$5:$L$158,MATCH(AE52,'[1]Detalle Costos'!$C$5:$C$158,0))</f>
        <v>#N/A</v>
      </c>
      <c r="AG52" s="114">
        <f t="shared" si="44"/>
        <v>0</v>
      </c>
      <c r="AH52" s="115">
        <f t="shared" si="52"/>
        <v>0</v>
      </c>
      <c r="AI52" s="116">
        <f t="shared" si="53"/>
        <v>0</v>
      </c>
      <c r="AJ52" s="127">
        <f t="shared" si="45"/>
        <v>0</v>
      </c>
      <c r="AK52" s="115">
        <f t="shared" si="46"/>
        <v>0</v>
      </c>
      <c r="AL52" s="115">
        <f t="shared" si="47"/>
        <v>0</v>
      </c>
      <c r="AM52" s="115">
        <v>0</v>
      </c>
      <c r="AN52" s="117">
        <f t="shared" si="34"/>
        <v>0</v>
      </c>
      <c r="AO52" s="118">
        <f t="shared" si="57"/>
        <v>0</v>
      </c>
      <c r="AP52" s="119">
        <f t="shared" si="58"/>
        <v>0</v>
      </c>
      <c r="AQ52" s="120"/>
      <c r="AR52" s="121"/>
      <c r="AS52" s="122">
        <f t="shared" si="48"/>
        <v>0</v>
      </c>
      <c r="AT52" s="123">
        <f t="shared" si="49"/>
        <v>0</v>
      </c>
      <c r="AU52" s="124">
        <f t="shared" si="50"/>
        <v>0</v>
      </c>
    </row>
    <row r="53" spans="1:49" s="15" customFormat="1" x14ac:dyDescent="0.25">
      <c r="A53" s="23">
        <f t="shared" si="59"/>
        <v>40</v>
      </c>
      <c r="B53" s="32"/>
      <c r="C53" s="32" t="s">
        <v>98</v>
      </c>
      <c r="D53" s="56">
        <v>2060</v>
      </c>
      <c r="E53" s="24">
        <v>1260</v>
      </c>
      <c r="F53" s="33">
        <v>380</v>
      </c>
      <c r="G53" s="33">
        <f>500+240</f>
        <v>740</v>
      </c>
      <c r="H53" s="33">
        <v>20</v>
      </c>
      <c r="I53" s="33">
        <v>80</v>
      </c>
      <c r="J53" s="33"/>
      <c r="K53" s="33"/>
      <c r="L53" s="33"/>
      <c r="M53" s="27"/>
      <c r="N53" s="33">
        <f t="shared" si="20"/>
        <v>2060</v>
      </c>
      <c r="O53" s="24">
        <f t="shared" si="0"/>
        <v>2480</v>
      </c>
      <c r="P53" s="46"/>
      <c r="Q53" s="24">
        <f t="shared" si="9"/>
        <v>4540</v>
      </c>
      <c r="R53" s="27"/>
      <c r="S53" s="18"/>
      <c r="T53" s="18">
        <f t="shared" si="10"/>
        <v>4540</v>
      </c>
      <c r="U53" s="60"/>
      <c r="V53" s="65"/>
      <c r="W53" s="60"/>
      <c r="X53" s="27"/>
      <c r="Y53" s="27">
        <f t="shared" si="11"/>
        <v>0</v>
      </c>
      <c r="Z53" s="27">
        <f t="shared" si="12"/>
        <v>0</v>
      </c>
      <c r="AE53" s="3" t="str">
        <f t="shared" si="51"/>
        <v>FEBREROInventario final</v>
      </c>
      <c r="AF53" s="15" t="e">
        <f>INDEX('[1]Detalle Costos'!$L$5:$L$158,MATCH(AE53,'[1]Detalle Costos'!$C$5:$C$158,0))</f>
        <v>#N/A</v>
      </c>
      <c r="AG53" s="114">
        <f t="shared" si="44"/>
        <v>0</v>
      </c>
      <c r="AH53" s="115">
        <f t="shared" si="52"/>
        <v>0</v>
      </c>
      <c r="AI53" s="116">
        <f t="shared" si="53"/>
        <v>0</v>
      </c>
      <c r="AJ53" s="127">
        <f t="shared" si="45"/>
        <v>0</v>
      </c>
      <c r="AK53" s="115">
        <f t="shared" si="46"/>
        <v>0</v>
      </c>
      <c r="AL53" s="115">
        <f t="shared" si="47"/>
        <v>0</v>
      </c>
      <c r="AM53" s="115">
        <v>0</v>
      </c>
      <c r="AN53" s="117">
        <f t="shared" si="34"/>
        <v>0</v>
      </c>
      <c r="AO53" s="118">
        <f t="shared" si="57"/>
        <v>0</v>
      </c>
      <c r="AP53" s="119">
        <f t="shared" si="58"/>
        <v>0</v>
      </c>
      <c r="AQ53" s="120"/>
      <c r="AR53" s="121"/>
      <c r="AS53" s="122">
        <f t="shared" si="48"/>
        <v>0</v>
      </c>
      <c r="AT53" s="123">
        <f t="shared" si="49"/>
        <v>0</v>
      </c>
      <c r="AU53" s="124">
        <f t="shared" si="50"/>
        <v>0</v>
      </c>
    </row>
    <row r="54" spans="1:49" s="15" customFormat="1" x14ac:dyDescent="0.25">
      <c r="A54" s="48">
        <f>+A53+1</f>
        <v>41</v>
      </c>
      <c r="B54" s="49"/>
      <c r="C54" s="49" t="s">
        <v>65</v>
      </c>
      <c r="D54" s="72">
        <v>51.174999999999997</v>
      </c>
      <c r="E54" s="50"/>
      <c r="F54" s="51"/>
      <c r="G54" s="51"/>
      <c r="H54" s="51"/>
      <c r="I54" s="51"/>
      <c r="J54" s="51"/>
      <c r="K54" s="51"/>
      <c r="L54" s="51"/>
      <c r="M54" s="52"/>
      <c r="N54" s="67">
        <f t="shared" si="20"/>
        <v>51.174999999999997</v>
      </c>
      <c r="O54" s="68">
        <f t="shared" si="0"/>
        <v>0</v>
      </c>
      <c r="P54" s="69"/>
      <c r="Q54" s="71">
        <f t="shared" si="9"/>
        <v>51.174999999999997</v>
      </c>
      <c r="R54" s="70"/>
      <c r="S54" s="9"/>
      <c r="T54" s="18">
        <f t="shared" si="10"/>
        <v>51.174999999999997</v>
      </c>
      <c r="U54" s="60"/>
      <c r="V54" s="65"/>
      <c r="W54" s="60"/>
      <c r="X54" s="27"/>
      <c r="Y54" s="27">
        <f t="shared" si="11"/>
        <v>0</v>
      </c>
      <c r="Z54" s="27">
        <f t="shared" si="12"/>
        <v>0</v>
      </c>
      <c r="AE54" s="3" t="str">
        <f t="shared" si="51"/>
        <v>FEBREROInventario final</v>
      </c>
      <c r="AF54" s="15" t="e">
        <f>INDEX('[1]Detalle Costos'!$L$5:$L$158,MATCH(AE54,'[1]Detalle Costos'!$C$5:$C$158,0))</f>
        <v>#N/A</v>
      </c>
      <c r="AG54" s="114">
        <f t="shared" si="44"/>
        <v>0</v>
      </c>
      <c r="AH54" s="115">
        <f t="shared" si="52"/>
        <v>0</v>
      </c>
      <c r="AI54" s="116">
        <f t="shared" si="53"/>
        <v>0</v>
      </c>
      <c r="AJ54" s="127">
        <f t="shared" si="45"/>
        <v>0</v>
      </c>
      <c r="AK54" s="115">
        <f t="shared" si="46"/>
        <v>0</v>
      </c>
      <c r="AL54" s="115">
        <f t="shared" si="47"/>
        <v>0</v>
      </c>
      <c r="AM54" s="115">
        <v>0</v>
      </c>
      <c r="AN54" s="117">
        <f t="shared" si="34"/>
        <v>0</v>
      </c>
      <c r="AO54" s="118">
        <f t="shared" si="57"/>
        <v>0</v>
      </c>
      <c r="AP54" s="119">
        <f t="shared" si="58"/>
        <v>0</v>
      </c>
      <c r="AQ54" s="120"/>
      <c r="AR54" s="121"/>
      <c r="AS54" s="122">
        <f t="shared" si="48"/>
        <v>0</v>
      </c>
      <c r="AT54" s="123">
        <f t="shared" si="49"/>
        <v>0</v>
      </c>
      <c r="AU54" s="124">
        <f t="shared" si="50"/>
        <v>0</v>
      </c>
    </row>
    <row r="55" spans="1:49" s="15" customFormat="1" x14ac:dyDescent="0.25">
      <c r="A55" s="48">
        <f t="shared" ref="A55:A56" si="60">+A54+1</f>
        <v>42</v>
      </c>
      <c r="B55" s="49"/>
      <c r="C55" s="49" t="s">
        <v>66</v>
      </c>
      <c r="D55" s="72">
        <v>13.774999999999999</v>
      </c>
      <c r="E55" s="50"/>
      <c r="F55" s="51"/>
      <c r="G55" s="51"/>
      <c r="H55" s="51"/>
      <c r="I55" s="51"/>
      <c r="J55" s="51"/>
      <c r="K55" s="51"/>
      <c r="L55" s="51"/>
      <c r="M55" s="52"/>
      <c r="N55" s="67">
        <f t="shared" si="20"/>
        <v>13.774999999999999</v>
      </c>
      <c r="O55" s="68">
        <f t="shared" si="0"/>
        <v>0</v>
      </c>
      <c r="P55" s="69"/>
      <c r="Q55" s="71">
        <f t="shared" si="9"/>
        <v>13.774999999999999</v>
      </c>
      <c r="R55" s="70"/>
      <c r="S55" s="9"/>
      <c r="T55" s="18">
        <f t="shared" si="10"/>
        <v>13.774999999999999</v>
      </c>
      <c r="U55" s="60"/>
      <c r="V55" s="65"/>
      <c r="W55" s="60"/>
      <c r="X55" s="27"/>
      <c r="Y55" s="27">
        <f t="shared" si="11"/>
        <v>0</v>
      </c>
      <c r="Z55" s="27">
        <f t="shared" si="12"/>
        <v>0</v>
      </c>
      <c r="AE55" s="3" t="str">
        <f t="shared" si="51"/>
        <v>FEBREROInventario final</v>
      </c>
      <c r="AF55" s="15" t="e">
        <f>INDEX('[1]Detalle Costos'!$L$5:$L$158,MATCH(AE55,'[1]Detalle Costos'!$C$5:$C$158,0))</f>
        <v>#N/A</v>
      </c>
      <c r="AG55" s="114">
        <f t="shared" si="44"/>
        <v>0</v>
      </c>
      <c r="AH55" s="115">
        <f t="shared" si="52"/>
        <v>0</v>
      </c>
      <c r="AI55" s="116">
        <f t="shared" si="53"/>
        <v>0</v>
      </c>
      <c r="AJ55" s="127">
        <f t="shared" si="45"/>
        <v>0</v>
      </c>
      <c r="AK55" s="115">
        <f t="shared" si="46"/>
        <v>0</v>
      </c>
      <c r="AL55" s="115">
        <f t="shared" si="47"/>
        <v>0</v>
      </c>
      <c r="AM55" s="115">
        <v>0</v>
      </c>
      <c r="AN55" s="117">
        <f t="shared" si="34"/>
        <v>0</v>
      </c>
      <c r="AO55" s="118">
        <f t="shared" si="57"/>
        <v>0</v>
      </c>
      <c r="AP55" s="119">
        <f t="shared" si="58"/>
        <v>0</v>
      </c>
      <c r="AQ55" s="120"/>
      <c r="AR55" s="121"/>
      <c r="AS55" s="122">
        <f t="shared" si="48"/>
        <v>0</v>
      </c>
      <c r="AT55" s="123">
        <f t="shared" si="49"/>
        <v>0</v>
      </c>
      <c r="AU55" s="124">
        <f t="shared" si="50"/>
        <v>0</v>
      </c>
    </row>
    <row r="56" spans="1:49" s="15" customFormat="1" x14ac:dyDescent="0.25">
      <c r="A56" s="48">
        <f t="shared" si="60"/>
        <v>43</v>
      </c>
      <c r="B56" s="49"/>
      <c r="C56" s="49" t="s">
        <v>80</v>
      </c>
      <c r="D56" s="72">
        <v>23.85</v>
      </c>
      <c r="E56" s="50"/>
      <c r="F56" s="51"/>
      <c r="G56" s="51"/>
      <c r="H56" s="51"/>
      <c r="I56" s="51"/>
      <c r="J56" s="51"/>
      <c r="K56" s="51"/>
      <c r="L56" s="51"/>
      <c r="M56" s="52"/>
      <c r="N56" s="67">
        <f t="shared" si="20"/>
        <v>23.85</v>
      </c>
      <c r="O56" s="68">
        <f t="shared" si="0"/>
        <v>0</v>
      </c>
      <c r="P56" s="69"/>
      <c r="Q56" s="71">
        <f t="shared" si="9"/>
        <v>23.85</v>
      </c>
      <c r="R56" s="70"/>
      <c r="S56" s="9"/>
      <c r="T56" s="18">
        <f t="shared" si="10"/>
        <v>23.85</v>
      </c>
      <c r="U56" s="60"/>
      <c r="V56" s="65"/>
      <c r="W56" s="60"/>
      <c r="X56" s="27"/>
      <c r="Y56" s="27">
        <f t="shared" si="11"/>
        <v>0</v>
      </c>
      <c r="Z56" s="27">
        <f t="shared" si="12"/>
        <v>0</v>
      </c>
      <c r="AE56" s="3" t="str">
        <f t="shared" si="51"/>
        <v>FEBREROInventario final</v>
      </c>
      <c r="AF56" s="15" t="e">
        <f>INDEX('[1]Detalle Costos'!$L$5:$L$158,MATCH(AE56,'[1]Detalle Costos'!$C$5:$C$158,0))</f>
        <v>#N/A</v>
      </c>
      <c r="AG56" s="114">
        <f t="shared" si="44"/>
        <v>0</v>
      </c>
      <c r="AH56" s="115">
        <f t="shared" si="52"/>
        <v>0</v>
      </c>
      <c r="AI56" s="116">
        <f t="shared" si="53"/>
        <v>0</v>
      </c>
      <c r="AJ56" s="127">
        <f t="shared" si="45"/>
        <v>0</v>
      </c>
      <c r="AK56" s="115">
        <f t="shared" si="46"/>
        <v>0</v>
      </c>
      <c r="AL56" s="115">
        <f t="shared" si="47"/>
        <v>0</v>
      </c>
      <c r="AM56" s="115">
        <v>0</v>
      </c>
      <c r="AN56" s="117">
        <f t="shared" si="34"/>
        <v>0</v>
      </c>
      <c r="AO56" s="118">
        <f t="shared" si="57"/>
        <v>0</v>
      </c>
      <c r="AP56" s="119">
        <f t="shared" si="58"/>
        <v>0</v>
      </c>
      <c r="AQ56" s="120"/>
      <c r="AR56" s="121"/>
      <c r="AS56" s="122">
        <f t="shared" si="48"/>
        <v>0</v>
      </c>
      <c r="AT56" s="123">
        <f t="shared" si="49"/>
        <v>0</v>
      </c>
      <c r="AU56" s="124">
        <f t="shared" si="50"/>
        <v>0</v>
      </c>
    </row>
    <row r="57" spans="1:49" x14ac:dyDescent="0.3">
      <c r="A57" s="43">
        <f>+A56+1</f>
        <v>44</v>
      </c>
      <c r="B57" s="44" t="s">
        <v>25</v>
      </c>
      <c r="C57" s="44" t="s">
        <v>26</v>
      </c>
      <c r="D57" s="59">
        <v>1120</v>
      </c>
      <c r="E57" s="41"/>
      <c r="F57" s="41"/>
      <c r="G57" s="41"/>
      <c r="H57" s="41"/>
      <c r="I57" s="41"/>
      <c r="J57" s="41"/>
      <c r="K57" s="41"/>
      <c r="L57" s="41"/>
      <c r="M57" s="41"/>
      <c r="N57" s="41">
        <f t="shared" si="20"/>
        <v>1120</v>
      </c>
      <c r="O57" s="42">
        <f t="shared" si="0"/>
        <v>0</v>
      </c>
      <c r="P57" s="42"/>
      <c r="Q57" s="42">
        <f>SUM(G57:N57)</f>
        <v>1120</v>
      </c>
      <c r="R57" s="27"/>
      <c r="S57" s="9"/>
      <c r="T57" s="18">
        <f t="shared" si="10"/>
        <v>1120</v>
      </c>
      <c r="U57" s="60"/>
      <c r="V57" s="65"/>
      <c r="W57" s="60"/>
      <c r="X57" s="27"/>
      <c r="Y57" s="27">
        <f t="shared" si="11"/>
        <v>0</v>
      </c>
      <c r="Z57" s="27">
        <f t="shared" si="12"/>
        <v>0</v>
      </c>
      <c r="AD57" s="3">
        <v>10009224</v>
      </c>
      <c r="AE57" s="3" t="str">
        <f>"FEBRERO"&amp;AD57&amp;"Inventario final"</f>
        <v>FEBRERO10009224Inventario final</v>
      </c>
      <c r="AF57" s="3" t="e">
        <f>INDEX('[1]Detalle Costos'!$L$5:$L$158,MATCH(AE57,'[1]Detalle Costos'!$C$5:$C$158,0))</f>
        <v>#N/A</v>
      </c>
      <c r="AG57" s="114">
        <f t="shared" si="44"/>
        <v>0</v>
      </c>
      <c r="AH57" s="115">
        <f>IFERROR(AF57*AG57,0)*1000</f>
        <v>0</v>
      </c>
      <c r="AI57" s="116">
        <f>182*AG57</f>
        <v>0</v>
      </c>
      <c r="AJ57" s="115">
        <f t="shared" si="45"/>
        <v>0</v>
      </c>
      <c r="AK57" s="115">
        <f t="shared" si="46"/>
        <v>0</v>
      </c>
      <c r="AL57" s="115">
        <f t="shared" si="47"/>
        <v>0</v>
      </c>
      <c r="AM57" s="115">
        <v>0</v>
      </c>
      <c r="AN57" s="117">
        <f t="shared" si="34"/>
        <v>0</v>
      </c>
      <c r="AO57" s="118">
        <f>AH57+AI57+AJ57+AK57</f>
        <v>0</v>
      </c>
      <c r="AP57" s="119">
        <f>IFERROR(AO57/AG57,0)</f>
        <v>0</v>
      </c>
      <c r="AQ57" s="120"/>
      <c r="AR57" s="121"/>
      <c r="AS57" s="122">
        <f t="shared" si="48"/>
        <v>0</v>
      </c>
      <c r="AT57" s="123">
        <f t="shared" si="49"/>
        <v>0</v>
      </c>
      <c r="AU57" s="124">
        <f t="shared" si="50"/>
        <v>0</v>
      </c>
    </row>
    <row r="58" spans="1:49" ht="3.6" customHeight="1" thickBot="1" x14ac:dyDescent="0.35"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7"/>
      <c r="Y58" s="27"/>
      <c r="AG58" s="128">
        <f t="shared" si="44"/>
        <v>0</v>
      </c>
      <c r="AO58" s="118"/>
      <c r="AP58" s="118"/>
      <c r="AQ58" s="116"/>
      <c r="AR58" s="123"/>
      <c r="AS58" s="122"/>
      <c r="AT58" s="123"/>
      <c r="AU58" s="124">
        <f>IFERROR(AT58/AS58,0)</f>
        <v>0</v>
      </c>
    </row>
    <row r="59" spans="1:49" ht="16.2" thickBot="1" x14ac:dyDescent="0.35">
      <c r="C59" s="1" t="s">
        <v>117</v>
      </c>
      <c r="D59" s="6">
        <f>SUM(D3:D57)</f>
        <v>1978298.8</v>
      </c>
      <c r="E59" s="6">
        <f>SUM(E3:E57)</f>
        <v>42780</v>
      </c>
      <c r="F59" s="6">
        <f>SUM(F3:F57)</f>
        <v>51380</v>
      </c>
      <c r="G59" s="6">
        <f>SUM(G3:G57)</f>
        <v>44130</v>
      </c>
      <c r="H59" s="6">
        <f>SUM(H3:H57)</f>
        <v>41912</v>
      </c>
      <c r="I59" s="6"/>
      <c r="J59" s="6"/>
      <c r="K59" s="6"/>
      <c r="L59" s="6">
        <f>SUM(L3:L57)</f>
        <v>0</v>
      </c>
      <c r="M59" s="5">
        <f>SUM(M3:M48)</f>
        <v>0</v>
      </c>
      <c r="N59" s="6">
        <f>SUM(N3:N57)</f>
        <v>1978298.8</v>
      </c>
      <c r="O59" s="6">
        <f>SUM(O3:O57)</f>
        <v>295259</v>
      </c>
      <c r="P59" s="73">
        <f>SUM(P3:P57)</f>
        <v>473430</v>
      </c>
      <c r="Q59" s="35">
        <f>SUM(Q3:Q58)</f>
        <v>1800127.8</v>
      </c>
      <c r="R59" s="27"/>
      <c r="S59" s="9">
        <f>SUM(S1:S57)</f>
        <v>0</v>
      </c>
      <c r="T59" s="5">
        <f>SUM(T1:T57)</f>
        <v>1800127.8</v>
      </c>
      <c r="U59" s="5">
        <f>SUM(U1:U57)</f>
        <v>0</v>
      </c>
      <c r="V59" s="5">
        <f>SUM(V1:V57)</f>
        <v>0</v>
      </c>
      <c r="W59" s="5">
        <f>SUM(W3:W57)</f>
        <v>171000</v>
      </c>
      <c r="X59" s="27"/>
      <c r="Y59" s="5">
        <f>SUM(Y3:Y57)</f>
        <v>171000</v>
      </c>
      <c r="Z59" s="27">
        <f>SUM(U59:W59)</f>
        <v>171000</v>
      </c>
      <c r="AA59" s="97">
        <f>+Y59-Z59</f>
        <v>0</v>
      </c>
      <c r="AE59" s="15" t="s">
        <v>133</v>
      </c>
      <c r="AF59" s="15"/>
      <c r="AG59" s="129">
        <f t="shared" ref="AG59:AI59" si="61">SUBTOTAL(9,AG3:AG57)</f>
        <v>1793.999</v>
      </c>
      <c r="AH59" s="130">
        <f>SUBTOTAL(9,AH3:AH57)</f>
        <v>2997838.3900000006</v>
      </c>
      <c r="AI59" s="130">
        <f t="shared" si="61"/>
        <v>326507.81800000003</v>
      </c>
      <c r="AJ59" s="130">
        <v>65523.779905770061</v>
      </c>
      <c r="AK59" s="130">
        <v>148348.0754451447</v>
      </c>
      <c r="AL59" s="130">
        <v>124026.6856926513</v>
      </c>
      <c r="AM59" s="130">
        <f>SUBTOTAL(9,AM12:AM57)</f>
        <v>0</v>
      </c>
      <c r="AN59" s="131">
        <v>0</v>
      </c>
      <c r="AO59" s="132">
        <f>SUBTOTAL(9,AO3:AO57)</f>
        <v>3538218.063350914</v>
      </c>
      <c r="AP59" s="132">
        <f>AO59/$AG$59</f>
        <v>1972.2519707931353</v>
      </c>
      <c r="AQ59" s="133"/>
      <c r="AR59" s="134">
        <f>AS59/$AG$59</f>
        <v>2305.414217064781</v>
      </c>
      <c r="AS59" s="135">
        <f t="shared" ref="AS59:AT59" si="62">SUBTOTAL(9,AS4:AS57)</f>
        <v>4135910.8</v>
      </c>
      <c r="AT59" s="134">
        <f t="shared" si="62"/>
        <v>625479.75986651215</v>
      </c>
      <c r="AU59" s="136">
        <f>IFERROR(AT59/AS59,0)</f>
        <v>0.1512314433537861</v>
      </c>
      <c r="AW59" s="3">
        <v>426</v>
      </c>
    </row>
    <row r="60" spans="1:49" ht="17.399999999999999" customHeight="1" x14ac:dyDescent="0.3">
      <c r="E60" s="6">
        <f>SUM(E4:E58)</f>
        <v>41000</v>
      </c>
      <c r="F60" s="6">
        <f>SUM(F4:F58)</f>
        <v>50980</v>
      </c>
      <c r="G60" s="6">
        <f>SUM(G4:G58)</f>
        <v>41310</v>
      </c>
      <c r="H60" s="6">
        <f>SUM(H4:H58)</f>
        <v>40232</v>
      </c>
      <c r="I60" s="98"/>
      <c r="J60" s="98"/>
      <c r="K60" s="98"/>
      <c r="N60" s="5"/>
      <c r="R60" s="27"/>
      <c r="T60" s="5"/>
    </row>
    <row r="61" spans="1:49" x14ac:dyDescent="0.3">
      <c r="D61" s="74"/>
      <c r="T61" s="5"/>
      <c r="V61" s="5"/>
      <c r="W61" s="5">
        <f>+P59-V61</f>
        <v>473430</v>
      </c>
    </row>
    <row r="62" spans="1:49" x14ac:dyDescent="0.3">
      <c r="D62" s="5"/>
      <c r="E62" s="5"/>
      <c r="N62" s="138"/>
      <c r="O62" s="139"/>
      <c r="P62" s="139"/>
      <c r="Q62" s="140"/>
      <c r="T62" s="5" t="s">
        <v>71</v>
      </c>
      <c r="W62" s="3" t="s">
        <v>78</v>
      </c>
      <c r="X62" s="8" t="s">
        <v>79</v>
      </c>
      <c r="Y62" s="96">
        <v>642.57680000000005</v>
      </c>
      <c r="AI62" s="144"/>
    </row>
    <row r="63" spans="1:49" x14ac:dyDescent="0.3">
      <c r="N63" s="141"/>
      <c r="O63" s="142"/>
      <c r="P63" s="142"/>
      <c r="Q63" s="140"/>
      <c r="T63" s="5" t="s">
        <v>72</v>
      </c>
      <c r="U63" s="3">
        <f>+W59/1000</f>
        <v>171</v>
      </c>
      <c r="W63" s="3">
        <v>0</v>
      </c>
      <c r="X63" s="8">
        <v>0</v>
      </c>
      <c r="Y63" s="96">
        <v>49</v>
      </c>
      <c r="AI63" s="144"/>
    </row>
    <row r="64" spans="1:49" x14ac:dyDescent="0.3">
      <c r="N64" s="142"/>
      <c r="O64" s="143"/>
      <c r="P64" s="142"/>
      <c r="Q64" s="140"/>
      <c r="T64" s="3" t="s">
        <v>73</v>
      </c>
      <c r="U64" s="3">
        <f>+U59/1000</f>
        <v>0</v>
      </c>
      <c r="Y64" s="96">
        <v>0</v>
      </c>
      <c r="AI64" s="144"/>
    </row>
    <row r="65" spans="14:25" x14ac:dyDescent="0.3">
      <c r="N65" s="142"/>
      <c r="O65" s="143"/>
      <c r="P65" s="142"/>
      <c r="Q65" s="140"/>
      <c r="T65" s="3" t="s">
        <v>74</v>
      </c>
      <c r="U65" s="3">
        <f>+V59/1000</f>
        <v>0</v>
      </c>
      <c r="Y65" s="96">
        <v>0</v>
      </c>
    </row>
    <row r="66" spans="14:25" x14ac:dyDescent="0.3">
      <c r="N66" s="138"/>
      <c r="O66" s="139"/>
      <c r="P66" s="139"/>
      <c r="Q66" s="140"/>
      <c r="T66" s="63"/>
      <c r="U66" s="3">
        <f>SUM(U63:U65)</f>
        <v>171</v>
      </c>
      <c r="Y66" s="96">
        <v>593.57680000000005</v>
      </c>
    </row>
    <row r="67" spans="14:25" x14ac:dyDescent="0.3">
      <c r="T67" s="63"/>
      <c r="U67" s="63"/>
    </row>
    <row r="68" spans="14:25" x14ac:dyDescent="0.3">
      <c r="U68" s="63"/>
    </row>
    <row r="69" spans="14:25" x14ac:dyDescent="0.3">
      <c r="O69" s="5"/>
    </row>
    <row r="70" spans="14:25" x14ac:dyDescent="0.3">
      <c r="O70" s="5"/>
      <c r="Q70" s="63"/>
    </row>
    <row r="72" spans="14:25" x14ac:dyDescent="0.3">
      <c r="Q72" s="63"/>
    </row>
  </sheetData>
  <mergeCells count="14">
    <mergeCell ref="BL1:BN1"/>
    <mergeCell ref="BO1:BQ1"/>
    <mergeCell ref="AW1:AY1"/>
    <mergeCell ref="AZ1:BB1"/>
    <mergeCell ref="BC1:BE1"/>
    <mergeCell ref="BF1:BH1"/>
    <mergeCell ref="BI1:BK1"/>
    <mergeCell ref="T1:T2"/>
    <mergeCell ref="N62:P62"/>
    <mergeCell ref="N66:P66"/>
    <mergeCell ref="A1:A2"/>
    <mergeCell ref="C1:C2"/>
    <mergeCell ref="D1:L1"/>
    <mergeCell ref="N1:Q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046-DC4C-4DC9-9FAB-5E1248EA73DF}">
  <sheetPr>
    <pageSetUpPr fitToPage="1"/>
  </sheetPr>
  <dimension ref="A1:BI63"/>
  <sheetViews>
    <sheetView zoomScale="91" zoomScaleNormal="91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C29" sqref="AC29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9" width="12" style="3" customWidth="1"/>
    <col min="30" max="30" width="12.21875" style="3" customWidth="1"/>
    <col min="31" max="31" width="1.109375" style="3" customWidth="1"/>
    <col min="32" max="33" width="11.6640625" style="3" customWidth="1"/>
    <col min="34" max="34" width="11.88671875" style="3" customWidth="1"/>
    <col min="35" max="35" width="12.6640625" style="3" customWidth="1"/>
    <col min="36" max="36" width="0.88671875" style="8" customWidth="1"/>
    <col min="37" max="37" width="11.5546875" style="3" customWidth="1"/>
    <col min="38" max="38" width="12.77734375" style="3" bestFit="1" customWidth="1"/>
    <col min="39" max="39" width="12.44140625" style="3" bestFit="1" customWidth="1"/>
    <col min="40" max="40" width="11.44140625" style="3" bestFit="1" customWidth="1"/>
    <col min="41" max="41" width="11.77734375" style="3" bestFit="1" customWidth="1"/>
    <col min="42" max="44" width="9.77734375" style="8" customWidth="1"/>
    <col min="46" max="50" width="9.77734375" style="3" customWidth="1"/>
    <col min="51" max="16384" width="11.5546875" style="3"/>
  </cols>
  <sheetData>
    <row r="1" spans="1:61" x14ac:dyDescent="0.3">
      <c r="A1" s="103" t="s">
        <v>1</v>
      </c>
      <c r="B1" s="2" t="s">
        <v>5</v>
      </c>
      <c r="C1" s="103" t="s">
        <v>0</v>
      </c>
      <c r="D1" s="103" t="s">
        <v>86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F1" s="103" t="s">
        <v>2</v>
      </c>
      <c r="AG1" s="103"/>
      <c r="AH1" s="103"/>
      <c r="AI1" s="103"/>
      <c r="AJ1" s="27"/>
      <c r="AK1" s="16" t="s">
        <v>22</v>
      </c>
      <c r="AL1" s="99" t="s">
        <v>24</v>
      </c>
    </row>
    <row r="2" spans="1:61" x14ac:dyDescent="0.3">
      <c r="A2" s="103"/>
      <c r="B2" s="2" t="s">
        <v>6</v>
      </c>
      <c r="C2" s="103"/>
      <c r="D2" s="4" t="s">
        <v>20</v>
      </c>
      <c r="E2" s="4">
        <v>46084</v>
      </c>
      <c r="F2" s="4">
        <v>46085</v>
      </c>
      <c r="G2" s="4">
        <v>46086</v>
      </c>
      <c r="H2" s="4">
        <v>46087</v>
      </c>
      <c r="I2" s="4">
        <v>46180</v>
      </c>
      <c r="J2" s="4">
        <v>46089</v>
      </c>
      <c r="K2" s="4">
        <v>46090</v>
      </c>
      <c r="L2" s="4">
        <v>46091</v>
      </c>
      <c r="M2" s="4">
        <v>46092</v>
      </c>
      <c r="N2" s="4">
        <v>46093</v>
      </c>
      <c r="O2" s="4">
        <v>46094</v>
      </c>
      <c r="P2" s="4">
        <v>46095</v>
      </c>
      <c r="Q2" s="4">
        <v>46097</v>
      </c>
      <c r="R2" s="4">
        <v>46098</v>
      </c>
      <c r="S2" s="4">
        <v>20</v>
      </c>
      <c r="T2" s="4">
        <v>21</v>
      </c>
      <c r="U2" s="4">
        <v>46103</v>
      </c>
      <c r="V2" s="4">
        <v>46104</v>
      </c>
      <c r="W2" s="4">
        <v>46105</v>
      </c>
      <c r="X2" s="4">
        <v>46107</v>
      </c>
      <c r="Y2" s="4">
        <v>46108</v>
      </c>
      <c r="Z2" s="4">
        <v>46109</v>
      </c>
      <c r="AA2" s="4">
        <v>46110</v>
      </c>
      <c r="AB2" s="4">
        <v>46111</v>
      </c>
      <c r="AC2" s="4">
        <v>46112</v>
      </c>
      <c r="AD2" s="13"/>
      <c r="AE2" s="34"/>
      <c r="AF2" s="2" t="s">
        <v>21</v>
      </c>
      <c r="AG2" s="2" t="s">
        <v>3</v>
      </c>
      <c r="AH2" s="2" t="s">
        <v>61</v>
      </c>
      <c r="AI2" s="2" t="s">
        <v>4</v>
      </c>
      <c r="AJ2" s="27"/>
      <c r="AK2" s="16" t="s">
        <v>23</v>
      </c>
      <c r="AL2" s="100"/>
      <c r="AM2" s="65" t="s">
        <v>75</v>
      </c>
      <c r="AN2" s="65" t="s">
        <v>76</v>
      </c>
      <c r="AO2" s="65" t="s">
        <v>77</v>
      </c>
      <c r="AQ2" s="8" t="s">
        <v>4</v>
      </c>
    </row>
    <row r="3" spans="1:61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440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27"/>
      <c r="AF3" s="18">
        <f>+D3</f>
        <v>180</v>
      </c>
      <c r="AG3" s="18">
        <f t="shared" ref="AG3:AG48" si="0">SUM(E3:AD3)</f>
        <v>440</v>
      </c>
      <c r="AH3" s="19"/>
      <c r="AI3" s="18">
        <f>+AF3+AG3-AH3</f>
        <v>620</v>
      </c>
      <c r="AJ3" s="27">
        <f>+AF3-AI3</f>
        <v>-440</v>
      </c>
      <c r="AK3" s="18">
        <v>620</v>
      </c>
      <c r="AL3" s="18">
        <f>+AI3-AK3</f>
        <v>0</v>
      </c>
      <c r="AM3" s="60"/>
      <c r="AN3" s="65"/>
      <c r="AO3" s="60"/>
      <c r="AP3" s="27"/>
      <c r="AQ3" s="27">
        <f>SUM(AM3:AO3)</f>
        <v>0</v>
      </c>
      <c r="AR3" s="27">
        <f>+AQ3-AH3</f>
        <v>0</v>
      </c>
      <c r="BI3" s="5"/>
    </row>
    <row r="4" spans="1:61" x14ac:dyDescent="0.3">
      <c r="A4" s="17">
        <f>+A3+1</f>
        <v>2</v>
      </c>
      <c r="B4" s="39" t="s">
        <v>29</v>
      </c>
      <c r="C4" s="39" t="s">
        <v>30</v>
      </c>
      <c r="D4" s="53">
        <v>25720</v>
      </c>
      <c r="E4" s="18">
        <f>20+820</f>
        <v>840</v>
      </c>
      <c r="F4" s="18">
        <f>340+560</f>
        <v>900</v>
      </c>
      <c r="G4" s="18"/>
      <c r="H4" s="18"/>
      <c r="I4" s="18"/>
      <c r="J4" s="18"/>
      <c r="K4" s="18">
        <f>420+400</f>
        <v>820</v>
      </c>
      <c r="L4" s="18">
        <f>520+320</f>
        <v>840</v>
      </c>
      <c r="M4" s="18">
        <f>140+240</f>
        <v>380</v>
      </c>
      <c r="N4" s="18">
        <f>800+580</f>
        <v>1380</v>
      </c>
      <c r="O4" s="18">
        <v>200</v>
      </c>
      <c r="P4" s="18">
        <f>480+160</f>
        <v>640</v>
      </c>
      <c r="Q4" s="18">
        <f>260+1260</f>
        <v>1520</v>
      </c>
      <c r="R4" s="18">
        <f>80+220</f>
        <v>300</v>
      </c>
      <c r="S4" s="18">
        <v>500</v>
      </c>
      <c r="T4" s="18">
        <f>200+540</f>
        <v>740</v>
      </c>
      <c r="U4" s="18"/>
      <c r="V4" s="18">
        <f>600+800</f>
        <v>1400</v>
      </c>
      <c r="W4" s="18">
        <f>3600+1180</f>
        <v>4780</v>
      </c>
      <c r="X4" s="18">
        <f>1320+1060</f>
        <v>2380</v>
      </c>
      <c r="Y4" s="18">
        <f>140+1200</f>
        <v>1340</v>
      </c>
      <c r="Z4" s="18">
        <f>640+620</f>
        <v>1260</v>
      </c>
      <c r="AA4" s="18">
        <v>1960</v>
      </c>
      <c r="AB4" s="18">
        <f>840+80</f>
        <v>920</v>
      </c>
      <c r="AC4" s="18">
        <v>180</v>
      </c>
      <c r="AD4" s="18"/>
      <c r="AE4" s="27"/>
      <c r="AF4" s="18">
        <f>+D4</f>
        <v>25720</v>
      </c>
      <c r="AG4" s="18">
        <f t="shared" si="0"/>
        <v>23280</v>
      </c>
      <c r="AH4" s="19">
        <f>8000+2000+3900+4000+2000</f>
        <v>19900</v>
      </c>
      <c r="AI4" s="18">
        <f t="shared" ref="AI4:AI47" si="1">+AF4+AG4-AH4</f>
        <v>29100</v>
      </c>
      <c r="AJ4" s="27"/>
      <c r="AK4" s="18">
        <v>28000</v>
      </c>
      <c r="AL4" s="18">
        <f t="shared" ref="AL4:AL48" si="2">+AI4-AK4</f>
        <v>1100</v>
      </c>
      <c r="AM4" s="60"/>
      <c r="AN4" s="65"/>
      <c r="AO4" s="60">
        <v>19900</v>
      </c>
      <c r="AP4" s="27"/>
      <c r="AQ4" s="27">
        <f t="shared" ref="AQ4:AQ48" si="3">SUM(AM4:AO4)</f>
        <v>19900</v>
      </c>
      <c r="AR4" s="27">
        <f t="shared" ref="AR4:AR48" si="4">+AQ4-AH4</f>
        <v>0</v>
      </c>
      <c r="BF4" s="15"/>
    </row>
    <row r="5" spans="1:61" x14ac:dyDescent="0.3">
      <c r="A5" s="17">
        <f t="shared" ref="A5:A39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20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27"/>
      <c r="AF5" s="18">
        <f>+D5</f>
        <v>660</v>
      </c>
      <c r="AG5" s="18">
        <f t="shared" si="0"/>
        <v>20</v>
      </c>
      <c r="AH5" s="19"/>
      <c r="AI5" s="18">
        <f t="shared" si="1"/>
        <v>680</v>
      </c>
      <c r="AJ5" s="27"/>
      <c r="AK5" s="18">
        <v>680</v>
      </c>
      <c r="AL5" s="18">
        <f t="shared" si="2"/>
        <v>0</v>
      </c>
      <c r="AM5" s="60"/>
      <c r="AN5" s="65"/>
      <c r="AO5" s="60"/>
      <c r="AP5" s="27"/>
      <c r="AQ5" s="27">
        <f t="shared" si="3"/>
        <v>0</v>
      </c>
      <c r="AR5" s="27">
        <f t="shared" si="4"/>
        <v>0</v>
      </c>
    </row>
    <row r="6" spans="1:61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7"/>
      <c r="AF6" s="18">
        <f>+D6</f>
        <v>680</v>
      </c>
      <c r="AG6" s="18">
        <f t="shared" si="0"/>
        <v>0</v>
      </c>
      <c r="AH6" s="19"/>
      <c r="AI6" s="18">
        <f t="shared" si="1"/>
        <v>680</v>
      </c>
      <c r="AJ6" s="27"/>
      <c r="AK6" s="18">
        <v>680</v>
      </c>
      <c r="AL6" s="18">
        <f t="shared" si="2"/>
        <v>0</v>
      </c>
      <c r="AM6" s="60"/>
      <c r="AN6" s="65"/>
      <c r="AO6" s="60"/>
      <c r="AP6" s="27"/>
      <c r="AQ6" s="27">
        <f t="shared" si="3"/>
        <v>0</v>
      </c>
      <c r="AR6" s="27">
        <f t="shared" si="4"/>
        <v>0</v>
      </c>
    </row>
    <row r="7" spans="1:61" x14ac:dyDescent="0.3">
      <c r="A7" s="17">
        <f t="shared" si="5"/>
        <v>5</v>
      </c>
      <c r="B7" s="39" t="s">
        <v>34</v>
      </c>
      <c r="C7" s="39" t="s">
        <v>35</v>
      </c>
      <c r="D7" s="53">
        <v>370620</v>
      </c>
      <c r="E7" s="18">
        <f>12100+6700</f>
        <v>18800</v>
      </c>
      <c r="F7" s="18">
        <f>18560+10800</f>
        <v>29360</v>
      </c>
      <c r="G7" s="18"/>
      <c r="H7" s="18"/>
      <c r="I7" s="18"/>
      <c r="J7" s="18"/>
      <c r="K7" s="18">
        <f>11560+9500</f>
        <v>21060</v>
      </c>
      <c r="L7" s="18">
        <f>14880+6640</f>
        <v>21520</v>
      </c>
      <c r="M7" s="18">
        <f>8020+7140</f>
        <v>15160</v>
      </c>
      <c r="N7" s="18">
        <f>30540+3280</f>
        <v>33820</v>
      </c>
      <c r="O7" s="18">
        <v>11400</v>
      </c>
      <c r="P7" s="18">
        <f>10440+7140</f>
        <v>17580</v>
      </c>
      <c r="Q7" s="18">
        <f>22420+11520</f>
        <v>33940</v>
      </c>
      <c r="R7" s="18">
        <f>8300+260</f>
        <v>8560</v>
      </c>
      <c r="S7" s="18">
        <v>9800</v>
      </c>
      <c r="T7" s="18">
        <f>12940+7680</f>
        <v>20620</v>
      </c>
      <c r="U7" s="18"/>
      <c r="V7" s="18">
        <f>12480+4100</f>
        <v>16580</v>
      </c>
      <c r="W7" s="18">
        <f>29040+12820</f>
        <v>41860</v>
      </c>
      <c r="X7" s="18">
        <f>9160+4600</f>
        <v>13760</v>
      </c>
      <c r="Y7" s="18">
        <f>2300+2880</f>
        <v>5180</v>
      </c>
      <c r="Z7" s="18">
        <f>8580+5100</f>
        <v>13680</v>
      </c>
      <c r="AA7" s="18">
        <v>12420</v>
      </c>
      <c r="AB7" s="18">
        <f>13640+1480</f>
        <v>15120</v>
      </c>
      <c r="AC7" s="18">
        <v>5840</v>
      </c>
      <c r="AD7" s="18"/>
      <c r="AE7" s="27"/>
      <c r="AF7" s="18">
        <v>368800</v>
      </c>
      <c r="AG7" s="18">
        <f t="shared" si="0"/>
        <v>366060</v>
      </c>
      <c r="AH7" s="19">
        <f>116800+48000+100000+25000+40+80+60+50000+95600+25000+80</f>
        <v>460660</v>
      </c>
      <c r="AI7" s="18">
        <f t="shared" si="1"/>
        <v>274200</v>
      </c>
      <c r="AJ7" s="27"/>
      <c r="AK7" s="18">
        <v>253240</v>
      </c>
      <c r="AL7" s="18">
        <f t="shared" si="2"/>
        <v>20960</v>
      </c>
      <c r="AM7" s="60"/>
      <c r="AN7" s="19">
        <f>40+80+60+80</f>
        <v>260</v>
      </c>
      <c r="AO7" s="19">
        <f>116800+48000+100000+25000+50000+95600+25000</f>
        <v>460400</v>
      </c>
      <c r="AP7" s="27"/>
      <c r="AQ7" s="27">
        <f t="shared" si="3"/>
        <v>460660</v>
      </c>
      <c r="AR7" s="27">
        <f t="shared" si="4"/>
        <v>0</v>
      </c>
    </row>
    <row r="8" spans="1:61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7"/>
      <c r="AF8" s="18">
        <f t="shared" ref="AF8:AF48" si="6">+D8</f>
        <v>120</v>
      </c>
      <c r="AG8" s="18">
        <f t="shared" si="0"/>
        <v>0</v>
      </c>
      <c r="AH8" s="19"/>
      <c r="AI8" s="18">
        <f t="shared" si="1"/>
        <v>120</v>
      </c>
      <c r="AJ8" s="27"/>
      <c r="AK8" s="18">
        <v>120</v>
      </c>
      <c r="AL8" s="18">
        <f t="shared" si="2"/>
        <v>0</v>
      </c>
      <c r="AM8" s="60"/>
      <c r="AN8" s="65"/>
      <c r="AO8" s="60"/>
      <c r="AP8" s="27"/>
      <c r="AQ8" s="27">
        <f t="shared" si="3"/>
        <v>0</v>
      </c>
      <c r="AR8" s="27">
        <f t="shared" si="4"/>
        <v>0</v>
      </c>
    </row>
    <row r="9" spans="1:61" x14ac:dyDescent="0.3">
      <c r="A9" s="17">
        <f t="shared" si="5"/>
        <v>7</v>
      </c>
      <c r="B9" s="39">
        <v>10009331</v>
      </c>
      <c r="C9" s="39" t="s">
        <v>90</v>
      </c>
      <c r="D9" s="53">
        <v>57168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>
        <v>5364</v>
      </c>
      <c r="Z9" s="18">
        <v>5148</v>
      </c>
      <c r="AA9" s="18"/>
      <c r="AB9" s="18"/>
      <c r="AC9" s="18"/>
      <c r="AD9" s="18"/>
      <c r="AE9" s="27"/>
      <c r="AF9" s="18">
        <f t="shared" si="6"/>
        <v>57168</v>
      </c>
      <c r="AG9" s="18">
        <f t="shared" si="0"/>
        <v>10512</v>
      </c>
      <c r="AH9" s="19">
        <v>52542</v>
      </c>
      <c r="AI9" s="18">
        <f t="shared" si="1"/>
        <v>15138</v>
      </c>
      <c r="AJ9" s="27"/>
      <c r="AK9" s="18">
        <v>15138</v>
      </c>
      <c r="AL9" s="18">
        <f t="shared" si="2"/>
        <v>0</v>
      </c>
      <c r="AM9" s="60"/>
      <c r="AN9" s="65"/>
      <c r="AO9" s="60">
        <v>52542</v>
      </c>
      <c r="AP9" s="27"/>
      <c r="AQ9" s="27">
        <f t="shared" si="3"/>
        <v>52542</v>
      </c>
      <c r="AR9" s="27">
        <f t="shared" si="4"/>
        <v>0</v>
      </c>
    </row>
    <row r="10" spans="1:61" x14ac:dyDescent="0.3">
      <c r="A10" s="17">
        <f t="shared" si="5"/>
        <v>8</v>
      </c>
      <c r="B10" s="39"/>
      <c r="C10" s="39" t="s">
        <v>88</v>
      </c>
      <c r="D10" s="53">
        <v>360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7"/>
      <c r="AF10" s="18">
        <f t="shared" si="6"/>
        <v>360</v>
      </c>
      <c r="AG10" s="18">
        <f t="shared" si="0"/>
        <v>0</v>
      </c>
      <c r="AH10" s="19">
        <v>360</v>
      </c>
      <c r="AI10" s="18">
        <f t="shared" si="1"/>
        <v>0</v>
      </c>
      <c r="AJ10" s="27"/>
      <c r="AK10" s="18">
        <v>0</v>
      </c>
      <c r="AL10" s="18">
        <f t="shared" si="2"/>
        <v>0</v>
      </c>
      <c r="AM10" s="60">
        <v>360</v>
      </c>
      <c r="AN10" s="65"/>
      <c r="AO10" s="60"/>
      <c r="AP10" s="27"/>
      <c r="AQ10" s="27">
        <f t="shared" si="3"/>
        <v>360</v>
      </c>
      <c r="AR10" s="27">
        <f t="shared" si="4"/>
        <v>0</v>
      </c>
    </row>
    <row r="11" spans="1:61" x14ac:dyDescent="0.3">
      <c r="A11" s="17">
        <f t="shared" si="5"/>
        <v>9</v>
      </c>
      <c r="B11" s="39">
        <v>10009334</v>
      </c>
      <c r="C11" s="39" t="s">
        <v>91</v>
      </c>
      <c r="D11" s="53">
        <v>4428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v>612</v>
      </c>
      <c r="Z11" s="18">
        <v>432</v>
      </c>
      <c r="AA11" s="18"/>
      <c r="AB11" s="18"/>
      <c r="AC11" s="18"/>
      <c r="AD11" s="18"/>
      <c r="AE11" s="27"/>
      <c r="AF11" s="18">
        <f t="shared" si="6"/>
        <v>4428</v>
      </c>
      <c r="AG11" s="18">
        <f t="shared" si="0"/>
        <v>1044</v>
      </c>
      <c r="AH11" s="19"/>
      <c r="AI11" s="18">
        <f t="shared" si="1"/>
        <v>5472</v>
      </c>
      <c r="AJ11" s="27"/>
      <c r="AK11" s="18">
        <v>5472</v>
      </c>
      <c r="AL11" s="18">
        <f t="shared" si="2"/>
        <v>0</v>
      </c>
      <c r="AM11" s="60"/>
      <c r="AN11" s="65"/>
      <c r="AO11" s="60"/>
      <c r="AP11" s="27"/>
      <c r="AQ11" s="27">
        <f t="shared" si="3"/>
        <v>0</v>
      </c>
      <c r="AR11" s="27">
        <f t="shared" si="4"/>
        <v>0</v>
      </c>
    </row>
    <row r="12" spans="1:61" s="8" customFormat="1" x14ac:dyDescent="0.25">
      <c r="A12" s="37">
        <f>+A11+1</f>
        <v>10</v>
      </c>
      <c r="B12" s="40" t="s">
        <v>40</v>
      </c>
      <c r="C12" s="40" t="s">
        <v>41</v>
      </c>
      <c r="D12" s="54">
        <v>22840</v>
      </c>
      <c r="E12" s="26">
        <v>380</v>
      </c>
      <c r="F12" s="26">
        <f>300+360</f>
        <v>660</v>
      </c>
      <c r="G12" s="26"/>
      <c r="H12" s="26"/>
      <c r="I12" s="26"/>
      <c r="J12" s="26"/>
      <c r="K12" s="26">
        <v>600</v>
      </c>
      <c r="L12" s="26">
        <v>300</v>
      </c>
      <c r="M12" s="26">
        <v>740</v>
      </c>
      <c r="N12" s="26">
        <v>340</v>
      </c>
      <c r="O12" s="26">
        <f>240+0</f>
        <v>240</v>
      </c>
      <c r="P12" s="26">
        <f>240+160</f>
        <v>400</v>
      </c>
      <c r="Q12" s="26"/>
      <c r="R12" s="26">
        <f>420+200</f>
        <v>620</v>
      </c>
      <c r="S12" s="26">
        <v>180</v>
      </c>
      <c r="T12" s="26">
        <v>420</v>
      </c>
      <c r="U12" s="26"/>
      <c r="V12" s="26">
        <v>240</v>
      </c>
      <c r="W12" s="26">
        <f>540+480</f>
        <v>1020</v>
      </c>
      <c r="X12" s="26">
        <f>220+20</f>
        <v>240</v>
      </c>
      <c r="Y12" s="26">
        <f>160+300</f>
        <v>460</v>
      </c>
      <c r="Z12" s="26">
        <v>760</v>
      </c>
      <c r="AA12" s="26"/>
      <c r="AB12" s="26">
        <v>320</v>
      </c>
      <c r="AC12" s="26">
        <v>80</v>
      </c>
      <c r="AD12" s="26"/>
      <c r="AE12" s="27"/>
      <c r="AF12" s="26">
        <f t="shared" si="6"/>
        <v>22840</v>
      </c>
      <c r="AG12" s="26">
        <f t="shared" si="0"/>
        <v>8000</v>
      </c>
      <c r="AH12" s="38"/>
      <c r="AI12" s="26">
        <f t="shared" si="1"/>
        <v>30840</v>
      </c>
      <c r="AJ12" s="27"/>
      <c r="AK12" s="18">
        <v>30440</v>
      </c>
      <c r="AL12" s="18">
        <f t="shared" si="2"/>
        <v>400</v>
      </c>
      <c r="AM12" s="26"/>
      <c r="AN12" s="37"/>
      <c r="AO12" s="60"/>
      <c r="AP12" s="27"/>
      <c r="AQ12" s="27">
        <f t="shared" si="3"/>
        <v>0</v>
      </c>
      <c r="AR12" s="27">
        <f t="shared" si="4"/>
        <v>0</v>
      </c>
    </row>
    <row r="13" spans="1:61" s="8" customFormat="1" x14ac:dyDescent="0.25">
      <c r="A13" s="37">
        <f>+A12+1</f>
        <v>11</v>
      </c>
      <c r="B13" s="40">
        <v>10007969</v>
      </c>
      <c r="C13" s="40" t="s">
        <v>59</v>
      </c>
      <c r="D13" s="54">
        <v>60620</v>
      </c>
      <c r="E13" s="26">
        <v>1780</v>
      </c>
      <c r="F13" s="26">
        <f>660+2240</f>
        <v>2900</v>
      </c>
      <c r="G13" s="26"/>
      <c r="H13" s="26"/>
      <c r="I13" s="26"/>
      <c r="J13" s="26"/>
      <c r="K13" s="26">
        <v>3020</v>
      </c>
      <c r="L13" s="26">
        <v>1200</v>
      </c>
      <c r="M13" s="26">
        <v>3380</v>
      </c>
      <c r="N13" s="26">
        <v>1540</v>
      </c>
      <c r="O13" s="26">
        <v>1120</v>
      </c>
      <c r="P13" s="26">
        <f>1020+700</f>
        <v>1720</v>
      </c>
      <c r="Q13" s="26">
        <v>3440</v>
      </c>
      <c r="R13" s="26">
        <v>820</v>
      </c>
      <c r="S13" s="26">
        <v>940</v>
      </c>
      <c r="T13" s="26">
        <f>300+1500</f>
        <v>1800</v>
      </c>
      <c r="U13" s="26"/>
      <c r="V13" s="26">
        <v>2840</v>
      </c>
      <c r="W13" s="26">
        <f>1320+1060</f>
        <v>2380</v>
      </c>
      <c r="X13" s="26">
        <f>780+380</f>
        <v>1160</v>
      </c>
      <c r="Y13" s="26">
        <f>260+1760</f>
        <v>2020</v>
      </c>
      <c r="Z13" s="26">
        <v>2180</v>
      </c>
      <c r="AA13" s="26"/>
      <c r="AB13" s="26">
        <f>720+420</f>
        <v>1140</v>
      </c>
      <c r="AC13" s="26">
        <v>380</v>
      </c>
      <c r="AD13" s="26"/>
      <c r="AE13" s="27"/>
      <c r="AF13" s="26">
        <f t="shared" si="6"/>
        <v>60620</v>
      </c>
      <c r="AG13" s="26">
        <f t="shared" si="0"/>
        <v>35760</v>
      </c>
      <c r="AH13" s="38">
        <f>40+40+48000</f>
        <v>48080</v>
      </c>
      <c r="AI13" s="26">
        <f t="shared" si="1"/>
        <v>48300</v>
      </c>
      <c r="AJ13" s="27"/>
      <c r="AK13" s="18">
        <v>46780</v>
      </c>
      <c r="AL13" s="18">
        <f t="shared" si="2"/>
        <v>1520</v>
      </c>
      <c r="AM13" s="26"/>
      <c r="AN13" s="37">
        <f>40+40</f>
        <v>80</v>
      </c>
      <c r="AO13" s="60">
        <v>48000</v>
      </c>
      <c r="AP13" s="27"/>
      <c r="AQ13" s="27">
        <f t="shared" si="3"/>
        <v>48080</v>
      </c>
      <c r="AR13" s="27">
        <f t="shared" si="4"/>
        <v>0</v>
      </c>
    </row>
    <row r="14" spans="1:61" x14ac:dyDescent="0.3">
      <c r="A14" s="7">
        <f>+A13+1</f>
        <v>12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7"/>
      <c r="AF14" s="21">
        <f t="shared" si="6"/>
        <v>300</v>
      </c>
      <c r="AG14" s="21">
        <f t="shared" si="0"/>
        <v>0</v>
      </c>
      <c r="AH14" s="22"/>
      <c r="AI14" s="21">
        <f t="shared" si="1"/>
        <v>300</v>
      </c>
      <c r="AJ14" s="27"/>
      <c r="AK14" s="18">
        <v>300</v>
      </c>
      <c r="AL14" s="18">
        <f t="shared" si="2"/>
        <v>0</v>
      </c>
      <c r="AM14" s="60"/>
      <c r="AN14" s="65"/>
      <c r="AO14" s="60"/>
      <c r="AP14" s="27"/>
      <c r="AQ14" s="27">
        <f t="shared" si="3"/>
        <v>0</v>
      </c>
      <c r="AR14" s="27">
        <f t="shared" si="4"/>
        <v>0</v>
      </c>
    </row>
    <row r="15" spans="1:61" x14ac:dyDescent="0.3">
      <c r="A15" s="7">
        <f t="shared" ref="A15:A17" si="7">+A14+1</f>
        <v>13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7"/>
      <c r="AF15" s="21">
        <f t="shared" si="6"/>
        <v>1120</v>
      </c>
      <c r="AG15" s="21">
        <f t="shared" si="0"/>
        <v>0</v>
      </c>
      <c r="AH15" s="22"/>
      <c r="AI15" s="21">
        <f t="shared" si="1"/>
        <v>1120</v>
      </c>
      <c r="AJ15" s="27"/>
      <c r="AK15" s="18">
        <v>1120</v>
      </c>
      <c r="AL15" s="18">
        <f t="shared" si="2"/>
        <v>0</v>
      </c>
      <c r="AM15" s="60"/>
      <c r="AN15" s="65"/>
      <c r="AO15" s="60"/>
      <c r="AP15" s="27"/>
      <c r="AQ15" s="27">
        <f t="shared" si="3"/>
        <v>0</v>
      </c>
      <c r="AR15" s="27">
        <f t="shared" si="4"/>
        <v>0</v>
      </c>
    </row>
    <row r="16" spans="1:61" x14ac:dyDescent="0.3">
      <c r="A16" s="7">
        <f t="shared" si="7"/>
        <v>14</v>
      </c>
      <c r="B16" s="20" t="s">
        <v>57</v>
      </c>
      <c r="C16" s="20" t="s">
        <v>95</v>
      </c>
      <c r="D16" s="55">
        <v>331000</v>
      </c>
      <c r="E16" s="21">
        <f>10500+10700</f>
        <v>21200</v>
      </c>
      <c r="F16" s="21">
        <f>9840+10700</f>
        <v>20540</v>
      </c>
      <c r="G16" s="21"/>
      <c r="H16" s="21"/>
      <c r="I16" s="21"/>
      <c r="J16" s="21"/>
      <c r="K16" s="21">
        <f>12200+11720</f>
        <v>23920</v>
      </c>
      <c r="L16" s="21">
        <f>6120+220</f>
        <v>6340</v>
      </c>
      <c r="M16" s="21">
        <f>9420+14200</f>
        <v>23620</v>
      </c>
      <c r="N16" s="21">
        <f>4360+3040</f>
        <v>7400</v>
      </c>
      <c r="O16" s="21">
        <v>5920</v>
      </c>
      <c r="P16" s="21">
        <f>4000+4260</f>
        <v>8260</v>
      </c>
      <c r="Q16" s="21">
        <f>2940+5700</f>
        <v>8640</v>
      </c>
      <c r="R16" s="21">
        <f>2360+280</f>
        <v>2640</v>
      </c>
      <c r="S16" s="21">
        <v>5500</v>
      </c>
      <c r="T16" s="21">
        <f>9320+9520</f>
        <v>18840</v>
      </c>
      <c r="U16" s="21"/>
      <c r="V16" s="21">
        <f>7060+10300</f>
        <v>17360</v>
      </c>
      <c r="W16" s="21">
        <f>7340+11000</f>
        <v>18340</v>
      </c>
      <c r="X16" s="21">
        <f>3880+2360</f>
        <v>6240</v>
      </c>
      <c r="Y16" s="21">
        <f>10400+25160</f>
        <v>35560</v>
      </c>
      <c r="Z16" s="21">
        <f>10520+8620</f>
        <v>19140</v>
      </c>
      <c r="AA16" s="21">
        <v>13840</v>
      </c>
      <c r="AB16" s="21">
        <f>10380+9460</f>
        <v>19840</v>
      </c>
      <c r="AC16" s="21">
        <v>6620</v>
      </c>
      <c r="AD16" s="21"/>
      <c r="AE16" s="27"/>
      <c r="AF16" s="21">
        <f t="shared" si="6"/>
        <v>331000</v>
      </c>
      <c r="AG16" s="21">
        <f t="shared" si="0"/>
        <v>289760</v>
      </c>
      <c r="AH16" s="22">
        <f>108000+26000+80+40</f>
        <v>134120</v>
      </c>
      <c r="AI16" s="21">
        <f t="shared" si="1"/>
        <v>486640</v>
      </c>
      <c r="AJ16" s="27"/>
      <c r="AK16" s="18">
        <v>460180</v>
      </c>
      <c r="AL16" s="18">
        <f t="shared" si="2"/>
        <v>26460</v>
      </c>
      <c r="AM16" s="60"/>
      <c r="AN16" s="65">
        <f>80+40</f>
        <v>120</v>
      </c>
      <c r="AO16" s="60">
        <f>108000+26000</f>
        <v>134000</v>
      </c>
      <c r="AP16" s="27"/>
      <c r="AQ16" s="27">
        <f t="shared" si="3"/>
        <v>134120</v>
      </c>
      <c r="AR16" s="27">
        <f t="shared" si="4"/>
        <v>0</v>
      </c>
      <c r="BG16" s="15"/>
    </row>
    <row r="17" spans="1:60" x14ac:dyDescent="0.3">
      <c r="A17" s="7">
        <f t="shared" si="7"/>
        <v>15</v>
      </c>
      <c r="B17" s="20" t="s">
        <v>55</v>
      </c>
      <c r="C17" s="20" t="s">
        <v>56</v>
      </c>
      <c r="D17" s="55">
        <v>83980</v>
      </c>
      <c r="E17" s="21">
        <v>1880</v>
      </c>
      <c r="F17" s="21">
        <v>1280</v>
      </c>
      <c r="G17" s="21"/>
      <c r="H17" s="21"/>
      <c r="I17" s="21"/>
      <c r="J17" s="21"/>
      <c r="K17" s="21">
        <v>1180</v>
      </c>
      <c r="L17" s="21"/>
      <c r="M17" s="21">
        <v>760</v>
      </c>
      <c r="N17" s="21">
        <v>720</v>
      </c>
      <c r="O17" s="21">
        <v>260</v>
      </c>
      <c r="P17" s="21">
        <f>100+200</f>
        <v>300</v>
      </c>
      <c r="Q17" s="21"/>
      <c r="R17" s="21">
        <f>200+80</f>
        <v>280</v>
      </c>
      <c r="S17" s="21">
        <v>1780</v>
      </c>
      <c r="T17" s="21">
        <f>1600+7840</f>
        <v>9440</v>
      </c>
      <c r="U17" s="21"/>
      <c r="V17" s="21">
        <v>5160</v>
      </c>
      <c r="W17" s="21">
        <v>1720</v>
      </c>
      <c r="X17" s="21">
        <v>760</v>
      </c>
      <c r="Y17" s="21">
        <f>60+3620</f>
        <v>3680</v>
      </c>
      <c r="Z17" s="21">
        <v>5560</v>
      </c>
      <c r="AA17" s="21"/>
      <c r="AB17" s="21">
        <v>1180</v>
      </c>
      <c r="AC17" s="21">
        <v>1320</v>
      </c>
      <c r="AD17" s="21"/>
      <c r="AE17" s="27"/>
      <c r="AF17" s="21">
        <f t="shared" si="6"/>
        <v>83980</v>
      </c>
      <c r="AG17" s="21">
        <f t="shared" si="0"/>
        <v>37260</v>
      </c>
      <c r="AH17" s="22">
        <v>40</v>
      </c>
      <c r="AI17" s="21">
        <f>+AF17+AG17-AH17</f>
        <v>121200</v>
      </c>
      <c r="AJ17" s="27"/>
      <c r="AK17" s="18">
        <v>118700</v>
      </c>
      <c r="AL17" s="18">
        <f t="shared" si="2"/>
        <v>2500</v>
      </c>
      <c r="AM17" s="60"/>
      <c r="AN17" s="65">
        <v>40</v>
      </c>
      <c r="AO17" s="60"/>
      <c r="AP17" s="27"/>
      <c r="AQ17" s="27">
        <f t="shared" si="3"/>
        <v>40</v>
      </c>
      <c r="AR17" s="27">
        <f t="shared" si="4"/>
        <v>0</v>
      </c>
      <c r="BF17" s="8"/>
    </row>
    <row r="18" spans="1:60" x14ac:dyDescent="0.3">
      <c r="A18" s="23">
        <f>+A17+1</f>
        <v>16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7"/>
      <c r="AF18" s="24">
        <f t="shared" si="6"/>
        <v>940</v>
      </c>
      <c r="AG18" s="24">
        <f t="shared" si="0"/>
        <v>0</v>
      </c>
      <c r="AH18" s="25"/>
      <c r="AI18" s="24">
        <f t="shared" si="1"/>
        <v>940</v>
      </c>
      <c r="AJ18" s="27"/>
      <c r="AK18" s="18">
        <v>940</v>
      </c>
      <c r="AL18" s="18">
        <f t="shared" si="2"/>
        <v>0</v>
      </c>
      <c r="AM18" s="60"/>
      <c r="AN18" s="65"/>
      <c r="AO18" s="60"/>
      <c r="AP18" s="27"/>
      <c r="AQ18" s="27">
        <f t="shared" si="3"/>
        <v>0</v>
      </c>
      <c r="AR18" s="27">
        <f t="shared" si="4"/>
        <v>0</v>
      </c>
    </row>
    <row r="19" spans="1:60" x14ac:dyDescent="0.3">
      <c r="A19" s="23">
        <f t="shared" ref="A19:A23" si="8">+A18+1</f>
        <v>17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>
        <v>320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7"/>
      <c r="AF19" s="24">
        <f t="shared" si="6"/>
        <v>240</v>
      </c>
      <c r="AG19" s="24">
        <f t="shared" si="0"/>
        <v>320</v>
      </c>
      <c r="AH19" s="25"/>
      <c r="AI19" s="24">
        <f t="shared" si="1"/>
        <v>560</v>
      </c>
      <c r="AJ19" s="27"/>
      <c r="AK19" s="18">
        <v>560</v>
      </c>
      <c r="AL19" s="18">
        <f t="shared" si="2"/>
        <v>0</v>
      </c>
      <c r="AM19" s="60"/>
      <c r="AN19" s="65"/>
      <c r="AO19" s="60"/>
      <c r="AP19" s="27"/>
      <c r="AQ19" s="27">
        <f t="shared" si="3"/>
        <v>0</v>
      </c>
      <c r="AR19" s="27">
        <f t="shared" si="4"/>
        <v>0</v>
      </c>
    </row>
    <row r="20" spans="1:60" x14ac:dyDescent="0.3">
      <c r="A20" s="23">
        <f t="shared" si="8"/>
        <v>18</v>
      </c>
      <c r="B20" s="47" t="s">
        <v>43</v>
      </c>
      <c r="C20" s="32" t="s">
        <v>44</v>
      </c>
      <c r="D20" s="56">
        <v>238560</v>
      </c>
      <c r="E20" s="24">
        <f>1720+3560</f>
        <v>5280</v>
      </c>
      <c r="F20" s="24">
        <f>4460+3840</f>
        <v>8300</v>
      </c>
      <c r="G20" s="24"/>
      <c r="H20" s="24"/>
      <c r="I20" s="24"/>
      <c r="J20" s="24"/>
      <c r="K20" s="24">
        <f>2980+5180</f>
        <v>8160</v>
      </c>
      <c r="L20" s="24">
        <f>3320+80</f>
        <v>3400</v>
      </c>
      <c r="M20" s="24">
        <f>1900+7140</f>
        <v>9040</v>
      </c>
      <c r="N20" s="24">
        <f>3640+160</f>
        <v>3800</v>
      </c>
      <c r="O20" s="24">
        <v>2920</v>
      </c>
      <c r="P20" s="24">
        <f>3040+2060</f>
        <v>5100</v>
      </c>
      <c r="Q20" s="24">
        <f>3360+5640</f>
        <v>9000</v>
      </c>
      <c r="R20" s="24">
        <f>1100+1280</f>
        <v>2380</v>
      </c>
      <c r="S20" s="24">
        <v>780</v>
      </c>
      <c r="T20" s="24">
        <f>2220+2680</f>
        <v>4900</v>
      </c>
      <c r="U20" s="24"/>
      <c r="V20" s="24">
        <f>3120+4200</f>
        <v>7320</v>
      </c>
      <c r="W20" s="24">
        <f>1620+2220</f>
        <v>3840</v>
      </c>
      <c r="X20" s="24">
        <f>1520+880</f>
        <v>2400</v>
      </c>
      <c r="Y20" s="24">
        <f>1280+2900</f>
        <v>4180</v>
      </c>
      <c r="Z20" s="24">
        <f>1140+2760</f>
        <v>3900</v>
      </c>
      <c r="AA20" s="24">
        <v>240</v>
      </c>
      <c r="AB20" s="24">
        <f>1220+1180-900</f>
        <v>1500</v>
      </c>
      <c r="AC20" s="24">
        <v>720</v>
      </c>
      <c r="AD20" s="24"/>
      <c r="AE20" s="27"/>
      <c r="AF20" s="24">
        <f t="shared" si="6"/>
        <v>238560</v>
      </c>
      <c r="AG20" s="24">
        <f t="shared" si="0"/>
        <v>87160</v>
      </c>
      <c r="AH20" s="25">
        <f>40+80+200+20+67800+67800+96000+15000</f>
        <v>246940</v>
      </c>
      <c r="AI20" s="24">
        <f t="shared" si="1"/>
        <v>78780</v>
      </c>
      <c r="AJ20" s="27"/>
      <c r="AK20" s="18">
        <v>76560</v>
      </c>
      <c r="AL20" s="18">
        <f t="shared" si="2"/>
        <v>2220</v>
      </c>
      <c r="AM20" s="60"/>
      <c r="AN20" s="65">
        <f>40+80+200+20</f>
        <v>340</v>
      </c>
      <c r="AO20" s="60">
        <f>67800+67800+96000+15000</f>
        <v>246600</v>
      </c>
      <c r="AP20" s="27"/>
      <c r="AQ20" s="27">
        <f t="shared" si="3"/>
        <v>246940</v>
      </c>
      <c r="AR20" s="27">
        <f t="shared" si="4"/>
        <v>0</v>
      </c>
    </row>
    <row r="21" spans="1:60" x14ac:dyDescent="0.3">
      <c r="A21" s="23">
        <f t="shared" si="8"/>
        <v>19</v>
      </c>
      <c r="B21" s="47" t="s">
        <v>45</v>
      </c>
      <c r="C21" s="32" t="s">
        <v>46</v>
      </c>
      <c r="D21" s="56">
        <v>9720</v>
      </c>
      <c r="E21" s="24">
        <f>40+240</f>
        <v>280</v>
      </c>
      <c r="F21" s="24">
        <f>20+360</f>
        <v>380</v>
      </c>
      <c r="G21" s="24"/>
      <c r="H21" s="24"/>
      <c r="I21" s="24"/>
      <c r="J21" s="24"/>
      <c r="K21" s="24">
        <f>80+220</f>
        <v>300</v>
      </c>
      <c r="L21" s="24">
        <v>140</v>
      </c>
      <c r="M21" s="24">
        <v>420</v>
      </c>
      <c r="N21" s="24">
        <f>160+20</f>
        <v>180</v>
      </c>
      <c r="O21" s="24">
        <v>100</v>
      </c>
      <c r="P21" s="24">
        <f>180+80</f>
        <v>260</v>
      </c>
      <c r="Q21" s="24">
        <v>580</v>
      </c>
      <c r="R21" s="24">
        <v>120</v>
      </c>
      <c r="S21" s="24"/>
      <c r="T21" s="24">
        <f>80+140</f>
        <v>220</v>
      </c>
      <c r="U21" s="24"/>
      <c r="V21" s="24">
        <v>280</v>
      </c>
      <c r="W21" s="24">
        <v>120</v>
      </c>
      <c r="X21" s="24">
        <f>60+20</f>
        <v>80</v>
      </c>
      <c r="Y21" s="24">
        <f>20+120</f>
        <v>140</v>
      </c>
      <c r="Z21" s="24">
        <f>20+160</f>
        <v>180</v>
      </c>
      <c r="AA21" s="24"/>
      <c r="AB21" s="24">
        <f>80+40</f>
        <v>120</v>
      </c>
      <c r="AC21" s="24">
        <v>20</v>
      </c>
      <c r="AD21" s="24"/>
      <c r="AE21" s="27"/>
      <c r="AF21" s="24">
        <f t="shared" si="6"/>
        <v>9720</v>
      </c>
      <c r="AG21" s="24">
        <f t="shared" si="0"/>
        <v>3920</v>
      </c>
      <c r="AH21" s="25">
        <f>20+10000</f>
        <v>10020</v>
      </c>
      <c r="AI21" s="24">
        <f t="shared" si="1"/>
        <v>3620</v>
      </c>
      <c r="AJ21" s="27"/>
      <c r="AK21" s="18">
        <v>3480</v>
      </c>
      <c r="AL21" s="18">
        <f t="shared" si="2"/>
        <v>140</v>
      </c>
      <c r="AM21" s="60"/>
      <c r="AN21" s="65">
        <f>20</f>
        <v>20</v>
      </c>
      <c r="AO21" s="60">
        <v>10000</v>
      </c>
      <c r="AP21" s="27"/>
      <c r="AQ21" s="27">
        <f t="shared" si="3"/>
        <v>10020</v>
      </c>
      <c r="AR21" s="27">
        <f t="shared" si="4"/>
        <v>0</v>
      </c>
    </row>
    <row r="22" spans="1:60" x14ac:dyDescent="0.3">
      <c r="A22" s="23">
        <f t="shared" si="8"/>
        <v>20</v>
      </c>
      <c r="B22" s="47" t="s">
        <v>47</v>
      </c>
      <c r="C22" s="32" t="s">
        <v>48</v>
      </c>
      <c r="D22" s="56">
        <v>67740</v>
      </c>
      <c r="E22" s="24">
        <f>240+500</f>
        <v>740</v>
      </c>
      <c r="F22" s="24">
        <f>580+780</f>
        <v>1360</v>
      </c>
      <c r="G22" s="24"/>
      <c r="H22" s="24"/>
      <c r="I22" s="24"/>
      <c r="J22" s="24"/>
      <c r="K22" s="24">
        <f>580+1240</f>
        <v>1820</v>
      </c>
      <c r="L22" s="24">
        <f>260+540</f>
        <v>800</v>
      </c>
      <c r="M22" s="24">
        <f>360+1520</f>
        <v>1880</v>
      </c>
      <c r="N22" s="24">
        <f>980+20</f>
        <v>1000</v>
      </c>
      <c r="O22" s="24">
        <v>880</v>
      </c>
      <c r="P22" s="24">
        <f>460+260</f>
        <v>720</v>
      </c>
      <c r="Q22" s="24">
        <f>440+800</f>
        <v>1240</v>
      </c>
      <c r="R22" s="24">
        <v>380</v>
      </c>
      <c r="S22" s="24">
        <v>760</v>
      </c>
      <c r="T22" s="24">
        <f>1640+1540</f>
        <v>3180</v>
      </c>
      <c r="U22" s="24"/>
      <c r="V22" s="24">
        <f>2300+2860</f>
        <v>5160</v>
      </c>
      <c r="W22" s="24">
        <f>1760+1740</f>
        <v>3500</v>
      </c>
      <c r="X22" s="24">
        <f>1420+1080</f>
        <v>2500</v>
      </c>
      <c r="Y22" s="24">
        <f>1100+2600</f>
        <v>3700</v>
      </c>
      <c r="Z22" s="24">
        <f>880+3120</f>
        <v>4000</v>
      </c>
      <c r="AA22" s="24">
        <v>220</v>
      </c>
      <c r="AB22" s="24">
        <f>1300+1140</f>
        <v>2440</v>
      </c>
      <c r="AC22" s="24">
        <v>1140</v>
      </c>
      <c r="AD22" s="24"/>
      <c r="AE22" s="27"/>
      <c r="AF22" s="24">
        <f t="shared" si="6"/>
        <v>67740</v>
      </c>
      <c r="AG22" s="24">
        <f t="shared" si="0"/>
        <v>37420</v>
      </c>
      <c r="AH22" s="25">
        <f>40+40+48000</f>
        <v>48080</v>
      </c>
      <c r="AI22" s="24">
        <f t="shared" si="1"/>
        <v>57080</v>
      </c>
      <c r="AJ22" s="27"/>
      <c r="AK22" s="18">
        <v>53500</v>
      </c>
      <c r="AL22" s="18">
        <f t="shared" si="2"/>
        <v>3580</v>
      </c>
      <c r="AM22" s="60"/>
      <c r="AN22" s="65">
        <v>80</v>
      </c>
      <c r="AO22" s="60">
        <v>48000</v>
      </c>
      <c r="AP22" s="27"/>
      <c r="AQ22" s="27">
        <f t="shared" si="3"/>
        <v>48080</v>
      </c>
      <c r="AR22" s="27">
        <f t="shared" si="4"/>
        <v>0</v>
      </c>
    </row>
    <row r="23" spans="1:60" x14ac:dyDescent="0.3">
      <c r="A23" s="78">
        <f t="shared" si="8"/>
        <v>21</v>
      </c>
      <c r="B23" s="93">
        <v>10009386</v>
      </c>
      <c r="C23" s="93" t="s">
        <v>63</v>
      </c>
      <c r="D23" s="94">
        <v>27480</v>
      </c>
      <c r="E23" s="9">
        <v>400</v>
      </c>
      <c r="F23" s="9">
        <f>260+380</f>
        <v>640</v>
      </c>
      <c r="G23" s="9"/>
      <c r="H23" s="9"/>
      <c r="I23" s="9"/>
      <c r="J23" s="9"/>
      <c r="K23" s="9">
        <f>220+400</f>
        <v>620</v>
      </c>
      <c r="L23" s="9">
        <v>300</v>
      </c>
      <c r="M23" s="9">
        <v>740</v>
      </c>
      <c r="N23" s="9">
        <f>200+140</f>
        <v>340</v>
      </c>
      <c r="O23" s="9">
        <v>200</v>
      </c>
      <c r="P23" s="9">
        <f>260+160</f>
        <v>420</v>
      </c>
      <c r="Q23" s="9">
        <v>720</v>
      </c>
      <c r="R23" s="9">
        <v>180</v>
      </c>
      <c r="S23" s="9">
        <v>180</v>
      </c>
      <c r="T23" s="9">
        <v>460</v>
      </c>
      <c r="U23" s="9"/>
      <c r="V23" s="9">
        <v>800</v>
      </c>
      <c r="W23" s="9">
        <v>560</v>
      </c>
      <c r="X23" s="9">
        <f>240+140</f>
        <v>380</v>
      </c>
      <c r="Y23" s="9">
        <v>680</v>
      </c>
      <c r="Z23" s="9">
        <v>740</v>
      </c>
      <c r="AA23" s="9"/>
      <c r="AB23" s="9">
        <v>400</v>
      </c>
      <c r="AC23" s="9">
        <v>120</v>
      </c>
      <c r="AD23" s="9"/>
      <c r="AE23" s="27"/>
      <c r="AF23" s="9">
        <f t="shared" si="6"/>
        <v>27480</v>
      </c>
      <c r="AG23" s="9">
        <f t="shared" si="0"/>
        <v>8880</v>
      </c>
      <c r="AH23" s="95"/>
      <c r="AI23" s="9">
        <f t="shared" si="1"/>
        <v>36360</v>
      </c>
      <c r="AJ23" s="27"/>
      <c r="AK23" s="18">
        <v>35840</v>
      </c>
      <c r="AL23" s="18">
        <f t="shared" si="2"/>
        <v>520</v>
      </c>
      <c r="AM23" s="60"/>
      <c r="AN23" s="65"/>
      <c r="AO23" s="60"/>
      <c r="AP23" s="27"/>
      <c r="AQ23" s="27">
        <f t="shared" si="3"/>
        <v>0</v>
      </c>
      <c r="AR23" s="27">
        <f t="shared" si="4"/>
        <v>0</v>
      </c>
    </row>
    <row r="24" spans="1:60" s="8" customFormat="1" x14ac:dyDescent="0.25">
      <c r="A24" s="11">
        <f>+A23+1</f>
        <v>22</v>
      </c>
      <c r="B24" s="12" t="s">
        <v>12</v>
      </c>
      <c r="C24" s="12" t="s">
        <v>13</v>
      </c>
      <c r="D24" s="57">
        <v>104880</v>
      </c>
      <c r="E24" s="10">
        <v>2660</v>
      </c>
      <c r="F24" s="10">
        <f>1040+3060</f>
        <v>4100</v>
      </c>
      <c r="G24" s="10"/>
      <c r="H24" s="10"/>
      <c r="I24" s="10"/>
      <c r="J24" s="10"/>
      <c r="K24" s="10">
        <v>4380</v>
      </c>
      <c r="L24" s="10">
        <f>600+1200</f>
        <v>1800</v>
      </c>
      <c r="M24" s="10">
        <f>1160+3720</f>
        <v>4880</v>
      </c>
      <c r="N24" s="10">
        <v>2100</v>
      </c>
      <c r="O24" s="10">
        <v>1580</v>
      </c>
      <c r="P24" s="10">
        <f>1600+1060</f>
        <v>2660</v>
      </c>
      <c r="Q24" s="10">
        <v>3620</v>
      </c>
      <c r="R24" s="10">
        <f>1260+1240</f>
        <v>2500</v>
      </c>
      <c r="S24" s="10">
        <v>1300</v>
      </c>
      <c r="T24" s="10">
        <f>200+2620</f>
        <v>2820</v>
      </c>
      <c r="U24" s="10"/>
      <c r="V24" s="10">
        <f>560+640</f>
        <v>1200</v>
      </c>
      <c r="W24" s="10">
        <f>4980+1980</f>
        <v>6960</v>
      </c>
      <c r="X24" s="10">
        <f>1240+620</f>
        <v>1860</v>
      </c>
      <c r="Y24" s="10">
        <f>1060+2180</f>
        <v>3240</v>
      </c>
      <c r="Z24" s="10">
        <f>500+3160</f>
        <v>3660</v>
      </c>
      <c r="AA24" s="10"/>
      <c r="AB24" s="10">
        <f>340+1620</f>
        <v>1960</v>
      </c>
      <c r="AC24" s="10">
        <v>700</v>
      </c>
      <c r="AD24" s="10"/>
      <c r="AE24" s="26"/>
      <c r="AF24" s="10">
        <f t="shared" si="6"/>
        <v>104880</v>
      </c>
      <c r="AG24" s="10">
        <f t="shared" si="0"/>
        <v>53980</v>
      </c>
      <c r="AH24" s="14">
        <f>25000+26000</f>
        <v>51000</v>
      </c>
      <c r="AI24" s="10">
        <f t="shared" si="1"/>
        <v>107860</v>
      </c>
      <c r="AJ24" s="27"/>
      <c r="AK24" s="18">
        <v>105200</v>
      </c>
      <c r="AL24" s="18">
        <f t="shared" si="2"/>
        <v>2660</v>
      </c>
      <c r="AM24" s="60"/>
      <c r="AN24" s="37"/>
      <c r="AO24" s="60">
        <f>25000+26000</f>
        <v>51000</v>
      </c>
      <c r="AP24" s="27"/>
      <c r="AQ24" s="27">
        <f t="shared" si="3"/>
        <v>51000</v>
      </c>
      <c r="AR24" s="27">
        <f t="shared" si="4"/>
        <v>0</v>
      </c>
      <c r="AZ24" s="3"/>
      <c r="BF24" s="3"/>
      <c r="BG24" s="3"/>
      <c r="BH24" s="3"/>
    </row>
    <row r="25" spans="1:60" x14ac:dyDescent="0.3">
      <c r="A25" s="11">
        <f t="shared" ref="A25:A31" si="9">+A24+1</f>
        <v>23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26"/>
      <c r="AF25" s="10">
        <f t="shared" si="6"/>
        <v>140</v>
      </c>
      <c r="AG25" s="10">
        <f t="shared" si="0"/>
        <v>0</v>
      </c>
      <c r="AH25" s="14"/>
      <c r="AI25" s="10">
        <f>+AF25+AG25-AH25</f>
        <v>140</v>
      </c>
      <c r="AJ25" s="27"/>
      <c r="AK25" s="18">
        <v>140</v>
      </c>
      <c r="AL25" s="18">
        <f t="shared" si="2"/>
        <v>0</v>
      </c>
      <c r="AM25" s="60"/>
      <c r="AN25" s="65"/>
      <c r="AO25" s="60"/>
      <c r="AP25" s="27"/>
      <c r="AQ25" s="27">
        <f t="shared" si="3"/>
        <v>0</v>
      </c>
      <c r="AR25" s="27">
        <f t="shared" si="4"/>
        <v>0</v>
      </c>
      <c r="AZ25" s="8"/>
    </row>
    <row r="26" spans="1:60" x14ac:dyDescent="0.3">
      <c r="A26" s="11">
        <f t="shared" si="9"/>
        <v>24</v>
      </c>
      <c r="B26" s="12">
        <v>10009777</v>
      </c>
      <c r="C26" s="12" t="s">
        <v>15</v>
      </c>
      <c r="D26" s="57"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220</v>
      </c>
      <c r="W26" s="10"/>
      <c r="X26" s="10"/>
      <c r="Y26" s="10"/>
      <c r="Z26" s="10"/>
      <c r="AA26" s="10"/>
      <c r="AB26" s="10"/>
      <c r="AC26" s="10"/>
      <c r="AD26" s="10"/>
      <c r="AE26" s="26"/>
      <c r="AF26" s="10">
        <f t="shared" si="6"/>
        <v>0</v>
      </c>
      <c r="AG26" s="10">
        <f t="shared" si="0"/>
        <v>220</v>
      </c>
      <c r="AH26" s="14"/>
      <c r="AI26" s="10">
        <f>+AF26+AG26-AH26</f>
        <v>220</v>
      </c>
      <c r="AJ26" s="27"/>
      <c r="AK26" s="18">
        <v>220</v>
      </c>
      <c r="AL26" s="18">
        <f t="shared" ref="AL26" si="10">+AI26-AK26</f>
        <v>0</v>
      </c>
      <c r="AM26" s="60"/>
      <c r="AN26" s="65"/>
      <c r="AO26" s="60"/>
      <c r="AP26" s="27"/>
      <c r="AQ26" s="27">
        <f t="shared" si="3"/>
        <v>0</v>
      </c>
      <c r="AR26" s="27">
        <f t="shared" si="4"/>
        <v>0</v>
      </c>
      <c r="AZ26" s="8"/>
    </row>
    <row r="27" spans="1:60" x14ac:dyDescent="0.3">
      <c r="A27" s="11">
        <f>+A25+1</f>
        <v>24</v>
      </c>
      <c r="B27" s="12" t="s">
        <v>16</v>
      </c>
      <c r="C27" s="12" t="s">
        <v>17</v>
      </c>
      <c r="D27" s="57">
        <v>6240</v>
      </c>
      <c r="E27" s="10">
        <v>260</v>
      </c>
      <c r="F27" s="10">
        <f>140+360</f>
        <v>500</v>
      </c>
      <c r="G27" s="10"/>
      <c r="H27" s="10"/>
      <c r="I27" s="10"/>
      <c r="J27" s="10"/>
      <c r="K27" s="10">
        <f>80+320</f>
        <v>400</v>
      </c>
      <c r="L27" s="10">
        <v>220</v>
      </c>
      <c r="M27" s="10">
        <f>40+480</f>
        <v>520</v>
      </c>
      <c r="N27" s="10">
        <f>60+120</f>
        <v>180</v>
      </c>
      <c r="O27" s="10">
        <v>140</v>
      </c>
      <c r="P27" s="10">
        <f>240+140</f>
        <v>380</v>
      </c>
      <c r="Q27" s="10">
        <v>560</v>
      </c>
      <c r="R27" s="10">
        <f>80+100</f>
        <v>180</v>
      </c>
      <c r="S27" s="10"/>
      <c r="T27" s="10">
        <f>40+220</f>
        <v>260</v>
      </c>
      <c r="U27" s="10"/>
      <c r="V27" s="10">
        <f>40+160</f>
        <v>200</v>
      </c>
      <c r="W27" s="10">
        <f>100+140</f>
        <v>240</v>
      </c>
      <c r="X27" s="10">
        <f>60+120</f>
        <v>180</v>
      </c>
      <c r="Y27" s="10">
        <f>20+160</f>
        <v>180</v>
      </c>
      <c r="Z27" s="10">
        <f>120+100</f>
        <v>220</v>
      </c>
      <c r="AA27" s="10"/>
      <c r="AB27" s="10">
        <v>180</v>
      </c>
      <c r="AC27" s="10">
        <v>40</v>
      </c>
      <c r="AD27" s="10"/>
      <c r="AE27" s="26"/>
      <c r="AF27" s="10">
        <f t="shared" si="6"/>
        <v>6240</v>
      </c>
      <c r="AG27" s="10">
        <f t="shared" si="0"/>
        <v>4840</v>
      </c>
      <c r="AH27" s="14"/>
      <c r="AI27" s="10">
        <f>+AF27+AG27-AH27</f>
        <v>11080</v>
      </c>
      <c r="AJ27" s="27"/>
      <c r="AK27" s="18">
        <v>10860</v>
      </c>
      <c r="AL27" s="18">
        <f t="shared" si="2"/>
        <v>220</v>
      </c>
      <c r="AM27" s="60"/>
      <c r="AN27" s="65"/>
      <c r="AO27" s="60"/>
      <c r="AP27" s="27"/>
      <c r="AQ27" s="27">
        <f t="shared" si="3"/>
        <v>0</v>
      </c>
      <c r="AR27" s="27">
        <f t="shared" si="4"/>
        <v>0</v>
      </c>
    </row>
    <row r="28" spans="1:60" x14ac:dyDescent="0.3">
      <c r="A28" s="11">
        <f t="shared" si="9"/>
        <v>25</v>
      </c>
      <c r="B28" s="12" t="s">
        <v>18</v>
      </c>
      <c r="C28" s="12" t="s">
        <v>19</v>
      </c>
      <c r="D28" s="57">
        <v>200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6"/>
      <c r="AF28" s="10">
        <f t="shared" si="6"/>
        <v>200</v>
      </c>
      <c r="AG28" s="10">
        <f t="shared" si="0"/>
        <v>540</v>
      </c>
      <c r="AH28" s="14"/>
      <c r="AI28" s="10">
        <f t="shared" si="1"/>
        <v>740</v>
      </c>
      <c r="AJ28" s="27"/>
      <c r="AK28" s="18">
        <v>740</v>
      </c>
      <c r="AL28" s="18">
        <f t="shared" si="2"/>
        <v>0</v>
      </c>
      <c r="AM28" s="60"/>
      <c r="AN28" s="65"/>
      <c r="AO28" s="60"/>
      <c r="AP28" s="27"/>
      <c r="AQ28" s="27">
        <f t="shared" si="3"/>
        <v>0</v>
      </c>
      <c r="AR28" s="27">
        <f t="shared" si="4"/>
        <v>0</v>
      </c>
    </row>
    <row r="29" spans="1:60" x14ac:dyDescent="0.3">
      <c r="A29" s="11">
        <f t="shared" si="9"/>
        <v>26</v>
      </c>
      <c r="B29" s="12" t="s">
        <v>49</v>
      </c>
      <c r="C29" s="12" t="s">
        <v>50</v>
      </c>
      <c r="D29" s="57">
        <v>288880</v>
      </c>
      <c r="E29" s="10">
        <f>5880+5540</f>
        <v>11420</v>
      </c>
      <c r="F29" s="10">
        <f>7660+10080</f>
        <v>17740</v>
      </c>
      <c r="G29" s="10"/>
      <c r="H29" s="10"/>
      <c r="I29" s="10"/>
      <c r="J29" s="10"/>
      <c r="K29" s="10">
        <f>8420+9320</f>
        <v>17740</v>
      </c>
      <c r="L29" s="10">
        <v>7500</v>
      </c>
      <c r="M29" s="10">
        <f>10580+9480</f>
        <v>20060</v>
      </c>
      <c r="N29" s="10">
        <f>6880+1820</f>
        <v>8700</v>
      </c>
      <c r="O29" s="10">
        <v>6920</v>
      </c>
      <c r="P29" s="10">
        <f>6540+4320</f>
        <v>10860</v>
      </c>
      <c r="Q29" s="10">
        <f>9480+9680</f>
        <v>19160</v>
      </c>
      <c r="R29" s="10">
        <f>5500+480</f>
        <v>5980</v>
      </c>
      <c r="S29" s="10">
        <v>3000</v>
      </c>
      <c r="T29" s="10">
        <f>7780+3180</f>
        <v>10960</v>
      </c>
      <c r="U29" s="10"/>
      <c r="V29" s="10">
        <f>6860+11160</f>
        <v>18020</v>
      </c>
      <c r="W29" s="10">
        <f>5720+4740</f>
        <v>10460</v>
      </c>
      <c r="X29" s="10">
        <f>4340+2240</f>
        <v>6580</v>
      </c>
      <c r="Y29" s="10">
        <f>4340+6720</f>
        <v>11060</v>
      </c>
      <c r="Z29" s="10">
        <f>6820+4880</f>
        <v>11700</v>
      </c>
      <c r="AA29" s="10"/>
      <c r="AB29" s="10">
        <f>4380+2300</f>
        <v>6680</v>
      </c>
      <c r="AC29" s="10">
        <v>2260</v>
      </c>
      <c r="AD29" s="10"/>
      <c r="AE29" s="26"/>
      <c r="AF29" s="10">
        <f t="shared" si="6"/>
        <v>288880</v>
      </c>
      <c r="AG29" s="10">
        <f t="shared" si="0"/>
        <v>206800</v>
      </c>
      <c r="AH29" s="14">
        <f>26000+177000+25000</f>
        <v>228000</v>
      </c>
      <c r="AI29" s="10">
        <f t="shared" si="1"/>
        <v>267680</v>
      </c>
      <c r="AJ29" s="27"/>
      <c r="AK29" s="18">
        <v>258740</v>
      </c>
      <c r="AL29" s="18">
        <f t="shared" si="2"/>
        <v>8940</v>
      </c>
      <c r="AM29" s="60"/>
      <c r="AN29" s="65"/>
      <c r="AO29" s="60">
        <f>26000+177000+25000</f>
        <v>228000</v>
      </c>
      <c r="AP29" s="27"/>
      <c r="AQ29" s="27">
        <f t="shared" si="3"/>
        <v>228000</v>
      </c>
      <c r="AR29" s="27">
        <f t="shared" si="4"/>
        <v>0</v>
      </c>
    </row>
    <row r="30" spans="1:60" ht="15.6" customHeight="1" x14ac:dyDescent="0.3">
      <c r="A30" s="11">
        <f t="shared" si="9"/>
        <v>27</v>
      </c>
      <c r="B30" s="12">
        <v>10009658</v>
      </c>
      <c r="C30" s="12" t="s">
        <v>68</v>
      </c>
      <c r="D30" s="57">
        <v>1960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6"/>
      <c r="AF30" s="10">
        <f t="shared" si="6"/>
        <v>1960</v>
      </c>
      <c r="AG30" s="10">
        <f t="shared" si="0"/>
        <v>0</v>
      </c>
      <c r="AH30" s="14"/>
      <c r="AI30" s="10">
        <f>+AF30+AG30-AH30</f>
        <v>1960</v>
      </c>
      <c r="AJ30" s="27"/>
      <c r="AK30" s="18">
        <v>1960</v>
      </c>
      <c r="AL30" s="18">
        <f t="shared" si="2"/>
        <v>0</v>
      </c>
      <c r="AM30" s="60"/>
      <c r="AN30" s="65"/>
      <c r="AO30" s="60"/>
      <c r="AP30" s="27"/>
      <c r="AQ30" s="27">
        <f t="shared" si="3"/>
        <v>0</v>
      </c>
      <c r="AR30" s="27">
        <f t="shared" si="4"/>
        <v>0</v>
      </c>
    </row>
    <row r="31" spans="1:60" x14ac:dyDescent="0.3">
      <c r="A31" s="11">
        <f t="shared" si="9"/>
        <v>28</v>
      </c>
      <c r="B31" s="12">
        <v>10009639</v>
      </c>
      <c r="C31" s="12" t="s">
        <v>69</v>
      </c>
      <c r="D31" s="57">
        <v>47080</v>
      </c>
      <c r="E31" s="10">
        <v>980</v>
      </c>
      <c r="F31" s="10">
        <f>520+1240</f>
        <v>1760</v>
      </c>
      <c r="G31" s="10"/>
      <c r="H31" s="10"/>
      <c r="I31" s="10"/>
      <c r="J31" s="10"/>
      <c r="K31" s="10">
        <f>640+1460</f>
        <v>2100</v>
      </c>
      <c r="L31" s="10">
        <v>800</v>
      </c>
      <c r="M31" s="10">
        <f>800+1340</f>
        <v>2140</v>
      </c>
      <c r="N31" s="10">
        <f>900+420</f>
        <v>1320</v>
      </c>
      <c r="O31" s="10">
        <v>860</v>
      </c>
      <c r="P31" s="10">
        <f>460+340</f>
        <v>800</v>
      </c>
      <c r="Q31" s="10">
        <f>640+960</f>
        <v>1600</v>
      </c>
      <c r="R31" s="10">
        <f>460+460</f>
        <v>920</v>
      </c>
      <c r="S31" s="10">
        <v>980</v>
      </c>
      <c r="T31" s="10">
        <f>2740+1860</f>
        <v>4600</v>
      </c>
      <c r="U31" s="10"/>
      <c r="V31" s="10">
        <f>2140+4460</f>
        <v>6600</v>
      </c>
      <c r="W31" s="10">
        <f>2700+2240</f>
        <v>4940</v>
      </c>
      <c r="X31" s="10">
        <f>1380+1140</f>
        <v>2520</v>
      </c>
      <c r="Y31" s="10">
        <f>1760+3560</f>
        <v>5320</v>
      </c>
      <c r="Z31" s="10">
        <f>3080+2960</f>
        <v>6040</v>
      </c>
      <c r="AA31" s="10"/>
      <c r="AB31" s="10">
        <f>2020+1080</f>
        <v>3100</v>
      </c>
      <c r="AC31" s="10">
        <v>1200</v>
      </c>
      <c r="AD31" s="10"/>
      <c r="AE31" s="26"/>
      <c r="AF31" s="10">
        <f t="shared" si="6"/>
        <v>47080</v>
      </c>
      <c r="AG31" s="10">
        <f t="shared" si="0"/>
        <v>48580</v>
      </c>
      <c r="AH31" s="14">
        <f>24000+27000</f>
        <v>51000</v>
      </c>
      <c r="AI31" s="10">
        <f>+AF31+AG31-AH31</f>
        <v>44660</v>
      </c>
      <c r="AJ31" s="27"/>
      <c r="AK31" s="18">
        <v>40360</v>
      </c>
      <c r="AL31" s="18">
        <f t="shared" si="2"/>
        <v>4300</v>
      </c>
      <c r="AM31" s="60"/>
      <c r="AN31" s="65"/>
      <c r="AO31" s="60">
        <f>24000+27000</f>
        <v>51000</v>
      </c>
      <c r="AP31" s="27"/>
      <c r="AQ31" s="27">
        <f t="shared" si="3"/>
        <v>51000</v>
      </c>
      <c r="AR31" s="27">
        <f t="shared" si="4"/>
        <v>0</v>
      </c>
    </row>
    <row r="32" spans="1:60" x14ac:dyDescent="0.3">
      <c r="A32" s="28">
        <f>+A31+1</f>
        <v>29</v>
      </c>
      <c r="B32" s="31" t="s">
        <v>53</v>
      </c>
      <c r="C32" s="31" t="s">
        <v>54</v>
      </c>
      <c r="D32" s="58">
        <v>287540</v>
      </c>
      <c r="E32" s="29">
        <v>2980</v>
      </c>
      <c r="F32" s="29">
        <v>4360</v>
      </c>
      <c r="G32" s="29">
        <f>9400+9920</f>
        <v>19320</v>
      </c>
      <c r="H32" s="29">
        <v>6580</v>
      </c>
      <c r="I32" s="29"/>
      <c r="J32" s="29"/>
      <c r="K32" s="29">
        <v>8240</v>
      </c>
      <c r="L32" s="29">
        <f>8740+8460</f>
        <v>17200</v>
      </c>
      <c r="M32" s="29">
        <v>9740</v>
      </c>
      <c r="N32" s="29">
        <f>7920+11360</f>
        <v>19280</v>
      </c>
      <c r="O32" s="29">
        <v>4240</v>
      </c>
      <c r="P32" s="29">
        <f>3540+13020</f>
        <v>16560</v>
      </c>
      <c r="Q32" s="29">
        <v>5120</v>
      </c>
      <c r="R32" s="29">
        <f>11820+13600</f>
        <v>25420</v>
      </c>
      <c r="S32" s="29">
        <v>2360</v>
      </c>
      <c r="T32" s="29">
        <f>2540+2840</f>
        <v>5380</v>
      </c>
      <c r="U32" s="29">
        <v>3660</v>
      </c>
      <c r="V32" s="29">
        <v>7660</v>
      </c>
      <c r="W32" s="29">
        <f>12080+14800</f>
        <v>26880</v>
      </c>
      <c r="X32" s="29">
        <v>10280</v>
      </c>
      <c r="Y32" s="29">
        <v>5960</v>
      </c>
      <c r="Z32" s="29">
        <v>3540</v>
      </c>
      <c r="AA32" s="29"/>
      <c r="AB32" s="29">
        <v>2320</v>
      </c>
      <c r="AC32" s="29"/>
      <c r="AD32" s="29"/>
      <c r="AE32" s="26"/>
      <c r="AF32" s="29">
        <f t="shared" si="6"/>
        <v>287540</v>
      </c>
      <c r="AG32" s="29">
        <f t="shared" si="0"/>
        <v>207080</v>
      </c>
      <c r="AH32" s="30">
        <f>175000+125000+180</f>
        <v>300180</v>
      </c>
      <c r="AI32" s="29">
        <f>+AF32+AG32-AH32</f>
        <v>194440</v>
      </c>
      <c r="AJ32" s="27"/>
      <c r="AK32" s="18">
        <v>192120</v>
      </c>
      <c r="AL32" s="18">
        <f t="shared" si="2"/>
        <v>2320</v>
      </c>
      <c r="AM32" s="60"/>
      <c r="AN32" s="65">
        <v>180</v>
      </c>
      <c r="AO32" s="60">
        <v>300000</v>
      </c>
      <c r="AP32" s="27"/>
      <c r="AQ32" s="27">
        <f t="shared" si="3"/>
        <v>300180</v>
      </c>
      <c r="AR32" s="27">
        <f t="shared" si="4"/>
        <v>0</v>
      </c>
    </row>
    <row r="33" spans="1:60" x14ac:dyDescent="0.3">
      <c r="A33" s="28">
        <f t="shared" si="5"/>
        <v>30</v>
      </c>
      <c r="B33" s="31" t="s">
        <v>51</v>
      </c>
      <c r="C33" s="31" t="s">
        <v>52</v>
      </c>
      <c r="D33" s="58">
        <v>36540</v>
      </c>
      <c r="E33" s="29">
        <v>20</v>
      </c>
      <c r="F33" s="29">
        <v>240</v>
      </c>
      <c r="G33" s="29">
        <f>400+320</f>
        <v>720</v>
      </c>
      <c r="H33" s="29">
        <v>980</v>
      </c>
      <c r="I33" s="29"/>
      <c r="J33" s="29"/>
      <c r="K33" s="29"/>
      <c r="L33" s="29">
        <f>860+620</f>
        <v>1480</v>
      </c>
      <c r="M33" s="29">
        <v>1700</v>
      </c>
      <c r="N33" s="29">
        <f>300+700</f>
        <v>1000</v>
      </c>
      <c r="O33" s="29">
        <v>0</v>
      </c>
      <c r="P33" s="29">
        <f>660+420</f>
        <v>1080</v>
      </c>
      <c r="Q33" s="29">
        <v>120</v>
      </c>
      <c r="R33" s="29">
        <v>540</v>
      </c>
      <c r="S33" s="29"/>
      <c r="T33" s="29">
        <v>80</v>
      </c>
      <c r="U33" s="29">
        <v>80</v>
      </c>
      <c r="V33" s="29"/>
      <c r="W33" s="29">
        <f>60+220</f>
        <v>280</v>
      </c>
      <c r="X33" s="29">
        <v>180</v>
      </c>
      <c r="Y33" s="29">
        <v>100</v>
      </c>
      <c r="Z33" s="29">
        <v>420</v>
      </c>
      <c r="AA33" s="29"/>
      <c r="AB33" s="29">
        <v>60</v>
      </c>
      <c r="AC33" s="29"/>
      <c r="AD33" s="29"/>
      <c r="AE33" s="26"/>
      <c r="AF33" s="29">
        <f t="shared" si="6"/>
        <v>36540</v>
      </c>
      <c r="AG33" s="29">
        <f t="shared" si="0"/>
        <v>9080</v>
      </c>
      <c r="AH33" s="30">
        <f>14000+10000</f>
        <v>24000</v>
      </c>
      <c r="AI33" s="29">
        <f t="shared" si="1"/>
        <v>21620</v>
      </c>
      <c r="AJ33" s="27"/>
      <c r="AK33" s="18">
        <v>21560</v>
      </c>
      <c r="AL33" s="18">
        <f t="shared" si="2"/>
        <v>60</v>
      </c>
      <c r="AM33" s="60"/>
      <c r="AN33" s="65"/>
      <c r="AO33" s="60">
        <v>24000</v>
      </c>
      <c r="AP33" s="27"/>
      <c r="AQ33" s="27">
        <f t="shared" si="3"/>
        <v>24000</v>
      </c>
      <c r="AR33" s="27">
        <f t="shared" si="4"/>
        <v>0</v>
      </c>
      <c r="BG33" s="5"/>
    </row>
    <row r="34" spans="1:60" x14ac:dyDescent="0.3">
      <c r="A34" s="28">
        <f t="shared" si="5"/>
        <v>31</v>
      </c>
      <c r="B34" s="31" t="s">
        <v>38</v>
      </c>
      <c r="C34" s="31" t="s">
        <v>39</v>
      </c>
      <c r="D34" s="58">
        <v>260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6"/>
      <c r="AF34" s="29">
        <f t="shared" si="6"/>
        <v>260</v>
      </c>
      <c r="AG34" s="29">
        <f t="shared" si="0"/>
        <v>0</v>
      </c>
      <c r="AH34" s="30"/>
      <c r="AI34" s="29">
        <f t="shared" si="1"/>
        <v>260</v>
      </c>
      <c r="AJ34" s="27"/>
      <c r="AK34" s="18">
        <v>260</v>
      </c>
      <c r="AL34" s="18">
        <f t="shared" si="2"/>
        <v>0</v>
      </c>
      <c r="AM34" s="60"/>
      <c r="AN34" s="65"/>
      <c r="AO34" s="60"/>
      <c r="AP34" s="27"/>
      <c r="AQ34" s="27">
        <f t="shared" si="3"/>
        <v>0</v>
      </c>
      <c r="AR34" s="27">
        <f t="shared" si="4"/>
        <v>0</v>
      </c>
      <c r="BG34" s="5"/>
    </row>
    <row r="35" spans="1:60" x14ac:dyDescent="0.3">
      <c r="A35" s="28">
        <f t="shared" si="5"/>
        <v>32</v>
      </c>
      <c r="B35" s="31">
        <v>10007050</v>
      </c>
      <c r="C35" s="31" t="s">
        <v>87</v>
      </c>
      <c r="D35" s="58">
        <v>26460</v>
      </c>
      <c r="E35" s="29">
        <v>660</v>
      </c>
      <c r="F35" s="36">
        <v>100</v>
      </c>
      <c r="G35" s="36">
        <f>1520+200</f>
        <v>1720</v>
      </c>
      <c r="H35" s="29">
        <v>1740</v>
      </c>
      <c r="I35" s="29"/>
      <c r="J35" s="36"/>
      <c r="K35" s="36"/>
      <c r="L35" s="36">
        <f>680+1100</f>
        <v>1780</v>
      </c>
      <c r="M35" s="36">
        <v>320</v>
      </c>
      <c r="N35" s="36">
        <f>180+1980</f>
        <v>2160</v>
      </c>
      <c r="O35" s="36">
        <v>0</v>
      </c>
      <c r="P35" s="36">
        <f>560+1140</f>
        <v>1700</v>
      </c>
      <c r="Q35" s="36">
        <v>940</v>
      </c>
      <c r="R35" s="36">
        <f>2160+2220</f>
        <v>4380</v>
      </c>
      <c r="S35" s="36"/>
      <c r="T35" s="36">
        <v>540</v>
      </c>
      <c r="U35" s="36">
        <v>1420</v>
      </c>
      <c r="V35" s="36">
        <v>80</v>
      </c>
      <c r="W35" s="36">
        <f>680+1340</f>
        <v>2020</v>
      </c>
      <c r="X35" s="36">
        <v>860</v>
      </c>
      <c r="Y35" s="36">
        <v>1100</v>
      </c>
      <c r="Z35" s="36">
        <v>1120</v>
      </c>
      <c r="AA35" s="36"/>
      <c r="AB35" s="36">
        <v>520</v>
      </c>
      <c r="AC35" s="36"/>
      <c r="AD35" s="36"/>
      <c r="AE35" s="27"/>
      <c r="AF35" s="29">
        <f t="shared" si="6"/>
        <v>26460</v>
      </c>
      <c r="AG35" s="29">
        <f t="shared" si="0"/>
        <v>23160</v>
      </c>
      <c r="AH35" s="30"/>
      <c r="AI35" s="29">
        <f t="shared" si="1"/>
        <v>49620</v>
      </c>
      <c r="AJ35" s="27"/>
      <c r="AK35" s="18">
        <v>49100</v>
      </c>
      <c r="AL35" s="18">
        <f t="shared" si="2"/>
        <v>520</v>
      </c>
      <c r="AM35" s="60"/>
      <c r="AN35" s="65"/>
      <c r="AO35" s="60"/>
      <c r="AP35" s="27"/>
      <c r="AQ35" s="27">
        <f t="shared" si="3"/>
        <v>0</v>
      </c>
      <c r="AR35" s="27">
        <f t="shared" si="4"/>
        <v>0</v>
      </c>
      <c r="BG35" s="5"/>
    </row>
    <row r="36" spans="1:60" ht="18.600000000000001" customHeight="1" x14ac:dyDescent="0.3">
      <c r="A36" s="43">
        <f t="shared" si="5"/>
        <v>33</v>
      </c>
      <c r="B36" s="44"/>
      <c r="C36" s="44" t="s">
        <v>81</v>
      </c>
      <c r="D36" s="59">
        <v>22290</v>
      </c>
      <c r="E36" s="42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>
        <v>390</v>
      </c>
      <c r="AB36" s="90"/>
      <c r="AC36" s="90">
        <v>9060</v>
      </c>
      <c r="AD36" s="90"/>
      <c r="AE36" s="91"/>
      <c r="AF36" s="42">
        <f t="shared" si="6"/>
        <v>22290</v>
      </c>
      <c r="AG36" s="42">
        <f t="shared" si="0"/>
        <v>9450</v>
      </c>
      <c r="AH36" s="92">
        <f>10080+12210</f>
        <v>22290</v>
      </c>
      <c r="AI36" s="42">
        <f t="shared" si="1"/>
        <v>9450</v>
      </c>
      <c r="AJ36" s="27"/>
      <c r="AK36" s="18">
        <v>0</v>
      </c>
      <c r="AL36" s="18">
        <f t="shared" si="2"/>
        <v>9450</v>
      </c>
      <c r="AM36" s="18">
        <v>22290</v>
      </c>
      <c r="AN36" s="65"/>
      <c r="AO36" s="60"/>
      <c r="AP36" s="27"/>
      <c r="AQ36" s="27">
        <f t="shared" si="3"/>
        <v>22290</v>
      </c>
      <c r="AR36" s="27">
        <f t="shared" si="4"/>
        <v>0</v>
      </c>
    </row>
    <row r="37" spans="1:60" ht="18.600000000000001" customHeight="1" x14ac:dyDescent="0.3">
      <c r="A37" s="43">
        <f t="shared" si="5"/>
        <v>34</v>
      </c>
      <c r="B37" s="44"/>
      <c r="C37" s="44" t="s">
        <v>107</v>
      </c>
      <c r="D37" s="59">
        <v>0</v>
      </c>
      <c r="E37" s="42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>
        <v>3460</v>
      </c>
      <c r="AD37" s="90"/>
      <c r="AE37" s="91"/>
      <c r="AF37" s="42">
        <f t="shared" si="6"/>
        <v>0</v>
      </c>
      <c r="AG37" s="42">
        <f t="shared" si="0"/>
        <v>3460</v>
      </c>
      <c r="AH37" s="92"/>
      <c r="AI37" s="42">
        <f t="shared" si="1"/>
        <v>3460</v>
      </c>
      <c r="AJ37" s="27"/>
      <c r="AK37" s="18">
        <v>0</v>
      </c>
      <c r="AL37" s="18">
        <f t="shared" si="2"/>
        <v>3460</v>
      </c>
      <c r="AM37" s="18"/>
      <c r="AN37" s="65"/>
      <c r="AO37" s="60"/>
      <c r="AP37" s="27"/>
      <c r="AQ37" s="27">
        <f t="shared" si="3"/>
        <v>0</v>
      </c>
      <c r="AR37" s="27">
        <f t="shared" si="4"/>
        <v>0</v>
      </c>
    </row>
    <row r="38" spans="1:60" x14ac:dyDescent="0.3">
      <c r="A38" s="43">
        <f t="shared" si="5"/>
        <v>35</v>
      </c>
      <c r="B38" s="44"/>
      <c r="C38" s="44" t="s">
        <v>106</v>
      </c>
      <c r="D38" s="59">
        <v>2600</v>
      </c>
      <c r="E38" s="42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>
        <v>2380</v>
      </c>
      <c r="AD38" s="90"/>
      <c r="AE38" s="91"/>
      <c r="AF38" s="42">
        <f t="shared" si="6"/>
        <v>2600</v>
      </c>
      <c r="AG38" s="42">
        <f t="shared" si="0"/>
        <v>2380</v>
      </c>
      <c r="AH38" s="92">
        <v>2600</v>
      </c>
      <c r="AI38" s="42">
        <f t="shared" si="1"/>
        <v>2380</v>
      </c>
      <c r="AJ38" s="27"/>
      <c r="AK38" s="18">
        <v>0</v>
      </c>
      <c r="AL38" s="18">
        <f t="shared" si="2"/>
        <v>2380</v>
      </c>
      <c r="AM38" s="18">
        <v>2600</v>
      </c>
      <c r="AN38" s="65"/>
      <c r="AO38" s="60"/>
      <c r="AP38" s="27"/>
      <c r="AQ38" s="27">
        <f t="shared" si="3"/>
        <v>2600</v>
      </c>
      <c r="AR38" s="27">
        <f t="shared" si="4"/>
        <v>0</v>
      </c>
    </row>
    <row r="39" spans="1:60" x14ac:dyDescent="0.3">
      <c r="A39" s="43">
        <f t="shared" si="5"/>
        <v>36</v>
      </c>
      <c r="B39" s="44"/>
      <c r="C39" s="44" t="s">
        <v>105</v>
      </c>
      <c r="D39" s="59">
        <v>2650</v>
      </c>
      <c r="E39" s="42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>
        <v>2200</v>
      </c>
      <c r="AD39" s="90"/>
      <c r="AE39" s="91"/>
      <c r="AF39" s="42">
        <f t="shared" si="6"/>
        <v>2650</v>
      </c>
      <c r="AG39" s="42">
        <f t="shared" si="0"/>
        <v>2200</v>
      </c>
      <c r="AH39" s="92">
        <v>2650</v>
      </c>
      <c r="AI39" s="42">
        <f t="shared" si="1"/>
        <v>2200</v>
      </c>
      <c r="AJ39" s="27"/>
      <c r="AK39" s="18">
        <v>0</v>
      </c>
      <c r="AL39" s="18">
        <f t="shared" si="2"/>
        <v>2200</v>
      </c>
      <c r="AM39" s="18">
        <v>2650</v>
      </c>
      <c r="AN39" s="65"/>
      <c r="AO39" s="60"/>
      <c r="AP39" s="27"/>
      <c r="AQ39" s="27">
        <f t="shared" si="3"/>
        <v>2650</v>
      </c>
      <c r="AR39" s="27">
        <f t="shared" si="4"/>
        <v>0</v>
      </c>
    </row>
    <row r="40" spans="1:60" s="15" customFormat="1" x14ac:dyDescent="0.25">
      <c r="A40" s="23">
        <f>+A39+1</f>
        <v>37</v>
      </c>
      <c r="B40" s="32">
        <v>10009337</v>
      </c>
      <c r="C40" s="32" t="s">
        <v>62</v>
      </c>
      <c r="D40" s="56">
        <v>19455</v>
      </c>
      <c r="E40" s="24"/>
      <c r="F40" s="33">
        <v>570</v>
      </c>
      <c r="G40" s="33">
        <f>3615+30</f>
        <v>3645</v>
      </c>
      <c r="H40" s="33"/>
      <c r="I40" s="33"/>
      <c r="J40" s="33"/>
      <c r="K40" s="33">
        <v>1800</v>
      </c>
      <c r="L40" s="33">
        <f>255+1125</f>
        <v>1380</v>
      </c>
      <c r="M40" s="33">
        <v>735</v>
      </c>
      <c r="N40" s="33">
        <f>1215+1740</f>
        <v>2955</v>
      </c>
      <c r="O40" s="33">
        <v>0</v>
      </c>
      <c r="P40" s="33">
        <f>825+1500</f>
        <v>2325</v>
      </c>
      <c r="Q40" s="33">
        <v>435</v>
      </c>
      <c r="R40" s="33">
        <f>3660+795</f>
        <v>4455</v>
      </c>
      <c r="S40" s="33"/>
      <c r="T40" s="33">
        <v>600</v>
      </c>
      <c r="U40" s="33">
        <v>1005</v>
      </c>
      <c r="V40" s="33">
        <v>1440</v>
      </c>
      <c r="W40" s="33">
        <f>525+2340</f>
        <v>2865</v>
      </c>
      <c r="X40" s="33">
        <v>1305</v>
      </c>
      <c r="Y40" s="33">
        <v>780</v>
      </c>
      <c r="Z40" s="33">
        <v>855</v>
      </c>
      <c r="AA40" s="33"/>
      <c r="AB40" s="33"/>
      <c r="AC40" s="33"/>
      <c r="AD40" s="33"/>
      <c r="AE40" s="27"/>
      <c r="AF40" s="33">
        <f t="shared" si="6"/>
        <v>19455</v>
      </c>
      <c r="AG40" s="24">
        <f t="shared" si="0"/>
        <v>27150</v>
      </c>
      <c r="AH40" s="46">
        <f>25500-105</f>
        <v>25395</v>
      </c>
      <c r="AI40" s="24">
        <f t="shared" si="1"/>
        <v>21210</v>
      </c>
      <c r="AJ40" s="27">
        <v>52320</v>
      </c>
      <c r="AK40" s="18">
        <v>21210</v>
      </c>
      <c r="AL40" s="18">
        <f t="shared" si="2"/>
        <v>0</v>
      </c>
      <c r="AM40" s="18"/>
      <c r="AN40" s="66"/>
      <c r="AO40" s="60">
        <v>25395</v>
      </c>
      <c r="AP40" s="27"/>
      <c r="AQ40" s="27">
        <f t="shared" si="3"/>
        <v>25395</v>
      </c>
      <c r="AR40" s="27">
        <f t="shared" si="4"/>
        <v>0</v>
      </c>
      <c r="BF40" s="3"/>
      <c r="BG40" s="3"/>
      <c r="BH40" s="3"/>
    </row>
    <row r="41" spans="1:60" s="15" customFormat="1" x14ac:dyDescent="0.25">
      <c r="A41" s="23">
        <f t="shared" ref="A41:A44" si="11">+A40+1</f>
        <v>38</v>
      </c>
      <c r="B41" s="32">
        <v>10009332</v>
      </c>
      <c r="C41" s="32" t="s">
        <v>64</v>
      </c>
      <c r="D41" s="56">
        <v>14025</v>
      </c>
      <c r="E41" s="24"/>
      <c r="F41" s="33">
        <v>885</v>
      </c>
      <c r="G41" s="33">
        <f>3150+15</f>
        <v>3165</v>
      </c>
      <c r="H41" s="33"/>
      <c r="I41" s="33"/>
      <c r="J41" s="33"/>
      <c r="K41" s="33">
        <v>525</v>
      </c>
      <c r="L41" s="33">
        <f>1350+1200</f>
        <v>2550</v>
      </c>
      <c r="M41" s="33">
        <v>345</v>
      </c>
      <c r="N41" s="33">
        <f>1410+1650</f>
        <v>3060</v>
      </c>
      <c r="O41" s="33">
        <v>0</v>
      </c>
      <c r="P41" s="33">
        <f>780+1185</f>
        <v>1965</v>
      </c>
      <c r="Q41" s="33">
        <v>1380</v>
      </c>
      <c r="R41" s="33">
        <f>2700+780</f>
        <v>3480</v>
      </c>
      <c r="S41" s="33"/>
      <c r="T41" s="33">
        <v>480</v>
      </c>
      <c r="U41" s="33">
        <v>900</v>
      </c>
      <c r="V41" s="33">
        <v>1650</v>
      </c>
      <c r="W41" s="33">
        <v>2175</v>
      </c>
      <c r="X41" s="33">
        <v>1185</v>
      </c>
      <c r="Y41" s="33">
        <v>1230</v>
      </c>
      <c r="Z41" s="33">
        <v>360</v>
      </c>
      <c r="AA41" s="33"/>
      <c r="AB41" s="33"/>
      <c r="AC41" s="33"/>
      <c r="AD41" s="33"/>
      <c r="AE41" s="27"/>
      <c r="AF41" s="33">
        <f t="shared" si="6"/>
        <v>14025</v>
      </c>
      <c r="AG41" s="24">
        <f t="shared" si="0"/>
        <v>25335</v>
      </c>
      <c r="AH41" s="46"/>
      <c r="AI41" s="24">
        <f t="shared" si="1"/>
        <v>39360</v>
      </c>
      <c r="AJ41" s="27"/>
      <c r="AK41" s="18">
        <v>39360</v>
      </c>
      <c r="AL41" s="18">
        <f t="shared" si="2"/>
        <v>0</v>
      </c>
      <c r="AM41" s="18"/>
      <c r="AN41" s="75"/>
      <c r="AO41" s="60"/>
      <c r="AP41" s="27"/>
      <c r="AQ41" s="27">
        <f t="shared" si="3"/>
        <v>0</v>
      </c>
      <c r="AR41" s="27">
        <f t="shared" si="4"/>
        <v>0</v>
      </c>
      <c r="BF41" s="3"/>
      <c r="BG41" s="3"/>
      <c r="BH41" s="3"/>
    </row>
    <row r="42" spans="1:60" s="15" customFormat="1" x14ac:dyDescent="0.25">
      <c r="A42" s="23"/>
      <c r="B42" s="32"/>
      <c r="C42" s="32" t="s">
        <v>108</v>
      </c>
      <c r="D42" s="56">
        <v>0</v>
      </c>
      <c r="E42" s="2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>
        <v>4920</v>
      </c>
      <c r="AD42" s="33"/>
      <c r="AE42" s="27"/>
      <c r="AF42" s="33">
        <f t="shared" si="6"/>
        <v>0</v>
      </c>
      <c r="AG42" s="24">
        <f t="shared" ref="AG42" si="12">SUM(E42:AD42)</f>
        <v>4920</v>
      </c>
      <c r="AH42" s="46"/>
      <c r="AI42" s="24">
        <f t="shared" ref="AI42" si="13">+AF42+AG42-AH42</f>
        <v>4920</v>
      </c>
      <c r="AJ42" s="27"/>
      <c r="AK42" s="18"/>
      <c r="AL42" s="18"/>
      <c r="AM42" s="18"/>
      <c r="AN42" s="75"/>
      <c r="AO42" s="60"/>
      <c r="AP42" s="27"/>
      <c r="AQ42" s="27"/>
      <c r="AR42" s="27"/>
      <c r="BF42" s="3"/>
      <c r="BG42" s="3"/>
      <c r="BH42" s="3"/>
    </row>
    <row r="43" spans="1:60" s="15" customFormat="1" x14ac:dyDescent="0.25">
      <c r="A43" s="23">
        <f>+A41+1</f>
        <v>39</v>
      </c>
      <c r="B43" s="32"/>
      <c r="C43" s="32" t="s">
        <v>99</v>
      </c>
      <c r="D43" s="56">
        <v>0</v>
      </c>
      <c r="E43" s="24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>
        <v>20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27"/>
      <c r="AF43" s="33">
        <f t="shared" si="6"/>
        <v>0</v>
      </c>
      <c r="AG43" s="24">
        <f t="shared" si="0"/>
        <v>20</v>
      </c>
      <c r="AH43" s="46"/>
      <c r="AI43" s="24">
        <f t="shared" ref="AI43:AI44" si="14">+AF43+AG43-AH43</f>
        <v>20</v>
      </c>
      <c r="AJ43" s="27"/>
      <c r="AK43" s="18">
        <v>20</v>
      </c>
      <c r="AL43" s="18">
        <f t="shared" ref="AL43:AL44" si="15">+AI43-AK43</f>
        <v>0</v>
      </c>
      <c r="AM43" s="18"/>
      <c r="AN43" s="75"/>
      <c r="AO43" s="60"/>
      <c r="AP43" s="27"/>
      <c r="AQ43" s="27">
        <f t="shared" si="3"/>
        <v>0</v>
      </c>
      <c r="AR43" s="27">
        <f t="shared" si="4"/>
        <v>0</v>
      </c>
      <c r="BF43" s="3"/>
      <c r="BG43" s="3"/>
      <c r="BH43" s="3"/>
    </row>
    <row r="44" spans="1:60" s="15" customFormat="1" x14ac:dyDescent="0.25">
      <c r="A44" s="23">
        <f t="shared" si="11"/>
        <v>40</v>
      </c>
      <c r="B44" s="32"/>
      <c r="C44" s="32" t="s">
        <v>98</v>
      </c>
      <c r="D44" s="56">
        <v>0</v>
      </c>
      <c r="E44" s="24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>
        <f>880+1180</f>
        <v>2060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27"/>
      <c r="AF44" s="33">
        <f t="shared" si="6"/>
        <v>0</v>
      </c>
      <c r="AG44" s="24">
        <f t="shared" si="0"/>
        <v>2060</v>
      </c>
      <c r="AH44" s="46"/>
      <c r="AI44" s="24">
        <f t="shared" si="14"/>
        <v>2060</v>
      </c>
      <c r="AJ44" s="27"/>
      <c r="AK44" s="18">
        <v>2060</v>
      </c>
      <c r="AL44" s="18">
        <f t="shared" si="15"/>
        <v>0</v>
      </c>
      <c r="AM44" s="18"/>
      <c r="AN44" s="75"/>
      <c r="AO44" s="60"/>
      <c r="AP44" s="27"/>
      <c r="AQ44" s="27">
        <f t="shared" si="3"/>
        <v>0</v>
      </c>
      <c r="AR44" s="27">
        <f t="shared" si="4"/>
        <v>0</v>
      </c>
      <c r="BF44" s="3"/>
      <c r="BG44" s="3"/>
      <c r="BH44" s="3"/>
    </row>
    <row r="45" spans="1:60" s="15" customFormat="1" x14ac:dyDescent="0.25">
      <c r="A45" s="48">
        <f>+A44+1</f>
        <v>41</v>
      </c>
      <c r="B45" s="49"/>
      <c r="C45" s="49" t="s">
        <v>65</v>
      </c>
      <c r="D45" s="72">
        <v>56.174999999999997</v>
      </c>
      <c r="E45" s="50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2"/>
      <c r="AF45" s="67">
        <f t="shared" si="6"/>
        <v>56.174999999999997</v>
      </c>
      <c r="AG45" s="68">
        <f t="shared" si="0"/>
        <v>0</v>
      </c>
      <c r="AH45" s="69">
        <v>5</v>
      </c>
      <c r="AI45" s="71">
        <f t="shared" si="1"/>
        <v>51.174999999999997</v>
      </c>
      <c r="AJ45" s="70"/>
      <c r="AK45" s="9">
        <v>51.174999999999997</v>
      </c>
      <c r="AL45" s="18">
        <f t="shared" si="2"/>
        <v>0</v>
      </c>
      <c r="AM45" s="18"/>
      <c r="AN45" s="66">
        <v>5</v>
      </c>
      <c r="AO45" s="60"/>
      <c r="AP45" s="27"/>
      <c r="AQ45" s="27">
        <f t="shared" si="3"/>
        <v>5</v>
      </c>
      <c r="AR45" s="27">
        <f t="shared" si="4"/>
        <v>0</v>
      </c>
      <c r="BF45" s="3"/>
      <c r="BG45" s="3"/>
      <c r="BH45" s="3"/>
    </row>
    <row r="46" spans="1:60" s="15" customFormat="1" x14ac:dyDescent="0.25">
      <c r="A46" s="48">
        <f t="shared" ref="A46:A47" si="16">+A45+1</f>
        <v>42</v>
      </c>
      <c r="B46" s="49"/>
      <c r="C46" s="49" t="s">
        <v>66</v>
      </c>
      <c r="D46" s="72">
        <v>16.774999999999999</v>
      </c>
      <c r="E46" s="50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2"/>
      <c r="AF46" s="67">
        <f t="shared" si="6"/>
        <v>16.774999999999999</v>
      </c>
      <c r="AG46" s="68">
        <f t="shared" si="0"/>
        <v>0</v>
      </c>
      <c r="AH46" s="69">
        <v>3</v>
      </c>
      <c r="AI46" s="71">
        <f t="shared" si="1"/>
        <v>13.774999999999999</v>
      </c>
      <c r="AJ46" s="70"/>
      <c r="AK46" s="9">
        <v>13.775</v>
      </c>
      <c r="AL46" s="18">
        <f t="shared" si="2"/>
        <v>0</v>
      </c>
      <c r="AM46" s="18"/>
      <c r="AN46" s="66">
        <v>3</v>
      </c>
      <c r="AO46" s="60"/>
      <c r="AP46" s="27"/>
      <c r="AQ46" s="27">
        <f t="shared" si="3"/>
        <v>3</v>
      </c>
      <c r="AR46" s="27">
        <f t="shared" si="4"/>
        <v>0</v>
      </c>
      <c r="BF46" s="3"/>
      <c r="BG46" s="3"/>
      <c r="BH46" s="3"/>
    </row>
    <row r="47" spans="1:60" s="15" customFormat="1" x14ac:dyDescent="0.25">
      <c r="A47" s="48">
        <f t="shared" si="16"/>
        <v>43</v>
      </c>
      <c r="B47" s="49"/>
      <c r="C47" s="49" t="s">
        <v>80</v>
      </c>
      <c r="D47" s="72">
        <v>23.85</v>
      </c>
      <c r="E47" s="50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2"/>
      <c r="AF47" s="67">
        <f t="shared" si="6"/>
        <v>23.85</v>
      </c>
      <c r="AG47" s="68">
        <f t="shared" si="0"/>
        <v>0</v>
      </c>
      <c r="AH47" s="69"/>
      <c r="AI47" s="71">
        <f t="shared" si="1"/>
        <v>23.85</v>
      </c>
      <c r="AJ47" s="70"/>
      <c r="AK47" s="9">
        <v>23.85</v>
      </c>
      <c r="AL47" s="18">
        <f t="shared" si="2"/>
        <v>0</v>
      </c>
      <c r="AM47" s="18"/>
      <c r="AN47" s="66"/>
      <c r="AO47" s="60"/>
      <c r="AP47" s="27"/>
      <c r="AQ47" s="27">
        <f t="shared" si="3"/>
        <v>0</v>
      </c>
      <c r="AR47" s="27">
        <f t="shared" si="4"/>
        <v>0</v>
      </c>
      <c r="BF47" s="3"/>
      <c r="BG47" s="3"/>
      <c r="BH47" s="3"/>
    </row>
    <row r="48" spans="1:60" x14ac:dyDescent="0.3">
      <c r="A48" s="43">
        <f>+A47+1</f>
        <v>44</v>
      </c>
      <c r="B48" s="44" t="s">
        <v>25</v>
      </c>
      <c r="C48" s="44" t="s">
        <v>26</v>
      </c>
      <c r="D48" s="59">
        <v>1120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>
        <f t="shared" si="6"/>
        <v>1120</v>
      </c>
      <c r="AG48" s="42">
        <f t="shared" si="0"/>
        <v>0</v>
      </c>
      <c r="AH48" s="42"/>
      <c r="AI48" s="42">
        <f>SUM(G48:AF48)</f>
        <v>1120</v>
      </c>
      <c r="AJ48" s="27"/>
      <c r="AK48" s="9">
        <v>1120</v>
      </c>
      <c r="AL48" s="18">
        <f t="shared" si="2"/>
        <v>0</v>
      </c>
      <c r="AM48" s="18"/>
      <c r="AN48" s="65"/>
      <c r="AO48" s="60"/>
      <c r="AP48" s="27"/>
      <c r="AQ48" s="27">
        <f t="shared" si="3"/>
        <v>0</v>
      </c>
      <c r="AR48" s="27">
        <f t="shared" si="4"/>
        <v>0</v>
      </c>
    </row>
    <row r="49" spans="3:56" ht="3.6" customHeight="1" x14ac:dyDescent="0.3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27"/>
      <c r="AQ49" s="27"/>
    </row>
    <row r="50" spans="3:56" ht="15.6" x14ac:dyDescent="0.3">
      <c r="C50" s="1" t="s">
        <v>93</v>
      </c>
      <c r="D50" s="6">
        <f t="shared" ref="D50:AA50" si="17">SUM(D3:D48)</f>
        <v>2166892.7999999998</v>
      </c>
      <c r="E50" s="6">
        <f t="shared" si="17"/>
        <v>70560</v>
      </c>
      <c r="F50" s="6">
        <f t="shared" si="17"/>
        <v>96575</v>
      </c>
      <c r="G50" s="6">
        <f t="shared" si="17"/>
        <v>28570</v>
      </c>
      <c r="H50" s="6">
        <f t="shared" si="17"/>
        <v>9300</v>
      </c>
      <c r="I50" s="6">
        <f t="shared" si="17"/>
        <v>0</v>
      </c>
      <c r="J50" s="6">
        <f t="shared" si="17"/>
        <v>0</v>
      </c>
      <c r="K50" s="6">
        <f t="shared" si="17"/>
        <v>96685</v>
      </c>
      <c r="L50" s="6">
        <f t="shared" si="17"/>
        <v>69550</v>
      </c>
      <c r="M50" s="6">
        <f t="shared" si="17"/>
        <v>96560</v>
      </c>
      <c r="N50" s="6">
        <f t="shared" si="17"/>
        <v>91275</v>
      </c>
      <c r="O50" s="6">
        <f t="shared" si="17"/>
        <v>36980</v>
      </c>
      <c r="P50" s="6">
        <f t="shared" si="17"/>
        <v>73730</v>
      </c>
      <c r="Q50" s="6">
        <f t="shared" si="17"/>
        <v>92015</v>
      </c>
      <c r="R50" s="6">
        <f t="shared" si="17"/>
        <v>64135</v>
      </c>
      <c r="S50" s="6">
        <f t="shared" si="17"/>
        <v>28060</v>
      </c>
      <c r="T50" s="6">
        <f t="shared" si="17"/>
        <v>89740</v>
      </c>
      <c r="U50" s="6">
        <f t="shared" si="17"/>
        <v>7065</v>
      </c>
      <c r="V50" s="6">
        <f t="shared" si="17"/>
        <v>94210</v>
      </c>
      <c r="W50" s="6">
        <f t="shared" si="17"/>
        <v>134940</v>
      </c>
      <c r="X50" s="6">
        <f t="shared" si="17"/>
        <v>54850</v>
      </c>
      <c r="Y50" s="6">
        <f t="shared" si="17"/>
        <v>91886</v>
      </c>
      <c r="Z50" s="6">
        <f t="shared" si="17"/>
        <v>84895</v>
      </c>
      <c r="AA50" s="6">
        <f t="shared" si="17"/>
        <v>29070</v>
      </c>
      <c r="AB50" s="6">
        <f t="shared" ref="AB50:AC50" si="18">SUM(AB3:AB48)</f>
        <v>57800</v>
      </c>
      <c r="AC50" s="6">
        <f t="shared" si="18"/>
        <v>42640</v>
      </c>
      <c r="AD50" s="6">
        <f>SUM(AD3:AD48)</f>
        <v>0</v>
      </c>
      <c r="AE50" s="5">
        <f>SUM(AE3:AE39)</f>
        <v>0</v>
      </c>
      <c r="AF50" s="6">
        <f>SUM(AF3:AF48)</f>
        <v>2165072.7999999998</v>
      </c>
      <c r="AG50" s="6">
        <f>SUM(AG3:AG48)</f>
        <v>1541091</v>
      </c>
      <c r="AH50" s="73">
        <f>SUM(AH3:AH48)</f>
        <v>1727865</v>
      </c>
      <c r="AI50" s="35">
        <f>SUM(AI3:AI49)</f>
        <v>1978298.8</v>
      </c>
      <c r="AJ50" s="27"/>
      <c r="AK50" s="9">
        <f>SUM(AK1:AK48)</f>
        <v>1877468.8</v>
      </c>
      <c r="AL50" s="5">
        <f>SUM(AL1:AL48)</f>
        <v>95910</v>
      </c>
      <c r="AM50" s="5">
        <f>SUM(AM1:AM48)</f>
        <v>27900</v>
      </c>
      <c r="AN50" s="5">
        <f>SUM(AN1:AN48)</f>
        <v>1128</v>
      </c>
      <c r="AO50" s="5">
        <f>SUM(AO3:AO48)</f>
        <v>1698837</v>
      </c>
      <c r="AP50" s="27"/>
      <c r="AQ50" s="5">
        <f>SUM(AQ3:AQ48)</f>
        <v>1727865</v>
      </c>
      <c r="AR50" s="27">
        <f>SUM(AM50:AO50)</f>
        <v>1727865</v>
      </c>
      <c r="AS50" s="97">
        <f>+AQ50-AR50</f>
        <v>0</v>
      </c>
      <c r="BC50" s="3">
        <f>SUM(BC4:BC49)</f>
        <v>0</v>
      </c>
      <c r="BD50" s="5">
        <f>+BC50-AI50</f>
        <v>-1978298.8</v>
      </c>
    </row>
    <row r="51" spans="3:56" ht="17.399999999999999" customHeight="1" x14ac:dyDescent="0.3">
      <c r="E51" s="6">
        <f t="shared" ref="E51:Z51" si="19">SUM(E4:E49)</f>
        <v>70560</v>
      </c>
      <c r="F51" s="6">
        <f t="shared" si="19"/>
        <v>96575</v>
      </c>
      <c r="G51" s="6">
        <f t="shared" si="19"/>
        <v>28570</v>
      </c>
      <c r="H51" s="6">
        <f t="shared" si="19"/>
        <v>9300</v>
      </c>
      <c r="I51" s="6">
        <f t="shared" si="19"/>
        <v>0</v>
      </c>
      <c r="J51" s="6">
        <f t="shared" si="19"/>
        <v>0</v>
      </c>
      <c r="K51" s="6">
        <f t="shared" si="19"/>
        <v>96685</v>
      </c>
      <c r="L51" s="6">
        <f t="shared" si="19"/>
        <v>69550</v>
      </c>
      <c r="M51" s="6">
        <f t="shared" si="19"/>
        <v>96560</v>
      </c>
      <c r="N51" s="6">
        <f t="shared" si="19"/>
        <v>91275</v>
      </c>
      <c r="O51" s="6">
        <f t="shared" si="19"/>
        <v>36980</v>
      </c>
      <c r="P51" s="6">
        <f t="shared" si="19"/>
        <v>73730</v>
      </c>
      <c r="Q51" s="6">
        <f t="shared" si="19"/>
        <v>92015</v>
      </c>
      <c r="R51" s="6">
        <f t="shared" si="19"/>
        <v>64135</v>
      </c>
      <c r="S51" s="6">
        <f t="shared" si="19"/>
        <v>28060</v>
      </c>
      <c r="T51" s="6">
        <f t="shared" si="19"/>
        <v>89300</v>
      </c>
      <c r="U51" s="6">
        <f t="shared" si="19"/>
        <v>7065</v>
      </c>
      <c r="V51" s="6">
        <f t="shared" si="19"/>
        <v>94210</v>
      </c>
      <c r="W51" s="6">
        <f t="shared" si="19"/>
        <v>134940</v>
      </c>
      <c r="X51" s="6">
        <f t="shared" si="19"/>
        <v>54850</v>
      </c>
      <c r="Y51" s="6">
        <f t="shared" si="19"/>
        <v>91886</v>
      </c>
      <c r="Z51" s="6">
        <f t="shared" si="19"/>
        <v>84895</v>
      </c>
      <c r="AJ51" s="27"/>
      <c r="AL51" s="5"/>
    </row>
    <row r="52" spans="3:56" x14ac:dyDescent="0.3">
      <c r="D52" s="74"/>
      <c r="AL52" s="5"/>
      <c r="AN52" s="5"/>
      <c r="AO52" s="5">
        <f>+AH50-AN52</f>
        <v>1727865</v>
      </c>
    </row>
    <row r="53" spans="3:56" x14ac:dyDescent="0.3">
      <c r="D53" s="5"/>
      <c r="E53" s="5">
        <f>+E50+F50</f>
        <v>167135</v>
      </c>
      <c r="AF53" s="101" t="s">
        <v>96</v>
      </c>
      <c r="AG53" s="102"/>
      <c r="AH53" s="102"/>
      <c r="AI53" s="62">
        <f>ROUND(+AI50/1000,0)</f>
        <v>1978</v>
      </c>
      <c r="AL53" s="5" t="s">
        <v>71</v>
      </c>
      <c r="AO53" s="3" t="s">
        <v>78</v>
      </c>
      <c r="AP53" s="8" t="s">
        <v>79</v>
      </c>
      <c r="AQ53" s="96">
        <v>642.57680000000005</v>
      </c>
    </row>
    <row r="54" spans="3:56" x14ac:dyDescent="0.3">
      <c r="AF54" s="3" t="s">
        <v>70</v>
      </c>
      <c r="AG54" s="61"/>
      <c r="AH54" s="61"/>
      <c r="AI54" s="63">
        <f>+AG55+AG56</f>
        <v>324</v>
      </c>
      <c r="AL54" s="5" t="s">
        <v>72</v>
      </c>
      <c r="AM54" s="3">
        <f>+AO50/1000</f>
        <v>1698.837</v>
      </c>
      <c r="AO54" s="3">
        <v>0</v>
      </c>
      <c r="AP54" s="8">
        <v>0</v>
      </c>
      <c r="AQ54" s="96">
        <v>49</v>
      </c>
    </row>
    <row r="55" spans="3:56" x14ac:dyDescent="0.3">
      <c r="E55" s="3">
        <v>115</v>
      </c>
      <c r="AF55" s="61">
        <v>46113</v>
      </c>
      <c r="AG55" s="5">
        <f>27*12</f>
        <v>324</v>
      </c>
      <c r="AH55" s="61"/>
      <c r="AI55" s="63">
        <v>0</v>
      </c>
      <c r="AL55" s="3" t="s">
        <v>73</v>
      </c>
      <c r="AM55" s="3">
        <f>+AM50/1000</f>
        <v>27.9</v>
      </c>
      <c r="AQ55" s="96">
        <v>0</v>
      </c>
    </row>
    <row r="56" spans="3:56" x14ac:dyDescent="0.3">
      <c r="E56" s="3">
        <v>167</v>
      </c>
      <c r="AF56" s="61"/>
      <c r="AG56" s="5"/>
      <c r="AH56" s="61"/>
      <c r="AI56" s="63">
        <v>0</v>
      </c>
      <c r="AL56" s="3" t="s">
        <v>74</v>
      </c>
      <c r="AM56" s="3">
        <f>+AN50/1000</f>
        <v>1.1279999999999999</v>
      </c>
      <c r="AQ56" s="96">
        <v>0</v>
      </c>
    </row>
    <row r="57" spans="3:56" x14ac:dyDescent="0.3">
      <c r="E57" s="3">
        <f>+E56-E55</f>
        <v>52</v>
      </c>
      <c r="AF57" s="101" t="s">
        <v>67</v>
      </c>
      <c r="AG57" s="102"/>
      <c r="AH57" s="102"/>
      <c r="AI57" s="64">
        <f>+AI53-AI54-AI55-AI56</f>
        <v>1654</v>
      </c>
      <c r="AL57" s="63"/>
      <c r="AM57" s="3">
        <f>SUM(AM54:AM56)</f>
        <v>1727.865</v>
      </c>
      <c r="AQ57" s="96">
        <v>593.57680000000005</v>
      </c>
    </row>
    <row r="58" spans="3:56" x14ac:dyDescent="0.3">
      <c r="AL58" s="63"/>
      <c r="AM58" s="63"/>
    </row>
    <row r="59" spans="3:56" x14ac:dyDescent="0.3">
      <c r="AM59" s="63"/>
    </row>
    <row r="60" spans="3:56" x14ac:dyDescent="0.3">
      <c r="AG60" s="5"/>
    </row>
    <row r="61" spans="3:56" x14ac:dyDescent="0.3">
      <c r="AG61" s="5"/>
      <c r="AI61" s="63"/>
    </row>
    <row r="63" spans="3:56" x14ac:dyDescent="0.3">
      <c r="AI63" s="63"/>
    </row>
  </sheetData>
  <mergeCells count="7">
    <mergeCell ref="AL1:AL2"/>
    <mergeCell ref="AF53:AH53"/>
    <mergeCell ref="AF57:AH57"/>
    <mergeCell ref="A1:A2"/>
    <mergeCell ref="C1:C2"/>
    <mergeCell ref="D1:AD1"/>
    <mergeCell ref="AF1:AI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026D-48D5-4203-9DA7-57E844661C99}">
  <sheetPr>
    <pageSetUpPr fitToPage="1"/>
  </sheetPr>
  <dimension ref="A1:BJ59"/>
  <sheetViews>
    <sheetView zoomScale="91" zoomScaleNormal="91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E2" sqref="AE1:AH1048576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9.109375" style="3" bestFit="1" customWidth="1"/>
    <col min="4" max="4" width="13.88671875" style="3" bestFit="1" customWidth="1"/>
    <col min="5" max="5" width="12.109375" style="3" customWidth="1"/>
    <col min="6" max="30" width="12" style="3" customWidth="1"/>
    <col min="31" max="31" width="12.21875" style="3" customWidth="1"/>
    <col min="32" max="32" width="1.109375" style="3" customWidth="1"/>
    <col min="33" max="34" width="11.6640625" style="3" customWidth="1"/>
    <col min="35" max="35" width="11.88671875" style="3" customWidth="1"/>
    <col min="36" max="36" width="12.6640625" style="3" customWidth="1"/>
    <col min="37" max="37" width="0.88671875" style="8" customWidth="1"/>
    <col min="38" max="38" width="11.5546875" style="3" customWidth="1"/>
    <col min="39" max="39" width="12.77734375" style="3" bestFit="1" customWidth="1"/>
    <col min="40" max="40" width="12.44140625" style="3" bestFit="1" customWidth="1"/>
    <col min="41" max="41" width="11.44140625" style="3" bestFit="1" customWidth="1"/>
    <col min="42" max="42" width="11.77734375" style="3" bestFit="1" customWidth="1"/>
    <col min="43" max="44" width="9.77734375" style="83" customWidth="1"/>
    <col min="45" max="45" width="9.77734375" style="76" customWidth="1"/>
    <col min="47" max="51" width="9.77734375" style="3" customWidth="1"/>
    <col min="52" max="16384" width="11.5546875" style="3"/>
  </cols>
  <sheetData>
    <row r="1" spans="1:62" x14ac:dyDescent="0.3">
      <c r="A1" s="103" t="s">
        <v>1</v>
      </c>
      <c r="B1" s="2" t="s">
        <v>5</v>
      </c>
      <c r="C1" s="103" t="s">
        <v>0</v>
      </c>
      <c r="D1" s="103" t="s">
        <v>86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G1" s="103" t="s">
        <v>2</v>
      </c>
      <c r="AH1" s="103"/>
      <c r="AI1" s="103"/>
      <c r="AJ1" s="103"/>
      <c r="AK1" s="27"/>
      <c r="AL1" s="16" t="s">
        <v>22</v>
      </c>
      <c r="AM1" s="99" t="s">
        <v>24</v>
      </c>
    </row>
    <row r="2" spans="1:62" x14ac:dyDescent="0.3">
      <c r="A2" s="103"/>
      <c r="B2" s="2" t="s">
        <v>6</v>
      </c>
      <c r="C2" s="103"/>
      <c r="D2" s="4" t="s">
        <v>20</v>
      </c>
      <c r="E2" s="4">
        <v>46056</v>
      </c>
      <c r="F2" s="4">
        <v>46057</v>
      </c>
      <c r="G2" s="4">
        <v>46058</v>
      </c>
      <c r="H2" s="4">
        <v>46087</v>
      </c>
      <c r="I2" s="4">
        <v>46060</v>
      </c>
      <c r="J2" s="4">
        <v>46061</v>
      </c>
      <c r="K2" s="4">
        <v>46062</v>
      </c>
      <c r="L2" s="4">
        <v>46063</v>
      </c>
      <c r="M2" s="4">
        <v>46064</v>
      </c>
      <c r="N2" s="4">
        <v>46065</v>
      </c>
      <c r="O2" s="4">
        <v>46066</v>
      </c>
      <c r="P2" s="4">
        <v>46067</v>
      </c>
      <c r="Q2" s="4">
        <v>46068</v>
      </c>
      <c r="R2" s="4">
        <v>46069</v>
      </c>
      <c r="S2" s="4">
        <v>46070</v>
      </c>
      <c r="T2" s="4">
        <v>46071</v>
      </c>
      <c r="U2" s="4">
        <v>46072</v>
      </c>
      <c r="V2" s="4">
        <v>46073</v>
      </c>
      <c r="W2" s="4">
        <v>46074</v>
      </c>
      <c r="X2" s="4">
        <v>46075</v>
      </c>
      <c r="Y2" s="4">
        <v>46076</v>
      </c>
      <c r="Z2" s="4">
        <v>46077</v>
      </c>
      <c r="AA2" s="4">
        <v>46078</v>
      </c>
      <c r="AB2" s="4">
        <v>46079</v>
      </c>
      <c r="AC2" s="4">
        <v>46080</v>
      </c>
      <c r="AD2" s="4">
        <v>46081</v>
      </c>
      <c r="AE2" s="13"/>
      <c r="AF2" s="34"/>
      <c r="AG2" s="2" t="s">
        <v>21</v>
      </c>
      <c r="AH2" s="2" t="s">
        <v>3</v>
      </c>
      <c r="AI2" s="2" t="s">
        <v>61</v>
      </c>
      <c r="AJ2" s="2" t="s">
        <v>4</v>
      </c>
      <c r="AK2" s="27"/>
      <c r="AL2" s="16" t="s">
        <v>23</v>
      </c>
      <c r="AM2" s="100"/>
      <c r="AN2" s="65" t="s">
        <v>75</v>
      </c>
      <c r="AO2" s="65" t="s">
        <v>76</v>
      </c>
      <c r="AP2" s="65" t="s">
        <v>77</v>
      </c>
    </row>
    <row r="3" spans="1:62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7"/>
      <c r="AG3" s="18">
        <f t="shared" ref="AG3:AG44" si="0">+D3</f>
        <v>180</v>
      </c>
      <c r="AH3" s="18">
        <f t="shared" ref="AH3:AH44" si="1">SUM(E3:AE3)</f>
        <v>0</v>
      </c>
      <c r="AI3" s="19"/>
      <c r="AJ3" s="18">
        <f>+AG3+AH3-AI3</f>
        <v>180</v>
      </c>
      <c r="AK3" s="27">
        <f>+AG3-AJ3</f>
        <v>0</v>
      </c>
      <c r="AL3" s="9">
        <v>0</v>
      </c>
      <c r="AM3" s="9">
        <f>+AJ3-AL3</f>
        <v>180</v>
      </c>
      <c r="AN3" s="60"/>
      <c r="AO3" s="65"/>
      <c r="AP3" s="60"/>
      <c r="AQ3" s="84"/>
      <c r="AR3" s="84"/>
      <c r="AS3" s="77">
        <f t="shared" ref="AS3:AS44" si="2">+AL3-AR3</f>
        <v>0</v>
      </c>
      <c r="BJ3" s="5"/>
    </row>
    <row r="4" spans="1:62" x14ac:dyDescent="0.3">
      <c r="A4" s="17">
        <f>+A3+1</f>
        <v>2</v>
      </c>
      <c r="B4" s="39" t="s">
        <v>29</v>
      </c>
      <c r="C4" s="39" t="s">
        <v>30</v>
      </c>
      <c r="D4" s="53">
        <v>17900</v>
      </c>
      <c r="E4" s="18">
        <v>20</v>
      </c>
      <c r="F4" s="18">
        <v>60</v>
      </c>
      <c r="G4" s="18"/>
      <c r="H4" s="18"/>
      <c r="I4" s="18">
        <f>100+80</f>
        <v>180</v>
      </c>
      <c r="J4" s="18">
        <v>20</v>
      </c>
      <c r="K4" s="18">
        <f>140+60</f>
        <v>200</v>
      </c>
      <c r="L4" s="18">
        <f>220+120</f>
        <v>340</v>
      </c>
      <c r="M4" s="18">
        <v>360</v>
      </c>
      <c r="N4" s="18">
        <v>220</v>
      </c>
      <c r="O4" s="18">
        <v>60</v>
      </c>
      <c r="P4" s="18">
        <v>140</v>
      </c>
      <c r="Q4" s="18"/>
      <c r="R4" s="18">
        <f>580+60</f>
        <v>640</v>
      </c>
      <c r="S4" s="18">
        <f>360+140</f>
        <v>500</v>
      </c>
      <c r="T4" s="18">
        <f>300+280</f>
        <v>580</v>
      </c>
      <c r="U4" s="18">
        <f>120+300</f>
        <v>420</v>
      </c>
      <c r="V4" s="18">
        <v>440</v>
      </c>
      <c r="W4" s="18">
        <f>20+60</f>
        <v>80</v>
      </c>
      <c r="X4" s="18">
        <v>360</v>
      </c>
      <c r="Y4" s="18">
        <f>140+340</f>
        <v>480</v>
      </c>
      <c r="Z4" s="18">
        <f>660+420</f>
        <v>1080</v>
      </c>
      <c r="AA4" s="18"/>
      <c r="AB4" s="18"/>
      <c r="AC4" s="18"/>
      <c r="AD4" s="18">
        <f>25720-24080</f>
        <v>1640</v>
      </c>
      <c r="AE4" s="18"/>
      <c r="AF4" s="27"/>
      <c r="AG4" s="18">
        <f t="shared" si="0"/>
        <v>17900</v>
      </c>
      <c r="AH4" s="18">
        <f t="shared" si="1"/>
        <v>7820</v>
      </c>
      <c r="AI4" s="19"/>
      <c r="AJ4" s="18">
        <f t="shared" ref="AJ4:AJ43" si="3">+AG4+AH4-AI4</f>
        <v>25720</v>
      </c>
      <c r="AK4" s="27"/>
      <c r="AL4" s="9">
        <v>0</v>
      </c>
      <c r="AM4" s="9">
        <f t="shared" ref="AM4:AM44" si="4">+AJ4-AL4</f>
        <v>25720</v>
      </c>
      <c r="AN4" s="26"/>
      <c r="AO4" s="37"/>
      <c r="AP4" s="26"/>
      <c r="AQ4" s="84"/>
      <c r="AR4" s="84"/>
      <c r="AS4" s="77">
        <f t="shared" si="2"/>
        <v>0</v>
      </c>
      <c r="BG4" s="15"/>
    </row>
    <row r="5" spans="1:62" x14ac:dyDescent="0.3">
      <c r="A5" s="17">
        <f t="shared" ref="A5:A32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7"/>
      <c r="AG5" s="18">
        <f t="shared" si="0"/>
        <v>660</v>
      </c>
      <c r="AH5" s="18">
        <f t="shared" si="1"/>
        <v>0</v>
      </c>
      <c r="AI5" s="19"/>
      <c r="AJ5" s="18">
        <f t="shared" ref="AJ5:AJ11" si="6">+AG5+AH5-AI5</f>
        <v>660</v>
      </c>
      <c r="AK5" s="27"/>
      <c r="AL5" s="9">
        <v>0</v>
      </c>
      <c r="AM5" s="9">
        <f t="shared" si="4"/>
        <v>660</v>
      </c>
      <c r="AN5" s="26"/>
      <c r="AO5" s="37"/>
      <c r="AP5" s="26"/>
      <c r="AQ5" s="84"/>
      <c r="AR5" s="84"/>
      <c r="AS5" s="77">
        <f t="shared" si="2"/>
        <v>0</v>
      </c>
    </row>
    <row r="6" spans="1:62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7"/>
      <c r="AG6" s="18">
        <f t="shared" si="0"/>
        <v>680</v>
      </c>
      <c r="AH6" s="18">
        <f t="shared" si="1"/>
        <v>0</v>
      </c>
      <c r="AI6" s="19"/>
      <c r="AJ6" s="18">
        <f t="shared" si="6"/>
        <v>680</v>
      </c>
      <c r="AK6" s="27"/>
      <c r="AL6" s="9">
        <v>0</v>
      </c>
      <c r="AM6" s="9">
        <f t="shared" si="4"/>
        <v>680</v>
      </c>
      <c r="AN6" s="26"/>
      <c r="AO6" s="37"/>
      <c r="AP6" s="26"/>
      <c r="AQ6" s="84"/>
      <c r="AR6" s="84"/>
      <c r="AS6" s="77">
        <f t="shared" si="2"/>
        <v>0</v>
      </c>
    </row>
    <row r="7" spans="1:62" x14ac:dyDescent="0.3">
      <c r="A7" s="17">
        <f t="shared" si="5"/>
        <v>5</v>
      </c>
      <c r="B7" s="39" t="s">
        <v>34</v>
      </c>
      <c r="C7" s="39" t="s">
        <v>35</v>
      </c>
      <c r="D7" s="53">
        <v>338560</v>
      </c>
      <c r="E7" s="18"/>
      <c r="F7" s="18"/>
      <c r="G7" s="18">
        <f>10440+420</f>
        <v>10860</v>
      </c>
      <c r="H7" s="18">
        <v>5480</v>
      </c>
      <c r="I7" s="18">
        <f>16300+1620</f>
        <v>17920</v>
      </c>
      <c r="J7" s="18">
        <f>19280</f>
        <v>19280</v>
      </c>
      <c r="K7" s="18">
        <f>22340+3580</f>
        <v>25920</v>
      </c>
      <c r="L7" s="18">
        <f>25440+4080</f>
        <v>29520</v>
      </c>
      <c r="M7" s="18">
        <v>16000</v>
      </c>
      <c r="N7" s="18">
        <v>8040</v>
      </c>
      <c r="O7" s="18">
        <v>1120</v>
      </c>
      <c r="P7" s="18">
        <v>1620</v>
      </c>
      <c r="Q7" s="9">
        <v>12420</v>
      </c>
      <c r="R7" s="18">
        <f>19600+5300</f>
        <v>24900</v>
      </c>
      <c r="S7" s="18">
        <f>15340+5140</f>
        <v>20480</v>
      </c>
      <c r="T7" s="18">
        <f>40220+11420</f>
        <v>51640</v>
      </c>
      <c r="U7" s="18">
        <f>18600+4180</f>
        <v>22780</v>
      </c>
      <c r="V7" s="18">
        <f>9100+9980</f>
        <v>19080</v>
      </c>
      <c r="W7" s="18">
        <v>5040</v>
      </c>
      <c r="X7" s="9">
        <v>17420</v>
      </c>
      <c r="Y7" s="18">
        <v>9240</v>
      </c>
      <c r="Z7" s="18">
        <f>39020+9640</f>
        <v>48660</v>
      </c>
      <c r="AA7" s="18"/>
      <c r="AB7" s="18"/>
      <c r="AC7" s="18"/>
      <c r="AD7" s="18">
        <f>(252000-246040)+116800</f>
        <v>122760</v>
      </c>
      <c r="AE7" s="18"/>
      <c r="AF7" s="27"/>
      <c r="AG7" s="18">
        <f t="shared" si="0"/>
        <v>338560</v>
      </c>
      <c r="AH7" s="18">
        <f t="shared" si="1"/>
        <v>490180</v>
      </c>
      <c r="AI7" s="19">
        <f>200+108000+108000+46800+81000+115500+80+140+140+80</f>
        <v>459940</v>
      </c>
      <c r="AJ7" s="18">
        <f t="shared" si="6"/>
        <v>368800</v>
      </c>
      <c r="AK7" s="27"/>
      <c r="AL7" s="9">
        <v>0</v>
      </c>
      <c r="AM7" s="9">
        <f t="shared" si="4"/>
        <v>368800</v>
      </c>
      <c r="AN7" s="26"/>
      <c r="AO7" s="26">
        <f>200+80+140+140+80</f>
        <v>640</v>
      </c>
      <c r="AP7" s="26">
        <f>108000+108000+46800+81000+115500</f>
        <v>459300</v>
      </c>
      <c r="AQ7" s="84"/>
      <c r="AR7" s="84"/>
      <c r="AS7" s="77">
        <f t="shared" si="2"/>
        <v>0</v>
      </c>
    </row>
    <row r="8" spans="1:62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7"/>
      <c r="AG8" s="18">
        <f t="shared" si="0"/>
        <v>120</v>
      </c>
      <c r="AH8" s="18">
        <f t="shared" si="1"/>
        <v>0</v>
      </c>
      <c r="AI8" s="19"/>
      <c r="AJ8" s="18">
        <f t="shared" si="6"/>
        <v>120</v>
      </c>
      <c r="AK8" s="27"/>
      <c r="AL8" s="9">
        <v>0</v>
      </c>
      <c r="AM8" s="9">
        <f t="shared" si="4"/>
        <v>120</v>
      </c>
      <c r="AN8" s="26"/>
      <c r="AO8" s="37"/>
      <c r="AP8" s="26"/>
      <c r="AQ8" s="84"/>
      <c r="AR8" s="84"/>
      <c r="AS8" s="77">
        <f t="shared" si="2"/>
        <v>0</v>
      </c>
    </row>
    <row r="9" spans="1:62" x14ac:dyDescent="0.3">
      <c r="A9" s="17">
        <f t="shared" si="5"/>
        <v>7</v>
      </c>
      <c r="B9" s="39"/>
      <c r="C9" s="39" t="s">
        <v>90</v>
      </c>
      <c r="D9" s="53">
        <v>16650</v>
      </c>
      <c r="E9" s="18">
        <v>2124</v>
      </c>
      <c r="F9" s="18">
        <v>8352</v>
      </c>
      <c r="G9" s="18">
        <f>3960+1854</f>
        <v>5814</v>
      </c>
      <c r="H9" s="18">
        <f>4410+2682</f>
        <v>7092</v>
      </c>
      <c r="I9" s="18">
        <f>3294+10818</f>
        <v>14112</v>
      </c>
      <c r="J9" s="18">
        <v>3024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7"/>
      <c r="AG9" s="18">
        <f t="shared" si="0"/>
        <v>16650</v>
      </c>
      <c r="AH9" s="18">
        <f t="shared" si="1"/>
        <v>40518</v>
      </c>
      <c r="AI9" s="19"/>
      <c r="AJ9" s="18">
        <f t="shared" si="6"/>
        <v>57168</v>
      </c>
      <c r="AK9" s="27"/>
      <c r="AL9" s="9">
        <v>0</v>
      </c>
      <c r="AM9" s="9">
        <f t="shared" si="4"/>
        <v>57168</v>
      </c>
      <c r="AN9" s="26"/>
      <c r="AO9" s="37"/>
      <c r="AP9" s="26"/>
      <c r="AQ9" s="84"/>
      <c r="AR9" s="84"/>
      <c r="AS9" s="77"/>
    </row>
    <row r="10" spans="1:62" x14ac:dyDescent="0.3">
      <c r="A10" s="17"/>
      <c r="B10" s="39"/>
      <c r="C10" s="39" t="s">
        <v>88</v>
      </c>
      <c r="D10" s="53">
        <v>0</v>
      </c>
      <c r="E10" s="18"/>
      <c r="F10" s="18"/>
      <c r="G10" s="18">
        <v>360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7"/>
      <c r="AG10" s="18">
        <f t="shared" si="0"/>
        <v>0</v>
      </c>
      <c r="AH10" s="18">
        <f t="shared" ref="AH10" si="7">SUM(E10:AE10)</f>
        <v>360</v>
      </c>
      <c r="AI10" s="19"/>
      <c r="AJ10" s="18">
        <f t="shared" ref="AJ10" si="8">+AG10+AH10-AI10</f>
        <v>360</v>
      </c>
      <c r="AK10" s="27"/>
      <c r="AL10" s="9">
        <v>0</v>
      </c>
      <c r="AM10" s="9">
        <f t="shared" si="4"/>
        <v>360</v>
      </c>
      <c r="AN10" s="26"/>
      <c r="AO10" s="37"/>
      <c r="AP10" s="26"/>
      <c r="AQ10" s="84"/>
      <c r="AR10" s="84"/>
      <c r="AS10" s="77"/>
    </row>
    <row r="11" spans="1:62" x14ac:dyDescent="0.3">
      <c r="A11" s="17"/>
      <c r="B11" s="39"/>
      <c r="C11" s="39" t="s">
        <v>91</v>
      </c>
      <c r="D11" s="53">
        <v>1854</v>
      </c>
      <c r="E11" s="18"/>
      <c r="F11" s="18">
        <v>540</v>
      </c>
      <c r="G11" s="18">
        <f>378+234</f>
        <v>612</v>
      </c>
      <c r="H11" s="18">
        <f>558+54</f>
        <v>612</v>
      </c>
      <c r="I11" s="18">
        <v>342</v>
      </c>
      <c r="J11" s="18">
        <v>468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7"/>
      <c r="AG11" s="18">
        <f t="shared" si="0"/>
        <v>1854</v>
      </c>
      <c r="AH11" s="18">
        <f t="shared" si="1"/>
        <v>2574</v>
      </c>
      <c r="AI11" s="19"/>
      <c r="AJ11" s="18">
        <f t="shared" si="6"/>
        <v>4428</v>
      </c>
      <c r="AK11" s="27"/>
      <c r="AL11" s="9">
        <v>0</v>
      </c>
      <c r="AM11" s="9">
        <f t="shared" si="4"/>
        <v>4428</v>
      </c>
      <c r="AN11" s="26"/>
      <c r="AO11" s="37"/>
      <c r="AP11" s="26"/>
      <c r="AQ11" s="84"/>
      <c r="AR11" s="84"/>
      <c r="AS11" s="77"/>
    </row>
    <row r="12" spans="1:62" s="8" customFormat="1" x14ac:dyDescent="0.25">
      <c r="A12" s="37">
        <v>8</v>
      </c>
      <c r="B12" s="40" t="s">
        <v>40</v>
      </c>
      <c r="C12" s="40" t="s">
        <v>41</v>
      </c>
      <c r="D12" s="54">
        <v>12340</v>
      </c>
      <c r="E12" s="26">
        <f>100+240</f>
        <v>340</v>
      </c>
      <c r="F12" s="26">
        <v>400</v>
      </c>
      <c r="G12" s="26">
        <f>100+400</f>
        <v>500</v>
      </c>
      <c r="H12" s="26">
        <v>800</v>
      </c>
      <c r="I12" s="26"/>
      <c r="J12" s="26">
        <v>680</v>
      </c>
      <c r="K12" s="26">
        <v>360</v>
      </c>
      <c r="L12" s="26">
        <f>300+440</f>
        <v>740</v>
      </c>
      <c r="M12" s="26">
        <f>60+80</f>
        <v>140</v>
      </c>
      <c r="N12" s="26">
        <v>0</v>
      </c>
      <c r="O12" s="26">
        <v>720</v>
      </c>
      <c r="P12" s="26"/>
      <c r="Q12" s="26">
        <v>560</v>
      </c>
      <c r="R12" s="26">
        <v>680</v>
      </c>
      <c r="S12" s="26">
        <v>540</v>
      </c>
      <c r="T12" s="26">
        <v>300</v>
      </c>
      <c r="U12" s="26">
        <f>160+260</f>
        <v>420</v>
      </c>
      <c r="V12" s="26">
        <v>380</v>
      </c>
      <c r="W12" s="26">
        <v>460</v>
      </c>
      <c r="X12" s="26">
        <v>180</v>
      </c>
      <c r="Y12" s="26">
        <v>620</v>
      </c>
      <c r="Z12" s="26">
        <v>400</v>
      </c>
      <c r="AA12" s="26"/>
      <c r="AB12" s="26"/>
      <c r="AC12" s="26"/>
      <c r="AD12" s="26">
        <f>22840-21560</f>
        <v>1280</v>
      </c>
      <c r="AE12" s="26"/>
      <c r="AF12" s="27"/>
      <c r="AG12" s="26">
        <f t="shared" si="0"/>
        <v>12340</v>
      </c>
      <c r="AH12" s="26">
        <f t="shared" si="1"/>
        <v>10500</v>
      </c>
      <c r="AI12" s="38"/>
      <c r="AJ12" s="26">
        <f t="shared" si="3"/>
        <v>22840</v>
      </c>
      <c r="AK12" s="27"/>
      <c r="AL12" s="9">
        <v>0</v>
      </c>
      <c r="AM12" s="9">
        <f t="shared" si="4"/>
        <v>22840</v>
      </c>
      <c r="AN12" s="26"/>
      <c r="AO12" s="37"/>
      <c r="AP12" s="26"/>
      <c r="AQ12" s="84"/>
      <c r="AR12" s="84"/>
      <c r="AS12" s="77">
        <f t="shared" si="2"/>
        <v>0</v>
      </c>
    </row>
    <row r="13" spans="1:62" s="8" customFormat="1" x14ac:dyDescent="0.25">
      <c r="A13" s="37">
        <f>+A12+1</f>
        <v>9</v>
      </c>
      <c r="B13" s="40">
        <v>10007969</v>
      </c>
      <c r="C13" s="40" t="s">
        <v>59</v>
      </c>
      <c r="D13" s="54">
        <v>40960</v>
      </c>
      <c r="E13" s="26">
        <f>440+460</f>
        <v>900</v>
      </c>
      <c r="F13" s="26">
        <f>540+1640</f>
        <v>2180</v>
      </c>
      <c r="G13" s="26">
        <f>340+1880</f>
        <v>2220</v>
      </c>
      <c r="H13" s="26">
        <v>3920</v>
      </c>
      <c r="I13" s="26">
        <v>1400</v>
      </c>
      <c r="J13" s="26">
        <v>1940</v>
      </c>
      <c r="K13" s="26">
        <v>3620</v>
      </c>
      <c r="L13" s="26">
        <f>800+2720</f>
        <v>3520</v>
      </c>
      <c r="M13" s="26">
        <f>140+1640</f>
        <v>1780</v>
      </c>
      <c r="N13" s="26">
        <v>940</v>
      </c>
      <c r="O13" s="26">
        <v>4240</v>
      </c>
      <c r="P13" s="26">
        <v>2900</v>
      </c>
      <c r="Q13" s="26"/>
      <c r="R13" s="26">
        <v>3760</v>
      </c>
      <c r="S13" s="26">
        <v>2640</v>
      </c>
      <c r="T13" s="26">
        <f>240+1240</f>
        <v>1480</v>
      </c>
      <c r="U13" s="26">
        <f>1360+720</f>
        <v>2080</v>
      </c>
      <c r="V13" s="26">
        <v>1860</v>
      </c>
      <c r="W13" s="26">
        <v>3020</v>
      </c>
      <c r="X13" s="26"/>
      <c r="Y13" s="26">
        <v>2940</v>
      </c>
      <c r="Z13" s="26">
        <v>1780</v>
      </c>
      <c r="AA13" s="26"/>
      <c r="AB13" s="26"/>
      <c r="AC13" s="26"/>
      <c r="AD13" s="26">
        <f>60620-56940</f>
        <v>3680</v>
      </c>
      <c r="AE13" s="26"/>
      <c r="AF13" s="27"/>
      <c r="AG13" s="26">
        <f t="shared" si="0"/>
        <v>40960</v>
      </c>
      <c r="AH13" s="26">
        <f t="shared" si="1"/>
        <v>52800</v>
      </c>
      <c r="AI13" s="38">
        <f>9140+24000</f>
        <v>33140</v>
      </c>
      <c r="AJ13" s="26">
        <f t="shared" si="3"/>
        <v>60620</v>
      </c>
      <c r="AK13" s="27"/>
      <c r="AL13" s="9">
        <v>0</v>
      </c>
      <c r="AM13" s="9">
        <f t="shared" si="4"/>
        <v>60620</v>
      </c>
      <c r="AN13" s="26"/>
      <c r="AO13" s="37"/>
      <c r="AP13" s="26">
        <f>9140+24000</f>
        <v>33140</v>
      </c>
      <c r="AQ13" s="84"/>
      <c r="AR13" s="84"/>
      <c r="AS13" s="77">
        <f t="shared" si="2"/>
        <v>0</v>
      </c>
    </row>
    <row r="14" spans="1:62" x14ac:dyDescent="0.3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7"/>
      <c r="AG14" s="21">
        <f t="shared" si="0"/>
        <v>300</v>
      </c>
      <c r="AH14" s="21">
        <f t="shared" si="1"/>
        <v>0</v>
      </c>
      <c r="AI14" s="22"/>
      <c r="AJ14" s="21">
        <f t="shared" si="3"/>
        <v>300</v>
      </c>
      <c r="AK14" s="27"/>
      <c r="AL14" s="9">
        <v>0</v>
      </c>
      <c r="AM14" s="9">
        <f t="shared" si="4"/>
        <v>300</v>
      </c>
      <c r="AN14" s="26"/>
      <c r="AO14" s="37"/>
      <c r="AP14" s="26"/>
      <c r="AQ14" s="84"/>
      <c r="AR14" s="84"/>
      <c r="AS14" s="77">
        <f t="shared" si="2"/>
        <v>0</v>
      </c>
    </row>
    <row r="15" spans="1:62" x14ac:dyDescent="0.3">
      <c r="A15" s="7">
        <f t="shared" ref="A15:A17" si="9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7"/>
      <c r="AG15" s="21">
        <f t="shared" si="0"/>
        <v>1120</v>
      </c>
      <c r="AH15" s="21">
        <f t="shared" si="1"/>
        <v>0</v>
      </c>
      <c r="AI15" s="22"/>
      <c r="AJ15" s="21">
        <f t="shared" si="3"/>
        <v>1120</v>
      </c>
      <c r="AK15" s="27"/>
      <c r="AL15" s="9">
        <v>0</v>
      </c>
      <c r="AM15" s="9">
        <f t="shared" si="4"/>
        <v>1120</v>
      </c>
      <c r="AN15" s="26"/>
      <c r="AO15" s="37"/>
      <c r="AP15" s="26"/>
      <c r="AQ15" s="84"/>
      <c r="AR15" s="84"/>
      <c r="AS15" s="77">
        <f t="shared" si="2"/>
        <v>0</v>
      </c>
    </row>
    <row r="16" spans="1:62" x14ac:dyDescent="0.3">
      <c r="A16" s="7">
        <f t="shared" si="9"/>
        <v>12</v>
      </c>
      <c r="B16" s="20" t="s">
        <v>57</v>
      </c>
      <c r="C16" s="20" t="s">
        <v>58</v>
      </c>
      <c r="D16" s="55">
        <v>472180</v>
      </c>
      <c r="E16" s="21">
        <v>10720</v>
      </c>
      <c r="F16" s="21">
        <f>7580+1500</f>
        <v>9080</v>
      </c>
      <c r="G16" s="21">
        <f>240+500</f>
        <v>740</v>
      </c>
      <c r="H16" s="21">
        <f>11320+9040</f>
        <v>20360</v>
      </c>
      <c r="I16" s="21">
        <f>42520+1260</f>
        <v>43780</v>
      </c>
      <c r="J16" s="21">
        <v>65880</v>
      </c>
      <c r="K16" s="21">
        <f>20380+14860</f>
        <v>35240</v>
      </c>
      <c r="L16" s="21">
        <v>2460</v>
      </c>
      <c r="M16" s="21">
        <v>6020</v>
      </c>
      <c r="N16" s="21">
        <v>480</v>
      </c>
      <c r="O16" s="21">
        <v>160</v>
      </c>
      <c r="P16" s="21">
        <v>8520</v>
      </c>
      <c r="Q16" s="21">
        <v>8800</v>
      </c>
      <c r="R16" s="21">
        <f>19420+7380</f>
        <v>26800</v>
      </c>
      <c r="S16" s="21">
        <f>36620+7180</f>
        <v>43800</v>
      </c>
      <c r="T16" s="21">
        <v>0</v>
      </c>
      <c r="U16" s="21"/>
      <c r="V16" s="21">
        <f>7820+8420</f>
        <v>16240</v>
      </c>
      <c r="W16" s="21">
        <f>38380+15400</f>
        <v>53780</v>
      </c>
      <c r="X16" s="21">
        <v>19800</v>
      </c>
      <c r="Y16" s="21">
        <f>32020+27080</f>
        <v>59100</v>
      </c>
      <c r="Z16" s="21">
        <f>14340+7040</f>
        <v>21380</v>
      </c>
      <c r="AA16" s="21"/>
      <c r="AB16" s="21"/>
      <c r="AC16" s="21"/>
      <c r="AD16" s="21">
        <f>331000-226980</f>
        <v>104020</v>
      </c>
      <c r="AE16" s="21"/>
      <c r="AF16" s="27"/>
      <c r="AG16" s="21">
        <f t="shared" si="0"/>
        <v>472180</v>
      </c>
      <c r="AH16" s="21">
        <f t="shared" si="1"/>
        <v>557160</v>
      </c>
      <c r="AI16" s="22">
        <f>135000+54000+135000+108000+108000+135000+23300+40</f>
        <v>698340</v>
      </c>
      <c r="AJ16" s="21">
        <f t="shared" si="3"/>
        <v>331000</v>
      </c>
      <c r="AK16" s="27"/>
      <c r="AL16" s="9">
        <v>0</v>
      </c>
      <c r="AM16" s="9">
        <f t="shared" si="4"/>
        <v>331000</v>
      </c>
      <c r="AN16" s="26"/>
      <c r="AO16" s="37">
        <v>40</v>
      </c>
      <c r="AP16" s="26">
        <f>135000+54000+135000+108000+108000+135000+23300</f>
        <v>698300</v>
      </c>
      <c r="AQ16" s="84"/>
      <c r="AR16" s="84"/>
      <c r="AS16" s="77">
        <f t="shared" si="2"/>
        <v>0</v>
      </c>
      <c r="BH16" s="15"/>
    </row>
    <row r="17" spans="1:61" x14ac:dyDescent="0.3">
      <c r="A17" s="7">
        <f t="shared" si="9"/>
        <v>13</v>
      </c>
      <c r="B17" s="20" t="s">
        <v>55</v>
      </c>
      <c r="C17" s="20" t="s">
        <v>56</v>
      </c>
      <c r="D17" s="55">
        <v>65040</v>
      </c>
      <c r="E17" s="21">
        <f>1120+540</f>
        <v>1660</v>
      </c>
      <c r="F17" s="21">
        <f>2440+10600</f>
        <v>13040</v>
      </c>
      <c r="G17" s="21">
        <f>8800+7820</f>
        <v>16620</v>
      </c>
      <c r="H17" s="21">
        <f>4720+10620</f>
        <v>15340</v>
      </c>
      <c r="I17" s="21">
        <f>7180+14960</f>
        <v>22140</v>
      </c>
      <c r="J17" s="21"/>
      <c r="K17" s="21">
        <v>4140</v>
      </c>
      <c r="L17" s="21">
        <f>2000+3140</f>
        <v>5140</v>
      </c>
      <c r="M17" s="21">
        <v>8540</v>
      </c>
      <c r="N17" s="21">
        <v>8560</v>
      </c>
      <c r="O17" s="21">
        <v>2960</v>
      </c>
      <c r="P17" s="21">
        <v>2420</v>
      </c>
      <c r="Q17" s="21">
        <v>3760</v>
      </c>
      <c r="R17" s="21">
        <v>7480</v>
      </c>
      <c r="S17" s="21">
        <f>240+6660</f>
        <v>6900</v>
      </c>
      <c r="T17" s="21">
        <f>2640+1060</f>
        <v>3700</v>
      </c>
      <c r="U17" s="21">
        <f>2220+4520</f>
        <v>6740</v>
      </c>
      <c r="V17" s="21"/>
      <c r="W17" s="21">
        <v>2840</v>
      </c>
      <c r="X17" s="21">
        <v>4500</v>
      </c>
      <c r="Y17" s="21">
        <f>420+3220</f>
        <v>3640</v>
      </c>
      <c r="Z17" s="21">
        <f>40+1860</f>
        <v>1900</v>
      </c>
      <c r="AA17" s="21"/>
      <c r="AB17" s="21"/>
      <c r="AC17" s="21"/>
      <c r="AD17" s="21">
        <f>83980-72060</f>
        <v>11920</v>
      </c>
      <c r="AE17" s="21"/>
      <c r="AF17" s="27"/>
      <c r="AG17" s="21">
        <f t="shared" si="0"/>
        <v>65040</v>
      </c>
      <c r="AH17" s="21">
        <f t="shared" si="1"/>
        <v>153940</v>
      </c>
      <c r="AI17" s="22">
        <f>54000+81000</f>
        <v>135000</v>
      </c>
      <c r="AJ17" s="21">
        <f>+AG17+AH17-AI17</f>
        <v>83980</v>
      </c>
      <c r="AK17" s="27"/>
      <c r="AL17" s="9">
        <v>0</v>
      </c>
      <c r="AM17" s="9">
        <f t="shared" si="4"/>
        <v>83980</v>
      </c>
      <c r="AN17" s="26"/>
      <c r="AO17" s="37"/>
      <c r="AP17" s="26">
        <f>54000+81000</f>
        <v>135000</v>
      </c>
      <c r="AQ17" s="84"/>
      <c r="AR17" s="84"/>
      <c r="AS17" s="77">
        <f t="shared" si="2"/>
        <v>0</v>
      </c>
      <c r="BG17" s="8"/>
    </row>
    <row r="18" spans="1:61" x14ac:dyDescent="0.3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7"/>
      <c r="AG18" s="24">
        <f t="shared" si="0"/>
        <v>940</v>
      </c>
      <c r="AH18" s="24">
        <f t="shared" si="1"/>
        <v>0</v>
      </c>
      <c r="AI18" s="25"/>
      <c r="AJ18" s="24">
        <f t="shared" si="3"/>
        <v>940</v>
      </c>
      <c r="AK18" s="27"/>
      <c r="AL18" s="9">
        <v>0</v>
      </c>
      <c r="AM18" s="9">
        <f t="shared" si="4"/>
        <v>940</v>
      </c>
      <c r="AN18" s="26"/>
      <c r="AO18" s="37"/>
      <c r="AP18" s="26"/>
      <c r="AQ18" s="84"/>
      <c r="AR18" s="84"/>
      <c r="AS18" s="77">
        <f t="shared" si="2"/>
        <v>0</v>
      </c>
    </row>
    <row r="19" spans="1:61" x14ac:dyDescent="0.3">
      <c r="A19" s="23">
        <f t="shared" ref="A19:A23" si="10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7"/>
      <c r="AG19" s="24">
        <f t="shared" si="0"/>
        <v>240</v>
      </c>
      <c r="AH19" s="24">
        <f t="shared" si="1"/>
        <v>0</v>
      </c>
      <c r="AI19" s="25"/>
      <c r="AJ19" s="24">
        <f t="shared" si="3"/>
        <v>240</v>
      </c>
      <c r="AK19" s="27"/>
      <c r="AL19" s="9">
        <v>0</v>
      </c>
      <c r="AM19" s="9">
        <f t="shared" si="4"/>
        <v>240</v>
      </c>
      <c r="AN19" s="26"/>
      <c r="AO19" s="37"/>
      <c r="AP19" s="26"/>
      <c r="AQ19" s="84"/>
      <c r="AR19" s="84"/>
      <c r="AS19" s="77">
        <f t="shared" si="2"/>
        <v>0</v>
      </c>
    </row>
    <row r="20" spans="1:61" x14ac:dyDescent="0.3">
      <c r="A20" s="23">
        <f t="shared" si="10"/>
        <v>16</v>
      </c>
      <c r="B20" s="47" t="s">
        <v>43</v>
      </c>
      <c r="C20" s="32" t="s">
        <v>44</v>
      </c>
      <c r="D20" s="56">
        <v>178040</v>
      </c>
      <c r="E20" s="24">
        <f>1300+660</f>
        <v>1960</v>
      </c>
      <c r="F20" s="24">
        <f>1400+3960</f>
        <v>5360</v>
      </c>
      <c r="G20" s="24">
        <f>3000+2620</f>
        <v>5620</v>
      </c>
      <c r="H20" s="24">
        <f>4900+5680</f>
        <v>10580</v>
      </c>
      <c r="I20" s="24">
        <f>2960+6940</f>
        <v>9900</v>
      </c>
      <c r="J20" s="24"/>
      <c r="K20" s="24">
        <f>960+7480</f>
        <v>8440</v>
      </c>
      <c r="L20" s="24">
        <f>560+8220</f>
        <v>8780</v>
      </c>
      <c r="M20" s="24">
        <f>3240+7140</f>
        <v>10380</v>
      </c>
      <c r="N20" s="24">
        <v>7000</v>
      </c>
      <c r="O20" s="24">
        <v>8080</v>
      </c>
      <c r="P20" s="24">
        <v>5280</v>
      </c>
      <c r="Q20" s="24"/>
      <c r="R20" s="24">
        <f>3320+6380</f>
        <v>9700</v>
      </c>
      <c r="S20" s="24">
        <f>3540+3960</f>
        <v>7500</v>
      </c>
      <c r="T20" s="24">
        <f>2380+1140</f>
        <v>3520</v>
      </c>
      <c r="U20" s="24">
        <f>3900+1920</f>
        <v>5820</v>
      </c>
      <c r="V20" s="24">
        <f>3200+1740</f>
        <v>4940</v>
      </c>
      <c r="W20" s="24">
        <f>4080+4100</f>
        <v>8180</v>
      </c>
      <c r="X20" s="24"/>
      <c r="Y20" s="24">
        <f>2700+5380</f>
        <v>8080</v>
      </c>
      <c r="Z20" s="24">
        <f>2200+3000</f>
        <v>5200</v>
      </c>
      <c r="AA20" s="24"/>
      <c r="AB20" s="24"/>
      <c r="AC20" s="24"/>
      <c r="AD20" s="24">
        <f>238560-229800</f>
        <v>8760</v>
      </c>
      <c r="AE20" s="24"/>
      <c r="AF20" s="27"/>
      <c r="AG20" s="24">
        <f t="shared" si="0"/>
        <v>178040</v>
      </c>
      <c r="AH20" s="24">
        <f t="shared" si="1"/>
        <v>143080</v>
      </c>
      <c r="AI20" s="25">
        <f>14860+100+67600</f>
        <v>82560</v>
      </c>
      <c r="AJ20" s="24">
        <f t="shared" si="3"/>
        <v>238560</v>
      </c>
      <c r="AK20" s="27"/>
      <c r="AL20" s="9">
        <v>0</v>
      </c>
      <c r="AM20" s="9">
        <f t="shared" si="4"/>
        <v>238560</v>
      </c>
      <c r="AN20" s="26"/>
      <c r="AO20" s="37">
        <v>100</v>
      </c>
      <c r="AP20" s="26">
        <f>14860+67600</f>
        <v>82460</v>
      </c>
      <c r="AQ20" s="84"/>
      <c r="AR20" s="84"/>
      <c r="AS20" s="77">
        <f t="shared" si="2"/>
        <v>0</v>
      </c>
    </row>
    <row r="21" spans="1:61" x14ac:dyDescent="0.3">
      <c r="A21" s="23">
        <f t="shared" si="10"/>
        <v>17</v>
      </c>
      <c r="B21" s="47" t="s">
        <v>45</v>
      </c>
      <c r="C21" s="32" t="s">
        <v>46</v>
      </c>
      <c r="D21" s="56">
        <v>6700</v>
      </c>
      <c r="E21" s="24">
        <v>20</v>
      </c>
      <c r="F21" s="24">
        <v>80</v>
      </c>
      <c r="G21" s="24">
        <f>20+40</f>
        <v>60</v>
      </c>
      <c r="H21" s="24">
        <f>40+140</f>
        <v>180</v>
      </c>
      <c r="I21" s="24">
        <v>200</v>
      </c>
      <c r="J21" s="24"/>
      <c r="K21" s="24">
        <v>140</v>
      </c>
      <c r="L21" s="24">
        <f>60+220</f>
        <v>280</v>
      </c>
      <c r="M21" s="24">
        <v>160</v>
      </c>
      <c r="N21" s="24">
        <v>120</v>
      </c>
      <c r="O21" s="24">
        <v>200</v>
      </c>
      <c r="P21" s="24">
        <v>168</v>
      </c>
      <c r="Q21" s="24"/>
      <c r="R21" s="24">
        <v>160</v>
      </c>
      <c r="S21" s="24">
        <v>140</v>
      </c>
      <c r="T21" s="24">
        <f>20+100</f>
        <v>120</v>
      </c>
      <c r="U21" s="24">
        <f>60+60</f>
        <v>120</v>
      </c>
      <c r="V21" s="24">
        <v>200</v>
      </c>
      <c r="W21" s="24">
        <v>220</v>
      </c>
      <c r="X21" s="24"/>
      <c r="Y21" s="24">
        <v>180</v>
      </c>
      <c r="Z21" s="24">
        <f>60+100</f>
        <v>160</v>
      </c>
      <c r="AA21" s="24"/>
      <c r="AB21" s="24"/>
      <c r="AC21" s="24"/>
      <c r="AD21" s="24">
        <f>9720-9608</f>
        <v>112</v>
      </c>
      <c r="AE21" s="24"/>
      <c r="AF21" s="27"/>
      <c r="AG21" s="24">
        <f t="shared" si="0"/>
        <v>6700</v>
      </c>
      <c r="AH21" s="24">
        <f t="shared" si="1"/>
        <v>3020</v>
      </c>
      <c r="AI21" s="25"/>
      <c r="AJ21" s="24">
        <f t="shared" si="3"/>
        <v>9720</v>
      </c>
      <c r="AK21" s="27"/>
      <c r="AL21" s="9">
        <v>0</v>
      </c>
      <c r="AM21" s="9">
        <f t="shared" si="4"/>
        <v>9720</v>
      </c>
      <c r="AN21" s="26"/>
      <c r="AO21" s="37"/>
      <c r="AP21" s="26"/>
      <c r="AQ21" s="84"/>
      <c r="AR21" s="84"/>
      <c r="AS21" s="77">
        <f t="shared" si="2"/>
        <v>0</v>
      </c>
    </row>
    <row r="22" spans="1:61" x14ac:dyDescent="0.3">
      <c r="A22" s="23">
        <f t="shared" si="10"/>
        <v>18</v>
      </c>
      <c r="B22" s="47" t="s">
        <v>47</v>
      </c>
      <c r="C22" s="32" t="s">
        <v>48</v>
      </c>
      <c r="D22" s="56">
        <v>28680</v>
      </c>
      <c r="E22" s="24">
        <f>760+420</f>
        <v>1180</v>
      </c>
      <c r="F22" s="24">
        <f>600+2020</f>
        <v>2620</v>
      </c>
      <c r="G22" s="24">
        <f>780+1460</f>
        <v>2240</v>
      </c>
      <c r="H22" s="24">
        <f>860+2360</f>
        <v>3220</v>
      </c>
      <c r="I22" s="24">
        <f>380+2340</f>
        <v>2720</v>
      </c>
      <c r="J22" s="24"/>
      <c r="K22" s="24">
        <f>200+1880</f>
        <v>2080</v>
      </c>
      <c r="L22" s="24">
        <f>560+2560</f>
        <v>3120</v>
      </c>
      <c r="M22" s="24">
        <f>860+1940</f>
        <v>2800</v>
      </c>
      <c r="N22" s="24">
        <v>1840</v>
      </c>
      <c r="O22" s="24">
        <v>2360</v>
      </c>
      <c r="P22" s="24">
        <v>1400</v>
      </c>
      <c r="Q22" s="24"/>
      <c r="R22" s="24">
        <f>900+1760</f>
        <v>2660</v>
      </c>
      <c r="S22" s="24">
        <f>480+1380</f>
        <v>1860</v>
      </c>
      <c r="T22" s="24">
        <v>980</v>
      </c>
      <c r="U22" s="24">
        <f>1220+300</f>
        <v>1520</v>
      </c>
      <c r="V22" s="24">
        <v>1020</v>
      </c>
      <c r="W22" s="24">
        <f>480+1200</f>
        <v>1680</v>
      </c>
      <c r="X22" s="24"/>
      <c r="Y22" s="24">
        <f>260+1420</f>
        <v>1680</v>
      </c>
      <c r="Z22" s="24">
        <f>440+480</f>
        <v>920</v>
      </c>
      <c r="AA22" s="24"/>
      <c r="AB22" s="24"/>
      <c r="AC22" s="24"/>
      <c r="AD22" s="24">
        <f>67740-66580</f>
        <v>1160</v>
      </c>
      <c r="AE22" s="24"/>
      <c r="AF22" s="27"/>
      <c r="AG22" s="24">
        <f t="shared" si="0"/>
        <v>28680</v>
      </c>
      <c r="AH22" s="24">
        <f t="shared" si="1"/>
        <v>39060</v>
      </c>
      <c r="AI22" s="25"/>
      <c r="AJ22" s="24">
        <f t="shared" si="3"/>
        <v>67740</v>
      </c>
      <c r="AK22" s="27"/>
      <c r="AL22" s="9">
        <v>0</v>
      </c>
      <c r="AM22" s="9">
        <f t="shared" si="4"/>
        <v>67740</v>
      </c>
      <c r="AN22" s="26"/>
      <c r="AO22" s="37"/>
      <c r="AP22" s="26"/>
      <c r="AQ22" s="84"/>
      <c r="AR22" s="84"/>
      <c r="AS22" s="77">
        <f t="shared" si="2"/>
        <v>0</v>
      </c>
    </row>
    <row r="23" spans="1:61" x14ac:dyDescent="0.3">
      <c r="A23" s="23">
        <f t="shared" si="10"/>
        <v>19</v>
      </c>
      <c r="B23" s="32">
        <v>10009386</v>
      </c>
      <c r="C23" s="32" t="s">
        <v>63</v>
      </c>
      <c r="D23" s="56">
        <v>17260</v>
      </c>
      <c r="E23" s="24">
        <f>100+100</f>
        <v>200</v>
      </c>
      <c r="F23" s="24">
        <f>120+320</f>
        <v>440</v>
      </c>
      <c r="G23" s="24">
        <v>560</v>
      </c>
      <c r="H23" s="24"/>
      <c r="I23" s="24">
        <f>260+680</f>
        <v>940</v>
      </c>
      <c r="J23" s="24"/>
      <c r="K23" s="24">
        <v>240</v>
      </c>
      <c r="L23" s="24">
        <f>300+820</f>
        <v>1120</v>
      </c>
      <c r="M23" s="24">
        <v>800</v>
      </c>
      <c r="N23" s="24">
        <v>600</v>
      </c>
      <c r="O23" s="24">
        <v>880</v>
      </c>
      <c r="P23" s="24">
        <v>640</v>
      </c>
      <c r="Q23" s="24"/>
      <c r="R23" s="24">
        <v>560</v>
      </c>
      <c r="S23" s="24">
        <f>180+540</f>
        <v>720</v>
      </c>
      <c r="T23" s="24">
        <f>20+240</f>
        <v>260</v>
      </c>
      <c r="U23" s="24">
        <f>220+220</f>
        <v>440</v>
      </c>
      <c r="V23" s="24">
        <v>440</v>
      </c>
      <c r="W23" s="24">
        <v>520</v>
      </c>
      <c r="X23" s="24"/>
      <c r="Y23" s="24">
        <v>460</v>
      </c>
      <c r="Z23" s="24">
        <v>400</v>
      </c>
      <c r="AA23" s="24"/>
      <c r="AB23" s="24"/>
      <c r="AC23" s="24"/>
      <c r="AD23" s="24"/>
      <c r="AE23" s="24"/>
      <c r="AF23" s="27"/>
      <c r="AG23" s="24">
        <f t="shared" si="0"/>
        <v>17260</v>
      </c>
      <c r="AH23" s="24">
        <f t="shared" si="1"/>
        <v>10220</v>
      </c>
      <c r="AI23" s="25"/>
      <c r="AJ23" s="24">
        <f t="shared" si="3"/>
        <v>27480</v>
      </c>
      <c r="AK23" s="27"/>
      <c r="AL23" s="9">
        <v>0</v>
      </c>
      <c r="AM23" s="9">
        <f t="shared" si="4"/>
        <v>27480</v>
      </c>
      <c r="AN23" s="26"/>
      <c r="AO23" s="37"/>
      <c r="AP23" s="26"/>
      <c r="AQ23" s="84"/>
      <c r="AR23" s="84"/>
      <c r="AS23" s="77">
        <f t="shared" si="2"/>
        <v>0</v>
      </c>
    </row>
    <row r="24" spans="1:61" s="8" customFormat="1" x14ac:dyDescent="0.25">
      <c r="A24" s="11">
        <f>+A23+1</f>
        <v>20</v>
      </c>
      <c r="B24" s="12" t="s">
        <v>12</v>
      </c>
      <c r="C24" s="12" t="s">
        <v>13</v>
      </c>
      <c r="D24" s="57">
        <v>27900</v>
      </c>
      <c r="E24" s="10">
        <f>920+240</f>
        <v>1160</v>
      </c>
      <c r="F24" s="10">
        <f>680+2500</f>
        <v>3180</v>
      </c>
      <c r="G24" s="10">
        <f>880+2300</f>
        <v>3180</v>
      </c>
      <c r="H24" s="10">
        <f>820+4940</f>
        <v>5760</v>
      </c>
      <c r="I24" s="10">
        <v>5280</v>
      </c>
      <c r="J24" s="10">
        <v>300</v>
      </c>
      <c r="K24" s="10">
        <f>420+5060</f>
        <v>5480</v>
      </c>
      <c r="L24" s="10">
        <f>940+4400</f>
        <v>5340</v>
      </c>
      <c r="M24" s="10">
        <f>540+1920</f>
        <v>2460</v>
      </c>
      <c r="N24" s="10">
        <v>3520</v>
      </c>
      <c r="O24" s="10">
        <v>5920</v>
      </c>
      <c r="P24" s="10">
        <v>4480</v>
      </c>
      <c r="Q24" s="10"/>
      <c r="R24" s="10">
        <v>5120</v>
      </c>
      <c r="S24" s="10">
        <v>3940</v>
      </c>
      <c r="T24" s="10">
        <f>1240+520</f>
        <v>1760</v>
      </c>
      <c r="U24" s="10">
        <f>680+2420</f>
        <v>3100</v>
      </c>
      <c r="V24" s="10">
        <v>2640</v>
      </c>
      <c r="W24" s="10">
        <v>4360</v>
      </c>
      <c r="X24" s="10"/>
      <c r="Y24" s="10">
        <v>4600</v>
      </c>
      <c r="Z24" s="10">
        <f>180+2400</f>
        <v>2580</v>
      </c>
      <c r="AA24" s="10"/>
      <c r="AB24" s="10"/>
      <c r="AC24" s="10"/>
      <c r="AD24" s="10">
        <f>104880-102060</f>
        <v>2820</v>
      </c>
      <c r="AE24" s="10"/>
      <c r="AF24" s="26"/>
      <c r="AG24" s="10">
        <f t="shared" si="0"/>
        <v>27900</v>
      </c>
      <c r="AH24" s="10">
        <f t="shared" si="1"/>
        <v>76980</v>
      </c>
      <c r="AI24" s="14"/>
      <c r="AJ24" s="10">
        <f t="shared" si="3"/>
        <v>104880</v>
      </c>
      <c r="AK24" s="27"/>
      <c r="AL24" s="9">
        <v>0</v>
      </c>
      <c r="AM24" s="9">
        <f t="shared" si="4"/>
        <v>104880</v>
      </c>
      <c r="AN24" s="26"/>
      <c r="AO24" s="37"/>
      <c r="AP24" s="26"/>
      <c r="AQ24" s="84"/>
      <c r="AR24" s="84"/>
      <c r="AS24" s="77">
        <f t="shared" si="2"/>
        <v>0</v>
      </c>
      <c r="BA24" s="3"/>
      <c r="BG24" s="3"/>
      <c r="BH24" s="3"/>
      <c r="BI24" s="3"/>
    </row>
    <row r="25" spans="1:61" x14ac:dyDescent="0.3">
      <c r="A25" s="11">
        <f t="shared" ref="A25:A30" si="11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>
        <f t="shared" si="0"/>
        <v>140</v>
      </c>
      <c r="AH25" s="10">
        <f t="shared" si="1"/>
        <v>0</v>
      </c>
      <c r="AI25" s="14"/>
      <c r="AJ25" s="10">
        <f>+AG25+AH25-AI25</f>
        <v>140</v>
      </c>
      <c r="AK25" s="27"/>
      <c r="AL25" s="9">
        <v>0</v>
      </c>
      <c r="AM25" s="9">
        <f t="shared" si="4"/>
        <v>140</v>
      </c>
      <c r="AN25" s="26"/>
      <c r="AO25" s="37"/>
      <c r="AP25" s="26"/>
      <c r="AQ25" s="84"/>
      <c r="AR25" s="84"/>
      <c r="AS25" s="77">
        <f t="shared" si="2"/>
        <v>0</v>
      </c>
      <c r="BA25" s="8"/>
    </row>
    <row r="26" spans="1:61" x14ac:dyDescent="0.3">
      <c r="A26" s="11">
        <f t="shared" si="11"/>
        <v>22</v>
      </c>
      <c r="B26" s="12" t="s">
        <v>16</v>
      </c>
      <c r="C26" s="12" t="s">
        <v>17</v>
      </c>
      <c r="D26" s="57">
        <v>3020</v>
      </c>
      <c r="E26" s="10">
        <v>40</v>
      </c>
      <c r="F26" s="10">
        <v>80</v>
      </c>
      <c r="G26" s="10">
        <v>180</v>
      </c>
      <c r="H26" s="10">
        <v>240</v>
      </c>
      <c r="I26" s="10">
        <v>180</v>
      </c>
      <c r="J26" s="10">
        <v>60</v>
      </c>
      <c r="K26" s="10">
        <v>160</v>
      </c>
      <c r="L26" s="10">
        <f>80+180</f>
        <v>260</v>
      </c>
      <c r="M26" s="10">
        <v>160</v>
      </c>
      <c r="N26" s="10">
        <v>80</v>
      </c>
      <c r="O26" s="10">
        <v>180</v>
      </c>
      <c r="P26" s="10">
        <v>80</v>
      </c>
      <c r="Q26" s="10">
        <v>80</v>
      </c>
      <c r="R26" s="10">
        <v>140</v>
      </c>
      <c r="S26" s="10">
        <v>160</v>
      </c>
      <c r="T26" s="10">
        <v>80</v>
      </c>
      <c r="U26" s="10">
        <f>40+80</f>
        <v>120</v>
      </c>
      <c r="V26" s="10">
        <v>80</v>
      </c>
      <c r="W26" s="10">
        <v>300</v>
      </c>
      <c r="X26" s="10"/>
      <c r="Y26" s="10">
        <v>200</v>
      </c>
      <c r="Z26" s="10">
        <f>140+100</f>
        <v>240</v>
      </c>
      <c r="AA26" s="10"/>
      <c r="AB26" s="10"/>
      <c r="AC26" s="10"/>
      <c r="AD26" s="10">
        <f>6240-6120</f>
        <v>120</v>
      </c>
      <c r="AE26" s="10"/>
      <c r="AF26" s="26"/>
      <c r="AG26" s="10">
        <f t="shared" si="0"/>
        <v>3020</v>
      </c>
      <c r="AH26" s="10">
        <f t="shared" si="1"/>
        <v>3220</v>
      </c>
      <c r="AI26" s="14"/>
      <c r="AJ26" s="10">
        <f>+AG26+AH26-AI26</f>
        <v>6240</v>
      </c>
      <c r="AK26" s="27"/>
      <c r="AL26" s="9">
        <v>0</v>
      </c>
      <c r="AM26" s="9">
        <f t="shared" si="4"/>
        <v>6240</v>
      </c>
      <c r="AN26" s="26"/>
      <c r="AO26" s="37"/>
      <c r="AP26" s="26"/>
      <c r="AQ26" s="84"/>
      <c r="AR26" s="84"/>
      <c r="AS26" s="77">
        <f t="shared" si="2"/>
        <v>0</v>
      </c>
    </row>
    <row r="27" spans="1:61" x14ac:dyDescent="0.3">
      <c r="A27" s="11">
        <f t="shared" si="11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>
        <f t="shared" si="0"/>
        <v>200</v>
      </c>
      <c r="AH27" s="10">
        <f t="shared" si="1"/>
        <v>0</v>
      </c>
      <c r="AI27" s="14"/>
      <c r="AJ27" s="10">
        <f t="shared" si="3"/>
        <v>200</v>
      </c>
      <c r="AK27" s="27"/>
      <c r="AL27" s="9">
        <v>0</v>
      </c>
      <c r="AM27" s="9">
        <f t="shared" si="4"/>
        <v>200</v>
      </c>
      <c r="AN27" s="26"/>
      <c r="AO27" s="37"/>
      <c r="AP27" s="26"/>
      <c r="AQ27" s="84"/>
      <c r="AR27" s="84"/>
      <c r="AS27" s="77">
        <f t="shared" si="2"/>
        <v>0</v>
      </c>
    </row>
    <row r="28" spans="1:61" x14ac:dyDescent="0.3">
      <c r="A28" s="11">
        <f t="shared" si="11"/>
        <v>24</v>
      </c>
      <c r="B28" s="12" t="s">
        <v>49</v>
      </c>
      <c r="C28" s="12" t="s">
        <v>50</v>
      </c>
      <c r="D28" s="57">
        <v>203220</v>
      </c>
      <c r="E28" s="10">
        <f>4180+960</f>
        <v>5140</v>
      </c>
      <c r="F28" s="10">
        <f>5120+7980</f>
        <v>13100</v>
      </c>
      <c r="G28" s="10">
        <f>7840+5440</f>
        <v>13280</v>
      </c>
      <c r="H28" s="10">
        <f>10860+13240</f>
        <v>24100</v>
      </c>
      <c r="I28" s="10">
        <f>8440+13720</f>
        <v>22160</v>
      </c>
      <c r="J28" s="10">
        <v>160</v>
      </c>
      <c r="K28" s="10">
        <f>7480+13360</f>
        <v>20840</v>
      </c>
      <c r="L28" s="10">
        <f>8740+13920</f>
        <v>22660</v>
      </c>
      <c r="M28" s="10">
        <f>8140+14700</f>
        <v>22840</v>
      </c>
      <c r="N28" s="10">
        <v>10060</v>
      </c>
      <c r="O28" s="10">
        <v>15560</v>
      </c>
      <c r="P28" s="10">
        <v>9080</v>
      </c>
      <c r="Q28" s="9">
        <v>3380</v>
      </c>
      <c r="R28" s="10">
        <f>8060+12860</f>
        <v>20920</v>
      </c>
      <c r="S28" s="10">
        <f>7320+7520</f>
        <v>14840</v>
      </c>
      <c r="T28" s="10">
        <f>7280+2540</f>
        <v>9820</v>
      </c>
      <c r="U28" s="10">
        <f>5260+7460</f>
        <v>12720</v>
      </c>
      <c r="V28" s="10">
        <f>6980+3980</f>
        <v>10960</v>
      </c>
      <c r="W28" s="9">
        <f>13300+4920</f>
        <v>18220</v>
      </c>
      <c r="X28" s="10"/>
      <c r="Y28" s="10">
        <f>6900+10560</f>
        <v>17460</v>
      </c>
      <c r="Z28" s="10">
        <f>6700+4520</f>
        <v>11220</v>
      </c>
      <c r="AA28" s="10"/>
      <c r="AB28" s="10"/>
      <c r="AC28" s="10"/>
      <c r="AD28" s="10">
        <f>288880-267740</f>
        <v>21140</v>
      </c>
      <c r="AE28" s="10"/>
      <c r="AF28" s="26"/>
      <c r="AG28" s="10">
        <f t="shared" si="0"/>
        <v>203220</v>
      </c>
      <c r="AH28" s="10">
        <f t="shared" si="1"/>
        <v>319660</v>
      </c>
      <c r="AI28" s="14">
        <f>26000+104000+52000+52000</f>
        <v>234000</v>
      </c>
      <c r="AJ28" s="10">
        <f t="shared" si="3"/>
        <v>288880</v>
      </c>
      <c r="AK28" s="27"/>
      <c r="AL28" s="9">
        <v>0</v>
      </c>
      <c r="AM28" s="9">
        <f t="shared" si="4"/>
        <v>288880</v>
      </c>
      <c r="AN28" s="26"/>
      <c r="AO28" s="37"/>
      <c r="AP28" s="26">
        <f>26000+104000+52000+52000</f>
        <v>234000</v>
      </c>
      <c r="AQ28" s="84"/>
      <c r="AR28" s="84"/>
      <c r="AS28" s="77">
        <f t="shared" si="2"/>
        <v>0</v>
      </c>
    </row>
    <row r="29" spans="1:61" ht="15.6" customHeight="1" x14ac:dyDescent="0.3">
      <c r="A29" s="11">
        <f t="shared" si="11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>
        <f t="shared" si="0"/>
        <v>1960</v>
      </c>
      <c r="AH29" s="10">
        <f t="shared" si="1"/>
        <v>0</v>
      </c>
      <c r="AI29" s="14"/>
      <c r="AJ29" s="10">
        <f>+AG29+AH29-AI29</f>
        <v>1960</v>
      </c>
      <c r="AK29" s="27"/>
      <c r="AL29" s="9">
        <v>0</v>
      </c>
      <c r="AM29" s="9">
        <f t="shared" si="4"/>
        <v>1960</v>
      </c>
      <c r="AN29" s="26"/>
      <c r="AO29" s="37"/>
      <c r="AP29" s="26"/>
      <c r="AQ29" s="84"/>
      <c r="AR29" s="84"/>
      <c r="AS29" s="77">
        <f t="shared" si="2"/>
        <v>0</v>
      </c>
    </row>
    <row r="30" spans="1:61" x14ac:dyDescent="0.3">
      <c r="A30" s="11">
        <f t="shared" si="11"/>
        <v>26</v>
      </c>
      <c r="B30" s="12">
        <v>10009639</v>
      </c>
      <c r="C30" s="12" t="s">
        <v>69</v>
      </c>
      <c r="D30" s="57">
        <v>28480</v>
      </c>
      <c r="E30" s="10">
        <f>720+280</f>
        <v>1000</v>
      </c>
      <c r="F30" s="10">
        <f>300+1760</f>
        <v>2060</v>
      </c>
      <c r="G30" s="10">
        <f>680+1360</f>
        <v>2040</v>
      </c>
      <c r="H30" s="10">
        <f>1060+2080</f>
        <v>3140</v>
      </c>
      <c r="I30" s="9">
        <f>760+2120</f>
        <v>2880</v>
      </c>
      <c r="J30" s="10"/>
      <c r="K30" s="10">
        <f>420+2560</f>
        <v>2980</v>
      </c>
      <c r="L30" s="10">
        <f>1280+2340</f>
        <v>3620</v>
      </c>
      <c r="M30" s="10">
        <f>740+1720</f>
        <v>2460</v>
      </c>
      <c r="N30" s="10">
        <v>2000</v>
      </c>
      <c r="O30" s="10">
        <v>2080</v>
      </c>
      <c r="P30" s="10">
        <v>1520</v>
      </c>
      <c r="Q30" s="10">
        <v>860</v>
      </c>
      <c r="R30" s="10">
        <f>1000+2580</f>
        <v>3580</v>
      </c>
      <c r="S30" s="10">
        <f>740+1320</f>
        <v>2060</v>
      </c>
      <c r="T30" s="10">
        <f>660+600</f>
        <v>1260</v>
      </c>
      <c r="U30" s="10">
        <f>780+1320</f>
        <v>2100</v>
      </c>
      <c r="V30" s="10">
        <v>1280</v>
      </c>
      <c r="W30" s="10">
        <f>860+1260</f>
        <v>2120</v>
      </c>
      <c r="X30" s="10"/>
      <c r="Y30" s="10">
        <f>680+1320</f>
        <v>2000</v>
      </c>
      <c r="Z30" s="10">
        <f>1140+460</f>
        <v>1600</v>
      </c>
      <c r="AA30" s="10"/>
      <c r="AB30" s="10"/>
      <c r="AC30" s="10"/>
      <c r="AD30" s="10">
        <f>47080-44300</f>
        <v>2780</v>
      </c>
      <c r="AE30" s="10"/>
      <c r="AF30" s="26"/>
      <c r="AG30" s="10">
        <f t="shared" si="0"/>
        <v>28480</v>
      </c>
      <c r="AH30" s="10">
        <f t="shared" si="1"/>
        <v>45420</v>
      </c>
      <c r="AI30" s="14">
        <v>26820</v>
      </c>
      <c r="AJ30" s="10">
        <f>+AG30+AH30-AI30</f>
        <v>47080</v>
      </c>
      <c r="AK30" s="27"/>
      <c r="AL30" s="9">
        <v>0</v>
      </c>
      <c r="AM30" s="9">
        <f t="shared" si="4"/>
        <v>47080</v>
      </c>
      <c r="AN30" s="26"/>
      <c r="AO30" s="37"/>
      <c r="AP30" s="26">
        <v>26820</v>
      </c>
      <c r="AQ30" s="84"/>
      <c r="AR30" s="84"/>
      <c r="AS30" s="77">
        <f t="shared" si="2"/>
        <v>0</v>
      </c>
    </row>
    <row r="31" spans="1:61" x14ac:dyDescent="0.3">
      <c r="A31" s="28">
        <f>+A30+1</f>
        <v>27</v>
      </c>
      <c r="B31" s="31" t="s">
        <v>53</v>
      </c>
      <c r="C31" s="31" t="s">
        <v>54</v>
      </c>
      <c r="D31" s="58">
        <v>102460</v>
      </c>
      <c r="E31" s="29"/>
      <c r="F31" s="29">
        <f>3540+800</f>
        <v>4340</v>
      </c>
      <c r="G31" s="29">
        <f>5020+5440</f>
        <v>10460</v>
      </c>
      <c r="H31" s="29">
        <f>4600+3380</f>
        <v>7980</v>
      </c>
      <c r="I31" s="29">
        <v>6960</v>
      </c>
      <c r="J31" s="29">
        <v>700</v>
      </c>
      <c r="K31" s="29">
        <v>6120</v>
      </c>
      <c r="L31" s="29">
        <f>7460+9980</f>
        <v>17440</v>
      </c>
      <c r="M31" s="29">
        <f>12120+11300</f>
        <v>23420</v>
      </c>
      <c r="N31" s="29">
        <v>7720</v>
      </c>
      <c r="O31" s="29">
        <v>10440</v>
      </c>
      <c r="P31" s="29">
        <v>8940</v>
      </c>
      <c r="Q31" s="29"/>
      <c r="R31" s="29">
        <v>3660</v>
      </c>
      <c r="S31" s="29">
        <f>5040+7860</f>
        <v>12900</v>
      </c>
      <c r="T31" s="29">
        <f>18080+8920</f>
        <v>27000</v>
      </c>
      <c r="U31" s="29">
        <f>6740+5240</f>
        <v>11980</v>
      </c>
      <c r="V31" s="29">
        <f>10980+2820</f>
        <v>13800</v>
      </c>
      <c r="W31" s="29">
        <v>60</v>
      </c>
      <c r="X31" s="29"/>
      <c r="Y31" s="29"/>
      <c r="Z31" s="29">
        <v>4040</v>
      </c>
      <c r="AA31" s="29"/>
      <c r="AB31" s="29"/>
      <c r="AC31" s="29"/>
      <c r="AD31" s="29">
        <f>287540-253420</f>
        <v>34120</v>
      </c>
      <c r="AE31" s="29"/>
      <c r="AF31" s="26"/>
      <c r="AG31" s="29">
        <f t="shared" si="0"/>
        <v>102460</v>
      </c>
      <c r="AH31" s="29">
        <f t="shared" si="1"/>
        <v>212080</v>
      </c>
      <c r="AI31" s="30">
        <v>27000</v>
      </c>
      <c r="AJ31" s="29">
        <f>+AG31+AH31-AI31</f>
        <v>287540</v>
      </c>
      <c r="AK31" s="27"/>
      <c r="AL31" s="9">
        <v>0</v>
      </c>
      <c r="AM31" s="9">
        <f t="shared" si="4"/>
        <v>287540</v>
      </c>
      <c r="AN31" s="26"/>
      <c r="AO31" s="37"/>
      <c r="AP31" s="26">
        <v>27000</v>
      </c>
      <c r="AQ31" s="84"/>
      <c r="AR31" s="84"/>
      <c r="AS31" s="77">
        <f t="shared" si="2"/>
        <v>0</v>
      </c>
    </row>
    <row r="32" spans="1:61" x14ac:dyDescent="0.3">
      <c r="A32" s="28">
        <f t="shared" si="5"/>
        <v>28</v>
      </c>
      <c r="B32" s="31" t="s">
        <v>51</v>
      </c>
      <c r="C32" s="31" t="s">
        <v>52</v>
      </c>
      <c r="D32" s="58">
        <v>30780</v>
      </c>
      <c r="E32" s="29"/>
      <c r="F32" s="29"/>
      <c r="G32" s="29"/>
      <c r="H32" s="29">
        <v>760</v>
      </c>
      <c r="I32" s="29"/>
      <c r="J32" s="29"/>
      <c r="K32" s="29">
        <v>220</v>
      </c>
      <c r="L32" s="29">
        <v>380</v>
      </c>
      <c r="M32" s="29">
        <f>820+200</f>
        <v>1020</v>
      </c>
      <c r="N32" s="29">
        <v>340</v>
      </c>
      <c r="O32" s="29">
        <v>40</v>
      </c>
      <c r="P32" s="29">
        <v>100</v>
      </c>
      <c r="Q32" s="29">
        <v>60</v>
      </c>
      <c r="R32" s="29"/>
      <c r="S32" s="29">
        <f>220+40</f>
        <v>260</v>
      </c>
      <c r="T32" s="29">
        <f>640+40</f>
        <v>680</v>
      </c>
      <c r="U32" s="29">
        <f>100+140</f>
        <v>240</v>
      </c>
      <c r="V32" s="29">
        <v>80</v>
      </c>
      <c r="W32" s="29"/>
      <c r="X32" s="29"/>
      <c r="Y32" s="29"/>
      <c r="Z32" s="29">
        <v>360</v>
      </c>
      <c r="AA32" s="29"/>
      <c r="AB32" s="29"/>
      <c r="AC32" s="29"/>
      <c r="AD32" s="29">
        <f>36540-35320</f>
        <v>1220</v>
      </c>
      <c r="AE32" s="29"/>
      <c r="AF32" s="26"/>
      <c r="AG32" s="29">
        <f t="shared" si="0"/>
        <v>30780</v>
      </c>
      <c r="AH32" s="29">
        <f t="shared" si="1"/>
        <v>5760</v>
      </c>
      <c r="AI32" s="30"/>
      <c r="AJ32" s="29">
        <f t="shared" si="3"/>
        <v>36540</v>
      </c>
      <c r="AK32" s="27"/>
      <c r="AL32" s="9">
        <v>0</v>
      </c>
      <c r="AM32" s="9">
        <f t="shared" si="4"/>
        <v>36540</v>
      </c>
      <c r="AN32" s="26"/>
      <c r="AO32" s="37"/>
      <c r="AP32" s="26"/>
      <c r="AQ32" s="84"/>
      <c r="AR32" s="84"/>
      <c r="AS32" s="77">
        <f t="shared" si="2"/>
        <v>0</v>
      </c>
      <c r="BH32" s="5"/>
    </row>
    <row r="33" spans="1:61" x14ac:dyDescent="0.3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6"/>
      <c r="AG33" s="29">
        <f t="shared" si="0"/>
        <v>260</v>
      </c>
      <c r="AH33" s="29">
        <f t="shared" si="1"/>
        <v>0</v>
      </c>
      <c r="AI33" s="30"/>
      <c r="AJ33" s="29">
        <f t="shared" si="3"/>
        <v>260</v>
      </c>
      <c r="AK33" s="27"/>
      <c r="AL33" s="9">
        <v>0</v>
      </c>
      <c r="AM33" s="9">
        <f t="shared" si="4"/>
        <v>260</v>
      </c>
      <c r="AN33" s="26"/>
      <c r="AO33" s="37"/>
      <c r="AP33" s="26"/>
      <c r="AQ33" s="84"/>
      <c r="AR33" s="84"/>
      <c r="AS33" s="77">
        <f t="shared" si="2"/>
        <v>0</v>
      </c>
      <c r="BH33" s="5"/>
    </row>
    <row r="34" spans="1:61" x14ac:dyDescent="0.3">
      <c r="A34" s="28"/>
      <c r="B34" s="31">
        <v>10007050</v>
      </c>
      <c r="C34" s="31" t="s">
        <v>87</v>
      </c>
      <c r="D34" s="58">
        <v>11740</v>
      </c>
      <c r="E34" s="29"/>
      <c r="F34" s="36">
        <v>540</v>
      </c>
      <c r="G34" s="36">
        <v>380</v>
      </c>
      <c r="H34" s="29">
        <f>1000+160</f>
        <v>1160</v>
      </c>
      <c r="I34" s="29">
        <v>840</v>
      </c>
      <c r="J34" s="36">
        <v>160</v>
      </c>
      <c r="K34" s="36">
        <v>140</v>
      </c>
      <c r="L34" s="36">
        <f>600+340</f>
        <v>940</v>
      </c>
      <c r="M34" s="36">
        <f>220+1840</f>
        <v>2060</v>
      </c>
      <c r="N34" s="36">
        <v>300</v>
      </c>
      <c r="O34" s="36">
        <v>180</v>
      </c>
      <c r="P34" s="36">
        <v>860</v>
      </c>
      <c r="Q34" s="36"/>
      <c r="R34" s="36"/>
      <c r="S34" s="36">
        <f>40+160</f>
        <v>200</v>
      </c>
      <c r="T34" s="36">
        <f>660+1840</f>
        <v>2500</v>
      </c>
      <c r="U34" s="36">
        <f>1200+420</f>
        <v>1620</v>
      </c>
      <c r="V34" s="36">
        <f>940+640</f>
        <v>1580</v>
      </c>
      <c r="W34" s="36">
        <v>40</v>
      </c>
      <c r="X34" s="36"/>
      <c r="Y34" s="36"/>
      <c r="Z34" s="36">
        <v>340</v>
      </c>
      <c r="AA34" s="36"/>
      <c r="AB34" s="36"/>
      <c r="AC34" s="36"/>
      <c r="AD34" s="36">
        <f>26460-25580</f>
        <v>880</v>
      </c>
      <c r="AE34" s="36"/>
      <c r="AF34" s="27"/>
      <c r="AG34" s="29">
        <f t="shared" si="0"/>
        <v>11740</v>
      </c>
      <c r="AH34" s="29">
        <f t="shared" si="1"/>
        <v>14720</v>
      </c>
      <c r="AI34" s="30"/>
      <c r="AJ34" s="29">
        <f t="shared" si="3"/>
        <v>26460</v>
      </c>
      <c r="AK34" s="27"/>
      <c r="AL34" s="9">
        <v>0</v>
      </c>
      <c r="AM34" s="9">
        <f t="shared" si="4"/>
        <v>26460</v>
      </c>
      <c r="AN34" s="26"/>
      <c r="AO34" s="37"/>
      <c r="AP34" s="26"/>
      <c r="AQ34" s="84"/>
      <c r="AR34" s="84"/>
      <c r="AS34" s="77"/>
      <c r="BH34" s="5"/>
    </row>
    <row r="35" spans="1:61" ht="18.600000000000001" customHeight="1" x14ac:dyDescent="0.3">
      <c r="A35" s="28">
        <f>+A32+1</f>
        <v>29</v>
      </c>
      <c r="B35" s="31"/>
      <c r="C35" s="31" t="s">
        <v>81</v>
      </c>
      <c r="D35" s="58">
        <v>4700</v>
      </c>
      <c r="E35" s="29"/>
      <c r="F35" s="36"/>
      <c r="G35" s="36"/>
      <c r="H35" s="36"/>
      <c r="I35" s="36">
        <v>340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>
        <v>22290</v>
      </c>
      <c r="AE35" s="36"/>
      <c r="AF35" s="27"/>
      <c r="AG35" s="29">
        <f t="shared" si="0"/>
        <v>4700</v>
      </c>
      <c r="AH35" s="29">
        <f t="shared" si="1"/>
        <v>22630</v>
      </c>
      <c r="AI35" s="30">
        <v>5040</v>
      </c>
      <c r="AJ35" s="29">
        <f t="shared" si="3"/>
        <v>22290</v>
      </c>
      <c r="AK35" s="27"/>
      <c r="AL35" s="9">
        <v>0</v>
      </c>
      <c r="AM35" s="9">
        <f t="shared" si="4"/>
        <v>22290</v>
      </c>
      <c r="AN35" s="26">
        <v>5040</v>
      </c>
      <c r="AO35" s="37"/>
      <c r="AP35" s="26"/>
      <c r="AQ35" s="84"/>
      <c r="AR35" s="84"/>
      <c r="AS35" s="77">
        <f t="shared" si="2"/>
        <v>0</v>
      </c>
    </row>
    <row r="36" spans="1:61" ht="18.600000000000001" customHeight="1" x14ac:dyDescent="0.3">
      <c r="A36" s="28">
        <f>+A33+1</f>
        <v>29</v>
      </c>
      <c r="B36" s="31"/>
      <c r="C36" s="31" t="s">
        <v>82</v>
      </c>
      <c r="D36" s="58">
        <v>940</v>
      </c>
      <c r="E36" s="29">
        <v>40</v>
      </c>
      <c r="F36" s="36"/>
      <c r="G36" s="36"/>
      <c r="H36" s="36"/>
      <c r="I36" s="36"/>
      <c r="J36" s="36">
        <v>400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>
        <v>830</v>
      </c>
      <c r="AE36" s="36"/>
      <c r="AF36" s="27"/>
      <c r="AG36" s="29">
        <f t="shared" si="0"/>
        <v>940</v>
      </c>
      <c r="AH36" s="29">
        <f t="shared" si="1"/>
        <v>1270</v>
      </c>
      <c r="AI36" s="30">
        <f>300+1080</f>
        <v>1380</v>
      </c>
      <c r="AJ36" s="29">
        <f t="shared" si="3"/>
        <v>830</v>
      </c>
      <c r="AK36" s="27"/>
      <c r="AL36" s="9">
        <v>0</v>
      </c>
      <c r="AM36" s="9">
        <f t="shared" si="4"/>
        <v>830</v>
      </c>
      <c r="AN36" s="26">
        <f>300+1080</f>
        <v>1380</v>
      </c>
      <c r="AO36" s="37"/>
      <c r="AP36" s="26"/>
      <c r="AQ36" s="84"/>
      <c r="AR36" s="84"/>
      <c r="AS36" s="77">
        <f t="shared" si="2"/>
        <v>0</v>
      </c>
    </row>
    <row r="37" spans="1:61" x14ac:dyDescent="0.3">
      <c r="A37" s="28">
        <f t="shared" ref="A37:A38" si="12">+A35+1</f>
        <v>30</v>
      </c>
      <c r="B37" s="31"/>
      <c r="C37" s="31" t="s">
        <v>83</v>
      </c>
      <c r="D37" s="58">
        <v>1250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>
        <v>2600</v>
      </c>
      <c r="AE37" s="36"/>
      <c r="AF37" s="27"/>
      <c r="AG37" s="29">
        <f t="shared" si="0"/>
        <v>1250</v>
      </c>
      <c r="AH37" s="29">
        <f t="shared" si="1"/>
        <v>2600</v>
      </c>
      <c r="AI37" s="30">
        <v>1250</v>
      </c>
      <c r="AJ37" s="29">
        <f t="shared" si="3"/>
        <v>2600</v>
      </c>
      <c r="AK37" s="27"/>
      <c r="AL37" s="9">
        <v>0</v>
      </c>
      <c r="AM37" s="9">
        <f t="shared" si="4"/>
        <v>2600</v>
      </c>
      <c r="AN37" s="26">
        <v>1250</v>
      </c>
      <c r="AO37" s="37"/>
      <c r="AP37" s="26"/>
      <c r="AQ37" s="84"/>
      <c r="AR37" s="84"/>
      <c r="AS37" s="77">
        <f t="shared" si="2"/>
        <v>0</v>
      </c>
    </row>
    <row r="38" spans="1:61" x14ac:dyDescent="0.3">
      <c r="A38" s="28">
        <f t="shared" si="12"/>
        <v>30</v>
      </c>
      <c r="B38" s="31"/>
      <c r="C38" s="31" t="s">
        <v>84</v>
      </c>
      <c r="D38" s="58">
        <v>1260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>
        <v>2650</v>
      </c>
      <c r="AE38" s="36"/>
      <c r="AF38" s="27"/>
      <c r="AG38" s="29">
        <f t="shared" si="0"/>
        <v>1260</v>
      </c>
      <c r="AH38" s="29">
        <f t="shared" si="1"/>
        <v>2650</v>
      </c>
      <c r="AI38" s="30">
        <v>1260</v>
      </c>
      <c r="AJ38" s="29">
        <f t="shared" si="3"/>
        <v>2650</v>
      </c>
      <c r="AK38" s="27"/>
      <c r="AL38" s="9">
        <v>0</v>
      </c>
      <c r="AM38" s="9">
        <f t="shared" si="4"/>
        <v>2650</v>
      </c>
      <c r="AN38" s="26">
        <v>1260</v>
      </c>
      <c r="AO38" s="37"/>
      <c r="AP38" s="26"/>
      <c r="AQ38" s="84"/>
      <c r="AR38" s="84"/>
      <c r="AS38" s="77">
        <f t="shared" si="2"/>
        <v>0</v>
      </c>
    </row>
    <row r="39" spans="1:61" s="15" customFormat="1" x14ac:dyDescent="0.25">
      <c r="A39" s="23">
        <f>+A38+1</f>
        <v>31</v>
      </c>
      <c r="B39" s="32">
        <v>10009337</v>
      </c>
      <c r="C39" s="32" t="s">
        <v>62</v>
      </c>
      <c r="D39" s="56">
        <v>20385</v>
      </c>
      <c r="E39" s="24"/>
      <c r="F39" s="33">
        <v>390</v>
      </c>
      <c r="G39" s="33">
        <v>1455</v>
      </c>
      <c r="H39" s="33">
        <f>1170+360</f>
        <v>1530</v>
      </c>
      <c r="I39" s="33"/>
      <c r="J39" s="33"/>
      <c r="K39" s="33">
        <v>675</v>
      </c>
      <c r="L39" s="33">
        <f>150+1830</f>
        <v>1980</v>
      </c>
      <c r="M39" s="33">
        <f>1185+615</f>
        <v>1800</v>
      </c>
      <c r="N39" s="33">
        <v>990</v>
      </c>
      <c r="O39" s="33">
        <v>2250</v>
      </c>
      <c r="P39" s="33">
        <v>1605</v>
      </c>
      <c r="Q39" s="33"/>
      <c r="R39" s="33"/>
      <c r="S39" s="33">
        <f>1770+1380</f>
        <v>3150</v>
      </c>
      <c r="T39" s="33">
        <f>2900+1035</f>
        <v>3935</v>
      </c>
      <c r="U39" s="33">
        <v>660</v>
      </c>
      <c r="V39" s="33">
        <f>795+2085</f>
        <v>2880</v>
      </c>
      <c r="W39" s="33"/>
      <c r="X39" s="33"/>
      <c r="Y39" s="33"/>
      <c r="Z39" s="33"/>
      <c r="AA39" s="33"/>
      <c r="AB39" s="33"/>
      <c r="AC39" s="33"/>
      <c r="AD39" s="33">
        <f>19455-17060</f>
        <v>2395</v>
      </c>
      <c r="AE39" s="33"/>
      <c r="AF39" s="27"/>
      <c r="AG39" s="33">
        <f t="shared" si="0"/>
        <v>20385</v>
      </c>
      <c r="AH39" s="24">
        <f t="shared" si="1"/>
        <v>25695</v>
      </c>
      <c r="AI39" s="46">
        <v>26625</v>
      </c>
      <c r="AJ39" s="24">
        <f t="shared" si="3"/>
        <v>19455</v>
      </c>
      <c r="AK39" s="27">
        <v>52320</v>
      </c>
      <c r="AL39" s="9">
        <v>0</v>
      </c>
      <c r="AM39" s="9">
        <f t="shared" si="4"/>
        <v>19455</v>
      </c>
      <c r="AN39" s="26"/>
      <c r="AO39" s="86"/>
      <c r="AP39" s="26">
        <v>26625</v>
      </c>
      <c r="AQ39" s="84"/>
      <c r="AR39" s="84"/>
      <c r="AS39" s="77">
        <f t="shared" si="2"/>
        <v>0</v>
      </c>
      <c r="BG39" s="3"/>
      <c r="BH39" s="3"/>
      <c r="BI39" s="3"/>
    </row>
    <row r="40" spans="1:61" s="15" customFormat="1" x14ac:dyDescent="0.25">
      <c r="A40" s="23">
        <f t="shared" ref="A40" si="13">+A39+1</f>
        <v>32</v>
      </c>
      <c r="B40" s="32">
        <v>10009332</v>
      </c>
      <c r="C40" s="32" t="s">
        <v>64</v>
      </c>
      <c r="D40" s="56">
        <v>16230</v>
      </c>
      <c r="E40" s="24"/>
      <c r="F40" s="33">
        <v>375</v>
      </c>
      <c r="G40" s="33">
        <v>1170</v>
      </c>
      <c r="H40" s="33">
        <f>1560+120</f>
        <v>1680</v>
      </c>
      <c r="I40" s="33"/>
      <c r="J40" s="33"/>
      <c r="K40" s="33"/>
      <c r="L40" s="33">
        <f>585+2055</f>
        <v>2640</v>
      </c>
      <c r="M40" s="33">
        <f>1905+555</f>
        <v>2460</v>
      </c>
      <c r="N40" s="33"/>
      <c r="O40" s="33">
        <v>1485</v>
      </c>
      <c r="P40" s="33">
        <v>1985</v>
      </c>
      <c r="Q40" s="33"/>
      <c r="R40" s="33"/>
      <c r="S40" s="33">
        <f>2355+930</f>
        <v>3285</v>
      </c>
      <c r="T40" s="33">
        <f>915+2220</f>
        <v>3135</v>
      </c>
      <c r="U40" s="33">
        <v>495</v>
      </c>
      <c r="V40" s="33">
        <v>2295</v>
      </c>
      <c r="W40" s="33"/>
      <c r="X40" s="33"/>
      <c r="Y40" s="33"/>
      <c r="Z40" s="33">
        <v>555</v>
      </c>
      <c r="AA40" s="33"/>
      <c r="AB40" s="33"/>
      <c r="AC40" s="33"/>
      <c r="AD40" s="33">
        <f>14025-11165</f>
        <v>2860</v>
      </c>
      <c r="AE40" s="33"/>
      <c r="AF40" s="27"/>
      <c r="AG40" s="33">
        <f t="shared" si="0"/>
        <v>16230</v>
      </c>
      <c r="AH40" s="24">
        <f t="shared" si="1"/>
        <v>24420</v>
      </c>
      <c r="AI40" s="46">
        <v>26625</v>
      </c>
      <c r="AJ40" s="24">
        <f t="shared" si="3"/>
        <v>14025</v>
      </c>
      <c r="AK40" s="27"/>
      <c r="AL40" s="9">
        <v>0</v>
      </c>
      <c r="AM40" s="9">
        <f t="shared" si="4"/>
        <v>14025</v>
      </c>
      <c r="AN40" s="26"/>
      <c r="AO40" s="87"/>
      <c r="AP40" s="26">
        <v>26625</v>
      </c>
      <c r="AQ40" s="84"/>
      <c r="AR40" s="84"/>
      <c r="AS40" s="77">
        <f t="shared" si="2"/>
        <v>0</v>
      </c>
      <c r="BG40" s="3"/>
      <c r="BH40" s="3"/>
      <c r="BI40" s="3"/>
    </row>
    <row r="41" spans="1:61" s="15" customFormat="1" x14ac:dyDescent="0.25">
      <c r="A41" s="48">
        <f>+A40+1</f>
        <v>33</v>
      </c>
      <c r="B41" s="49"/>
      <c r="C41" s="49" t="s">
        <v>65</v>
      </c>
      <c r="D41" s="72">
        <v>66.174999999999997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67">
        <f t="shared" si="0"/>
        <v>66.174999999999997</v>
      </c>
      <c r="AH41" s="68">
        <f t="shared" si="1"/>
        <v>0</v>
      </c>
      <c r="AI41" s="69">
        <v>10</v>
      </c>
      <c r="AJ41" s="71">
        <f t="shared" si="3"/>
        <v>56.174999999999997</v>
      </c>
      <c r="AK41" s="70"/>
      <c r="AL41" s="9">
        <v>0</v>
      </c>
      <c r="AM41" s="18">
        <f t="shared" si="4"/>
        <v>56.174999999999997</v>
      </c>
      <c r="AN41" s="26"/>
      <c r="AO41" s="86"/>
      <c r="AP41" s="26"/>
      <c r="AQ41" s="84"/>
      <c r="AR41" s="84"/>
      <c r="AS41" s="77">
        <f t="shared" si="2"/>
        <v>0</v>
      </c>
      <c r="BG41" s="3"/>
      <c r="BH41" s="3"/>
      <c r="BI41" s="3"/>
    </row>
    <row r="42" spans="1:61" s="15" customFormat="1" x14ac:dyDescent="0.25">
      <c r="A42" s="48">
        <f t="shared" ref="A42:A43" si="14">+A41+1</f>
        <v>34</v>
      </c>
      <c r="B42" s="49"/>
      <c r="C42" s="49" t="s">
        <v>66</v>
      </c>
      <c r="D42" s="72">
        <v>26.774999999999999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67">
        <f t="shared" si="0"/>
        <v>26.774999999999999</v>
      </c>
      <c r="AH42" s="68">
        <f t="shared" si="1"/>
        <v>0</v>
      </c>
      <c r="AI42" s="69">
        <v>10</v>
      </c>
      <c r="AJ42" s="71">
        <f t="shared" si="3"/>
        <v>16.774999999999999</v>
      </c>
      <c r="AK42" s="70"/>
      <c r="AL42" s="9">
        <v>0</v>
      </c>
      <c r="AM42" s="18">
        <f t="shared" si="4"/>
        <v>16.774999999999999</v>
      </c>
      <c r="AN42" s="26"/>
      <c r="AO42" s="86"/>
      <c r="AP42" s="26"/>
      <c r="AQ42" s="84"/>
      <c r="AR42" s="84"/>
      <c r="AS42" s="77">
        <f t="shared" si="2"/>
        <v>0</v>
      </c>
      <c r="BG42" s="3"/>
      <c r="BH42" s="3"/>
      <c r="BI42" s="3"/>
    </row>
    <row r="43" spans="1:61" s="15" customFormat="1" x14ac:dyDescent="0.25">
      <c r="A43" s="48">
        <f t="shared" si="14"/>
        <v>35</v>
      </c>
      <c r="B43" s="49"/>
      <c r="C43" s="49" t="s">
        <v>80</v>
      </c>
      <c r="D43" s="72">
        <v>23.85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67">
        <f t="shared" si="0"/>
        <v>23.85</v>
      </c>
      <c r="AH43" s="68">
        <f t="shared" si="1"/>
        <v>0</v>
      </c>
      <c r="AI43" s="69"/>
      <c r="AJ43" s="71">
        <f t="shared" si="3"/>
        <v>23.85</v>
      </c>
      <c r="AK43" s="70"/>
      <c r="AL43" s="9">
        <v>0</v>
      </c>
      <c r="AM43" s="18">
        <f t="shared" si="4"/>
        <v>23.85</v>
      </c>
      <c r="AN43" s="26"/>
      <c r="AO43" s="86"/>
      <c r="AP43" s="26"/>
      <c r="AQ43" s="84"/>
      <c r="AR43" s="84"/>
      <c r="AS43" s="77">
        <f t="shared" si="2"/>
        <v>0</v>
      </c>
      <c r="BG43" s="3"/>
      <c r="BH43" s="3"/>
      <c r="BI43" s="3"/>
    </row>
    <row r="44" spans="1:61" x14ac:dyDescent="0.3">
      <c r="A44" s="43">
        <f>+A43+1</f>
        <v>36</v>
      </c>
      <c r="B44" s="44" t="s">
        <v>25</v>
      </c>
      <c r="C44" s="44" t="s">
        <v>26</v>
      </c>
      <c r="D44" s="59">
        <v>1120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>
        <f t="shared" si="0"/>
        <v>1120</v>
      </c>
      <c r="AH44" s="42">
        <f t="shared" si="1"/>
        <v>0</v>
      </c>
      <c r="AI44" s="42"/>
      <c r="AJ44" s="42">
        <f>SUM(G44:AG44)</f>
        <v>1120</v>
      </c>
      <c r="AK44" s="27"/>
      <c r="AL44" s="9">
        <v>0</v>
      </c>
      <c r="AM44" s="18">
        <f t="shared" si="4"/>
        <v>1120</v>
      </c>
      <c r="AN44" s="26"/>
      <c r="AO44" s="37"/>
      <c r="AP44" s="26"/>
      <c r="AQ44" s="84"/>
      <c r="AR44" s="84"/>
      <c r="AS44" s="77">
        <f t="shared" si="2"/>
        <v>0</v>
      </c>
    </row>
    <row r="45" spans="1:61" ht="3.6" customHeight="1" x14ac:dyDescent="0.3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27"/>
      <c r="AQ45" s="84">
        <f t="shared" ref="AQ45" si="15">SUM(AN45:AP45)</f>
        <v>0</v>
      </c>
      <c r="AR45" s="84">
        <f t="shared" ref="AR45" si="16">+AI45-AQ45</f>
        <v>0</v>
      </c>
    </row>
    <row r="46" spans="1:61" ht="15.6" x14ac:dyDescent="0.3">
      <c r="C46" s="1" t="s">
        <v>94</v>
      </c>
      <c r="D46" s="6">
        <f>SUM(D3:D44)</f>
        <v>1656565.8</v>
      </c>
      <c r="E46" s="6">
        <f>SUM(E3:E38)</f>
        <v>26504</v>
      </c>
      <c r="F46" s="6">
        <f t="shared" ref="F46:AD46" si="17">SUM(F3:F38)</f>
        <v>65452</v>
      </c>
      <c r="G46" s="6">
        <f t="shared" si="17"/>
        <v>75726</v>
      </c>
      <c r="H46" s="6">
        <f t="shared" si="17"/>
        <v>110724</v>
      </c>
      <c r="I46" s="6">
        <f t="shared" si="17"/>
        <v>152274</v>
      </c>
      <c r="J46" s="6">
        <f t="shared" si="17"/>
        <v>93072</v>
      </c>
      <c r="K46" s="6">
        <f t="shared" si="17"/>
        <v>116320</v>
      </c>
      <c r="L46" s="6">
        <f t="shared" si="17"/>
        <v>105660</v>
      </c>
      <c r="M46" s="6">
        <f t="shared" si="17"/>
        <v>101400</v>
      </c>
      <c r="N46" s="6">
        <f t="shared" si="17"/>
        <v>51820</v>
      </c>
      <c r="O46" s="6">
        <f t="shared" si="17"/>
        <v>55180</v>
      </c>
      <c r="P46" s="6">
        <f t="shared" si="17"/>
        <v>48148</v>
      </c>
      <c r="Q46" s="6">
        <f t="shared" si="17"/>
        <v>29920</v>
      </c>
      <c r="R46" s="6">
        <f t="shared" si="17"/>
        <v>110760</v>
      </c>
      <c r="S46" s="6">
        <f t="shared" si="17"/>
        <v>119440</v>
      </c>
      <c r="T46" s="6">
        <f t="shared" si="17"/>
        <v>105680</v>
      </c>
      <c r="U46" s="6">
        <f t="shared" si="17"/>
        <v>72220</v>
      </c>
      <c r="V46" s="6">
        <f t="shared" si="17"/>
        <v>75020</v>
      </c>
      <c r="W46" s="6">
        <f t="shared" si="17"/>
        <v>100920</v>
      </c>
      <c r="X46" s="6">
        <f t="shared" si="17"/>
        <v>42260</v>
      </c>
      <c r="Y46" s="6">
        <f t="shared" si="17"/>
        <v>110680</v>
      </c>
      <c r="Z46" s="6">
        <f t="shared" si="17"/>
        <v>102260</v>
      </c>
      <c r="AA46" s="6">
        <f t="shared" si="17"/>
        <v>0</v>
      </c>
      <c r="AB46" s="6">
        <f t="shared" si="17"/>
        <v>0</v>
      </c>
      <c r="AC46" s="6">
        <f t="shared" si="17"/>
        <v>0</v>
      </c>
      <c r="AD46" s="6">
        <f t="shared" si="17"/>
        <v>346782</v>
      </c>
      <c r="AE46" s="6">
        <f>SUM(AE3:AE44)</f>
        <v>0</v>
      </c>
      <c r="AF46" s="5">
        <f>SUM(AF3:AF38)</f>
        <v>0</v>
      </c>
      <c r="AG46" s="6">
        <f>SUM(AG3:AG44)</f>
        <v>1656565.8</v>
      </c>
      <c r="AH46" s="6">
        <f>SUM(AH3:AH44)</f>
        <v>2268337</v>
      </c>
      <c r="AI46" s="73">
        <f>SUM(AI3:AI44)</f>
        <v>1759000</v>
      </c>
      <c r="AJ46" s="35">
        <f>SUM(AJ3:AJ45)</f>
        <v>2165902.7999999998</v>
      </c>
      <c r="AK46" s="27"/>
      <c r="AL46" s="9">
        <f>SUM(AL1:AL44)</f>
        <v>0</v>
      </c>
      <c r="AM46" s="60">
        <f>SUM(AM1:AM44)</f>
        <v>2165902.7999999998</v>
      </c>
      <c r="AN46" s="60">
        <f>SUM(AN1:AN44)</f>
        <v>8930</v>
      </c>
      <c r="AO46" s="60">
        <f>SUM(AO1:AO44)</f>
        <v>780</v>
      </c>
      <c r="AP46" s="60">
        <f>SUM(AP1:AP44)</f>
        <v>1749270</v>
      </c>
      <c r="AQ46" s="84">
        <f>+AP46+AN46+AO46+20</f>
        <v>1759000</v>
      </c>
      <c r="AR46" s="84"/>
      <c r="BD46" s="3">
        <f>SUM(BD4:BD45)</f>
        <v>0</v>
      </c>
      <c r="BE46" s="5">
        <f>+BD46-AJ46</f>
        <v>-2165902.7999999998</v>
      </c>
    </row>
    <row r="47" spans="1:61" ht="3.6" customHeight="1" x14ac:dyDescent="0.3">
      <c r="AK47" s="27"/>
      <c r="AM47" s="5"/>
    </row>
    <row r="48" spans="1:61" x14ac:dyDescent="0.3">
      <c r="D48" s="74"/>
      <c r="AM48" s="5"/>
    </row>
    <row r="49" spans="4:44" x14ac:dyDescent="0.3">
      <c r="D49" s="5"/>
      <c r="AG49" s="101" t="s">
        <v>97</v>
      </c>
      <c r="AH49" s="102"/>
      <c r="AI49" s="102"/>
      <c r="AJ49" s="62">
        <f>+AJ46/1000</f>
        <v>2165.9027999999998</v>
      </c>
      <c r="AM49" s="5" t="s">
        <v>71</v>
      </c>
      <c r="AP49" s="3" t="s">
        <v>78</v>
      </c>
      <c r="AQ49" s="83" t="s">
        <v>79</v>
      </c>
      <c r="AR49" s="85"/>
    </row>
    <row r="50" spans="4:44" x14ac:dyDescent="0.3">
      <c r="AG50" s="3" t="s">
        <v>70</v>
      </c>
      <c r="AH50" s="61"/>
      <c r="AI50" s="61"/>
      <c r="AJ50" s="63">
        <v>0</v>
      </c>
      <c r="AM50" s="5" t="s">
        <v>72</v>
      </c>
      <c r="AN50" s="3">
        <f>+AP46/1000</f>
        <v>1749.27</v>
      </c>
      <c r="AO50" s="3">
        <v>1749.28</v>
      </c>
      <c r="AP50" s="3">
        <f>+AN50-AO50</f>
        <v>-9.9999999999909051E-3</v>
      </c>
      <c r="AQ50" s="83">
        <v>0</v>
      </c>
      <c r="AR50" s="85"/>
    </row>
    <row r="51" spans="4:44" x14ac:dyDescent="0.3">
      <c r="AH51" s="61"/>
      <c r="AI51" s="61"/>
      <c r="AJ51" s="63">
        <v>0</v>
      </c>
      <c r="AM51" s="3" t="s">
        <v>73</v>
      </c>
      <c r="AN51" s="3">
        <f>+AN46/1000</f>
        <v>8.93</v>
      </c>
      <c r="AR51" s="85"/>
    </row>
    <row r="52" spans="4:44" x14ac:dyDescent="0.3">
      <c r="AH52" s="61"/>
      <c r="AI52" s="61"/>
      <c r="AJ52" s="63">
        <v>0</v>
      </c>
      <c r="AM52" s="3" t="s">
        <v>74</v>
      </c>
      <c r="AN52" s="3">
        <f>+AO46/1000</f>
        <v>0.78</v>
      </c>
      <c r="AR52" s="85"/>
    </row>
    <row r="53" spans="4:44" x14ac:dyDescent="0.3">
      <c r="AG53" s="101" t="s">
        <v>67</v>
      </c>
      <c r="AH53" s="102"/>
      <c r="AI53" s="102"/>
      <c r="AJ53" s="64">
        <f>+AJ49-AJ50-AJ51-AJ52</f>
        <v>2165.9027999999998</v>
      </c>
      <c r="AM53" s="63"/>
      <c r="AN53" s="3">
        <f>SUM(AN50:AN52)</f>
        <v>1758.98</v>
      </c>
      <c r="AR53" s="85"/>
    </row>
    <row r="54" spans="4:44" x14ac:dyDescent="0.3">
      <c r="AM54" s="63"/>
      <c r="AN54" s="63"/>
    </row>
    <row r="55" spans="4:44" x14ac:dyDescent="0.3">
      <c r="AN55" s="63"/>
    </row>
    <row r="56" spans="4:44" x14ac:dyDescent="0.3">
      <c r="AH56" s="5"/>
    </row>
    <row r="57" spans="4:44" x14ac:dyDescent="0.3">
      <c r="AH57" s="5"/>
      <c r="AJ57" s="63"/>
    </row>
    <row r="59" spans="4:44" x14ac:dyDescent="0.3">
      <c r="AJ59" s="63"/>
    </row>
  </sheetData>
  <mergeCells count="7">
    <mergeCell ref="AM1:AM2"/>
    <mergeCell ref="AG49:AI49"/>
    <mergeCell ref="AG53:AI53"/>
    <mergeCell ref="A1:A2"/>
    <mergeCell ref="C1:C2"/>
    <mergeCell ref="D1:AE1"/>
    <mergeCell ref="AG1:AJ1"/>
  </mergeCells>
  <pageMargins left="0.31496062992125984" right="0.70866141732283472" top="0.15748031496062992" bottom="0.15748031496062992" header="0" footer="0.31496062992125984"/>
  <pageSetup paperSize="32004" scale="19" orientation="landscape" horizontalDpi="203" verticalDpi="20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1DDB-D93F-4643-B1FD-F5E3C6706CB9}">
  <sheetPr>
    <pageSetUpPr fitToPage="1"/>
  </sheetPr>
  <dimension ref="A1:AW56"/>
  <sheetViews>
    <sheetView zoomScale="91" zoomScaleNormal="91" workbookViewId="0">
      <pane xSplit="3" ySplit="2" topLeftCell="Q27" activePane="bottomRight" state="frozen"/>
      <selection pane="topRight" activeCell="D1" sqref="D1"/>
      <selection pane="bottomLeft" activeCell="A3" sqref="A3"/>
      <selection pane="bottomRight" activeCell="A45" sqref="A45"/>
    </sheetView>
  </sheetViews>
  <sheetFormatPr baseColWidth="10" defaultRowHeight="13.8" x14ac:dyDescent="0.25"/>
  <cols>
    <col min="1" max="1" width="5.5546875" style="3" customWidth="1"/>
    <col min="2" max="2" width="10.109375" style="3" customWidth="1"/>
    <col min="3" max="3" width="20.77734375" style="3" customWidth="1"/>
    <col min="4" max="4" width="13.33203125" style="3" customWidth="1"/>
    <col min="5" max="5" width="12.109375" style="3" customWidth="1"/>
    <col min="6" max="21" width="12" style="3" customWidth="1"/>
    <col min="22" max="22" width="12.21875" style="3" customWidth="1"/>
    <col min="23" max="23" width="1.109375" style="3" customWidth="1"/>
    <col min="24" max="25" width="11.6640625" style="3" customWidth="1"/>
    <col min="26" max="26" width="11.88671875" style="3" customWidth="1"/>
    <col min="27" max="27" width="12.6640625" style="3" customWidth="1"/>
    <col min="28" max="28" width="0.88671875" style="8" customWidth="1"/>
    <col min="29" max="29" width="11.5546875" style="3" customWidth="1"/>
    <col min="30" max="30" width="12.77734375" style="3" bestFit="1" customWidth="1"/>
    <col min="31" max="31" width="12.44140625" style="3" bestFit="1" customWidth="1"/>
    <col min="32" max="32" width="9.77734375" style="3" customWidth="1"/>
    <col min="33" max="33" width="11.77734375" style="3" bestFit="1" customWidth="1"/>
    <col min="34" max="38" width="9.77734375" style="3" customWidth="1"/>
    <col min="39" max="16384" width="11.5546875" style="3"/>
  </cols>
  <sheetData>
    <row r="1" spans="1:49" x14ac:dyDescent="0.25">
      <c r="A1" s="103" t="s">
        <v>1</v>
      </c>
      <c r="B1" s="2" t="s">
        <v>5</v>
      </c>
      <c r="C1" s="103" t="s">
        <v>0</v>
      </c>
      <c r="D1" s="103" t="s">
        <v>86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X1" s="103" t="s">
        <v>2</v>
      </c>
      <c r="Y1" s="103"/>
      <c r="Z1" s="103"/>
      <c r="AA1" s="103"/>
      <c r="AB1" s="27"/>
      <c r="AC1" s="16" t="s">
        <v>22</v>
      </c>
      <c r="AD1" s="99" t="s">
        <v>24</v>
      </c>
    </row>
    <row r="2" spans="1:49" x14ac:dyDescent="0.25">
      <c r="A2" s="103"/>
      <c r="B2" s="2" t="s">
        <v>6</v>
      </c>
      <c r="C2" s="103"/>
      <c r="D2" s="4" t="s">
        <v>20</v>
      </c>
      <c r="E2" s="4">
        <v>46037</v>
      </c>
      <c r="F2" s="4">
        <v>46038</v>
      </c>
      <c r="G2" s="4">
        <v>46039</v>
      </c>
      <c r="H2" s="4">
        <v>46040</v>
      </c>
      <c r="I2" s="4">
        <v>46041</v>
      </c>
      <c r="J2" s="4">
        <v>46042</v>
      </c>
      <c r="K2" s="4">
        <v>46043</v>
      </c>
      <c r="L2" s="4">
        <v>46044</v>
      </c>
      <c r="M2" s="4">
        <v>46045</v>
      </c>
      <c r="N2" s="4">
        <v>46046</v>
      </c>
      <c r="O2" s="4">
        <v>46047</v>
      </c>
      <c r="P2" s="4">
        <v>46048</v>
      </c>
      <c r="Q2" s="4">
        <v>46049</v>
      </c>
      <c r="R2" s="4">
        <v>46050</v>
      </c>
      <c r="S2" s="4">
        <v>46051</v>
      </c>
      <c r="T2" s="4">
        <v>46052</v>
      </c>
      <c r="U2" s="4">
        <v>46053</v>
      </c>
      <c r="V2" s="13">
        <v>46054</v>
      </c>
      <c r="W2" s="34"/>
      <c r="X2" s="2" t="s">
        <v>21</v>
      </c>
      <c r="Y2" s="2" t="s">
        <v>3</v>
      </c>
      <c r="Z2" s="2" t="s">
        <v>61</v>
      </c>
      <c r="AA2" s="2" t="s">
        <v>4</v>
      </c>
      <c r="AB2" s="27"/>
      <c r="AC2" s="16" t="s">
        <v>23</v>
      </c>
      <c r="AD2" s="100"/>
      <c r="AE2" s="65" t="s">
        <v>75</v>
      </c>
      <c r="AF2" s="65" t="s">
        <v>76</v>
      </c>
      <c r="AG2" s="65" t="s">
        <v>77</v>
      </c>
    </row>
    <row r="3" spans="1:49" ht="14.4" x14ac:dyDescent="0.25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27"/>
      <c r="X3" s="18">
        <f t="shared" ref="X3:X43" si="0">+D3</f>
        <v>180</v>
      </c>
      <c r="Y3" s="18">
        <f t="shared" ref="Y3:Y43" si="1">SUM(E3:V3)</f>
        <v>0</v>
      </c>
      <c r="Z3" s="19"/>
      <c r="AA3" s="18">
        <f>+X3+Y3-Z3</f>
        <v>180</v>
      </c>
      <c r="AB3" s="27">
        <f>+X3-AA3</f>
        <v>0</v>
      </c>
      <c r="AC3" s="9">
        <v>180</v>
      </c>
      <c r="AD3" s="18">
        <f>+AA3-AC3</f>
        <v>0</v>
      </c>
      <c r="AE3" s="60"/>
      <c r="AF3" s="65"/>
      <c r="AG3" s="60"/>
      <c r="AW3" s="5"/>
    </row>
    <row r="4" spans="1:49" ht="14.4" x14ac:dyDescent="0.25">
      <c r="A4" s="17">
        <f>+A3+1</f>
        <v>2</v>
      </c>
      <c r="B4" s="39" t="s">
        <v>29</v>
      </c>
      <c r="C4" s="39" t="s">
        <v>30</v>
      </c>
      <c r="D4" s="53">
        <v>12980</v>
      </c>
      <c r="E4" s="18">
        <v>120</v>
      </c>
      <c r="F4" s="18">
        <f>20+140</f>
        <v>160</v>
      </c>
      <c r="G4" s="18">
        <f>60+100</f>
        <v>160</v>
      </c>
      <c r="H4" s="18">
        <v>40</v>
      </c>
      <c r="I4" s="18">
        <f>240+260</f>
        <v>500</v>
      </c>
      <c r="J4" s="18">
        <f>80+180</f>
        <v>260</v>
      </c>
      <c r="K4" s="18"/>
      <c r="L4" s="18">
        <f>200+180</f>
        <v>380</v>
      </c>
      <c r="M4" s="18">
        <f>40+200</f>
        <v>240</v>
      </c>
      <c r="N4" s="18">
        <v>260</v>
      </c>
      <c r="O4" s="18">
        <v>540</v>
      </c>
      <c r="P4" s="18"/>
      <c r="Q4" s="18">
        <f>120+20</f>
        <v>140</v>
      </c>
      <c r="R4" s="18">
        <f>200+200</f>
        <v>400</v>
      </c>
      <c r="S4" s="18">
        <f>620+220</f>
        <v>840</v>
      </c>
      <c r="T4" s="18">
        <v>200</v>
      </c>
      <c r="U4" s="18">
        <f>40+20</f>
        <v>60</v>
      </c>
      <c r="V4" s="18">
        <v>620</v>
      </c>
      <c r="W4" s="27"/>
      <c r="X4" s="18">
        <f t="shared" si="0"/>
        <v>12980</v>
      </c>
      <c r="Y4" s="18">
        <f t="shared" si="1"/>
        <v>4920</v>
      </c>
      <c r="Z4" s="19"/>
      <c r="AA4" s="18">
        <f t="shared" ref="AA4:AA42" si="2">+X4+Y4-Z4</f>
        <v>17900</v>
      </c>
      <c r="AB4" s="27"/>
      <c r="AC4" s="78">
        <v>17900</v>
      </c>
      <c r="AD4" s="18">
        <f t="shared" ref="AD4:AD43" si="3">+AA4-AC4</f>
        <v>0</v>
      </c>
      <c r="AE4" s="60"/>
      <c r="AF4" s="65"/>
      <c r="AG4" s="60"/>
      <c r="AT4" s="15"/>
    </row>
    <row r="5" spans="1:49" ht="14.4" x14ac:dyDescent="0.25">
      <c r="A5" s="17">
        <f t="shared" ref="A5:A31" si="4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7"/>
      <c r="X5" s="18">
        <f t="shared" si="0"/>
        <v>660</v>
      </c>
      <c r="Y5" s="18">
        <f t="shared" si="1"/>
        <v>0</v>
      </c>
      <c r="Z5" s="19"/>
      <c r="AA5" s="18">
        <f t="shared" ref="AA5:AA10" si="5">+X5+Y5-Z5</f>
        <v>660</v>
      </c>
      <c r="AB5" s="27"/>
      <c r="AC5" s="78">
        <v>660</v>
      </c>
      <c r="AD5" s="18">
        <f t="shared" si="3"/>
        <v>0</v>
      </c>
      <c r="AE5" s="60"/>
      <c r="AF5" s="65"/>
      <c r="AG5" s="60"/>
    </row>
    <row r="6" spans="1:49" ht="14.4" x14ac:dyDescent="0.25">
      <c r="A6" s="17">
        <f t="shared" si="4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7"/>
      <c r="X6" s="18">
        <f t="shared" si="0"/>
        <v>680</v>
      </c>
      <c r="Y6" s="18">
        <f t="shared" si="1"/>
        <v>0</v>
      </c>
      <c r="Z6" s="19"/>
      <c r="AA6" s="18">
        <f t="shared" si="5"/>
        <v>680</v>
      </c>
      <c r="AB6" s="27"/>
      <c r="AC6" s="78">
        <v>680</v>
      </c>
      <c r="AD6" s="18">
        <f t="shared" si="3"/>
        <v>0</v>
      </c>
      <c r="AE6" s="60"/>
      <c r="AF6" s="65"/>
      <c r="AG6" s="60"/>
    </row>
    <row r="7" spans="1:49" ht="14.4" x14ac:dyDescent="0.25">
      <c r="A7" s="17">
        <f t="shared" si="4"/>
        <v>5</v>
      </c>
      <c r="B7" s="39" t="s">
        <v>34</v>
      </c>
      <c r="C7" s="39" t="s">
        <v>35</v>
      </c>
      <c r="D7" s="53">
        <v>95920</v>
      </c>
      <c r="E7" s="18">
        <f>8900+8240</f>
        <v>17140</v>
      </c>
      <c r="F7" s="18">
        <f>5760+5380</f>
        <v>11140</v>
      </c>
      <c r="G7" s="18">
        <f>7560+4900</f>
        <v>12460</v>
      </c>
      <c r="H7" s="18">
        <v>14360</v>
      </c>
      <c r="I7" s="18">
        <f>20740+5980</f>
        <v>26720</v>
      </c>
      <c r="J7" s="18">
        <f>20280+5820</f>
        <v>26100</v>
      </c>
      <c r="K7" s="18">
        <v>3860</v>
      </c>
      <c r="L7" s="18">
        <f>12440+2900</f>
        <v>15340</v>
      </c>
      <c r="M7" s="18">
        <f>13740+4060</f>
        <v>17800</v>
      </c>
      <c r="N7" s="18">
        <v>19440</v>
      </c>
      <c r="O7" s="18">
        <v>22640</v>
      </c>
      <c r="P7" s="18">
        <v>8660</v>
      </c>
      <c r="Q7" s="18">
        <f>3980+2680</f>
        <v>6660</v>
      </c>
      <c r="R7" s="18">
        <f>26300+13960</f>
        <v>40260</v>
      </c>
      <c r="S7" s="18">
        <f>22340+10420</f>
        <v>32760</v>
      </c>
      <c r="T7" s="18">
        <f>10980+320</f>
        <v>11300</v>
      </c>
      <c r="U7" s="18">
        <f>5240+2460</f>
        <v>7700</v>
      </c>
      <c r="V7" s="18">
        <v>18080</v>
      </c>
      <c r="W7" s="27"/>
      <c r="X7" s="18">
        <f t="shared" si="0"/>
        <v>95920</v>
      </c>
      <c r="Y7" s="18">
        <f t="shared" si="1"/>
        <v>312420</v>
      </c>
      <c r="Z7" s="19">
        <f>80+69700</f>
        <v>69780</v>
      </c>
      <c r="AA7" s="18">
        <f t="shared" si="5"/>
        <v>338560</v>
      </c>
      <c r="AB7" s="27"/>
      <c r="AC7" s="78">
        <v>338560</v>
      </c>
      <c r="AD7" s="18">
        <f t="shared" si="3"/>
        <v>0</v>
      </c>
      <c r="AE7" s="60"/>
      <c r="AF7" s="60">
        <v>80</v>
      </c>
      <c r="AG7" s="19">
        <v>69700</v>
      </c>
    </row>
    <row r="8" spans="1:49" ht="14.4" x14ac:dyDescent="0.25">
      <c r="A8" s="17">
        <f t="shared" si="4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7"/>
      <c r="X8" s="18">
        <f t="shared" si="0"/>
        <v>120</v>
      </c>
      <c r="Y8" s="18">
        <f t="shared" si="1"/>
        <v>0</v>
      </c>
      <c r="Z8" s="19"/>
      <c r="AA8" s="18">
        <f t="shared" si="5"/>
        <v>120</v>
      </c>
      <c r="AB8" s="27"/>
      <c r="AC8" s="78">
        <v>120</v>
      </c>
      <c r="AD8" s="18">
        <f t="shared" si="3"/>
        <v>0</v>
      </c>
      <c r="AE8" s="60"/>
      <c r="AF8" s="65"/>
      <c r="AG8" s="19"/>
    </row>
    <row r="9" spans="1:49" ht="14.4" x14ac:dyDescent="0.25">
      <c r="A9" s="17">
        <f t="shared" si="4"/>
        <v>7</v>
      </c>
      <c r="B9" s="39"/>
      <c r="C9" s="39" t="s">
        <v>88</v>
      </c>
      <c r="D9" s="5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6390</v>
      </c>
      <c r="Q9" s="18">
        <f>4680+5292</f>
        <v>9972</v>
      </c>
      <c r="R9" s="18">
        <v>288</v>
      </c>
      <c r="S9" s="18"/>
      <c r="T9" s="18"/>
      <c r="U9" s="18"/>
      <c r="V9" s="18"/>
      <c r="W9" s="27"/>
      <c r="X9" s="18">
        <f t="shared" si="0"/>
        <v>0</v>
      </c>
      <c r="Y9" s="18">
        <f t="shared" si="1"/>
        <v>16650</v>
      </c>
      <c r="Z9" s="19"/>
      <c r="AA9" s="18">
        <f t="shared" si="5"/>
        <v>16650</v>
      </c>
      <c r="AB9" s="27"/>
      <c r="AC9" s="78">
        <v>16650</v>
      </c>
      <c r="AD9" s="18">
        <f t="shared" si="3"/>
        <v>0</v>
      </c>
      <c r="AE9" s="60"/>
      <c r="AF9" s="65"/>
      <c r="AG9" s="19"/>
    </row>
    <row r="10" spans="1:49" ht="14.4" x14ac:dyDescent="0.25">
      <c r="A10" s="17"/>
      <c r="B10" s="39"/>
      <c r="C10" s="39" t="s">
        <v>89</v>
      </c>
      <c r="D10" s="5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>
        <f>1332+468</f>
        <v>1800</v>
      </c>
      <c r="R10" s="18">
        <v>54</v>
      </c>
      <c r="S10" s="18"/>
      <c r="T10" s="18"/>
      <c r="U10" s="18"/>
      <c r="V10" s="18"/>
      <c r="W10" s="27"/>
      <c r="X10" s="18">
        <f t="shared" si="0"/>
        <v>0</v>
      </c>
      <c r="Y10" s="18">
        <f t="shared" si="1"/>
        <v>1854</v>
      </c>
      <c r="Z10" s="19"/>
      <c r="AA10" s="18">
        <f t="shared" si="5"/>
        <v>1854</v>
      </c>
      <c r="AB10" s="27"/>
      <c r="AC10" s="78">
        <v>1854</v>
      </c>
      <c r="AD10" s="18">
        <f t="shared" si="3"/>
        <v>0</v>
      </c>
      <c r="AE10" s="60"/>
      <c r="AF10" s="65"/>
      <c r="AG10" s="19"/>
    </row>
    <row r="11" spans="1:49" s="8" customFormat="1" ht="14.4" x14ac:dyDescent="0.25">
      <c r="A11" s="37">
        <v>8</v>
      </c>
      <c r="B11" s="40" t="s">
        <v>40</v>
      </c>
      <c r="C11" s="40" t="s">
        <v>41</v>
      </c>
      <c r="D11" s="54">
        <v>6520</v>
      </c>
      <c r="E11" s="26">
        <v>300</v>
      </c>
      <c r="F11" s="26">
        <v>460</v>
      </c>
      <c r="G11" s="26">
        <v>440</v>
      </c>
      <c r="H11" s="26"/>
      <c r="I11" s="26">
        <v>380</v>
      </c>
      <c r="J11" s="26">
        <v>200</v>
      </c>
      <c r="K11" s="26">
        <v>60</v>
      </c>
      <c r="L11" s="26">
        <f>100+160</f>
        <v>260</v>
      </c>
      <c r="M11" s="26">
        <v>540</v>
      </c>
      <c r="N11" s="26">
        <v>60</v>
      </c>
      <c r="O11" s="26"/>
      <c r="P11" s="26">
        <v>1060</v>
      </c>
      <c r="Q11" s="26">
        <v>380</v>
      </c>
      <c r="R11" s="26">
        <f>240+260</f>
        <v>500</v>
      </c>
      <c r="S11" s="26">
        <f>400+400</f>
        <v>800</v>
      </c>
      <c r="T11" s="26">
        <v>40</v>
      </c>
      <c r="U11" s="26">
        <v>340</v>
      </c>
      <c r="V11" s="26"/>
      <c r="W11" s="27"/>
      <c r="X11" s="26">
        <f t="shared" si="0"/>
        <v>6520</v>
      </c>
      <c r="Y11" s="26">
        <f t="shared" si="1"/>
        <v>5820</v>
      </c>
      <c r="Z11" s="38"/>
      <c r="AA11" s="26">
        <f t="shared" si="2"/>
        <v>12340</v>
      </c>
      <c r="AB11" s="27"/>
      <c r="AC11" s="78">
        <v>12340</v>
      </c>
      <c r="AD11" s="18">
        <f t="shared" si="3"/>
        <v>0</v>
      </c>
      <c r="AE11" s="26"/>
      <c r="AF11" s="37"/>
      <c r="AG11" s="38"/>
    </row>
    <row r="12" spans="1:49" s="8" customFormat="1" ht="14.4" x14ac:dyDescent="0.25">
      <c r="A12" s="37">
        <f>+A11+1</f>
        <v>9</v>
      </c>
      <c r="B12" s="40">
        <v>10007969</v>
      </c>
      <c r="C12" s="40" t="s">
        <v>59</v>
      </c>
      <c r="D12" s="54">
        <v>33140</v>
      </c>
      <c r="E12" s="26">
        <v>1340</v>
      </c>
      <c r="F12" s="26">
        <v>2140</v>
      </c>
      <c r="G12" s="26">
        <v>2280</v>
      </c>
      <c r="H12" s="26"/>
      <c r="I12" s="26">
        <f>720+1540</f>
        <v>2260</v>
      </c>
      <c r="J12" s="26">
        <v>1020</v>
      </c>
      <c r="K12" s="26">
        <f>340+480</f>
        <v>820</v>
      </c>
      <c r="L12" s="26">
        <v>760</v>
      </c>
      <c r="M12" s="26">
        <f>940+1500</f>
        <v>2440</v>
      </c>
      <c r="N12" s="26">
        <v>3440</v>
      </c>
      <c r="O12" s="26"/>
      <c r="P12" s="26">
        <f>120+3620</f>
        <v>3740</v>
      </c>
      <c r="Q12" s="26">
        <f>200+3180</f>
        <v>3380</v>
      </c>
      <c r="R12" s="26">
        <v>3380</v>
      </c>
      <c r="S12" s="26">
        <f>240+1880</f>
        <v>2120</v>
      </c>
      <c r="T12" s="26">
        <v>200</v>
      </c>
      <c r="U12" s="26">
        <v>2520</v>
      </c>
      <c r="V12" s="26"/>
      <c r="W12" s="27"/>
      <c r="X12" s="26">
        <f t="shared" si="0"/>
        <v>33140</v>
      </c>
      <c r="Y12" s="26">
        <f t="shared" si="1"/>
        <v>31840</v>
      </c>
      <c r="Z12" s="38">
        <f>24000+20</f>
        <v>24020</v>
      </c>
      <c r="AA12" s="26">
        <f t="shared" si="2"/>
        <v>40960</v>
      </c>
      <c r="AB12" s="27"/>
      <c r="AC12" s="78">
        <v>40960</v>
      </c>
      <c r="AD12" s="18">
        <f t="shared" si="3"/>
        <v>0</v>
      </c>
      <c r="AE12" s="26"/>
      <c r="AF12" s="37">
        <v>20</v>
      </c>
      <c r="AG12" s="38">
        <f>24000</f>
        <v>24000</v>
      </c>
    </row>
    <row r="13" spans="1:49" ht="14.4" x14ac:dyDescent="0.25">
      <c r="A13" s="7">
        <f>+A12+1</f>
        <v>10</v>
      </c>
      <c r="B13" s="20" t="s">
        <v>8</v>
      </c>
      <c r="C13" s="20" t="s">
        <v>9</v>
      </c>
      <c r="D13" s="55">
        <v>300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7"/>
      <c r="X13" s="21">
        <f t="shared" si="0"/>
        <v>300</v>
      </c>
      <c r="Y13" s="21">
        <f t="shared" si="1"/>
        <v>0</v>
      </c>
      <c r="Z13" s="22"/>
      <c r="AA13" s="21">
        <f t="shared" si="2"/>
        <v>300</v>
      </c>
      <c r="AB13" s="27"/>
      <c r="AC13" s="78">
        <f>120+180</f>
        <v>300</v>
      </c>
      <c r="AD13" s="18">
        <f t="shared" si="3"/>
        <v>0</v>
      </c>
      <c r="AE13" s="60"/>
      <c r="AF13" s="65"/>
      <c r="AG13" s="22"/>
    </row>
    <row r="14" spans="1:49" ht="14.4" x14ac:dyDescent="0.25">
      <c r="A14" s="7">
        <f t="shared" ref="A14:A16" si="6">+A13+1</f>
        <v>11</v>
      </c>
      <c r="B14" s="20" t="s">
        <v>10</v>
      </c>
      <c r="C14" s="20" t="s">
        <v>11</v>
      </c>
      <c r="D14" s="55">
        <v>1120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7"/>
      <c r="X14" s="21">
        <f t="shared" si="0"/>
        <v>1120</v>
      </c>
      <c r="Y14" s="21">
        <f t="shared" si="1"/>
        <v>0</v>
      </c>
      <c r="Z14" s="22"/>
      <c r="AA14" s="21">
        <f t="shared" si="2"/>
        <v>1120</v>
      </c>
      <c r="AB14" s="27"/>
      <c r="AC14" s="9">
        <v>1120</v>
      </c>
      <c r="AD14" s="18">
        <f t="shared" si="3"/>
        <v>0</v>
      </c>
      <c r="AE14" s="60"/>
      <c r="AF14" s="65"/>
      <c r="AG14" s="22"/>
    </row>
    <row r="15" spans="1:49" ht="14.4" x14ac:dyDescent="0.25">
      <c r="A15" s="7">
        <f t="shared" si="6"/>
        <v>12</v>
      </c>
      <c r="B15" s="20" t="s">
        <v>57</v>
      </c>
      <c r="C15" s="20" t="s">
        <v>58</v>
      </c>
      <c r="D15" s="55">
        <v>155380</v>
      </c>
      <c r="E15" s="21">
        <f>14860+12480</f>
        <v>27340</v>
      </c>
      <c r="F15" s="21">
        <f>19020+30620</f>
        <v>49640</v>
      </c>
      <c r="G15" s="21">
        <f>29320+25140</f>
        <v>54460</v>
      </c>
      <c r="H15" s="21"/>
      <c r="I15" s="21">
        <f>22180+240</f>
        <v>22420</v>
      </c>
      <c r="J15" s="21">
        <v>3500</v>
      </c>
      <c r="K15" s="21">
        <v>7760</v>
      </c>
      <c r="L15" s="21">
        <v>3800</v>
      </c>
      <c r="M15" s="21">
        <f>6620+5060</f>
        <v>11680</v>
      </c>
      <c r="N15" s="21">
        <f>6660+20840</f>
        <v>27500</v>
      </c>
      <c r="O15" s="21">
        <v>19200</v>
      </c>
      <c r="P15" s="21">
        <f>21740+11680</f>
        <v>33420</v>
      </c>
      <c r="Q15" s="21">
        <f>42220+16840</f>
        <v>59060</v>
      </c>
      <c r="R15" s="21">
        <f>27860+14020</f>
        <v>41880</v>
      </c>
      <c r="S15" s="21">
        <f>36440+4560</f>
        <v>41000</v>
      </c>
      <c r="T15" s="21"/>
      <c r="U15" s="21">
        <f>21900+27300</f>
        <v>49200</v>
      </c>
      <c r="V15" s="21"/>
      <c r="W15" s="27"/>
      <c r="X15" s="21">
        <f t="shared" si="0"/>
        <v>155380</v>
      </c>
      <c r="Y15" s="21">
        <f t="shared" si="1"/>
        <v>451860</v>
      </c>
      <c r="Z15" s="22">
        <f>60+135000</f>
        <v>135060</v>
      </c>
      <c r="AA15" s="21">
        <f t="shared" si="2"/>
        <v>472180</v>
      </c>
      <c r="AB15" s="27"/>
      <c r="AC15" s="78">
        <v>472180</v>
      </c>
      <c r="AD15" s="18">
        <f t="shared" si="3"/>
        <v>0</v>
      </c>
      <c r="AE15" s="60"/>
      <c r="AF15" s="65">
        <v>60</v>
      </c>
      <c r="AG15" s="22">
        <f>135000</f>
        <v>135000</v>
      </c>
      <c r="AU15" s="15"/>
    </row>
    <row r="16" spans="1:49" ht="14.4" x14ac:dyDescent="0.25">
      <c r="A16" s="7">
        <f t="shared" si="6"/>
        <v>13</v>
      </c>
      <c r="B16" s="20" t="s">
        <v>55</v>
      </c>
      <c r="C16" s="20" t="s">
        <v>56</v>
      </c>
      <c r="D16" s="55">
        <v>55940</v>
      </c>
      <c r="E16" s="21">
        <f>3020+5980</f>
        <v>9000</v>
      </c>
      <c r="F16" s="21">
        <f>1280+6980</f>
        <v>8260</v>
      </c>
      <c r="G16" s="21">
        <v>5160</v>
      </c>
      <c r="H16" s="21"/>
      <c r="I16" s="21">
        <f>920+1580</f>
        <v>2500</v>
      </c>
      <c r="J16" s="21">
        <v>920</v>
      </c>
      <c r="K16" s="21">
        <v>1020</v>
      </c>
      <c r="L16" s="21">
        <f>2140+3420</f>
        <v>5560</v>
      </c>
      <c r="M16" s="21">
        <f>2020+3500</f>
        <v>5520</v>
      </c>
      <c r="N16" s="21">
        <v>1820</v>
      </c>
      <c r="O16" s="21"/>
      <c r="P16" s="21">
        <f>600+1060</f>
        <v>1660</v>
      </c>
      <c r="Q16" s="21">
        <v>1420</v>
      </c>
      <c r="R16" s="21">
        <v>540</v>
      </c>
      <c r="S16" s="21">
        <f>2960+2860</f>
        <v>5820</v>
      </c>
      <c r="T16" s="21">
        <v>820</v>
      </c>
      <c r="U16" s="21">
        <v>6480</v>
      </c>
      <c r="V16" s="21"/>
      <c r="W16" s="27"/>
      <c r="X16" s="21">
        <f t="shared" si="0"/>
        <v>55940</v>
      </c>
      <c r="Y16" s="21">
        <f t="shared" si="1"/>
        <v>56500</v>
      </c>
      <c r="Z16" s="22">
        <f>23600+23800</f>
        <v>47400</v>
      </c>
      <c r="AA16" s="21">
        <f>+X16+Y16-Z16</f>
        <v>65040</v>
      </c>
      <c r="AB16" s="27"/>
      <c r="AC16" s="78">
        <v>65040</v>
      </c>
      <c r="AD16" s="18">
        <f t="shared" si="3"/>
        <v>0</v>
      </c>
      <c r="AE16" s="60"/>
      <c r="AF16" s="65"/>
      <c r="AG16" s="22">
        <f>23600+23800</f>
        <v>47400</v>
      </c>
      <c r="AT16" s="8"/>
    </row>
    <row r="17" spans="1:48" ht="14.4" x14ac:dyDescent="0.25">
      <c r="A17" s="23">
        <f>+A16+1</f>
        <v>14</v>
      </c>
      <c r="B17" s="47" t="s">
        <v>42</v>
      </c>
      <c r="C17" s="32" t="s">
        <v>7</v>
      </c>
      <c r="D17" s="56">
        <v>940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7"/>
      <c r="X17" s="24">
        <f t="shared" si="0"/>
        <v>940</v>
      </c>
      <c r="Y17" s="24">
        <f t="shared" si="1"/>
        <v>0</v>
      </c>
      <c r="Z17" s="25"/>
      <c r="AA17" s="24">
        <f t="shared" si="2"/>
        <v>940</v>
      </c>
      <c r="AB17" s="27"/>
      <c r="AC17" s="9">
        <f>180+760</f>
        <v>940</v>
      </c>
      <c r="AD17" s="18">
        <f t="shared" si="3"/>
        <v>0</v>
      </c>
      <c r="AE17" s="60"/>
      <c r="AF17" s="65"/>
      <c r="AG17" s="25"/>
    </row>
    <row r="18" spans="1:48" ht="14.4" x14ac:dyDescent="0.25">
      <c r="A18" s="23">
        <f t="shared" ref="A18:A22" si="7">+A17+1</f>
        <v>15</v>
      </c>
      <c r="B18" s="47">
        <v>10009271</v>
      </c>
      <c r="C18" s="32" t="s">
        <v>60</v>
      </c>
      <c r="D18" s="56">
        <v>240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7"/>
      <c r="X18" s="24">
        <f t="shared" si="0"/>
        <v>240</v>
      </c>
      <c r="Y18" s="24">
        <f t="shared" si="1"/>
        <v>0</v>
      </c>
      <c r="Z18" s="25"/>
      <c r="AA18" s="24">
        <f t="shared" si="2"/>
        <v>240</v>
      </c>
      <c r="AB18" s="27"/>
      <c r="AC18" s="9">
        <v>240</v>
      </c>
      <c r="AD18" s="18">
        <f t="shared" si="3"/>
        <v>0</v>
      </c>
      <c r="AE18" s="60"/>
      <c r="AF18" s="65"/>
      <c r="AG18" s="25"/>
    </row>
    <row r="19" spans="1:48" ht="14.4" x14ac:dyDescent="0.25">
      <c r="A19" s="23">
        <f t="shared" si="7"/>
        <v>16</v>
      </c>
      <c r="B19" s="47" t="s">
        <v>43</v>
      </c>
      <c r="C19" s="32" t="s">
        <v>44</v>
      </c>
      <c r="D19" s="56">
        <v>96180</v>
      </c>
      <c r="E19" s="24">
        <f>700+3300</f>
        <v>4000</v>
      </c>
      <c r="F19" s="24">
        <f>1560+4720</f>
        <v>6280</v>
      </c>
      <c r="G19" s="24">
        <f>2420+4220</f>
        <v>6640</v>
      </c>
      <c r="H19" s="24"/>
      <c r="I19" s="24">
        <f>3980+2940</f>
        <v>6920</v>
      </c>
      <c r="J19" s="24">
        <v>3160</v>
      </c>
      <c r="K19" s="24">
        <f>980+2760</f>
        <v>3740</v>
      </c>
      <c r="L19" s="24">
        <v>1160</v>
      </c>
      <c r="M19" s="24">
        <f>4020+2700</f>
        <v>6720</v>
      </c>
      <c r="N19" s="24">
        <f>1320+5600</f>
        <v>6920</v>
      </c>
      <c r="O19" s="24"/>
      <c r="P19" s="24">
        <f>4000+5320</f>
        <v>9320</v>
      </c>
      <c r="Q19" s="24">
        <f>2520+7060</f>
        <v>9580</v>
      </c>
      <c r="R19" s="24">
        <f>1920+6740</f>
        <v>8660</v>
      </c>
      <c r="S19" s="24">
        <f>280+4600</f>
        <v>4880</v>
      </c>
      <c r="T19" s="24">
        <v>560</v>
      </c>
      <c r="U19" s="24">
        <f>1860+4520</f>
        <v>6380</v>
      </c>
      <c r="V19" s="24"/>
      <c r="W19" s="27"/>
      <c r="X19" s="24">
        <f t="shared" si="0"/>
        <v>96180</v>
      </c>
      <c r="Y19" s="24">
        <f t="shared" si="1"/>
        <v>84920</v>
      </c>
      <c r="Z19" s="25">
        <f>40+20+3000</f>
        <v>3060</v>
      </c>
      <c r="AA19" s="24">
        <f t="shared" si="2"/>
        <v>178040</v>
      </c>
      <c r="AB19" s="27"/>
      <c r="AC19" s="78">
        <v>178040</v>
      </c>
      <c r="AD19" s="18">
        <f t="shared" si="3"/>
        <v>0</v>
      </c>
      <c r="AE19" s="60"/>
      <c r="AF19" s="65">
        <f>40+20</f>
        <v>60</v>
      </c>
      <c r="AG19" s="25">
        <f>3000</f>
        <v>3000</v>
      </c>
    </row>
    <row r="20" spans="1:48" ht="14.4" x14ac:dyDescent="0.25">
      <c r="A20" s="23">
        <f t="shared" si="7"/>
        <v>17</v>
      </c>
      <c r="B20" s="47" t="s">
        <v>45</v>
      </c>
      <c r="C20" s="32" t="s">
        <v>46</v>
      </c>
      <c r="D20" s="56">
        <v>4900</v>
      </c>
      <c r="E20" s="24">
        <v>100</v>
      </c>
      <c r="F20" s="24">
        <f>20+100</f>
        <v>120</v>
      </c>
      <c r="G20" s="24"/>
      <c r="H20" s="24"/>
      <c r="I20" s="24">
        <f>60+180</f>
        <v>240</v>
      </c>
      <c r="J20" s="24">
        <v>140</v>
      </c>
      <c r="K20" s="24"/>
      <c r="L20" s="24">
        <f>80+20</f>
        <v>100</v>
      </c>
      <c r="M20" s="24">
        <f>40+60</f>
        <v>100</v>
      </c>
      <c r="N20" s="24">
        <f>140+0</f>
        <v>140</v>
      </c>
      <c r="O20" s="24"/>
      <c r="P20" s="24">
        <v>180</v>
      </c>
      <c r="Q20" s="24">
        <f>60+160</f>
        <v>220</v>
      </c>
      <c r="R20" s="24">
        <v>180</v>
      </c>
      <c r="S20" s="24">
        <v>120</v>
      </c>
      <c r="T20" s="24">
        <v>0</v>
      </c>
      <c r="U20" s="24">
        <v>160</v>
      </c>
      <c r="V20" s="24"/>
      <c r="W20" s="27"/>
      <c r="X20" s="24">
        <f t="shared" si="0"/>
        <v>4900</v>
      </c>
      <c r="Y20" s="24">
        <f t="shared" si="1"/>
        <v>1800</v>
      </c>
      <c r="Z20" s="25"/>
      <c r="AA20" s="24">
        <f t="shared" si="2"/>
        <v>6700</v>
      </c>
      <c r="AB20" s="27"/>
      <c r="AC20" s="9">
        <v>6700</v>
      </c>
      <c r="AD20" s="18">
        <f t="shared" si="3"/>
        <v>0</v>
      </c>
      <c r="AE20" s="60"/>
      <c r="AF20" s="65"/>
      <c r="AG20" s="25"/>
    </row>
    <row r="21" spans="1:48" ht="14.4" x14ac:dyDescent="0.25">
      <c r="A21" s="23">
        <f t="shared" si="7"/>
        <v>18</v>
      </c>
      <c r="B21" s="47" t="s">
        <v>47</v>
      </c>
      <c r="C21" s="32" t="s">
        <v>48</v>
      </c>
      <c r="D21" s="56">
        <v>17040</v>
      </c>
      <c r="E21" s="24">
        <v>1720</v>
      </c>
      <c r="F21" s="24">
        <f>640+1520</f>
        <v>2160</v>
      </c>
      <c r="G21" s="24">
        <f>720+1640</f>
        <v>2360</v>
      </c>
      <c r="H21" s="24"/>
      <c r="I21" s="24">
        <f>1260+560</f>
        <v>1820</v>
      </c>
      <c r="J21" s="24">
        <v>660</v>
      </c>
      <c r="K21" s="24">
        <v>300</v>
      </c>
      <c r="L21" s="24">
        <f>980+360</f>
        <v>1340</v>
      </c>
      <c r="M21" s="24">
        <f>1640+1500</f>
        <v>3140</v>
      </c>
      <c r="N21" s="24">
        <v>2040</v>
      </c>
      <c r="O21" s="24"/>
      <c r="P21" s="24">
        <f>780+2240</f>
        <v>3020</v>
      </c>
      <c r="Q21" s="24">
        <f>860+2340</f>
        <v>3200</v>
      </c>
      <c r="R21" s="24">
        <f>960+1580</f>
        <v>2540</v>
      </c>
      <c r="S21" s="24">
        <f>360+1780</f>
        <v>2140</v>
      </c>
      <c r="T21" s="24">
        <v>340</v>
      </c>
      <c r="U21" s="24">
        <f>140+1800</f>
        <v>1940</v>
      </c>
      <c r="V21" s="24"/>
      <c r="W21" s="27"/>
      <c r="X21" s="24">
        <f t="shared" si="0"/>
        <v>17040</v>
      </c>
      <c r="Y21" s="24">
        <f t="shared" si="1"/>
        <v>28720</v>
      </c>
      <c r="Z21" s="25">
        <f>40+17040</f>
        <v>17080</v>
      </c>
      <c r="AA21" s="24">
        <f t="shared" si="2"/>
        <v>28680</v>
      </c>
      <c r="AB21" s="27"/>
      <c r="AC21" s="78">
        <v>28680</v>
      </c>
      <c r="AD21" s="18">
        <f t="shared" si="3"/>
        <v>0</v>
      </c>
      <c r="AE21" s="60"/>
      <c r="AF21" s="65">
        <v>40</v>
      </c>
      <c r="AG21" s="25">
        <f>17040</f>
        <v>17040</v>
      </c>
      <c r="AH21" s="5"/>
      <c r="AI21" s="5"/>
    </row>
    <row r="22" spans="1:48" ht="14.4" x14ac:dyDescent="0.25">
      <c r="A22" s="23">
        <f t="shared" si="7"/>
        <v>19</v>
      </c>
      <c r="B22" s="32">
        <v>10009386</v>
      </c>
      <c r="C22" s="32" t="s">
        <v>63</v>
      </c>
      <c r="D22" s="56">
        <v>9860</v>
      </c>
      <c r="E22" s="24">
        <v>500</v>
      </c>
      <c r="F22" s="24">
        <v>480</v>
      </c>
      <c r="G22" s="24">
        <v>520</v>
      </c>
      <c r="H22" s="24"/>
      <c r="I22" s="24">
        <f>260+280</f>
        <v>540</v>
      </c>
      <c r="J22" s="24">
        <v>260</v>
      </c>
      <c r="K22" s="24">
        <v>100</v>
      </c>
      <c r="L22" s="24">
        <f>140+220</f>
        <v>360</v>
      </c>
      <c r="M22" s="24">
        <v>600</v>
      </c>
      <c r="N22" s="24">
        <v>760</v>
      </c>
      <c r="O22" s="24"/>
      <c r="P22" s="24">
        <v>900</v>
      </c>
      <c r="Q22" s="24">
        <v>860</v>
      </c>
      <c r="R22" s="24">
        <v>440</v>
      </c>
      <c r="S22" s="24">
        <f>20+500</f>
        <v>520</v>
      </c>
      <c r="T22" s="24">
        <v>40</v>
      </c>
      <c r="U22" s="24">
        <v>520</v>
      </c>
      <c r="V22" s="24"/>
      <c r="W22" s="27"/>
      <c r="X22" s="24">
        <f t="shared" si="0"/>
        <v>9860</v>
      </c>
      <c r="Y22" s="24">
        <f t="shared" si="1"/>
        <v>7400</v>
      </c>
      <c r="Z22" s="25"/>
      <c r="AA22" s="24">
        <f t="shared" si="2"/>
        <v>17260</v>
      </c>
      <c r="AB22" s="27"/>
      <c r="AC22" s="78">
        <v>17260</v>
      </c>
      <c r="AD22" s="18">
        <f t="shared" si="3"/>
        <v>0</v>
      </c>
      <c r="AE22" s="60"/>
      <c r="AF22" s="65"/>
      <c r="AG22" s="25"/>
    </row>
    <row r="23" spans="1:48" s="8" customFormat="1" ht="14.4" x14ac:dyDescent="0.25">
      <c r="A23" s="11">
        <f>+A22+1</f>
        <v>20</v>
      </c>
      <c r="B23" s="12" t="s">
        <v>12</v>
      </c>
      <c r="C23" s="12" t="s">
        <v>13</v>
      </c>
      <c r="D23" s="57">
        <v>30440</v>
      </c>
      <c r="E23" s="10">
        <f>220+2060</f>
        <v>2280</v>
      </c>
      <c r="F23" s="10">
        <v>3600</v>
      </c>
      <c r="G23" s="10">
        <f>620+3060</f>
        <v>3680</v>
      </c>
      <c r="H23" s="10"/>
      <c r="I23" s="10">
        <f>380+3340</f>
        <v>3720</v>
      </c>
      <c r="J23" s="10">
        <v>1680</v>
      </c>
      <c r="K23" s="10">
        <f>560+0</f>
        <v>560</v>
      </c>
      <c r="L23" s="10">
        <f>1320+780</f>
        <v>2100</v>
      </c>
      <c r="M23" s="10">
        <f>940+2960</f>
        <v>3900</v>
      </c>
      <c r="N23" s="10">
        <v>4200</v>
      </c>
      <c r="O23" s="10"/>
      <c r="P23" s="10">
        <f>1100+4080</f>
        <v>5180</v>
      </c>
      <c r="Q23" s="10">
        <f>540+2220</f>
        <v>2760</v>
      </c>
      <c r="R23" s="10">
        <f>2060+3500</f>
        <v>5560</v>
      </c>
      <c r="S23" s="10">
        <f>1680+1760</f>
        <v>3440</v>
      </c>
      <c r="T23" s="10">
        <v>360</v>
      </c>
      <c r="U23" s="10">
        <f>880+2520</f>
        <v>3400</v>
      </c>
      <c r="V23" s="10"/>
      <c r="W23" s="26"/>
      <c r="X23" s="10">
        <f t="shared" si="0"/>
        <v>30440</v>
      </c>
      <c r="Y23" s="10">
        <f t="shared" si="1"/>
        <v>46420</v>
      </c>
      <c r="Z23" s="14">
        <f>22660+26300</f>
        <v>48960</v>
      </c>
      <c r="AA23" s="10">
        <f t="shared" si="2"/>
        <v>27900</v>
      </c>
      <c r="AB23" s="27"/>
      <c r="AC23" s="9">
        <v>27900</v>
      </c>
      <c r="AD23" s="18">
        <f t="shared" si="3"/>
        <v>0</v>
      </c>
      <c r="AE23" s="60"/>
      <c r="AF23" s="37"/>
      <c r="AG23" s="14">
        <f>22660+26300</f>
        <v>48960</v>
      </c>
      <c r="AN23" s="3"/>
      <c r="AT23" s="3"/>
      <c r="AU23" s="3"/>
      <c r="AV23" s="3"/>
    </row>
    <row r="24" spans="1:48" ht="14.4" x14ac:dyDescent="0.25">
      <c r="A24" s="11">
        <f t="shared" ref="A24:A29" si="8">+A23+1</f>
        <v>21</v>
      </c>
      <c r="B24" s="12" t="s">
        <v>14</v>
      </c>
      <c r="C24" s="12" t="s">
        <v>15</v>
      </c>
      <c r="D24" s="57">
        <v>140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6"/>
      <c r="X24" s="10">
        <f t="shared" si="0"/>
        <v>140</v>
      </c>
      <c r="Y24" s="10">
        <f t="shared" si="1"/>
        <v>0</v>
      </c>
      <c r="Z24" s="14"/>
      <c r="AA24" s="10">
        <f>+X24+Y24-Z24</f>
        <v>140</v>
      </c>
      <c r="AB24" s="27"/>
      <c r="AC24" s="78">
        <v>140</v>
      </c>
      <c r="AD24" s="18">
        <f t="shared" si="3"/>
        <v>0</v>
      </c>
      <c r="AE24" s="60"/>
      <c r="AF24" s="65"/>
      <c r="AG24" s="14"/>
      <c r="AN24" s="8"/>
    </row>
    <row r="25" spans="1:48" ht="14.4" x14ac:dyDescent="0.25">
      <c r="A25" s="11">
        <f t="shared" si="8"/>
        <v>22</v>
      </c>
      <c r="B25" s="12" t="s">
        <v>16</v>
      </c>
      <c r="C25" s="12" t="s">
        <v>17</v>
      </c>
      <c r="D25" s="57">
        <v>13760</v>
      </c>
      <c r="E25" s="10">
        <v>180</v>
      </c>
      <c r="F25" s="10">
        <v>260</v>
      </c>
      <c r="G25" s="10">
        <v>240</v>
      </c>
      <c r="H25" s="10"/>
      <c r="I25" s="10">
        <f>20+220</f>
        <v>240</v>
      </c>
      <c r="J25" s="10">
        <v>160</v>
      </c>
      <c r="K25" s="10">
        <v>20</v>
      </c>
      <c r="L25" s="10">
        <f>140+80</f>
        <v>220</v>
      </c>
      <c r="M25" s="10">
        <f>20+220</f>
        <v>240</v>
      </c>
      <c r="N25" s="10">
        <v>180</v>
      </c>
      <c r="O25" s="10">
        <v>60</v>
      </c>
      <c r="P25" s="10">
        <f>140+220</f>
        <v>360</v>
      </c>
      <c r="Q25" s="10">
        <f>80+180</f>
        <v>260</v>
      </c>
      <c r="R25" s="10">
        <f>60+200</f>
        <v>260</v>
      </c>
      <c r="S25" s="10">
        <v>120</v>
      </c>
      <c r="T25" s="10"/>
      <c r="U25" s="10">
        <f>120+100</f>
        <v>220</v>
      </c>
      <c r="V25" s="10"/>
      <c r="W25" s="26"/>
      <c r="X25" s="10">
        <f t="shared" si="0"/>
        <v>13760</v>
      </c>
      <c r="Y25" s="10">
        <f t="shared" si="1"/>
        <v>3020</v>
      </c>
      <c r="Z25" s="14">
        <v>13760</v>
      </c>
      <c r="AA25" s="10">
        <f>+X25+Y25-Z25</f>
        <v>3020</v>
      </c>
      <c r="AB25" s="27"/>
      <c r="AC25" s="78">
        <v>3020</v>
      </c>
      <c r="AD25" s="18">
        <f t="shared" si="3"/>
        <v>0</v>
      </c>
      <c r="AE25" s="60"/>
      <c r="AF25" s="65"/>
      <c r="AG25" s="14">
        <v>13760</v>
      </c>
    </row>
    <row r="26" spans="1:48" ht="14.4" x14ac:dyDescent="0.25">
      <c r="A26" s="11">
        <f t="shared" si="8"/>
        <v>23</v>
      </c>
      <c r="B26" s="12" t="s">
        <v>18</v>
      </c>
      <c r="C26" s="12" t="s">
        <v>19</v>
      </c>
      <c r="D26" s="57">
        <v>180</v>
      </c>
      <c r="E26" s="10"/>
      <c r="F26" s="10"/>
      <c r="G26" s="10"/>
      <c r="H26" s="10"/>
      <c r="I26" s="10"/>
      <c r="J26" s="10">
        <v>20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26"/>
      <c r="X26" s="10">
        <f t="shared" si="0"/>
        <v>180</v>
      </c>
      <c r="Y26" s="10">
        <f t="shared" si="1"/>
        <v>20</v>
      </c>
      <c r="Z26" s="14"/>
      <c r="AA26" s="10">
        <f t="shared" si="2"/>
        <v>200</v>
      </c>
      <c r="AB26" s="27"/>
      <c r="AC26" s="9">
        <v>200</v>
      </c>
      <c r="AD26" s="18">
        <f t="shared" si="3"/>
        <v>0</v>
      </c>
      <c r="AE26" s="60"/>
      <c r="AF26" s="65"/>
      <c r="AG26" s="14"/>
    </row>
    <row r="27" spans="1:48" ht="14.4" x14ac:dyDescent="0.25">
      <c r="A27" s="11">
        <f t="shared" si="8"/>
        <v>24</v>
      </c>
      <c r="B27" s="12" t="s">
        <v>49</v>
      </c>
      <c r="C27" s="12" t="s">
        <v>50</v>
      </c>
      <c r="D27" s="57">
        <v>49100</v>
      </c>
      <c r="E27" s="10">
        <f>4140+5100</f>
        <v>9240</v>
      </c>
      <c r="F27" s="10">
        <f>8900+5680</f>
        <v>14580</v>
      </c>
      <c r="G27" s="10">
        <f>4320+11660</f>
        <v>15980</v>
      </c>
      <c r="H27" s="10"/>
      <c r="I27" s="10">
        <f>6980+9040</f>
        <v>16020</v>
      </c>
      <c r="J27" s="10">
        <f>1220+5800</f>
        <v>7020</v>
      </c>
      <c r="K27" s="10">
        <v>2200</v>
      </c>
      <c r="L27" s="10">
        <f>6960+2100</f>
        <v>9060</v>
      </c>
      <c r="M27" s="10">
        <f>8860+8000</f>
        <v>16860</v>
      </c>
      <c r="N27" s="10">
        <f>5300+10580</f>
        <v>15880</v>
      </c>
      <c r="O27" s="10">
        <v>1580</v>
      </c>
      <c r="P27" s="10">
        <f>7840+12220</f>
        <v>20060</v>
      </c>
      <c r="Q27" s="10">
        <f>9120+11040</f>
        <v>20160</v>
      </c>
      <c r="R27" s="10">
        <f>9460+12660</f>
        <v>22120</v>
      </c>
      <c r="S27" s="10">
        <f>5220+5700</f>
        <v>10920</v>
      </c>
      <c r="T27" s="10">
        <f>1260+180</f>
        <v>1440</v>
      </c>
      <c r="U27" s="10">
        <f>10460+3960</f>
        <v>14420</v>
      </c>
      <c r="V27" s="10"/>
      <c r="W27" s="26"/>
      <c r="X27" s="10">
        <f t="shared" si="0"/>
        <v>49100</v>
      </c>
      <c r="Y27" s="10">
        <f t="shared" si="1"/>
        <v>197540</v>
      </c>
      <c r="Z27" s="14">
        <f>40240+20+3160</f>
        <v>43420</v>
      </c>
      <c r="AA27" s="10">
        <f t="shared" si="2"/>
        <v>203220</v>
      </c>
      <c r="AB27" s="27"/>
      <c r="AC27" s="78">
        <v>203220</v>
      </c>
      <c r="AD27" s="18">
        <f t="shared" si="3"/>
        <v>0</v>
      </c>
      <c r="AE27" s="60"/>
      <c r="AF27" s="65">
        <v>20</v>
      </c>
      <c r="AG27" s="14">
        <f>40240+3160</f>
        <v>43400</v>
      </c>
    </row>
    <row r="28" spans="1:48" ht="15.6" customHeight="1" x14ac:dyDescent="0.25">
      <c r="A28" s="11">
        <f t="shared" si="8"/>
        <v>25</v>
      </c>
      <c r="B28" s="12">
        <v>10009658</v>
      </c>
      <c r="C28" s="12" t="s">
        <v>68</v>
      </c>
      <c r="D28" s="57">
        <v>1960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26"/>
      <c r="X28" s="10">
        <f t="shared" si="0"/>
        <v>1960</v>
      </c>
      <c r="Y28" s="10">
        <f t="shared" si="1"/>
        <v>0</v>
      </c>
      <c r="Z28" s="14"/>
      <c r="AA28" s="10">
        <f>+X28+Y28-Z28</f>
        <v>1960</v>
      </c>
      <c r="AB28" s="27"/>
      <c r="AC28" s="78">
        <v>1960</v>
      </c>
      <c r="AD28" s="18">
        <f t="shared" si="3"/>
        <v>0</v>
      </c>
      <c r="AE28" s="60"/>
      <c r="AF28" s="65"/>
      <c r="AG28" s="14"/>
    </row>
    <row r="29" spans="1:48" ht="14.4" x14ac:dyDescent="0.25">
      <c r="A29" s="11">
        <f t="shared" si="8"/>
        <v>26</v>
      </c>
      <c r="B29" s="12">
        <v>10009639</v>
      </c>
      <c r="C29" s="12" t="s">
        <v>69</v>
      </c>
      <c r="D29" s="57">
        <v>3960</v>
      </c>
      <c r="E29" s="10">
        <f>380+960</f>
        <v>1340</v>
      </c>
      <c r="F29" s="10">
        <f>40+1880</f>
        <v>1920</v>
      </c>
      <c r="G29" s="10">
        <v>1820</v>
      </c>
      <c r="H29" s="10"/>
      <c r="I29" s="10">
        <f>940+1040</f>
        <v>1980</v>
      </c>
      <c r="J29" s="10">
        <v>620</v>
      </c>
      <c r="K29" s="10">
        <v>320</v>
      </c>
      <c r="L29" s="10">
        <f>620+380</f>
        <v>1000</v>
      </c>
      <c r="M29" s="10">
        <f>720+1480</f>
        <v>2200</v>
      </c>
      <c r="N29" s="10">
        <v>1780</v>
      </c>
      <c r="O29" s="10">
        <v>540</v>
      </c>
      <c r="P29" s="10">
        <f>840+2020</f>
        <v>2860</v>
      </c>
      <c r="Q29" s="10">
        <f>820+2280</f>
        <v>3100</v>
      </c>
      <c r="R29" s="10">
        <f>940+2200</f>
        <v>3140</v>
      </c>
      <c r="S29" s="10">
        <f>780+940</f>
        <v>1720</v>
      </c>
      <c r="T29" s="10">
        <f>120+120</f>
        <v>240</v>
      </c>
      <c r="U29" s="10">
        <f>1100+1180</f>
        <v>2280</v>
      </c>
      <c r="V29" s="10"/>
      <c r="W29" s="26"/>
      <c r="X29" s="10">
        <f t="shared" si="0"/>
        <v>3960</v>
      </c>
      <c r="Y29" s="10">
        <f t="shared" si="1"/>
        <v>26860</v>
      </c>
      <c r="Z29" s="14">
        <v>2340</v>
      </c>
      <c r="AA29" s="10">
        <f>+X29+Y29-Z29</f>
        <v>28480</v>
      </c>
      <c r="AB29" s="27"/>
      <c r="AC29" s="78">
        <v>28480</v>
      </c>
      <c r="AD29" s="18">
        <f t="shared" si="3"/>
        <v>0</v>
      </c>
      <c r="AE29" s="60"/>
      <c r="AF29" s="65"/>
      <c r="AG29" s="14">
        <v>2340</v>
      </c>
      <c r="AH29" s="5"/>
    </row>
    <row r="30" spans="1:48" ht="14.4" x14ac:dyDescent="0.25">
      <c r="A30" s="28">
        <f>+A29+1</f>
        <v>27</v>
      </c>
      <c r="B30" s="31" t="s">
        <v>53</v>
      </c>
      <c r="C30" s="31" t="s">
        <v>54</v>
      </c>
      <c r="D30" s="58">
        <v>420</v>
      </c>
      <c r="E30" s="29"/>
      <c r="F30" s="29"/>
      <c r="G30" s="29"/>
      <c r="H30" s="29"/>
      <c r="I30" s="29">
        <v>3220</v>
      </c>
      <c r="J30" s="29">
        <f>8980+4680</f>
        <v>13660</v>
      </c>
      <c r="K30" s="29">
        <v>4900</v>
      </c>
      <c r="L30" s="29">
        <v>7600</v>
      </c>
      <c r="M30" s="29">
        <f>3140+6620</f>
        <v>9760</v>
      </c>
      <c r="N30" s="29">
        <v>11060</v>
      </c>
      <c r="O30" s="29">
        <v>8160</v>
      </c>
      <c r="P30" s="29"/>
      <c r="Q30" s="29">
        <v>5020</v>
      </c>
      <c r="R30" s="29">
        <f>5020+5600</f>
        <v>10620</v>
      </c>
      <c r="S30" s="29">
        <f>8360+10600</f>
        <v>18960</v>
      </c>
      <c r="T30" s="29">
        <f>6440+2640</f>
        <v>9080</v>
      </c>
      <c r="U30" s="29"/>
      <c r="V30" s="29"/>
      <c r="W30" s="26"/>
      <c r="X30" s="29">
        <f t="shared" si="0"/>
        <v>420</v>
      </c>
      <c r="Y30" s="29">
        <f t="shared" si="1"/>
        <v>102040</v>
      </c>
      <c r="Z30" s="30"/>
      <c r="AA30" s="29">
        <f>+X30+Y30-Z30</f>
        <v>102460</v>
      </c>
      <c r="AB30" s="27"/>
      <c r="AC30" s="78">
        <v>102460</v>
      </c>
      <c r="AD30" s="18">
        <f t="shared" si="3"/>
        <v>0</v>
      </c>
      <c r="AE30" s="60"/>
      <c r="AF30" s="65"/>
      <c r="AG30" s="30"/>
      <c r="AH30" s="5"/>
    </row>
    <row r="31" spans="1:48" ht="14.4" x14ac:dyDescent="0.25">
      <c r="A31" s="28">
        <f t="shared" si="4"/>
        <v>28</v>
      </c>
      <c r="B31" s="31" t="s">
        <v>51</v>
      </c>
      <c r="C31" s="31" t="s">
        <v>52</v>
      </c>
      <c r="D31" s="58">
        <v>30140</v>
      </c>
      <c r="E31" s="29"/>
      <c r="F31" s="29"/>
      <c r="G31" s="29"/>
      <c r="H31" s="29"/>
      <c r="I31" s="29"/>
      <c r="J31" s="29"/>
      <c r="K31" s="29"/>
      <c r="L31" s="29"/>
      <c r="M31" s="29"/>
      <c r="N31" s="29">
        <v>640</v>
      </c>
      <c r="O31" s="29"/>
      <c r="P31" s="29"/>
      <c r="Q31" s="29"/>
      <c r="R31" s="29"/>
      <c r="S31" s="29"/>
      <c r="T31" s="29"/>
      <c r="U31" s="29"/>
      <c r="V31" s="29"/>
      <c r="W31" s="26"/>
      <c r="X31" s="29">
        <f t="shared" si="0"/>
        <v>30140</v>
      </c>
      <c r="Y31" s="29">
        <f t="shared" si="1"/>
        <v>640</v>
      </c>
      <c r="Z31" s="30"/>
      <c r="AA31" s="29">
        <f t="shared" si="2"/>
        <v>30780</v>
      </c>
      <c r="AB31" s="27"/>
      <c r="AC31" s="78">
        <v>30780</v>
      </c>
      <c r="AD31" s="18">
        <f t="shared" si="3"/>
        <v>0</v>
      </c>
      <c r="AE31" s="60"/>
      <c r="AF31" s="65"/>
      <c r="AG31" s="30"/>
      <c r="AU31" s="5"/>
    </row>
    <row r="32" spans="1:48" ht="14.4" x14ac:dyDescent="0.25">
      <c r="A32" s="28">
        <f>+A30+1</f>
        <v>28</v>
      </c>
      <c r="B32" s="31" t="s">
        <v>38</v>
      </c>
      <c r="C32" s="31" t="s">
        <v>39</v>
      </c>
      <c r="D32" s="58">
        <v>260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6"/>
      <c r="X32" s="29">
        <f t="shared" si="0"/>
        <v>260</v>
      </c>
      <c r="Y32" s="29">
        <f t="shared" si="1"/>
        <v>0</v>
      </c>
      <c r="Z32" s="30"/>
      <c r="AA32" s="29">
        <f t="shared" si="2"/>
        <v>260</v>
      </c>
      <c r="AB32" s="27"/>
      <c r="AC32" s="78">
        <v>260</v>
      </c>
      <c r="AD32" s="18">
        <f t="shared" si="3"/>
        <v>0</v>
      </c>
      <c r="AE32" s="60"/>
      <c r="AF32" s="65"/>
      <c r="AG32" s="30"/>
      <c r="AU32" s="5"/>
    </row>
    <row r="33" spans="1:48" ht="14.4" x14ac:dyDescent="0.25">
      <c r="A33" s="28"/>
      <c r="B33" s="31">
        <v>10007050</v>
      </c>
      <c r="C33" s="31" t="s">
        <v>87</v>
      </c>
      <c r="D33" s="58">
        <v>0</v>
      </c>
      <c r="E33" s="29"/>
      <c r="F33" s="36"/>
      <c r="G33" s="36"/>
      <c r="H33" s="36"/>
      <c r="I33" s="36"/>
      <c r="J33" s="36">
        <f>1080+900</f>
        <v>1980</v>
      </c>
      <c r="K33" s="36">
        <v>680</v>
      </c>
      <c r="L33" s="36">
        <v>0</v>
      </c>
      <c r="M33" s="36">
        <v>1160</v>
      </c>
      <c r="N33" s="36">
        <v>2340</v>
      </c>
      <c r="O33" s="36">
        <v>860</v>
      </c>
      <c r="P33" s="36"/>
      <c r="Q33" s="36">
        <v>500</v>
      </c>
      <c r="R33" s="36">
        <f>720+0</f>
        <v>720</v>
      </c>
      <c r="S33" s="36">
        <f>1240+960</f>
        <v>2200</v>
      </c>
      <c r="T33" s="36">
        <v>1300</v>
      </c>
      <c r="U33" s="36"/>
      <c r="V33" s="36"/>
      <c r="W33" s="27"/>
      <c r="X33" s="29">
        <f t="shared" si="0"/>
        <v>0</v>
      </c>
      <c r="Y33" s="29">
        <f t="shared" si="1"/>
        <v>11740</v>
      </c>
      <c r="Z33" s="30"/>
      <c r="AA33" s="29">
        <f t="shared" ref="AA33" si="9">+X33+Y33-Z33</f>
        <v>11740</v>
      </c>
      <c r="AB33" s="27"/>
      <c r="AC33" s="78">
        <v>11740</v>
      </c>
      <c r="AD33" s="18">
        <f t="shared" si="3"/>
        <v>0</v>
      </c>
      <c r="AE33" s="60"/>
      <c r="AF33" s="65"/>
      <c r="AG33" s="30"/>
      <c r="AU33" s="5"/>
    </row>
    <row r="34" spans="1:48" ht="18.600000000000001" customHeight="1" x14ac:dyDescent="0.25">
      <c r="A34" s="28">
        <f>+A31+1</f>
        <v>29</v>
      </c>
      <c r="B34" s="31"/>
      <c r="C34" s="31" t="s">
        <v>81</v>
      </c>
      <c r="D34" s="58">
        <v>1130</v>
      </c>
      <c r="E34" s="29"/>
      <c r="F34" s="36">
        <v>860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>
        <v>2710</v>
      </c>
      <c r="W34" s="27"/>
      <c r="X34" s="29">
        <f t="shared" si="0"/>
        <v>1130</v>
      </c>
      <c r="Y34" s="29">
        <f t="shared" si="1"/>
        <v>3570</v>
      </c>
      <c r="Z34" s="30"/>
      <c r="AA34" s="29">
        <f t="shared" si="2"/>
        <v>4700</v>
      </c>
      <c r="AB34" s="27"/>
      <c r="AC34" s="80">
        <f>1990+2710</f>
        <v>4700</v>
      </c>
      <c r="AD34" s="18">
        <f t="shared" si="3"/>
        <v>0</v>
      </c>
      <c r="AE34" s="18"/>
      <c r="AF34" s="65"/>
      <c r="AG34" s="30"/>
    </row>
    <row r="35" spans="1:48" ht="18.600000000000001" customHeight="1" x14ac:dyDescent="0.25">
      <c r="A35" s="28">
        <f>+A32+1</f>
        <v>29</v>
      </c>
      <c r="B35" s="31"/>
      <c r="C35" s="31" t="s">
        <v>82</v>
      </c>
      <c r="D35" s="58">
        <v>300</v>
      </c>
      <c r="E35" s="29"/>
      <c r="F35" s="36">
        <v>120</v>
      </c>
      <c r="G35" s="36">
        <v>220</v>
      </c>
      <c r="H35" s="36"/>
      <c r="I35" s="36"/>
      <c r="J35" s="36"/>
      <c r="K35" s="36"/>
      <c r="L35" s="36"/>
      <c r="M35" s="36">
        <v>20</v>
      </c>
      <c r="N35" s="36"/>
      <c r="O35" s="36">
        <v>80</v>
      </c>
      <c r="P35" s="36"/>
      <c r="Q35" s="36"/>
      <c r="R35" s="36">
        <v>20</v>
      </c>
      <c r="S35" s="36">
        <f>40+20</f>
        <v>60</v>
      </c>
      <c r="T35" s="36"/>
      <c r="U35" s="36">
        <v>120</v>
      </c>
      <c r="V35" s="36"/>
      <c r="W35" s="27"/>
      <c r="X35" s="29">
        <f t="shared" si="0"/>
        <v>300</v>
      </c>
      <c r="Y35" s="29">
        <f t="shared" si="1"/>
        <v>640</v>
      </c>
      <c r="Z35" s="30"/>
      <c r="AA35" s="29">
        <f t="shared" si="2"/>
        <v>940</v>
      </c>
      <c r="AB35" s="27"/>
      <c r="AC35" s="80">
        <f>300+640</f>
        <v>940</v>
      </c>
      <c r="AD35" s="18">
        <f t="shared" si="3"/>
        <v>0</v>
      </c>
      <c r="AE35" s="18"/>
      <c r="AF35" s="65"/>
      <c r="AG35" s="30"/>
    </row>
    <row r="36" spans="1:48" ht="14.4" x14ac:dyDescent="0.25">
      <c r="A36" s="28">
        <f t="shared" ref="A36:A37" si="10">+A34+1</f>
        <v>30</v>
      </c>
      <c r="B36" s="31"/>
      <c r="C36" s="31" t="s">
        <v>83</v>
      </c>
      <c r="D36" s="58">
        <v>1250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9">
        <f t="shared" si="0"/>
        <v>1250</v>
      </c>
      <c r="Y36" s="29">
        <f t="shared" si="1"/>
        <v>0</v>
      </c>
      <c r="Z36" s="30"/>
      <c r="AA36" s="29">
        <f t="shared" si="2"/>
        <v>1250</v>
      </c>
      <c r="AB36" s="27"/>
      <c r="AC36" s="80">
        <v>1250</v>
      </c>
      <c r="AD36" s="18">
        <f t="shared" si="3"/>
        <v>0</v>
      </c>
      <c r="AE36" s="18"/>
      <c r="AF36" s="65"/>
      <c r="AG36" s="30"/>
    </row>
    <row r="37" spans="1:48" ht="14.4" x14ac:dyDescent="0.25">
      <c r="A37" s="28">
        <f t="shared" si="10"/>
        <v>30</v>
      </c>
      <c r="B37" s="31"/>
      <c r="C37" s="31" t="s">
        <v>84</v>
      </c>
      <c r="D37" s="58">
        <v>1260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9">
        <f t="shared" si="0"/>
        <v>1260</v>
      </c>
      <c r="Y37" s="29">
        <f t="shared" si="1"/>
        <v>0</v>
      </c>
      <c r="Z37" s="30"/>
      <c r="AA37" s="29">
        <f t="shared" si="2"/>
        <v>1260</v>
      </c>
      <c r="AB37" s="27"/>
      <c r="AC37" s="80">
        <v>1260</v>
      </c>
      <c r="AD37" s="18">
        <f t="shared" si="3"/>
        <v>0</v>
      </c>
      <c r="AE37" s="18"/>
      <c r="AF37" s="65"/>
      <c r="AG37" s="30"/>
    </row>
    <row r="38" spans="1:48" s="15" customFormat="1" ht="14.4" x14ac:dyDescent="0.25">
      <c r="A38" s="23">
        <f>+A37+1</f>
        <v>31</v>
      </c>
      <c r="B38" s="32">
        <v>10009337</v>
      </c>
      <c r="C38" s="32" t="s">
        <v>62</v>
      </c>
      <c r="D38" s="56">
        <v>9375</v>
      </c>
      <c r="E38" s="24"/>
      <c r="F38" s="33"/>
      <c r="G38" s="33"/>
      <c r="H38" s="33"/>
      <c r="I38" s="33"/>
      <c r="J38" s="33">
        <v>1320</v>
      </c>
      <c r="K38" s="33">
        <v>945</v>
      </c>
      <c r="L38" s="33"/>
      <c r="M38" s="33">
        <v>870</v>
      </c>
      <c r="N38" s="33">
        <v>1890</v>
      </c>
      <c r="O38" s="33">
        <v>810</v>
      </c>
      <c r="P38" s="33"/>
      <c r="Q38" s="33"/>
      <c r="R38" s="33">
        <v>1125</v>
      </c>
      <c r="S38" s="33">
        <f>375+2730</f>
        <v>3105</v>
      </c>
      <c r="T38" s="33">
        <f>450+495</f>
        <v>945</v>
      </c>
      <c r="U38" s="33"/>
      <c r="V38" s="33"/>
      <c r="W38" s="27"/>
      <c r="X38" s="33">
        <f t="shared" si="0"/>
        <v>9375</v>
      </c>
      <c r="Y38" s="24">
        <f t="shared" si="1"/>
        <v>11010</v>
      </c>
      <c r="Z38" s="46"/>
      <c r="AA38" s="24">
        <f t="shared" si="2"/>
        <v>20385</v>
      </c>
      <c r="AB38" s="27">
        <v>52320</v>
      </c>
      <c r="AC38" s="79">
        <v>20385</v>
      </c>
      <c r="AD38" s="18">
        <f t="shared" si="3"/>
        <v>0</v>
      </c>
      <c r="AE38" s="18"/>
      <c r="AF38" s="66"/>
      <c r="AG38" s="46"/>
      <c r="AT38" s="3"/>
      <c r="AU38" s="3"/>
      <c r="AV38" s="3"/>
    </row>
    <row r="39" spans="1:48" s="15" customFormat="1" ht="14.4" x14ac:dyDescent="0.25">
      <c r="A39" s="23">
        <f t="shared" ref="A39" si="11">+A38+1</f>
        <v>32</v>
      </c>
      <c r="B39" s="32">
        <v>10009332</v>
      </c>
      <c r="C39" s="32" t="s">
        <v>64</v>
      </c>
      <c r="D39" s="56">
        <v>5565</v>
      </c>
      <c r="E39" s="24"/>
      <c r="F39" s="33"/>
      <c r="G39" s="33"/>
      <c r="H39" s="33"/>
      <c r="I39" s="33"/>
      <c r="J39" s="33">
        <f>885+315</f>
        <v>1200</v>
      </c>
      <c r="K39" s="33">
        <v>870</v>
      </c>
      <c r="L39" s="33"/>
      <c r="M39" s="33">
        <v>780</v>
      </c>
      <c r="N39" s="33">
        <v>2355</v>
      </c>
      <c r="O39" s="33">
        <v>885</v>
      </c>
      <c r="P39" s="33"/>
      <c r="Q39" s="33"/>
      <c r="R39" s="33">
        <v>1065</v>
      </c>
      <c r="S39" s="33">
        <v>2445</v>
      </c>
      <c r="T39" s="33">
        <f>885+180</f>
        <v>1065</v>
      </c>
      <c r="U39" s="33"/>
      <c r="V39" s="33"/>
      <c r="W39" s="27"/>
      <c r="X39" s="33">
        <f t="shared" si="0"/>
        <v>5565</v>
      </c>
      <c r="Y39" s="24">
        <f t="shared" si="1"/>
        <v>10665</v>
      </c>
      <c r="Z39" s="46"/>
      <c r="AA39" s="24">
        <f t="shared" si="2"/>
        <v>16230</v>
      </c>
      <c r="AB39" s="27"/>
      <c r="AC39" s="79">
        <v>16230</v>
      </c>
      <c r="AD39" s="18">
        <f t="shared" si="3"/>
        <v>0</v>
      </c>
      <c r="AE39" s="18"/>
      <c r="AF39" s="75"/>
      <c r="AG39" s="46"/>
      <c r="AT39" s="3"/>
      <c r="AU39" s="3"/>
      <c r="AV39" s="3"/>
    </row>
    <row r="40" spans="1:48" s="15" customFormat="1" ht="14.4" x14ac:dyDescent="0.25">
      <c r="A40" s="48">
        <f>+A39+1</f>
        <v>33</v>
      </c>
      <c r="B40" s="49"/>
      <c r="C40" s="49" t="s">
        <v>65</v>
      </c>
      <c r="D40" s="72">
        <v>66.174999999999997</v>
      </c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2"/>
      <c r="X40" s="67">
        <f t="shared" si="0"/>
        <v>66.174999999999997</v>
      </c>
      <c r="Y40" s="68">
        <f t="shared" si="1"/>
        <v>0</v>
      </c>
      <c r="Z40" s="69"/>
      <c r="AA40" s="71">
        <f t="shared" si="2"/>
        <v>66.174999999999997</v>
      </c>
      <c r="AB40" s="70"/>
      <c r="AC40" s="81">
        <v>66.174999999999997</v>
      </c>
      <c r="AD40" s="18">
        <f t="shared" si="3"/>
        <v>0</v>
      </c>
      <c r="AE40" s="18"/>
      <c r="AF40" s="66"/>
      <c r="AG40" s="69"/>
      <c r="AT40" s="3"/>
      <c r="AU40" s="3"/>
      <c r="AV40" s="3"/>
    </row>
    <row r="41" spans="1:48" s="15" customFormat="1" ht="14.4" x14ac:dyDescent="0.25">
      <c r="A41" s="48">
        <f t="shared" ref="A41:A42" si="12">+A40+1</f>
        <v>34</v>
      </c>
      <c r="B41" s="49"/>
      <c r="C41" s="49" t="s">
        <v>66</v>
      </c>
      <c r="D41" s="72">
        <v>26.774999999999999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2"/>
      <c r="X41" s="67">
        <f t="shared" si="0"/>
        <v>26.774999999999999</v>
      </c>
      <c r="Y41" s="68">
        <f t="shared" si="1"/>
        <v>0</v>
      </c>
      <c r="Z41" s="69"/>
      <c r="AA41" s="71">
        <f t="shared" si="2"/>
        <v>26.774999999999999</v>
      </c>
      <c r="AB41" s="70"/>
      <c r="AC41" s="81">
        <v>26.774999999999999</v>
      </c>
      <c r="AD41" s="18">
        <f t="shared" si="3"/>
        <v>0</v>
      </c>
      <c r="AE41" s="18"/>
      <c r="AF41" s="66"/>
      <c r="AG41" s="69"/>
      <c r="AT41" s="3"/>
      <c r="AU41" s="3"/>
      <c r="AV41" s="3"/>
    </row>
    <row r="42" spans="1:48" s="15" customFormat="1" ht="14.4" x14ac:dyDescent="0.25">
      <c r="A42" s="48">
        <f t="shared" si="12"/>
        <v>35</v>
      </c>
      <c r="B42" s="49"/>
      <c r="C42" s="49" t="s">
        <v>80</v>
      </c>
      <c r="D42" s="72">
        <v>23.85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2"/>
      <c r="X42" s="67">
        <f t="shared" si="0"/>
        <v>23.85</v>
      </c>
      <c r="Y42" s="68">
        <f t="shared" si="1"/>
        <v>0</v>
      </c>
      <c r="Z42" s="69"/>
      <c r="AA42" s="71">
        <f t="shared" si="2"/>
        <v>23.85</v>
      </c>
      <c r="AB42" s="70"/>
      <c r="AC42" s="81">
        <v>23.85</v>
      </c>
      <c r="AD42" s="18">
        <f t="shared" si="3"/>
        <v>0</v>
      </c>
      <c r="AE42" s="18"/>
      <c r="AF42" s="66"/>
      <c r="AG42" s="69"/>
      <c r="AT42" s="3"/>
      <c r="AU42" s="3"/>
      <c r="AV42" s="3"/>
    </row>
    <row r="43" spans="1:48" ht="14.4" x14ac:dyDescent="0.25">
      <c r="A43" s="43">
        <f>+A42+1</f>
        <v>36</v>
      </c>
      <c r="B43" s="44" t="s">
        <v>25</v>
      </c>
      <c r="C43" s="44" t="s">
        <v>26</v>
      </c>
      <c r="D43" s="59">
        <v>1120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>
        <f t="shared" si="0"/>
        <v>1120</v>
      </c>
      <c r="Y43" s="42">
        <f t="shared" si="1"/>
        <v>0</v>
      </c>
      <c r="Z43" s="42"/>
      <c r="AA43" s="42">
        <f>SUM(G43:X43)</f>
        <v>1120</v>
      </c>
      <c r="AB43" s="27"/>
      <c r="AC43" s="82">
        <v>1120</v>
      </c>
      <c r="AD43" s="18">
        <f t="shared" si="3"/>
        <v>0</v>
      </c>
      <c r="AE43" s="18"/>
      <c r="AF43" s="65"/>
      <c r="AG43" s="42"/>
    </row>
    <row r="44" spans="1:48" ht="3.6" customHeight="1" x14ac:dyDescent="0.25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27"/>
    </row>
    <row r="45" spans="1:48" ht="15" x14ac:dyDescent="0.25">
      <c r="C45" s="1" t="s">
        <v>92</v>
      </c>
      <c r="D45" s="6">
        <f>SUM(D3:D43)</f>
        <v>642576.80000000005</v>
      </c>
      <c r="E45" s="6">
        <f>SUM(E3:E37)</f>
        <v>74600</v>
      </c>
      <c r="F45" s="6">
        <f>SUM(F3:F43)</f>
        <v>102180</v>
      </c>
      <c r="G45" s="6">
        <f>SUM(G3:G43)</f>
        <v>106420</v>
      </c>
      <c r="H45" s="6">
        <f>SUM(H3:H43)</f>
        <v>14400</v>
      </c>
      <c r="I45" s="6">
        <f t="shared" ref="I45:V45" si="13">SUM(I3:I43)</f>
        <v>89480</v>
      </c>
      <c r="J45" s="6">
        <f t="shared" si="13"/>
        <v>63880</v>
      </c>
      <c r="K45" s="6">
        <f t="shared" si="13"/>
        <v>28155</v>
      </c>
      <c r="L45" s="6">
        <f t="shared" si="13"/>
        <v>49040</v>
      </c>
      <c r="M45" s="6">
        <f t="shared" si="13"/>
        <v>84570</v>
      </c>
      <c r="N45" s="6">
        <f t="shared" si="13"/>
        <v>102705</v>
      </c>
      <c r="O45" s="6">
        <f t="shared" si="13"/>
        <v>55355</v>
      </c>
      <c r="P45" s="6">
        <f t="shared" si="13"/>
        <v>96810</v>
      </c>
      <c r="Q45" s="6">
        <f t="shared" si="13"/>
        <v>128472</v>
      </c>
      <c r="R45" s="6">
        <f t="shared" si="13"/>
        <v>143752</v>
      </c>
      <c r="S45" s="6">
        <f t="shared" si="13"/>
        <v>133970</v>
      </c>
      <c r="T45" s="6">
        <f t="shared" si="13"/>
        <v>27930</v>
      </c>
      <c r="U45" s="6">
        <f t="shared" si="13"/>
        <v>95740</v>
      </c>
      <c r="V45" s="6">
        <f t="shared" si="13"/>
        <v>21410</v>
      </c>
      <c r="W45" s="5">
        <f>SUM(W3:W37)</f>
        <v>0</v>
      </c>
      <c r="X45" s="6">
        <f>SUM(X3:X43)</f>
        <v>642576.80000000005</v>
      </c>
      <c r="Y45" s="6">
        <f>SUM(Y3:Y43)</f>
        <v>1418869</v>
      </c>
      <c r="Z45" s="73">
        <f>SUM(Z3:Z43)</f>
        <v>404880</v>
      </c>
      <c r="AA45" s="35">
        <f>SUM(AA3:AA44)</f>
        <v>1656565.8</v>
      </c>
      <c r="AB45" s="27"/>
      <c r="AC45" s="9">
        <f>SUM(AC1:AC43)</f>
        <v>1656565.8</v>
      </c>
      <c r="AD45" s="5">
        <f>SUM(AD1:AD43)</f>
        <v>0</v>
      </c>
      <c r="AE45" s="5">
        <f>SUM(AE1:AE43)</f>
        <v>0</v>
      </c>
      <c r="AF45" s="5">
        <f>SUM(AF1:AF43)</f>
        <v>280</v>
      </c>
      <c r="AG45" s="5">
        <f>SUM(AG1:AG43)</f>
        <v>404600</v>
      </c>
      <c r="AQ45" s="3">
        <f>SUM(AQ4:AQ44)</f>
        <v>0</v>
      </c>
      <c r="AR45" s="5">
        <f>+AQ45-AA45</f>
        <v>-1656565.8</v>
      </c>
    </row>
    <row r="46" spans="1:48" ht="3.6" customHeight="1" x14ac:dyDescent="0.25">
      <c r="AB46" s="27"/>
      <c r="AD46" s="5"/>
    </row>
    <row r="47" spans="1:48" x14ac:dyDescent="0.25">
      <c r="D47" s="74"/>
      <c r="AD47" s="5"/>
      <c r="AG47" s="5"/>
    </row>
    <row r="48" spans="1:48" ht="14.4" x14ac:dyDescent="0.3">
      <c r="D48" s="5"/>
      <c r="X48" s="101" t="s">
        <v>85</v>
      </c>
      <c r="Y48" s="102"/>
      <c r="Z48" s="102"/>
      <c r="AA48" s="62">
        <f>+AA45/1000</f>
        <v>1656.5658000000001</v>
      </c>
      <c r="AD48" s="5" t="s">
        <v>71</v>
      </c>
      <c r="AG48" s="3" t="s">
        <v>78</v>
      </c>
    </row>
    <row r="49" spans="24:33" x14ac:dyDescent="0.25">
      <c r="X49" s="3" t="s">
        <v>70</v>
      </c>
      <c r="Y49" s="61"/>
      <c r="Z49" s="61"/>
      <c r="AA49" s="63"/>
      <c r="AD49" s="5" t="s">
        <v>72</v>
      </c>
      <c r="AE49" s="3">
        <f>+AG45/1000</f>
        <v>404.6</v>
      </c>
      <c r="AG49" s="3">
        <v>0</v>
      </c>
    </row>
    <row r="50" spans="24:33" x14ac:dyDescent="0.25">
      <c r="Y50" s="61"/>
      <c r="Z50" s="61"/>
      <c r="AA50" s="63"/>
      <c r="AD50" s="3" t="s">
        <v>73</v>
      </c>
      <c r="AE50" s="3">
        <f>+AE45/1000</f>
        <v>0</v>
      </c>
    </row>
    <row r="51" spans="24:33" x14ac:dyDescent="0.25">
      <c r="Y51" s="61"/>
      <c r="Z51" s="61"/>
      <c r="AA51" s="63"/>
      <c r="AD51" s="3" t="s">
        <v>74</v>
      </c>
      <c r="AE51" s="3">
        <f>+AF45/1000</f>
        <v>0.28000000000000003</v>
      </c>
      <c r="AG51" s="3">
        <f>+AG45/1000</f>
        <v>404.6</v>
      </c>
    </row>
    <row r="52" spans="24:33" ht="14.4" x14ac:dyDescent="0.3">
      <c r="X52" s="101" t="s">
        <v>67</v>
      </c>
      <c r="Y52" s="102"/>
      <c r="Z52" s="102"/>
      <c r="AA52" s="64">
        <f>+AA48-AA49-AA50-AA51</f>
        <v>1656.5658000000001</v>
      </c>
      <c r="AD52" s="63"/>
      <c r="AE52" s="3">
        <f>SUM(AE49:AE51)</f>
        <v>404.88</v>
      </c>
    </row>
    <row r="53" spans="24:33" x14ac:dyDescent="0.25">
      <c r="AD53" s="63"/>
      <c r="AE53" s="63"/>
    </row>
    <row r="54" spans="24:33" x14ac:dyDescent="0.25">
      <c r="AE54" s="63"/>
    </row>
    <row r="55" spans="24:33" x14ac:dyDescent="0.25">
      <c r="Y55" s="5"/>
    </row>
    <row r="56" spans="24:33" x14ac:dyDescent="0.25">
      <c r="Y56" s="5"/>
      <c r="AA56" s="63"/>
    </row>
  </sheetData>
  <mergeCells count="7">
    <mergeCell ref="AD1:AD2"/>
    <mergeCell ref="X48:Z48"/>
    <mergeCell ref="X52:Z52"/>
    <mergeCell ref="A1:A2"/>
    <mergeCell ref="C1:C2"/>
    <mergeCell ref="D1:V1"/>
    <mergeCell ref="X1:AA1"/>
  </mergeCells>
  <pageMargins left="0.31496062992125984" right="0.70866141732283472" top="0.15748031496062992" bottom="0.15748031496062992" header="0" footer="0.31496062992125984"/>
  <pageSetup paperSize="32004" scale="24" orientation="landscape" horizontalDpi="203" verticalDpi="203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CDAC-5B36-4823-B79F-3948F56C00BD}">
  <dimension ref="B3:D8"/>
  <sheetViews>
    <sheetView workbookViewId="0">
      <selection activeCell="C12" sqref="C12"/>
    </sheetView>
  </sheetViews>
  <sheetFormatPr baseColWidth="10" defaultRowHeight="14.4" x14ac:dyDescent="0.3"/>
  <cols>
    <col min="4" max="4" width="2.88671875" bestFit="1" customWidth="1"/>
  </cols>
  <sheetData>
    <row r="3" spans="2:4" x14ac:dyDescent="0.3">
      <c r="B3" s="104" t="s">
        <v>103</v>
      </c>
      <c r="C3" s="104"/>
      <c r="D3" s="104"/>
    </row>
    <row r="4" spans="2:4" x14ac:dyDescent="0.3">
      <c r="B4" s="88" t="s">
        <v>100</v>
      </c>
      <c r="C4" s="89">
        <f>+Enero2026!Y45</f>
        <v>1418869</v>
      </c>
      <c r="D4" s="88" t="s">
        <v>104</v>
      </c>
    </row>
    <row r="5" spans="2:4" x14ac:dyDescent="0.3">
      <c r="B5" s="88" t="s">
        <v>101</v>
      </c>
      <c r="C5" s="89">
        <f>+Febrero2026!AH46</f>
        <v>2268337</v>
      </c>
      <c r="D5" s="88" t="s">
        <v>104</v>
      </c>
    </row>
    <row r="6" spans="2:4" x14ac:dyDescent="0.3">
      <c r="B6" s="88" t="s">
        <v>102</v>
      </c>
      <c r="C6" s="89">
        <f>+Marzo2026!AG50</f>
        <v>1541091</v>
      </c>
      <c r="D6" s="88" t="s">
        <v>104</v>
      </c>
    </row>
    <row r="7" spans="2:4" x14ac:dyDescent="0.3">
      <c r="B7" s="88" t="s">
        <v>109</v>
      </c>
      <c r="C7" s="89">
        <f>+Abril2026!O59</f>
        <v>295259</v>
      </c>
      <c r="D7" s="88" t="s">
        <v>104</v>
      </c>
    </row>
    <row r="8" spans="2:4" x14ac:dyDescent="0.3">
      <c r="C8" s="89">
        <f>SUM(C4:C6)</f>
        <v>5228297</v>
      </c>
      <c r="D8" s="88" t="s">
        <v>104</v>
      </c>
    </row>
  </sheetData>
  <mergeCells count="1">
    <mergeCell ref="B3:D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AL 13-4-2026</vt:lpstr>
      <vt:lpstr>TD</vt:lpstr>
      <vt:lpstr>Abril2026</vt:lpstr>
      <vt:lpstr>Marzo2026</vt:lpstr>
      <vt:lpstr>Febrero2026</vt:lpstr>
      <vt:lpstr>Enero2026</vt:lpstr>
      <vt:lpstr>Estadistica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Cruzado (PFRO)</dc:creator>
  <cp:lastModifiedBy>Rodrigo Sebastian Martinez Montalvo (PFRO)</cp:lastModifiedBy>
  <cp:lastPrinted>2025-03-28T22:25:46Z</cp:lastPrinted>
  <dcterms:created xsi:type="dcterms:W3CDTF">2025-03-21T00:36:50Z</dcterms:created>
  <dcterms:modified xsi:type="dcterms:W3CDTF">2026-04-13T21:24:11Z</dcterms:modified>
</cp:coreProperties>
</file>