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4BD72046-B519-4618-80AC-410F740B0D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3" r:id="rId1"/>
    <sheet name="Hoja2" sheetId="4" r:id="rId2"/>
    <sheet name="DÍAS" sheetId="5" r:id="rId3"/>
    <sheet name="Data" sheetId="1" r:id="rId4"/>
  </sheets>
  <definedNames>
    <definedName name="_xlnm._FilterDatabase" localSheetId="3" hidden="1">Data!$A$1:$R$168</definedName>
  </definedNames>
  <calcPr calcId="191029" iterate="1"/>
  <pivotCaches>
    <pivotCache cacheId="2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B27" i="3"/>
  <c r="B26" i="3"/>
  <c r="C26" i="3" s="1"/>
  <c r="C25" i="3"/>
  <c r="C24" i="3"/>
  <c r="B23" i="3"/>
  <c r="C23" i="3" s="1"/>
  <c r="O168" i="1"/>
  <c r="O160" i="1"/>
  <c r="O159" i="1"/>
  <c r="O148" i="1"/>
  <c r="O64" i="1"/>
  <c r="O28" i="1"/>
  <c r="O27" i="1"/>
  <c r="O26" i="1"/>
  <c r="O25" i="1"/>
  <c r="Q168" i="1"/>
  <c r="Q167" i="1"/>
  <c r="Q160" i="1"/>
  <c r="Q159" i="1"/>
  <c r="Q151" i="1"/>
  <c r="Q148" i="1"/>
  <c r="Q119" i="1"/>
  <c r="Q64" i="1"/>
  <c r="Q63" i="1"/>
  <c r="Q28" i="1"/>
  <c r="Q27" i="1"/>
  <c r="Q26" i="1"/>
  <c r="Q25" i="1"/>
  <c r="Q22" i="1"/>
  <c r="Q21" i="1"/>
  <c r="Q20" i="1"/>
  <c r="Q19" i="1"/>
  <c r="P168" i="1"/>
  <c r="P167" i="1"/>
  <c r="P160" i="1"/>
  <c r="P159" i="1"/>
  <c r="P151" i="1"/>
  <c r="P148" i="1"/>
  <c r="P119" i="1"/>
  <c r="P64" i="1"/>
  <c r="P63" i="1"/>
  <c r="P28" i="1"/>
  <c r="P27" i="1"/>
  <c r="P26" i="1"/>
  <c r="P25" i="1"/>
  <c r="P22" i="1"/>
  <c r="P21" i="1"/>
  <c r="P20" i="1"/>
  <c r="P19" i="1"/>
  <c r="M168" i="1"/>
  <c r="M167" i="1"/>
  <c r="M160" i="1"/>
  <c r="M159" i="1"/>
  <c r="M151" i="1"/>
  <c r="M148" i="1"/>
  <c r="M119" i="1"/>
  <c r="M64" i="1"/>
  <c r="M63" i="1"/>
  <c r="M27" i="1"/>
  <c r="M26" i="1"/>
  <c r="M25" i="1"/>
  <c r="M22" i="1"/>
  <c r="M21" i="1"/>
  <c r="M20" i="1"/>
  <c r="M19" i="1"/>
  <c r="L168" i="1"/>
  <c r="L167" i="1"/>
  <c r="L160" i="1"/>
  <c r="L159" i="1"/>
  <c r="L151" i="1"/>
  <c r="L148" i="1"/>
  <c r="L119" i="1"/>
  <c r="L64" i="1"/>
  <c r="L63" i="1"/>
  <c r="L28" i="1"/>
  <c r="L27" i="1"/>
  <c r="L26" i="1"/>
  <c r="L25" i="1"/>
  <c r="L22" i="1"/>
  <c r="L21" i="1"/>
  <c r="L20" i="1"/>
  <c r="L19" i="1"/>
  <c r="P166" i="1"/>
  <c r="P165" i="1"/>
  <c r="P164" i="1"/>
  <c r="P163" i="1"/>
  <c r="P158" i="1"/>
  <c r="P157" i="1"/>
  <c r="P156" i="1"/>
  <c r="P143" i="1"/>
  <c r="P142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4" i="1"/>
  <c r="P23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166" i="1"/>
  <c r="O165" i="1"/>
  <c r="O164" i="1"/>
  <c r="O163" i="1"/>
  <c r="O158" i="1"/>
  <c r="O157" i="1"/>
  <c r="O156" i="1"/>
  <c r="O143" i="1"/>
  <c r="O142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4" i="1"/>
  <c r="O23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20" i="1"/>
  <c r="P150" i="1"/>
  <c r="O150" i="1"/>
  <c r="P149" i="1"/>
  <c r="O149" i="1"/>
  <c r="P155" i="1"/>
  <c r="O155" i="1"/>
  <c r="P145" i="1"/>
  <c r="P146" i="1"/>
  <c r="P147" i="1"/>
  <c r="P144" i="1"/>
  <c r="O145" i="1"/>
  <c r="O146" i="1"/>
  <c r="O147" i="1"/>
  <c r="O144" i="1"/>
  <c r="P66" i="1"/>
  <c r="P65" i="1"/>
  <c r="O66" i="1"/>
  <c r="O65" i="1"/>
</calcChain>
</file>

<file path=xl/sharedStrings.xml><?xml version="1.0" encoding="utf-8"?>
<sst xmlns="http://schemas.openxmlformats.org/spreadsheetml/2006/main" count="1346" uniqueCount="584">
  <si>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</si>
  <si>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</si>
  <si>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</si>
  <si>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</si>
  <si>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</si>
  <si>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</si>
  <si>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</si>
  <si>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</si>
  <si>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</si>
  <si>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</si>
  <si>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DF</t>
  </si>
  <si>
    <t>PEN</t>
  </si>
  <si>
    <t>1000013966</t>
  </si>
  <si>
    <t>ARKANO TRADING SOCIEDAD ANONIMA CER</t>
  </si>
  <si>
    <t>1200005220</t>
  </si>
  <si>
    <t>01-0F101-0004694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</si>
  <si>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</si>
  <si>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</si>
  <si>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</si>
  <si>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</si>
  <si>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</si>
  <si>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</si>
  <si>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</si>
  <si>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</si>
  <si>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</si>
  <si>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</si>
  <si>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</si>
  <si>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</si>
  <si>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</si>
  <si>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</si>
  <si>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</si>
  <si>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</si>
  <si>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</si>
  <si>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</si>
  <si>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</si>
  <si>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</si>
  <si>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</si>
  <si>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</si>
  <si>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</si>
  <si>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</si>
  <si>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</si>
  <si>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</si>
  <si>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</si>
  <si>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</si>
  <si>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</si>
  <si>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</si>
  <si>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</si>
  <si>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</si>
  <si>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</si>
  <si>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</si>
  <si>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</si>
  <si>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</si>
  <si>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</si>
  <si>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</si>
  <si>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</si>
  <si>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</si>
  <si>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</si>
  <si>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</si>
  <si>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</si>
  <si>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</si>
  <si>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</si>
  <si>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</si>
  <si>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</si>
  <si>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</si>
  <si>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ZV</t>
  </si>
  <si>
    <t>2000001028</t>
  </si>
  <si>
    <t>AVANCE GROUP LTD</t>
  </si>
  <si>
    <t>1300009234</t>
  </si>
  <si>
    <t>FT-0F002-0000403</t>
  </si>
  <si>
    <t>USD</t>
  </si>
  <si>
    <t>AVANCE GROUP LTD</t>
  </si>
  <si>
    <t>1300008501</t>
  </si>
  <si>
    <t>FT-0F002-0000412</t>
  </si>
  <si>
    <t>AVANCE GROUP LTD</t>
  </si>
  <si>
    <t>1300008502</t>
  </si>
  <si>
    <t>FT-0F002-0000411</t>
  </si>
  <si>
    <t>AVANCE GROUP LTD</t>
  </si>
  <si>
    <t>1200003508</t>
  </si>
  <si>
    <t>01-0F002-0000415</t>
  </si>
  <si>
    <t>DE</t>
  </si>
  <si>
    <t>1000013676</t>
  </si>
  <si>
    <t>CARLOS ALBERTO MARTINEZ QUEREVALU</t>
  </si>
  <si>
    <t>1200003566</t>
  </si>
  <si>
    <t>03-0B001-0004870</t>
  </si>
  <si>
    <t>DB</t>
  </si>
  <si>
    <t>CARLOS ALBERTO MARTINEZ QUEREVALU</t>
  </si>
  <si>
    <t>1200003567</t>
  </si>
  <si>
    <t>03-0B001-0004871</t>
  </si>
  <si>
    <t>SA</t>
  </si>
  <si>
    <t>2000001381</t>
  </si>
  <si>
    <t>DAIRECK SA</t>
  </si>
  <si>
    <t>DZ</t>
  </si>
  <si>
    <t>DAIRECK SA</t>
  </si>
  <si>
    <t>1300008291</t>
  </si>
  <si>
    <t>FP-273</t>
  </si>
  <si>
    <t>DAIRECK SA</t>
  </si>
  <si>
    <t>1200003575</t>
  </si>
  <si>
    <t>01-0F002-0000420</t>
  </si>
  <si>
    <t>DAIRECK SA</t>
  </si>
  <si>
    <t>1300008534</t>
  </si>
  <si>
    <t>FP-278</t>
  </si>
  <si>
    <t>2000001478</t>
  </si>
  <si>
    <t>Dexianhui Technology (Dalian) Co.,</t>
  </si>
  <si>
    <t>1300009246</t>
  </si>
  <si>
    <t>FP-290</t>
  </si>
  <si>
    <t>1000013754</t>
  </si>
  <si>
    <t>ELMER SIXTO SOJO ACARO</t>
  </si>
  <si>
    <t>1200003557</t>
  </si>
  <si>
    <t>03-0B001-0004867</t>
  </si>
  <si>
    <t>ELMER SIXTO SOJO ACARO</t>
  </si>
  <si>
    <t>1200003558</t>
  </si>
  <si>
    <t>03-0B001-0004868</t>
  </si>
  <si>
    <t>ELMER SIXTO SOJO ACARO</t>
  </si>
  <si>
    <t>1200003580</t>
  </si>
  <si>
    <t>03-0B001-0004876</t>
  </si>
  <si>
    <t>ELMER SIXTO SOJO ACARO</t>
  </si>
  <si>
    <t>1200003581</t>
  </si>
  <si>
    <t>03-0B001-0004877</t>
  </si>
  <si>
    <t>ELMER SIXTO SOJO ACARO</t>
  </si>
  <si>
    <t>1200003615</t>
  </si>
  <si>
    <t>03-0B001-0004878</t>
  </si>
  <si>
    <t>ELMER SIXTO SOJO ACARO</t>
  </si>
  <si>
    <t>1200003616</t>
  </si>
  <si>
    <t>03-0B001-0004879</t>
  </si>
  <si>
    <t>ELMER SIXTO SOJO ACARO</t>
  </si>
  <si>
    <t>1200003665</t>
  </si>
  <si>
    <t>03-0B001-0004885</t>
  </si>
  <si>
    <t>ELMER SIXTO SOJO ACARO</t>
  </si>
  <si>
    <t>1200003666</t>
  </si>
  <si>
    <t>03-0B001-0004886</t>
  </si>
  <si>
    <t>ELMER SIXTO SOJO ACARO</t>
  </si>
  <si>
    <t>1200003704</t>
  </si>
  <si>
    <t>03-0B001-0004891</t>
  </si>
  <si>
    <t>ELMER SIXTO SOJO ACARO</t>
  </si>
  <si>
    <t>1200003705</t>
  </si>
  <si>
    <t>03-0B001-0004892</t>
  </si>
  <si>
    <t>ELMER SIXTO SOJO ACARO</t>
  </si>
  <si>
    <t>1200003734</t>
  </si>
  <si>
    <t>03-0B001-0004897</t>
  </si>
  <si>
    <t>ELMER SIXTO SOJO ACARO</t>
  </si>
  <si>
    <t>1200003735</t>
  </si>
  <si>
    <t>03-0B001-0004898</t>
  </si>
  <si>
    <t>ELMER SIXTO SOJO ACARO</t>
  </si>
  <si>
    <t>1200003764</t>
  </si>
  <si>
    <t>03-0B001-0004903</t>
  </si>
  <si>
    <t>ELMER SIXTO SOJO ACARO</t>
  </si>
  <si>
    <t>1200003765</t>
  </si>
  <si>
    <t>03-0B001-0004904</t>
  </si>
  <si>
    <t>ELMER SIXTO SOJO ACARO</t>
  </si>
  <si>
    <t>1200003849</t>
  </si>
  <si>
    <t>03-0B001-0004915</t>
  </si>
  <si>
    <t>ELMER SIXTO SOJO ACARO</t>
  </si>
  <si>
    <t>1200003850</t>
  </si>
  <si>
    <t>03-0B001-0004916</t>
  </si>
  <si>
    <t>ELMER SIXTO SOJO ACARO</t>
  </si>
  <si>
    <t>1200003889</t>
  </si>
  <si>
    <t>03-0B001-0004923</t>
  </si>
  <si>
    <t>ELMER SIXTO SOJO ACARO</t>
  </si>
  <si>
    <t>1200003890</t>
  </si>
  <si>
    <t>03-0B001-0004924</t>
  </si>
  <si>
    <t>ELMER SIXTO SOJO ACARO</t>
  </si>
  <si>
    <t>1200003894</t>
  </si>
  <si>
    <t>03-0B001-0004925</t>
  </si>
  <si>
    <t>ELMER SIXTO SOJO ACARO</t>
  </si>
  <si>
    <t>1200003895</t>
  </si>
  <si>
    <t>03-0B001-0004926</t>
  </si>
  <si>
    <t>ELMER SIXTO SOJO ACARO</t>
  </si>
  <si>
    <t>1200003934</t>
  </si>
  <si>
    <t>03-0B001-0004929</t>
  </si>
  <si>
    <t>ELMER SIXTO SOJO ACARO</t>
  </si>
  <si>
    <t>1200003935</t>
  </si>
  <si>
    <t>03-0B001-0004930</t>
  </si>
  <si>
    <t>ELMER SIXTO SOJO ACARO</t>
  </si>
  <si>
    <t>1200003942</t>
  </si>
  <si>
    <t>03-0B001-0004931</t>
  </si>
  <si>
    <t>ELMER SIXTO SOJO ACARO</t>
  </si>
  <si>
    <t>1200003943</t>
  </si>
  <si>
    <t>03-0B001-0004932</t>
  </si>
  <si>
    <t>ELMER SIXTO SOJO ACARO</t>
  </si>
  <si>
    <t>1200003976</t>
  </si>
  <si>
    <t>03-0B001-0004947</t>
  </si>
  <si>
    <t>ELMER SIXTO SOJO ACARO</t>
  </si>
  <si>
    <t>1200003977</t>
  </si>
  <si>
    <t>03-0B001-0004948</t>
  </si>
  <si>
    <t>ELMER SIXTO SOJO ACARO</t>
  </si>
  <si>
    <t>1200003993</t>
  </si>
  <si>
    <t>03-0B001-0004952</t>
  </si>
  <si>
    <t>ELMER SIXTO SOJO ACARO</t>
  </si>
  <si>
    <t>1200003994</t>
  </si>
  <si>
    <t>03-0B001-0004953</t>
  </si>
  <si>
    <t>ELMER SIXTO SOJO ACARO</t>
  </si>
  <si>
    <t>1200004056</t>
  </si>
  <si>
    <t>03-0B001-0004962</t>
  </si>
  <si>
    <t>ELMER SIXTO SOJO ACARO</t>
  </si>
  <si>
    <t>1200004057</t>
  </si>
  <si>
    <t>03-0B001-0004963</t>
  </si>
  <si>
    <t>ELMER SIXTO SOJO ACARO</t>
  </si>
  <si>
    <t>1200004078</t>
  </si>
  <si>
    <t>03-0B001-0004964</t>
  </si>
  <si>
    <t>ELMER SIXTO SOJO ACARO</t>
  </si>
  <si>
    <t>1200004079</t>
  </si>
  <si>
    <t>03-0B001-0004965</t>
  </si>
  <si>
    <t>ELMER SIXTO SOJO ACARO</t>
  </si>
  <si>
    <t>1200004167</t>
  </si>
  <si>
    <t>03-0B001-0004978</t>
  </si>
  <si>
    <t>ELMER SIXTO SOJO ACARO</t>
  </si>
  <si>
    <t>1200004168</t>
  </si>
  <si>
    <t>03-0B001-0004979</t>
  </si>
  <si>
    <t>2000001368</t>
  </si>
  <si>
    <t>FOOD &amp; BEVERAGES TRADERS, S.L.</t>
  </si>
  <si>
    <t>1300004854</t>
  </si>
  <si>
    <t>FT-0F002-0000311</t>
  </si>
  <si>
    <t>2000001439</t>
  </si>
  <si>
    <t>GOLDEN SEAFOOD PTE. LTD.</t>
  </si>
  <si>
    <t>1300009227</t>
  </si>
  <si>
    <t>FP-284</t>
  </si>
  <si>
    <t>6002186</t>
  </si>
  <si>
    <t>INDUSTRIAL PESQUERA SANTA MONICA S.</t>
  </si>
  <si>
    <t>1200003523</t>
  </si>
  <si>
    <t>01-0F101-0007720</t>
  </si>
  <si>
    <t>INDUSTRIAL PESQUERA SANTA MONICA S.</t>
  </si>
  <si>
    <t>1200003618</t>
  </si>
  <si>
    <t>01-0F101-0007779</t>
  </si>
  <si>
    <t>1000006830</t>
  </si>
  <si>
    <t>JAHFISH E.I.R.L.</t>
  </si>
  <si>
    <t>1200003784</t>
  </si>
  <si>
    <t>01-0F101-0007915</t>
  </si>
  <si>
    <t>JAHFISH E.I.R.L.</t>
  </si>
  <si>
    <t>1200003785</t>
  </si>
  <si>
    <t>01-0F101-0007916</t>
  </si>
  <si>
    <t>JAHFISH E.I.R.L.</t>
  </si>
  <si>
    <t>1200003790</t>
  </si>
  <si>
    <t>01-0F101-0007921</t>
  </si>
  <si>
    <t>JAHFISH E.I.R.L.</t>
  </si>
  <si>
    <t>1200003791</t>
  </si>
  <si>
    <t>01-0F101-0007922</t>
  </si>
  <si>
    <t>JAHFISH E.I.R.L.</t>
  </si>
  <si>
    <t>1200003794</t>
  </si>
  <si>
    <t>01-0F101-0007925</t>
  </si>
  <si>
    <t>JAHFISH E.I.R.L.</t>
  </si>
  <si>
    <t>1200003795</t>
  </si>
  <si>
    <t>01-0F101-0007926</t>
  </si>
  <si>
    <t>JAHFISH E.I.R.L.</t>
  </si>
  <si>
    <t>1200003836</t>
  </si>
  <si>
    <t>01-0F101-0007947</t>
  </si>
  <si>
    <t>JAHFISH E.I.R.L.</t>
  </si>
  <si>
    <t>1200003837</t>
  </si>
  <si>
    <t>01-0F101-0007948</t>
  </si>
  <si>
    <t>JAHFISH E.I.R.L.</t>
  </si>
  <si>
    <t>1200003814</t>
  </si>
  <si>
    <t>01-0F101-0007935</t>
  </si>
  <si>
    <t>JAHFISH E.I.R.L.</t>
  </si>
  <si>
    <t>1200003815</t>
  </si>
  <si>
    <t>01-0F101-0007936</t>
  </si>
  <si>
    <t>JAHFISH E.I.R.L.</t>
  </si>
  <si>
    <t>1200003861</t>
  </si>
  <si>
    <t>01-0F101-0007962</t>
  </si>
  <si>
    <t>JAHFISH E.I.R.L.</t>
  </si>
  <si>
    <t>1200003862</t>
  </si>
  <si>
    <t>01-0F101-0007963</t>
  </si>
  <si>
    <t>JAHFISH E.I.R.L.</t>
  </si>
  <si>
    <t>1200003891</t>
  </si>
  <si>
    <t>01-0F101-0007986</t>
  </si>
  <si>
    <t>JAHFISH E.I.R.L.</t>
  </si>
  <si>
    <t>1200003892</t>
  </si>
  <si>
    <t>01-0F101-0007987</t>
  </si>
  <si>
    <t>JAHFISH E.I.R.L.</t>
  </si>
  <si>
    <t>1200003908</t>
  </si>
  <si>
    <t>01-0F101-0008001</t>
  </si>
  <si>
    <t>JAHFISH E.I.R.L.</t>
  </si>
  <si>
    <t>1200003909</t>
  </si>
  <si>
    <t>01-0F101-0008002</t>
  </si>
  <si>
    <t>JAHFISH E.I.R.L.</t>
  </si>
  <si>
    <t>1200003914</t>
  </si>
  <si>
    <t>01-0F101-0008007</t>
  </si>
  <si>
    <t>JAHFISH E.I.R.L.</t>
  </si>
  <si>
    <t>1200003915</t>
  </si>
  <si>
    <t>01-0F101-0008008</t>
  </si>
  <si>
    <t>JAHFISH E.I.R.L.</t>
  </si>
  <si>
    <t>1200003931</t>
  </si>
  <si>
    <t>01-0F101-0008019</t>
  </si>
  <si>
    <t>JAHFISH E.I.R.L.</t>
  </si>
  <si>
    <t>1200003932</t>
  </si>
  <si>
    <t>01-0F101-0008020</t>
  </si>
  <si>
    <t>JAHFISH E.I.R.L.</t>
  </si>
  <si>
    <t>1200003954</t>
  </si>
  <si>
    <t>01-0F101-0008032</t>
  </si>
  <si>
    <t>JAHFISH E.I.R.L.</t>
  </si>
  <si>
    <t>1200003955</t>
  </si>
  <si>
    <t>01-0F101-0008033</t>
  </si>
  <si>
    <t>JAHFISH E.I.R.L.</t>
  </si>
  <si>
    <t>1200003972</t>
  </si>
  <si>
    <t>01-0F101-0008042</t>
  </si>
  <si>
    <t>JAHFISH E.I.R.L.</t>
  </si>
  <si>
    <t>1200003973</t>
  </si>
  <si>
    <t>01-0F101-0008043</t>
  </si>
  <si>
    <t>JAHFISH E.I.R.L.</t>
  </si>
  <si>
    <t>1200003981</t>
  </si>
  <si>
    <t>01-0F101-0008046</t>
  </si>
  <si>
    <t>JAHFISH E.I.R.L.</t>
  </si>
  <si>
    <t>1200003982</t>
  </si>
  <si>
    <t>01-0F101-0008047</t>
  </si>
  <si>
    <t>JAHFISH E.I.R.L.</t>
  </si>
  <si>
    <t>1200003985</t>
  </si>
  <si>
    <t>01-0F101-0008050</t>
  </si>
  <si>
    <t>JAHFISH E.I.R.L.</t>
  </si>
  <si>
    <t>1200003986</t>
  </si>
  <si>
    <t>01-0F101-0008051</t>
  </si>
  <si>
    <t>JAHFISH E.I.R.L.</t>
  </si>
  <si>
    <t>1200003997</t>
  </si>
  <si>
    <t>01-0F101-0008058</t>
  </si>
  <si>
    <t>JAHFISH E.I.R.L.</t>
  </si>
  <si>
    <t>1200003998</t>
  </si>
  <si>
    <t>01-0F101-0008059</t>
  </si>
  <si>
    <t>JAHFISH E.I.R.L.</t>
  </si>
  <si>
    <t>1200004038</t>
  </si>
  <si>
    <t>01-0F101-0008090</t>
  </si>
  <si>
    <t>JAHFISH E.I.R.L.</t>
  </si>
  <si>
    <t>1200004039</t>
  </si>
  <si>
    <t>01-0F101-0008091</t>
  </si>
  <si>
    <t>JAHFISH E.I.R.L.</t>
  </si>
  <si>
    <t>1200004042</t>
  </si>
  <si>
    <t>01-0F101-0008094</t>
  </si>
  <si>
    <t>JAHFISH E.I.R.L.</t>
  </si>
  <si>
    <t>1200004043</t>
  </si>
  <si>
    <t>01-0F101-0008095</t>
  </si>
  <si>
    <t>JAHFISH E.I.R.L.</t>
  </si>
  <si>
    <t>1200004046</t>
  </si>
  <si>
    <t>01-0F101-0008098</t>
  </si>
  <si>
    <t>JAHFISH E.I.R.L.</t>
  </si>
  <si>
    <t>1200004047</t>
  </si>
  <si>
    <t>01-0F101-0008099</t>
  </si>
  <si>
    <t>JAHFISH E.I.R.L.</t>
  </si>
  <si>
    <t>1200004090</t>
  </si>
  <si>
    <t>01-0F101-0008133</t>
  </si>
  <si>
    <t>JAHFISH E.I.R.L.</t>
  </si>
  <si>
    <t>1200004091</t>
  </si>
  <si>
    <t>01-0F101-0008134</t>
  </si>
  <si>
    <t>JAHFISH E.I.R.L.</t>
  </si>
  <si>
    <t>1200004098</t>
  </si>
  <si>
    <t>01-0F101-0008141</t>
  </si>
  <si>
    <t>JAHFISH E.I.R.L.</t>
  </si>
  <si>
    <t>1200004099</t>
  </si>
  <si>
    <t>01-0F101-0008142</t>
  </si>
  <si>
    <t>JAHFISH E.I.R.L.</t>
  </si>
  <si>
    <t>1200004100</t>
  </si>
  <si>
    <t>01-0F101-0008143</t>
  </si>
  <si>
    <t>JAHFISH E.I.R.L.</t>
  </si>
  <si>
    <t>1200004101</t>
  </si>
  <si>
    <t>01-0F101-0008144</t>
  </si>
  <si>
    <t>JAHFISH E.I.R.L.</t>
  </si>
  <si>
    <t>1200004104</t>
  </si>
  <si>
    <t>01-0F101-0008145</t>
  </si>
  <si>
    <t>JAHFISH E.I.R.L.</t>
  </si>
  <si>
    <t>1200004105</t>
  </si>
  <si>
    <t>01-0F101-0008146</t>
  </si>
  <si>
    <t>JAHFISH E.I.R.L.</t>
  </si>
  <si>
    <t>1200004109</t>
  </si>
  <si>
    <t>01-0F101-0008150</t>
  </si>
  <si>
    <t>JAHFISH E.I.R.L.</t>
  </si>
  <si>
    <t>1200004110</t>
  </si>
  <si>
    <t>01-0F101-0008151</t>
  </si>
  <si>
    <t>JAHFISH E.I.R.L.</t>
  </si>
  <si>
    <t>1200004113</t>
  </si>
  <si>
    <t>01-0F101-0008153</t>
  </si>
  <si>
    <t>JAHFISH E.I.R.L.</t>
  </si>
  <si>
    <t>1200004114</t>
  </si>
  <si>
    <t>01-0F101-0008154</t>
  </si>
  <si>
    <t>JAHFISH E.I.R.L.</t>
  </si>
  <si>
    <t>1200004165</t>
  </si>
  <si>
    <t>01-0F101-0008194</t>
  </si>
  <si>
    <t>JAHFISH E.I.R.L.</t>
  </si>
  <si>
    <t>1200004166</t>
  </si>
  <si>
    <t>01-0F101-0008195</t>
  </si>
  <si>
    <t>JAHFISH E.I.R.L.</t>
  </si>
  <si>
    <t>1200004178</t>
  </si>
  <si>
    <t>01-0F101-0008205</t>
  </si>
  <si>
    <t>JAHFISH E.I.R.L.</t>
  </si>
  <si>
    <t>1200004179</t>
  </si>
  <si>
    <t>01-0F101-0008206</t>
  </si>
  <si>
    <t>2000001172</t>
  </si>
  <si>
    <t>KULALIA SL</t>
  </si>
  <si>
    <t>1300008527</t>
  </si>
  <si>
    <t>FT-0F002-0000389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</si>
  <si>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</si>
  <si>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</si>
  <si>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</si>
  <si>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</si>
  <si>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</si>
  <si>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</si>
  <si>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</si>
  <si>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</si>
  <si>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</si>
  <si>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</si>
  <si>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</si>
  <si>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</si>
  <si>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</si>
  <si>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</si>
  <si>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</si>
  <si>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</si>
  <si>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</si>
  <si>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</si>
  <si>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</si>
  <si>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</si>
  <si>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</si>
  <si>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</si>
  <si>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</si>
  <si>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</si>
  <si>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</si>
  <si>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NAVAPEZ E.I.R.L.</t>
  </si>
  <si>
    <t>1200001609</t>
  </si>
  <si>
    <t>01-0F101-0006311</t>
  </si>
  <si>
    <t>NAVAPEZ E.I.R.L.</t>
  </si>
  <si>
    <t>1200001610</t>
  </si>
  <si>
    <t>01-0F101-0006312</t>
  </si>
  <si>
    <t>NAVAPEZ E.I.R.L.</t>
  </si>
  <si>
    <t>1200001789</t>
  </si>
  <si>
    <t>01-0F101-0006447</t>
  </si>
  <si>
    <t>NAVAPEZ E.I.R.L.</t>
  </si>
  <si>
    <t>1200001790</t>
  </si>
  <si>
    <t>01-0F101-0006448</t>
  </si>
  <si>
    <t>NAVAPEZ E.I.R.L.</t>
  </si>
  <si>
    <t>1200002045</t>
  </si>
  <si>
    <t>01-0F101-0006626</t>
  </si>
  <si>
    <t>NAVAPEZ E.I.R.L.</t>
  </si>
  <si>
    <t>1200002046</t>
  </si>
  <si>
    <t>01-0F101-0006627</t>
  </si>
  <si>
    <t>NAVAPEZ E.I.R.L.</t>
  </si>
  <si>
    <t>1200002186</t>
  </si>
  <si>
    <t>01-0F101-0006716</t>
  </si>
  <si>
    <t>NAVAPEZ E.I.R.L.</t>
  </si>
  <si>
    <t>1200002187</t>
  </si>
  <si>
    <t>01-0F101-0006717</t>
  </si>
  <si>
    <t>NAVAPEZ E.I.R.L.</t>
  </si>
  <si>
    <t>1200002487</t>
  </si>
  <si>
    <t>01-0F101-0006948</t>
  </si>
  <si>
    <t>NAVAPEZ E.I.R.L.</t>
  </si>
  <si>
    <t>1200002488</t>
  </si>
  <si>
    <t>01-0F101-0006949</t>
  </si>
  <si>
    <t>NAVAPEZ E.I.R.L.</t>
  </si>
  <si>
    <t>1200002956</t>
  </si>
  <si>
    <t>01-0F101-0007286</t>
  </si>
  <si>
    <t>NAVAPEZ E.I.R.L.</t>
  </si>
  <si>
    <t>1200002957</t>
  </si>
  <si>
    <t>01-0F101-0007287</t>
  </si>
  <si>
    <t>NAVAPEZ E.I.R.L.</t>
  </si>
  <si>
    <t>1200003319</t>
  </si>
  <si>
    <t>01-0F101-0007590</t>
  </si>
  <si>
    <t>NAVAPEZ E.I.R.L.</t>
  </si>
  <si>
    <t>1200003320</t>
  </si>
  <si>
    <t>01-0F101-0007591</t>
  </si>
  <si>
    <t>6001105</t>
  </si>
  <si>
    <t>NEGOCIOS PESQUEROS AARON EIRL</t>
  </si>
  <si>
    <t>1300007099</t>
  </si>
  <si>
    <t>FT-0F101-0007507</t>
  </si>
  <si>
    <t>1000015723</t>
  </si>
  <si>
    <t>OCEANO SEAFOOD S.A.</t>
  </si>
  <si>
    <t>1200004180</t>
  </si>
  <si>
    <t>01-0F101-0008207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</si>
  <si>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</si>
  <si>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</si>
  <si>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</si>
  <si>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</si>
  <si>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</si>
  <si>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</si>
  <si>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</si>
  <si>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</si>
  <si>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</si>
  <si>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</si>
  <si>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</si>
  <si>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</si>
  <si>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</si>
  <si>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2000000267</t>
  </si>
  <si>
    <t>PESCIRO SLU</t>
  </si>
  <si>
    <t>1300009219</t>
  </si>
  <si>
    <t>FP-287</t>
  </si>
  <si>
    <t>6000434</t>
  </si>
  <si>
    <t>PESQUERA HAYDUK S.A.</t>
  </si>
  <si>
    <t>1200004540</t>
  </si>
  <si>
    <t>01-0F003-0000083</t>
  </si>
  <si>
    <t>1000001607</t>
  </si>
  <si>
    <t>PROVEEDORA DE PRODUCTOS MARINOS</t>
  </si>
  <si>
    <t>1200004191</t>
  </si>
  <si>
    <t>01-0F003-0000202</t>
  </si>
  <si>
    <t>2000001382</t>
  </si>
  <si>
    <t>QINGDAO OCEAN FISHERY COMPANY LIMIT</t>
  </si>
  <si>
    <t>1300007200</t>
  </si>
  <si>
    <t>FT-0F002-0000394</t>
  </si>
  <si>
    <t>1000015392</t>
  </si>
  <si>
    <t>SEBGUSTA FISH S.R.L.</t>
  </si>
  <si>
    <t>1100021551</t>
  </si>
  <si>
    <t>GARANTIA</t>
  </si>
  <si>
    <t>SEBGUSTA FISH S.R.L.</t>
  </si>
  <si>
    <t>1100021550</t>
  </si>
  <si>
    <t>SEBGUSTA FISH S.R.L.</t>
  </si>
  <si>
    <t>1100021552</t>
  </si>
  <si>
    <t>SEBGUSTA FISH S.R.L.</t>
  </si>
  <si>
    <t>1100016416</t>
  </si>
  <si>
    <t>FT-0F003-0000192</t>
  </si>
  <si>
    <t>1000001965</t>
  </si>
  <si>
    <t>SERVICIOS DIESEL EXPRESS E.I.R.L.</t>
  </si>
  <si>
    <t>1200004027</t>
  </si>
  <si>
    <t>01-0F101-0008085</t>
  </si>
  <si>
    <t>SERVICIOS DIESEL EXPRESS E.I.R.L.</t>
  </si>
  <si>
    <t>1200004153</t>
  </si>
  <si>
    <t>01-0F101-0008186</t>
  </si>
  <si>
    <t>SERVICIOS DIESEL EXPRESS E.I.R.L.</t>
  </si>
  <si>
    <t>1200004185</t>
  </si>
  <si>
    <t>01-0F101-0008212</t>
  </si>
  <si>
    <t>2000001440</t>
  </si>
  <si>
    <t>Shenzhen Yueshi Supply Chain</t>
  </si>
  <si>
    <t>1300009218</t>
  </si>
  <si>
    <t>FP-285</t>
  </si>
  <si>
    <t>Shenzhen Yueshi Supply Chain</t>
  </si>
  <si>
    <t>1300009245</t>
  </si>
  <si>
    <t>FP-289</t>
  </si>
  <si>
    <t>1000006120</t>
  </si>
  <si>
    <t>SIGMA - FI LEASOP VI</t>
  </si>
  <si>
    <t>1100021464</t>
  </si>
  <si>
    <t>PAGO DOBLE SIGMA</t>
  </si>
  <si>
    <t>SIGMA - FI LEASOP VI</t>
  </si>
  <si>
    <t>1100021466</t>
  </si>
  <si>
    <t>SALDO POR COBRAR</t>
  </si>
  <si>
    <t>1000013686</t>
  </si>
  <si>
    <t>TRANSPORTES O Y G S.A.C.</t>
  </si>
  <si>
    <t>1200004149</t>
  </si>
  <si>
    <t>01-0F101-0008183</t>
  </si>
  <si>
    <t>TRANSPORTES O Y G S.A.C.</t>
  </si>
  <si>
    <t>1200004169</t>
  </si>
  <si>
    <t>01-0F101-0008196</t>
  </si>
  <si>
    <t>TRANSPORTES O Y G S.A.C.</t>
  </si>
  <si>
    <t>1200004177</t>
  </si>
  <si>
    <t>01-0F101-0008204</t>
  </si>
  <si>
    <t>TRANSPORTES O Y G S.A.C.</t>
  </si>
  <si>
    <t>1200004183</t>
  </si>
  <si>
    <t>01-0F101-0008210</t>
  </si>
  <si>
    <t>2000000786</t>
  </si>
  <si>
    <t>TSUJINO &amp; CO., LTD</t>
  </si>
  <si>
    <t>TSUJINO &amp; CO., LTD</t>
  </si>
  <si>
    <t>1200004112</t>
  </si>
  <si>
    <t>01-0F002-0000424</t>
  </si>
  <si>
    <t>2000001446</t>
  </si>
  <si>
    <t>ZHEJIANG ZHOUFU FOOD CO.,LTD</t>
  </si>
  <si>
    <t>1300008536</t>
  </si>
  <si>
    <t>FP-279</t>
  </si>
  <si>
    <t>UNIDAD DE NEGOCIO</t>
  </si>
  <si>
    <t>NACIONAL</t>
  </si>
  <si>
    <t>CISTERNA COMBUSTIBLE</t>
  </si>
  <si>
    <t>OTROS</t>
  </si>
  <si>
    <t>RESIDUOS</t>
  </si>
  <si>
    <t>LIMPIEZA (DESCONTAR DE SU PAGO)</t>
  </si>
  <si>
    <t>RODRIGO</t>
  </si>
  <si>
    <t>ALMACENAMIENTO</t>
  </si>
  <si>
    <t>EXPORTACIÓN</t>
  </si>
  <si>
    <t>Etiquetas de columna</t>
  </si>
  <si>
    <t>Etiquetas de fila</t>
  </si>
  <si>
    <t>Total general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</si>
  <si>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</si>
  <si>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</si>
  <si>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</si>
  <si>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</si>
  <si>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</si>
  <si>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</si>
  <si>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</si>
  <si>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</si>
  <si>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46-60</t>
  </si>
  <si>
    <t>61-90</t>
  </si>
  <si>
    <t>91-A MÁS</t>
  </si>
  <si>
    <t>(Todas)</t>
  </si>
  <si>
    <t>Suma de USD HOMOL</t>
  </si>
  <si>
    <t>(Varios elementos)</t>
  </si>
  <si>
    <t>Suma de DÍAS ATRASADOS</t>
  </si>
  <si>
    <t>Cuenta de DÍAS VENCIDOS</t>
  </si>
  <si>
    <t>Pagado a Ana y Mildo</t>
  </si>
  <si>
    <t>Segunda Solicitud</t>
  </si>
  <si>
    <t>Tercera Solicitud</t>
  </si>
  <si>
    <t>Cuarta Solicitud</t>
  </si>
  <si>
    <t>Primera Solicitud</t>
  </si>
  <si>
    <t>Soles</t>
  </si>
  <si>
    <t>COBRANZAS DE IGV</t>
  </si>
  <si>
    <t>Total</t>
  </si>
  <si>
    <t>Estado</t>
  </si>
  <si>
    <t>Cobrado</t>
  </si>
  <si>
    <t>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</si>
</sst>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4" fillId="3" borderId="0" xfId="2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2" applyFont="1" applyFill="1" applyAlignment="1">
      <alignment vertical="top" wrapText="1"/>
    </xf>
    <xf numFmtId="0" fontId="4" fillId="5" borderId="0" xfId="2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2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  <xf numFmtId="165" fontId="0" fillId="0" borderId="0" xfId="1" applyNumberFormat="1" applyFon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</cellXfs>
  <cellStyles count="3">
    <cellStyle name="Millares" xfId="1" builtinId="3"/>
    <cellStyle name="Normal" xfId="0" builtinId="0"/>
    <cellStyle name="Normal 2" xfId="2" xr:uid="{BA798E79-DC4C-49DD-82A7-3646B69D3212}"/>
  </cellStyles>
  <dxfs count="10">
    <dxf>
      <numFmt numFmtId="164" formatCode="_-* #,##0.0_-;\-* #,##0.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93.760834722219" createdVersion="8" refreshedVersion="8" minRefreshableVersion="3" recordCount="178" xr:uid="{6A2A72FE-664F-44A4-A444-180B80A1A3CB}">
  <cacheSource type="worksheet">
    <worksheetSource ref="A1:R1048576" sheet="Data"/>
  </cacheSource>
  <cacheFields count="21">
    <cacheField name="Cliente" numFmtId="0">
      <sharedItems containsBlank="1"/>
    </cacheField>
    <cacheField name="Nombre de cliente" numFmtId="0">
      <sharedItems containsBlank="1" count="27">
        <s v="ARKANO TRADING SOCIEDAD ANONIMA CER"/>
        <s v="AVANCE GROUP LTD"/>
        <s v="CARLOS ALBERTO MARTINEZ QUEREVALU"/>
        <s v="DAIRECK SA"/>
        <s v="Dexianhui Technology (Dalian) Co.,"/>
        <s v="ELMER SIXTO SOJO ACARO"/>
        <s v="FOOD &amp; BEVERAGES TRADERS, S.L."/>
        <s v="GOLDEN SEAFOOD PTE. LTD."/>
        <s v="INDUSTRIAL PESQUERA SANTA MONICA S."/>
        <s v="JAHFISH E.I.R.L."/>
        <s v="KULALIA SL"/>
        <s v="NAVAPEZ E.I.R.L."/>
        <s v="NEGOCIOS PESQUEROS AARON EIRL"/>
        <s v="OCEANO SEAFOOD S.A."/>
        <s v="PEGASUS ENTERPRISE S.A.C."/>
        <s v="PESCIRO SLU"/>
        <s v="PESQUERA HAYDUK S.A."/>
        <s v="PROVEEDORA DE PRODUCTOS MARINOS"/>
        <s v="QINGDAO OCEAN FISHERY COMPANY LIMIT"/>
        <s v="SEBGUSTA FISH S.R.L."/>
        <s v="SERVICIOS DIESEL EXPRESS E.I.R.L."/>
        <s v="Shenzhen Yueshi Supply Chain"/>
        <s v="SIGMA - FI LEASOP VI"/>
        <s v="TRANSPORTES O Y G S.A.C."/>
        <s v="TSUJINO &amp; CO., LTD"/>
        <s v="ZHEJIANG ZHOUFU FOOD CO.,LTD"/>
        <m/>
      </sharedItems>
    </cacheField>
    <cacheField name="Nº documento" numFmtId="0">
      <sharedItems containsBlank="1"/>
    </cacheField>
    <cacheField name="Referencia" numFmtId="0">
      <sharedItems containsBlank="1" count="166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403"/>
        <s v="FT-0F002-0000412"/>
        <s v="FT-0F002-0000411"/>
        <s v="01-0F002-0000415"/>
        <s v="03-0B001-0004870"/>
        <s v="03-0B001-0004871"/>
        <s v="FP-273"/>
        <s v="01-0F002-0000420"/>
        <s v="FP-278"/>
        <s v="FP-290"/>
        <s v="03-0B001-0004867"/>
        <s v="03-0B001-0004868"/>
        <s v="03-0B001-0004876"/>
        <s v="03-0B001-0004877"/>
        <s v="03-0B001-0004878"/>
        <s v="03-0B001-0004879"/>
        <s v="03-0B001-0004885"/>
        <s v="03-0B001-0004886"/>
        <s v="03-0B001-0004891"/>
        <s v="03-0B001-0004892"/>
        <s v="03-0B001-0004897"/>
        <s v="03-0B001-0004898"/>
        <s v="03-0B001-0004903"/>
        <s v="03-0B001-0004904"/>
        <s v="03-0B001-0004915"/>
        <s v="03-0B001-0004916"/>
        <s v="03-0B001-0004923"/>
        <s v="03-0B001-0004924"/>
        <s v="03-0B001-0004925"/>
        <s v="03-0B001-0004926"/>
        <s v="03-0B001-0004929"/>
        <s v="03-0B001-0004930"/>
        <s v="03-0B001-0004931"/>
        <s v="03-0B001-0004932"/>
        <s v="03-0B001-0004947"/>
        <s v="03-0B001-0004948"/>
        <s v="03-0B001-0004952"/>
        <s v="03-0B001-0004953"/>
        <s v="03-0B001-0004962"/>
        <s v="03-0B001-0004963"/>
        <s v="03-0B001-0004964"/>
        <s v="03-0B001-0004965"/>
        <s v="03-0B001-0004978"/>
        <s v="03-0B001-0004979"/>
        <s v="FT-0F002-0000311"/>
        <s v="FP-284"/>
        <s v="01-0F101-0007720"/>
        <s v="01-0F101-0007779"/>
        <s v="01-0F101-0007915"/>
        <s v="01-0F101-0007916"/>
        <s v="01-0F101-0007921"/>
        <s v="01-0F101-0007922"/>
        <s v="01-0F101-0007925"/>
        <s v="01-0F101-0007926"/>
        <s v="01-0F101-0007947"/>
        <s v="01-0F101-0007948"/>
        <s v="01-0F101-0007935"/>
        <s v="01-0F101-0007936"/>
        <s v="01-0F101-0007962"/>
        <s v="01-0F101-0007963"/>
        <s v="01-0F101-0007986"/>
        <s v="01-0F101-0007987"/>
        <s v="01-0F101-0008001"/>
        <s v="01-0F101-0008002"/>
        <s v="01-0F101-0008007"/>
        <s v="01-0F101-0008008"/>
        <s v="01-0F101-0008019"/>
        <s v="01-0F101-0008020"/>
        <s v="01-0F101-0008032"/>
        <s v="01-0F101-0008033"/>
        <s v="01-0F101-0008042"/>
        <s v="01-0F101-0008043"/>
        <s v="01-0F101-0008046"/>
        <s v="01-0F101-0008047"/>
        <s v="01-0F101-0008050"/>
        <s v="01-0F101-0008051"/>
        <s v="01-0F101-0008058"/>
        <s v="01-0F101-0008059"/>
        <s v="01-0F101-0008090"/>
        <s v="01-0F101-0008091"/>
        <s v="01-0F101-0008094"/>
        <s v="01-0F101-0008095"/>
        <s v="01-0F101-0008098"/>
        <s v="01-0F101-0008099"/>
        <s v="01-0F101-0008133"/>
        <s v="01-0F101-0008134"/>
        <s v="01-0F101-0008141"/>
        <s v="01-0F101-0008142"/>
        <s v="01-0F101-0008143"/>
        <s v="01-0F101-0008144"/>
        <s v="01-0F101-0008145"/>
        <s v="01-0F101-0008146"/>
        <s v="01-0F101-0008150"/>
        <s v="01-0F101-0008151"/>
        <s v="01-0F101-0008153"/>
        <s v="01-0F101-0008154"/>
        <s v="01-0F101-0008194"/>
        <s v="01-0F101-0008195"/>
        <s v="01-0F101-0008205"/>
        <s v="01-0F101-0008206"/>
        <s v="FT-0F002-0000389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FT-0F101-0007507"/>
        <s v="01-0F101-0008207"/>
        <s v="FT-0F003-0000101"/>
        <s v="01-0F003-0000129"/>
        <s v="01-0F003-0000168"/>
        <s v="01-0F003-0000174"/>
        <s v="FP-287"/>
        <s v="01-0F003-0000083"/>
        <s v="01-0F003-0000202"/>
        <s v="FT-0F002-0000394"/>
        <s v="GARANTIA"/>
        <s v="FT-0F003-0000192"/>
        <s v="01-0F101-0008085"/>
        <s v="01-0F101-0008186"/>
        <s v="01-0F101-0008212"/>
        <s v="FP-285"/>
        <s v="FP-289"/>
        <s v="PAGO DOBLE SIGMA"/>
        <s v="SALDO POR COBRAR"/>
        <s v="01-0F101-0008183"/>
        <s v="01-0F101-0008196"/>
        <s v="01-0F101-0008204"/>
        <s v="01-0F101-0008210"/>
        <s v="01-0F002-0000424"/>
        <s v="FP-279"/>
        <m/>
      </sharedItems>
    </cacheField>
    <cacheField name="Clase de documento" numFmtId="0">
      <sharedItems containsBlank="1" count="7">
        <s v="DF"/>
        <s v="ZV"/>
        <s v="DE"/>
        <s v="DB"/>
        <s v="DZ"/>
        <s v="SA"/>
        <m/>
      </sharedItems>
    </cacheField>
    <cacheField name="Fecha de documento" numFmtId="0">
      <sharedItems containsNonDate="0" containsDate="1" containsString="0" containsBlank="1" minDate="2025-04-16T00:00:00" maxDate="2026-09-29T00:00:00" count="63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7-29T00:00:00"/>
        <d v="2026-08-15T00:00:00"/>
        <d v="2026-08-16T00:00:00"/>
        <d v="2026-09-01T00:00:00"/>
        <d v="2026-08-13T00:00:00"/>
        <d v="2026-08-31T00:00:00"/>
        <d v="2026-09-08T00:00:00"/>
        <d v="2026-09-23T00:00:00"/>
        <d v="2026-09-02T00:00:00"/>
        <d v="2026-09-03T00:00:00"/>
        <d v="2026-09-05T00:00:00"/>
        <d v="2026-09-06T00:00:00"/>
        <d v="2026-09-09T00:00:00"/>
        <d v="2026-09-10T00:00:00"/>
        <d v="2026-09-11T00:00:00"/>
        <d v="2026-09-12T00:00:00"/>
        <d v="2026-09-13T00:00:00"/>
        <d v="2026-09-21T00:00:00"/>
        <d v="2026-04-27T00:00:00"/>
        <d v="2026-09-15T00:00:00"/>
        <d v="2026-08-28T00:00:00"/>
        <d v="2026-09-07T00:00:00"/>
        <d v="2026-09-14T00:00:00"/>
        <d v="2026-09-16T00:00:00"/>
        <d v="2026-09-22T00:00:00"/>
        <d v="2026-07-17T00:00:00"/>
        <d v="2025-11-03T00:00:00"/>
        <d v="2025-11-06T00:00:00"/>
        <d v="2026-05-06T00:00:00"/>
        <d v="2026-05-12T00:00:00"/>
        <d v="2026-05-16T00:00:00"/>
        <d v="2026-05-27T00:00:00"/>
        <d v="2026-06-02T00:00:00"/>
        <d v="2026-06-13T00:00:00"/>
        <d v="2026-07-03T00:00:00"/>
        <d v="2026-07-15T00:00:00"/>
        <d v="2026-09-25T00:00:00"/>
        <d v="2025-10-21T00:00:00"/>
        <d v="2025-11-04T00:00:00"/>
        <d v="2026-01-31T00:00:00"/>
        <d v="2026-03-03T00:00:00"/>
        <d v="2025-10-07T00:00:00"/>
        <d v="2026-09-28T00:00:00"/>
        <d v="2026-07-27T00:00:00"/>
        <d v="2025-04-16T00:00:00"/>
        <d v="2025-05-31T00:00:00"/>
        <d v="2025-08-19T00:00:00"/>
        <d v="2026-06-30T00:00:00"/>
        <d v="2026-09-18T00:00:00"/>
        <d v="2026-09-26T00:00:00"/>
        <d v="2025-06-27T00:00:00"/>
        <d v="2025-11-30T00:00:00"/>
        <m/>
      </sharedItems>
    </cacheField>
    <cacheField name="Demora tras vencimiento neto" numFmtId="0">
      <sharedItems containsString="0" containsBlank="1" containsNumber="1" containsInteger="1" minValue="-33" maxValue="530"/>
    </cacheField>
    <cacheField name="Fecha de pago" numFmtId="0">
      <sharedItems containsNonDate="0" containsDate="1" containsString="0" containsBlank="1" minDate="2025-04-16T00:00:00" maxDate="2026-11-01T00:00:00"/>
    </cacheField>
    <cacheField name="Importe en moneda doc." numFmtId="0">
      <sharedItems containsString="0" containsBlank="1" containsNumber="1" minValue="-31032" maxValue="89775"/>
    </cacheField>
    <cacheField name="Moneda del documento" numFmtId="0">
      <sharedItems containsBlank="1"/>
    </cacheField>
    <cacheField name="UNIDAD DE NEGOCIO" numFmtId="0">
      <sharedItems containsBlank="1" count="9">
        <s v="NACIONAL"/>
        <s v="EXPORTACIÓN"/>
        <s v="ALMACENAMIENTO"/>
        <s v="RODRIGO"/>
        <s v="CISTERNA COMBUSTIBLE"/>
        <s v="OTROS"/>
        <s v="RESIDUOS"/>
        <s v="LIMPIEZA (DESCONTAR DE SU PAGO)"/>
        <m/>
      </sharedItems>
    </cacheField>
    <cacheField name="FECHA IDEAL DE PAGO" numFmtId="0">
      <sharedItems containsNonDate="0" containsDate="1" containsString="0" containsBlank="1" minDate="2026-06-26T00:00:00" maxDate="2026-11-23T00:00:00"/>
    </cacheField>
    <cacheField name="DÍAS VENCIDOS" numFmtId="0">
      <sharedItems containsString="0" containsBlank="1" containsNumber="1" containsInteger="1" minValue="-48" maxValue="46293"/>
    </cacheField>
    <cacheField name="Vcto finanzas SEMANA PASADA" numFmtId="0">
      <sharedItems containsNonDate="0" containsDate="1" containsString="0" containsBlank="1" minDate="2026-08-31T00:00:00" maxDate="2026-11-16T00:00:00"/>
    </cacheField>
    <cacheField name="Vcto finanzas" numFmtId="0">
      <sharedItems containsNonDate="0" containsDate="1" containsString="0" containsBlank="1" minDate="2025-10-14T00:00:00" maxDate="2026-11-16T00:00:00" count="57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10-02T00:00:00"/>
        <d v="2026-10-14T00:00:00"/>
        <d v="2026-10-15T00:00:00"/>
        <d v="2026-09-08T00:00:00"/>
        <d v="2026-08-31T00:00:00"/>
        <d v="2026-10-30T00:00:00"/>
        <d v="2026-09-30T00:00:00"/>
        <d v="2026-09-07T00:00:00"/>
        <d v="2026-09-09T00:00:00"/>
        <d v="2026-09-10T00:00:00"/>
        <d v="2026-09-12T00:00:00"/>
        <d v="2026-09-13T00:00:00"/>
        <d v="2026-09-15T00:00:00"/>
        <d v="2026-09-16T00:00:00"/>
        <d v="2026-09-17T00:00:00"/>
        <d v="2026-09-18T00:00:00"/>
        <d v="2026-09-19T00:00:00"/>
        <d v="2026-09-20T00:00:00"/>
        <d v="2026-09-28T00:00:00"/>
        <d v="2026-09-04T00:00:00"/>
        <d v="2026-09-14T00:00:00"/>
        <d v="2026-09-21T00:00:00"/>
        <d v="2026-09-22T00:00:00"/>
        <d v="2026-09-23T00:00:00"/>
        <d v="2026-09-29T00:00:00"/>
        <d v="2025-11-10T00:00:00"/>
        <d v="2025-11-13T00:00:00"/>
        <d v="2026-05-13T00:00:00"/>
        <d v="2026-05-19T00:00:00"/>
        <d v="2026-05-23T00:00:00"/>
        <d v="2026-06-03T00:00:00"/>
        <d v="2026-06-09T00:00:00"/>
        <d v="2026-06-20T00:00:00"/>
        <d v="2026-07-10T00:00:00"/>
        <d v="2026-07-24T00:00:00"/>
        <d v="2026-07-15T00:00:00"/>
        <d v="2025-10-21T00:00:00"/>
        <d v="2025-11-11T00:00:00"/>
        <d v="2026-02-07T00:00:00"/>
        <d v="2026-03-10T00:00:00"/>
        <d v="2025-10-14T00:00:00"/>
        <d v="2026-10-01T00:00:00"/>
        <m/>
        <d v="2026-06-30T00:00:00"/>
        <d v="2026-09-25T00:00:00"/>
        <d v="2026-10-03T00:00:00"/>
        <d v="2026-11-15T00:00:00"/>
      </sharedItems>
      <fieldGroup par="20"/>
    </cacheField>
    <cacheField name="USD HOMOL" numFmtId="0">
      <sharedItems containsString="0" containsBlank="1" containsNumber="1" minValue="-31032" maxValue="89775"/>
    </cacheField>
    <cacheField name="DÍAS ATRASADOS" numFmtId="0">
      <sharedItems containsString="0" containsBlank="1" containsNumber="1" containsInteger="1" minValue="5" maxValue="154"/>
    </cacheField>
    <cacheField name="ANTIGÜEDAD" numFmtId="0">
      <sharedItems containsBlank="1" count="5">
        <m/>
        <s v="61-90"/>
        <s v="0-45"/>
        <s v="46-60"/>
        <s v="91-A MÁS"/>
      </sharedItems>
    </cacheField>
    <cacheField name="Meses (Vcto finanzas)" numFmtId="0" databaseField="0">
      <fieldGroup base="14">
        <rangePr groupBy="months" startDate="2025-10-14T00:00:00" endDate="2026-11-16T00:00:00"/>
        <groupItems count="14">
          <s v="&lt;14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6/11/2026"/>
        </groupItems>
      </fieldGroup>
    </cacheField>
    <cacheField name="Trimestres (Vcto finanzas)" numFmtId="0" databaseField="0">
      <fieldGroup base="14">
        <rangePr groupBy="quarters" startDate="2025-10-14T00:00:00" endDate="2026-11-16T00:00:00"/>
        <groupItems count="6">
          <s v="&lt;14/10/2025"/>
          <s v="Trim.1"/>
          <s v="Trim.2"/>
          <s v="Trim.3"/>
          <s v="Trim.4"/>
          <s v="&gt;16/11/2026"/>
        </groupItems>
      </fieldGroup>
    </cacheField>
    <cacheField name="Años (Vcto finanzas)" numFmtId="0" databaseField="0">
      <fieldGroup base="14">
        <rangePr groupBy="years" startDate="2025-10-14T00:00:00" endDate="2026-11-16T00:00:00"/>
        <groupItems count="4">
          <s v="&lt;14/10/2025"/>
          <s v="2025"/>
          <s v="2026"/>
          <s v="&gt;16/1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s v="1000013966"/>
    <x v="0"/>
    <s v="1200005220"/>
    <x v="0"/>
    <x v="0"/>
    <x v="0"/>
    <n v="306"/>
    <d v="2025-11-26T00:00:00"/>
    <n v="42.48"/>
    <s v="PEN"/>
    <x v="0"/>
    <m/>
    <m/>
    <m/>
    <x v="0"/>
    <n v="12.402919708029197"/>
    <m/>
    <x v="0"/>
  </r>
  <r>
    <s v="1000013966"/>
    <x v="0"/>
    <s v="1200005228"/>
    <x v="1"/>
    <x v="0"/>
    <x v="0"/>
    <n v="306"/>
    <d v="2025-11-26T00:00:00"/>
    <n v="14.16"/>
    <s v="PEN"/>
    <x v="0"/>
    <m/>
    <m/>
    <m/>
    <x v="0"/>
    <n v="4.1343065693430656"/>
    <m/>
    <x v="0"/>
  </r>
  <r>
    <s v="1000013966"/>
    <x v="0"/>
    <s v="1200005242"/>
    <x v="2"/>
    <x v="0"/>
    <x v="0"/>
    <n v="306"/>
    <d v="2025-11-26T00:00:00"/>
    <n v="14.16"/>
    <s v="PEN"/>
    <x v="0"/>
    <m/>
    <m/>
    <m/>
    <x v="0"/>
    <n v="4.1343065693430656"/>
    <m/>
    <x v="0"/>
  </r>
  <r>
    <s v="1000013966"/>
    <x v="0"/>
    <s v="1200005264"/>
    <x v="3"/>
    <x v="0"/>
    <x v="1"/>
    <n v="305"/>
    <d v="2025-11-27T00:00:00"/>
    <n v="28.32"/>
    <s v="PEN"/>
    <x v="0"/>
    <m/>
    <m/>
    <m/>
    <x v="1"/>
    <n v="8.2686131386861312"/>
    <m/>
    <x v="0"/>
  </r>
  <r>
    <s v="1000013966"/>
    <x v="0"/>
    <s v="1200005271"/>
    <x v="4"/>
    <x v="0"/>
    <x v="1"/>
    <n v="305"/>
    <d v="2025-11-27T00:00:00"/>
    <n v="14.16"/>
    <s v="PEN"/>
    <x v="0"/>
    <m/>
    <m/>
    <m/>
    <x v="1"/>
    <n v="4.1343065693430656"/>
    <m/>
    <x v="0"/>
  </r>
  <r>
    <s v="1000013966"/>
    <x v="0"/>
    <s v="1200005296"/>
    <x v="5"/>
    <x v="0"/>
    <x v="2"/>
    <n v="304"/>
    <d v="2025-11-28T00:00:00"/>
    <n v="28.32"/>
    <s v="PEN"/>
    <x v="0"/>
    <m/>
    <m/>
    <m/>
    <x v="2"/>
    <n v="8.2686131386861312"/>
    <m/>
    <x v="0"/>
  </r>
  <r>
    <s v="1000013966"/>
    <x v="0"/>
    <s v="1200005302"/>
    <x v="6"/>
    <x v="0"/>
    <x v="2"/>
    <n v="304"/>
    <d v="2025-11-28T00:00:00"/>
    <n v="42.48"/>
    <s v="PEN"/>
    <x v="0"/>
    <m/>
    <m/>
    <m/>
    <x v="2"/>
    <n v="12.402919708029197"/>
    <m/>
    <x v="0"/>
  </r>
  <r>
    <s v="1000013966"/>
    <x v="0"/>
    <s v="1200005304"/>
    <x v="7"/>
    <x v="0"/>
    <x v="2"/>
    <n v="304"/>
    <d v="2025-11-28T00:00:00"/>
    <n v="42.48"/>
    <s v="PEN"/>
    <x v="0"/>
    <m/>
    <m/>
    <m/>
    <x v="2"/>
    <n v="12.402919708029197"/>
    <m/>
    <x v="0"/>
  </r>
  <r>
    <s v="1000013966"/>
    <x v="0"/>
    <s v="1200005313"/>
    <x v="8"/>
    <x v="0"/>
    <x v="2"/>
    <n v="304"/>
    <d v="2025-11-28T00:00:00"/>
    <n v="14.16"/>
    <s v="PEN"/>
    <x v="0"/>
    <m/>
    <m/>
    <m/>
    <x v="2"/>
    <n v="4.1343065693430656"/>
    <m/>
    <x v="0"/>
  </r>
  <r>
    <s v="1000013966"/>
    <x v="0"/>
    <s v="1200005346"/>
    <x v="9"/>
    <x v="0"/>
    <x v="3"/>
    <n v="303"/>
    <d v="2025-11-29T00:00:00"/>
    <n v="28.32"/>
    <s v="PEN"/>
    <x v="0"/>
    <m/>
    <m/>
    <m/>
    <x v="3"/>
    <n v="8.2686131386861312"/>
    <m/>
    <x v="0"/>
  </r>
  <r>
    <s v="1000013966"/>
    <x v="0"/>
    <s v="1200005422"/>
    <x v="10"/>
    <x v="0"/>
    <x v="4"/>
    <n v="298"/>
    <d v="2025-12-04T00:00:00"/>
    <n v="14.16"/>
    <s v="PEN"/>
    <x v="0"/>
    <m/>
    <m/>
    <m/>
    <x v="4"/>
    <n v="4.1343065693430656"/>
    <m/>
    <x v="0"/>
  </r>
  <r>
    <s v="1000013966"/>
    <x v="0"/>
    <s v="1200000045"/>
    <x v="11"/>
    <x v="0"/>
    <x v="5"/>
    <n v="258"/>
    <d v="2026-01-13T00:00:00"/>
    <n v="14.16"/>
    <s v="PEN"/>
    <x v="0"/>
    <m/>
    <m/>
    <m/>
    <x v="5"/>
    <n v="4.1343065693430656"/>
    <m/>
    <x v="0"/>
  </r>
  <r>
    <s v="1000013966"/>
    <x v="0"/>
    <s v="1200000090"/>
    <x v="12"/>
    <x v="0"/>
    <x v="6"/>
    <n v="256"/>
    <d v="2026-01-15T00:00:00"/>
    <n v="14.16"/>
    <s v="PEN"/>
    <x v="0"/>
    <m/>
    <m/>
    <m/>
    <x v="6"/>
    <n v="4.1343065693430656"/>
    <m/>
    <x v="0"/>
  </r>
  <r>
    <s v="1000013966"/>
    <x v="0"/>
    <s v="1200000113"/>
    <x v="13"/>
    <x v="0"/>
    <x v="7"/>
    <n v="254"/>
    <d v="2026-01-17T00:00:00"/>
    <n v="14.16"/>
    <s v="PEN"/>
    <x v="0"/>
    <m/>
    <m/>
    <m/>
    <x v="7"/>
    <n v="4.1343065693430656"/>
    <m/>
    <x v="0"/>
  </r>
  <r>
    <s v="1000013966"/>
    <x v="0"/>
    <s v="1200000132"/>
    <x v="14"/>
    <x v="0"/>
    <x v="8"/>
    <n v="248"/>
    <d v="2026-01-23T00:00:00"/>
    <n v="14.16"/>
    <s v="PEN"/>
    <x v="0"/>
    <m/>
    <m/>
    <m/>
    <x v="8"/>
    <n v="4.1343065693430656"/>
    <m/>
    <x v="0"/>
  </r>
  <r>
    <s v="1000013966"/>
    <x v="0"/>
    <s v="1200000133"/>
    <x v="15"/>
    <x v="0"/>
    <x v="8"/>
    <n v="248"/>
    <d v="2026-01-23T00:00:00"/>
    <n v="14.16"/>
    <s v="PEN"/>
    <x v="0"/>
    <m/>
    <m/>
    <m/>
    <x v="8"/>
    <n v="4.1343065693430656"/>
    <m/>
    <x v="0"/>
  </r>
  <r>
    <s v="1000013966"/>
    <x v="0"/>
    <s v="1200000141"/>
    <x v="16"/>
    <x v="0"/>
    <x v="9"/>
    <n v="245"/>
    <d v="2026-01-26T00:00:00"/>
    <n v="14.16"/>
    <s v="PEN"/>
    <x v="0"/>
    <m/>
    <m/>
    <m/>
    <x v="9"/>
    <n v="4.1343065693430656"/>
    <m/>
    <x v="0"/>
  </r>
  <r>
    <s v="2000001028"/>
    <x v="1"/>
    <s v="1300009234"/>
    <x v="17"/>
    <x v="1"/>
    <x v="10"/>
    <n v="61"/>
    <d v="2026-07-29T00:00:00"/>
    <n v="16785"/>
    <s v="USD"/>
    <x v="1"/>
    <d v="2026-09-27T00:00:00"/>
    <n v="1"/>
    <d v="2026-09-27T00:00:00"/>
    <x v="10"/>
    <n v="16785"/>
    <n v="61"/>
    <x v="1"/>
  </r>
  <r>
    <s v="2000001028"/>
    <x v="1"/>
    <s v="1300008501"/>
    <x v="18"/>
    <x v="1"/>
    <x v="11"/>
    <n v="44"/>
    <d v="2026-08-15T00:00:00"/>
    <n v="54840"/>
    <s v="USD"/>
    <x v="1"/>
    <d v="2026-10-14T00:00:00"/>
    <n v="-16"/>
    <d v="2026-10-14T00:00:00"/>
    <x v="11"/>
    <n v="54840"/>
    <n v="44"/>
    <x v="2"/>
  </r>
  <r>
    <s v="2000001028"/>
    <x v="1"/>
    <s v="1300008502"/>
    <x v="19"/>
    <x v="1"/>
    <x v="11"/>
    <n v="44"/>
    <d v="2026-08-15T00:00:00"/>
    <n v="29010"/>
    <s v="USD"/>
    <x v="1"/>
    <d v="2026-10-14T00:00:00"/>
    <n v="-16"/>
    <d v="2026-10-14T00:00:00"/>
    <x v="11"/>
    <n v="29010"/>
    <n v="44"/>
    <x v="2"/>
  </r>
  <r>
    <s v="2000001028"/>
    <x v="1"/>
    <s v="1200003508"/>
    <x v="20"/>
    <x v="2"/>
    <x v="12"/>
    <n v="-17"/>
    <d v="2026-10-15T00:00:00"/>
    <n v="41064"/>
    <s v="USD"/>
    <x v="1"/>
    <d v="2026-10-15T00:00:00"/>
    <n v="-17"/>
    <d v="2026-10-15T00:00:00"/>
    <x v="12"/>
    <n v="41064"/>
    <n v="43"/>
    <x v="2"/>
  </r>
  <r>
    <s v="1000013676"/>
    <x v="2"/>
    <s v="1200003566"/>
    <x v="21"/>
    <x v="3"/>
    <x v="13"/>
    <n v="20"/>
    <d v="2026-09-08T00:00:00"/>
    <n v="325.68"/>
    <s v="PEN"/>
    <x v="0"/>
    <m/>
    <m/>
    <m/>
    <x v="13"/>
    <n v="95.089051094890522"/>
    <m/>
    <x v="0"/>
  </r>
  <r>
    <s v="1000013676"/>
    <x v="2"/>
    <s v="1200003567"/>
    <x v="22"/>
    <x v="3"/>
    <x v="13"/>
    <n v="20"/>
    <d v="2026-09-08T00:00:00"/>
    <n v="35.4"/>
    <s v="PEN"/>
    <x v="0"/>
    <m/>
    <m/>
    <m/>
    <x v="13"/>
    <n v="10.335766423357665"/>
    <m/>
    <x v="0"/>
  </r>
  <r>
    <s v="2000001381"/>
    <x v="3"/>
    <s v="1300008291"/>
    <x v="23"/>
    <x v="4"/>
    <x v="14"/>
    <n v="0"/>
    <d v="2026-08-31T00:00:00"/>
    <n v="-31032"/>
    <s v="USD"/>
    <x v="1"/>
    <d v="2026-10-12T00:00:00"/>
    <n v="28"/>
    <d v="2026-08-31T00:00:00"/>
    <x v="14"/>
    <n v="-31032"/>
    <n v="46"/>
    <x v="3"/>
  </r>
  <r>
    <s v="2000001381"/>
    <x v="3"/>
    <s v="1200003575"/>
    <x v="24"/>
    <x v="2"/>
    <x v="15"/>
    <n v="-32"/>
    <d v="2026-10-30T00:00:00"/>
    <n v="89775"/>
    <s v="USD"/>
    <x v="1"/>
    <d v="2026-10-30T00:00:00"/>
    <n v="-32"/>
    <d v="2026-10-30T00:00:00"/>
    <x v="15"/>
    <n v="89775"/>
    <n v="28"/>
    <x v="2"/>
  </r>
  <r>
    <s v="2000001381"/>
    <x v="3"/>
    <s v="1300008534"/>
    <x v="25"/>
    <x v="4"/>
    <x v="16"/>
    <n v="0"/>
    <d v="2026-09-30T00:00:00"/>
    <n v="-13310"/>
    <s v="USD"/>
    <x v="1"/>
    <d v="2026-11-07T00:00:00"/>
    <n v="-2"/>
    <d v="2026-09-30T00:00:00"/>
    <x v="16"/>
    <n v="-13310"/>
    <n v="20"/>
    <x v="2"/>
  </r>
  <r>
    <s v="2000001478"/>
    <x v="4"/>
    <s v="1300009246"/>
    <x v="26"/>
    <x v="4"/>
    <x v="17"/>
    <n v="0"/>
    <d v="2026-09-30T00:00:00"/>
    <n v="-9110"/>
    <s v="USD"/>
    <x v="1"/>
    <d v="2026-11-22T00:00:00"/>
    <m/>
    <m/>
    <x v="16"/>
    <n v="-9110"/>
    <n v="5"/>
    <x v="2"/>
  </r>
  <r>
    <s v="1000013754"/>
    <x v="5"/>
    <s v="1200003557"/>
    <x v="27"/>
    <x v="3"/>
    <x v="15"/>
    <n v="21"/>
    <d v="2026-09-07T00:00:00"/>
    <n v="997.57"/>
    <s v="PEN"/>
    <x v="0"/>
    <m/>
    <m/>
    <m/>
    <x v="17"/>
    <n v="291.26131386861317"/>
    <m/>
    <x v="0"/>
  </r>
  <r>
    <s v="1000013754"/>
    <x v="5"/>
    <s v="1200003558"/>
    <x v="28"/>
    <x v="3"/>
    <x v="15"/>
    <n v="21"/>
    <d v="2026-09-07T00:00:00"/>
    <n v="141.6"/>
    <s v="PEN"/>
    <x v="0"/>
    <m/>
    <m/>
    <m/>
    <x v="17"/>
    <n v="41.34306569343066"/>
    <m/>
    <x v="0"/>
  </r>
  <r>
    <s v="1000013754"/>
    <x v="5"/>
    <s v="1200003580"/>
    <x v="29"/>
    <x v="3"/>
    <x v="13"/>
    <n v="20"/>
    <d v="2026-09-08T00:00:00"/>
    <n v="752.13"/>
    <s v="PEN"/>
    <x v="0"/>
    <m/>
    <m/>
    <m/>
    <x v="13"/>
    <n v="219.60000000000002"/>
    <m/>
    <x v="0"/>
  </r>
  <r>
    <s v="1000013754"/>
    <x v="5"/>
    <s v="1200003581"/>
    <x v="30"/>
    <x v="3"/>
    <x v="13"/>
    <n v="20"/>
    <d v="2026-09-08T00:00:00"/>
    <n v="70.8"/>
    <s v="PEN"/>
    <x v="0"/>
    <m/>
    <m/>
    <m/>
    <x v="13"/>
    <n v="20.67153284671533"/>
    <m/>
    <x v="0"/>
  </r>
  <r>
    <s v="1000013754"/>
    <x v="5"/>
    <s v="1200003615"/>
    <x v="31"/>
    <x v="3"/>
    <x v="18"/>
    <n v="19"/>
    <d v="2026-09-09T00:00:00"/>
    <n v="322.61"/>
    <s v="PEN"/>
    <x v="0"/>
    <m/>
    <m/>
    <m/>
    <x v="18"/>
    <n v="94.192700729927012"/>
    <m/>
    <x v="0"/>
  </r>
  <r>
    <s v="1000013754"/>
    <x v="5"/>
    <s v="1200003616"/>
    <x v="32"/>
    <x v="3"/>
    <x v="18"/>
    <n v="19"/>
    <d v="2026-09-09T00:00:00"/>
    <n v="70.8"/>
    <s v="PEN"/>
    <x v="0"/>
    <m/>
    <m/>
    <m/>
    <x v="18"/>
    <n v="20.67153284671533"/>
    <m/>
    <x v="0"/>
  </r>
  <r>
    <s v="1000013754"/>
    <x v="5"/>
    <s v="1200003665"/>
    <x v="33"/>
    <x v="3"/>
    <x v="19"/>
    <n v="18"/>
    <d v="2026-09-10T00:00:00"/>
    <n v="595.9"/>
    <s v="PEN"/>
    <x v="0"/>
    <m/>
    <m/>
    <m/>
    <x v="19"/>
    <n v="173.98540145985402"/>
    <m/>
    <x v="0"/>
  </r>
  <r>
    <s v="1000013754"/>
    <x v="5"/>
    <s v="1200003666"/>
    <x v="34"/>
    <x v="3"/>
    <x v="19"/>
    <n v="18"/>
    <d v="2026-09-10T00:00:00"/>
    <n v="70.8"/>
    <s v="PEN"/>
    <x v="0"/>
    <m/>
    <m/>
    <m/>
    <x v="19"/>
    <n v="20.67153284671533"/>
    <m/>
    <x v="0"/>
  </r>
  <r>
    <s v="1000013754"/>
    <x v="5"/>
    <s v="1200003704"/>
    <x v="35"/>
    <x v="3"/>
    <x v="20"/>
    <n v="16"/>
    <d v="2026-09-12T00:00:00"/>
    <n v="630.12"/>
    <s v="PEN"/>
    <x v="0"/>
    <m/>
    <m/>
    <m/>
    <x v="20"/>
    <n v="183.97664233576643"/>
    <m/>
    <x v="0"/>
  </r>
  <r>
    <s v="1000013754"/>
    <x v="5"/>
    <s v="1200003705"/>
    <x v="36"/>
    <x v="3"/>
    <x v="20"/>
    <n v="16"/>
    <d v="2026-09-12T00:00:00"/>
    <n v="70.8"/>
    <s v="PEN"/>
    <x v="0"/>
    <m/>
    <m/>
    <m/>
    <x v="20"/>
    <n v="20.67153284671533"/>
    <m/>
    <x v="0"/>
  </r>
  <r>
    <s v="1000013754"/>
    <x v="5"/>
    <s v="1200003734"/>
    <x v="37"/>
    <x v="3"/>
    <x v="20"/>
    <n v="16"/>
    <d v="2026-09-12T00:00:00"/>
    <n v="664.58"/>
    <s v="PEN"/>
    <x v="0"/>
    <m/>
    <m/>
    <m/>
    <x v="20"/>
    <n v="194.03795620437958"/>
    <m/>
    <x v="0"/>
  </r>
  <r>
    <s v="1000013754"/>
    <x v="5"/>
    <s v="1200003735"/>
    <x v="38"/>
    <x v="3"/>
    <x v="20"/>
    <n v="16"/>
    <d v="2026-09-12T00:00:00"/>
    <n v="70.8"/>
    <s v="PEN"/>
    <x v="0"/>
    <m/>
    <m/>
    <m/>
    <x v="20"/>
    <n v="20.67153284671533"/>
    <m/>
    <x v="0"/>
  </r>
  <r>
    <s v="1000013754"/>
    <x v="5"/>
    <s v="1200003764"/>
    <x v="39"/>
    <x v="3"/>
    <x v="21"/>
    <n v="15"/>
    <d v="2026-09-13T00:00:00"/>
    <n v="665.52"/>
    <s v="PEN"/>
    <x v="0"/>
    <m/>
    <m/>
    <m/>
    <x v="21"/>
    <n v="194.31240875912408"/>
    <m/>
    <x v="0"/>
  </r>
  <r>
    <s v="1000013754"/>
    <x v="5"/>
    <s v="1200003765"/>
    <x v="40"/>
    <x v="3"/>
    <x v="21"/>
    <n v="15"/>
    <d v="2026-09-13T00:00:00"/>
    <n v="70.8"/>
    <s v="PEN"/>
    <x v="0"/>
    <m/>
    <m/>
    <m/>
    <x v="21"/>
    <n v="20.67153284671533"/>
    <m/>
    <x v="0"/>
  </r>
  <r>
    <s v="1000013754"/>
    <x v="5"/>
    <s v="1200003849"/>
    <x v="41"/>
    <x v="3"/>
    <x v="16"/>
    <n v="13"/>
    <d v="2026-09-15T00:00:00"/>
    <n v="285.56"/>
    <s v="PEN"/>
    <x v="0"/>
    <m/>
    <m/>
    <m/>
    <x v="22"/>
    <n v="83.375182481751835"/>
    <m/>
    <x v="0"/>
  </r>
  <r>
    <s v="1000013754"/>
    <x v="5"/>
    <s v="1200003850"/>
    <x v="42"/>
    <x v="3"/>
    <x v="16"/>
    <n v="13"/>
    <d v="2026-09-15T00:00:00"/>
    <n v="47.2"/>
    <s v="PEN"/>
    <x v="0"/>
    <m/>
    <m/>
    <m/>
    <x v="22"/>
    <n v="13.78102189781022"/>
    <m/>
    <x v="0"/>
  </r>
  <r>
    <s v="1000013754"/>
    <x v="5"/>
    <s v="1200003889"/>
    <x v="43"/>
    <x v="3"/>
    <x v="22"/>
    <n v="12"/>
    <d v="2026-09-16T00:00:00"/>
    <n v="593.78"/>
    <s v="PEN"/>
    <x v="0"/>
    <m/>
    <m/>
    <m/>
    <x v="23"/>
    <n v="173.36642335766425"/>
    <m/>
    <x v="0"/>
  </r>
  <r>
    <s v="1000013754"/>
    <x v="5"/>
    <s v="1200003890"/>
    <x v="44"/>
    <x v="3"/>
    <x v="22"/>
    <n v="12"/>
    <d v="2026-09-16T00:00:00"/>
    <n v="70.8"/>
    <s v="PEN"/>
    <x v="0"/>
    <m/>
    <m/>
    <m/>
    <x v="23"/>
    <n v="20.67153284671533"/>
    <m/>
    <x v="0"/>
  </r>
  <r>
    <s v="1000013754"/>
    <x v="5"/>
    <s v="1200003894"/>
    <x v="45"/>
    <x v="3"/>
    <x v="22"/>
    <n v="12"/>
    <d v="2026-09-16T00:00:00"/>
    <n v="308.22000000000003"/>
    <s v="PEN"/>
    <x v="0"/>
    <m/>
    <m/>
    <m/>
    <x v="23"/>
    <n v="89.991240875912425"/>
    <m/>
    <x v="0"/>
  </r>
  <r>
    <s v="1000013754"/>
    <x v="5"/>
    <s v="1200003895"/>
    <x v="46"/>
    <x v="3"/>
    <x v="22"/>
    <n v="12"/>
    <d v="2026-09-16T00:00:00"/>
    <n v="47.2"/>
    <s v="PEN"/>
    <x v="0"/>
    <m/>
    <m/>
    <m/>
    <x v="23"/>
    <n v="13.78102189781022"/>
    <m/>
    <x v="0"/>
  </r>
  <r>
    <s v="1000013754"/>
    <x v="5"/>
    <s v="1200003934"/>
    <x v="47"/>
    <x v="3"/>
    <x v="23"/>
    <n v="11"/>
    <d v="2026-09-17T00:00:00"/>
    <n v="455.24"/>
    <s v="PEN"/>
    <x v="0"/>
    <m/>
    <m/>
    <m/>
    <x v="24"/>
    <n v="132.9167883211679"/>
    <m/>
    <x v="0"/>
  </r>
  <r>
    <s v="1000013754"/>
    <x v="5"/>
    <s v="1200003935"/>
    <x v="48"/>
    <x v="3"/>
    <x v="23"/>
    <n v="11"/>
    <d v="2026-09-17T00:00:00"/>
    <n v="47.2"/>
    <s v="PEN"/>
    <x v="0"/>
    <m/>
    <m/>
    <m/>
    <x v="24"/>
    <n v="13.78102189781022"/>
    <m/>
    <x v="0"/>
  </r>
  <r>
    <s v="1000013754"/>
    <x v="5"/>
    <s v="1200003942"/>
    <x v="49"/>
    <x v="3"/>
    <x v="23"/>
    <n v="11"/>
    <d v="2026-09-17T00:00:00"/>
    <n v="518.26"/>
    <s v="PEN"/>
    <x v="0"/>
    <m/>
    <m/>
    <m/>
    <x v="24"/>
    <n v="151.31678832116788"/>
    <m/>
    <x v="0"/>
  </r>
  <r>
    <s v="1000013754"/>
    <x v="5"/>
    <s v="1200003943"/>
    <x v="50"/>
    <x v="3"/>
    <x v="23"/>
    <n v="11"/>
    <d v="2026-09-17T00:00:00"/>
    <n v="47.2"/>
    <s v="PEN"/>
    <x v="0"/>
    <m/>
    <m/>
    <m/>
    <x v="24"/>
    <n v="13.78102189781022"/>
    <m/>
    <x v="0"/>
  </r>
  <r>
    <s v="1000013754"/>
    <x v="5"/>
    <s v="1200003976"/>
    <x v="51"/>
    <x v="3"/>
    <x v="24"/>
    <n v="10"/>
    <d v="2026-09-18T00:00:00"/>
    <n v="445.8"/>
    <s v="PEN"/>
    <x v="0"/>
    <m/>
    <m/>
    <m/>
    <x v="25"/>
    <n v="130.16058394160584"/>
    <m/>
    <x v="0"/>
  </r>
  <r>
    <s v="1000013754"/>
    <x v="5"/>
    <s v="1200003977"/>
    <x v="52"/>
    <x v="3"/>
    <x v="24"/>
    <n v="10"/>
    <d v="2026-09-18T00:00:00"/>
    <n v="47.2"/>
    <s v="PEN"/>
    <x v="0"/>
    <m/>
    <m/>
    <m/>
    <x v="25"/>
    <n v="13.78102189781022"/>
    <m/>
    <x v="0"/>
  </r>
  <r>
    <s v="1000013754"/>
    <x v="5"/>
    <s v="1200003993"/>
    <x v="53"/>
    <x v="3"/>
    <x v="24"/>
    <n v="10"/>
    <d v="2026-09-18T00:00:00"/>
    <n v="476.25"/>
    <s v="PEN"/>
    <x v="0"/>
    <m/>
    <m/>
    <m/>
    <x v="25"/>
    <n v="139.05109489051097"/>
    <m/>
    <x v="0"/>
  </r>
  <r>
    <s v="1000013754"/>
    <x v="5"/>
    <s v="1200003994"/>
    <x v="54"/>
    <x v="3"/>
    <x v="24"/>
    <n v="10"/>
    <d v="2026-09-18T00:00:00"/>
    <n v="47.2"/>
    <s v="PEN"/>
    <x v="0"/>
    <m/>
    <m/>
    <m/>
    <x v="25"/>
    <n v="13.78102189781022"/>
    <m/>
    <x v="0"/>
  </r>
  <r>
    <s v="1000013754"/>
    <x v="5"/>
    <s v="1200004056"/>
    <x v="55"/>
    <x v="3"/>
    <x v="25"/>
    <n v="9"/>
    <d v="2026-09-19T00:00:00"/>
    <n v="279.66000000000003"/>
    <s v="PEN"/>
    <x v="0"/>
    <m/>
    <m/>
    <m/>
    <x v="26"/>
    <n v="81.65255474452556"/>
    <m/>
    <x v="0"/>
  </r>
  <r>
    <s v="1000013754"/>
    <x v="5"/>
    <s v="1200004057"/>
    <x v="56"/>
    <x v="3"/>
    <x v="25"/>
    <n v="9"/>
    <d v="2026-09-19T00:00:00"/>
    <n v="47.2"/>
    <s v="PEN"/>
    <x v="0"/>
    <m/>
    <m/>
    <m/>
    <x v="26"/>
    <n v="13.78102189781022"/>
    <m/>
    <x v="0"/>
  </r>
  <r>
    <s v="1000013754"/>
    <x v="5"/>
    <s v="1200004078"/>
    <x v="57"/>
    <x v="3"/>
    <x v="26"/>
    <n v="8"/>
    <d v="2026-09-20T00:00:00"/>
    <n v="175.58"/>
    <s v="PEN"/>
    <x v="0"/>
    <m/>
    <m/>
    <m/>
    <x v="27"/>
    <n v="51.26423357664234"/>
    <m/>
    <x v="0"/>
  </r>
  <r>
    <s v="1000013754"/>
    <x v="5"/>
    <s v="1200004079"/>
    <x v="58"/>
    <x v="3"/>
    <x v="26"/>
    <n v="8"/>
    <d v="2026-09-20T00:00:00"/>
    <n v="47.2"/>
    <s v="PEN"/>
    <x v="0"/>
    <m/>
    <m/>
    <m/>
    <x v="27"/>
    <n v="13.78102189781022"/>
    <m/>
    <x v="0"/>
  </r>
  <r>
    <s v="1000013754"/>
    <x v="5"/>
    <s v="1200004167"/>
    <x v="59"/>
    <x v="3"/>
    <x v="27"/>
    <n v="0"/>
    <d v="2026-09-28T00:00:00"/>
    <n v="70.8"/>
    <s v="PEN"/>
    <x v="0"/>
    <m/>
    <m/>
    <m/>
    <x v="28"/>
    <n v="20.67153284671533"/>
    <m/>
    <x v="0"/>
  </r>
  <r>
    <s v="1000013754"/>
    <x v="5"/>
    <s v="1200004168"/>
    <x v="60"/>
    <x v="3"/>
    <x v="27"/>
    <n v="0"/>
    <d v="2026-09-28T00:00:00"/>
    <n v="579.62"/>
    <s v="PEN"/>
    <x v="0"/>
    <m/>
    <m/>
    <m/>
    <x v="28"/>
    <n v="169.23211678832118"/>
    <m/>
    <x v="0"/>
  </r>
  <r>
    <s v="2000001368"/>
    <x v="6"/>
    <s v="1300004854"/>
    <x v="61"/>
    <x v="1"/>
    <x v="28"/>
    <n v="154"/>
    <d v="2026-04-27T00:00:00"/>
    <n v="15163"/>
    <s v="USD"/>
    <x v="1"/>
    <d v="2026-06-26T00:00:00"/>
    <n v="-17"/>
    <d v="2026-10-15T00:00:00"/>
    <x v="12"/>
    <n v="15163"/>
    <n v="154"/>
    <x v="4"/>
  </r>
  <r>
    <s v="2000001439"/>
    <x v="7"/>
    <s v="1300009227"/>
    <x v="62"/>
    <x v="1"/>
    <x v="29"/>
    <n v="0"/>
    <d v="2026-09-15T00:00:00"/>
    <n v="-13448"/>
    <s v="USD"/>
    <x v="1"/>
    <d v="2026-11-14T00:00:00"/>
    <n v="46293"/>
    <m/>
    <x v="22"/>
    <n v="-13448"/>
    <n v="13"/>
    <x v="2"/>
  </r>
  <r>
    <s v="6002186"/>
    <x v="8"/>
    <s v="1200003523"/>
    <x v="63"/>
    <x v="0"/>
    <x v="30"/>
    <n v="24"/>
    <d v="2026-09-04T00:00:00"/>
    <n v="4293.67"/>
    <s v="USD"/>
    <x v="2"/>
    <m/>
    <m/>
    <m/>
    <x v="29"/>
    <n v="4293.67"/>
    <m/>
    <x v="0"/>
  </r>
  <r>
    <s v="6002186"/>
    <x v="8"/>
    <s v="1200003618"/>
    <x v="64"/>
    <x v="0"/>
    <x v="18"/>
    <n v="19"/>
    <d v="2026-09-09T00:00:00"/>
    <n v="20060"/>
    <s v="USD"/>
    <x v="2"/>
    <m/>
    <m/>
    <m/>
    <x v="18"/>
    <n v="20060"/>
    <m/>
    <x v="0"/>
  </r>
  <r>
    <s v="1000006830"/>
    <x v="9"/>
    <s v="1200003784"/>
    <x v="65"/>
    <x v="0"/>
    <x v="31"/>
    <n v="14"/>
    <d v="2026-09-14T00:00:00"/>
    <n v="756.85"/>
    <s v="PEN"/>
    <x v="0"/>
    <m/>
    <m/>
    <m/>
    <x v="30"/>
    <n v="220.97810218978103"/>
    <m/>
    <x v="0"/>
  </r>
  <r>
    <s v="1000006830"/>
    <x v="9"/>
    <s v="1200003785"/>
    <x v="66"/>
    <x v="0"/>
    <x v="31"/>
    <n v="14"/>
    <d v="2026-09-14T00:00:00"/>
    <n v="70.8"/>
    <s v="PEN"/>
    <x v="0"/>
    <m/>
    <m/>
    <m/>
    <x v="30"/>
    <n v="20.67153284671533"/>
    <m/>
    <x v="0"/>
  </r>
  <r>
    <s v="1000006830"/>
    <x v="9"/>
    <s v="1200003790"/>
    <x v="67"/>
    <x v="0"/>
    <x v="31"/>
    <n v="14"/>
    <d v="2026-09-14T00:00:00"/>
    <n v="557.72"/>
    <s v="PEN"/>
    <x v="0"/>
    <m/>
    <m/>
    <m/>
    <x v="30"/>
    <n v="162.83795620437957"/>
    <m/>
    <x v="0"/>
  </r>
  <r>
    <s v="1000006830"/>
    <x v="9"/>
    <s v="1200003791"/>
    <x v="68"/>
    <x v="0"/>
    <x v="31"/>
    <n v="14"/>
    <d v="2026-09-14T00:00:00"/>
    <n v="153.4"/>
    <s v="PEN"/>
    <x v="0"/>
    <m/>
    <m/>
    <m/>
    <x v="30"/>
    <n v="44.788321167883218"/>
    <m/>
    <x v="0"/>
  </r>
  <r>
    <s v="1000006830"/>
    <x v="9"/>
    <s v="1200003794"/>
    <x v="69"/>
    <x v="0"/>
    <x v="31"/>
    <n v="14"/>
    <d v="2026-09-14T00:00:00"/>
    <n v="646.64"/>
    <s v="PEN"/>
    <x v="0"/>
    <m/>
    <m/>
    <m/>
    <x v="30"/>
    <n v="188.8"/>
    <m/>
    <x v="0"/>
  </r>
  <r>
    <s v="1000006830"/>
    <x v="9"/>
    <s v="1200003795"/>
    <x v="70"/>
    <x v="0"/>
    <x v="31"/>
    <n v="14"/>
    <d v="2026-09-14T00:00:00"/>
    <n v="70.8"/>
    <s v="PEN"/>
    <x v="0"/>
    <m/>
    <m/>
    <m/>
    <x v="30"/>
    <n v="20.67153284671533"/>
    <m/>
    <x v="0"/>
  </r>
  <r>
    <s v="1000006830"/>
    <x v="9"/>
    <s v="1200003836"/>
    <x v="71"/>
    <x v="0"/>
    <x v="31"/>
    <n v="14"/>
    <d v="2026-09-14T00:00:00"/>
    <n v="578.86"/>
    <s v="PEN"/>
    <x v="0"/>
    <m/>
    <m/>
    <m/>
    <x v="30"/>
    <n v="169.01021897810222"/>
    <m/>
    <x v="0"/>
  </r>
  <r>
    <s v="1000006830"/>
    <x v="9"/>
    <s v="1200003837"/>
    <x v="72"/>
    <x v="0"/>
    <x v="31"/>
    <n v="14"/>
    <d v="2026-09-14T00:00:00"/>
    <n v="153.4"/>
    <s v="PEN"/>
    <x v="0"/>
    <m/>
    <m/>
    <m/>
    <x v="30"/>
    <n v="44.788321167883218"/>
    <m/>
    <x v="0"/>
  </r>
  <r>
    <s v="1000006830"/>
    <x v="9"/>
    <s v="1200003814"/>
    <x v="73"/>
    <x v="0"/>
    <x v="16"/>
    <n v="13"/>
    <d v="2026-09-15T00:00:00"/>
    <n v="596.37"/>
    <s v="PEN"/>
    <x v="0"/>
    <m/>
    <m/>
    <m/>
    <x v="22"/>
    <n v="174.12262773722628"/>
    <m/>
    <x v="0"/>
  </r>
  <r>
    <s v="1000006830"/>
    <x v="9"/>
    <s v="1200003815"/>
    <x v="74"/>
    <x v="0"/>
    <x v="16"/>
    <n v="13"/>
    <d v="2026-09-15T00:00:00"/>
    <n v="194.7"/>
    <s v="PEN"/>
    <x v="0"/>
    <m/>
    <m/>
    <m/>
    <x v="22"/>
    <n v="56.846715328467155"/>
    <m/>
    <x v="0"/>
  </r>
  <r>
    <s v="1000006830"/>
    <x v="9"/>
    <s v="1200003861"/>
    <x v="75"/>
    <x v="0"/>
    <x v="16"/>
    <n v="13"/>
    <d v="2026-09-15T00:00:00"/>
    <n v="544.16999999999996"/>
    <s v="PEN"/>
    <x v="0"/>
    <m/>
    <m/>
    <m/>
    <x v="22"/>
    <n v="158.88175182481751"/>
    <m/>
    <x v="0"/>
  </r>
  <r>
    <s v="1000006830"/>
    <x v="9"/>
    <s v="1200003862"/>
    <x v="76"/>
    <x v="0"/>
    <x v="16"/>
    <n v="13"/>
    <d v="2026-09-15T00:00:00"/>
    <n v="153.4"/>
    <s v="PEN"/>
    <x v="0"/>
    <m/>
    <m/>
    <m/>
    <x v="22"/>
    <n v="44.788321167883218"/>
    <m/>
    <x v="0"/>
  </r>
  <r>
    <s v="1000006830"/>
    <x v="9"/>
    <s v="1200003891"/>
    <x v="77"/>
    <x v="0"/>
    <x v="22"/>
    <n v="12"/>
    <d v="2026-09-16T00:00:00"/>
    <n v="730.66"/>
    <s v="PEN"/>
    <x v="0"/>
    <m/>
    <m/>
    <m/>
    <x v="23"/>
    <n v="213.33138686131386"/>
    <m/>
    <x v="0"/>
  </r>
  <r>
    <s v="1000006830"/>
    <x v="9"/>
    <s v="1200003892"/>
    <x v="78"/>
    <x v="0"/>
    <x v="22"/>
    <n v="12"/>
    <d v="2026-09-16T00:00:00"/>
    <n v="70.8"/>
    <s v="PEN"/>
    <x v="0"/>
    <m/>
    <m/>
    <m/>
    <x v="23"/>
    <n v="20.67153284671533"/>
    <m/>
    <x v="0"/>
  </r>
  <r>
    <s v="1000006830"/>
    <x v="9"/>
    <s v="1200003908"/>
    <x v="79"/>
    <x v="0"/>
    <x v="22"/>
    <n v="12"/>
    <d v="2026-09-16T00:00:00"/>
    <n v="591.41999999999996"/>
    <s v="PEN"/>
    <x v="0"/>
    <m/>
    <m/>
    <m/>
    <x v="23"/>
    <n v="172.67737226277373"/>
    <m/>
    <x v="0"/>
  </r>
  <r>
    <s v="1000006830"/>
    <x v="9"/>
    <s v="1200003909"/>
    <x v="80"/>
    <x v="0"/>
    <x v="22"/>
    <n v="12"/>
    <d v="2026-09-16T00:00:00"/>
    <n v="177"/>
    <s v="PEN"/>
    <x v="0"/>
    <m/>
    <m/>
    <m/>
    <x v="23"/>
    <n v="51.678832116788321"/>
    <m/>
    <x v="0"/>
  </r>
  <r>
    <s v="1000006830"/>
    <x v="9"/>
    <s v="1200003914"/>
    <x v="81"/>
    <x v="0"/>
    <x v="22"/>
    <n v="12"/>
    <d v="2026-09-16T00:00:00"/>
    <n v="555.4"/>
    <s v="PEN"/>
    <x v="0"/>
    <m/>
    <m/>
    <m/>
    <x v="23"/>
    <n v="162.16058394160584"/>
    <m/>
    <x v="0"/>
  </r>
  <r>
    <s v="1000006830"/>
    <x v="9"/>
    <s v="1200003915"/>
    <x v="82"/>
    <x v="0"/>
    <x v="22"/>
    <n v="12"/>
    <d v="2026-09-16T00:00:00"/>
    <n v="177"/>
    <s v="PEN"/>
    <x v="0"/>
    <m/>
    <m/>
    <m/>
    <x v="23"/>
    <n v="51.678832116788321"/>
    <m/>
    <x v="0"/>
  </r>
  <r>
    <s v="1000006830"/>
    <x v="9"/>
    <s v="1200003931"/>
    <x v="83"/>
    <x v="0"/>
    <x v="23"/>
    <n v="11"/>
    <d v="2026-09-17T00:00:00"/>
    <n v="593.29999999999995"/>
    <s v="PEN"/>
    <x v="0"/>
    <m/>
    <m/>
    <m/>
    <x v="24"/>
    <n v="173.22627737226276"/>
    <m/>
    <x v="0"/>
  </r>
  <r>
    <s v="1000006830"/>
    <x v="9"/>
    <s v="1200003932"/>
    <x v="84"/>
    <x v="0"/>
    <x v="23"/>
    <n v="11"/>
    <d v="2026-09-17T00:00:00"/>
    <n v="70.8"/>
    <s v="PEN"/>
    <x v="0"/>
    <m/>
    <m/>
    <m/>
    <x v="24"/>
    <n v="20.67153284671533"/>
    <m/>
    <x v="0"/>
  </r>
  <r>
    <s v="1000006830"/>
    <x v="9"/>
    <s v="1200003954"/>
    <x v="85"/>
    <x v="0"/>
    <x v="23"/>
    <n v="11"/>
    <d v="2026-09-17T00:00:00"/>
    <n v="614.54"/>
    <s v="PEN"/>
    <x v="0"/>
    <m/>
    <m/>
    <m/>
    <x v="24"/>
    <n v="179.42773722627737"/>
    <m/>
    <x v="0"/>
  </r>
  <r>
    <s v="1000006830"/>
    <x v="9"/>
    <s v="1200003955"/>
    <x v="86"/>
    <x v="0"/>
    <x v="23"/>
    <n v="11"/>
    <d v="2026-09-17T00:00:00"/>
    <n v="212.4"/>
    <s v="PEN"/>
    <x v="0"/>
    <m/>
    <m/>
    <m/>
    <x v="24"/>
    <n v="62.01459854014599"/>
    <m/>
    <x v="0"/>
  </r>
  <r>
    <s v="1000006830"/>
    <x v="9"/>
    <s v="1200003972"/>
    <x v="87"/>
    <x v="0"/>
    <x v="24"/>
    <n v="10"/>
    <d v="2026-09-18T00:00:00"/>
    <n v="546.48"/>
    <s v="PEN"/>
    <x v="0"/>
    <m/>
    <m/>
    <m/>
    <x v="25"/>
    <n v="159.55620437956205"/>
    <m/>
    <x v="0"/>
  </r>
  <r>
    <s v="1000006830"/>
    <x v="9"/>
    <s v="1200003973"/>
    <x v="88"/>
    <x v="0"/>
    <x v="24"/>
    <n v="10"/>
    <d v="2026-09-18T00:00:00"/>
    <n v="153.4"/>
    <s v="PEN"/>
    <x v="0"/>
    <m/>
    <m/>
    <m/>
    <x v="25"/>
    <n v="44.788321167883218"/>
    <m/>
    <x v="0"/>
  </r>
  <r>
    <s v="1000006830"/>
    <x v="9"/>
    <s v="1200003981"/>
    <x v="89"/>
    <x v="0"/>
    <x v="24"/>
    <n v="10"/>
    <d v="2026-09-18T00:00:00"/>
    <n v="531.94000000000005"/>
    <s v="PEN"/>
    <x v="0"/>
    <m/>
    <m/>
    <m/>
    <x v="25"/>
    <n v="155.31094890510951"/>
    <m/>
    <x v="0"/>
  </r>
  <r>
    <s v="1000006830"/>
    <x v="9"/>
    <s v="1200003982"/>
    <x v="90"/>
    <x v="0"/>
    <x v="24"/>
    <n v="10"/>
    <d v="2026-09-18T00:00:00"/>
    <n v="153.4"/>
    <s v="PEN"/>
    <x v="0"/>
    <m/>
    <m/>
    <m/>
    <x v="25"/>
    <n v="44.788321167883218"/>
    <m/>
    <x v="0"/>
  </r>
  <r>
    <s v="1000006830"/>
    <x v="9"/>
    <s v="1200003985"/>
    <x v="91"/>
    <x v="0"/>
    <x v="24"/>
    <n v="10"/>
    <d v="2026-09-18T00:00:00"/>
    <n v="373.59"/>
    <s v="PEN"/>
    <x v="0"/>
    <m/>
    <m/>
    <m/>
    <x v="25"/>
    <n v="109.07737226277372"/>
    <m/>
    <x v="0"/>
  </r>
  <r>
    <s v="1000006830"/>
    <x v="9"/>
    <s v="1200003986"/>
    <x v="92"/>
    <x v="0"/>
    <x v="24"/>
    <n v="10"/>
    <d v="2026-09-18T00:00:00"/>
    <n v="47.2"/>
    <s v="PEN"/>
    <x v="0"/>
    <m/>
    <m/>
    <m/>
    <x v="25"/>
    <n v="13.78102189781022"/>
    <m/>
    <x v="0"/>
  </r>
  <r>
    <s v="1000006830"/>
    <x v="9"/>
    <s v="1200003997"/>
    <x v="93"/>
    <x v="0"/>
    <x v="24"/>
    <n v="10"/>
    <d v="2026-09-18T00:00:00"/>
    <n v="544.91999999999996"/>
    <s v="PEN"/>
    <x v="0"/>
    <m/>
    <m/>
    <m/>
    <x v="25"/>
    <n v="159.10072992700731"/>
    <m/>
    <x v="0"/>
  </r>
  <r>
    <s v="1000006830"/>
    <x v="9"/>
    <s v="1200003998"/>
    <x v="94"/>
    <x v="0"/>
    <x v="24"/>
    <n v="10"/>
    <d v="2026-09-18T00:00:00"/>
    <n v="70.8"/>
    <s v="PEN"/>
    <x v="0"/>
    <m/>
    <m/>
    <m/>
    <x v="25"/>
    <n v="20.67153284671533"/>
    <m/>
    <x v="0"/>
  </r>
  <r>
    <s v="1000006830"/>
    <x v="9"/>
    <s v="1200004038"/>
    <x v="95"/>
    <x v="0"/>
    <x v="25"/>
    <n v="9"/>
    <d v="2026-09-19T00:00:00"/>
    <n v="599.91"/>
    <s v="PEN"/>
    <x v="0"/>
    <m/>
    <m/>
    <m/>
    <x v="26"/>
    <n v="175.15620437956204"/>
    <m/>
    <x v="0"/>
  </r>
  <r>
    <s v="1000006830"/>
    <x v="9"/>
    <s v="1200004039"/>
    <x v="96"/>
    <x v="0"/>
    <x v="25"/>
    <n v="9"/>
    <d v="2026-09-19T00:00:00"/>
    <n v="70.8"/>
    <s v="PEN"/>
    <x v="0"/>
    <m/>
    <m/>
    <m/>
    <x v="26"/>
    <n v="20.67153284671533"/>
    <m/>
    <x v="0"/>
  </r>
  <r>
    <s v="1000006830"/>
    <x v="9"/>
    <s v="1200004042"/>
    <x v="97"/>
    <x v="0"/>
    <x v="25"/>
    <n v="9"/>
    <d v="2026-09-19T00:00:00"/>
    <n v="522.03"/>
    <s v="PEN"/>
    <x v="0"/>
    <m/>
    <m/>
    <m/>
    <x v="26"/>
    <n v="152.41751824817518"/>
    <m/>
    <x v="0"/>
  </r>
  <r>
    <s v="1000006830"/>
    <x v="9"/>
    <s v="1200004043"/>
    <x v="98"/>
    <x v="0"/>
    <x v="25"/>
    <n v="9"/>
    <d v="2026-09-19T00:00:00"/>
    <n v="212.4"/>
    <s v="PEN"/>
    <x v="0"/>
    <m/>
    <m/>
    <m/>
    <x v="26"/>
    <n v="62.01459854014599"/>
    <m/>
    <x v="0"/>
  </r>
  <r>
    <s v="1000006830"/>
    <x v="9"/>
    <s v="1200004046"/>
    <x v="99"/>
    <x v="0"/>
    <x v="25"/>
    <n v="9"/>
    <d v="2026-09-19T00:00:00"/>
    <n v="260.36"/>
    <s v="PEN"/>
    <x v="0"/>
    <m/>
    <m/>
    <m/>
    <x v="26"/>
    <n v="76.017518248175193"/>
    <m/>
    <x v="0"/>
  </r>
  <r>
    <s v="1000006830"/>
    <x v="9"/>
    <s v="1200004047"/>
    <x v="100"/>
    <x v="0"/>
    <x v="25"/>
    <n v="9"/>
    <d v="2026-09-19T00:00:00"/>
    <n v="118"/>
    <s v="PEN"/>
    <x v="0"/>
    <m/>
    <m/>
    <m/>
    <x v="26"/>
    <n v="34.45255474452555"/>
    <m/>
    <x v="0"/>
  </r>
  <r>
    <s v="1000006830"/>
    <x v="9"/>
    <s v="1200004090"/>
    <x v="101"/>
    <x v="0"/>
    <x v="32"/>
    <n v="7"/>
    <d v="2026-09-21T00:00:00"/>
    <n v="1236.3599999999999"/>
    <s v="PEN"/>
    <x v="0"/>
    <m/>
    <m/>
    <m/>
    <x v="31"/>
    <n v="360.98102189781019"/>
    <m/>
    <x v="0"/>
  </r>
  <r>
    <s v="1000006830"/>
    <x v="9"/>
    <s v="1200004091"/>
    <x v="102"/>
    <x v="0"/>
    <x v="32"/>
    <n v="7"/>
    <d v="2026-09-21T00:00:00"/>
    <n v="330.4"/>
    <s v="PEN"/>
    <x v="0"/>
    <m/>
    <m/>
    <m/>
    <x v="31"/>
    <n v="96.467153284671525"/>
    <m/>
    <x v="0"/>
  </r>
  <r>
    <s v="1000006830"/>
    <x v="9"/>
    <s v="1200004098"/>
    <x v="103"/>
    <x v="0"/>
    <x v="32"/>
    <n v="14"/>
    <d v="2026-09-14T00:00:00"/>
    <n v="716.64"/>
    <s v="PEN"/>
    <x v="0"/>
    <m/>
    <m/>
    <m/>
    <x v="30"/>
    <n v="209.23795620437957"/>
    <m/>
    <x v="0"/>
  </r>
  <r>
    <s v="1000006830"/>
    <x v="9"/>
    <s v="1200004099"/>
    <x v="104"/>
    <x v="0"/>
    <x v="32"/>
    <n v="14"/>
    <d v="2026-09-14T00:00:00"/>
    <n v="230.1"/>
    <s v="PEN"/>
    <x v="0"/>
    <m/>
    <m/>
    <m/>
    <x v="30"/>
    <n v="67.182481751824824"/>
    <m/>
    <x v="0"/>
  </r>
  <r>
    <s v="1000006830"/>
    <x v="9"/>
    <s v="1200004100"/>
    <x v="105"/>
    <x v="0"/>
    <x v="29"/>
    <n v="6"/>
    <d v="2026-09-22T00:00:00"/>
    <n v="1126.33"/>
    <s v="PEN"/>
    <x v="0"/>
    <m/>
    <m/>
    <m/>
    <x v="32"/>
    <n v="328.85547445255474"/>
    <m/>
    <x v="0"/>
  </r>
  <r>
    <s v="1000006830"/>
    <x v="9"/>
    <s v="1200004101"/>
    <x v="106"/>
    <x v="0"/>
    <x v="29"/>
    <n v="6"/>
    <d v="2026-09-22T00:00:00"/>
    <n v="318.60000000000002"/>
    <s v="PEN"/>
    <x v="0"/>
    <m/>
    <m/>
    <m/>
    <x v="32"/>
    <n v="93.021897810218988"/>
    <m/>
    <x v="0"/>
  </r>
  <r>
    <s v="1000006830"/>
    <x v="9"/>
    <s v="1200004104"/>
    <x v="107"/>
    <x v="0"/>
    <x v="29"/>
    <n v="6"/>
    <d v="2026-09-22T00:00:00"/>
    <n v="506.5"/>
    <s v="PEN"/>
    <x v="0"/>
    <m/>
    <m/>
    <m/>
    <x v="32"/>
    <n v="147.88321167883211"/>
    <m/>
    <x v="0"/>
  </r>
  <r>
    <s v="1000006830"/>
    <x v="9"/>
    <s v="1200004105"/>
    <x v="108"/>
    <x v="0"/>
    <x v="29"/>
    <n v="6"/>
    <d v="2026-09-22T00:00:00"/>
    <n v="153.4"/>
    <s v="PEN"/>
    <x v="0"/>
    <m/>
    <m/>
    <m/>
    <x v="32"/>
    <n v="44.788321167883218"/>
    <m/>
    <x v="0"/>
  </r>
  <r>
    <s v="1000006830"/>
    <x v="9"/>
    <s v="1200004109"/>
    <x v="109"/>
    <x v="0"/>
    <x v="33"/>
    <n v="5"/>
    <d v="2026-09-23T00:00:00"/>
    <n v="642.96"/>
    <s v="PEN"/>
    <x v="0"/>
    <m/>
    <m/>
    <m/>
    <x v="33"/>
    <n v="187.7255474452555"/>
    <m/>
    <x v="0"/>
  </r>
  <r>
    <s v="1000006830"/>
    <x v="9"/>
    <s v="1200004110"/>
    <x v="110"/>
    <x v="0"/>
    <x v="33"/>
    <n v="5"/>
    <d v="2026-09-23T00:00:00"/>
    <n v="194.7"/>
    <s v="PEN"/>
    <x v="0"/>
    <m/>
    <m/>
    <m/>
    <x v="33"/>
    <n v="56.846715328467155"/>
    <m/>
    <x v="0"/>
  </r>
  <r>
    <s v="1000006830"/>
    <x v="9"/>
    <s v="1200004113"/>
    <x v="111"/>
    <x v="0"/>
    <x v="33"/>
    <n v="5"/>
    <d v="2026-09-23T00:00:00"/>
    <n v="47.2"/>
    <s v="PEN"/>
    <x v="0"/>
    <m/>
    <m/>
    <m/>
    <x v="33"/>
    <n v="13.78102189781022"/>
    <m/>
    <x v="0"/>
  </r>
  <r>
    <s v="1000006830"/>
    <x v="9"/>
    <s v="1200004114"/>
    <x v="112"/>
    <x v="0"/>
    <x v="33"/>
    <n v="5"/>
    <d v="2026-09-23T00:00:00"/>
    <n v="138.77000000000001"/>
    <s v="PEN"/>
    <x v="0"/>
    <m/>
    <m/>
    <m/>
    <x v="33"/>
    <n v="40.516788321167887"/>
    <m/>
    <x v="0"/>
  </r>
  <r>
    <s v="1000006830"/>
    <x v="9"/>
    <s v="1200004165"/>
    <x v="113"/>
    <x v="0"/>
    <x v="27"/>
    <n v="0"/>
    <d v="2026-09-28T00:00:00"/>
    <n v="47.2"/>
    <s v="PEN"/>
    <x v="0"/>
    <m/>
    <m/>
    <m/>
    <x v="28"/>
    <n v="13.78102189781022"/>
    <m/>
    <x v="0"/>
  </r>
  <r>
    <s v="1000006830"/>
    <x v="9"/>
    <s v="1200004166"/>
    <x v="114"/>
    <x v="0"/>
    <x v="27"/>
    <n v="0"/>
    <d v="2026-09-28T00:00:00"/>
    <n v="418.66"/>
    <s v="PEN"/>
    <x v="0"/>
    <m/>
    <m/>
    <m/>
    <x v="28"/>
    <n v="122.23649635036497"/>
    <m/>
    <x v="0"/>
  </r>
  <r>
    <s v="1000006830"/>
    <x v="9"/>
    <s v="1200004178"/>
    <x v="115"/>
    <x v="0"/>
    <x v="34"/>
    <n v="-1"/>
    <d v="2026-09-29T00:00:00"/>
    <n v="251.81"/>
    <s v="PEN"/>
    <x v="0"/>
    <m/>
    <m/>
    <m/>
    <x v="34"/>
    <n v="73.521167883211689"/>
    <m/>
    <x v="0"/>
  </r>
  <r>
    <s v="1000006830"/>
    <x v="9"/>
    <s v="1200004179"/>
    <x v="116"/>
    <x v="0"/>
    <x v="34"/>
    <n v="-1"/>
    <d v="2026-09-29T00:00:00"/>
    <n v="47.2"/>
    <s v="PEN"/>
    <x v="0"/>
    <m/>
    <m/>
    <m/>
    <x v="34"/>
    <n v="13.78102189781022"/>
    <m/>
    <x v="0"/>
  </r>
  <r>
    <s v="2000001172"/>
    <x v="10"/>
    <s v="1300008527"/>
    <x v="117"/>
    <x v="1"/>
    <x v="35"/>
    <n v="73"/>
    <d v="2026-07-17T00:00:00"/>
    <n v="921.06"/>
    <s v="USD"/>
    <x v="1"/>
    <d v="2026-09-15T00:00:00"/>
    <n v="-17"/>
    <d v="2026-10-15T00:00:00"/>
    <x v="12"/>
    <n v="921.06"/>
    <n v="73"/>
    <x v="0"/>
  </r>
  <r>
    <s v="6002007"/>
    <x v="11"/>
    <s v="1200005141"/>
    <x v="118"/>
    <x v="0"/>
    <x v="36"/>
    <n v="322"/>
    <d v="2025-11-10T00:00:00"/>
    <n v="1403.26"/>
    <s v="PEN"/>
    <x v="3"/>
    <m/>
    <m/>
    <m/>
    <x v="35"/>
    <n v="409.71094890510949"/>
    <m/>
    <x v="0"/>
  </r>
  <r>
    <s v="6002007"/>
    <x v="11"/>
    <s v="1200005142"/>
    <x v="119"/>
    <x v="0"/>
    <x v="36"/>
    <n v="322"/>
    <d v="2025-11-10T00:00:00"/>
    <n v="141.6"/>
    <s v="PEN"/>
    <x v="3"/>
    <m/>
    <m/>
    <m/>
    <x v="35"/>
    <n v="41.34306569343066"/>
    <m/>
    <x v="0"/>
  </r>
  <r>
    <s v="6002007"/>
    <x v="11"/>
    <s v="1200005158"/>
    <x v="120"/>
    <x v="0"/>
    <x v="37"/>
    <n v="319"/>
    <d v="2025-11-13T00:00:00"/>
    <n v="1193.22"/>
    <s v="PEN"/>
    <x v="3"/>
    <m/>
    <m/>
    <m/>
    <x v="36"/>
    <n v="348.38540145985405"/>
    <m/>
    <x v="0"/>
  </r>
  <r>
    <s v="6002007"/>
    <x v="11"/>
    <s v="1200005159"/>
    <x v="121"/>
    <x v="0"/>
    <x v="37"/>
    <n v="319"/>
    <d v="2025-11-13T00:00:00"/>
    <n v="106.2"/>
    <s v="PEN"/>
    <x v="3"/>
    <m/>
    <m/>
    <m/>
    <x v="36"/>
    <n v="31.007299270072995"/>
    <m/>
    <x v="0"/>
  </r>
  <r>
    <s v="6002007"/>
    <x v="11"/>
    <s v="1200001503"/>
    <x v="122"/>
    <x v="0"/>
    <x v="38"/>
    <n v="138"/>
    <d v="2026-05-13T00:00:00"/>
    <n v="23.6"/>
    <s v="PEN"/>
    <x v="3"/>
    <m/>
    <m/>
    <m/>
    <x v="37"/>
    <n v="6.89051094890511"/>
    <m/>
    <x v="0"/>
  </r>
  <r>
    <s v="6002007"/>
    <x v="11"/>
    <s v="1200001504"/>
    <x v="123"/>
    <x v="0"/>
    <x v="38"/>
    <n v="138"/>
    <d v="2026-05-13T00:00:00"/>
    <n v="261.49"/>
    <s v="PEN"/>
    <x v="3"/>
    <m/>
    <m/>
    <m/>
    <x v="37"/>
    <n v="76.347445255474454"/>
    <m/>
    <x v="0"/>
  </r>
  <r>
    <s v="6002007"/>
    <x v="11"/>
    <s v="1200001509"/>
    <x v="124"/>
    <x v="0"/>
    <x v="38"/>
    <n v="138"/>
    <d v="2026-05-13T00:00:00"/>
    <n v="387.51"/>
    <s v="PEN"/>
    <x v="3"/>
    <m/>
    <m/>
    <m/>
    <x v="37"/>
    <n v="113.14160583941606"/>
    <m/>
    <x v="0"/>
  </r>
  <r>
    <s v="6002007"/>
    <x v="11"/>
    <s v="1200001510"/>
    <x v="125"/>
    <x v="0"/>
    <x v="38"/>
    <n v="138"/>
    <d v="2026-05-13T00:00:00"/>
    <n v="35.4"/>
    <s v="PEN"/>
    <x v="3"/>
    <m/>
    <m/>
    <m/>
    <x v="37"/>
    <n v="10.335766423357665"/>
    <m/>
    <x v="0"/>
  </r>
  <r>
    <s v="6002007"/>
    <x v="11"/>
    <s v="1200001609"/>
    <x v="126"/>
    <x v="0"/>
    <x v="39"/>
    <n v="132"/>
    <d v="2026-05-19T00:00:00"/>
    <n v="482.86"/>
    <s v="PEN"/>
    <x v="3"/>
    <m/>
    <m/>
    <m/>
    <x v="38"/>
    <n v="140.98102189781022"/>
    <m/>
    <x v="0"/>
  </r>
  <r>
    <s v="6002007"/>
    <x v="11"/>
    <s v="1200001610"/>
    <x v="127"/>
    <x v="0"/>
    <x v="39"/>
    <n v="132"/>
    <d v="2026-05-19T00:00:00"/>
    <n v="47.2"/>
    <s v="PEN"/>
    <x v="3"/>
    <m/>
    <m/>
    <m/>
    <x v="38"/>
    <n v="13.78102189781022"/>
    <m/>
    <x v="0"/>
  </r>
  <r>
    <s v="6002007"/>
    <x v="11"/>
    <s v="1200001789"/>
    <x v="128"/>
    <x v="0"/>
    <x v="40"/>
    <n v="128"/>
    <d v="2026-05-23T00:00:00"/>
    <n v="544.45000000000005"/>
    <s v="PEN"/>
    <x v="3"/>
    <m/>
    <m/>
    <m/>
    <x v="39"/>
    <n v="158.96350364963507"/>
    <m/>
    <x v="0"/>
  </r>
  <r>
    <s v="6002007"/>
    <x v="11"/>
    <s v="1200001790"/>
    <x v="129"/>
    <x v="0"/>
    <x v="40"/>
    <n v="128"/>
    <d v="2026-05-23T00:00:00"/>
    <n v="47.2"/>
    <s v="PEN"/>
    <x v="3"/>
    <m/>
    <m/>
    <m/>
    <x v="39"/>
    <n v="13.78102189781022"/>
    <m/>
    <x v="0"/>
  </r>
  <r>
    <s v="6002007"/>
    <x v="11"/>
    <s v="1200002045"/>
    <x v="130"/>
    <x v="0"/>
    <x v="41"/>
    <n v="117"/>
    <d v="2026-06-03T00:00:00"/>
    <n v="591.65"/>
    <s v="PEN"/>
    <x v="3"/>
    <m/>
    <m/>
    <m/>
    <x v="40"/>
    <n v="172.74452554744525"/>
    <m/>
    <x v="0"/>
  </r>
  <r>
    <s v="6002007"/>
    <x v="11"/>
    <s v="1200002046"/>
    <x v="131"/>
    <x v="0"/>
    <x v="41"/>
    <n v="117"/>
    <d v="2026-06-03T00:00:00"/>
    <n v="70.8"/>
    <s v="PEN"/>
    <x v="3"/>
    <m/>
    <m/>
    <m/>
    <x v="40"/>
    <n v="20.67153284671533"/>
    <m/>
    <x v="0"/>
  </r>
  <r>
    <s v="6002007"/>
    <x v="11"/>
    <s v="1200002186"/>
    <x v="132"/>
    <x v="0"/>
    <x v="42"/>
    <n v="111"/>
    <d v="2026-06-09T00:00:00"/>
    <n v="185.97"/>
    <s v="PEN"/>
    <x v="3"/>
    <m/>
    <m/>
    <m/>
    <x v="41"/>
    <n v="54.297810218978107"/>
    <m/>
    <x v="0"/>
  </r>
  <r>
    <s v="6002007"/>
    <x v="11"/>
    <s v="1200002187"/>
    <x v="133"/>
    <x v="0"/>
    <x v="42"/>
    <n v="111"/>
    <d v="2026-06-09T00:00:00"/>
    <n v="23.6"/>
    <s v="PEN"/>
    <x v="3"/>
    <m/>
    <m/>
    <m/>
    <x v="41"/>
    <n v="6.89051094890511"/>
    <m/>
    <x v="0"/>
  </r>
  <r>
    <s v="6002007"/>
    <x v="11"/>
    <s v="1200002487"/>
    <x v="134"/>
    <x v="0"/>
    <x v="43"/>
    <n v="100"/>
    <d v="2026-06-20T00:00:00"/>
    <n v="535.25"/>
    <s v="PEN"/>
    <x v="3"/>
    <m/>
    <m/>
    <m/>
    <x v="42"/>
    <n v="156.27737226277372"/>
    <m/>
    <x v="0"/>
  </r>
  <r>
    <s v="6002007"/>
    <x v="11"/>
    <s v="1200002488"/>
    <x v="135"/>
    <x v="0"/>
    <x v="43"/>
    <n v="100"/>
    <d v="2026-06-20T00:00:00"/>
    <n v="70.8"/>
    <s v="PEN"/>
    <x v="3"/>
    <m/>
    <m/>
    <m/>
    <x v="42"/>
    <n v="20.67153284671533"/>
    <m/>
    <x v="0"/>
  </r>
  <r>
    <s v="6002007"/>
    <x v="11"/>
    <s v="1200002956"/>
    <x v="136"/>
    <x v="0"/>
    <x v="44"/>
    <n v="80"/>
    <d v="2026-07-10T00:00:00"/>
    <n v="449.11"/>
    <s v="PEN"/>
    <x v="3"/>
    <m/>
    <m/>
    <m/>
    <x v="43"/>
    <n v="131.12700729927008"/>
    <m/>
    <x v="0"/>
  </r>
  <r>
    <s v="6002007"/>
    <x v="11"/>
    <s v="1200002957"/>
    <x v="137"/>
    <x v="0"/>
    <x v="44"/>
    <n v="80"/>
    <d v="2026-07-10T00:00:00"/>
    <n v="35.4"/>
    <s v="PEN"/>
    <x v="3"/>
    <m/>
    <m/>
    <m/>
    <x v="43"/>
    <n v="10.335766423357665"/>
    <m/>
    <x v="0"/>
  </r>
  <r>
    <s v="6002007"/>
    <x v="11"/>
    <s v="1200003319"/>
    <x v="138"/>
    <x v="0"/>
    <x v="35"/>
    <n v="66"/>
    <d v="2026-07-24T00:00:00"/>
    <n v="355.65"/>
    <s v="PEN"/>
    <x v="3"/>
    <m/>
    <m/>
    <m/>
    <x v="44"/>
    <n v="103.83941605839416"/>
    <m/>
    <x v="0"/>
  </r>
  <r>
    <s v="6002007"/>
    <x v="11"/>
    <s v="1200003320"/>
    <x v="139"/>
    <x v="0"/>
    <x v="35"/>
    <n v="66"/>
    <d v="2026-07-24T00:00:00"/>
    <n v="47.2"/>
    <s v="PEN"/>
    <x v="3"/>
    <m/>
    <m/>
    <m/>
    <x v="44"/>
    <n v="13.78102189781022"/>
    <m/>
    <x v="0"/>
  </r>
  <r>
    <s v="6001105"/>
    <x v="12"/>
    <s v="1300007099"/>
    <x v="140"/>
    <x v="1"/>
    <x v="45"/>
    <n v="75"/>
    <d v="2026-07-15T00:00:00"/>
    <n v="23.6"/>
    <s v="PEN"/>
    <x v="0"/>
    <m/>
    <m/>
    <m/>
    <x v="45"/>
    <n v="6.89051094890511"/>
    <m/>
    <x v="0"/>
  </r>
  <r>
    <s v="1000015723"/>
    <x v="13"/>
    <s v="1200004180"/>
    <x v="141"/>
    <x v="0"/>
    <x v="46"/>
    <n v="-4"/>
    <d v="2026-10-02T00:00:00"/>
    <n v="1515.12"/>
    <s v="PEN"/>
    <x v="0"/>
    <m/>
    <m/>
    <m/>
    <x v="10"/>
    <n v="442.37080291970801"/>
    <m/>
    <x v="0"/>
  </r>
  <r>
    <s v="1000013925"/>
    <x v="14"/>
    <s v="1300006898"/>
    <x v="142"/>
    <x v="1"/>
    <x v="47"/>
    <n v="342"/>
    <d v="2025-10-21T00:00:00"/>
    <n v="4460"/>
    <s v="PEN"/>
    <x v="4"/>
    <m/>
    <m/>
    <m/>
    <x v="46"/>
    <n v="1302.1897810218979"/>
    <m/>
    <x v="0"/>
  </r>
  <r>
    <s v="1000013925"/>
    <x v="14"/>
    <s v="1200005124"/>
    <x v="143"/>
    <x v="0"/>
    <x v="48"/>
    <n v="321"/>
    <d v="2025-11-11T00:00:00"/>
    <n v="7097.98"/>
    <s v="PEN"/>
    <x v="4"/>
    <m/>
    <m/>
    <m/>
    <x v="47"/>
    <n v="2072.402919708029"/>
    <m/>
    <x v="0"/>
  </r>
  <r>
    <s v="1000013925"/>
    <x v="14"/>
    <s v="1200000182"/>
    <x v="144"/>
    <x v="0"/>
    <x v="49"/>
    <n v="233"/>
    <d v="2026-02-07T00:00:00"/>
    <n v="4003.46"/>
    <s v="PEN"/>
    <x v="4"/>
    <m/>
    <m/>
    <m/>
    <x v="48"/>
    <n v="1168.8934306569345"/>
    <m/>
    <x v="0"/>
  </r>
  <r>
    <s v="1000013925"/>
    <x v="14"/>
    <s v="1200000382"/>
    <x v="145"/>
    <x v="0"/>
    <x v="50"/>
    <n v="202"/>
    <d v="2026-03-10T00:00:00"/>
    <n v="4956"/>
    <s v="PEN"/>
    <x v="4"/>
    <m/>
    <m/>
    <m/>
    <x v="49"/>
    <n v="1447.007299270073"/>
    <m/>
    <x v="0"/>
  </r>
  <r>
    <s v="2000000267"/>
    <x v="15"/>
    <s v="1300009219"/>
    <x v="146"/>
    <x v="4"/>
    <x v="29"/>
    <n v="0"/>
    <d v="2026-09-30T00:00:00"/>
    <n v="-23847"/>
    <s v="USD"/>
    <x v="1"/>
    <d v="2026-11-14T00:00:00"/>
    <n v="46293"/>
    <m/>
    <x v="16"/>
    <n v="-23847"/>
    <n v="13"/>
    <x v="2"/>
  </r>
  <r>
    <s v="6000434"/>
    <x v="16"/>
    <s v="1200004540"/>
    <x v="147"/>
    <x v="0"/>
    <x v="51"/>
    <n v="349"/>
    <d v="2025-10-14T00:00:00"/>
    <n v="790"/>
    <s v="PEN"/>
    <x v="5"/>
    <m/>
    <m/>
    <m/>
    <x v="50"/>
    <n v="230.65693430656935"/>
    <m/>
    <x v="0"/>
  </r>
  <r>
    <s v="1000001607"/>
    <x v="17"/>
    <s v="1200004191"/>
    <x v="148"/>
    <x v="0"/>
    <x v="52"/>
    <n v="-3"/>
    <d v="2026-10-01T00:00:00"/>
    <n v="46507.1"/>
    <s v="PEN"/>
    <x v="6"/>
    <m/>
    <m/>
    <m/>
    <x v="51"/>
    <n v="13578.715328467153"/>
    <m/>
    <x v="0"/>
  </r>
  <r>
    <s v="2000001382"/>
    <x v="18"/>
    <s v="1300007200"/>
    <x v="149"/>
    <x v="1"/>
    <x v="53"/>
    <n v="63"/>
    <d v="2026-07-27T00:00:00"/>
    <n v="64640"/>
    <s v="USD"/>
    <x v="1"/>
    <d v="2026-09-25T00:00:00"/>
    <n v="3"/>
    <d v="2026-09-25T00:00:00"/>
    <x v="10"/>
    <n v="64640"/>
    <n v="63"/>
    <x v="1"/>
  </r>
  <r>
    <s v="1000015392"/>
    <x v="19"/>
    <s v="1100021551"/>
    <x v="150"/>
    <x v="5"/>
    <x v="54"/>
    <n v="530"/>
    <d v="2025-04-16T00:00:00"/>
    <n v="2198.11"/>
    <s v="USD"/>
    <x v="0"/>
    <m/>
    <m/>
    <m/>
    <x v="52"/>
    <m/>
    <m/>
    <x v="0"/>
  </r>
  <r>
    <s v="1000015392"/>
    <x v="19"/>
    <s v="1100021550"/>
    <x v="150"/>
    <x v="5"/>
    <x v="55"/>
    <n v="485"/>
    <d v="2025-05-31T00:00:00"/>
    <n v="7020.55"/>
    <s v="USD"/>
    <x v="0"/>
    <m/>
    <m/>
    <m/>
    <x v="52"/>
    <m/>
    <m/>
    <x v="0"/>
  </r>
  <r>
    <s v="1000015392"/>
    <x v="19"/>
    <s v="1100021552"/>
    <x v="150"/>
    <x v="5"/>
    <x v="56"/>
    <n v="405"/>
    <d v="2025-08-19T00:00:00"/>
    <n v="40781.339999999997"/>
    <s v="USD"/>
    <x v="0"/>
    <m/>
    <m/>
    <m/>
    <x v="52"/>
    <m/>
    <m/>
    <x v="0"/>
  </r>
  <r>
    <s v="1000015392"/>
    <x v="19"/>
    <s v="1100016416"/>
    <x v="151"/>
    <x v="5"/>
    <x v="57"/>
    <n v="90"/>
    <d v="2026-06-30T00:00:00"/>
    <n v="590"/>
    <s v="PEN"/>
    <x v="7"/>
    <m/>
    <m/>
    <m/>
    <x v="53"/>
    <n v="172.26277372262774"/>
    <m/>
    <x v="0"/>
  </r>
  <r>
    <s v="1000001965"/>
    <x v="20"/>
    <s v="1200004027"/>
    <x v="152"/>
    <x v="0"/>
    <x v="25"/>
    <n v="9"/>
    <d v="2026-09-19T00:00:00"/>
    <n v="590"/>
    <s v="PEN"/>
    <x v="0"/>
    <m/>
    <m/>
    <m/>
    <x v="26"/>
    <n v="172.26277372262774"/>
    <m/>
    <x v="0"/>
  </r>
  <r>
    <s v="1000001965"/>
    <x v="20"/>
    <s v="1200004153"/>
    <x v="153"/>
    <x v="0"/>
    <x v="58"/>
    <n v="3"/>
    <d v="2026-09-25T00:00:00"/>
    <n v="590"/>
    <s v="PEN"/>
    <x v="0"/>
    <m/>
    <m/>
    <m/>
    <x v="54"/>
    <n v="172.26277372262774"/>
    <m/>
    <x v="0"/>
  </r>
  <r>
    <s v="1000001965"/>
    <x v="20"/>
    <s v="1200004185"/>
    <x v="154"/>
    <x v="0"/>
    <x v="59"/>
    <n v="-5"/>
    <d v="2026-10-03T00:00:00"/>
    <n v="590"/>
    <s v="PEN"/>
    <x v="0"/>
    <m/>
    <m/>
    <m/>
    <x v="55"/>
    <n v="172.26277372262774"/>
    <m/>
    <x v="0"/>
  </r>
  <r>
    <s v="2000001440"/>
    <x v="21"/>
    <s v="1300009218"/>
    <x v="155"/>
    <x v="4"/>
    <x v="29"/>
    <n v="0"/>
    <d v="2026-09-30T00:00:00"/>
    <n v="-14455"/>
    <s v="USD"/>
    <x v="1"/>
    <d v="2026-11-14T00:00:00"/>
    <n v="46293"/>
    <m/>
    <x v="16"/>
    <n v="-14455"/>
    <n v="13"/>
    <x v="2"/>
  </r>
  <r>
    <s v="2000001440"/>
    <x v="21"/>
    <s v="1300009245"/>
    <x v="156"/>
    <x v="4"/>
    <x v="17"/>
    <n v="0"/>
    <d v="2026-09-30T00:00:00"/>
    <n v="-9110"/>
    <s v="USD"/>
    <x v="1"/>
    <d v="2026-11-22T00:00:00"/>
    <n v="46293"/>
    <m/>
    <x v="16"/>
    <n v="-9110"/>
    <n v="5"/>
    <x v="2"/>
  </r>
  <r>
    <s v="1000006120"/>
    <x v="22"/>
    <s v="1100021464"/>
    <x v="157"/>
    <x v="5"/>
    <x v="60"/>
    <n v="458"/>
    <d v="2025-06-27T00:00:00"/>
    <n v="42.48"/>
    <s v="USD"/>
    <x v="0"/>
    <m/>
    <m/>
    <m/>
    <x v="52"/>
    <m/>
    <m/>
    <x v="0"/>
  </r>
  <r>
    <s v="1000006120"/>
    <x v="22"/>
    <s v="1100021466"/>
    <x v="158"/>
    <x v="5"/>
    <x v="61"/>
    <n v="302"/>
    <d v="2025-11-30T00:00:00"/>
    <n v="445.96"/>
    <s v="USD"/>
    <x v="0"/>
    <m/>
    <m/>
    <m/>
    <x v="52"/>
    <m/>
    <m/>
    <x v="0"/>
  </r>
  <r>
    <s v="1000013686"/>
    <x v="23"/>
    <s v="1200004149"/>
    <x v="159"/>
    <x v="0"/>
    <x v="58"/>
    <n v="3"/>
    <d v="2026-09-25T00:00:00"/>
    <n v="1104.48"/>
    <s v="PEN"/>
    <x v="0"/>
    <m/>
    <m/>
    <m/>
    <x v="54"/>
    <n v="322.47591240875914"/>
    <m/>
    <x v="0"/>
  </r>
  <r>
    <s v="1000013686"/>
    <x v="23"/>
    <s v="1200004169"/>
    <x v="160"/>
    <x v="0"/>
    <x v="27"/>
    <n v="0"/>
    <d v="2026-09-28T00:00:00"/>
    <n v="1472.64"/>
    <s v="PEN"/>
    <x v="0"/>
    <m/>
    <m/>
    <m/>
    <x v="28"/>
    <n v="429.9678832116789"/>
    <m/>
    <x v="0"/>
  </r>
  <r>
    <s v="1000013686"/>
    <x v="23"/>
    <s v="1200004177"/>
    <x v="161"/>
    <x v="0"/>
    <x v="34"/>
    <n v="-1"/>
    <d v="2026-09-29T00:00:00"/>
    <n v="368.16"/>
    <s v="PEN"/>
    <x v="0"/>
    <m/>
    <m/>
    <m/>
    <x v="34"/>
    <n v="107.49197080291972"/>
    <m/>
    <x v="0"/>
  </r>
  <r>
    <s v="1000013686"/>
    <x v="23"/>
    <s v="1200004183"/>
    <x v="162"/>
    <x v="0"/>
    <x v="59"/>
    <n v="-5"/>
    <d v="2026-10-03T00:00:00"/>
    <n v="368.16"/>
    <s v="PEN"/>
    <x v="0"/>
    <m/>
    <m/>
    <m/>
    <x v="55"/>
    <n v="107.49197080291972"/>
    <m/>
    <x v="0"/>
  </r>
  <r>
    <s v="2000000786"/>
    <x v="24"/>
    <s v="1200004112"/>
    <x v="163"/>
    <x v="2"/>
    <x v="33"/>
    <n v="-33"/>
    <d v="2026-10-31T00:00:00"/>
    <n v="30825"/>
    <s v="USD"/>
    <x v="1"/>
    <d v="2026-11-15T00:00:00"/>
    <n v="-48"/>
    <d v="2026-11-15T00:00:00"/>
    <x v="56"/>
    <n v="30825"/>
    <n v="12"/>
    <x v="2"/>
  </r>
  <r>
    <s v="2000001446"/>
    <x v="25"/>
    <s v="1300008536"/>
    <x v="164"/>
    <x v="4"/>
    <x v="16"/>
    <n v="0"/>
    <d v="2026-09-30T00:00:00"/>
    <n v="-15245"/>
    <s v="USD"/>
    <x v="1"/>
    <d v="2026-11-07T00:00:00"/>
    <n v="46293"/>
    <m/>
    <x v="16"/>
    <n v="-15245"/>
    <n v="20"/>
    <x v="2"/>
  </r>
  <r>
    <m/>
    <x v="26"/>
    <m/>
    <x v="165"/>
    <x v="6"/>
    <x v="62"/>
    <m/>
    <m/>
    <m/>
    <m/>
    <x v="8"/>
    <m/>
    <m/>
    <m/>
    <x v="52"/>
    <m/>
    <m/>
    <x v="0"/>
  </r>
  <r>
    <m/>
    <x v="26"/>
    <m/>
    <x v="165"/>
    <x v="6"/>
    <x v="62"/>
    <m/>
    <m/>
    <m/>
    <m/>
    <x v="8"/>
    <m/>
    <m/>
    <m/>
    <x v="52"/>
    <m/>
    <m/>
    <x v="0"/>
  </r>
  <r>
    <m/>
    <x v="26"/>
    <m/>
    <x v="165"/>
    <x v="6"/>
    <x v="62"/>
    <m/>
    <m/>
    <m/>
    <m/>
    <x v="8"/>
    <m/>
    <m/>
    <m/>
    <x v="52"/>
    <m/>
    <m/>
    <x v="0"/>
  </r>
  <r>
    <m/>
    <x v="26"/>
    <m/>
    <x v="165"/>
    <x v="6"/>
    <x v="62"/>
    <m/>
    <m/>
    <m/>
    <m/>
    <x v="8"/>
    <m/>
    <m/>
    <m/>
    <x v="52"/>
    <m/>
    <m/>
    <x v="0"/>
  </r>
  <r>
    <m/>
    <x v="26"/>
    <m/>
    <x v="165"/>
    <x v="6"/>
    <x v="62"/>
    <m/>
    <m/>
    <m/>
    <m/>
    <x v="8"/>
    <m/>
    <m/>
    <m/>
    <x v="52"/>
    <m/>
    <m/>
    <x v="0"/>
  </r>
  <r>
    <m/>
    <x v="26"/>
    <m/>
    <x v="165"/>
    <x v="6"/>
    <x v="62"/>
    <m/>
    <m/>
    <m/>
    <m/>
    <x v="8"/>
    <m/>
    <m/>
    <m/>
    <x v="52"/>
    <m/>
    <m/>
    <x v="0"/>
  </r>
  <r>
    <m/>
    <x v="26"/>
    <m/>
    <x v="165"/>
    <x v="6"/>
    <x v="62"/>
    <m/>
    <m/>
    <m/>
    <m/>
    <x v="8"/>
    <m/>
    <m/>
    <m/>
    <x v="52"/>
    <m/>
    <m/>
    <x v="0"/>
  </r>
  <r>
    <m/>
    <x v="26"/>
    <m/>
    <x v="165"/>
    <x v="6"/>
    <x v="62"/>
    <m/>
    <m/>
    <m/>
    <m/>
    <x v="8"/>
    <m/>
    <m/>
    <m/>
    <x v="52"/>
    <m/>
    <m/>
    <x v="0"/>
  </r>
  <r>
    <m/>
    <x v="26"/>
    <m/>
    <x v="165"/>
    <x v="6"/>
    <x v="62"/>
    <m/>
    <m/>
    <m/>
    <m/>
    <x v="8"/>
    <m/>
    <m/>
    <m/>
    <x v="52"/>
    <m/>
    <m/>
    <x v="0"/>
  </r>
  <r>
    <m/>
    <x v="26"/>
    <m/>
    <x v="165"/>
    <x v="6"/>
    <x v="62"/>
    <m/>
    <m/>
    <m/>
    <m/>
    <x v="8"/>
    <m/>
    <m/>
    <m/>
    <x v="52"/>
    <m/>
    <m/>
    <x v="0"/>
  </r>
  <r>
    <m/>
    <x v="26"/>
    <m/>
    <x v="165"/>
    <x v="6"/>
    <x v="62"/>
    <m/>
    <m/>
    <m/>
    <m/>
    <x v="8"/>
    <m/>
    <m/>
    <m/>
    <x v="52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08701-B41B-4BF7-B2DF-470F1ABBE926}" name="TablaDiná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J18" firstHeaderRow="1" firstDataRow="2" firstDataCol="1" rowPageCount="2" colPageCount="1"/>
  <pivotFields count="21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axis="axisPage" showAll="0">
      <items count="8">
        <item x="3"/>
        <item x="2"/>
        <item x="0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0">
        <item h="1" x="2"/>
        <item h="1" x="4"/>
        <item x="1"/>
        <item h="1" x="7"/>
        <item h="1" x="0"/>
        <item h="1" x="5"/>
        <item h="1" x="6"/>
        <item h="1" x="3"/>
        <item h="1" x="8"/>
        <item t="default"/>
      </items>
    </pivotField>
    <pivotField showAll="0"/>
    <pivotField showAll="0"/>
    <pivotField showAll="0"/>
    <pivotField axis="axisCol" showAll="0">
      <items count="58">
        <item x="50"/>
        <item x="46"/>
        <item x="35"/>
        <item x="47"/>
        <item x="36"/>
        <item x="0"/>
        <item x="1"/>
        <item x="2"/>
        <item x="3"/>
        <item x="4"/>
        <item x="5"/>
        <item x="6"/>
        <item x="7"/>
        <item x="8"/>
        <item x="9"/>
        <item x="48"/>
        <item x="49"/>
        <item x="37"/>
        <item x="38"/>
        <item x="39"/>
        <item x="40"/>
        <item x="41"/>
        <item x="42"/>
        <item x="53"/>
        <item x="43"/>
        <item x="45"/>
        <item x="44"/>
        <item x="14"/>
        <item x="29"/>
        <item x="17"/>
        <item x="13"/>
        <item x="18"/>
        <item x="19"/>
        <item x="20"/>
        <item x="21"/>
        <item x="30"/>
        <item x="22"/>
        <item x="23"/>
        <item x="24"/>
        <item x="25"/>
        <item x="26"/>
        <item x="27"/>
        <item x="31"/>
        <item x="32"/>
        <item x="33"/>
        <item x="54"/>
        <item x="28"/>
        <item x="34"/>
        <item x="16"/>
        <item x="51"/>
        <item x="10"/>
        <item x="55"/>
        <item x="11"/>
        <item x="12"/>
        <item x="15"/>
        <item x="56"/>
        <item x="52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12">
    <i>
      <x v="1"/>
    </i>
    <i>
      <x v="3"/>
    </i>
    <i>
      <x v="4"/>
    </i>
    <i>
      <x v="6"/>
    </i>
    <i>
      <x v="7"/>
    </i>
    <i>
      <x v="10"/>
    </i>
    <i>
      <x v="15"/>
    </i>
    <i>
      <x v="18"/>
    </i>
    <i>
      <x v="21"/>
    </i>
    <i>
      <x v="24"/>
    </i>
    <i>
      <x v="25"/>
    </i>
    <i t="grand">
      <x/>
    </i>
  </rowItems>
  <colFields count="1">
    <field x="14"/>
  </colFields>
  <colItems count="9">
    <i>
      <x v="27"/>
    </i>
    <i>
      <x v="36"/>
    </i>
    <i>
      <x v="48"/>
    </i>
    <i>
      <x v="50"/>
    </i>
    <i>
      <x v="52"/>
    </i>
    <i>
      <x v="53"/>
    </i>
    <i>
      <x v="54"/>
    </i>
    <i>
      <x v="55"/>
    </i>
    <i t="grand">
      <x/>
    </i>
  </colItems>
  <pageFields count="2">
    <pageField fld="4" hier="-1"/>
    <pageField fld="10" hier="-1"/>
  </pageFields>
  <dataFields count="1">
    <dataField name="Suma de USD HOMOL" fld="15" baseField="0" baseItem="0" numFmtId="16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9A862-6521-4A82-A888-DA897594E63B}" name="TablaDinámica2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34" firstHeaderRow="1" firstDataRow="1" firstDataCol="1" rowPageCount="3" colPageCount="1"/>
  <pivotFields count="21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axis="axisRow" showAll="0">
      <items count="167">
        <item x="20"/>
        <item x="24"/>
        <item x="163"/>
        <item x="147"/>
        <item x="143"/>
        <item x="144"/>
        <item x="145"/>
        <item x="148"/>
        <item x="118"/>
        <item x="119"/>
        <item x="120"/>
        <item x="1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63"/>
        <item x="64"/>
        <item x="65"/>
        <item x="66"/>
        <item x="67"/>
        <item x="68"/>
        <item x="69"/>
        <item x="70"/>
        <item x="73"/>
        <item x="74"/>
        <item x="71"/>
        <item x="72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52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59"/>
        <item x="153"/>
        <item x="113"/>
        <item x="114"/>
        <item x="160"/>
        <item x="161"/>
        <item x="115"/>
        <item x="116"/>
        <item x="141"/>
        <item x="162"/>
        <item x="154"/>
        <item x="27"/>
        <item x="28"/>
        <item x="21"/>
        <item x="2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3"/>
        <item x="25"/>
        <item x="164"/>
        <item x="62"/>
        <item x="155"/>
        <item x="146"/>
        <item x="156"/>
        <item x="26"/>
        <item x="61"/>
        <item x="117"/>
        <item x="149"/>
        <item x="17"/>
        <item x="19"/>
        <item x="18"/>
        <item x="142"/>
        <item x="151"/>
        <item x="140"/>
        <item x="150"/>
        <item x="157"/>
        <item x="158"/>
        <item x="165"/>
        <item t="default"/>
      </items>
    </pivotField>
    <pivotField axis="axisPage" multipleItemSelectionAllowed="1" showAll="0">
      <items count="8">
        <item h="1" x="3"/>
        <item x="2"/>
        <item h="1" x="0"/>
        <item x="4"/>
        <item h="1" x="5"/>
        <item x="1"/>
        <item h="1" x="6"/>
        <item t="default"/>
      </items>
    </pivotField>
    <pivotField axis="axisPage" showAll="0">
      <items count="64">
        <item x="54"/>
        <item x="55"/>
        <item x="60"/>
        <item x="56"/>
        <item x="51"/>
        <item x="47"/>
        <item x="36"/>
        <item x="48"/>
        <item x="37"/>
        <item x="0"/>
        <item x="1"/>
        <item x="2"/>
        <item x="3"/>
        <item x="4"/>
        <item x="61"/>
        <item x="5"/>
        <item x="6"/>
        <item x="7"/>
        <item x="8"/>
        <item x="9"/>
        <item x="49"/>
        <item x="50"/>
        <item x="28"/>
        <item x="38"/>
        <item x="39"/>
        <item x="40"/>
        <item x="41"/>
        <item x="42"/>
        <item x="43"/>
        <item x="57"/>
        <item x="44"/>
        <item x="45"/>
        <item x="35"/>
        <item x="53"/>
        <item x="10"/>
        <item x="14"/>
        <item x="11"/>
        <item x="12"/>
        <item x="30"/>
        <item x="15"/>
        <item x="13"/>
        <item x="18"/>
        <item x="19"/>
        <item x="20"/>
        <item x="21"/>
        <item x="31"/>
        <item x="16"/>
        <item x="22"/>
        <item x="23"/>
        <item x="24"/>
        <item x="25"/>
        <item x="26"/>
        <item x="32"/>
        <item x="29"/>
        <item x="33"/>
        <item x="58"/>
        <item x="27"/>
        <item x="34"/>
        <item x="17"/>
        <item x="46"/>
        <item x="59"/>
        <item x="52"/>
        <item x="62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0">
        <item h="1" x="2"/>
        <item h="1" x="4"/>
        <item x="1"/>
        <item h="1" x="7"/>
        <item h="1" x="0"/>
        <item h="1" x="5"/>
        <item h="1" x="6"/>
        <item h="1" x="3"/>
        <item h="1" x="8"/>
        <item t="default"/>
      </items>
    </pivotField>
    <pivotField showAll="0"/>
    <pivotField showAll="0"/>
    <pivotField showAll="0"/>
    <pivotField showAll="0">
      <items count="58">
        <item x="50"/>
        <item x="46"/>
        <item x="35"/>
        <item x="47"/>
        <item x="36"/>
        <item x="0"/>
        <item x="1"/>
        <item x="2"/>
        <item x="3"/>
        <item x="4"/>
        <item x="5"/>
        <item x="6"/>
        <item x="7"/>
        <item x="8"/>
        <item x="9"/>
        <item x="48"/>
        <item x="49"/>
        <item x="37"/>
        <item x="38"/>
        <item x="39"/>
        <item x="40"/>
        <item x="41"/>
        <item x="42"/>
        <item x="53"/>
        <item x="43"/>
        <item x="45"/>
        <item x="44"/>
        <item x="14"/>
        <item x="29"/>
        <item x="17"/>
        <item x="13"/>
        <item x="18"/>
        <item x="19"/>
        <item x="20"/>
        <item x="21"/>
        <item x="30"/>
        <item x="22"/>
        <item x="23"/>
        <item x="24"/>
        <item x="25"/>
        <item x="26"/>
        <item x="27"/>
        <item x="31"/>
        <item x="32"/>
        <item x="33"/>
        <item x="54"/>
        <item x="28"/>
        <item x="34"/>
        <item x="16"/>
        <item x="51"/>
        <item x="10"/>
        <item x="55"/>
        <item x="11"/>
        <item x="12"/>
        <item x="15"/>
        <item x="56"/>
        <item x="52"/>
        <item t="default"/>
      </items>
    </pivotField>
    <pivotField dataField="1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"/>
    <field x="3"/>
  </rowFields>
  <rowItems count="29">
    <i>
      <x v="1"/>
    </i>
    <i r="1">
      <x/>
    </i>
    <i r="1">
      <x v="156"/>
    </i>
    <i r="1">
      <x v="157"/>
    </i>
    <i r="1">
      <x v="158"/>
    </i>
    <i>
      <x v="3"/>
    </i>
    <i r="1">
      <x v="1"/>
    </i>
    <i r="1">
      <x v="145"/>
    </i>
    <i r="1">
      <x v="146"/>
    </i>
    <i>
      <x v="4"/>
    </i>
    <i r="1">
      <x v="152"/>
    </i>
    <i>
      <x v="6"/>
    </i>
    <i r="1">
      <x v="153"/>
    </i>
    <i>
      <x v="7"/>
    </i>
    <i r="1">
      <x v="148"/>
    </i>
    <i>
      <x v="10"/>
    </i>
    <i r="1">
      <x v="154"/>
    </i>
    <i>
      <x v="15"/>
    </i>
    <i r="1">
      <x v="150"/>
    </i>
    <i>
      <x v="18"/>
    </i>
    <i r="1">
      <x v="155"/>
    </i>
    <i>
      <x v="21"/>
    </i>
    <i r="1">
      <x v="149"/>
    </i>
    <i r="1">
      <x v="151"/>
    </i>
    <i>
      <x v="24"/>
    </i>
    <i r="1">
      <x v="2"/>
    </i>
    <i>
      <x v="25"/>
    </i>
    <i r="1">
      <x v="147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494D2-9948-4FE1-851F-D556C89B4E89}" name="TablaDinámica3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D26" firstHeaderRow="0" firstDataRow="1" firstDataCol="1" rowPageCount="3" colPageCount="1"/>
  <pivotFields count="21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axis="axisRow" showAll="0">
      <items count="167">
        <item x="20"/>
        <item x="24"/>
        <item x="163"/>
        <item x="147"/>
        <item x="143"/>
        <item x="144"/>
        <item x="145"/>
        <item x="148"/>
        <item x="118"/>
        <item x="119"/>
        <item x="120"/>
        <item x="1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63"/>
        <item x="64"/>
        <item x="65"/>
        <item x="66"/>
        <item x="67"/>
        <item x="68"/>
        <item x="69"/>
        <item x="70"/>
        <item x="73"/>
        <item x="74"/>
        <item x="71"/>
        <item x="72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52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59"/>
        <item x="153"/>
        <item x="113"/>
        <item x="114"/>
        <item x="160"/>
        <item x="161"/>
        <item x="115"/>
        <item x="116"/>
        <item x="141"/>
        <item x="162"/>
        <item x="154"/>
        <item x="27"/>
        <item x="28"/>
        <item x="21"/>
        <item x="2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3"/>
        <item x="25"/>
        <item x="164"/>
        <item x="62"/>
        <item x="155"/>
        <item x="146"/>
        <item x="156"/>
        <item x="26"/>
        <item x="61"/>
        <item x="117"/>
        <item x="149"/>
        <item x="17"/>
        <item x="19"/>
        <item x="18"/>
        <item x="142"/>
        <item x="151"/>
        <item x="140"/>
        <item x="150"/>
        <item x="157"/>
        <item x="158"/>
        <item x="165"/>
        <item t="default"/>
      </items>
    </pivotField>
    <pivotField axis="axisPage" showAll="0">
      <items count="8">
        <item x="3"/>
        <item x="2"/>
        <item x="0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0">
        <item h="1" x="2"/>
        <item h="1" x="4"/>
        <item x="1"/>
        <item h="1" x="7"/>
        <item h="1" x="0"/>
        <item h="1" x="5"/>
        <item h="1" x="6"/>
        <item h="1" x="3"/>
        <item h="1" x="8"/>
        <item t="default"/>
      </items>
    </pivotField>
    <pivotField showAll="0"/>
    <pivotField dataField="1" showAll="0"/>
    <pivotField showAll="0"/>
    <pivotField showAll="0">
      <items count="58">
        <item x="50"/>
        <item x="46"/>
        <item x="35"/>
        <item x="47"/>
        <item x="36"/>
        <item x="0"/>
        <item x="1"/>
        <item x="2"/>
        <item x="3"/>
        <item x="4"/>
        <item x="5"/>
        <item x="6"/>
        <item x="7"/>
        <item x="8"/>
        <item x="9"/>
        <item x="48"/>
        <item x="49"/>
        <item x="37"/>
        <item x="38"/>
        <item x="39"/>
        <item x="40"/>
        <item x="41"/>
        <item x="42"/>
        <item x="53"/>
        <item x="43"/>
        <item x="45"/>
        <item x="44"/>
        <item x="14"/>
        <item x="29"/>
        <item x="17"/>
        <item x="13"/>
        <item x="18"/>
        <item x="19"/>
        <item x="20"/>
        <item x="21"/>
        <item x="30"/>
        <item x="22"/>
        <item x="23"/>
        <item x="24"/>
        <item x="25"/>
        <item x="26"/>
        <item x="27"/>
        <item x="31"/>
        <item x="32"/>
        <item x="33"/>
        <item x="54"/>
        <item x="28"/>
        <item x="34"/>
        <item x="16"/>
        <item x="51"/>
        <item x="10"/>
        <item x="55"/>
        <item x="11"/>
        <item x="12"/>
        <item x="15"/>
        <item x="56"/>
        <item x="52"/>
        <item t="default"/>
      </items>
    </pivotField>
    <pivotField dataField="1" showAll="0"/>
    <pivotField dataField="1" showAll="0"/>
    <pivotField axis="axisPage" multipleItemSelectionAllowed="1" showAll="0">
      <items count="6">
        <item x="2"/>
        <item h="1" x="3"/>
        <item h="1" x="1"/>
        <item h="1" x="4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"/>
    <field x="3"/>
  </rowFields>
  <rowItems count="21">
    <i>
      <x v="1"/>
    </i>
    <i r="1">
      <x/>
    </i>
    <i r="1">
      <x v="157"/>
    </i>
    <i r="1">
      <x v="158"/>
    </i>
    <i>
      <x v="3"/>
    </i>
    <i r="1">
      <x v="1"/>
    </i>
    <i r="1">
      <x v="146"/>
    </i>
    <i>
      <x v="4"/>
    </i>
    <i r="1">
      <x v="152"/>
    </i>
    <i>
      <x v="7"/>
    </i>
    <i r="1">
      <x v="148"/>
    </i>
    <i>
      <x v="15"/>
    </i>
    <i r="1">
      <x v="150"/>
    </i>
    <i>
      <x v="21"/>
    </i>
    <i r="1">
      <x v="149"/>
    </i>
    <i r="1">
      <x v="151"/>
    </i>
    <i>
      <x v="24"/>
    </i>
    <i r="1">
      <x v="2"/>
    </i>
    <i>
      <x v="25"/>
    </i>
    <i r="1">
      <x v="14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0" baseItem="0"/>
    <dataField name="Suma de DÍAS ATRASADOS" fld="16" baseField="0" baseItem="0"/>
    <dataField name="Suma de USD HOMOL" fld="15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8D647-E802-4D9F-91BC-1EF7629A405C}" name="TablaDinámica6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5:I28" firstHeaderRow="0" firstDataRow="1" firstDataCol="1" rowPageCount="3" colPageCount="1"/>
  <pivotFields count="21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axis="axisRow" showAll="0">
      <items count="167">
        <item x="20"/>
        <item x="24"/>
        <item x="163"/>
        <item x="147"/>
        <item x="143"/>
        <item x="144"/>
        <item x="145"/>
        <item x="148"/>
        <item x="118"/>
        <item x="119"/>
        <item x="120"/>
        <item x="1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63"/>
        <item x="64"/>
        <item x="65"/>
        <item x="66"/>
        <item x="67"/>
        <item x="68"/>
        <item x="69"/>
        <item x="70"/>
        <item x="73"/>
        <item x="74"/>
        <item x="71"/>
        <item x="72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52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59"/>
        <item x="153"/>
        <item x="113"/>
        <item x="114"/>
        <item x="160"/>
        <item x="161"/>
        <item x="115"/>
        <item x="116"/>
        <item x="141"/>
        <item x="162"/>
        <item x="154"/>
        <item x="27"/>
        <item x="28"/>
        <item x="21"/>
        <item x="2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3"/>
        <item x="25"/>
        <item x="164"/>
        <item x="62"/>
        <item x="155"/>
        <item x="146"/>
        <item x="156"/>
        <item x="26"/>
        <item x="61"/>
        <item x="117"/>
        <item x="149"/>
        <item x="17"/>
        <item x="19"/>
        <item x="18"/>
        <item x="142"/>
        <item x="151"/>
        <item x="140"/>
        <item x="150"/>
        <item x="157"/>
        <item x="158"/>
        <item x="165"/>
        <item t="default"/>
      </items>
    </pivotField>
    <pivotField axis="axisPage" showAll="0">
      <items count="8">
        <item x="3"/>
        <item x="2"/>
        <item x="0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0">
        <item h="1" x="2"/>
        <item h="1" x="4"/>
        <item x="1"/>
        <item h="1" x="7"/>
        <item h="1" x="0"/>
        <item h="1" x="5"/>
        <item h="1" x="6"/>
        <item h="1" x="3"/>
        <item h="1" x="8"/>
        <item t="default"/>
      </items>
    </pivotField>
    <pivotField showAll="0"/>
    <pivotField dataField="1" showAll="0"/>
    <pivotField showAll="0"/>
    <pivotField showAll="0">
      <items count="58">
        <item x="50"/>
        <item x="46"/>
        <item x="35"/>
        <item x="47"/>
        <item x="36"/>
        <item x="0"/>
        <item x="1"/>
        <item x="2"/>
        <item x="3"/>
        <item x="4"/>
        <item x="5"/>
        <item x="6"/>
        <item x="7"/>
        <item x="8"/>
        <item x="9"/>
        <item x="48"/>
        <item x="49"/>
        <item x="37"/>
        <item x="38"/>
        <item x="39"/>
        <item x="40"/>
        <item x="41"/>
        <item x="42"/>
        <item x="53"/>
        <item x="43"/>
        <item x="45"/>
        <item x="44"/>
        <item x="14"/>
        <item x="29"/>
        <item x="17"/>
        <item x="13"/>
        <item x="18"/>
        <item x="19"/>
        <item x="20"/>
        <item x="21"/>
        <item x="30"/>
        <item x="22"/>
        <item x="23"/>
        <item x="24"/>
        <item x="25"/>
        <item x="26"/>
        <item x="27"/>
        <item x="31"/>
        <item x="32"/>
        <item x="33"/>
        <item x="54"/>
        <item x="28"/>
        <item x="34"/>
        <item x="16"/>
        <item x="51"/>
        <item x="10"/>
        <item x="55"/>
        <item x="11"/>
        <item x="12"/>
        <item x="15"/>
        <item x="56"/>
        <item x="52"/>
        <item t="default"/>
      </items>
    </pivotField>
    <pivotField dataField="1" showAll="0"/>
    <pivotField dataField="1" showAll="0"/>
    <pivotField axis="axisPage" multipleItemSelectionAllowed="1" showAll="0">
      <items count="6">
        <item h="1" x="2"/>
        <item h="1" x="3"/>
        <item h="1" x="1"/>
        <item x="4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"/>
    <field x="3"/>
  </rowFields>
  <rowItems count="3">
    <i>
      <x v="6"/>
    </i>
    <i r="1">
      <x v="15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0" baseItem="0"/>
    <dataField name="Suma de DÍAS ATRASADOS" fld="16" baseField="0" baseItem="0"/>
    <dataField name="Suma de USD HOMOL" fld="15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BD052-538B-47D6-AD5E-7E5CFC829BE7}" name="TablaDinámica5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4:I19" firstHeaderRow="0" firstDataRow="1" firstDataCol="1" rowPageCount="3" colPageCount="1"/>
  <pivotFields count="21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axis="axisRow" showAll="0">
      <items count="167">
        <item x="20"/>
        <item x="24"/>
        <item x="163"/>
        <item x="147"/>
        <item x="143"/>
        <item x="144"/>
        <item x="145"/>
        <item x="148"/>
        <item x="118"/>
        <item x="119"/>
        <item x="120"/>
        <item x="1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63"/>
        <item x="64"/>
        <item x="65"/>
        <item x="66"/>
        <item x="67"/>
        <item x="68"/>
        <item x="69"/>
        <item x="70"/>
        <item x="73"/>
        <item x="74"/>
        <item x="71"/>
        <item x="72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52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59"/>
        <item x="153"/>
        <item x="113"/>
        <item x="114"/>
        <item x="160"/>
        <item x="161"/>
        <item x="115"/>
        <item x="116"/>
        <item x="141"/>
        <item x="162"/>
        <item x="154"/>
        <item x="27"/>
        <item x="28"/>
        <item x="21"/>
        <item x="2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3"/>
        <item x="25"/>
        <item x="164"/>
        <item x="62"/>
        <item x="155"/>
        <item x="146"/>
        <item x="156"/>
        <item x="26"/>
        <item x="61"/>
        <item x="117"/>
        <item x="149"/>
        <item x="17"/>
        <item x="19"/>
        <item x="18"/>
        <item x="142"/>
        <item x="151"/>
        <item x="140"/>
        <item x="150"/>
        <item x="157"/>
        <item x="158"/>
        <item x="165"/>
        <item t="default"/>
      </items>
    </pivotField>
    <pivotField axis="axisPage" showAll="0">
      <items count="8">
        <item x="3"/>
        <item x="2"/>
        <item x="0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0">
        <item h="1" x="2"/>
        <item h="1" x="4"/>
        <item x="1"/>
        <item h="1" x="7"/>
        <item h="1" x="0"/>
        <item h="1" x="5"/>
        <item h="1" x="6"/>
        <item h="1" x="3"/>
        <item h="1" x="8"/>
        <item t="default"/>
      </items>
    </pivotField>
    <pivotField showAll="0"/>
    <pivotField dataField="1" showAll="0"/>
    <pivotField showAll="0"/>
    <pivotField showAll="0">
      <items count="58">
        <item x="50"/>
        <item x="46"/>
        <item x="35"/>
        <item x="47"/>
        <item x="36"/>
        <item x="0"/>
        <item x="1"/>
        <item x="2"/>
        <item x="3"/>
        <item x="4"/>
        <item x="5"/>
        <item x="6"/>
        <item x="7"/>
        <item x="8"/>
        <item x="9"/>
        <item x="48"/>
        <item x="49"/>
        <item x="37"/>
        <item x="38"/>
        <item x="39"/>
        <item x="40"/>
        <item x="41"/>
        <item x="42"/>
        <item x="53"/>
        <item x="43"/>
        <item x="45"/>
        <item x="44"/>
        <item x="14"/>
        <item x="29"/>
        <item x="17"/>
        <item x="13"/>
        <item x="18"/>
        <item x="19"/>
        <item x="20"/>
        <item x="21"/>
        <item x="30"/>
        <item x="22"/>
        <item x="23"/>
        <item x="24"/>
        <item x="25"/>
        <item x="26"/>
        <item x="27"/>
        <item x="31"/>
        <item x="32"/>
        <item x="33"/>
        <item x="54"/>
        <item x="28"/>
        <item x="34"/>
        <item x="16"/>
        <item x="51"/>
        <item x="10"/>
        <item x="55"/>
        <item x="11"/>
        <item x="12"/>
        <item x="15"/>
        <item x="56"/>
        <item x="52"/>
        <item t="default"/>
      </items>
    </pivotField>
    <pivotField dataField="1" showAll="0"/>
    <pivotField dataField="1" showAll="0"/>
    <pivotField axis="axisPage" multipleItemSelectionAllowed="1" showAll="0">
      <items count="6">
        <item h="1" x="2"/>
        <item h="1" x="3"/>
        <item x="1"/>
        <item h="1" x="4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"/>
    <field x="3"/>
  </rowFields>
  <rowItems count="5">
    <i>
      <x v="1"/>
    </i>
    <i r="1">
      <x v="156"/>
    </i>
    <i>
      <x v="18"/>
    </i>
    <i r="1">
      <x v="15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0" baseItem="0"/>
    <dataField name="Suma de DÍAS ATRASADOS" fld="16" baseField="0" baseItem="0"/>
    <dataField name="Suma de USD HOMOL" fld="15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F35D0-0643-4E51-A40F-9E8183139243}" name="TablaDinámica4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I8" firstHeaderRow="0" firstDataRow="1" firstDataCol="1" rowPageCount="3" colPageCount="1"/>
  <pivotFields count="21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axis="axisRow" showAll="0">
      <items count="167">
        <item x="20"/>
        <item x="24"/>
        <item x="163"/>
        <item x="147"/>
        <item x="143"/>
        <item x="144"/>
        <item x="145"/>
        <item x="148"/>
        <item x="118"/>
        <item x="119"/>
        <item x="120"/>
        <item x="1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63"/>
        <item x="64"/>
        <item x="65"/>
        <item x="66"/>
        <item x="67"/>
        <item x="68"/>
        <item x="69"/>
        <item x="70"/>
        <item x="73"/>
        <item x="74"/>
        <item x="71"/>
        <item x="72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52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59"/>
        <item x="153"/>
        <item x="113"/>
        <item x="114"/>
        <item x="160"/>
        <item x="161"/>
        <item x="115"/>
        <item x="116"/>
        <item x="141"/>
        <item x="162"/>
        <item x="154"/>
        <item x="27"/>
        <item x="28"/>
        <item x="21"/>
        <item x="2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3"/>
        <item x="25"/>
        <item x="164"/>
        <item x="62"/>
        <item x="155"/>
        <item x="146"/>
        <item x="156"/>
        <item x="26"/>
        <item x="61"/>
        <item x="117"/>
        <item x="149"/>
        <item x="17"/>
        <item x="19"/>
        <item x="18"/>
        <item x="142"/>
        <item x="151"/>
        <item x="140"/>
        <item x="150"/>
        <item x="157"/>
        <item x="158"/>
        <item x="165"/>
        <item t="default"/>
      </items>
    </pivotField>
    <pivotField axis="axisPage" showAll="0">
      <items count="8">
        <item x="3"/>
        <item x="2"/>
        <item x="0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0">
        <item h="1" x="2"/>
        <item h="1" x="4"/>
        <item x="1"/>
        <item h="1" x="7"/>
        <item h="1" x="0"/>
        <item h="1" x="5"/>
        <item h="1" x="6"/>
        <item h="1" x="3"/>
        <item h="1" x="8"/>
        <item t="default"/>
      </items>
    </pivotField>
    <pivotField showAll="0"/>
    <pivotField dataField="1" showAll="0"/>
    <pivotField showAll="0"/>
    <pivotField showAll="0">
      <items count="58">
        <item x="50"/>
        <item x="46"/>
        <item x="35"/>
        <item x="47"/>
        <item x="36"/>
        <item x="0"/>
        <item x="1"/>
        <item x="2"/>
        <item x="3"/>
        <item x="4"/>
        <item x="5"/>
        <item x="6"/>
        <item x="7"/>
        <item x="8"/>
        <item x="9"/>
        <item x="48"/>
        <item x="49"/>
        <item x="37"/>
        <item x="38"/>
        <item x="39"/>
        <item x="40"/>
        <item x="41"/>
        <item x="42"/>
        <item x="53"/>
        <item x="43"/>
        <item x="45"/>
        <item x="44"/>
        <item x="14"/>
        <item x="29"/>
        <item x="17"/>
        <item x="13"/>
        <item x="18"/>
        <item x="19"/>
        <item x="20"/>
        <item x="21"/>
        <item x="30"/>
        <item x="22"/>
        <item x="23"/>
        <item x="24"/>
        <item x="25"/>
        <item x="26"/>
        <item x="27"/>
        <item x="31"/>
        <item x="32"/>
        <item x="33"/>
        <item x="54"/>
        <item x="28"/>
        <item x="34"/>
        <item x="16"/>
        <item x="51"/>
        <item x="10"/>
        <item x="55"/>
        <item x="11"/>
        <item x="12"/>
        <item x="15"/>
        <item x="56"/>
        <item x="52"/>
        <item t="default"/>
      </items>
    </pivotField>
    <pivotField dataField="1" showAll="0"/>
    <pivotField dataField="1" showAll="0"/>
    <pivotField axis="axisPage" multipleItemSelectionAllowed="1" showAll="0">
      <items count="6">
        <item h="1" x="2"/>
        <item x="3"/>
        <item h="1" x="1"/>
        <item h="1" x="4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"/>
    <field x="3"/>
  </rowFields>
  <rowItems count="3">
    <i>
      <x v="3"/>
    </i>
    <i r="1">
      <x v="14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0" baseItem="0"/>
    <dataField name="Suma de DÍAS ATRASADOS" fld="16" baseField="0" baseItem="0"/>
    <dataField name="Suma de USD HOMOL" fld="15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A012-DD0A-4835-8739-2B4152E804E9}">
  <dimension ref="A2:J27"/>
  <sheetViews>
    <sheetView showGridLines="0" tabSelected="1" zoomScale="90" zoomScaleNormal="90" workbookViewId="0">
      <selection activeCell="C5" sqref="C5:J5"/>
      <pivotSelection pane="bottomRight" activeRow="4" activeCol="2" previousRow="4" previousCol="2" click="1" r:id="rId1">
        <pivotArea type="topRight" dataOnly="0" labelOnly="1" outline="0" fieldPosition="0"/>
      </pivotSelection>
    </sheetView>
  </sheetViews>
  <sheetFormatPr baseColWidth="10" defaultRowHeight="14.4" x14ac:dyDescent="0.3"/>
  <cols>
    <col min="1" max="1" width="36.5546875" bestFit="1" customWidth="1"/>
    <col min="2" max="2" width="21.21875" bestFit="1" customWidth="1"/>
    <col min="3" max="3" width="13" bestFit="1" customWidth="1"/>
    <col min="4" max="4" width="11.44140625" bestFit="1" customWidth="1"/>
    <col min="5" max="9" width="10.44140625" bestFit="1" customWidth="1"/>
    <col min="10" max="10" width="11.5546875" bestFit="1" customWidth="1"/>
    <col min="11" max="11" width="11.6640625" bestFit="1" customWidth="1"/>
    <col min="12" max="27" width="12" bestFit="1" customWidth="1"/>
    <col min="28" max="28" width="11" bestFit="1" customWidth="1"/>
    <col min="29" max="29" width="10.33203125" bestFit="1" customWidth="1"/>
    <col min="30" max="30" width="9.33203125" bestFit="1" customWidth="1"/>
    <col min="31" max="37" width="12" bestFit="1" customWidth="1"/>
    <col min="38" max="38" width="12.6640625" bestFit="1" customWidth="1"/>
    <col min="39" max="45" width="12" bestFit="1" customWidth="1"/>
    <col min="46" max="46" width="11" bestFit="1" customWidth="1"/>
    <col min="47" max="49" width="12" bestFit="1" customWidth="1"/>
    <col min="50" max="50" width="10.33203125" bestFit="1" customWidth="1"/>
    <col min="51" max="53" width="12" bestFit="1" customWidth="1"/>
    <col min="54" max="58" width="10.33203125" bestFit="1" customWidth="1"/>
    <col min="59" max="59" width="12" bestFit="1" customWidth="1"/>
  </cols>
  <sheetData>
    <row r="2" spans="1:10" x14ac:dyDescent="0.3">
      <c r="A2" s="8" t="s">
        <v>4</v>
      </c>
      <c r="B2" t="s">
        <v>568</v>
      </c>
    </row>
    <row r="3" spans="1:10" x14ac:dyDescent="0.3">
      <c r="A3" s="8" t="s">
        <v>545</v>
      </c>
      <c r="B3" t="s">
        <v>553</v>
      </c>
    </row>
    <row r="5" spans="1:10" x14ac:dyDescent="0.3">
      <c r="A5" s="8" t="s">
        <v>569</v>
      </c>
      <c r="B5" s="8" t="s">
        <v>554</v>
      </c>
    </row>
    <row r="6" spans="1:10" x14ac:dyDescent="0.3">
      <c r="A6" s="8" t="s">
        <v>555</v>
      </c>
      <c r="B6" s="18">
        <v>46265</v>
      </c>
      <c r="C6" s="18">
        <v>46280</v>
      </c>
      <c r="D6" s="18">
        <v>46295</v>
      </c>
      <c r="E6" s="18">
        <v>46297</v>
      </c>
      <c r="F6" s="18">
        <v>46309</v>
      </c>
      <c r="G6" s="18">
        <v>46310</v>
      </c>
      <c r="H6" s="18">
        <v>46325</v>
      </c>
      <c r="I6" s="18">
        <v>46341</v>
      </c>
      <c r="J6" t="s">
        <v>556</v>
      </c>
    </row>
    <row r="7" spans="1:10" x14ac:dyDescent="0.3">
      <c r="A7" s="9" t="s">
        <v>66</v>
      </c>
      <c r="B7" s="23"/>
      <c r="C7" s="23"/>
      <c r="D7" s="23"/>
      <c r="E7" s="23">
        <v>16785</v>
      </c>
      <c r="F7" s="23">
        <v>83850</v>
      </c>
      <c r="G7" s="23">
        <v>41064</v>
      </c>
      <c r="H7" s="23"/>
      <c r="I7" s="23"/>
      <c r="J7" s="23">
        <v>141699</v>
      </c>
    </row>
    <row r="8" spans="1:10" x14ac:dyDescent="0.3">
      <c r="A8" s="9" t="s">
        <v>90</v>
      </c>
      <c r="B8" s="23">
        <v>-31032</v>
      </c>
      <c r="C8" s="23"/>
      <c r="D8" s="23">
        <v>-13310</v>
      </c>
      <c r="E8" s="23"/>
      <c r="F8" s="23"/>
      <c r="G8" s="23"/>
      <c r="H8" s="23">
        <v>89775</v>
      </c>
      <c r="I8" s="23"/>
      <c r="J8" s="23">
        <v>45433</v>
      </c>
    </row>
    <row r="9" spans="1:10" x14ac:dyDescent="0.3">
      <c r="A9" s="9" t="s">
        <v>102</v>
      </c>
      <c r="B9" s="23"/>
      <c r="C9" s="23"/>
      <c r="D9" s="23">
        <v>-9110</v>
      </c>
      <c r="E9" s="23"/>
      <c r="F9" s="23"/>
      <c r="G9" s="23"/>
      <c r="H9" s="23"/>
      <c r="I9" s="23"/>
      <c r="J9" s="23">
        <v>-9110</v>
      </c>
    </row>
    <row r="10" spans="1:10" x14ac:dyDescent="0.3">
      <c r="A10" s="9" t="s">
        <v>209</v>
      </c>
      <c r="B10" s="23"/>
      <c r="C10" s="23"/>
      <c r="D10" s="23"/>
      <c r="E10" s="23"/>
      <c r="F10" s="23"/>
      <c r="G10" s="23">
        <v>15163</v>
      </c>
      <c r="H10" s="23"/>
      <c r="I10" s="23"/>
      <c r="J10" s="23">
        <v>15163</v>
      </c>
    </row>
    <row r="11" spans="1:10" x14ac:dyDescent="0.3">
      <c r="A11" s="9" t="s">
        <v>213</v>
      </c>
      <c r="B11" s="23"/>
      <c r="C11" s="23">
        <v>-13448</v>
      </c>
      <c r="D11" s="23"/>
      <c r="E11" s="23"/>
      <c r="F11" s="23"/>
      <c r="G11" s="23"/>
      <c r="H11" s="23"/>
      <c r="I11" s="23"/>
      <c r="J11" s="23">
        <v>-13448</v>
      </c>
    </row>
    <row r="12" spans="1:10" x14ac:dyDescent="0.3">
      <c r="A12" s="9" t="s">
        <v>381</v>
      </c>
      <c r="B12" s="23"/>
      <c r="C12" s="23"/>
      <c r="D12" s="23"/>
      <c r="E12" s="23"/>
      <c r="F12" s="23"/>
      <c r="G12" s="23">
        <v>921.06</v>
      </c>
      <c r="H12" s="23"/>
      <c r="I12" s="23"/>
      <c r="J12" s="23">
        <v>921.06</v>
      </c>
    </row>
    <row r="13" spans="1:10" x14ac:dyDescent="0.3">
      <c r="A13" s="9" t="s">
        <v>473</v>
      </c>
      <c r="B13" s="23"/>
      <c r="C13" s="23"/>
      <c r="D13" s="23">
        <v>-23847</v>
      </c>
      <c r="E13" s="23"/>
      <c r="F13" s="23"/>
      <c r="G13" s="23"/>
      <c r="H13" s="23"/>
      <c r="I13" s="23"/>
      <c r="J13" s="23">
        <v>-23847</v>
      </c>
    </row>
    <row r="14" spans="1:10" x14ac:dyDescent="0.3">
      <c r="A14" s="9" t="s">
        <v>485</v>
      </c>
      <c r="B14" s="23"/>
      <c r="C14" s="23"/>
      <c r="D14" s="23"/>
      <c r="E14" s="23">
        <v>64640</v>
      </c>
      <c r="F14" s="23"/>
      <c r="G14" s="23"/>
      <c r="H14" s="23"/>
      <c r="I14" s="23"/>
      <c r="J14" s="23">
        <v>64640</v>
      </c>
    </row>
    <row r="15" spans="1:10" x14ac:dyDescent="0.3">
      <c r="A15" s="9" t="s">
        <v>510</v>
      </c>
      <c r="B15" s="23"/>
      <c r="C15" s="23"/>
      <c r="D15" s="23">
        <v>-23565</v>
      </c>
      <c r="E15" s="23"/>
      <c r="F15" s="23"/>
      <c r="G15" s="23"/>
      <c r="H15" s="23"/>
      <c r="I15" s="23"/>
      <c r="J15" s="23">
        <v>-23565</v>
      </c>
    </row>
    <row r="16" spans="1:10" x14ac:dyDescent="0.3">
      <c r="A16" s="9" t="s">
        <v>537</v>
      </c>
      <c r="B16" s="23"/>
      <c r="C16" s="23"/>
      <c r="D16" s="23"/>
      <c r="E16" s="23"/>
      <c r="F16" s="23"/>
      <c r="G16" s="23"/>
      <c r="H16" s="23"/>
      <c r="I16" s="23">
        <v>30825</v>
      </c>
      <c r="J16" s="23">
        <v>30825</v>
      </c>
    </row>
    <row r="17" spans="1:10" x14ac:dyDescent="0.3">
      <c r="A17" s="9" t="s">
        <v>542</v>
      </c>
      <c r="B17" s="23"/>
      <c r="C17" s="23"/>
      <c r="D17" s="23">
        <v>-15245</v>
      </c>
      <c r="E17" s="23"/>
      <c r="F17" s="23"/>
      <c r="G17" s="23"/>
      <c r="H17" s="23"/>
      <c r="I17" s="23"/>
      <c r="J17" s="23">
        <v>-15245</v>
      </c>
    </row>
    <row r="18" spans="1:10" x14ac:dyDescent="0.3">
      <c r="A18" s="9" t="s">
        <v>556</v>
      </c>
      <c r="B18" s="23">
        <v>-31032</v>
      </c>
      <c r="C18" s="23">
        <v>-13448</v>
      </c>
      <c r="D18" s="23">
        <v>-85077</v>
      </c>
      <c r="E18" s="23">
        <v>81425</v>
      </c>
      <c r="F18" s="23">
        <v>83850</v>
      </c>
      <c r="G18" s="23">
        <v>57148.06</v>
      </c>
      <c r="H18" s="23">
        <v>89775</v>
      </c>
      <c r="I18" s="23">
        <v>30825</v>
      </c>
      <c r="J18" s="23">
        <v>213466.06</v>
      </c>
    </row>
    <row r="21" spans="1:10" x14ac:dyDescent="0.3">
      <c r="A21" s="25" t="s">
        <v>579</v>
      </c>
    </row>
    <row r="22" spans="1:10" x14ac:dyDescent="0.3">
      <c r="B22" s="24" t="s">
        <v>578</v>
      </c>
      <c r="C22" s="24" t="s">
        <v>69</v>
      </c>
      <c r="D22" s="24" t="s">
        <v>581</v>
      </c>
    </row>
    <row r="23" spans="1:10" x14ac:dyDescent="0.3">
      <c r="A23" t="s">
        <v>574</v>
      </c>
      <c r="B23" s="22">
        <f>5500000</f>
        <v>5500000</v>
      </c>
      <c r="C23" s="23">
        <f>B23/3.35</f>
        <v>1641791.0447761193</v>
      </c>
      <c r="D23" t="s">
        <v>582</v>
      </c>
      <c r="E23" t="s">
        <v>573</v>
      </c>
    </row>
    <row r="24" spans="1:10" x14ac:dyDescent="0.3">
      <c r="A24" t="s">
        <v>575</v>
      </c>
      <c r="B24" s="22">
        <v>2000000</v>
      </c>
      <c r="C24" s="23">
        <f>B24/3.35</f>
        <v>597014.92537313432</v>
      </c>
      <c r="D24" t="s">
        <v>582</v>
      </c>
    </row>
    <row r="25" spans="1:10" x14ac:dyDescent="0.3">
      <c r="A25" t="s">
        <v>576</v>
      </c>
      <c r="B25" s="22">
        <v>2600000</v>
      </c>
      <c r="C25" s="23">
        <f>B25/3.35</f>
        <v>776119.40298507456</v>
      </c>
      <c r="D25" t="s">
        <v>582</v>
      </c>
    </row>
    <row r="26" spans="1:10" x14ac:dyDescent="0.3">
      <c r="A26" t="s">
        <v>577</v>
      </c>
      <c r="B26" s="22">
        <f>4920000</f>
        <v>4920000</v>
      </c>
      <c r="C26" s="23">
        <f>B26/3.35</f>
        <v>1468656.7164179103</v>
      </c>
      <c r="D26" t="s">
        <v>583</v>
      </c>
    </row>
    <row r="27" spans="1:10" x14ac:dyDescent="0.3">
      <c r="A27" t="s">
        <v>580</v>
      </c>
      <c r="B27" s="26">
        <f>SUM(B23:B26)</f>
        <v>15020000</v>
      </c>
      <c r="C27" s="26">
        <f>SUM(C23:C26)</f>
        <v>4483582.0895522386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FF20-ED18-4623-9D85-3E78D95DE7CE}">
  <dimension ref="A1:B34"/>
  <sheetViews>
    <sheetView workbookViewId="0">
      <selection activeCell="A11" sqref="A11"/>
    </sheetView>
  </sheetViews>
  <sheetFormatPr baseColWidth="10" defaultRowHeight="14.4" x14ac:dyDescent="0.3"/>
  <cols>
    <col min="1" max="1" width="38.77734375" bestFit="1" customWidth="1"/>
    <col min="2" max="2" width="18.88671875" bestFit="1" customWidth="1"/>
  </cols>
  <sheetData>
    <row r="1" spans="1:2" x14ac:dyDescent="0.3">
      <c r="A1" s="8" t="s">
        <v>5</v>
      </c>
      <c r="B1" t="s">
        <v>568</v>
      </c>
    </row>
    <row r="2" spans="1:2" x14ac:dyDescent="0.3">
      <c r="A2" s="8" t="s">
        <v>545</v>
      </c>
      <c r="B2" t="s">
        <v>553</v>
      </c>
    </row>
    <row r="3" spans="1:2" x14ac:dyDescent="0.3">
      <c r="A3" s="8" t="s">
        <v>4</v>
      </c>
      <c r="B3" t="s">
        <v>570</v>
      </c>
    </row>
    <row r="5" spans="1:2" x14ac:dyDescent="0.3">
      <c r="A5" s="8" t="s">
        <v>555</v>
      </c>
      <c r="B5" t="s">
        <v>569</v>
      </c>
    </row>
    <row r="6" spans="1:2" x14ac:dyDescent="0.3">
      <c r="A6" s="9" t="s">
        <v>66</v>
      </c>
      <c r="B6" s="21">
        <v>141699</v>
      </c>
    </row>
    <row r="7" spans="1:2" x14ac:dyDescent="0.3">
      <c r="A7" s="11" t="s">
        <v>78</v>
      </c>
      <c r="B7" s="21">
        <v>41064</v>
      </c>
    </row>
    <row r="8" spans="1:2" x14ac:dyDescent="0.3">
      <c r="A8" s="11" t="s">
        <v>68</v>
      </c>
      <c r="B8" s="21">
        <v>16785</v>
      </c>
    </row>
    <row r="9" spans="1:2" x14ac:dyDescent="0.3">
      <c r="A9" s="11" t="s">
        <v>75</v>
      </c>
      <c r="B9" s="21">
        <v>29010</v>
      </c>
    </row>
    <row r="10" spans="1:2" x14ac:dyDescent="0.3">
      <c r="A10" s="11" t="s">
        <v>72</v>
      </c>
      <c r="B10" s="21">
        <v>54840</v>
      </c>
    </row>
    <row r="11" spans="1:2" x14ac:dyDescent="0.3">
      <c r="A11" s="9" t="s">
        <v>90</v>
      </c>
      <c r="B11" s="21">
        <v>45433</v>
      </c>
    </row>
    <row r="12" spans="1:2" x14ac:dyDescent="0.3">
      <c r="A12" s="11" t="s">
        <v>97</v>
      </c>
      <c r="B12" s="21">
        <v>89775</v>
      </c>
    </row>
    <row r="13" spans="1:2" x14ac:dyDescent="0.3">
      <c r="A13" s="11" t="s">
        <v>94</v>
      </c>
      <c r="B13" s="21">
        <v>-31032</v>
      </c>
    </row>
    <row r="14" spans="1:2" x14ac:dyDescent="0.3">
      <c r="A14" s="11" t="s">
        <v>100</v>
      </c>
      <c r="B14" s="21">
        <v>-13310</v>
      </c>
    </row>
    <row r="15" spans="1:2" x14ac:dyDescent="0.3">
      <c r="A15" s="9" t="s">
        <v>102</v>
      </c>
      <c r="B15" s="21">
        <v>-9110</v>
      </c>
    </row>
    <row r="16" spans="1:2" x14ac:dyDescent="0.3">
      <c r="A16" s="11" t="s">
        <v>104</v>
      </c>
      <c r="B16" s="21">
        <v>-9110</v>
      </c>
    </row>
    <row r="17" spans="1:2" x14ac:dyDescent="0.3">
      <c r="A17" s="9" t="s">
        <v>209</v>
      </c>
      <c r="B17" s="21">
        <v>15163</v>
      </c>
    </row>
    <row r="18" spans="1:2" x14ac:dyDescent="0.3">
      <c r="A18" s="11" t="s">
        <v>211</v>
      </c>
      <c r="B18" s="21">
        <v>15163</v>
      </c>
    </row>
    <row r="19" spans="1:2" x14ac:dyDescent="0.3">
      <c r="A19" s="9" t="s">
        <v>213</v>
      </c>
      <c r="B19" s="21">
        <v>-13448</v>
      </c>
    </row>
    <row r="20" spans="1:2" x14ac:dyDescent="0.3">
      <c r="A20" s="11" t="s">
        <v>215</v>
      </c>
      <c r="B20" s="21">
        <v>-13448</v>
      </c>
    </row>
    <row r="21" spans="1:2" x14ac:dyDescent="0.3">
      <c r="A21" s="9" t="s">
        <v>381</v>
      </c>
      <c r="B21" s="21">
        <v>921.06</v>
      </c>
    </row>
    <row r="22" spans="1:2" x14ac:dyDescent="0.3">
      <c r="A22" s="11" t="s">
        <v>383</v>
      </c>
      <c r="B22" s="21">
        <v>921.06</v>
      </c>
    </row>
    <row r="23" spans="1:2" x14ac:dyDescent="0.3">
      <c r="A23" s="9" t="s">
        <v>473</v>
      </c>
      <c r="B23" s="21">
        <v>-23847</v>
      </c>
    </row>
    <row r="24" spans="1:2" x14ac:dyDescent="0.3">
      <c r="A24" s="11" t="s">
        <v>475</v>
      </c>
      <c r="B24" s="21">
        <v>-23847</v>
      </c>
    </row>
    <row r="25" spans="1:2" x14ac:dyDescent="0.3">
      <c r="A25" s="9" t="s">
        <v>485</v>
      </c>
      <c r="B25" s="21">
        <v>64640</v>
      </c>
    </row>
    <row r="26" spans="1:2" x14ac:dyDescent="0.3">
      <c r="A26" s="11" t="s">
        <v>487</v>
      </c>
      <c r="B26" s="21">
        <v>64640</v>
      </c>
    </row>
    <row r="27" spans="1:2" x14ac:dyDescent="0.3">
      <c r="A27" s="9" t="s">
        <v>510</v>
      </c>
      <c r="B27" s="21">
        <v>-23565</v>
      </c>
    </row>
    <row r="28" spans="1:2" x14ac:dyDescent="0.3">
      <c r="A28" s="11" t="s">
        <v>512</v>
      </c>
      <c r="B28" s="21">
        <v>-14455</v>
      </c>
    </row>
    <row r="29" spans="1:2" x14ac:dyDescent="0.3">
      <c r="A29" s="11" t="s">
        <v>515</v>
      </c>
      <c r="B29" s="21">
        <v>-9110</v>
      </c>
    </row>
    <row r="30" spans="1:2" x14ac:dyDescent="0.3">
      <c r="A30" s="9" t="s">
        <v>537</v>
      </c>
      <c r="B30" s="21">
        <v>30825</v>
      </c>
    </row>
    <row r="31" spans="1:2" x14ac:dyDescent="0.3">
      <c r="A31" s="11" t="s">
        <v>540</v>
      </c>
      <c r="B31" s="21">
        <v>30825</v>
      </c>
    </row>
    <row r="32" spans="1:2" x14ac:dyDescent="0.3">
      <c r="A32" s="9" t="s">
        <v>542</v>
      </c>
      <c r="B32" s="21">
        <v>-15245</v>
      </c>
    </row>
    <row r="33" spans="1:2" x14ac:dyDescent="0.3">
      <c r="A33" s="11" t="s">
        <v>544</v>
      </c>
      <c r="B33" s="21">
        <v>-15245</v>
      </c>
    </row>
    <row r="34" spans="1:2" x14ac:dyDescent="0.3">
      <c r="A34" s="9" t="s">
        <v>556</v>
      </c>
      <c r="B34" s="21">
        <v>213466.06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5118-F07D-403B-8653-DD0EB3A4F11A}">
  <dimension ref="A1:I28"/>
  <sheetViews>
    <sheetView workbookViewId="0">
      <selection activeCell="B12" sqref="B12"/>
    </sheetView>
  </sheetViews>
  <sheetFormatPr baseColWidth="10" defaultRowHeight="14.4" x14ac:dyDescent="0.3"/>
  <cols>
    <col min="1" max="1" width="31.4414062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18.5546875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1" spans="1:9" x14ac:dyDescent="0.3">
      <c r="A1" s="8" t="s">
        <v>4</v>
      </c>
      <c r="B1" t="s">
        <v>568</v>
      </c>
      <c r="F1" s="8" t="s">
        <v>4</v>
      </c>
      <c r="G1" t="s">
        <v>568</v>
      </c>
    </row>
    <row r="2" spans="1:9" x14ac:dyDescent="0.3">
      <c r="A2" s="8" t="s">
        <v>563</v>
      </c>
      <c r="B2" t="s">
        <v>564</v>
      </c>
      <c r="F2" s="8" t="s">
        <v>563</v>
      </c>
      <c r="G2" t="s">
        <v>565</v>
      </c>
    </row>
    <row r="3" spans="1:9" x14ac:dyDescent="0.3">
      <c r="A3" s="8" t="s">
        <v>545</v>
      </c>
      <c r="B3" t="s">
        <v>553</v>
      </c>
      <c r="F3" s="8" t="s">
        <v>545</v>
      </c>
      <c r="G3" t="s">
        <v>553</v>
      </c>
    </row>
    <row r="5" spans="1:9" x14ac:dyDescent="0.3">
      <c r="A5" s="8" t="s">
        <v>555</v>
      </c>
      <c r="B5" t="s">
        <v>572</v>
      </c>
      <c r="C5" t="s">
        <v>571</v>
      </c>
      <c r="D5" t="s">
        <v>569</v>
      </c>
      <c r="F5" s="8" t="s">
        <v>555</v>
      </c>
      <c r="G5" t="s">
        <v>572</v>
      </c>
      <c r="H5" t="s">
        <v>571</v>
      </c>
      <c r="I5" t="s">
        <v>569</v>
      </c>
    </row>
    <row r="6" spans="1:9" x14ac:dyDescent="0.3">
      <c r="A6" s="9" t="s">
        <v>66</v>
      </c>
      <c r="B6" s="21">
        <v>3</v>
      </c>
      <c r="C6" s="21">
        <v>131</v>
      </c>
      <c r="D6" s="21">
        <v>124914</v>
      </c>
      <c r="F6" s="9" t="s">
        <v>90</v>
      </c>
      <c r="G6" s="21">
        <v>1</v>
      </c>
      <c r="H6" s="21">
        <v>46</v>
      </c>
      <c r="I6" s="21">
        <v>-31032</v>
      </c>
    </row>
    <row r="7" spans="1:9" x14ac:dyDescent="0.3">
      <c r="A7" s="11" t="s">
        <v>78</v>
      </c>
      <c r="B7" s="21">
        <v>1</v>
      </c>
      <c r="C7" s="21">
        <v>43</v>
      </c>
      <c r="D7" s="21">
        <v>41064</v>
      </c>
      <c r="F7" s="11" t="s">
        <v>94</v>
      </c>
      <c r="G7" s="21">
        <v>1</v>
      </c>
      <c r="H7" s="21">
        <v>46</v>
      </c>
      <c r="I7" s="21">
        <v>-31032</v>
      </c>
    </row>
    <row r="8" spans="1:9" x14ac:dyDescent="0.3">
      <c r="A8" s="11" t="s">
        <v>75</v>
      </c>
      <c r="B8" s="21">
        <v>1</v>
      </c>
      <c r="C8" s="21">
        <v>44</v>
      </c>
      <c r="D8" s="21">
        <v>29010</v>
      </c>
      <c r="F8" s="9" t="s">
        <v>556</v>
      </c>
      <c r="G8" s="21">
        <v>1</v>
      </c>
      <c r="H8" s="21">
        <v>46</v>
      </c>
      <c r="I8" s="21">
        <v>-31032</v>
      </c>
    </row>
    <row r="9" spans="1:9" x14ac:dyDescent="0.3">
      <c r="A9" s="11" t="s">
        <v>72</v>
      </c>
      <c r="B9" s="21">
        <v>1</v>
      </c>
      <c r="C9" s="21">
        <v>44</v>
      </c>
      <c r="D9" s="21">
        <v>54840</v>
      </c>
    </row>
    <row r="10" spans="1:9" x14ac:dyDescent="0.3">
      <c r="A10" s="9" t="s">
        <v>90</v>
      </c>
      <c r="B10" s="21">
        <v>2</v>
      </c>
      <c r="C10" s="21">
        <v>48</v>
      </c>
      <c r="D10" s="21">
        <v>76465</v>
      </c>
      <c r="F10" s="8" t="s">
        <v>4</v>
      </c>
      <c r="G10" t="s">
        <v>568</v>
      </c>
    </row>
    <row r="11" spans="1:9" x14ac:dyDescent="0.3">
      <c r="A11" s="11" t="s">
        <v>97</v>
      </c>
      <c r="B11" s="21">
        <v>1</v>
      </c>
      <c r="C11" s="21">
        <v>28</v>
      </c>
      <c r="D11" s="21">
        <v>89775</v>
      </c>
      <c r="F11" s="8" t="s">
        <v>563</v>
      </c>
      <c r="G11" t="s">
        <v>566</v>
      </c>
    </row>
    <row r="12" spans="1:9" x14ac:dyDescent="0.3">
      <c r="A12" s="11" t="s">
        <v>100</v>
      </c>
      <c r="B12" s="21">
        <v>1</v>
      </c>
      <c r="C12" s="21">
        <v>20</v>
      </c>
      <c r="D12" s="21">
        <v>-13310</v>
      </c>
      <c r="F12" s="8" t="s">
        <v>545</v>
      </c>
      <c r="G12" t="s">
        <v>553</v>
      </c>
    </row>
    <row r="13" spans="1:9" x14ac:dyDescent="0.3">
      <c r="A13" s="9" t="s">
        <v>102</v>
      </c>
      <c r="B13" s="21"/>
      <c r="C13" s="21">
        <v>5</v>
      </c>
      <c r="D13" s="21">
        <v>-9110</v>
      </c>
    </row>
    <row r="14" spans="1:9" x14ac:dyDescent="0.3">
      <c r="A14" s="11" t="s">
        <v>104</v>
      </c>
      <c r="B14" s="21"/>
      <c r="C14" s="21">
        <v>5</v>
      </c>
      <c r="D14" s="21">
        <v>-9110</v>
      </c>
      <c r="F14" s="8" t="s">
        <v>555</v>
      </c>
      <c r="G14" t="s">
        <v>572</v>
      </c>
      <c r="H14" t="s">
        <v>571</v>
      </c>
      <c r="I14" t="s">
        <v>569</v>
      </c>
    </row>
    <row r="15" spans="1:9" x14ac:dyDescent="0.3">
      <c r="A15" s="9" t="s">
        <v>213</v>
      </c>
      <c r="B15" s="21">
        <v>1</v>
      </c>
      <c r="C15" s="21">
        <v>13</v>
      </c>
      <c r="D15" s="21">
        <v>-13448</v>
      </c>
      <c r="F15" s="9" t="s">
        <v>66</v>
      </c>
      <c r="G15" s="21">
        <v>1</v>
      </c>
      <c r="H15" s="21">
        <v>61</v>
      </c>
      <c r="I15" s="21">
        <v>16785</v>
      </c>
    </row>
    <row r="16" spans="1:9" x14ac:dyDescent="0.3">
      <c r="A16" s="11" t="s">
        <v>215</v>
      </c>
      <c r="B16" s="21">
        <v>1</v>
      </c>
      <c r="C16" s="21">
        <v>13</v>
      </c>
      <c r="D16" s="21">
        <v>-13448</v>
      </c>
      <c r="F16" s="11" t="s">
        <v>68</v>
      </c>
      <c r="G16" s="21">
        <v>1</v>
      </c>
      <c r="H16" s="21">
        <v>61</v>
      </c>
      <c r="I16" s="21">
        <v>16785</v>
      </c>
    </row>
    <row r="17" spans="1:9" x14ac:dyDescent="0.3">
      <c r="A17" s="9" t="s">
        <v>473</v>
      </c>
      <c r="B17" s="21">
        <v>1</v>
      </c>
      <c r="C17" s="21">
        <v>13</v>
      </c>
      <c r="D17" s="21">
        <v>-23847</v>
      </c>
      <c r="F17" s="9" t="s">
        <v>485</v>
      </c>
      <c r="G17" s="21">
        <v>1</v>
      </c>
      <c r="H17" s="21">
        <v>63</v>
      </c>
      <c r="I17" s="21">
        <v>64640</v>
      </c>
    </row>
    <row r="18" spans="1:9" x14ac:dyDescent="0.3">
      <c r="A18" s="11" t="s">
        <v>475</v>
      </c>
      <c r="B18" s="21">
        <v>1</v>
      </c>
      <c r="C18" s="21">
        <v>13</v>
      </c>
      <c r="D18" s="21">
        <v>-23847</v>
      </c>
      <c r="F18" s="11" t="s">
        <v>487</v>
      </c>
      <c r="G18" s="21">
        <v>1</v>
      </c>
      <c r="H18" s="21">
        <v>63</v>
      </c>
      <c r="I18" s="21">
        <v>64640</v>
      </c>
    </row>
    <row r="19" spans="1:9" x14ac:dyDescent="0.3">
      <c r="A19" s="9" t="s">
        <v>510</v>
      </c>
      <c r="B19" s="21">
        <v>2</v>
      </c>
      <c r="C19" s="21">
        <v>18</v>
      </c>
      <c r="D19" s="21">
        <v>-23565</v>
      </c>
      <c r="F19" s="9" t="s">
        <v>556</v>
      </c>
      <c r="G19" s="21">
        <v>2</v>
      </c>
      <c r="H19" s="21">
        <v>124</v>
      </c>
      <c r="I19" s="21">
        <v>81425</v>
      </c>
    </row>
    <row r="20" spans="1:9" x14ac:dyDescent="0.3">
      <c r="A20" s="11" t="s">
        <v>512</v>
      </c>
      <c r="B20" s="21">
        <v>1</v>
      </c>
      <c r="C20" s="21">
        <v>13</v>
      </c>
      <c r="D20" s="21">
        <v>-14455</v>
      </c>
    </row>
    <row r="21" spans="1:9" x14ac:dyDescent="0.3">
      <c r="A21" s="11" t="s">
        <v>515</v>
      </c>
      <c r="B21" s="21">
        <v>1</v>
      </c>
      <c r="C21" s="21">
        <v>5</v>
      </c>
      <c r="D21" s="21">
        <v>-9110</v>
      </c>
      <c r="F21" s="8" t="s">
        <v>4</v>
      </c>
      <c r="G21" t="s">
        <v>568</v>
      </c>
    </row>
    <row r="22" spans="1:9" x14ac:dyDescent="0.3">
      <c r="A22" s="9" t="s">
        <v>537</v>
      </c>
      <c r="B22" s="21">
        <v>1</v>
      </c>
      <c r="C22" s="21">
        <v>12</v>
      </c>
      <c r="D22" s="21">
        <v>30825</v>
      </c>
      <c r="F22" s="8" t="s">
        <v>563</v>
      </c>
      <c r="G22" t="s">
        <v>567</v>
      </c>
    </row>
    <row r="23" spans="1:9" x14ac:dyDescent="0.3">
      <c r="A23" s="11" t="s">
        <v>540</v>
      </c>
      <c r="B23" s="21">
        <v>1</v>
      </c>
      <c r="C23" s="21">
        <v>12</v>
      </c>
      <c r="D23" s="21">
        <v>30825</v>
      </c>
      <c r="F23" s="8" t="s">
        <v>545</v>
      </c>
      <c r="G23" t="s">
        <v>553</v>
      </c>
    </row>
    <row r="24" spans="1:9" x14ac:dyDescent="0.3">
      <c r="A24" s="9" t="s">
        <v>542</v>
      </c>
      <c r="B24" s="21">
        <v>1</v>
      </c>
      <c r="C24" s="21">
        <v>20</v>
      </c>
      <c r="D24" s="21">
        <v>-15245</v>
      </c>
    </row>
    <row r="25" spans="1:9" x14ac:dyDescent="0.3">
      <c r="A25" s="11" t="s">
        <v>544</v>
      </c>
      <c r="B25" s="21">
        <v>1</v>
      </c>
      <c r="C25" s="21">
        <v>20</v>
      </c>
      <c r="D25" s="21">
        <v>-15245</v>
      </c>
      <c r="F25" s="8" t="s">
        <v>555</v>
      </c>
      <c r="G25" t="s">
        <v>572</v>
      </c>
      <c r="H25" t="s">
        <v>571</v>
      </c>
      <c r="I25" t="s">
        <v>569</v>
      </c>
    </row>
    <row r="26" spans="1:9" x14ac:dyDescent="0.3">
      <c r="A26" s="9" t="s">
        <v>556</v>
      </c>
      <c r="B26" s="21">
        <v>11</v>
      </c>
      <c r="C26" s="21">
        <v>260</v>
      </c>
      <c r="D26" s="21">
        <v>146989</v>
      </c>
      <c r="F26" s="9" t="s">
        <v>209</v>
      </c>
      <c r="G26" s="21">
        <v>1</v>
      </c>
      <c r="H26" s="21">
        <v>154</v>
      </c>
      <c r="I26" s="21">
        <v>15163</v>
      </c>
    </row>
    <row r="27" spans="1:9" x14ac:dyDescent="0.3">
      <c r="F27" s="11" t="s">
        <v>211</v>
      </c>
      <c r="G27" s="21">
        <v>1</v>
      </c>
      <c r="H27" s="21">
        <v>154</v>
      </c>
      <c r="I27" s="21">
        <v>15163</v>
      </c>
    </row>
    <row r="28" spans="1:9" x14ac:dyDescent="0.3">
      <c r="F28" s="9" t="s">
        <v>556</v>
      </c>
      <c r="G28" s="21">
        <v>1</v>
      </c>
      <c r="H28" s="21">
        <v>154</v>
      </c>
      <c r="I28" s="21">
        <v>15163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68"/>
  <sheetViews>
    <sheetView workbookViewId="0">
      <pane ySplit="1" topLeftCell="A19" activePane="bottomLeft" state="frozen"/>
      <selection pane="bottomLeft" activeCell="O159" sqref="O159"/>
    </sheetView>
  </sheetViews>
  <sheetFormatPr baseColWidth="10" defaultColWidth="8.88671875" defaultRowHeight="14.4" x14ac:dyDescent="0.3"/>
  <cols>
    <col min="1" max="1" width="11" bestFit="1" customWidth="1"/>
    <col min="2" max="2" width="36" bestFit="1" customWidth="1"/>
    <col min="3" max="3" width="13" bestFit="1" customWidth="1"/>
    <col min="4" max="4" width="17" bestFit="1" customWidth="1"/>
    <col min="5" max="6" width="19" bestFit="1" customWidth="1"/>
    <col min="7" max="7" width="29" customWidth="1"/>
    <col min="8" max="8" width="14" customWidth="1"/>
    <col min="9" max="9" width="23" customWidth="1"/>
    <col min="10" max="10" width="21" customWidth="1"/>
    <col min="11" max="11" width="18.109375" customWidth="1"/>
    <col min="12" max="12" width="13.44140625" customWidth="1"/>
    <col min="13" max="13" width="10.44140625" customWidth="1"/>
    <col min="14" max="14" width="10.33203125" bestFit="1" customWidth="1"/>
    <col min="15" max="15" width="12.77734375" bestFit="1" customWidth="1"/>
    <col min="16" max="16" width="12.21875" bestFit="1" customWidth="1"/>
    <col min="17" max="17" width="12.88671875" customWidth="1"/>
    <col min="18" max="18" width="12.6640625" bestFit="1" customWidth="1"/>
  </cols>
  <sheetData>
    <row r="1" spans="1:18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545</v>
      </c>
      <c r="L1" s="12" t="s">
        <v>557</v>
      </c>
      <c r="M1" s="13" t="s">
        <v>558</v>
      </c>
      <c r="N1" s="14" t="s">
        <v>559</v>
      </c>
      <c r="O1" s="15" t="s">
        <v>560</v>
      </c>
      <c r="P1" s="15" t="s">
        <v>561</v>
      </c>
      <c r="Q1" s="16" t="s">
        <v>562</v>
      </c>
      <c r="R1" s="17" t="s">
        <v>563</v>
      </c>
    </row>
    <row r="2" spans="1:18" hidden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10</v>
      </c>
      <c r="F2" s="3">
        <v>45980</v>
      </c>
      <c r="G2" s="4">
        <v>306</v>
      </c>
      <c r="H2" s="3">
        <v>45987</v>
      </c>
      <c r="I2" s="5">
        <v>42.48</v>
      </c>
      <c r="J2" s="2" t="s">
        <v>11</v>
      </c>
      <c r="K2" t="s">
        <v>546</v>
      </c>
      <c r="O2" s="18">
        <f>H2</f>
        <v>45987</v>
      </c>
      <c r="P2" s="19">
        <f>I2/3.425</f>
        <v>12.402919708029197</v>
      </c>
    </row>
    <row r="3" spans="1:18" hidden="1" x14ac:dyDescent="0.3">
      <c r="A3" s="2" t="s">
        <v>12</v>
      </c>
      <c r="B3" s="2" t="s">
        <v>16</v>
      </c>
      <c r="C3" s="2" t="s">
        <v>17</v>
      </c>
      <c r="D3" s="2" t="s">
        <v>18</v>
      </c>
      <c r="E3" s="2" t="s">
        <v>10</v>
      </c>
      <c r="F3" s="3">
        <v>45980</v>
      </c>
      <c r="G3" s="4">
        <v>306</v>
      </c>
      <c r="H3" s="3">
        <v>45987</v>
      </c>
      <c r="I3" s="5">
        <v>14.16</v>
      </c>
      <c r="J3" s="2" t="s">
        <v>11</v>
      </c>
      <c r="K3" t="s">
        <v>546</v>
      </c>
      <c r="O3" s="18">
        <f t="shared" ref="O3:O18" si="0">H3</f>
        <v>45987</v>
      </c>
      <c r="P3" s="19">
        <f t="shared" ref="P3:P18" si="1">I3/3.425</f>
        <v>4.1343065693430656</v>
      </c>
    </row>
    <row r="4" spans="1:18" hidden="1" x14ac:dyDescent="0.3">
      <c r="A4" s="2" t="s">
        <v>12</v>
      </c>
      <c r="B4" s="2" t="s">
        <v>19</v>
      </c>
      <c r="C4" s="2" t="s">
        <v>20</v>
      </c>
      <c r="D4" s="2" t="s">
        <v>21</v>
      </c>
      <c r="E4" s="2" t="s">
        <v>10</v>
      </c>
      <c r="F4" s="3">
        <v>45980</v>
      </c>
      <c r="G4" s="4">
        <v>306</v>
      </c>
      <c r="H4" s="3">
        <v>45987</v>
      </c>
      <c r="I4" s="5">
        <v>14.16</v>
      </c>
      <c r="J4" s="2" t="s">
        <v>11</v>
      </c>
      <c r="K4" t="s">
        <v>546</v>
      </c>
      <c r="O4" s="18">
        <f t="shared" si="0"/>
        <v>45987</v>
      </c>
      <c r="P4" s="19">
        <f t="shared" si="1"/>
        <v>4.1343065693430656</v>
      </c>
    </row>
    <row r="5" spans="1:18" hidden="1" x14ac:dyDescent="0.3">
      <c r="A5" s="2" t="s">
        <v>12</v>
      </c>
      <c r="B5" s="2" t="s">
        <v>22</v>
      </c>
      <c r="C5" s="2" t="s">
        <v>23</v>
      </c>
      <c r="D5" s="2" t="s">
        <v>24</v>
      </c>
      <c r="E5" s="2" t="s">
        <v>10</v>
      </c>
      <c r="F5" s="3">
        <v>45981</v>
      </c>
      <c r="G5" s="4">
        <v>305</v>
      </c>
      <c r="H5" s="3">
        <v>45988</v>
      </c>
      <c r="I5" s="5">
        <v>28.32</v>
      </c>
      <c r="J5" s="2" t="s">
        <v>11</v>
      </c>
      <c r="K5" t="s">
        <v>546</v>
      </c>
      <c r="O5" s="18">
        <f t="shared" si="0"/>
        <v>45988</v>
      </c>
      <c r="P5" s="19">
        <f t="shared" si="1"/>
        <v>8.2686131386861312</v>
      </c>
    </row>
    <row r="6" spans="1:18" hidden="1" x14ac:dyDescent="0.3">
      <c r="A6" s="2" t="s">
        <v>12</v>
      </c>
      <c r="B6" s="2" t="s">
        <v>25</v>
      </c>
      <c r="C6" s="2" t="s">
        <v>26</v>
      </c>
      <c r="D6" s="2" t="s">
        <v>27</v>
      </c>
      <c r="E6" s="2" t="s">
        <v>10</v>
      </c>
      <c r="F6" s="3">
        <v>45981</v>
      </c>
      <c r="G6" s="4">
        <v>305</v>
      </c>
      <c r="H6" s="3">
        <v>45988</v>
      </c>
      <c r="I6" s="5">
        <v>14.16</v>
      </c>
      <c r="J6" s="2" t="s">
        <v>11</v>
      </c>
      <c r="K6" t="s">
        <v>546</v>
      </c>
      <c r="O6" s="18">
        <f t="shared" si="0"/>
        <v>45988</v>
      </c>
      <c r="P6" s="19">
        <f t="shared" si="1"/>
        <v>4.1343065693430656</v>
      </c>
    </row>
    <row r="7" spans="1:18" hidden="1" x14ac:dyDescent="0.3">
      <c r="A7" s="2" t="s">
        <v>12</v>
      </c>
      <c r="B7" s="2" t="s">
        <v>28</v>
      </c>
      <c r="C7" s="2" t="s">
        <v>29</v>
      </c>
      <c r="D7" s="2" t="s">
        <v>30</v>
      </c>
      <c r="E7" s="2" t="s">
        <v>10</v>
      </c>
      <c r="F7" s="3">
        <v>45982</v>
      </c>
      <c r="G7" s="4">
        <v>304</v>
      </c>
      <c r="H7" s="3">
        <v>45989</v>
      </c>
      <c r="I7" s="5">
        <v>28.32</v>
      </c>
      <c r="J7" s="2" t="s">
        <v>11</v>
      </c>
      <c r="K7" t="s">
        <v>546</v>
      </c>
      <c r="O7" s="18">
        <f t="shared" si="0"/>
        <v>45989</v>
      </c>
      <c r="P7" s="19">
        <f t="shared" si="1"/>
        <v>8.2686131386861312</v>
      </c>
    </row>
    <row r="8" spans="1:18" hidden="1" x14ac:dyDescent="0.3">
      <c r="A8" s="2" t="s">
        <v>12</v>
      </c>
      <c r="B8" s="2" t="s">
        <v>31</v>
      </c>
      <c r="C8" s="2" t="s">
        <v>32</v>
      </c>
      <c r="D8" s="2" t="s">
        <v>33</v>
      </c>
      <c r="E8" s="2" t="s">
        <v>10</v>
      </c>
      <c r="F8" s="3">
        <v>45982</v>
      </c>
      <c r="G8" s="4">
        <v>304</v>
      </c>
      <c r="H8" s="3">
        <v>45989</v>
      </c>
      <c r="I8" s="5">
        <v>42.48</v>
      </c>
      <c r="J8" s="2" t="s">
        <v>11</v>
      </c>
      <c r="K8" t="s">
        <v>546</v>
      </c>
      <c r="O8" s="18">
        <f t="shared" si="0"/>
        <v>45989</v>
      </c>
      <c r="P8" s="19">
        <f t="shared" si="1"/>
        <v>12.402919708029197</v>
      </c>
    </row>
    <row r="9" spans="1:18" hidden="1" x14ac:dyDescent="0.3">
      <c r="A9" s="2" t="s">
        <v>12</v>
      </c>
      <c r="B9" s="2" t="s">
        <v>34</v>
      </c>
      <c r="C9" s="2" t="s">
        <v>35</v>
      </c>
      <c r="D9" s="2" t="s">
        <v>36</v>
      </c>
      <c r="E9" s="2" t="s">
        <v>10</v>
      </c>
      <c r="F9" s="3">
        <v>45982</v>
      </c>
      <c r="G9" s="4">
        <v>304</v>
      </c>
      <c r="H9" s="3">
        <v>45989</v>
      </c>
      <c r="I9" s="5">
        <v>42.48</v>
      </c>
      <c r="J9" s="2" t="s">
        <v>11</v>
      </c>
      <c r="K9" t="s">
        <v>546</v>
      </c>
      <c r="O9" s="18">
        <f t="shared" si="0"/>
        <v>45989</v>
      </c>
      <c r="P9" s="19">
        <f t="shared" si="1"/>
        <v>12.402919708029197</v>
      </c>
    </row>
    <row r="10" spans="1:18" hidden="1" x14ac:dyDescent="0.3">
      <c r="A10" s="2" t="s">
        <v>12</v>
      </c>
      <c r="B10" s="2" t="s">
        <v>37</v>
      </c>
      <c r="C10" s="2" t="s">
        <v>38</v>
      </c>
      <c r="D10" s="2" t="s">
        <v>39</v>
      </c>
      <c r="E10" s="2" t="s">
        <v>10</v>
      </c>
      <c r="F10" s="3">
        <v>45982</v>
      </c>
      <c r="G10" s="4">
        <v>304</v>
      </c>
      <c r="H10" s="3">
        <v>45989</v>
      </c>
      <c r="I10" s="5">
        <v>14.16</v>
      </c>
      <c r="J10" s="2" t="s">
        <v>11</v>
      </c>
      <c r="K10" t="s">
        <v>546</v>
      </c>
      <c r="O10" s="18">
        <f t="shared" si="0"/>
        <v>45989</v>
      </c>
      <c r="P10" s="19">
        <f t="shared" si="1"/>
        <v>4.1343065693430656</v>
      </c>
    </row>
    <row r="11" spans="1:18" hidden="1" x14ac:dyDescent="0.3">
      <c r="A11" s="2" t="s">
        <v>12</v>
      </c>
      <c r="B11" s="2" t="s">
        <v>40</v>
      </c>
      <c r="C11" s="2" t="s">
        <v>41</v>
      </c>
      <c r="D11" s="2" t="s">
        <v>42</v>
      </c>
      <c r="E11" s="2" t="s">
        <v>10</v>
      </c>
      <c r="F11" s="3">
        <v>45983</v>
      </c>
      <c r="G11" s="4">
        <v>303</v>
      </c>
      <c r="H11" s="3">
        <v>45990</v>
      </c>
      <c r="I11" s="5">
        <v>28.32</v>
      </c>
      <c r="J11" s="2" t="s">
        <v>11</v>
      </c>
      <c r="K11" t="s">
        <v>546</v>
      </c>
      <c r="O11" s="18">
        <f t="shared" si="0"/>
        <v>45990</v>
      </c>
      <c r="P11" s="19">
        <f t="shared" si="1"/>
        <v>8.2686131386861312</v>
      </c>
    </row>
    <row r="12" spans="1:18" hidden="1" x14ac:dyDescent="0.3">
      <c r="A12" s="2" t="s">
        <v>12</v>
      </c>
      <c r="B12" s="2" t="s">
        <v>43</v>
      </c>
      <c r="C12" s="2" t="s">
        <v>44</v>
      </c>
      <c r="D12" s="2" t="s">
        <v>45</v>
      </c>
      <c r="E12" s="2" t="s">
        <v>10</v>
      </c>
      <c r="F12" s="3">
        <v>45988</v>
      </c>
      <c r="G12" s="4">
        <v>298</v>
      </c>
      <c r="H12" s="3">
        <v>45995</v>
      </c>
      <c r="I12" s="5">
        <v>14.16</v>
      </c>
      <c r="J12" s="2" t="s">
        <v>11</v>
      </c>
      <c r="K12" t="s">
        <v>546</v>
      </c>
      <c r="O12" s="18">
        <f t="shared" si="0"/>
        <v>45995</v>
      </c>
      <c r="P12" s="19">
        <f t="shared" si="1"/>
        <v>4.1343065693430656</v>
      </c>
    </row>
    <row r="13" spans="1:18" hidden="1" x14ac:dyDescent="0.3">
      <c r="A13" s="2" t="s">
        <v>12</v>
      </c>
      <c r="B13" s="2" t="s">
        <v>46</v>
      </c>
      <c r="C13" s="2" t="s">
        <v>47</v>
      </c>
      <c r="D13" s="2" t="s">
        <v>48</v>
      </c>
      <c r="E13" s="2" t="s">
        <v>10</v>
      </c>
      <c r="F13" s="3">
        <v>46028</v>
      </c>
      <c r="G13" s="4">
        <v>258</v>
      </c>
      <c r="H13" s="3">
        <v>46035</v>
      </c>
      <c r="I13" s="5">
        <v>14.16</v>
      </c>
      <c r="J13" s="2" t="s">
        <v>11</v>
      </c>
      <c r="K13" t="s">
        <v>546</v>
      </c>
      <c r="O13" s="18">
        <f t="shared" si="0"/>
        <v>46035</v>
      </c>
      <c r="P13" s="19">
        <f t="shared" si="1"/>
        <v>4.1343065693430656</v>
      </c>
    </row>
    <row r="14" spans="1:18" hidden="1" x14ac:dyDescent="0.3">
      <c r="A14" s="2" t="s">
        <v>12</v>
      </c>
      <c r="B14" s="2" t="s">
        <v>49</v>
      </c>
      <c r="C14" s="2" t="s">
        <v>50</v>
      </c>
      <c r="D14" s="2" t="s">
        <v>51</v>
      </c>
      <c r="E14" s="2" t="s">
        <v>10</v>
      </c>
      <c r="F14" s="3">
        <v>46030</v>
      </c>
      <c r="G14" s="4">
        <v>256</v>
      </c>
      <c r="H14" s="3">
        <v>46037</v>
      </c>
      <c r="I14" s="5">
        <v>14.16</v>
      </c>
      <c r="J14" s="2" t="s">
        <v>11</v>
      </c>
      <c r="K14" t="s">
        <v>546</v>
      </c>
      <c r="O14" s="18">
        <f t="shared" si="0"/>
        <v>46037</v>
      </c>
      <c r="P14" s="19">
        <f t="shared" si="1"/>
        <v>4.1343065693430656</v>
      </c>
    </row>
    <row r="15" spans="1:18" hidden="1" x14ac:dyDescent="0.3">
      <c r="A15" s="2" t="s">
        <v>12</v>
      </c>
      <c r="B15" s="2" t="s">
        <v>52</v>
      </c>
      <c r="C15" s="2" t="s">
        <v>53</v>
      </c>
      <c r="D15" s="2" t="s">
        <v>54</v>
      </c>
      <c r="E15" s="2" t="s">
        <v>10</v>
      </c>
      <c r="F15" s="3">
        <v>46032</v>
      </c>
      <c r="G15" s="4">
        <v>254</v>
      </c>
      <c r="H15" s="3">
        <v>46039</v>
      </c>
      <c r="I15" s="5">
        <v>14.16</v>
      </c>
      <c r="J15" s="2" t="s">
        <v>11</v>
      </c>
      <c r="K15" t="s">
        <v>546</v>
      </c>
      <c r="O15" s="18">
        <f t="shared" si="0"/>
        <v>46039</v>
      </c>
      <c r="P15" s="19">
        <f t="shared" si="1"/>
        <v>4.1343065693430656</v>
      </c>
    </row>
    <row r="16" spans="1:18" hidden="1" x14ac:dyDescent="0.3">
      <c r="A16" s="2" t="s">
        <v>12</v>
      </c>
      <c r="B16" s="2" t="s">
        <v>55</v>
      </c>
      <c r="C16" s="2" t="s">
        <v>56</v>
      </c>
      <c r="D16" s="2" t="s">
        <v>57</v>
      </c>
      <c r="E16" s="2" t="s">
        <v>10</v>
      </c>
      <c r="F16" s="3">
        <v>46038</v>
      </c>
      <c r="G16" s="4">
        <v>248</v>
      </c>
      <c r="H16" s="3">
        <v>46045</v>
      </c>
      <c r="I16" s="5">
        <v>14.16</v>
      </c>
      <c r="J16" s="2" t="s">
        <v>11</v>
      </c>
      <c r="K16" t="s">
        <v>546</v>
      </c>
      <c r="O16" s="18">
        <f t="shared" si="0"/>
        <v>46045</v>
      </c>
      <c r="P16" s="19">
        <f t="shared" si="1"/>
        <v>4.1343065693430656</v>
      </c>
    </row>
    <row r="17" spans="1:18" hidden="1" x14ac:dyDescent="0.3">
      <c r="A17" s="2" t="s">
        <v>12</v>
      </c>
      <c r="B17" s="2" t="s">
        <v>58</v>
      </c>
      <c r="C17" s="2" t="s">
        <v>59</v>
      </c>
      <c r="D17" s="2" t="s">
        <v>60</v>
      </c>
      <c r="E17" s="2" t="s">
        <v>10</v>
      </c>
      <c r="F17" s="3">
        <v>46038</v>
      </c>
      <c r="G17" s="4">
        <v>248</v>
      </c>
      <c r="H17" s="3">
        <v>46045</v>
      </c>
      <c r="I17" s="5">
        <v>14.16</v>
      </c>
      <c r="J17" s="2" t="s">
        <v>11</v>
      </c>
      <c r="K17" t="s">
        <v>546</v>
      </c>
      <c r="O17" s="18">
        <f t="shared" si="0"/>
        <v>46045</v>
      </c>
      <c r="P17" s="19">
        <f t="shared" si="1"/>
        <v>4.1343065693430656</v>
      </c>
    </row>
    <row r="18" spans="1:18" hidden="1" x14ac:dyDescent="0.3">
      <c r="A18" s="2" t="s">
        <v>12</v>
      </c>
      <c r="B18" s="2" t="s">
        <v>61</v>
      </c>
      <c r="C18" s="2" t="s">
        <v>62</v>
      </c>
      <c r="D18" s="2" t="s">
        <v>63</v>
      </c>
      <c r="E18" s="2" t="s">
        <v>10</v>
      </c>
      <c r="F18" s="3">
        <v>46041</v>
      </c>
      <c r="G18" s="4">
        <v>245</v>
      </c>
      <c r="H18" s="3">
        <v>46048</v>
      </c>
      <c r="I18" s="5">
        <v>14.16</v>
      </c>
      <c r="J18" s="2" t="s">
        <v>11</v>
      </c>
      <c r="K18" t="s">
        <v>546</v>
      </c>
      <c r="O18" s="18">
        <f t="shared" si="0"/>
        <v>46048</v>
      </c>
      <c r="P18" s="19">
        <f t="shared" si="1"/>
        <v>4.1343065693430656</v>
      </c>
    </row>
    <row r="19" spans="1:18" x14ac:dyDescent="0.3">
      <c r="A19" s="2" t="s">
        <v>65</v>
      </c>
      <c r="B19" s="2" t="s">
        <v>66</v>
      </c>
      <c r="C19" s="2" t="s">
        <v>67</v>
      </c>
      <c r="D19" s="2" t="s">
        <v>68</v>
      </c>
      <c r="E19" s="2" t="s">
        <v>64</v>
      </c>
      <c r="F19" s="3">
        <v>46232</v>
      </c>
      <c r="G19" s="4">
        <v>61</v>
      </c>
      <c r="H19" s="3">
        <v>46232</v>
      </c>
      <c r="I19" s="5">
        <v>16785</v>
      </c>
      <c r="J19" s="2" t="s">
        <v>69</v>
      </c>
      <c r="K19" t="s">
        <v>553</v>
      </c>
      <c r="L19" s="18">
        <f>F19+60</f>
        <v>46292</v>
      </c>
      <c r="M19" s="20">
        <f ca="1">TODAY()-N19</f>
        <v>1</v>
      </c>
      <c r="N19" s="18">
        <v>46292</v>
      </c>
      <c r="O19" s="18">
        <v>46297</v>
      </c>
      <c r="P19" s="10">
        <f>I19</f>
        <v>16785</v>
      </c>
      <c r="Q19" s="20">
        <f ca="1">TODAY()-F19</f>
        <v>61</v>
      </c>
      <c r="R19" t="s">
        <v>566</v>
      </c>
    </row>
    <row r="20" spans="1:18" x14ac:dyDescent="0.3">
      <c r="A20" s="2" t="s">
        <v>65</v>
      </c>
      <c r="B20" s="2" t="s">
        <v>70</v>
      </c>
      <c r="C20" s="2" t="s">
        <v>71</v>
      </c>
      <c r="D20" s="2" t="s">
        <v>72</v>
      </c>
      <c r="E20" s="2" t="s">
        <v>64</v>
      </c>
      <c r="F20" s="3">
        <v>46249</v>
      </c>
      <c r="G20" s="4">
        <v>44</v>
      </c>
      <c r="H20" s="3">
        <v>46249</v>
      </c>
      <c r="I20" s="5">
        <v>54840</v>
      </c>
      <c r="J20" s="2" t="s">
        <v>69</v>
      </c>
      <c r="K20" t="s">
        <v>553</v>
      </c>
      <c r="L20" s="18">
        <f t="shared" ref="L20:L22" si="2">F20+60</f>
        <v>46309</v>
      </c>
      <c r="M20" s="20">
        <f t="shared" ref="M20:M22" ca="1" si="3">TODAY()-N20</f>
        <v>-16</v>
      </c>
      <c r="N20" s="18">
        <v>46309</v>
      </c>
      <c r="O20" s="18">
        <v>46309</v>
      </c>
      <c r="P20" s="10">
        <f t="shared" ref="P20:P22" si="4">I20</f>
        <v>54840</v>
      </c>
      <c r="Q20" s="20">
        <f t="shared" ref="Q20:Q22" ca="1" si="5">TODAY()-F20</f>
        <v>44</v>
      </c>
      <c r="R20" t="s">
        <v>564</v>
      </c>
    </row>
    <row r="21" spans="1:18" x14ac:dyDescent="0.3">
      <c r="A21" s="2" t="s">
        <v>65</v>
      </c>
      <c r="B21" s="2" t="s">
        <v>73</v>
      </c>
      <c r="C21" s="2" t="s">
        <v>74</v>
      </c>
      <c r="D21" s="2" t="s">
        <v>75</v>
      </c>
      <c r="E21" s="2" t="s">
        <v>64</v>
      </c>
      <c r="F21" s="3">
        <v>46249</v>
      </c>
      <c r="G21" s="4">
        <v>44</v>
      </c>
      <c r="H21" s="3">
        <v>46249</v>
      </c>
      <c r="I21" s="5">
        <v>29010</v>
      </c>
      <c r="J21" s="2" t="s">
        <v>69</v>
      </c>
      <c r="K21" t="s">
        <v>553</v>
      </c>
      <c r="L21" s="18">
        <f t="shared" si="2"/>
        <v>46309</v>
      </c>
      <c r="M21" s="20">
        <f t="shared" ca="1" si="3"/>
        <v>-16</v>
      </c>
      <c r="N21" s="18">
        <v>46309</v>
      </c>
      <c r="O21" s="18">
        <v>46309</v>
      </c>
      <c r="P21" s="10">
        <f t="shared" si="4"/>
        <v>29010</v>
      </c>
      <c r="Q21" s="20">
        <f t="shared" ca="1" si="5"/>
        <v>44</v>
      </c>
      <c r="R21" t="s">
        <v>564</v>
      </c>
    </row>
    <row r="22" spans="1:18" x14ac:dyDescent="0.3">
      <c r="A22" s="2" t="s">
        <v>65</v>
      </c>
      <c r="B22" s="2" t="s">
        <v>76</v>
      </c>
      <c r="C22" s="2" t="s">
        <v>77</v>
      </c>
      <c r="D22" s="2" t="s">
        <v>78</v>
      </c>
      <c r="E22" s="2" t="s">
        <v>79</v>
      </c>
      <c r="F22" s="3">
        <v>46250</v>
      </c>
      <c r="G22" s="7">
        <v>-17</v>
      </c>
      <c r="H22" s="3">
        <v>46310</v>
      </c>
      <c r="I22" s="5">
        <v>41064</v>
      </c>
      <c r="J22" s="2" t="s">
        <v>69</v>
      </c>
      <c r="K22" t="s">
        <v>553</v>
      </c>
      <c r="L22" s="18">
        <f t="shared" si="2"/>
        <v>46310</v>
      </c>
      <c r="M22" s="20">
        <f t="shared" ca="1" si="3"/>
        <v>-17</v>
      </c>
      <c r="N22" s="18">
        <v>46310</v>
      </c>
      <c r="O22" s="18">
        <v>46310</v>
      </c>
      <c r="P22" s="10">
        <f t="shared" si="4"/>
        <v>41064</v>
      </c>
      <c r="Q22" s="20">
        <f t="shared" ca="1" si="5"/>
        <v>43</v>
      </c>
      <c r="R22" t="s">
        <v>564</v>
      </c>
    </row>
    <row r="23" spans="1:18" hidden="1" x14ac:dyDescent="0.3">
      <c r="A23" s="2" t="s">
        <v>80</v>
      </c>
      <c r="B23" s="2" t="s">
        <v>81</v>
      </c>
      <c r="C23" s="2" t="s">
        <v>82</v>
      </c>
      <c r="D23" s="2" t="s">
        <v>83</v>
      </c>
      <c r="E23" s="2" t="s">
        <v>84</v>
      </c>
      <c r="F23" s="3">
        <v>46266</v>
      </c>
      <c r="G23" s="4">
        <v>20</v>
      </c>
      <c r="H23" s="3">
        <v>46273</v>
      </c>
      <c r="I23" s="5">
        <v>325.68</v>
      </c>
      <c r="J23" s="2" t="s">
        <v>11</v>
      </c>
      <c r="K23" t="s">
        <v>546</v>
      </c>
      <c r="O23" s="18">
        <f t="shared" ref="O23:O28" si="6">H23</f>
        <v>46273</v>
      </c>
      <c r="P23" s="19">
        <f t="shared" ref="P23:P24" si="7">I23/3.425</f>
        <v>95.089051094890522</v>
      </c>
    </row>
    <row r="24" spans="1:18" hidden="1" x14ac:dyDescent="0.3">
      <c r="A24" s="2" t="s">
        <v>80</v>
      </c>
      <c r="B24" s="2" t="s">
        <v>85</v>
      </c>
      <c r="C24" s="2" t="s">
        <v>86</v>
      </c>
      <c r="D24" s="2" t="s">
        <v>87</v>
      </c>
      <c r="E24" s="2" t="s">
        <v>84</v>
      </c>
      <c r="F24" s="3">
        <v>46266</v>
      </c>
      <c r="G24" s="4">
        <v>20</v>
      </c>
      <c r="H24" s="3">
        <v>46273</v>
      </c>
      <c r="I24" s="5">
        <v>35.4</v>
      </c>
      <c r="J24" s="2" t="s">
        <v>11</v>
      </c>
      <c r="K24" t="s">
        <v>546</v>
      </c>
      <c r="O24" s="18">
        <f t="shared" si="6"/>
        <v>46273</v>
      </c>
      <c r="P24" s="19">
        <f t="shared" si="7"/>
        <v>10.335766423357665</v>
      </c>
    </row>
    <row r="25" spans="1:18" x14ac:dyDescent="0.3">
      <c r="A25" s="2" t="s">
        <v>89</v>
      </c>
      <c r="B25" s="2" t="s">
        <v>92</v>
      </c>
      <c r="C25" s="2" t="s">
        <v>93</v>
      </c>
      <c r="D25" s="2" t="s">
        <v>94</v>
      </c>
      <c r="E25" s="2" t="s">
        <v>91</v>
      </c>
      <c r="F25" s="3">
        <v>46247</v>
      </c>
      <c r="G25" s="4">
        <v>0</v>
      </c>
      <c r="H25" s="3">
        <v>46265</v>
      </c>
      <c r="I25" s="6">
        <v>-31032</v>
      </c>
      <c r="J25" s="2" t="s">
        <v>69</v>
      </c>
      <c r="K25" t="s">
        <v>553</v>
      </c>
      <c r="L25" s="18">
        <f t="shared" ref="L25:L28" si="8">F25+60</f>
        <v>46307</v>
      </c>
      <c r="M25" s="20">
        <f t="shared" ref="M25:M27" ca="1" si="9">TODAY()-N25</f>
        <v>28</v>
      </c>
      <c r="N25" s="18">
        <v>46265</v>
      </c>
      <c r="O25" s="18">
        <f t="shared" si="6"/>
        <v>46265</v>
      </c>
      <c r="P25" s="10">
        <f t="shared" ref="P25:P28" si="10">I25</f>
        <v>-31032</v>
      </c>
      <c r="Q25" s="20">
        <f t="shared" ref="Q25:Q28" ca="1" si="11">TODAY()-F25</f>
        <v>46</v>
      </c>
      <c r="R25" t="s">
        <v>565</v>
      </c>
    </row>
    <row r="26" spans="1:18" x14ac:dyDescent="0.3">
      <c r="A26" s="2" t="s">
        <v>89</v>
      </c>
      <c r="B26" s="2" t="s">
        <v>95</v>
      </c>
      <c r="C26" s="2" t="s">
        <v>96</v>
      </c>
      <c r="D26" s="2" t="s">
        <v>97</v>
      </c>
      <c r="E26" s="2" t="s">
        <v>79</v>
      </c>
      <c r="F26" s="3">
        <v>46265</v>
      </c>
      <c r="G26" s="7">
        <v>-32</v>
      </c>
      <c r="H26" s="3">
        <v>46325</v>
      </c>
      <c r="I26" s="5">
        <v>89775</v>
      </c>
      <c r="J26" s="2" t="s">
        <v>69</v>
      </c>
      <c r="K26" t="s">
        <v>553</v>
      </c>
      <c r="L26" s="18">
        <f t="shared" si="8"/>
        <v>46325</v>
      </c>
      <c r="M26" s="20">
        <f t="shared" ca="1" si="9"/>
        <v>-32</v>
      </c>
      <c r="N26" s="18">
        <v>46325</v>
      </c>
      <c r="O26" s="18">
        <f t="shared" si="6"/>
        <v>46325</v>
      </c>
      <c r="P26" s="10">
        <f t="shared" si="10"/>
        <v>89775</v>
      </c>
      <c r="Q26" s="20">
        <f t="shared" ca="1" si="11"/>
        <v>28</v>
      </c>
      <c r="R26" t="s">
        <v>564</v>
      </c>
    </row>
    <row r="27" spans="1:18" x14ac:dyDescent="0.3">
      <c r="A27" s="2" t="s">
        <v>89</v>
      </c>
      <c r="B27" s="2" t="s">
        <v>98</v>
      </c>
      <c r="C27" s="2" t="s">
        <v>99</v>
      </c>
      <c r="D27" s="2" t="s">
        <v>100</v>
      </c>
      <c r="E27" s="2" t="s">
        <v>91</v>
      </c>
      <c r="F27" s="3">
        <v>46273</v>
      </c>
      <c r="G27" s="4">
        <v>0</v>
      </c>
      <c r="H27" s="3">
        <v>46295</v>
      </c>
      <c r="I27" s="6">
        <v>-13310</v>
      </c>
      <c r="J27" s="2" t="s">
        <v>69</v>
      </c>
      <c r="K27" t="s">
        <v>553</v>
      </c>
      <c r="L27" s="18">
        <f t="shared" si="8"/>
        <v>46333</v>
      </c>
      <c r="M27" s="20">
        <f t="shared" ca="1" si="9"/>
        <v>-2</v>
      </c>
      <c r="N27" s="18">
        <v>46295</v>
      </c>
      <c r="O27" s="18">
        <f t="shared" si="6"/>
        <v>46295</v>
      </c>
      <c r="P27" s="10">
        <f t="shared" si="10"/>
        <v>-13310</v>
      </c>
      <c r="Q27" s="20">
        <f t="shared" ca="1" si="11"/>
        <v>20</v>
      </c>
      <c r="R27" t="s">
        <v>564</v>
      </c>
    </row>
    <row r="28" spans="1:18" x14ac:dyDescent="0.3">
      <c r="A28" s="2" t="s">
        <v>101</v>
      </c>
      <c r="B28" s="2" t="s">
        <v>102</v>
      </c>
      <c r="C28" s="2" t="s">
        <v>103</v>
      </c>
      <c r="D28" s="2" t="s">
        <v>104</v>
      </c>
      <c r="E28" s="2" t="s">
        <v>91</v>
      </c>
      <c r="F28" s="3">
        <v>46288</v>
      </c>
      <c r="G28" s="4">
        <v>0</v>
      </c>
      <c r="H28" s="3">
        <v>46295</v>
      </c>
      <c r="I28" s="6">
        <v>-9110</v>
      </c>
      <c r="J28" s="2" t="s">
        <v>69</v>
      </c>
      <c r="K28" t="s">
        <v>553</v>
      </c>
      <c r="L28" s="18">
        <f t="shared" si="8"/>
        <v>46348</v>
      </c>
      <c r="M28" s="20"/>
      <c r="N28" s="18"/>
      <c r="O28" s="18">
        <f t="shared" si="6"/>
        <v>46295</v>
      </c>
      <c r="P28" s="10">
        <f t="shared" si="10"/>
        <v>-9110</v>
      </c>
      <c r="Q28" s="20">
        <f t="shared" ca="1" si="11"/>
        <v>5</v>
      </c>
      <c r="R28" t="s">
        <v>564</v>
      </c>
    </row>
    <row r="29" spans="1:18" hidden="1" x14ac:dyDescent="0.3">
      <c r="A29" s="2" t="s">
        <v>105</v>
      </c>
      <c r="B29" s="2" t="s">
        <v>106</v>
      </c>
      <c r="C29" s="2" t="s">
        <v>107</v>
      </c>
      <c r="D29" s="2" t="s">
        <v>108</v>
      </c>
      <c r="E29" s="2" t="s">
        <v>84</v>
      </c>
      <c r="F29" s="3">
        <v>46265</v>
      </c>
      <c r="G29" s="4">
        <v>21</v>
      </c>
      <c r="H29" s="3">
        <v>46272</v>
      </c>
      <c r="I29" s="5">
        <v>997.57</v>
      </c>
      <c r="J29" s="2" t="s">
        <v>11</v>
      </c>
      <c r="K29" t="s">
        <v>546</v>
      </c>
      <c r="O29" s="18">
        <f t="shared" ref="O29:O64" si="12">H29</f>
        <v>46272</v>
      </c>
      <c r="P29" s="19">
        <f t="shared" ref="P29:P62" si="13">I29/3.425</f>
        <v>291.26131386861317</v>
      </c>
    </row>
    <row r="30" spans="1:18" hidden="1" x14ac:dyDescent="0.3">
      <c r="A30" s="2" t="s">
        <v>105</v>
      </c>
      <c r="B30" s="2" t="s">
        <v>109</v>
      </c>
      <c r="C30" s="2" t="s">
        <v>110</v>
      </c>
      <c r="D30" s="2" t="s">
        <v>111</v>
      </c>
      <c r="E30" s="2" t="s">
        <v>84</v>
      </c>
      <c r="F30" s="3">
        <v>46265</v>
      </c>
      <c r="G30" s="4">
        <v>21</v>
      </c>
      <c r="H30" s="3">
        <v>46272</v>
      </c>
      <c r="I30" s="5">
        <v>141.6</v>
      </c>
      <c r="J30" s="2" t="s">
        <v>11</v>
      </c>
      <c r="K30" t="s">
        <v>546</v>
      </c>
      <c r="O30" s="18">
        <f t="shared" si="12"/>
        <v>46272</v>
      </c>
      <c r="P30" s="19">
        <f t="shared" si="13"/>
        <v>41.34306569343066</v>
      </c>
    </row>
    <row r="31" spans="1:18" hidden="1" x14ac:dyDescent="0.3">
      <c r="A31" s="2" t="s">
        <v>105</v>
      </c>
      <c r="B31" s="2" t="s">
        <v>112</v>
      </c>
      <c r="C31" s="2" t="s">
        <v>113</v>
      </c>
      <c r="D31" s="2" t="s">
        <v>114</v>
      </c>
      <c r="E31" s="2" t="s">
        <v>84</v>
      </c>
      <c r="F31" s="3">
        <v>46266</v>
      </c>
      <c r="G31" s="4">
        <v>20</v>
      </c>
      <c r="H31" s="3">
        <v>46273</v>
      </c>
      <c r="I31" s="5">
        <v>752.13</v>
      </c>
      <c r="J31" s="2" t="s">
        <v>11</v>
      </c>
      <c r="K31" t="s">
        <v>546</v>
      </c>
      <c r="O31" s="18">
        <f t="shared" si="12"/>
        <v>46273</v>
      </c>
      <c r="P31" s="19">
        <f t="shared" si="13"/>
        <v>219.60000000000002</v>
      </c>
    </row>
    <row r="32" spans="1:18" hidden="1" x14ac:dyDescent="0.3">
      <c r="A32" s="2" t="s">
        <v>105</v>
      </c>
      <c r="B32" s="2" t="s">
        <v>115</v>
      </c>
      <c r="C32" s="2" t="s">
        <v>116</v>
      </c>
      <c r="D32" s="2" t="s">
        <v>117</v>
      </c>
      <c r="E32" s="2" t="s">
        <v>84</v>
      </c>
      <c r="F32" s="3">
        <v>46266</v>
      </c>
      <c r="G32" s="4">
        <v>20</v>
      </c>
      <c r="H32" s="3">
        <v>46273</v>
      </c>
      <c r="I32" s="5">
        <v>70.8</v>
      </c>
      <c r="J32" s="2" t="s">
        <v>11</v>
      </c>
      <c r="K32" t="s">
        <v>546</v>
      </c>
      <c r="O32" s="18">
        <f t="shared" si="12"/>
        <v>46273</v>
      </c>
      <c r="P32" s="19">
        <f t="shared" si="13"/>
        <v>20.67153284671533</v>
      </c>
    </row>
    <row r="33" spans="1:16" hidden="1" x14ac:dyDescent="0.3">
      <c r="A33" s="2" t="s">
        <v>105</v>
      </c>
      <c r="B33" s="2" t="s">
        <v>118</v>
      </c>
      <c r="C33" s="2" t="s">
        <v>119</v>
      </c>
      <c r="D33" s="2" t="s">
        <v>120</v>
      </c>
      <c r="E33" s="2" t="s">
        <v>84</v>
      </c>
      <c r="F33" s="3">
        <v>46267</v>
      </c>
      <c r="G33" s="4">
        <v>19</v>
      </c>
      <c r="H33" s="3">
        <v>46274</v>
      </c>
      <c r="I33" s="5">
        <v>322.61</v>
      </c>
      <c r="J33" s="2" t="s">
        <v>11</v>
      </c>
      <c r="K33" t="s">
        <v>546</v>
      </c>
      <c r="O33" s="18">
        <f t="shared" si="12"/>
        <v>46274</v>
      </c>
      <c r="P33" s="19">
        <f t="shared" si="13"/>
        <v>94.192700729927012</v>
      </c>
    </row>
    <row r="34" spans="1:16" hidden="1" x14ac:dyDescent="0.3">
      <c r="A34" s="2" t="s">
        <v>105</v>
      </c>
      <c r="B34" s="2" t="s">
        <v>121</v>
      </c>
      <c r="C34" s="2" t="s">
        <v>122</v>
      </c>
      <c r="D34" s="2" t="s">
        <v>123</v>
      </c>
      <c r="E34" s="2" t="s">
        <v>84</v>
      </c>
      <c r="F34" s="3">
        <v>46267</v>
      </c>
      <c r="G34" s="4">
        <v>19</v>
      </c>
      <c r="H34" s="3">
        <v>46274</v>
      </c>
      <c r="I34" s="5">
        <v>70.8</v>
      </c>
      <c r="J34" s="2" t="s">
        <v>11</v>
      </c>
      <c r="K34" t="s">
        <v>546</v>
      </c>
      <c r="O34" s="18">
        <f t="shared" si="12"/>
        <v>46274</v>
      </c>
      <c r="P34" s="19">
        <f t="shared" si="13"/>
        <v>20.67153284671533</v>
      </c>
    </row>
    <row r="35" spans="1:16" hidden="1" x14ac:dyDescent="0.3">
      <c r="A35" s="2" t="s">
        <v>105</v>
      </c>
      <c r="B35" s="2" t="s">
        <v>124</v>
      </c>
      <c r="C35" s="2" t="s">
        <v>125</v>
      </c>
      <c r="D35" s="2" t="s">
        <v>126</v>
      </c>
      <c r="E35" s="2" t="s">
        <v>84</v>
      </c>
      <c r="F35" s="3">
        <v>46268</v>
      </c>
      <c r="G35" s="4">
        <v>18</v>
      </c>
      <c r="H35" s="3">
        <v>46275</v>
      </c>
      <c r="I35" s="5">
        <v>595.9</v>
      </c>
      <c r="J35" s="2" t="s">
        <v>11</v>
      </c>
      <c r="K35" t="s">
        <v>546</v>
      </c>
      <c r="O35" s="18">
        <f t="shared" si="12"/>
        <v>46275</v>
      </c>
      <c r="P35" s="19">
        <f t="shared" si="13"/>
        <v>173.98540145985402</v>
      </c>
    </row>
    <row r="36" spans="1:16" hidden="1" x14ac:dyDescent="0.3">
      <c r="A36" s="2" t="s">
        <v>105</v>
      </c>
      <c r="B36" s="2" t="s">
        <v>127</v>
      </c>
      <c r="C36" s="2" t="s">
        <v>128</v>
      </c>
      <c r="D36" s="2" t="s">
        <v>129</v>
      </c>
      <c r="E36" s="2" t="s">
        <v>84</v>
      </c>
      <c r="F36" s="3">
        <v>46268</v>
      </c>
      <c r="G36" s="4">
        <v>18</v>
      </c>
      <c r="H36" s="3">
        <v>46275</v>
      </c>
      <c r="I36" s="5">
        <v>70.8</v>
      </c>
      <c r="J36" s="2" t="s">
        <v>11</v>
      </c>
      <c r="K36" t="s">
        <v>546</v>
      </c>
      <c r="O36" s="18">
        <f t="shared" si="12"/>
        <v>46275</v>
      </c>
      <c r="P36" s="19">
        <f t="shared" si="13"/>
        <v>20.67153284671533</v>
      </c>
    </row>
    <row r="37" spans="1:16" hidden="1" x14ac:dyDescent="0.3">
      <c r="A37" s="2" t="s">
        <v>105</v>
      </c>
      <c r="B37" s="2" t="s">
        <v>130</v>
      </c>
      <c r="C37" s="2" t="s">
        <v>131</v>
      </c>
      <c r="D37" s="2" t="s">
        <v>132</v>
      </c>
      <c r="E37" s="2" t="s">
        <v>84</v>
      </c>
      <c r="F37" s="3">
        <v>46270</v>
      </c>
      <c r="G37" s="4">
        <v>16</v>
      </c>
      <c r="H37" s="3">
        <v>46277</v>
      </c>
      <c r="I37" s="5">
        <v>630.12</v>
      </c>
      <c r="J37" s="2" t="s">
        <v>11</v>
      </c>
      <c r="K37" t="s">
        <v>546</v>
      </c>
      <c r="O37" s="18">
        <f t="shared" si="12"/>
        <v>46277</v>
      </c>
      <c r="P37" s="19">
        <f t="shared" si="13"/>
        <v>183.97664233576643</v>
      </c>
    </row>
    <row r="38" spans="1:16" hidden="1" x14ac:dyDescent="0.3">
      <c r="A38" s="2" t="s">
        <v>105</v>
      </c>
      <c r="B38" s="2" t="s">
        <v>133</v>
      </c>
      <c r="C38" s="2" t="s">
        <v>134</v>
      </c>
      <c r="D38" s="2" t="s">
        <v>135</v>
      </c>
      <c r="E38" s="2" t="s">
        <v>84</v>
      </c>
      <c r="F38" s="3">
        <v>46270</v>
      </c>
      <c r="G38" s="4">
        <v>16</v>
      </c>
      <c r="H38" s="3">
        <v>46277</v>
      </c>
      <c r="I38" s="5">
        <v>70.8</v>
      </c>
      <c r="J38" s="2" t="s">
        <v>11</v>
      </c>
      <c r="K38" t="s">
        <v>546</v>
      </c>
      <c r="O38" s="18">
        <f t="shared" si="12"/>
        <v>46277</v>
      </c>
      <c r="P38" s="19">
        <f t="shared" si="13"/>
        <v>20.67153284671533</v>
      </c>
    </row>
    <row r="39" spans="1:16" hidden="1" x14ac:dyDescent="0.3">
      <c r="A39" s="2" t="s">
        <v>105</v>
      </c>
      <c r="B39" s="2" t="s">
        <v>136</v>
      </c>
      <c r="C39" s="2" t="s">
        <v>137</v>
      </c>
      <c r="D39" s="2" t="s">
        <v>138</v>
      </c>
      <c r="E39" s="2" t="s">
        <v>84</v>
      </c>
      <c r="F39" s="3">
        <v>46270</v>
      </c>
      <c r="G39" s="4">
        <v>16</v>
      </c>
      <c r="H39" s="3">
        <v>46277</v>
      </c>
      <c r="I39" s="5">
        <v>664.58</v>
      </c>
      <c r="J39" s="2" t="s">
        <v>11</v>
      </c>
      <c r="K39" t="s">
        <v>546</v>
      </c>
      <c r="O39" s="18">
        <f t="shared" si="12"/>
        <v>46277</v>
      </c>
      <c r="P39" s="19">
        <f t="shared" si="13"/>
        <v>194.03795620437958</v>
      </c>
    </row>
    <row r="40" spans="1:16" hidden="1" x14ac:dyDescent="0.3">
      <c r="A40" s="2" t="s">
        <v>105</v>
      </c>
      <c r="B40" s="2" t="s">
        <v>139</v>
      </c>
      <c r="C40" s="2" t="s">
        <v>140</v>
      </c>
      <c r="D40" s="2" t="s">
        <v>141</v>
      </c>
      <c r="E40" s="2" t="s">
        <v>84</v>
      </c>
      <c r="F40" s="3">
        <v>46270</v>
      </c>
      <c r="G40" s="4">
        <v>16</v>
      </c>
      <c r="H40" s="3">
        <v>46277</v>
      </c>
      <c r="I40" s="5">
        <v>70.8</v>
      </c>
      <c r="J40" s="2" t="s">
        <v>11</v>
      </c>
      <c r="K40" t="s">
        <v>546</v>
      </c>
      <c r="O40" s="18">
        <f t="shared" si="12"/>
        <v>46277</v>
      </c>
      <c r="P40" s="19">
        <f t="shared" si="13"/>
        <v>20.67153284671533</v>
      </c>
    </row>
    <row r="41" spans="1:16" hidden="1" x14ac:dyDescent="0.3">
      <c r="A41" s="2" t="s">
        <v>105</v>
      </c>
      <c r="B41" s="2" t="s">
        <v>142</v>
      </c>
      <c r="C41" s="2" t="s">
        <v>143</v>
      </c>
      <c r="D41" s="2" t="s">
        <v>144</v>
      </c>
      <c r="E41" s="2" t="s">
        <v>84</v>
      </c>
      <c r="F41" s="3">
        <v>46271</v>
      </c>
      <c r="G41" s="4">
        <v>15</v>
      </c>
      <c r="H41" s="3">
        <v>46278</v>
      </c>
      <c r="I41" s="5">
        <v>665.52</v>
      </c>
      <c r="J41" s="2" t="s">
        <v>11</v>
      </c>
      <c r="K41" t="s">
        <v>546</v>
      </c>
      <c r="O41" s="18">
        <f t="shared" si="12"/>
        <v>46278</v>
      </c>
      <c r="P41" s="19">
        <f t="shared" si="13"/>
        <v>194.31240875912408</v>
      </c>
    </row>
    <row r="42" spans="1:16" hidden="1" x14ac:dyDescent="0.3">
      <c r="A42" s="2" t="s">
        <v>105</v>
      </c>
      <c r="B42" s="2" t="s">
        <v>145</v>
      </c>
      <c r="C42" s="2" t="s">
        <v>146</v>
      </c>
      <c r="D42" s="2" t="s">
        <v>147</v>
      </c>
      <c r="E42" s="2" t="s">
        <v>84</v>
      </c>
      <c r="F42" s="3">
        <v>46271</v>
      </c>
      <c r="G42" s="4">
        <v>15</v>
      </c>
      <c r="H42" s="3">
        <v>46278</v>
      </c>
      <c r="I42" s="5">
        <v>70.8</v>
      </c>
      <c r="J42" s="2" t="s">
        <v>11</v>
      </c>
      <c r="K42" t="s">
        <v>546</v>
      </c>
      <c r="O42" s="18">
        <f t="shared" si="12"/>
        <v>46278</v>
      </c>
      <c r="P42" s="19">
        <f t="shared" si="13"/>
        <v>20.67153284671533</v>
      </c>
    </row>
    <row r="43" spans="1:16" hidden="1" x14ac:dyDescent="0.3">
      <c r="A43" s="2" t="s">
        <v>105</v>
      </c>
      <c r="B43" s="2" t="s">
        <v>148</v>
      </c>
      <c r="C43" s="2" t="s">
        <v>149</v>
      </c>
      <c r="D43" s="2" t="s">
        <v>150</v>
      </c>
      <c r="E43" s="2" t="s">
        <v>84</v>
      </c>
      <c r="F43" s="3">
        <v>46273</v>
      </c>
      <c r="G43" s="4">
        <v>13</v>
      </c>
      <c r="H43" s="3">
        <v>46280</v>
      </c>
      <c r="I43" s="5">
        <v>285.56</v>
      </c>
      <c r="J43" s="2" t="s">
        <v>11</v>
      </c>
      <c r="K43" t="s">
        <v>546</v>
      </c>
      <c r="O43" s="18">
        <f t="shared" si="12"/>
        <v>46280</v>
      </c>
      <c r="P43" s="19">
        <f t="shared" si="13"/>
        <v>83.375182481751835</v>
      </c>
    </row>
    <row r="44" spans="1:16" hidden="1" x14ac:dyDescent="0.3">
      <c r="A44" s="2" t="s">
        <v>105</v>
      </c>
      <c r="B44" s="2" t="s">
        <v>151</v>
      </c>
      <c r="C44" s="2" t="s">
        <v>152</v>
      </c>
      <c r="D44" s="2" t="s">
        <v>153</v>
      </c>
      <c r="E44" s="2" t="s">
        <v>84</v>
      </c>
      <c r="F44" s="3">
        <v>46273</v>
      </c>
      <c r="G44" s="4">
        <v>13</v>
      </c>
      <c r="H44" s="3">
        <v>46280</v>
      </c>
      <c r="I44" s="5">
        <v>47.2</v>
      </c>
      <c r="J44" s="2" t="s">
        <v>11</v>
      </c>
      <c r="K44" t="s">
        <v>546</v>
      </c>
      <c r="O44" s="18">
        <f t="shared" si="12"/>
        <v>46280</v>
      </c>
      <c r="P44" s="19">
        <f t="shared" si="13"/>
        <v>13.78102189781022</v>
      </c>
    </row>
    <row r="45" spans="1:16" hidden="1" x14ac:dyDescent="0.3">
      <c r="A45" s="2" t="s">
        <v>105</v>
      </c>
      <c r="B45" s="2" t="s">
        <v>154</v>
      </c>
      <c r="C45" s="2" t="s">
        <v>155</v>
      </c>
      <c r="D45" s="2" t="s">
        <v>156</v>
      </c>
      <c r="E45" s="2" t="s">
        <v>84</v>
      </c>
      <c r="F45" s="3">
        <v>46274</v>
      </c>
      <c r="G45" s="4">
        <v>12</v>
      </c>
      <c r="H45" s="3">
        <v>46281</v>
      </c>
      <c r="I45" s="5">
        <v>593.78</v>
      </c>
      <c r="J45" s="2" t="s">
        <v>11</v>
      </c>
      <c r="K45" t="s">
        <v>546</v>
      </c>
      <c r="O45" s="18">
        <f t="shared" si="12"/>
        <v>46281</v>
      </c>
      <c r="P45" s="19">
        <f t="shared" si="13"/>
        <v>173.36642335766425</v>
      </c>
    </row>
    <row r="46" spans="1:16" hidden="1" x14ac:dyDescent="0.3">
      <c r="A46" s="2" t="s">
        <v>105</v>
      </c>
      <c r="B46" s="2" t="s">
        <v>157</v>
      </c>
      <c r="C46" s="2" t="s">
        <v>158</v>
      </c>
      <c r="D46" s="2" t="s">
        <v>159</v>
      </c>
      <c r="E46" s="2" t="s">
        <v>84</v>
      </c>
      <c r="F46" s="3">
        <v>46274</v>
      </c>
      <c r="G46" s="4">
        <v>12</v>
      </c>
      <c r="H46" s="3">
        <v>46281</v>
      </c>
      <c r="I46" s="5">
        <v>70.8</v>
      </c>
      <c r="J46" s="2" t="s">
        <v>11</v>
      </c>
      <c r="K46" t="s">
        <v>546</v>
      </c>
      <c r="O46" s="18">
        <f t="shared" si="12"/>
        <v>46281</v>
      </c>
      <c r="P46" s="19">
        <f t="shared" si="13"/>
        <v>20.67153284671533</v>
      </c>
    </row>
    <row r="47" spans="1:16" hidden="1" x14ac:dyDescent="0.3">
      <c r="A47" s="2" t="s">
        <v>105</v>
      </c>
      <c r="B47" s="2" t="s">
        <v>160</v>
      </c>
      <c r="C47" s="2" t="s">
        <v>161</v>
      </c>
      <c r="D47" s="2" t="s">
        <v>162</v>
      </c>
      <c r="E47" s="2" t="s">
        <v>84</v>
      </c>
      <c r="F47" s="3">
        <v>46274</v>
      </c>
      <c r="G47" s="4">
        <v>12</v>
      </c>
      <c r="H47" s="3">
        <v>46281</v>
      </c>
      <c r="I47" s="5">
        <v>308.22000000000003</v>
      </c>
      <c r="J47" s="2" t="s">
        <v>11</v>
      </c>
      <c r="K47" t="s">
        <v>546</v>
      </c>
      <c r="O47" s="18">
        <f t="shared" si="12"/>
        <v>46281</v>
      </c>
      <c r="P47" s="19">
        <f t="shared" si="13"/>
        <v>89.991240875912425</v>
      </c>
    </row>
    <row r="48" spans="1:16" hidden="1" x14ac:dyDescent="0.3">
      <c r="A48" s="2" t="s">
        <v>105</v>
      </c>
      <c r="B48" s="2" t="s">
        <v>163</v>
      </c>
      <c r="C48" s="2" t="s">
        <v>164</v>
      </c>
      <c r="D48" s="2" t="s">
        <v>165</v>
      </c>
      <c r="E48" s="2" t="s">
        <v>84</v>
      </c>
      <c r="F48" s="3">
        <v>46274</v>
      </c>
      <c r="G48" s="4">
        <v>12</v>
      </c>
      <c r="H48" s="3">
        <v>46281</v>
      </c>
      <c r="I48" s="5">
        <v>47.2</v>
      </c>
      <c r="J48" s="2" t="s">
        <v>11</v>
      </c>
      <c r="K48" t="s">
        <v>546</v>
      </c>
      <c r="O48" s="18">
        <f t="shared" si="12"/>
        <v>46281</v>
      </c>
      <c r="P48" s="19">
        <f t="shared" si="13"/>
        <v>13.78102189781022</v>
      </c>
    </row>
    <row r="49" spans="1:18" hidden="1" x14ac:dyDescent="0.3">
      <c r="A49" s="2" t="s">
        <v>105</v>
      </c>
      <c r="B49" s="2" t="s">
        <v>166</v>
      </c>
      <c r="C49" s="2" t="s">
        <v>167</v>
      </c>
      <c r="D49" s="2" t="s">
        <v>168</v>
      </c>
      <c r="E49" s="2" t="s">
        <v>84</v>
      </c>
      <c r="F49" s="3">
        <v>46275</v>
      </c>
      <c r="G49" s="4">
        <v>11</v>
      </c>
      <c r="H49" s="3">
        <v>46282</v>
      </c>
      <c r="I49" s="5">
        <v>455.24</v>
      </c>
      <c r="J49" s="2" t="s">
        <v>11</v>
      </c>
      <c r="K49" t="s">
        <v>546</v>
      </c>
      <c r="O49" s="18">
        <f t="shared" si="12"/>
        <v>46282</v>
      </c>
      <c r="P49" s="19">
        <f t="shared" si="13"/>
        <v>132.9167883211679</v>
      </c>
    </row>
    <row r="50" spans="1:18" hidden="1" x14ac:dyDescent="0.3">
      <c r="A50" s="2" t="s">
        <v>105</v>
      </c>
      <c r="B50" s="2" t="s">
        <v>169</v>
      </c>
      <c r="C50" s="2" t="s">
        <v>170</v>
      </c>
      <c r="D50" s="2" t="s">
        <v>171</v>
      </c>
      <c r="E50" s="2" t="s">
        <v>84</v>
      </c>
      <c r="F50" s="3">
        <v>46275</v>
      </c>
      <c r="G50" s="4">
        <v>11</v>
      </c>
      <c r="H50" s="3">
        <v>46282</v>
      </c>
      <c r="I50" s="5">
        <v>47.2</v>
      </c>
      <c r="J50" s="2" t="s">
        <v>11</v>
      </c>
      <c r="K50" t="s">
        <v>546</v>
      </c>
      <c r="O50" s="18">
        <f t="shared" si="12"/>
        <v>46282</v>
      </c>
      <c r="P50" s="19">
        <f t="shared" si="13"/>
        <v>13.78102189781022</v>
      </c>
    </row>
    <row r="51" spans="1:18" hidden="1" x14ac:dyDescent="0.3">
      <c r="A51" s="2" t="s">
        <v>105</v>
      </c>
      <c r="B51" s="2" t="s">
        <v>172</v>
      </c>
      <c r="C51" s="2" t="s">
        <v>173</v>
      </c>
      <c r="D51" s="2" t="s">
        <v>174</v>
      </c>
      <c r="E51" s="2" t="s">
        <v>84</v>
      </c>
      <c r="F51" s="3">
        <v>46275</v>
      </c>
      <c r="G51" s="4">
        <v>11</v>
      </c>
      <c r="H51" s="3">
        <v>46282</v>
      </c>
      <c r="I51" s="5">
        <v>518.26</v>
      </c>
      <c r="J51" s="2" t="s">
        <v>11</v>
      </c>
      <c r="K51" t="s">
        <v>546</v>
      </c>
      <c r="O51" s="18">
        <f t="shared" si="12"/>
        <v>46282</v>
      </c>
      <c r="P51" s="19">
        <f t="shared" si="13"/>
        <v>151.31678832116788</v>
      </c>
    </row>
    <row r="52" spans="1:18" hidden="1" x14ac:dyDescent="0.3">
      <c r="A52" s="2" t="s">
        <v>105</v>
      </c>
      <c r="B52" s="2" t="s">
        <v>175</v>
      </c>
      <c r="C52" s="2" t="s">
        <v>176</v>
      </c>
      <c r="D52" s="2" t="s">
        <v>177</v>
      </c>
      <c r="E52" s="2" t="s">
        <v>84</v>
      </c>
      <c r="F52" s="3">
        <v>46275</v>
      </c>
      <c r="G52" s="4">
        <v>11</v>
      </c>
      <c r="H52" s="3">
        <v>46282</v>
      </c>
      <c r="I52" s="5">
        <v>47.2</v>
      </c>
      <c r="J52" s="2" t="s">
        <v>11</v>
      </c>
      <c r="K52" t="s">
        <v>546</v>
      </c>
      <c r="O52" s="18">
        <f t="shared" si="12"/>
        <v>46282</v>
      </c>
      <c r="P52" s="19">
        <f t="shared" si="13"/>
        <v>13.78102189781022</v>
      </c>
    </row>
    <row r="53" spans="1:18" hidden="1" x14ac:dyDescent="0.3">
      <c r="A53" s="2" t="s">
        <v>105</v>
      </c>
      <c r="B53" s="2" t="s">
        <v>178</v>
      </c>
      <c r="C53" s="2" t="s">
        <v>179</v>
      </c>
      <c r="D53" s="2" t="s">
        <v>180</v>
      </c>
      <c r="E53" s="2" t="s">
        <v>84</v>
      </c>
      <c r="F53" s="3">
        <v>46276</v>
      </c>
      <c r="G53" s="4">
        <v>10</v>
      </c>
      <c r="H53" s="3">
        <v>46283</v>
      </c>
      <c r="I53" s="5">
        <v>445.8</v>
      </c>
      <c r="J53" s="2" t="s">
        <v>11</v>
      </c>
      <c r="K53" t="s">
        <v>546</v>
      </c>
      <c r="O53" s="18">
        <f t="shared" si="12"/>
        <v>46283</v>
      </c>
      <c r="P53" s="19">
        <f t="shared" si="13"/>
        <v>130.16058394160584</v>
      </c>
    </row>
    <row r="54" spans="1:18" hidden="1" x14ac:dyDescent="0.3">
      <c r="A54" s="2" t="s">
        <v>105</v>
      </c>
      <c r="B54" s="2" t="s">
        <v>181</v>
      </c>
      <c r="C54" s="2" t="s">
        <v>182</v>
      </c>
      <c r="D54" s="2" t="s">
        <v>183</v>
      </c>
      <c r="E54" s="2" t="s">
        <v>84</v>
      </c>
      <c r="F54" s="3">
        <v>46276</v>
      </c>
      <c r="G54" s="4">
        <v>10</v>
      </c>
      <c r="H54" s="3">
        <v>46283</v>
      </c>
      <c r="I54" s="5">
        <v>47.2</v>
      </c>
      <c r="J54" s="2" t="s">
        <v>11</v>
      </c>
      <c r="K54" t="s">
        <v>546</v>
      </c>
      <c r="O54" s="18">
        <f t="shared" si="12"/>
        <v>46283</v>
      </c>
      <c r="P54" s="19">
        <f t="shared" si="13"/>
        <v>13.78102189781022</v>
      </c>
    </row>
    <row r="55" spans="1:18" hidden="1" x14ac:dyDescent="0.3">
      <c r="A55" s="2" t="s">
        <v>105</v>
      </c>
      <c r="B55" s="2" t="s">
        <v>184</v>
      </c>
      <c r="C55" s="2" t="s">
        <v>185</v>
      </c>
      <c r="D55" s="2" t="s">
        <v>186</v>
      </c>
      <c r="E55" s="2" t="s">
        <v>84</v>
      </c>
      <c r="F55" s="3">
        <v>46276</v>
      </c>
      <c r="G55" s="4">
        <v>10</v>
      </c>
      <c r="H55" s="3">
        <v>46283</v>
      </c>
      <c r="I55" s="5">
        <v>476.25</v>
      </c>
      <c r="J55" s="2" t="s">
        <v>11</v>
      </c>
      <c r="K55" t="s">
        <v>546</v>
      </c>
      <c r="O55" s="18">
        <f t="shared" si="12"/>
        <v>46283</v>
      </c>
      <c r="P55" s="19">
        <f t="shared" si="13"/>
        <v>139.05109489051097</v>
      </c>
    </row>
    <row r="56" spans="1:18" hidden="1" x14ac:dyDescent="0.3">
      <c r="A56" s="2" t="s">
        <v>105</v>
      </c>
      <c r="B56" s="2" t="s">
        <v>187</v>
      </c>
      <c r="C56" s="2" t="s">
        <v>188</v>
      </c>
      <c r="D56" s="2" t="s">
        <v>189</v>
      </c>
      <c r="E56" s="2" t="s">
        <v>84</v>
      </c>
      <c r="F56" s="3">
        <v>46276</v>
      </c>
      <c r="G56" s="4">
        <v>10</v>
      </c>
      <c r="H56" s="3">
        <v>46283</v>
      </c>
      <c r="I56" s="5">
        <v>47.2</v>
      </c>
      <c r="J56" s="2" t="s">
        <v>11</v>
      </c>
      <c r="K56" t="s">
        <v>546</v>
      </c>
      <c r="O56" s="18">
        <f t="shared" si="12"/>
        <v>46283</v>
      </c>
      <c r="P56" s="19">
        <f t="shared" si="13"/>
        <v>13.78102189781022</v>
      </c>
    </row>
    <row r="57" spans="1:18" hidden="1" x14ac:dyDescent="0.3">
      <c r="A57" s="2" t="s">
        <v>105</v>
      </c>
      <c r="B57" s="2" t="s">
        <v>190</v>
      </c>
      <c r="C57" s="2" t="s">
        <v>191</v>
      </c>
      <c r="D57" s="2" t="s">
        <v>192</v>
      </c>
      <c r="E57" s="2" t="s">
        <v>84</v>
      </c>
      <c r="F57" s="3">
        <v>46277</v>
      </c>
      <c r="G57" s="4">
        <v>9</v>
      </c>
      <c r="H57" s="3">
        <v>46284</v>
      </c>
      <c r="I57" s="5">
        <v>279.66000000000003</v>
      </c>
      <c r="J57" s="2" t="s">
        <v>11</v>
      </c>
      <c r="K57" t="s">
        <v>546</v>
      </c>
      <c r="O57" s="18">
        <f t="shared" si="12"/>
        <v>46284</v>
      </c>
      <c r="P57" s="19">
        <f t="shared" si="13"/>
        <v>81.65255474452556</v>
      </c>
    </row>
    <row r="58" spans="1:18" hidden="1" x14ac:dyDescent="0.3">
      <c r="A58" s="2" t="s">
        <v>105</v>
      </c>
      <c r="B58" s="2" t="s">
        <v>193</v>
      </c>
      <c r="C58" s="2" t="s">
        <v>194</v>
      </c>
      <c r="D58" s="2" t="s">
        <v>195</v>
      </c>
      <c r="E58" s="2" t="s">
        <v>84</v>
      </c>
      <c r="F58" s="3">
        <v>46277</v>
      </c>
      <c r="G58" s="4">
        <v>9</v>
      </c>
      <c r="H58" s="3">
        <v>46284</v>
      </c>
      <c r="I58" s="5">
        <v>47.2</v>
      </c>
      <c r="J58" s="2" t="s">
        <v>11</v>
      </c>
      <c r="K58" t="s">
        <v>546</v>
      </c>
      <c r="O58" s="18">
        <f t="shared" si="12"/>
        <v>46284</v>
      </c>
      <c r="P58" s="19">
        <f t="shared" si="13"/>
        <v>13.78102189781022</v>
      </c>
    </row>
    <row r="59" spans="1:18" hidden="1" x14ac:dyDescent="0.3">
      <c r="A59" s="2" t="s">
        <v>105</v>
      </c>
      <c r="B59" s="2" t="s">
        <v>196</v>
      </c>
      <c r="C59" s="2" t="s">
        <v>197</v>
      </c>
      <c r="D59" s="2" t="s">
        <v>198</v>
      </c>
      <c r="E59" s="2" t="s">
        <v>84</v>
      </c>
      <c r="F59" s="3">
        <v>46278</v>
      </c>
      <c r="G59" s="4">
        <v>8</v>
      </c>
      <c r="H59" s="3">
        <v>46285</v>
      </c>
      <c r="I59" s="5">
        <v>175.58</v>
      </c>
      <c r="J59" s="2" t="s">
        <v>11</v>
      </c>
      <c r="K59" t="s">
        <v>546</v>
      </c>
      <c r="O59" s="18">
        <f t="shared" si="12"/>
        <v>46285</v>
      </c>
      <c r="P59" s="19">
        <f t="shared" si="13"/>
        <v>51.26423357664234</v>
      </c>
    </row>
    <row r="60" spans="1:18" hidden="1" x14ac:dyDescent="0.3">
      <c r="A60" s="2" t="s">
        <v>105</v>
      </c>
      <c r="B60" s="2" t="s">
        <v>199</v>
      </c>
      <c r="C60" s="2" t="s">
        <v>200</v>
      </c>
      <c r="D60" s="2" t="s">
        <v>201</v>
      </c>
      <c r="E60" s="2" t="s">
        <v>84</v>
      </c>
      <c r="F60" s="3">
        <v>46278</v>
      </c>
      <c r="G60" s="4">
        <v>8</v>
      </c>
      <c r="H60" s="3">
        <v>46285</v>
      </c>
      <c r="I60" s="5">
        <v>47.2</v>
      </c>
      <c r="J60" s="2" t="s">
        <v>11</v>
      </c>
      <c r="K60" t="s">
        <v>546</v>
      </c>
      <c r="O60" s="18">
        <f t="shared" si="12"/>
        <v>46285</v>
      </c>
      <c r="P60" s="19">
        <f t="shared" si="13"/>
        <v>13.78102189781022</v>
      </c>
    </row>
    <row r="61" spans="1:18" hidden="1" x14ac:dyDescent="0.3">
      <c r="A61" s="2" t="s">
        <v>105</v>
      </c>
      <c r="B61" s="2" t="s">
        <v>202</v>
      </c>
      <c r="C61" s="2" t="s">
        <v>203</v>
      </c>
      <c r="D61" s="2" t="s">
        <v>204</v>
      </c>
      <c r="E61" s="2" t="s">
        <v>84</v>
      </c>
      <c r="F61" s="3">
        <v>46286</v>
      </c>
      <c r="G61" s="4">
        <v>0</v>
      </c>
      <c r="H61" s="3">
        <v>46293</v>
      </c>
      <c r="I61" s="5">
        <v>70.8</v>
      </c>
      <c r="J61" s="2" t="s">
        <v>11</v>
      </c>
      <c r="K61" t="s">
        <v>546</v>
      </c>
      <c r="O61" s="18">
        <f t="shared" si="12"/>
        <v>46293</v>
      </c>
      <c r="P61" s="19">
        <f t="shared" si="13"/>
        <v>20.67153284671533</v>
      </c>
    </row>
    <row r="62" spans="1:18" hidden="1" x14ac:dyDescent="0.3">
      <c r="A62" s="2" t="s">
        <v>105</v>
      </c>
      <c r="B62" s="2" t="s">
        <v>205</v>
      </c>
      <c r="C62" s="2" t="s">
        <v>206</v>
      </c>
      <c r="D62" s="2" t="s">
        <v>207</v>
      </c>
      <c r="E62" s="2" t="s">
        <v>84</v>
      </c>
      <c r="F62" s="3">
        <v>46286</v>
      </c>
      <c r="G62" s="4">
        <v>0</v>
      </c>
      <c r="H62" s="3">
        <v>46293</v>
      </c>
      <c r="I62" s="5">
        <v>579.62</v>
      </c>
      <c r="J62" s="2" t="s">
        <v>11</v>
      </c>
      <c r="K62" t="s">
        <v>546</v>
      </c>
      <c r="O62" s="18">
        <f t="shared" si="12"/>
        <v>46293</v>
      </c>
      <c r="P62" s="19">
        <f t="shared" si="13"/>
        <v>169.23211678832118</v>
      </c>
    </row>
    <row r="63" spans="1:18" x14ac:dyDescent="0.3">
      <c r="A63" s="2" t="s">
        <v>208</v>
      </c>
      <c r="B63" s="2" t="s">
        <v>209</v>
      </c>
      <c r="C63" s="2" t="s">
        <v>210</v>
      </c>
      <c r="D63" s="2" t="s">
        <v>211</v>
      </c>
      <c r="E63" s="2" t="s">
        <v>64</v>
      </c>
      <c r="F63" s="3">
        <v>46139</v>
      </c>
      <c r="G63" s="4">
        <v>154</v>
      </c>
      <c r="H63" s="3">
        <v>46139</v>
      </c>
      <c r="I63" s="5">
        <v>15163</v>
      </c>
      <c r="J63" s="2" t="s">
        <v>69</v>
      </c>
      <c r="K63" t="s">
        <v>553</v>
      </c>
      <c r="L63" s="18">
        <f t="shared" ref="L63:L64" si="14">F63+60</f>
        <v>46199</v>
      </c>
      <c r="M63" s="20">
        <f t="shared" ref="M63:M64" ca="1" si="15">TODAY()-N63</f>
        <v>-17</v>
      </c>
      <c r="N63" s="18">
        <v>46310</v>
      </c>
      <c r="O63" s="18">
        <v>46310</v>
      </c>
      <c r="P63" s="10">
        <f t="shared" ref="P63:P64" si="16">I63</f>
        <v>15163</v>
      </c>
      <c r="Q63" s="20">
        <f t="shared" ref="Q63:Q64" ca="1" si="17">TODAY()-F63</f>
        <v>154</v>
      </c>
      <c r="R63" t="s">
        <v>567</v>
      </c>
    </row>
    <row r="64" spans="1:18" x14ac:dyDescent="0.3">
      <c r="A64" s="2" t="s">
        <v>212</v>
      </c>
      <c r="B64" s="2" t="s">
        <v>213</v>
      </c>
      <c r="C64" s="2" t="s">
        <v>214</v>
      </c>
      <c r="D64" s="2" t="s">
        <v>215</v>
      </c>
      <c r="E64" s="2" t="s">
        <v>64</v>
      </c>
      <c r="F64" s="3">
        <v>46280</v>
      </c>
      <c r="G64" s="4">
        <v>0</v>
      </c>
      <c r="H64" s="3">
        <v>46280</v>
      </c>
      <c r="I64" s="6">
        <v>-13448</v>
      </c>
      <c r="J64" s="2" t="s">
        <v>69</v>
      </c>
      <c r="K64" t="s">
        <v>553</v>
      </c>
      <c r="L64" s="18">
        <f t="shared" si="14"/>
        <v>46340</v>
      </c>
      <c r="M64" s="20">
        <f t="shared" ca="1" si="15"/>
        <v>46293</v>
      </c>
      <c r="N64" s="18"/>
      <c r="O64" s="18">
        <f t="shared" si="12"/>
        <v>46280</v>
      </c>
      <c r="P64" s="10">
        <f t="shared" si="16"/>
        <v>-13448</v>
      </c>
      <c r="Q64" s="20">
        <f t="shared" ca="1" si="17"/>
        <v>13</v>
      </c>
      <c r="R64" t="s">
        <v>564</v>
      </c>
    </row>
    <row r="65" spans="1:16" hidden="1" x14ac:dyDescent="0.3">
      <c r="A65" s="2" t="s">
        <v>216</v>
      </c>
      <c r="B65" s="2" t="s">
        <v>217</v>
      </c>
      <c r="C65" s="2" t="s">
        <v>218</v>
      </c>
      <c r="D65" s="2" t="s">
        <v>219</v>
      </c>
      <c r="E65" s="2" t="s">
        <v>10</v>
      </c>
      <c r="F65" s="3">
        <v>46262</v>
      </c>
      <c r="G65" s="4">
        <v>24</v>
      </c>
      <c r="H65" s="3">
        <v>46269</v>
      </c>
      <c r="I65" s="5">
        <v>4293.67</v>
      </c>
      <c r="J65" s="2" t="s">
        <v>69</v>
      </c>
      <c r="K65" t="s">
        <v>552</v>
      </c>
      <c r="O65" s="18">
        <f>H65</f>
        <v>46269</v>
      </c>
      <c r="P65" s="10">
        <f>I65</f>
        <v>4293.67</v>
      </c>
    </row>
    <row r="66" spans="1:16" hidden="1" x14ac:dyDescent="0.3">
      <c r="A66" s="2" t="s">
        <v>216</v>
      </c>
      <c r="B66" s="2" t="s">
        <v>220</v>
      </c>
      <c r="C66" s="2" t="s">
        <v>221</v>
      </c>
      <c r="D66" s="2" t="s">
        <v>222</v>
      </c>
      <c r="E66" s="2" t="s">
        <v>10</v>
      </c>
      <c r="F66" s="3">
        <v>46267</v>
      </c>
      <c r="G66" s="4">
        <v>19</v>
      </c>
      <c r="H66" s="3">
        <v>46274</v>
      </c>
      <c r="I66" s="5">
        <v>20060</v>
      </c>
      <c r="J66" s="2" t="s">
        <v>69</v>
      </c>
      <c r="K66" t="s">
        <v>552</v>
      </c>
      <c r="O66" s="18">
        <f>H66</f>
        <v>46274</v>
      </c>
      <c r="P66" s="10">
        <f>I66</f>
        <v>20060</v>
      </c>
    </row>
    <row r="67" spans="1:16" hidden="1" x14ac:dyDescent="0.3">
      <c r="A67" s="2" t="s">
        <v>223</v>
      </c>
      <c r="B67" s="2" t="s">
        <v>224</v>
      </c>
      <c r="C67" s="2" t="s">
        <v>225</v>
      </c>
      <c r="D67" s="2" t="s">
        <v>226</v>
      </c>
      <c r="E67" s="2" t="s">
        <v>10</v>
      </c>
      <c r="F67" s="3">
        <v>46272</v>
      </c>
      <c r="G67" s="4">
        <v>14</v>
      </c>
      <c r="H67" s="3">
        <v>46279</v>
      </c>
      <c r="I67" s="5">
        <v>756.85</v>
      </c>
      <c r="J67" s="2" t="s">
        <v>11</v>
      </c>
      <c r="K67" t="s">
        <v>546</v>
      </c>
      <c r="O67" s="18">
        <f t="shared" ref="O67:O118" si="18">H67</f>
        <v>46279</v>
      </c>
      <c r="P67" s="19">
        <f t="shared" ref="P67:P118" si="19">I67/3.425</f>
        <v>220.97810218978103</v>
      </c>
    </row>
    <row r="68" spans="1:16" hidden="1" x14ac:dyDescent="0.3">
      <c r="A68" s="2" t="s">
        <v>223</v>
      </c>
      <c r="B68" s="2" t="s">
        <v>227</v>
      </c>
      <c r="C68" s="2" t="s">
        <v>228</v>
      </c>
      <c r="D68" s="2" t="s">
        <v>229</v>
      </c>
      <c r="E68" s="2" t="s">
        <v>10</v>
      </c>
      <c r="F68" s="3">
        <v>46272</v>
      </c>
      <c r="G68" s="4">
        <v>14</v>
      </c>
      <c r="H68" s="3">
        <v>46279</v>
      </c>
      <c r="I68" s="5">
        <v>70.8</v>
      </c>
      <c r="J68" s="2" t="s">
        <v>11</v>
      </c>
      <c r="K68" t="s">
        <v>546</v>
      </c>
      <c r="O68" s="18">
        <f t="shared" si="18"/>
        <v>46279</v>
      </c>
      <c r="P68" s="19">
        <f t="shared" si="19"/>
        <v>20.67153284671533</v>
      </c>
    </row>
    <row r="69" spans="1:16" hidden="1" x14ac:dyDescent="0.3">
      <c r="A69" s="2" t="s">
        <v>223</v>
      </c>
      <c r="B69" s="2" t="s">
        <v>230</v>
      </c>
      <c r="C69" s="2" t="s">
        <v>231</v>
      </c>
      <c r="D69" s="2" t="s">
        <v>232</v>
      </c>
      <c r="E69" s="2" t="s">
        <v>10</v>
      </c>
      <c r="F69" s="3">
        <v>46272</v>
      </c>
      <c r="G69" s="4">
        <v>14</v>
      </c>
      <c r="H69" s="3">
        <v>46279</v>
      </c>
      <c r="I69" s="5">
        <v>557.72</v>
      </c>
      <c r="J69" s="2" t="s">
        <v>11</v>
      </c>
      <c r="K69" t="s">
        <v>546</v>
      </c>
      <c r="O69" s="18">
        <f t="shared" si="18"/>
        <v>46279</v>
      </c>
      <c r="P69" s="19">
        <f t="shared" si="19"/>
        <v>162.83795620437957</v>
      </c>
    </row>
    <row r="70" spans="1:16" hidden="1" x14ac:dyDescent="0.3">
      <c r="A70" s="2" t="s">
        <v>223</v>
      </c>
      <c r="B70" s="2" t="s">
        <v>233</v>
      </c>
      <c r="C70" s="2" t="s">
        <v>234</v>
      </c>
      <c r="D70" s="2" t="s">
        <v>235</v>
      </c>
      <c r="E70" s="2" t="s">
        <v>10</v>
      </c>
      <c r="F70" s="3">
        <v>46272</v>
      </c>
      <c r="G70" s="4">
        <v>14</v>
      </c>
      <c r="H70" s="3">
        <v>46279</v>
      </c>
      <c r="I70" s="5">
        <v>153.4</v>
      </c>
      <c r="J70" s="2" t="s">
        <v>11</v>
      </c>
      <c r="K70" t="s">
        <v>546</v>
      </c>
      <c r="O70" s="18">
        <f t="shared" si="18"/>
        <v>46279</v>
      </c>
      <c r="P70" s="19">
        <f t="shared" si="19"/>
        <v>44.788321167883218</v>
      </c>
    </row>
    <row r="71" spans="1:16" hidden="1" x14ac:dyDescent="0.3">
      <c r="A71" s="2" t="s">
        <v>223</v>
      </c>
      <c r="B71" s="2" t="s">
        <v>236</v>
      </c>
      <c r="C71" s="2" t="s">
        <v>237</v>
      </c>
      <c r="D71" s="2" t="s">
        <v>238</v>
      </c>
      <c r="E71" s="2" t="s">
        <v>10</v>
      </c>
      <c r="F71" s="3">
        <v>46272</v>
      </c>
      <c r="G71" s="4">
        <v>14</v>
      </c>
      <c r="H71" s="3">
        <v>46279</v>
      </c>
      <c r="I71" s="5">
        <v>646.64</v>
      </c>
      <c r="J71" s="2" t="s">
        <v>11</v>
      </c>
      <c r="K71" t="s">
        <v>546</v>
      </c>
      <c r="O71" s="18">
        <f t="shared" si="18"/>
        <v>46279</v>
      </c>
      <c r="P71" s="19">
        <f t="shared" si="19"/>
        <v>188.8</v>
      </c>
    </row>
    <row r="72" spans="1:16" hidden="1" x14ac:dyDescent="0.3">
      <c r="A72" s="2" t="s">
        <v>223</v>
      </c>
      <c r="B72" s="2" t="s">
        <v>239</v>
      </c>
      <c r="C72" s="2" t="s">
        <v>240</v>
      </c>
      <c r="D72" s="2" t="s">
        <v>241</v>
      </c>
      <c r="E72" s="2" t="s">
        <v>10</v>
      </c>
      <c r="F72" s="3">
        <v>46272</v>
      </c>
      <c r="G72" s="4">
        <v>14</v>
      </c>
      <c r="H72" s="3">
        <v>46279</v>
      </c>
      <c r="I72" s="5">
        <v>70.8</v>
      </c>
      <c r="J72" s="2" t="s">
        <v>11</v>
      </c>
      <c r="K72" t="s">
        <v>546</v>
      </c>
      <c r="O72" s="18">
        <f t="shared" si="18"/>
        <v>46279</v>
      </c>
      <c r="P72" s="19">
        <f t="shared" si="19"/>
        <v>20.67153284671533</v>
      </c>
    </row>
    <row r="73" spans="1:16" hidden="1" x14ac:dyDescent="0.3">
      <c r="A73" s="2" t="s">
        <v>223</v>
      </c>
      <c r="B73" s="2" t="s">
        <v>242</v>
      </c>
      <c r="C73" s="2" t="s">
        <v>243</v>
      </c>
      <c r="D73" s="2" t="s">
        <v>244</v>
      </c>
      <c r="E73" s="2" t="s">
        <v>10</v>
      </c>
      <c r="F73" s="3">
        <v>46272</v>
      </c>
      <c r="G73" s="4">
        <v>14</v>
      </c>
      <c r="H73" s="3">
        <v>46279</v>
      </c>
      <c r="I73" s="5">
        <v>578.86</v>
      </c>
      <c r="J73" s="2" t="s">
        <v>11</v>
      </c>
      <c r="K73" t="s">
        <v>546</v>
      </c>
      <c r="O73" s="18">
        <f t="shared" si="18"/>
        <v>46279</v>
      </c>
      <c r="P73" s="19">
        <f t="shared" si="19"/>
        <v>169.01021897810222</v>
      </c>
    </row>
    <row r="74" spans="1:16" hidden="1" x14ac:dyDescent="0.3">
      <c r="A74" s="2" t="s">
        <v>223</v>
      </c>
      <c r="B74" s="2" t="s">
        <v>245</v>
      </c>
      <c r="C74" s="2" t="s">
        <v>246</v>
      </c>
      <c r="D74" s="2" t="s">
        <v>247</v>
      </c>
      <c r="E74" s="2" t="s">
        <v>10</v>
      </c>
      <c r="F74" s="3">
        <v>46272</v>
      </c>
      <c r="G74" s="4">
        <v>14</v>
      </c>
      <c r="H74" s="3">
        <v>46279</v>
      </c>
      <c r="I74" s="5">
        <v>153.4</v>
      </c>
      <c r="J74" s="2" t="s">
        <v>11</v>
      </c>
      <c r="K74" t="s">
        <v>546</v>
      </c>
      <c r="O74" s="18">
        <f t="shared" si="18"/>
        <v>46279</v>
      </c>
      <c r="P74" s="19">
        <f t="shared" si="19"/>
        <v>44.788321167883218</v>
      </c>
    </row>
    <row r="75" spans="1:16" hidden="1" x14ac:dyDescent="0.3">
      <c r="A75" s="2" t="s">
        <v>223</v>
      </c>
      <c r="B75" s="2" t="s">
        <v>248</v>
      </c>
      <c r="C75" s="2" t="s">
        <v>249</v>
      </c>
      <c r="D75" s="2" t="s">
        <v>250</v>
      </c>
      <c r="E75" s="2" t="s">
        <v>10</v>
      </c>
      <c r="F75" s="3">
        <v>46273</v>
      </c>
      <c r="G75" s="4">
        <v>13</v>
      </c>
      <c r="H75" s="3">
        <v>46280</v>
      </c>
      <c r="I75" s="5">
        <v>596.37</v>
      </c>
      <c r="J75" s="2" t="s">
        <v>11</v>
      </c>
      <c r="K75" t="s">
        <v>546</v>
      </c>
      <c r="O75" s="18">
        <f t="shared" si="18"/>
        <v>46280</v>
      </c>
      <c r="P75" s="19">
        <f t="shared" si="19"/>
        <v>174.12262773722628</v>
      </c>
    </row>
    <row r="76" spans="1:16" hidden="1" x14ac:dyDescent="0.3">
      <c r="A76" s="2" t="s">
        <v>223</v>
      </c>
      <c r="B76" s="2" t="s">
        <v>251</v>
      </c>
      <c r="C76" s="2" t="s">
        <v>252</v>
      </c>
      <c r="D76" s="2" t="s">
        <v>253</v>
      </c>
      <c r="E76" s="2" t="s">
        <v>10</v>
      </c>
      <c r="F76" s="3">
        <v>46273</v>
      </c>
      <c r="G76" s="4">
        <v>13</v>
      </c>
      <c r="H76" s="3">
        <v>46280</v>
      </c>
      <c r="I76" s="5">
        <v>194.7</v>
      </c>
      <c r="J76" s="2" t="s">
        <v>11</v>
      </c>
      <c r="K76" t="s">
        <v>546</v>
      </c>
      <c r="O76" s="18">
        <f t="shared" si="18"/>
        <v>46280</v>
      </c>
      <c r="P76" s="19">
        <f t="shared" si="19"/>
        <v>56.846715328467155</v>
      </c>
    </row>
    <row r="77" spans="1:16" hidden="1" x14ac:dyDescent="0.3">
      <c r="A77" s="2" t="s">
        <v>223</v>
      </c>
      <c r="B77" s="2" t="s">
        <v>254</v>
      </c>
      <c r="C77" s="2" t="s">
        <v>255</v>
      </c>
      <c r="D77" s="2" t="s">
        <v>256</v>
      </c>
      <c r="E77" s="2" t="s">
        <v>10</v>
      </c>
      <c r="F77" s="3">
        <v>46273</v>
      </c>
      <c r="G77" s="4">
        <v>13</v>
      </c>
      <c r="H77" s="3">
        <v>46280</v>
      </c>
      <c r="I77" s="5">
        <v>544.16999999999996</v>
      </c>
      <c r="J77" s="2" t="s">
        <v>11</v>
      </c>
      <c r="K77" t="s">
        <v>546</v>
      </c>
      <c r="O77" s="18">
        <f t="shared" si="18"/>
        <v>46280</v>
      </c>
      <c r="P77" s="19">
        <f t="shared" si="19"/>
        <v>158.88175182481751</v>
      </c>
    </row>
    <row r="78" spans="1:16" hidden="1" x14ac:dyDescent="0.3">
      <c r="A78" s="2" t="s">
        <v>223</v>
      </c>
      <c r="B78" s="2" t="s">
        <v>257</v>
      </c>
      <c r="C78" s="2" t="s">
        <v>258</v>
      </c>
      <c r="D78" s="2" t="s">
        <v>259</v>
      </c>
      <c r="E78" s="2" t="s">
        <v>10</v>
      </c>
      <c r="F78" s="3">
        <v>46273</v>
      </c>
      <c r="G78" s="4">
        <v>13</v>
      </c>
      <c r="H78" s="3">
        <v>46280</v>
      </c>
      <c r="I78" s="5">
        <v>153.4</v>
      </c>
      <c r="J78" s="2" t="s">
        <v>11</v>
      </c>
      <c r="K78" t="s">
        <v>546</v>
      </c>
      <c r="O78" s="18">
        <f t="shared" si="18"/>
        <v>46280</v>
      </c>
      <c r="P78" s="19">
        <f t="shared" si="19"/>
        <v>44.788321167883218</v>
      </c>
    </row>
    <row r="79" spans="1:16" hidden="1" x14ac:dyDescent="0.3">
      <c r="A79" s="2" t="s">
        <v>223</v>
      </c>
      <c r="B79" s="2" t="s">
        <v>260</v>
      </c>
      <c r="C79" s="2" t="s">
        <v>261</v>
      </c>
      <c r="D79" s="2" t="s">
        <v>262</v>
      </c>
      <c r="E79" s="2" t="s">
        <v>10</v>
      </c>
      <c r="F79" s="3">
        <v>46274</v>
      </c>
      <c r="G79" s="4">
        <v>12</v>
      </c>
      <c r="H79" s="3">
        <v>46281</v>
      </c>
      <c r="I79" s="5">
        <v>730.66</v>
      </c>
      <c r="J79" s="2" t="s">
        <v>11</v>
      </c>
      <c r="K79" t="s">
        <v>546</v>
      </c>
      <c r="O79" s="18">
        <f t="shared" si="18"/>
        <v>46281</v>
      </c>
      <c r="P79" s="19">
        <f t="shared" si="19"/>
        <v>213.33138686131386</v>
      </c>
    </row>
    <row r="80" spans="1:16" hidden="1" x14ac:dyDescent="0.3">
      <c r="A80" s="2" t="s">
        <v>223</v>
      </c>
      <c r="B80" s="2" t="s">
        <v>263</v>
      </c>
      <c r="C80" s="2" t="s">
        <v>264</v>
      </c>
      <c r="D80" s="2" t="s">
        <v>265</v>
      </c>
      <c r="E80" s="2" t="s">
        <v>10</v>
      </c>
      <c r="F80" s="3">
        <v>46274</v>
      </c>
      <c r="G80" s="4">
        <v>12</v>
      </c>
      <c r="H80" s="3">
        <v>46281</v>
      </c>
      <c r="I80" s="5">
        <v>70.8</v>
      </c>
      <c r="J80" s="2" t="s">
        <v>11</v>
      </c>
      <c r="K80" t="s">
        <v>546</v>
      </c>
      <c r="O80" s="18">
        <f t="shared" si="18"/>
        <v>46281</v>
      </c>
      <c r="P80" s="19">
        <f t="shared" si="19"/>
        <v>20.67153284671533</v>
      </c>
    </row>
    <row r="81" spans="1:16" hidden="1" x14ac:dyDescent="0.3">
      <c r="A81" s="2" t="s">
        <v>223</v>
      </c>
      <c r="B81" s="2" t="s">
        <v>266</v>
      </c>
      <c r="C81" s="2" t="s">
        <v>267</v>
      </c>
      <c r="D81" s="2" t="s">
        <v>268</v>
      </c>
      <c r="E81" s="2" t="s">
        <v>10</v>
      </c>
      <c r="F81" s="3">
        <v>46274</v>
      </c>
      <c r="G81" s="4">
        <v>12</v>
      </c>
      <c r="H81" s="3">
        <v>46281</v>
      </c>
      <c r="I81" s="5">
        <v>591.41999999999996</v>
      </c>
      <c r="J81" s="2" t="s">
        <v>11</v>
      </c>
      <c r="K81" t="s">
        <v>546</v>
      </c>
      <c r="O81" s="18">
        <f t="shared" si="18"/>
        <v>46281</v>
      </c>
      <c r="P81" s="19">
        <f t="shared" si="19"/>
        <v>172.67737226277373</v>
      </c>
    </row>
    <row r="82" spans="1:16" hidden="1" x14ac:dyDescent="0.3">
      <c r="A82" s="2" t="s">
        <v>223</v>
      </c>
      <c r="B82" s="2" t="s">
        <v>269</v>
      </c>
      <c r="C82" s="2" t="s">
        <v>270</v>
      </c>
      <c r="D82" s="2" t="s">
        <v>271</v>
      </c>
      <c r="E82" s="2" t="s">
        <v>10</v>
      </c>
      <c r="F82" s="3">
        <v>46274</v>
      </c>
      <c r="G82" s="4">
        <v>12</v>
      </c>
      <c r="H82" s="3">
        <v>46281</v>
      </c>
      <c r="I82" s="5">
        <v>177</v>
      </c>
      <c r="J82" s="2" t="s">
        <v>11</v>
      </c>
      <c r="K82" t="s">
        <v>546</v>
      </c>
      <c r="O82" s="18">
        <f t="shared" si="18"/>
        <v>46281</v>
      </c>
      <c r="P82" s="19">
        <f t="shared" si="19"/>
        <v>51.678832116788321</v>
      </c>
    </row>
    <row r="83" spans="1:16" hidden="1" x14ac:dyDescent="0.3">
      <c r="A83" s="2" t="s">
        <v>223</v>
      </c>
      <c r="B83" s="2" t="s">
        <v>272</v>
      </c>
      <c r="C83" s="2" t="s">
        <v>273</v>
      </c>
      <c r="D83" s="2" t="s">
        <v>274</v>
      </c>
      <c r="E83" s="2" t="s">
        <v>10</v>
      </c>
      <c r="F83" s="3">
        <v>46274</v>
      </c>
      <c r="G83" s="4">
        <v>12</v>
      </c>
      <c r="H83" s="3">
        <v>46281</v>
      </c>
      <c r="I83" s="5">
        <v>555.4</v>
      </c>
      <c r="J83" s="2" t="s">
        <v>11</v>
      </c>
      <c r="K83" t="s">
        <v>546</v>
      </c>
      <c r="O83" s="18">
        <f t="shared" si="18"/>
        <v>46281</v>
      </c>
      <c r="P83" s="19">
        <f t="shared" si="19"/>
        <v>162.16058394160584</v>
      </c>
    </row>
    <row r="84" spans="1:16" hidden="1" x14ac:dyDescent="0.3">
      <c r="A84" s="2" t="s">
        <v>223</v>
      </c>
      <c r="B84" s="2" t="s">
        <v>275</v>
      </c>
      <c r="C84" s="2" t="s">
        <v>276</v>
      </c>
      <c r="D84" s="2" t="s">
        <v>277</v>
      </c>
      <c r="E84" s="2" t="s">
        <v>10</v>
      </c>
      <c r="F84" s="3">
        <v>46274</v>
      </c>
      <c r="G84" s="4">
        <v>12</v>
      </c>
      <c r="H84" s="3">
        <v>46281</v>
      </c>
      <c r="I84" s="5">
        <v>177</v>
      </c>
      <c r="J84" s="2" t="s">
        <v>11</v>
      </c>
      <c r="K84" t="s">
        <v>546</v>
      </c>
      <c r="O84" s="18">
        <f t="shared" si="18"/>
        <v>46281</v>
      </c>
      <c r="P84" s="19">
        <f t="shared" si="19"/>
        <v>51.678832116788321</v>
      </c>
    </row>
    <row r="85" spans="1:16" hidden="1" x14ac:dyDescent="0.3">
      <c r="A85" s="2" t="s">
        <v>223</v>
      </c>
      <c r="B85" s="2" t="s">
        <v>278</v>
      </c>
      <c r="C85" s="2" t="s">
        <v>279</v>
      </c>
      <c r="D85" s="2" t="s">
        <v>280</v>
      </c>
      <c r="E85" s="2" t="s">
        <v>10</v>
      </c>
      <c r="F85" s="3">
        <v>46275</v>
      </c>
      <c r="G85" s="4">
        <v>11</v>
      </c>
      <c r="H85" s="3">
        <v>46282</v>
      </c>
      <c r="I85" s="5">
        <v>593.29999999999995</v>
      </c>
      <c r="J85" s="2" t="s">
        <v>11</v>
      </c>
      <c r="K85" t="s">
        <v>546</v>
      </c>
      <c r="O85" s="18">
        <f t="shared" si="18"/>
        <v>46282</v>
      </c>
      <c r="P85" s="19">
        <f t="shared" si="19"/>
        <v>173.22627737226276</v>
      </c>
    </row>
    <row r="86" spans="1:16" hidden="1" x14ac:dyDescent="0.3">
      <c r="A86" s="2" t="s">
        <v>223</v>
      </c>
      <c r="B86" s="2" t="s">
        <v>281</v>
      </c>
      <c r="C86" s="2" t="s">
        <v>282</v>
      </c>
      <c r="D86" s="2" t="s">
        <v>283</v>
      </c>
      <c r="E86" s="2" t="s">
        <v>10</v>
      </c>
      <c r="F86" s="3">
        <v>46275</v>
      </c>
      <c r="G86" s="4">
        <v>11</v>
      </c>
      <c r="H86" s="3">
        <v>46282</v>
      </c>
      <c r="I86" s="5">
        <v>70.8</v>
      </c>
      <c r="J86" s="2" t="s">
        <v>11</v>
      </c>
      <c r="K86" t="s">
        <v>546</v>
      </c>
      <c r="O86" s="18">
        <f t="shared" si="18"/>
        <v>46282</v>
      </c>
      <c r="P86" s="19">
        <f t="shared" si="19"/>
        <v>20.67153284671533</v>
      </c>
    </row>
    <row r="87" spans="1:16" hidden="1" x14ac:dyDescent="0.3">
      <c r="A87" s="2" t="s">
        <v>223</v>
      </c>
      <c r="B87" s="2" t="s">
        <v>284</v>
      </c>
      <c r="C87" s="2" t="s">
        <v>285</v>
      </c>
      <c r="D87" s="2" t="s">
        <v>286</v>
      </c>
      <c r="E87" s="2" t="s">
        <v>10</v>
      </c>
      <c r="F87" s="3">
        <v>46275</v>
      </c>
      <c r="G87" s="4">
        <v>11</v>
      </c>
      <c r="H87" s="3">
        <v>46282</v>
      </c>
      <c r="I87" s="5">
        <v>614.54</v>
      </c>
      <c r="J87" s="2" t="s">
        <v>11</v>
      </c>
      <c r="K87" t="s">
        <v>546</v>
      </c>
      <c r="O87" s="18">
        <f t="shared" si="18"/>
        <v>46282</v>
      </c>
      <c r="P87" s="19">
        <f t="shared" si="19"/>
        <v>179.42773722627737</v>
      </c>
    </row>
    <row r="88" spans="1:16" hidden="1" x14ac:dyDescent="0.3">
      <c r="A88" s="2" t="s">
        <v>223</v>
      </c>
      <c r="B88" s="2" t="s">
        <v>287</v>
      </c>
      <c r="C88" s="2" t="s">
        <v>288</v>
      </c>
      <c r="D88" s="2" t="s">
        <v>289</v>
      </c>
      <c r="E88" s="2" t="s">
        <v>10</v>
      </c>
      <c r="F88" s="3">
        <v>46275</v>
      </c>
      <c r="G88" s="4">
        <v>11</v>
      </c>
      <c r="H88" s="3">
        <v>46282</v>
      </c>
      <c r="I88" s="5">
        <v>212.4</v>
      </c>
      <c r="J88" s="2" t="s">
        <v>11</v>
      </c>
      <c r="K88" t="s">
        <v>546</v>
      </c>
      <c r="O88" s="18">
        <f t="shared" si="18"/>
        <v>46282</v>
      </c>
      <c r="P88" s="19">
        <f t="shared" si="19"/>
        <v>62.01459854014599</v>
      </c>
    </row>
    <row r="89" spans="1:16" hidden="1" x14ac:dyDescent="0.3">
      <c r="A89" s="2" t="s">
        <v>223</v>
      </c>
      <c r="B89" s="2" t="s">
        <v>290</v>
      </c>
      <c r="C89" s="2" t="s">
        <v>291</v>
      </c>
      <c r="D89" s="2" t="s">
        <v>292</v>
      </c>
      <c r="E89" s="2" t="s">
        <v>10</v>
      </c>
      <c r="F89" s="3">
        <v>46276</v>
      </c>
      <c r="G89" s="4">
        <v>10</v>
      </c>
      <c r="H89" s="3">
        <v>46283</v>
      </c>
      <c r="I89" s="5">
        <v>546.48</v>
      </c>
      <c r="J89" s="2" t="s">
        <v>11</v>
      </c>
      <c r="K89" t="s">
        <v>546</v>
      </c>
      <c r="O89" s="18">
        <f t="shared" si="18"/>
        <v>46283</v>
      </c>
      <c r="P89" s="19">
        <f t="shared" si="19"/>
        <v>159.55620437956205</v>
      </c>
    </row>
    <row r="90" spans="1:16" hidden="1" x14ac:dyDescent="0.3">
      <c r="A90" s="2" t="s">
        <v>223</v>
      </c>
      <c r="B90" s="2" t="s">
        <v>293</v>
      </c>
      <c r="C90" s="2" t="s">
        <v>294</v>
      </c>
      <c r="D90" s="2" t="s">
        <v>295</v>
      </c>
      <c r="E90" s="2" t="s">
        <v>10</v>
      </c>
      <c r="F90" s="3">
        <v>46276</v>
      </c>
      <c r="G90" s="4">
        <v>10</v>
      </c>
      <c r="H90" s="3">
        <v>46283</v>
      </c>
      <c r="I90" s="5">
        <v>153.4</v>
      </c>
      <c r="J90" s="2" t="s">
        <v>11</v>
      </c>
      <c r="K90" t="s">
        <v>546</v>
      </c>
      <c r="O90" s="18">
        <f t="shared" si="18"/>
        <v>46283</v>
      </c>
      <c r="P90" s="19">
        <f t="shared" si="19"/>
        <v>44.788321167883218</v>
      </c>
    </row>
    <row r="91" spans="1:16" hidden="1" x14ac:dyDescent="0.3">
      <c r="A91" s="2" t="s">
        <v>223</v>
      </c>
      <c r="B91" s="2" t="s">
        <v>296</v>
      </c>
      <c r="C91" s="2" t="s">
        <v>297</v>
      </c>
      <c r="D91" s="2" t="s">
        <v>298</v>
      </c>
      <c r="E91" s="2" t="s">
        <v>10</v>
      </c>
      <c r="F91" s="3">
        <v>46276</v>
      </c>
      <c r="G91" s="4">
        <v>10</v>
      </c>
      <c r="H91" s="3">
        <v>46283</v>
      </c>
      <c r="I91" s="5">
        <v>531.94000000000005</v>
      </c>
      <c r="J91" s="2" t="s">
        <v>11</v>
      </c>
      <c r="K91" t="s">
        <v>546</v>
      </c>
      <c r="O91" s="18">
        <f t="shared" si="18"/>
        <v>46283</v>
      </c>
      <c r="P91" s="19">
        <f t="shared" si="19"/>
        <v>155.31094890510951</v>
      </c>
    </row>
    <row r="92" spans="1:16" hidden="1" x14ac:dyDescent="0.3">
      <c r="A92" s="2" t="s">
        <v>223</v>
      </c>
      <c r="B92" s="2" t="s">
        <v>299</v>
      </c>
      <c r="C92" s="2" t="s">
        <v>300</v>
      </c>
      <c r="D92" s="2" t="s">
        <v>301</v>
      </c>
      <c r="E92" s="2" t="s">
        <v>10</v>
      </c>
      <c r="F92" s="3">
        <v>46276</v>
      </c>
      <c r="G92" s="4">
        <v>10</v>
      </c>
      <c r="H92" s="3">
        <v>46283</v>
      </c>
      <c r="I92" s="5">
        <v>153.4</v>
      </c>
      <c r="J92" s="2" t="s">
        <v>11</v>
      </c>
      <c r="K92" t="s">
        <v>546</v>
      </c>
      <c r="O92" s="18">
        <f t="shared" si="18"/>
        <v>46283</v>
      </c>
      <c r="P92" s="19">
        <f t="shared" si="19"/>
        <v>44.788321167883218</v>
      </c>
    </row>
    <row r="93" spans="1:16" hidden="1" x14ac:dyDescent="0.3">
      <c r="A93" s="2" t="s">
        <v>223</v>
      </c>
      <c r="B93" s="2" t="s">
        <v>302</v>
      </c>
      <c r="C93" s="2" t="s">
        <v>303</v>
      </c>
      <c r="D93" s="2" t="s">
        <v>304</v>
      </c>
      <c r="E93" s="2" t="s">
        <v>10</v>
      </c>
      <c r="F93" s="3">
        <v>46276</v>
      </c>
      <c r="G93" s="4">
        <v>10</v>
      </c>
      <c r="H93" s="3">
        <v>46283</v>
      </c>
      <c r="I93" s="5">
        <v>373.59</v>
      </c>
      <c r="J93" s="2" t="s">
        <v>11</v>
      </c>
      <c r="K93" t="s">
        <v>546</v>
      </c>
      <c r="O93" s="18">
        <f t="shared" si="18"/>
        <v>46283</v>
      </c>
      <c r="P93" s="19">
        <f t="shared" si="19"/>
        <v>109.07737226277372</v>
      </c>
    </row>
    <row r="94" spans="1:16" hidden="1" x14ac:dyDescent="0.3">
      <c r="A94" s="2" t="s">
        <v>223</v>
      </c>
      <c r="B94" s="2" t="s">
        <v>305</v>
      </c>
      <c r="C94" s="2" t="s">
        <v>306</v>
      </c>
      <c r="D94" s="2" t="s">
        <v>307</v>
      </c>
      <c r="E94" s="2" t="s">
        <v>10</v>
      </c>
      <c r="F94" s="3">
        <v>46276</v>
      </c>
      <c r="G94" s="4">
        <v>10</v>
      </c>
      <c r="H94" s="3">
        <v>46283</v>
      </c>
      <c r="I94" s="5">
        <v>47.2</v>
      </c>
      <c r="J94" s="2" t="s">
        <v>11</v>
      </c>
      <c r="K94" t="s">
        <v>546</v>
      </c>
      <c r="O94" s="18">
        <f t="shared" si="18"/>
        <v>46283</v>
      </c>
      <c r="P94" s="19">
        <f t="shared" si="19"/>
        <v>13.78102189781022</v>
      </c>
    </row>
    <row r="95" spans="1:16" hidden="1" x14ac:dyDescent="0.3">
      <c r="A95" s="2" t="s">
        <v>223</v>
      </c>
      <c r="B95" s="2" t="s">
        <v>308</v>
      </c>
      <c r="C95" s="2" t="s">
        <v>309</v>
      </c>
      <c r="D95" s="2" t="s">
        <v>310</v>
      </c>
      <c r="E95" s="2" t="s">
        <v>10</v>
      </c>
      <c r="F95" s="3">
        <v>46276</v>
      </c>
      <c r="G95" s="4">
        <v>10</v>
      </c>
      <c r="H95" s="3">
        <v>46283</v>
      </c>
      <c r="I95" s="5">
        <v>544.91999999999996</v>
      </c>
      <c r="J95" s="2" t="s">
        <v>11</v>
      </c>
      <c r="K95" t="s">
        <v>546</v>
      </c>
      <c r="O95" s="18">
        <f t="shared" si="18"/>
        <v>46283</v>
      </c>
      <c r="P95" s="19">
        <f t="shared" si="19"/>
        <v>159.10072992700731</v>
      </c>
    </row>
    <row r="96" spans="1:16" hidden="1" x14ac:dyDescent="0.3">
      <c r="A96" s="2" t="s">
        <v>223</v>
      </c>
      <c r="B96" s="2" t="s">
        <v>311</v>
      </c>
      <c r="C96" s="2" t="s">
        <v>312</v>
      </c>
      <c r="D96" s="2" t="s">
        <v>313</v>
      </c>
      <c r="E96" s="2" t="s">
        <v>10</v>
      </c>
      <c r="F96" s="3">
        <v>46276</v>
      </c>
      <c r="G96" s="4">
        <v>10</v>
      </c>
      <c r="H96" s="3">
        <v>46283</v>
      </c>
      <c r="I96" s="5">
        <v>70.8</v>
      </c>
      <c r="J96" s="2" t="s">
        <v>11</v>
      </c>
      <c r="K96" t="s">
        <v>546</v>
      </c>
      <c r="O96" s="18">
        <f t="shared" si="18"/>
        <v>46283</v>
      </c>
      <c r="P96" s="19">
        <f t="shared" si="19"/>
        <v>20.67153284671533</v>
      </c>
    </row>
    <row r="97" spans="1:16" hidden="1" x14ac:dyDescent="0.3">
      <c r="A97" s="2" t="s">
        <v>223</v>
      </c>
      <c r="B97" s="2" t="s">
        <v>314</v>
      </c>
      <c r="C97" s="2" t="s">
        <v>315</v>
      </c>
      <c r="D97" s="2" t="s">
        <v>316</v>
      </c>
      <c r="E97" s="2" t="s">
        <v>10</v>
      </c>
      <c r="F97" s="3">
        <v>46277</v>
      </c>
      <c r="G97" s="4">
        <v>9</v>
      </c>
      <c r="H97" s="3">
        <v>46284</v>
      </c>
      <c r="I97" s="5">
        <v>599.91</v>
      </c>
      <c r="J97" s="2" t="s">
        <v>11</v>
      </c>
      <c r="K97" t="s">
        <v>546</v>
      </c>
      <c r="O97" s="18">
        <f t="shared" si="18"/>
        <v>46284</v>
      </c>
      <c r="P97" s="19">
        <f t="shared" si="19"/>
        <v>175.15620437956204</v>
      </c>
    </row>
    <row r="98" spans="1:16" hidden="1" x14ac:dyDescent="0.3">
      <c r="A98" s="2" t="s">
        <v>223</v>
      </c>
      <c r="B98" s="2" t="s">
        <v>317</v>
      </c>
      <c r="C98" s="2" t="s">
        <v>318</v>
      </c>
      <c r="D98" s="2" t="s">
        <v>319</v>
      </c>
      <c r="E98" s="2" t="s">
        <v>10</v>
      </c>
      <c r="F98" s="3">
        <v>46277</v>
      </c>
      <c r="G98" s="4">
        <v>9</v>
      </c>
      <c r="H98" s="3">
        <v>46284</v>
      </c>
      <c r="I98" s="5">
        <v>70.8</v>
      </c>
      <c r="J98" s="2" t="s">
        <v>11</v>
      </c>
      <c r="K98" t="s">
        <v>546</v>
      </c>
      <c r="O98" s="18">
        <f t="shared" si="18"/>
        <v>46284</v>
      </c>
      <c r="P98" s="19">
        <f t="shared" si="19"/>
        <v>20.67153284671533</v>
      </c>
    </row>
    <row r="99" spans="1:16" hidden="1" x14ac:dyDescent="0.3">
      <c r="A99" s="2" t="s">
        <v>223</v>
      </c>
      <c r="B99" s="2" t="s">
        <v>320</v>
      </c>
      <c r="C99" s="2" t="s">
        <v>321</v>
      </c>
      <c r="D99" s="2" t="s">
        <v>322</v>
      </c>
      <c r="E99" s="2" t="s">
        <v>10</v>
      </c>
      <c r="F99" s="3">
        <v>46277</v>
      </c>
      <c r="G99" s="4">
        <v>9</v>
      </c>
      <c r="H99" s="3">
        <v>46284</v>
      </c>
      <c r="I99" s="5">
        <v>522.03</v>
      </c>
      <c r="J99" s="2" t="s">
        <v>11</v>
      </c>
      <c r="K99" t="s">
        <v>546</v>
      </c>
      <c r="O99" s="18">
        <f t="shared" si="18"/>
        <v>46284</v>
      </c>
      <c r="P99" s="19">
        <f t="shared" si="19"/>
        <v>152.41751824817518</v>
      </c>
    </row>
    <row r="100" spans="1:16" hidden="1" x14ac:dyDescent="0.3">
      <c r="A100" s="2" t="s">
        <v>223</v>
      </c>
      <c r="B100" s="2" t="s">
        <v>323</v>
      </c>
      <c r="C100" s="2" t="s">
        <v>324</v>
      </c>
      <c r="D100" s="2" t="s">
        <v>325</v>
      </c>
      <c r="E100" s="2" t="s">
        <v>10</v>
      </c>
      <c r="F100" s="3">
        <v>46277</v>
      </c>
      <c r="G100" s="4">
        <v>9</v>
      </c>
      <c r="H100" s="3">
        <v>46284</v>
      </c>
      <c r="I100" s="5">
        <v>212.4</v>
      </c>
      <c r="J100" s="2" t="s">
        <v>11</v>
      </c>
      <c r="K100" t="s">
        <v>546</v>
      </c>
      <c r="O100" s="18">
        <f t="shared" si="18"/>
        <v>46284</v>
      </c>
      <c r="P100" s="19">
        <f t="shared" si="19"/>
        <v>62.01459854014599</v>
      </c>
    </row>
    <row r="101" spans="1:16" hidden="1" x14ac:dyDescent="0.3">
      <c r="A101" s="2" t="s">
        <v>223</v>
      </c>
      <c r="B101" s="2" t="s">
        <v>326</v>
      </c>
      <c r="C101" s="2" t="s">
        <v>327</v>
      </c>
      <c r="D101" s="2" t="s">
        <v>328</v>
      </c>
      <c r="E101" s="2" t="s">
        <v>10</v>
      </c>
      <c r="F101" s="3">
        <v>46277</v>
      </c>
      <c r="G101" s="4">
        <v>9</v>
      </c>
      <c r="H101" s="3">
        <v>46284</v>
      </c>
      <c r="I101" s="5">
        <v>260.36</v>
      </c>
      <c r="J101" s="2" t="s">
        <v>11</v>
      </c>
      <c r="K101" t="s">
        <v>546</v>
      </c>
      <c r="O101" s="18">
        <f t="shared" si="18"/>
        <v>46284</v>
      </c>
      <c r="P101" s="19">
        <f t="shared" si="19"/>
        <v>76.017518248175193</v>
      </c>
    </row>
    <row r="102" spans="1:16" hidden="1" x14ac:dyDescent="0.3">
      <c r="A102" s="2" t="s">
        <v>223</v>
      </c>
      <c r="B102" s="2" t="s">
        <v>329</v>
      </c>
      <c r="C102" s="2" t="s">
        <v>330</v>
      </c>
      <c r="D102" s="2" t="s">
        <v>331</v>
      </c>
      <c r="E102" s="2" t="s">
        <v>10</v>
      </c>
      <c r="F102" s="3">
        <v>46277</v>
      </c>
      <c r="G102" s="4">
        <v>9</v>
      </c>
      <c r="H102" s="3">
        <v>46284</v>
      </c>
      <c r="I102" s="5">
        <v>118</v>
      </c>
      <c r="J102" s="2" t="s">
        <v>11</v>
      </c>
      <c r="K102" t="s">
        <v>546</v>
      </c>
      <c r="O102" s="18">
        <f t="shared" si="18"/>
        <v>46284</v>
      </c>
      <c r="P102" s="19">
        <f t="shared" si="19"/>
        <v>34.45255474452555</v>
      </c>
    </row>
    <row r="103" spans="1:16" hidden="1" x14ac:dyDescent="0.3">
      <c r="A103" s="2" t="s">
        <v>223</v>
      </c>
      <c r="B103" s="2" t="s">
        <v>332</v>
      </c>
      <c r="C103" s="2" t="s">
        <v>333</v>
      </c>
      <c r="D103" s="2" t="s">
        <v>334</v>
      </c>
      <c r="E103" s="2" t="s">
        <v>10</v>
      </c>
      <c r="F103" s="3">
        <v>46279</v>
      </c>
      <c r="G103" s="4">
        <v>7</v>
      </c>
      <c r="H103" s="3">
        <v>46286</v>
      </c>
      <c r="I103" s="5">
        <v>1236.3599999999999</v>
      </c>
      <c r="J103" s="2" t="s">
        <v>11</v>
      </c>
      <c r="K103" t="s">
        <v>546</v>
      </c>
      <c r="O103" s="18">
        <f t="shared" si="18"/>
        <v>46286</v>
      </c>
      <c r="P103" s="19">
        <f t="shared" si="19"/>
        <v>360.98102189781019</v>
      </c>
    </row>
    <row r="104" spans="1:16" hidden="1" x14ac:dyDescent="0.3">
      <c r="A104" s="2" t="s">
        <v>223</v>
      </c>
      <c r="B104" s="2" t="s">
        <v>335</v>
      </c>
      <c r="C104" s="2" t="s">
        <v>336</v>
      </c>
      <c r="D104" s="2" t="s">
        <v>337</v>
      </c>
      <c r="E104" s="2" t="s">
        <v>10</v>
      </c>
      <c r="F104" s="3">
        <v>46279</v>
      </c>
      <c r="G104" s="4">
        <v>7</v>
      </c>
      <c r="H104" s="3">
        <v>46286</v>
      </c>
      <c r="I104" s="5">
        <v>330.4</v>
      </c>
      <c r="J104" s="2" t="s">
        <v>11</v>
      </c>
      <c r="K104" t="s">
        <v>546</v>
      </c>
      <c r="O104" s="18">
        <f t="shared" si="18"/>
        <v>46286</v>
      </c>
      <c r="P104" s="19">
        <f t="shared" si="19"/>
        <v>96.467153284671525</v>
      </c>
    </row>
    <row r="105" spans="1:16" hidden="1" x14ac:dyDescent="0.3">
      <c r="A105" s="2" t="s">
        <v>223</v>
      </c>
      <c r="B105" s="2" t="s">
        <v>338</v>
      </c>
      <c r="C105" s="2" t="s">
        <v>339</v>
      </c>
      <c r="D105" s="2" t="s">
        <v>340</v>
      </c>
      <c r="E105" s="2" t="s">
        <v>10</v>
      </c>
      <c r="F105" s="3">
        <v>46279</v>
      </c>
      <c r="G105" s="4">
        <v>14</v>
      </c>
      <c r="H105" s="3">
        <v>46279</v>
      </c>
      <c r="I105" s="5">
        <v>716.64</v>
      </c>
      <c r="J105" s="2" t="s">
        <v>11</v>
      </c>
      <c r="K105" t="s">
        <v>546</v>
      </c>
      <c r="O105" s="18">
        <f t="shared" si="18"/>
        <v>46279</v>
      </c>
      <c r="P105" s="19">
        <f t="shared" si="19"/>
        <v>209.23795620437957</v>
      </c>
    </row>
    <row r="106" spans="1:16" hidden="1" x14ac:dyDescent="0.3">
      <c r="A106" s="2" t="s">
        <v>223</v>
      </c>
      <c r="B106" s="2" t="s">
        <v>341</v>
      </c>
      <c r="C106" s="2" t="s">
        <v>342</v>
      </c>
      <c r="D106" s="2" t="s">
        <v>343</v>
      </c>
      <c r="E106" s="2" t="s">
        <v>10</v>
      </c>
      <c r="F106" s="3">
        <v>46279</v>
      </c>
      <c r="G106" s="4">
        <v>14</v>
      </c>
      <c r="H106" s="3">
        <v>46279</v>
      </c>
      <c r="I106" s="5">
        <v>230.1</v>
      </c>
      <c r="J106" s="2" t="s">
        <v>11</v>
      </c>
      <c r="K106" t="s">
        <v>546</v>
      </c>
      <c r="O106" s="18">
        <f t="shared" si="18"/>
        <v>46279</v>
      </c>
      <c r="P106" s="19">
        <f t="shared" si="19"/>
        <v>67.182481751824824</v>
      </c>
    </row>
    <row r="107" spans="1:16" hidden="1" x14ac:dyDescent="0.3">
      <c r="A107" s="2" t="s">
        <v>223</v>
      </c>
      <c r="B107" s="2" t="s">
        <v>344</v>
      </c>
      <c r="C107" s="2" t="s">
        <v>345</v>
      </c>
      <c r="D107" s="2" t="s">
        <v>346</v>
      </c>
      <c r="E107" s="2" t="s">
        <v>10</v>
      </c>
      <c r="F107" s="3">
        <v>46280</v>
      </c>
      <c r="G107" s="4">
        <v>6</v>
      </c>
      <c r="H107" s="3">
        <v>46287</v>
      </c>
      <c r="I107" s="5">
        <v>1126.33</v>
      </c>
      <c r="J107" s="2" t="s">
        <v>11</v>
      </c>
      <c r="K107" t="s">
        <v>546</v>
      </c>
      <c r="O107" s="18">
        <f t="shared" si="18"/>
        <v>46287</v>
      </c>
      <c r="P107" s="19">
        <f t="shared" si="19"/>
        <v>328.85547445255474</v>
      </c>
    </row>
    <row r="108" spans="1:16" hidden="1" x14ac:dyDescent="0.3">
      <c r="A108" s="2" t="s">
        <v>223</v>
      </c>
      <c r="B108" s="2" t="s">
        <v>347</v>
      </c>
      <c r="C108" s="2" t="s">
        <v>348</v>
      </c>
      <c r="D108" s="2" t="s">
        <v>349</v>
      </c>
      <c r="E108" s="2" t="s">
        <v>10</v>
      </c>
      <c r="F108" s="3">
        <v>46280</v>
      </c>
      <c r="G108" s="4">
        <v>6</v>
      </c>
      <c r="H108" s="3">
        <v>46287</v>
      </c>
      <c r="I108" s="5">
        <v>318.60000000000002</v>
      </c>
      <c r="J108" s="2" t="s">
        <v>11</v>
      </c>
      <c r="K108" t="s">
        <v>546</v>
      </c>
      <c r="O108" s="18">
        <f t="shared" si="18"/>
        <v>46287</v>
      </c>
      <c r="P108" s="19">
        <f t="shared" si="19"/>
        <v>93.021897810218988</v>
      </c>
    </row>
    <row r="109" spans="1:16" hidden="1" x14ac:dyDescent="0.3">
      <c r="A109" s="2" t="s">
        <v>223</v>
      </c>
      <c r="B109" s="2" t="s">
        <v>350</v>
      </c>
      <c r="C109" s="2" t="s">
        <v>351</v>
      </c>
      <c r="D109" s="2" t="s">
        <v>352</v>
      </c>
      <c r="E109" s="2" t="s">
        <v>10</v>
      </c>
      <c r="F109" s="3">
        <v>46280</v>
      </c>
      <c r="G109" s="4">
        <v>6</v>
      </c>
      <c r="H109" s="3">
        <v>46287</v>
      </c>
      <c r="I109" s="5">
        <v>506.5</v>
      </c>
      <c r="J109" s="2" t="s">
        <v>11</v>
      </c>
      <c r="K109" t="s">
        <v>546</v>
      </c>
      <c r="O109" s="18">
        <f t="shared" si="18"/>
        <v>46287</v>
      </c>
      <c r="P109" s="19">
        <f t="shared" si="19"/>
        <v>147.88321167883211</v>
      </c>
    </row>
    <row r="110" spans="1:16" hidden="1" x14ac:dyDescent="0.3">
      <c r="A110" s="2" t="s">
        <v>223</v>
      </c>
      <c r="B110" s="2" t="s">
        <v>353</v>
      </c>
      <c r="C110" s="2" t="s">
        <v>354</v>
      </c>
      <c r="D110" s="2" t="s">
        <v>355</v>
      </c>
      <c r="E110" s="2" t="s">
        <v>10</v>
      </c>
      <c r="F110" s="3">
        <v>46280</v>
      </c>
      <c r="G110" s="4">
        <v>6</v>
      </c>
      <c r="H110" s="3">
        <v>46287</v>
      </c>
      <c r="I110" s="5">
        <v>153.4</v>
      </c>
      <c r="J110" s="2" t="s">
        <v>11</v>
      </c>
      <c r="K110" t="s">
        <v>546</v>
      </c>
      <c r="O110" s="18">
        <f t="shared" si="18"/>
        <v>46287</v>
      </c>
      <c r="P110" s="19">
        <f t="shared" si="19"/>
        <v>44.788321167883218</v>
      </c>
    </row>
    <row r="111" spans="1:16" hidden="1" x14ac:dyDescent="0.3">
      <c r="A111" s="2" t="s">
        <v>223</v>
      </c>
      <c r="B111" s="2" t="s">
        <v>356</v>
      </c>
      <c r="C111" s="2" t="s">
        <v>357</v>
      </c>
      <c r="D111" s="2" t="s">
        <v>358</v>
      </c>
      <c r="E111" s="2" t="s">
        <v>10</v>
      </c>
      <c r="F111" s="3">
        <v>46281</v>
      </c>
      <c r="G111" s="4">
        <v>5</v>
      </c>
      <c r="H111" s="3">
        <v>46288</v>
      </c>
      <c r="I111" s="5">
        <v>642.96</v>
      </c>
      <c r="J111" s="2" t="s">
        <v>11</v>
      </c>
      <c r="K111" t="s">
        <v>546</v>
      </c>
      <c r="O111" s="18">
        <f t="shared" si="18"/>
        <v>46288</v>
      </c>
      <c r="P111" s="19">
        <f t="shared" si="19"/>
        <v>187.7255474452555</v>
      </c>
    </row>
    <row r="112" spans="1:16" hidden="1" x14ac:dyDescent="0.3">
      <c r="A112" s="2" t="s">
        <v>223</v>
      </c>
      <c r="B112" s="2" t="s">
        <v>359</v>
      </c>
      <c r="C112" s="2" t="s">
        <v>360</v>
      </c>
      <c r="D112" s="2" t="s">
        <v>361</v>
      </c>
      <c r="E112" s="2" t="s">
        <v>10</v>
      </c>
      <c r="F112" s="3">
        <v>46281</v>
      </c>
      <c r="G112" s="4">
        <v>5</v>
      </c>
      <c r="H112" s="3">
        <v>46288</v>
      </c>
      <c r="I112" s="5">
        <v>194.7</v>
      </c>
      <c r="J112" s="2" t="s">
        <v>11</v>
      </c>
      <c r="K112" t="s">
        <v>546</v>
      </c>
      <c r="O112" s="18">
        <f t="shared" si="18"/>
        <v>46288</v>
      </c>
      <c r="P112" s="19">
        <f t="shared" si="19"/>
        <v>56.846715328467155</v>
      </c>
    </row>
    <row r="113" spans="1:17" hidden="1" x14ac:dyDescent="0.3">
      <c r="A113" s="2" t="s">
        <v>223</v>
      </c>
      <c r="B113" s="2" t="s">
        <v>362</v>
      </c>
      <c r="C113" s="2" t="s">
        <v>363</v>
      </c>
      <c r="D113" s="2" t="s">
        <v>364</v>
      </c>
      <c r="E113" s="2" t="s">
        <v>10</v>
      </c>
      <c r="F113" s="3">
        <v>46281</v>
      </c>
      <c r="G113" s="4">
        <v>5</v>
      </c>
      <c r="H113" s="3">
        <v>46288</v>
      </c>
      <c r="I113" s="5">
        <v>47.2</v>
      </c>
      <c r="J113" s="2" t="s">
        <v>11</v>
      </c>
      <c r="K113" t="s">
        <v>546</v>
      </c>
      <c r="O113" s="18">
        <f t="shared" si="18"/>
        <v>46288</v>
      </c>
      <c r="P113" s="19">
        <f t="shared" si="19"/>
        <v>13.78102189781022</v>
      </c>
    </row>
    <row r="114" spans="1:17" hidden="1" x14ac:dyDescent="0.3">
      <c r="A114" s="2" t="s">
        <v>223</v>
      </c>
      <c r="B114" s="2" t="s">
        <v>365</v>
      </c>
      <c r="C114" s="2" t="s">
        <v>366</v>
      </c>
      <c r="D114" s="2" t="s">
        <v>367</v>
      </c>
      <c r="E114" s="2" t="s">
        <v>10</v>
      </c>
      <c r="F114" s="3">
        <v>46281</v>
      </c>
      <c r="G114" s="4">
        <v>5</v>
      </c>
      <c r="H114" s="3">
        <v>46288</v>
      </c>
      <c r="I114" s="5">
        <v>138.77000000000001</v>
      </c>
      <c r="J114" s="2" t="s">
        <v>11</v>
      </c>
      <c r="K114" t="s">
        <v>546</v>
      </c>
      <c r="O114" s="18">
        <f t="shared" si="18"/>
        <v>46288</v>
      </c>
      <c r="P114" s="19">
        <f t="shared" si="19"/>
        <v>40.516788321167887</v>
      </c>
    </row>
    <row r="115" spans="1:17" hidden="1" x14ac:dyDescent="0.3">
      <c r="A115" s="2" t="s">
        <v>223</v>
      </c>
      <c r="B115" s="2" t="s">
        <v>368</v>
      </c>
      <c r="C115" s="2" t="s">
        <v>369</v>
      </c>
      <c r="D115" s="2" t="s">
        <v>370</v>
      </c>
      <c r="E115" s="2" t="s">
        <v>10</v>
      </c>
      <c r="F115" s="3">
        <v>46286</v>
      </c>
      <c r="G115" s="4">
        <v>0</v>
      </c>
      <c r="H115" s="3">
        <v>46293</v>
      </c>
      <c r="I115" s="5">
        <v>47.2</v>
      </c>
      <c r="J115" s="2" t="s">
        <v>11</v>
      </c>
      <c r="K115" t="s">
        <v>546</v>
      </c>
      <c r="O115" s="18">
        <f t="shared" si="18"/>
        <v>46293</v>
      </c>
      <c r="P115" s="19">
        <f t="shared" si="19"/>
        <v>13.78102189781022</v>
      </c>
    </row>
    <row r="116" spans="1:17" hidden="1" x14ac:dyDescent="0.3">
      <c r="A116" s="2" t="s">
        <v>223</v>
      </c>
      <c r="B116" s="2" t="s">
        <v>371</v>
      </c>
      <c r="C116" s="2" t="s">
        <v>372</v>
      </c>
      <c r="D116" s="2" t="s">
        <v>373</v>
      </c>
      <c r="E116" s="2" t="s">
        <v>10</v>
      </c>
      <c r="F116" s="3">
        <v>46286</v>
      </c>
      <c r="G116" s="4">
        <v>0</v>
      </c>
      <c r="H116" s="3">
        <v>46293</v>
      </c>
      <c r="I116" s="5">
        <v>418.66</v>
      </c>
      <c r="J116" s="2" t="s">
        <v>11</v>
      </c>
      <c r="K116" t="s">
        <v>546</v>
      </c>
      <c r="O116" s="18">
        <f t="shared" si="18"/>
        <v>46293</v>
      </c>
      <c r="P116" s="19">
        <f t="shared" si="19"/>
        <v>122.23649635036497</v>
      </c>
    </row>
    <row r="117" spans="1:17" hidden="1" x14ac:dyDescent="0.3">
      <c r="A117" s="2" t="s">
        <v>223</v>
      </c>
      <c r="B117" s="2" t="s">
        <v>374</v>
      </c>
      <c r="C117" s="2" t="s">
        <v>375</v>
      </c>
      <c r="D117" s="2" t="s">
        <v>376</v>
      </c>
      <c r="E117" s="2" t="s">
        <v>10</v>
      </c>
      <c r="F117" s="3">
        <v>46287</v>
      </c>
      <c r="G117" s="7">
        <v>-1</v>
      </c>
      <c r="H117" s="3">
        <v>46294</v>
      </c>
      <c r="I117" s="5">
        <v>251.81</v>
      </c>
      <c r="J117" s="2" t="s">
        <v>11</v>
      </c>
      <c r="K117" t="s">
        <v>546</v>
      </c>
      <c r="O117" s="18">
        <f t="shared" si="18"/>
        <v>46294</v>
      </c>
      <c r="P117" s="19">
        <f t="shared" si="19"/>
        <v>73.521167883211689</v>
      </c>
    </row>
    <row r="118" spans="1:17" hidden="1" x14ac:dyDescent="0.3">
      <c r="A118" s="2" t="s">
        <v>223</v>
      </c>
      <c r="B118" s="2" t="s">
        <v>377</v>
      </c>
      <c r="C118" s="2" t="s">
        <v>378</v>
      </c>
      <c r="D118" s="2" t="s">
        <v>379</v>
      </c>
      <c r="E118" s="2" t="s">
        <v>10</v>
      </c>
      <c r="F118" s="3">
        <v>46287</v>
      </c>
      <c r="G118" s="7">
        <v>-1</v>
      </c>
      <c r="H118" s="3">
        <v>46294</v>
      </c>
      <c r="I118" s="5">
        <v>47.2</v>
      </c>
      <c r="J118" s="2" t="s">
        <v>11</v>
      </c>
      <c r="K118" t="s">
        <v>546</v>
      </c>
      <c r="O118" s="18">
        <f t="shared" si="18"/>
        <v>46294</v>
      </c>
      <c r="P118" s="19">
        <f t="shared" si="19"/>
        <v>13.78102189781022</v>
      </c>
    </row>
    <row r="119" spans="1:17" x14ac:dyDescent="0.3">
      <c r="A119" s="2" t="s">
        <v>380</v>
      </c>
      <c r="B119" s="2" t="s">
        <v>381</v>
      </c>
      <c r="C119" s="2" t="s">
        <v>382</v>
      </c>
      <c r="D119" s="2" t="s">
        <v>383</v>
      </c>
      <c r="E119" s="2" t="s">
        <v>64</v>
      </c>
      <c r="F119" s="3">
        <v>46220</v>
      </c>
      <c r="G119" s="4">
        <v>73</v>
      </c>
      <c r="H119" s="3">
        <v>46220</v>
      </c>
      <c r="I119" s="5">
        <v>921.06</v>
      </c>
      <c r="J119" s="2" t="s">
        <v>69</v>
      </c>
      <c r="K119" t="s">
        <v>553</v>
      </c>
      <c r="L119" s="18">
        <f>F119+60</f>
        <v>46280</v>
      </c>
      <c r="M119" s="20">
        <f ca="1">TODAY()-N119</f>
        <v>-17</v>
      </c>
      <c r="N119" s="18">
        <v>46310</v>
      </c>
      <c r="O119" s="18">
        <v>46310</v>
      </c>
      <c r="P119" s="10">
        <f>I119</f>
        <v>921.06</v>
      </c>
      <c r="Q119" s="20">
        <f ca="1">TODAY()-F119</f>
        <v>73</v>
      </c>
    </row>
    <row r="120" spans="1:17" hidden="1" x14ac:dyDescent="0.3">
      <c r="A120" s="2" t="s">
        <v>384</v>
      </c>
      <c r="B120" s="2" t="s">
        <v>385</v>
      </c>
      <c r="C120" s="2" t="s">
        <v>386</v>
      </c>
      <c r="D120" s="2" t="s">
        <v>387</v>
      </c>
      <c r="E120" s="2" t="s">
        <v>10</v>
      </c>
      <c r="F120" s="3">
        <v>45964</v>
      </c>
      <c r="G120" s="4">
        <v>322</v>
      </c>
      <c r="H120" s="3">
        <v>45971</v>
      </c>
      <c r="I120" s="5">
        <v>1403.26</v>
      </c>
      <c r="J120" s="2" t="s">
        <v>11</v>
      </c>
      <c r="K120" t="s">
        <v>551</v>
      </c>
      <c r="O120" s="18">
        <f>H120</f>
        <v>45971</v>
      </c>
      <c r="P120" s="19">
        <f>I120/3.425</f>
        <v>409.71094890510949</v>
      </c>
    </row>
    <row r="121" spans="1:17" hidden="1" x14ac:dyDescent="0.3">
      <c r="A121" s="2" t="s">
        <v>384</v>
      </c>
      <c r="B121" s="2" t="s">
        <v>388</v>
      </c>
      <c r="C121" s="2" t="s">
        <v>389</v>
      </c>
      <c r="D121" s="2" t="s">
        <v>390</v>
      </c>
      <c r="E121" s="2" t="s">
        <v>10</v>
      </c>
      <c r="F121" s="3">
        <v>45964</v>
      </c>
      <c r="G121" s="4">
        <v>322</v>
      </c>
      <c r="H121" s="3">
        <v>45971</v>
      </c>
      <c r="I121" s="5">
        <v>141.6</v>
      </c>
      <c r="J121" s="2" t="s">
        <v>11</v>
      </c>
      <c r="K121" t="s">
        <v>551</v>
      </c>
      <c r="O121" s="18">
        <f t="shared" ref="O121:O143" si="20">H121</f>
        <v>45971</v>
      </c>
      <c r="P121" s="19">
        <f t="shared" ref="P121:P143" si="21">I121/3.425</f>
        <v>41.34306569343066</v>
      </c>
    </row>
    <row r="122" spans="1:17" hidden="1" x14ac:dyDescent="0.3">
      <c r="A122" s="2" t="s">
        <v>384</v>
      </c>
      <c r="B122" s="2" t="s">
        <v>391</v>
      </c>
      <c r="C122" s="2" t="s">
        <v>392</v>
      </c>
      <c r="D122" s="2" t="s">
        <v>393</v>
      </c>
      <c r="E122" s="2" t="s">
        <v>10</v>
      </c>
      <c r="F122" s="3">
        <v>45967</v>
      </c>
      <c r="G122" s="4">
        <v>319</v>
      </c>
      <c r="H122" s="3">
        <v>45974</v>
      </c>
      <c r="I122" s="5">
        <v>1193.22</v>
      </c>
      <c r="J122" s="2" t="s">
        <v>11</v>
      </c>
      <c r="K122" t="s">
        <v>551</v>
      </c>
      <c r="O122" s="18">
        <f t="shared" si="20"/>
        <v>45974</v>
      </c>
      <c r="P122" s="19">
        <f t="shared" si="21"/>
        <v>348.38540145985405</v>
      </c>
    </row>
    <row r="123" spans="1:17" hidden="1" x14ac:dyDescent="0.3">
      <c r="A123" s="2" t="s">
        <v>384</v>
      </c>
      <c r="B123" s="2" t="s">
        <v>394</v>
      </c>
      <c r="C123" s="2" t="s">
        <v>395</v>
      </c>
      <c r="D123" s="2" t="s">
        <v>396</v>
      </c>
      <c r="E123" s="2" t="s">
        <v>10</v>
      </c>
      <c r="F123" s="3">
        <v>45967</v>
      </c>
      <c r="G123" s="4">
        <v>319</v>
      </c>
      <c r="H123" s="3">
        <v>45974</v>
      </c>
      <c r="I123" s="5">
        <v>106.2</v>
      </c>
      <c r="J123" s="2" t="s">
        <v>11</v>
      </c>
      <c r="K123" t="s">
        <v>551</v>
      </c>
      <c r="O123" s="18">
        <f t="shared" si="20"/>
        <v>45974</v>
      </c>
      <c r="P123" s="19">
        <f t="shared" si="21"/>
        <v>31.007299270072995</v>
      </c>
    </row>
    <row r="124" spans="1:17" hidden="1" x14ac:dyDescent="0.3">
      <c r="A124" s="2" t="s">
        <v>384</v>
      </c>
      <c r="B124" s="2" t="s">
        <v>397</v>
      </c>
      <c r="C124" s="2" t="s">
        <v>398</v>
      </c>
      <c r="D124" s="2" t="s">
        <v>399</v>
      </c>
      <c r="E124" s="2" t="s">
        <v>10</v>
      </c>
      <c r="F124" s="3">
        <v>46148</v>
      </c>
      <c r="G124" s="4">
        <v>138</v>
      </c>
      <c r="H124" s="3">
        <v>46155</v>
      </c>
      <c r="I124" s="5">
        <v>23.6</v>
      </c>
      <c r="J124" s="2" t="s">
        <v>11</v>
      </c>
      <c r="K124" t="s">
        <v>551</v>
      </c>
      <c r="O124" s="18">
        <f t="shared" si="20"/>
        <v>46155</v>
      </c>
      <c r="P124" s="19">
        <f t="shared" si="21"/>
        <v>6.89051094890511</v>
      </c>
    </row>
    <row r="125" spans="1:17" hidden="1" x14ac:dyDescent="0.3">
      <c r="A125" s="2" t="s">
        <v>384</v>
      </c>
      <c r="B125" s="2" t="s">
        <v>400</v>
      </c>
      <c r="C125" s="2" t="s">
        <v>401</v>
      </c>
      <c r="D125" s="2" t="s">
        <v>402</v>
      </c>
      <c r="E125" s="2" t="s">
        <v>10</v>
      </c>
      <c r="F125" s="3">
        <v>46148</v>
      </c>
      <c r="G125" s="4">
        <v>138</v>
      </c>
      <c r="H125" s="3">
        <v>46155</v>
      </c>
      <c r="I125" s="5">
        <v>261.49</v>
      </c>
      <c r="J125" s="2" t="s">
        <v>11</v>
      </c>
      <c r="K125" t="s">
        <v>551</v>
      </c>
      <c r="O125" s="18">
        <f t="shared" si="20"/>
        <v>46155</v>
      </c>
      <c r="P125" s="19">
        <f t="shared" si="21"/>
        <v>76.347445255474454</v>
      </c>
    </row>
    <row r="126" spans="1:17" hidden="1" x14ac:dyDescent="0.3">
      <c r="A126" s="2" t="s">
        <v>384</v>
      </c>
      <c r="B126" s="2" t="s">
        <v>403</v>
      </c>
      <c r="C126" s="2" t="s">
        <v>404</v>
      </c>
      <c r="D126" s="2" t="s">
        <v>405</v>
      </c>
      <c r="E126" s="2" t="s">
        <v>10</v>
      </c>
      <c r="F126" s="3">
        <v>46148</v>
      </c>
      <c r="G126" s="4">
        <v>138</v>
      </c>
      <c r="H126" s="3">
        <v>46155</v>
      </c>
      <c r="I126" s="5">
        <v>387.51</v>
      </c>
      <c r="J126" s="2" t="s">
        <v>11</v>
      </c>
      <c r="K126" t="s">
        <v>551</v>
      </c>
      <c r="O126" s="18">
        <f t="shared" si="20"/>
        <v>46155</v>
      </c>
      <c r="P126" s="19">
        <f t="shared" si="21"/>
        <v>113.14160583941606</v>
      </c>
    </row>
    <row r="127" spans="1:17" hidden="1" x14ac:dyDescent="0.3">
      <c r="A127" s="2" t="s">
        <v>384</v>
      </c>
      <c r="B127" s="2" t="s">
        <v>406</v>
      </c>
      <c r="C127" s="2" t="s">
        <v>407</v>
      </c>
      <c r="D127" s="2" t="s">
        <v>408</v>
      </c>
      <c r="E127" s="2" t="s">
        <v>10</v>
      </c>
      <c r="F127" s="3">
        <v>46148</v>
      </c>
      <c r="G127" s="4">
        <v>138</v>
      </c>
      <c r="H127" s="3">
        <v>46155</v>
      </c>
      <c r="I127" s="5">
        <v>35.4</v>
      </c>
      <c r="J127" s="2" t="s">
        <v>11</v>
      </c>
      <c r="K127" t="s">
        <v>551</v>
      </c>
      <c r="O127" s="18">
        <f t="shared" si="20"/>
        <v>46155</v>
      </c>
      <c r="P127" s="19">
        <f t="shared" si="21"/>
        <v>10.335766423357665</v>
      </c>
    </row>
    <row r="128" spans="1:17" hidden="1" x14ac:dyDescent="0.3">
      <c r="A128" s="2" t="s">
        <v>384</v>
      </c>
      <c r="B128" s="2" t="s">
        <v>409</v>
      </c>
      <c r="C128" s="2" t="s">
        <v>410</v>
      </c>
      <c r="D128" s="2" t="s">
        <v>411</v>
      </c>
      <c r="E128" s="2" t="s">
        <v>10</v>
      </c>
      <c r="F128" s="3">
        <v>46154</v>
      </c>
      <c r="G128" s="4">
        <v>132</v>
      </c>
      <c r="H128" s="3">
        <v>46161</v>
      </c>
      <c r="I128" s="5">
        <v>482.86</v>
      </c>
      <c r="J128" s="2" t="s">
        <v>11</v>
      </c>
      <c r="K128" t="s">
        <v>551</v>
      </c>
      <c r="O128" s="18">
        <f t="shared" si="20"/>
        <v>46161</v>
      </c>
      <c r="P128" s="19">
        <f t="shared" si="21"/>
        <v>140.98102189781022</v>
      </c>
    </row>
    <row r="129" spans="1:16" hidden="1" x14ac:dyDescent="0.3">
      <c r="A129" s="2" t="s">
        <v>384</v>
      </c>
      <c r="B129" s="2" t="s">
        <v>412</v>
      </c>
      <c r="C129" s="2" t="s">
        <v>413</v>
      </c>
      <c r="D129" s="2" t="s">
        <v>414</v>
      </c>
      <c r="E129" s="2" t="s">
        <v>10</v>
      </c>
      <c r="F129" s="3">
        <v>46154</v>
      </c>
      <c r="G129" s="4">
        <v>132</v>
      </c>
      <c r="H129" s="3">
        <v>46161</v>
      </c>
      <c r="I129" s="5">
        <v>47.2</v>
      </c>
      <c r="J129" s="2" t="s">
        <v>11</v>
      </c>
      <c r="K129" t="s">
        <v>551</v>
      </c>
      <c r="O129" s="18">
        <f t="shared" si="20"/>
        <v>46161</v>
      </c>
      <c r="P129" s="19">
        <f t="shared" si="21"/>
        <v>13.78102189781022</v>
      </c>
    </row>
    <row r="130" spans="1:16" hidden="1" x14ac:dyDescent="0.3">
      <c r="A130" s="2" t="s">
        <v>384</v>
      </c>
      <c r="B130" s="2" t="s">
        <v>415</v>
      </c>
      <c r="C130" s="2" t="s">
        <v>416</v>
      </c>
      <c r="D130" s="2" t="s">
        <v>417</v>
      </c>
      <c r="E130" s="2" t="s">
        <v>10</v>
      </c>
      <c r="F130" s="3">
        <v>46158</v>
      </c>
      <c r="G130" s="4">
        <v>128</v>
      </c>
      <c r="H130" s="3">
        <v>46165</v>
      </c>
      <c r="I130" s="5">
        <v>544.45000000000005</v>
      </c>
      <c r="J130" s="2" t="s">
        <v>11</v>
      </c>
      <c r="K130" t="s">
        <v>551</v>
      </c>
      <c r="O130" s="18">
        <f t="shared" si="20"/>
        <v>46165</v>
      </c>
      <c r="P130" s="19">
        <f t="shared" si="21"/>
        <v>158.96350364963507</v>
      </c>
    </row>
    <row r="131" spans="1:16" hidden="1" x14ac:dyDescent="0.3">
      <c r="A131" s="2" t="s">
        <v>384</v>
      </c>
      <c r="B131" s="2" t="s">
        <v>418</v>
      </c>
      <c r="C131" s="2" t="s">
        <v>419</v>
      </c>
      <c r="D131" s="2" t="s">
        <v>420</v>
      </c>
      <c r="E131" s="2" t="s">
        <v>10</v>
      </c>
      <c r="F131" s="3">
        <v>46158</v>
      </c>
      <c r="G131" s="4">
        <v>128</v>
      </c>
      <c r="H131" s="3">
        <v>46165</v>
      </c>
      <c r="I131" s="5">
        <v>47.2</v>
      </c>
      <c r="J131" s="2" t="s">
        <v>11</v>
      </c>
      <c r="K131" t="s">
        <v>551</v>
      </c>
      <c r="O131" s="18">
        <f t="shared" si="20"/>
        <v>46165</v>
      </c>
      <c r="P131" s="19">
        <f t="shared" si="21"/>
        <v>13.78102189781022</v>
      </c>
    </row>
    <row r="132" spans="1:16" hidden="1" x14ac:dyDescent="0.3">
      <c r="A132" s="2" t="s">
        <v>384</v>
      </c>
      <c r="B132" s="2" t="s">
        <v>421</v>
      </c>
      <c r="C132" s="2" t="s">
        <v>422</v>
      </c>
      <c r="D132" s="2" t="s">
        <v>423</v>
      </c>
      <c r="E132" s="2" t="s">
        <v>10</v>
      </c>
      <c r="F132" s="3">
        <v>46169</v>
      </c>
      <c r="G132" s="4">
        <v>117</v>
      </c>
      <c r="H132" s="3">
        <v>46176</v>
      </c>
      <c r="I132" s="5">
        <v>591.65</v>
      </c>
      <c r="J132" s="2" t="s">
        <v>11</v>
      </c>
      <c r="K132" t="s">
        <v>551</v>
      </c>
      <c r="O132" s="18">
        <f t="shared" si="20"/>
        <v>46176</v>
      </c>
      <c r="P132" s="19">
        <f t="shared" si="21"/>
        <v>172.74452554744525</v>
      </c>
    </row>
    <row r="133" spans="1:16" hidden="1" x14ac:dyDescent="0.3">
      <c r="A133" s="2" t="s">
        <v>384</v>
      </c>
      <c r="B133" s="2" t="s">
        <v>424</v>
      </c>
      <c r="C133" s="2" t="s">
        <v>425</v>
      </c>
      <c r="D133" s="2" t="s">
        <v>426</v>
      </c>
      <c r="E133" s="2" t="s">
        <v>10</v>
      </c>
      <c r="F133" s="3">
        <v>46169</v>
      </c>
      <c r="G133" s="4">
        <v>117</v>
      </c>
      <c r="H133" s="3">
        <v>46176</v>
      </c>
      <c r="I133" s="5">
        <v>70.8</v>
      </c>
      <c r="J133" s="2" t="s">
        <v>11</v>
      </c>
      <c r="K133" t="s">
        <v>551</v>
      </c>
      <c r="O133" s="18">
        <f t="shared" si="20"/>
        <v>46176</v>
      </c>
      <c r="P133" s="19">
        <f t="shared" si="21"/>
        <v>20.67153284671533</v>
      </c>
    </row>
    <row r="134" spans="1:16" hidden="1" x14ac:dyDescent="0.3">
      <c r="A134" s="2" t="s">
        <v>384</v>
      </c>
      <c r="B134" s="2" t="s">
        <v>427</v>
      </c>
      <c r="C134" s="2" t="s">
        <v>428</v>
      </c>
      <c r="D134" s="2" t="s">
        <v>429</v>
      </c>
      <c r="E134" s="2" t="s">
        <v>10</v>
      </c>
      <c r="F134" s="3">
        <v>46175</v>
      </c>
      <c r="G134" s="4">
        <v>111</v>
      </c>
      <c r="H134" s="3">
        <v>46182</v>
      </c>
      <c r="I134" s="5">
        <v>185.97</v>
      </c>
      <c r="J134" s="2" t="s">
        <v>11</v>
      </c>
      <c r="K134" t="s">
        <v>551</v>
      </c>
      <c r="O134" s="18">
        <f t="shared" si="20"/>
        <v>46182</v>
      </c>
      <c r="P134" s="19">
        <f t="shared" si="21"/>
        <v>54.297810218978107</v>
      </c>
    </row>
    <row r="135" spans="1:16" hidden="1" x14ac:dyDescent="0.3">
      <c r="A135" s="2" t="s">
        <v>384</v>
      </c>
      <c r="B135" s="2" t="s">
        <v>430</v>
      </c>
      <c r="C135" s="2" t="s">
        <v>431</v>
      </c>
      <c r="D135" s="2" t="s">
        <v>432</v>
      </c>
      <c r="E135" s="2" t="s">
        <v>10</v>
      </c>
      <c r="F135" s="3">
        <v>46175</v>
      </c>
      <c r="G135" s="4">
        <v>111</v>
      </c>
      <c r="H135" s="3">
        <v>46182</v>
      </c>
      <c r="I135" s="5">
        <v>23.6</v>
      </c>
      <c r="J135" s="2" t="s">
        <v>11</v>
      </c>
      <c r="K135" t="s">
        <v>551</v>
      </c>
      <c r="O135" s="18">
        <f t="shared" si="20"/>
        <v>46182</v>
      </c>
      <c r="P135" s="19">
        <f t="shared" si="21"/>
        <v>6.89051094890511</v>
      </c>
    </row>
    <row r="136" spans="1:16" hidden="1" x14ac:dyDescent="0.3">
      <c r="A136" s="2" t="s">
        <v>384</v>
      </c>
      <c r="B136" s="2" t="s">
        <v>433</v>
      </c>
      <c r="C136" s="2" t="s">
        <v>434</v>
      </c>
      <c r="D136" s="2" t="s">
        <v>435</v>
      </c>
      <c r="E136" s="2" t="s">
        <v>10</v>
      </c>
      <c r="F136" s="3">
        <v>46186</v>
      </c>
      <c r="G136" s="4">
        <v>100</v>
      </c>
      <c r="H136" s="3">
        <v>46193</v>
      </c>
      <c r="I136" s="5">
        <v>535.25</v>
      </c>
      <c r="J136" s="2" t="s">
        <v>11</v>
      </c>
      <c r="K136" t="s">
        <v>551</v>
      </c>
      <c r="O136" s="18">
        <f t="shared" si="20"/>
        <v>46193</v>
      </c>
      <c r="P136" s="19">
        <f t="shared" si="21"/>
        <v>156.27737226277372</v>
      </c>
    </row>
    <row r="137" spans="1:16" hidden="1" x14ac:dyDescent="0.3">
      <c r="A137" s="2" t="s">
        <v>384</v>
      </c>
      <c r="B137" s="2" t="s">
        <v>436</v>
      </c>
      <c r="C137" s="2" t="s">
        <v>437</v>
      </c>
      <c r="D137" s="2" t="s">
        <v>438</v>
      </c>
      <c r="E137" s="2" t="s">
        <v>10</v>
      </c>
      <c r="F137" s="3">
        <v>46186</v>
      </c>
      <c r="G137" s="4">
        <v>100</v>
      </c>
      <c r="H137" s="3">
        <v>46193</v>
      </c>
      <c r="I137" s="5">
        <v>70.8</v>
      </c>
      <c r="J137" s="2" t="s">
        <v>11</v>
      </c>
      <c r="K137" t="s">
        <v>551</v>
      </c>
      <c r="O137" s="18">
        <f t="shared" si="20"/>
        <v>46193</v>
      </c>
      <c r="P137" s="19">
        <f t="shared" si="21"/>
        <v>20.67153284671533</v>
      </c>
    </row>
    <row r="138" spans="1:16" hidden="1" x14ac:dyDescent="0.3">
      <c r="A138" s="2" t="s">
        <v>384</v>
      </c>
      <c r="B138" s="2" t="s">
        <v>439</v>
      </c>
      <c r="C138" s="2" t="s">
        <v>440</v>
      </c>
      <c r="D138" s="2" t="s">
        <v>441</v>
      </c>
      <c r="E138" s="2" t="s">
        <v>10</v>
      </c>
      <c r="F138" s="3">
        <v>46206</v>
      </c>
      <c r="G138" s="4">
        <v>80</v>
      </c>
      <c r="H138" s="3">
        <v>46213</v>
      </c>
      <c r="I138" s="5">
        <v>449.11</v>
      </c>
      <c r="J138" s="2" t="s">
        <v>11</v>
      </c>
      <c r="K138" t="s">
        <v>551</v>
      </c>
      <c r="O138" s="18">
        <f t="shared" si="20"/>
        <v>46213</v>
      </c>
      <c r="P138" s="19">
        <f t="shared" si="21"/>
        <v>131.12700729927008</v>
      </c>
    </row>
    <row r="139" spans="1:16" hidden="1" x14ac:dyDescent="0.3">
      <c r="A139" s="2" t="s">
        <v>384</v>
      </c>
      <c r="B139" s="2" t="s">
        <v>442</v>
      </c>
      <c r="C139" s="2" t="s">
        <v>443</v>
      </c>
      <c r="D139" s="2" t="s">
        <v>444</v>
      </c>
      <c r="E139" s="2" t="s">
        <v>10</v>
      </c>
      <c r="F139" s="3">
        <v>46206</v>
      </c>
      <c r="G139" s="4">
        <v>80</v>
      </c>
      <c r="H139" s="3">
        <v>46213</v>
      </c>
      <c r="I139" s="5">
        <v>35.4</v>
      </c>
      <c r="J139" s="2" t="s">
        <v>11</v>
      </c>
      <c r="K139" t="s">
        <v>551</v>
      </c>
      <c r="O139" s="18">
        <f t="shared" si="20"/>
        <v>46213</v>
      </c>
      <c r="P139" s="19">
        <f t="shared" si="21"/>
        <v>10.335766423357665</v>
      </c>
    </row>
    <row r="140" spans="1:16" hidden="1" x14ac:dyDescent="0.3">
      <c r="A140" s="2" t="s">
        <v>384</v>
      </c>
      <c r="B140" s="2" t="s">
        <v>445</v>
      </c>
      <c r="C140" s="2" t="s">
        <v>446</v>
      </c>
      <c r="D140" s="2" t="s">
        <v>447</v>
      </c>
      <c r="E140" s="2" t="s">
        <v>10</v>
      </c>
      <c r="F140" s="3">
        <v>46220</v>
      </c>
      <c r="G140" s="4">
        <v>66</v>
      </c>
      <c r="H140" s="3">
        <v>46227</v>
      </c>
      <c r="I140" s="5">
        <v>355.65</v>
      </c>
      <c r="J140" s="2" t="s">
        <v>11</v>
      </c>
      <c r="K140" t="s">
        <v>551</v>
      </c>
      <c r="O140" s="18">
        <f t="shared" si="20"/>
        <v>46227</v>
      </c>
      <c r="P140" s="19">
        <f t="shared" si="21"/>
        <v>103.83941605839416</v>
      </c>
    </row>
    <row r="141" spans="1:16" hidden="1" x14ac:dyDescent="0.3">
      <c r="A141" s="2" t="s">
        <v>384</v>
      </c>
      <c r="B141" s="2" t="s">
        <v>448</v>
      </c>
      <c r="C141" s="2" t="s">
        <v>449</v>
      </c>
      <c r="D141" s="2" t="s">
        <v>450</v>
      </c>
      <c r="E141" s="2" t="s">
        <v>10</v>
      </c>
      <c r="F141" s="3">
        <v>46220</v>
      </c>
      <c r="G141" s="4">
        <v>66</v>
      </c>
      <c r="H141" s="3">
        <v>46227</v>
      </c>
      <c r="I141" s="5">
        <v>47.2</v>
      </c>
      <c r="J141" s="2" t="s">
        <v>11</v>
      </c>
      <c r="K141" t="s">
        <v>551</v>
      </c>
      <c r="O141" s="18">
        <f t="shared" si="20"/>
        <v>46227</v>
      </c>
      <c r="P141" s="19">
        <f t="shared" si="21"/>
        <v>13.78102189781022</v>
      </c>
    </row>
    <row r="142" spans="1:16" hidden="1" x14ac:dyDescent="0.3">
      <c r="A142" s="2" t="s">
        <v>451</v>
      </c>
      <c r="B142" s="2" t="s">
        <v>452</v>
      </c>
      <c r="C142" s="2" t="s">
        <v>453</v>
      </c>
      <c r="D142" s="2" t="s">
        <v>454</v>
      </c>
      <c r="E142" s="2" t="s">
        <v>64</v>
      </c>
      <c r="F142" s="3">
        <v>46218</v>
      </c>
      <c r="G142" s="4">
        <v>75</v>
      </c>
      <c r="H142" s="3">
        <v>46218</v>
      </c>
      <c r="I142" s="5">
        <v>23.6</v>
      </c>
      <c r="J142" s="2" t="s">
        <v>11</v>
      </c>
      <c r="K142" t="s">
        <v>546</v>
      </c>
      <c r="O142" s="18">
        <f t="shared" si="20"/>
        <v>46218</v>
      </c>
      <c r="P142" s="19">
        <f t="shared" si="21"/>
        <v>6.89051094890511</v>
      </c>
    </row>
    <row r="143" spans="1:16" hidden="1" x14ac:dyDescent="0.3">
      <c r="A143" s="2" t="s">
        <v>455</v>
      </c>
      <c r="B143" s="2" t="s">
        <v>456</v>
      </c>
      <c r="C143" s="2" t="s">
        <v>457</v>
      </c>
      <c r="D143" s="2" t="s">
        <v>458</v>
      </c>
      <c r="E143" s="2" t="s">
        <v>10</v>
      </c>
      <c r="F143" s="3">
        <v>46290</v>
      </c>
      <c r="G143" s="7">
        <v>-4</v>
      </c>
      <c r="H143" s="3">
        <v>46297</v>
      </c>
      <c r="I143" s="5">
        <v>1515.12</v>
      </c>
      <c r="J143" s="2" t="s">
        <v>11</v>
      </c>
      <c r="K143" t="s">
        <v>546</v>
      </c>
      <c r="O143" s="18">
        <f t="shared" si="20"/>
        <v>46297</v>
      </c>
      <c r="P143" s="19">
        <f t="shared" si="21"/>
        <v>442.37080291970801</v>
      </c>
    </row>
    <row r="144" spans="1:16" hidden="1" x14ac:dyDescent="0.3">
      <c r="A144" s="2" t="s">
        <v>459</v>
      </c>
      <c r="B144" s="2" t="s">
        <v>460</v>
      </c>
      <c r="C144" s="2" t="s">
        <v>461</v>
      </c>
      <c r="D144" s="2" t="s">
        <v>462</v>
      </c>
      <c r="E144" s="2" t="s">
        <v>64</v>
      </c>
      <c r="F144" s="3">
        <v>45951</v>
      </c>
      <c r="G144" s="4">
        <v>342</v>
      </c>
      <c r="H144" s="3">
        <v>45951</v>
      </c>
      <c r="I144" s="5">
        <v>4460</v>
      </c>
      <c r="J144" s="2" t="s">
        <v>11</v>
      </c>
      <c r="K144" t="s">
        <v>547</v>
      </c>
      <c r="O144" s="18">
        <f>H144</f>
        <v>45951</v>
      </c>
      <c r="P144" s="19">
        <f>I144/3.425</f>
        <v>1302.1897810218979</v>
      </c>
    </row>
    <row r="145" spans="1:18" hidden="1" x14ac:dyDescent="0.3">
      <c r="A145" s="2" t="s">
        <v>459</v>
      </c>
      <c r="B145" s="2" t="s">
        <v>463</v>
      </c>
      <c r="C145" s="2" t="s">
        <v>464</v>
      </c>
      <c r="D145" s="2" t="s">
        <v>465</v>
      </c>
      <c r="E145" s="2" t="s">
        <v>10</v>
      </c>
      <c r="F145" s="3">
        <v>45965</v>
      </c>
      <c r="G145" s="4">
        <v>321</v>
      </c>
      <c r="H145" s="3">
        <v>45972</v>
      </c>
      <c r="I145" s="5">
        <v>7097.98</v>
      </c>
      <c r="J145" s="2" t="s">
        <v>11</v>
      </c>
      <c r="K145" t="s">
        <v>547</v>
      </c>
      <c r="O145" s="18">
        <f t="shared" ref="O145:O147" si="22">H145</f>
        <v>45972</v>
      </c>
      <c r="P145" s="19">
        <f t="shared" ref="P145:P147" si="23">I145/3.425</f>
        <v>2072.402919708029</v>
      </c>
    </row>
    <row r="146" spans="1:18" hidden="1" x14ac:dyDescent="0.3">
      <c r="A146" s="2" t="s">
        <v>459</v>
      </c>
      <c r="B146" s="2" t="s">
        <v>466</v>
      </c>
      <c r="C146" s="2" t="s">
        <v>467</v>
      </c>
      <c r="D146" s="2" t="s">
        <v>468</v>
      </c>
      <c r="E146" s="2" t="s">
        <v>10</v>
      </c>
      <c r="F146" s="3">
        <v>46053</v>
      </c>
      <c r="G146" s="4">
        <v>233</v>
      </c>
      <c r="H146" s="3">
        <v>46060</v>
      </c>
      <c r="I146" s="5">
        <v>4003.46</v>
      </c>
      <c r="J146" s="2" t="s">
        <v>11</v>
      </c>
      <c r="K146" t="s">
        <v>547</v>
      </c>
      <c r="O146" s="18">
        <f t="shared" si="22"/>
        <v>46060</v>
      </c>
      <c r="P146" s="19">
        <f t="shared" si="23"/>
        <v>1168.8934306569345</v>
      </c>
    </row>
    <row r="147" spans="1:18" hidden="1" x14ac:dyDescent="0.3">
      <c r="A147" s="2" t="s">
        <v>459</v>
      </c>
      <c r="B147" s="2" t="s">
        <v>469</v>
      </c>
      <c r="C147" s="2" t="s">
        <v>470</v>
      </c>
      <c r="D147" s="2" t="s">
        <v>471</v>
      </c>
      <c r="E147" s="2" t="s">
        <v>10</v>
      </c>
      <c r="F147" s="3">
        <v>46084</v>
      </c>
      <c r="G147" s="4">
        <v>202</v>
      </c>
      <c r="H147" s="3">
        <v>46091</v>
      </c>
      <c r="I147" s="5">
        <v>4956</v>
      </c>
      <c r="J147" s="2" t="s">
        <v>11</v>
      </c>
      <c r="K147" t="s">
        <v>547</v>
      </c>
      <c r="O147" s="18">
        <f t="shared" si="22"/>
        <v>46091</v>
      </c>
      <c r="P147" s="19">
        <f t="shared" si="23"/>
        <v>1447.007299270073</v>
      </c>
    </row>
    <row r="148" spans="1:18" x14ac:dyDescent="0.3">
      <c r="A148" s="2" t="s">
        <v>472</v>
      </c>
      <c r="B148" s="2" t="s">
        <v>473</v>
      </c>
      <c r="C148" s="2" t="s">
        <v>474</v>
      </c>
      <c r="D148" s="2" t="s">
        <v>475</v>
      </c>
      <c r="E148" s="2" t="s">
        <v>91</v>
      </c>
      <c r="F148" s="3">
        <v>46280</v>
      </c>
      <c r="G148" s="4">
        <v>0</v>
      </c>
      <c r="H148" s="3">
        <v>46295</v>
      </c>
      <c r="I148" s="6">
        <v>-23847</v>
      </c>
      <c r="J148" s="2" t="s">
        <v>69</v>
      </c>
      <c r="K148" t="s">
        <v>553</v>
      </c>
      <c r="L148" s="18">
        <f>F148+60</f>
        <v>46340</v>
      </c>
      <c r="M148" s="20">
        <f ca="1">TODAY()-N148</f>
        <v>46293</v>
      </c>
      <c r="N148" s="18"/>
      <c r="O148" s="18">
        <f>H148</f>
        <v>46295</v>
      </c>
      <c r="P148" s="10">
        <f>I148</f>
        <v>-23847</v>
      </c>
      <c r="Q148" s="20">
        <f ca="1">TODAY()-F148</f>
        <v>13</v>
      </c>
      <c r="R148" t="s">
        <v>564</v>
      </c>
    </row>
    <row r="149" spans="1:18" hidden="1" x14ac:dyDescent="0.3">
      <c r="A149" s="2" t="s">
        <v>476</v>
      </c>
      <c r="B149" s="2" t="s">
        <v>477</v>
      </c>
      <c r="C149" s="2" t="s">
        <v>478</v>
      </c>
      <c r="D149" s="2" t="s">
        <v>479</v>
      </c>
      <c r="E149" s="2" t="s">
        <v>10</v>
      </c>
      <c r="F149" s="3">
        <v>45937</v>
      </c>
      <c r="G149" s="4">
        <v>349</v>
      </c>
      <c r="H149" s="3">
        <v>45944</v>
      </c>
      <c r="I149" s="5">
        <v>790</v>
      </c>
      <c r="J149" s="2" t="s">
        <v>11</v>
      </c>
      <c r="K149" t="s">
        <v>548</v>
      </c>
      <c r="O149" s="18">
        <f>H149</f>
        <v>45944</v>
      </c>
      <c r="P149" s="19">
        <f>I149/3.425</f>
        <v>230.65693430656935</v>
      </c>
    </row>
    <row r="150" spans="1:18" hidden="1" x14ac:dyDescent="0.3">
      <c r="A150" s="2" t="s">
        <v>480</v>
      </c>
      <c r="B150" s="2" t="s">
        <v>481</v>
      </c>
      <c r="C150" s="2" t="s">
        <v>482</v>
      </c>
      <c r="D150" s="2" t="s">
        <v>483</v>
      </c>
      <c r="E150" s="2" t="s">
        <v>10</v>
      </c>
      <c r="F150" s="3">
        <v>46293</v>
      </c>
      <c r="G150" s="7">
        <v>-3</v>
      </c>
      <c r="H150" s="3">
        <v>46296</v>
      </c>
      <c r="I150" s="5">
        <v>46507.1</v>
      </c>
      <c r="J150" s="2" t="s">
        <v>11</v>
      </c>
      <c r="K150" t="s">
        <v>549</v>
      </c>
      <c r="O150" s="18">
        <f>H150</f>
        <v>46296</v>
      </c>
      <c r="P150" s="19">
        <f>I150/3.425</f>
        <v>13578.715328467153</v>
      </c>
    </row>
    <row r="151" spans="1:18" x14ac:dyDescent="0.3">
      <c r="A151" s="2" t="s">
        <v>484</v>
      </c>
      <c r="B151" s="2" t="s">
        <v>485</v>
      </c>
      <c r="C151" s="2" t="s">
        <v>486</v>
      </c>
      <c r="D151" s="2" t="s">
        <v>487</v>
      </c>
      <c r="E151" s="2" t="s">
        <v>64</v>
      </c>
      <c r="F151" s="3">
        <v>46230</v>
      </c>
      <c r="G151" s="4">
        <v>63</v>
      </c>
      <c r="H151" s="3">
        <v>46230</v>
      </c>
      <c r="I151" s="5">
        <v>64640</v>
      </c>
      <c r="J151" s="2" t="s">
        <v>69</v>
      </c>
      <c r="K151" t="s">
        <v>553</v>
      </c>
      <c r="L151" s="18">
        <f t="shared" ref="L151" si="24">F151+60</f>
        <v>46290</v>
      </c>
      <c r="M151" s="20">
        <f t="shared" ref="M151" ca="1" si="25">TODAY()-N151</f>
        <v>3</v>
      </c>
      <c r="N151" s="18">
        <v>46290</v>
      </c>
      <c r="O151" s="18">
        <v>46297</v>
      </c>
      <c r="P151" s="10">
        <f t="shared" ref="P151" si="26">I151</f>
        <v>64640</v>
      </c>
      <c r="Q151" s="20">
        <f t="shared" ref="Q151" ca="1" si="27">TODAY()-F151</f>
        <v>63</v>
      </c>
      <c r="R151" t="s">
        <v>566</v>
      </c>
    </row>
    <row r="152" spans="1:18" hidden="1" x14ac:dyDescent="0.3">
      <c r="A152" s="2" t="s">
        <v>488</v>
      </c>
      <c r="B152" s="2" t="s">
        <v>489</v>
      </c>
      <c r="C152" s="2" t="s">
        <v>490</v>
      </c>
      <c r="D152" s="2" t="s">
        <v>491</v>
      </c>
      <c r="E152" s="2" t="s">
        <v>88</v>
      </c>
      <c r="F152" s="3">
        <v>45763</v>
      </c>
      <c r="G152" s="4">
        <v>530</v>
      </c>
      <c r="H152" s="3">
        <v>45763</v>
      </c>
      <c r="I152" s="5">
        <v>2198.11</v>
      </c>
      <c r="J152" s="2" t="s">
        <v>69</v>
      </c>
      <c r="K152" t="s">
        <v>546</v>
      </c>
      <c r="L152" s="18"/>
      <c r="M152" s="20"/>
      <c r="N152" s="18"/>
      <c r="O152" s="18"/>
      <c r="P152" s="10"/>
      <c r="Q152" s="20"/>
    </row>
    <row r="153" spans="1:18" hidden="1" x14ac:dyDescent="0.3">
      <c r="A153" s="2" t="s">
        <v>488</v>
      </c>
      <c r="B153" s="2" t="s">
        <v>492</v>
      </c>
      <c r="C153" s="2" t="s">
        <v>493</v>
      </c>
      <c r="D153" s="2" t="s">
        <v>491</v>
      </c>
      <c r="E153" s="2" t="s">
        <v>88</v>
      </c>
      <c r="F153" s="3">
        <v>45808</v>
      </c>
      <c r="G153" s="4">
        <v>485</v>
      </c>
      <c r="H153" s="3">
        <v>45808</v>
      </c>
      <c r="I153" s="5">
        <v>7020.55</v>
      </c>
      <c r="J153" s="2" t="s">
        <v>69</v>
      </c>
      <c r="K153" t="s">
        <v>546</v>
      </c>
      <c r="L153" s="18"/>
      <c r="M153" s="20"/>
      <c r="N153" s="18"/>
      <c r="O153" s="18"/>
      <c r="P153" s="10"/>
      <c r="Q153" s="20"/>
    </row>
    <row r="154" spans="1:18" hidden="1" x14ac:dyDescent="0.3">
      <c r="A154" s="2" t="s">
        <v>488</v>
      </c>
      <c r="B154" s="2" t="s">
        <v>494</v>
      </c>
      <c r="C154" s="2" t="s">
        <v>495</v>
      </c>
      <c r="D154" s="2" t="s">
        <v>491</v>
      </c>
      <c r="E154" s="2" t="s">
        <v>88</v>
      </c>
      <c r="F154" s="3">
        <v>45888</v>
      </c>
      <c r="G154" s="4">
        <v>405</v>
      </c>
      <c r="H154" s="3">
        <v>45888</v>
      </c>
      <c r="I154" s="5">
        <v>40781.339999999997</v>
      </c>
      <c r="J154" s="2" t="s">
        <v>69</v>
      </c>
      <c r="K154" t="s">
        <v>546</v>
      </c>
      <c r="L154" s="18"/>
      <c r="M154" s="20"/>
      <c r="N154" s="18"/>
      <c r="O154" s="18"/>
      <c r="P154" s="10"/>
      <c r="Q154" s="20"/>
    </row>
    <row r="155" spans="1:18" hidden="1" x14ac:dyDescent="0.3">
      <c r="A155" s="2" t="s">
        <v>488</v>
      </c>
      <c r="B155" s="2" t="s">
        <v>496</v>
      </c>
      <c r="C155" s="2" t="s">
        <v>497</v>
      </c>
      <c r="D155" s="2" t="s">
        <v>498</v>
      </c>
      <c r="E155" s="2" t="s">
        <v>88</v>
      </c>
      <c r="F155" s="3">
        <v>46203</v>
      </c>
      <c r="G155" s="4">
        <v>90</v>
      </c>
      <c r="H155" s="3">
        <v>46203</v>
      </c>
      <c r="I155" s="5">
        <v>590</v>
      </c>
      <c r="J155" s="2" t="s">
        <v>11</v>
      </c>
      <c r="K155" t="s">
        <v>550</v>
      </c>
      <c r="O155" s="18">
        <f>H155</f>
        <v>46203</v>
      </c>
      <c r="P155" s="19">
        <f>I155/3.425</f>
        <v>172.26277372262774</v>
      </c>
    </row>
    <row r="156" spans="1:18" hidden="1" x14ac:dyDescent="0.3">
      <c r="A156" s="2" t="s">
        <v>499</v>
      </c>
      <c r="B156" s="2" t="s">
        <v>500</v>
      </c>
      <c r="C156" s="2" t="s">
        <v>501</v>
      </c>
      <c r="D156" s="2" t="s">
        <v>502</v>
      </c>
      <c r="E156" s="2" t="s">
        <v>10</v>
      </c>
      <c r="F156" s="3">
        <v>46277</v>
      </c>
      <c r="G156" s="4">
        <v>9</v>
      </c>
      <c r="H156" s="3">
        <v>46284</v>
      </c>
      <c r="I156" s="5">
        <v>590</v>
      </c>
      <c r="J156" s="2" t="s">
        <v>11</v>
      </c>
      <c r="K156" t="s">
        <v>546</v>
      </c>
      <c r="O156" s="18">
        <f t="shared" ref="O156:O160" si="28">H156</f>
        <v>46284</v>
      </c>
      <c r="P156" s="19">
        <f t="shared" ref="P156:P158" si="29">I156/3.425</f>
        <v>172.26277372262774</v>
      </c>
    </row>
    <row r="157" spans="1:18" hidden="1" x14ac:dyDescent="0.3">
      <c r="A157" s="2" t="s">
        <v>499</v>
      </c>
      <c r="B157" s="2" t="s">
        <v>503</v>
      </c>
      <c r="C157" s="2" t="s">
        <v>504</v>
      </c>
      <c r="D157" s="2" t="s">
        <v>505</v>
      </c>
      <c r="E157" s="2" t="s">
        <v>10</v>
      </c>
      <c r="F157" s="3">
        <v>46283</v>
      </c>
      <c r="G157" s="4">
        <v>3</v>
      </c>
      <c r="H157" s="3">
        <v>46290</v>
      </c>
      <c r="I157" s="5">
        <v>590</v>
      </c>
      <c r="J157" s="2" t="s">
        <v>11</v>
      </c>
      <c r="K157" t="s">
        <v>546</v>
      </c>
      <c r="O157" s="18">
        <f t="shared" si="28"/>
        <v>46290</v>
      </c>
      <c r="P157" s="19">
        <f t="shared" si="29"/>
        <v>172.26277372262774</v>
      </c>
    </row>
    <row r="158" spans="1:18" hidden="1" x14ac:dyDescent="0.3">
      <c r="A158" s="2" t="s">
        <v>499</v>
      </c>
      <c r="B158" s="2" t="s">
        <v>506</v>
      </c>
      <c r="C158" s="2" t="s">
        <v>507</v>
      </c>
      <c r="D158" s="2" t="s">
        <v>508</v>
      </c>
      <c r="E158" s="2" t="s">
        <v>10</v>
      </c>
      <c r="F158" s="3">
        <v>46291</v>
      </c>
      <c r="G158" s="7">
        <v>-5</v>
      </c>
      <c r="H158" s="3">
        <v>46298</v>
      </c>
      <c r="I158" s="5">
        <v>590</v>
      </c>
      <c r="J158" s="2" t="s">
        <v>11</v>
      </c>
      <c r="K158" t="s">
        <v>546</v>
      </c>
      <c r="O158" s="18">
        <f t="shared" si="28"/>
        <v>46298</v>
      </c>
      <c r="P158" s="19">
        <f t="shared" si="29"/>
        <v>172.26277372262774</v>
      </c>
    </row>
    <row r="159" spans="1:18" x14ac:dyDescent="0.3">
      <c r="A159" s="2" t="s">
        <v>509</v>
      </c>
      <c r="B159" s="2" t="s">
        <v>510</v>
      </c>
      <c r="C159" s="2" t="s">
        <v>511</v>
      </c>
      <c r="D159" s="2" t="s">
        <v>512</v>
      </c>
      <c r="E159" s="2" t="s">
        <v>91</v>
      </c>
      <c r="F159" s="3">
        <v>46280</v>
      </c>
      <c r="G159" s="4">
        <v>0</v>
      </c>
      <c r="H159" s="3">
        <v>46295</v>
      </c>
      <c r="I159" s="6">
        <v>-14455</v>
      </c>
      <c r="J159" s="2" t="s">
        <v>69</v>
      </c>
      <c r="K159" t="s">
        <v>553</v>
      </c>
      <c r="L159" s="18">
        <f t="shared" ref="L159:L160" si="30">F159+60</f>
        <v>46340</v>
      </c>
      <c r="M159" s="20">
        <f t="shared" ref="M159:M160" ca="1" si="31">TODAY()-N159</f>
        <v>46293</v>
      </c>
      <c r="N159" s="18"/>
      <c r="O159" s="18">
        <f t="shared" si="28"/>
        <v>46295</v>
      </c>
      <c r="P159" s="10">
        <f t="shared" ref="P159:P160" si="32">I159</f>
        <v>-14455</v>
      </c>
      <c r="Q159" s="20">
        <f t="shared" ref="Q159:Q160" ca="1" si="33">TODAY()-F159</f>
        <v>13</v>
      </c>
      <c r="R159" t="s">
        <v>564</v>
      </c>
    </row>
    <row r="160" spans="1:18" x14ac:dyDescent="0.3">
      <c r="A160" s="2" t="s">
        <v>509</v>
      </c>
      <c r="B160" s="2" t="s">
        <v>513</v>
      </c>
      <c r="C160" s="2" t="s">
        <v>514</v>
      </c>
      <c r="D160" s="2" t="s">
        <v>515</v>
      </c>
      <c r="E160" s="2" t="s">
        <v>91</v>
      </c>
      <c r="F160" s="3">
        <v>46288</v>
      </c>
      <c r="G160" s="4">
        <v>0</v>
      </c>
      <c r="H160" s="3">
        <v>46295</v>
      </c>
      <c r="I160" s="6">
        <v>-9110</v>
      </c>
      <c r="J160" s="2" t="s">
        <v>69</v>
      </c>
      <c r="K160" t="s">
        <v>553</v>
      </c>
      <c r="L160" s="18">
        <f t="shared" si="30"/>
        <v>46348</v>
      </c>
      <c r="M160" s="20">
        <f t="shared" ca="1" si="31"/>
        <v>46293</v>
      </c>
      <c r="N160" s="18"/>
      <c r="O160" s="18">
        <f t="shared" si="28"/>
        <v>46295</v>
      </c>
      <c r="P160" s="10">
        <f t="shared" si="32"/>
        <v>-9110</v>
      </c>
      <c r="Q160" s="20">
        <f t="shared" ca="1" si="33"/>
        <v>5</v>
      </c>
      <c r="R160" t="s">
        <v>564</v>
      </c>
    </row>
    <row r="161" spans="1:18" hidden="1" x14ac:dyDescent="0.3">
      <c r="A161" s="2" t="s">
        <v>516</v>
      </c>
      <c r="B161" s="2" t="s">
        <v>517</v>
      </c>
      <c r="C161" s="2" t="s">
        <v>518</v>
      </c>
      <c r="D161" s="2" t="s">
        <v>519</v>
      </c>
      <c r="E161" s="2" t="s">
        <v>88</v>
      </c>
      <c r="F161" s="3">
        <v>45835</v>
      </c>
      <c r="G161" s="4">
        <v>458</v>
      </c>
      <c r="H161" s="3">
        <v>45835</v>
      </c>
      <c r="I161" s="5">
        <v>42.48</v>
      </c>
      <c r="J161" s="2" t="s">
        <v>69</v>
      </c>
      <c r="K161" t="s">
        <v>546</v>
      </c>
      <c r="L161" s="18"/>
      <c r="M161" s="20"/>
      <c r="N161" s="18"/>
      <c r="O161" s="18"/>
      <c r="P161" s="10"/>
      <c r="Q161" s="20"/>
    </row>
    <row r="162" spans="1:18" hidden="1" x14ac:dyDescent="0.3">
      <c r="A162" s="2" t="s">
        <v>516</v>
      </c>
      <c r="B162" s="2" t="s">
        <v>520</v>
      </c>
      <c r="C162" s="2" t="s">
        <v>521</v>
      </c>
      <c r="D162" s="2" t="s">
        <v>522</v>
      </c>
      <c r="E162" s="2" t="s">
        <v>88</v>
      </c>
      <c r="F162" s="3">
        <v>45991</v>
      </c>
      <c r="G162" s="4">
        <v>302</v>
      </c>
      <c r="H162" s="3">
        <v>45991</v>
      </c>
      <c r="I162" s="5">
        <v>445.96</v>
      </c>
      <c r="J162" s="2" t="s">
        <v>69</v>
      </c>
      <c r="K162" t="s">
        <v>546</v>
      </c>
      <c r="L162" s="18"/>
      <c r="M162" s="20"/>
      <c r="N162" s="18"/>
      <c r="O162" s="18"/>
      <c r="P162" s="10"/>
      <c r="Q162" s="20"/>
    </row>
    <row r="163" spans="1:18" hidden="1" x14ac:dyDescent="0.3">
      <c r="A163" s="2" t="s">
        <v>523</v>
      </c>
      <c r="B163" s="2" t="s">
        <v>524</v>
      </c>
      <c r="C163" s="2" t="s">
        <v>525</v>
      </c>
      <c r="D163" s="2" t="s">
        <v>526</v>
      </c>
      <c r="E163" s="2" t="s">
        <v>10</v>
      </c>
      <c r="F163" s="3">
        <v>46283</v>
      </c>
      <c r="G163" s="4">
        <v>3</v>
      </c>
      <c r="H163" s="3">
        <v>46290</v>
      </c>
      <c r="I163" s="5">
        <v>1104.48</v>
      </c>
      <c r="J163" s="2" t="s">
        <v>11</v>
      </c>
      <c r="K163" t="s">
        <v>546</v>
      </c>
      <c r="O163" s="18">
        <f t="shared" ref="O163:O168" si="34">H163</f>
        <v>46290</v>
      </c>
      <c r="P163" s="19">
        <f t="shared" ref="P163:P166" si="35">I163/3.425</f>
        <v>322.47591240875914</v>
      </c>
    </row>
    <row r="164" spans="1:18" hidden="1" x14ac:dyDescent="0.3">
      <c r="A164" s="2" t="s">
        <v>523</v>
      </c>
      <c r="B164" s="2" t="s">
        <v>527</v>
      </c>
      <c r="C164" s="2" t="s">
        <v>528</v>
      </c>
      <c r="D164" s="2" t="s">
        <v>529</v>
      </c>
      <c r="E164" s="2" t="s">
        <v>10</v>
      </c>
      <c r="F164" s="3">
        <v>46286</v>
      </c>
      <c r="G164" s="4">
        <v>0</v>
      </c>
      <c r="H164" s="3">
        <v>46293</v>
      </c>
      <c r="I164" s="5">
        <v>1472.64</v>
      </c>
      <c r="J164" s="2" t="s">
        <v>11</v>
      </c>
      <c r="K164" t="s">
        <v>546</v>
      </c>
      <c r="O164" s="18">
        <f t="shared" si="34"/>
        <v>46293</v>
      </c>
      <c r="P164" s="19">
        <f t="shared" si="35"/>
        <v>429.9678832116789</v>
      </c>
    </row>
    <row r="165" spans="1:18" hidden="1" x14ac:dyDescent="0.3">
      <c r="A165" s="2" t="s">
        <v>523</v>
      </c>
      <c r="B165" s="2" t="s">
        <v>530</v>
      </c>
      <c r="C165" s="2" t="s">
        <v>531</v>
      </c>
      <c r="D165" s="2" t="s">
        <v>532</v>
      </c>
      <c r="E165" s="2" t="s">
        <v>10</v>
      </c>
      <c r="F165" s="3">
        <v>46287</v>
      </c>
      <c r="G165" s="7">
        <v>-1</v>
      </c>
      <c r="H165" s="3">
        <v>46294</v>
      </c>
      <c r="I165" s="5">
        <v>368.16</v>
      </c>
      <c r="J165" s="2" t="s">
        <v>11</v>
      </c>
      <c r="K165" t="s">
        <v>546</v>
      </c>
      <c r="O165" s="18">
        <f t="shared" si="34"/>
        <v>46294</v>
      </c>
      <c r="P165" s="19">
        <f t="shared" si="35"/>
        <v>107.49197080291972</v>
      </c>
    </row>
    <row r="166" spans="1:18" hidden="1" x14ac:dyDescent="0.3">
      <c r="A166" s="2" t="s">
        <v>523</v>
      </c>
      <c r="B166" s="2" t="s">
        <v>533</v>
      </c>
      <c r="C166" s="2" t="s">
        <v>534</v>
      </c>
      <c r="D166" s="2" t="s">
        <v>535</v>
      </c>
      <c r="E166" s="2" t="s">
        <v>10</v>
      </c>
      <c r="F166" s="3">
        <v>46291</v>
      </c>
      <c r="G166" s="7">
        <v>-5</v>
      </c>
      <c r="H166" s="3">
        <v>46298</v>
      </c>
      <c r="I166" s="5">
        <v>368.16</v>
      </c>
      <c r="J166" s="2" t="s">
        <v>11</v>
      </c>
      <c r="K166" t="s">
        <v>546</v>
      </c>
      <c r="O166" s="18">
        <f t="shared" si="34"/>
        <v>46298</v>
      </c>
      <c r="P166" s="19">
        <f t="shared" si="35"/>
        <v>107.49197080291972</v>
      </c>
    </row>
    <row r="167" spans="1:18" x14ac:dyDescent="0.3">
      <c r="A167" s="2" t="s">
        <v>536</v>
      </c>
      <c r="B167" s="2" t="s">
        <v>538</v>
      </c>
      <c r="C167" s="2" t="s">
        <v>539</v>
      </c>
      <c r="D167" s="2" t="s">
        <v>540</v>
      </c>
      <c r="E167" s="2" t="s">
        <v>79</v>
      </c>
      <c r="F167" s="3">
        <v>46281</v>
      </c>
      <c r="G167" s="7">
        <v>-33</v>
      </c>
      <c r="H167" s="3">
        <v>46326</v>
      </c>
      <c r="I167" s="5">
        <v>30825</v>
      </c>
      <c r="J167" s="2" t="s">
        <v>69</v>
      </c>
      <c r="K167" t="s">
        <v>553</v>
      </c>
      <c r="L167" s="18">
        <f t="shared" ref="L167:L168" si="36">F167+60</f>
        <v>46341</v>
      </c>
      <c r="M167" s="20">
        <f t="shared" ref="M167:M168" ca="1" si="37">TODAY()-N167</f>
        <v>-48</v>
      </c>
      <c r="N167" s="18">
        <v>46341</v>
      </c>
      <c r="O167" s="18">
        <v>46341</v>
      </c>
      <c r="P167" s="10">
        <f t="shared" ref="P167:P168" si="38">I167</f>
        <v>30825</v>
      </c>
      <c r="Q167" s="20">
        <f t="shared" ref="Q167:Q168" ca="1" si="39">TODAY()-F167</f>
        <v>12</v>
      </c>
      <c r="R167" t="s">
        <v>564</v>
      </c>
    </row>
    <row r="168" spans="1:18" x14ac:dyDescent="0.3">
      <c r="A168" s="2" t="s">
        <v>541</v>
      </c>
      <c r="B168" s="2" t="s">
        <v>542</v>
      </c>
      <c r="C168" s="2" t="s">
        <v>543</v>
      </c>
      <c r="D168" s="2" t="s">
        <v>544</v>
      </c>
      <c r="E168" s="2" t="s">
        <v>91</v>
      </c>
      <c r="F168" s="3">
        <v>46273</v>
      </c>
      <c r="G168" s="4">
        <v>0</v>
      </c>
      <c r="H168" s="3">
        <v>46295</v>
      </c>
      <c r="I168" s="6">
        <v>-15245</v>
      </c>
      <c r="J168" s="2" t="s">
        <v>69</v>
      </c>
      <c r="K168" t="s">
        <v>553</v>
      </c>
      <c r="L168" s="18">
        <f t="shared" si="36"/>
        <v>46333</v>
      </c>
      <c r="M168" s="20">
        <f t="shared" ca="1" si="37"/>
        <v>46293</v>
      </c>
      <c r="N168" s="18"/>
      <c r="O168" s="18">
        <f t="shared" si="34"/>
        <v>46295</v>
      </c>
      <c r="P168" s="10">
        <f t="shared" si="38"/>
        <v>-15245</v>
      </c>
      <c r="Q168" s="20">
        <f t="shared" ca="1" si="39"/>
        <v>20</v>
      </c>
      <c r="R168" t="s">
        <v>564</v>
      </c>
    </row>
  </sheetData>
  <autoFilter ref="A1:R168" xr:uid="{00000000-0001-0000-0000-000000000000}">
    <filterColumn colId="10">
      <filters>
        <filter val="EXPORTACIÓN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Hoja2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2026-09-28T23:49:36Z</dcterms:created>
  <dcterms:modified xsi:type="dcterms:W3CDTF">2026-09-29T01:52:37Z</dcterms:modified>
  <cp:category/>
</cp:coreProperties>
</file>