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m\Documents\"/>
    </mc:Choice>
  </mc:AlternateContent>
  <xr:revisionPtr revIDLastSave="0" documentId="13_ncr:1_{B2FB444A-686E-40DB-A0DD-4560CC0A511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SUMEN" sheetId="3" r:id="rId1"/>
    <sheet name="Hoja2" sheetId="4" state="hidden" r:id="rId2"/>
    <sheet name="DÍAS" sheetId="5" state="hidden" r:id="rId3"/>
    <sheet name="Data" sheetId="1" r:id="rId4"/>
  </sheets>
  <definedNames>
    <definedName name="_xlnm._FilterDatabase" localSheetId="3" hidden="1">Data!$A$1:$R$90</definedName>
  </definedNames>
  <calcPr calcId="191029" iterate="1"/>
  <pivotCaches>
    <pivotCache cacheId="47" r:id="rId5"/>
    <pivotCache cacheId="48" r:id="rId6"/>
    <pivotCache cacheId="49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8" i="1" l="1"/>
  <c r="O37" i="1"/>
  <c r="O35" i="1"/>
  <c r="M86" i="1"/>
  <c r="M85" i="1"/>
  <c r="M79" i="1"/>
  <c r="M78" i="1"/>
  <c r="M49" i="1"/>
  <c r="M48" i="1"/>
  <c r="M47" i="1"/>
  <c r="M36" i="1"/>
  <c r="M29" i="1"/>
  <c r="M28" i="1"/>
  <c r="M27" i="1"/>
  <c r="M26" i="1"/>
  <c r="M25" i="1"/>
  <c r="M24" i="1"/>
  <c r="M23" i="1"/>
  <c r="M22" i="1"/>
  <c r="M21" i="1"/>
  <c r="M20" i="1"/>
  <c r="L89" i="1"/>
  <c r="L88" i="1"/>
  <c r="L86" i="1"/>
  <c r="L85" i="1"/>
  <c r="L79" i="1"/>
  <c r="L78" i="1"/>
  <c r="L49" i="1"/>
  <c r="L48" i="1"/>
  <c r="L47" i="1"/>
  <c r="L37" i="1"/>
  <c r="L36" i="1"/>
  <c r="L35" i="1"/>
  <c r="L29" i="1"/>
  <c r="L28" i="1"/>
  <c r="L27" i="1"/>
  <c r="L26" i="1"/>
  <c r="L25" i="1"/>
  <c r="L24" i="1"/>
  <c r="L23" i="1"/>
  <c r="L22" i="1"/>
  <c r="L21" i="1"/>
  <c r="L20" i="1"/>
  <c r="Q89" i="1"/>
  <c r="Q88" i="1"/>
  <c r="Q86" i="1"/>
  <c r="Q85" i="1"/>
  <c r="Q79" i="1"/>
  <c r="Q78" i="1"/>
  <c r="Q49" i="1"/>
  <c r="Q48" i="1"/>
  <c r="Q47" i="1"/>
  <c r="Q37" i="1"/>
  <c r="Q36" i="1"/>
  <c r="Q35" i="1"/>
  <c r="Q29" i="1"/>
  <c r="Q28" i="1"/>
  <c r="Q27" i="1"/>
  <c r="Q26" i="1"/>
  <c r="Q25" i="1"/>
  <c r="Q24" i="1"/>
  <c r="Q23" i="1"/>
  <c r="Q22" i="1"/>
  <c r="Q21" i="1"/>
  <c r="Q20" i="1"/>
  <c r="P89" i="1"/>
  <c r="P88" i="1"/>
  <c r="P86" i="1"/>
  <c r="P85" i="1"/>
  <c r="P79" i="1"/>
  <c r="P78" i="1"/>
  <c r="P49" i="1"/>
  <c r="P48" i="1"/>
  <c r="P47" i="1"/>
  <c r="P37" i="1"/>
  <c r="P36" i="1"/>
  <c r="P35" i="1"/>
  <c r="P29" i="1"/>
  <c r="P23" i="1"/>
  <c r="P22" i="1"/>
  <c r="P21" i="1"/>
  <c r="P20" i="1"/>
  <c r="O89" i="1"/>
  <c r="O48" i="1"/>
  <c r="O29" i="1"/>
  <c r="O28" i="1"/>
  <c r="O27" i="1"/>
  <c r="O26" i="1"/>
  <c r="O25" i="1"/>
  <c r="O24" i="1"/>
  <c r="O23" i="1"/>
  <c r="O21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50" i="1"/>
  <c r="P84" i="1"/>
  <c r="O84" i="1"/>
  <c r="P90" i="1"/>
  <c r="P77" i="1"/>
  <c r="P76" i="1"/>
  <c r="P75" i="1"/>
  <c r="P74" i="1"/>
  <c r="P73" i="1"/>
  <c r="P72" i="1"/>
  <c r="P46" i="1"/>
  <c r="P45" i="1"/>
  <c r="P44" i="1"/>
  <c r="P43" i="1"/>
  <c r="P42" i="1"/>
  <c r="P41" i="1"/>
  <c r="P34" i="1"/>
  <c r="P33" i="1"/>
  <c r="P32" i="1"/>
  <c r="P31" i="1"/>
  <c r="P3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O90" i="1"/>
  <c r="O77" i="1"/>
  <c r="O76" i="1"/>
  <c r="O75" i="1"/>
  <c r="O74" i="1"/>
  <c r="O73" i="1"/>
  <c r="O72" i="1"/>
  <c r="O46" i="1"/>
  <c r="O45" i="1"/>
  <c r="O44" i="1"/>
  <c r="O43" i="1"/>
  <c r="O42" i="1"/>
  <c r="O41" i="1"/>
  <c r="O34" i="1"/>
  <c r="O33" i="1"/>
  <c r="O32" i="1"/>
  <c r="O31" i="1"/>
  <c r="O3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P87" i="1"/>
  <c r="O87" i="1"/>
  <c r="P81" i="1"/>
  <c r="P82" i="1"/>
  <c r="P83" i="1"/>
  <c r="P80" i="1"/>
  <c r="O81" i="1"/>
  <c r="O82" i="1"/>
  <c r="O83" i="1"/>
  <c r="O80" i="1"/>
  <c r="P39" i="1"/>
  <c r="P40" i="1"/>
  <c r="P38" i="1"/>
  <c r="O39" i="1"/>
  <c r="O40" i="1"/>
  <c r="O38" i="1"/>
</calcChain>
</file>

<file path=xl/sharedStrings.xml><?xml version="1.0" encoding="utf-8"?>
<sst xmlns="http://schemas.openxmlformats.org/spreadsheetml/2006/main" count="819" uniqueCount="337">
  <si>
    <t>Cliente</t>
  </si>
  <si>
    <t>Nombre de cliente</t>
  </si>
  <si>
    <t>Nº documento</t>
  </si>
  <si>
    <t>Referencia</t>
  </si>
  <si>
    <t>Clase de documento</t>
  </si>
  <si>
    <t>Fecha de documento</t>
  </si>
  <si>
    <t>Demora tras vencimiento neto</t>
  </si>
  <si>
    <t>Fecha de pago</t>
  </si>
  <si>
    <t>Importe en moneda doc.</t>
  </si>
  <si>
    <t>Moneda del documento</t>
  </si>
  <si>
    <t>1000000434</t>
  </si>
  <si>
    <t>ACUA DIESEL EIRL</t>
  </si>
  <si>
    <t>1200003483</t>
  </si>
  <si>
    <t>01-0F101-0007697</t>
  </si>
  <si>
    <t>DF</t>
  </si>
  <si>
    <t>PEN</t>
  </si>
  <si>
    <t>1000013966</t>
  </si>
  <si>
    <t>ARKANO TRADING SOCIEDAD ANONIMA CER</t>
  </si>
  <si>
    <t>1200005220</t>
  </si>
  <si>
    <t>01-0F101-0004694</t>
  </si>
  <si>
    <t>ARKANO TRADING SOCIEDAD ANONIMA CER</t>
  </si>
  <si>
    <t>1200005228</t>
  </si>
  <si>
    <t>01-0F101-0004700</t>
  </si>
  <si>
    <t>ARKANO TRADING SOCIEDAD ANONIMA CER</t>
  </si>
  <si>
    <t>1200005242</t>
  </si>
  <si>
    <t>01-0F101-0004710</t>
  </si>
  <si>
    <t>ARKANO TRADING SOCIEDAD ANONIMA CER</t>
  </si>
  <si>
    <t>1200005264</t>
  </si>
  <si>
    <t>01-0F101-0004729</t>
  </si>
  <si>
    <t>ARKANO TRADING SOCIEDAD ANONIMA CER</t>
  </si>
  <si>
    <t>1200005271</t>
  </si>
  <si>
    <t>01-0F101-0004736</t>
  </si>
  <si>
    <t>ARKANO TRADING SOCIEDAD ANONIMA CER</t>
  </si>
  <si>
    <t>1200005296</t>
  </si>
  <si>
    <t>01-0F101-0004758</t>
  </si>
  <si>
    <t>ARKANO TRADING SOCIEDAD ANONIMA CER</t>
  </si>
  <si>
    <t>1200005302</t>
  </si>
  <si>
    <t>01-0F101-0004762</t>
  </si>
  <si>
    <t>ARKANO TRADING SOCIEDAD ANONIMA CER</t>
  </si>
  <si>
    <t>1200005304</t>
  </si>
  <si>
    <t>01-0F101-0004763</t>
  </si>
  <si>
    <t>ARKANO TRADING SOCIEDAD ANONIMA CER</t>
  </si>
  <si>
    <t>1200005313</t>
  </si>
  <si>
    <t>01-0F101-0004772</t>
  </si>
  <si>
    <t>ARKANO TRADING SOCIEDAD ANONIMA CER</t>
  </si>
  <si>
    <t>1200005346</t>
  </si>
  <si>
    <t>01-0F101-0004803</t>
  </si>
  <si>
    <t>ARKANO TRADING SOCIEDAD ANONIMA CER</t>
  </si>
  <si>
    <t>1200005422</t>
  </si>
  <si>
    <t>01-0F101-0004855</t>
  </si>
  <si>
    <t>ARKANO TRADING SOCIEDAD ANONIMA CER</t>
  </si>
  <si>
    <t>1200000045</t>
  </si>
  <si>
    <t>01-0F101-0005160</t>
  </si>
  <si>
    <t>ARKANO TRADING SOCIEDAD ANONIMA CER</t>
  </si>
  <si>
    <t>1200000090</t>
  </si>
  <si>
    <t>01-0F101-0005198</t>
  </si>
  <si>
    <t>ARKANO TRADING SOCIEDAD ANONIMA CER</t>
  </si>
  <si>
    <t>1200000113</t>
  </si>
  <si>
    <t>01-0F101-0005211</t>
  </si>
  <si>
    <t>ARKANO TRADING SOCIEDAD ANONIMA CER</t>
  </si>
  <si>
    <t>1200000132</t>
  </si>
  <si>
    <t>01-0F101-0005224</t>
  </si>
  <si>
    <t>ARKANO TRADING SOCIEDAD ANONIMA CER</t>
  </si>
  <si>
    <t>1200000133</t>
  </si>
  <si>
    <t>01-0F101-0005225</t>
  </si>
  <si>
    <t>ARKANO TRADING SOCIEDAD ANONIMA CER</t>
  </si>
  <si>
    <t>1200000141</t>
  </si>
  <si>
    <t>01-0F101-0005231</t>
  </si>
  <si>
    <t>ZV</t>
  </si>
  <si>
    <t>2000001028</t>
  </si>
  <si>
    <t>AVANCE GROUP LTD</t>
  </si>
  <si>
    <t>1300005598</t>
  </si>
  <si>
    <t>FT-0F002-0000386</t>
  </si>
  <si>
    <t>USD</t>
  </si>
  <si>
    <t>AVANCE GROUP LTD</t>
  </si>
  <si>
    <t>1200003451</t>
  </si>
  <si>
    <t>01-0F002-0000392</t>
  </si>
  <si>
    <t>DE</t>
  </si>
  <si>
    <t>AVANCE GROUP LTD</t>
  </si>
  <si>
    <t>1200003454</t>
  </si>
  <si>
    <t>01-0F002-0000395</t>
  </si>
  <si>
    <t>AVANCE GROUP LTD</t>
  </si>
  <si>
    <t>1200003470</t>
  </si>
  <si>
    <t>01-0F002-0000403</t>
  </si>
  <si>
    <t>AVANCE GROUP LTD</t>
  </si>
  <si>
    <t>1200003479</t>
  </si>
  <si>
    <t>AVANCE GROUP LTD</t>
  </si>
  <si>
    <t>1200003502</t>
  </si>
  <si>
    <t>AVANCE GROUP LTD</t>
  </si>
  <si>
    <t>1200003503</t>
  </si>
  <si>
    <t>AVANCE GROUP LTD</t>
  </si>
  <si>
    <t>1200003504</t>
  </si>
  <si>
    <t>AVANCE GROUP LTD</t>
  </si>
  <si>
    <t>1200003505</t>
  </si>
  <si>
    <t>AVANCE GROUP LTD</t>
  </si>
  <si>
    <t>1200003508</t>
  </si>
  <si>
    <t>01-0F002-0000415</t>
  </si>
  <si>
    <t>SA</t>
  </si>
  <si>
    <t>1000013678</t>
  </si>
  <si>
    <t>CORPORACION NACIONAL PERU EXPORTACI</t>
  </si>
  <si>
    <t>1200003500</t>
  </si>
  <si>
    <t>01-0F101-0007709</t>
  </si>
  <si>
    <t>CORPORACION NACIONAL PERU EXPORTACI</t>
  </si>
  <si>
    <t>1200003512</t>
  </si>
  <si>
    <t>01-0F101-0007712</t>
  </si>
  <si>
    <t>CORPORACION NACIONAL PERU EXPORTACI</t>
  </si>
  <si>
    <t>1200003511</t>
  </si>
  <si>
    <t>01-0F101-0007711</t>
  </si>
  <si>
    <t>CORPORACION NACIONAL PERU EXPORTACI</t>
  </si>
  <si>
    <t>1200003515</t>
  </si>
  <si>
    <t>01-0F101-0007715</t>
  </si>
  <si>
    <t>CORPORACION NACIONAL PERU EXPORTACI</t>
  </si>
  <si>
    <t>1200003522</t>
  </si>
  <si>
    <t>01-0F101-0007719</t>
  </si>
  <si>
    <t>2000001381</t>
  </si>
  <si>
    <t>DAIRECK SA</t>
  </si>
  <si>
    <t>DZ</t>
  </si>
  <si>
    <t>DAIRECK SA</t>
  </si>
  <si>
    <t>1300008291</t>
  </si>
  <si>
    <t>FP-273</t>
  </si>
  <si>
    <t>2000001368</t>
  </si>
  <si>
    <t>FOOD &amp; BEVERAGES TRADERS, S.L.</t>
  </si>
  <si>
    <t>1300004854</t>
  </si>
  <si>
    <t>FT-0F002-0000311</t>
  </si>
  <si>
    <t>2000001439</t>
  </si>
  <si>
    <t>GOLDEN SEAFOOD PTE. LTD.</t>
  </si>
  <si>
    <t>1300008491</t>
  </si>
  <si>
    <t>FP-276</t>
  </si>
  <si>
    <t>6002186</t>
  </si>
  <si>
    <t>INDUSTRIAL PESQUERA SANTA MONICA S.</t>
  </si>
  <si>
    <t>1200003488</t>
  </si>
  <si>
    <t>01-0F101-0007701</t>
  </si>
  <si>
    <t>INDUSTRIAL PESQUERA SANTA MONICA S.</t>
  </si>
  <si>
    <t>1200003517</t>
  </si>
  <si>
    <t>07-0F001-0000323</t>
  </si>
  <si>
    <t>DC</t>
  </si>
  <si>
    <t>INDUSTRIAL PESQUERA SANTA MONICA S.</t>
  </si>
  <si>
    <t>1200003523</t>
  </si>
  <si>
    <t>01-0F101-0007720</t>
  </si>
  <si>
    <t>1000006830</t>
  </si>
  <si>
    <t>JAHFISH E.I.R.L.</t>
  </si>
  <si>
    <t>1200003426</t>
  </si>
  <si>
    <t>01-0F101-0007676</t>
  </si>
  <si>
    <t>JAHFISH E.I.R.L.</t>
  </si>
  <si>
    <t>1200003427</t>
  </si>
  <si>
    <t>01-0F101-0007677</t>
  </si>
  <si>
    <t>JAHFISH E.I.R.L.</t>
  </si>
  <si>
    <t>1200003436</t>
  </si>
  <si>
    <t>01-0F101-0007682</t>
  </si>
  <si>
    <t>JAHFISH E.I.R.L.</t>
  </si>
  <si>
    <t>1200003437</t>
  </si>
  <si>
    <t>01-0F101-0007683</t>
  </si>
  <si>
    <t>JAHFISH E.I.R.L.</t>
  </si>
  <si>
    <t>1200003448</t>
  </si>
  <si>
    <t>01-0F101-0007690</t>
  </si>
  <si>
    <t>JAHFISH E.I.R.L.</t>
  </si>
  <si>
    <t>1200003449</t>
  </si>
  <si>
    <t>01-0F101-0007691</t>
  </si>
  <si>
    <t>2000001459</t>
  </si>
  <si>
    <t>KS FROZEN COMPANY LIMITED</t>
  </si>
  <si>
    <t>1300007198</t>
  </si>
  <si>
    <t>FT-0F002-0000393</t>
  </si>
  <si>
    <t>KS FROZEN COMPANY LIMITED</t>
  </si>
  <si>
    <t>1200003474</t>
  </si>
  <si>
    <t>01-0F002-0000407</t>
  </si>
  <si>
    <t>2000001172</t>
  </si>
  <si>
    <t>KULALIA SL</t>
  </si>
  <si>
    <t>1100015731</t>
  </si>
  <si>
    <t>FT-0F002-0000389</t>
  </si>
  <si>
    <t>6002007</t>
  </si>
  <si>
    <t>NAVAPEZ E.I.R.L.</t>
  </si>
  <si>
    <t>1200005141</t>
  </si>
  <si>
    <t>01-0F101-0004638</t>
  </si>
  <si>
    <t>NAVAPEZ E.I.R.L.</t>
  </si>
  <si>
    <t>1200005142</t>
  </si>
  <si>
    <t>01-0F101-0004639</t>
  </si>
  <si>
    <t>1200005158</t>
  </si>
  <si>
    <t>01-0F101-0004653</t>
  </si>
  <si>
    <t>NAVAPEZ E.I.R.L.</t>
  </si>
  <si>
    <t>1200005159</t>
  </si>
  <si>
    <t>01-0F101-0004654</t>
  </si>
  <si>
    <t>NAVAPEZ E.I.R.L.</t>
  </si>
  <si>
    <t>1200001503</t>
  </si>
  <si>
    <t>01-0F101-0006226</t>
  </si>
  <si>
    <t>NAVAPEZ E.I.R.L.</t>
  </si>
  <si>
    <t>1200001504</t>
  </si>
  <si>
    <t>01-0F101-0006227</t>
  </si>
  <si>
    <t>NAVAPEZ E.I.R.L.</t>
  </si>
  <si>
    <t>1200001509</t>
  </si>
  <si>
    <t>01-0F101-0006232</t>
  </si>
  <si>
    <t>NAVAPEZ E.I.R.L.</t>
  </si>
  <si>
    <t>1200001510</t>
  </si>
  <si>
    <t>01-0F101-0006233</t>
  </si>
  <si>
    <t>NAVAPEZ E.I.R.L.</t>
  </si>
  <si>
    <t>1200001609</t>
  </si>
  <si>
    <t>01-0F101-0006311</t>
  </si>
  <si>
    <t>NAVAPEZ E.I.R.L.</t>
  </si>
  <si>
    <t>1200001610</t>
  </si>
  <si>
    <t>01-0F101-0006312</t>
  </si>
  <si>
    <t>NAVAPEZ E.I.R.L.</t>
  </si>
  <si>
    <t>1200001789</t>
  </si>
  <si>
    <t>01-0F101-0006447</t>
  </si>
  <si>
    <t>NAVAPEZ E.I.R.L.</t>
  </si>
  <si>
    <t>1200001790</t>
  </si>
  <si>
    <t>01-0F101-0006448</t>
  </si>
  <si>
    <t>NAVAPEZ E.I.R.L.</t>
  </si>
  <si>
    <t>1200002045</t>
  </si>
  <si>
    <t>01-0F101-0006626</t>
  </si>
  <si>
    <t>NAVAPEZ E.I.R.L.</t>
  </si>
  <si>
    <t>1200002046</t>
  </si>
  <si>
    <t>01-0F101-0006627</t>
  </si>
  <si>
    <t>NAVAPEZ E.I.R.L.</t>
  </si>
  <si>
    <t>1200002186</t>
  </si>
  <si>
    <t>01-0F101-0006716</t>
  </si>
  <si>
    <t>NAVAPEZ E.I.R.L.</t>
  </si>
  <si>
    <t>1200002187</t>
  </si>
  <si>
    <t>01-0F101-0006717</t>
  </si>
  <si>
    <t>NAVAPEZ E.I.R.L.</t>
  </si>
  <si>
    <t>1200002487</t>
  </si>
  <si>
    <t>01-0F101-0006948</t>
  </si>
  <si>
    <t>NAVAPEZ E.I.R.L.</t>
  </si>
  <si>
    <t>1200002488</t>
  </si>
  <si>
    <t>01-0F101-0006949</t>
  </si>
  <si>
    <t>NAVAPEZ E.I.R.L.</t>
  </si>
  <si>
    <t>1200002956</t>
  </si>
  <si>
    <t>01-0F101-0007286</t>
  </si>
  <si>
    <t>NAVAPEZ E.I.R.L.</t>
  </si>
  <si>
    <t>1200002957</t>
  </si>
  <si>
    <t>01-0F101-0007287</t>
  </si>
  <si>
    <t>NAVAPEZ E.I.R.L.</t>
  </si>
  <si>
    <t>1200003319</t>
  </si>
  <si>
    <t>01-0F101-0007590</t>
  </si>
  <si>
    <t>NAVAPEZ E.I.R.L.</t>
  </si>
  <si>
    <t>1200003320</t>
  </si>
  <si>
    <t>01-0F101-0007591</t>
  </si>
  <si>
    <t>6001105</t>
  </si>
  <si>
    <t>NEGOCIOS PESQUEROS AARON EIRL</t>
  </si>
  <si>
    <t>1200001301</t>
  </si>
  <si>
    <t>01-0F101-0006074</t>
  </si>
  <si>
    <t>NEGOCIOS PESQUEROS AARON EIRL</t>
  </si>
  <si>
    <t>1200001302</t>
  </si>
  <si>
    <t>01-0F101-0006075</t>
  </si>
  <si>
    <t>NEGOCIOS PESQUEROS AARON EIRL</t>
  </si>
  <si>
    <t>1300004037</t>
  </si>
  <si>
    <t>FT-0F101-0006072</t>
  </si>
  <si>
    <t>NEGOCIOS PESQUEROS AARON EIRL</t>
  </si>
  <si>
    <t>1200001648</t>
  </si>
  <si>
    <t>01-0F101-0006336</t>
  </si>
  <si>
    <t>NEGOCIOS PESQUEROS AARON EIRL</t>
  </si>
  <si>
    <t>1200001649</t>
  </si>
  <si>
    <t>01-0F101-0006337</t>
  </si>
  <si>
    <t>NEGOCIOS PESQUEROS AARON EIRL</t>
  </si>
  <si>
    <t>1300007099</t>
  </si>
  <si>
    <t>FT-0F101-0007507</t>
  </si>
  <si>
    <t>2000001359</t>
  </si>
  <si>
    <t>OCEANUS FISH S.L.</t>
  </si>
  <si>
    <t>1300005285</t>
  </si>
  <si>
    <t>FT-0F002-0000309</t>
  </si>
  <si>
    <t>2000001468</t>
  </si>
  <si>
    <t>OPTIMIZE INTEGRATION GROUP INC</t>
  </si>
  <si>
    <t>1300007199</t>
  </si>
  <si>
    <t>FT-0F002-0000387</t>
  </si>
  <si>
    <t>1000013925</t>
  </si>
  <si>
    <t>PEGASUS ENTERPRISE S.A.C.</t>
  </si>
  <si>
    <t>1300006898</t>
  </si>
  <si>
    <t>FT-0F003-0000101</t>
  </si>
  <si>
    <t>PEGASUS ENTERPRISE S.A.C.</t>
  </si>
  <si>
    <t>1200005124</t>
  </si>
  <si>
    <t>01-0F003-0000129</t>
  </si>
  <si>
    <t>PEGASUS ENTERPRISE S.A.C.</t>
  </si>
  <si>
    <t>1200000182</t>
  </si>
  <si>
    <t>01-0F003-0000168</t>
  </si>
  <si>
    <t>PEGASUS ENTERPRISE S.A.C.</t>
  </si>
  <si>
    <t>1200000382</t>
  </si>
  <si>
    <t>01-0F003-0000174</t>
  </si>
  <si>
    <t>6000434</t>
  </si>
  <si>
    <t>PESQUERA HAYDUK S.A.</t>
  </si>
  <si>
    <t>1200004540</t>
  </si>
  <si>
    <t>01-0F003-0000083</t>
  </si>
  <si>
    <t>2000001382</t>
  </si>
  <si>
    <t>QINGDAO OCEAN FISHERY COMPANY LIMIT</t>
  </si>
  <si>
    <t>1300007200</t>
  </si>
  <si>
    <t>FT-0F002-0000394</t>
  </si>
  <si>
    <t>QINGDAO OCEAN FISHERY COMPANY LIMIT</t>
  </si>
  <si>
    <t>1300007201</t>
  </si>
  <si>
    <t>FT-0F002-0000404</t>
  </si>
  <si>
    <t>1000015392</t>
  </si>
  <si>
    <t>SEBGUSTA FISH S.R.L.</t>
  </si>
  <si>
    <t>1200002881</t>
  </si>
  <si>
    <t>01-0F003-0000192</t>
  </si>
  <si>
    <t>2000001440</t>
  </si>
  <si>
    <t>Shenzhen Yueshi Supply Chain</t>
  </si>
  <si>
    <t>1300007151</t>
  </si>
  <si>
    <t>FP-266</t>
  </si>
  <si>
    <t>Shenzhen Yueshi Supply Chain</t>
  </si>
  <si>
    <t>1200003507</t>
  </si>
  <si>
    <t>01-0F002-0000414</t>
  </si>
  <si>
    <t>1000013801</t>
  </si>
  <si>
    <t>STL 5.0 S.A.C.</t>
  </si>
  <si>
    <t>1300007121</t>
  </si>
  <si>
    <t>FT-0F101-0007611</t>
  </si>
  <si>
    <t>YANTAI JIAHONG IMP &amp; EXP CO., LTD.</t>
  </si>
  <si>
    <t>01-0F002-0000416</t>
  </si>
  <si>
    <t>01-0F002-0000417</t>
  </si>
  <si>
    <t>01-0F002-0000418</t>
  </si>
  <si>
    <t>UNIDAD DE NEGOCIO</t>
  </si>
  <si>
    <t>NACIONAL</t>
  </si>
  <si>
    <t>RODRIGO</t>
  </si>
  <si>
    <t>CISTERNA</t>
  </si>
  <si>
    <t>OTROS</t>
  </si>
  <si>
    <t>EXPORTACIÓN</t>
  </si>
  <si>
    <t>Etiquetas de fila</t>
  </si>
  <si>
    <t>Total general</t>
  </si>
  <si>
    <t>Etiquetas de columna</t>
  </si>
  <si>
    <t>ALMACENAMIENTO</t>
  </si>
  <si>
    <t>LIMPIEZA</t>
  </si>
  <si>
    <t>FECHA IDEAL DE PAGO</t>
  </si>
  <si>
    <t>DÍAS VENCIDOS</t>
  </si>
  <si>
    <t>Vcto finanzas SEMANA PASADA</t>
  </si>
  <si>
    <t>Vcto finanzas</t>
  </si>
  <si>
    <t>USD HOMOL</t>
  </si>
  <si>
    <t>DÍAS ATRASADOS</t>
  </si>
  <si>
    <t>ANTIGÜEDAD</t>
  </si>
  <si>
    <t>0-45</t>
  </si>
  <si>
    <t>46-60</t>
  </si>
  <si>
    <t>61-90</t>
  </si>
  <si>
    <t>91-A MÁS</t>
  </si>
  <si>
    <t>Suma de USD HOMOL</t>
  </si>
  <si>
    <t>(Todas)</t>
  </si>
  <si>
    <t>(Varios elementos)</t>
  </si>
  <si>
    <t>Suma de DÍAS ATRASADOS</t>
  </si>
  <si>
    <t>Cuenta de DÍAS VENCIDOS</t>
  </si>
  <si>
    <t>FT-0F002-0000409</t>
  </si>
  <si>
    <t>FT-0F002-0000412</t>
  </si>
  <si>
    <t>FT-0F002-0000410</t>
  </si>
  <si>
    <t>FT-0F002-0000411</t>
  </si>
  <si>
    <t>FT-0F002-0000413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</si>
</sst>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/>
  </cellStyleXfs>
  <cellXfs count="24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4" fontId="1" fillId="0" borderId="0" xfId="0" quotePrefix="1" applyNumberFormat="1" applyFont="1" applyAlignment="1">
      <alignment vertical="top"/>
    </xf>
    <xf numFmtId="3" fontId="1" fillId="0" borderId="0" xfId="0" quotePrefix="1" applyNumberFormat="1" applyFont="1" applyAlignment="1">
      <alignment vertical="top"/>
    </xf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vertical="top"/>
    </xf>
    <xf numFmtId="0" fontId="0" fillId="0" borderId="0" xfId="0" applyAlignment="1">
      <alignment horizontal="left" vertical="top" indent="1"/>
    </xf>
    <xf numFmtId="0" fontId="4" fillId="3" borderId="0" xfId="2" applyFont="1" applyFill="1" applyAlignment="1">
      <alignment vertical="top" wrapText="1"/>
    </xf>
    <xf numFmtId="0" fontId="0" fillId="0" borderId="0" xfId="0" applyAlignment="1">
      <alignment vertical="top" wrapText="1"/>
    </xf>
    <xf numFmtId="0" fontId="4" fillId="4" borderId="0" xfId="2" applyFont="1" applyFill="1" applyAlignment="1">
      <alignment vertical="top" wrapText="1"/>
    </xf>
    <xf numFmtId="0" fontId="4" fillId="5" borderId="0" xfId="2" applyFont="1" applyFill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14" fontId="0" fillId="0" borderId="0" xfId="0" applyNumberFormat="1" applyAlignment="1">
      <alignment vertical="top"/>
    </xf>
    <xf numFmtId="43" fontId="0" fillId="0" borderId="0" xfId="1" applyFont="1" applyAlignment="1">
      <alignment vertical="top"/>
    </xf>
    <xf numFmtId="2" fontId="0" fillId="0" borderId="0" xfId="0" applyNumberFormat="1" applyAlignment="1">
      <alignment vertical="top"/>
    </xf>
    <xf numFmtId="43" fontId="0" fillId="0" borderId="0" xfId="0" applyNumberFormat="1" applyAlignment="1">
      <alignment vertical="top"/>
    </xf>
    <xf numFmtId="14" fontId="5" fillId="0" borderId="0" xfId="0" applyNumberFormat="1" applyFont="1" applyAlignment="1">
      <alignment vertical="top"/>
    </xf>
    <xf numFmtId="164" fontId="0" fillId="0" borderId="0" xfId="0" applyNumberFormat="1" applyAlignment="1">
      <alignment vertical="top"/>
    </xf>
  </cellXfs>
  <cellStyles count="3">
    <cellStyle name="Millares" xfId="1" builtinId="3"/>
    <cellStyle name="Normal" xfId="0" builtinId="0"/>
    <cellStyle name="Normal 2" xfId="2" xr:uid="{017D4BBE-6D42-49A1-B12A-205604D663B7}"/>
  </cellStyles>
  <dxfs count="7"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4" formatCode="_-* #,##0_-;\-* #,##0_-;_-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Hugo Caman San Roman (PFRO)" refreshedDate="46265.693427893515" createdVersion="8" refreshedVersion="8" minRefreshableVersion="3" recordCount="92" xr:uid="{53C2278B-CA41-429F-AA8F-33B03B21325B}">
  <cacheSource type="worksheet">
    <worksheetSource ref="A1:R90" sheet="Data"/>
  </cacheSource>
  <cacheFields count="18">
    <cacheField name="Cliente" numFmtId="0">
      <sharedItems/>
    </cacheField>
    <cacheField name="Nombre de cliente" numFmtId="0">
      <sharedItems count="22">
        <s v="ACUA DIESEL EIRL"/>
        <s v="ARKANO TRADING SOCIEDAD ANONIMA CER"/>
        <s v="AVANCE GROUP LTD"/>
        <s v="CORPORACION NACIONAL PERU EXPORTACI"/>
        <s v="DAIRECK SA"/>
        <s v="FOOD &amp; BEVERAGES TRADERS, S.L."/>
        <s v="GOLDEN SEAFOOD PTE. LTD."/>
        <s v="INDUSTRIAL PESQUERA SANTA MONICA S."/>
        <s v="JAHFISH E.I.R.L."/>
        <s v="KS FROZEN COMPANY LIMITED"/>
        <s v="KULALIA SL"/>
        <s v="NAVAPEZ E.I.R.L."/>
        <s v="NEGOCIOS PESQUEROS AARON EIRL"/>
        <s v="OCEANUS FISH S.L."/>
        <s v="OPTIMIZE INTEGRATION GROUP INC"/>
        <s v="PEGASUS ENTERPRISE S.A.C."/>
        <s v="PESQUERA HAYDUK S.A."/>
        <s v="QINGDAO OCEAN FISHERY COMPANY LIMIT"/>
        <s v="SEBGUSTA FISH S.R.L."/>
        <s v="Shenzhen Yueshi Supply Chain"/>
        <s v="STL 5.0 S.A.C."/>
        <s v="YANTAI JIAHONG IMP &amp; EXP CO., LTD."/>
      </sharedItems>
    </cacheField>
    <cacheField name="Nº documento" numFmtId="0">
      <sharedItems/>
    </cacheField>
    <cacheField name="Referencia" numFmtId="0">
      <sharedItems count="97">
        <s v="01-0F101-0007697"/>
        <s v="01-0F101-0004694"/>
        <s v="01-0F101-0004700"/>
        <s v="01-0F101-0004710"/>
        <s v="01-0F101-0004729"/>
        <s v="01-0F101-0004736"/>
        <s v="01-0F101-0004758"/>
        <s v="01-0F101-0004762"/>
        <s v="01-0F101-0004763"/>
        <s v="01-0F101-0004772"/>
        <s v="01-0F101-0004803"/>
        <s v="01-0F101-0004855"/>
        <s v="01-0F101-0005160"/>
        <s v="01-0F101-0005198"/>
        <s v="01-0F101-0005211"/>
        <s v="01-0F101-0005224"/>
        <s v="01-0F101-0005225"/>
        <s v="01-0F101-0005231"/>
        <s v="FT-0F002-0000386"/>
        <s v="01-0F002-0000392"/>
        <s v="01-0F002-0000395"/>
        <s v="01-0F002-0000403"/>
        <s v="FT-0F002-0000409"/>
        <s v="FT-0F002-0000410"/>
        <s v="FT-0F002-0000411"/>
        <s v="FT-0F002-0000412"/>
        <s v="FT-0F002-0000413"/>
        <s v="01-0F002-0000415"/>
        <s v="01-0F101-0007709"/>
        <s v="01-0F101-0007712"/>
        <s v="01-0F101-0007711"/>
        <s v="01-0F101-0007715"/>
        <s v="01-0F101-0007719"/>
        <s v="FP-273"/>
        <s v="FT-0F002-0000311"/>
        <s v="FP-276"/>
        <s v="01-0F101-0007701"/>
        <s v="07-0F001-0000323"/>
        <s v="01-0F101-0007720"/>
        <s v="01-0F101-0007676"/>
        <s v="01-0F101-0007677"/>
        <s v="01-0F101-0007682"/>
        <s v="01-0F101-0007683"/>
        <s v="01-0F101-0007690"/>
        <s v="01-0F101-0007691"/>
        <s v="FT-0F002-0000393"/>
        <s v="01-0F002-0000407"/>
        <s v="FT-0F002-0000389"/>
        <s v="01-0F101-0004638"/>
        <s v="01-0F101-0004639"/>
        <s v="01-0F101-0004653"/>
        <s v="01-0F101-0004654"/>
        <s v="01-0F101-0006226"/>
        <s v="01-0F101-0006227"/>
        <s v="01-0F101-0006232"/>
        <s v="01-0F101-0006233"/>
        <s v="01-0F101-0006311"/>
        <s v="01-0F101-0006312"/>
        <s v="01-0F101-0006447"/>
        <s v="01-0F101-0006448"/>
        <s v="01-0F101-0006626"/>
        <s v="01-0F101-0006627"/>
        <s v="01-0F101-0006716"/>
        <s v="01-0F101-0006717"/>
        <s v="01-0F101-0006948"/>
        <s v="01-0F101-0006949"/>
        <s v="01-0F101-0007286"/>
        <s v="01-0F101-0007287"/>
        <s v="01-0F101-0007590"/>
        <s v="01-0F101-0007591"/>
        <s v="01-0F101-0006074"/>
        <s v="01-0F101-0006075"/>
        <s v="FT-0F101-0006072"/>
        <s v="01-0F101-0006336"/>
        <s v="01-0F101-0006337"/>
        <s v="FT-0F101-0007507"/>
        <s v="FT-0F002-0000309"/>
        <s v="FT-0F002-0000387"/>
        <s v="FT-0F003-0000101"/>
        <s v="01-0F003-0000129"/>
        <s v="01-0F003-0000168"/>
        <s v="01-0F003-0000174"/>
        <s v="01-0F003-0000083"/>
        <s v="FT-0F002-0000394"/>
        <s v="FT-0F002-0000404"/>
        <s v="01-0F003-0000192"/>
        <s v="FP-266"/>
        <s v="01-0F002-0000414"/>
        <s v="FT-0F101-0007611"/>
        <s v="01-0F002-0000416"/>
        <s v="01-0F002-0000417"/>
        <s v="01-0F002-0000418"/>
        <s v="01-0F002-0000409" u="1"/>
        <s v="01-0F002-0000410" u="1"/>
        <s v="01-0F002-0000411" u="1"/>
        <s v="01-0F002-0000412" u="1"/>
        <s v="01-0F002-0000413" u="1"/>
      </sharedItems>
    </cacheField>
    <cacheField name="Clase de documento" numFmtId="0">
      <sharedItems count="6">
        <s v="DF"/>
        <s v="ZV"/>
        <s v="DE"/>
        <s v="DZ"/>
        <s v="DC"/>
        <s v="SA"/>
      </sharedItems>
    </cacheField>
    <cacheField name="Fecha de documento" numFmtId="14">
      <sharedItems containsSemiMixedTypes="0" containsNonDate="0" containsDate="1" containsString="0" minDate="2025-10-07T00:00:00" maxDate="2026-08-29T00:00:00" count="48">
        <d v="2026-08-04T00:00:00"/>
        <d v="2025-11-19T00:00:00"/>
        <d v="2025-11-20T00:00:00"/>
        <d v="2025-11-21T00:00:00"/>
        <d v="2025-11-22T00:00:00"/>
        <d v="2025-11-27T00:00:00"/>
        <d v="2026-01-06T00:00:00"/>
        <d v="2026-01-08T00:00:00"/>
        <d v="2026-01-10T00:00:00"/>
        <d v="2026-01-16T00:00:00"/>
        <d v="2026-01-19T00:00:00"/>
        <d v="2026-06-30T00:00:00"/>
        <d v="2026-07-25T00:00:00"/>
        <d v="2026-07-27T00:00:00"/>
        <d v="2026-07-29T00:00:00"/>
        <d v="2026-07-31T00:00:00"/>
        <d v="2026-08-15T00:00:00"/>
        <d v="2026-08-16T00:00:00"/>
        <d v="2026-08-19T00:00:00"/>
        <d v="2026-08-21T00:00:00"/>
        <d v="2026-08-25T00:00:00"/>
        <d v="2026-08-27T00:00:00"/>
        <d v="2026-08-13T00:00:00"/>
        <d v="2026-04-27T00:00:00"/>
        <d v="2026-08-08T00:00:00"/>
        <d v="2026-08-28T00:00:00"/>
        <d v="2026-07-24T00:00:00"/>
        <d v="2026-07-17T00:00:00"/>
        <d v="2025-11-03T00:00:00"/>
        <d v="2025-11-06T00:00:00"/>
        <d v="2026-05-06T00:00:00"/>
        <d v="2026-05-12T00:00:00"/>
        <d v="2026-05-16T00:00:00"/>
        <d v="2026-05-27T00:00:00"/>
        <d v="2026-06-02T00:00:00"/>
        <d v="2026-06-13T00:00:00"/>
        <d v="2026-07-03T00:00:00"/>
        <d v="2026-04-28T00:00:00"/>
        <d v="2026-07-15T00:00:00"/>
        <d v="2026-07-13T00:00:00"/>
        <d v="2025-10-21T00:00:00"/>
        <d v="2025-11-04T00:00:00"/>
        <d v="2026-01-31T00:00:00"/>
        <d v="2026-03-03T00:00:00"/>
        <d v="2025-10-07T00:00:00"/>
        <d v="2026-07-21T00:00:00"/>
        <d v="2026-07-18T00:00:00"/>
        <d v="2026-08-24T00:00:00"/>
      </sharedItems>
    </cacheField>
    <cacheField name="Demora tras vencimiento neto" numFmtId="3">
      <sharedItems containsSemiMixedTypes="0" containsString="0" containsNumber="1" containsInteger="1" minValue="-88" maxValue="318"/>
    </cacheField>
    <cacheField name="Fecha de pago" numFmtId="14">
      <sharedItems containsSemiMixedTypes="0" containsNonDate="0" containsDate="1" containsString="0" minDate="2025-10-14T00:00:00" maxDate="2026-11-25T00:00:00"/>
    </cacheField>
    <cacheField name="Importe en moneda doc." numFmtId="4">
      <sharedItems containsSemiMixedTypes="0" containsString="0" containsNumber="1" minValue="-31032" maxValue="546040"/>
    </cacheField>
    <cacheField name="Moneda del documento" numFmtId="0">
      <sharedItems/>
    </cacheField>
    <cacheField name="UNIDAD DE NEGOCIO" numFmtId="0">
      <sharedItems count="7">
        <s v="NACIONAL"/>
        <s v="EXPORTACIÓN"/>
        <s v="ALMACENAMIENTO"/>
        <s v="RODRIGO"/>
        <s v="CISTERNA"/>
        <s v="OTROS"/>
        <s v="LIMPIEZA"/>
      </sharedItems>
    </cacheField>
    <cacheField name="FECHA IDEAL DE PAGO" numFmtId="0">
      <sharedItems containsNonDate="0" containsDate="1" containsString="0" containsBlank="1" minDate="2026-06-26T00:00:00" maxDate="2026-10-25T00:00:00"/>
    </cacheField>
    <cacheField name="DÍAS VENCIDOS" numFmtId="0">
      <sharedItems containsString="0" containsBlank="1" containsNumber="1" containsInteger="1" minValue="-45" maxValue="2"/>
    </cacheField>
    <cacheField name="Vcto finanzas SEMANA PASADA" numFmtId="0">
      <sharedItems containsNonDate="0" containsDate="1" containsString="0" containsBlank="1" minDate="2026-08-29T00:00:00" maxDate="2026-10-16T00:00:00"/>
    </cacheField>
    <cacheField name="Vcto finanzas" numFmtId="14">
      <sharedItems containsSemiMixedTypes="0" containsNonDate="0" containsDate="1" containsString="0" minDate="2025-10-14T00:00:00" maxDate="2026-10-25T00:00:00"/>
    </cacheField>
    <cacheField name="USD HOMOL" numFmtId="0">
      <sharedItems containsSemiMixedTypes="0" containsString="0" containsNumber="1" minValue="-31032" maxValue="546040"/>
    </cacheField>
    <cacheField name="DÍAS ATRASADOS" numFmtId="0">
      <sharedItems containsString="0" containsBlank="1" containsNumber="1" containsInteger="1" minValue="6" maxValue="126"/>
    </cacheField>
    <cacheField name="ANTIGÜEDA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Hugo Caman San Roman (PFRO)" refreshedDate="46265.693570254633" createdVersion="8" refreshedVersion="8" minRefreshableVersion="3" recordCount="92" xr:uid="{E649D658-5BA5-4602-A1BB-1DDBE4AC9A55}">
  <cacheSource type="worksheet">
    <worksheetSource ref="A1:R90" sheet="Data"/>
  </cacheSource>
  <cacheFields count="18">
    <cacheField name="Cliente" numFmtId="0">
      <sharedItems/>
    </cacheField>
    <cacheField name="Nombre de cliente" numFmtId="0">
      <sharedItems count="22">
        <s v="ACUA DIESEL EIRL"/>
        <s v="ARKANO TRADING SOCIEDAD ANONIMA CER"/>
        <s v="AVANCE GROUP LTD"/>
        <s v="CORPORACION NACIONAL PERU EXPORTACI"/>
        <s v="DAIRECK SA"/>
        <s v="FOOD &amp; BEVERAGES TRADERS, S.L."/>
        <s v="GOLDEN SEAFOOD PTE. LTD."/>
        <s v="INDUSTRIAL PESQUERA SANTA MONICA S."/>
        <s v="JAHFISH E.I.R.L."/>
        <s v="KS FROZEN COMPANY LIMITED"/>
        <s v="KULALIA SL"/>
        <s v="NAVAPEZ E.I.R.L."/>
        <s v="NEGOCIOS PESQUEROS AARON EIRL"/>
        <s v="OCEANUS FISH S.L."/>
        <s v="OPTIMIZE INTEGRATION GROUP INC"/>
        <s v="PEGASUS ENTERPRISE S.A.C."/>
        <s v="PESQUERA HAYDUK S.A."/>
        <s v="QINGDAO OCEAN FISHERY COMPANY LIMIT"/>
        <s v="SEBGUSTA FISH S.R.L."/>
        <s v="Shenzhen Yueshi Supply Chain"/>
        <s v="STL 5.0 S.A.C."/>
        <s v="YANTAI JIAHONG IMP &amp; EXP CO., LTD."/>
      </sharedItems>
    </cacheField>
    <cacheField name="Nº documento" numFmtId="0">
      <sharedItems/>
    </cacheField>
    <cacheField name="Referencia" numFmtId="0">
      <sharedItems count="97">
        <s v="01-0F101-0007697"/>
        <s v="01-0F101-0004694"/>
        <s v="01-0F101-0004700"/>
        <s v="01-0F101-0004710"/>
        <s v="01-0F101-0004729"/>
        <s v="01-0F101-0004736"/>
        <s v="01-0F101-0004758"/>
        <s v="01-0F101-0004762"/>
        <s v="01-0F101-0004763"/>
        <s v="01-0F101-0004772"/>
        <s v="01-0F101-0004803"/>
        <s v="01-0F101-0004855"/>
        <s v="01-0F101-0005160"/>
        <s v="01-0F101-0005198"/>
        <s v="01-0F101-0005211"/>
        <s v="01-0F101-0005224"/>
        <s v="01-0F101-0005225"/>
        <s v="01-0F101-0005231"/>
        <s v="FT-0F002-0000386"/>
        <s v="01-0F002-0000392"/>
        <s v="01-0F002-0000395"/>
        <s v="01-0F002-0000403"/>
        <s v="FT-0F002-0000409"/>
        <s v="FT-0F002-0000410"/>
        <s v="FT-0F002-0000411"/>
        <s v="FT-0F002-0000412"/>
        <s v="FT-0F002-0000413"/>
        <s v="01-0F002-0000415"/>
        <s v="01-0F101-0007709"/>
        <s v="01-0F101-0007712"/>
        <s v="01-0F101-0007711"/>
        <s v="01-0F101-0007715"/>
        <s v="01-0F101-0007719"/>
        <s v="FP-273"/>
        <s v="FT-0F002-0000311"/>
        <s v="FP-276"/>
        <s v="01-0F101-0007701"/>
        <s v="07-0F001-0000323"/>
        <s v="01-0F101-0007720"/>
        <s v="01-0F101-0007676"/>
        <s v="01-0F101-0007677"/>
        <s v="01-0F101-0007682"/>
        <s v="01-0F101-0007683"/>
        <s v="01-0F101-0007690"/>
        <s v="01-0F101-0007691"/>
        <s v="FT-0F002-0000393"/>
        <s v="01-0F002-0000407"/>
        <s v="FT-0F002-0000389"/>
        <s v="01-0F101-0004638"/>
        <s v="01-0F101-0004639"/>
        <s v="01-0F101-0004653"/>
        <s v="01-0F101-0004654"/>
        <s v="01-0F101-0006226"/>
        <s v="01-0F101-0006227"/>
        <s v="01-0F101-0006232"/>
        <s v="01-0F101-0006233"/>
        <s v="01-0F101-0006311"/>
        <s v="01-0F101-0006312"/>
        <s v="01-0F101-0006447"/>
        <s v="01-0F101-0006448"/>
        <s v="01-0F101-0006626"/>
        <s v="01-0F101-0006627"/>
        <s v="01-0F101-0006716"/>
        <s v="01-0F101-0006717"/>
        <s v="01-0F101-0006948"/>
        <s v="01-0F101-0006949"/>
        <s v="01-0F101-0007286"/>
        <s v="01-0F101-0007287"/>
        <s v="01-0F101-0007590"/>
        <s v="01-0F101-0007591"/>
        <s v="01-0F101-0006074"/>
        <s v="01-0F101-0006075"/>
        <s v="FT-0F101-0006072"/>
        <s v="01-0F101-0006336"/>
        <s v="01-0F101-0006337"/>
        <s v="FT-0F101-0007507"/>
        <s v="FT-0F002-0000309"/>
        <s v="FT-0F002-0000387"/>
        <s v="FT-0F003-0000101"/>
        <s v="01-0F003-0000129"/>
        <s v="01-0F003-0000168"/>
        <s v="01-0F003-0000174"/>
        <s v="01-0F003-0000083"/>
        <s v="FT-0F002-0000394"/>
        <s v="FT-0F002-0000404"/>
        <s v="01-0F003-0000192"/>
        <s v="FP-266"/>
        <s v="01-0F002-0000414"/>
        <s v="FT-0F101-0007611"/>
        <s v="01-0F002-0000416"/>
        <s v="01-0F002-0000417"/>
        <s v="01-0F002-0000418"/>
        <s v="01-0F002-0000409" u="1"/>
        <s v="01-0F002-0000410" u="1"/>
        <s v="01-0F002-0000411" u="1"/>
        <s v="01-0F002-0000412" u="1"/>
        <s v="01-0F002-0000413" u="1"/>
      </sharedItems>
    </cacheField>
    <cacheField name="Clase de documento" numFmtId="0">
      <sharedItems count="6">
        <s v="DF"/>
        <s v="ZV"/>
        <s v="DE"/>
        <s v="DZ"/>
        <s v="DC"/>
        <s v="SA"/>
      </sharedItems>
    </cacheField>
    <cacheField name="Fecha de documento" numFmtId="14">
      <sharedItems containsSemiMixedTypes="0" containsNonDate="0" containsDate="1" containsString="0" minDate="2025-10-07T00:00:00" maxDate="2026-08-29T00:00:00"/>
    </cacheField>
    <cacheField name="Demora tras vencimiento neto" numFmtId="3">
      <sharedItems containsSemiMixedTypes="0" containsString="0" containsNumber="1" containsInteger="1" minValue="-88" maxValue="318"/>
    </cacheField>
    <cacheField name="Fecha de pago" numFmtId="14">
      <sharedItems containsSemiMixedTypes="0" containsNonDate="0" containsDate="1" containsString="0" minDate="2025-10-14T00:00:00" maxDate="2026-11-25T00:00:00"/>
    </cacheField>
    <cacheField name="Importe en moneda doc." numFmtId="4">
      <sharedItems containsSemiMixedTypes="0" containsString="0" containsNumber="1" minValue="-31032" maxValue="546040"/>
    </cacheField>
    <cacheField name="Moneda del documento" numFmtId="0">
      <sharedItems/>
    </cacheField>
    <cacheField name="UNIDAD DE NEGOCIO" numFmtId="0">
      <sharedItems count="7">
        <s v="NACIONAL"/>
        <s v="EXPORTACIÓN"/>
        <s v="ALMACENAMIENTO"/>
        <s v="RODRIGO"/>
        <s v="CISTERNA"/>
        <s v="OTROS"/>
        <s v="LIMPIEZA"/>
      </sharedItems>
    </cacheField>
    <cacheField name="FECHA IDEAL DE PAGO" numFmtId="0">
      <sharedItems containsNonDate="0" containsDate="1" containsString="0" containsBlank="1" minDate="2026-06-26T00:00:00" maxDate="2026-10-25T00:00:00"/>
    </cacheField>
    <cacheField name="DÍAS VENCIDOS" numFmtId="0">
      <sharedItems containsString="0" containsBlank="1" containsNumber="1" containsInteger="1" minValue="-45" maxValue="2"/>
    </cacheField>
    <cacheField name="Vcto finanzas SEMANA PASADA" numFmtId="0">
      <sharedItems containsNonDate="0" containsDate="1" containsString="0" containsBlank="1" minDate="2026-08-29T00:00:00" maxDate="2026-10-16T00:00:00"/>
    </cacheField>
    <cacheField name="Vcto finanzas" numFmtId="14">
      <sharedItems containsSemiMixedTypes="0" containsNonDate="0" containsDate="1" containsString="0" minDate="2025-10-14T00:00:00" maxDate="2026-10-25T00:00:00"/>
    </cacheField>
    <cacheField name="USD HOMOL" numFmtId="0">
      <sharedItems containsSemiMixedTypes="0" containsString="0" containsNumber="1" minValue="-31032" maxValue="546040"/>
    </cacheField>
    <cacheField name="DÍAS ATRASADOS" numFmtId="0">
      <sharedItems containsString="0" containsBlank="1" containsNumber="1" containsInteger="1" minValue="6" maxValue="126"/>
    </cacheField>
    <cacheField name="ANTIGÜEDAD" numFmtId="0">
      <sharedItems containsBlank="1" count="5">
        <m/>
        <s v="61-90"/>
        <s v="0-45"/>
        <s v="91-A MÁS"/>
        <s v="46-6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Sebastian Martinez Montalvo (PFRO)" refreshedDate="46265.725297916666" createdVersion="8" refreshedVersion="8" minRefreshableVersion="3" recordCount="89" xr:uid="{BB34C33B-4F01-4230-961D-B5BFBC05105B}">
  <cacheSource type="worksheet">
    <worksheetSource ref="A1:R90" sheet="Data"/>
  </cacheSource>
  <cacheFields count="21">
    <cacheField name="Cliente" numFmtId="0">
      <sharedItems/>
    </cacheField>
    <cacheField name="Nombre de cliente" numFmtId="0">
      <sharedItems count="22">
        <s v="ACUA DIESEL EIRL"/>
        <s v="ARKANO TRADING SOCIEDAD ANONIMA CER"/>
        <s v="AVANCE GROUP LTD"/>
        <s v="CORPORACION NACIONAL PERU EXPORTACI"/>
        <s v="DAIRECK SA"/>
        <s v="FOOD &amp; BEVERAGES TRADERS, S.L."/>
        <s v="GOLDEN SEAFOOD PTE. LTD."/>
        <s v="INDUSTRIAL PESQUERA SANTA MONICA S."/>
        <s v="JAHFISH E.I.R.L."/>
        <s v="KS FROZEN COMPANY LIMITED"/>
        <s v="KULALIA SL"/>
        <s v="NAVAPEZ E.I.R.L."/>
        <s v="NEGOCIOS PESQUEROS AARON EIRL"/>
        <s v="OCEANUS FISH S.L."/>
        <s v="OPTIMIZE INTEGRATION GROUP INC"/>
        <s v="PEGASUS ENTERPRISE S.A.C."/>
        <s v="PESQUERA HAYDUK S.A."/>
        <s v="QINGDAO OCEAN FISHERY COMPANY LIMIT"/>
        <s v="SEBGUSTA FISH S.R.L."/>
        <s v="Shenzhen Yueshi Supply Chain"/>
        <s v="STL 5.0 S.A.C."/>
        <s v="YANTAI JIAHONG IMP &amp; EXP CO., LTD." u="1"/>
      </sharedItems>
    </cacheField>
    <cacheField name="Nº documento" numFmtId="0">
      <sharedItems/>
    </cacheField>
    <cacheField name="Referencia" numFmtId="0">
      <sharedItems/>
    </cacheField>
    <cacheField name="Clase de documento" numFmtId="0">
      <sharedItems count="6">
        <s v="DF"/>
        <s v="ZV"/>
        <s v="DE"/>
        <s v="DZ"/>
        <s v="DC"/>
        <s v="SA"/>
      </sharedItems>
    </cacheField>
    <cacheField name="Fecha de documento" numFmtId="14">
      <sharedItems containsSemiMixedTypes="0" containsNonDate="0" containsDate="1" containsString="0" minDate="2025-10-07T00:00:00" maxDate="2026-08-29T00:00:00"/>
    </cacheField>
    <cacheField name="Demora tras vencimiento neto" numFmtId="3">
      <sharedItems containsSemiMixedTypes="0" containsString="0" containsNumber="1" containsInteger="1" minValue="-88" maxValue="318"/>
    </cacheField>
    <cacheField name="Fecha de pago" numFmtId="14">
      <sharedItems containsSemiMixedTypes="0" containsNonDate="0" containsDate="1" containsString="0" minDate="2025-10-14T00:00:00" maxDate="2026-11-25T00:00:00"/>
    </cacheField>
    <cacheField name="Importe en moneda doc." numFmtId="4">
      <sharedItems containsSemiMixedTypes="0" containsString="0" containsNumber="1" minValue="-31032" maxValue="453030"/>
    </cacheField>
    <cacheField name="Moneda del documento" numFmtId="0">
      <sharedItems/>
    </cacheField>
    <cacheField name="UNIDAD DE NEGOCIO" numFmtId="0">
      <sharedItems count="7">
        <s v="NACIONAL"/>
        <s v="EXPORTACIÓN"/>
        <s v="ALMACENAMIENTO"/>
        <s v="RODRIGO"/>
        <s v="CISTERNA"/>
        <s v="OTROS"/>
        <s v="LIMPIEZA"/>
      </sharedItems>
    </cacheField>
    <cacheField name="FECHA IDEAL DE PAGO" numFmtId="0">
      <sharedItems containsNonDate="0" containsDate="1" containsString="0" containsBlank="1" minDate="2026-06-26T00:00:00" maxDate="2026-10-25T00:00:00"/>
    </cacheField>
    <cacheField name="DÍAS VENCIDOS" numFmtId="0">
      <sharedItems containsString="0" containsBlank="1" containsNumber="1" containsInteger="1" minValue="-45" maxValue="2"/>
    </cacheField>
    <cacheField name="Vcto finanzas SEMANA PASADA" numFmtId="0">
      <sharedItems containsNonDate="0" containsDate="1" containsString="0" containsBlank="1" minDate="2026-08-29T00:00:00" maxDate="2026-10-16T00:00:00"/>
    </cacheField>
    <cacheField name="Vcto finanzas" numFmtId="14">
      <sharedItems containsSemiMixedTypes="0" containsNonDate="0" containsDate="1" containsString="0" minDate="2025-10-14T00:00:00" maxDate="2026-10-16T00:00:00" count="51">
        <d v="2026-08-11T00:00:00"/>
        <d v="2025-11-26T00:00:00"/>
        <d v="2025-11-27T00:00:00"/>
        <d v="2025-11-28T00:00:00"/>
        <d v="2025-11-29T00:00:00"/>
        <d v="2025-12-04T00:00:00"/>
        <d v="2026-01-13T00:00:00"/>
        <d v="2026-01-15T00:00:00"/>
        <d v="2026-01-17T00:00:00"/>
        <d v="2026-01-23T00:00:00"/>
        <d v="2026-01-26T00:00:00"/>
        <d v="2026-09-10T00:00:00"/>
        <d v="2026-09-23T00:00:00"/>
        <d v="2026-09-25T00:00:00"/>
        <d v="2026-09-27T00:00:00"/>
        <d v="2026-09-29T00:00:00"/>
        <d v="2026-10-14T00:00:00"/>
        <d v="2026-10-15T00:00:00"/>
        <d v="2026-08-22T00:00:00"/>
        <d v="2026-08-26T00:00:00"/>
        <d v="2026-08-28T00:00:00"/>
        <d v="2026-09-01T00:00:00"/>
        <d v="2026-09-03T00:00:00"/>
        <d v="2026-08-13T00:00:00"/>
        <d v="2026-08-25T00:00:00"/>
        <d v="2026-08-15T00:00:00"/>
        <d v="2026-09-04T00:00:00"/>
        <d v="2026-07-31T00:00:00"/>
        <d v="2026-08-03T00:00:00"/>
        <d v="2025-11-10T00:00:00"/>
        <d v="2025-11-13T00:00:00"/>
        <d v="2026-05-13T00:00:00"/>
        <d v="2026-05-19T00:00:00"/>
        <d v="2026-05-23T00:00:00"/>
        <d v="2026-06-03T00:00:00"/>
        <d v="2026-06-09T00:00:00"/>
        <d v="2026-06-20T00:00:00"/>
        <d v="2026-07-10T00:00:00"/>
        <d v="2026-07-24T00:00:00"/>
        <d v="2026-04-28T00:00:00"/>
        <d v="2026-05-12T00:00:00"/>
        <d v="2026-07-15T00:00:00"/>
        <d v="2026-09-11T00:00:00"/>
        <d v="2025-10-21T00:00:00"/>
        <d v="2025-11-11T00:00:00"/>
        <d v="2026-02-07T00:00:00"/>
        <d v="2026-03-10T00:00:00"/>
        <d v="2025-10-14T00:00:00"/>
        <d v="2026-07-07T00:00:00"/>
        <d v="2026-07-21T00:00:00"/>
        <d v="2026-07-18T00:00:00"/>
      </sharedItems>
      <fieldGroup par="20"/>
    </cacheField>
    <cacheField name="USD HOMOL" numFmtId="0">
      <sharedItems containsSemiMixedTypes="0" containsString="0" containsNumber="1" minValue="-31032" maxValue="242430"/>
    </cacheField>
    <cacheField name="DÍAS ATRASADOS" numFmtId="0">
      <sharedItems containsString="0" containsBlank="1" containsNumber="1" containsInteger="1" minValue="6" maxValue="126"/>
    </cacheField>
    <cacheField name="ANTIGÜEDAD" numFmtId="0">
      <sharedItems containsBlank="1"/>
    </cacheField>
    <cacheField name="Meses (Vcto finanzas)" numFmtId="0" databaseField="0">
      <fieldGroup base="14">
        <rangePr groupBy="months" startDate="2025-10-14T00:00:00" endDate="2026-10-16T00:00:00"/>
        <groupItems count="14">
          <s v="&lt;14/10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16/10/2026"/>
        </groupItems>
      </fieldGroup>
    </cacheField>
    <cacheField name="Trimestres (Vcto finanzas)" numFmtId="0" databaseField="0">
      <fieldGroup base="14">
        <rangePr groupBy="quarters" startDate="2025-10-14T00:00:00" endDate="2026-10-16T00:00:00"/>
        <groupItems count="6">
          <s v="&lt;14/10/2025"/>
          <s v="Trim.1"/>
          <s v="Trim.2"/>
          <s v="Trim.3"/>
          <s v="Trim.4"/>
          <s v="&gt;16/10/2026"/>
        </groupItems>
      </fieldGroup>
    </cacheField>
    <cacheField name="Años (Vcto finanzas)" numFmtId="0" databaseField="0">
      <fieldGroup base="14">
        <rangePr groupBy="years" startDate="2025-10-14T00:00:00" endDate="2026-10-16T00:00:00"/>
        <groupItems count="4">
          <s v="&lt;14/10/2025"/>
          <s v="2025"/>
          <s v="2026"/>
          <s v="&gt;16/10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s v="1000000434"/>
    <x v="0"/>
    <s v="1200003483"/>
    <x v="0"/>
    <x v="0"/>
    <x v="0"/>
    <n v="17"/>
    <d v="2026-08-11T00:00:00"/>
    <n v="236"/>
    <s v="PEN"/>
    <x v="0"/>
    <m/>
    <m/>
    <m/>
    <d v="2026-08-11T00:00:00"/>
    <n v="70.321811680572111"/>
    <m/>
    <m/>
  </r>
  <r>
    <s v="1000013966"/>
    <x v="1"/>
    <s v="1200005220"/>
    <x v="1"/>
    <x v="0"/>
    <x v="1"/>
    <n v="275"/>
    <d v="2025-11-26T00:00:00"/>
    <n v="42.48"/>
    <s v="PEN"/>
    <x v="0"/>
    <m/>
    <m/>
    <m/>
    <d v="2025-11-26T00:00:00"/>
    <n v="12.65792610250298"/>
    <m/>
    <m/>
  </r>
  <r>
    <s v="1000013966"/>
    <x v="1"/>
    <s v="1200005228"/>
    <x v="2"/>
    <x v="0"/>
    <x v="1"/>
    <n v="275"/>
    <d v="2025-11-26T00:00:00"/>
    <n v="14.16"/>
    <s v="PEN"/>
    <x v="0"/>
    <m/>
    <m/>
    <m/>
    <d v="2025-11-26T00:00:00"/>
    <n v="4.2193087008343264"/>
    <m/>
    <m/>
  </r>
  <r>
    <s v="1000013966"/>
    <x v="1"/>
    <s v="1200005242"/>
    <x v="3"/>
    <x v="0"/>
    <x v="1"/>
    <n v="275"/>
    <d v="2025-11-26T00:00:00"/>
    <n v="14.16"/>
    <s v="PEN"/>
    <x v="0"/>
    <m/>
    <m/>
    <m/>
    <d v="2025-11-26T00:00:00"/>
    <n v="4.2193087008343264"/>
    <m/>
    <m/>
  </r>
  <r>
    <s v="1000013966"/>
    <x v="1"/>
    <s v="1200005264"/>
    <x v="4"/>
    <x v="0"/>
    <x v="2"/>
    <n v="274"/>
    <d v="2025-11-27T00:00:00"/>
    <n v="28.32"/>
    <s v="PEN"/>
    <x v="0"/>
    <m/>
    <m/>
    <m/>
    <d v="2025-11-27T00:00:00"/>
    <n v="8.4386174016686528"/>
    <m/>
    <m/>
  </r>
  <r>
    <s v="1000013966"/>
    <x v="1"/>
    <s v="1200005271"/>
    <x v="5"/>
    <x v="0"/>
    <x v="2"/>
    <n v="274"/>
    <d v="2025-11-27T00:00:00"/>
    <n v="14.16"/>
    <s v="PEN"/>
    <x v="0"/>
    <m/>
    <m/>
    <m/>
    <d v="2025-11-27T00:00:00"/>
    <n v="4.2193087008343264"/>
    <m/>
    <m/>
  </r>
  <r>
    <s v="1000013966"/>
    <x v="1"/>
    <s v="1200005296"/>
    <x v="6"/>
    <x v="0"/>
    <x v="3"/>
    <n v="273"/>
    <d v="2025-11-28T00:00:00"/>
    <n v="28.32"/>
    <s v="PEN"/>
    <x v="0"/>
    <m/>
    <m/>
    <m/>
    <d v="2025-11-28T00:00:00"/>
    <n v="8.4386174016686528"/>
    <m/>
    <m/>
  </r>
  <r>
    <s v="1000013966"/>
    <x v="1"/>
    <s v="1200005302"/>
    <x v="7"/>
    <x v="0"/>
    <x v="3"/>
    <n v="273"/>
    <d v="2025-11-28T00:00:00"/>
    <n v="42.48"/>
    <s v="PEN"/>
    <x v="0"/>
    <m/>
    <m/>
    <m/>
    <d v="2025-11-28T00:00:00"/>
    <n v="12.65792610250298"/>
    <m/>
    <m/>
  </r>
  <r>
    <s v="1000013966"/>
    <x v="1"/>
    <s v="1200005304"/>
    <x v="8"/>
    <x v="0"/>
    <x v="3"/>
    <n v="273"/>
    <d v="2025-11-28T00:00:00"/>
    <n v="42.48"/>
    <s v="PEN"/>
    <x v="0"/>
    <m/>
    <m/>
    <m/>
    <d v="2025-11-28T00:00:00"/>
    <n v="12.65792610250298"/>
    <m/>
    <m/>
  </r>
  <r>
    <s v="1000013966"/>
    <x v="1"/>
    <s v="1200005313"/>
    <x v="9"/>
    <x v="0"/>
    <x v="3"/>
    <n v="273"/>
    <d v="2025-11-28T00:00:00"/>
    <n v="14.16"/>
    <s v="PEN"/>
    <x v="0"/>
    <m/>
    <m/>
    <m/>
    <d v="2025-11-28T00:00:00"/>
    <n v="4.2193087008343264"/>
    <m/>
    <m/>
  </r>
  <r>
    <s v="1000013966"/>
    <x v="1"/>
    <s v="1200005346"/>
    <x v="10"/>
    <x v="0"/>
    <x v="4"/>
    <n v="272"/>
    <d v="2025-11-29T00:00:00"/>
    <n v="28.32"/>
    <s v="PEN"/>
    <x v="0"/>
    <m/>
    <m/>
    <m/>
    <d v="2025-11-29T00:00:00"/>
    <n v="8.4386174016686528"/>
    <m/>
    <m/>
  </r>
  <r>
    <s v="1000013966"/>
    <x v="1"/>
    <s v="1200005422"/>
    <x v="11"/>
    <x v="0"/>
    <x v="5"/>
    <n v="267"/>
    <d v="2025-12-04T00:00:00"/>
    <n v="14.16"/>
    <s v="PEN"/>
    <x v="0"/>
    <m/>
    <m/>
    <m/>
    <d v="2025-12-04T00:00:00"/>
    <n v="4.2193087008343264"/>
    <m/>
    <m/>
  </r>
  <r>
    <s v="1000013966"/>
    <x v="1"/>
    <s v="1200000045"/>
    <x v="12"/>
    <x v="0"/>
    <x v="6"/>
    <n v="227"/>
    <d v="2026-01-13T00:00:00"/>
    <n v="14.16"/>
    <s v="PEN"/>
    <x v="0"/>
    <m/>
    <m/>
    <m/>
    <d v="2026-01-13T00:00:00"/>
    <n v="4.2193087008343264"/>
    <m/>
    <m/>
  </r>
  <r>
    <s v="1000013966"/>
    <x v="1"/>
    <s v="1200000090"/>
    <x v="13"/>
    <x v="0"/>
    <x v="7"/>
    <n v="225"/>
    <d v="2026-01-15T00:00:00"/>
    <n v="14.16"/>
    <s v="PEN"/>
    <x v="0"/>
    <m/>
    <m/>
    <m/>
    <d v="2026-01-15T00:00:00"/>
    <n v="4.2193087008343264"/>
    <m/>
    <m/>
  </r>
  <r>
    <s v="1000013966"/>
    <x v="1"/>
    <s v="1200000113"/>
    <x v="14"/>
    <x v="0"/>
    <x v="8"/>
    <n v="223"/>
    <d v="2026-01-17T00:00:00"/>
    <n v="14.16"/>
    <s v="PEN"/>
    <x v="0"/>
    <m/>
    <m/>
    <m/>
    <d v="2026-01-17T00:00:00"/>
    <n v="4.2193087008343264"/>
    <m/>
    <m/>
  </r>
  <r>
    <s v="1000013966"/>
    <x v="1"/>
    <s v="1200000132"/>
    <x v="15"/>
    <x v="0"/>
    <x v="9"/>
    <n v="217"/>
    <d v="2026-01-23T00:00:00"/>
    <n v="14.16"/>
    <s v="PEN"/>
    <x v="0"/>
    <m/>
    <m/>
    <m/>
    <d v="2026-01-23T00:00:00"/>
    <n v="4.2193087008343264"/>
    <m/>
    <m/>
  </r>
  <r>
    <s v="1000013966"/>
    <x v="1"/>
    <s v="1200000133"/>
    <x v="16"/>
    <x v="0"/>
    <x v="9"/>
    <n v="217"/>
    <d v="2026-01-23T00:00:00"/>
    <n v="14.16"/>
    <s v="PEN"/>
    <x v="0"/>
    <m/>
    <m/>
    <m/>
    <d v="2026-01-23T00:00:00"/>
    <n v="4.2193087008343264"/>
    <m/>
    <m/>
  </r>
  <r>
    <s v="1000013966"/>
    <x v="1"/>
    <s v="1200000141"/>
    <x v="17"/>
    <x v="0"/>
    <x v="10"/>
    <n v="214"/>
    <d v="2026-01-26T00:00:00"/>
    <n v="14.16"/>
    <s v="PEN"/>
    <x v="0"/>
    <m/>
    <m/>
    <m/>
    <d v="2026-01-26T00:00:00"/>
    <n v="4.2193087008343264"/>
    <m/>
    <m/>
  </r>
  <r>
    <s v="2000001028"/>
    <x v="2"/>
    <s v="1300005598"/>
    <x v="18"/>
    <x v="1"/>
    <x v="11"/>
    <n v="59"/>
    <d v="2026-06-30T00:00:00"/>
    <n v="218730"/>
    <s v="USD"/>
    <x v="1"/>
    <d v="2026-08-29T00:00:00"/>
    <n v="2"/>
    <d v="2026-08-29T00:00:00"/>
    <d v="2026-09-10T00:00:00"/>
    <n v="218730"/>
    <n v="62"/>
    <s v="61-90"/>
  </r>
  <r>
    <s v="2000001028"/>
    <x v="2"/>
    <s v="1200003451"/>
    <x v="19"/>
    <x v="2"/>
    <x v="12"/>
    <n v="-26"/>
    <d v="2026-09-23T00:00:00"/>
    <n v="83280"/>
    <s v="USD"/>
    <x v="1"/>
    <d v="2026-09-23T00:00:00"/>
    <n v="-23"/>
    <d v="2026-09-23T00:00:00"/>
    <d v="2026-09-23T00:00:00"/>
    <n v="83280"/>
    <n v="37"/>
    <s v="0-45"/>
  </r>
  <r>
    <s v="2000001028"/>
    <x v="2"/>
    <s v="1200003454"/>
    <x v="20"/>
    <x v="2"/>
    <x v="13"/>
    <n v="-88"/>
    <d v="2026-11-24T00:00:00"/>
    <n v="83280"/>
    <s v="USD"/>
    <x v="1"/>
    <d v="2026-09-25T00:00:00"/>
    <n v="-25"/>
    <d v="2026-09-25T00:00:00"/>
    <d v="2026-09-25T00:00:00"/>
    <n v="83280"/>
    <n v="35"/>
    <s v="0-45"/>
  </r>
  <r>
    <s v="2000001028"/>
    <x v="2"/>
    <s v="1200003470"/>
    <x v="21"/>
    <x v="2"/>
    <x v="14"/>
    <n v="-30"/>
    <d v="2026-09-27T00:00:00"/>
    <n v="41448"/>
    <s v="USD"/>
    <x v="1"/>
    <d v="2026-09-27T00:00:00"/>
    <n v="-27"/>
    <d v="2026-09-27T00:00:00"/>
    <d v="2026-09-27T00:00:00"/>
    <n v="41448"/>
    <n v="33"/>
    <s v="0-45"/>
  </r>
  <r>
    <s v="2000001028"/>
    <x v="2"/>
    <s v="1200003479"/>
    <x v="22"/>
    <x v="1"/>
    <x v="15"/>
    <n v="-32"/>
    <d v="2026-09-29T00:00:00"/>
    <n v="453030"/>
    <s v="USD"/>
    <x v="1"/>
    <d v="2026-09-29T00:00:00"/>
    <n v="-29"/>
    <d v="2026-09-29T00:00:00"/>
    <d v="2026-09-29T00:00:00"/>
    <n v="242430"/>
    <n v="31"/>
    <s v="0-45"/>
  </r>
  <r>
    <s v="2000001028"/>
    <x v="2"/>
    <s v="1200003502"/>
    <x v="23"/>
    <x v="1"/>
    <x v="16"/>
    <n v="-47"/>
    <d v="2026-10-14T00:00:00"/>
    <n v="135000"/>
    <s v="USD"/>
    <x v="1"/>
    <d v="2026-10-14T00:00:00"/>
    <n v="-44"/>
    <d v="2026-10-14T00:00:00"/>
    <d v="2026-10-14T00:00:00"/>
    <n v="94530"/>
    <n v="16"/>
    <s v="0-45"/>
  </r>
  <r>
    <s v="2000001028"/>
    <x v="2"/>
    <s v="1200003503"/>
    <x v="24"/>
    <x v="1"/>
    <x v="16"/>
    <n v="-47"/>
    <d v="2026-10-14T00:00:00"/>
    <n v="41400"/>
    <s v="USD"/>
    <x v="1"/>
    <d v="2026-10-14T00:00:00"/>
    <n v="-44"/>
    <d v="2026-10-14T00:00:00"/>
    <d v="2026-10-14T00:00:00"/>
    <n v="29010"/>
    <n v="16"/>
    <s v="0-45"/>
  </r>
  <r>
    <s v="2000001028"/>
    <x v="2"/>
    <s v="1200003504"/>
    <x v="25"/>
    <x v="1"/>
    <x v="16"/>
    <n v="-47"/>
    <d v="2026-10-14T00:00:00"/>
    <n v="78300"/>
    <s v="USD"/>
    <x v="1"/>
    <d v="2026-10-14T00:00:00"/>
    <n v="-44"/>
    <d v="2026-10-14T00:00:00"/>
    <d v="2026-10-14T00:00:00"/>
    <n v="54840"/>
    <n v="16"/>
    <s v="0-45"/>
  </r>
  <r>
    <s v="2000001028"/>
    <x v="2"/>
    <s v="1200003505"/>
    <x v="26"/>
    <x v="1"/>
    <x v="16"/>
    <n v="-47"/>
    <d v="2026-10-14T00:00:00"/>
    <n v="42240"/>
    <s v="USD"/>
    <x v="1"/>
    <d v="2026-10-14T00:00:00"/>
    <n v="-44"/>
    <d v="2026-10-14T00:00:00"/>
    <d v="2026-10-14T00:00:00"/>
    <n v="29598"/>
    <n v="16"/>
    <s v="0-45"/>
  </r>
  <r>
    <s v="2000001028"/>
    <x v="2"/>
    <s v="1200003508"/>
    <x v="27"/>
    <x v="2"/>
    <x v="17"/>
    <n v="-48"/>
    <d v="2026-10-15T00:00:00"/>
    <n v="41064"/>
    <s v="USD"/>
    <x v="1"/>
    <d v="2026-10-15T00:00:00"/>
    <n v="-45"/>
    <d v="2026-10-15T00:00:00"/>
    <d v="2026-10-15T00:00:00"/>
    <n v="41064"/>
    <n v="15"/>
    <s v="0-45"/>
  </r>
  <r>
    <s v="1000013678"/>
    <x v="3"/>
    <s v="1200003500"/>
    <x v="28"/>
    <x v="0"/>
    <x v="16"/>
    <n v="6"/>
    <d v="2026-08-22T00:00:00"/>
    <n v="283.2"/>
    <s v="PEN"/>
    <x v="0"/>
    <m/>
    <m/>
    <m/>
    <d v="2026-08-22T00:00:00"/>
    <n v="84.386174016686525"/>
    <m/>
    <m/>
  </r>
  <r>
    <s v="1000013678"/>
    <x v="3"/>
    <s v="1200003512"/>
    <x v="29"/>
    <x v="0"/>
    <x v="18"/>
    <n v="2"/>
    <d v="2026-08-26T00:00:00"/>
    <n v="354"/>
    <s v="PEN"/>
    <x v="0"/>
    <m/>
    <m/>
    <m/>
    <d v="2026-08-26T00:00:00"/>
    <n v="105.48271752085817"/>
    <m/>
    <m/>
  </r>
  <r>
    <s v="1000013678"/>
    <x v="3"/>
    <s v="1200003511"/>
    <x v="30"/>
    <x v="0"/>
    <x v="19"/>
    <n v="0"/>
    <d v="2026-08-28T00:00:00"/>
    <n v="424.8"/>
    <s v="PEN"/>
    <x v="0"/>
    <m/>
    <m/>
    <m/>
    <d v="2026-08-28T00:00:00"/>
    <n v="126.57926102502981"/>
    <m/>
    <m/>
  </r>
  <r>
    <s v="1000013678"/>
    <x v="3"/>
    <s v="1200003515"/>
    <x v="31"/>
    <x v="0"/>
    <x v="20"/>
    <n v="-4"/>
    <d v="2026-09-01T00:00:00"/>
    <n v="283.2"/>
    <s v="PEN"/>
    <x v="0"/>
    <m/>
    <m/>
    <m/>
    <d v="2026-09-01T00:00:00"/>
    <n v="84.386174016686525"/>
    <m/>
    <m/>
  </r>
  <r>
    <s v="1000013678"/>
    <x v="3"/>
    <s v="1200003522"/>
    <x v="32"/>
    <x v="0"/>
    <x v="21"/>
    <n v="-6"/>
    <d v="2026-09-03T00:00:00"/>
    <n v="283.2"/>
    <s v="PEN"/>
    <x v="0"/>
    <m/>
    <m/>
    <m/>
    <d v="2026-09-03T00:00:00"/>
    <n v="84.386174016686525"/>
    <m/>
    <m/>
  </r>
  <r>
    <s v="2000001381"/>
    <x v="4"/>
    <s v="1300008291"/>
    <x v="33"/>
    <x v="3"/>
    <x v="22"/>
    <n v="0"/>
    <d v="2026-08-31T00:00:00"/>
    <n v="-31032"/>
    <s v="USD"/>
    <x v="1"/>
    <d v="2026-10-12T00:00:00"/>
    <m/>
    <m/>
    <d v="2026-08-31T00:00:00"/>
    <n v="-31032"/>
    <n v="18"/>
    <s v="0-45"/>
  </r>
  <r>
    <s v="2000001368"/>
    <x v="5"/>
    <s v="1300004854"/>
    <x v="34"/>
    <x v="1"/>
    <x v="23"/>
    <n v="123"/>
    <d v="2026-04-27T00:00:00"/>
    <n v="15163"/>
    <s v="USD"/>
    <x v="1"/>
    <d v="2026-06-26T00:00:00"/>
    <n v="-45"/>
    <d v="2026-10-15T00:00:00"/>
    <d v="2026-10-15T00:00:00"/>
    <n v="15163"/>
    <n v="126"/>
    <s v="91-A MÁS"/>
  </r>
  <r>
    <s v="2000001439"/>
    <x v="6"/>
    <s v="1300008491"/>
    <x v="35"/>
    <x v="3"/>
    <x v="20"/>
    <n v="0"/>
    <d v="2026-08-31T00:00:00"/>
    <n v="-13902"/>
    <s v="USD"/>
    <x v="1"/>
    <d v="2026-10-24T00:00:00"/>
    <m/>
    <m/>
    <d v="2026-08-31T00:00:00"/>
    <n v="-13902"/>
    <n v="6"/>
    <s v="0-45"/>
  </r>
  <r>
    <s v="6002186"/>
    <x v="7"/>
    <s v="1200003488"/>
    <x v="36"/>
    <x v="0"/>
    <x v="24"/>
    <n v="13"/>
    <d v="2026-08-15T00:00:00"/>
    <n v="20060"/>
    <s v="USD"/>
    <x v="2"/>
    <m/>
    <m/>
    <m/>
    <d v="2026-08-15T00:00:00"/>
    <n v="20060"/>
    <m/>
    <m/>
  </r>
  <r>
    <s v="6002186"/>
    <x v="7"/>
    <s v="1200003517"/>
    <x v="37"/>
    <x v="4"/>
    <x v="20"/>
    <n v="13"/>
    <d v="2026-08-15T00:00:00"/>
    <n v="-7434"/>
    <s v="USD"/>
    <x v="2"/>
    <m/>
    <m/>
    <m/>
    <d v="2026-08-15T00:00:00"/>
    <n v="-7434"/>
    <m/>
    <m/>
  </r>
  <r>
    <s v="6002186"/>
    <x v="7"/>
    <s v="1200003523"/>
    <x v="38"/>
    <x v="0"/>
    <x v="25"/>
    <n v="-7"/>
    <d v="2026-09-04T00:00:00"/>
    <n v="4293.67"/>
    <s v="USD"/>
    <x v="2"/>
    <m/>
    <m/>
    <m/>
    <d v="2026-09-04T00:00:00"/>
    <n v="4293.67"/>
    <m/>
    <m/>
  </r>
  <r>
    <s v="1000006830"/>
    <x v="8"/>
    <s v="1200003426"/>
    <x v="39"/>
    <x v="0"/>
    <x v="26"/>
    <n v="28"/>
    <d v="2026-07-31T00:00:00"/>
    <n v="617.85"/>
    <s v="PEN"/>
    <x v="0"/>
    <m/>
    <m/>
    <m/>
    <d v="2026-07-31T00:00:00"/>
    <n v="184.10309892729441"/>
    <m/>
    <m/>
  </r>
  <r>
    <s v="1000006830"/>
    <x v="8"/>
    <s v="1200003427"/>
    <x v="40"/>
    <x v="0"/>
    <x v="26"/>
    <n v="28"/>
    <d v="2026-07-31T00:00:00"/>
    <n v="177"/>
    <s v="PEN"/>
    <x v="0"/>
    <m/>
    <m/>
    <m/>
    <d v="2026-07-31T00:00:00"/>
    <n v="52.741358760429087"/>
    <m/>
    <m/>
  </r>
  <r>
    <s v="1000006830"/>
    <x v="8"/>
    <s v="1200003436"/>
    <x v="41"/>
    <x v="0"/>
    <x v="26"/>
    <n v="28"/>
    <d v="2026-07-31T00:00:00"/>
    <n v="673.02"/>
    <s v="PEN"/>
    <x v="0"/>
    <m/>
    <m/>
    <m/>
    <d v="2026-07-31T00:00:00"/>
    <n v="200.54231227651968"/>
    <m/>
    <m/>
  </r>
  <r>
    <s v="1000006830"/>
    <x v="8"/>
    <s v="1200003437"/>
    <x v="42"/>
    <x v="0"/>
    <x v="26"/>
    <n v="28"/>
    <d v="2026-07-31T00:00:00"/>
    <n v="177"/>
    <s v="PEN"/>
    <x v="0"/>
    <m/>
    <m/>
    <m/>
    <d v="2026-07-31T00:00:00"/>
    <n v="52.741358760429087"/>
    <m/>
    <m/>
  </r>
  <r>
    <s v="1000006830"/>
    <x v="8"/>
    <s v="1200003448"/>
    <x v="43"/>
    <x v="0"/>
    <x v="13"/>
    <n v="25"/>
    <d v="2026-08-03T00:00:00"/>
    <n v="47.2"/>
    <s v="PEN"/>
    <x v="0"/>
    <m/>
    <m/>
    <m/>
    <d v="2026-08-03T00:00:00"/>
    <n v="14.064362336114423"/>
    <m/>
    <m/>
  </r>
  <r>
    <s v="1000006830"/>
    <x v="8"/>
    <s v="1200003449"/>
    <x v="44"/>
    <x v="0"/>
    <x v="13"/>
    <n v="25"/>
    <d v="2026-08-03T00:00:00"/>
    <n v="266.44"/>
    <s v="PEN"/>
    <x v="0"/>
    <m/>
    <m/>
    <m/>
    <d v="2026-08-03T00:00:00"/>
    <n v="79.392133492252682"/>
    <m/>
    <m/>
  </r>
  <r>
    <s v="2000001459"/>
    <x v="9"/>
    <s v="1300007198"/>
    <x v="45"/>
    <x v="1"/>
    <x v="13"/>
    <n v="32"/>
    <d v="2026-07-27T00:00:00"/>
    <n v="55195"/>
    <s v="USD"/>
    <x v="1"/>
    <d v="2026-09-25T00:00:00"/>
    <n v="-25"/>
    <d v="2026-09-25T00:00:00"/>
    <d v="2026-09-25T00:00:00"/>
    <n v="55195"/>
    <n v="35"/>
    <s v="0-45"/>
  </r>
  <r>
    <s v="2000001459"/>
    <x v="9"/>
    <s v="1200003474"/>
    <x v="46"/>
    <x v="2"/>
    <x v="15"/>
    <n v="-32"/>
    <d v="2026-09-29T00:00:00"/>
    <n v="29925"/>
    <s v="USD"/>
    <x v="1"/>
    <d v="2026-09-29T00:00:00"/>
    <n v="-29"/>
    <d v="2026-09-29T00:00:00"/>
    <d v="2026-09-29T00:00:00"/>
    <n v="29925"/>
    <n v="31"/>
    <s v="0-45"/>
  </r>
  <r>
    <s v="2000001172"/>
    <x v="10"/>
    <s v="1100015731"/>
    <x v="47"/>
    <x v="5"/>
    <x v="27"/>
    <n v="42"/>
    <d v="2026-07-17T00:00:00"/>
    <n v="2706.93"/>
    <s v="USD"/>
    <x v="1"/>
    <d v="2026-09-15T00:00:00"/>
    <n v="-45"/>
    <d v="2026-10-15T00:00:00"/>
    <d v="2026-10-15T00:00:00"/>
    <n v="2706.93"/>
    <n v="45"/>
    <s v="0-45"/>
  </r>
  <r>
    <s v="6002007"/>
    <x v="11"/>
    <s v="1200005141"/>
    <x v="48"/>
    <x v="0"/>
    <x v="28"/>
    <n v="291"/>
    <d v="2025-11-10T00:00:00"/>
    <n v="1403.26"/>
    <s v="PEN"/>
    <x v="3"/>
    <m/>
    <m/>
    <m/>
    <d v="2025-11-10T00:00:00"/>
    <n v="418.13468414779499"/>
    <m/>
    <m/>
  </r>
  <r>
    <s v="6002007"/>
    <x v="11"/>
    <s v="1200005142"/>
    <x v="49"/>
    <x v="0"/>
    <x v="28"/>
    <n v="291"/>
    <d v="2025-11-10T00:00:00"/>
    <n v="141.6"/>
    <s v="PEN"/>
    <x v="3"/>
    <m/>
    <m/>
    <m/>
    <d v="2025-11-10T00:00:00"/>
    <n v="42.193087008343262"/>
    <m/>
    <m/>
  </r>
  <r>
    <s v="6002007"/>
    <x v="11"/>
    <s v="1200005158"/>
    <x v="50"/>
    <x v="0"/>
    <x v="29"/>
    <n v="288"/>
    <d v="2025-11-13T00:00:00"/>
    <n v="1193.22"/>
    <s v="PEN"/>
    <x v="3"/>
    <m/>
    <m/>
    <m/>
    <d v="2025-11-13T00:00:00"/>
    <n v="355.54827175208584"/>
    <m/>
    <m/>
  </r>
  <r>
    <s v="6002007"/>
    <x v="11"/>
    <s v="1200005159"/>
    <x v="51"/>
    <x v="0"/>
    <x v="29"/>
    <n v="288"/>
    <d v="2025-11-13T00:00:00"/>
    <n v="106.2"/>
    <s v="PEN"/>
    <x v="3"/>
    <m/>
    <m/>
    <m/>
    <d v="2025-11-13T00:00:00"/>
    <n v="31.644815256257452"/>
    <m/>
    <m/>
  </r>
  <r>
    <s v="6002007"/>
    <x v="11"/>
    <s v="1200001503"/>
    <x v="52"/>
    <x v="0"/>
    <x v="30"/>
    <n v="107"/>
    <d v="2026-05-13T00:00:00"/>
    <n v="23.6"/>
    <s v="PEN"/>
    <x v="3"/>
    <m/>
    <m/>
    <m/>
    <d v="2026-05-13T00:00:00"/>
    <n v="7.0321811680572113"/>
    <m/>
    <m/>
  </r>
  <r>
    <s v="6002007"/>
    <x v="11"/>
    <s v="1200001504"/>
    <x v="53"/>
    <x v="0"/>
    <x v="30"/>
    <n v="107"/>
    <d v="2026-05-13T00:00:00"/>
    <n v="261.49"/>
    <s v="PEN"/>
    <x v="3"/>
    <m/>
    <m/>
    <m/>
    <d v="2026-05-13T00:00:00"/>
    <n v="77.917163289630523"/>
    <m/>
    <m/>
  </r>
  <r>
    <s v="6002007"/>
    <x v="11"/>
    <s v="1200001509"/>
    <x v="54"/>
    <x v="0"/>
    <x v="30"/>
    <n v="107"/>
    <d v="2026-05-13T00:00:00"/>
    <n v="387.51"/>
    <s v="PEN"/>
    <x v="3"/>
    <m/>
    <m/>
    <m/>
    <d v="2026-05-13T00:00:00"/>
    <n v="115.46781883194279"/>
    <m/>
    <m/>
  </r>
  <r>
    <s v="6002007"/>
    <x v="11"/>
    <s v="1200001510"/>
    <x v="55"/>
    <x v="0"/>
    <x v="30"/>
    <n v="107"/>
    <d v="2026-05-13T00:00:00"/>
    <n v="35.4"/>
    <s v="PEN"/>
    <x v="3"/>
    <m/>
    <m/>
    <m/>
    <d v="2026-05-13T00:00:00"/>
    <n v="10.548271752085816"/>
    <m/>
    <m/>
  </r>
  <r>
    <s v="6002007"/>
    <x v="11"/>
    <s v="1200001609"/>
    <x v="56"/>
    <x v="0"/>
    <x v="31"/>
    <n v="101"/>
    <d v="2026-05-19T00:00:00"/>
    <n v="482.86"/>
    <s v="PEN"/>
    <x v="3"/>
    <m/>
    <m/>
    <m/>
    <d v="2026-05-19T00:00:00"/>
    <n v="143.87961859356378"/>
    <m/>
    <m/>
  </r>
  <r>
    <s v="6002007"/>
    <x v="11"/>
    <s v="1200001610"/>
    <x v="57"/>
    <x v="0"/>
    <x v="31"/>
    <n v="101"/>
    <d v="2026-05-19T00:00:00"/>
    <n v="47.2"/>
    <s v="PEN"/>
    <x v="3"/>
    <m/>
    <m/>
    <m/>
    <d v="2026-05-19T00:00:00"/>
    <n v="14.064362336114423"/>
    <m/>
    <m/>
  </r>
  <r>
    <s v="6002007"/>
    <x v="11"/>
    <s v="1200001789"/>
    <x v="58"/>
    <x v="0"/>
    <x v="32"/>
    <n v="97"/>
    <d v="2026-05-23T00:00:00"/>
    <n v="544.45000000000005"/>
    <s v="PEN"/>
    <x v="3"/>
    <m/>
    <m/>
    <m/>
    <d v="2026-05-23T00:00:00"/>
    <n v="162.23182359952327"/>
    <m/>
    <m/>
  </r>
  <r>
    <s v="6002007"/>
    <x v="11"/>
    <s v="1200001790"/>
    <x v="59"/>
    <x v="0"/>
    <x v="32"/>
    <n v="97"/>
    <d v="2026-05-23T00:00:00"/>
    <n v="47.2"/>
    <s v="PEN"/>
    <x v="3"/>
    <m/>
    <m/>
    <m/>
    <d v="2026-05-23T00:00:00"/>
    <n v="14.064362336114423"/>
    <m/>
    <m/>
  </r>
  <r>
    <s v="6002007"/>
    <x v="11"/>
    <s v="1200002045"/>
    <x v="60"/>
    <x v="0"/>
    <x v="33"/>
    <n v="86"/>
    <d v="2026-06-03T00:00:00"/>
    <n v="591.65"/>
    <s v="PEN"/>
    <x v="3"/>
    <m/>
    <m/>
    <m/>
    <d v="2026-06-03T00:00:00"/>
    <n v="176.29618593563765"/>
    <m/>
    <m/>
  </r>
  <r>
    <s v="6002007"/>
    <x v="11"/>
    <s v="1200002046"/>
    <x v="61"/>
    <x v="0"/>
    <x v="33"/>
    <n v="86"/>
    <d v="2026-06-03T00:00:00"/>
    <n v="70.8"/>
    <s v="PEN"/>
    <x v="3"/>
    <m/>
    <m/>
    <m/>
    <d v="2026-06-03T00:00:00"/>
    <n v="21.096543504171631"/>
    <m/>
    <m/>
  </r>
  <r>
    <s v="6002007"/>
    <x v="11"/>
    <s v="1200002186"/>
    <x v="62"/>
    <x v="0"/>
    <x v="34"/>
    <n v="80"/>
    <d v="2026-06-09T00:00:00"/>
    <n v="185.97"/>
    <s v="PEN"/>
    <x v="3"/>
    <m/>
    <m/>
    <m/>
    <d v="2026-06-09T00:00:00"/>
    <n v="55.414183551847437"/>
    <m/>
    <m/>
  </r>
  <r>
    <s v="6002007"/>
    <x v="11"/>
    <s v="1200002187"/>
    <x v="63"/>
    <x v="0"/>
    <x v="34"/>
    <n v="80"/>
    <d v="2026-06-09T00:00:00"/>
    <n v="23.6"/>
    <s v="PEN"/>
    <x v="3"/>
    <m/>
    <m/>
    <m/>
    <d v="2026-06-09T00:00:00"/>
    <n v="7.0321811680572113"/>
    <m/>
    <m/>
  </r>
  <r>
    <s v="6002007"/>
    <x v="11"/>
    <s v="1200002487"/>
    <x v="64"/>
    <x v="0"/>
    <x v="35"/>
    <n v="69"/>
    <d v="2026-06-20T00:00:00"/>
    <n v="535.25"/>
    <s v="PEN"/>
    <x v="3"/>
    <m/>
    <m/>
    <m/>
    <d v="2026-06-20T00:00:00"/>
    <n v="159.49046483909416"/>
    <m/>
    <m/>
  </r>
  <r>
    <s v="6002007"/>
    <x v="11"/>
    <s v="1200002488"/>
    <x v="65"/>
    <x v="0"/>
    <x v="35"/>
    <n v="69"/>
    <d v="2026-06-20T00:00:00"/>
    <n v="70.8"/>
    <s v="PEN"/>
    <x v="3"/>
    <m/>
    <m/>
    <m/>
    <d v="2026-06-20T00:00:00"/>
    <n v="21.096543504171631"/>
    <m/>
    <m/>
  </r>
  <r>
    <s v="6002007"/>
    <x v="11"/>
    <s v="1200002956"/>
    <x v="66"/>
    <x v="0"/>
    <x v="36"/>
    <n v="49"/>
    <d v="2026-07-10T00:00:00"/>
    <n v="449.11"/>
    <s v="PEN"/>
    <x v="3"/>
    <m/>
    <m/>
    <m/>
    <d v="2026-07-10T00:00:00"/>
    <n v="133.82300357568536"/>
    <m/>
    <m/>
  </r>
  <r>
    <s v="6002007"/>
    <x v="11"/>
    <s v="1200002957"/>
    <x v="67"/>
    <x v="0"/>
    <x v="36"/>
    <n v="49"/>
    <d v="2026-07-10T00:00:00"/>
    <n v="35.4"/>
    <s v="PEN"/>
    <x v="3"/>
    <m/>
    <m/>
    <m/>
    <d v="2026-07-10T00:00:00"/>
    <n v="10.548271752085816"/>
    <m/>
    <m/>
  </r>
  <r>
    <s v="6002007"/>
    <x v="11"/>
    <s v="1200003319"/>
    <x v="68"/>
    <x v="0"/>
    <x v="27"/>
    <n v="35"/>
    <d v="2026-07-24T00:00:00"/>
    <n v="355.65"/>
    <s v="PEN"/>
    <x v="3"/>
    <m/>
    <m/>
    <m/>
    <d v="2026-07-24T00:00:00"/>
    <n v="105.97437425506556"/>
    <m/>
    <m/>
  </r>
  <r>
    <s v="6002007"/>
    <x v="11"/>
    <s v="1200003320"/>
    <x v="69"/>
    <x v="0"/>
    <x v="27"/>
    <n v="35"/>
    <d v="2026-07-24T00:00:00"/>
    <n v="47.2"/>
    <s v="PEN"/>
    <x v="3"/>
    <m/>
    <m/>
    <m/>
    <d v="2026-07-24T00:00:00"/>
    <n v="14.064362336114423"/>
    <m/>
    <m/>
  </r>
  <r>
    <s v="6001105"/>
    <x v="12"/>
    <s v="1200001301"/>
    <x v="70"/>
    <x v="0"/>
    <x v="37"/>
    <n v="122"/>
    <d v="2026-04-28T00:00:00"/>
    <n v="716.71"/>
    <s v="PEN"/>
    <x v="0"/>
    <m/>
    <m/>
    <m/>
    <d v="2026-04-28T00:00:00"/>
    <n v="213.56078665077476"/>
    <m/>
    <m/>
  </r>
  <r>
    <s v="6001105"/>
    <x v="12"/>
    <s v="1200001302"/>
    <x v="71"/>
    <x v="0"/>
    <x v="37"/>
    <n v="122"/>
    <d v="2026-04-28T00:00:00"/>
    <n v="129.80000000000001"/>
    <s v="PEN"/>
    <x v="0"/>
    <m/>
    <m/>
    <m/>
    <d v="2026-04-28T00:00:00"/>
    <n v="38.676996424314666"/>
    <m/>
    <m/>
  </r>
  <r>
    <s v="6001105"/>
    <x v="12"/>
    <s v="1300004037"/>
    <x v="72"/>
    <x v="1"/>
    <x v="37"/>
    <n v="122"/>
    <d v="2026-04-28T00:00:00"/>
    <n v="422.56"/>
    <s v="PEN"/>
    <x v="0"/>
    <m/>
    <m/>
    <m/>
    <d v="2026-04-28T00:00:00"/>
    <n v="125.91179976162098"/>
    <m/>
    <m/>
  </r>
  <r>
    <s v="6001105"/>
    <x v="12"/>
    <s v="1200001648"/>
    <x v="73"/>
    <x v="0"/>
    <x v="31"/>
    <n v="108"/>
    <d v="2026-05-12T00:00:00"/>
    <n v="404.98"/>
    <s v="PEN"/>
    <x v="0"/>
    <m/>
    <m/>
    <m/>
    <d v="2026-05-12T00:00:00"/>
    <n v="120.67342073897498"/>
    <m/>
    <m/>
  </r>
  <r>
    <s v="6001105"/>
    <x v="12"/>
    <s v="1200001649"/>
    <x v="74"/>
    <x v="0"/>
    <x v="31"/>
    <n v="108"/>
    <d v="2026-05-12T00:00:00"/>
    <n v="59"/>
    <s v="PEN"/>
    <x v="0"/>
    <m/>
    <m/>
    <m/>
    <d v="2026-05-12T00:00:00"/>
    <n v="17.580452920143028"/>
    <m/>
    <m/>
  </r>
  <r>
    <s v="6001105"/>
    <x v="12"/>
    <s v="1300007099"/>
    <x v="75"/>
    <x v="1"/>
    <x v="38"/>
    <n v="44"/>
    <d v="2026-07-15T00:00:00"/>
    <n v="23.6"/>
    <s v="PEN"/>
    <x v="0"/>
    <m/>
    <m/>
    <m/>
    <d v="2026-07-15T00:00:00"/>
    <n v="7.0321811680572113"/>
    <m/>
    <m/>
  </r>
  <r>
    <s v="2000001359"/>
    <x v="13"/>
    <s v="1300005285"/>
    <x v="76"/>
    <x v="1"/>
    <x v="23"/>
    <n v="123"/>
    <d v="2026-04-27T00:00:00"/>
    <n v="10284"/>
    <s v="USD"/>
    <x v="1"/>
    <d v="2026-06-26T00:00:00"/>
    <n v="-45"/>
    <d v="2026-10-15T00:00:00"/>
    <d v="2026-10-15T00:00:00"/>
    <n v="10284"/>
    <n v="126"/>
    <s v="91-A MÁS"/>
  </r>
  <r>
    <s v="2000001468"/>
    <x v="14"/>
    <s v="1300007199"/>
    <x v="77"/>
    <x v="1"/>
    <x v="39"/>
    <n v="46"/>
    <d v="2026-07-13T00:00:00"/>
    <n v="54612"/>
    <s v="USD"/>
    <x v="1"/>
    <d v="2026-09-11T00:00:00"/>
    <n v="-11"/>
    <d v="2026-09-11T00:00:00"/>
    <d v="2026-09-11T00:00:00"/>
    <n v="54612"/>
    <n v="49"/>
    <s v="46-60"/>
  </r>
  <r>
    <s v="1000013925"/>
    <x v="15"/>
    <s v="1300006898"/>
    <x v="78"/>
    <x v="1"/>
    <x v="40"/>
    <n v="311"/>
    <d v="2025-10-21T00:00:00"/>
    <n v="4460"/>
    <s v="PEN"/>
    <x v="4"/>
    <m/>
    <m/>
    <m/>
    <d v="2025-10-21T00:00:00"/>
    <n v="1328.96305125149"/>
    <m/>
    <m/>
  </r>
  <r>
    <s v="1000013925"/>
    <x v="15"/>
    <s v="1200005124"/>
    <x v="79"/>
    <x v="0"/>
    <x v="41"/>
    <n v="290"/>
    <d v="2025-11-11T00:00:00"/>
    <n v="7097.98"/>
    <s v="PEN"/>
    <x v="4"/>
    <m/>
    <m/>
    <m/>
    <d v="2025-11-11T00:00:00"/>
    <n v="2115.0119189511324"/>
    <m/>
    <m/>
  </r>
  <r>
    <s v="1000013925"/>
    <x v="15"/>
    <s v="1200000182"/>
    <x v="80"/>
    <x v="0"/>
    <x v="42"/>
    <n v="202"/>
    <d v="2026-02-07T00:00:00"/>
    <n v="4003.46"/>
    <s v="PEN"/>
    <x v="4"/>
    <m/>
    <m/>
    <m/>
    <d v="2026-02-07T00:00:00"/>
    <n v="1192.9261025029798"/>
    <m/>
    <m/>
  </r>
  <r>
    <s v="1000013925"/>
    <x v="15"/>
    <s v="1200000382"/>
    <x v="81"/>
    <x v="0"/>
    <x v="43"/>
    <n v="171"/>
    <d v="2026-03-10T00:00:00"/>
    <n v="4956"/>
    <s v="PEN"/>
    <x v="4"/>
    <m/>
    <m/>
    <m/>
    <d v="2026-03-10T00:00:00"/>
    <n v="1476.7580452920145"/>
    <m/>
    <m/>
  </r>
  <r>
    <s v="6000434"/>
    <x v="16"/>
    <s v="1200004540"/>
    <x v="82"/>
    <x v="0"/>
    <x v="44"/>
    <n v="318"/>
    <d v="2025-10-14T00:00:00"/>
    <n v="790"/>
    <s v="PEN"/>
    <x v="5"/>
    <m/>
    <m/>
    <m/>
    <d v="2025-10-14T00:00:00"/>
    <n v="235.39928486293206"/>
    <m/>
    <m/>
  </r>
  <r>
    <s v="2000001382"/>
    <x v="17"/>
    <s v="1300007200"/>
    <x v="83"/>
    <x v="1"/>
    <x v="13"/>
    <n v="32"/>
    <d v="2026-07-27T00:00:00"/>
    <n v="64640"/>
    <s v="USD"/>
    <x v="1"/>
    <d v="2026-09-25T00:00:00"/>
    <n v="-25"/>
    <d v="2026-09-25T00:00:00"/>
    <d v="2026-09-25T00:00:00"/>
    <n v="64640"/>
    <n v="35"/>
    <s v="0-45"/>
  </r>
  <r>
    <s v="2000001382"/>
    <x v="17"/>
    <s v="1300007201"/>
    <x v="84"/>
    <x v="1"/>
    <x v="14"/>
    <n v="30"/>
    <d v="2026-07-29T00:00:00"/>
    <n v="64850"/>
    <s v="USD"/>
    <x v="1"/>
    <d v="2026-09-27T00:00:00"/>
    <n v="-27"/>
    <d v="2026-09-27T00:00:00"/>
    <d v="2026-09-27T00:00:00"/>
    <n v="64850"/>
    <n v="33"/>
    <s v="0-45"/>
  </r>
  <r>
    <s v="1000015392"/>
    <x v="18"/>
    <s v="1200002881"/>
    <x v="85"/>
    <x v="0"/>
    <x v="11"/>
    <n v="52"/>
    <d v="2026-07-07T00:00:00"/>
    <n v="590"/>
    <s v="PEN"/>
    <x v="6"/>
    <m/>
    <m/>
    <m/>
    <d v="2026-07-07T00:00:00"/>
    <n v="175.80452920143028"/>
    <m/>
    <m/>
  </r>
  <r>
    <s v="2000001440"/>
    <x v="19"/>
    <s v="1300007151"/>
    <x v="86"/>
    <x v="3"/>
    <x v="45"/>
    <n v="0"/>
    <d v="2026-07-31T00:00:00"/>
    <n v="-9650"/>
    <s v="USD"/>
    <x v="1"/>
    <d v="2026-09-19T00:00:00"/>
    <m/>
    <m/>
    <d v="2026-07-31T00:00:00"/>
    <n v="-9650"/>
    <n v="41"/>
    <s v="0-45"/>
  </r>
  <r>
    <s v="2000001440"/>
    <x v="19"/>
    <s v="1200003507"/>
    <x v="87"/>
    <x v="2"/>
    <x v="16"/>
    <n v="-47"/>
    <d v="2026-10-14T00:00:00"/>
    <n v="48600"/>
    <s v="USD"/>
    <x v="1"/>
    <d v="2026-10-14T00:00:00"/>
    <m/>
    <m/>
    <d v="2026-10-14T00:00:00"/>
    <n v="48600"/>
    <n v="16"/>
    <s v="0-45"/>
  </r>
  <r>
    <s v="1000013801"/>
    <x v="20"/>
    <s v="1300007121"/>
    <x v="88"/>
    <x v="1"/>
    <x v="46"/>
    <n v="41"/>
    <d v="2026-07-18T00:00:00"/>
    <n v="203.67"/>
    <s v="PEN"/>
    <x v="0"/>
    <m/>
    <m/>
    <m/>
    <d v="2026-07-18T00:00:00"/>
    <n v="60.688319427890342"/>
    <m/>
    <m/>
  </r>
  <r>
    <s v="2000001348"/>
    <x v="21"/>
    <s v="1200003520"/>
    <x v="89"/>
    <x v="2"/>
    <x v="47"/>
    <n v="-56"/>
    <d v="2026-10-23T00:00:00"/>
    <n v="546040"/>
    <s v="USD"/>
    <x v="1"/>
    <d v="2026-10-23T00:00:00"/>
    <m/>
    <m/>
    <d v="2026-10-23T00:00:00"/>
    <n v="546040"/>
    <n v="7"/>
    <s v="0-45"/>
  </r>
  <r>
    <s v="2000001348"/>
    <x v="21"/>
    <s v="1200003521"/>
    <x v="90"/>
    <x v="2"/>
    <x v="20"/>
    <n v="-57"/>
    <d v="2026-10-24T00:00:00"/>
    <n v="177480"/>
    <s v="USD"/>
    <x v="1"/>
    <d v="2026-10-24T00:00:00"/>
    <m/>
    <m/>
    <d v="2026-10-24T00:00:00"/>
    <n v="177480"/>
    <n v="6"/>
    <s v="0-45"/>
  </r>
  <r>
    <s v="2000001348"/>
    <x v="21"/>
    <s v="1200003524"/>
    <x v="91"/>
    <x v="2"/>
    <x v="20"/>
    <n v="-57"/>
    <d v="2026-10-24T00:00:00"/>
    <n v="190368"/>
    <s v="USD"/>
    <x v="1"/>
    <d v="2026-10-24T00:00:00"/>
    <m/>
    <m/>
    <d v="2026-10-24T00:00:00"/>
    <n v="190368"/>
    <n v="6"/>
    <s v="0-4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s v="1000000434"/>
    <x v="0"/>
    <s v="1200003483"/>
    <x v="0"/>
    <x v="0"/>
    <d v="2026-08-04T00:00:00"/>
    <n v="17"/>
    <d v="2026-08-11T00:00:00"/>
    <n v="236"/>
    <s v="PEN"/>
    <x v="0"/>
    <m/>
    <m/>
    <m/>
    <d v="2026-08-11T00:00:00"/>
    <n v="70.321811680572111"/>
    <m/>
    <x v="0"/>
  </r>
  <r>
    <s v="1000013966"/>
    <x v="1"/>
    <s v="1200005220"/>
    <x v="1"/>
    <x v="0"/>
    <d v="2025-11-19T00:00:00"/>
    <n v="275"/>
    <d v="2025-11-26T00:00:00"/>
    <n v="42.48"/>
    <s v="PEN"/>
    <x v="0"/>
    <m/>
    <m/>
    <m/>
    <d v="2025-11-26T00:00:00"/>
    <n v="12.65792610250298"/>
    <m/>
    <x v="0"/>
  </r>
  <r>
    <s v="1000013966"/>
    <x v="1"/>
    <s v="1200005228"/>
    <x v="2"/>
    <x v="0"/>
    <d v="2025-11-19T00:00:00"/>
    <n v="275"/>
    <d v="2025-11-26T00:00:00"/>
    <n v="14.16"/>
    <s v="PEN"/>
    <x v="0"/>
    <m/>
    <m/>
    <m/>
    <d v="2025-11-26T00:00:00"/>
    <n v="4.2193087008343264"/>
    <m/>
    <x v="0"/>
  </r>
  <r>
    <s v="1000013966"/>
    <x v="1"/>
    <s v="1200005242"/>
    <x v="3"/>
    <x v="0"/>
    <d v="2025-11-19T00:00:00"/>
    <n v="275"/>
    <d v="2025-11-26T00:00:00"/>
    <n v="14.16"/>
    <s v="PEN"/>
    <x v="0"/>
    <m/>
    <m/>
    <m/>
    <d v="2025-11-26T00:00:00"/>
    <n v="4.2193087008343264"/>
    <m/>
    <x v="0"/>
  </r>
  <r>
    <s v="1000013966"/>
    <x v="1"/>
    <s v="1200005264"/>
    <x v="4"/>
    <x v="0"/>
    <d v="2025-11-20T00:00:00"/>
    <n v="274"/>
    <d v="2025-11-27T00:00:00"/>
    <n v="28.32"/>
    <s v="PEN"/>
    <x v="0"/>
    <m/>
    <m/>
    <m/>
    <d v="2025-11-27T00:00:00"/>
    <n v="8.4386174016686528"/>
    <m/>
    <x v="0"/>
  </r>
  <r>
    <s v="1000013966"/>
    <x v="1"/>
    <s v="1200005271"/>
    <x v="5"/>
    <x v="0"/>
    <d v="2025-11-20T00:00:00"/>
    <n v="274"/>
    <d v="2025-11-27T00:00:00"/>
    <n v="14.16"/>
    <s v="PEN"/>
    <x v="0"/>
    <m/>
    <m/>
    <m/>
    <d v="2025-11-27T00:00:00"/>
    <n v="4.2193087008343264"/>
    <m/>
    <x v="0"/>
  </r>
  <r>
    <s v="1000013966"/>
    <x v="1"/>
    <s v="1200005296"/>
    <x v="6"/>
    <x v="0"/>
    <d v="2025-11-21T00:00:00"/>
    <n v="273"/>
    <d v="2025-11-28T00:00:00"/>
    <n v="28.32"/>
    <s v="PEN"/>
    <x v="0"/>
    <m/>
    <m/>
    <m/>
    <d v="2025-11-28T00:00:00"/>
    <n v="8.4386174016686528"/>
    <m/>
    <x v="0"/>
  </r>
  <r>
    <s v="1000013966"/>
    <x v="1"/>
    <s v="1200005302"/>
    <x v="7"/>
    <x v="0"/>
    <d v="2025-11-21T00:00:00"/>
    <n v="273"/>
    <d v="2025-11-28T00:00:00"/>
    <n v="42.48"/>
    <s v="PEN"/>
    <x v="0"/>
    <m/>
    <m/>
    <m/>
    <d v="2025-11-28T00:00:00"/>
    <n v="12.65792610250298"/>
    <m/>
    <x v="0"/>
  </r>
  <r>
    <s v="1000013966"/>
    <x v="1"/>
    <s v="1200005304"/>
    <x v="8"/>
    <x v="0"/>
    <d v="2025-11-21T00:00:00"/>
    <n v="273"/>
    <d v="2025-11-28T00:00:00"/>
    <n v="42.48"/>
    <s v="PEN"/>
    <x v="0"/>
    <m/>
    <m/>
    <m/>
    <d v="2025-11-28T00:00:00"/>
    <n v="12.65792610250298"/>
    <m/>
    <x v="0"/>
  </r>
  <r>
    <s v="1000013966"/>
    <x v="1"/>
    <s v="1200005313"/>
    <x v="9"/>
    <x v="0"/>
    <d v="2025-11-21T00:00:00"/>
    <n v="273"/>
    <d v="2025-11-28T00:00:00"/>
    <n v="14.16"/>
    <s v="PEN"/>
    <x v="0"/>
    <m/>
    <m/>
    <m/>
    <d v="2025-11-28T00:00:00"/>
    <n v="4.2193087008343264"/>
    <m/>
    <x v="0"/>
  </r>
  <r>
    <s v="1000013966"/>
    <x v="1"/>
    <s v="1200005346"/>
    <x v="10"/>
    <x v="0"/>
    <d v="2025-11-22T00:00:00"/>
    <n v="272"/>
    <d v="2025-11-29T00:00:00"/>
    <n v="28.32"/>
    <s v="PEN"/>
    <x v="0"/>
    <m/>
    <m/>
    <m/>
    <d v="2025-11-29T00:00:00"/>
    <n v="8.4386174016686528"/>
    <m/>
    <x v="0"/>
  </r>
  <r>
    <s v="1000013966"/>
    <x v="1"/>
    <s v="1200005422"/>
    <x v="11"/>
    <x v="0"/>
    <d v="2025-11-27T00:00:00"/>
    <n v="267"/>
    <d v="2025-12-04T00:00:00"/>
    <n v="14.16"/>
    <s v="PEN"/>
    <x v="0"/>
    <m/>
    <m/>
    <m/>
    <d v="2025-12-04T00:00:00"/>
    <n v="4.2193087008343264"/>
    <m/>
    <x v="0"/>
  </r>
  <r>
    <s v="1000013966"/>
    <x v="1"/>
    <s v="1200000045"/>
    <x v="12"/>
    <x v="0"/>
    <d v="2026-01-06T00:00:00"/>
    <n v="227"/>
    <d v="2026-01-13T00:00:00"/>
    <n v="14.16"/>
    <s v="PEN"/>
    <x v="0"/>
    <m/>
    <m/>
    <m/>
    <d v="2026-01-13T00:00:00"/>
    <n v="4.2193087008343264"/>
    <m/>
    <x v="0"/>
  </r>
  <r>
    <s v="1000013966"/>
    <x v="1"/>
    <s v="1200000090"/>
    <x v="13"/>
    <x v="0"/>
    <d v="2026-01-08T00:00:00"/>
    <n v="225"/>
    <d v="2026-01-15T00:00:00"/>
    <n v="14.16"/>
    <s v="PEN"/>
    <x v="0"/>
    <m/>
    <m/>
    <m/>
    <d v="2026-01-15T00:00:00"/>
    <n v="4.2193087008343264"/>
    <m/>
    <x v="0"/>
  </r>
  <r>
    <s v="1000013966"/>
    <x v="1"/>
    <s v="1200000113"/>
    <x v="14"/>
    <x v="0"/>
    <d v="2026-01-10T00:00:00"/>
    <n v="223"/>
    <d v="2026-01-17T00:00:00"/>
    <n v="14.16"/>
    <s v="PEN"/>
    <x v="0"/>
    <m/>
    <m/>
    <m/>
    <d v="2026-01-17T00:00:00"/>
    <n v="4.2193087008343264"/>
    <m/>
    <x v="0"/>
  </r>
  <r>
    <s v="1000013966"/>
    <x v="1"/>
    <s v="1200000132"/>
    <x v="15"/>
    <x v="0"/>
    <d v="2026-01-16T00:00:00"/>
    <n v="217"/>
    <d v="2026-01-23T00:00:00"/>
    <n v="14.16"/>
    <s v="PEN"/>
    <x v="0"/>
    <m/>
    <m/>
    <m/>
    <d v="2026-01-23T00:00:00"/>
    <n v="4.2193087008343264"/>
    <m/>
    <x v="0"/>
  </r>
  <r>
    <s v="1000013966"/>
    <x v="1"/>
    <s v="1200000133"/>
    <x v="16"/>
    <x v="0"/>
    <d v="2026-01-16T00:00:00"/>
    <n v="217"/>
    <d v="2026-01-23T00:00:00"/>
    <n v="14.16"/>
    <s v="PEN"/>
    <x v="0"/>
    <m/>
    <m/>
    <m/>
    <d v="2026-01-23T00:00:00"/>
    <n v="4.2193087008343264"/>
    <m/>
    <x v="0"/>
  </r>
  <r>
    <s v="1000013966"/>
    <x v="1"/>
    <s v="1200000141"/>
    <x v="17"/>
    <x v="0"/>
    <d v="2026-01-19T00:00:00"/>
    <n v="214"/>
    <d v="2026-01-26T00:00:00"/>
    <n v="14.16"/>
    <s v="PEN"/>
    <x v="0"/>
    <m/>
    <m/>
    <m/>
    <d v="2026-01-26T00:00:00"/>
    <n v="4.2193087008343264"/>
    <m/>
    <x v="0"/>
  </r>
  <r>
    <s v="2000001028"/>
    <x v="2"/>
    <s v="1300005598"/>
    <x v="18"/>
    <x v="1"/>
    <d v="2026-06-30T00:00:00"/>
    <n v="59"/>
    <d v="2026-06-30T00:00:00"/>
    <n v="218730"/>
    <s v="USD"/>
    <x v="1"/>
    <d v="2026-08-29T00:00:00"/>
    <n v="2"/>
    <d v="2026-08-29T00:00:00"/>
    <d v="2026-09-10T00:00:00"/>
    <n v="218730"/>
    <n v="62"/>
    <x v="1"/>
  </r>
  <r>
    <s v="2000001028"/>
    <x v="2"/>
    <s v="1200003451"/>
    <x v="19"/>
    <x v="2"/>
    <d v="2026-07-25T00:00:00"/>
    <n v="-26"/>
    <d v="2026-09-23T00:00:00"/>
    <n v="83280"/>
    <s v="USD"/>
    <x v="1"/>
    <d v="2026-09-23T00:00:00"/>
    <n v="-23"/>
    <d v="2026-09-23T00:00:00"/>
    <d v="2026-09-23T00:00:00"/>
    <n v="83280"/>
    <n v="37"/>
    <x v="2"/>
  </r>
  <r>
    <s v="2000001028"/>
    <x v="2"/>
    <s v="1200003454"/>
    <x v="20"/>
    <x v="2"/>
    <d v="2026-07-27T00:00:00"/>
    <n v="-88"/>
    <d v="2026-11-24T00:00:00"/>
    <n v="83280"/>
    <s v="USD"/>
    <x v="1"/>
    <d v="2026-09-25T00:00:00"/>
    <n v="-25"/>
    <d v="2026-09-25T00:00:00"/>
    <d v="2026-09-25T00:00:00"/>
    <n v="83280"/>
    <n v="35"/>
    <x v="2"/>
  </r>
  <r>
    <s v="2000001028"/>
    <x v="2"/>
    <s v="1200003470"/>
    <x v="21"/>
    <x v="2"/>
    <d v="2026-07-29T00:00:00"/>
    <n v="-30"/>
    <d v="2026-09-27T00:00:00"/>
    <n v="41448"/>
    <s v="USD"/>
    <x v="1"/>
    <d v="2026-09-27T00:00:00"/>
    <n v="-27"/>
    <d v="2026-09-27T00:00:00"/>
    <d v="2026-09-27T00:00:00"/>
    <n v="41448"/>
    <n v="33"/>
    <x v="2"/>
  </r>
  <r>
    <s v="2000001028"/>
    <x v="2"/>
    <s v="1200003479"/>
    <x v="22"/>
    <x v="1"/>
    <d v="2026-07-31T00:00:00"/>
    <n v="-32"/>
    <d v="2026-09-29T00:00:00"/>
    <n v="453030"/>
    <s v="USD"/>
    <x v="1"/>
    <d v="2026-09-29T00:00:00"/>
    <n v="-29"/>
    <d v="2026-09-29T00:00:00"/>
    <d v="2026-09-29T00:00:00"/>
    <n v="242430"/>
    <n v="31"/>
    <x v="2"/>
  </r>
  <r>
    <s v="2000001028"/>
    <x v="2"/>
    <s v="1200003502"/>
    <x v="23"/>
    <x v="1"/>
    <d v="2026-08-15T00:00:00"/>
    <n v="-47"/>
    <d v="2026-10-14T00:00:00"/>
    <n v="135000"/>
    <s v="USD"/>
    <x v="1"/>
    <d v="2026-10-14T00:00:00"/>
    <n v="-44"/>
    <d v="2026-10-14T00:00:00"/>
    <d v="2026-10-14T00:00:00"/>
    <n v="94530"/>
    <n v="16"/>
    <x v="2"/>
  </r>
  <r>
    <s v="2000001028"/>
    <x v="2"/>
    <s v="1200003503"/>
    <x v="24"/>
    <x v="1"/>
    <d v="2026-08-15T00:00:00"/>
    <n v="-47"/>
    <d v="2026-10-14T00:00:00"/>
    <n v="41400"/>
    <s v="USD"/>
    <x v="1"/>
    <d v="2026-10-14T00:00:00"/>
    <n v="-44"/>
    <d v="2026-10-14T00:00:00"/>
    <d v="2026-10-14T00:00:00"/>
    <n v="29010"/>
    <n v="16"/>
    <x v="2"/>
  </r>
  <r>
    <s v="2000001028"/>
    <x v="2"/>
    <s v="1200003504"/>
    <x v="25"/>
    <x v="1"/>
    <d v="2026-08-15T00:00:00"/>
    <n v="-47"/>
    <d v="2026-10-14T00:00:00"/>
    <n v="78300"/>
    <s v="USD"/>
    <x v="1"/>
    <d v="2026-10-14T00:00:00"/>
    <n v="-44"/>
    <d v="2026-10-14T00:00:00"/>
    <d v="2026-10-14T00:00:00"/>
    <n v="54840"/>
    <n v="16"/>
    <x v="2"/>
  </r>
  <r>
    <s v="2000001028"/>
    <x v="2"/>
    <s v="1200003505"/>
    <x v="26"/>
    <x v="1"/>
    <d v="2026-08-15T00:00:00"/>
    <n v="-47"/>
    <d v="2026-10-14T00:00:00"/>
    <n v="42240"/>
    <s v="USD"/>
    <x v="1"/>
    <d v="2026-10-14T00:00:00"/>
    <n v="-44"/>
    <d v="2026-10-14T00:00:00"/>
    <d v="2026-10-14T00:00:00"/>
    <n v="29598"/>
    <n v="16"/>
    <x v="2"/>
  </r>
  <r>
    <s v="2000001028"/>
    <x v="2"/>
    <s v="1200003508"/>
    <x v="27"/>
    <x v="2"/>
    <d v="2026-08-16T00:00:00"/>
    <n v="-48"/>
    <d v="2026-10-15T00:00:00"/>
    <n v="41064"/>
    <s v="USD"/>
    <x v="1"/>
    <d v="2026-10-15T00:00:00"/>
    <n v="-45"/>
    <d v="2026-10-15T00:00:00"/>
    <d v="2026-10-15T00:00:00"/>
    <n v="41064"/>
    <n v="15"/>
    <x v="2"/>
  </r>
  <r>
    <s v="1000013678"/>
    <x v="3"/>
    <s v="1200003500"/>
    <x v="28"/>
    <x v="0"/>
    <d v="2026-08-15T00:00:00"/>
    <n v="6"/>
    <d v="2026-08-22T00:00:00"/>
    <n v="283.2"/>
    <s v="PEN"/>
    <x v="0"/>
    <m/>
    <m/>
    <m/>
    <d v="2026-08-22T00:00:00"/>
    <n v="84.386174016686525"/>
    <m/>
    <x v="0"/>
  </r>
  <r>
    <s v="1000013678"/>
    <x v="3"/>
    <s v="1200003512"/>
    <x v="29"/>
    <x v="0"/>
    <d v="2026-08-19T00:00:00"/>
    <n v="2"/>
    <d v="2026-08-26T00:00:00"/>
    <n v="354"/>
    <s v="PEN"/>
    <x v="0"/>
    <m/>
    <m/>
    <m/>
    <d v="2026-08-26T00:00:00"/>
    <n v="105.48271752085817"/>
    <m/>
    <x v="0"/>
  </r>
  <r>
    <s v="1000013678"/>
    <x v="3"/>
    <s v="1200003511"/>
    <x v="30"/>
    <x v="0"/>
    <d v="2026-08-21T00:00:00"/>
    <n v="0"/>
    <d v="2026-08-28T00:00:00"/>
    <n v="424.8"/>
    <s v="PEN"/>
    <x v="0"/>
    <m/>
    <m/>
    <m/>
    <d v="2026-08-28T00:00:00"/>
    <n v="126.57926102502981"/>
    <m/>
    <x v="0"/>
  </r>
  <r>
    <s v="1000013678"/>
    <x v="3"/>
    <s v="1200003515"/>
    <x v="31"/>
    <x v="0"/>
    <d v="2026-08-25T00:00:00"/>
    <n v="-4"/>
    <d v="2026-09-01T00:00:00"/>
    <n v="283.2"/>
    <s v="PEN"/>
    <x v="0"/>
    <m/>
    <m/>
    <m/>
    <d v="2026-09-01T00:00:00"/>
    <n v="84.386174016686525"/>
    <m/>
    <x v="0"/>
  </r>
  <r>
    <s v="1000013678"/>
    <x v="3"/>
    <s v="1200003522"/>
    <x v="32"/>
    <x v="0"/>
    <d v="2026-08-27T00:00:00"/>
    <n v="-6"/>
    <d v="2026-09-03T00:00:00"/>
    <n v="283.2"/>
    <s v="PEN"/>
    <x v="0"/>
    <m/>
    <m/>
    <m/>
    <d v="2026-09-03T00:00:00"/>
    <n v="84.386174016686525"/>
    <m/>
    <x v="0"/>
  </r>
  <r>
    <s v="2000001381"/>
    <x v="4"/>
    <s v="1300008291"/>
    <x v="33"/>
    <x v="3"/>
    <d v="2026-08-13T00:00:00"/>
    <n v="0"/>
    <d v="2026-08-31T00:00:00"/>
    <n v="-31032"/>
    <s v="USD"/>
    <x v="1"/>
    <d v="2026-10-12T00:00:00"/>
    <m/>
    <m/>
    <d v="2026-08-31T00:00:00"/>
    <n v="-31032"/>
    <n v="18"/>
    <x v="2"/>
  </r>
  <r>
    <s v="2000001368"/>
    <x v="5"/>
    <s v="1300004854"/>
    <x v="34"/>
    <x v="1"/>
    <d v="2026-04-27T00:00:00"/>
    <n v="123"/>
    <d v="2026-04-27T00:00:00"/>
    <n v="15163"/>
    <s v="USD"/>
    <x v="1"/>
    <d v="2026-06-26T00:00:00"/>
    <n v="-45"/>
    <d v="2026-10-15T00:00:00"/>
    <d v="2026-10-15T00:00:00"/>
    <n v="15163"/>
    <n v="126"/>
    <x v="3"/>
  </r>
  <r>
    <s v="2000001439"/>
    <x v="6"/>
    <s v="1300008491"/>
    <x v="35"/>
    <x v="3"/>
    <d v="2026-08-25T00:00:00"/>
    <n v="0"/>
    <d v="2026-08-31T00:00:00"/>
    <n v="-13902"/>
    <s v="USD"/>
    <x v="1"/>
    <d v="2026-10-24T00:00:00"/>
    <m/>
    <m/>
    <d v="2026-08-31T00:00:00"/>
    <n v="-13902"/>
    <n v="6"/>
    <x v="2"/>
  </r>
  <r>
    <s v="6002186"/>
    <x v="7"/>
    <s v="1200003488"/>
    <x v="36"/>
    <x v="0"/>
    <d v="2026-08-08T00:00:00"/>
    <n v="13"/>
    <d v="2026-08-15T00:00:00"/>
    <n v="20060"/>
    <s v="USD"/>
    <x v="2"/>
    <m/>
    <m/>
    <m/>
    <d v="2026-08-15T00:00:00"/>
    <n v="20060"/>
    <m/>
    <x v="0"/>
  </r>
  <r>
    <s v="6002186"/>
    <x v="7"/>
    <s v="1200003517"/>
    <x v="37"/>
    <x v="4"/>
    <d v="2026-08-25T00:00:00"/>
    <n v="13"/>
    <d v="2026-08-15T00:00:00"/>
    <n v="-7434"/>
    <s v="USD"/>
    <x v="2"/>
    <m/>
    <m/>
    <m/>
    <d v="2026-08-15T00:00:00"/>
    <n v="-7434"/>
    <m/>
    <x v="0"/>
  </r>
  <r>
    <s v="6002186"/>
    <x v="7"/>
    <s v="1200003523"/>
    <x v="38"/>
    <x v="0"/>
    <d v="2026-08-28T00:00:00"/>
    <n v="-7"/>
    <d v="2026-09-04T00:00:00"/>
    <n v="4293.67"/>
    <s v="USD"/>
    <x v="2"/>
    <m/>
    <m/>
    <m/>
    <d v="2026-09-04T00:00:00"/>
    <n v="4293.67"/>
    <m/>
    <x v="0"/>
  </r>
  <r>
    <s v="1000006830"/>
    <x v="8"/>
    <s v="1200003426"/>
    <x v="39"/>
    <x v="0"/>
    <d v="2026-07-24T00:00:00"/>
    <n v="28"/>
    <d v="2026-07-31T00:00:00"/>
    <n v="617.85"/>
    <s v="PEN"/>
    <x v="0"/>
    <m/>
    <m/>
    <m/>
    <d v="2026-07-31T00:00:00"/>
    <n v="184.10309892729441"/>
    <m/>
    <x v="0"/>
  </r>
  <r>
    <s v="1000006830"/>
    <x v="8"/>
    <s v="1200003427"/>
    <x v="40"/>
    <x v="0"/>
    <d v="2026-07-24T00:00:00"/>
    <n v="28"/>
    <d v="2026-07-31T00:00:00"/>
    <n v="177"/>
    <s v="PEN"/>
    <x v="0"/>
    <m/>
    <m/>
    <m/>
    <d v="2026-07-31T00:00:00"/>
    <n v="52.741358760429087"/>
    <m/>
    <x v="0"/>
  </r>
  <r>
    <s v="1000006830"/>
    <x v="8"/>
    <s v="1200003436"/>
    <x v="41"/>
    <x v="0"/>
    <d v="2026-07-24T00:00:00"/>
    <n v="28"/>
    <d v="2026-07-31T00:00:00"/>
    <n v="673.02"/>
    <s v="PEN"/>
    <x v="0"/>
    <m/>
    <m/>
    <m/>
    <d v="2026-07-31T00:00:00"/>
    <n v="200.54231227651968"/>
    <m/>
    <x v="0"/>
  </r>
  <r>
    <s v="1000006830"/>
    <x v="8"/>
    <s v="1200003437"/>
    <x v="42"/>
    <x v="0"/>
    <d v="2026-07-24T00:00:00"/>
    <n v="28"/>
    <d v="2026-07-31T00:00:00"/>
    <n v="177"/>
    <s v="PEN"/>
    <x v="0"/>
    <m/>
    <m/>
    <m/>
    <d v="2026-07-31T00:00:00"/>
    <n v="52.741358760429087"/>
    <m/>
    <x v="0"/>
  </r>
  <r>
    <s v="1000006830"/>
    <x v="8"/>
    <s v="1200003448"/>
    <x v="43"/>
    <x v="0"/>
    <d v="2026-07-27T00:00:00"/>
    <n v="25"/>
    <d v="2026-08-03T00:00:00"/>
    <n v="47.2"/>
    <s v="PEN"/>
    <x v="0"/>
    <m/>
    <m/>
    <m/>
    <d v="2026-08-03T00:00:00"/>
    <n v="14.064362336114423"/>
    <m/>
    <x v="0"/>
  </r>
  <r>
    <s v="1000006830"/>
    <x v="8"/>
    <s v="1200003449"/>
    <x v="44"/>
    <x v="0"/>
    <d v="2026-07-27T00:00:00"/>
    <n v="25"/>
    <d v="2026-08-03T00:00:00"/>
    <n v="266.44"/>
    <s v="PEN"/>
    <x v="0"/>
    <m/>
    <m/>
    <m/>
    <d v="2026-08-03T00:00:00"/>
    <n v="79.392133492252682"/>
    <m/>
    <x v="0"/>
  </r>
  <r>
    <s v="2000001459"/>
    <x v="9"/>
    <s v="1300007198"/>
    <x v="45"/>
    <x v="1"/>
    <d v="2026-07-27T00:00:00"/>
    <n v="32"/>
    <d v="2026-07-27T00:00:00"/>
    <n v="55195"/>
    <s v="USD"/>
    <x v="1"/>
    <d v="2026-09-25T00:00:00"/>
    <n v="-25"/>
    <d v="2026-09-25T00:00:00"/>
    <d v="2026-09-25T00:00:00"/>
    <n v="55195"/>
    <n v="35"/>
    <x v="2"/>
  </r>
  <r>
    <s v="2000001459"/>
    <x v="9"/>
    <s v="1200003474"/>
    <x v="46"/>
    <x v="2"/>
    <d v="2026-07-31T00:00:00"/>
    <n v="-32"/>
    <d v="2026-09-29T00:00:00"/>
    <n v="29925"/>
    <s v="USD"/>
    <x v="1"/>
    <d v="2026-09-29T00:00:00"/>
    <n v="-29"/>
    <d v="2026-09-29T00:00:00"/>
    <d v="2026-09-29T00:00:00"/>
    <n v="29925"/>
    <n v="31"/>
    <x v="2"/>
  </r>
  <r>
    <s v="2000001172"/>
    <x v="10"/>
    <s v="1100015731"/>
    <x v="47"/>
    <x v="5"/>
    <d v="2026-07-17T00:00:00"/>
    <n v="42"/>
    <d v="2026-07-17T00:00:00"/>
    <n v="2706.93"/>
    <s v="USD"/>
    <x v="1"/>
    <d v="2026-09-15T00:00:00"/>
    <n v="-45"/>
    <d v="2026-10-15T00:00:00"/>
    <d v="2026-10-15T00:00:00"/>
    <n v="2706.93"/>
    <n v="45"/>
    <x v="2"/>
  </r>
  <r>
    <s v="6002007"/>
    <x v="11"/>
    <s v="1200005141"/>
    <x v="48"/>
    <x v="0"/>
    <d v="2025-11-03T00:00:00"/>
    <n v="291"/>
    <d v="2025-11-10T00:00:00"/>
    <n v="1403.26"/>
    <s v="PEN"/>
    <x v="3"/>
    <m/>
    <m/>
    <m/>
    <d v="2025-11-10T00:00:00"/>
    <n v="418.13468414779499"/>
    <m/>
    <x v="0"/>
  </r>
  <r>
    <s v="6002007"/>
    <x v="11"/>
    <s v="1200005142"/>
    <x v="49"/>
    <x v="0"/>
    <d v="2025-11-03T00:00:00"/>
    <n v="291"/>
    <d v="2025-11-10T00:00:00"/>
    <n v="141.6"/>
    <s v="PEN"/>
    <x v="3"/>
    <m/>
    <m/>
    <m/>
    <d v="2025-11-10T00:00:00"/>
    <n v="42.193087008343262"/>
    <m/>
    <x v="0"/>
  </r>
  <r>
    <s v="6002007"/>
    <x v="11"/>
    <s v="1200005158"/>
    <x v="50"/>
    <x v="0"/>
    <d v="2025-11-06T00:00:00"/>
    <n v="288"/>
    <d v="2025-11-13T00:00:00"/>
    <n v="1193.22"/>
    <s v="PEN"/>
    <x v="3"/>
    <m/>
    <m/>
    <m/>
    <d v="2025-11-13T00:00:00"/>
    <n v="355.54827175208584"/>
    <m/>
    <x v="0"/>
  </r>
  <r>
    <s v="6002007"/>
    <x v="11"/>
    <s v="1200005159"/>
    <x v="51"/>
    <x v="0"/>
    <d v="2025-11-06T00:00:00"/>
    <n v="288"/>
    <d v="2025-11-13T00:00:00"/>
    <n v="106.2"/>
    <s v="PEN"/>
    <x v="3"/>
    <m/>
    <m/>
    <m/>
    <d v="2025-11-13T00:00:00"/>
    <n v="31.644815256257452"/>
    <m/>
    <x v="0"/>
  </r>
  <r>
    <s v="6002007"/>
    <x v="11"/>
    <s v="1200001503"/>
    <x v="52"/>
    <x v="0"/>
    <d v="2026-05-06T00:00:00"/>
    <n v="107"/>
    <d v="2026-05-13T00:00:00"/>
    <n v="23.6"/>
    <s v="PEN"/>
    <x v="3"/>
    <m/>
    <m/>
    <m/>
    <d v="2026-05-13T00:00:00"/>
    <n v="7.0321811680572113"/>
    <m/>
    <x v="0"/>
  </r>
  <r>
    <s v="6002007"/>
    <x v="11"/>
    <s v="1200001504"/>
    <x v="53"/>
    <x v="0"/>
    <d v="2026-05-06T00:00:00"/>
    <n v="107"/>
    <d v="2026-05-13T00:00:00"/>
    <n v="261.49"/>
    <s v="PEN"/>
    <x v="3"/>
    <m/>
    <m/>
    <m/>
    <d v="2026-05-13T00:00:00"/>
    <n v="77.917163289630523"/>
    <m/>
    <x v="0"/>
  </r>
  <r>
    <s v="6002007"/>
    <x v="11"/>
    <s v="1200001509"/>
    <x v="54"/>
    <x v="0"/>
    <d v="2026-05-06T00:00:00"/>
    <n v="107"/>
    <d v="2026-05-13T00:00:00"/>
    <n v="387.51"/>
    <s v="PEN"/>
    <x v="3"/>
    <m/>
    <m/>
    <m/>
    <d v="2026-05-13T00:00:00"/>
    <n v="115.46781883194279"/>
    <m/>
    <x v="0"/>
  </r>
  <r>
    <s v="6002007"/>
    <x v="11"/>
    <s v="1200001510"/>
    <x v="55"/>
    <x v="0"/>
    <d v="2026-05-06T00:00:00"/>
    <n v="107"/>
    <d v="2026-05-13T00:00:00"/>
    <n v="35.4"/>
    <s v="PEN"/>
    <x v="3"/>
    <m/>
    <m/>
    <m/>
    <d v="2026-05-13T00:00:00"/>
    <n v="10.548271752085816"/>
    <m/>
    <x v="0"/>
  </r>
  <r>
    <s v="6002007"/>
    <x v="11"/>
    <s v="1200001609"/>
    <x v="56"/>
    <x v="0"/>
    <d v="2026-05-12T00:00:00"/>
    <n v="101"/>
    <d v="2026-05-19T00:00:00"/>
    <n v="482.86"/>
    <s v="PEN"/>
    <x v="3"/>
    <m/>
    <m/>
    <m/>
    <d v="2026-05-19T00:00:00"/>
    <n v="143.87961859356378"/>
    <m/>
    <x v="0"/>
  </r>
  <r>
    <s v="6002007"/>
    <x v="11"/>
    <s v="1200001610"/>
    <x v="57"/>
    <x v="0"/>
    <d v="2026-05-12T00:00:00"/>
    <n v="101"/>
    <d v="2026-05-19T00:00:00"/>
    <n v="47.2"/>
    <s v="PEN"/>
    <x v="3"/>
    <m/>
    <m/>
    <m/>
    <d v="2026-05-19T00:00:00"/>
    <n v="14.064362336114423"/>
    <m/>
    <x v="0"/>
  </r>
  <r>
    <s v="6002007"/>
    <x v="11"/>
    <s v="1200001789"/>
    <x v="58"/>
    <x v="0"/>
    <d v="2026-05-16T00:00:00"/>
    <n v="97"/>
    <d v="2026-05-23T00:00:00"/>
    <n v="544.45000000000005"/>
    <s v="PEN"/>
    <x v="3"/>
    <m/>
    <m/>
    <m/>
    <d v="2026-05-23T00:00:00"/>
    <n v="162.23182359952327"/>
    <m/>
    <x v="0"/>
  </r>
  <r>
    <s v="6002007"/>
    <x v="11"/>
    <s v="1200001790"/>
    <x v="59"/>
    <x v="0"/>
    <d v="2026-05-16T00:00:00"/>
    <n v="97"/>
    <d v="2026-05-23T00:00:00"/>
    <n v="47.2"/>
    <s v="PEN"/>
    <x v="3"/>
    <m/>
    <m/>
    <m/>
    <d v="2026-05-23T00:00:00"/>
    <n v="14.064362336114423"/>
    <m/>
    <x v="0"/>
  </r>
  <r>
    <s v="6002007"/>
    <x v="11"/>
    <s v="1200002045"/>
    <x v="60"/>
    <x v="0"/>
    <d v="2026-05-27T00:00:00"/>
    <n v="86"/>
    <d v="2026-06-03T00:00:00"/>
    <n v="591.65"/>
    <s v="PEN"/>
    <x v="3"/>
    <m/>
    <m/>
    <m/>
    <d v="2026-06-03T00:00:00"/>
    <n v="176.29618593563765"/>
    <m/>
    <x v="0"/>
  </r>
  <r>
    <s v="6002007"/>
    <x v="11"/>
    <s v="1200002046"/>
    <x v="61"/>
    <x v="0"/>
    <d v="2026-05-27T00:00:00"/>
    <n v="86"/>
    <d v="2026-06-03T00:00:00"/>
    <n v="70.8"/>
    <s v="PEN"/>
    <x v="3"/>
    <m/>
    <m/>
    <m/>
    <d v="2026-06-03T00:00:00"/>
    <n v="21.096543504171631"/>
    <m/>
    <x v="0"/>
  </r>
  <r>
    <s v="6002007"/>
    <x v="11"/>
    <s v="1200002186"/>
    <x v="62"/>
    <x v="0"/>
    <d v="2026-06-02T00:00:00"/>
    <n v="80"/>
    <d v="2026-06-09T00:00:00"/>
    <n v="185.97"/>
    <s v="PEN"/>
    <x v="3"/>
    <m/>
    <m/>
    <m/>
    <d v="2026-06-09T00:00:00"/>
    <n v="55.414183551847437"/>
    <m/>
    <x v="0"/>
  </r>
  <r>
    <s v="6002007"/>
    <x v="11"/>
    <s v="1200002187"/>
    <x v="63"/>
    <x v="0"/>
    <d v="2026-06-02T00:00:00"/>
    <n v="80"/>
    <d v="2026-06-09T00:00:00"/>
    <n v="23.6"/>
    <s v="PEN"/>
    <x v="3"/>
    <m/>
    <m/>
    <m/>
    <d v="2026-06-09T00:00:00"/>
    <n v="7.0321811680572113"/>
    <m/>
    <x v="0"/>
  </r>
  <r>
    <s v="6002007"/>
    <x v="11"/>
    <s v="1200002487"/>
    <x v="64"/>
    <x v="0"/>
    <d v="2026-06-13T00:00:00"/>
    <n v="69"/>
    <d v="2026-06-20T00:00:00"/>
    <n v="535.25"/>
    <s v="PEN"/>
    <x v="3"/>
    <m/>
    <m/>
    <m/>
    <d v="2026-06-20T00:00:00"/>
    <n v="159.49046483909416"/>
    <m/>
    <x v="0"/>
  </r>
  <r>
    <s v="6002007"/>
    <x v="11"/>
    <s v="1200002488"/>
    <x v="65"/>
    <x v="0"/>
    <d v="2026-06-13T00:00:00"/>
    <n v="69"/>
    <d v="2026-06-20T00:00:00"/>
    <n v="70.8"/>
    <s v="PEN"/>
    <x v="3"/>
    <m/>
    <m/>
    <m/>
    <d v="2026-06-20T00:00:00"/>
    <n v="21.096543504171631"/>
    <m/>
    <x v="0"/>
  </r>
  <r>
    <s v="6002007"/>
    <x v="11"/>
    <s v="1200002956"/>
    <x v="66"/>
    <x v="0"/>
    <d v="2026-07-03T00:00:00"/>
    <n v="49"/>
    <d v="2026-07-10T00:00:00"/>
    <n v="449.11"/>
    <s v="PEN"/>
    <x v="3"/>
    <m/>
    <m/>
    <m/>
    <d v="2026-07-10T00:00:00"/>
    <n v="133.82300357568536"/>
    <m/>
    <x v="0"/>
  </r>
  <r>
    <s v="6002007"/>
    <x v="11"/>
    <s v="1200002957"/>
    <x v="67"/>
    <x v="0"/>
    <d v="2026-07-03T00:00:00"/>
    <n v="49"/>
    <d v="2026-07-10T00:00:00"/>
    <n v="35.4"/>
    <s v="PEN"/>
    <x v="3"/>
    <m/>
    <m/>
    <m/>
    <d v="2026-07-10T00:00:00"/>
    <n v="10.548271752085816"/>
    <m/>
    <x v="0"/>
  </r>
  <r>
    <s v="6002007"/>
    <x v="11"/>
    <s v="1200003319"/>
    <x v="68"/>
    <x v="0"/>
    <d v="2026-07-17T00:00:00"/>
    <n v="35"/>
    <d v="2026-07-24T00:00:00"/>
    <n v="355.65"/>
    <s v="PEN"/>
    <x v="3"/>
    <m/>
    <m/>
    <m/>
    <d v="2026-07-24T00:00:00"/>
    <n v="105.97437425506556"/>
    <m/>
    <x v="0"/>
  </r>
  <r>
    <s v="6002007"/>
    <x v="11"/>
    <s v="1200003320"/>
    <x v="69"/>
    <x v="0"/>
    <d v="2026-07-17T00:00:00"/>
    <n v="35"/>
    <d v="2026-07-24T00:00:00"/>
    <n v="47.2"/>
    <s v="PEN"/>
    <x v="3"/>
    <m/>
    <m/>
    <m/>
    <d v="2026-07-24T00:00:00"/>
    <n v="14.064362336114423"/>
    <m/>
    <x v="0"/>
  </r>
  <r>
    <s v="6001105"/>
    <x v="12"/>
    <s v="1200001301"/>
    <x v="70"/>
    <x v="0"/>
    <d v="2026-04-28T00:00:00"/>
    <n v="122"/>
    <d v="2026-04-28T00:00:00"/>
    <n v="716.71"/>
    <s v="PEN"/>
    <x v="0"/>
    <m/>
    <m/>
    <m/>
    <d v="2026-04-28T00:00:00"/>
    <n v="213.56078665077476"/>
    <m/>
    <x v="0"/>
  </r>
  <r>
    <s v="6001105"/>
    <x v="12"/>
    <s v="1200001302"/>
    <x v="71"/>
    <x v="0"/>
    <d v="2026-04-28T00:00:00"/>
    <n v="122"/>
    <d v="2026-04-28T00:00:00"/>
    <n v="129.80000000000001"/>
    <s v="PEN"/>
    <x v="0"/>
    <m/>
    <m/>
    <m/>
    <d v="2026-04-28T00:00:00"/>
    <n v="38.676996424314666"/>
    <m/>
    <x v="0"/>
  </r>
  <r>
    <s v="6001105"/>
    <x v="12"/>
    <s v="1300004037"/>
    <x v="72"/>
    <x v="1"/>
    <d v="2026-04-28T00:00:00"/>
    <n v="122"/>
    <d v="2026-04-28T00:00:00"/>
    <n v="422.56"/>
    <s v="PEN"/>
    <x v="0"/>
    <m/>
    <m/>
    <m/>
    <d v="2026-04-28T00:00:00"/>
    <n v="125.91179976162098"/>
    <m/>
    <x v="0"/>
  </r>
  <r>
    <s v="6001105"/>
    <x v="12"/>
    <s v="1200001648"/>
    <x v="73"/>
    <x v="0"/>
    <d v="2026-05-12T00:00:00"/>
    <n v="108"/>
    <d v="2026-05-12T00:00:00"/>
    <n v="404.98"/>
    <s v="PEN"/>
    <x v="0"/>
    <m/>
    <m/>
    <m/>
    <d v="2026-05-12T00:00:00"/>
    <n v="120.67342073897498"/>
    <m/>
    <x v="0"/>
  </r>
  <r>
    <s v="6001105"/>
    <x v="12"/>
    <s v="1200001649"/>
    <x v="74"/>
    <x v="0"/>
    <d v="2026-05-12T00:00:00"/>
    <n v="108"/>
    <d v="2026-05-12T00:00:00"/>
    <n v="59"/>
    <s v="PEN"/>
    <x v="0"/>
    <m/>
    <m/>
    <m/>
    <d v="2026-05-12T00:00:00"/>
    <n v="17.580452920143028"/>
    <m/>
    <x v="0"/>
  </r>
  <r>
    <s v="6001105"/>
    <x v="12"/>
    <s v="1300007099"/>
    <x v="75"/>
    <x v="1"/>
    <d v="2026-07-15T00:00:00"/>
    <n v="44"/>
    <d v="2026-07-15T00:00:00"/>
    <n v="23.6"/>
    <s v="PEN"/>
    <x v="0"/>
    <m/>
    <m/>
    <m/>
    <d v="2026-07-15T00:00:00"/>
    <n v="7.0321811680572113"/>
    <m/>
    <x v="0"/>
  </r>
  <r>
    <s v="2000001359"/>
    <x v="13"/>
    <s v="1300005285"/>
    <x v="76"/>
    <x v="1"/>
    <d v="2026-04-27T00:00:00"/>
    <n v="123"/>
    <d v="2026-04-27T00:00:00"/>
    <n v="10284"/>
    <s v="USD"/>
    <x v="1"/>
    <d v="2026-06-26T00:00:00"/>
    <n v="-45"/>
    <d v="2026-10-15T00:00:00"/>
    <d v="2026-10-15T00:00:00"/>
    <n v="10284"/>
    <n v="126"/>
    <x v="3"/>
  </r>
  <r>
    <s v="2000001468"/>
    <x v="14"/>
    <s v="1300007199"/>
    <x v="77"/>
    <x v="1"/>
    <d v="2026-07-13T00:00:00"/>
    <n v="46"/>
    <d v="2026-07-13T00:00:00"/>
    <n v="54612"/>
    <s v="USD"/>
    <x v="1"/>
    <d v="2026-09-11T00:00:00"/>
    <n v="-11"/>
    <d v="2026-09-11T00:00:00"/>
    <d v="2026-09-11T00:00:00"/>
    <n v="54612"/>
    <n v="49"/>
    <x v="4"/>
  </r>
  <r>
    <s v="1000013925"/>
    <x v="15"/>
    <s v="1300006898"/>
    <x v="78"/>
    <x v="1"/>
    <d v="2025-10-21T00:00:00"/>
    <n v="311"/>
    <d v="2025-10-21T00:00:00"/>
    <n v="4460"/>
    <s v="PEN"/>
    <x v="4"/>
    <m/>
    <m/>
    <m/>
    <d v="2025-10-21T00:00:00"/>
    <n v="1328.96305125149"/>
    <m/>
    <x v="0"/>
  </r>
  <r>
    <s v="1000013925"/>
    <x v="15"/>
    <s v="1200005124"/>
    <x v="79"/>
    <x v="0"/>
    <d v="2025-11-04T00:00:00"/>
    <n v="290"/>
    <d v="2025-11-11T00:00:00"/>
    <n v="7097.98"/>
    <s v="PEN"/>
    <x v="4"/>
    <m/>
    <m/>
    <m/>
    <d v="2025-11-11T00:00:00"/>
    <n v="2115.0119189511324"/>
    <m/>
    <x v="0"/>
  </r>
  <r>
    <s v="1000013925"/>
    <x v="15"/>
    <s v="1200000182"/>
    <x v="80"/>
    <x v="0"/>
    <d v="2026-01-31T00:00:00"/>
    <n v="202"/>
    <d v="2026-02-07T00:00:00"/>
    <n v="4003.46"/>
    <s v="PEN"/>
    <x v="4"/>
    <m/>
    <m/>
    <m/>
    <d v="2026-02-07T00:00:00"/>
    <n v="1192.9261025029798"/>
    <m/>
    <x v="0"/>
  </r>
  <r>
    <s v="1000013925"/>
    <x v="15"/>
    <s v="1200000382"/>
    <x v="81"/>
    <x v="0"/>
    <d v="2026-03-03T00:00:00"/>
    <n v="171"/>
    <d v="2026-03-10T00:00:00"/>
    <n v="4956"/>
    <s v="PEN"/>
    <x v="4"/>
    <m/>
    <m/>
    <m/>
    <d v="2026-03-10T00:00:00"/>
    <n v="1476.7580452920145"/>
    <m/>
    <x v="0"/>
  </r>
  <r>
    <s v="6000434"/>
    <x v="16"/>
    <s v="1200004540"/>
    <x v="82"/>
    <x v="0"/>
    <d v="2025-10-07T00:00:00"/>
    <n v="318"/>
    <d v="2025-10-14T00:00:00"/>
    <n v="790"/>
    <s v="PEN"/>
    <x v="5"/>
    <m/>
    <m/>
    <m/>
    <d v="2025-10-14T00:00:00"/>
    <n v="235.39928486293206"/>
    <m/>
    <x v="0"/>
  </r>
  <r>
    <s v="2000001382"/>
    <x v="17"/>
    <s v="1300007200"/>
    <x v="83"/>
    <x v="1"/>
    <d v="2026-07-27T00:00:00"/>
    <n v="32"/>
    <d v="2026-07-27T00:00:00"/>
    <n v="64640"/>
    <s v="USD"/>
    <x v="1"/>
    <d v="2026-09-25T00:00:00"/>
    <n v="-25"/>
    <d v="2026-09-25T00:00:00"/>
    <d v="2026-09-25T00:00:00"/>
    <n v="64640"/>
    <n v="35"/>
    <x v="2"/>
  </r>
  <r>
    <s v="2000001382"/>
    <x v="17"/>
    <s v="1300007201"/>
    <x v="84"/>
    <x v="1"/>
    <d v="2026-07-29T00:00:00"/>
    <n v="30"/>
    <d v="2026-07-29T00:00:00"/>
    <n v="64850"/>
    <s v="USD"/>
    <x v="1"/>
    <d v="2026-09-27T00:00:00"/>
    <n v="-27"/>
    <d v="2026-09-27T00:00:00"/>
    <d v="2026-09-27T00:00:00"/>
    <n v="64850"/>
    <n v="33"/>
    <x v="2"/>
  </r>
  <r>
    <s v="1000015392"/>
    <x v="18"/>
    <s v="1200002881"/>
    <x v="85"/>
    <x v="0"/>
    <d v="2026-06-30T00:00:00"/>
    <n v="52"/>
    <d v="2026-07-07T00:00:00"/>
    <n v="590"/>
    <s v="PEN"/>
    <x v="6"/>
    <m/>
    <m/>
    <m/>
    <d v="2026-07-07T00:00:00"/>
    <n v="175.80452920143028"/>
    <m/>
    <x v="0"/>
  </r>
  <r>
    <s v="2000001440"/>
    <x v="19"/>
    <s v="1300007151"/>
    <x v="86"/>
    <x v="3"/>
    <d v="2026-07-21T00:00:00"/>
    <n v="0"/>
    <d v="2026-07-31T00:00:00"/>
    <n v="-9650"/>
    <s v="USD"/>
    <x v="1"/>
    <d v="2026-09-19T00:00:00"/>
    <m/>
    <m/>
    <d v="2026-07-31T00:00:00"/>
    <n v="-9650"/>
    <n v="41"/>
    <x v="2"/>
  </r>
  <r>
    <s v="2000001440"/>
    <x v="19"/>
    <s v="1200003507"/>
    <x v="87"/>
    <x v="2"/>
    <d v="2026-08-15T00:00:00"/>
    <n v="-47"/>
    <d v="2026-10-14T00:00:00"/>
    <n v="48600"/>
    <s v="USD"/>
    <x v="1"/>
    <d v="2026-10-14T00:00:00"/>
    <m/>
    <m/>
    <d v="2026-10-14T00:00:00"/>
    <n v="48600"/>
    <n v="16"/>
    <x v="2"/>
  </r>
  <r>
    <s v="1000013801"/>
    <x v="20"/>
    <s v="1300007121"/>
    <x v="88"/>
    <x v="1"/>
    <d v="2026-07-18T00:00:00"/>
    <n v="41"/>
    <d v="2026-07-18T00:00:00"/>
    <n v="203.67"/>
    <s v="PEN"/>
    <x v="0"/>
    <m/>
    <m/>
    <m/>
    <d v="2026-07-18T00:00:00"/>
    <n v="60.688319427890342"/>
    <m/>
    <x v="0"/>
  </r>
  <r>
    <s v="2000001348"/>
    <x v="21"/>
    <s v="1200003520"/>
    <x v="89"/>
    <x v="2"/>
    <d v="2026-08-24T00:00:00"/>
    <n v="-56"/>
    <d v="2026-10-23T00:00:00"/>
    <n v="546040"/>
    <s v="USD"/>
    <x v="1"/>
    <d v="2026-10-23T00:00:00"/>
    <m/>
    <m/>
    <d v="2026-10-23T00:00:00"/>
    <n v="546040"/>
    <n v="7"/>
    <x v="2"/>
  </r>
  <r>
    <s v="2000001348"/>
    <x v="21"/>
    <s v="1200003521"/>
    <x v="90"/>
    <x v="2"/>
    <d v="2026-08-25T00:00:00"/>
    <n v="-57"/>
    <d v="2026-10-24T00:00:00"/>
    <n v="177480"/>
    <s v="USD"/>
    <x v="1"/>
    <d v="2026-10-24T00:00:00"/>
    <m/>
    <m/>
    <d v="2026-10-24T00:00:00"/>
    <n v="177480"/>
    <n v="6"/>
    <x v="2"/>
  </r>
  <r>
    <s v="2000001348"/>
    <x v="21"/>
    <s v="1200003524"/>
    <x v="91"/>
    <x v="2"/>
    <d v="2026-08-25T00:00:00"/>
    <n v="-57"/>
    <d v="2026-10-24T00:00:00"/>
    <n v="190368"/>
    <s v="USD"/>
    <x v="1"/>
    <d v="2026-10-24T00:00:00"/>
    <m/>
    <m/>
    <d v="2026-10-24T00:00:00"/>
    <n v="190368"/>
    <n v="6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s v="1000000434"/>
    <x v="0"/>
    <s v="1200003483"/>
    <s v="01-0F101-0007697"/>
    <x v="0"/>
    <d v="2026-08-04T00:00:00"/>
    <n v="17"/>
    <d v="2026-08-11T00:00:00"/>
    <n v="236"/>
    <s v="PEN"/>
    <x v="0"/>
    <m/>
    <m/>
    <m/>
    <x v="0"/>
    <n v="70.321811680572111"/>
    <m/>
    <m/>
  </r>
  <r>
    <s v="1000013966"/>
    <x v="1"/>
    <s v="1200005220"/>
    <s v="01-0F101-0004694"/>
    <x v="0"/>
    <d v="2025-11-19T00:00:00"/>
    <n v="275"/>
    <d v="2025-11-26T00:00:00"/>
    <n v="42.48"/>
    <s v="PEN"/>
    <x v="0"/>
    <m/>
    <m/>
    <m/>
    <x v="1"/>
    <n v="12.65792610250298"/>
    <m/>
    <m/>
  </r>
  <r>
    <s v="1000013966"/>
    <x v="1"/>
    <s v="1200005228"/>
    <s v="01-0F101-0004700"/>
    <x v="0"/>
    <d v="2025-11-19T00:00:00"/>
    <n v="275"/>
    <d v="2025-11-26T00:00:00"/>
    <n v="14.16"/>
    <s v="PEN"/>
    <x v="0"/>
    <m/>
    <m/>
    <m/>
    <x v="1"/>
    <n v="4.2193087008343264"/>
    <m/>
    <m/>
  </r>
  <r>
    <s v="1000013966"/>
    <x v="1"/>
    <s v="1200005242"/>
    <s v="01-0F101-0004710"/>
    <x v="0"/>
    <d v="2025-11-19T00:00:00"/>
    <n v="275"/>
    <d v="2025-11-26T00:00:00"/>
    <n v="14.16"/>
    <s v="PEN"/>
    <x v="0"/>
    <m/>
    <m/>
    <m/>
    <x v="1"/>
    <n v="4.2193087008343264"/>
    <m/>
    <m/>
  </r>
  <r>
    <s v="1000013966"/>
    <x v="1"/>
    <s v="1200005264"/>
    <s v="01-0F101-0004729"/>
    <x v="0"/>
    <d v="2025-11-20T00:00:00"/>
    <n v="274"/>
    <d v="2025-11-27T00:00:00"/>
    <n v="28.32"/>
    <s v="PEN"/>
    <x v="0"/>
    <m/>
    <m/>
    <m/>
    <x v="2"/>
    <n v="8.4386174016686528"/>
    <m/>
    <m/>
  </r>
  <r>
    <s v="1000013966"/>
    <x v="1"/>
    <s v="1200005271"/>
    <s v="01-0F101-0004736"/>
    <x v="0"/>
    <d v="2025-11-20T00:00:00"/>
    <n v="274"/>
    <d v="2025-11-27T00:00:00"/>
    <n v="14.16"/>
    <s v="PEN"/>
    <x v="0"/>
    <m/>
    <m/>
    <m/>
    <x v="2"/>
    <n v="4.2193087008343264"/>
    <m/>
    <m/>
  </r>
  <r>
    <s v="1000013966"/>
    <x v="1"/>
    <s v="1200005296"/>
    <s v="01-0F101-0004758"/>
    <x v="0"/>
    <d v="2025-11-21T00:00:00"/>
    <n v="273"/>
    <d v="2025-11-28T00:00:00"/>
    <n v="28.32"/>
    <s v="PEN"/>
    <x v="0"/>
    <m/>
    <m/>
    <m/>
    <x v="3"/>
    <n v="8.4386174016686528"/>
    <m/>
    <m/>
  </r>
  <r>
    <s v="1000013966"/>
    <x v="1"/>
    <s v="1200005302"/>
    <s v="01-0F101-0004762"/>
    <x v="0"/>
    <d v="2025-11-21T00:00:00"/>
    <n v="273"/>
    <d v="2025-11-28T00:00:00"/>
    <n v="42.48"/>
    <s v="PEN"/>
    <x v="0"/>
    <m/>
    <m/>
    <m/>
    <x v="3"/>
    <n v="12.65792610250298"/>
    <m/>
    <m/>
  </r>
  <r>
    <s v="1000013966"/>
    <x v="1"/>
    <s v="1200005304"/>
    <s v="01-0F101-0004763"/>
    <x v="0"/>
    <d v="2025-11-21T00:00:00"/>
    <n v="273"/>
    <d v="2025-11-28T00:00:00"/>
    <n v="42.48"/>
    <s v="PEN"/>
    <x v="0"/>
    <m/>
    <m/>
    <m/>
    <x v="3"/>
    <n v="12.65792610250298"/>
    <m/>
    <m/>
  </r>
  <r>
    <s v="1000013966"/>
    <x v="1"/>
    <s v="1200005313"/>
    <s v="01-0F101-0004772"/>
    <x v="0"/>
    <d v="2025-11-21T00:00:00"/>
    <n v="273"/>
    <d v="2025-11-28T00:00:00"/>
    <n v="14.16"/>
    <s v="PEN"/>
    <x v="0"/>
    <m/>
    <m/>
    <m/>
    <x v="3"/>
    <n v="4.2193087008343264"/>
    <m/>
    <m/>
  </r>
  <r>
    <s v="1000013966"/>
    <x v="1"/>
    <s v="1200005346"/>
    <s v="01-0F101-0004803"/>
    <x v="0"/>
    <d v="2025-11-22T00:00:00"/>
    <n v="272"/>
    <d v="2025-11-29T00:00:00"/>
    <n v="28.32"/>
    <s v="PEN"/>
    <x v="0"/>
    <m/>
    <m/>
    <m/>
    <x v="4"/>
    <n v="8.4386174016686528"/>
    <m/>
    <m/>
  </r>
  <r>
    <s v="1000013966"/>
    <x v="1"/>
    <s v="1200005422"/>
    <s v="01-0F101-0004855"/>
    <x v="0"/>
    <d v="2025-11-27T00:00:00"/>
    <n v="267"/>
    <d v="2025-12-04T00:00:00"/>
    <n v="14.16"/>
    <s v="PEN"/>
    <x v="0"/>
    <m/>
    <m/>
    <m/>
    <x v="5"/>
    <n v="4.2193087008343264"/>
    <m/>
    <m/>
  </r>
  <r>
    <s v="1000013966"/>
    <x v="1"/>
    <s v="1200000045"/>
    <s v="01-0F101-0005160"/>
    <x v="0"/>
    <d v="2026-01-06T00:00:00"/>
    <n v="227"/>
    <d v="2026-01-13T00:00:00"/>
    <n v="14.16"/>
    <s v="PEN"/>
    <x v="0"/>
    <m/>
    <m/>
    <m/>
    <x v="6"/>
    <n v="4.2193087008343264"/>
    <m/>
    <m/>
  </r>
  <r>
    <s v="1000013966"/>
    <x v="1"/>
    <s v="1200000090"/>
    <s v="01-0F101-0005198"/>
    <x v="0"/>
    <d v="2026-01-08T00:00:00"/>
    <n v="225"/>
    <d v="2026-01-15T00:00:00"/>
    <n v="14.16"/>
    <s v="PEN"/>
    <x v="0"/>
    <m/>
    <m/>
    <m/>
    <x v="7"/>
    <n v="4.2193087008343264"/>
    <m/>
    <m/>
  </r>
  <r>
    <s v="1000013966"/>
    <x v="1"/>
    <s v="1200000113"/>
    <s v="01-0F101-0005211"/>
    <x v="0"/>
    <d v="2026-01-10T00:00:00"/>
    <n v="223"/>
    <d v="2026-01-17T00:00:00"/>
    <n v="14.16"/>
    <s v="PEN"/>
    <x v="0"/>
    <m/>
    <m/>
    <m/>
    <x v="8"/>
    <n v="4.2193087008343264"/>
    <m/>
    <m/>
  </r>
  <r>
    <s v="1000013966"/>
    <x v="1"/>
    <s v="1200000132"/>
    <s v="01-0F101-0005224"/>
    <x v="0"/>
    <d v="2026-01-16T00:00:00"/>
    <n v="217"/>
    <d v="2026-01-23T00:00:00"/>
    <n v="14.16"/>
    <s v="PEN"/>
    <x v="0"/>
    <m/>
    <m/>
    <m/>
    <x v="9"/>
    <n v="4.2193087008343264"/>
    <m/>
    <m/>
  </r>
  <r>
    <s v="1000013966"/>
    <x v="1"/>
    <s v="1200000133"/>
    <s v="01-0F101-0005225"/>
    <x v="0"/>
    <d v="2026-01-16T00:00:00"/>
    <n v="217"/>
    <d v="2026-01-23T00:00:00"/>
    <n v="14.16"/>
    <s v="PEN"/>
    <x v="0"/>
    <m/>
    <m/>
    <m/>
    <x v="9"/>
    <n v="4.2193087008343264"/>
    <m/>
    <m/>
  </r>
  <r>
    <s v="1000013966"/>
    <x v="1"/>
    <s v="1200000141"/>
    <s v="01-0F101-0005231"/>
    <x v="0"/>
    <d v="2026-01-19T00:00:00"/>
    <n v="214"/>
    <d v="2026-01-26T00:00:00"/>
    <n v="14.16"/>
    <s v="PEN"/>
    <x v="0"/>
    <m/>
    <m/>
    <m/>
    <x v="10"/>
    <n v="4.2193087008343264"/>
    <m/>
    <m/>
  </r>
  <r>
    <s v="2000001028"/>
    <x v="2"/>
    <s v="1300005598"/>
    <s v="FT-0F002-0000386"/>
    <x v="1"/>
    <d v="2026-06-30T00:00:00"/>
    <n v="59"/>
    <d v="2026-06-30T00:00:00"/>
    <n v="218730"/>
    <s v="USD"/>
    <x v="1"/>
    <d v="2026-08-29T00:00:00"/>
    <n v="2"/>
    <d v="2026-08-29T00:00:00"/>
    <x v="11"/>
    <n v="218730"/>
    <n v="62"/>
    <s v="61-90"/>
  </r>
  <r>
    <s v="2000001028"/>
    <x v="2"/>
    <s v="1200003451"/>
    <s v="01-0F002-0000392"/>
    <x v="2"/>
    <d v="2026-07-25T00:00:00"/>
    <n v="-26"/>
    <d v="2026-09-23T00:00:00"/>
    <n v="83280"/>
    <s v="USD"/>
    <x v="1"/>
    <d v="2026-09-23T00:00:00"/>
    <n v="-23"/>
    <d v="2026-09-23T00:00:00"/>
    <x v="12"/>
    <n v="83280"/>
    <n v="37"/>
    <s v="0-45"/>
  </r>
  <r>
    <s v="2000001028"/>
    <x v="2"/>
    <s v="1200003454"/>
    <s v="01-0F002-0000395"/>
    <x v="2"/>
    <d v="2026-07-27T00:00:00"/>
    <n v="-88"/>
    <d v="2026-11-24T00:00:00"/>
    <n v="83280"/>
    <s v="USD"/>
    <x v="1"/>
    <d v="2026-09-25T00:00:00"/>
    <n v="-25"/>
    <d v="2026-09-25T00:00:00"/>
    <x v="13"/>
    <n v="83280"/>
    <n v="35"/>
    <s v="0-45"/>
  </r>
  <r>
    <s v="2000001028"/>
    <x v="2"/>
    <s v="1200003470"/>
    <s v="01-0F002-0000403"/>
    <x v="2"/>
    <d v="2026-07-29T00:00:00"/>
    <n v="-30"/>
    <d v="2026-09-27T00:00:00"/>
    <n v="41448"/>
    <s v="USD"/>
    <x v="1"/>
    <d v="2026-09-27T00:00:00"/>
    <n v="-27"/>
    <d v="2026-09-27T00:00:00"/>
    <x v="14"/>
    <n v="41448"/>
    <n v="33"/>
    <s v="0-45"/>
  </r>
  <r>
    <s v="2000001028"/>
    <x v="2"/>
    <s v="1200003479"/>
    <s v="FT-0F002-0000409"/>
    <x v="1"/>
    <d v="2026-07-31T00:00:00"/>
    <n v="-32"/>
    <d v="2026-09-29T00:00:00"/>
    <n v="453030"/>
    <s v="USD"/>
    <x v="1"/>
    <d v="2026-09-29T00:00:00"/>
    <n v="-29"/>
    <d v="2026-09-29T00:00:00"/>
    <x v="15"/>
    <n v="242430"/>
    <n v="31"/>
    <s v="0-45"/>
  </r>
  <r>
    <s v="2000001028"/>
    <x v="2"/>
    <s v="1200003502"/>
    <s v="FT-0F002-0000410"/>
    <x v="1"/>
    <d v="2026-08-15T00:00:00"/>
    <n v="-47"/>
    <d v="2026-10-14T00:00:00"/>
    <n v="135000"/>
    <s v="USD"/>
    <x v="1"/>
    <d v="2026-10-14T00:00:00"/>
    <n v="-44"/>
    <d v="2026-10-14T00:00:00"/>
    <x v="16"/>
    <n v="94530"/>
    <n v="16"/>
    <s v="0-45"/>
  </r>
  <r>
    <s v="2000001028"/>
    <x v="2"/>
    <s v="1200003503"/>
    <s v="FT-0F002-0000411"/>
    <x v="1"/>
    <d v="2026-08-15T00:00:00"/>
    <n v="-47"/>
    <d v="2026-10-14T00:00:00"/>
    <n v="41400"/>
    <s v="USD"/>
    <x v="1"/>
    <d v="2026-10-14T00:00:00"/>
    <n v="-44"/>
    <d v="2026-10-14T00:00:00"/>
    <x v="16"/>
    <n v="29010"/>
    <n v="16"/>
    <s v="0-45"/>
  </r>
  <r>
    <s v="2000001028"/>
    <x v="2"/>
    <s v="1200003504"/>
    <s v="FT-0F002-0000412"/>
    <x v="1"/>
    <d v="2026-08-15T00:00:00"/>
    <n v="-47"/>
    <d v="2026-10-14T00:00:00"/>
    <n v="78300"/>
    <s v="USD"/>
    <x v="1"/>
    <d v="2026-10-14T00:00:00"/>
    <n v="-44"/>
    <d v="2026-10-14T00:00:00"/>
    <x v="16"/>
    <n v="54840"/>
    <n v="16"/>
    <s v="0-45"/>
  </r>
  <r>
    <s v="2000001028"/>
    <x v="2"/>
    <s v="1200003505"/>
    <s v="FT-0F002-0000413"/>
    <x v="1"/>
    <d v="2026-08-15T00:00:00"/>
    <n v="-47"/>
    <d v="2026-10-14T00:00:00"/>
    <n v="42240"/>
    <s v="USD"/>
    <x v="1"/>
    <d v="2026-10-14T00:00:00"/>
    <n v="-44"/>
    <d v="2026-10-14T00:00:00"/>
    <x v="16"/>
    <n v="29598"/>
    <n v="16"/>
    <s v="0-45"/>
  </r>
  <r>
    <s v="2000001028"/>
    <x v="2"/>
    <s v="1200003508"/>
    <s v="01-0F002-0000415"/>
    <x v="2"/>
    <d v="2026-08-16T00:00:00"/>
    <n v="-48"/>
    <d v="2026-10-15T00:00:00"/>
    <n v="41064"/>
    <s v="USD"/>
    <x v="1"/>
    <d v="2026-10-15T00:00:00"/>
    <n v="-45"/>
    <d v="2026-10-15T00:00:00"/>
    <x v="17"/>
    <n v="41064"/>
    <n v="15"/>
    <s v="0-45"/>
  </r>
  <r>
    <s v="1000013678"/>
    <x v="3"/>
    <s v="1200003500"/>
    <s v="01-0F101-0007709"/>
    <x v="0"/>
    <d v="2026-08-15T00:00:00"/>
    <n v="6"/>
    <d v="2026-08-22T00:00:00"/>
    <n v="283.2"/>
    <s v="PEN"/>
    <x v="0"/>
    <m/>
    <m/>
    <m/>
    <x v="18"/>
    <n v="84.386174016686525"/>
    <m/>
    <m/>
  </r>
  <r>
    <s v="1000013678"/>
    <x v="3"/>
    <s v="1200003512"/>
    <s v="01-0F101-0007712"/>
    <x v="0"/>
    <d v="2026-08-19T00:00:00"/>
    <n v="2"/>
    <d v="2026-08-26T00:00:00"/>
    <n v="354"/>
    <s v="PEN"/>
    <x v="0"/>
    <m/>
    <m/>
    <m/>
    <x v="19"/>
    <n v="105.48271752085817"/>
    <m/>
    <m/>
  </r>
  <r>
    <s v="1000013678"/>
    <x v="3"/>
    <s v="1200003511"/>
    <s v="01-0F101-0007711"/>
    <x v="0"/>
    <d v="2026-08-21T00:00:00"/>
    <n v="0"/>
    <d v="2026-08-28T00:00:00"/>
    <n v="424.8"/>
    <s v="PEN"/>
    <x v="0"/>
    <m/>
    <m/>
    <m/>
    <x v="20"/>
    <n v="126.57926102502981"/>
    <m/>
    <m/>
  </r>
  <r>
    <s v="1000013678"/>
    <x v="3"/>
    <s v="1200003515"/>
    <s v="01-0F101-0007715"/>
    <x v="0"/>
    <d v="2026-08-25T00:00:00"/>
    <n v="-4"/>
    <d v="2026-09-01T00:00:00"/>
    <n v="283.2"/>
    <s v="PEN"/>
    <x v="0"/>
    <m/>
    <m/>
    <m/>
    <x v="21"/>
    <n v="84.386174016686525"/>
    <m/>
    <m/>
  </r>
  <r>
    <s v="1000013678"/>
    <x v="3"/>
    <s v="1200003522"/>
    <s v="01-0F101-0007719"/>
    <x v="0"/>
    <d v="2026-08-27T00:00:00"/>
    <n v="-6"/>
    <d v="2026-09-03T00:00:00"/>
    <n v="283.2"/>
    <s v="PEN"/>
    <x v="0"/>
    <m/>
    <m/>
    <m/>
    <x v="22"/>
    <n v="84.386174016686525"/>
    <m/>
    <m/>
  </r>
  <r>
    <s v="2000001381"/>
    <x v="4"/>
    <s v="1300008291"/>
    <s v="FP-273"/>
    <x v="3"/>
    <d v="2026-08-13T00:00:00"/>
    <n v="0"/>
    <d v="2026-08-31T00:00:00"/>
    <n v="-31032"/>
    <s v="USD"/>
    <x v="1"/>
    <d v="2026-10-12T00:00:00"/>
    <m/>
    <m/>
    <x v="23"/>
    <n v="-31032"/>
    <n v="18"/>
    <s v="0-45"/>
  </r>
  <r>
    <s v="2000001368"/>
    <x v="5"/>
    <s v="1300004854"/>
    <s v="FT-0F002-0000311"/>
    <x v="1"/>
    <d v="2026-04-27T00:00:00"/>
    <n v="123"/>
    <d v="2026-04-27T00:00:00"/>
    <n v="15163"/>
    <s v="USD"/>
    <x v="1"/>
    <d v="2026-06-26T00:00:00"/>
    <n v="-45"/>
    <d v="2026-10-15T00:00:00"/>
    <x v="17"/>
    <n v="15163"/>
    <n v="126"/>
    <s v="91-A MÁS"/>
  </r>
  <r>
    <s v="2000001439"/>
    <x v="6"/>
    <s v="1300008491"/>
    <s v="FP-276"/>
    <x v="3"/>
    <d v="2026-08-25T00:00:00"/>
    <n v="0"/>
    <d v="2026-08-31T00:00:00"/>
    <n v="-13902"/>
    <s v="USD"/>
    <x v="1"/>
    <d v="2026-10-24T00:00:00"/>
    <m/>
    <m/>
    <x v="24"/>
    <n v="-13902"/>
    <n v="6"/>
    <s v="0-45"/>
  </r>
  <r>
    <s v="6002186"/>
    <x v="7"/>
    <s v="1200003488"/>
    <s v="01-0F101-0007701"/>
    <x v="0"/>
    <d v="2026-08-08T00:00:00"/>
    <n v="13"/>
    <d v="2026-08-15T00:00:00"/>
    <n v="20060"/>
    <s v="USD"/>
    <x v="2"/>
    <m/>
    <m/>
    <m/>
    <x v="25"/>
    <n v="20060"/>
    <m/>
    <m/>
  </r>
  <r>
    <s v="6002186"/>
    <x v="7"/>
    <s v="1200003517"/>
    <s v="07-0F001-0000323"/>
    <x v="4"/>
    <d v="2026-08-25T00:00:00"/>
    <n v="13"/>
    <d v="2026-08-15T00:00:00"/>
    <n v="-7434"/>
    <s v="USD"/>
    <x v="2"/>
    <m/>
    <m/>
    <m/>
    <x v="25"/>
    <n v="-7434"/>
    <m/>
    <m/>
  </r>
  <r>
    <s v="6002186"/>
    <x v="7"/>
    <s v="1200003523"/>
    <s v="01-0F101-0007720"/>
    <x v="0"/>
    <d v="2026-08-28T00:00:00"/>
    <n v="-7"/>
    <d v="2026-09-04T00:00:00"/>
    <n v="4293.67"/>
    <s v="USD"/>
    <x v="2"/>
    <m/>
    <m/>
    <m/>
    <x v="26"/>
    <n v="4293.67"/>
    <m/>
    <m/>
  </r>
  <r>
    <s v="1000006830"/>
    <x v="8"/>
    <s v="1200003426"/>
    <s v="01-0F101-0007676"/>
    <x v="0"/>
    <d v="2026-07-24T00:00:00"/>
    <n v="28"/>
    <d v="2026-07-31T00:00:00"/>
    <n v="617.85"/>
    <s v="PEN"/>
    <x v="0"/>
    <m/>
    <m/>
    <m/>
    <x v="27"/>
    <n v="184.10309892729441"/>
    <m/>
    <m/>
  </r>
  <r>
    <s v="1000006830"/>
    <x v="8"/>
    <s v="1200003427"/>
    <s v="01-0F101-0007677"/>
    <x v="0"/>
    <d v="2026-07-24T00:00:00"/>
    <n v="28"/>
    <d v="2026-07-31T00:00:00"/>
    <n v="177"/>
    <s v="PEN"/>
    <x v="0"/>
    <m/>
    <m/>
    <m/>
    <x v="27"/>
    <n v="52.741358760429087"/>
    <m/>
    <m/>
  </r>
  <r>
    <s v="1000006830"/>
    <x v="8"/>
    <s v="1200003436"/>
    <s v="01-0F101-0007682"/>
    <x v="0"/>
    <d v="2026-07-24T00:00:00"/>
    <n v="28"/>
    <d v="2026-07-31T00:00:00"/>
    <n v="673.02"/>
    <s v="PEN"/>
    <x v="0"/>
    <m/>
    <m/>
    <m/>
    <x v="27"/>
    <n v="200.54231227651968"/>
    <m/>
    <m/>
  </r>
  <r>
    <s v="1000006830"/>
    <x v="8"/>
    <s v="1200003437"/>
    <s v="01-0F101-0007683"/>
    <x v="0"/>
    <d v="2026-07-24T00:00:00"/>
    <n v="28"/>
    <d v="2026-07-31T00:00:00"/>
    <n v="177"/>
    <s v="PEN"/>
    <x v="0"/>
    <m/>
    <m/>
    <m/>
    <x v="27"/>
    <n v="52.741358760429087"/>
    <m/>
    <m/>
  </r>
  <r>
    <s v="1000006830"/>
    <x v="8"/>
    <s v="1200003448"/>
    <s v="01-0F101-0007690"/>
    <x v="0"/>
    <d v="2026-07-27T00:00:00"/>
    <n v="25"/>
    <d v="2026-08-03T00:00:00"/>
    <n v="47.2"/>
    <s v="PEN"/>
    <x v="0"/>
    <m/>
    <m/>
    <m/>
    <x v="28"/>
    <n v="14.064362336114423"/>
    <m/>
    <m/>
  </r>
  <r>
    <s v="1000006830"/>
    <x v="8"/>
    <s v="1200003449"/>
    <s v="01-0F101-0007691"/>
    <x v="0"/>
    <d v="2026-07-27T00:00:00"/>
    <n v="25"/>
    <d v="2026-08-03T00:00:00"/>
    <n v="266.44"/>
    <s v="PEN"/>
    <x v="0"/>
    <m/>
    <m/>
    <m/>
    <x v="28"/>
    <n v="79.392133492252682"/>
    <m/>
    <m/>
  </r>
  <r>
    <s v="2000001459"/>
    <x v="9"/>
    <s v="1300007198"/>
    <s v="FT-0F002-0000393"/>
    <x v="1"/>
    <d v="2026-07-27T00:00:00"/>
    <n v="32"/>
    <d v="2026-07-27T00:00:00"/>
    <n v="55195"/>
    <s v="USD"/>
    <x v="1"/>
    <d v="2026-09-25T00:00:00"/>
    <n v="-25"/>
    <d v="2026-09-25T00:00:00"/>
    <x v="13"/>
    <n v="55195"/>
    <n v="35"/>
    <s v="0-45"/>
  </r>
  <r>
    <s v="2000001459"/>
    <x v="9"/>
    <s v="1200003474"/>
    <s v="01-0F002-0000407"/>
    <x v="2"/>
    <d v="2026-07-31T00:00:00"/>
    <n v="-32"/>
    <d v="2026-09-29T00:00:00"/>
    <n v="29925"/>
    <s v="USD"/>
    <x v="1"/>
    <d v="2026-09-29T00:00:00"/>
    <n v="-29"/>
    <d v="2026-09-29T00:00:00"/>
    <x v="15"/>
    <n v="29925"/>
    <n v="31"/>
    <s v="0-45"/>
  </r>
  <r>
    <s v="2000001172"/>
    <x v="10"/>
    <s v="1100015731"/>
    <s v="FT-0F002-0000389"/>
    <x v="5"/>
    <d v="2026-07-17T00:00:00"/>
    <n v="42"/>
    <d v="2026-07-17T00:00:00"/>
    <n v="2706.93"/>
    <s v="USD"/>
    <x v="1"/>
    <d v="2026-09-15T00:00:00"/>
    <n v="-45"/>
    <d v="2026-10-15T00:00:00"/>
    <x v="17"/>
    <n v="2706.93"/>
    <n v="45"/>
    <s v="0-45"/>
  </r>
  <r>
    <s v="6002007"/>
    <x v="11"/>
    <s v="1200005141"/>
    <s v="01-0F101-0004638"/>
    <x v="0"/>
    <d v="2025-11-03T00:00:00"/>
    <n v="291"/>
    <d v="2025-11-10T00:00:00"/>
    <n v="1403.26"/>
    <s v="PEN"/>
    <x v="3"/>
    <m/>
    <m/>
    <m/>
    <x v="29"/>
    <n v="418.13468414779499"/>
    <m/>
    <m/>
  </r>
  <r>
    <s v="6002007"/>
    <x v="11"/>
    <s v="1200005142"/>
    <s v="01-0F101-0004639"/>
    <x v="0"/>
    <d v="2025-11-03T00:00:00"/>
    <n v="291"/>
    <d v="2025-11-10T00:00:00"/>
    <n v="141.6"/>
    <s v="PEN"/>
    <x v="3"/>
    <m/>
    <m/>
    <m/>
    <x v="29"/>
    <n v="42.193087008343262"/>
    <m/>
    <m/>
  </r>
  <r>
    <s v="6002007"/>
    <x v="11"/>
    <s v="1200005158"/>
    <s v="01-0F101-0004653"/>
    <x v="0"/>
    <d v="2025-11-06T00:00:00"/>
    <n v="288"/>
    <d v="2025-11-13T00:00:00"/>
    <n v="1193.22"/>
    <s v="PEN"/>
    <x v="3"/>
    <m/>
    <m/>
    <m/>
    <x v="30"/>
    <n v="355.54827175208584"/>
    <m/>
    <m/>
  </r>
  <r>
    <s v="6002007"/>
    <x v="11"/>
    <s v="1200005159"/>
    <s v="01-0F101-0004654"/>
    <x v="0"/>
    <d v="2025-11-06T00:00:00"/>
    <n v="288"/>
    <d v="2025-11-13T00:00:00"/>
    <n v="106.2"/>
    <s v="PEN"/>
    <x v="3"/>
    <m/>
    <m/>
    <m/>
    <x v="30"/>
    <n v="31.644815256257452"/>
    <m/>
    <m/>
  </r>
  <r>
    <s v="6002007"/>
    <x v="11"/>
    <s v="1200001503"/>
    <s v="01-0F101-0006226"/>
    <x v="0"/>
    <d v="2026-05-06T00:00:00"/>
    <n v="107"/>
    <d v="2026-05-13T00:00:00"/>
    <n v="23.6"/>
    <s v="PEN"/>
    <x v="3"/>
    <m/>
    <m/>
    <m/>
    <x v="31"/>
    <n v="7.0321811680572113"/>
    <m/>
    <m/>
  </r>
  <r>
    <s v="6002007"/>
    <x v="11"/>
    <s v="1200001504"/>
    <s v="01-0F101-0006227"/>
    <x v="0"/>
    <d v="2026-05-06T00:00:00"/>
    <n v="107"/>
    <d v="2026-05-13T00:00:00"/>
    <n v="261.49"/>
    <s v="PEN"/>
    <x v="3"/>
    <m/>
    <m/>
    <m/>
    <x v="31"/>
    <n v="77.917163289630523"/>
    <m/>
    <m/>
  </r>
  <r>
    <s v="6002007"/>
    <x v="11"/>
    <s v="1200001509"/>
    <s v="01-0F101-0006232"/>
    <x v="0"/>
    <d v="2026-05-06T00:00:00"/>
    <n v="107"/>
    <d v="2026-05-13T00:00:00"/>
    <n v="387.51"/>
    <s v="PEN"/>
    <x v="3"/>
    <m/>
    <m/>
    <m/>
    <x v="31"/>
    <n v="115.46781883194279"/>
    <m/>
    <m/>
  </r>
  <r>
    <s v="6002007"/>
    <x v="11"/>
    <s v="1200001510"/>
    <s v="01-0F101-0006233"/>
    <x v="0"/>
    <d v="2026-05-06T00:00:00"/>
    <n v="107"/>
    <d v="2026-05-13T00:00:00"/>
    <n v="35.4"/>
    <s v="PEN"/>
    <x v="3"/>
    <m/>
    <m/>
    <m/>
    <x v="31"/>
    <n v="10.548271752085816"/>
    <m/>
    <m/>
  </r>
  <r>
    <s v="6002007"/>
    <x v="11"/>
    <s v="1200001609"/>
    <s v="01-0F101-0006311"/>
    <x v="0"/>
    <d v="2026-05-12T00:00:00"/>
    <n v="101"/>
    <d v="2026-05-19T00:00:00"/>
    <n v="482.86"/>
    <s v="PEN"/>
    <x v="3"/>
    <m/>
    <m/>
    <m/>
    <x v="32"/>
    <n v="143.87961859356378"/>
    <m/>
    <m/>
  </r>
  <r>
    <s v="6002007"/>
    <x v="11"/>
    <s v="1200001610"/>
    <s v="01-0F101-0006312"/>
    <x v="0"/>
    <d v="2026-05-12T00:00:00"/>
    <n v="101"/>
    <d v="2026-05-19T00:00:00"/>
    <n v="47.2"/>
    <s v="PEN"/>
    <x v="3"/>
    <m/>
    <m/>
    <m/>
    <x v="32"/>
    <n v="14.064362336114423"/>
    <m/>
    <m/>
  </r>
  <r>
    <s v="6002007"/>
    <x v="11"/>
    <s v="1200001789"/>
    <s v="01-0F101-0006447"/>
    <x v="0"/>
    <d v="2026-05-16T00:00:00"/>
    <n v="97"/>
    <d v="2026-05-23T00:00:00"/>
    <n v="544.45000000000005"/>
    <s v="PEN"/>
    <x v="3"/>
    <m/>
    <m/>
    <m/>
    <x v="33"/>
    <n v="162.23182359952327"/>
    <m/>
    <m/>
  </r>
  <r>
    <s v="6002007"/>
    <x v="11"/>
    <s v="1200001790"/>
    <s v="01-0F101-0006448"/>
    <x v="0"/>
    <d v="2026-05-16T00:00:00"/>
    <n v="97"/>
    <d v="2026-05-23T00:00:00"/>
    <n v="47.2"/>
    <s v="PEN"/>
    <x v="3"/>
    <m/>
    <m/>
    <m/>
    <x v="33"/>
    <n v="14.064362336114423"/>
    <m/>
    <m/>
  </r>
  <r>
    <s v="6002007"/>
    <x v="11"/>
    <s v="1200002045"/>
    <s v="01-0F101-0006626"/>
    <x v="0"/>
    <d v="2026-05-27T00:00:00"/>
    <n v="86"/>
    <d v="2026-06-03T00:00:00"/>
    <n v="591.65"/>
    <s v="PEN"/>
    <x v="3"/>
    <m/>
    <m/>
    <m/>
    <x v="34"/>
    <n v="176.29618593563765"/>
    <m/>
    <m/>
  </r>
  <r>
    <s v="6002007"/>
    <x v="11"/>
    <s v="1200002046"/>
    <s v="01-0F101-0006627"/>
    <x v="0"/>
    <d v="2026-05-27T00:00:00"/>
    <n v="86"/>
    <d v="2026-06-03T00:00:00"/>
    <n v="70.8"/>
    <s v="PEN"/>
    <x v="3"/>
    <m/>
    <m/>
    <m/>
    <x v="34"/>
    <n v="21.096543504171631"/>
    <m/>
    <m/>
  </r>
  <r>
    <s v="6002007"/>
    <x v="11"/>
    <s v="1200002186"/>
    <s v="01-0F101-0006716"/>
    <x v="0"/>
    <d v="2026-06-02T00:00:00"/>
    <n v="80"/>
    <d v="2026-06-09T00:00:00"/>
    <n v="185.97"/>
    <s v="PEN"/>
    <x v="3"/>
    <m/>
    <m/>
    <m/>
    <x v="35"/>
    <n v="55.414183551847437"/>
    <m/>
    <m/>
  </r>
  <r>
    <s v="6002007"/>
    <x v="11"/>
    <s v="1200002187"/>
    <s v="01-0F101-0006717"/>
    <x v="0"/>
    <d v="2026-06-02T00:00:00"/>
    <n v="80"/>
    <d v="2026-06-09T00:00:00"/>
    <n v="23.6"/>
    <s v="PEN"/>
    <x v="3"/>
    <m/>
    <m/>
    <m/>
    <x v="35"/>
    <n v="7.0321811680572113"/>
    <m/>
    <m/>
  </r>
  <r>
    <s v="6002007"/>
    <x v="11"/>
    <s v="1200002487"/>
    <s v="01-0F101-0006948"/>
    <x v="0"/>
    <d v="2026-06-13T00:00:00"/>
    <n v="69"/>
    <d v="2026-06-20T00:00:00"/>
    <n v="535.25"/>
    <s v="PEN"/>
    <x v="3"/>
    <m/>
    <m/>
    <m/>
    <x v="36"/>
    <n v="159.49046483909416"/>
    <m/>
    <m/>
  </r>
  <r>
    <s v="6002007"/>
    <x v="11"/>
    <s v="1200002488"/>
    <s v="01-0F101-0006949"/>
    <x v="0"/>
    <d v="2026-06-13T00:00:00"/>
    <n v="69"/>
    <d v="2026-06-20T00:00:00"/>
    <n v="70.8"/>
    <s v="PEN"/>
    <x v="3"/>
    <m/>
    <m/>
    <m/>
    <x v="36"/>
    <n v="21.096543504171631"/>
    <m/>
    <m/>
  </r>
  <r>
    <s v="6002007"/>
    <x v="11"/>
    <s v="1200002956"/>
    <s v="01-0F101-0007286"/>
    <x v="0"/>
    <d v="2026-07-03T00:00:00"/>
    <n v="49"/>
    <d v="2026-07-10T00:00:00"/>
    <n v="449.11"/>
    <s v="PEN"/>
    <x v="3"/>
    <m/>
    <m/>
    <m/>
    <x v="37"/>
    <n v="133.82300357568536"/>
    <m/>
    <m/>
  </r>
  <r>
    <s v="6002007"/>
    <x v="11"/>
    <s v="1200002957"/>
    <s v="01-0F101-0007287"/>
    <x v="0"/>
    <d v="2026-07-03T00:00:00"/>
    <n v="49"/>
    <d v="2026-07-10T00:00:00"/>
    <n v="35.4"/>
    <s v="PEN"/>
    <x v="3"/>
    <m/>
    <m/>
    <m/>
    <x v="37"/>
    <n v="10.548271752085816"/>
    <m/>
    <m/>
  </r>
  <r>
    <s v="6002007"/>
    <x v="11"/>
    <s v="1200003319"/>
    <s v="01-0F101-0007590"/>
    <x v="0"/>
    <d v="2026-07-17T00:00:00"/>
    <n v="35"/>
    <d v="2026-07-24T00:00:00"/>
    <n v="355.65"/>
    <s v="PEN"/>
    <x v="3"/>
    <m/>
    <m/>
    <m/>
    <x v="38"/>
    <n v="105.97437425506556"/>
    <m/>
    <m/>
  </r>
  <r>
    <s v="6002007"/>
    <x v="11"/>
    <s v="1200003320"/>
    <s v="01-0F101-0007591"/>
    <x v="0"/>
    <d v="2026-07-17T00:00:00"/>
    <n v="35"/>
    <d v="2026-07-24T00:00:00"/>
    <n v="47.2"/>
    <s v="PEN"/>
    <x v="3"/>
    <m/>
    <m/>
    <m/>
    <x v="38"/>
    <n v="14.064362336114423"/>
    <m/>
    <m/>
  </r>
  <r>
    <s v="6001105"/>
    <x v="12"/>
    <s v="1200001301"/>
    <s v="01-0F101-0006074"/>
    <x v="0"/>
    <d v="2026-04-28T00:00:00"/>
    <n v="122"/>
    <d v="2026-04-28T00:00:00"/>
    <n v="716.71"/>
    <s v="PEN"/>
    <x v="0"/>
    <m/>
    <m/>
    <m/>
    <x v="39"/>
    <n v="213.56078665077476"/>
    <m/>
    <m/>
  </r>
  <r>
    <s v="6001105"/>
    <x v="12"/>
    <s v="1200001302"/>
    <s v="01-0F101-0006075"/>
    <x v="0"/>
    <d v="2026-04-28T00:00:00"/>
    <n v="122"/>
    <d v="2026-04-28T00:00:00"/>
    <n v="129.80000000000001"/>
    <s v="PEN"/>
    <x v="0"/>
    <m/>
    <m/>
    <m/>
    <x v="39"/>
    <n v="38.676996424314666"/>
    <m/>
    <m/>
  </r>
  <r>
    <s v="6001105"/>
    <x v="12"/>
    <s v="1300004037"/>
    <s v="FT-0F101-0006072"/>
    <x v="1"/>
    <d v="2026-04-28T00:00:00"/>
    <n v="122"/>
    <d v="2026-04-28T00:00:00"/>
    <n v="422.56"/>
    <s v="PEN"/>
    <x v="0"/>
    <m/>
    <m/>
    <m/>
    <x v="39"/>
    <n v="125.91179976162098"/>
    <m/>
    <m/>
  </r>
  <r>
    <s v="6001105"/>
    <x v="12"/>
    <s v="1200001648"/>
    <s v="01-0F101-0006336"/>
    <x v="0"/>
    <d v="2026-05-12T00:00:00"/>
    <n v="108"/>
    <d v="2026-05-12T00:00:00"/>
    <n v="404.98"/>
    <s v="PEN"/>
    <x v="0"/>
    <m/>
    <m/>
    <m/>
    <x v="40"/>
    <n v="120.67342073897498"/>
    <m/>
    <m/>
  </r>
  <r>
    <s v="6001105"/>
    <x v="12"/>
    <s v="1200001649"/>
    <s v="01-0F101-0006337"/>
    <x v="0"/>
    <d v="2026-05-12T00:00:00"/>
    <n v="108"/>
    <d v="2026-05-12T00:00:00"/>
    <n v="59"/>
    <s v="PEN"/>
    <x v="0"/>
    <m/>
    <m/>
    <m/>
    <x v="40"/>
    <n v="17.580452920143028"/>
    <m/>
    <m/>
  </r>
  <r>
    <s v="6001105"/>
    <x v="12"/>
    <s v="1300007099"/>
    <s v="FT-0F101-0007507"/>
    <x v="1"/>
    <d v="2026-07-15T00:00:00"/>
    <n v="44"/>
    <d v="2026-07-15T00:00:00"/>
    <n v="23.6"/>
    <s v="PEN"/>
    <x v="0"/>
    <m/>
    <m/>
    <m/>
    <x v="41"/>
    <n v="7.0321811680572113"/>
    <m/>
    <m/>
  </r>
  <r>
    <s v="2000001359"/>
    <x v="13"/>
    <s v="1300005285"/>
    <s v="FT-0F002-0000309"/>
    <x v="1"/>
    <d v="2026-04-27T00:00:00"/>
    <n v="123"/>
    <d v="2026-04-27T00:00:00"/>
    <n v="10284"/>
    <s v="USD"/>
    <x v="1"/>
    <d v="2026-06-26T00:00:00"/>
    <n v="-45"/>
    <d v="2026-10-15T00:00:00"/>
    <x v="17"/>
    <n v="10284"/>
    <n v="126"/>
    <s v="91-A MÁS"/>
  </r>
  <r>
    <s v="2000001468"/>
    <x v="14"/>
    <s v="1300007199"/>
    <s v="FT-0F002-0000387"/>
    <x v="1"/>
    <d v="2026-07-13T00:00:00"/>
    <n v="46"/>
    <d v="2026-07-13T00:00:00"/>
    <n v="54612"/>
    <s v="USD"/>
    <x v="1"/>
    <d v="2026-09-11T00:00:00"/>
    <n v="-11"/>
    <d v="2026-09-11T00:00:00"/>
    <x v="42"/>
    <n v="54612"/>
    <n v="49"/>
    <s v="46-60"/>
  </r>
  <r>
    <s v="1000013925"/>
    <x v="15"/>
    <s v="1300006898"/>
    <s v="FT-0F003-0000101"/>
    <x v="1"/>
    <d v="2025-10-21T00:00:00"/>
    <n v="311"/>
    <d v="2025-10-21T00:00:00"/>
    <n v="4460"/>
    <s v="PEN"/>
    <x v="4"/>
    <m/>
    <m/>
    <m/>
    <x v="43"/>
    <n v="1328.96305125149"/>
    <m/>
    <m/>
  </r>
  <r>
    <s v="1000013925"/>
    <x v="15"/>
    <s v="1200005124"/>
    <s v="01-0F003-0000129"/>
    <x v="0"/>
    <d v="2025-11-04T00:00:00"/>
    <n v="290"/>
    <d v="2025-11-11T00:00:00"/>
    <n v="7097.98"/>
    <s v="PEN"/>
    <x v="4"/>
    <m/>
    <m/>
    <m/>
    <x v="44"/>
    <n v="2115.0119189511324"/>
    <m/>
    <m/>
  </r>
  <r>
    <s v="1000013925"/>
    <x v="15"/>
    <s v="1200000182"/>
    <s v="01-0F003-0000168"/>
    <x v="0"/>
    <d v="2026-01-31T00:00:00"/>
    <n v="202"/>
    <d v="2026-02-07T00:00:00"/>
    <n v="4003.46"/>
    <s v="PEN"/>
    <x v="4"/>
    <m/>
    <m/>
    <m/>
    <x v="45"/>
    <n v="1192.9261025029798"/>
    <m/>
    <m/>
  </r>
  <r>
    <s v="1000013925"/>
    <x v="15"/>
    <s v="1200000382"/>
    <s v="01-0F003-0000174"/>
    <x v="0"/>
    <d v="2026-03-03T00:00:00"/>
    <n v="171"/>
    <d v="2026-03-10T00:00:00"/>
    <n v="4956"/>
    <s v="PEN"/>
    <x v="4"/>
    <m/>
    <m/>
    <m/>
    <x v="46"/>
    <n v="1476.7580452920145"/>
    <m/>
    <m/>
  </r>
  <r>
    <s v="6000434"/>
    <x v="16"/>
    <s v="1200004540"/>
    <s v="01-0F003-0000083"/>
    <x v="0"/>
    <d v="2025-10-07T00:00:00"/>
    <n v="318"/>
    <d v="2025-10-14T00:00:00"/>
    <n v="790"/>
    <s v="PEN"/>
    <x v="5"/>
    <m/>
    <m/>
    <m/>
    <x v="47"/>
    <n v="235.39928486293206"/>
    <m/>
    <m/>
  </r>
  <r>
    <s v="2000001382"/>
    <x v="17"/>
    <s v="1300007200"/>
    <s v="FT-0F002-0000394"/>
    <x v="1"/>
    <d v="2026-07-27T00:00:00"/>
    <n v="32"/>
    <d v="2026-07-27T00:00:00"/>
    <n v="64640"/>
    <s v="USD"/>
    <x v="1"/>
    <d v="2026-09-25T00:00:00"/>
    <n v="-25"/>
    <d v="2026-09-25T00:00:00"/>
    <x v="13"/>
    <n v="64640"/>
    <n v="35"/>
    <s v="0-45"/>
  </r>
  <r>
    <s v="2000001382"/>
    <x v="17"/>
    <s v="1300007201"/>
    <s v="FT-0F002-0000404"/>
    <x v="1"/>
    <d v="2026-07-29T00:00:00"/>
    <n v="30"/>
    <d v="2026-07-29T00:00:00"/>
    <n v="64850"/>
    <s v="USD"/>
    <x v="1"/>
    <d v="2026-09-27T00:00:00"/>
    <n v="-27"/>
    <d v="2026-09-27T00:00:00"/>
    <x v="14"/>
    <n v="64850"/>
    <n v="33"/>
    <s v="0-45"/>
  </r>
  <r>
    <s v="1000015392"/>
    <x v="18"/>
    <s v="1200002881"/>
    <s v="01-0F003-0000192"/>
    <x v="0"/>
    <d v="2026-06-30T00:00:00"/>
    <n v="52"/>
    <d v="2026-07-07T00:00:00"/>
    <n v="590"/>
    <s v="PEN"/>
    <x v="6"/>
    <m/>
    <m/>
    <m/>
    <x v="48"/>
    <n v="175.80452920143028"/>
    <m/>
    <m/>
  </r>
  <r>
    <s v="2000001440"/>
    <x v="19"/>
    <s v="1300007151"/>
    <s v="FP-266"/>
    <x v="3"/>
    <d v="2026-07-21T00:00:00"/>
    <n v="0"/>
    <d v="2026-07-31T00:00:00"/>
    <n v="-9650"/>
    <s v="USD"/>
    <x v="1"/>
    <d v="2026-09-19T00:00:00"/>
    <m/>
    <m/>
    <x v="49"/>
    <n v="-9650"/>
    <n v="41"/>
    <s v="0-45"/>
  </r>
  <r>
    <s v="2000001440"/>
    <x v="19"/>
    <s v="1200003507"/>
    <s v="01-0F002-0000414"/>
    <x v="2"/>
    <d v="2026-08-15T00:00:00"/>
    <n v="-47"/>
    <d v="2026-10-14T00:00:00"/>
    <n v="48600"/>
    <s v="USD"/>
    <x v="1"/>
    <d v="2026-10-14T00:00:00"/>
    <m/>
    <m/>
    <x v="16"/>
    <n v="48600"/>
    <n v="16"/>
    <s v="0-45"/>
  </r>
  <r>
    <s v="1000013801"/>
    <x v="20"/>
    <s v="1300007121"/>
    <s v="FT-0F101-0007611"/>
    <x v="1"/>
    <d v="2026-07-18T00:00:00"/>
    <n v="41"/>
    <d v="2026-07-18T00:00:00"/>
    <n v="203.67"/>
    <s v="PEN"/>
    <x v="0"/>
    <m/>
    <m/>
    <m/>
    <x v="50"/>
    <n v="60.68831942789034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497435-8572-4E62-8238-02CBF2703479}" name="TablaDinámica2" cacheId="4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M17" firstHeaderRow="1" firstDataRow="2" firstDataCol="1" rowPageCount="2" colPageCount="1"/>
  <pivotFields count="21">
    <pivotField showAll="0"/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m="1" x="21"/>
        <item t="default"/>
      </items>
    </pivotField>
    <pivotField showAll="0"/>
    <pivotField showAll="0"/>
    <pivotField axis="axisPage" showAll="0">
      <items count="7">
        <item x="4"/>
        <item x="2"/>
        <item x="0"/>
        <item x="3"/>
        <item x="5"/>
        <item x="1"/>
        <item t="default"/>
      </items>
    </pivotField>
    <pivotField numFmtId="14" showAll="0"/>
    <pivotField numFmtId="3" showAll="0"/>
    <pivotField numFmtId="14" showAll="0"/>
    <pivotField numFmtId="4" showAll="0"/>
    <pivotField showAll="0"/>
    <pivotField axis="axisPage" multipleItemSelectionAllowed="1" showAll="0">
      <items count="8">
        <item h="1" x="2"/>
        <item h="1" x="4"/>
        <item x="1"/>
        <item h="1" x="6"/>
        <item h="1" x="0"/>
        <item h="1" x="5"/>
        <item h="1" x="3"/>
        <item t="default"/>
      </items>
    </pivotField>
    <pivotField showAll="0"/>
    <pivotField showAll="0"/>
    <pivotField showAll="0"/>
    <pivotField axis="axisCol" numFmtId="14" showAll="0">
      <items count="52">
        <item x="47"/>
        <item x="43"/>
        <item x="29"/>
        <item x="44"/>
        <item x="30"/>
        <item x="1"/>
        <item x="2"/>
        <item x="3"/>
        <item x="4"/>
        <item x="5"/>
        <item x="6"/>
        <item x="7"/>
        <item x="8"/>
        <item x="9"/>
        <item x="10"/>
        <item x="45"/>
        <item x="46"/>
        <item x="39"/>
        <item x="40"/>
        <item x="31"/>
        <item x="32"/>
        <item x="33"/>
        <item x="34"/>
        <item x="35"/>
        <item x="36"/>
        <item x="48"/>
        <item x="37"/>
        <item x="41"/>
        <item x="50"/>
        <item x="38"/>
        <item x="27"/>
        <item x="28"/>
        <item x="0"/>
        <item x="25"/>
        <item x="18"/>
        <item x="19"/>
        <item x="20"/>
        <item x="21"/>
        <item x="22"/>
        <item x="26"/>
        <item x="49"/>
        <item x="23"/>
        <item x="24"/>
        <item x="11"/>
        <item x="42"/>
        <item x="12"/>
        <item x="13"/>
        <item x="14"/>
        <item x="15"/>
        <item x="16"/>
        <item x="17"/>
        <item t="default"/>
      </items>
    </pivotField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5">
        <item sd="0" x="0"/>
        <item sd="0" x="1"/>
        <item sd="0" x="2"/>
        <item x="3"/>
        <item t="default"/>
      </items>
    </pivotField>
  </pivotFields>
  <rowFields count="1">
    <field x="1"/>
  </rowFields>
  <rowItems count="11">
    <i>
      <x v="2"/>
    </i>
    <i>
      <x v="4"/>
    </i>
    <i>
      <x v="5"/>
    </i>
    <i>
      <x v="6"/>
    </i>
    <i>
      <x v="9"/>
    </i>
    <i>
      <x v="10"/>
    </i>
    <i>
      <x v="13"/>
    </i>
    <i>
      <x v="14"/>
    </i>
    <i>
      <x v="17"/>
    </i>
    <i>
      <x v="19"/>
    </i>
    <i t="grand">
      <x/>
    </i>
  </rowItems>
  <colFields count="1">
    <field x="14"/>
  </colFields>
  <colItems count="12"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colItems>
  <pageFields count="2">
    <pageField fld="4" hier="-1"/>
    <pageField fld="10" hier="-1"/>
  </pageFields>
  <dataFields count="1">
    <dataField name="Suma de USD HOMOL" fld="15" baseField="0" baseItem="0" numFmtId="164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CEC185-AEB6-4C95-A0D1-0AB840C97924}" name="TablaDinámica4" cacheId="4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B40" firstHeaderRow="1" firstDataRow="1" firstDataCol="1" rowPageCount="3" colPageCount="1"/>
  <pivotFields count="18">
    <pivotField showAll="0"/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axis="axisRow" showAll="0">
      <items count="98">
        <item x="19"/>
        <item x="20"/>
        <item x="21"/>
        <item x="46"/>
        <item m="1" x="92"/>
        <item m="1" x="93"/>
        <item m="1" x="94"/>
        <item m="1" x="95"/>
        <item m="1" x="96"/>
        <item x="87"/>
        <item x="27"/>
        <item x="89"/>
        <item x="90"/>
        <item x="91"/>
        <item x="82"/>
        <item x="79"/>
        <item x="80"/>
        <item x="81"/>
        <item x="85"/>
        <item x="48"/>
        <item x="49"/>
        <item x="50"/>
        <item x="51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70"/>
        <item x="71"/>
        <item x="52"/>
        <item x="53"/>
        <item x="54"/>
        <item x="55"/>
        <item x="56"/>
        <item x="57"/>
        <item x="73"/>
        <item x="74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39"/>
        <item x="40"/>
        <item x="41"/>
        <item x="42"/>
        <item x="43"/>
        <item x="44"/>
        <item x="0"/>
        <item x="36"/>
        <item x="28"/>
        <item x="30"/>
        <item x="29"/>
        <item x="31"/>
        <item x="32"/>
        <item x="38"/>
        <item x="37"/>
        <item x="86"/>
        <item x="33"/>
        <item x="35"/>
        <item x="76"/>
        <item x="34"/>
        <item x="18"/>
        <item x="77"/>
        <item x="47"/>
        <item x="45"/>
        <item x="83"/>
        <item x="84"/>
        <item x="78"/>
        <item x="72"/>
        <item x="75"/>
        <item x="88"/>
        <item x="22"/>
        <item x="23"/>
        <item x="24"/>
        <item x="25"/>
        <item x="26"/>
        <item t="default"/>
      </items>
    </pivotField>
    <pivotField axis="axisPage" multipleItemSelectionAllowed="1" showAll="0">
      <items count="7">
        <item h="1" x="4"/>
        <item x="2"/>
        <item h="1" x="0"/>
        <item x="3"/>
        <item h="1" x="5"/>
        <item x="1"/>
        <item t="default"/>
      </items>
    </pivotField>
    <pivotField axis="axisPage" numFmtId="14" showAll="0">
      <items count="49">
        <item x="44"/>
        <item x="40"/>
        <item x="28"/>
        <item x="41"/>
        <item x="29"/>
        <item x="1"/>
        <item x="2"/>
        <item x="3"/>
        <item x="4"/>
        <item x="5"/>
        <item x="6"/>
        <item x="7"/>
        <item x="8"/>
        <item x="9"/>
        <item x="10"/>
        <item x="42"/>
        <item x="43"/>
        <item x="23"/>
        <item x="37"/>
        <item x="30"/>
        <item x="31"/>
        <item x="32"/>
        <item x="33"/>
        <item x="34"/>
        <item x="35"/>
        <item x="11"/>
        <item x="36"/>
        <item x="39"/>
        <item x="38"/>
        <item x="27"/>
        <item x="46"/>
        <item x="45"/>
        <item x="26"/>
        <item x="12"/>
        <item x="13"/>
        <item x="14"/>
        <item x="15"/>
        <item x="0"/>
        <item x="24"/>
        <item x="22"/>
        <item x="16"/>
        <item x="17"/>
        <item x="18"/>
        <item x="19"/>
        <item x="47"/>
        <item x="20"/>
        <item x="21"/>
        <item x="25"/>
        <item t="default"/>
      </items>
    </pivotField>
    <pivotField numFmtId="3" showAll="0"/>
    <pivotField numFmtId="14" showAll="0"/>
    <pivotField numFmtId="4" showAll="0"/>
    <pivotField showAll="0"/>
    <pivotField axis="axisPage" multipleItemSelectionAllowed="1" showAll="0">
      <items count="8">
        <item h="1" x="2"/>
        <item h="1" x="4"/>
        <item x="1"/>
        <item h="1" x="6"/>
        <item h="1" x="0"/>
        <item h="1" x="5"/>
        <item h="1" x="3"/>
        <item t="default"/>
      </items>
    </pivotField>
    <pivotField showAll="0"/>
    <pivotField showAll="0"/>
    <pivotField showAll="0"/>
    <pivotField numFmtId="14" showAll="0"/>
    <pivotField dataField="1" showAll="0"/>
    <pivotField showAll="0"/>
    <pivotField showAll="0"/>
  </pivotFields>
  <rowFields count="2">
    <field x="1"/>
    <field x="3"/>
  </rowFields>
  <rowItems count="35">
    <i>
      <x v="2"/>
    </i>
    <i r="1">
      <x/>
    </i>
    <i r="1">
      <x v="1"/>
    </i>
    <i r="1">
      <x v="2"/>
    </i>
    <i r="1">
      <x v="10"/>
    </i>
    <i r="1">
      <x v="82"/>
    </i>
    <i r="1">
      <x v="92"/>
    </i>
    <i r="1">
      <x v="93"/>
    </i>
    <i r="1">
      <x v="94"/>
    </i>
    <i r="1">
      <x v="95"/>
    </i>
    <i r="1">
      <x v="96"/>
    </i>
    <i>
      <x v="4"/>
    </i>
    <i r="1">
      <x v="78"/>
    </i>
    <i>
      <x v="5"/>
    </i>
    <i r="1">
      <x v="81"/>
    </i>
    <i>
      <x v="6"/>
    </i>
    <i r="1">
      <x v="79"/>
    </i>
    <i>
      <x v="9"/>
    </i>
    <i r="1">
      <x v="3"/>
    </i>
    <i r="1">
      <x v="85"/>
    </i>
    <i>
      <x v="13"/>
    </i>
    <i r="1">
      <x v="80"/>
    </i>
    <i>
      <x v="14"/>
    </i>
    <i r="1">
      <x v="83"/>
    </i>
    <i>
      <x v="17"/>
    </i>
    <i r="1">
      <x v="86"/>
    </i>
    <i r="1">
      <x v="87"/>
    </i>
    <i>
      <x v="19"/>
    </i>
    <i r="1">
      <x v="9"/>
    </i>
    <i r="1">
      <x v="77"/>
    </i>
    <i>
      <x v="21"/>
    </i>
    <i r="1">
      <x v="11"/>
    </i>
    <i r="1">
      <x v="12"/>
    </i>
    <i r="1">
      <x v="13"/>
    </i>
    <i t="grand">
      <x/>
    </i>
  </rowItems>
  <colItems count="1">
    <i/>
  </colItems>
  <pageFields count="3">
    <pageField fld="5" hier="-1"/>
    <pageField fld="10" hier="-1"/>
    <pageField fld="4" hier="-1"/>
  </pageFields>
  <dataFields count="1">
    <dataField name="Suma de USD HOMOL" fld="15" baseField="0" baseItem="0" numFmtId="43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8D9B5C-A0C7-41C5-996B-729AB5076CB9}" name="TablaDinámica6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D35" firstHeaderRow="0" firstDataRow="1" firstDataCol="1" rowPageCount="3" colPageCount="1"/>
  <pivotFields count="18">
    <pivotField showAll="0"/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axis="axisRow" showAll="0">
      <items count="98">
        <item x="19"/>
        <item x="20"/>
        <item x="21"/>
        <item x="46"/>
        <item m="1" x="92"/>
        <item m="1" x="93"/>
        <item m="1" x="94"/>
        <item m="1" x="95"/>
        <item m="1" x="96"/>
        <item x="87"/>
        <item x="27"/>
        <item x="89"/>
        <item x="90"/>
        <item x="91"/>
        <item x="82"/>
        <item x="79"/>
        <item x="80"/>
        <item x="81"/>
        <item x="85"/>
        <item x="48"/>
        <item x="49"/>
        <item x="50"/>
        <item x="51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70"/>
        <item x="71"/>
        <item x="52"/>
        <item x="53"/>
        <item x="54"/>
        <item x="55"/>
        <item x="56"/>
        <item x="57"/>
        <item x="73"/>
        <item x="74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39"/>
        <item x="40"/>
        <item x="41"/>
        <item x="42"/>
        <item x="43"/>
        <item x="44"/>
        <item x="0"/>
        <item x="36"/>
        <item x="28"/>
        <item x="30"/>
        <item x="29"/>
        <item x="31"/>
        <item x="32"/>
        <item x="38"/>
        <item x="37"/>
        <item x="86"/>
        <item x="33"/>
        <item x="35"/>
        <item x="76"/>
        <item x="34"/>
        <item x="18"/>
        <item x="77"/>
        <item x="47"/>
        <item x="45"/>
        <item x="83"/>
        <item x="84"/>
        <item x="78"/>
        <item x="72"/>
        <item x="75"/>
        <item x="88"/>
        <item x="22"/>
        <item x="23"/>
        <item x="24"/>
        <item x="25"/>
        <item x="26"/>
        <item t="default"/>
      </items>
    </pivotField>
    <pivotField axis="axisPage" showAll="0">
      <items count="7">
        <item x="4"/>
        <item x="2"/>
        <item x="0"/>
        <item x="3"/>
        <item x="5"/>
        <item x="1"/>
        <item t="default"/>
      </items>
    </pivotField>
    <pivotField numFmtId="14" showAll="0"/>
    <pivotField numFmtId="3" showAll="0"/>
    <pivotField numFmtId="14" showAll="0"/>
    <pivotField numFmtId="4" showAll="0"/>
    <pivotField showAll="0"/>
    <pivotField axis="axisPage" multipleItemSelectionAllowed="1" showAll="0">
      <items count="8">
        <item h="1" x="2"/>
        <item h="1" x="4"/>
        <item x="1"/>
        <item h="1" x="6"/>
        <item h="1" x="0"/>
        <item h="1" x="5"/>
        <item h="1" x="3"/>
        <item t="default"/>
      </items>
    </pivotField>
    <pivotField showAll="0"/>
    <pivotField dataField="1" showAll="0"/>
    <pivotField showAll="0"/>
    <pivotField numFmtId="14" showAll="0"/>
    <pivotField dataField="1" showAll="0"/>
    <pivotField dataField="1" showAll="0"/>
    <pivotField axis="axisPage" multipleItemSelectionAllowed="1" showAll="0">
      <items count="6">
        <item x="2"/>
        <item h="1" x="4"/>
        <item h="1" x="1"/>
        <item h="1" x="3"/>
        <item h="1" x="0"/>
        <item t="default"/>
      </items>
    </pivotField>
  </pivotFields>
  <rowFields count="2">
    <field x="1"/>
    <field x="3"/>
  </rowFields>
  <rowItems count="30">
    <i>
      <x v="2"/>
    </i>
    <i r="1">
      <x/>
    </i>
    <i r="1">
      <x v="1"/>
    </i>
    <i r="1">
      <x v="2"/>
    </i>
    <i r="1">
      <x v="10"/>
    </i>
    <i r="1">
      <x v="92"/>
    </i>
    <i r="1">
      <x v="93"/>
    </i>
    <i r="1">
      <x v="94"/>
    </i>
    <i r="1">
      <x v="95"/>
    </i>
    <i r="1">
      <x v="96"/>
    </i>
    <i>
      <x v="4"/>
    </i>
    <i r="1">
      <x v="78"/>
    </i>
    <i>
      <x v="6"/>
    </i>
    <i r="1">
      <x v="79"/>
    </i>
    <i>
      <x v="9"/>
    </i>
    <i r="1">
      <x v="3"/>
    </i>
    <i r="1">
      <x v="85"/>
    </i>
    <i>
      <x v="10"/>
    </i>
    <i r="1">
      <x v="84"/>
    </i>
    <i>
      <x v="17"/>
    </i>
    <i r="1">
      <x v="86"/>
    </i>
    <i r="1">
      <x v="87"/>
    </i>
    <i>
      <x v="19"/>
    </i>
    <i r="1">
      <x v="9"/>
    </i>
    <i r="1">
      <x v="77"/>
    </i>
    <i>
      <x v="21"/>
    </i>
    <i r="1">
      <x v="11"/>
    </i>
    <i r="1">
      <x v="12"/>
    </i>
    <i r="1">
      <x v="1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4" hier="-1"/>
    <pageField fld="17" hier="-1"/>
    <pageField fld="10" hier="-1"/>
  </pageFields>
  <dataFields count="3">
    <dataField name="Cuenta de DÍAS VENCIDOS" fld="12" subtotal="count" baseField="1" baseItem="0"/>
    <dataField name="Suma de DÍAS ATRASADOS" fld="16" baseField="0" baseItem="0"/>
    <dataField name="Suma de USD HOMOL" fld="15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A59FE9-D82A-4C79-9268-03D4B85AB9BF}" name="TablaDinámica10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32:I37" firstHeaderRow="0" firstDataRow="1" firstDataCol="1" rowPageCount="3" colPageCount="1"/>
  <pivotFields count="18">
    <pivotField showAll="0"/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axis="axisRow" showAll="0">
      <items count="98">
        <item x="19"/>
        <item x="20"/>
        <item x="21"/>
        <item x="46"/>
        <item m="1" x="92"/>
        <item m="1" x="93"/>
        <item m="1" x="94"/>
        <item m="1" x="95"/>
        <item m="1" x="96"/>
        <item x="87"/>
        <item x="27"/>
        <item x="89"/>
        <item x="90"/>
        <item x="91"/>
        <item x="82"/>
        <item x="79"/>
        <item x="80"/>
        <item x="81"/>
        <item x="85"/>
        <item x="48"/>
        <item x="49"/>
        <item x="50"/>
        <item x="51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70"/>
        <item x="71"/>
        <item x="52"/>
        <item x="53"/>
        <item x="54"/>
        <item x="55"/>
        <item x="56"/>
        <item x="57"/>
        <item x="73"/>
        <item x="74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39"/>
        <item x="40"/>
        <item x="41"/>
        <item x="42"/>
        <item x="43"/>
        <item x="44"/>
        <item x="0"/>
        <item x="36"/>
        <item x="28"/>
        <item x="30"/>
        <item x="29"/>
        <item x="31"/>
        <item x="32"/>
        <item x="38"/>
        <item x="37"/>
        <item x="86"/>
        <item x="33"/>
        <item x="35"/>
        <item x="76"/>
        <item x="34"/>
        <item x="18"/>
        <item x="77"/>
        <item x="47"/>
        <item x="45"/>
        <item x="83"/>
        <item x="84"/>
        <item x="78"/>
        <item x="72"/>
        <item x="75"/>
        <item x="88"/>
        <item x="22"/>
        <item x="23"/>
        <item x="24"/>
        <item x="25"/>
        <item x="26"/>
        <item t="default"/>
      </items>
    </pivotField>
    <pivotField axis="axisPage" showAll="0">
      <items count="7">
        <item x="4"/>
        <item x="2"/>
        <item x="0"/>
        <item x="3"/>
        <item x="5"/>
        <item x="1"/>
        <item t="default"/>
      </items>
    </pivotField>
    <pivotField numFmtId="14" showAll="0"/>
    <pivotField numFmtId="3" showAll="0"/>
    <pivotField numFmtId="14" showAll="0"/>
    <pivotField numFmtId="4" showAll="0"/>
    <pivotField showAll="0"/>
    <pivotField axis="axisPage" multipleItemSelectionAllowed="1" showAll="0">
      <items count="8">
        <item h="1" x="2"/>
        <item h="1" x="4"/>
        <item x="1"/>
        <item h="1" x="6"/>
        <item h="1" x="0"/>
        <item h="1" x="5"/>
        <item h="1" x="3"/>
        <item t="default"/>
      </items>
    </pivotField>
    <pivotField showAll="0"/>
    <pivotField dataField="1" showAll="0"/>
    <pivotField showAll="0"/>
    <pivotField numFmtId="14" showAll="0"/>
    <pivotField dataField="1" showAll="0"/>
    <pivotField dataField="1" showAll="0"/>
    <pivotField axis="axisPage" multipleItemSelectionAllowed="1" showAll="0">
      <items count="6">
        <item h="1" x="2"/>
        <item h="1" x="4"/>
        <item h="1" x="1"/>
        <item x="3"/>
        <item h="1" x="0"/>
        <item t="default"/>
      </items>
    </pivotField>
  </pivotFields>
  <rowFields count="2">
    <field x="1"/>
    <field x="3"/>
  </rowFields>
  <rowItems count="5">
    <i>
      <x v="5"/>
    </i>
    <i r="1">
      <x v="81"/>
    </i>
    <i>
      <x v="13"/>
    </i>
    <i r="1">
      <x v="80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4" hier="-1"/>
    <pageField fld="17" hier="-1"/>
    <pageField fld="10" hier="-1"/>
  </pageFields>
  <dataFields count="3">
    <dataField name="Cuenta de DÍAS VENCIDOS" fld="12" subtotal="count" baseField="1" baseItem="0"/>
    <dataField name="Suma de DÍAS ATRASADOS" fld="16" baseField="0" baseItem="0"/>
    <dataField name="Suma de USD HOMOL" fld="15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95F202-0934-43C4-88CD-0C5440D5D13E}" name="TablaDinámica9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23:I26" firstHeaderRow="0" firstDataRow="1" firstDataCol="1" rowPageCount="3" colPageCount="1"/>
  <pivotFields count="18">
    <pivotField showAll="0"/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axis="axisRow" showAll="0">
      <items count="98">
        <item x="19"/>
        <item x="20"/>
        <item x="21"/>
        <item x="46"/>
        <item m="1" x="92"/>
        <item m="1" x="93"/>
        <item m="1" x="94"/>
        <item m="1" x="95"/>
        <item m="1" x="96"/>
        <item x="87"/>
        <item x="27"/>
        <item x="89"/>
        <item x="90"/>
        <item x="91"/>
        <item x="82"/>
        <item x="79"/>
        <item x="80"/>
        <item x="81"/>
        <item x="85"/>
        <item x="48"/>
        <item x="49"/>
        <item x="50"/>
        <item x="51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70"/>
        <item x="71"/>
        <item x="52"/>
        <item x="53"/>
        <item x="54"/>
        <item x="55"/>
        <item x="56"/>
        <item x="57"/>
        <item x="73"/>
        <item x="74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39"/>
        <item x="40"/>
        <item x="41"/>
        <item x="42"/>
        <item x="43"/>
        <item x="44"/>
        <item x="0"/>
        <item x="36"/>
        <item x="28"/>
        <item x="30"/>
        <item x="29"/>
        <item x="31"/>
        <item x="32"/>
        <item x="38"/>
        <item x="37"/>
        <item x="86"/>
        <item x="33"/>
        <item x="35"/>
        <item x="76"/>
        <item x="34"/>
        <item x="18"/>
        <item x="77"/>
        <item x="47"/>
        <item x="45"/>
        <item x="83"/>
        <item x="84"/>
        <item x="78"/>
        <item x="72"/>
        <item x="75"/>
        <item x="88"/>
        <item x="22"/>
        <item x="23"/>
        <item x="24"/>
        <item x="25"/>
        <item x="26"/>
        <item t="default"/>
      </items>
    </pivotField>
    <pivotField axis="axisPage" showAll="0">
      <items count="7">
        <item x="4"/>
        <item x="2"/>
        <item x="0"/>
        <item x="3"/>
        <item x="5"/>
        <item x="1"/>
        <item t="default"/>
      </items>
    </pivotField>
    <pivotField numFmtId="14" showAll="0"/>
    <pivotField numFmtId="3" showAll="0"/>
    <pivotField numFmtId="14" showAll="0"/>
    <pivotField numFmtId="4" showAll="0"/>
    <pivotField showAll="0"/>
    <pivotField axis="axisPage" multipleItemSelectionAllowed="1" showAll="0">
      <items count="8">
        <item h="1" x="2"/>
        <item h="1" x="4"/>
        <item x="1"/>
        <item h="1" x="6"/>
        <item h="1" x="0"/>
        <item h="1" x="5"/>
        <item h="1" x="3"/>
        <item t="default"/>
      </items>
    </pivotField>
    <pivotField showAll="0"/>
    <pivotField dataField="1" showAll="0"/>
    <pivotField showAll="0"/>
    <pivotField numFmtId="14" showAll="0"/>
    <pivotField dataField="1" showAll="0"/>
    <pivotField dataField="1" showAll="0"/>
    <pivotField axis="axisPage" multipleItemSelectionAllowed="1" showAll="0">
      <items count="6">
        <item h="1" x="2"/>
        <item h="1" x="4"/>
        <item x="1"/>
        <item h="1" x="3"/>
        <item h="1" x="0"/>
        <item t="default"/>
      </items>
    </pivotField>
  </pivotFields>
  <rowFields count="2">
    <field x="1"/>
    <field x="3"/>
  </rowFields>
  <rowItems count="3">
    <i>
      <x v="2"/>
    </i>
    <i r="1">
      <x v="8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4" hier="-1"/>
    <pageField fld="17" hier="-1"/>
    <pageField fld="10" hier="-1"/>
  </pageFields>
  <dataFields count="3">
    <dataField name="Cuenta de DÍAS VENCIDOS" fld="12" subtotal="count" baseField="1" baseItem="0"/>
    <dataField name="Suma de DÍAS ATRASADOS" fld="16" baseField="0" baseItem="0"/>
    <dataField name="Suma de USD HOMOL" fld="15" baseField="0" baseItem="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0A9AB7-F8C6-4801-B90D-7AAD8DD099BB}" name="TablaDinámica8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14:I17" firstHeaderRow="0" firstDataRow="1" firstDataCol="1" rowPageCount="3" colPageCount="1"/>
  <pivotFields count="18">
    <pivotField showAll="0"/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axis="axisRow" showAll="0">
      <items count="98">
        <item x="19"/>
        <item x="20"/>
        <item x="21"/>
        <item x="46"/>
        <item m="1" x="92"/>
        <item m="1" x="93"/>
        <item m="1" x="94"/>
        <item m="1" x="95"/>
        <item m="1" x="96"/>
        <item x="87"/>
        <item x="27"/>
        <item x="89"/>
        <item x="90"/>
        <item x="91"/>
        <item x="82"/>
        <item x="79"/>
        <item x="80"/>
        <item x="81"/>
        <item x="85"/>
        <item x="48"/>
        <item x="49"/>
        <item x="50"/>
        <item x="51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70"/>
        <item x="71"/>
        <item x="52"/>
        <item x="53"/>
        <item x="54"/>
        <item x="55"/>
        <item x="56"/>
        <item x="57"/>
        <item x="73"/>
        <item x="74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39"/>
        <item x="40"/>
        <item x="41"/>
        <item x="42"/>
        <item x="43"/>
        <item x="44"/>
        <item x="0"/>
        <item x="36"/>
        <item x="28"/>
        <item x="30"/>
        <item x="29"/>
        <item x="31"/>
        <item x="32"/>
        <item x="38"/>
        <item x="37"/>
        <item x="86"/>
        <item x="33"/>
        <item x="35"/>
        <item x="76"/>
        <item x="34"/>
        <item x="18"/>
        <item x="77"/>
        <item x="47"/>
        <item x="45"/>
        <item x="83"/>
        <item x="84"/>
        <item x="78"/>
        <item x="72"/>
        <item x="75"/>
        <item x="88"/>
        <item x="22"/>
        <item x="23"/>
        <item x="24"/>
        <item x="25"/>
        <item x="26"/>
        <item t="default"/>
      </items>
    </pivotField>
    <pivotField axis="axisPage" showAll="0">
      <items count="7">
        <item x="4"/>
        <item x="2"/>
        <item x="0"/>
        <item x="3"/>
        <item x="5"/>
        <item x="1"/>
        <item t="default"/>
      </items>
    </pivotField>
    <pivotField numFmtId="14" showAll="0"/>
    <pivotField numFmtId="3" showAll="0"/>
    <pivotField numFmtId="14" showAll="0"/>
    <pivotField numFmtId="4" showAll="0"/>
    <pivotField showAll="0"/>
    <pivotField axis="axisPage" multipleItemSelectionAllowed="1" showAll="0">
      <items count="8">
        <item h="1" x="2"/>
        <item h="1" x="4"/>
        <item x="1"/>
        <item h="1" x="6"/>
        <item h="1" x="0"/>
        <item h="1" x="5"/>
        <item h="1" x="3"/>
        <item t="default"/>
      </items>
    </pivotField>
    <pivotField showAll="0"/>
    <pivotField dataField="1" showAll="0"/>
    <pivotField showAll="0"/>
    <pivotField numFmtId="14" showAll="0"/>
    <pivotField dataField="1" showAll="0"/>
    <pivotField dataField="1" showAll="0"/>
    <pivotField axis="axisPage" multipleItemSelectionAllowed="1" showAll="0">
      <items count="6">
        <item h="1" x="2"/>
        <item h="1" x="4"/>
        <item x="1"/>
        <item h="1" x="3"/>
        <item h="1" x="0"/>
        <item t="default"/>
      </items>
    </pivotField>
  </pivotFields>
  <rowFields count="2">
    <field x="1"/>
    <field x="3"/>
  </rowFields>
  <rowItems count="3">
    <i>
      <x v="2"/>
    </i>
    <i r="1">
      <x v="8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4" hier="-1"/>
    <pageField fld="17" hier="-1"/>
    <pageField fld="10" hier="-1"/>
  </pageFields>
  <dataFields count="3">
    <dataField name="Cuenta de DÍAS VENCIDOS" fld="12" subtotal="count" baseField="1" baseItem="0"/>
    <dataField name="Suma de DÍAS ATRASADOS" fld="16" baseField="0" baseItem="0"/>
    <dataField name="Suma de USD HOMOL" fld="15" baseField="0" baseItem="0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B95549-AA7E-4525-9B55-8811B0D0707A}" name="TablaDinámica7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5:I8" firstHeaderRow="0" firstDataRow="1" firstDataCol="1" rowPageCount="3" colPageCount="1"/>
  <pivotFields count="18">
    <pivotField showAll="0"/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axis="axisRow" showAll="0">
      <items count="98">
        <item x="19"/>
        <item x="20"/>
        <item x="21"/>
        <item x="46"/>
        <item m="1" x="92"/>
        <item m="1" x="93"/>
        <item m="1" x="94"/>
        <item m="1" x="95"/>
        <item m="1" x="96"/>
        <item x="87"/>
        <item x="27"/>
        <item x="89"/>
        <item x="90"/>
        <item x="91"/>
        <item x="82"/>
        <item x="79"/>
        <item x="80"/>
        <item x="81"/>
        <item x="85"/>
        <item x="48"/>
        <item x="49"/>
        <item x="50"/>
        <item x="51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70"/>
        <item x="71"/>
        <item x="52"/>
        <item x="53"/>
        <item x="54"/>
        <item x="55"/>
        <item x="56"/>
        <item x="57"/>
        <item x="73"/>
        <item x="74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39"/>
        <item x="40"/>
        <item x="41"/>
        <item x="42"/>
        <item x="43"/>
        <item x="44"/>
        <item x="0"/>
        <item x="36"/>
        <item x="28"/>
        <item x="30"/>
        <item x="29"/>
        <item x="31"/>
        <item x="32"/>
        <item x="38"/>
        <item x="37"/>
        <item x="86"/>
        <item x="33"/>
        <item x="35"/>
        <item x="76"/>
        <item x="34"/>
        <item x="18"/>
        <item x="77"/>
        <item x="47"/>
        <item x="45"/>
        <item x="83"/>
        <item x="84"/>
        <item x="78"/>
        <item x="72"/>
        <item x="75"/>
        <item x="88"/>
        <item x="22"/>
        <item x="23"/>
        <item x="24"/>
        <item x="25"/>
        <item x="26"/>
        <item t="default"/>
      </items>
    </pivotField>
    <pivotField axis="axisPage" showAll="0">
      <items count="7">
        <item x="4"/>
        <item x="2"/>
        <item x="0"/>
        <item x="3"/>
        <item x="5"/>
        <item x="1"/>
        <item t="default"/>
      </items>
    </pivotField>
    <pivotField numFmtId="14" showAll="0"/>
    <pivotField numFmtId="3" showAll="0"/>
    <pivotField numFmtId="14" showAll="0"/>
    <pivotField numFmtId="4" showAll="0"/>
    <pivotField showAll="0"/>
    <pivotField axis="axisPage" multipleItemSelectionAllowed="1" showAll="0">
      <items count="8">
        <item h="1" x="2"/>
        <item h="1" x="4"/>
        <item x="1"/>
        <item h="1" x="6"/>
        <item h="1" x="0"/>
        <item h="1" x="5"/>
        <item h="1" x="3"/>
        <item t="default"/>
      </items>
    </pivotField>
    <pivotField showAll="0"/>
    <pivotField dataField="1" showAll="0"/>
    <pivotField showAll="0"/>
    <pivotField numFmtId="14" showAll="0"/>
    <pivotField dataField="1" showAll="0"/>
    <pivotField dataField="1" showAll="0"/>
    <pivotField axis="axisPage" multipleItemSelectionAllowed="1" showAll="0">
      <items count="6">
        <item h="1" x="2"/>
        <item x="4"/>
        <item h="1" x="1"/>
        <item h="1" x="3"/>
        <item h="1" x="0"/>
        <item t="default"/>
      </items>
    </pivotField>
  </pivotFields>
  <rowFields count="2">
    <field x="1"/>
    <field x="3"/>
  </rowFields>
  <rowItems count="3">
    <i>
      <x v="14"/>
    </i>
    <i r="1">
      <x v="8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4" hier="-1"/>
    <pageField fld="17" hier="-1"/>
    <pageField fld="10" hier="-1"/>
  </pageFields>
  <dataFields count="3">
    <dataField name="Cuenta de DÍAS VENCIDOS" fld="12" subtotal="count" baseField="1" baseItem="0"/>
    <dataField name="Suma de DÍAS ATRASADOS" fld="16" baseField="0" baseItem="0"/>
    <dataField name="Suma de USD HOMOL" fld="15" baseField="0" baseItem="0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9AB15-1474-4C7D-9044-396FC62622A5}">
  <dimension ref="A2:M17"/>
  <sheetViews>
    <sheetView showGridLines="0" tabSelected="1" zoomScale="90" zoomScaleNormal="90" workbookViewId="0">
      <selection activeCell="G29" sqref="G29"/>
    </sheetView>
  </sheetViews>
  <sheetFormatPr baseColWidth="10" defaultRowHeight="14.4" x14ac:dyDescent="0.3"/>
  <cols>
    <col min="1" max="1" width="38" bestFit="1" customWidth="1"/>
    <col min="2" max="2" width="22.44140625" bestFit="1" customWidth="1"/>
    <col min="3" max="12" width="11.44140625" bestFit="1" customWidth="1"/>
    <col min="13" max="13" width="12.44140625" bestFit="1" customWidth="1"/>
    <col min="14" max="15" width="11.6640625" bestFit="1" customWidth="1"/>
    <col min="16" max="16" width="10.33203125" bestFit="1" customWidth="1"/>
    <col min="17" max="17" width="9.33203125" bestFit="1" customWidth="1"/>
    <col min="18" max="24" width="10.33203125" bestFit="1" customWidth="1"/>
    <col min="25" max="26" width="9.33203125" bestFit="1" customWidth="1"/>
    <col min="27" max="27" width="10.33203125" bestFit="1" customWidth="1"/>
    <col min="28" max="28" width="9.33203125" bestFit="1" customWidth="1"/>
    <col min="29" max="33" width="10.33203125" bestFit="1" customWidth="1"/>
    <col min="34" max="34" width="9.33203125" bestFit="1" customWidth="1"/>
    <col min="35" max="41" width="10.33203125" bestFit="1" customWidth="1"/>
    <col min="42" max="44" width="9.33203125" bestFit="1" customWidth="1"/>
    <col min="45" max="53" width="10.33203125" bestFit="1" customWidth="1"/>
    <col min="54" max="54" width="11.6640625" bestFit="1" customWidth="1"/>
  </cols>
  <sheetData>
    <row r="2" spans="1:13" x14ac:dyDescent="0.3">
      <c r="A2" s="8" t="s">
        <v>4</v>
      </c>
      <c r="B2" t="s">
        <v>328</v>
      </c>
    </row>
    <row r="3" spans="1:13" x14ac:dyDescent="0.3">
      <c r="A3" s="8" t="s">
        <v>305</v>
      </c>
      <c r="B3" t="s">
        <v>310</v>
      </c>
    </row>
    <row r="5" spans="1:13" x14ac:dyDescent="0.3">
      <c r="A5" s="8" t="s">
        <v>327</v>
      </c>
      <c r="B5" s="8" t="s">
        <v>313</v>
      </c>
    </row>
    <row r="6" spans="1:13" x14ac:dyDescent="0.3">
      <c r="A6" s="8" t="s">
        <v>311</v>
      </c>
      <c r="B6" s="18">
        <v>46224</v>
      </c>
      <c r="C6" s="18">
        <v>46247</v>
      </c>
      <c r="D6" s="18">
        <v>46259</v>
      </c>
      <c r="E6" s="18">
        <v>46275</v>
      </c>
      <c r="F6" s="18">
        <v>46276</v>
      </c>
      <c r="G6" s="18">
        <v>46288</v>
      </c>
      <c r="H6" s="18">
        <v>46290</v>
      </c>
      <c r="I6" s="18">
        <v>46292</v>
      </c>
      <c r="J6" s="18">
        <v>46294</v>
      </c>
      <c r="K6" s="18">
        <v>46309</v>
      </c>
      <c r="L6" s="18">
        <v>46310</v>
      </c>
      <c r="M6" s="18" t="s">
        <v>312</v>
      </c>
    </row>
    <row r="7" spans="1:13" x14ac:dyDescent="0.3">
      <c r="A7" s="9" t="s">
        <v>70</v>
      </c>
      <c r="B7" s="23"/>
      <c r="C7" s="23"/>
      <c r="D7" s="23"/>
      <c r="E7" s="23">
        <v>218730</v>
      </c>
      <c r="F7" s="23"/>
      <c r="G7" s="23">
        <v>83280</v>
      </c>
      <c r="H7" s="23">
        <v>83280</v>
      </c>
      <c r="I7" s="23">
        <v>41448</v>
      </c>
      <c r="J7" s="23">
        <v>242430</v>
      </c>
      <c r="K7" s="23">
        <v>207978</v>
      </c>
      <c r="L7" s="23">
        <v>41064</v>
      </c>
      <c r="M7" s="23">
        <v>918210</v>
      </c>
    </row>
    <row r="8" spans="1:13" x14ac:dyDescent="0.3">
      <c r="A8" s="9" t="s">
        <v>115</v>
      </c>
      <c r="B8" s="23"/>
      <c r="C8" s="23">
        <v>-31032</v>
      </c>
      <c r="D8" s="23"/>
      <c r="E8" s="23"/>
      <c r="F8" s="23"/>
      <c r="G8" s="23"/>
      <c r="H8" s="23"/>
      <c r="I8" s="23"/>
      <c r="J8" s="23"/>
      <c r="K8" s="23"/>
      <c r="L8" s="23"/>
      <c r="M8" s="23">
        <v>-31032</v>
      </c>
    </row>
    <row r="9" spans="1:13" x14ac:dyDescent="0.3">
      <c r="A9" s="9" t="s">
        <v>121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>
        <v>15163</v>
      </c>
      <c r="M9" s="23">
        <v>15163</v>
      </c>
    </row>
    <row r="10" spans="1:13" x14ac:dyDescent="0.3">
      <c r="A10" s="9" t="s">
        <v>125</v>
      </c>
      <c r="B10" s="23"/>
      <c r="C10" s="23"/>
      <c r="D10" s="23">
        <v>-13902</v>
      </c>
      <c r="E10" s="23"/>
      <c r="F10" s="23"/>
      <c r="G10" s="23"/>
      <c r="H10" s="23"/>
      <c r="I10" s="23"/>
      <c r="J10" s="23"/>
      <c r="K10" s="23"/>
      <c r="L10" s="23"/>
      <c r="M10" s="23">
        <v>-13902</v>
      </c>
    </row>
    <row r="11" spans="1:13" x14ac:dyDescent="0.3">
      <c r="A11" s="9" t="s">
        <v>159</v>
      </c>
      <c r="B11" s="23"/>
      <c r="C11" s="23"/>
      <c r="D11" s="23"/>
      <c r="E11" s="23"/>
      <c r="F11" s="23"/>
      <c r="G11" s="23"/>
      <c r="H11" s="23">
        <v>55195</v>
      </c>
      <c r="I11" s="23"/>
      <c r="J11" s="23">
        <v>29925</v>
      </c>
      <c r="K11" s="23"/>
      <c r="L11" s="23"/>
      <c r="M11" s="23">
        <v>85120</v>
      </c>
    </row>
    <row r="12" spans="1:13" x14ac:dyDescent="0.3">
      <c r="A12" s="9" t="s">
        <v>166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>
        <v>2706.93</v>
      </c>
      <c r="M12" s="23">
        <v>2706.93</v>
      </c>
    </row>
    <row r="13" spans="1:13" x14ac:dyDescent="0.3">
      <c r="A13" s="9" t="s">
        <v>255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>
        <v>10284</v>
      </c>
      <c r="M13" s="23">
        <v>10284</v>
      </c>
    </row>
    <row r="14" spans="1:13" x14ac:dyDescent="0.3">
      <c r="A14" s="9" t="s">
        <v>259</v>
      </c>
      <c r="B14" s="23"/>
      <c r="C14" s="23"/>
      <c r="D14" s="23"/>
      <c r="E14" s="23"/>
      <c r="F14" s="23">
        <v>54612</v>
      </c>
      <c r="G14" s="23"/>
      <c r="H14" s="23"/>
      <c r="I14" s="23"/>
      <c r="J14" s="23"/>
      <c r="K14" s="23"/>
      <c r="L14" s="23"/>
      <c r="M14" s="23">
        <v>54612</v>
      </c>
    </row>
    <row r="15" spans="1:13" x14ac:dyDescent="0.3">
      <c r="A15" s="9" t="s">
        <v>280</v>
      </c>
      <c r="B15" s="23"/>
      <c r="C15" s="23"/>
      <c r="D15" s="23"/>
      <c r="E15" s="23"/>
      <c r="F15" s="23"/>
      <c r="G15" s="23"/>
      <c r="H15" s="23">
        <v>64640</v>
      </c>
      <c r="I15" s="23">
        <v>64850</v>
      </c>
      <c r="J15" s="23"/>
      <c r="K15" s="23"/>
      <c r="L15" s="23"/>
      <c r="M15" s="23">
        <v>129490</v>
      </c>
    </row>
    <row r="16" spans="1:13" x14ac:dyDescent="0.3">
      <c r="A16" s="9" t="s">
        <v>291</v>
      </c>
      <c r="B16" s="23">
        <v>-9650</v>
      </c>
      <c r="C16" s="23"/>
      <c r="D16" s="23"/>
      <c r="E16" s="23"/>
      <c r="F16" s="23"/>
      <c r="G16" s="23"/>
      <c r="H16" s="23"/>
      <c r="I16" s="23"/>
      <c r="J16" s="23"/>
      <c r="K16" s="23">
        <v>48600</v>
      </c>
      <c r="L16" s="23"/>
      <c r="M16" s="23">
        <v>38950</v>
      </c>
    </row>
    <row r="17" spans="1:13" x14ac:dyDescent="0.3">
      <c r="A17" s="9" t="s">
        <v>312</v>
      </c>
      <c r="B17" s="23">
        <v>-9650</v>
      </c>
      <c r="C17" s="23">
        <v>-31032</v>
      </c>
      <c r="D17" s="23">
        <v>-13902</v>
      </c>
      <c r="E17" s="23">
        <v>218730</v>
      </c>
      <c r="F17" s="23">
        <v>54612</v>
      </c>
      <c r="G17" s="23">
        <v>83280</v>
      </c>
      <c r="H17" s="23">
        <v>203115</v>
      </c>
      <c r="I17" s="23">
        <v>106298</v>
      </c>
      <c r="J17" s="23">
        <v>272355</v>
      </c>
      <c r="K17" s="23">
        <v>256578</v>
      </c>
      <c r="L17" s="23">
        <v>69217.929999999993</v>
      </c>
      <c r="M17" s="23">
        <v>1209601.9300000002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23406-DD40-40D5-A8E9-CAC580D10E35}">
  <dimension ref="A1:B40"/>
  <sheetViews>
    <sheetView workbookViewId="0">
      <selection activeCell="A14" sqref="A14"/>
    </sheetView>
  </sheetViews>
  <sheetFormatPr baseColWidth="10" defaultRowHeight="14.4" x14ac:dyDescent="0.3"/>
  <cols>
    <col min="1" max="1" width="38.77734375" bestFit="1" customWidth="1"/>
    <col min="2" max="2" width="18.88671875" bestFit="1" customWidth="1"/>
  </cols>
  <sheetData>
    <row r="1" spans="1:2" x14ac:dyDescent="0.3">
      <c r="A1" s="8" t="s">
        <v>5</v>
      </c>
      <c r="B1" t="s">
        <v>328</v>
      </c>
    </row>
    <row r="2" spans="1:2" x14ac:dyDescent="0.3">
      <c r="A2" s="8" t="s">
        <v>305</v>
      </c>
      <c r="B2" t="s">
        <v>310</v>
      </c>
    </row>
    <row r="3" spans="1:2" x14ac:dyDescent="0.3">
      <c r="A3" s="8" t="s">
        <v>4</v>
      </c>
      <c r="B3" t="s">
        <v>329</v>
      </c>
    </row>
    <row r="5" spans="1:2" x14ac:dyDescent="0.3">
      <c r="A5" s="8" t="s">
        <v>311</v>
      </c>
      <c r="B5" t="s">
        <v>327</v>
      </c>
    </row>
    <row r="6" spans="1:2" x14ac:dyDescent="0.3">
      <c r="A6" s="9" t="s">
        <v>70</v>
      </c>
      <c r="B6" s="21">
        <v>918210</v>
      </c>
    </row>
    <row r="7" spans="1:2" x14ac:dyDescent="0.3">
      <c r="A7" s="11" t="s">
        <v>76</v>
      </c>
      <c r="B7" s="21">
        <v>83280</v>
      </c>
    </row>
    <row r="8" spans="1:2" x14ac:dyDescent="0.3">
      <c r="A8" s="11" t="s">
        <v>80</v>
      </c>
      <c r="B8" s="21">
        <v>83280</v>
      </c>
    </row>
    <row r="9" spans="1:2" x14ac:dyDescent="0.3">
      <c r="A9" s="11" t="s">
        <v>83</v>
      </c>
      <c r="B9" s="21">
        <v>41448</v>
      </c>
    </row>
    <row r="10" spans="1:2" x14ac:dyDescent="0.3">
      <c r="A10" s="11" t="s">
        <v>96</v>
      </c>
      <c r="B10" s="21">
        <v>41064</v>
      </c>
    </row>
    <row r="11" spans="1:2" x14ac:dyDescent="0.3">
      <c r="A11" s="11" t="s">
        <v>72</v>
      </c>
      <c r="B11" s="21">
        <v>218730</v>
      </c>
    </row>
    <row r="12" spans="1:2" x14ac:dyDescent="0.3">
      <c r="A12" s="11" t="s">
        <v>332</v>
      </c>
      <c r="B12" s="21">
        <v>242430</v>
      </c>
    </row>
    <row r="13" spans="1:2" x14ac:dyDescent="0.3">
      <c r="A13" s="11" t="s">
        <v>334</v>
      </c>
      <c r="B13" s="21">
        <v>94530</v>
      </c>
    </row>
    <row r="14" spans="1:2" x14ac:dyDescent="0.3">
      <c r="A14" s="11" t="s">
        <v>335</v>
      </c>
      <c r="B14" s="21">
        <v>29010</v>
      </c>
    </row>
    <row r="15" spans="1:2" x14ac:dyDescent="0.3">
      <c r="A15" s="11" t="s">
        <v>333</v>
      </c>
      <c r="B15" s="21">
        <v>54840</v>
      </c>
    </row>
    <row r="16" spans="1:2" x14ac:dyDescent="0.3">
      <c r="A16" s="11" t="s">
        <v>336</v>
      </c>
      <c r="B16" s="21">
        <v>29598</v>
      </c>
    </row>
    <row r="17" spans="1:2" x14ac:dyDescent="0.3">
      <c r="A17" s="9" t="s">
        <v>115</v>
      </c>
      <c r="B17" s="21">
        <v>-31032</v>
      </c>
    </row>
    <row r="18" spans="1:2" x14ac:dyDescent="0.3">
      <c r="A18" s="11" t="s">
        <v>119</v>
      </c>
      <c r="B18" s="21">
        <v>-31032</v>
      </c>
    </row>
    <row r="19" spans="1:2" x14ac:dyDescent="0.3">
      <c r="A19" s="9" t="s">
        <v>121</v>
      </c>
      <c r="B19" s="21">
        <v>15163</v>
      </c>
    </row>
    <row r="20" spans="1:2" x14ac:dyDescent="0.3">
      <c r="A20" s="11" t="s">
        <v>123</v>
      </c>
      <c r="B20" s="21">
        <v>15163</v>
      </c>
    </row>
    <row r="21" spans="1:2" x14ac:dyDescent="0.3">
      <c r="A21" s="9" t="s">
        <v>125</v>
      </c>
      <c r="B21" s="21">
        <v>-13902</v>
      </c>
    </row>
    <row r="22" spans="1:2" x14ac:dyDescent="0.3">
      <c r="A22" s="11" t="s">
        <v>127</v>
      </c>
      <c r="B22" s="21">
        <v>-13902</v>
      </c>
    </row>
    <row r="23" spans="1:2" x14ac:dyDescent="0.3">
      <c r="A23" s="9" t="s">
        <v>159</v>
      </c>
      <c r="B23" s="21">
        <v>85120</v>
      </c>
    </row>
    <row r="24" spans="1:2" x14ac:dyDescent="0.3">
      <c r="A24" s="11" t="s">
        <v>164</v>
      </c>
      <c r="B24" s="21">
        <v>29925</v>
      </c>
    </row>
    <row r="25" spans="1:2" x14ac:dyDescent="0.3">
      <c r="A25" s="11" t="s">
        <v>161</v>
      </c>
      <c r="B25" s="21">
        <v>55195</v>
      </c>
    </row>
    <row r="26" spans="1:2" x14ac:dyDescent="0.3">
      <c r="A26" s="9" t="s">
        <v>255</v>
      </c>
      <c r="B26" s="21">
        <v>10284</v>
      </c>
    </row>
    <row r="27" spans="1:2" x14ac:dyDescent="0.3">
      <c r="A27" s="11" t="s">
        <v>257</v>
      </c>
      <c r="B27" s="21">
        <v>10284</v>
      </c>
    </row>
    <row r="28" spans="1:2" x14ac:dyDescent="0.3">
      <c r="A28" s="9" t="s">
        <v>259</v>
      </c>
      <c r="B28" s="21">
        <v>54612</v>
      </c>
    </row>
    <row r="29" spans="1:2" x14ac:dyDescent="0.3">
      <c r="A29" s="11" t="s">
        <v>261</v>
      </c>
      <c r="B29" s="21">
        <v>54612</v>
      </c>
    </row>
    <row r="30" spans="1:2" x14ac:dyDescent="0.3">
      <c r="A30" s="9" t="s">
        <v>280</v>
      </c>
      <c r="B30" s="21">
        <v>129490</v>
      </c>
    </row>
    <row r="31" spans="1:2" x14ac:dyDescent="0.3">
      <c r="A31" s="11" t="s">
        <v>282</v>
      </c>
      <c r="B31" s="21">
        <v>64640</v>
      </c>
    </row>
    <row r="32" spans="1:2" x14ac:dyDescent="0.3">
      <c r="A32" s="11" t="s">
        <v>285</v>
      </c>
      <c r="B32" s="21">
        <v>64850</v>
      </c>
    </row>
    <row r="33" spans="1:2" x14ac:dyDescent="0.3">
      <c r="A33" s="9" t="s">
        <v>291</v>
      </c>
      <c r="B33" s="21">
        <v>38950</v>
      </c>
    </row>
    <row r="34" spans="1:2" x14ac:dyDescent="0.3">
      <c r="A34" s="11" t="s">
        <v>296</v>
      </c>
      <c r="B34" s="21">
        <v>48600</v>
      </c>
    </row>
    <row r="35" spans="1:2" x14ac:dyDescent="0.3">
      <c r="A35" s="11" t="s">
        <v>293</v>
      </c>
      <c r="B35" s="21">
        <v>-9650</v>
      </c>
    </row>
    <row r="36" spans="1:2" x14ac:dyDescent="0.3">
      <c r="A36" s="9" t="s">
        <v>301</v>
      </c>
      <c r="B36" s="21">
        <v>913888</v>
      </c>
    </row>
    <row r="37" spans="1:2" x14ac:dyDescent="0.3">
      <c r="A37" s="11" t="s">
        <v>302</v>
      </c>
      <c r="B37" s="21">
        <v>546040</v>
      </c>
    </row>
    <row r="38" spans="1:2" x14ac:dyDescent="0.3">
      <c r="A38" s="11" t="s">
        <v>303</v>
      </c>
      <c r="B38" s="21">
        <v>177480</v>
      </c>
    </row>
    <row r="39" spans="1:2" x14ac:dyDescent="0.3">
      <c r="A39" s="11" t="s">
        <v>304</v>
      </c>
      <c r="B39" s="21">
        <v>190368</v>
      </c>
    </row>
    <row r="40" spans="1:2" x14ac:dyDescent="0.3">
      <c r="A40" s="9" t="s">
        <v>312</v>
      </c>
      <c r="B40" s="21">
        <v>2120783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BB9A8-1EEA-4BD4-9E79-41528699928F}">
  <dimension ref="A1:I37"/>
  <sheetViews>
    <sheetView topLeftCell="A10" workbookViewId="0">
      <selection activeCell="G33" sqref="G33"/>
    </sheetView>
  </sheetViews>
  <sheetFormatPr baseColWidth="10" defaultRowHeight="14.4" x14ac:dyDescent="0.3"/>
  <cols>
    <col min="1" max="1" width="38.77734375" bestFit="1" customWidth="1"/>
    <col min="2" max="2" width="23.109375" bestFit="1" customWidth="1"/>
    <col min="3" max="3" width="23.21875" bestFit="1" customWidth="1"/>
    <col min="4" max="4" width="18.88671875" bestFit="1" customWidth="1"/>
    <col min="6" max="6" width="32.5546875" bestFit="1" customWidth="1"/>
    <col min="7" max="7" width="23.109375" bestFit="1" customWidth="1"/>
    <col min="8" max="8" width="23.21875" bestFit="1" customWidth="1"/>
    <col min="9" max="9" width="18.88671875" bestFit="1" customWidth="1"/>
  </cols>
  <sheetData>
    <row r="1" spans="1:9" x14ac:dyDescent="0.3">
      <c r="A1" s="8" t="s">
        <v>4</v>
      </c>
      <c r="B1" t="s">
        <v>328</v>
      </c>
      <c r="F1" s="8" t="s">
        <v>4</v>
      </c>
      <c r="G1" t="s">
        <v>328</v>
      </c>
    </row>
    <row r="2" spans="1:9" x14ac:dyDescent="0.3">
      <c r="A2" s="8" t="s">
        <v>322</v>
      </c>
      <c r="B2" t="s">
        <v>323</v>
      </c>
      <c r="F2" s="8" t="s">
        <v>322</v>
      </c>
      <c r="G2" t="s">
        <v>324</v>
      </c>
    </row>
    <row r="3" spans="1:9" x14ac:dyDescent="0.3">
      <c r="A3" s="8" t="s">
        <v>305</v>
      </c>
      <c r="B3" t="s">
        <v>310</v>
      </c>
      <c r="F3" s="8" t="s">
        <v>305</v>
      </c>
      <c r="G3" t="s">
        <v>310</v>
      </c>
    </row>
    <row r="5" spans="1:9" x14ac:dyDescent="0.3">
      <c r="A5" s="8" t="s">
        <v>311</v>
      </c>
      <c r="B5" t="s">
        <v>331</v>
      </c>
      <c r="C5" t="s">
        <v>330</v>
      </c>
      <c r="D5" t="s">
        <v>327</v>
      </c>
      <c r="F5" s="8" t="s">
        <v>311</v>
      </c>
      <c r="G5" t="s">
        <v>331</v>
      </c>
      <c r="H5" t="s">
        <v>330</v>
      </c>
      <c r="I5" t="s">
        <v>327</v>
      </c>
    </row>
    <row r="6" spans="1:9" x14ac:dyDescent="0.3">
      <c r="A6" s="9" t="s">
        <v>70</v>
      </c>
      <c r="B6" s="21">
        <v>9</v>
      </c>
      <c r="C6" s="21">
        <v>215</v>
      </c>
      <c r="D6" s="21">
        <v>699480</v>
      </c>
      <c r="F6" s="9" t="s">
        <v>259</v>
      </c>
      <c r="G6" s="21">
        <v>1</v>
      </c>
      <c r="H6" s="21">
        <v>49</v>
      </c>
      <c r="I6" s="21">
        <v>54612</v>
      </c>
    </row>
    <row r="7" spans="1:9" x14ac:dyDescent="0.3">
      <c r="A7" s="11" t="s">
        <v>76</v>
      </c>
      <c r="B7" s="21">
        <v>1</v>
      </c>
      <c r="C7" s="21">
        <v>37</v>
      </c>
      <c r="D7" s="21">
        <v>83280</v>
      </c>
      <c r="F7" s="11" t="s">
        <v>261</v>
      </c>
      <c r="G7" s="21">
        <v>1</v>
      </c>
      <c r="H7" s="21">
        <v>49</v>
      </c>
      <c r="I7" s="21">
        <v>54612</v>
      </c>
    </row>
    <row r="8" spans="1:9" x14ac:dyDescent="0.3">
      <c r="A8" s="11" t="s">
        <v>80</v>
      </c>
      <c r="B8" s="21">
        <v>1</v>
      </c>
      <c r="C8" s="21">
        <v>35</v>
      </c>
      <c r="D8" s="21">
        <v>83280</v>
      </c>
      <c r="F8" s="9" t="s">
        <v>312</v>
      </c>
      <c r="G8" s="21">
        <v>1</v>
      </c>
      <c r="H8" s="21">
        <v>49</v>
      </c>
      <c r="I8" s="21">
        <v>54612</v>
      </c>
    </row>
    <row r="9" spans="1:9" x14ac:dyDescent="0.3">
      <c r="A9" s="11" t="s">
        <v>83</v>
      </c>
      <c r="B9" s="21">
        <v>1</v>
      </c>
      <c r="C9" s="21">
        <v>33</v>
      </c>
      <c r="D9" s="21">
        <v>41448</v>
      </c>
    </row>
    <row r="10" spans="1:9" x14ac:dyDescent="0.3">
      <c r="A10" s="11" t="s">
        <v>96</v>
      </c>
      <c r="B10" s="21">
        <v>1</v>
      </c>
      <c r="C10" s="21">
        <v>15</v>
      </c>
      <c r="D10" s="21">
        <v>41064</v>
      </c>
      <c r="F10" s="8" t="s">
        <v>4</v>
      </c>
      <c r="G10" t="s">
        <v>328</v>
      </c>
    </row>
    <row r="11" spans="1:9" x14ac:dyDescent="0.3">
      <c r="A11" s="11" t="s">
        <v>332</v>
      </c>
      <c r="B11" s="21">
        <v>1</v>
      </c>
      <c r="C11" s="21">
        <v>31</v>
      </c>
      <c r="D11" s="21">
        <v>242430</v>
      </c>
      <c r="F11" s="8" t="s">
        <v>322</v>
      </c>
      <c r="G11" t="s">
        <v>325</v>
      </c>
    </row>
    <row r="12" spans="1:9" x14ac:dyDescent="0.3">
      <c r="A12" s="11" t="s">
        <v>334</v>
      </c>
      <c r="B12" s="21">
        <v>1</v>
      </c>
      <c r="C12" s="21">
        <v>16</v>
      </c>
      <c r="D12" s="21">
        <v>94530</v>
      </c>
      <c r="F12" s="8" t="s">
        <v>305</v>
      </c>
      <c r="G12" t="s">
        <v>310</v>
      </c>
    </row>
    <row r="13" spans="1:9" x14ac:dyDescent="0.3">
      <c r="A13" s="11" t="s">
        <v>335</v>
      </c>
      <c r="B13" s="21">
        <v>1</v>
      </c>
      <c r="C13" s="21">
        <v>16</v>
      </c>
      <c r="D13" s="21">
        <v>29010</v>
      </c>
    </row>
    <row r="14" spans="1:9" x14ac:dyDescent="0.3">
      <c r="A14" s="11" t="s">
        <v>333</v>
      </c>
      <c r="B14" s="21">
        <v>1</v>
      </c>
      <c r="C14" s="21">
        <v>16</v>
      </c>
      <c r="D14" s="21">
        <v>54840</v>
      </c>
      <c r="F14" s="8" t="s">
        <v>311</v>
      </c>
      <c r="G14" t="s">
        <v>331</v>
      </c>
      <c r="H14" t="s">
        <v>330</v>
      </c>
      <c r="I14" t="s">
        <v>327</v>
      </c>
    </row>
    <row r="15" spans="1:9" x14ac:dyDescent="0.3">
      <c r="A15" s="11" t="s">
        <v>336</v>
      </c>
      <c r="B15" s="21">
        <v>1</v>
      </c>
      <c r="C15" s="21">
        <v>16</v>
      </c>
      <c r="D15" s="21">
        <v>29598</v>
      </c>
      <c r="F15" s="9" t="s">
        <v>70</v>
      </c>
      <c r="G15" s="21">
        <v>1</v>
      </c>
      <c r="H15" s="21">
        <v>62</v>
      </c>
      <c r="I15" s="21">
        <v>218730</v>
      </c>
    </row>
    <row r="16" spans="1:9" x14ac:dyDescent="0.3">
      <c r="A16" s="9" t="s">
        <v>115</v>
      </c>
      <c r="B16" s="21"/>
      <c r="C16" s="21">
        <v>18</v>
      </c>
      <c r="D16" s="21">
        <v>-31032</v>
      </c>
      <c r="F16" s="11" t="s">
        <v>72</v>
      </c>
      <c r="G16" s="21">
        <v>1</v>
      </c>
      <c r="H16" s="21">
        <v>62</v>
      </c>
      <c r="I16" s="21">
        <v>218730</v>
      </c>
    </row>
    <row r="17" spans="1:9" x14ac:dyDescent="0.3">
      <c r="A17" s="11" t="s">
        <v>119</v>
      </c>
      <c r="B17" s="21"/>
      <c r="C17" s="21">
        <v>18</v>
      </c>
      <c r="D17" s="21">
        <v>-31032</v>
      </c>
      <c r="F17" s="9" t="s">
        <v>312</v>
      </c>
      <c r="G17" s="21">
        <v>1</v>
      </c>
      <c r="H17" s="21">
        <v>62</v>
      </c>
      <c r="I17" s="21">
        <v>218730</v>
      </c>
    </row>
    <row r="18" spans="1:9" x14ac:dyDescent="0.3">
      <c r="A18" s="9" t="s">
        <v>125</v>
      </c>
      <c r="B18" s="21"/>
      <c r="C18" s="21">
        <v>6</v>
      </c>
      <c r="D18" s="21">
        <v>-13902</v>
      </c>
    </row>
    <row r="19" spans="1:9" x14ac:dyDescent="0.3">
      <c r="A19" s="11" t="s">
        <v>127</v>
      </c>
      <c r="B19" s="21"/>
      <c r="C19" s="21">
        <v>6</v>
      </c>
      <c r="D19" s="21">
        <v>-13902</v>
      </c>
      <c r="F19" s="8" t="s">
        <v>4</v>
      </c>
      <c r="G19" t="s">
        <v>328</v>
      </c>
    </row>
    <row r="20" spans="1:9" x14ac:dyDescent="0.3">
      <c r="A20" s="9" t="s">
        <v>159</v>
      </c>
      <c r="B20" s="21">
        <v>2</v>
      </c>
      <c r="C20" s="21">
        <v>66</v>
      </c>
      <c r="D20" s="21">
        <v>85120</v>
      </c>
      <c r="F20" s="8" t="s">
        <v>322</v>
      </c>
      <c r="G20" t="s">
        <v>325</v>
      </c>
    </row>
    <row r="21" spans="1:9" x14ac:dyDescent="0.3">
      <c r="A21" s="11" t="s">
        <v>164</v>
      </c>
      <c r="B21" s="21">
        <v>1</v>
      </c>
      <c r="C21" s="21">
        <v>31</v>
      </c>
      <c r="D21" s="21">
        <v>29925</v>
      </c>
      <c r="F21" s="8" t="s">
        <v>305</v>
      </c>
      <c r="G21" t="s">
        <v>310</v>
      </c>
    </row>
    <row r="22" spans="1:9" x14ac:dyDescent="0.3">
      <c r="A22" s="11" t="s">
        <v>161</v>
      </c>
      <c r="B22" s="21">
        <v>1</v>
      </c>
      <c r="C22" s="21">
        <v>35</v>
      </c>
      <c r="D22" s="21">
        <v>55195</v>
      </c>
    </row>
    <row r="23" spans="1:9" x14ac:dyDescent="0.3">
      <c r="A23" s="9" t="s">
        <v>166</v>
      </c>
      <c r="B23" s="21">
        <v>1</v>
      </c>
      <c r="C23" s="21">
        <v>45</v>
      </c>
      <c r="D23" s="21">
        <v>2706.93</v>
      </c>
      <c r="F23" s="8" t="s">
        <v>311</v>
      </c>
      <c r="G23" t="s">
        <v>331</v>
      </c>
      <c r="H23" t="s">
        <v>330</v>
      </c>
      <c r="I23" t="s">
        <v>327</v>
      </c>
    </row>
    <row r="24" spans="1:9" x14ac:dyDescent="0.3">
      <c r="A24" s="11" t="s">
        <v>168</v>
      </c>
      <c r="B24" s="21">
        <v>1</v>
      </c>
      <c r="C24" s="21">
        <v>45</v>
      </c>
      <c r="D24" s="21">
        <v>2706.93</v>
      </c>
      <c r="F24" s="9" t="s">
        <v>70</v>
      </c>
      <c r="G24" s="21">
        <v>1</v>
      </c>
      <c r="H24" s="21">
        <v>62</v>
      </c>
      <c r="I24" s="21">
        <v>218730</v>
      </c>
    </row>
    <row r="25" spans="1:9" x14ac:dyDescent="0.3">
      <c r="A25" s="9" t="s">
        <v>280</v>
      </c>
      <c r="B25" s="21">
        <v>2</v>
      </c>
      <c r="C25" s="21">
        <v>68</v>
      </c>
      <c r="D25" s="21">
        <v>129490</v>
      </c>
      <c r="F25" s="11" t="s">
        <v>72</v>
      </c>
      <c r="G25" s="21">
        <v>1</v>
      </c>
      <c r="H25" s="21">
        <v>62</v>
      </c>
      <c r="I25" s="21">
        <v>218730</v>
      </c>
    </row>
    <row r="26" spans="1:9" x14ac:dyDescent="0.3">
      <c r="A26" s="11" t="s">
        <v>282</v>
      </c>
      <c r="B26" s="21">
        <v>1</v>
      </c>
      <c r="C26" s="21">
        <v>35</v>
      </c>
      <c r="D26" s="21">
        <v>64640</v>
      </c>
      <c r="F26" s="9" t="s">
        <v>312</v>
      </c>
      <c r="G26" s="21">
        <v>1</v>
      </c>
      <c r="H26" s="21">
        <v>62</v>
      </c>
      <c r="I26" s="21">
        <v>218730</v>
      </c>
    </row>
    <row r="27" spans="1:9" x14ac:dyDescent="0.3">
      <c r="A27" s="11" t="s">
        <v>285</v>
      </c>
      <c r="B27" s="21">
        <v>1</v>
      </c>
      <c r="C27" s="21">
        <v>33</v>
      </c>
      <c r="D27" s="21">
        <v>64850</v>
      </c>
    </row>
    <row r="28" spans="1:9" x14ac:dyDescent="0.3">
      <c r="A28" s="9" t="s">
        <v>291</v>
      </c>
      <c r="B28" s="21"/>
      <c r="C28" s="21">
        <v>57</v>
      </c>
      <c r="D28" s="21">
        <v>38950</v>
      </c>
      <c r="F28" s="8" t="s">
        <v>4</v>
      </c>
      <c r="G28" t="s">
        <v>328</v>
      </c>
    </row>
    <row r="29" spans="1:9" x14ac:dyDescent="0.3">
      <c r="A29" s="11" t="s">
        <v>296</v>
      </c>
      <c r="B29" s="21"/>
      <c r="C29" s="21">
        <v>16</v>
      </c>
      <c r="D29" s="21">
        <v>48600</v>
      </c>
      <c r="F29" s="8" t="s">
        <v>322</v>
      </c>
      <c r="G29" t="s">
        <v>326</v>
      </c>
    </row>
    <row r="30" spans="1:9" x14ac:dyDescent="0.3">
      <c r="A30" s="11" t="s">
        <v>293</v>
      </c>
      <c r="B30" s="21"/>
      <c r="C30" s="21">
        <v>41</v>
      </c>
      <c r="D30" s="21">
        <v>-9650</v>
      </c>
      <c r="F30" s="8" t="s">
        <v>305</v>
      </c>
      <c r="G30" t="s">
        <v>310</v>
      </c>
    </row>
    <row r="31" spans="1:9" x14ac:dyDescent="0.3">
      <c r="A31" s="9" t="s">
        <v>301</v>
      </c>
      <c r="B31" s="21"/>
      <c r="C31" s="21">
        <v>19</v>
      </c>
      <c r="D31" s="21">
        <v>913888</v>
      </c>
    </row>
    <row r="32" spans="1:9" x14ac:dyDescent="0.3">
      <c r="A32" s="11" t="s">
        <v>302</v>
      </c>
      <c r="B32" s="21"/>
      <c r="C32" s="21">
        <v>7</v>
      </c>
      <c r="D32" s="21">
        <v>546040</v>
      </c>
      <c r="F32" s="8" t="s">
        <v>311</v>
      </c>
      <c r="G32" t="s">
        <v>331</v>
      </c>
      <c r="H32" t="s">
        <v>330</v>
      </c>
      <c r="I32" t="s">
        <v>327</v>
      </c>
    </row>
    <row r="33" spans="1:9" x14ac:dyDescent="0.3">
      <c r="A33" s="11" t="s">
        <v>303</v>
      </c>
      <c r="B33" s="21"/>
      <c r="C33" s="21">
        <v>6</v>
      </c>
      <c r="D33" s="21">
        <v>177480</v>
      </c>
      <c r="F33" s="9" t="s">
        <v>121</v>
      </c>
      <c r="G33" s="21">
        <v>1</v>
      </c>
      <c r="H33" s="21">
        <v>126</v>
      </c>
      <c r="I33" s="21">
        <v>15163</v>
      </c>
    </row>
    <row r="34" spans="1:9" x14ac:dyDescent="0.3">
      <c r="A34" s="11" t="s">
        <v>304</v>
      </c>
      <c r="B34" s="21"/>
      <c r="C34" s="21">
        <v>6</v>
      </c>
      <c r="D34" s="21">
        <v>190368</v>
      </c>
      <c r="F34" s="11" t="s">
        <v>123</v>
      </c>
      <c r="G34" s="21">
        <v>1</v>
      </c>
      <c r="H34" s="21">
        <v>126</v>
      </c>
      <c r="I34" s="21">
        <v>15163</v>
      </c>
    </row>
    <row r="35" spans="1:9" x14ac:dyDescent="0.3">
      <c r="A35" s="9" t="s">
        <v>312</v>
      </c>
      <c r="B35" s="21">
        <v>14</v>
      </c>
      <c r="C35" s="21">
        <v>494</v>
      </c>
      <c r="D35" s="21">
        <v>1824700.9300000002</v>
      </c>
      <c r="F35" s="9" t="s">
        <v>255</v>
      </c>
      <c r="G35" s="21">
        <v>1</v>
      </c>
      <c r="H35" s="21">
        <v>126</v>
      </c>
      <c r="I35" s="21">
        <v>10284</v>
      </c>
    </row>
    <row r="36" spans="1:9" x14ac:dyDescent="0.3">
      <c r="F36" s="11" t="s">
        <v>257</v>
      </c>
      <c r="G36" s="21">
        <v>1</v>
      </c>
      <c r="H36" s="21">
        <v>126</v>
      </c>
      <c r="I36" s="21">
        <v>10284</v>
      </c>
    </row>
    <row r="37" spans="1:9" x14ac:dyDescent="0.3">
      <c r="F37" s="9" t="s">
        <v>312</v>
      </c>
      <c r="G37" s="21">
        <v>2</v>
      </c>
      <c r="H37" s="21">
        <v>252</v>
      </c>
      <c r="I37" s="21">
        <v>25447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93"/>
  <sheetViews>
    <sheetView workbookViewId="0">
      <pane ySplit="1" topLeftCell="A2" activePane="bottomLeft" state="frozen"/>
      <selection pane="bottomLeft" activeCell="G35" sqref="G35"/>
    </sheetView>
  </sheetViews>
  <sheetFormatPr baseColWidth="10" defaultColWidth="8.88671875" defaultRowHeight="14.4" x14ac:dyDescent="0.3"/>
  <cols>
    <col min="1" max="1" width="11" bestFit="1" customWidth="1"/>
    <col min="2" max="2" width="36" bestFit="1" customWidth="1"/>
    <col min="3" max="3" width="13" bestFit="1" customWidth="1"/>
    <col min="4" max="4" width="17" bestFit="1" customWidth="1"/>
    <col min="5" max="6" width="19" customWidth="1"/>
    <col min="7" max="7" width="29" customWidth="1"/>
    <col min="8" max="8" width="14" customWidth="1"/>
    <col min="9" max="9" width="23" customWidth="1"/>
    <col min="10" max="10" width="21" customWidth="1"/>
    <col min="11" max="11" width="25" customWidth="1"/>
    <col min="12" max="12" width="11.21875" customWidth="1"/>
    <col min="13" max="13" width="10.33203125" customWidth="1"/>
    <col min="14" max="14" width="10.33203125" bestFit="1" customWidth="1"/>
    <col min="15" max="15" width="12.77734375" bestFit="1" customWidth="1"/>
    <col min="16" max="16" width="12.21875" bestFit="1" customWidth="1"/>
    <col min="17" max="17" width="13.6640625" customWidth="1"/>
    <col min="18" max="18" width="12.6640625" bestFit="1" customWidth="1"/>
  </cols>
  <sheetData>
    <row r="1" spans="1:18" ht="52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305</v>
      </c>
      <c r="L1" s="12" t="s">
        <v>316</v>
      </c>
      <c r="M1" s="13" t="s">
        <v>317</v>
      </c>
      <c r="N1" s="14" t="s">
        <v>318</v>
      </c>
      <c r="O1" s="15" t="s">
        <v>319</v>
      </c>
      <c r="P1" s="15" t="s">
        <v>320</v>
      </c>
      <c r="Q1" s="16" t="s">
        <v>321</v>
      </c>
      <c r="R1" s="17" t="s">
        <v>322</v>
      </c>
    </row>
    <row r="2" spans="1:18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3">
        <v>46238</v>
      </c>
      <c r="G2" s="4">
        <v>17</v>
      </c>
      <c r="H2" s="3">
        <v>46245</v>
      </c>
      <c r="I2" s="5">
        <v>236</v>
      </c>
      <c r="J2" s="2" t="s">
        <v>15</v>
      </c>
      <c r="K2" s="2" t="s">
        <v>306</v>
      </c>
      <c r="O2" s="18">
        <f>H2</f>
        <v>46245</v>
      </c>
      <c r="P2" s="19">
        <f>I2/3.356</f>
        <v>70.321811680572111</v>
      </c>
    </row>
    <row r="3" spans="1:18" hidden="1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14</v>
      </c>
      <c r="F3" s="3">
        <v>45980</v>
      </c>
      <c r="G3" s="4">
        <v>275</v>
      </c>
      <c r="H3" s="3">
        <v>45987</v>
      </c>
      <c r="I3" s="5">
        <v>42.48</v>
      </c>
      <c r="J3" s="2" t="s">
        <v>15</v>
      </c>
      <c r="K3" s="2" t="s">
        <v>306</v>
      </c>
      <c r="O3" s="18">
        <f t="shared" ref="O3:O19" si="0">H3</f>
        <v>45987</v>
      </c>
      <c r="P3" s="19">
        <f t="shared" ref="P3:P19" si="1">I3/3.356</f>
        <v>12.65792610250298</v>
      </c>
    </row>
    <row r="4" spans="1:18" hidden="1" x14ac:dyDescent="0.3">
      <c r="A4" s="2" t="s">
        <v>16</v>
      </c>
      <c r="B4" s="2" t="s">
        <v>20</v>
      </c>
      <c r="C4" s="2" t="s">
        <v>21</v>
      </c>
      <c r="D4" s="2" t="s">
        <v>22</v>
      </c>
      <c r="E4" s="2" t="s">
        <v>14</v>
      </c>
      <c r="F4" s="3">
        <v>45980</v>
      </c>
      <c r="G4" s="4">
        <v>275</v>
      </c>
      <c r="H4" s="3">
        <v>45987</v>
      </c>
      <c r="I4" s="5">
        <v>14.16</v>
      </c>
      <c r="J4" s="2" t="s">
        <v>15</v>
      </c>
      <c r="K4" s="2" t="s">
        <v>306</v>
      </c>
      <c r="O4" s="18">
        <f t="shared" si="0"/>
        <v>45987</v>
      </c>
      <c r="P4" s="19">
        <f t="shared" si="1"/>
        <v>4.2193087008343264</v>
      </c>
    </row>
    <row r="5" spans="1:18" hidden="1" x14ac:dyDescent="0.3">
      <c r="A5" s="2" t="s">
        <v>16</v>
      </c>
      <c r="B5" s="2" t="s">
        <v>23</v>
      </c>
      <c r="C5" s="2" t="s">
        <v>24</v>
      </c>
      <c r="D5" s="2" t="s">
        <v>25</v>
      </c>
      <c r="E5" s="2" t="s">
        <v>14</v>
      </c>
      <c r="F5" s="3">
        <v>45980</v>
      </c>
      <c r="G5" s="4">
        <v>275</v>
      </c>
      <c r="H5" s="3">
        <v>45987</v>
      </c>
      <c r="I5" s="5">
        <v>14.16</v>
      </c>
      <c r="J5" s="2" t="s">
        <v>15</v>
      </c>
      <c r="K5" s="2" t="s">
        <v>306</v>
      </c>
      <c r="O5" s="18">
        <f t="shared" si="0"/>
        <v>45987</v>
      </c>
      <c r="P5" s="19">
        <f t="shared" si="1"/>
        <v>4.2193087008343264</v>
      </c>
    </row>
    <row r="6" spans="1:18" hidden="1" x14ac:dyDescent="0.3">
      <c r="A6" s="2" t="s">
        <v>16</v>
      </c>
      <c r="B6" s="2" t="s">
        <v>26</v>
      </c>
      <c r="C6" s="2" t="s">
        <v>27</v>
      </c>
      <c r="D6" s="2" t="s">
        <v>28</v>
      </c>
      <c r="E6" s="2" t="s">
        <v>14</v>
      </c>
      <c r="F6" s="3">
        <v>45981</v>
      </c>
      <c r="G6" s="4">
        <v>274</v>
      </c>
      <c r="H6" s="3">
        <v>45988</v>
      </c>
      <c r="I6" s="5">
        <v>28.32</v>
      </c>
      <c r="J6" s="2" t="s">
        <v>15</v>
      </c>
      <c r="K6" s="2" t="s">
        <v>306</v>
      </c>
      <c r="O6" s="18">
        <f t="shared" si="0"/>
        <v>45988</v>
      </c>
      <c r="P6" s="19">
        <f t="shared" si="1"/>
        <v>8.4386174016686528</v>
      </c>
    </row>
    <row r="7" spans="1:18" hidden="1" x14ac:dyDescent="0.3">
      <c r="A7" s="2" t="s">
        <v>16</v>
      </c>
      <c r="B7" s="2" t="s">
        <v>29</v>
      </c>
      <c r="C7" s="2" t="s">
        <v>30</v>
      </c>
      <c r="D7" s="2" t="s">
        <v>31</v>
      </c>
      <c r="E7" s="2" t="s">
        <v>14</v>
      </c>
      <c r="F7" s="3">
        <v>45981</v>
      </c>
      <c r="G7" s="4">
        <v>274</v>
      </c>
      <c r="H7" s="3">
        <v>45988</v>
      </c>
      <c r="I7" s="5">
        <v>14.16</v>
      </c>
      <c r="J7" s="2" t="s">
        <v>15</v>
      </c>
      <c r="K7" s="2" t="s">
        <v>306</v>
      </c>
      <c r="O7" s="18">
        <f t="shared" si="0"/>
        <v>45988</v>
      </c>
      <c r="P7" s="19">
        <f t="shared" si="1"/>
        <v>4.2193087008343264</v>
      </c>
    </row>
    <row r="8" spans="1:18" hidden="1" x14ac:dyDescent="0.3">
      <c r="A8" s="2" t="s">
        <v>16</v>
      </c>
      <c r="B8" s="2" t="s">
        <v>32</v>
      </c>
      <c r="C8" s="2" t="s">
        <v>33</v>
      </c>
      <c r="D8" s="2" t="s">
        <v>34</v>
      </c>
      <c r="E8" s="2" t="s">
        <v>14</v>
      </c>
      <c r="F8" s="3">
        <v>45982</v>
      </c>
      <c r="G8" s="4">
        <v>273</v>
      </c>
      <c r="H8" s="3">
        <v>45989</v>
      </c>
      <c r="I8" s="5">
        <v>28.32</v>
      </c>
      <c r="J8" s="2" t="s">
        <v>15</v>
      </c>
      <c r="K8" s="2" t="s">
        <v>306</v>
      </c>
      <c r="O8" s="18">
        <f t="shared" si="0"/>
        <v>45989</v>
      </c>
      <c r="P8" s="19">
        <f t="shared" si="1"/>
        <v>8.4386174016686528</v>
      </c>
    </row>
    <row r="9" spans="1:18" hidden="1" x14ac:dyDescent="0.3">
      <c r="A9" s="2" t="s">
        <v>16</v>
      </c>
      <c r="B9" s="2" t="s">
        <v>35</v>
      </c>
      <c r="C9" s="2" t="s">
        <v>36</v>
      </c>
      <c r="D9" s="2" t="s">
        <v>37</v>
      </c>
      <c r="E9" s="2" t="s">
        <v>14</v>
      </c>
      <c r="F9" s="3">
        <v>45982</v>
      </c>
      <c r="G9" s="4">
        <v>273</v>
      </c>
      <c r="H9" s="3">
        <v>45989</v>
      </c>
      <c r="I9" s="5">
        <v>42.48</v>
      </c>
      <c r="J9" s="2" t="s">
        <v>15</v>
      </c>
      <c r="K9" s="2" t="s">
        <v>306</v>
      </c>
      <c r="O9" s="18">
        <f t="shared" si="0"/>
        <v>45989</v>
      </c>
      <c r="P9" s="19">
        <f t="shared" si="1"/>
        <v>12.65792610250298</v>
      </c>
    </row>
    <row r="10" spans="1:18" hidden="1" x14ac:dyDescent="0.3">
      <c r="A10" s="2" t="s">
        <v>16</v>
      </c>
      <c r="B10" s="2" t="s">
        <v>38</v>
      </c>
      <c r="C10" s="2" t="s">
        <v>39</v>
      </c>
      <c r="D10" s="2" t="s">
        <v>40</v>
      </c>
      <c r="E10" s="2" t="s">
        <v>14</v>
      </c>
      <c r="F10" s="3">
        <v>45982</v>
      </c>
      <c r="G10" s="4">
        <v>273</v>
      </c>
      <c r="H10" s="3">
        <v>45989</v>
      </c>
      <c r="I10" s="5">
        <v>42.48</v>
      </c>
      <c r="J10" s="2" t="s">
        <v>15</v>
      </c>
      <c r="K10" s="2" t="s">
        <v>306</v>
      </c>
      <c r="O10" s="18">
        <f t="shared" si="0"/>
        <v>45989</v>
      </c>
      <c r="P10" s="19">
        <f t="shared" si="1"/>
        <v>12.65792610250298</v>
      </c>
    </row>
    <row r="11" spans="1:18" hidden="1" x14ac:dyDescent="0.3">
      <c r="A11" s="2" t="s">
        <v>16</v>
      </c>
      <c r="B11" s="2" t="s">
        <v>41</v>
      </c>
      <c r="C11" s="2" t="s">
        <v>42</v>
      </c>
      <c r="D11" s="2" t="s">
        <v>43</v>
      </c>
      <c r="E11" s="2" t="s">
        <v>14</v>
      </c>
      <c r="F11" s="3">
        <v>45982</v>
      </c>
      <c r="G11" s="4">
        <v>273</v>
      </c>
      <c r="H11" s="3">
        <v>45989</v>
      </c>
      <c r="I11" s="5">
        <v>14.16</v>
      </c>
      <c r="J11" s="2" t="s">
        <v>15</v>
      </c>
      <c r="K11" s="2" t="s">
        <v>306</v>
      </c>
      <c r="O11" s="18">
        <f t="shared" si="0"/>
        <v>45989</v>
      </c>
      <c r="P11" s="19">
        <f t="shared" si="1"/>
        <v>4.2193087008343264</v>
      </c>
    </row>
    <row r="12" spans="1:18" hidden="1" x14ac:dyDescent="0.3">
      <c r="A12" s="2" t="s">
        <v>16</v>
      </c>
      <c r="B12" s="2" t="s">
        <v>44</v>
      </c>
      <c r="C12" s="2" t="s">
        <v>45</v>
      </c>
      <c r="D12" s="2" t="s">
        <v>46</v>
      </c>
      <c r="E12" s="2" t="s">
        <v>14</v>
      </c>
      <c r="F12" s="3">
        <v>45983</v>
      </c>
      <c r="G12" s="4">
        <v>272</v>
      </c>
      <c r="H12" s="3">
        <v>45990</v>
      </c>
      <c r="I12" s="5">
        <v>28.32</v>
      </c>
      <c r="J12" s="2" t="s">
        <v>15</v>
      </c>
      <c r="K12" s="2" t="s">
        <v>306</v>
      </c>
      <c r="O12" s="18">
        <f t="shared" si="0"/>
        <v>45990</v>
      </c>
      <c r="P12" s="19">
        <f t="shared" si="1"/>
        <v>8.4386174016686528</v>
      </c>
    </row>
    <row r="13" spans="1:18" hidden="1" x14ac:dyDescent="0.3">
      <c r="A13" s="2" t="s">
        <v>16</v>
      </c>
      <c r="B13" s="2" t="s">
        <v>47</v>
      </c>
      <c r="C13" s="2" t="s">
        <v>48</v>
      </c>
      <c r="D13" s="2" t="s">
        <v>49</v>
      </c>
      <c r="E13" s="2" t="s">
        <v>14</v>
      </c>
      <c r="F13" s="3">
        <v>45988</v>
      </c>
      <c r="G13" s="4">
        <v>267</v>
      </c>
      <c r="H13" s="3">
        <v>45995</v>
      </c>
      <c r="I13" s="5">
        <v>14.16</v>
      </c>
      <c r="J13" s="2" t="s">
        <v>15</v>
      </c>
      <c r="K13" s="2" t="s">
        <v>306</v>
      </c>
      <c r="O13" s="18">
        <f t="shared" si="0"/>
        <v>45995</v>
      </c>
      <c r="P13" s="19">
        <f t="shared" si="1"/>
        <v>4.2193087008343264</v>
      </c>
    </row>
    <row r="14" spans="1:18" hidden="1" x14ac:dyDescent="0.3">
      <c r="A14" s="2" t="s">
        <v>16</v>
      </c>
      <c r="B14" s="2" t="s">
        <v>50</v>
      </c>
      <c r="C14" s="2" t="s">
        <v>51</v>
      </c>
      <c r="D14" s="2" t="s">
        <v>52</v>
      </c>
      <c r="E14" s="2" t="s">
        <v>14</v>
      </c>
      <c r="F14" s="3">
        <v>46028</v>
      </c>
      <c r="G14" s="4">
        <v>227</v>
      </c>
      <c r="H14" s="3">
        <v>46035</v>
      </c>
      <c r="I14" s="5">
        <v>14.16</v>
      </c>
      <c r="J14" s="2" t="s">
        <v>15</v>
      </c>
      <c r="K14" s="2" t="s">
        <v>306</v>
      </c>
      <c r="O14" s="18">
        <f t="shared" si="0"/>
        <v>46035</v>
      </c>
      <c r="P14" s="19">
        <f t="shared" si="1"/>
        <v>4.2193087008343264</v>
      </c>
    </row>
    <row r="15" spans="1:18" hidden="1" x14ac:dyDescent="0.3">
      <c r="A15" s="2" t="s">
        <v>16</v>
      </c>
      <c r="B15" s="2" t="s">
        <v>53</v>
      </c>
      <c r="C15" s="2" t="s">
        <v>54</v>
      </c>
      <c r="D15" s="2" t="s">
        <v>55</v>
      </c>
      <c r="E15" s="2" t="s">
        <v>14</v>
      </c>
      <c r="F15" s="3">
        <v>46030</v>
      </c>
      <c r="G15" s="4">
        <v>225</v>
      </c>
      <c r="H15" s="3">
        <v>46037</v>
      </c>
      <c r="I15" s="5">
        <v>14.16</v>
      </c>
      <c r="J15" s="2" t="s">
        <v>15</v>
      </c>
      <c r="K15" s="2" t="s">
        <v>306</v>
      </c>
      <c r="O15" s="18">
        <f t="shared" si="0"/>
        <v>46037</v>
      </c>
      <c r="P15" s="19">
        <f t="shared" si="1"/>
        <v>4.2193087008343264</v>
      </c>
    </row>
    <row r="16" spans="1:18" hidden="1" x14ac:dyDescent="0.3">
      <c r="A16" s="2" t="s">
        <v>16</v>
      </c>
      <c r="B16" s="2" t="s">
        <v>56</v>
      </c>
      <c r="C16" s="2" t="s">
        <v>57</v>
      </c>
      <c r="D16" s="2" t="s">
        <v>58</v>
      </c>
      <c r="E16" s="2" t="s">
        <v>14</v>
      </c>
      <c r="F16" s="3">
        <v>46032</v>
      </c>
      <c r="G16" s="4">
        <v>223</v>
      </c>
      <c r="H16" s="3">
        <v>46039</v>
      </c>
      <c r="I16" s="5">
        <v>14.16</v>
      </c>
      <c r="J16" s="2" t="s">
        <v>15</v>
      </c>
      <c r="K16" s="2" t="s">
        <v>306</v>
      </c>
      <c r="O16" s="18">
        <f t="shared" si="0"/>
        <v>46039</v>
      </c>
      <c r="P16" s="19">
        <f t="shared" si="1"/>
        <v>4.2193087008343264</v>
      </c>
    </row>
    <row r="17" spans="1:18" hidden="1" x14ac:dyDescent="0.3">
      <c r="A17" s="2" t="s">
        <v>16</v>
      </c>
      <c r="B17" s="2" t="s">
        <v>59</v>
      </c>
      <c r="C17" s="2" t="s">
        <v>60</v>
      </c>
      <c r="D17" s="2" t="s">
        <v>61</v>
      </c>
      <c r="E17" s="2" t="s">
        <v>14</v>
      </c>
      <c r="F17" s="3">
        <v>46038</v>
      </c>
      <c r="G17" s="4">
        <v>217</v>
      </c>
      <c r="H17" s="3">
        <v>46045</v>
      </c>
      <c r="I17" s="5">
        <v>14.16</v>
      </c>
      <c r="J17" s="2" t="s">
        <v>15</v>
      </c>
      <c r="K17" s="2" t="s">
        <v>306</v>
      </c>
      <c r="O17" s="18">
        <f t="shared" si="0"/>
        <v>46045</v>
      </c>
      <c r="P17" s="19">
        <f t="shared" si="1"/>
        <v>4.2193087008343264</v>
      </c>
    </row>
    <row r="18" spans="1:18" hidden="1" x14ac:dyDescent="0.3">
      <c r="A18" s="2" t="s">
        <v>16</v>
      </c>
      <c r="B18" s="2" t="s">
        <v>62</v>
      </c>
      <c r="C18" s="2" t="s">
        <v>63</v>
      </c>
      <c r="D18" s="2" t="s">
        <v>64</v>
      </c>
      <c r="E18" s="2" t="s">
        <v>14</v>
      </c>
      <c r="F18" s="3">
        <v>46038</v>
      </c>
      <c r="G18" s="4">
        <v>217</v>
      </c>
      <c r="H18" s="3">
        <v>46045</v>
      </c>
      <c r="I18" s="5">
        <v>14.16</v>
      </c>
      <c r="J18" s="2" t="s">
        <v>15</v>
      </c>
      <c r="K18" s="2" t="s">
        <v>306</v>
      </c>
      <c r="O18" s="18">
        <f t="shared" si="0"/>
        <v>46045</v>
      </c>
      <c r="P18" s="19">
        <f t="shared" si="1"/>
        <v>4.2193087008343264</v>
      </c>
    </row>
    <row r="19" spans="1:18" hidden="1" x14ac:dyDescent="0.3">
      <c r="A19" s="2" t="s">
        <v>16</v>
      </c>
      <c r="B19" s="2" t="s">
        <v>65</v>
      </c>
      <c r="C19" s="2" t="s">
        <v>66</v>
      </c>
      <c r="D19" s="2" t="s">
        <v>67</v>
      </c>
      <c r="E19" s="2" t="s">
        <v>14</v>
      </c>
      <c r="F19" s="3">
        <v>46041</v>
      </c>
      <c r="G19" s="4">
        <v>214</v>
      </c>
      <c r="H19" s="3">
        <v>46048</v>
      </c>
      <c r="I19" s="5">
        <v>14.16</v>
      </c>
      <c r="J19" s="2" t="s">
        <v>15</v>
      </c>
      <c r="K19" s="2" t="s">
        <v>306</v>
      </c>
      <c r="O19" s="18">
        <f t="shared" si="0"/>
        <v>46048</v>
      </c>
      <c r="P19" s="19">
        <f t="shared" si="1"/>
        <v>4.2193087008343264</v>
      </c>
    </row>
    <row r="20" spans="1:18" hidden="1" x14ac:dyDescent="0.3">
      <c r="A20" s="2" t="s">
        <v>69</v>
      </c>
      <c r="B20" s="2" t="s">
        <v>70</v>
      </c>
      <c r="C20" s="2" t="s">
        <v>71</v>
      </c>
      <c r="D20" s="2" t="s">
        <v>72</v>
      </c>
      <c r="E20" s="2" t="s">
        <v>68</v>
      </c>
      <c r="F20" s="3">
        <v>46203</v>
      </c>
      <c r="G20" s="4">
        <v>59</v>
      </c>
      <c r="H20" s="3">
        <v>46203</v>
      </c>
      <c r="I20" s="5">
        <v>218730</v>
      </c>
      <c r="J20" s="2" t="s">
        <v>73</v>
      </c>
      <c r="K20" s="2" t="s">
        <v>310</v>
      </c>
      <c r="L20" s="18">
        <f>F20+60</f>
        <v>46263</v>
      </c>
      <c r="M20" s="20">
        <f ca="1">TODAY()-N20</f>
        <v>2</v>
      </c>
      <c r="N20" s="18">
        <v>46263</v>
      </c>
      <c r="O20" s="22">
        <v>46275</v>
      </c>
      <c r="P20" s="10">
        <f>I20</f>
        <v>218730</v>
      </c>
      <c r="Q20" s="20">
        <f ca="1">TODAY()-F20</f>
        <v>62</v>
      </c>
      <c r="R20" t="s">
        <v>325</v>
      </c>
    </row>
    <row r="21" spans="1:18" hidden="1" x14ac:dyDescent="0.3">
      <c r="A21" s="2" t="s">
        <v>69</v>
      </c>
      <c r="B21" s="2" t="s">
        <v>74</v>
      </c>
      <c r="C21" s="2" t="s">
        <v>75</v>
      </c>
      <c r="D21" s="2" t="s">
        <v>76</v>
      </c>
      <c r="E21" s="2" t="s">
        <v>77</v>
      </c>
      <c r="F21" s="3">
        <v>46228</v>
      </c>
      <c r="G21" s="7">
        <v>-26</v>
      </c>
      <c r="H21" s="3">
        <v>46288</v>
      </c>
      <c r="I21" s="5">
        <v>83280</v>
      </c>
      <c r="J21" s="2" t="s">
        <v>73</v>
      </c>
      <c r="K21" s="2" t="s">
        <v>310</v>
      </c>
      <c r="L21" s="18">
        <f t="shared" ref="L21:L29" si="2">F21+60</f>
        <v>46288</v>
      </c>
      <c r="M21" s="20">
        <f t="shared" ref="M21:M29" ca="1" si="3">TODAY()-N21</f>
        <v>-23</v>
      </c>
      <c r="N21" s="18">
        <v>46288</v>
      </c>
      <c r="O21" s="18">
        <f t="shared" ref="O21:O29" si="4">H21</f>
        <v>46288</v>
      </c>
      <c r="P21" s="10">
        <f t="shared" ref="P21:P29" si="5">I21</f>
        <v>83280</v>
      </c>
      <c r="Q21" s="20">
        <f t="shared" ref="Q21:Q29" ca="1" si="6">TODAY()-F21</f>
        <v>37</v>
      </c>
      <c r="R21" t="s">
        <v>323</v>
      </c>
    </row>
    <row r="22" spans="1:18" hidden="1" x14ac:dyDescent="0.3">
      <c r="A22" s="2" t="s">
        <v>69</v>
      </c>
      <c r="B22" s="2" t="s">
        <v>78</v>
      </c>
      <c r="C22" s="2" t="s">
        <v>79</v>
      </c>
      <c r="D22" s="2" t="s">
        <v>80</v>
      </c>
      <c r="E22" s="2" t="s">
        <v>77</v>
      </c>
      <c r="F22" s="3">
        <v>46230</v>
      </c>
      <c r="G22" s="7">
        <v>-88</v>
      </c>
      <c r="H22" s="3">
        <v>46350</v>
      </c>
      <c r="I22" s="5">
        <v>83280</v>
      </c>
      <c r="J22" s="2" t="s">
        <v>73</v>
      </c>
      <c r="K22" s="2" t="s">
        <v>310</v>
      </c>
      <c r="L22" s="18">
        <f t="shared" si="2"/>
        <v>46290</v>
      </c>
      <c r="M22" s="20">
        <f t="shared" ca="1" si="3"/>
        <v>-25</v>
      </c>
      <c r="N22" s="18">
        <v>46290</v>
      </c>
      <c r="O22" s="18">
        <v>46290</v>
      </c>
      <c r="P22" s="10">
        <f t="shared" si="5"/>
        <v>83280</v>
      </c>
      <c r="Q22" s="20">
        <f t="shared" ca="1" si="6"/>
        <v>35</v>
      </c>
      <c r="R22" t="s">
        <v>323</v>
      </c>
    </row>
    <row r="23" spans="1:18" hidden="1" x14ac:dyDescent="0.3">
      <c r="A23" s="2" t="s">
        <v>69</v>
      </c>
      <c r="B23" s="2" t="s">
        <v>81</v>
      </c>
      <c r="C23" s="2" t="s">
        <v>82</v>
      </c>
      <c r="D23" s="2" t="s">
        <v>83</v>
      </c>
      <c r="E23" s="2" t="s">
        <v>77</v>
      </c>
      <c r="F23" s="3">
        <v>46232</v>
      </c>
      <c r="G23" s="7">
        <v>-30</v>
      </c>
      <c r="H23" s="3">
        <v>46292</v>
      </c>
      <c r="I23" s="5">
        <v>41448</v>
      </c>
      <c r="J23" s="2" t="s">
        <v>73</v>
      </c>
      <c r="K23" s="2" t="s">
        <v>310</v>
      </c>
      <c r="L23" s="18">
        <f t="shared" si="2"/>
        <v>46292</v>
      </c>
      <c r="M23" s="20">
        <f t="shared" ca="1" si="3"/>
        <v>-27</v>
      </c>
      <c r="N23" s="18">
        <v>46292</v>
      </c>
      <c r="O23" s="18">
        <f t="shared" si="4"/>
        <v>46292</v>
      </c>
      <c r="P23" s="10">
        <f t="shared" si="5"/>
        <v>41448</v>
      </c>
      <c r="Q23" s="20">
        <f t="shared" ca="1" si="6"/>
        <v>33</v>
      </c>
      <c r="R23" t="s">
        <v>323</v>
      </c>
    </row>
    <row r="24" spans="1:18" hidden="1" x14ac:dyDescent="0.3">
      <c r="A24" s="2" t="s">
        <v>69</v>
      </c>
      <c r="B24" s="2" t="s">
        <v>84</v>
      </c>
      <c r="C24" s="2" t="s">
        <v>85</v>
      </c>
      <c r="D24" s="2" t="s">
        <v>332</v>
      </c>
      <c r="E24" s="2" t="s">
        <v>68</v>
      </c>
      <c r="F24" s="3">
        <v>46234</v>
      </c>
      <c r="G24" s="7">
        <v>-32</v>
      </c>
      <c r="H24" s="3">
        <v>46294</v>
      </c>
      <c r="I24" s="5">
        <v>453030</v>
      </c>
      <c r="J24" s="2" t="s">
        <v>73</v>
      </c>
      <c r="K24" s="2" t="s">
        <v>310</v>
      </c>
      <c r="L24" s="18">
        <f t="shared" si="2"/>
        <v>46294</v>
      </c>
      <c r="M24" s="20">
        <f t="shared" ca="1" si="3"/>
        <v>-29</v>
      </c>
      <c r="N24" s="18">
        <v>46294</v>
      </c>
      <c r="O24" s="18">
        <f t="shared" si="4"/>
        <v>46294</v>
      </c>
      <c r="P24" s="10">
        <v>242430</v>
      </c>
      <c r="Q24" s="20">
        <f t="shared" ca="1" si="6"/>
        <v>31</v>
      </c>
      <c r="R24" t="s">
        <v>323</v>
      </c>
    </row>
    <row r="25" spans="1:18" x14ac:dyDescent="0.3">
      <c r="A25" s="2" t="s">
        <v>69</v>
      </c>
      <c r="B25" s="2" t="s">
        <v>86</v>
      </c>
      <c r="C25" s="2" t="s">
        <v>87</v>
      </c>
      <c r="D25" s="2" t="s">
        <v>334</v>
      </c>
      <c r="E25" s="2" t="s">
        <v>68</v>
      </c>
      <c r="F25" s="3">
        <v>46249</v>
      </c>
      <c r="G25" s="7">
        <v>-47</v>
      </c>
      <c r="H25" s="3">
        <v>46309</v>
      </c>
      <c r="I25" s="5">
        <v>135000</v>
      </c>
      <c r="J25" s="2" t="s">
        <v>73</v>
      </c>
      <c r="K25" s="2" t="s">
        <v>310</v>
      </c>
      <c r="L25" s="18">
        <f t="shared" si="2"/>
        <v>46309</v>
      </c>
      <c r="M25" s="20">
        <f t="shared" ca="1" si="3"/>
        <v>-44</v>
      </c>
      <c r="N25" s="18">
        <v>46309</v>
      </c>
      <c r="O25" s="18">
        <f t="shared" si="4"/>
        <v>46309</v>
      </c>
      <c r="P25" s="10">
        <v>94530</v>
      </c>
      <c r="Q25" s="20">
        <f t="shared" ca="1" si="6"/>
        <v>16</v>
      </c>
      <c r="R25" t="s">
        <v>323</v>
      </c>
    </row>
    <row r="26" spans="1:18" x14ac:dyDescent="0.3">
      <c r="A26" s="2" t="s">
        <v>69</v>
      </c>
      <c r="B26" s="2" t="s">
        <v>88</v>
      </c>
      <c r="C26" s="2" t="s">
        <v>89</v>
      </c>
      <c r="D26" s="2" t="s">
        <v>335</v>
      </c>
      <c r="E26" s="2" t="s">
        <v>68</v>
      </c>
      <c r="F26" s="3">
        <v>46249</v>
      </c>
      <c r="G26" s="7">
        <v>-47</v>
      </c>
      <c r="H26" s="3">
        <v>46309</v>
      </c>
      <c r="I26" s="5">
        <v>41400</v>
      </c>
      <c r="J26" s="2" t="s">
        <v>73</v>
      </c>
      <c r="K26" s="2" t="s">
        <v>310</v>
      </c>
      <c r="L26" s="18">
        <f t="shared" si="2"/>
        <v>46309</v>
      </c>
      <c r="M26" s="20">
        <f t="shared" ca="1" si="3"/>
        <v>-44</v>
      </c>
      <c r="N26" s="18">
        <v>46309</v>
      </c>
      <c r="O26" s="18">
        <f t="shared" si="4"/>
        <v>46309</v>
      </c>
      <c r="P26" s="10">
        <v>29010</v>
      </c>
      <c r="Q26" s="20">
        <f t="shared" ca="1" si="6"/>
        <v>16</v>
      </c>
      <c r="R26" t="s">
        <v>323</v>
      </c>
    </row>
    <row r="27" spans="1:18" x14ac:dyDescent="0.3">
      <c r="A27" s="2" t="s">
        <v>69</v>
      </c>
      <c r="B27" s="2" t="s">
        <v>90</v>
      </c>
      <c r="C27" s="2" t="s">
        <v>91</v>
      </c>
      <c r="D27" s="2" t="s">
        <v>333</v>
      </c>
      <c r="E27" s="2" t="s">
        <v>68</v>
      </c>
      <c r="F27" s="3">
        <v>46249</v>
      </c>
      <c r="G27" s="7">
        <v>-47</v>
      </c>
      <c r="H27" s="3">
        <v>46309</v>
      </c>
      <c r="I27" s="5">
        <v>78300</v>
      </c>
      <c r="J27" s="2" t="s">
        <v>73</v>
      </c>
      <c r="K27" s="2" t="s">
        <v>310</v>
      </c>
      <c r="L27" s="18">
        <f t="shared" si="2"/>
        <v>46309</v>
      </c>
      <c r="M27" s="20">
        <f t="shared" ca="1" si="3"/>
        <v>-44</v>
      </c>
      <c r="N27" s="18">
        <v>46309</v>
      </c>
      <c r="O27" s="18">
        <f t="shared" si="4"/>
        <v>46309</v>
      </c>
      <c r="P27" s="10">
        <v>54840</v>
      </c>
      <c r="Q27" s="20">
        <f t="shared" ca="1" si="6"/>
        <v>16</v>
      </c>
      <c r="R27" t="s">
        <v>323</v>
      </c>
    </row>
    <row r="28" spans="1:18" x14ac:dyDescent="0.3">
      <c r="A28" s="2" t="s">
        <v>69</v>
      </c>
      <c r="B28" s="2" t="s">
        <v>92</v>
      </c>
      <c r="C28" s="2" t="s">
        <v>93</v>
      </c>
      <c r="D28" s="2" t="s">
        <v>336</v>
      </c>
      <c r="E28" s="2" t="s">
        <v>68</v>
      </c>
      <c r="F28" s="3">
        <v>46249</v>
      </c>
      <c r="G28" s="7">
        <v>-47</v>
      </c>
      <c r="H28" s="3">
        <v>46309</v>
      </c>
      <c r="I28" s="5">
        <v>42240</v>
      </c>
      <c r="J28" s="2" t="s">
        <v>73</v>
      </c>
      <c r="K28" s="2" t="s">
        <v>310</v>
      </c>
      <c r="L28" s="18">
        <f t="shared" si="2"/>
        <v>46309</v>
      </c>
      <c r="M28" s="20">
        <f t="shared" ca="1" si="3"/>
        <v>-44</v>
      </c>
      <c r="N28" s="18">
        <v>46309</v>
      </c>
      <c r="O28" s="18">
        <f t="shared" si="4"/>
        <v>46309</v>
      </c>
      <c r="P28" s="10">
        <v>29598</v>
      </c>
      <c r="Q28" s="20">
        <f t="shared" ca="1" si="6"/>
        <v>16</v>
      </c>
      <c r="R28" t="s">
        <v>323</v>
      </c>
    </row>
    <row r="29" spans="1:18" x14ac:dyDescent="0.3">
      <c r="A29" s="2" t="s">
        <v>69</v>
      </c>
      <c r="B29" s="2" t="s">
        <v>94</v>
      </c>
      <c r="C29" s="2" t="s">
        <v>95</v>
      </c>
      <c r="D29" s="2" t="s">
        <v>96</v>
      </c>
      <c r="E29" s="2" t="s">
        <v>77</v>
      </c>
      <c r="F29" s="3">
        <v>46250</v>
      </c>
      <c r="G29" s="7">
        <v>-48</v>
      </c>
      <c r="H29" s="3">
        <v>46310</v>
      </c>
      <c r="I29" s="5">
        <v>41064</v>
      </c>
      <c r="J29" s="2" t="s">
        <v>73</v>
      </c>
      <c r="K29" s="2" t="s">
        <v>310</v>
      </c>
      <c r="L29" s="18">
        <f t="shared" si="2"/>
        <v>46310</v>
      </c>
      <c r="M29" s="20">
        <f t="shared" ca="1" si="3"/>
        <v>-45</v>
      </c>
      <c r="N29" s="18">
        <v>46310</v>
      </c>
      <c r="O29" s="18">
        <f t="shared" si="4"/>
        <v>46310</v>
      </c>
      <c r="P29" s="10">
        <f t="shared" si="5"/>
        <v>41064</v>
      </c>
      <c r="Q29" s="20">
        <f t="shared" ca="1" si="6"/>
        <v>15</v>
      </c>
      <c r="R29" t="s">
        <v>323</v>
      </c>
    </row>
    <row r="30" spans="1:18" x14ac:dyDescent="0.3">
      <c r="A30" s="2" t="s">
        <v>98</v>
      </c>
      <c r="B30" s="2" t="s">
        <v>99</v>
      </c>
      <c r="C30" s="2" t="s">
        <v>100</v>
      </c>
      <c r="D30" s="2" t="s">
        <v>101</v>
      </c>
      <c r="E30" s="2" t="s">
        <v>14</v>
      </c>
      <c r="F30" s="3">
        <v>46249</v>
      </c>
      <c r="G30" s="4">
        <v>6</v>
      </c>
      <c r="H30" s="3">
        <v>46256</v>
      </c>
      <c r="I30" s="5">
        <v>283.2</v>
      </c>
      <c r="J30" s="2" t="s">
        <v>15</v>
      </c>
      <c r="K30" s="2" t="s">
        <v>306</v>
      </c>
      <c r="O30" s="18">
        <f t="shared" ref="O30:O34" si="7">H30</f>
        <v>46256</v>
      </c>
      <c r="P30" s="19">
        <f t="shared" ref="P30:P34" si="8">I30/3.356</f>
        <v>84.386174016686525</v>
      </c>
    </row>
    <row r="31" spans="1:18" x14ac:dyDescent="0.3">
      <c r="A31" s="2" t="s">
        <v>98</v>
      </c>
      <c r="B31" s="2" t="s">
        <v>102</v>
      </c>
      <c r="C31" s="2" t="s">
        <v>103</v>
      </c>
      <c r="D31" s="2" t="s">
        <v>104</v>
      </c>
      <c r="E31" s="2" t="s">
        <v>14</v>
      </c>
      <c r="F31" s="3">
        <v>46253</v>
      </c>
      <c r="G31" s="4">
        <v>2</v>
      </c>
      <c r="H31" s="3">
        <v>46260</v>
      </c>
      <c r="I31" s="5">
        <v>354</v>
      </c>
      <c r="J31" s="2" t="s">
        <v>15</v>
      </c>
      <c r="K31" s="2" t="s">
        <v>306</v>
      </c>
      <c r="O31" s="18">
        <f t="shared" si="7"/>
        <v>46260</v>
      </c>
      <c r="P31" s="19">
        <f t="shared" si="8"/>
        <v>105.48271752085817</v>
      </c>
    </row>
    <row r="32" spans="1:18" x14ac:dyDescent="0.3">
      <c r="A32" s="2" t="s">
        <v>98</v>
      </c>
      <c r="B32" s="2" t="s">
        <v>105</v>
      </c>
      <c r="C32" s="2" t="s">
        <v>106</v>
      </c>
      <c r="D32" s="2" t="s">
        <v>107</v>
      </c>
      <c r="E32" s="2" t="s">
        <v>14</v>
      </c>
      <c r="F32" s="3">
        <v>46255</v>
      </c>
      <c r="G32" s="4">
        <v>0</v>
      </c>
      <c r="H32" s="3">
        <v>46262</v>
      </c>
      <c r="I32" s="5">
        <v>424.8</v>
      </c>
      <c r="J32" s="2" t="s">
        <v>15</v>
      </c>
      <c r="K32" s="2" t="s">
        <v>306</v>
      </c>
      <c r="O32" s="18">
        <f t="shared" si="7"/>
        <v>46262</v>
      </c>
      <c r="P32" s="19">
        <f t="shared" si="8"/>
        <v>126.57926102502981</v>
      </c>
    </row>
    <row r="33" spans="1:18" x14ac:dyDescent="0.3">
      <c r="A33" s="2" t="s">
        <v>98</v>
      </c>
      <c r="B33" s="2" t="s">
        <v>108</v>
      </c>
      <c r="C33" s="2" t="s">
        <v>109</v>
      </c>
      <c r="D33" s="2" t="s">
        <v>110</v>
      </c>
      <c r="E33" s="2" t="s">
        <v>14</v>
      </c>
      <c r="F33" s="3">
        <v>46259</v>
      </c>
      <c r="G33" s="7">
        <v>-4</v>
      </c>
      <c r="H33" s="3">
        <v>46266</v>
      </c>
      <c r="I33" s="5">
        <v>283.2</v>
      </c>
      <c r="J33" s="2" t="s">
        <v>15</v>
      </c>
      <c r="K33" s="2" t="s">
        <v>306</v>
      </c>
      <c r="O33" s="18">
        <f t="shared" si="7"/>
        <v>46266</v>
      </c>
      <c r="P33" s="19">
        <f t="shared" si="8"/>
        <v>84.386174016686525</v>
      </c>
    </row>
    <row r="34" spans="1:18" x14ac:dyDescent="0.3">
      <c r="A34" s="2" t="s">
        <v>98</v>
      </c>
      <c r="B34" s="2" t="s">
        <v>111</v>
      </c>
      <c r="C34" s="2" t="s">
        <v>112</v>
      </c>
      <c r="D34" s="2" t="s">
        <v>113</v>
      </c>
      <c r="E34" s="2" t="s">
        <v>14</v>
      </c>
      <c r="F34" s="3">
        <v>46261</v>
      </c>
      <c r="G34" s="7">
        <v>-6</v>
      </c>
      <c r="H34" s="3">
        <v>46268</v>
      </c>
      <c r="I34" s="5">
        <v>283.2</v>
      </c>
      <c r="J34" s="2" t="s">
        <v>15</v>
      </c>
      <c r="K34" s="2" t="s">
        <v>306</v>
      </c>
      <c r="O34" s="18">
        <f t="shared" si="7"/>
        <v>46268</v>
      </c>
      <c r="P34" s="19">
        <f t="shared" si="8"/>
        <v>84.386174016686525</v>
      </c>
    </row>
    <row r="35" spans="1:18" x14ac:dyDescent="0.3">
      <c r="A35" s="2" t="s">
        <v>114</v>
      </c>
      <c r="B35" s="2" t="s">
        <v>117</v>
      </c>
      <c r="C35" s="2" t="s">
        <v>118</v>
      </c>
      <c r="D35" s="2" t="s">
        <v>119</v>
      </c>
      <c r="E35" s="2" t="s">
        <v>116</v>
      </c>
      <c r="F35" s="3">
        <v>46247</v>
      </c>
      <c r="G35" s="4">
        <v>0</v>
      </c>
      <c r="H35" s="3">
        <v>46265</v>
      </c>
      <c r="I35" s="6">
        <v>-31032</v>
      </c>
      <c r="J35" s="2" t="s">
        <v>73</v>
      </c>
      <c r="K35" s="2" t="s">
        <v>310</v>
      </c>
      <c r="L35" s="18">
        <f t="shared" ref="L35:L37" si="9">F35+60</f>
        <v>46307</v>
      </c>
      <c r="M35" s="20"/>
      <c r="N35" s="18"/>
      <c r="O35" s="18">
        <f>F35</f>
        <v>46247</v>
      </c>
      <c r="P35" s="10">
        <f t="shared" ref="P35:P37" si="10">I35</f>
        <v>-31032</v>
      </c>
      <c r="Q35" s="20">
        <f t="shared" ref="Q35:Q37" ca="1" si="11">TODAY()-F35</f>
        <v>18</v>
      </c>
      <c r="R35" t="s">
        <v>323</v>
      </c>
    </row>
    <row r="36" spans="1:18" hidden="1" x14ac:dyDescent="0.3">
      <c r="A36" s="2" t="s">
        <v>120</v>
      </c>
      <c r="B36" s="2" t="s">
        <v>121</v>
      </c>
      <c r="C36" s="2" t="s">
        <v>122</v>
      </c>
      <c r="D36" s="2" t="s">
        <v>123</v>
      </c>
      <c r="E36" s="2" t="s">
        <v>68</v>
      </c>
      <c r="F36" s="3">
        <v>46139</v>
      </c>
      <c r="G36" s="4">
        <v>123</v>
      </c>
      <c r="H36" s="3">
        <v>46139</v>
      </c>
      <c r="I36" s="5">
        <v>15163</v>
      </c>
      <c r="J36" s="2" t="s">
        <v>73</v>
      </c>
      <c r="K36" s="2" t="s">
        <v>310</v>
      </c>
      <c r="L36" s="18">
        <f t="shared" si="9"/>
        <v>46199</v>
      </c>
      <c r="M36" s="20">
        <f t="shared" ref="M36" ca="1" si="12">TODAY()-N36</f>
        <v>-45</v>
      </c>
      <c r="N36" s="18">
        <v>46310</v>
      </c>
      <c r="O36" s="18">
        <v>46310</v>
      </c>
      <c r="P36" s="10">
        <f t="shared" si="10"/>
        <v>15163</v>
      </c>
      <c r="Q36" s="20">
        <f t="shared" ca="1" si="11"/>
        <v>126</v>
      </c>
      <c r="R36" t="s">
        <v>326</v>
      </c>
    </row>
    <row r="37" spans="1:18" x14ac:dyDescent="0.3">
      <c r="A37" s="2" t="s">
        <v>124</v>
      </c>
      <c r="B37" s="2" t="s">
        <v>125</v>
      </c>
      <c r="C37" s="2" t="s">
        <v>126</v>
      </c>
      <c r="D37" s="2" t="s">
        <v>127</v>
      </c>
      <c r="E37" s="2" t="s">
        <v>116</v>
      </c>
      <c r="F37" s="3">
        <v>46259</v>
      </c>
      <c r="G37" s="4">
        <v>0</v>
      </c>
      <c r="H37" s="3">
        <v>46265</v>
      </c>
      <c r="I37" s="6">
        <v>-13902</v>
      </c>
      <c r="J37" s="2" t="s">
        <v>73</v>
      </c>
      <c r="K37" s="2" t="s">
        <v>310</v>
      </c>
      <c r="L37" s="18">
        <f t="shared" si="9"/>
        <v>46319</v>
      </c>
      <c r="M37" s="20"/>
      <c r="N37" s="18"/>
      <c r="O37" s="18">
        <f>F37</f>
        <v>46259</v>
      </c>
      <c r="P37" s="10">
        <f t="shared" si="10"/>
        <v>-13902</v>
      </c>
      <c r="Q37" s="20">
        <f t="shared" ca="1" si="11"/>
        <v>6</v>
      </c>
      <c r="R37" t="s">
        <v>323</v>
      </c>
    </row>
    <row r="38" spans="1:18" x14ac:dyDescent="0.3">
      <c r="A38" s="2" t="s">
        <v>128</v>
      </c>
      <c r="B38" s="2" t="s">
        <v>129</v>
      </c>
      <c r="C38" s="2" t="s">
        <v>130</v>
      </c>
      <c r="D38" s="2" t="s">
        <v>131</v>
      </c>
      <c r="E38" s="2" t="s">
        <v>14</v>
      </c>
      <c r="F38" s="3">
        <v>46242</v>
      </c>
      <c r="G38" s="4">
        <v>13</v>
      </c>
      <c r="H38" s="3">
        <v>46249</v>
      </c>
      <c r="I38" s="5">
        <v>20060</v>
      </c>
      <c r="J38" s="2" t="s">
        <v>73</v>
      </c>
      <c r="K38" s="2" t="s">
        <v>314</v>
      </c>
      <c r="O38" s="18">
        <f>H38</f>
        <v>46249</v>
      </c>
      <c r="P38" s="10">
        <f>I38</f>
        <v>20060</v>
      </c>
    </row>
    <row r="39" spans="1:18" x14ac:dyDescent="0.3">
      <c r="A39" s="2" t="s">
        <v>128</v>
      </c>
      <c r="B39" s="2" t="s">
        <v>132</v>
      </c>
      <c r="C39" s="2" t="s">
        <v>133</v>
      </c>
      <c r="D39" s="2" t="s">
        <v>134</v>
      </c>
      <c r="E39" s="2" t="s">
        <v>135</v>
      </c>
      <c r="F39" s="3">
        <v>46259</v>
      </c>
      <c r="G39" s="4">
        <v>13</v>
      </c>
      <c r="H39" s="3">
        <v>46249</v>
      </c>
      <c r="I39" s="6">
        <v>-7434</v>
      </c>
      <c r="J39" s="2" t="s">
        <v>73</v>
      </c>
      <c r="K39" s="2" t="s">
        <v>314</v>
      </c>
      <c r="O39" s="18">
        <f t="shared" ref="O39:O48" si="13">H39</f>
        <v>46249</v>
      </c>
      <c r="P39" s="10">
        <f t="shared" ref="P39:P40" si="14">I39</f>
        <v>-7434</v>
      </c>
    </row>
    <row r="40" spans="1:18" x14ac:dyDescent="0.3">
      <c r="A40" s="2" t="s">
        <v>128</v>
      </c>
      <c r="B40" s="2" t="s">
        <v>136</v>
      </c>
      <c r="C40" s="2" t="s">
        <v>137</v>
      </c>
      <c r="D40" s="2" t="s">
        <v>138</v>
      </c>
      <c r="E40" s="2" t="s">
        <v>14</v>
      </c>
      <c r="F40" s="3">
        <v>46262</v>
      </c>
      <c r="G40" s="7">
        <v>-7</v>
      </c>
      <c r="H40" s="3">
        <v>46269</v>
      </c>
      <c r="I40" s="5">
        <v>4293.67</v>
      </c>
      <c r="J40" s="2" t="s">
        <v>73</v>
      </c>
      <c r="K40" s="2" t="s">
        <v>314</v>
      </c>
      <c r="O40" s="18">
        <f t="shared" si="13"/>
        <v>46269</v>
      </c>
      <c r="P40" s="10">
        <f t="shared" si="14"/>
        <v>4293.67</v>
      </c>
    </row>
    <row r="41" spans="1:18" hidden="1" x14ac:dyDescent="0.3">
      <c r="A41" s="2" t="s">
        <v>139</v>
      </c>
      <c r="B41" s="2" t="s">
        <v>140</v>
      </c>
      <c r="C41" s="2" t="s">
        <v>141</v>
      </c>
      <c r="D41" s="2" t="s">
        <v>142</v>
      </c>
      <c r="E41" s="2" t="s">
        <v>14</v>
      </c>
      <c r="F41" s="3">
        <v>46227</v>
      </c>
      <c r="G41" s="4">
        <v>28</v>
      </c>
      <c r="H41" s="3">
        <v>46234</v>
      </c>
      <c r="I41" s="5">
        <v>617.85</v>
      </c>
      <c r="J41" s="2" t="s">
        <v>15</v>
      </c>
      <c r="K41" s="2" t="s">
        <v>306</v>
      </c>
      <c r="O41" s="18">
        <f t="shared" si="13"/>
        <v>46234</v>
      </c>
      <c r="P41" s="19">
        <f t="shared" ref="P41:P46" si="15">I41/3.356</f>
        <v>184.10309892729441</v>
      </c>
    </row>
    <row r="42" spans="1:18" hidden="1" x14ac:dyDescent="0.3">
      <c r="A42" s="2" t="s">
        <v>139</v>
      </c>
      <c r="B42" s="2" t="s">
        <v>143</v>
      </c>
      <c r="C42" s="2" t="s">
        <v>144</v>
      </c>
      <c r="D42" s="2" t="s">
        <v>145</v>
      </c>
      <c r="E42" s="2" t="s">
        <v>14</v>
      </c>
      <c r="F42" s="3">
        <v>46227</v>
      </c>
      <c r="G42" s="4">
        <v>28</v>
      </c>
      <c r="H42" s="3">
        <v>46234</v>
      </c>
      <c r="I42" s="5">
        <v>177</v>
      </c>
      <c r="J42" s="2" t="s">
        <v>15</v>
      </c>
      <c r="K42" s="2" t="s">
        <v>306</v>
      </c>
      <c r="O42" s="18">
        <f t="shared" si="13"/>
        <v>46234</v>
      </c>
      <c r="P42" s="19">
        <f t="shared" si="15"/>
        <v>52.741358760429087</v>
      </c>
    </row>
    <row r="43" spans="1:18" hidden="1" x14ac:dyDescent="0.3">
      <c r="A43" s="2" t="s">
        <v>139</v>
      </c>
      <c r="B43" s="2" t="s">
        <v>146</v>
      </c>
      <c r="C43" s="2" t="s">
        <v>147</v>
      </c>
      <c r="D43" s="2" t="s">
        <v>148</v>
      </c>
      <c r="E43" s="2" t="s">
        <v>14</v>
      </c>
      <c r="F43" s="3">
        <v>46227</v>
      </c>
      <c r="G43" s="4">
        <v>28</v>
      </c>
      <c r="H43" s="3">
        <v>46234</v>
      </c>
      <c r="I43" s="5">
        <v>673.02</v>
      </c>
      <c r="J43" s="2" t="s">
        <v>15</v>
      </c>
      <c r="K43" s="2" t="s">
        <v>306</v>
      </c>
      <c r="O43" s="18">
        <f t="shared" si="13"/>
        <v>46234</v>
      </c>
      <c r="P43" s="19">
        <f t="shared" si="15"/>
        <v>200.54231227651968</v>
      </c>
    </row>
    <row r="44" spans="1:18" hidden="1" x14ac:dyDescent="0.3">
      <c r="A44" s="2" t="s">
        <v>139</v>
      </c>
      <c r="B44" s="2" t="s">
        <v>149</v>
      </c>
      <c r="C44" s="2" t="s">
        <v>150</v>
      </c>
      <c r="D44" s="2" t="s">
        <v>151</v>
      </c>
      <c r="E44" s="2" t="s">
        <v>14</v>
      </c>
      <c r="F44" s="3">
        <v>46227</v>
      </c>
      <c r="G44" s="4">
        <v>28</v>
      </c>
      <c r="H44" s="3">
        <v>46234</v>
      </c>
      <c r="I44" s="5">
        <v>177</v>
      </c>
      <c r="J44" s="2" t="s">
        <v>15</v>
      </c>
      <c r="K44" s="2" t="s">
        <v>306</v>
      </c>
      <c r="O44" s="18">
        <f t="shared" si="13"/>
        <v>46234</v>
      </c>
      <c r="P44" s="19">
        <f t="shared" si="15"/>
        <v>52.741358760429087</v>
      </c>
    </row>
    <row r="45" spans="1:18" hidden="1" x14ac:dyDescent="0.3">
      <c r="A45" s="2" t="s">
        <v>139</v>
      </c>
      <c r="B45" s="2" t="s">
        <v>152</v>
      </c>
      <c r="C45" s="2" t="s">
        <v>153</v>
      </c>
      <c r="D45" s="2" t="s">
        <v>154</v>
      </c>
      <c r="E45" s="2" t="s">
        <v>14</v>
      </c>
      <c r="F45" s="3">
        <v>46230</v>
      </c>
      <c r="G45" s="4">
        <v>25</v>
      </c>
      <c r="H45" s="3">
        <v>46237</v>
      </c>
      <c r="I45" s="5">
        <v>47.2</v>
      </c>
      <c r="J45" s="2" t="s">
        <v>15</v>
      </c>
      <c r="K45" s="2" t="s">
        <v>306</v>
      </c>
      <c r="O45" s="18">
        <f t="shared" si="13"/>
        <v>46237</v>
      </c>
      <c r="P45" s="19">
        <f t="shared" si="15"/>
        <v>14.064362336114423</v>
      </c>
    </row>
    <row r="46" spans="1:18" hidden="1" x14ac:dyDescent="0.3">
      <c r="A46" s="2" t="s">
        <v>139</v>
      </c>
      <c r="B46" s="2" t="s">
        <v>155</v>
      </c>
      <c r="C46" s="2" t="s">
        <v>156</v>
      </c>
      <c r="D46" s="2" t="s">
        <v>157</v>
      </c>
      <c r="E46" s="2" t="s">
        <v>14</v>
      </c>
      <c r="F46" s="3">
        <v>46230</v>
      </c>
      <c r="G46" s="4">
        <v>25</v>
      </c>
      <c r="H46" s="3">
        <v>46237</v>
      </c>
      <c r="I46" s="5">
        <v>266.44</v>
      </c>
      <c r="J46" s="2" t="s">
        <v>15</v>
      </c>
      <c r="K46" s="2" t="s">
        <v>306</v>
      </c>
      <c r="O46" s="18">
        <f t="shared" si="13"/>
        <v>46237</v>
      </c>
      <c r="P46" s="19">
        <f t="shared" si="15"/>
        <v>79.392133492252682</v>
      </c>
    </row>
    <row r="47" spans="1:18" hidden="1" x14ac:dyDescent="0.3">
      <c r="A47" s="2" t="s">
        <v>158</v>
      </c>
      <c r="B47" s="2" t="s">
        <v>159</v>
      </c>
      <c r="C47" s="2" t="s">
        <v>160</v>
      </c>
      <c r="D47" s="2" t="s">
        <v>161</v>
      </c>
      <c r="E47" s="2" t="s">
        <v>68</v>
      </c>
      <c r="F47" s="3">
        <v>46230</v>
      </c>
      <c r="G47" s="4">
        <v>32</v>
      </c>
      <c r="H47" s="3">
        <v>46230</v>
      </c>
      <c r="I47" s="5">
        <v>55195</v>
      </c>
      <c r="J47" s="2" t="s">
        <v>73</v>
      </c>
      <c r="K47" s="2" t="s">
        <v>310</v>
      </c>
      <c r="L47" s="18">
        <f t="shared" ref="L47:L49" si="16">F47+60</f>
        <v>46290</v>
      </c>
      <c r="M47" s="20">
        <f t="shared" ref="M47:M49" ca="1" si="17">TODAY()-N47</f>
        <v>-25</v>
      </c>
      <c r="N47" s="18">
        <v>46290</v>
      </c>
      <c r="O47" s="18">
        <v>46290</v>
      </c>
      <c r="P47" s="10">
        <f t="shared" ref="P47:P49" si="18">I47</f>
        <v>55195</v>
      </c>
      <c r="Q47" s="20">
        <f t="shared" ref="Q47:Q49" ca="1" si="19">TODAY()-F47</f>
        <v>35</v>
      </c>
      <c r="R47" t="s">
        <v>323</v>
      </c>
    </row>
    <row r="48" spans="1:18" hidden="1" x14ac:dyDescent="0.3">
      <c r="A48" s="2" t="s">
        <v>158</v>
      </c>
      <c r="B48" s="2" t="s">
        <v>162</v>
      </c>
      <c r="C48" s="2" t="s">
        <v>163</v>
      </c>
      <c r="D48" s="2" t="s">
        <v>164</v>
      </c>
      <c r="E48" s="2" t="s">
        <v>77</v>
      </c>
      <c r="F48" s="3">
        <v>46234</v>
      </c>
      <c r="G48" s="7">
        <v>-32</v>
      </c>
      <c r="H48" s="3">
        <v>46294</v>
      </c>
      <c r="I48" s="5">
        <v>29925</v>
      </c>
      <c r="J48" s="2" t="s">
        <v>73</v>
      </c>
      <c r="K48" s="2" t="s">
        <v>310</v>
      </c>
      <c r="L48" s="18">
        <f t="shared" si="16"/>
        <v>46294</v>
      </c>
      <c r="M48" s="20">
        <f t="shared" ca="1" si="17"/>
        <v>-29</v>
      </c>
      <c r="N48" s="18">
        <v>46294</v>
      </c>
      <c r="O48" s="18">
        <f t="shared" si="13"/>
        <v>46294</v>
      </c>
      <c r="P48" s="10">
        <f t="shared" si="18"/>
        <v>29925</v>
      </c>
      <c r="Q48" s="20">
        <f t="shared" ca="1" si="19"/>
        <v>31</v>
      </c>
      <c r="R48" t="s">
        <v>323</v>
      </c>
    </row>
    <row r="49" spans="1:18" hidden="1" x14ac:dyDescent="0.3">
      <c r="A49" s="2" t="s">
        <v>165</v>
      </c>
      <c r="B49" s="2" t="s">
        <v>166</v>
      </c>
      <c r="C49" s="2" t="s">
        <v>167</v>
      </c>
      <c r="D49" s="2" t="s">
        <v>168</v>
      </c>
      <c r="E49" s="2" t="s">
        <v>97</v>
      </c>
      <c r="F49" s="3">
        <v>46220</v>
      </c>
      <c r="G49" s="4">
        <v>42</v>
      </c>
      <c r="H49" s="3">
        <v>46220</v>
      </c>
      <c r="I49" s="5">
        <v>2706.93</v>
      </c>
      <c r="J49" s="2" t="s">
        <v>73</v>
      </c>
      <c r="K49" s="2" t="s">
        <v>310</v>
      </c>
      <c r="L49" s="18">
        <f t="shared" si="16"/>
        <v>46280</v>
      </c>
      <c r="M49" s="20">
        <f t="shared" ca="1" si="17"/>
        <v>-45</v>
      </c>
      <c r="N49" s="18">
        <v>46310</v>
      </c>
      <c r="O49" s="18">
        <v>46310</v>
      </c>
      <c r="P49" s="10">
        <f t="shared" si="18"/>
        <v>2706.93</v>
      </c>
      <c r="Q49" s="20">
        <f t="shared" ca="1" si="19"/>
        <v>45</v>
      </c>
      <c r="R49" t="s">
        <v>323</v>
      </c>
    </row>
    <row r="50" spans="1:18" hidden="1" x14ac:dyDescent="0.3">
      <c r="A50" s="2" t="s">
        <v>169</v>
      </c>
      <c r="B50" s="2" t="s">
        <v>170</v>
      </c>
      <c r="C50" s="2" t="s">
        <v>171</v>
      </c>
      <c r="D50" s="2" t="s">
        <v>172</v>
      </c>
      <c r="E50" s="2" t="s">
        <v>14</v>
      </c>
      <c r="F50" s="3">
        <v>45964</v>
      </c>
      <c r="G50" s="4">
        <v>291</v>
      </c>
      <c r="H50" s="3">
        <v>45971</v>
      </c>
      <c r="I50" s="5">
        <v>1403.26</v>
      </c>
      <c r="J50" s="2" t="s">
        <v>15</v>
      </c>
      <c r="K50" s="2" t="s">
        <v>307</v>
      </c>
      <c r="O50" s="18">
        <f>H50</f>
        <v>45971</v>
      </c>
      <c r="P50" s="19">
        <f>I50/3.356</f>
        <v>418.13468414779499</v>
      </c>
    </row>
    <row r="51" spans="1:18" hidden="1" x14ac:dyDescent="0.3">
      <c r="A51" s="2" t="s">
        <v>169</v>
      </c>
      <c r="B51" s="2" t="s">
        <v>173</v>
      </c>
      <c r="C51" s="2" t="s">
        <v>174</v>
      </c>
      <c r="D51" s="2" t="s">
        <v>175</v>
      </c>
      <c r="E51" s="2" t="s">
        <v>14</v>
      </c>
      <c r="F51" s="3">
        <v>45964</v>
      </c>
      <c r="G51" s="4">
        <v>291</v>
      </c>
      <c r="H51" s="3">
        <v>45971</v>
      </c>
      <c r="I51" s="5">
        <v>141.6</v>
      </c>
      <c r="J51" s="2" t="s">
        <v>15</v>
      </c>
      <c r="K51" s="2" t="s">
        <v>307</v>
      </c>
      <c r="O51" s="18">
        <f t="shared" ref="O51:O71" si="20">H51</f>
        <v>45971</v>
      </c>
      <c r="P51" s="19">
        <f t="shared" ref="P51:P71" si="21">I51/3.356</f>
        <v>42.193087008343262</v>
      </c>
    </row>
    <row r="52" spans="1:18" hidden="1" x14ac:dyDescent="0.3">
      <c r="A52" s="2" t="s">
        <v>169</v>
      </c>
      <c r="B52" s="2" t="s">
        <v>170</v>
      </c>
      <c r="C52" s="2" t="s">
        <v>176</v>
      </c>
      <c r="D52" s="2" t="s">
        <v>177</v>
      </c>
      <c r="E52" s="2" t="s">
        <v>14</v>
      </c>
      <c r="F52" s="3">
        <v>45967</v>
      </c>
      <c r="G52" s="4">
        <v>288</v>
      </c>
      <c r="H52" s="3">
        <v>45974</v>
      </c>
      <c r="I52" s="5">
        <v>1193.22</v>
      </c>
      <c r="J52" s="2" t="s">
        <v>15</v>
      </c>
      <c r="K52" s="2" t="s">
        <v>307</v>
      </c>
      <c r="O52" s="18">
        <f t="shared" si="20"/>
        <v>45974</v>
      </c>
      <c r="P52" s="19">
        <f t="shared" si="21"/>
        <v>355.54827175208584</v>
      </c>
    </row>
    <row r="53" spans="1:18" hidden="1" x14ac:dyDescent="0.3">
      <c r="A53" s="2" t="s">
        <v>169</v>
      </c>
      <c r="B53" s="2" t="s">
        <v>178</v>
      </c>
      <c r="C53" s="2" t="s">
        <v>179</v>
      </c>
      <c r="D53" s="2" t="s">
        <v>180</v>
      </c>
      <c r="E53" s="2" t="s">
        <v>14</v>
      </c>
      <c r="F53" s="3">
        <v>45967</v>
      </c>
      <c r="G53" s="4">
        <v>288</v>
      </c>
      <c r="H53" s="3">
        <v>45974</v>
      </c>
      <c r="I53" s="5">
        <v>106.2</v>
      </c>
      <c r="J53" s="2" t="s">
        <v>15</v>
      </c>
      <c r="K53" s="2" t="s">
        <v>307</v>
      </c>
      <c r="O53" s="18">
        <f t="shared" si="20"/>
        <v>45974</v>
      </c>
      <c r="P53" s="19">
        <f t="shared" si="21"/>
        <v>31.644815256257452</v>
      </c>
    </row>
    <row r="54" spans="1:18" hidden="1" x14ac:dyDescent="0.3">
      <c r="A54" s="2" t="s">
        <v>169</v>
      </c>
      <c r="B54" s="2" t="s">
        <v>181</v>
      </c>
      <c r="C54" s="2" t="s">
        <v>182</v>
      </c>
      <c r="D54" s="2" t="s">
        <v>183</v>
      </c>
      <c r="E54" s="2" t="s">
        <v>14</v>
      </c>
      <c r="F54" s="3">
        <v>46148</v>
      </c>
      <c r="G54" s="4">
        <v>107</v>
      </c>
      <c r="H54" s="3">
        <v>46155</v>
      </c>
      <c r="I54" s="5">
        <v>23.6</v>
      </c>
      <c r="J54" s="2" t="s">
        <v>15</v>
      </c>
      <c r="K54" s="2" t="s">
        <v>307</v>
      </c>
      <c r="O54" s="18">
        <f t="shared" si="20"/>
        <v>46155</v>
      </c>
      <c r="P54" s="19">
        <f t="shared" si="21"/>
        <v>7.0321811680572113</v>
      </c>
    </row>
    <row r="55" spans="1:18" hidden="1" x14ac:dyDescent="0.3">
      <c r="A55" s="2" t="s">
        <v>169</v>
      </c>
      <c r="B55" s="2" t="s">
        <v>184</v>
      </c>
      <c r="C55" s="2" t="s">
        <v>185</v>
      </c>
      <c r="D55" s="2" t="s">
        <v>186</v>
      </c>
      <c r="E55" s="2" t="s">
        <v>14</v>
      </c>
      <c r="F55" s="3">
        <v>46148</v>
      </c>
      <c r="G55" s="4">
        <v>107</v>
      </c>
      <c r="H55" s="3">
        <v>46155</v>
      </c>
      <c r="I55" s="5">
        <v>261.49</v>
      </c>
      <c r="J55" s="2" t="s">
        <v>15</v>
      </c>
      <c r="K55" s="2" t="s">
        <v>307</v>
      </c>
      <c r="O55" s="18">
        <f t="shared" si="20"/>
        <v>46155</v>
      </c>
      <c r="P55" s="19">
        <f t="shared" si="21"/>
        <v>77.917163289630523</v>
      </c>
    </row>
    <row r="56" spans="1:18" hidden="1" x14ac:dyDescent="0.3">
      <c r="A56" s="2" t="s">
        <v>169</v>
      </c>
      <c r="B56" s="2" t="s">
        <v>187</v>
      </c>
      <c r="C56" s="2" t="s">
        <v>188</v>
      </c>
      <c r="D56" s="2" t="s">
        <v>189</v>
      </c>
      <c r="E56" s="2" t="s">
        <v>14</v>
      </c>
      <c r="F56" s="3">
        <v>46148</v>
      </c>
      <c r="G56" s="4">
        <v>107</v>
      </c>
      <c r="H56" s="3">
        <v>46155</v>
      </c>
      <c r="I56" s="5">
        <v>387.51</v>
      </c>
      <c r="J56" s="2" t="s">
        <v>15</v>
      </c>
      <c r="K56" s="2" t="s">
        <v>307</v>
      </c>
      <c r="O56" s="18">
        <f t="shared" si="20"/>
        <v>46155</v>
      </c>
      <c r="P56" s="19">
        <f t="shared" si="21"/>
        <v>115.46781883194279</v>
      </c>
    </row>
    <row r="57" spans="1:18" hidden="1" x14ac:dyDescent="0.3">
      <c r="A57" s="2" t="s">
        <v>169</v>
      </c>
      <c r="B57" s="2" t="s">
        <v>190</v>
      </c>
      <c r="C57" s="2" t="s">
        <v>191</v>
      </c>
      <c r="D57" s="2" t="s">
        <v>192</v>
      </c>
      <c r="E57" s="2" t="s">
        <v>14</v>
      </c>
      <c r="F57" s="3">
        <v>46148</v>
      </c>
      <c r="G57" s="4">
        <v>107</v>
      </c>
      <c r="H57" s="3">
        <v>46155</v>
      </c>
      <c r="I57" s="5">
        <v>35.4</v>
      </c>
      <c r="J57" s="2" t="s">
        <v>15</v>
      </c>
      <c r="K57" s="2" t="s">
        <v>307</v>
      </c>
      <c r="O57" s="18">
        <f t="shared" si="20"/>
        <v>46155</v>
      </c>
      <c r="P57" s="19">
        <f t="shared" si="21"/>
        <v>10.548271752085816</v>
      </c>
    </row>
    <row r="58" spans="1:18" hidden="1" x14ac:dyDescent="0.3">
      <c r="A58" s="2" t="s">
        <v>169</v>
      </c>
      <c r="B58" s="2" t="s">
        <v>193</v>
      </c>
      <c r="C58" s="2" t="s">
        <v>194</v>
      </c>
      <c r="D58" s="2" t="s">
        <v>195</v>
      </c>
      <c r="E58" s="2" t="s">
        <v>14</v>
      </c>
      <c r="F58" s="3">
        <v>46154</v>
      </c>
      <c r="G58" s="4">
        <v>101</v>
      </c>
      <c r="H58" s="3">
        <v>46161</v>
      </c>
      <c r="I58" s="5">
        <v>482.86</v>
      </c>
      <c r="J58" s="2" t="s">
        <v>15</v>
      </c>
      <c r="K58" s="2" t="s">
        <v>307</v>
      </c>
      <c r="O58" s="18">
        <f t="shared" si="20"/>
        <v>46161</v>
      </c>
      <c r="P58" s="19">
        <f t="shared" si="21"/>
        <v>143.87961859356378</v>
      </c>
    </row>
    <row r="59" spans="1:18" hidden="1" x14ac:dyDescent="0.3">
      <c r="A59" s="2" t="s">
        <v>169</v>
      </c>
      <c r="B59" s="2" t="s">
        <v>196</v>
      </c>
      <c r="C59" s="2" t="s">
        <v>197</v>
      </c>
      <c r="D59" s="2" t="s">
        <v>198</v>
      </c>
      <c r="E59" s="2" t="s">
        <v>14</v>
      </c>
      <c r="F59" s="3">
        <v>46154</v>
      </c>
      <c r="G59" s="4">
        <v>101</v>
      </c>
      <c r="H59" s="3">
        <v>46161</v>
      </c>
      <c r="I59" s="5">
        <v>47.2</v>
      </c>
      <c r="J59" s="2" t="s">
        <v>15</v>
      </c>
      <c r="K59" s="2" t="s">
        <v>307</v>
      </c>
      <c r="O59" s="18">
        <f t="shared" si="20"/>
        <v>46161</v>
      </c>
      <c r="P59" s="19">
        <f t="shared" si="21"/>
        <v>14.064362336114423</v>
      </c>
    </row>
    <row r="60" spans="1:18" hidden="1" x14ac:dyDescent="0.3">
      <c r="A60" s="2" t="s">
        <v>169</v>
      </c>
      <c r="B60" s="2" t="s">
        <v>199</v>
      </c>
      <c r="C60" s="2" t="s">
        <v>200</v>
      </c>
      <c r="D60" s="2" t="s">
        <v>201</v>
      </c>
      <c r="E60" s="2" t="s">
        <v>14</v>
      </c>
      <c r="F60" s="3">
        <v>46158</v>
      </c>
      <c r="G60" s="4">
        <v>97</v>
      </c>
      <c r="H60" s="3">
        <v>46165</v>
      </c>
      <c r="I60" s="5">
        <v>544.45000000000005</v>
      </c>
      <c r="J60" s="2" t="s">
        <v>15</v>
      </c>
      <c r="K60" s="2" t="s">
        <v>307</v>
      </c>
      <c r="O60" s="18">
        <f t="shared" si="20"/>
        <v>46165</v>
      </c>
      <c r="P60" s="19">
        <f t="shared" si="21"/>
        <v>162.23182359952327</v>
      </c>
    </row>
    <row r="61" spans="1:18" hidden="1" x14ac:dyDescent="0.3">
      <c r="A61" s="2" t="s">
        <v>169</v>
      </c>
      <c r="B61" s="2" t="s">
        <v>202</v>
      </c>
      <c r="C61" s="2" t="s">
        <v>203</v>
      </c>
      <c r="D61" s="2" t="s">
        <v>204</v>
      </c>
      <c r="E61" s="2" t="s">
        <v>14</v>
      </c>
      <c r="F61" s="3">
        <v>46158</v>
      </c>
      <c r="G61" s="4">
        <v>97</v>
      </c>
      <c r="H61" s="3">
        <v>46165</v>
      </c>
      <c r="I61" s="5">
        <v>47.2</v>
      </c>
      <c r="J61" s="2" t="s">
        <v>15</v>
      </c>
      <c r="K61" s="2" t="s">
        <v>307</v>
      </c>
      <c r="O61" s="18">
        <f t="shared" si="20"/>
        <v>46165</v>
      </c>
      <c r="P61" s="19">
        <f t="shared" si="21"/>
        <v>14.064362336114423</v>
      </c>
    </row>
    <row r="62" spans="1:18" hidden="1" x14ac:dyDescent="0.3">
      <c r="A62" s="2" t="s">
        <v>169</v>
      </c>
      <c r="B62" s="2" t="s">
        <v>205</v>
      </c>
      <c r="C62" s="2" t="s">
        <v>206</v>
      </c>
      <c r="D62" s="2" t="s">
        <v>207</v>
      </c>
      <c r="E62" s="2" t="s">
        <v>14</v>
      </c>
      <c r="F62" s="3">
        <v>46169</v>
      </c>
      <c r="G62" s="4">
        <v>86</v>
      </c>
      <c r="H62" s="3">
        <v>46176</v>
      </c>
      <c r="I62" s="5">
        <v>591.65</v>
      </c>
      <c r="J62" s="2" t="s">
        <v>15</v>
      </c>
      <c r="K62" s="2" t="s">
        <v>307</v>
      </c>
      <c r="O62" s="18">
        <f t="shared" si="20"/>
        <v>46176</v>
      </c>
      <c r="P62" s="19">
        <f t="shared" si="21"/>
        <v>176.29618593563765</v>
      </c>
    </row>
    <row r="63" spans="1:18" hidden="1" x14ac:dyDescent="0.3">
      <c r="A63" s="2" t="s">
        <v>169</v>
      </c>
      <c r="B63" s="2" t="s">
        <v>208</v>
      </c>
      <c r="C63" s="2" t="s">
        <v>209</v>
      </c>
      <c r="D63" s="2" t="s">
        <v>210</v>
      </c>
      <c r="E63" s="2" t="s">
        <v>14</v>
      </c>
      <c r="F63" s="3">
        <v>46169</v>
      </c>
      <c r="G63" s="4">
        <v>86</v>
      </c>
      <c r="H63" s="3">
        <v>46176</v>
      </c>
      <c r="I63" s="5">
        <v>70.8</v>
      </c>
      <c r="J63" s="2" t="s">
        <v>15</v>
      </c>
      <c r="K63" s="2" t="s">
        <v>307</v>
      </c>
      <c r="O63" s="18">
        <f t="shared" si="20"/>
        <v>46176</v>
      </c>
      <c r="P63" s="19">
        <f t="shared" si="21"/>
        <v>21.096543504171631</v>
      </c>
    </row>
    <row r="64" spans="1:18" hidden="1" x14ac:dyDescent="0.3">
      <c r="A64" s="2" t="s">
        <v>169</v>
      </c>
      <c r="B64" s="2" t="s">
        <v>211</v>
      </c>
      <c r="C64" s="2" t="s">
        <v>212</v>
      </c>
      <c r="D64" s="2" t="s">
        <v>213</v>
      </c>
      <c r="E64" s="2" t="s">
        <v>14</v>
      </c>
      <c r="F64" s="3">
        <v>46175</v>
      </c>
      <c r="G64" s="4">
        <v>80</v>
      </c>
      <c r="H64" s="3">
        <v>46182</v>
      </c>
      <c r="I64" s="5">
        <v>185.97</v>
      </c>
      <c r="J64" s="2" t="s">
        <v>15</v>
      </c>
      <c r="K64" s="2" t="s">
        <v>307</v>
      </c>
      <c r="O64" s="18">
        <f t="shared" si="20"/>
        <v>46182</v>
      </c>
      <c r="P64" s="19">
        <f t="shared" si="21"/>
        <v>55.414183551847437</v>
      </c>
    </row>
    <row r="65" spans="1:18" hidden="1" x14ac:dyDescent="0.3">
      <c r="A65" s="2" t="s">
        <v>169</v>
      </c>
      <c r="B65" s="2" t="s">
        <v>214</v>
      </c>
      <c r="C65" s="2" t="s">
        <v>215</v>
      </c>
      <c r="D65" s="2" t="s">
        <v>216</v>
      </c>
      <c r="E65" s="2" t="s">
        <v>14</v>
      </c>
      <c r="F65" s="3">
        <v>46175</v>
      </c>
      <c r="G65" s="4">
        <v>80</v>
      </c>
      <c r="H65" s="3">
        <v>46182</v>
      </c>
      <c r="I65" s="5">
        <v>23.6</v>
      </c>
      <c r="J65" s="2" t="s">
        <v>15</v>
      </c>
      <c r="K65" s="2" t="s">
        <v>307</v>
      </c>
      <c r="O65" s="18">
        <f t="shared" si="20"/>
        <v>46182</v>
      </c>
      <c r="P65" s="19">
        <f t="shared" si="21"/>
        <v>7.0321811680572113</v>
      </c>
    </row>
    <row r="66" spans="1:18" hidden="1" x14ac:dyDescent="0.3">
      <c r="A66" s="2" t="s">
        <v>169</v>
      </c>
      <c r="B66" s="2" t="s">
        <v>217</v>
      </c>
      <c r="C66" s="2" t="s">
        <v>218</v>
      </c>
      <c r="D66" s="2" t="s">
        <v>219</v>
      </c>
      <c r="E66" s="2" t="s">
        <v>14</v>
      </c>
      <c r="F66" s="3">
        <v>46186</v>
      </c>
      <c r="G66" s="4">
        <v>69</v>
      </c>
      <c r="H66" s="3">
        <v>46193</v>
      </c>
      <c r="I66" s="5">
        <v>535.25</v>
      </c>
      <c r="J66" s="2" t="s">
        <v>15</v>
      </c>
      <c r="K66" s="2" t="s">
        <v>307</v>
      </c>
      <c r="O66" s="18">
        <f t="shared" si="20"/>
        <v>46193</v>
      </c>
      <c r="P66" s="19">
        <f t="shared" si="21"/>
        <v>159.49046483909416</v>
      </c>
    </row>
    <row r="67" spans="1:18" hidden="1" x14ac:dyDescent="0.3">
      <c r="A67" s="2" t="s">
        <v>169</v>
      </c>
      <c r="B67" s="2" t="s">
        <v>220</v>
      </c>
      <c r="C67" s="2" t="s">
        <v>221</v>
      </c>
      <c r="D67" s="2" t="s">
        <v>222</v>
      </c>
      <c r="E67" s="2" t="s">
        <v>14</v>
      </c>
      <c r="F67" s="3">
        <v>46186</v>
      </c>
      <c r="G67" s="4">
        <v>69</v>
      </c>
      <c r="H67" s="3">
        <v>46193</v>
      </c>
      <c r="I67" s="5">
        <v>70.8</v>
      </c>
      <c r="J67" s="2" t="s">
        <v>15</v>
      </c>
      <c r="K67" s="2" t="s">
        <v>307</v>
      </c>
      <c r="O67" s="18">
        <f t="shared" si="20"/>
        <v>46193</v>
      </c>
      <c r="P67" s="19">
        <f t="shared" si="21"/>
        <v>21.096543504171631</v>
      </c>
    </row>
    <row r="68" spans="1:18" hidden="1" x14ac:dyDescent="0.3">
      <c r="A68" s="2" t="s">
        <v>169</v>
      </c>
      <c r="B68" s="2" t="s">
        <v>223</v>
      </c>
      <c r="C68" s="2" t="s">
        <v>224</v>
      </c>
      <c r="D68" s="2" t="s">
        <v>225</v>
      </c>
      <c r="E68" s="2" t="s">
        <v>14</v>
      </c>
      <c r="F68" s="3">
        <v>46206</v>
      </c>
      <c r="G68" s="4">
        <v>49</v>
      </c>
      <c r="H68" s="3">
        <v>46213</v>
      </c>
      <c r="I68" s="5">
        <v>449.11</v>
      </c>
      <c r="J68" s="2" t="s">
        <v>15</v>
      </c>
      <c r="K68" s="2" t="s">
        <v>307</v>
      </c>
      <c r="O68" s="18">
        <f t="shared" si="20"/>
        <v>46213</v>
      </c>
      <c r="P68" s="19">
        <f t="shared" si="21"/>
        <v>133.82300357568536</v>
      </c>
    </row>
    <row r="69" spans="1:18" hidden="1" x14ac:dyDescent="0.3">
      <c r="A69" s="2" t="s">
        <v>169</v>
      </c>
      <c r="B69" s="2" t="s">
        <v>226</v>
      </c>
      <c r="C69" s="2" t="s">
        <v>227</v>
      </c>
      <c r="D69" s="2" t="s">
        <v>228</v>
      </c>
      <c r="E69" s="2" t="s">
        <v>14</v>
      </c>
      <c r="F69" s="3">
        <v>46206</v>
      </c>
      <c r="G69" s="4">
        <v>49</v>
      </c>
      <c r="H69" s="3">
        <v>46213</v>
      </c>
      <c r="I69" s="5">
        <v>35.4</v>
      </c>
      <c r="J69" s="2" t="s">
        <v>15</v>
      </c>
      <c r="K69" s="2" t="s">
        <v>307</v>
      </c>
      <c r="O69" s="18">
        <f t="shared" si="20"/>
        <v>46213</v>
      </c>
      <c r="P69" s="19">
        <f t="shared" si="21"/>
        <v>10.548271752085816</v>
      </c>
    </row>
    <row r="70" spans="1:18" hidden="1" x14ac:dyDescent="0.3">
      <c r="A70" s="2" t="s">
        <v>169</v>
      </c>
      <c r="B70" s="2" t="s">
        <v>229</v>
      </c>
      <c r="C70" s="2" t="s">
        <v>230</v>
      </c>
      <c r="D70" s="2" t="s">
        <v>231</v>
      </c>
      <c r="E70" s="2" t="s">
        <v>14</v>
      </c>
      <c r="F70" s="3">
        <v>46220</v>
      </c>
      <c r="G70" s="4">
        <v>35</v>
      </c>
      <c r="H70" s="3">
        <v>46227</v>
      </c>
      <c r="I70" s="5">
        <v>355.65</v>
      </c>
      <c r="J70" s="2" t="s">
        <v>15</v>
      </c>
      <c r="K70" s="2" t="s">
        <v>307</v>
      </c>
      <c r="O70" s="18">
        <f t="shared" si="20"/>
        <v>46227</v>
      </c>
      <c r="P70" s="19">
        <f t="shared" si="21"/>
        <v>105.97437425506556</v>
      </c>
    </row>
    <row r="71" spans="1:18" hidden="1" x14ac:dyDescent="0.3">
      <c r="A71" s="2" t="s">
        <v>169</v>
      </c>
      <c r="B71" s="2" t="s">
        <v>232</v>
      </c>
      <c r="C71" s="2" t="s">
        <v>233</v>
      </c>
      <c r="D71" s="2" t="s">
        <v>234</v>
      </c>
      <c r="E71" s="2" t="s">
        <v>14</v>
      </c>
      <c r="F71" s="3">
        <v>46220</v>
      </c>
      <c r="G71" s="4">
        <v>35</v>
      </c>
      <c r="H71" s="3">
        <v>46227</v>
      </c>
      <c r="I71" s="5">
        <v>47.2</v>
      </c>
      <c r="J71" s="2" t="s">
        <v>15</v>
      </c>
      <c r="K71" s="2" t="s">
        <v>307</v>
      </c>
      <c r="O71" s="18">
        <f t="shared" si="20"/>
        <v>46227</v>
      </c>
      <c r="P71" s="19">
        <f t="shared" si="21"/>
        <v>14.064362336114423</v>
      </c>
    </row>
    <row r="72" spans="1:18" hidden="1" x14ac:dyDescent="0.3">
      <c r="A72" s="2" t="s">
        <v>235</v>
      </c>
      <c r="B72" s="2" t="s">
        <v>236</v>
      </c>
      <c r="C72" s="2" t="s">
        <v>237</v>
      </c>
      <c r="D72" s="2" t="s">
        <v>238</v>
      </c>
      <c r="E72" s="2" t="s">
        <v>14</v>
      </c>
      <c r="F72" s="3">
        <v>46140</v>
      </c>
      <c r="G72" s="4">
        <v>122</v>
      </c>
      <c r="H72" s="3">
        <v>46140</v>
      </c>
      <c r="I72" s="5">
        <v>716.71</v>
      </c>
      <c r="J72" s="2" t="s">
        <v>15</v>
      </c>
      <c r="K72" s="2" t="s">
        <v>306</v>
      </c>
      <c r="O72" s="18">
        <f t="shared" ref="O72:O77" si="22">H72</f>
        <v>46140</v>
      </c>
      <c r="P72" s="19">
        <f t="shared" ref="P72:P77" si="23">I72/3.356</f>
        <v>213.56078665077476</v>
      </c>
    </row>
    <row r="73" spans="1:18" hidden="1" x14ac:dyDescent="0.3">
      <c r="A73" s="2" t="s">
        <v>235</v>
      </c>
      <c r="B73" s="2" t="s">
        <v>239</v>
      </c>
      <c r="C73" s="2" t="s">
        <v>240</v>
      </c>
      <c r="D73" s="2" t="s">
        <v>241</v>
      </c>
      <c r="E73" s="2" t="s">
        <v>14</v>
      </c>
      <c r="F73" s="3">
        <v>46140</v>
      </c>
      <c r="G73" s="4">
        <v>122</v>
      </c>
      <c r="H73" s="3">
        <v>46140</v>
      </c>
      <c r="I73" s="5">
        <v>129.80000000000001</v>
      </c>
      <c r="J73" s="2" t="s">
        <v>15</v>
      </c>
      <c r="K73" s="2" t="s">
        <v>306</v>
      </c>
      <c r="O73" s="18">
        <f t="shared" si="22"/>
        <v>46140</v>
      </c>
      <c r="P73" s="19">
        <f t="shared" si="23"/>
        <v>38.676996424314666</v>
      </c>
    </row>
    <row r="74" spans="1:18" hidden="1" x14ac:dyDescent="0.3">
      <c r="A74" s="2" t="s">
        <v>235</v>
      </c>
      <c r="B74" s="2" t="s">
        <v>242</v>
      </c>
      <c r="C74" s="2" t="s">
        <v>243</v>
      </c>
      <c r="D74" s="2" t="s">
        <v>244</v>
      </c>
      <c r="E74" s="2" t="s">
        <v>68</v>
      </c>
      <c r="F74" s="3">
        <v>46140</v>
      </c>
      <c r="G74" s="4">
        <v>122</v>
      </c>
      <c r="H74" s="3">
        <v>46140</v>
      </c>
      <c r="I74" s="5">
        <v>422.56</v>
      </c>
      <c r="J74" s="2" t="s">
        <v>15</v>
      </c>
      <c r="K74" s="2" t="s">
        <v>306</v>
      </c>
      <c r="O74" s="18">
        <f t="shared" si="22"/>
        <v>46140</v>
      </c>
      <c r="P74" s="19">
        <f t="shared" si="23"/>
        <v>125.91179976162098</v>
      </c>
    </row>
    <row r="75" spans="1:18" hidden="1" x14ac:dyDescent="0.3">
      <c r="A75" s="2" t="s">
        <v>235</v>
      </c>
      <c r="B75" s="2" t="s">
        <v>245</v>
      </c>
      <c r="C75" s="2" t="s">
        <v>246</v>
      </c>
      <c r="D75" s="2" t="s">
        <v>247</v>
      </c>
      <c r="E75" s="2" t="s">
        <v>14</v>
      </c>
      <c r="F75" s="3">
        <v>46154</v>
      </c>
      <c r="G75" s="4">
        <v>108</v>
      </c>
      <c r="H75" s="3">
        <v>46154</v>
      </c>
      <c r="I75" s="5">
        <v>404.98</v>
      </c>
      <c r="J75" s="2" t="s">
        <v>15</v>
      </c>
      <c r="K75" s="2" t="s">
        <v>306</v>
      </c>
      <c r="O75" s="18">
        <f t="shared" si="22"/>
        <v>46154</v>
      </c>
      <c r="P75" s="19">
        <f t="shared" si="23"/>
        <v>120.67342073897498</v>
      </c>
    </row>
    <row r="76" spans="1:18" hidden="1" x14ac:dyDescent="0.3">
      <c r="A76" s="2" t="s">
        <v>235</v>
      </c>
      <c r="B76" s="2" t="s">
        <v>248</v>
      </c>
      <c r="C76" s="2" t="s">
        <v>249</v>
      </c>
      <c r="D76" s="2" t="s">
        <v>250</v>
      </c>
      <c r="E76" s="2" t="s">
        <v>14</v>
      </c>
      <c r="F76" s="3">
        <v>46154</v>
      </c>
      <c r="G76" s="4">
        <v>108</v>
      </c>
      <c r="H76" s="3">
        <v>46154</v>
      </c>
      <c r="I76" s="5">
        <v>59</v>
      </c>
      <c r="J76" s="2" t="s">
        <v>15</v>
      </c>
      <c r="K76" s="2" t="s">
        <v>306</v>
      </c>
      <c r="O76" s="18">
        <f t="shared" si="22"/>
        <v>46154</v>
      </c>
      <c r="P76" s="19">
        <f t="shared" si="23"/>
        <v>17.580452920143028</v>
      </c>
    </row>
    <row r="77" spans="1:18" hidden="1" x14ac:dyDescent="0.3">
      <c r="A77" s="2" t="s">
        <v>235</v>
      </c>
      <c r="B77" s="2" t="s">
        <v>251</v>
      </c>
      <c r="C77" s="2" t="s">
        <v>252</v>
      </c>
      <c r="D77" s="2" t="s">
        <v>253</v>
      </c>
      <c r="E77" s="2" t="s">
        <v>68</v>
      </c>
      <c r="F77" s="3">
        <v>46218</v>
      </c>
      <c r="G77" s="4">
        <v>44</v>
      </c>
      <c r="H77" s="3">
        <v>46218</v>
      </c>
      <c r="I77" s="5">
        <v>23.6</v>
      </c>
      <c r="J77" s="2" t="s">
        <v>15</v>
      </c>
      <c r="K77" s="2" t="s">
        <v>306</v>
      </c>
      <c r="O77" s="18">
        <f t="shared" si="22"/>
        <v>46218</v>
      </c>
      <c r="P77" s="19">
        <f t="shared" si="23"/>
        <v>7.0321811680572113</v>
      </c>
    </row>
    <row r="78" spans="1:18" hidden="1" x14ac:dyDescent="0.3">
      <c r="A78" s="2" t="s">
        <v>254</v>
      </c>
      <c r="B78" s="2" t="s">
        <v>255</v>
      </c>
      <c r="C78" s="2" t="s">
        <v>256</v>
      </c>
      <c r="D78" s="2" t="s">
        <v>257</v>
      </c>
      <c r="E78" s="2" t="s">
        <v>68</v>
      </c>
      <c r="F78" s="3">
        <v>46139</v>
      </c>
      <c r="G78" s="4">
        <v>123</v>
      </c>
      <c r="H78" s="3">
        <v>46139</v>
      </c>
      <c r="I78" s="5">
        <v>10284</v>
      </c>
      <c r="J78" s="2" t="s">
        <v>73</v>
      </c>
      <c r="K78" s="2" t="s">
        <v>310</v>
      </c>
      <c r="L78" s="18">
        <f t="shared" ref="L78:L79" si="24">F78+60</f>
        <v>46199</v>
      </c>
      <c r="M78" s="20">
        <f t="shared" ref="M78:M79" ca="1" si="25">TODAY()-N78</f>
        <v>-45</v>
      </c>
      <c r="N78" s="18">
        <v>46310</v>
      </c>
      <c r="O78" s="18">
        <v>46310</v>
      </c>
      <c r="P78" s="10">
        <f t="shared" ref="P78:P79" si="26">I78</f>
        <v>10284</v>
      </c>
      <c r="Q78" s="20">
        <f t="shared" ref="Q78:Q79" ca="1" si="27">TODAY()-F78</f>
        <v>126</v>
      </c>
      <c r="R78" t="s">
        <v>326</v>
      </c>
    </row>
    <row r="79" spans="1:18" hidden="1" x14ac:dyDescent="0.3">
      <c r="A79" s="2" t="s">
        <v>258</v>
      </c>
      <c r="B79" s="2" t="s">
        <v>259</v>
      </c>
      <c r="C79" s="2" t="s">
        <v>260</v>
      </c>
      <c r="D79" s="2" t="s">
        <v>261</v>
      </c>
      <c r="E79" s="2" t="s">
        <v>68</v>
      </c>
      <c r="F79" s="3">
        <v>46216</v>
      </c>
      <c r="G79" s="4">
        <v>46</v>
      </c>
      <c r="H79" s="3">
        <v>46216</v>
      </c>
      <c r="I79" s="5">
        <v>54612</v>
      </c>
      <c r="J79" s="2" t="s">
        <v>73</v>
      </c>
      <c r="K79" s="2" t="s">
        <v>310</v>
      </c>
      <c r="L79" s="18">
        <f t="shared" si="24"/>
        <v>46276</v>
      </c>
      <c r="M79" s="20">
        <f t="shared" ca="1" si="25"/>
        <v>-11</v>
      </c>
      <c r="N79" s="18">
        <v>46276</v>
      </c>
      <c r="O79" s="18">
        <v>46276</v>
      </c>
      <c r="P79" s="10">
        <f t="shared" si="26"/>
        <v>54612</v>
      </c>
      <c r="Q79" s="20">
        <f t="shared" ca="1" si="27"/>
        <v>49</v>
      </c>
      <c r="R79" t="s">
        <v>324</v>
      </c>
    </row>
    <row r="80" spans="1:18" hidden="1" x14ac:dyDescent="0.3">
      <c r="A80" s="2" t="s">
        <v>262</v>
      </c>
      <c r="B80" s="2" t="s">
        <v>263</v>
      </c>
      <c r="C80" s="2" t="s">
        <v>264</v>
      </c>
      <c r="D80" s="2" t="s">
        <v>265</v>
      </c>
      <c r="E80" s="2" t="s">
        <v>68</v>
      </c>
      <c r="F80" s="3">
        <v>45951</v>
      </c>
      <c r="G80" s="4">
        <v>311</v>
      </c>
      <c r="H80" s="3">
        <v>45951</v>
      </c>
      <c r="I80" s="5">
        <v>4460</v>
      </c>
      <c r="J80" s="2" t="s">
        <v>15</v>
      </c>
      <c r="K80" s="2" t="s">
        <v>308</v>
      </c>
      <c r="O80" s="18">
        <f>H80</f>
        <v>45951</v>
      </c>
      <c r="P80" s="19">
        <f>I80/3.356</f>
        <v>1328.96305125149</v>
      </c>
    </row>
    <row r="81" spans="1:18" hidden="1" x14ac:dyDescent="0.3">
      <c r="A81" s="2" t="s">
        <v>262</v>
      </c>
      <c r="B81" s="2" t="s">
        <v>266</v>
      </c>
      <c r="C81" s="2" t="s">
        <v>267</v>
      </c>
      <c r="D81" s="2" t="s">
        <v>268</v>
      </c>
      <c r="E81" s="2" t="s">
        <v>14</v>
      </c>
      <c r="F81" s="3">
        <v>45965</v>
      </c>
      <c r="G81" s="4">
        <v>290</v>
      </c>
      <c r="H81" s="3">
        <v>45972</v>
      </c>
      <c r="I81" s="5">
        <v>7097.98</v>
      </c>
      <c r="J81" s="2" t="s">
        <v>15</v>
      </c>
      <c r="K81" s="2" t="s">
        <v>308</v>
      </c>
      <c r="O81" s="18">
        <f t="shared" ref="O81:O83" si="28">H81</f>
        <v>45972</v>
      </c>
      <c r="P81" s="19">
        <f t="shared" ref="P81:P83" si="29">I81/3.356</f>
        <v>2115.0119189511324</v>
      </c>
    </row>
    <row r="82" spans="1:18" hidden="1" x14ac:dyDescent="0.3">
      <c r="A82" s="2" t="s">
        <v>262</v>
      </c>
      <c r="B82" s="2" t="s">
        <v>269</v>
      </c>
      <c r="C82" s="2" t="s">
        <v>270</v>
      </c>
      <c r="D82" s="2" t="s">
        <v>271</v>
      </c>
      <c r="E82" s="2" t="s">
        <v>14</v>
      </c>
      <c r="F82" s="3">
        <v>46053</v>
      </c>
      <c r="G82" s="4">
        <v>202</v>
      </c>
      <c r="H82" s="3">
        <v>46060</v>
      </c>
      <c r="I82" s="5">
        <v>4003.46</v>
      </c>
      <c r="J82" s="2" t="s">
        <v>15</v>
      </c>
      <c r="K82" s="2" t="s">
        <v>308</v>
      </c>
      <c r="O82" s="18">
        <f t="shared" si="28"/>
        <v>46060</v>
      </c>
      <c r="P82" s="19">
        <f t="shared" si="29"/>
        <v>1192.9261025029798</v>
      </c>
    </row>
    <row r="83" spans="1:18" hidden="1" x14ac:dyDescent="0.3">
      <c r="A83" s="2" t="s">
        <v>262</v>
      </c>
      <c r="B83" s="2" t="s">
        <v>272</v>
      </c>
      <c r="C83" s="2" t="s">
        <v>273</v>
      </c>
      <c r="D83" s="2" t="s">
        <v>274</v>
      </c>
      <c r="E83" s="2" t="s">
        <v>14</v>
      </c>
      <c r="F83" s="3">
        <v>46084</v>
      </c>
      <c r="G83" s="4">
        <v>171</v>
      </c>
      <c r="H83" s="3">
        <v>46091</v>
      </c>
      <c r="I83" s="5">
        <v>4956</v>
      </c>
      <c r="J83" s="2" t="s">
        <v>15</v>
      </c>
      <c r="K83" s="2" t="s">
        <v>308</v>
      </c>
      <c r="O83" s="18">
        <f t="shared" si="28"/>
        <v>46091</v>
      </c>
      <c r="P83" s="19">
        <f t="shared" si="29"/>
        <v>1476.7580452920145</v>
      </c>
    </row>
    <row r="84" spans="1:18" hidden="1" x14ac:dyDescent="0.3">
      <c r="A84" s="2" t="s">
        <v>275</v>
      </c>
      <c r="B84" s="2" t="s">
        <v>276</v>
      </c>
      <c r="C84" s="2" t="s">
        <v>277</v>
      </c>
      <c r="D84" s="2" t="s">
        <v>278</v>
      </c>
      <c r="E84" s="2" t="s">
        <v>14</v>
      </c>
      <c r="F84" s="3">
        <v>45937</v>
      </c>
      <c r="G84" s="4">
        <v>318</v>
      </c>
      <c r="H84" s="3">
        <v>45944</v>
      </c>
      <c r="I84" s="5">
        <v>790</v>
      </c>
      <c r="J84" s="2" t="s">
        <v>15</v>
      </c>
      <c r="K84" s="2" t="s">
        <v>309</v>
      </c>
      <c r="O84" s="18">
        <f>H84</f>
        <v>45944</v>
      </c>
      <c r="P84" s="19">
        <f>I84/3.356</f>
        <v>235.39928486293206</v>
      </c>
    </row>
    <row r="85" spans="1:18" hidden="1" x14ac:dyDescent="0.3">
      <c r="A85" s="2" t="s">
        <v>279</v>
      </c>
      <c r="B85" s="2" t="s">
        <v>280</v>
      </c>
      <c r="C85" s="2" t="s">
        <v>281</v>
      </c>
      <c r="D85" s="2" t="s">
        <v>282</v>
      </c>
      <c r="E85" s="2" t="s">
        <v>68</v>
      </c>
      <c r="F85" s="3">
        <v>46230</v>
      </c>
      <c r="G85" s="4">
        <v>32</v>
      </c>
      <c r="H85" s="3">
        <v>46230</v>
      </c>
      <c r="I85" s="5">
        <v>64640</v>
      </c>
      <c r="J85" s="2" t="s">
        <v>73</v>
      </c>
      <c r="K85" s="2" t="s">
        <v>310</v>
      </c>
      <c r="L85" s="18">
        <f t="shared" ref="L85:L86" si="30">F85+60</f>
        <v>46290</v>
      </c>
      <c r="M85" s="20">
        <f t="shared" ref="M85:M86" ca="1" si="31">TODAY()-N85</f>
        <v>-25</v>
      </c>
      <c r="N85" s="18">
        <v>46290</v>
      </c>
      <c r="O85" s="18">
        <v>46290</v>
      </c>
      <c r="P85" s="10">
        <f t="shared" ref="P85:P86" si="32">I85</f>
        <v>64640</v>
      </c>
      <c r="Q85" s="20">
        <f t="shared" ref="Q85:Q86" ca="1" si="33">TODAY()-F85</f>
        <v>35</v>
      </c>
      <c r="R85" t="s">
        <v>323</v>
      </c>
    </row>
    <row r="86" spans="1:18" hidden="1" x14ac:dyDescent="0.3">
      <c r="A86" s="2" t="s">
        <v>279</v>
      </c>
      <c r="B86" s="2" t="s">
        <v>283</v>
      </c>
      <c r="C86" s="2" t="s">
        <v>284</v>
      </c>
      <c r="D86" s="2" t="s">
        <v>285</v>
      </c>
      <c r="E86" s="2" t="s">
        <v>68</v>
      </c>
      <c r="F86" s="3">
        <v>46232</v>
      </c>
      <c r="G86" s="4">
        <v>30</v>
      </c>
      <c r="H86" s="3">
        <v>46232</v>
      </c>
      <c r="I86" s="5">
        <v>64850</v>
      </c>
      <c r="J86" s="2" t="s">
        <v>73</v>
      </c>
      <c r="K86" s="2" t="s">
        <v>310</v>
      </c>
      <c r="L86" s="18">
        <f t="shared" si="30"/>
        <v>46292</v>
      </c>
      <c r="M86" s="20">
        <f t="shared" ca="1" si="31"/>
        <v>-27</v>
      </c>
      <c r="N86" s="18">
        <v>46292</v>
      </c>
      <c r="O86" s="18">
        <v>46292</v>
      </c>
      <c r="P86" s="10">
        <f t="shared" si="32"/>
        <v>64850</v>
      </c>
      <c r="Q86" s="20">
        <f t="shared" ca="1" si="33"/>
        <v>33</v>
      </c>
      <c r="R86" t="s">
        <v>323</v>
      </c>
    </row>
    <row r="87" spans="1:18" hidden="1" x14ac:dyDescent="0.3">
      <c r="A87" s="2" t="s">
        <v>286</v>
      </c>
      <c r="B87" s="2" t="s">
        <v>287</v>
      </c>
      <c r="C87" s="2" t="s">
        <v>288</v>
      </c>
      <c r="D87" s="2" t="s">
        <v>289</v>
      </c>
      <c r="E87" s="2" t="s">
        <v>14</v>
      </c>
      <c r="F87" s="3">
        <v>46203</v>
      </c>
      <c r="G87" s="4">
        <v>52</v>
      </c>
      <c r="H87" s="3">
        <v>46210</v>
      </c>
      <c r="I87" s="5">
        <v>590</v>
      </c>
      <c r="J87" s="2" t="s">
        <v>15</v>
      </c>
      <c r="K87" s="2" t="s">
        <v>315</v>
      </c>
      <c r="O87" s="18">
        <f>H87</f>
        <v>46210</v>
      </c>
      <c r="P87" s="19">
        <f>I87/3.356</f>
        <v>175.80452920143028</v>
      </c>
    </row>
    <row r="88" spans="1:18" hidden="1" x14ac:dyDescent="0.3">
      <c r="A88" s="2" t="s">
        <v>290</v>
      </c>
      <c r="B88" s="2" t="s">
        <v>291</v>
      </c>
      <c r="C88" s="2" t="s">
        <v>292</v>
      </c>
      <c r="D88" s="2" t="s">
        <v>293</v>
      </c>
      <c r="E88" s="2" t="s">
        <v>116</v>
      </c>
      <c r="F88" s="3">
        <v>46224</v>
      </c>
      <c r="G88" s="4">
        <v>0</v>
      </c>
      <c r="H88" s="3">
        <v>46234</v>
      </c>
      <c r="I88" s="6">
        <v>-9650</v>
      </c>
      <c r="J88" s="2" t="s">
        <v>73</v>
      </c>
      <c r="K88" s="2" t="s">
        <v>310</v>
      </c>
      <c r="L88" s="18">
        <f t="shared" ref="L88:L89" si="34">F88+60</f>
        <v>46284</v>
      </c>
      <c r="M88" s="20"/>
      <c r="N88" s="18"/>
      <c r="O88" s="18">
        <f>F88</f>
        <v>46224</v>
      </c>
      <c r="P88" s="10">
        <f t="shared" ref="P88:P89" si="35">I88</f>
        <v>-9650</v>
      </c>
      <c r="Q88" s="20">
        <f t="shared" ref="Q88:Q89" ca="1" si="36">TODAY()-F88</f>
        <v>41</v>
      </c>
      <c r="R88" t="s">
        <v>323</v>
      </c>
    </row>
    <row r="89" spans="1:18" x14ac:dyDescent="0.3">
      <c r="A89" s="2" t="s">
        <v>290</v>
      </c>
      <c r="B89" s="2" t="s">
        <v>294</v>
      </c>
      <c r="C89" s="2" t="s">
        <v>295</v>
      </c>
      <c r="D89" s="2" t="s">
        <v>296</v>
      </c>
      <c r="E89" s="2" t="s">
        <v>77</v>
      </c>
      <c r="F89" s="3">
        <v>46249</v>
      </c>
      <c r="G89" s="7">
        <v>-47</v>
      </c>
      <c r="H89" s="3">
        <v>46309</v>
      </c>
      <c r="I89" s="5">
        <v>48600</v>
      </c>
      <c r="J89" s="2" t="s">
        <v>73</v>
      </c>
      <c r="K89" s="2" t="s">
        <v>310</v>
      </c>
      <c r="L89" s="18">
        <f t="shared" si="34"/>
        <v>46309</v>
      </c>
      <c r="M89" s="20"/>
      <c r="N89" s="18"/>
      <c r="O89" s="18">
        <f t="shared" ref="O89" si="37">H89</f>
        <v>46309</v>
      </c>
      <c r="P89" s="10">
        <f t="shared" si="35"/>
        <v>48600</v>
      </c>
      <c r="Q89" s="20">
        <f t="shared" ca="1" si="36"/>
        <v>16</v>
      </c>
      <c r="R89" t="s">
        <v>323</v>
      </c>
    </row>
    <row r="90" spans="1:18" hidden="1" x14ac:dyDescent="0.3">
      <c r="A90" s="2" t="s">
        <v>297</v>
      </c>
      <c r="B90" s="2" t="s">
        <v>298</v>
      </c>
      <c r="C90" s="2" t="s">
        <v>299</v>
      </c>
      <c r="D90" s="2" t="s">
        <v>300</v>
      </c>
      <c r="E90" s="2" t="s">
        <v>68</v>
      </c>
      <c r="F90" s="3">
        <v>46221</v>
      </c>
      <c r="G90" s="4">
        <v>41</v>
      </c>
      <c r="H90" s="3">
        <v>46221</v>
      </c>
      <c r="I90" s="5">
        <v>203.67</v>
      </c>
      <c r="J90" s="2" t="s">
        <v>15</v>
      </c>
      <c r="K90" s="2" t="s">
        <v>306</v>
      </c>
      <c r="O90" s="18">
        <f>H90</f>
        <v>46221</v>
      </c>
      <c r="P90" s="19">
        <f>I90/3.356</f>
        <v>60.688319427890342</v>
      </c>
    </row>
    <row r="93" spans="1:18" x14ac:dyDescent="0.3">
      <c r="I93" s="10">
        <v>386604</v>
      </c>
    </row>
  </sheetData>
  <autoFilter ref="A1:R90" xr:uid="{00000000-0001-0000-0000-000000000000}">
    <filterColumn colId="5">
      <filters>
        <dateGroupItem year="2026" month="8" dateTimeGrouping="month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Hoja2</vt:lpstr>
      <vt:lpstr>DÍAS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Rodrigo Sebastian Martinez Montalvo (PFRO)</cp:lastModifiedBy>
  <cp:revision>1</cp:revision>
  <dcterms:created xsi:type="dcterms:W3CDTF">2026-08-31T22:27:07Z</dcterms:created>
  <dcterms:modified xsi:type="dcterms:W3CDTF">2026-08-31T22:36:46Z</dcterms:modified>
  <cp:category/>
</cp:coreProperties>
</file>