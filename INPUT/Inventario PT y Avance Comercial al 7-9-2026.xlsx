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8_{F757CCB8-5DC2-4D3A-98FC-367F90BF5250}" xr6:coauthVersionLast="47" xr6:coauthVersionMax="47" xr10:uidLastSave="{00000000-0000-0000-0000-000000000000}"/>
  <bookViews>
    <workbookView xWindow="-108" yWindow="-108" windowWidth="23256" windowHeight="13896" xr2:uid="{C1DDC07A-98BC-4794-8800-88B10E2ACD3B}"/>
  </bookViews>
  <sheets>
    <sheet name="RESUMEN AL 7-9-2026 (2)" sheetId="4" r:id="rId1"/>
    <sheet name="RESUMEN AL 7-9-2026" sheetId="3" r:id="rId2"/>
    <sheet name="TD" sheetId="2" r:id="rId3"/>
    <sheet name="STOCK LIBRE" sheetId="1" r:id="rId4"/>
  </sheets>
  <calcPr calcId="191029" iterate="1"/>
  <pivotCaches>
    <pivotCache cacheId="5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2" i="4" l="1"/>
  <c r="K50" i="4"/>
  <c r="S49" i="4"/>
  <c r="T48" i="4"/>
  <c r="S48" i="4"/>
  <c r="G48" i="4"/>
  <c r="F48" i="4"/>
  <c r="E48" i="4"/>
  <c r="S47" i="4"/>
  <c r="T47" i="4" s="1"/>
  <c r="S46" i="4"/>
  <c r="T46" i="4" s="1"/>
  <c r="G46" i="4"/>
  <c r="S45" i="4"/>
  <c r="S44" i="4"/>
  <c r="I44" i="4"/>
  <c r="H44" i="4"/>
  <c r="G44" i="4"/>
  <c r="F44" i="4"/>
  <c r="M44" i="4" s="1"/>
  <c r="S43" i="4"/>
  <c r="S42" i="4"/>
  <c r="T42" i="4" s="1"/>
  <c r="P42" i="4"/>
  <c r="D42" i="4"/>
  <c r="S41" i="4"/>
  <c r="D41" i="4"/>
  <c r="P41" i="4" s="1"/>
  <c r="S40" i="4"/>
  <c r="J40" i="4"/>
  <c r="S39" i="4"/>
  <c r="T39" i="4" s="1"/>
  <c r="F39" i="4"/>
  <c r="D39" i="4"/>
  <c r="L33" i="4"/>
  <c r="K33" i="4"/>
  <c r="K31" i="4"/>
  <c r="D31" i="4"/>
  <c r="S55" i="4" s="1"/>
  <c r="R30" i="4"/>
  <c r="G30" i="4"/>
  <c r="G42" i="4" s="1"/>
  <c r="R29" i="4"/>
  <c r="G29" i="4"/>
  <c r="R28" i="4"/>
  <c r="R31" i="4" s="1"/>
  <c r="Q31" i="4" s="1"/>
  <c r="G28" i="4"/>
  <c r="R27" i="4"/>
  <c r="G27" i="4"/>
  <c r="R26" i="4"/>
  <c r="G26" i="4"/>
  <c r="G41" i="4" s="1"/>
  <c r="R25" i="4"/>
  <c r="G25" i="4"/>
  <c r="G39" i="4" s="1"/>
  <c r="R22" i="4"/>
  <c r="K20" i="4"/>
  <c r="R19" i="4"/>
  <c r="J19" i="4"/>
  <c r="O19" i="4" s="1"/>
  <c r="P19" i="4" s="1"/>
  <c r="I19" i="4"/>
  <c r="M19" i="4" s="1"/>
  <c r="N19" i="4" s="1"/>
  <c r="H19" i="4"/>
  <c r="G19" i="4"/>
  <c r="F19" i="4"/>
  <c r="E19" i="4" s="1"/>
  <c r="D19" i="4"/>
  <c r="R18" i="4"/>
  <c r="U18" i="4" s="1"/>
  <c r="V18" i="4" s="1"/>
  <c r="O18" i="4"/>
  <c r="P18" i="4" s="1"/>
  <c r="N18" i="4"/>
  <c r="J18" i="4"/>
  <c r="I18" i="4"/>
  <c r="H18" i="4"/>
  <c r="G18" i="4"/>
  <c r="F18" i="4"/>
  <c r="M18" i="4" s="1"/>
  <c r="D18" i="4"/>
  <c r="D46" i="4" s="1"/>
  <c r="P46" i="4" s="1"/>
  <c r="J17" i="4"/>
  <c r="J49" i="4" s="1"/>
  <c r="I17" i="4"/>
  <c r="I49" i="4" s="1"/>
  <c r="H17" i="4"/>
  <c r="H49" i="4" s="1"/>
  <c r="G17" i="4"/>
  <c r="G49" i="4" s="1"/>
  <c r="F17" i="4"/>
  <c r="D17" i="4"/>
  <c r="R17" i="4" s="1"/>
  <c r="R16" i="4"/>
  <c r="J16" i="4"/>
  <c r="J48" i="4" s="1"/>
  <c r="I16" i="4"/>
  <c r="I48" i="4" s="1"/>
  <c r="H16" i="4"/>
  <c r="H48" i="4" s="1"/>
  <c r="G16" i="4"/>
  <c r="F16" i="4"/>
  <c r="E16" i="4" s="1"/>
  <c r="D16" i="4"/>
  <c r="D48" i="4" s="1"/>
  <c r="P48" i="4" s="1"/>
  <c r="R15" i="4"/>
  <c r="O15" i="4"/>
  <c r="P15" i="4" s="1"/>
  <c r="J15" i="4"/>
  <c r="I15" i="4"/>
  <c r="H15" i="4"/>
  <c r="G15" i="4"/>
  <c r="G47" i="4" s="1"/>
  <c r="F15" i="4"/>
  <c r="M15" i="4" s="1"/>
  <c r="N15" i="4" s="1"/>
  <c r="D15" i="4"/>
  <c r="D47" i="4" s="1"/>
  <c r="P47" i="4" s="1"/>
  <c r="J14" i="4"/>
  <c r="I14" i="4"/>
  <c r="H14" i="4"/>
  <c r="G14" i="4"/>
  <c r="F14" i="4"/>
  <c r="E14" i="4"/>
  <c r="E28" i="4" s="1"/>
  <c r="F28" i="4" s="1"/>
  <c r="D14" i="4"/>
  <c r="R14" i="4" s="1"/>
  <c r="R13" i="4"/>
  <c r="J13" i="4"/>
  <c r="J45" i="4" s="1"/>
  <c r="I13" i="4"/>
  <c r="I45" i="4" s="1"/>
  <c r="H13" i="4"/>
  <c r="O13" i="4" s="1"/>
  <c r="P13" i="4" s="1"/>
  <c r="G13" i="4"/>
  <c r="G45" i="4" s="1"/>
  <c r="F13" i="4"/>
  <c r="F45" i="4" s="1"/>
  <c r="D13" i="4"/>
  <c r="D45" i="4" s="1"/>
  <c r="P45" i="4" s="1"/>
  <c r="O12" i="4"/>
  <c r="J12" i="4"/>
  <c r="J44" i="4" s="1"/>
  <c r="I12" i="4"/>
  <c r="H12" i="4"/>
  <c r="G12" i="4"/>
  <c r="F12" i="4"/>
  <c r="M12" i="4" s="1"/>
  <c r="N12" i="4" s="1"/>
  <c r="D12" i="4"/>
  <c r="R12" i="4" s="1"/>
  <c r="J11" i="4"/>
  <c r="I11" i="4"/>
  <c r="H11" i="4"/>
  <c r="G11" i="4"/>
  <c r="G43" i="4" s="1"/>
  <c r="F11" i="4"/>
  <c r="D11" i="4"/>
  <c r="R10" i="4"/>
  <c r="J10" i="4"/>
  <c r="I10" i="4"/>
  <c r="I20" i="4" s="1"/>
  <c r="H10" i="4"/>
  <c r="G10" i="4"/>
  <c r="F10" i="4"/>
  <c r="E10" i="4" s="1"/>
  <c r="E30" i="4" s="1"/>
  <c r="F30" i="4" s="1"/>
  <c r="D10" i="4"/>
  <c r="R9" i="4"/>
  <c r="O9" i="4"/>
  <c r="P9" i="4" s="1"/>
  <c r="J9" i="4"/>
  <c r="I9" i="4"/>
  <c r="H9" i="4"/>
  <c r="G9" i="4"/>
  <c r="F9" i="4"/>
  <c r="M9" i="4" s="1"/>
  <c r="N9" i="4" s="1"/>
  <c r="E9" i="4"/>
  <c r="E26" i="4" s="1"/>
  <c r="F26" i="4" s="1"/>
  <c r="D9" i="4"/>
  <c r="J8" i="4"/>
  <c r="I8" i="4"/>
  <c r="I40" i="4" s="1"/>
  <c r="H8" i="4"/>
  <c r="H40" i="4" s="1"/>
  <c r="G8" i="4"/>
  <c r="F8" i="4"/>
  <c r="D8" i="4"/>
  <c r="D20" i="4" s="1"/>
  <c r="D33" i="4" s="1"/>
  <c r="R7" i="4"/>
  <c r="O7" i="4"/>
  <c r="J7" i="4"/>
  <c r="I7" i="4"/>
  <c r="H7" i="4"/>
  <c r="G7" i="4"/>
  <c r="F7" i="4"/>
  <c r="E7" i="4" s="1"/>
  <c r="E25" i="4" s="1"/>
  <c r="F25" i="4" s="1"/>
  <c r="D7" i="4"/>
  <c r="I27" i="4" l="1"/>
  <c r="I43" i="4" s="1"/>
  <c r="I28" i="4"/>
  <c r="I25" i="4"/>
  <c r="I26" i="4"/>
  <c r="I41" i="4" s="1"/>
  <c r="I30" i="4"/>
  <c r="I42" i="4" s="1"/>
  <c r="I29" i="4"/>
  <c r="I47" i="4" s="1"/>
  <c r="F41" i="4"/>
  <c r="P39" i="4"/>
  <c r="E39" i="4"/>
  <c r="T41" i="4"/>
  <c r="M11" i="4"/>
  <c r="N11" i="4" s="1"/>
  <c r="O11" i="4"/>
  <c r="P11" i="4" s="1"/>
  <c r="U12" i="4"/>
  <c r="V12" i="4" s="1"/>
  <c r="S12" i="4"/>
  <c r="T12" i="4" s="1"/>
  <c r="O10" i="4"/>
  <c r="P10" i="4" s="1"/>
  <c r="M10" i="4"/>
  <c r="N10" i="4" s="1"/>
  <c r="E8" i="4"/>
  <c r="R11" i="4"/>
  <c r="D43" i="4"/>
  <c r="P43" i="4" s="1"/>
  <c r="U19" i="4"/>
  <c r="V19" i="4" s="1"/>
  <c r="E11" i="4"/>
  <c r="E27" i="4" s="1"/>
  <c r="F27" i="4" s="1"/>
  <c r="U9" i="4"/>
  <c r="V9" i="4" s="1"/>
  <c r="M16" i="4"/>
  <c r="N16" i="4" s="1"/>
  <c r="S18" i="4"/>
  <c r="T18" i="4" s="1"/>
  <c r="D44" i="4"/>
  <c r="S9" i="4"/>
  <c r="T9" i="4" s="1"/>
  <c r="P12" i="4"/>
  <c r="O14" i="4"/>
  <c r="P14" i="4" s="1"/>
  <c r="M14" i="4"/>
  <c r="M48" i="4"/>
  <c r="N48" i="4" s="1"/>
  <c r="O16" i="4"/>
  <c r="P16" i="4" s="1"/>
  <c r="N44" i="4"/>
  <c r="E12" i="4"/>
  <c r="M13" i="4"/>
  <c r="N13" i="4" s="1"/>
  <c r="H45" i="4"/>
  <c r="M45" i="4" s="1"/>
  <c r="G40" i="4"/>
  <c r="G50" i="4" s="1"/>
  <c r="G20" i="4"/>
  <c r="G33" i="4" s="1"/>
  <c r="F46" i="4"/>
  <c r="P7" i="4"/>
  <c r="R8" i="4"/>
  <c r="D40" i="4"/>
  <c r="P40" i="4" s="1"/>
  <c r="T43" i="4"/>
  <c r="M8" i="4"/>
  <c r="N8" i="4" s="1"/>
  <c r="F40" i="4"/>
  <c r="O8" i="4"/>
  <c r="P8" i="4" s="1"/>
  <c r="F20" i="4"/>
  <c r="F42" i="4"/>
  <c r="E45" i="4"/>
  <c r="I46" i="4"/>
  <c r="U15" i="4"/>
  <c r="V15" i="4" s="1"/>
  <c r="U16" i="4"/>
  <c r="V16" i="4" s="1"/>
  <c r="T45" i="4"/>
  <c r="S15" i="4"/>
  <c r="T15" i="4" s="1"/>
  <c r="E18" i="4"/>
  <c r="J20" i="4"/>
  <c r="E17" i="4"/>
  <c r="G31" i="4"/>
  <c r="M7" i="4"/>
  <c r="U7" i="4" s="1"/>
  <c r="E15" i="4"/>
  <c r="E29" i="4" s="1"/>
  <c r="F29" i="4" s="1"/>
  <c r="F47" i="4" s="1"/>
  <c r="F49" i="4"/>
  <c r="O17" i="4"/>
  <c r="P17" i="4" s="1"/>
  <c r="M17" i="4"/>
  <c r="H20" i="4"/>
  <c r="D49" i="4"/>
  <c r="P49" i="4" s="1"/>
  <c r="S19" i="4"/>
  <c r="T19" i="4" s="1"/>
  <c r="E13" i="4"/>
  <c r="S13" i="4"/>
  <c r="T13" i="4" s="1"/>
  <c r="S16" i="4"/>
  <c r="T16" i="4" s="1"/>
  <c r="V7" i="4" l="1"/>
  <c r="N45" i="4"/>
  <c r="Q45" i="4"/>
  <c r="E47" i="4"/>
  <c r="U10" i="4"/>
  <c r="V10" i="4" s="1"/>
  <c r="S8" i="4"/>
  <c r="T8" i="4" s="1"/>
  <c r="R20" i="4"/>
  <c r="U8" i="4"/>
  <c r="V8" i="4" s="1"/>
  <c r="D50" i="4"/>
  <c r="U13" i="4"/>
  <c r="V13" i="4" s="1"/>
  <c r="U48" i="4"/>
  <c r="H28" i="4"/>
  <c r="H27" i="4"/>
  <c r="H43" i="4" s="1"/>
  <c r="H25" i="4"/>
  <c r="H26" i="4"/>
  <c r="H29" i="4"/>
  <c r="H47" i="4" s="1"/>
  <c r="M47" i="4" s="1"/>
  <c r="H30" i="4"/>
  <c r="E42" i="4"/>
  <c r="T40" i="4"/>
  <c r="N17" i="4"/>
  <c r="S17" i="4"/>
  <c r="T17" i="4" s="1"/>
  <c r="U17" i="4"/>
  <c r="V17" i="4" s="1"/>
  <c r="O20" i="4"/>
  <c r="E40" i="4"/>
  <c r="M40" i="4"/>
  <c r="N40" i="4" s="1"/>
  <c r="F50" i="4"/>
  <c r="M20" i="4"/>
  <c r="N7" i="4"/>
  <c r="M27" i="4"/>
  <c r="F43" i="4"/>
  <c r="N14" i="4"/>
  <c r="U14" i="4"/>
  <c r="V14" i="4" s="1"/>
  <c r="S14" i="4"/>
  <c r="T14" i="4" s="1"/>
  <c r="F31" i="4"/>
  <c r="E31" i="4" s="1"/>
  <c r="Q49" i="4"/>
  <c r="I31" i="4"/>
  <c r="I33" i="4" s="1"/>
  <c r="J28" i="4"/>
  <c r="J46" i="4" s="1"/>
  <c r="J26" i="4"/>
  <c r="J41" i="4" s="1"/>
  <c r="J27" i="4"/>
  <c r="J43" i="4" s="1"/>
  <c r="J30" i="4"/>
  <c r="J42" i="4" s="1"/>
  <c r="J29" i="4"/>
  <c r="J47" i="4" s="1"/>
  <c r="J25" i="4"/>
  <c r="E46" i="4"/>
  <c r="P44" i="4"/>
  <c r="Q44" i="4" s="1"/>
  <c r="E44" i="4"/>
  <c r="U11" i="4"/>
  <c r="V11" i="4" s="1"/>
  <c r="S11" i="4"/>
  <c r="T11" i="4" s="1"/>
  <c r="T49" i="4"/>
  <c r="U49" i="4" s="1"/>
  <c r="E41" i="4"/>
  <c r="S7" i="4"/>
  <c r="S10" i="4"/>
  <c r="T10" i="4" s="1"/>
  <c r="M49" i="4"/>
  <c r="N49" i="4" s="1"/>
  <c r="E49" i="4"/>
  <c r="I39" i="4"/>
  <c r="I50" i="4" s="1"/>
  <c r="F33" i="4"/>
  <c r="E33" i="4" s="1"/>
  <c r="E20" i="4"/>
  <c r="Q48" i="4"/>
  <c r="U45" i="4"/>
  <c r="T44" i="4"/>
  <c r="U44" i="4" s="1"/>
  <c r="P52" i="4" l="1"/>
  <c r="N47" i="4"/>
  <c r="Q47" i="4"/>
  <c r="U47" i="4"/>
  <c r="U40" i="4"/>
  <c r="T50" i="4"/>
  <c r="S50" i="4" s="1"/>
  <c r="O27" i="4"/>
  <c r="P27" i="4" s="1"/>
  <c r="V49" i="4"/>
  <c r="W49" i="4"/>
  <c r="R49" i="4"/>
  <c r="N27" i="4"/>
  <c r="S27" i="4"/>
  <c r="T27" i="4" s="1"/>
  <c r="U27" i="4"/>
  <c r="V27" i="4" s="1"/>
  <c r="R33" i="4"/>
  <c r="Q33" i="4" s="1"/>
  <c r="Q20" i="4"/>
  <c r="M30" i="4"/>
  <c r="H42" i="4"/>
  <c r="M42" i="4" s="1"/>
  <c r="O30" i="4"/>
  <c r="P30" i="4" s="1"/>
  <c r="S53" i="4"/>
  <c r="S54" i="4" s="1"/>
  <c r="E50" i="4"/>
  <c r="H41" i="4"/>
  <c r="M41" i="4" s="1"/>
  <c r="O26" i="4"/>
  <c r="P26" i="4" s="1"/>
  <c r="M26" i="4"/>
  <c r="P50" i="4"/>
  <c r="H31" i="4"/>
  <c r="H33" i="4" s="1"/>
  <c r="H39" i="4"/>
  <c r="O25" i="4"/>
  <c r="M25" i="4"/>
  <c r="Q40" i="4"/>
  <c r="T7" i="4"/>
  <c r="S20" i="4"/>
  <c r="J31" i="4"/>
  <c r="J33" i="4" s="1"/>
  <c r="J39" i="4"/>
  <c r="J50" i="4" s="1"/>
  <c r="P20" i="4"/>
  <c r="V45" i="4"/>
  <c r="R45" i="4"/>
  <c r="W45" i="4"/>
  <c r="M29" i="4"/>
  <c r="U20" i="4"/>
  <c r="N20" i="4"/>
  <c r="W44" i="4"/>
  <c r="V44" i="4"/>
  <c r="R44" i="4"/>
  <c r="O28" i="4"/>
  <c r="P28" i="4" s="1"/>
  <c r="H46" i="4"/>
  <c r="M46" i="4" s="1"/>
  <c r="M28" i="4"/>
  <c r="O29" i="4"/>
  <c r="P29" i="4" s="1"/>
  <c r="R48" i="4"/>
  <c r="W48" i="4"/>
  <c r="V48" i="4"/>
  <c r="E43" i="4"/>
  <c r="M43" i="4"/>
  <c r="O50" i="4" l="1"/>
  <c r="N26" i="4"/>
  <c r="S26" i="4"/>
  <c r="T26" i="4" s="1"/>
  <c r="U26" i="4"/>
  <c r="N43" i="4"/>
  <c r="Q43" i="4"/>
  <c r="U43" i="4"/>
  <c r="T20" i="4"/>
  <c r="V20" i="4"/>
  <c r="S30" i="4"/>
  <c r="T30" i="4" s="1"/>
  <c r="N30" i="4"/>
  <c r="U30" i="4"/>
  <c r="N41" i="4"/>
  <c r="Q41" i="4"/>
  <c r="U41" i="4"/>
  <c r="N42" i="4"/>
  <c r="U42" i="4"/>
  <c r="Q42" i="4"/>
  <c r="N29" i="4"/>
  <c r="U29" i="4"/>
  <c r="S29" i="4"/>
  <c r="T29" i="4" s="1"/>
  <c r="O31" i="4"/>
  <c r="P25" i="4"/>
  <c r="R47" i="4"/>
  <c r="W47" i="4"/>
  <c r="V47" i="4"/>
  <c r="N28" i="4"/>
  <c r="S28" i="4"/>
  <c r="T28" i="4" s="1"/>
  <c r="U28" i="4"/>
  <c r="V28" i="4" s="1"/>
  <c r="N46" i="4"/>
  <c r="Q46" i="4"/>
  <c r="U46" i="4"/>
  <c r="W40" i="4"/>
  <c r="R40" i="4"/>
  <c r="V40" i="4"/>
  <c r="M31" i="4"/>
  <c r="N25" i="4"/>
  <c r="U25" i="4"/>
  <c r="S25" i="4"/>
  <c r="H50" i="4"/>
  <c r="M39" i="4"/>
  <c r="Q52" i="4" l="1"/>
  <c r="W46" i="4"/>
  <c r="V46" i="4"/>
  <c r="R46" i="4"/>
  <c r="R41" i="4"/>
  <c r="W41" i="4"/>
  <c r="V41" i="4"/>
  <c r="W42" i="4"/>
  <c r="V42" i="4"/>
  <c r="R42" i="4"/>
  <c r="M50" i="4"/>
  <c r="N50" i="4" s="1"/>
  <c r="N39" i="4"/>
  <c r="U39" i="4"/>
  <c r="U50" i="4" s="1"/>
  <c r="Q39" i="4"/>
  <c r="R43" i="4"/>
  <c r="V43" i="4"/>
  <c r="W43" i="4"/>
  <c r="T25" i="4"/>
  <c r="S31" i="4"/>
  <c r="U31" i="4"/>
  <c r="V25" i="4"/>
  <c r="N31" i="4"/>
  <c r="R23" i="4"/>
  <c r="S23" i="4" s="1"/>
  <c r="T23" i="4" s="1"/>
  <c r="M33" i="4"/>
  <c r="N33" i="4" s="1"/>
  <c r="P31" i="4"/>
  <c r="O33" i="4"/>
  <c r="P33" i="4" s="1"/>
  <c r="T31" i="4" l="1"/>
  <c r="S33" i="4"/>
  <c r="T33" i="4" s="1"/>
  <c r="V31" i="4"/>
  <c r="U33" i="4"/>
  <c r="V33" i="4" s="1"/>
  <c r="W39" i="4"/>
  <c r="Q50" i="4"/>
  <c r="V39" i="4"/>
  <c r="V50" i="4" s="1"/>
  <c r="R39" i="4"/>
  <c r="R50" i="4" l="1"/>
  <c r="W50" i="4"/>
  <c r="L45" i="1" l="1"/>
  <c r="J17" i="3"/>
  <c r="J49" i="3" s="1"/>
  <c r="I17" i="3"/>
  <c r="I49" i="3" s="1"/>
  <c r="H17" i="3"/>
  <c r="H49" i="3" s="1"/>
  <c r="G17" i="3"/>
  <c r="F17" i="3"/>
  <c r="J7" i="3"/>
  <c r="J8" i="3"/>
  <c r="J9" i="3"/>
  <c r="J10" i="3"/>
  <c r="J11" i="3"/>
  <c r="J12" i="3"/>
  <c r="J44" i="3" s="1"/>
  <c r="J13" i="3"/>
  <c r="J14" i="3"/>
  <c r="J15" i="3"/>
  <c r="J16" i="3"/>
  <c r="J48" i="3" s="1"/>
  <c r="J18" i="3"/>
  <c r="J19" i="3"/>
  <c r="I7" i="3"/>
  <c r="I8" i="3"/>
  <c r="I40" i="3" s="1"/>
  <c r="I9" i="3"/>
  <c r="I10" i="3"/>
  <c r="I11" i="3"/>
  <c r="I12" i="3"/>
  <c r="I44" i="3" s="1"/>
  <c r="I13" i="3"/>
  <c r="I14" i="3"/>
  <c r="I15" i="3"/>
  <c r="I16" i="3"/>
  <c r="I48" i="3" s="1"/>
  <c r="I18" i="3"/>
  <c r="I19" i="3"/>
  <c r="H7" i="3"/>
  <c r="H8" i="3"/>
  <c r="H40" i="3" s="1"/>
  <c r="H9" i="3"/>
  <c r="H10" i="3"/>
  <c r="H11" i="3"/>
  <c r="H12" i="3"/>
  <c r="H44" i="3" s="1"/>
  <c r="H13" i="3"/>
  <c r="H14" i="3"/>
  <c r="H15" i="3"/>
  <c r="H16" i="3"/>
  <c r="H48" i="3" s="1"/>
  <c r="H18" i="3"/>
  <c r="H19" i="3"/>
  <c r="G7" i="3"/>
  <c r="G39" i="3" s="1"/>
  <c r="G8" i="3"/>
  <c r="G40" i="3" s="1"/>
  <c r="G9" i="3"/>
  <c r="G10" i="3"/>
  <c r="G11" i="3"/>
  <c r="G12" i="3"/>
  <c r="G44" i="3" s="1"/>
  <c r="G13" i="3"/>
  <c r="G14" i="3"/>
  <c r="G15" i="3"/>
  <c r="G16" i="3"/>
  <c r="G48" i="3" s="1"/>
  <c r="G18" i="3"/>
  <c r="G46" i="3" s="1"/>
  <c r="G19" i="3"/>
  <c r="F7" i="3"/>
  <c r="F8" i="3"/>
  <c r="F9" i="3"/>
  <c r="F10" i="3"/>
  <c r="F11" i="3"/>
  <c r="F12" i="3"/>
  <c r="F44" i="3" s="1"/>
  <c r="F13" i="3"/>
  <c r="F14" i="3"/>
  <c r="F15" i="3"/>
  <c r="F16" i="3"/>
  <c r="F18" i="3"/>
  <c r="F19" i="3"/>
  <c r="O19" i="3" s="1"/>
  <c r="D17" i="3"/>
  <c r="D49" i="3" s="1"/>
  <c r="D7" i="3"/>
  <c r="D8" i="3"/>
  <c r="R8" i="3" s="1"/>
  <c r="D9" i="3"/>
  <c r="D41" i="3" s="1"/>
  <c r="P41" i="3" s="1"/>
  <c r="D10" i="3"/>
  <c r="R10" i="3" s="1"/>
  <c r="D11" i="3"/>
  <c r="R11" i="3" s="1"/>
  <c r="D12" i="3"/>
  <c r="D13" i="3"/>
  <c r="D45" i="3" s="1"/>
  <c r="D14" i="3"/>
  <c r="R14" i="3" s="1"/>
  <c r="D15" i="3"/>
  <c r="R15" i="3" s="1"/>
  <c r="D16" i="3"/>
  <c r="R16" i="3" s="1"/>
  <c r="D18" i="3"/>
  <c r="R18" i="3" s="1"/>
  <c r="D19" i="3"/>
  <c r="D39" i="3"/>
  <c r="P39" i="3" s="1"/>
  <c r="D44" i="3"/>
  <c r="P44" i="3" s="1"/>
  <c r="R13" i="3"/>
  <c r="K50" i="3"/>
  <c r="S49" i="3"/>
  <c r="S48" i="3"/>
  <c r="S47" i="3"/>
  <c r="S46" i="3"/>
  <c r="S45" i="3"/>
  <c r="H45" i="3"/>
  <c r="G45" i="3"/>
  <c r="S44" i="3"/>
  <c r="S43" i="3"/>
  <c r="S42" i="3"/>
  <c r="S41" i="3"/>
  <c r="S40" i="3"/>
  <c r="S39" i="3"/>
  <c r="L33" i="3"/>
  <c r="K31" i="3"/>
  <c r="D31" i="3"/>
  <c r="S55" i="3" s="1"/>
  <c r="R30" i="3"/>
  <c r="G30" i="3"/>
  <c r="R29" i="3"/>
  <c r="G29" i="3"/>
  <c r="R28" i="3"/>
  <c r="G28" i="3"/>
  <c r="R27" i="3"/>
  <c r="G27" i="3"/>
  <c r="R26" i="3"/>
  <c r="G26" i="3"/>
  <c r="R25" i="3"/>
  <c r="G25" i="3"/>
  <c r="G31" i="3" s="1"/>
  <c r="R22" i="3"/>
  <c r="K20" i="3"/>
  <c r="K33" i="3" s="1"/>
  <c r="J45" i="3"/>
  <c r="I45" i="3"/>
  <c r="R12" i="3"/>
  <c r="G42" i="3"/>
  <c r="J40" i="3"/>
  <c r="B14" i="2"/>
  <c r="B13" i="2"/>
  <c r="B12" i="2"/>
  <c r="B11" i="2"/>
  <c r="B10" i="2"/>
  <c r="B9" i="2"/>
  <c r="B8" i="2"/>
  <c r="B7" i="2"/>
  <c r="B6" i="2"/>
  <c r="B5" i="2"/>
  <c r="B4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6" i="1"/>
  <c r="L47" i="1"/>
  <c r="L48" i="1"/>
  <c r="L49" i="1"/>
  <c r="L50" i="1"/>
  <c r="N50" i="1" s="1"/>
  <c r="L51" i="1"/>
  <c r="N51" i="1" s="1"/>
  <c r="L52" i="1"/>
  <c r="N52" i="1" s="1"/>
  <c r="L53" i="1"/>
  <c r="L54" i="1"/>
  <c r="K55" i="1"/>
  <c r="K2" i="1"/>
  <c r="K52" i="1"/>
  <c r="J52" i="1"/>
  <c r="H52" i="1"/>
  <c r="K51" i="1"/>
  <c r="J51" i="1"/>
  <c r="H51" i="1"/>
  <c r="K50" i="1"/>
  <c r="J50" i="1"/>
  <c r="H50" i="1"/>
  <c r="E11" i="3" l="1"/>
  <c r="E27" i="3" s="1"/>
  <c r="F27" i="3" s="1"/>
  <c r="O11" i="3"/>
  <c r="M11" i="3"/>
  <c r="N11" i="3" s="1"/>
  <c r="G43" i="3"/>
  <c r="D42" i="3"/>
  <c r="P42" i="3" s="1"/>
  <c r="G47" i="3"/>
  <c r="P19" i="3"/>
  <c r="M14" i="3"/>
  <c r="N14" i="3" s="1"/>
  <c r="M12" i="3"/>
  <c r="N12" i="3" s="1"/>
  <c r="O12" i="3"/>
  <c r="P12" i="3" s="1"/>
  <c r="M17" i="3"/>
  <c r="N17" i="3" s="1"/>
  <c r="O18" i="3"/>
  <c r="P18" i="3" s="1"/>
  <c r="O17" i="3"/>
  <c r="O15" i="3"/>
  <c r="M8" i="3"/>
  <c r="S8" i="3" s="1"/>
  <c r="T8" i="3" s="1"/>
  <c r="O9" i="3"/>
  <c r="G49" i="3"/>
  <c r="G41" i="3"/>
  <c r="M9" i="3"/>
  <c r="M18" i="3"/>
  <c r="U18" i="3" s="1"/>
  <c r="V18" i="3" s="1"/>
  <c r="M19" i="3"/>
  <c r="N19" i="3" s="1"/>
  <c r="S11" i="3"/>
  <c r="T11" i="3" s="1"/>
  <c r="O8" i="3"/>
  <c r="P8" i="3" s="1"/>
  <c r="F40" i="3"/>
  <c r="P45" i="3"/>
  <c r="T45" i="3"/>
  <c r="P11" i="3"/>
  <c r="E18" i="3"/>
  <c r="R17" i="3"/>
  <c r="D40" i="3"/>
  <c r="P40" i="3" s="1"/>
  <c r="N9" i="3"/>
  <c r="R9" i="3"/>
  <c r="U9" i="3" s="1"/>
  <c r="V9" i="3" s="1"/>
  <c r="R19" i="3"/>
  <c r="D46" i="3"/>
  <c r="P46" i="3" s="1"/>
  <c r="E12" i="3"/>
  <c r="P49" i="3"/>
  <c r="T49" i="3"/>
  <c r="D47" i="3"/>
  <c r="P47" i="3" s="1"/>
  <c r="T42" i="3"/>
  <c r="T47" i="3"/>
  <c r="D48" i="3"/>
  <c r="P48" i="3" s="1"/>
  <c r="P17" i="3"/>
  <c r="T39" i="3"/>
  <c r="R7" i="3"/>
  <c r="T44" i="3"/>
  <c r="E44" i="3"/>
  <c r="E19" i="3"/>
  <c r="P15" i="3"/>
  <c r="P9" i="3"/>
  <c r="F43" i="3"/>
  <c r="U14" i="3"/>
  <c r="V14" i="3" s="1"/>
  <c r="S14" i="3"/>
  <c r="T14" i="3" s="1"/>
  <c r="S12" i="3"/>
  <c r="T12" i="3" s="1"/>
  <c r="E17" i="3"/>
  <c r="M40" i="3"/>
  <c r="N40" i="3" s="1"/>
  <c r="D43" i="3"/>
  <c r="P43" i="3" s="1"/>
  <c r="M44" i="3"/>
  <c r="N44" i="3" s="1"/>
  <c r="E8" i="3"/>
  <c r="E14" i="3"/>
  <c r="E28" i="3" s="1"/>
  <c r="F28" i="3" s="1"/>
  <c r="F46" i="3" s="1"/>
  <c r="E15" i="3"/>
  <c r="E29" i="3" s="1"/>
  <c r="F29" i="3" s="1"/>
  <c r="F47" i="3" s="1"/>
  <c r="E16" i="3"/>
  <c r="O16" i="3"/>
  <c r="P16" i="3" s="1"/>
  <c r="F48" i="3"/>
  <c r="M16" i="3"/>
  <c r="N16" i="3" s="1"/>
  <c r="E9" i="3"/>
  <c r="E26" i="3" s="1"/>
  <c r="F26" i="3" s="1"/>
  <c r="F41" i="3" s="1"/>
  <c r="O14" i="3"/>
  <c r="P14" i="3" s="1"/>
  <c r="D20" i="3"/>
  <c r="D33" i="3" s="1"/>
  <c r="T41" i="3"/>
  <c r="E7" i="3"/>
  <c r="E25" i="3" s="1"/>
  <c r="F25" i="3" s="1"/>
  <c r="O7" i="3"/>
  <c r="M7" i="3"/>
  <c r="F20" i="3"/>
  <c r="E10" i="3"/>
  <c r="E30" i="3" s="1"/>
  <c r="F30" i="3" s="1"/>
  <c r="F42" i="3" s="1"/>
  <c r="O10" i="3"/>
  <c r="P10" i="3" s="1"/>
  <c r="M10" i="3"/>
  <c r="N10" i="3" s="1"/>
  <c r="E13" i="3"/>
  <c r="O13" i="3"/>
  <c r="P13" i="3" s="1"/>
  <c r="M13" i="3"/>
  <c r="N13" i="3" s="1"/>
  <c r="G20" i="3"/>
  <c r="G33" i="3" s="1"/>
  <c r="J20" i="3"/>
  <c r="R31" i="3"/>
  <c r="Q31" i="3" s="1"/>
  <c r="H20" i="3"/>
  <c r="T40" i="3"/>
  <c r="I20" i="3"/>
  <c r="M15" i="3"/>
  <c r="S15" i="3" s="1"/>
  <c r="T15" i="3" s="1"/>
  <c r="F45" i="3"/>
  <c r="F49" i="3"/>
  <c r="M52" i="1"/>
  <c r="M51" i="1"/>
  <c r="M50" i="1"/>
  <c r="U17" i="3" l="1"/>
  <c r="V17" i="3" s="1"/>
  <c r="U12" i="3"/>
  <c r="V12" i="3" s="1"/>
  <c r="U11" i="3"/>
  <c r="V11" i="3" s="1"/>
  <c r="G50" i="3"/>
  <c r="U8" i="3"/>
  <c r="V8" i="3" s="1"/>
  <c r="N8" i="3"/>
  <c r="N18" i="3"/>
  <c r="U40" i="3"/>
  <c r="V40" i="3" s="1"/>
  <c r="S18" i="3"/>
  <c r="T18" i="3" s="1"/>
  <c r="U16" i="3"/>
  <c r="V16" i="3" s="1"/>
  <c r="S10" i="3"/>
  <c r="T10" i="3" s="1"/>
  <c r="S16" i="3"/>
  <c r="T16" i="3" s="1"/>
  <c r="Q40" i="3"/>
  <c r="R40" i="3" s="1"/>
  <c r="S19" i="3"/>
  <c r="T19" i="3" s="1"/>
  <c r="U7" i="3"/>
  <c r="V7" i="3" s="1"/>
  <c r="E40" i="3"/>
  <c r="S9" i="3"/>
  <c r="T9" i="3" s="1"/>
  <c r="S17" i="3"/>
  <c r="T17" i="3" s="1"/>
  <c r="U19" i="3"/>
  <c r="V19" i="3" s="1"/>
  <c r="R20" i="3"/>
  <c r="Q20" i="3" s="1"/>
  <c r="T46" i="3"/>
  <c r="T48" i="3"/>
  <c r="E46" i="3"/>
  <c r="E42" i="3"/>
  <c r="U13" i="3"/>
  <c r="V13" i="3" s="1"/>
  <c r="M49" i="3"/>
  <c r="E49" i="3"/>
  <c r="F31" i="3"/>
  <c r="E31" i="3" s="1"/>
  <c r="E47" i="3"/>
  <c r="I27" i="3"/>
  <c r="I43" i="3" s="1"/>
  <c r="I29" i="3"/>
  <c r="I47" i="3" s="1"/>
  <c r="I30" i="3"/>
  <c r="I42" i="3" s="1"/>
  <c r="I25" i="3"/>
  <c r="I28" i="3"/>
  <c r="I46" i="3" s="1"/>
  <c r="I26" i="3"/>
  <c r="I41" i="3" s="1"/>
  <c r="Q44" i="3"/>
  <c r="E20" i="3"/>
  <c r="M48" i="3"/>
  <c r="E48" i="3"/>
  <c r="M20" i="3"/>
  <c r="N7" i="3"/>
  <c r="U15" i="3"/>
  <c r="V15" i="3" s="1"/>
  <c r="N15" i="3"/>
  <c r="O20" i="3"/>
  <c r="P7" i="3"/>
  <c r="S13" i="3"/>
  <c r="T13" i="3" s="1"/>
  <c r="S7" i="3"/>
  <c r="E43" i="3"/>
  <c r="T43" i="3"/>
  <c r="W40" i="3"/>
  <c r="U44" i="3"/>
  <c r="E41" i="3"/>
  <c r="P50" i="3"/>
  <c r="D50" i="3"/>
  <c r="D52" i="3" s="1"/>
  <c r="H26" i="3"/>
  <c r="H41" i="3" s="1"/>
  <c r="H30" i="3"/>
  <c r="H42" i="3" s="1"/>
  <c r="H25" i="3"/>
  <c r="H28" i="3"/>
  <c r="H46" i="3" s="1"/>
  <c r="H27" i="3"/>
  <c r="H29" i="3"/>
  <c r="H47" i="3" s="1"/>
  <c r="M45" i="3"/>
  <c r="E45" i="3"/>
  <c r="U10" i="3"/>
  <c r="V10" i="3" s="1"/>
  <c r="J27" i="3"/>
  <c r="J43" i="3" s="1"/>
  <c r="J30" i="3"/>
  <c r="J42" i="3" s="1"/>
  <c r="J25" i="3"/>
  <c r="J29" i="3"/>
  <c r="J47" i="3" s="1"/>
  <c r="J28" i="3"/>
  <c r="J46" i="3" s="1"/>
  <c r="J26" i="3"/>
  <c r="J41" i="3" s="1"/>
  <c r="F39" i="3"/>
  <c r="T50" i="3" l="1"/>
  <c r="S50" i="3" s="1"/>
  <c r="M46" i="3"/>
  <c r="U46" i="3" s="1"/>
  <c r="M41" i="3"/>
  <c r="U41" i="3" s="1"/>
  <c r="R33" i="3"/>
  <c r="Q33" i="3" s="1"/>
  <c r="M25" i="3"/>
  <c r="U25" i="3" s="1"/>
  <c r="M47" i="3"/>
  <c r="M42" i="3"/>
  <c r="U42" i="3" s="1"/>
  <c r="M28" i="3"/>
  <c r="N28" i="3" s="1"/>
  <c r="N47" i="3"/>
  <c r="Q47" i="3"/>
  <c r="U47" i="3"/>
  <c r="N41" i="3"/>
  <c r="O28" i="3"/>
  <c r="P28" i="3" s="1"/>
  <c r="O26" i="3"/>
  <c r="P26" i="3" s="1"/>
  <c r="N20" i="3"/>
  <c r="N49" i="3"/>
  <c r="Q49" i="3"/>
  <c r="U49" i="3"/>
  <c r="P20" i="3"/>
  <c r="H43" i="3"/>
  <c r="M43" i="3" s="1"/>
  <c r="U43" i="3" s="1"/>
  <c r="M27" i="3"/>
  <c r="O27" i="3"/>
  <c r="P27" i="3" s="1"/>
  <c r="J31" i="3"/>
  <c r="J33" i="3" s="1"/>
  <c r="J39" i="3"/>
  <c r="J50" i="3" s="1"/>
  <c r="M26" i="3"/>
  <c r="H31" i="3"/>
  <c r="H33" i="3" s="1"/>
  <c r="H39" i="3"/>
  <c r="I31" i="3"/>
  <c r="I33" i="3" s="1"/>
  <c r="I39" i="3"/>
  <c r="I50" i="3" s="1"/>
  <c r="N48" i="3"/>
  <c r="Q48" i="3"/>
  <c r="U48" i="3"/>
  <c r="O29" i="3"/>
  <c r="P29" i="3" s="1"/>
  <c r="F33" i="3"/>
  <c r="E33" i="3" s="1"/>
  <c r="M29" i="3"/>
  <c r="N45" i="3"/>
  <c r="U45" i="3"/>
  <c r="Q45" i="3"/>
  <c r="M30" i="3"/>
  <c r="T7" i="3"/>
  <c r="S20" i="3"/>
  <c r="W44" i="3"/>
  <c r="V44" i="3"/>
  <c r="R44" i="3"/>
  <c r="O30" i="3"/>
  <c r="P30" i="3" s="1"/>
  <c r="E39" i="3"/>
  <c r="F50" i="3"/>
  <c r="O50" i="3"/>
  <c r="P52" i="3"/>
  <c r="U20" i="3"/>
  <c r="O25" i="3"/>
  <c r="Q41" i="3" l="1"/>
  <c r="N46" i="3"/>
  <c r="Q46" i="3"/>
  <c r="V46" i="3" s="1"/>
  <c r="N42" i="3"/>
  <c r="Q42" i="3"/>
  <c r="R42" i="3" s="1"/>
  <c r="M39" i="3"/>
  <c r="Q39" i="3" s="1"/>
  <c r="U28" i="3"/>
  <c r="V28" i="3" s="1"/>
  <c r="N25" i="3"/>
  <c r="S25" i="3"/>
  <c r="T25" i="3" s="1"/>
  <c r="S28" i="3"/>
  <c r="T28" i="3" s="1"/>
  <c r="W41" i="3"/>
  <c r="V41" i="3"/>
  <c r="R41" i="3"/>
  <c r="N26" i="3"/>
  <c r="U26" i="3"/>
  <c r="S26" i="3"/>
  <c r="T26" i="3" s="1"/>
  <c r="V25" i="3"/>
  <c r="W49" i="3"/>
  <c r="V49" i="3"/>
  <c r="R49" i="3"/>
  <c r="S53" i="3"/>
  <c r="S54" i="3" s="1"/>
  <c r="E50" i="3"/>
  <c r="N29" i="3"/>
  <c r="U29" i="3"/>
  <c r="S29" i="3"/>
  <c r="T29" i="3" s="1"/>
  <c r="M31" i="3"/>
  <c r="W48" i="3"/>
  <c r="V48" i="3"/>
  <c r="R48" i="3"/>
  <c r="T20" i="3"/>
  <c r="P25" i="3"/>
  <c r="O31" i="3"/>
  <c r="N27" i="3"/>
  <c r="S27" i="3"/>
  <c r="T27" i="3" s="1"/>
  <c r="U27" i="3"/>
  <c r="V27" i="3" s="1"/>
  <c r="V20" i="3"/>
  <c r="U30" i="3"/>
  <c r="N30" i="3"/>
  <c r="S30" i="3"/>
  <c r="T30" i="3" s="1"/>
  <c r="N43" i="3"/>
  <c r="Q43" i="3"/>
  <c r="W47" i="3"/>
  <c r="V47" i="3"/>
  <c r="R47" i="3"/>
  <c r="R45" i="3"/>
  <c r="W45" i="3"/>
  <c r="V45" i="3"/>
  <c r="H50" i="3"/>
  <c r="R46" i="3" l="1"/>
  <c r="W46" i="3"/>
  <c r="V42" i="3"/>
  <c r="W42" i="3"/>
  <c r="M50" i="3"/>
  <c r="N50" i="3" s="1"/>
  <c r="U31" i="3"/>
  <c r="V31" i="3" s="1"/>
  <c r="N39" i="3"/>
  <c r="U39" i="3"/>
  <c r="U50" i="3" s="1"/>
  <c r="N31" i="3"/>
  <c r="R23" i="3"/>
  <c r="S23" i="3" s="1"/>
  <c r="T23" i="3" s="1"/>
  <c r="M33" i="3"/>
  <c r="N33" i="3" s="1"/>
  <c r="R39" i="3"/>
  <c r="W39" i="3"/>
  <c r="Q50" i="3"/>
  <c r="S31" i="3"/>
  <c r="P31" i="3"/>
  <c r="O33" i="3"/>
  <c r="P33" i="3" s="1"/>
  <c r="W43" i="3"/>
  <c r="V43" i="3"/>
  <c r="R43" i="3"/>
  <c r="U33" i="3"/>
  <c r="V33" i="3" s="1"/>
  <c r="V39" i="3" l="1"/>
  <c r="T31" i="3"/>
  <c r="S33" i="3"/>
  <c r="T33" i="3" s="1"/>
  <c r="W50" i="3"/>
  <c r="R50" i="3"/>
  <c r="V50" i="3"/>
  <c r="H9" i="1" l="1"/>
  <c r="H49" i="1"/>
  <c r="H48" i="1"/>
  <c r="H47" i="1"/>
  <c r="H41" i="1"/>
  <c r="H35" i="1"/>
  <c r="H36" i="1"/>
  <c r="H37" i="1"/>
  <c r="H38" i="1"/>
  <c r="H39" i="1"/>
  <c r="H40" i="1"/>
  <c r="H31" i="1"/>
  <c r="H30" i="1"/>
  <c r="H32" i="1"/>
  <c r="H33" i="1"/>
  <c r="H34" i="1"/>
  <c r="H24" i="1"/>
  <c r="H25" i="1"/>
  <c r="H26" i="1"/>
  <c r="H27" i="1"/>
  <c r="H28" i="1"/>
  <c r="H29" i="1"/>
  <c r="H10" i="1"/>
  <c r="H43" i="1"/>
  <c r="H4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  <c r="H3" i="1"/>
  <c r="H4" i="1"/>
  <c r="H5" i="1"/>
  <c r="H6" i="1"/>
  <c r="H7" i="1"/>
  <c r="H8" i="1"/>
  <c r="J60" i="1" l="1"/>
  <c r="H61" i="1" s="1"/>
  <c r="H62" i="1" s="1"/>
  <c r="I60" i="1"/>
  <c r="I61" i="1" s="1"/>
  <c r="S55" i="1"/>
  <c r="R55" i="1"/>
  <c r="N54" i="1"/>
  <c r="K54" i="1"/>
  <c r="I54" i="1"/>
  <c r="N53" i="1"/>
  <c r="K53" i="1"/>
  <c r="I53" i="1"/>
  <c r="N49" i="1"/>
  <c r="K49" i="1"/>
  <c r="N48" i="1"/>
  <c r="K48" i="1"/>
  <c r="N47" i="1"/>
  <c r="K47" i="1"/>
  <c r="J47" i="1"/>
  <c r="N46" i="1"/>
  <c r="K46" i="1"/>
  <c r="J46" i="1"/>
  <c r="M46" i="1"/>
  <c r="N45" i="1"/>
  <c r="K45" i="1"/>
  <c r="J45" i="1"/>
  <c r="M45" i="1" s="1"/>
  <c r="N44" i="1"/>
  <c r="K44" i="1"/>
  <c r="J44" i="1"/>
  <c r="M44" i="1"/>
  <c r="N43" i="1"/>
  <c r="K43" i="1"/>
  <c r="J43" i="1"/>
  <c r="M43" i="1" s="1"/>
  <c r="N42" i="1"/>
  <c r="K42" i="1"/>
  <c r="J42" i="1"/>
  <c r="M42" i="1" s="1"/>
  <c r="N41" i="1"/>
  <c r="K41" i="1"/>
  <c r="J41" i="1"/>
  <c r="M41" i="1"/>
  <c r="N40" i="1"/>
  <c r="K40" i="1"/>
  <c r="N39" i="1"/>
  <c r="K39" i="1"/>
  <c r="N38" i="1"/>
  <c r="K38" i="1"/>
  <c r="N37" i="1"/>
  <c r="K37" i="1"/>
  <c r="N36" i="1"/>
  <c r="K36" i="1"/>
  <c r="N35" i="1"/>
  <c r="K35" i="1"/>
  <c r="J35" i="1"/>
  <c r="M35" i="1" s="1"/>
  <c r="N34" i="1"/>
  <c r="K34" i="1"/>
  <c r="J34" i="1"/>
  <c r="M34" i="1"/>
  <c r="N33" i="1"/>
  <c r="K33" i="1"/>
  <c r="J33" i="1"/>
  <c r="M33" i="1"/>
  <c r="N32" i="1"/>
  <c r="K32" i="1"/>
  <c r="J32" i="1"/>
  <c r="M32" i="1"/>
  <c r="N31" i="1"/>
  <c r="K31" i="1"/>
  <c r="J31" i="1"/>
  <c r="M31" i="1"/>
  <c r="N30" i="1"/>
  <c r="K30" i="1"/>
  <c r="J30" i="1"/>
  <c r="M30" i="1" s="1"/>
  <c r="N29" i="1"/>
  <c r="K29" i="1"/>
  <c r="J29" i="1"/>
  <c r="M29" i="1"/>
  <c r="N28" i="1"/>
  <c r="K28" i="1"/>
  <c r="N27" i="1"/>
  <c r="K27" i="1"/>
  <c r="N26" i="1"/>
  <c r="K26" i="1"/>
  <c r="N25" i="1"/>
  <c r="K25" i="1"/>
  <c r="N24" i="1"/>
  <c r="K24" i="1"/>
  <c r="N23" i="1"/>
  <c r="K23" i="1"/>
  <c r="J23" i="1"/>
  <c r="M23" i="1" s="1"/>
  <c r="N22" i="1"/>
  <c r="K22" i="1"/>
  <c r="J22" i="1"/>
  <c r="M22" i="1"/>
  <c r="N21" i="1"/>
  <c r="K21" i="1"/>
  <c r="J21" i="1"/>
  <c r="M21" i="1"/>
  <c r="N20" i="1"/>
  <c r="K20" i="1"/>
  <c r="J20" i="1"/>
  <c r="M20" i="1"/>
  <c r="N19" i="1"/>
  <c r="K19" i="1"/>
  <c r="J19" i="1"/>
  <c r="M19" i="1"/>
  <c r="N18" i="1"/>
  <c r="K18" i="1"/>
  <c r="J18" i="1"/>
  <c r="M18" i="1"/>
  <c r="N17" i="1"/>
  <c r="K17" i="1"/>
  <c r="J17" i="1"/>
  <c r="M17" i="1" s="1"/>
  <c r="N16" i="1"/>
  <c r="K16" i="1"/>
  <c r="N15" i="1"/>
  <c r="K15" i="1"/>
  <c r="N14" i="1"/>
  <c r="K14" i="1"/>
  <c r="N13" i="1"/>
  <c r="K13" i="1"/>
  <c r="N12" i="1"/>
  <c r="K12" i="1"/>
  <c r="N11" i="1"/>
  <c r="K11" i="1"/>
  <c r="J11" i="1"/>
  <c r="H53" i="1" s="1"/>
  <c r="M53" i="1" s="1"/>
  <c r="N10" i="1"/>
  <c r="K10" i="1"/>
  <c r="J10" i="1"/>
  <c r="M10" i="1"/>
  <c r="N9" i="1"/>
  <c r="K9" i="1"/>
  <c r="J9" i="1"/>
  <c r="M9" i="1" s="1"/>
  <c r="N8" i="1"/>
  <c r="K8" i="1"/>
  <c r="J8" i="1"/>
  <c r="M8" i="1"/>
  <c r="N7" i="1"/>
  <c r="K7" i="1"/>
  <c r="J7" i="1"/>
  <c r="M7" i="1" s="1"/>
  <c r="N6" i="1"/>
  <c r="K6" i="1"/>
  <c r="J6" i="1"/>
  <c r="M6" i="1"/>
  <c r="N5" i="1"/>
  <c r="K5" i="1"/>
  <c r="J5" i="1"/>
  <c r="M5" i="1"/>
  <c r="N4" i="1"/>
  <c r="K4" i="1"/>
  <c r="N3" i="1"/>
  <c r="K3" i="1"/>
  <c r="N2" i="1"/>
  <c r="M47" i="1" l="1"/>
  <c r="M11" i="1"/>
  <c r="L55" i="1"/>
  <c r="N55" i="1"/>
  <c r="J48" i="1"/>
  <c r="M48" i="1" s="1"/>
  <c r="J36" i="1"/>
  <c r="M36" i="1" s="1"/>
  <c r="J24" i="1"/>
  <c r="M24" i="1" s="1"/>
  <c r="J12" i="1"/>
  <c r="M12" i="1" s="1"/>
  <c r="J39" i="1"/>
  <c r="M39" i="1" s="1"/>
  <c r="J40" i="1"/>
  <c r="M40" i="1" s="1"/>
  <c r="J28" i="1"/>
  <c r="M28" i="1" s="1"/>
  <c r="J16" i="1"/>
  <c r="M16" i="1" s="1"/>
  <c r="J4" i="1"/>
  <c r="M4" i="1" s="1"/>
  <c r="J54" i="1"/>
  <c r="J53" i="1"/>
  <c r="J49" i="1"/>
  <c r="M49" i="1" s="1"/>
  <c r="J37" i="1"/>
  <c r="M37" i="1" s="1"/>
  <c r="J25" i="1"/>
  <c r="M25" i="1" s="1"/>
  <c r="J13" i="1"/>
  <c r="M13" i="1" s="1"/>
  <c r="J15" i="1"/>
  <c r="M15" i="1" s="1"/>
  <c r="J38" i="1"/>
  <c r="M38" i="1" s="1"/>
  <c r="J26" i="1"/>
  <c r="M26" i="1" s="1"/>
  <c r="J14" i="1"/>
  <c r="M14" i="1" s="1"/>
  <c r="J2" i="1"/>
  <c r="J27" i="1"/>
  <c r="M27" i="1" s="1"/>
  <c r="J3" i="1"/>
  <c r="M3" i="1" s="1"/>
  <c r="Q52" i="1" l="1"/>
  <c r="P52" i="1"/>
  <c r="O52" i="1"/>
  <c r="T52" i="1" s="1"/>
  <c r="U52" i="1" s="1"/>
  <c r="P51" i="1"/>
  <c r="O51" i="1"/>
  <c r="T51" i="1" s="1"/>
  <c r="U51" i="1" s="1"/>
  <c r="Q51" i="1"/>
  <c r="Q50" i="1"/>
  <c r="P50" i="1"/>
  <c r="O50" i="1"/>
  <c r="T50" i="1" s="1"/>
  <c r="U50" i="1" s="1"/>
  <c r="Q43" i="1"/>
  <c r="P42" i="1"/>
  <c r="O41" i="1"/>
  <c r="Q31" i="1"/>
  <c r="P30" i="1"/>
  <c r="O29" i="1"/>
  <c r="Q19" i="1"/>
  <c r="P18" i="1"/>
  <c r="O17" i="1"/>
  <c r="Q7" i="1"/>
  <c r="P6" i="1"/>
  <c r="O5" i="1"/>
  <c r="T5" i="1" s="1"/>
  <c r="U5" i="1" s="1"/>
  <c r="Q46" i="1"/>
  <c r="P45" i="1"/>
  <c r="O44" i="1"/>
  <c r="T44" i="1" s="1"/>
  <c r="U44" i="1" s="1"/>
  <c r="Q34" i="1"/>
  <c r="P33" i="1"/>
  <c r="O32" i="1"/>
  <c r="Q22" i="1"/>
  <c r="O8" i="1"/>
  <c r="Q47" i="1"/>
  <c r="P46" i="1"/>
  <c r="O45" i="1"/>
  <c r="Q35" i="1"/>
  <c r="P34" i="1"/>
  <c r="O33" i="1"/>
  <c r="Q23" i="1"/>
  <c r="P22" i="1"/>
  <c r="O21" i="1"/>
  <c r="Q11" i="1"/>
  <c r="P10" i="1"/>
  <c r="O9" i="1"/>
  <c r="Q44" i="1"/>
  <c r="P43" i="1"/>
  <c r="O42" i="1"/>
  <c r="Q32" i="1"/>
  <c r="P31" i="1"/>
  <c r="O30" i="1"/>
  <c r="Q20" i="1"/>
  <c r="P19" i="1"/>
  <c r="O18" i="1"/>
  <c r="Q8" i="1"/>
  <c r="P7" i="1"/>
  <c r="O6" i="1"/>
  <c r="P21" i="1"/>
  <c r="Q10" i="1"/>
  <c r="P9" i="1"/>
  <c r="Q45" i="1"/>
  <c r="P44" i="1"/>
  <c r="O43" i="1"/>
  <c r="Q33" i="1"/>
  <c r="P32" i="1"/>
  <c r="O31" i="1"/>
  <c r="Q21" i="1"/>
  <c r="P20" i="1"/>
  <c r="O19" i="1"/>
  <c r="Q9" i="1"/>
  <c r="P8" i="1"/>
  <c r="O7" i="1"/>
  <c r="O20" i="1"/>
  <c r="O54" i="1"/>
  <c r="P48" i="1"/>
  <c r="P41" i="1"/>
  <c r="Q38" i="1"/>
  <c r="P28" i="1"/>
  <c r="Q25" i="1"/>
  <c r="Q18" i="1"/>
  <c r="Q15" i="1"/>
  <c r="P12" i="1"/>
  <c r="P5" i="1"/>
  <c r="Q42" i="1"/>
  <c r="P16" i="1"/>
  <c r="Q13" i="1"/>
  <c r="Q6" i="1"/>
  <c r="P49" i="1"/>
  <c r="O36" i="1"/>
  <c r="O39" i="1"/>
  <c r="O13" i="1"/>
  <c r="P17" i="1"/>
  <c r="O48" i="1"/>
  <c r="O46" i="1"/>
  <c r="P38" i="1"/>
  <c r="O28" i="1"/>
  <c r="P25" i="1"/>
  <c r="P15" i="1"/>
  <c r="O12" i="1"/>
  <c r="O10" i="1"/>
  <c r="Q2" i="1"/>
  <c r="Q36" i="1"/>
  <c r="Q29" i="1"/>
  <c r="O23" i="1"/>
  <c r="Q49" i="1"/>
  <c r="P29" i="1"/>
  <c r="Q26" i="1"/>
  <c r="Q3" i="1"/>
  <c r="P39" i="1"/>
  <c r="O34" i="1"/>
  <c r="T34" i="1" s="1"/>
  <c r="U34" i="1" s="1"/>
  <c r="P26" i="1"/>
  <c r="O16" i="1"/>
  <c r="T16" i="1" s="1"/>
  <c r="U16" i="1" s="1"/>
  <c r="P13" i="1"/>
  <c r="P3" i="1"/>
  <c r="O49" i="1"/>
  <c r="O26" i="1"/>
  <c r="P11" i="1"/>
  <c r="O3" i="1"/>
  <c r="Q53" i="1"/>
  <c r="Q40" i="1"/>
  <c r="Q24" i="1"/>
  <c r="O11" i="1"/>
  <c r="P53" i="1"/>
  <c r="Q27" i="1"/>
  <c r="P24" i="1"/>
  <c r="O38" i="1"/>
  <c r="O25" i="1"/>
  <c r="P23" i="1"/>
  <c r="O15" i="1"/>
  <c r="P2" i="1"/>
  <c r="Q16" i="1"/>
  <c r="O2" i="1"/>
  <c r="Q39" i="1"/>
  <c r="P36" i="1"/>
  <c r="P47" i="1"/>
  <c r="O47" i="1"/>
  <c r="T47" i="1" s="1"/>
  <c r="U47" i="1" s="1"/>
  <c r="Q17" i="1"/>
  <c r="Q4" i="1"/>
  <c r="P40" i="1"/>
  <c r="Q37" i="1"/>
  <c r="Q30" i="1"/>
  <c r="Q14" i="1"/>
  <c r="O35" i="1"/>
  <c r="O27" i="1"/>
  <c r="O40" i="1"/>
  <c r="P37" i="1"/>
  <c r="P54" i="1"/>
  <c r="O22" i="1"/>
  <c r="O14" i="1"/>
  <c r="Q41" i="1"/>
  <c r="P35" i="1"/>
  <c r="P4" i="1"/>
  <c r="O4" i="1"/>
  <c r="T4" i="1" s="1"/>
  <c r="U4" i="1" s="1"/>
  <c r="Q12" i="1"/>
  <c r="Q48" i="1"/>
  <c r="Q28" i="1"/>
  <c r="O53" i="1"/>
  <c r="Q54" i="1"/>
  <c r="O37" i="1"/>
  <c r="T37" i="1" s="1"/>
  <c r="U37" i="1" s="1"/>
  <c r="P14" i="1"/>
  <c r="Q5" i="1"/>
  <c r="O24" i="1"/>
  <c r="P27" i="1"/>
  <c r="H54" i="1"/>
  <c r="M54" i="1" s="1"/>
  <c r="M2" i="1"/>
  <c r="T13" i="1" l="1"/>
  <c r="U13" i="1" s="1"/>
  <c r="T32" i="1"/>
  <c r="U32" i="1" s="1"/>
  <c r="T24" i="1"/>
  <c r="U24" i="1" s="1"/>
  <c r="T49" i="1"/>
  <c r="U49" i="1" s="1"/>
  <c r="T38" i="1"/>
  <c r="U38" i="1" s="1"/>
  <c r="T39" i="1"/>
  <c r="U39" i="1" s="1"/>
  <c r="T31" i="1"/>
  <c r="U31" i="1" s="1"/>
  <c r="T14" i="1"/>
  <c r="U14" i="1" s="1"/>
  <c r="T36" i="1"/>
  <c r="U36" i="1" s="1"/>
  <c r="T15" i="1"/>
  <c r="U15" i="1" s="1"/>
  <c r="T48" i="1"/>
  <c r="U48" i="1" s="1"/>
  <c r="T19" i="1"/>
  <c r="U19" i="1" s="1"/>
  <c r="T11" i="1"/>
  <c r="U11" i="1" s="1"/>
  <c r="T54" i="1"/>
  <c r="U54" i="1" s="1"/>
  <c r="T26" i="1"/>
  <c r="U26" i="1" s="1"/>
  <c r="T3" i="1"/>
  <c r="U3" i="1" s="1"/>
  <c r="T23" i="1"/>
  <c r="U23" i="1" s="1"/>
  <c r="T41" i="1"/>
  <c r="U41" i="1" s="1"/>
  <c r="T53" i="1"/>
  <c r="U53" i="1" s="1"/>
  <c r="T40" i="1"/>
  <c r="U40" i="1" s="1"/>
  <c r="T25" i="1"/>
  <c r="U25" i="1" s="1"/>
  <c r="T20" i="1"/>
  <c r="U20" i="1" s="1"/>
  <c r="T27" i="1"/>
  <c r="U27" i="1" s="1"/>
  <c r="T28" i="1"/>
  <c r="U28" i="1" s="1"/>
  <c r="T7" i="1"/>
  <c r="U7" i="1" s="1"/>
  <c r="T42" i="1"/>
  <c r="U42" i="1" s="1"/>
  <c r="T45" i="1"/>
  <c r="U45" i="1" s="1"/>
  <c r="T35" i="1"/>
  <c r="U35" i="1" s="1"/>
  <c r="T12" i="1"/>
  <c r="U12" i="1" s="1"/>
  <c r="T17" i="1"/>
  <c r="U17" i="1" s="1"/>
  <c r="O55" i="1"/>
  <c r="M55" i="1"/>
  <c r="T2" i="1"/>
  <c r="T6" i="1"/>
  <c r="U6" i="1" s="1"/>
  <c r="T8" i="1"/>
  <c r="U8" i="1" s="1"/>
  <c r="T21" i="1"/>
  <c r="U21" i="1" s="1"/>
  <c r="Q55" i="1"/>
  <c r="T43" i="1"/>
  <c r="U43" i="1" s="1"/>
  <c r="T30" i="1"/>
  <c r="U30" i="1" s="1"/>
  <c r="T33" i="1"/>
  <c r="U33" i="1" s="1"/>
  <c r="P55" i="1"/>
  <c r="T46" i="1"/>
  <c r="U46" i="1" s="1"/>
  <c r="T9" i="1"/>
  <c r="U9" i="1" s="1"/>
  <c r="T29" i="1"/>
  <c r="U29" i="1" s="1"/>
  <c r="T18" i="1"/>
  <c r="U18" i="1" s="1"/>
  <c r="T22" i="1"/>
  <c r="U22" i="1" s="1"/>
  <c r="T10" i="1"/>
  <c r="U10" i="1" s="1"/>
  <c r="T55" i="1" l="1"/>
  <c r="U55" i="1" s="1"/>
  <c r="U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tc={8BAB91C8-E004-41E9-A365-AECA9B96431E}</author>
    <author>tc={A344EBC5-8C51-44A4-A180-38DAA489B3A5}</author>
    <author>tc={247A4FFD-BD08-4811-B6CB-4113A353366D}</author>
  </authors>
  <commentList>
    <comment ref="Q25" authorId="0" shapeId="0" xr:uid="{8BAB91C8-E004-41E9-A365-AECA9B9643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</text>
    </comment>
    <comment ref="Q27" authorId="1" shapeId="0" xr:uid="{A344EBC5-8C51-44A4-A180-38DAA489B3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</text>
    </comment>
    <comment ref="Q28" authorId="2" shapeId="0" xr:uid="{247A4FFD-BD08-4811-B6CB-4113A35336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tc={338EC7C3-ED75-45F5-A04A-BEE0E5E7A694}</author>
    <author>tc={58B03F8B-009A-43A5-A1BC-26491390019A}</author>
    <author>tc={091D7AEF-575F-4DAC-B799-625B20781F42}</author>
  </authors>
  <commentList>
    <comment ref="Q25" authorId="0" shapeId="0" xr:uid="{338EC7C3-ED75-45F5-A04A-BEE0E5E7A6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</text>
    </comment>
    <comment ref="Q27" authorId="1" shapeId="0" xr:uid="{58B03F8B-009A-43A5-A1BC-2649139001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</text>
    </comment>
    <comment ref="Q28" authorId="2" shapeId="0" xr:uid="{091D7AEF-575F-4DAC-B799-625B20781F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</text>
    </comment>
  </commentList>
</comments>
</file>

<file path=xl/sharedStrings.xml><?xml version="1.0" encoding="utf-8"?>
<sst xmlns="http://schemas.openxmlformats.org/spreadsheetml/2006/main" count="313" uniqueCount="134">
  <si>
    <t>CODIGO</t>
  </si>
  <si>
    <t>PRODUCTO</t>
  </si>
  <si>
    <t>TOTAL STOCK</t>
  </si>
  <si>
    <t>POR EMBARCAR</t>
  </si>
  <si>
    <t>STOCK LIBRE</t>
  </si>
  <si>
    <t>POTA ALAS FR C/P C/C (B) S/COD BL10 S20</t>
  </si>
  <si>
    <t>POTA ALAS FR C/P C/C &lt;0.5 BL10 S20</t>
  </si>
  <si>
    <t>POTA ALAS FR C/P C/C 0.5-1 BL10 S20</t>
  </si>
  <si>
    <t>POTA ALAS FR C/P C/C 0.3 - 0.5 BL10 S20</t>
  </si>
  <si>
    <t xml:space="preserve">POTA ALAS FR C/P C/C 1-2 BL10 S20  </t>
  </si>
  <si>
    <t>POTA ALAS FR C/P C/C 1-2 BL10 S20  ENTERA</t>
  </si>
  <si>
    <t>POTA ALAS FR C/P C/C 2up</t>
  </si>
  <si>
    <t>POTA LABIOS FR S/COD BL10 S20</t>
  </si>
  <si>
    <t>POTA CONOS</t>
  </si>
  <si>
    <t xml:space="preserve">POTA FILETE C/M C/T FR 0.5-1.0 BL10 S20  </t>
  </si>
  <si>
    <t xml:space="preserve">POTA FILETE C/M C/T FR 1-2 BL10 S20  </t>
  </si>
  <si>
    <t>POTA FILETE C/M C/T FR 1.0 - 3.0 BL10 S20</t>
  </si>
  <si>
    <t>POTA FILETE C/M C/T FR 2-4  S20</t>
  </si>
  <si>
    <t xml:space="preserve">POTA FILETE C/M C/T FR &lt;0.5 Kg AA BL10 S20  </t>
  </si>
  <si>
    <t xml:space="preserve">POTA FILETE C/M C/T FR 2-4  (AA) BL10 S20  </t>
  </si>
  <si>
    <t xml:space="preserve">POTA FILETE C/M C/T FR 0.5-1.0 AA BL10 S20  </t>
  </si>
  <si>
    <t>POTA FILETE C/M C/T FR 1.0 - 3.0 AA BL10 S20</t>
  </si>
  <si>
    <t>POTA FILETE C/M C/T FR 1-2 AA BL10 S20  JAPON</t>
  </si>
  <si>
    <t xml:space="preserve">POTA FILETE C/M C/T FR 0.5-1.0 AAA  BL10 S20  </t>
  </si>
  <si>
    <t>POTA FILETE C/M C/T FR 1-2 AA BL10 S20  50% ROSADO</t>
  </si>
  <si>
    <t xml:space="preserve">POTA FILETE C/M C/T FR 2-4 AAA BL10 S20  </t>
  </si>
  <si>
    <t xml:space="preserve">POTA FILETE SM ST 1-2 CM/ESP </t>
  </si>
  <si>
    <t>POTA NUCAS FR ABIERTAS 0.1 - 0.3 BL10 S2</t>
  </si>
  <si>
    <t>POTA NUCAS FR CERRADA 0.1 - 0.3 BL10 S2</t>
  </si>
  <si>
    <t>POTA NUCAS FR CERRADA &lt;0.1 BL10 S2</t>
  </si>
  <si>
    <t>POTA NUCAS FR ABIERTAS 0.5-1 BL10 S20</t>
  </si>
  <si>
    <t>POTA NUCAS FR ABIERTAS 0.3-0.5 BL10 S20</t>
  </si>
  <si>
    <t>POTA NUCAS FR ABIERTAS 1-2 BL10 S20</t>
  </si>
  <si>
    <t>POTA REJOS OR FR LIMPIOS S/COD BL10 S20</t>
  </si>
  <si>
    <t>POTA REJOS OR FR LIMPIOS &lt;60 cm BL10 S20</t>
  </si>
  <si>
    <t>POTA REJOS FR C/U C/V S/OR &lt;0.1 BL10</t>
  </si>
  <si>
    <t>POTA REJOS FR C/U C/V S/OR 0.1-0.3 BL10</t>
  </si>
  <si>
    <t>POTA REJOS FR  C/U C/V S/OR 0.3-0.5BL10</t>
  </si>
  <si>
    <t>POTA REJOS FR  C/U C/V S/OR 0.5-1.0 BL10</t>
  </si>
  <si>
    <t>POTA REJOS FR C/B S/U S/V S/OR 0.3-0.5 BL10</t>
  </si>
  <si>
    <t>POTA REJOS FR C/B S/U S/V S/OR 0.5-1 BL1 0</t>
  </si>
  <si>
    <t>POTA REJOS FR C/B C/U C/V S/OR 1.0  up BL 10S20</t>
  </si>
  <si>
    <t>POTA REJOS FR C/B S/U S/V S/OR 2-UP BL10</t>
  </si>
  <si>
    <t xml:space="preserve">POTA REJOS FR C/B S/U S/V S/OR 1-2 BL10  </t>
  </si>
  <si>
    <t>VENTOSAS DE REJOS</t>
  </si>
  <si>
    <t xml:space="preserve">POTA FILETE PRE COCIDO S/M S/T C/P S/COD  </t>
  </si>
  <si>
    <t>POTA FILETE PRE COCIDO S/M S/T C/P 0.6-1.0</t>
  </si>
  <si>
    <t>POTA ALAS PRE COC S/COD BL10 S20</t>
  </si>
  <si>
    <t>POTA ALAS PRE COC 0.3up BL9 S18</t>
  </si>
  <si>
    <t>POTA ALAS PRE COC B BL9 S18</t>
  </si>
  <si>
    <t>POTA RECORTES PRE COC BL10 S20</t>
  </si>
  <si>
    <t>POTA RECORTES LAM PRE COC (M) BL7.5 S15</t>
  </si>
  <si>
    <t>POTA RECORTES LAM PRE COC (T) BL7.5 S15</t>
  </si>
  <si>
    <t>RECORTE FR MEMBRANA</t>
  </si>
  <si>
    <t>RECORTE FR TELILLA</t>
  </si>
  <si>
    <t>RECORTE FR</t>
  </si>
  <si>
    <t>FILETE CM CT PARA REPROCESO</t>
  </si>
  <si>
    <t>ALAS FR PARA REPROCESO</t>
  </si>
  <si>
    <t>FILETE S/M S/T FR 1.0 - 2.0 CM/ESP BL10 S20</t>
  </si>
  <si>
    <t>TOTAL LIBRE</t>
  </si>
  <si>
    <t>CÓDIGO</t>
  </si>
  <si>
    <t>CU X TM</t>
  </si>
  <si>
    <t>% MP</t>
  </si>
  <si>
    <t>incremento MP</t>
  </si>
  <si>
    <t>TM en Stock Total</t>
  </si>
  <si>
    <t>TM en Stock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</si>
  <si>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</si>
  <si>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</si>
  <si>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</si>
  <si>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</si>
  <si>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</si>
  <si>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</si>
  <si>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</si>
  <si>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</si>
  <si>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</si>
  <si>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</si>
  <si>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COSTO ABRIL</t>
  </si>
  <si>
    <t>tm</t>
  </si>
  <si>
    <t>Asignación</t>
  </si>
  <si>
    <t>JUNIO</t>
  </si>
  <si>
    <t>JULIO</t>
  </si>
  <si>
    <t>PROM JUN Y JUL</t>
  </si>
  <si>
    <t>TASA</t>
  </si>
  <si>
    <t>Etiquetas de fila</t>
  </si>
  <si>
    <t>Total general</t>
  </si>
  <si>
    <t>Suma de TM en Stock</t>
  </si>
  <si>
    <t>Suma de Costo Ventas</t>
  </si>
  <si>
    <t>Suma de Gasto Ventas</t>
  </si>
  <si>
    <t>Suma de Gasto ADM</t>
  </si>
  <si>
    <t>Suma de Gasto Fin</t>
  </si>
  <si>
    <t>Suma de Depreciación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</si>
  <si>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</si>
  <si>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</si>
  <si>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</si>
  <si>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</si>
  <si>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</si>
  <si>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</si>
  <si>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</si>
  <si>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</si>
  <si>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</si>
  <si>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OTROS</t>
  </si>
  <si>
    <t>FILETE PARA REPROCESO</t>
  </si>
  <si>
    <t>ALAS PARA REPROCESO</t>
  </si>
  <si>
    <t>PERU FROST</t>
  </si>
  <si>
    <t>RENTABILIDAD DEL INVENTARIO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</si>
  <si>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</si>
  <si>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</si>
  <si>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</si>
  <si>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</si>
  <si>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</si>
  <si>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</si>
  <si>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</si>
  <si>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</si>
  <si>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</si>
  <si>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</si>
  <si>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</si>
  <si>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</si>
  <si>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</si>
  <si>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</si>
  <si>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TOTAL</t>
  </si>
  <si>
    <t>TM en Almacén de Yantai Jiahong</t>
  </si>
  <si>
    <t>INVENTARIO TOTAL VALORIZADO</t>
  </si>
  <si>
    <t>Precio Venta</t>
  </si>
  <si>
    <t>Venta Esperada</t>
  </si>
  <si>
    <t>Precio actual</t>
  </si>
  <si>
    <t>venta con precio actual</t>
  </si>
  <si>
    <t>P/L</t>
  </si>
  <si>
    <t>variación</t>
  </si>
  <si>
    <t>ebtida</t>
  </si>
  <si>
    <t>costo financiero mes</t>
  </si>
  <si>
    <t>costo financiero por tm</t>
  </si>
  <si>
    <t>costo almacenamiento mensual</t>
  </si>
  <si>
    <t>AVANCE COMERCIAL AL 7-9-2026</t>
  </si>
  <si>
    <t>Toneladas con Utilidad Neta Positiva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</si>
</sst>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%"/>
  </numFmts>
  <fonts count="1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3" fontId="4" fillId="2" borderId="2" xfId="0" applyNumberFormat="1" applyFont="1" applyFill="1" applyBorder="1" applyAlignment="1">
      <alignment horizontal="center" vertical="center"/>
    </xf>
    <xf numFmtId="43" fontId="4" fillId="3" borderId="2" xfId="0" applyNumberFormat="1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3" fontId="5" fillId="3" borderId="2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3" fontId="5" fillId="2" borderId="2" xfId="0" applyNumberFormat="1" applyFont="1" applyFill="1" applyBorder="1" applyAlignment="1">
      <alignment horizontal="center" vertical="center"/>
    </xf>
    <xf numFmtId="43" fontId="4" fillId="10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9" fontId="7" fillId="0" borderId="5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top"/>
    </xf>
    <xf numFmtId="9" fontId="10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8" xfId="1" applyNumberFormat="1" applyFont="1" applyBorder="1"/>
    <xf numFmtId="165" fontId="10" fillId="0" borderId="0" xfId="1" applyNumberFormat="1" applyFont="1" applyBorder="1"/>
    <xf numFmtId="165" fontId="10" fillId="2" borderId="9" xfId="1" applyNumberFormat="1" applyFont="1" applyFill="1" applyBorder="1"/>
    <xf numFmtId="0" fontId="0" fillId="13" borderId="7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0" fillId="6" borderId="7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14" borderId="7" xfId="0" applyFill="1" applyBorder="1" applyAlignment="1">
      <alignment horizontal="center" vertical="top"/>
    </xf>
    <xf numFmtId="0" fontId="0" fillId="0" borderId="10" xfId="0" applyBorder="1" applyAlignment="1">
      <alignment horizontal="center"/>
    </xf>
    <xf numFmtId="164" fontId="11" fillId="0" borderId="0" xfId="0" applyNumberFormat="1" applyFont="1"/>
    <xf numFmtId="165" fontId="7" fillId="0" borderId="4" xfId="1" applyNumberFormat="1" applyFont="1" applyBorder="1"/>
    <xf numFmtId="165" fontId="7" fillId="0" borderId="5" xfId="1" applyNumberFormat="1" applyFont="1" applyBorder="1"/>
    <xf numFmtId="165" fontId="7" fillId="0" borderId="5" xfId="1" applyNumberFormat="1" applyFont="1" applyBorder="1" applyAlignment="1">
      <alignment horizontal="center"/>
    </xf>
    <xf numFmtId="165" fontId="7" fillId="2" borderId="6" xfId="1" applyNumberFormat="1" applyFont="1" applyFill="1" applyBorder="1"/>
    <xf numFmtId="0" fontId="9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9" fontId="0" fillId="0" borderId="0" xfId="2" applyFont="1"/>
    <xf numFmtId="165" fontId="10" fillId="0" borderId="0" xfId="1" applyNumberFormat="1" applyFont="1" applyBorder="1" applyAlignment="1">
      <alignment horizontal="center"/>
    </xf>
    <xf numFmtId="165" fontId="0" fillId="0" borderId="12" xfId="1" applyNumberFormat="1" applyFont="1" applyBorder="1"/>
    <xf numFmtId="165" fontId="10" fillId="0" borderId="13" xfId="1" applyNumberFormat="1" applyFont="1" applyBorder="1"/>
    <xf numFmtId="165" fontId="10" fillId="0" borderId="13" xfId="1" applyNumberFormat="1" applyFont="1" applyBorder="1" applyAlignment="1">
      <alignment horizontal="center"/>
    </xf>
    <xf numFmtId="165" fontId="10" fillId="2" borderId="14" xfId="1" applyNumberFormat="1" applyFont="1" applyFill="1" applyBorder="1"/>
    <xf numFmtId="165" fontId="10" fillId="2" borderId="11" xfId="1" applyNumberFormat="1" applyFont="1" applyFill="1" applyBorder="1"/>
    <xf numFmtId="165" fontId="10" fillId="2" borderId="15" xfId="1" applyNumberFormat="1" applyFont="1" applyFill="1" applyBorder="1"/>
    <xf numFmtId="165" fontId="10" fillId="2" borderId="16" xfId="1" applyNumberFormat="1" applyFont="1" applyFill="1" applyBorder="1"/>
    <xf numFmtId="0" fontId="0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17" xfId="0" applyBorder="1"/>
    <xf numFmtId="0" fontId="0" fillId="0" borderId="17" xfId="0" applyBorder="1" applyAlignment="1">
      <alignment vertical="top"/>
    </xf>
    <xf numFmtId="0" fontId="12" fillId="0" borderId="0" xfId="0" applyFont="1"/>
    <xf numFmtId="0" fontId="4" fillId="0" borderId="0" xfId="0" applyFont="1"/>
    <xf numFmtId="166" fontId="0" fillId="0" borderId="0" xfId="2" applyNumberFormat="1" applyFont="1"/>
    <xf numFmtId="43" fontId="0" fillId="0" borderId="0" xfId="0" applyNumberForma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15" borderId="1" xfId="0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0" fillId="11" borderId="3" xfId="0" applyNumberFormat="1" applyFill="1" applyBorder="1" applyAlignment="1">
      <alignment horizontal="center"/>
    </xf>
    <xf numFmtId="165" fontId="0" fillId="11" borderId="22" xfId="1" applyNumberFormat="1" applyFont="1" applyFill="1" applyBorder="1" applyAlignment="1">
      <alignment horizontal="center"/>
    </xf>
    <xf numFmtId="165" fontId="0" fillId="0" borderId="0" xfId="1" applyNumberFormat="1" applyFont="1" applyBorder="1"/>
    <xf numFmtId="9" fontId="0" fillId="0" borderId="0" xfId="0" applyNumberFormat="1"/>
    <xf numFmtId="165" fontId="1" fillId="2" borderId="9" xfId="0" applyNumberFormat="1" applyFont="1" applyFill="1" applyBorder="1"/>
    <xf numFmtId="165" fontId="1" fillId="2" borderId="9" xfId="1" applyNumberFormat="1" applyFont="1" applyFill="1" applyBorder="1"/>
    <xf numFmtId="165" fontId="1" fillId="0" borderId="9" xfId="1" applyNumberFormat="1" applyFont="1" applyFill="1" applyBorder="1"/>
    <xf numFmtId="9" fontId="1" fillId="0" borderId="9" xfId="2" applyFont="1" applyFill="1" applyBorder="1" applyAlignment="1">
      <alignment horizontal="center"/>
    </xf>
    <xf numFmtId="165" fontId="1" fillId="0" borderId="11" xfId="1" applyNumberFormat="1" applyFont="1" applyFill="1" applyBorder="1"/>
    <xf numFmtId="0" fontId="4" fillId="0" borderId="23" xfId="0" applyFont="1" applyBorder="1" applyAlignment="1">
      <alignment horizontal="center"/>
    </xf>
    <xf numFmtId="1" fontId="4" fillId="11" borderId="24" xfId="0" applyNumberFormat="1" applyFont="1" applyFill="1" applyBorder="1" applyAlignment="1">
      <alignment horizontal="center"/>
    </xf>
    <xf numFmtId="165" fontId="4" fillId="11" borderId="25" xfId="1" applyNumberFormat="1" applyFont="1" applyFill="1" applyBorder="1" applyAlignment="1">
      <alignment horizontal="center"/>
    </xf>
    <xf numFmtId="165" fontId="4" fillId="0" borderId="5" xfId="1" applyNumberFormat="1" applyFont="1" applyBorder="1"/>
    <xf numFmtId="9" fontId="4" fillId="0" borderId="5" xfId="2" applyFont="1" applyBorder="1"/>
    <xf numFmtId="165" fontId="5" fillId="2" borderId="6" xfId="1" applyNumberFormat="1" applyFont="1" applyFill="1" applyBorder="1"/>
    <xf numFmtId="165" fontId="5" fillId="0" borderId="6" xfId="1" applyNumberFormat="1" applyFont="1" applyFill="1" applyBorder="1"/>
    <xf numFmtId="165" fontId="5" fillId="0" borderId="18" xfId="1" applyNumberFormat="1" applyFont="1" applyFill="1" applyBorder="1"/>
    <xf numFmtId="9" fontId="5" fillId="0" borderId="6" xfId="2" applyFont="1" applyFill="1" applyBorder="1" applyAlignment="1">
      <alignment horizontal="center"/>
    </xf>
    <xf numFmtId="0" fontId="4" fillId="0" borderId="0" xfId="0" applyFont="1" applyAlignment="1">
      <alignment vertical="top"/>
    </xf>
    <xf numFmtId="165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/>
    </xf>
    <xf numFmtId="0" fontId="13" fillId="0" borderId="0" xfId="0" applyFont="1"/>
    <xf numFmtId="0" fontId="5" fillId="2" borderId="4" xfId="0" applyFont="1" applyFill="1" applyBorder="1" applyAlignment="1">
      <alignment horizontal="center" vertical="center" wrapText="1"/>
    </xf>
    <xf numFmtId="165" fontId="14" fillId="3" borderId="2" xfId="1" applyNumberFormat="1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>
      <alignment horizontal="center" vertical="center"/>
    </xf>
    <xf numFmtId="165" fontId="0" fillId="3" borderId="0" xfId="0" applyNumberFormat="1" applyFill="1"/>
    <xf numFmtId="165" fontId="1" fillId="2" borderId="8" xfId="1" applyNumberFormat="1" applyFont="1" applyFill="1" applyBorder="1"/>
    <xf numFmtId="165" fontId="14" fillId="3" borderId="2" xfId="1" applyNumberFormat="1" applyFont="1" applyFill="1" applyBorder="1"/>
    <xf numFmtId="165" fontId="0" fillId="3" borderId="2" xfId="1" applyNumberFormat="1" applyFont="1" applyFill="1" applyBorder="1" applyAlignment="1">
      <alignment horizontal="center"/>
    </xf>
    <xf numFmtId="9" fontId="0" fillId="3" borderId="2" xfId="2" applyFont="1" applyFill="1" applyBorder="1" applyAlignment="1">
      <alignment horizontal="center" vertical="center"/>
    </xf>
    <xf numFmtId="165" fontId="2" fillId="3" borderId="2" xfId="1" applyNumberFormat="1" applyFont="1" applyFill="1" applyBorder="1"/>
    <xf numFmtId="9" fontId="2" fillId="3" borderId="2" xfId="2" applyFont="1" applyFill="1" applyBorder="1" applyAlignment="1">
      <alignment horizontal="center" vertical="center"/>
    </xf>
    <xf numFmtId="165" fontId="4" fillId="0" borderId="0" xfId="1" applyNumberFormat="1" applyFont="1"/>
    <xf numFmtId="165" fontId="0" fillId="3" borderId="2" xfId="0" applyNumberFormat="1" applyFill="1" applyBorder="1"/>
    <xf numFmtId="165" fontId="0" fillId="3" borderId="2" xfId="2" applyNumberFormat="1" applyFont="1" applyFill="1" applyBorder="1"/>
    <xf numFmtId="165" fontId="0" fillId="0" borderId="0" xfId="2" applyNumberFormat="1" applyFont="1"/>
    <xf numFmtId="165" fontId="5" fillId="2" borderId="4" xfId="1" applyNumberFormat="1" applyFont="1" applyFill="1" applyBorder="1"/>
    <xf numFmtId="165" fontId="14" fillId="3" borderId="2" xfId="0" applyNumberFormat="1" applyFont="1" applyFill="1" applyBorder="1"/>
    <xf numFmtId="165" fontId="4" fillId="3" borderId="2" xfId="0" applyNumberFormat="1" applyFont="1" applyFill="1" applyBorder="1"/>
    <xf numFmtId="9" fontId="4" fillId="3" borderId="2" xfId="2" applyFont="1" applyFill="1" applyBorder="1" applyAlignment="1">
      <alignment horizontal="center" vertical="center"/>
    </xf>
    <xf numFmtId="165" fontId="4" fillId="0" borderId="0" xfId="0" applyNumberFormat="1" applyFont="1"/>
    <xf numFmtId="10" fontId="0" fillId="0" borderId="0" xfId="0" applyNumberFormat="1"/>
    <xf numFmtId="165" fontId="14" fillId="16" borderId="2" xfId="1" applyNumberFormat="1" applyFont="1" applyFill="1" applyBorder="1"/>
    <xf numFmtId="0" fontId="4" fillId="16" borderId="0" xfId="0" applyFont="1" applyFill="1"/>
    <xf numFmtId="165" fontId="4" fillId="16" borderId="0" xfId="1" applyNumberFormat="1" applyFont="1" applyFill="1"/>
    <xf numFmtId="0" fontId="0" fillId="16" borderId="0" xfId="0" applyFill="1"/>
    <xf numFmtId="10" fontId="0" fillId="16" borderId="0" xfId="0" applyNumberFormat="1" applyFill="1"/>
    <xf numFmtId="0" fontId="0" fillId="16" borderId="17" xfId="0" applyFill="1" applyBorder="1" applyAlignment="1">
      <alignment vertical="top"/>
    </xf>
    <xf numFmtId="1" fontId="0" fillId="16" borderId="3" xfId="0" applyNumberFormat="1" applyFill="1" applyBorder="1" applyAlignment="1">
      <alignment horizontal="center"/>
    </xf>
    <xf numFmtId="165" fontId="0" fillId="16" borderId="22" xfId="1" applyNumberFormat="1" applyFont="1" applyFill="1" applyBorder="1" applyAlignment="1">
      <alignment horizontal="center"/>
    </xf>
    <xf numFmtId="165" fontId="0" fillId="16" borderId="0" xfId="1" applyNumberFormat="1" applyFont="1" applyFill="1"/>
    <xf numFmtId="165" fontId="0" fillId="16" borderId="0" xfId="1" applyNumberFormat="1" applyFont="1" applyFill="1" applyBorder="1"/>
    <xf numFmtId="9" fontId="0" fillId="16" borderId="0" xfId="0" applyNumberFormat="1" applyFill="1"/>
    <xf numFmtId="165" fontId="1" fillId="16" borderId="9" xfId="0" applyNumberFormat="1" applyFont="1" applyFill="1" applyBorder="1"/>
    <xf numFmtId="165" fontId="1" fillId="16" borderId="8" xfId="1" applyNumberFormat="1" applyFont="1" applyFill="1" applyBorder="1"/>
    <xf numFmtId="165" fontId="0" fillId="16" borderId="2" xfId="1" applyNumberFormat="1" applyFont="1" applyFill="1" applyBorder="1" applyAlignment="1">
      <alignment horizontal="center"/>
    </xf>
    <xf numFmtId="165" fontId="0" fillId="16" borderId="2" xfId="0" applyNumberFormat="1" applyFill="1" applyBorder="1"/>
    <xf numFmtId="9" fontId="0" fillId="16" borderId="2" xfId="2" applyFont="1" applyFill="1" applyBorder="1" applyAlignment="1">
      <alignment horizontal="center" vertical="center"/>
    </xf>
    <xf numFmtId="165" fontId="0" fillId="16" borderId="2" xfId="2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BE3151E7-6C99-4E81-AF56-7CAA99628F6D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72.740591203707" createdVersion="8" refreshedVersion="8" minRefreshableVersion="3" recordCount="53" xr:uid="{B372D2B7-CC84-49BA-A2F0-57F7810BDD6B}">
  <cacheSource type="worksheet">
    <worksheetSource ref="G1:Q54" sheet="STOCK LIBRE"/>
  </cacheSource>
  <cacheFields count="11">
    <cacheField name="CÓDIGO" numFmtId="0">
      <sharedItems containsSemiMixedTypes="0" containsString="0" containsNumber="1" containsInteger="1" minValue="10005721" maxValue="10009650" count="16">
        <n v="10006719"/>
        <n v="10009207"/>
        <n v="10007969"/>
        <n v="10005721"/>
        <n v="10005779"/>
        <n v="10007567"/>
        <n v="10007162"/>
        <n v="10009386"/>
        <n v="10009239"/>
        <n v="10009334"/>
        <n v="10007050"/>
        <n v="10007152"/>
        <n v="10007151"/>
        <n v="10007051"/>
        <n v="10009650"/>
        <n v="10009649"/>
      </sharedItems>
    </cacheField>
    <cacheField name="CU X TM" numFmtId="164">
      <sharedItems containsSemiMixedTypes="0" containsString="0" containsNumber="1" minValue="1.22635851472471" maxValue="3.2308044090056303"/>
    </cacheField>
    <cacheField name="% MP" numFmtId="9">
      <sharedItems containsSemiMixedTypes="0" containsString="0" containsNumber="1" minValue="0.56000000000000005" maxValue="0.71"/>
    </cacheField>
    <cacheField name="incremento MP" numFmtId="9">
      <sharedItems containsSemiMixedTypes="0" containsString="0" containsNumber="1" minValue="-0.10965909090909082" maxValue="-0.10965909090909082"/>
    </cacheField>
    <cacheField name="TM en Stock Total" numFmtId="165">
      <sharedItems containsSemiMixedTypes="0" containsString="0" containsNumber="1" minValue="0" maxValue="314.45800000000003"/>
    </cacheField>
    <cacheField name="TM en Stock" numFmtId="165">
      <sharedItems containsSemiMixedTypes="0" containsString="0" containsNumber="1" minValue="0" maxValue="314.45799999999997"/>
    </cacheField>
    <cacheField name="Costo Ventas" numFmtId="165">
      <sharedItems containsSemiMixedTypes="0" containsString="0" containsNumber="1" minValue="0" maxValue="809673.69093399984"/>
    </cacheField>
    <cacheField name="Gasto Ventas" numFmtId="165">
      <sharedItems containsSemiMixedTypes="0" containsString="0" containsNumber="1" minValue="0" maxValue="65356.950719999993"/>
    </cacheField>
    <cacheField name="Gasto ADM" numFmtId="165">
      <sharedItems containsSemiMixedTypes="0" containsString="0" containsNumber="1" minValue="0" maxValue="17303.14805203172"/>
    </cacheField>
    <cacheField name="Gasto Fin" numFmtId="165">
      <sharedItems containsSemiMixedTypes="0" containsString="0" containsNumber="1" minValue="0" maxValue="34015.057318641055"/>
    </cacheField>
    <cacheField name="Depreciación" numFmtId="165">
      <sharedItems containsSemiMixedTypes="0" containsString="0" containsNumber="1" minValue="0" maxValue="27191.3359823731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n v="1.6520360000000001"/>
    <n v="0.71"/>
    <n v="-0.10965909090909082"/>
    <n v="14.84"/>
    <n v="14.84"/>
    <n v="24516.214240000001"/>
    <n v="3084.3456000000001"/>
    <n v="816.57555887320643"/>
    <n v="1605.2491926064317"/>
    <n v="1283.2220073218623"/>
  </r>
  <r>
    <x v="0"/>
    <n v="1.6520360000000001"/>
    <n v="0.71"/>
    <n v="-0.10965909090909082"/>
    <n v="0.68"/>
    <n v="0.68"/>
    <n v="1123.3844800000002"/>
    <n v="141.33120000000002"/>
    <n v="37.417208897155014"/>
    <n v="73.5558929226667"/>
    <n v="58.799930254640593"/>
  </r>
  <r>
    <x v="0"/>
    <n v="1.6520360000000001"/>
    <n v="0.71"/>
    <n v="-0.10965909090909082"/>
    <n v="0"/>
    <n v="0"/>
    <n v="0"/>
    <n v="0"/>
    <n v="0"/>
    <n v="0"/>
    <n v="0"/>
  </r>
  <r>
    <x v="0"/>
    <n v="1.6520360000000001"/>
    <n v="0.71"/>
    <n v="-0.10965909090909082"/>
    <n v="0"/>
    <n v="0"/>
    <n v="0"/>
    <n v="0"/>
    <n v="0"/>
    <n v="0"/>
    <n v="0"/>
  </r>
  <r>
    <x v="0"/>
    <n v="1.6520360000000001"/>
    <n v="0.71"/>
    <n v="-0.10965909090909082"/>
    <n v="0.04"/>
    <n v="0"/>
    <n v="0"/>
    <n v="0"/>
    <n v="0"/>
    <n v="0"/>
    <n v="0"/>
  </r>
  <r>
    <x v="0"/>
    <n v="1.6520360000000001"/>
    <n v="0.71"/>
    <n v="-0.10965909090909082"/>
    <n v="2.34"/>
    <n v="2.34"/>
    <n v="3865.76424"/>
    <n v="486.34559999999999"/>
    <n v="128.75921885197459"/>
    <n v="253.1188079985883"/>
    <n v="202.3409364644985"/>
  </r>
  <r>
    <x v="0"/>
    <n v="1.6520360000000001"/>
    <n v="0.71"/>
    <n v="-0.10965909090909082"/>
    <n v="0"/>
    <n v="0"/>
    <n v="0"/>
    <n v="0"/>
    <n v="0"/>
    <n v="0"/>
    <n v="0"/>
  </r>
  <r>
    <x v="1"/>
    <n v="1.40857659987072"/>
    <n v="0.71"/>
    <n v="-0.10965909090909082"/>
    <n v="32.28"/>
    <n v="32.28"/>
    <n v="45468.852643826845"/>
    <n v="6709.0752000000002"/>
    <n v="1776.2169164708291"/>
    <n v="3491.7415052112951"/>
    <n v="2791.2672773820564"/>
  </r>
  <r>
    <x v="2"/>
    <n v="1.22635851472471"/>
    <n v="0.71"/>
    <n v="-0.10965909090909082"/>
    <n v="5.58"/>
    <n v="0"/>
    <n v="0"/>
    <n v="0"/>
    <n v="0"/>
    <n v="0"/>
    <n v="0"/>
  </r>
  <r>
    <x v="3"/>
    <n v="1.8311059999999999"/>
    <n v="0.67"/>
    <n v="-0.10965909090909082"/>
    <n v="0"/>
    <n v="0"/>
    <n v="0"/>
    <n v="0"/>
    <n v="0"/>
    <n v="0"/>
    <n v="0"/>
  </r>
  <r>
    <x v="3"/>
    <n v="1.8311059999999999"/>
    <n v="0.67"/>
    <n v="-0.10965909090909082"/>
    <n v="1.78"/>
    <n v="1.78"/>
    <n v="3259.3686799999996"/>
    <n v="369.95519999999999"/>
    <n v="97.945046819023418"/>
    <n v="192.54336676815691"/>
    <n v="153.91746449008861"/>
  </r>
  <r>
    <x v="3"/>
    <n v="1.8311059999999999"/>
    <n v="0.67"/>
    <n v="-0.10965909090909082"/>
    <n v="0"/>
    <n v="0"/>
    <n v="0"/>
    <n v="0"/>
    <n v="0"/>
    <n v="0"/>
    <n v="0"/>
  </r>
  <r>
    <x v="3"/>
    <n v="1.8311059999999999"/>
    <n v="0.67"/>
    <n v="-0.10965909090909082"/>
    <n v="32.18"/>
    <n v="32.18"/>
    <n v="58924.99108"/>
    <n v="6688.2911999999997"/>
    <n v="1770.7143857506592"/>
    <n v="3480.9244621344324"/>
    <n v="2782.6202288151976"/>
  </r>
  <r>
    <x v="3"/>
    <n v="1.8311059999999999"/>
    <n v="0.67"/>
    <n v="-0.10965909090909082"/>
    <n v="1.08"/>
    <n v="1.08"/>
    <n v="1977.59448"/>
    <n v="224.46720000000002"/>
    <n v="59.427331777834432"/>
    <n v="116.8240652301177"/>
    <n v="93.388124522076239"/>
  </r>
  <r>
    <x v="3"/>
    <n v="1.8311059999999999"/>
    <n v="0.67"/>
    <n v="-0.10965909090909082"/>
    <n v="3.1"/>
    <n v="3.1"/>
    <n v="5676.4285999999993"/>
    <n v="644.30399999999997"/>
    <n v="170.57845232526549"/>
    <n v="335.32833538274519"/>
    <n v="268.05850557262625"/>
  </r>
  <r>
    <x v="3"/>
    <n v="1.8311059999999999"/>
    <n v="0.67"/>
    <n v="-0.10965909090909082"/>
    <n v="0"/>
    <n v="0"/>
    <n v="0"/>
    <n v="0"/>
    <n v="0"/>
    <n v="0"/>
    <n v="0"/>
  </r>
  <r>
    <x v="3"/>
    <n v="1.8311059999999999"/>
    <n v="0.67"/>
    <n v="-0.10965909090909082"/>
    <n v="5.28"/>
    <n v="5.28"/>
    <n v="9668.2396799999988"/>
    <n v="1097.3952000000002"/>
    <n v="290.53362202496834"/>
    <n v="571.13987445835312"/>
    <n v="456.5641643301505"/>
  </r>
  <r>
    <x v="3"/>
    <n v="1.8311059999999999"/>
    <n v="0.67"/>
    <n v="-0.10965909090909082"/>
    <n v="17.64"/>
    <n v="17.64"/>
    <n v="32300.709839999996"/>
    <n v="3666.2976000000003"/>
    <n v="970.64641903796235"/>
    <n v="1908.1263987585889"/>
    <n v="1525.3393671939118"/>
  </r>
  <r>
    <x v="3"/>
    <n v="1.8311059999999999"/>
    <n v="0.67"/>
    <n v="-0.10965909090909082"/>
    <n v="0"/>
    <n v="0"/>
    <n v="0"/>
    <n v="0"/>
    <n v="0"/>
    <n v="0"/>
    <n v="0"/>
  </r>
  <r>
    <x v="3"/>
    <n v="1.8311059999999999"/>
    <n v="0.67"/>
    <n v="-0.10965909090909082"/>
    <n v="2.72"/>
    <n v="2.72"/>
    <n v="4980.6083200000003"/>
    <n v="565.3248000000001"/>
    <n v="149.66883558862006"/>
    <n v="294.2235716906668"/>
    <n v="235.19972101856237"/>
  </r>
  <r>
    <x v="3"/>
    <n v="1.8311059999999999"/>
    <n v="0.67"/>
    <n v="-0.10965909090909082"/>
    <n v="0"/>
    <n v="0"/>
    <n v="0"/>
    <n v="0"/>
    <n v="0"/>
    <n v="0"/>
    <n v="0"/>
  </r>
  <r>
    <x v="3"/>
    <n v="1.8311059999999999"/>
    <n v="0.67"/>
    <n v="-0.10965909090909082"/>
    <n v="3.2"/>
    <n v="3.2"/>
    <n v="5859.5392000000002"/>
    <n v="665.08800000000008"/>
    <n v="176.08098304543535"/>
    <n v="346.14537845960797"/>
    <n v="276.70555413948517"/>
  </r>
  <r>
    <x v="4"/>
    <n v="1.793326"/>
    <n v="0.65"/>
    <n v="-0.10965909090909082"/>
    <n v="147.12"/>
    <n v="147.12"/>
    <n v="263834.12112000003"/>
    <n v="30577.4208"/>
    <n v="8095.3231955138899"/>
    <n v="15914.033774680476"/>
    <n v="12721.537851562829"/>
  </r>
  <r>
    <x v="4"/>
    <n v="1.793326"/>
    <n v="0.65"/>
    <n v="-0.10965909090909082"/>
    <n v="49.52"/>
    <n v="49.52"/>
    <n v="88805.503519999998"/>
    <n v="10292.236800000001"/>
    <n v="2724.853212628112"/>
    <n v="5356.5997316624334"/>
    <n v="4282.0184503085329"/>
  </r>
  <r>
    <x v="4"/>
    <n v="1.793326"/>
    <n v="0.65"/>
    <n v="-0.10965909090909082"/>
    <n v="1.26"/>
    <n v="1.26"/>
    <n v="2259.59076"/>
    <n v="261.8784"/>
    <n v="69.33188707414017"/>
    <n v="136.29474276847063"/>
    <n v="108.95281194242227"/>
  </r>
  <r>
    <x v="4"/>
    <n v="1.793326"/>
    <n v="0.65"/>
    <n v="-0.10965909090909082"/>
    <n v="16.18"/>
    <n v="0"/>
    <n v="0"/>
    <n v="0"/>
    <n v="0"/>
    <n v="0"/>
    <n v="0"/>
  </r>
  <r>
    <x v="4"/>
    <n v="1.793326"/>
    <n v="0.65"/>
    <n v="-0.10965909090909082"/>
    <n v="174.24"/>
    <n v="174.24"/>
    <n v="312469.12224"/>
    <n v="36214.041600000004"/>
    <n v="9587.6095268239551"/>
    <n v="18847.615857125653"/>
    <n v="15066.617422894966"/>
  </r>
  <r>
    <x v="4"/>
    <n v="1.793326"/>
    <n v="0.65"/>
    <n v="-0.10965909090909082"/>
    <n v="20.440000000000001"/>
    <n v="12.6"/>
    <n v="22595.907599999999"/>
    <n v="2618.7840000000001"/>
    <n v="693.31887074140161"/>
    <n v="1362.9474276847063"/>
    <n v="1089.5281194242227"/>
  </r>
  <r>
    <x v="5"/>
    <n v="1.7121729999999999"/>
    <n v="0.68"/>
    <n v="-0.10965909090909082"/>
    <n v="73.900000000000006"/>
    <n v="73.900000000000006"/>
    <n v="126529.58470000001"/>
    <n v="15359.376000000002"/>
    <n v="4066.3702022055227"/>
    <n v="7993.7948338015713"/>
    <n v="6390.1688909087352"/>
  </r>
  <r>
    <x v="5"/>
    <n v="1.7121729999999999"/>
    <n v="0.68"/>
    <n v="-0.10965909090909082"/>
    <n v="36.32"/>
    <n v="36.32"/>
    <n v="62186.123359999998"/>
    <n v="7548.7488000000003"/>
    <n v="1998.5191575656911"/>
    <n v="3928.75004551655"/>
    <n v="3140.6080394831565"/>
  </r>
  <r>
    <x v="6"/>
    <n v="1.7839849999999999"/>
    <n v="0.68"/>
    <n v="-0.10965909090909082"/>
    <n v="7.3"/>
    <n v="7.3"/>
    <n v="13023.090499999998"/>
    <n v="1517.232"/>
    <n v="401.68474257239939"/>
    <n v="789.64414461098056"/>
    <n v="631.23454538070041"/>
  </r>
  <r>
    <x v="6"/>
    <n v="1.7839849999999999"/>
    <n v="0.68"/>
    <n v="-0.10965909090909082"/>
    <n v="0.06"/>
    <n v="0.06"/>
    <n v="107.0391"/>
    <n v="12.4704"/>
    <n v="3.3015184321019126"/>
    <n v="6.4902258461176485"/>
    <n v="5.1882291401153457"/>
  </r>
  <r>
    <x v="6"/>
    <n v="1.7839849999999999"/>
    <n v="0.68"/>
    <n v="-0.10965909090909082"/>
    <n v="12.84"/>
    <n v="12.84"/>
    <n v="22906.367399999999"/>
    <n v="2668.6655999999998"/>
    <n v="706.52494446980927"/>
    <n v="1388.9083310691769"/>
    <n v="1110.2810359846842"/>
  </r>
  <r>
    <x v="6"/>
    <n v="1.7839849999999999"/>
    <n v="0.68"/>
    <n v="-0.10965909090909082"/>
    <n v="41.08"/>
    <n v="41.08"/>
    <n v="73286.103799999997"/>
    <n v="8538.0671999999995"/>
    <n v="2260.4396198457762"/>
    <n v="4443.641295975217"/>
    <n v="3552.2075512656402"/>
  </r>
  <r>
    <x v="6"/>
    <n v="1.7839849999999999"/>
    <n v="0.68"/>
    <n v="-0.10965909090909082"/>
    <n v="0.12"/>
    <n v="0.12"/>
    <n v="214.07820000000001"/>
    <n v="24.940799999999999"/>
    <n v="6.6030368642038253"/>
    <n v="12.980451692235297"/>
    <n v="10.376458280230691"/>
  </r>
  <r>
    <x v="6"/>
    <n v="1.7839849999999999"/>
    <n v="0.68"/>
    <n v="-0.10965909090909082"/>
    <n v="23.58"/>
    <n v="23.58"/>
    <n v="42066.366300000002"/>
    <n v="4900.8671999999997"/>
    <n v="1297.4967438160515"/>
    <n v="2550.6587575242361"/>
    <n v="2038.9740520653311"/>
  </r>
  <r>
    <x v="6"/>
    <n v="1.7839849999999999"/>
    <n v="0.68"/>
    <n v="-0.10965909090909082"/>
    <n v="2.78"/>
    <n v="2.78"/>
    <n v="4959.4782999999998"/>
    <n v="577.79520000000002"/>
    <n v="152.97035402072194"/>
    <n v="300.7137975367844"/>
    <n v="240.38795015867771"/>
  </r>
  <r>
    <x v="6"/>
    <n v="1.7839849999999999"/>
    <n v="0.68"/>
    <n v="-0.10965909090909082"/>
    <n v="37.18"/>
    <n v="37.18"/>
    <n v="66328.562300000005"/>
    <n v="7727.4912000000004"/>
    <n v="2045.8409217591518"/>
    <n v="4021.7766159775697"/>
    <n v="3214.9726571581427"/>
  </r>
  <r>
    <x v="6"/>
    <n v="1.7839849999999999"/>
    <n v="0.68"/>
    <n v="-0.10965909090909082"/>
    <n v="172.78"/>
    <n v="172.78"/>
    <n v="308236.92829999997"/>
    <n v="35910.595200000003"/>
    <n v="9507.2725783094756"/>
    <n v="18689.687028203458"/>
    <n v="14940.370513818825"/>
  </r>
  <r>
    <x v="7"/>
    <n v="3.2308044090056303"/>
    <n v="0.68"/>
    <n v="-0.10965909090909082"/>
    <n v="21.28"/>
    <n v="21.28"/>
    <n v="68751.517823639821"/>
    <n v="4422.8352000000004"/>
    <n v="1170.9385372521451"/>
    <n v="2301.8667667563932"/>
    <n v="1840.0919350275763"/>
  </r>
  <r>
    <x v="8"/>
    <n v="2.8469569999999997"/>
    <n v="0.56000000000000005"/>
    <n v="-0.10965909090909082"/>
    <n v="16.48"/>
    <n v="16.48"/>
    <n v="46917.851360000001"/>
    <n v="3425.2031999999999"/>
    <n v="906.81706268399205"/>
    <n v="1782.648699066981"/>
    <n v="1425.0336038183484"/>
  </r>
  <r>
    <x v="8"/>
    <n v="2.8469569999999997"/>
    <n v="0.56000000000000005"/>
    <n v="-0.10965909090909082"/>
    <n v="0"/>
    <n v="0"/>
    <n v="0"/>
    <n v="0"/>
    <n v="0"/>
    <n v="0"/>
    <n v="0"/>
  </r>
  <r>
    <x v="9"/>
    <n v="2.5748229999999999"/>
    <n v="0.68"/>
    <n v="-0.10965909090909082"/>
    <n v="15.26"/>
    <n v="15"/>
    <n v="38622.344999999994"/>
    <n v="3117.6"/>
    <n v="825.37960802547821"/>
    <n v="1622.5564615294122"/>
    <n v="1297.0572850288365"/>
  </r>
  <r>
    <x v="9"/>
    <n v="2.5748229999999999"/>
    <n v="0.68"/>
    <n v="-0.10965909090909082"/>
    <n v="314.45800000000003"/>
    <n v="314.45799999999997"/>
    <n v="809673.69093399984"/>
    <n v="65356.950719999993"/>
    <n v="17303.14805203172"/>
    <n v="34015.057318641055"/>
    <n v="27191.335982373192"/>
  </r>
  <r>
    <x v="9"/>
    <n v="2.5748229999999999"/>
    <n v="0.68"/>
    <n v="-0.10965909090909082"/>
    <n v="42.322000000000003"/>
    <n v="0"/>
    <n v="0"/>
    <n v="0"/>
    <n v="0"/>
    <n v="0"/>
    <n v="0"/>
  </r>
  <r>
    <x v="10"/>
    <n v="2.2466200000000001"/>
    <n v="0.68"/>
    <n v="-0.10965909090909082"/>
    <n v="49.58"/>
    <n v="49.58"/>
    <n v="111387.41960000001"/>
    <n v="10304.707199999999"/>
    <n v="2728.1547310602136"/>
    <n v="5363.0899575085505"/>
    <n v="4287.2066794486482"/>
  </r>
  <r>
    <x v="10"/>
    <n v="2.2466200000000001"/>
    <n v="0.68"/>
    <n v="-0.10965909090909082"/>
    <n v="30.765000000000001"/>
    <n v="30.765000000000001"/>
    <n v="69117.264299999995"/>
    <n v="6394.1976000000004"/>
    <n v="1692.8535760602558"/>
    <n v="3327.8633025968247"/>
    <n v="2660.2644915941437"/>
  </r>
  <r>
    <x v="10"/>
    <n v="2.2466200000000001"/>
    <n v="0.68"/>
    <n v="-0.10965909090909082"/>
    <n v="58.372999999999998"/>
    <n v="58.372999999999998"/>
    <n v="131141.94925999999"/>
    <n v="12132.24432"/>
    <n v="3211.992257284749"/>
    <n v="6314.2325552570919"/>
    <n v="5047.5416599325517"/>
  </r>
  <r>
    <x v="11"/>
    <n v="2.2466200000000001"/>
    <n v="0.68"/>
    <n v="-0.10965909090909082"/>
    <n v="0.84599999999999997"/>
    <n v="0.84599999999999997"/>
    <n v="1900.6405200000002"/>
    <n v="175.83264"/>
    <n v="46.551409892636968"/>
    <n v="91.512184430258841"/>
    <n v="73.154030875626376"/>
  </r>
  <r>
    <x v="12"/>
    <n v="2.2466200000000001"/>
    <n v="0.68"/>
    <n v="-0.10965909090909082"/>
    <n v="3.64"/>
    <n v="3.64"/>
    <n v="8177.6967999999997"/>
    <n v="756.5376"/>
    <n v="200.29211821418272"/>
    <n v="393.74036799780407"/>
    <n v="314.75256783366433"/>
  </r>
  <r>
    <x v="13"/>
    <n v="2.2466200000000001"/>
    <n v="0.68"/>
    <n v="-0.10965909090909082"/>
    <n v="4.3499999999999996"/>
    <n v="4.3499999999999996"/>
    <n v="9772.7969999999987"/>
    <n v="904.10399999999993"/>
    <n v="239.36008632738864"/>
    <n v="470.54137384352953"/>
    <n v="376.14661265836259"/>
  </r>
  <r>
    <x v="14"/>
    <n v="1.8311059999999999"/>
    <n v="0.67"/>
    <n v="-0.10965909090909082"/>
    <n v="0.84599999999999997"/>
    <n v="3.48"/>
    <n v="6372.2488800000001"/>
    <n v="723.28319999999997"/>
    <n v="191.48806906191095"/>
    <n v="376.43309907482364"/>
    <n v="300.91729012669009"/>
  </r>
  <r>
    <x v="15"/>
    <n v="1.6520360000000001"/>
    <n v="0.71"/>
    <n v="-0.10965909090909082"/>
    <n v="3.64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67B9B-FAFC-4761-AFDE-7F6904D71301}" name="TablaDinámica3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20" firstHeaderRow="0" firstDataRow="1" firstDataCol="1"/>
  <pivotFields count="11">
    <pivotField axis="axisRow" showAll="0">
      <items count="17">
        <item x="3"/>
        <item x="4"/>
        <item x="0"/>
        <item x="10"/>
        <item x="6"/>
        <item x="5"/>
        <item x="2"/>
        <item x="8"/>
        <item x="9"/>
        <item x="7"/>
        <item x="1"/>
        <item x="14"/>
        <item x="15"/>
        <item x="13"/>
        <item x="12"/>
        <item x="11"/>
        <item t="default"/>
      </items>
    </pivotField>
    <pivotField numFmtId="164" showAll="0"/>
    <pivotField numFmtId="9" showAll="0"/>
    <pivotField numFmtId="9" showAll="0"/>
    <pivotField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" fld="5" baseField="0" baseItem="0" numFmtId="165"/>
    <dataField name="Suma de Costo Ventas" fld="6" baseField="0" baseItem="0" numFmtId="165"/>
    <dataField name="Suma de Gasto Ventas" fld="7" baseField="0" baseItem="0" numFmtId="165"/>
    <dataField name="Suma de Gasto ADM" fld="8" baseField="0" baseItem="0" numFmtId="165"/>
    <dataField name="Suma de Gasto Fin" fld="9" baseField="0" baseItem="0" numFmtId="165"/>
    <dataField name="Suma de Depreciación" fld="1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5" dT="2026-08-03T21:04:12.65" personId="{BE3151E7-6C99-4E81-AF56-7CAA99628F6D}" id="{8BAB91C8-E004-41E9-A365-AECA9B96431E}">
    <text>Precio venta 1500</text>
  </threadedComment>
  <threadedComment ref="Q27" dT="2026-08-03T21:04:38.98" personId="{BE3151E7-6C99-4E81-AF56-7CAA99628F6D}" id="{A344EBC5-8C51-44A4-A180-38DAA489B3A5}">
    <text>Precio de venta 2275</text>
  </threadedComment>
  <threadedComment ref="Q28" dT="2026-08-03T21:04:24.79" personId="{BE3151E7-6C99-4E81-AF56-7CAA99628F6D}" id="{247A4FFD-BD08-4811-B6CB-4113A353366D}">
    <text>Precio venta 3400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5" dT="2026-08-03T21:04:12.65" personId="{BE3151E7-6C99-4E81-AF56-7CAA99628F6D}" id="{338EC7C3-ED75-45F5-A04A-BEE0E5E7A694}">
    <text>Precio venta 1500</text>
  </threadedComment>
  <threadedComment ref="Q27" dT="2026-08-03T21:04:38.98" personId="{BE3151E7-6C99-4E81-AF56-7CAA99628F6D}" id="{58B03F8B-009A-43A5-A1BC-26491390019A}">
    <text>Precio de venta 2275</text>
  </threadedComment>
  <threadedComment ref="Q28" dT="2026-08-03T21:04:24.79" personId="{BE3151E7-6C99-4E81-AF56-7CAA99628F6D}" id="{091D7AEF-575F-4DAC-B799-625B20781F42}">
    <text>Precio venta 3400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D199-D4C2-437B-9351-7BEF783787C1}">
  <dimension ref="B2:X57"/>
  <sheetViews>
    <sheetView showGridLines="0" tabSelected="1" zoomScale="70" zoomScaleNormal="70" workbookViewId="0">
      <pane xSplit="4" ySplit="6" topLeftCell="J25" activePane="bottomRight" state="frozen"/>
      <selection pane="topRight" activeCell="E1" sqref="E1"/>
      <selection pane="bottomLeft" activeCell="A7" sqref="A7"/>
      <selection pane="bottomRight" activeCell="O47" sqref="O47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4" width="16.21875" customWidth="1" outlineLevel="1"/>
    <col min="5" max="5" width="12.88671875" customWidth="1" outlineLevel="1"/>
    <col min="6" max="6" width="16.44140625" bestFit="1" customWidth="1" outlineLevel="2"/>
    <col min="7" max="7" width="16.5546875" bestFit="1" customWidth="1" outlineLevel="2"/>
    <col min="8" max="8" width="14.21875" bestFit="1" customWidth="1" outlineLevel="2"/>
    <col min="9" max="9" width="12.5546875" bestFit="1" customWidth="1" outlineLevel="2"/>
    <col min="10" max="11" width="16.21875" bestFit="1" customWidth="1" outlineLevel="2"/>
    <col min="12" max="12" width="15.88671875" bestFit="1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12.21875" customWidth="1" outlineLevel="1"/>
  </cols>
  <sheetData>
    <row r="2" spans="2:24" ht="15.6" x14ac:dyDescent="0.3">
      <c r="C2" s="70" t="s">
        <v>103</v>
      </c>
    </row>
    <row r="3" spans="2:24" x14ac:dyDescent="0.3">
      <c r="C3" s="71" t="s">
        <v>132</v>
      </c>
      <c r="G3" s="67"/>
      <c r="M3" s="72"/>
      <c r="N3" s="67"/>
      <c r="O3" s="67"/>
      <c r="P3" s="67"/>
      <c r="R3" s="73"/>
    </row>
    <row r="4" spans="2:24" ht="15" thickBot="1" x14ac:dyDescent="0.35">
      <c r="C4" s="71"/>
      <c r="G4" s="73"/>
      <c r="M4" s="73"/>
    </row>
    <row r="5" spans="2:24" ht="15" thickBot="1" x14ac:dyDescent="0.35">
      <c r="F5" s="74" t="s">
        <v>104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6"/>
    </row>
    <row r="6" spans="2:24" s="86" customFormat="1" ht="29.4" thickBot="1" x14ac:dyDescent="0.35">
      <c r="B6" s="77" t="s">
        <v>105</v>
      </c>
      <c r="C6" s="78" t="s">
        <v>106</v>
      </c>
      <c r="D6" s="79" t="s">
        <v>107</v>
      </c>
      <c r="E6" s="80" t="s">
        <v>108</v>
      </c>
      <c r="F6" s="81" t="s">
        <v>66</v>
      </c>
      <c r="G6" s="82" t="s">
        <v>67</v>
      </c>
      <c r="H6" s="82" t="s">
        <v>68</v>
      </c>
      <c r="I6" s="82" t="s">
        <v>69</v>
      </c>
      <c r="J6" s="82" t="s">
        <v>70</v>
      </c>
      <c r="K6" s="82" t="s">
        <v>71</v>
      </c>
      <c r="L6" s="83" t="s">
        <v>72</v>
      </c>
      <c r="M6" s="84" t="s">
        <v>109</v>
      </c>
      <c r="N6" s="84" t="s">
        <v>110</v>
      </c>
      <c r="O6" s="84" t="s">
        <v>111</v>
      </c>
      <c r="P6" s="84" t="s">
        <v>112</v>
      </c>
      <c r="Q6" s="85" t="s">
        <v>113</v>
      </c>
      <c r="R6" s="85" t="s">
        <v>114</v>
      </c>
      <c r="S6" s="85" t="s">
        <v>115</v>
      </c>
      <c r="T6" s="85" t="s">
        <v>116</v>
      </c>
      <c r="U6" s="85" t="s">
        <v>117</v>
      </c>
      <c r="V6" s="85" t="s">
        <v>118</v>
      </c>
    </row>
    <row r="7" spans="2:24" x14ac:dyDescent="0.3">
      <c r="B7" s="66">
        <v>10005721</v>
      </c>
      <c r="C7" s="68" t="s">
        <v>91</v>
      </c>
      <c r="D7" s="87">
        <f>TD!F4</f>
        <v>66.98</v>
      </c>
      <c r="E7" s="88">
        <f t="shared" ref="E7:E20" si="0">IFERROR(F7/D7,0)</f>
        <v>1831.1059999999998</v>
      </c>
      <c r="F7" s="54">
        <f>TD!G4</f>
        <v>122647.47988</v>
      </c>
      <c r="G7" s="67">
        <f>TD!H4</f>
        <v>13921.1232</v>
      </c>
      <c r="H7" s="67">
        <f>TD!I4</f>
        <v>3685.5950763697688</v>
      </c>
      <c r="I7" s="67">
        <f>TD!J4</f>
        <v>7245.2554528826695</v>
      </c>
      <c r="J7" s="67">
        <f>TD!K4</f>
        <v>5791.7931300820992</v>
      </c>
      <c r="K7" s="89">
        <v>0</v>
      </c>
      <c r="L7" s="90">
        <v>0</v>
      </c>
      <c r="M7" s="91">
        <f>F7+G7+H7+I7</f>
        <v>147499.45360925244</v>
      </c>
      <c r="N7" s="92">
        <f>IFERROR(M7/D7,0)</f>
        <v>2202.1417379703257</v>
      </c>
      <c r="O7" s="92">
        <f t="shared" ref="O7:O19" si="1">F7+G7+H7-J7</f>
        <v>134462.40502628766</v>
      </c>
      <c r="P7" s="92">
        <f t="shared" ref="P7:P20" si="2">IFERROR(O7/D7,0)</f>
        <v>2007.500821533109</v>
      </c>
      <c r="Q7" s="93">
        <v>1800</v>
      </c>
      <c r="R7" s="93">
        <f>Q7*D7</f>
        <v>120564</v>
      </c>
      <c r="S7" s="93">
        <f t="shared" ref="S7:S19" si="3">R7-M7</f>
        <v>-26935.453609252436</v>
      </c>
      <c r="T7" s="94">
        <f t="shared" ref="T7:T19" si="4">IFERROR(S7/R7,0)</f>
        <v>-0.22341207665018112</v>
      </c>
      <c r="U7" s="93">
        <f t="shared" ref="U7:U9" si="5">R7-(M7-J7-I7)</f>
        <v>-13898.405026287655</v>
      </c>
      <c r="V7" s="94">
        <f t="shared" ref="V7:V20" si="6">IFERROR(U7/R7,0)</f>
        <v>-0.11527823418506068</v>
      </c>
      <c r="X7" s="73"/>
    </row>
    <row r="8" spans="2:24" x14ac:dyDescent="0.3">
      <c r="B8" s="66">
        <v>10005779</v>
      </c>
      <c r="C8" s="69" t="s">
        <v>92</v>
      </c>
      <c r="D8" s="87">
        <f>TD!F5</f>
        <v>384.74</v>
      </c>
      <c r="E8" s="88">
        <f t="shared" si="0"/>
        <v>1793.3260000000002</v>
      </c>
      <c r="F8" s="67">
        <f>TD!G5</f>
        <v>689964.24524000008</v>
      </c>
      <c r="G8" s="67">
        <f>TD!H5</f>
        <v>79964.361600000004</v>
      </c>
      <c r="H8" s="67">
        <f>TD!I5</f>
        <v>21170.436692781499</v>
      </c>
      <c r="I8" s="67">
        <f>TD!J5</f>
        <v>41617.49153392174</v>
      </c>
      <c r="J8" s="67">
        <f>TD!K5</f>
        <v>33268.654656132967</v>
      </c>
      <c r="K8" s="89">
        <v>0</v>
      </c>
      <c r="L8" s="90">
        <v>0</v>
      </c>
      <c r="M8" s="91">
        <f t="shared" ref="M8:M19" si="7">F8+G8+H8+I8</f>
        <v>832716.53506670333</v>
      </c>
      <c r="N8" s="92">
        <f>IFERROR(M8/D8,0)</f>
        <v>2164.3617379703264</v>
      </c>
      <c r="O8" s="92">
        <f t="shared" si="1"/>
        <v>757830.38887664862</v>
      </c>
      <c r="P8" s="92">
        <f t="shared" si="2"/>
        <v>1969.7208215331095</v>
      </c>
      <c r="Q8" s="93">
        <v>1400</v>
      </c>
      <c r="R8" s="93">
        <f t="shared" ref="R8:R14" si="8">Q8*D8</f>
        <v>538636</v>
      </c>
      <c r="S8" s="93">
        <f t="shared" si="3"/>
        <v>-294080.53506670333</v>
      </c>
      <c r="T8" s="94">
        <f t="shared" si="4"/>
        <v>-0.54597266997880445</v>
      </c>
      <c r="U8" s="93">
        <f t="shared" si="5"/>
        <v>-219194.38887664862</v>
      </c>
      <c r="V8" s="94">
        <f t="shared" si="6"/>
        <v>-0.40694344395222121</v>
      </c>
    </row>
    <row r="9" spans="2:24" x14ac:dyDescent="0.3">
      <c r="B9" s="66">
        <v>10006719</v>
      </c>
      <c r="C9" s="69" t="s">
        <v>93</v>
      </c>
      <c r="D9" s="87">
        <f>TD!F6</f>
        <v>17.86</v>
      </c>
      <c r="E9" s="88">
        <f t="shared" si="0"/>
        <v>1652.0360000000003</v>
      </c>
      <c r="F9" s="67">
        <f>TD!G6</f>
        <v>29505.362960000002</v>
      </c>
      <c r="G9" s="67">
        <f>TD!H6</f>
        <v>3712.0224000000003</v>
      </c>
      <c r="H9" s="67">
        <f>TD!I6</f>
        <v>982.75198662233606</v>
      </c>
      <c r="I9" s="67">
        <f>TD!J6</f>
        <v>1931.9238935276867</v>
      </c>
      <c r="J9" s="67">
        <f>TD!K6</f>
        <v>1544.3628740410015</v>
      </c>
      <c r="K9" s="89">
        <v>0</v>
      </c>
      <c r="L9" s="90">
        <v>0</v>
      </c>
      <c r="M9" s="91">
        <f t="shared" si="7"/>
        <v>36132.061240150026</v>
      </c>
      <c r="N9" s="92">
        <f t="shared" ref="N9:N14" si="9">IFERROR(M9/D9,0)</f>
        <v>2023.0717379703262</v>
      </c>
      <c r="O9" s="92">
        <f t="shared" si="1"/>
        <v>32655.774472581335</v>
      </c>
      <c r="P9" s="92">
        <f t="shared" si="2"/>
        <v>1828.4308215331096</v>
      </c>
      <c r="Q9" s="93">
        <v>1950</v>
      </c>
      <c r="R9" s="93">
        <f t="shared" si="8"/>
        <v>34827</v>
      </c>
      <c r="S9" s="93">
        <f t="shared" si="3"/>
        <v>-1305.0612401500257</v>
      </c>
      <c r="T9" s="94">
        <f t="shared" si="4"/>
        <v>-3.7472686138628815E-2</v>
      </c>
      <c r="U9" s="93">
        <f t="shared" si="5"/>
        <v>2171.2255274186609</v>
      </c>
      <c r="V9" s="94">
        <f t="shared" si="6"/>
        <v>6.234316844455913E-2</v>
      </c>
    </row>
    <row r="10" spans="2:24" x14ac:dyDescent="0.3">
      <c r="B10" s="66">
        <v>10007050</v>
      </c>
      <c r="C10" s="69" t="s">
        <v>94</v>
      </c>
      <c r="D10" s="87">
        <f>TD!F7</f>
        <v>138.71799999999999</v>
      </c>
      <c r="E10" s="88">
        <f t="shared" si="0"/>
        <v>2246.62</v>
      </c>
      <c r="F10" s="67">
        <f>TD!G7</f>
        <v>311646.63315999997</v>
      </c>
      <c r="G10" s="67">
        <f>TD!H7</f>
        <v>28831.149120000002</v>
      </c>
      <c r="H10" s="67">
        <f>TD!I7</f>
        <v>7633.0005644052189</v>
      </c>
      <c r="I10" s="67">
        <f>TD!J7</f>
        <v>15005.185815362467</v>
      </c>
      <c r="J10" s="67">
        <f>TD!K7</f>
        <v>11995.012830975344</v>
      </c>
      <c r="K10" s="89">
        <v>0</v>
      </c>
      <c r="L10" s="90">
        <v>0</v>
      </c>
      <c r="M10" s="91">
        <f t="shared" si="7"/>
        <v>363115.96865976771</v>
      </c>
      <c r="N10" s="92">
        <f t="shared" si="9"/>
        <v>2617.6557379703263</v>
      </c>
      <c r="O10" s="92">
        <f t="shared" si="1"/>
        <v>336115.77001342986</v>
      </c>
      <c r="P10" s="92">
        <f t="shared" si="2"/>
        <v>2423.0148215331096</v>
      </c>
      <c r="Q10" s="93">
        <v>1700</v>
      </c>
      <c r="R10" s="93">
        <f t="shared" si="8"/>
        <v>235820.59999999998</v>
      </c>
      <c r="S10" s="93">
        <f t="shared" si="3"/>
        <v>-127295.36865976773</v>
      </c>
      <c r="T10" s="94">
        <f t="shared" si="4"/>
        <v>-0.53979749292372148</v>
      </c>
      <c r="U10" s="93">
        <f>R10-(M10-J10-I10)</f>
        <v>-100295.17001342989</v>
      </c>
      <c r="V10" s="94">
        <f t="shared" si="6"/>
        <v>-0.42530283619594683</v>
      </c>
    </row>
    <row r="11" spans="2:24" x14ac:dyDescent="0.3">
      <c r="B11" s="66">
        <v>10007162</v>
      </c>
      <c r="C11" s="69" t="s">
        <v>95</v>
      </c>
      <c r="D11" s="87">
        <f>TD!F8</f>
        <v>297.72000000000003</v>
      </c>
      <c r="E11" s="88">
        <f t="shared" si="0"/>
        <v>1783.9849999999997</v>
      </c>
      <c r="F11" s="67">
        <f>TD!G8</f>
        <v>531128.01419999998</v>
      </c>
      <c r="G11" s="67">
        <f>TD!H8</f>
        <v>61878.124800000005</v>
      </c>
      <c r="H11" s="67">
        <f>TD!I8</f>
        <v>16382.134460089692</v>
      </c>
      <c r="I11" s="67">
        <f>TD!J8</f>
        <v>32204.500648435773</v>
      </c>
      <c r="J11" s="67">
        <f>TD!K8</f>
        <v>25743.992993252348</v>
      </c>
      <c r="K11" s="89">
        <v>0</v>
      </c>
      <c r="L11" s="90">
        <v>0</v>
      </c>
      <c r="M11" s="91">
        <f t="shared" si="7"/>
        <v>641592.77410852548</v>
      </c>
      <c r="N11" s="92">
        <f t="shared" si="9"/>
        <v>2155.0207379703261</v>
      </c>
      <c r="O11" s="92">
        <f t="shared" si="1"/>
        <v>583644.28046683734</v>
      </c>
      <c r="P11" s="92">
        <f t="shared" si="2"/>
        <v>1960.3798215331092</v>
      </c>
      <c r="Q11" s="93">
        <v>2700</v>
      </c>
      <c r="R11" s="93">
        <f t="shared" si="8"/>
        <v>803844.00000000012</v>
      </c>
      <c r="S11" s="93">
        <f t="shared" si="3"/>
        <v>162251.22589147463</v>
      </c>
      <c r="T11" s="94">
        <f t="shared" si="4"/>
        <v>0.20184417112210157</v>
      </c>
      <c r="U11" s="93">
        <f t="shared" ref="U11:U19" si="10">R11-(M11-J11-I11)</f>
        <v>220199.71953316277</v>
      </c>
      <c r="V11" s="94">
        <f t="shared" si="6"/>
        <v>0.27393339943218181</v>
      </c>
    </row>
    <row r="12" spans="2:24" x14ac:dyDescent="0.3">
      <c r="B12" s="66">
        <v>10007567</v>
      </c>
      <c r="C12" s="69" t="s">
        <v>96</v>
      </c>
      <c r="D12" s="87">
        <f>TD!F9</f>
        <v>110.22</v>
      </c>
      <c r="E12" s="88">
        <f t="shared" si="0"/>
        <v>1712.173</v>
      </c>
      <c r="F12" s="67">
        <f>TD!G9</f>
        <v>188715.70806</v>
      </c>
      <c r="G12" s="67">
        <f>TD!H9</f>
        <v>22908.124800000001</v>
      </c>
      <c r="H12" s="67">
        <f>TD!I9</f>
        <v>6064.889359771214</v>
      </c>
      <c r="I12" s="67">
        <f>TD!J9</f>
        <v>11922.54487931812</v>
      </c>
      <c r="J12" s="67">
        <f>TD!K9</f>
        <v>9530.7769303918922</v>
      </c>
      <c r="K12" s="89">
        <v>0</v>
      </c>
      <c r="L12" s="90">
        <v>0</v>
      </c>
      <c r="M12" s="91">
        <f t="shared" si="7"/>
        <v>229611.26709908934</v>
      </c>
      <c r="N12" s="92">
        <f t="shared" si="9"/>
        <v>2083.2087379703262</v>
      </c>
      <c r="O12" s="92">
        <f t="shared" si="1"/>
        <v>208157.94528937931</v>
      </c>
      <c r="P12" s="92">
        <f t="shared" si="2"/>
        <v>1888.5678215331093</v>
      </c>
      <c r="Q12" s="93">
        <v>2800</v>
      </c>
      <c r="R12" s="93">
        <f t="shared" si="8"/>
        <v>308616</v>
      </c>
      <c r="S12" s="93">
        <f t="shared" si="3"/>
        <v>79004.732900910662</v>
      </c>
      <c r="T12" s="94">
        <f t="shared" si="4"/>
        <v>0.2559968792963121</v>
      </c>
      <c r="U12" s="93">
        <f t="shared" si="10"/>
        <v>100458.05471062069</v>
      </c>
      <c r="V12" s="94">
        <f t="shared" si="6"/>
        <v>0.3255114923096038</v>
      </c>
    </row>
    <row r="13" spans="2:24" x14ac:dyDescent="0.3">
      <c r="B13" s="66">
        <v>10007969</v>
      </c>
      <c r="C13" s="69" t="s">
        <v>13</v>
      </c>
      <c r="D13" s="87">
        <f>TD!F10</f>
        <v>0</v>
      </c>
      <c r="E13" s="88">
        <f t="shared" si="0"/>
        <v>0</v>
      </c>
      <c r="F13" s="67">
        <f>TD!G10</f>
        <v>0</v>
      </c>
      <c r="G13" s="67">
        <f>TD!H10</f>
        <v>0</v>
      </c>
      <c r="H13" s="67">
        <f>TD!I10</f>
        <v>0</v>
      </c>
      <c r="I13" s="67">
        <f>TD!J10</f>
        <v>0</v>
      </c>
      <c r="J13" s="67">
        <f>TD!K10</f>
        <v>0</v>
      </c>
      <c r="K13" s="89">
        <v>0</v>
      </c>
      <c r="L13" s="90">
        <v>0</v>
      </c>
      <c r="M13" s="91">
        <f t="shared" si="7"/>
        <v>0</v>
      </c>
      <c r="N13" s="92">
        <f t="shared" si="9"/>
        <v>0</v>
      </c>
      <c r="O13" s="92">
        <f t="shared" si="1"/>
        <v>0</v>
      </c>
      <c r="P13" s="92">
        <f t="shared" si="2"/>
        <v>0</v>
      </c>
      <c r="Q13" s="93">
        <v>1700</v>
      </c>
      <c r="R13" s="93">
        <f t="shared" si="8"/>
        <v>0</v>
      </c>
      <c r="S13" s="93">
        <f t="shared" si="3"/>
        <v>0</v>
      </c>
      <c r="T13" s="94">
        <f t="shared" si="4"/>
        <v>0</v>
      </c>
      <c r="U13" s="93">
        <f t="shared" si="10"/>
        <v>0</v>
      </c>
      <c r="V13" s="94">
        <f t="shared" si="6"/>
        <v>0</v>
      </c>
    </row>
    <row r="14" spans="2:24" x14ac:dyDescent="0.3">
      <c r="B14" s="66">
        <v>10009239</v>
      </c>
      <c r="C14" s="69" t="s">
        <v>97</v>
      </c>
      <c r="D14" s="87">
        <f>TD!F11</f>
        <v>16.48</v>
      </c>
      <c r="E14" s="88">
        <f t="shared" si="0"/>
        <v>2846.9569999999999</v>
      </c>
      <c r="F14" s="67">
        <f>TD!G11</f>
        <v>46917.851360000001</v>
      </c>
      <c r="G14" s="67">
        <f>TD!H11</f>
        <v>3425.2031999999999</v>
      </c>
      <c r="H14" s="67">
        <f>TD!I11</f>
        <v>906.81706268399205</v>
      </c>
      <c r="I14" s="67">
        <f>TD!J11</f>
        <v>1782.648699066981</v>
      </c>
      <c r="J14" s="67">
        <f>TD!K11</f>
        <v>1425.0336038183484</v>
      </c>
      <c r="K14" s="89">
        <v>0</v>
      </c>
      <c r="L14" s="90">
        <v>0</v>
      </c>
      <c r="M14" s="91">
        <f t="shared" si="7"/>
        <v>53032.520321750977</v>
      </c>
      <c r="N14" s="92">
        <f t="shared" si="9"/>
        <v>3217.9927379703263</v>
      </c>
      <c r="O14" s="92">
        <f t="shared" si="1"/>
        <v>49824.838018865652</v>
      </c>
      <c r="P14" s="92">
        <f t="shared" si="2"/>
        <v>3023.3518215331101</v>
      </c>
      <c r="Q14" s="93">
        <v>3500</v>
      </c>
      <c r="R14" s="93">
        <f t="shared" si="8"/>
        <v>57680</v>
      </c>
      <c r="S14" s="93">
        <f t="shared" si="3"/>
        <v>4647.479678249023</v>
      </c>
      <c r="T14" s="94">
        <f t="shared" si="4"/>
        <v>8.0573503437049637E-2</v>
      </c>
      <c r="U14" s="93">
        <f t="shared" si="10"/>
        <v>7855.161981134348</v>
      </c>
      <c r="V14" s="94">
        <f t="shared" si="6"/>
        <v>0.13618519384768288</v>
      </c>
    </row>
    <row r="15" spans="2:24" x14ac:dyDescent="0.3">
      <c r="B15" s="66">
        <v>10009334</v>
      </c>
      <c r="C15" s="69" t="s">
        <v>98</v>
      </c>
      <c r="D15" s="87">
        <f>TD!F12</f>
        <v>329.45799999999997</v>
      </c>
      <c r="E15" s="88">
        <f t="shared" si="0"/>
        <v>2574.8229999999999</v>
      </c>
      <c r="F15" s="67">
        <f>TD!G12</f>
        <v>848296.03593399981</v>
      </c>
      <c r="G15" s="67">
        <f>TD!H12</f>
        <v>68474.550719999999</v>
      </c>
      <c r="H15" s="67">
        <f>TD!I12</f>
        <v>18128.5276600572</v>
      </c>
      <c r="I15" s="67">
        <f>TD!J12</f>
        <v>35637.613780170468</v>
      </c>
      <c r="J15" s="67">
        <f>TD!K12</f>
        <v>28488.393267402029</v>
      </c>
      <c r="K15" s="89">
        <v>0</v>
      </c>
      <c r="L15" s="90">
        <v>0</v>
      </c>
      <c r="M15" s="91">
        <f t="shared" si="7"/>
        <v>970536.72809422738</v>
      </c>
      <c r="N15" s="92">
        <f>IFERROR(M15/D15,0)</f>
        <v>2945.8587379703254</v>
      </c>
      <c r="O15" s="92">
        <f t="shared" si="1"/>
        <v>906410.72104665486</v>
      </c>
      <c r="P15" s="92">
        <f t="shared" si="2"/>
        <v>2751.2178215331087</v>
      </c>
      <c r="Q15" s="93">
        <v>3500</v>
      </c>
      <c r="R15" s="93">
        <f>Q15*D15</f>
        <v>1153103</v>
      </c>
      <c r="S15" s="93">
        <f t="shared" si="3"/>
        <v>182566.27190577262</v>
      </c>
      <c r="T15" s="94">
        <f t="shared" si="4"/>
        <v>0.15832607486562139</v>
      </c>
      <c r="U15" s="93">
        <f t="shared" si="10"/>
        <v>246692.27895334514</v>
      </c>
      <c r="V15" s="94">
        <f t="shared" si="6"/>
        <v>0.21393776527625472</v>
      </c>
    </row>
    <row r="16" spans="2:24" x14ac:dyDescent="0.3">
      <c r="B16" s="66">
        <v>10009386</v>
      </c>
      <c r="C16" s="69" t="s">
        <v>99</v>
      </c>
      <c r="D16" s="87">
        <f>TD!F13</f>
        <v>21.28</v>
      </c>
      <c r="E16" s="88">
        <f t="shared" si="0"/>
        <v>3230.8044090056305</v>
      </c>
      <c r="F16" s="67">
        <f>TD!G13</f>
        <v>68751.517823639821</v>
      </c>
      <c r="G16" s="67">
        <f>TD!H13</f>
        <v>4422.8352000000004</v>
      </c>
      <c r="H16" s="67">
        <f>TD!I13</f>
        <v>1170.9385372521451</v>
      </c>
      <c r="I16" s="67">
        <f>TD!J13</f>
        <v>2301.8667667563932</v>
      </c>
      <c r="J16" s="67">
        <f>TD!K13</f>
        <v>1840.0919350275763</v>
      </c>
      <c r="K16" s="89">
        <v>0</v>
      </c>
      <c r="L16" s="90">
        <v>0</v>
      </c>
      <c r="M16" s="91">
        <f t="shared" si="7"/>
        <v>76647.158327648358</v>
      </c>
      <c r="N16" s="92">
        <f>IFERROR(M16/D16,0)</f>
        <v>3601.8401469759565</v>
      </c>
      <c r="O16" s="92">
        <f t="shared" si="1"/>
        <v>72505.199625864392</v>
      </c>
      <c r="P16" s="92">
        <f t="shared" si="2"/>
        <v>3407.1992305387403</v>
      </c>
      <c r="Q16" s="93">
        <v>2000</v>
      </c>
      <c r="R16" s="93">
        <f>Q16*D16</f>
        <v>42560</v>
      </c>
      <c r="S16" s="93">
        <f t="shared" si="3"/>
        <v>-34087.158327648358</v>
      </c>
      <c r="T16" s="94">
        <f t="shared" si="4"/>
        <v>-0.80092007348797833</v>
      </c>
      <c r="U16" s="93">
        <f t="shared" si="10"/>
        <v>-29945.199625864392</v>
      </c>
      <c r="V16" s="94">
        <f t="shared" si="6"/>
        <v>-0.70359961526937009</v>
      </c>
    </row>
    <row r="17" spans="2:23" x14ac:dyDescent="0.3">
      <c r="B17" s="66">
        <v>10009386</v>
      </c>
      <c r="C17" s="69" t="s">
        <v>100</v>
      </c>
      <c r="D17" s="87">
        <f>TD!F14+TD!F17+TD!F18+TD!F19</f>
        <v>41.116</v>
      </c>
      <c r="E17" s="88">
        <f t="shared" si="0"/>
        <v>1588.6756241810206</v>
      </c>
      <c r="F17" s="67">
        <f>TD!G14+TD!G17+TD!G18+TD!G19</f>
        <v>65319.986963826843</v>
      </c>
      <c r="G17" s="67">
        <f>TD!H14+TD!H17+TD!H18+TD!H19</f>
        <v>8545.5494400000007</v>
      </c>
      <c r="H17" s="67">
        <f>TD!I14+TD!I17+TD!I18+TD!I19</f>
        <v>2262.4205309050376</v>
      </c>
      <c r="I17" s="67">
        <f>TD!J14+TD!J17+TD!J18+TD!J19</f>
        <v>4447.5354314828874</v>
      </c>
      <c r="J17" s="67">
        <f>TD!K14+TD!K17+TD!K18+TD!K19</f>
        <v>3555.3204887497095</v>
      </c>
      <c r="K17" s="89">
        <v>0</v>
      </c>
      <c r="L17" s="90">
        <v>0</v>
      </c>
      <c r="M17" s="91">
        <f t="shared" si="7"/>
        <v>80575.492366214778</v>
      </c>
      <c r="N17" s="92">
        <f t="shared" ref="N17:N19" si="11">IFERROR(M17/D17,0)</f>
        <v>1959.711362151347</v>
      </c>
      <c r="O17" s="92">
        <f t="shared" si="1"/>
        <v>72572.636445982178</v>
      </c>
      <c r="P17" s="92">
        <f t="shared" si="2"/>
        <v>1765.0704457141303</v>
      </c>
      <c r="Q17" s="93">
        <v>1700</v>
      </c>
      <c r="R17" s="93">
        <f>Q17*D17</f>
        <v>69897.2</v>
      </c>
      <c r="S17" s="93">
        <f t="shared" si="3"/>
        <v>-10678.29236621478</v>
      </c>
      <c r="T17" s="94">
        <f t="shared" si="4"/>
        <v>-0.15277138950079233</v>
      </c>
      <c r="U17" s="93">
        <f t="shared" si="10"/>
        <v>-2675.4364459821809</v>
      </c>
      <c r="V17" s="94">
        <f t="shared" si="6"/>
        <v>-3.8276732773017817E-2</v>
      </c>
    </row>
    <row r="18" spans="2:23" x14ac:dyDescent="0.3">
      <c r="B18" s="66"/>
      <c r="C18" s="69" t="s">
        <v>101</v>
      </c>
      <c r="D18" s="87">
        <f>TD!F15</f>
        <v>3.48</v>
      </c>
      <c r="E18" s="88">
        <f t="shared" si="0"/>
        <v>1831.106</v>
      </c>
      <c r="F18" s="67">
        <f>TD!G15</f>
        <v>6372.2488800000001</v>
      </c>
      <c r="G18" s="67">
        <f>TD!H15</f>
        <v>723.28319999999997</v>
      </c>
      <c r="H18" s="67">
        <f>TD!I15</f>
        <v>191.48806906191095</v>
      </c>
      <c r="I18" s="67">
        <f>TD!J15</f>
        <v>376.43309907482364</v>
      </c>
      <c r="J18" s="67">
        <f>TD!K15</f>
        <v>300.91729012669009</v>
      </c>
      <c r="K18" s="89">
        <v>0</v>
      </c>
      <c r="L18" s="90">
        <v>0</v>
      </c>
      <c r="M18" s="91">
        <f t="shared" si="7"/>
        <v>7663.4532481367351</v>
      </c>
      <c r="N18" s="92">
        <f t="shared" si="11"/>
        <v>2202.1417379703262</v>
      </c>
      <c r="O18" s="92">
        <f t="shared" si="1"/>
        <v>6986.1028589352209</v>
      </c>
      <c r="P18" s="92">
        <f t="shared" si="2"/>
        <v>2007.5008215331095</v>
      </c>
      <c r="Q18" s="93">
        <v>1800</v>
      </c>
      <c r="R18" s="95">
        <f>Q18*D18</f>
        <v>6264</v>
      </c>
      <c r="S18" s="93">
        <f t="shared" si="3"/>
        <v>-1399.4532481367351</v>
      </c>
      <c r="T18" s="94">
        <f t="shared" si="4"/>
        <v>-0.2234120766501812</v>
      </c>
      <c r="U18" s="93">
        <f t="shared" si="10"/>
        <v>-722.10285893522087</v>
      </c>
      <c r="V18" s="94">
        <f t="shared" si="6"/>
        <v>-0.11527823418506081</v>
      </c>
    </row>
    <row r="19" spans="2:23" ht="15" thickBot="1" x14ac:dyDescent="0.35">
      <c r="B19" s="66"/>
      <c r="C19" s="69" t="s">
        <v>102</v>
      </c>
      <c r="D19" s="87">
        <f>TD!F16</f>
        <v>0</v>
      </c>
      <c r="E19" s="88">
        <f t="shared" si="0"/>
        <v>0</v>
      </c>
      <c r="F19" s="67">
        <f>TD!G16</f>
        <v>0</v>
      </c>
      <c r="G19" s="67">
        <f>TD!H16</f>
        <v>0</v>
      </c>
      <c r="H19" s="67">
        <f>TD!I16</f>
        <v>0</v>
      </c>
      <c r="I19" s="67">
        <f>TD!J16</f>
        <v>0</v>
      </c>
      <c r="J19" s="67">
        <f>TD!K16</f>
        <v>0</v>
      </c>
      <c r="K19" s="89">
        <v>0</v>
      </c>
      <c r="L19" s="90">
        <v>0</v>
      </c>
      <c r="M19" s="91">
        <f t="shared" si="7"/>
        <v>0</v>
      </c>
      <c r="N19" s="92">
        <f t="shared" si="11"/>
        <v>0</v>
      </c>
      <c r="O19" s="92">
        <f t="shared" si="1"/>
        <v>0</v>
      </c>
      <c r="P19" s="92">
        <f t="shared" si="2"/>
        <v>0</v>
      </c>
      <c r="Q19" s="93">
        <v>1950</v>
      </c>
      <c r="R19" s="95">
        <f>Q19*D19</f>
        <v>0</v>
      </c>
      <c r="S19" s="93">
        <f t="shared" si="3"/>
        <v>0</v>
      </c>
      <c r="T19" s="94">
        <f t="shared" si="4"/>
        <v>0</v>
      </c>
      <c r="U19" s="93">
        <f t="shared" si="10"/>
        <v>0</v>
      </c>
      <c r="V19" s="94">
        <f t="shared" si="6"/>
        <v>0</v>
      </c>
    </row>
    <row r="20" spans="2:23" ht="15" thickBot="1" x14ac:dyDescent="0.35">
      <c r="C20" s="96" t="s">
        <v>119</v>
      </c>
      <c r="D20" s="97">
        <f>SUM(D7:D19)</f>
        <v>1428.0519999999999</v>
      </c>
      <c r="E20" s="98">
        <f t="shared" si="0"/>
        <v>2037.2262946037445</v>
      </c>
      <c r="F20" s="99">
        <f t="shared" ref="F20:K20" si="12">SUM(F7:F19)</f>
        <v>2909265.0844614664</v>
      </c>
      <c r="G20" s="99">
        <f t="shared" si="12"/>
        <v>296806.32767999993</v>
      </c>
      <c r="H20" s="99">
        <f t="shared" si="12"/>
        <v>78579.000000000029</v>
      </c>
      <c r="I20" s="99">
        <f t="shared" si="12"/>
        <v>154473.00000000003</v>
      </c>
      <c r="J20" s="99">
        <f t="shared" si="12"/>
        <v>123484.35</v>
      </c>
      <c r="K20" s="99">
        <f t="shared" si="12"/>
        <v>0</v>
      </c>
      <c r="L20" s="100">
        <v>0</v>
      </c>
      <c r="M20" s="101">
        <f>SUM(M7:M19)</f>
        <v>3439123.412141467</v>
      </c>
      <c r="N20" s="101">
        <f>IFERROR(M20/D20,0)</f>
        <v>2408.2620325740709</v>
      </c>
      <c r="O20" s="101">
        <f>SUM(O7:O19)</f>
        <v>3161166.0621414664</v>
      </c>
      <c r="P20" s="101">
        <f t="shared" si="2"/>
        <v>2213.6211161368542</v>
      </c>
      <c r="Q20" s="102">
        <f>R20/D20</f>
        <v>2361.1267656920058</v>
      </c>
      <c r="R20" s="103">
        <f t="shared" ref="R20:S20" si="13">SUM(R7:R19)</f>
        <v>3371811.8000000003</v>
      </c>
      <c r="S20" s="102">
        <f t="shared" si="13"/>
        <v>-67311.612141466481</v>
      </c>
      <c r="T20" s="104">
        <f>S20/R20</f>
        <v>-1.9963039497479212E-2</v>
      </c>
      <c r="U20" s="102">
        <f>SUM(U7:U19)</f>
        <v>210645.73785853366</v>
      </c>
      <c r="V20" s="104">
        <f t="shared" si="6"/>
        <v>6.2472566783986473E-2</v>
      </c>
    </row>
    <row r="21" spans="2:23" x14ac:dyDescent="0.3">
      <c r="I21" s="73"/>
      <c r="J21" s="73"/>
      <c r="N21" s="67"/>
      <c r="O21" s="67"/>
    </row>
    <row r="22" spans="2:23" x14ac:dyDescent="0.3">
      <c r="C22" s="105" t="s">
        <v>120</v>
      </c>
      <c r="L22" s="51"/>
      <c r="M22" s="67"/>
      <c r="N22" s="106"/>
      <c r="O22" s="106"/>
      <c r="P22" s="106"/>
      <c r="Q22" s="106"/>
      <c r="R22" s="107">
        <f>7%/12</f>
        <v>5.8333333333333336E-3</v>
      </c>
      <c r="S22" s="106"/>
      <c r="T22" s="106"/>
      <c r="U22" s="106"/>
      <c r="V22" s="106"/>
      <c r="W22" s="67"/>
    </row>
    <row r="23" spans="2:23" ht="15" thickBot="1" x14ac:dyDescent="0.35">
      <c r="C23" s="105"/>
      <c r="L23" s="51"/>
      <c r="M23" s="67"/>
      <c r="N23" s="106"/>
      <c r="O23" s="106"/>
      <c r="P23" s="106"/>
      <c r="Q23" s="106"/>
      <c r="R23" s="107">
        <f>R22*M31</f>
        <v>21753.619820602624</v>
      </c>
      <c r="S23" s="106">
        <f>R23*7</f>
        <v>152275.33874421837</v>
      </c>
      <c r="T23" s="106">
        <f>S23/D31</f>
        <v>108.52778757338635</v>
      </c>
      <c r="U23" s="106"/>
      <c r="V23" s="106"/>
      <c r="W23" s="67"/>
    </row>
    <row r="24" spans="2:23" ht="29.4" thickBot="1" x14ac:dyDescent="0.35">
      <c r="C24" s="8" t="s">
        <v>106</v>
      </c>
      <c r="D24" s="108" t="s">
        <v>107</v>
      </c>
      <c r="E24" s="109" t="s">
        <v>108</v>
      </c>
      <c r="F24" s="8" t="s">
        <v>66</v>
      </c>
      <c r="G24" s="8" t="s">
        <v>67</v>
      </c>
      <c r="H24" s="8" t="s">
        <v>68</v>
      </c>
      <c r="I24" s="8" t="s">
        <v>69</v>
      </c>
      <c r="J24" s="8" t="s">
        <v>70</v>
      </c>
      <c r="K24" s="8" t="s">
        <v>71</v>
      </c>
      <c r="L24" s="110" t="s">
        <v>72</v>
      </c>
      <c r="M24" s="111" t="s">
        <v>109</v>
      </c>
      <c r="N24" s="111" t="s">
        <v>110</v>
      </c>
      <c r="O24" s="111" t="s">
        <v>111</v>
      </c>
      <c r="P24" s="111" t="s">
        <v>112</v>
      </c>
      <c r="Q24" s="85" t="s">
        <v>113</v>
      </c>
      <c r="R24" s="85" t="s">
        <v>114</v>
      </c>
      <c r="S24" s="85" t="s">
        <v>115</v>
      </c>
      <c r="T24" s="85" t="s">
        <v>116</v>
      </c>
      <c r="U24" s="85" t="s">
        <v>117</v>
      </c>
      <c r="V24" s="85" t="s">
        <v>118</v>
      </c>
      <c r="W24" s="67"/>
    </row>
    <row r="25" spans="2:23" x14ac:dyDescent="0.3">
      <c r="C25" s="69" t="s">
        <v>91</v>
      </c>
      <c r="D25" s="87">
        <v>567</v>
      </c>
      <c r="E25" s="88">
        <f>E7</f>
        <v>1831.1059999999998</v>
      </c>
      <c r="F25" s="67">
        <f t="shared" ref="F25:F30" si="14">E25*D25</f>
        <v>1038237.1019999998</v>
      </c>
      <c r="G25" s="67">
        <f t="shared" ref="G25:G30" si="15">D25*207.84</f>
        <v>117845.28</v>
      </c>
      <c r="H25" s="67">
        <f t="shared" ref="H25:J30" si="16">H$20/$D$20*$D25</f>
        <v>31199.349183363083</v>
      </c>
      <c r="I25" s="67">
        <f t="shared" si="16"/>
        <v>61332.634245811794</v>
      </c>
      <c r="J25" s="67">
        <f t="shared" si="16"/>
        <v>49028.76537409002</v>
      </c>
      <c r="K25" s="89">
        <v>0</v>
      </c>
      <c r="L25" s="90">
        <v>0</v>
      </c>
      <c r="M25" s="91">
        <f t="shared" ref="M25:M30" si="17">F25+G25+H25+I25</f>
        <v>1248614.3654291746</v>
      </c>
      <c r="N25" s="92">
        <f t="shared" ref="N25:N30" si="18">IFERROR(M25/D25,0)</f>
        <v>2202.1417379703257</v>
      </c>
      <c r="O25" s="92">
        <f t="shared" ref="O25:O30" si="19">F25+G25+H25-J25</f>
        <v>1138252.9658092728</v>
      </c>
      <c r="P25" s="92">
        <f t="shared" ref="P25:P30" si="20">IFERROR(O25/D25,0)</f>
        <v>2007.500821533109</v>
      </c>
      <c r="Q25" s="93">
        <v>1500</v>
      </c>
      <c r="R25" s="93">
        <f t="shared" ref="R25:R30" si="21">Q25*D25</f>
        <v>850500</v>
      </c>
      <c r="S25" s="93">
        <f t="shared" ref="S25:S30" si="22">R25-M25</f>
        <v>-398114.36542917462</v>
      </c>
      <c r="T25" s="94">
        <f t="shared" ref="T25:T30" si="23">IFERROR(S25/R25,0)</f>
        <v>-0.46809449198021708</v>
      </c>
      <c r="U25" s="93">
        <f t="shared" ref="U25:U30" si="24">R25-(M25-J25-I25)</f>
        <v>-287752.96580927284</v>
      </c>
      <c r="V25" s="94">
        <f t="shared" ref="V25:V27" si="25">IFERROR(U25/R25,0)</f>
        <v>-0.33833388102207268</v>
      </c>
      <c r="W25" s="67"/>
    </row>
    <row r="26" spans="2:23" x14ac:dyDescent="0.3">
      <c r="C26" s="69" t="s">
        <v>93</v>
      </c>
      <c r="D26" s="87">
        <v>54</v>
      </c>
      <c r="E26" s="88">
        <f>E9</f>
        <v>1652.0360000000003</v>
      </c>
      <c r="F26" s="67">
        <f t="shared" si="14"/>
        <v>89209.944000000018</v>
      </c>
      <c r="G26" s="67">
        <f t="shared" si="15"/>
        <v>11223.36</v>
      </c>
      <c r="H26" s="67">
        <f t="shared" si="16"/>
        <v>2971.3665888917221</v>
      </c>
      <c r="I26" s="67">
        <f t="shared" si="16"/>
        <v>5841.2032615058852</v>
      </c>
      <c r="J26" s="67">
        <f t="shared" si="16"/>
        <v>4669.4062261038116</v>
      </c>
      <c r="K26" s="89">
        <v>0</v>
      </c>
      <c r="L26" s="90">
        <v>0</v>
      </c>
      <c r="M26" s="91">
        <f t="shared" si="17"/>
        <v>109245.87385039762</v>
      </c>
      <c r="N26" s="92">
        <f t="shared" si="18"/>
        <v>2023.0717379703262</v>
      </c>
      <c r="O26" s="92">
        <f t="shared" si="19"/>
        <v>98735.26436278793</v>
      </c>
      <c r="P26" s="92">
        <f t="shared" si="20"/>
        <v>1828.4308215331098</v>
      </c>
      <c r="Q26" s="93">
        <v>1700</v>
      </c>
      <c r="R26" s="93">
        <f t="shared" si="21"/>
        <v>91800</v>
      </c>
      <c r="S26" s="93">
        <f>R26-M26</f>
        <v>-17445.87385039762</v>
      </c>
      <c r="T26" s="94">
        <f t="shared" si="23"/>
        <v>-0.19004219880607429</v>
      </c>
      <c r="U26" s="93">
        <f t="shared" si="24"/>
        <v>-6935.2643627879297</v>
      </c>
      <c r="V26" s="94"/>
      <c r="W26" s="67"/>
    </row>
    <row r="27" spans="2:23" x14ac:dyDescent="0.3">
      <c r="C27" s="69" t="s">
        <v>95</v>
      </c>
      <c r="D27" s="87">
        <v>108</v>
      </c>
      <c r="E27" s="88">
        <f>E11</f>
        <v>1783.9849999999997</v>
      </c>
      <c r="F27" s="67">
        <f t="shared" si="14"/>
        <v>192670.37999999998</v>
      </c>
      <c r="G27" s="67">
        <f t="shared" si="15"/>
        <v>22446.720000000001</v>
      </c>
      <c r="H27" s="67">
        <f t="shared" si="16"/>
        <v>5942.7331777834443</v>
      </c>
      <c r="I27" s="67">
        <f t="shared" si="16"/>
        <v>11682.40652301177</v>
      </c>
      <c r="J27" s="67">
        <f t="shared" si="16"/>
        <v>9338.8124522076232</v>
      </c>
      <c r="K27" s="89">
        <v>0</v>
      </c>
      <c r="L27" s="90">
        <v>0</v>
      </c>
      <c r="M27" s="91">
        <f t="shared" si="17"/>
        <v>232742.23970079518</v>
      </c>
      <c r="N27" s="92">
        <f t="shared" si="18"/>
        <v>2155.0207379703256</v>
      </c>
      <c r="O27" s="92">
        <f t="shared" si="19"/>
        <v>211721.0207255758</v>
      </c>
      <c r="P27" s="92">
        <f t="shared" si="20"/>
        <v>1960.3798215331092</v>
      </c>
      <c r="Q27" s="93">
        <v>2275</v>
      </c>
      <c r="R27" s="93">
        <f t="shared" si="21"/>
        <v>245700</v>
      </c>
      <c r="S27" s="93">
        <f t="shared" si="22"/>
        <v>12957.76029920482</v>
      </c>
      <c r="T27" s="94">
        <f t="shared" si="23"/>
        <v>5.2738137155900769E-2</v>
      </c>
      <c r="U27" s="93">
        <f t="shared" si="24"/>
        <v>33978.9792744242</v>
      </c>
      <c r="V27" s="94">
        <f t="shared" si="25"/>
        <v>0.13829458394149044</v>
      </c>
      <c r="W27" s="67"/>
    </row>
    <row r="28" spans="2:23" x14ac:dyDescent="0.3">
      <c r="C28" s="69" t="s">
        <v>97</v>
      </c>
      <c r="D28" s="87">
        <v>594</v>
      </c>
      <c r="E28" s="88">
        <f t="shared" ref="E28:E29" si="26">E14</f>
        <v>2846.9569999999999</v>
      </c>
      <c r="F28" s="67">
        <f t="shared" si="14"/>
        <v>1691092.4579999999</v>
      </c>
      <c r="G28" s="67">
        <f t="shared" si="15"/>
        <v>123456.96000000001</v>
      </c>
      <c r="H28" s="67">
        <f t="shared" si="16"/>
        <v>32685.032477808945</v>
      </c>
      <c r="I28" s="67">
        <f t="shared" si="16"/>
        <v>64253.235876564737</v>
      </c>
      <c r="J28" s="67">
        <f t="shared" si="16"/>
        <v>51363.46848714193</v>
      </c>
      <c r="K28" s="89">
        <v>0</v>
      </c>
      <c r="L28" s="90">
        <v>0</v>
      </c>
      <c r="M28" s="91">
        <f t="shared" si="17"/>
        <v>1911487.6863543733</v>
      </c>
      <c r="N28" s="92">
        <f t="shared" si="18"/>
        <v>3217.9927379703254</v>
      </c>
      <c r="O28" s="92">
        <f t="shared" si="19"/>
        <v>1795870.9819906668</v>
      </c>
      <c r="P28" s="92">
        <f t="shared" si="20"/>
        <v>3023.3518215331092</v>
      </c>
      <c r="Q28" s="93">
        <v>3400</v>
      </c>
      <c r="R28" s="93">
        <f t="shared" si="21"/>
        <v>2019600</v>
      </c>
      <c r="S28" s="93">
        <f t="shared" si="22"/>
        <v>108112.31364562665</v>
      </c>
      <c r="T28" s="94">
        <f t="shared" si="23"/>
        <v>5.3531547655786618E-2</v>
      </c>
      <c r="U28" s="93">
        <f t="shared" si="24"/>
        <v>223729.01800933317</v>
      </c>
      <c r="V28" s="94">
        <f>IFERROR(U28/R28,0)</f>
        <v>0.11077887601967379</v>
      </c>
      <c r="W28" s="67"/>
    </row>
    <row r="29" spans="2:23" x14ac:dyDescent="0.3">
      <c r="C29" s="69" t="s">
        <v>98</v>
      </c>
      <c r="D29" s="87">
        <v>53.1</v>
      </c>
      <c r="E29" s="88">
        <f t="shared" si="26"/>
        <v>2574.8229999999999</v>
      </c>
      <c r="F29" s="67">
        <f t="shared" si="14"/>
        <v>136723.10130000001</v>
      </c>
      <c r="G29" s="67">
        <f t="shared" si="15"/>
        <v>11036.304</v>
      </c>
      <c r="H29" s="67">
        <f t="shared" si="16"/>
        <v>2921.8438124101936</v>
      </c>
      <c r="I29" s="67">
        <f t="shared" si="16"/>
        <v>5743.8498738141207</v>
      </c>
      <c r="J29" s="67">
        <f t="shared" si="16"/>
        <v>4591.5827890020819</v>
      </c>
      <c r="K29" s="89">
        <v>0</v>
      </c>
      <c r="L29" s="90">
        <v>0</v>
      </c>
      <c r="M29" s="91">
        <f t="shared" si="17"/>
        <v>156425.09898622433</v>
      </c>
      <c r="N29" s="92">
        <f t="shared" si="18"/>
        <v>2945.8587379703263</v>
      </c>
      <c r="O29" s="92">
        <f t="shared" si="19"/>
        <v>146089.66632340814</v>
      </c>
      <c r="P29" s="92">
        <f t="shared" si="20"/>
        <v>2751.2178215331096</v>
      </c>
      <c r="Q29" s="93">
        <v>3400</v>
      </c>
      <c r="R29" s="95">
        <f t="shared" si="21"/>
        <v>180540</v>
      </c>
      <c r="S29" s="95">
        <f t="shared" si="22"/>
        <v>24114.90101377567</v>
      </c>
      <c r="T29" s="94">
        <f t="shared" si="23"/>
        <v>0.13357095942049224</v>
      </c>
      <c r="U29" s="95">
        <f t="shared" si="24"/>
        <v>34450.333676591865</v>
      </c>
      <c r="V29" s="94"/>
      <c r="W29" s="67"/>
    </row>
    <row r="30" spans="2:23" ht="15" thickBot="1" x14ac:dyDescent="0.35">
      <c r="C30" s="69" t="s">
        <v>94</v>
      </c>
      <c r="D30" s="87">
        <v>27</v>
      </c>
      <c r="E30" s="88">
        <f>E10</f>
        <v>2246.62</v>
      </c>
      <c r="F30" s="67">
        <f t="shared" si="14"/>
        <v>60658.74</v>
      </c>
      <c r="G30" s="67">
        <f t="shared" si="15"/>
        <v>5611.68</v>
      </c>
      <c r="H30" s="67">
        <f t="shared" si="16"/>
        <v>1485.6832944458611</v>
      </c>
      <c r="I30" s="67">
        <f t="shared" si="16"/>
        <v>2920.6016307529426</v>
      </c>
      <c r="J30" s="67">
        <f t="shared" si="16"/>
        <v>2334.7031130519058</v>
      </c>
      <c r="K30" s="89">
        <v>0</v>
      </c>
      <c r="L30" s="90">
        <v>0</v>
      </c>
      <c r="M30" s="91">
        <f t="shared" si="17"/>
        <v>70676.704925198806</v>
      </c>
      <c r="N30" s="92">
        <f t="shared" si="18"/>
        <v>2617.6557379703263</v>
      </c>
      <c r="O30" s="92">
        <f t="shared" si="19"/>
        <v>65421.400181393954</v>
      </c>
      <c r="P30" s="92">
        <f t="shared" si="20"/>
        <v>2423.0148215331096</v>
      </c>
      <c r="Q30" s="93">
        <v>1800</v>
      </c>
      <c r="R30" s="95">
        <f t="shared" si="21"/>
        <v>48600</v>
      </c>
      <c r="S30" s="95">
        <f t="shared" si="22"/>
        <v>-22076.704925198806</v>
      </c>
      <c r="T30" s="94">
        <f t="shared" si="23"/>
        <v>-0.45425318776129231</v>
      </c>
      <c r="U30" s="95">
        <f t="shared" si="24"/>
        <v>-16821.400181393961</v>
      </c>
      <c r="V30" s="94"/>
      <c r="W30" s="67"/>
    </row>
    <row r="31" spans="2:23" ht="15" thickBot="1" x14ac:dyDescent="0.35">
      <c r="C31" s="112" t="s">
        <v>119</v>
      </c>
      <c r="D31" s="97">
        <f>SUM(D25:D30)</f>
        <v>1403.1</v>
      </c>
      <c r="E31" s="98">
        <f>F31/D31</f>
        <v>2286.7876311738296</v>
      </c>
      <c r="F31" s="99">
        <f t="shared" ref="F31:K31" si="27">SUM(F25:F30)</f>
        <v>3208591.7253</v>
      </c>
      <c r="G31" s="99">
        <f t="shared" si="27"/>
        <v>291620.304</v>
      </c>
      <c r="H31" s="99">
        <f t="shared" si="27"/>
        <v>77206.008534703244</v>
      </c>
      <c r="I31" s="99">
        <f t="shared" si="27"/>
        <v>151773.93141146126</v>
      </c>
      <c r="J31" s="99">
        <f t="shared" si="27"/>
        <v>121326.73844159738</v>
      </c>
      <c r="K31" s="99">
        <f t="shared" si="27"/>
        <v>0</v>
      </c>
      <c r="L31" s="100">
        <v>0</v>
      </c>
      <c r="M31" s="101">
        <f>SUM(M25:M30)</f>
        <v>3729191.969246164</v>
      </c>
      <c r="N31" s="101">
        <f>IFERROR(M31/D31,0)</f>
        <v>2657.8233691441551</v>
      </c>
      <c r="O31" s="101">
        <f>SUM(O25:O30)</f>
        <v>3456091.2993931053</v>
      </c>
      <c r="P31" s="101">
        <f>IFERROR(O31/D31,0)</f>
        <v>2463.1824527069384</v>
      </c>
      <c r="Q31" s="102">
        <f>R31/D31</f>
        <v>2449.3906350224506</v>
      </c>
      <c r="R31" s="103">
        <f>SUM(R25:R30)</f>
        <v>3436740</v>
      </c>
      <c r="S31" s="103">
        <f>SUM(S25:S30)</f>
        <v>-292451.96924616391</v>
      </c>
      <c r="T31" s="104">
        <f>S31/R31</f>
        <v>-8.5095750404791726E-2</v>
      </c>
      <c r="U31" s="103">
        <f>SUM(U25:U30)</f>
        <v>-19351.299393105503</v>
      </c>
      <c r="V31" s="104">
        <f>IFERROR(U31/R31,0)</f>
        <v>-5.6307138139939312E-3</v>
      </c>
      <c r="W31" s="67"/>
    </row>
    <row r="32" spans="2:23" ht="15" thickBot="1" x14ac:dyDescent="0.35">
      <c r="G32" s="67"/>
      <c r="J32" s="73"/>
      <c r="L32" s="51"/>
      <c r="N32" s="106"/>
      <c r="O32" s="106"/>
      <c r="P32" s="106"/>
      <c r="Q32" s="106"/>
      <c r="R32" s="106"/>
      <c r="S32" s="106"/>
      <c r="T32" s="106"/>
      <c r="U32" s="106"/>
      <c r="V32" s="106"/>
      <c r="W32" s="67"/>
    </row>
    <row r="33" spans="3:23" ht="15" thickBot="1" x14ac:dyDescent="0.35">
      <c r="C33" s="112" t="s">
        <v>119</v>
      </c>
      <c r="D33" s="97">
        <f>D20+D31</f>
        <v>2831.152</v>
      </c>
      <c r="E33" s="98">
        <f>F33/D33</f>
        <v>2160.9072242541079</v>
      </c>
      <c r="F33" s="99">
        <f t="shared" ref="F33:M33" si="28">F20+F31</f>
        <v>6117856.8097614665</v>
      </c>
      <c r="G33" s="99">
        <f t="shared" si="28"/>
        <v>588426.63167999987</v>
      </c>
      <c r="H33" s="99">
        <f t="shared" si="28"/>
        <v>155785.00853470329</v>
      </c>
      <c r="I33" s="99">
        <f t="shared" si="28"/>
        <v>306246.93141146132</v>
      </c>
      <c r="J33" s="99">
        <f t="shared" si="28"/>
        <v>244811.08844159739</v>
      </c>
      <c r="K33" s="99">
        <f t="shared" si="28"/>
        <v>0</v>
      </c>
      <c r="L33" s="100">
        <f t="shared" si="28"/>
        <v>0</v>
      </c>
      <c r="M33" s="101">
        <f t="shared" si="28"/>
        <v>7168315.3813876305</v>
      </c>
      <c r="N33" s="101">
        <f>IFERROR(M33/D33,0)</f>
        <v>2531.9429622244338</v>
      </c>
      <c r="O33" s="101">
        <f>O20+O31</f>
        <v>6617257.3615345713</v>
      </c>
      <c r="P33" s="101">
        <f>IFERROR(O33/D33,0)</f>
        <v>2337.3020457872171</v>
      </c>
      <c r="Q33" s="102">
        <f>R33/D33</f>
        <v>2404.8697491339217</v>
      </c>
      <c r="R33" s="103">
        <f>R20+R31</f>
        <v>6808551.8000000007</v>
      </c>
      <c r="S33" s="103">
        <f>S20+S31</f>
        <v>-359763.58138763037</v>
      </c>
      <c r="T33" s="104">
        <f>S33/R33</f>
        <v>-5.2839956565745791E-2</v>
      </c>
      <c r="U33" s="103">
        <f>U20+U31</f>
        <v>191294.43846542816</v>
      </c>
      <c r="V33" s="104">
        <f>IFERROR(U33/R33,0)</f>
        <v>2.8096200790515852E-2</v>
      </c>
    </row>
    <row r="34" spans="3:23" x14ac:dyDescent="0.3">
      <c r="L34" s="51"/>
      <c r="N34" s="67"/>
      <c r="O34" s="106"/>
      <c r="P34" s="106"/>
      <c r="Q34" s="106"/>
      <c r="R34" s="106"/>
      <c r="S34" s="106"/>
      <c r="T34" s="106"/>
      <c r="U34" s="106"/>
      <c r="V34" s="106"/>
      <c r="W34" s="67"/>
    </row>
    <row r="35" spans="3:23" x14ac:dyDescent="0.3">
      <c r="L35" s="51"/>
      <c r="N35" s="67"/>
      <c r="O35" s="106"/>
      <c r="P35" s="106"/>
      <c r="Q35" s="106"/>
      <c r="R35" s="106"/>
      <c r="S35" s="106"/>
      <c r="T35" s="106"/>
      <c r="U35" s="106"/>
      <c r="V35" s="106"/>
      <c r="W35" s="67"/>
    </row>
    <row r="36" spans="3:23" x14ac:dyDescent="0.3">
      <c r="C36" s="113" t="s">
        <v>121</v>
      </c>
      <c r="L36" s="51"/>
      <c r="N36" s="67"/>
      <c r="O36" s="106"/>
      <c r="P36" s="106"/>
      <c r="Q36" s="106"/>
      <c r="R36" s="106"/>
      <c r="S36" s="106"/>
      <c r="T36" s="106"/>
      <c r="U36" s="106"/>
      <c r="V36" s="106"/>
      <c r="W36" s="67"/>
    </row>
    <row r="37" spans="3:23" ht="15" thickBot="1" x14ac:dyDescent="0.35">
      <c r="L37" s="51"/>
      <c r="N37" s="67"/>
      <c r="O37" s="106"/>
      <c r="P37" s="106"/>
      <c r="Q37" s="106"/>
      <c r="R37" s="106"/>
      <c r="S37" s="106"/>
      <c r="T37" s="106"/>
      <c r="U37" s="106"/>
      <c r="V37" s="106"/>
      <c r="W37" s="67"/>
    </row>
    <row r="38" spans="3:23" ht="29.4" thickBot="1" x14ac:dyDescent="0.35">
      <c r="C38" s="8" t="s">
        <v>106</v>
      </c>
      <c r="D38" s="79" t="s">
        <v>107</v>
      </c>
      <c r="E38" s="80" t="s">
        <v>108</v>
      </c>
      <c r="F38" s="81" t="s">
        <v>66</v>
      </c>
      <c r="G38" s="82" t="s">
        <v>67</v>
      </c>
      <c r="H38" s="82" t="s">
        <v>68</v>
      </c>
      <c r="I38" s="82" t="s">
        <v>69</v>
      </c>
      <c r="J38" s="82" t="s">
        <v>70</v>
      </c>
      <c r="K38" s="82" t="s">
        <v>71</v>
      </c>
      <c r="L38" s="83" t="s">
        <v>72</v>
      </c>
      <c r="M38" s="84" t="s">
        <v>109</v>
      </c>
      <c r="N38" s="114" t="s">
        <v>110</v>
      </c>
      <c r="O38" s="115" t="s">
        <v>122</v>
      </c>
      <c r="P38" s="116" t="s">
        <v>123</v>
      </c>
      <c r="Q38" s="116" t="s">
        <v>71</v>
      </c>
      <c r="R38" s="116" t="s">
        <v>72</v>
      </c>
      <c r="S38" s="106" t="s">
        <v>124</v>
      </c>
      <c r="T38" s="106" t="s">
        <v>125</v>
      </c>
      <c r="U38" s="106" t="s">
        <v>126</v>
      </c>
      <c r="V38" s="106" t="s">
        <v>127</v>
      </c>
      <c r="W38" s="117" t="s">
        <v>128</v>
      </c>
    </row>
    <row r="39" spans="3:23" x14ac:dyDescent="0.3">
      <c r="C39" s="68" t="s">
        <v>91</v>
      </c>
      <c r="D39" s="87">
        <f>D7+D25</f>
        <v>633.98</v>
      </c>
      <c r="E39" s="88">
        <f>IFERROR(F39/D39,0)</f>
        <v>1831.1059999999998</v>
      </c>
      <c r="F39" s="54">
        <f>F7+F25</f>
        <v>1160884.58188</v>
      </c>
      <c r="G39" s="54">
        <f t="shared" ref="G39:J39" si="29">G7+G25</f>
        <v>131766.4032</v>
      </c>
      <c r="H39" s="54">
        <f t="shared" si="29"/>
        <v>34884.944259732853</v>
      </c>
      <c r="I39" s="54">
        <f t="shared" si="29"/>
        <v>68577.88969869446</v>
      </c>
      <c r="J39" s="54">
        <f t="shared" si="29"/>
        <v>54820.558504172121</v>
      </c>
      <c r="K39" s="89">
        <v>0</v>
      </c>
      <c r="L39" s="90">
        <v>0</v>
      </c>
      <c r="M39" s="91">
        <f t="shared" ref="M39:M49" si="30">F39+G39+H39+I39</f>
        <v>1396113.8190384274</v>
      </c>
      <c r="N39" s="118">
        <f t="shared" ref="N39:N50" si="31">IFERROR(M39/D39,0)</f>
        <v>2202.1417379703262</v>
      </c>
      <c r="O39" s="119">
        <v>1670</v>
      </c>
      <c r="P39" s="120">
        <f t="shared" ref="P39:P49" si="32">O39*D39</f>
        <v>1058746.6000000001</v>
      </c>
      <c r="Q39" s="120">
        <f t="shared" ref="Q39:Q49" si="33">P39-M39</f>
        <v>-337367.21903842734</v>
      </c>
      <c r="R39" s="121">
        <f t="shared" ref="R39:R50" si="34">Q39/P39</f>
        <v>-0.31864774728762041</v>
      </c>
      <c r="S39" s="106">
        <f>Q25</f>
        <v>1500</v>
      </c>
      <c r="T39" s="106">
        <f t="shared" ref="T39:T49" si="35">S39*D39</f>
        <v>950970</v>
      </c>
      <c r="U39" s="106">
        <f>T39-M39</f>
        <v>-445143.81903842743</v>
      </c>
      <c r="V39" s="106">
        <f>Q39-U39</f>
        <v>107776.60000000009</v>
      </c>
      <c r="W39" s="117">
        <f t="shared" ref="W39:W50" si="36">Q39+I39+J39</f>
        <v>-213968.77083556075</v>
      </c>
    </row>
    <row r="40" spans="3:23" x14ac:dyDescent="0.3">
      <c r="C40" s="69" t="s">
        <v>92</v>
      </c>
      <c r="D40" s="87">
        <f t="shared" ref="D40:J49" si="37">D8</f>
        <v>384.74</v>
      </c>
      <c r="E40" s="88">
        <f t="shared" ref="E40:E49" si="38">IFERROR(F40/D40,0)</f>
        <v>1793.3260000000002</v>
      </c>
      <c r="F40" s="54">
        <f t="shared" si="37"/>
        <v>689964.24524000008</v>
      </c>
      <c r="G40" s="54">
        <f t="shared" si="37"/>
        <v>79964.361600000004</v>
      </c>
      <c r="H40" s="54">
        <f t="shared" si="37"/>
        <v>21170.436692781499</v>
      </c>
      <c r="I40" s="54">
        <f t="shared" si="37"/>
        <v>41617.49153392174</v>
      </c>
      <c r="J40" s="54">
        <f t="shared" si="37"/>
        <v>33268.654656132967</v>
      </c>
      <c r="K40" s="89">
        <v>0</v>
      </c>
      <c r="L40" s="90">
        <v>0</v>
      </c>
      <c r="M40" s="91">
        <f t="shared" si="30"/>
        <v>832716.53506670333</v>
      </c>
      <c r="N40" s="118">
        <f t="shared" si="31"/>
        <v>2164.3617379703264</v>
      </c>
      <c r="O40" s="119">
        <v>1370</v>
      </c>
      <c r="P40" s="120">
        <f t="shared" si="32"/>
        <v>527093.80000000005</v>
      </c>
      <c r="Q40" s="120">
        <f t="shared" si="33"/>
        <v>-305622.73506670329</v>
      </c>
      <c r="R40" s="121">
        <f t="shared" si="34"/>
        <v>-0.57982608610972708</v>
      </c>
      <c r="S40" s="106">
        <f t="shared" ref="S40:S49" si="39">Q8</f>
        <v>1400</v>
      </c>
      <c r="T40" s="106">
        <f t="shared" si="35"/>
        <v>538636</v>
      </c>
      <c r="U40" s="106">
        <f t="shared" ref="U40:U49" si="40">T40-M40</f>
        <v>-294080.53506670333</v>
      </c>
      <c r="V40" s="106">
        <f t="shared" ref="V40:V49" si="41">Q40-U40</f>
        <v>-11542.199999999953</v>
      </c>
      <c r="W40" s="117">
        <f t="shared" si="36"/>
        <v>-230736.58887664857</v>
      </c>
    </row>
    <row r="41" spans="3:23" x14ac:dyDescent="0.3">
      <c r="C41" s="69" t="s">
        <v>93</v>
      </c>
      <c r="D41" s="87">
        <f>D9+D26</f>
        <v>71.86</v>
      </c>
      <c r="E41" s="88">
        <f t="shared" si="38"/>
        <v>1652.0360000000003</v>
      </c>
      <c r="F41" s="54">
        <f>F9+F26</f>
        <v>118715.30696000002</v>
      </c>
      <c r="G41" s="54">
        <f t="shared" ref="G41:J41" si="42">G9+G26</f>
        <v>14935.3824</v>
      </c>
      <c r="H41" s="54">
        <f t="shared" si="42"/>
        <v>3954.1185755140582</v>
      </c>
      <c r="I41" s="54">
        <f t="shared" si="42"/>
        <v>7773.1271550335714</v>
      </c>
      <c r="J41" s="54">
        <f t="shared" si="42"/>
        <v>6213.7691001448129</v>
      </c>
      <c r="K41" s="89">
        <v>0</v>
      </c>
      <c r="L41" s="90">
        <v>0</v>
      </c>
      <c r="M41" s="91">
        <f t="shared" si="30"/>
        <v>145377.93509054766</v>
      </c>
      <c r="N41" s="118">
        <f t="shared" si="31"/>
        <v>2023.0717379703265</v>
      </c>
      <c r="O41" s="119">
        <v>1900</v>
      </c>
      <c r="P41" s="120">
        <f t="shared" si="32"/>
        <v>136534</v>
      </c>
      <c r="Q41" s="120">
        <f t="shared" si="33"/>
        <v>-8843.9350905476604</v>
      </c>
      <c r="R41" s="121">
        <f t="shared" si="34"/>
        <v>-6.4774598931750776E-2</v>
      </c>
      <c r="S41" s="106">
        <f t="shared" si="39"/>
        <v>1950</v>
      </c>
      <c r="T41" s="106">
        <f t="shared" si="35"/>
        <v>140127</v>
      </c>
      <c r="U41" s="106">
        <f t="shared" si="40"/>
        <v>-5250.9350905476604</v>
      </c>
      <c r="V41" s="106">
        <f t="shared" si="41"/>
        <v>-3593</v>
      </c>
      <c r="W41" s="117">
        <f t="shared" si="36"/>
        <v>5142.9611646307239</v>
      </c>
    </row>
    <row r="42" spans="3:23" x14ac:dyDescent="0.3">
      <c r="C42" s="69" t="s">
        <v>94</v>
      </c>
      <c r="D42" s="87">
        <f>D10+D30</f>
        <v>165.71799999999999</v>
      </c>
      <c r="E42" s="88">
        <f t="shared" si="38"/>
        <v>2246.62</v>
      </c>
      <c r="F42" s="54">
        <f>F10+F30</f>
        <v>372305.37315999996</v>
      </c>
      <c r="G42" s="54">
        <f t="shared" ref="G42:J42" si="43">G10+G30</f>
        <v>34442.829120000002</v>
      </c>
      <c r="H42" s="54">
        <f t="shared" si="43"/>
        <v>9118.68385885108</v>
      </c>
      <c r="I42" s="54">
        <f t="shared" si="43"/>
        <v>17925.78744611541</v>
      </c>
      <c r="J42" s="54">
        <f t="shared" si="43"/>
        <v>14329.71594402725</v>
      </c>
      <c r="K42" s="89">
        <v>0</v>
      </c>
      <c r="L42" s="90">
        <v>0</v>
      </c>
      <c r="M42" s="91">
        <f t="shared" si="30"/>
        <v>433792.67358496645</v>
      </c>
      <c r="N42" s="118">
        <f t="shared" si="31"/>
        <v>2617.6557379703258</v>
      </c>
      <c r="O42" s="119">
        <v>1500</v>
      </c>
      <c r="P42" s="120">
        <f t="shared" si="32"/>
        <v>248576.99999999997</v>
      </c>
      <c r="Q42" s="122">
        <f t="shared" si="33"/>
        <v>-185215.67358496648</v>
      </c>
      <c r="R42" s="123">
        <f t="shared" si="34"/>
        <v>-0.74510382531355079</v>
      </c>
      <c r="S42" s="124">
        <f>Q10</f>
        <v>1700</v>
      </c>
      <c r="T42" s="124">
        <f t="shared" si="35"/>
        <v>281720.59999999998</v>
      </c>
      <c r="U42" s="124">
        <f t="shared" si="40"/>
        <v>-152072.07358496648</v>
      </c>
      <c r="V42" s="124">
        <f t="shared" si="41"/>
        <v>-33143.600000000006</v>
      </c>
      <c r="W42" s="117">
        <f t="shared" si="36"/>
        <v>-152960.17019482385</v>
      </c>
    </row>
    <row r="43" spans="3:23" x14ac:dyDescent="0.3">
      <c r="C43" s="139" t="s">
        <v>95</v>
      </c>
      <c r="D43" s="140">
        <f>D11+D27</f>
        <v>405.72</v>
      </c>
      <c r="E43" s="141">
        <f t="shared" si="38"/>
        <v>1783.9849999999999</v>
      </c>
      <c r="F43" s="142">
        <f>F11+F27</f>
        <v>723798.39419999998</v>
      </c>
      <c r="G43" s="142">
        <f t="shared" ref="G43:J43" si="44">G11+G27</f>
        <v>84324.844800000006</v>
      </c>
      <c r="H43" s="142">
        <f t="shared" si="44"/>
        <v>22324.867637873136</v>
      </c>
      <c r="I43" s="142">
        <f t="shared" si="44"/>
        <v>43886.907171447543</v>
      </c>
      <c r="J43" s="142">
        <f t="shared" si="44"/>
        <v>35082.80544545997</v>
      </c>
      <c r="K43" s="143">
        <v>0</v>
      </c>
      <c r="L43" s="144">
        <v>0</v>
      </c>
      <c r="M43" s="145">
        <f t="shared" si="30"/>
        <v>874335.01380932063</v>
      </c>
      <c r="N43" s="146">
        <f t="shared" si="31"/>
        <v>2155.0207379703256</v>
      </c>
      <c r="O43" s="134">
        <v>2580</v>
      </c>
      <c r="P43" s="147">
        <f t="shared" si="32"/>
        <v>1046757.6000000001</v>
      </c>
      <c r="Q43" s="148">
        <f t="shared" si="33"/>
        <v>172422.58619067946</v>
      </c>
      <c r="R43" s="149">
        <f t="shared" si="34"/>
        <v>0.16472064419754817</v>
      </c>
      <c r="S43" s="67">
        <f t="shared" si="39"/>
        <v>2700</v>
      </c>
      <c r="T43" s="54">
        <f t="shared" si="35"/>
        <v>1095444</v>
      </c>
      <c r="U43" s="67">
        <f t="shared" si="40"/>
        <v>221108.98619067937</v>
      </c>
      <c r="V43" s="67">
        <f t="shared" si="41"/>
        <v>-48686.399999999907</v>
      </c>
      <c r="W43" s="117">
        <f t="shared" si="36"/>
        <v>251392.29880758695</v>
      </c>
    </row>
    <row r="44" spans="3:23" x14ac:dyDescent="0.3">
      <c r="C44" s="139" t="s">
        <v>96</v>
      </c>
      <c r="D44" s="140">
        <f t="shared" si="37"/>
        <v>110.22</v>
      </c>
      <c r="E44" s="141">
        <f t="shared" si="38"/>
        <v>1712.173</v>
      </c>
      <c r="F44" s="142">
        <f t="shared" si="37"/>
        <v>188715.70806</v>
      </c>
      <c r="G44" s="142">
        <f t="shared" si="37"/>
        <v>22908.124800000001</v>
      </c>
      <c r="H44" s="142">
        <f t="shared" si="37"/>
        <v>6064.889359771214</v>
      </c>
      <c r="I44" s="142">
        <f t="shared" si="37"/>
        <v>11922.54487931812</v>
      </c>
      <c r="J44" s="142">
        <f t="shared" si="37"/>
        <v>9530.7769303918922</v>
      </c>
      <c r="K44" s="143">
        <v>0</v>
      </c>
      <c r="L44" s="144">
        <v>0</v>
      </c>
      <c r="M44" s="145">
        <f t="shared" si="30"/>
        <v>229611.26709908934</v>
      </c>
      <c r="N44" s="146">
        <f t="shared" si="31"/>
        <v>2083.2087379703262</v>
      </c>
      <c r="O44" s="134">
        <v>2580</v>
      </c>
      <c r="P44" s="147">
        <f t="shared" si="32"/>
        <v>284367.59999999998</v>
      </c>
      <c r="Q44" s="148">
        <f t="shared" si="33"/>
        <v>54756.332900910638</v>
      </c>
      <c r="R44" s="149">
        <f t="shared" si="34"/>
        <v>0.19255475272467976</v>
      </c>
      <c r="S44" s="67">
        <f t="shared" si="39"/>
        <v>2800</v>
      </c>
      <c r="T44" s="54">
        <f t="shared" si="35"/>
        <v>308616</v>
      </c>
      <c r="U44" s="67">
        <f t="shared" si="40"/>
        <v>79004.732900910662</v>
      </c>
      <c r="V44" s="67">
        <f t="shared" si="41"/>
        <v>-24248.400000000023</v>
      </c>
      <c r="W44" s="117">
        <f t="shared" si="36"/>
        <v>76209.654710620656</v>
      </c>
    </row>
    <row r="45" spans="3:23" x14ac:dyDescent="0.3">
      <c r="C45" s="69" t="s">
        <v>13</v>
      </c>
      <c r="D45" s="87">
        <f>D13</f>
        <v>0</v>
      </c>
      <c r="E45" s="88">
        <f t="shared" si="38"/>
        <v>0</v>
      </c>
      <c r="F45" s="54">
        <f t="shared" si="37"/>
        <v>0</v>
      </c>
      <c r="G45" s="54">
        <f t="shared" si="37"/>
        <v>0</v>
      </c>
      <c r="H45" s="54">
        <f t="shared" si="37"/>
        <v>0</v>
      </c>
      <c r="I45" s="54">
        <f t="shared" si="37"/>
        <v>0</v>
      </c>
      <c r="J45" s="54">
        <f t="shared" si="37"/>
        <v>0</v>
      </c>
      <c r="K45" s="89">
        <v>0</v>
      </c>
      <c r="L45" s="90">
        <v>0</v>
      </c>
      <c r="M45" s="91">
        <f t="shared" si="30"/>
        <v>0</v>
      </c>
      <c r="N45" s="118">
        <f t="shared" si="31"/>
        <v>0</v>
      </c>
      <c r="O45" s="119">
        <v>1750</v>
      </c>
      <c r="P45" s="120">
        <f t="shared" si="32"/>
        <v>0</v>
      </c>
      <c r="Q45" s="125">
        <f t="shared" si="33"/>
        <v>0</v>
      </c>
      <c r="R45" s="121" t="e">
        <f t="shared" si="34"/>
        <v>#DIV/0!</v>
      </c>
      <c r="S45" s="67">
        <f t="shared" si="39"/>
        <v>1700</v>
      </c>
      <c r="T45" s="54">
        <f t="shared" si="35"/>
        <v>0</v>
      </c>
      <c r="U45" s="67">
        <f t="shared" si="40"/>
        <v>0</v>
      </c>
      <c r="V45" s="67">
        <f t="shared" si="41"/>
        <v>0</v>
      </c>
      <c r="W45" s="117">
        <f t="shared" si="36"/>
        <v>0</v>
      </c>
    </row>
    <row r="46" spans="3:23" x14ac:dyDescent="0.3">
      <c r="C46" s="139" t="s">
        <v>97</v>
      </c>
      <c r="D46" s="140">
        <f>D14+D28+D18</f>
        <v>613.96</v>
      </c>
      <c r="E46" s="141">
        <f t="shared" si="38"/>
        <v>2841.199032901166</v>
      </c>
      <c r="F46" s="142">
        <f t="shared" ref="F46:J47" si="45">F14+F28+F18</f>
        <v>1744382.5582399999</v>
      </c>
      <c r="G46" s="142">
        <f t="shared" si="45"/>
        <v>127605.44640000002</v>
      </c>
      <c r="H46" s="142">
        <f t="shared" si="45"/>
        <v>33783.337609554845</v>
      </c>
      <c r="I46" s="142">
        <f t="shared" si="45"/>
        <v>66412.317674706544</v>
      </c>
      <c r="J46" s="142">
        <f t="shared" si="45"/>
        <v>53089.419381086962</v>
      </c>
      <c r="K46" s="143">
        <v>0</v>
      </c>
      <c r="L46" s="144">
        <v>0</v>
      </c>
      <c r="M46" s="145">
        <f t="shared" si="30"/>
        <v>1972183.6599242613</v>
      </c>
      <c r="N46" s="146">
        <f t="shared" si="31"/>
        <v>3212.2347708714919</v>
      </c>
      <c r="O46" s="134">
        <v>3300</v>
      </c>
      <c r="P46" s="147">
        <f t="shared" si="32"/>
        <v>2026068.0000000002</v>
      </c>
      <c r="Q46" s="150">
        <f t="shared" si="33"/>
        <v>53884.340075738961</v>
      </c>
      <c r="R46" s="149">
        <f t="shared" si="34"/>
        <v>2.6595523978335849E-2</v>
      </c>
      <c r="S46" s="127">
        <f t="shared" si="39"/>
        <v>3500</v>
      </c>
      <c r="T46" s="54">
        <f t="shared" si="35"/>
        <v>2148860</v>
      </c>
      <c r="U46" s="127">
        <f t="shared" si="40"/>
        <v>176676.34007573873</v>
      </c>
      <c r="V46" s="127">
        <f t="shared" si="41"/>
        <v>-122791.99999999977</v>
      </c>
      <c r="W46" s="117">
        <f t="shared" si="36"/>
        <v>173386.07713153248</v>
      </c>
    </row>
    <row r="47" spans="3:23" x14ac:dyDescent="0.3">
      <c r="C47" s="139" t="s">
        <v>98</v>
      </c>
      <c r="D47" s="140">
        <f>D15+D29+D19</f>
        <v>382.55799999999999</v>
      </c>
      <c r="E47" s="141">
        <f>IFERROR(F47/D47,0)</f>
        <v>2574.8229999999994</v>
      </c>
      <c r="F47" s="142">
        <f>F15+F29+F19</f>
        <v>985019.13723399979</v>
      </c>
      <c r="G47" s="142">
        <f t="shared" si="45"/>
        <v>79510.854720000003</v>
      </c>
      <c r="H47" s="142">
        <f t="shared" si="45"/>
        <v>21050.371472467392</v>
      </c>
      <c r="I47" s="142">
        <f t="shared" si="45"/>
        <v>41381.463653984589</v>
      </c>
      <c r="J47" s="142">
        <f t="shared" si="45"/>
        <v>33079.976056404113</v>
      </c>
      <c r="K47" s="143">
        <v>0</v>
      </c>
      <c r="L47" s="144">
        <v>0</v>
      </c>
      <c r="M47" s="145">
        <f t="shared" si="30"/>
        <v>1126961.8270804517</v>
      </c>
      <c r="N47" s="146">
        <f t="shared" si="31"/>
        <v>2945.8587379703254</v>
      </c>
      <c r="O47" s="134">
        <v>3300</v>
      </c>
      <c r="P47" s="147">
        <f t="shared" si="32"/>
        <v>1262441.3999999999</v>
      </c>
      <c r="Q47" s="148">
        <f t="shared" si="33"/>
        <v>135479.57291954826</v>
      </c>
      <c r="R47" s="149">
        <f t="shared" si="34"/>
        <v>0.10731553394838625</v>
      </c>
      <c r="S47" s="67">
        <f t="shared" si="39"/>
        <v>3500</v>
      </c>
      <c r="T47" s="54">
        <f t="shared" si="35"/>
        <v>1338953</v>
      </c>
      <c r="U47" s="67">
        <f t="shared" si="40"/>
        <v>211991.17291954835</v>
      </c>
      <c r="V47" s="67">
        <f t="shared" si="41"/>
        <v>-76511.600000000093</v>
      </c>
      <c r="W47" s="117">
        <f t="shared" si="36"/>
        <v>209941.01262993697</v>
      </c>
    </row>
    <row r="48" spans="3:23" x14ac:dyDescent="0.3">
      <c r="C48" s="69" t="s">
        <v>99</v>
      </c>
      <c r="D48" s="87">
        <f>D16</f>
        <v>21.28</v>
      </c>
      <c r="E48" s="88">
        <f t="shared" si="38"/>
        <v>3230.8044090056305</v>
      </c>
      <c r="F48" s="54">
        <f t="shared" si="37"/>
        <v>68751.517823639821</v>
      </c>
      <c r="G48" s="54">
        <f t="shared" si="37"/>
        <v>4422.8352000000004</v>
      </c>
      <c r="H48" s="54">
        <f t="shared" si="37"/>
        <v>1170.9385372521451</v>
      </c>
      <c r="I48" s="54">
        <f t="shared" si="37"/>
        <v>2301.8667667563932</v>
      </c>
      <c r="J48" s="54">
        <f t="shared" si="37"/>
        <v>1840.0919350275763</v>
      </c>
      <c r="K48" s="89">
        <v>0</v>
      </c>
      <c r="L48" s="90">
        <v>0</v>
      </c>
      <c r="M48" s="91">
        <f t="shared" si="30"/>
        <v>76647.158327648358</v>
      </c>
      <c r="N48" s="118">
        <f t="shared" si="31"/>
        <v>3601.8401469759565</v>
      </c>
      <c r="O48" s="119">
        <v>1600</v>
      </c>
      <c r="P48" s="120">
        <f t="shared" si="32"/>
        <v>34048</v>
      </c>
      <c r="Q48" s="125">
        <f t="shared" si="33"/>
        <v>-42599.158327648358</v>
      </c>
      <c r="R48" s="121">
        <f t="shared" si="34"/>
        <v>-1.2511500918599729</v>
      </c>
      <c r="S48" s="67">
        <f t="shared" si="39"/>
        <v>2000</v>
      </c>
      <c r="T48" s="54">
        <f t="shared" si="35"/>
        <v>42560</v>
      </c>
      <c r="U48" s="67">
        <f t="shared" si="40"/>
        <v>-34087.158327648358</v>
      </c>
      <c r="V48" s="67">
        <f t="shared" si="41"/>
        <v>-8512</v>
      </c>
      <c r="W48" s="117">
        <f t="shared" si="36"/>
        <v>-38457.199625864392</v>
      </c>
    </row>
    <row r="49" spans="3:23" ht="15" thickBot="1" x14ac:dyDescent="0.35">
      <c r="C49" s="69" t="s">
        <v>100</v>
      </c>
      <c r="D49" s="87">
        <f>D17</f>
        <v>41.116</v>
      </c>
      <c r="E49" s="88">
        <f t="shared" si="38"/>
        <v>1588.6756241810206</v>
      </c>
      <c r="F49" s="54">
        <f t="shared" si="37"/>
        <v>65319.986963826843</v>
      </c>
      <c r="G49" s="54">
        <f t="shared" si="37"/>
        <v>8545.5494400000007</v>
      </c>
      <c r="H49" s="54">
        <f t="shared" si="37"/>
        <v>2262.4205309050376</v>
      </c>
      <c r="I49" s="54">
        <f t="shared" si="37"/>
        <v>4447.5354314828874</v>
      </c>
      <c r="J49" s="54">
        <f t="shared" si="37"/>
        <v>3555.3204887497095</v>
      </c>
      <c r="K49" s="89">
        <v>0</v>
      </c>
      <c r="L49" s="90">
        <v>0</v>
      </c>
      <c r="M49" s="91">
        <f t="shared" si="30"/>
        <v>80575.492366214778</v>
      </c>
      <c r="N49" s="118">
        <f t="shared" si="31"/>
        <v>1959.711362151347</v>
      </c>
      <c r="O49" s="119">
        <v>1600</v>
      </c>
      <c r="P49" s="125">
        <f t="shared" si="32"/>
        <v>65785.600000000006</v>
      </c>
      <c r="Q49" s="125">
        <f t="shared" si="33"/>
        <v>-14789.892366214772</v>
      </c>
      <c r="R49" s="121">
        <f t="shared" si="34"/>
        <v>-0.22481960134459167</v>
      </c>
      <c r="S49" s="67">
        <f t="shared" si="39"/>
        <v>1700</v>
      </c>
      <c r="T49" s="54">
        <f t="shared" si="35"/>
        <v>69897.2</v>
      </c>
      <c r="U49" s="67">
        <f t="shared" si="40"/>
        <v>-10678.29236621478</v>
      </c>
      <c r="V49" s="67">
        <f t="shared" si="41"/>
        <v>-4111.5999999999913</v>
      </c>
      <c r="W49" s="117">
        <f t="shared" si="36"/>
        <v>-6787.0364459821749</v>
      </c>
    </row>
    <row r="50" spans="3:23" ht="15" thickBot="1" x14ac:dyDescent="0.35">
      <c r="C50" s="112" t="s">
        <v>119</v>
      </c>
      <c r="D50" s="97">
        <f>SUM(D39:D49)</f>
        <v>2831.1520000000005</v>
      </c>
      <c r="E50" s="98">
        <f>F50/D50</f>
        <v>2160.9072242541079</v>
      </c>
      <c r="F50" s="99">
        <f t="shared" ref="F50:M50" si="46">SUM(F39:F49)</f>
        <v>6117856.8097614674</v>
      </c>
      <c r="G50" s="99">
        <f t="shared" si="46"/>
        <v>588426.63167999999</v>
      </c>
      <c r="H50" s="99">
        <f t="shared" si="46"/>
        <v>155785.00853470326</v>
      </c>
      <c r="I50" s="99">
        <f t="shared" si="46"/>
        <v>306246.93141146126</v>
      </c>
      <c r="J50" s="99">
        <f t="shared" si="46"/>
        <v>244811.08844159736</v>
      </c>
      <c r="K50" s="99">
        <f t="shared" si="46"/>
        <v>0</v>
      </c>
      <c r="L50" s="100">
        <v>0</v>
      </c>
      <c r="M50" s="101">
        <f t="shared" si="46"/>
        <v>7168315.3813876314</v>
      </c>
      <c r="N50" s="128">
        <f t="shared" si="31"/>
        <v>2531.9429622244338</v>
      </c>
      <c r="O50" s="129">
        <f>P50/D50</f>
        <v>2363.1439074977247</v>
      </c>
      <c r="P50" s="130">
        <f>SUM(P39:P49)</f>
        <v>6690419.5999999996</v>
      </c>
      <c r="Q50" s="130">
        <f>SUM(Q39:Q49)</f>
        <v>-477895.78138763056</v>
      </c>
      <c r="R50" s="131">
        <f t="shared" si="34"/>
        <v>-7.1429866878249398E-2</v>
      </c>
      <c r="S50" s="132">
        <f>T50/D50</f>
        <v>2442.7454972392857</v>
      </c>
      <c r="T50" s="132">
        <f>SUM(T39:T49)</f>
        <v>6915783.7999999998</v>
      </c>
      <c r="U50" s="132">
        <f>SUM(U39:U49)</f>
        <v>-252531.58138763095</v>
      </c>
      <c r="V50" s="132">
        <f>SUM(V39:V49)</f>
        <v>-225364.19999999966</v>
      </c>
      <c r="W50" s="117">
        <f t="shared" si="36"/>
        <v>73162.238465428061</v>
      </c>
    </row>
    <row r="51" spans="3:23" x14ac:dyDescent="0.3">
      <c r="Q51" s="67"/>
    </row>
    <row r="52" spans="3:23" x14ac:dyDescent="0.3">
      <c r="C52" s="135" t="s">
        <v>133</v>
      </c>
      <c r="D52" s="136">
        <f>D43+D44+D46+D47</f>
        <v>1512.4580000000001</v>
      </c>
      <c r="E52" s="137"/>
      <c r="F52" s="137"/>
      <c r="G52" s="137"/>
      <c r="H52" s="137"/>
      <c r="I52" s="137"/>
      <c r="J52" s="137"/>
      <c r="K52" s="137"/>
      <c r="L52" s="137"/>
      <c r="M52" s="138"/>
      <c r="N52" s="137"/>
      <c r="O52" s="137"/>
      <c r="P52" s="136">
        <f>P43+P44+P46+P47</f>
        <v>4619634.5999999996</v>
      </c>
      <c r="Q52" s="136">
        <f>Q43+Q44+Q46+Q47</f>
        <v>416542.83208687732</v>
      </c>
    </row>
    <row r="53" spans="3:23" x14ac:dyDescent="0.3">
      <c r="M53" s="67"/>
      <c r="S53" s="67">
        <f>F50*7%/12</f>
        <v>35687.498056941899</v>
      </c>
      <c r="T53" t="s">
        <v>129</v>
      </c>
      <c r="U53" s="55"/>
    </row>
    <row r="54" spans="3:23" x14ac:dyDescent="0.3">
      <c r="D54" s="55"/>
      <c r="M54" s="73"/>
      <c r="S54" s="73">
        <f>S53/D50</f>
        <v>12.605292141482298</v>
      </c>
      <c r="T54" t="s">
        <v>130</v>
      </c>
    </row>
    <row r="55" spans="3:23" x14ac:dyDescent="0.3">
      <c r="S55">
        <f>42/6*D31</f>
        <v>9821.6999999999989</v>
      </c>
      <c r="T55" t="s">
        <v>131</v>
      </c>
    </row>
    <row r="56" spans="3:23" x14ac:dyDescent="0.3">
      <c r="S56" s="73"/>
    </row>
    <row r="57" spans="3:23" x14ac:dyDescent="0.3">
      <c r="S57" s="73"/>
    </row>
  </sheetData>
  <mergeCells count="1">
    <mergeCell ref="F5:V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8D49-395D-42A9-BB94-19117711BC4A}">
  <dimension ref="B2:X57"/>
  <sheetViews>
    <sheetView showGridLines="0" zoomScale="70" zoomScaleNormal="70" workbookViewId="0">
      <pane xSplit="4" ySplit="6" topLeftCell="J28" activePane="bottomRight" state="frozen"/>
      <selection pane="topRight" activeCell="E1" sqref="E1"/>
      <selection pane="bottomLeft" activeCell="A7" sqref="A7"/>
      <selection pane="bottomRight" activeCell="O46" sqref="O46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4" width="16.21875" customWidth="1" outlineLevel="1"/>
    <col min="5" max="5" width="12.88671875" customWidth="1" outlineLevel="1"/>
    <col min="6" max="6" width="16.44140625" bestFit="1" customWidth="1" outlineLevel="2"/>
    <col min="7" max="7" width="16.5546875" bestFit="1" customWidth="1" outlineLevel="2"/>
    <col min="8" max="8" width="14.21875" bestFit="1" customWidth="1" outlineLevel="2"/>
    <col min="9" max="9" width="12.5546875" bestFit="1" customWidth="1" outlineLevel="2"/>
    <col min="10" max="11" width="16.21875" bestFit="1" customWidth="1" outlineLevel="2"/>
    <col min="12" max="12" width="15.88671875" bestFit="1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12.21875" customWidth="1" outlineLevel="1"/>
  </cols>
  <sheetData>
    <row r="2" spans="2:24" ht="15.6" x14ac:dyDescent="0.3">
      <c r="C2" s="70" t="s">
        <v>103</v>
      </c>
    </row>
    <row r="3" spans="2:24" x14ac:dyDescent="0.3">
      <c r="C3" s="71" t="s">
        <v>132</v>
      </c>
      <c r="G3" s="67"/>
      <c r="M3" s="72"/>
      <c r="N3" s="67"/>
      <c r="O3" s="67"/>
      <c r="P3" s="67"/>
      <c r="R3" s="73"/>
    </row>
    <row r="4" spans="2:24" ht="15" thickBot="1" x14ac:dyDescent="0.35">
      <c r="C4" s="71"/>
      <c r="G4" s="73"/>
      <c r="M4" s="73"/>
    </row>
    <row r="5" spans="2:24" ht="15" thickBot="1" x14ac:dyDescent="0.35">
      <c r="F5" s="74" t="s">
        <v>104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6"/>
    </row>
    <row r="6" spans="2:24" s="86" customFormat="1" ht="29.4" thickBot="1" x14ac:dyDescent="0.35">
      <c r="B6" s="77" t="s">
        <v>105</v>
      </c>
      <c r="C6" s="78" t="s">
        <v>106</v>
      </c>
      <c r="D6" s="79" t="s">
        <v>107</v>
      </c>
      <c r="E6" s="80" t="s">
        <v>108</v>
      </c>
      <c r="F6" s="81" t="s">
        <v>66</v>
      </c>
      <c r="G6" s="82" t="s">
        <v>67</v>
      </c>
      <c r="H6" s="82" t="s">
        <v>68</v>
      </c>
      <c r="I6" s="82" t="s">
        <v>69</v>
      </c>
      <c r="J6" s="82" t="s">
        <v>70</v>
      </c>
      <c r="K6" s="82" t="s">
        <v>71</v>
      </c>
      <c r="L6" s="83" t="s">
        <v>72</v>
      </c>
      <c r="M6" s="84" t="s">
        <v>109</v>
      </c>
      <c r="N6" s="84" t="s">
        <v>110</v>
      </c>
      <c r="O6" s="84" t="s">
        <v>111</v>
      </c>
      <c r="P6" s="84" t="s">
        <v>112</v>
      </c>
      <c r="Q6" s="85" t="s">
        <v>113</v>
      </c>
      <c r="R6" s="85" t="s">
        <v>114</v>
      </c>
      <c r="S6" s="85" t="s">
        <v>115</v>
      </c>
      <c r="T6" s="85" t="s">
        <v>116</v>
      </c>
      <c r="U6" s="85" t="s">
        <v>117</v>
      </c>
      <c r="V6" s="85" t="s">
        <v>118</v>
      </c>
    </row>
    <row r="7" spans="2:24" x14ac:dyDescent="0.3">
      <c r="B7" s="66">
        <v>10005721</v>
      </c>
      <c r="C7" s="68" t="s">
        <v>91</v>
      </c>
      <c r="D7" s="87">
        <f>TD!F4</f>
        <v>66.98</v>
      </c>
      <c r="E7" s="88">
        <f t="shared" ref="E7:E20" si="0">IFERROR(F7/D7,0)</f>
        <v>1831.1059999999998</v>
      </c>
      <c r="F7" s="54">
        <f>TD!G4</f>
        <v>122647.47988</v>
      </c>
      <c r="G7" s="67">
        <f>TD!H4</f>
        <v>13921.1232</v>
      </c>
      <c r="H7" s="67">
        <f>TD!I4</f>
        <v>3685.5950763697688</v>
      </c>
      <c r="I7" s="67">
        <f>TD!J4</f>
        <v>7245.2554528826695</v>
      </c>
      <c r="J7" s="67">
        <f>TD!K4</f>
        <v>5791.7931300820992</v>
      </c>
      <c r="K7" s="89">
        <v>0</v>
      </c>
      <c r="L7" s="90">
        <v>0</v>
      </c>
      <c r="M7" s="91">
        <f>F7+G7+H7+I7</f>
        <v>147499.45360925244</v>
      </c>
      <c r="N7" s="92">
        <f>IFERROR(M7/D7,0)</f>
        <v>2202.1417379703257</v>
      </c>
      <c r="O7" s="92">
        <f t="shared" ref="O7:O19" si="1">F7+G7+H7-J7</f>
        <v>134462.40502628766</v>
      </c>
      <c r="P7" s="92">
        <f t="shared" ref="P7:P20" si="2">IFERROR(O7/D7,0)</f>
        <v>2007.500821533109</v>
      </c>
      <c r="Q7" s="93">
        <v>1800</v>
      </c>
      <c r="R7" s="93">
        <f>Q7*D7</f>
        <v>120564</v>
      </c>
      <c r="S7" s="93">
        <f t="shared" ref="S7:S19" si="3">R7-M7</f>
        <v>-26935.453609252436</v>
      </c>
      <c r="T7" s="94">
        <f t="shared" ref="T7:T19" si="4">IFERROR(S7/R7,0)</f>
        <v>-0.22341207665018112</v>
      </c>
      <c r="U7" s="93">
        <f t="shared" ref="U7:U9" si="5">R7-(M7-J7-I7)</f>
        <v>-13898.405026287655</v>
      </c>
      <c r="V7" s="94">
        <f t="shared" ref="V7:V20" si="6">IFERROR(U7/R7,0)</f>
        <v>-0.11527823418506068</v>
      </c>
      <c r="X7" s="73"/>
    </row>
    <row r="8" spans="2:24" x14ac:dyDescent="0.3">
      <c r="B8" s="66">
        <v>10005779</v>
      </c>
      <c r="C8" s="69" t="s">
        <v>92</v>
      </c>
      <c r="D8" s="87">
        <f>TD!F5</f>
        <v>384.74</v>
      </c>
      <c r="E8" s="88">
        <f t="shared" si="0"/>
        <v>1793.3260000000002</v>
      </c>
      <c r="F8" s="67">
        <f>TD!G5</f>
        <v>689964.24524000008</v>
      </c>
      <c r="G8" s="67">
        <f>TD!H5</f>
        <v>79964.361600000004</v>
      </c>
      <c r="H8" s="67">
        <f>TD!I5</f>
        <v>21170.436692781499</v>
      </c>
      <c r="I8" s="67">
        <f>TD!J5</f>
        <v>41617.49153392174</v>
      </c>
      <c r="J8" s="67">
        <f>TD!K5</f>
        <v>33268.654656132967</v>
      </c>
      <c r="K8" s="89">
        <v>0</v>
      </c>
      <c r="L8" s="90">
        <v>0</v>
      </c>
      <c r="M8" s="91">
        <f t="shared" ref="M8:M19" si="7">F8+G8+H8+I8</f>
        <v>832716.53506670333</v>
      </c>
      <c r="N8" s="92">
        <f>IFERROR(M8/D8,0)</f>
        <v>2164.3617379703264</v>
      </c>
      <c r="O8" s="92">
        <f t="shared" si="1"/>
        <v>757830.38887664862</v>
      </c>
      <c r="P8" s="92">
        <f t="shared" si="2"/>
        <v>1969.7208215331095</v>
      </c>
      <c r="Q8" s="93">
        <v>1400</v>
      </c>
      <c r="R8" s="93">
        <f t="shared" ref="R8:R14" si="8">Q8*D8</f>
        <v>538636</v>
      </c>
      <c r="S8" s="93">
        <f t="shared" si="3"/>
        <v>-294080.53506670333</v>
      </c>
      <c r="T8" s="94">
        <f t="shared" si="4"/>
        <v>-0.54597266997880445</v>
      </c>
      <c r="U8" s="93">
        <f t="shared" si="5"/>
        <v>-219194.38887664862</v>
      </c>
      <c r="V8" s="94">
        <f t="shared" si="6"/>
        <v>-0.40694344395222121</v>
      </c>
    </row>
    <row r="9" spans="2:24" x14ac:dyDescent="0.3">
      <c r="B9" s="66">
        <v>10006719</v>
      </c>
      <c r="C9" s="69" t="s">
        <v>93</v>
      </c>
      <c r="D9" s="87">
        <f>TD!F6</f>
        <v>17.86</v>
      </c>
      <c r="E9" s="88">
        <f t="shared" si="0"/>
        <v>1652.0360000000003</v>
      </c>
      <c r="F9" s="67">
        <f>TD!G6</f>
        <v>29505.362960000002</v>
      </c>
      <c r="G9" s="67">
        <f>TD!H6</f>
        <v>3712.0224000000003</v>
      </c>
      <c r="H9" s="67">
        <f>TD!I6</f>
        <v>982.75198662233606</v>
      </c>
      <c r="I9" s="67">
        <f>TD!J6</f>
        <v>1931.9238935276867</v>
      </c>
      <c r="J9" s="67">
        <f>TD!K6</f>
        <v>1544.3628740410015</v>
      </c>
      <c r="K9" s="89">
        <v>0</v>
      </c>
      <c r="L9" s="90">
        <v>0</v>
      </c>
      <c r="M9" s="91">
        <f t="shared" si="7"/>
        <v>36132.061240150026</v>
      </c>
      <c r="N9" s="92">
        <f t="shared" ref="N9:N14" si="9">IFERROR(M9/D9,0)</f>
        <v>2023.0717379703262</v>
      </c>
      <c r="O9" s="92">
        <f t="shared" si="1"/>
        <v>32655.774472581335</v>
      </c>
      <c r="P9" s="92">
        <f t="shared" si="2"/>
        <v>1828.4308215331096</v>
      </c>
      <c r="Q9" s="93">
        <v>1950</v>
      </c>
      <c r="R9" s="93">
        <f t="shared" si="8"/>
        <v>34827</v>
      </c>
      <c r="S9" s="93">
        <f t="shared" si="3"/>
        <v>-1305.0612401500257</v>
      </c>
      <c r="T9" s="94">
        <f t="shared" si="4"/>
        <v>-3.7472686138628815E-2</v>
      </c>
      <c r="U9" s="93">
        <f t="shared" si="5"/>
        <v>2171.2255274186609</v>
      </c>
      <c r="V9" s="94">
        <f t="shared" si="6"/>
        <v>6.234316844455913E-2</v>
      </c>
    </row>
    <row r="10" spans="2:24" x14ac:dyDescent="0.3">
      <c r="B10" s="66">
        <v>10007050</v>
      </c>
      <c r="C10" s="69" t="s">
        <v>94</v>
      </c>
      <c r="D10" s="87">
        <f>TD!F7</f>
        <v>138.71799999999999</v>
      </c>
      <c r="E10" s="88">
        <f t="shared" si="0"/>
        <v>2246.62</v>
      </c>
      <c r="F10" s="67">
        <f>TD!G7</f>
        <v>311646.63315999997</v>
      </c>
      <c r="G10" s="67">
        <f>TD!H7</f>
        <v>28831.149120000002</v>
      </c>
      <c r="H10" s="67">
        <f>TD!I7</f>
        <v>7633.0005644052189</v>
      </c>
      <c r="I10" s="67">
        <f>TD!J7</f>
        <v>15005.185815362467</v>
      </c>
      <c r="J10" s="67">
        <f>TD!K7</f>
        <v>11995.012830975344</v>
      </c>
      <c r="K10" s="89">
        <v>0</v>
      </c>
      <c r="L10" s="90">
        <v>0</v>
      </c>
      <c r="M10" s="91">
        <f t="shared" si="7"/>
        <v>363115.96865976771</v>
      </c>
      <c r="N10" s="92">
        <f t="shared" si="9"/>
        <v>2617.6557379703263</v>
      </c>
      <c r="O10" s="92">
        <f t="shared" si="1"/>
        <v>336115.77001342986</v>
      </c>
      <c r="P10" s="92">
        <f t="shared" si="2"/>
        <v>2423.0148215331096</v>
      </c>
      <c r="Q10" s="93">
        <v>1700</v>
      </c>
      <c r="R10" s="93">
        <f t="shared" si="8"/>
        <v>235820.59999999998</v>
      </c>
      <c r="S10" s="93">
        <f t="shared" si="3"/>
        <v>-127295.36865976773</v>
      </c>
      <c r="T10" s="94">
        <f t="shared" si="4"/>
        <v>-0.53979749292372148</v>
      </c>
      <c r="U10" s="93">
        <f>R10-(M10-J10-I10)</f>
        <v>-100295.17001342989</v>
      </c>
      <c r="V10" s="94">
        <f t="shared" si="6"/>
        <v>-0.42530283619594683</v>
      </c>
    </row>
    <row r="11" spans="2:24" x14ac:dyDescent="0.3">
      <c r="B11" s="66">
        <v>10007162</v>
      </c>
      <c r="C11" s="69" t="s">
        <v>95</v>
      </c>
      <c r="D11" s="87">
        <f>TD!F8</f>
        <v>297.72000000000003</v>
      </c>
      <c r="E11" s="88">
        <f t="shared" si="0"/>
        <v>1783.9849999999997</v>
      </c>
      <c r="F11" s="67">
        <f>TD!G8</f>
        <v>531128.01419999998</v>
      </c>
      <c r="G11" s="67">
        <f>TD!H8</f>
        <v>61878.124800000005</v>
      </c>
      <c r="H11" s="67">
        <f>TD!I8</f>
        <v>16382.134460089692</v>
      </c>
      <c r="I11" s="67">
        <f>TD!J8</f>
        <v>32204.500648435773</v>
      </c>
      <c r="J11" s="67">
        <f>TD!K8</f>
        <v>25743.992993252348</v>
      </c>
      <c r="K11" s="89">
        <v>0</v>
      </c>
      <c r="L11" s="90">
        <v>0</v>
      </c>
      <c r="M11" s="91">
        <f t="shared" si="7"/>
        <v>641592.77410852548</v>
      </c>
      <c r="N11" s="92">
        <f t="shared" si="9"/>
        <v>2155.0207379703261</v>
      </c>
      <c r="O11" s="92">
        <f t="shared" si="1"/>
        <v>583644.28046683734</v>
      </c>
      <c r="P11" s="92">
        <f t="shared" si="2"/>
        <v>1960.3798215331092</v>
      </c>
      <c r="Q11" s="93">
        <v>2700</v>
      </c>
      <c r="R11" s="93">
        <f t="shared" si="8"/>
        <v>803844.00000000012</v>
      </c>
      <c r="S11" s="93">
        <f t="shared" si="3"/>
        <v>162251.22589147463</v>
      </c>
      <c r="T11" s="94">
        <f t="shared" si="4"/>
        <v>0.20184417112210157</v>
      </c>
      <c r="U11" s="93">
        <f t="shared" ref="U11:U19" si="10">R11-(M11-J11-I11)</f>
        <v>220199.71953316277</v>
      </c>
      <c r="V11" s="94">
        <f t="shared" si="6"/>
        <v>0.27393339943218181</v>
      </c>
    </row>
    <row r="12" spans="2:24" x14ac:dyDescent="0.3">
      <c r="B12" s="66">
        <v>10007567</v>
      </c>
      <c r="C12" s="69" t="s">
        <v>96</v>
      </c>
      <c r="D12" s="87">
        <f>TD!F9</f>
        <v>110.22</v>
      </c>
      <c r="E12" s="88">
        <f t="shared" si="0"/>
        <v>1712.173</v>
      </c>
      <c r="F12" s="67">
        <f>TD!G9</f>
        <v>188715.70806</v>
      </c>
      <c r="G12" s="67">
        <f>TD!H9</f>
        <v>22908.124800000001</v>
      </c>
      <c r="H12" s="67">
        <f>TD!I9</f>
        <v>6064.889359771214</v>
      </c>
      <c r="I12" s="67">
        <f>TD!J9</f>
        <v>11922.54487931812</v>
      </c>
      <c r="J12" s="67">
        <f>TD!K9</f>
        <v>9530.7769303918922</v>
      </c>
      <c r="K12" s="89">
        <v>0</v>
      </c>
      <c r="L12" s="90">
        <v>0</v>
      </c>
      <c r="M12" s="91">
        <f t="shared" si="7"/>
        <v>229611.26709908934</v>
      </c>
      <c r="N12" s="92">
        <f t="shared" si="9"/>
        <v>2083.2087379703262</v>
      </c>
      <c r="O12" s="92">
        <f t="shared" si="1"/>
        <v>208157.94528937931</v>
      </c>
      <c r="P12" s="92">
        <f t="shared" si="2"/>
        <v>1888.5678215331093</v>
      </c>
      <c r="Q12" s="93">
        <v>2800</v>
      </c>
      <c r="R12" s="93">
        <f t="shared" si="8"/>
        <v>308616</v>
      </c>
      <c r="S12" s="93">
        <f t="shared" si="3"/>
        <v>79004.732900910662</v>
      </c>
      <c r="T12" s="94">
        <f t="shared" si="4"/>
        <v>0.2559968792963121</v>
      </c>
      <c r="U12" s="93">
        <f t="shared" si="10"/>
        <v>100458.05471062069</v>
      </c>
      <c r="V12" s="94">
        <f t="shared" si="6"/>
        <v>0.3255114923096038</v>
      </c>
    </row>
    <row r="13" spans="2:24" x14ac:dyDescent="0.3">
      <c r="B13" s="66">
        <v>10007969</v>
      </c>
      <c r="C13" s="69" t="s">
        <v>13</v>
      </c>
      <c r="D13" s="87">
        <f>TD!F10</f>
        <v>0</v>
      </c>
      <c r="E13" s="88">
        <f t="shared" si="0"/>
        <v>0</v>
      </c>
      <c r="F13" s="67">
        <f>TD!G10</f>
        <v>0</v>
      </c>
      <c r="G13" s="67">
        <f>TD!H10</f>
        <v>0</v>
      </c>
      <c r="H13" s="67">
        <f>TD!I10</f>
        <v>0</v>
      </c>
      <c r="I13" s="67">
        <f>TD!J10</f>
        <v>0</v>
      </c>
      <c r="J13" s="67">
        <f>TD!K10</f>
        <v>0</v>
      </c>
      <c r="K13" s="89">
        <v>0</v>
      </c>
      <c r="L13" s="90">
        <v>0</v>
      </c>
      <c r="M13" s="91">
        <f t="shared" si="7"/>
        <v>0</v>
      </c>
      <c r="N13" s="92">
        <f t="shared" si="9"/>
        <v>0</v>
      </c>
      <c r="O13" s="92">
        <f t="shared" si="1"/>
        <v>0</v>
      </c>
      <c r="P13" s="92">
        <f t="shared" si="2"/>
        <v>0</v>
      </c>
      <c r="Q13" s="93">
        <v>1700</v>
      </c>
      <c r="R13" s="93">
        <f t="shared" si="8"/>
        <v>0</v>
      </c>
      <c r="S13" s="93">
        <f t="shared" si="3"/>
        <v>0</v>
      </c>
      <c r="T13" s="94">
        <f t="shared" si="4"/>
        <v>0</v>
      </c>
      <c r="U13" s="93">
        <f t="shared" si="10"/>
        <v>0</v>
      </c>
      <c r="V13" s="94">
        <f t="shared" si="6"/>
        <v>0</v>
      </c>
    </row>
    <row r="14" spans="2:24" x14ac:dyDescent="0.3">
      <c r="B14" s="66">
        <v>10009239</v>
      </c>
      <c r="C14" s="69" t="s">
        <v>97</v>
      </c>
      <c r="D14" s="87">
        <f>TD!F11</f>
        <v>16.48</v>
      </c>
      <c r="E14" s="88">
        <f t="shared" si="0"/>
        <v>2846.9569999999999</v>
      </c>
      <c r="F14" s="67">
        <f>TD!G11</f>
        <v>46917.851360000001</v>
      </c>
      <c r="G14" s="67">
        <f>TD!H11</f>
        <v>3425.2031999999999</v>
      </c>
      <c r="H14" s="67">
        <f>TD!I11</f>
        <v>906.81706268399205</v>
      </c>
      <c r="I14" s="67">
        <f>TD!J11</f>
        <v>1782.648699066981</v>
      </c>
      <c r="J14" s="67">
        <f>TD!K11</f>
        <v>1425.0336038183484</v>
      </c>
      <c r="K14" s="89">
        <v>0</v>
      </c>
      <c r="L14" s="90">
        <v>0</v>
      </c>
      <c r="M14" s="91">
        <f t="shared" si="7"/>
        <v>53032.520321750977</v>
      </c>
      <c r="N14" s="92">
        <f t="shared" si="9"/>
        <v>3217.9927379703263</v>
      </c>
      <c r="O14" s="92">
        <f t="shared" si="1"/>
        <v>49824.838018865652</v>
      </c>
      <c r="P14" s="92">
        <f t="shared" si="2"/>
        <v>3023.3518215331101</v>
      </c>
      <c r="Q14" s="93">
        <v>3500</v>
      </c>
      <c r="R14" s="93">
        <f t="shared" si="8"/>
        <v>57680</v>
      </c>
      <c r="S14" s="93">
        <f t="shared" si="3"/>
        <v>4647.479678249023</v>
      </c>
      <c r="T14" s="94">
        <f t="shared" si="4"/>
        <v>8.0573503437049637E-2</v>
      </c>
      <c r="U14" s="93">
        <f t="shared" si="10"/>
        <v>7855.161981134348</v>
      </c>
      <c r="V14" s="94">
        <f t="shared" si="6"/>
        <v>0.13618519384768288</v>
      </c>
    </row>
    <row r="15" spans="2:24" x14ac:dyDescent="0.3">
      <c r="B15" s="66">
        <v>10009334</v>
      </c>
      <c r="C15" s="69" t="s">
        <v>98</v>
      </c>
      <c r="D15" s="87">
        <f>TD!F12</f>
        <v>329.45799999999997</v>
      </c>
      <c r="E15" s="88">
        <f t="shared" si="0"/>
        <v>2574.8229999999999</v>
      </c>
      <c r="F15" s="67">
        <f>TD!G12</f>
        <v>848296.03593399981</v>
      </c>
      <c r="G15" s="67">
        <f>TD!H12</f>
        <v>68474.550719999999</v>
      </c>
      <c r="H15" s="67">
        <f>TD!I12</f>
        <v>18128.5276600572</v>
      </c>
      <c r="I15" s="67">
        <f>TD!J12</f>
        <v>35637.613780170468</v>
      </c>
      <c r="J15" s="67">
        <f>TD!K12</f>
        <v>28488.393267402029</v>
      </c>
      <c r="K15" s="89">
        <v>0</v>
      </c>
      <c r="L15" s="90">
        <v>0</v>
      </c>
      <c r="M15" s="91">
        <f t="shared" si="7"/>
        <v>970536.72809422738</v>
      </c>
      <c r="N15" s="92">
        <f>IFERROR(M15/D15,0)</f>
        <v>2945.8587379703254</v>
      </c>
      <c r="O15" s="92">
        <f t="shared" si="1"/>
        <v>906410.72104665486</v>
      </c>
      <c r="P15" s="92">
        <f t="shared" si="2"/>
        <v>2751.2178215331087</v>
      </c>
      <c r="Q15" s="93">
        <v>3500</v>
      </c>
      <c r="R15" s="93">
        <f>Q15*D15</f>
        <v>1153103</v>
      </c>
      <c r="S15" s="93">
        <f t="shared" si="3"/>
        <v>182566.27190577262</v>
      </c>
      <c r="T15" s="94">
        <f t="shared" si="4"/>
        <v>0.15832607486562139</v>
      </c>
      <c r="U15" s="93">
        <f t="shared" si="10"/>
        <v>246692.27895334514</v>
      </c>
      <c r="V15" s="94">
        <f t="shared" si="6"/>
        <v>0.21393776527625472</v>
      </c>
    </row>
    <row r="16" spans="2:24" x14ac:dyDescent="0.3">
      <c r="B16" s="66">
        <v>10009386</v>
      </c>
      <c r="C16" s="69" t="s">
        <v>99</v>
      </c>
      <c r="D16" s="87">
        <f>TD!F13</f>
        <v>21.28</v>
      </c>
      <c r="E16" s="88">
        <f t="shared" si="0"/>
        <v>3230.8044090056305</v>
      </c>
      <c r="F16" s="67">
        <f>TD!G13</f>
        <v>68751.517823639821</v>
      </c>
      <c r="G16" s="67">
        <f>TD!H13</f>
        <v>4422.8352000000004</v>
      </c>
      <c r="H16" s="67">
        <f>TD!I13</f>
        <v>1170.9385372521451</v>
      </c>
      <c r="I16" s="67">
        <f>TD!J13</f>
        <v>2301.8667667563932</v>
      </c>
      <c r="J16" s="67">
        <f>TD!K13</f>
        <v>1840.0919350275763</v>
      </c>
      <c r="K16" s="89">
        <v>0</v>
      </c>
      <c r="L16" s="90">
        <v>0</v>
      </c>
      <c r="M16" s="91">
        <f t="shared" si="7"/>
        <v>76647.158327648358</v>
      </c>
      <c r="N16" s="92">
        <f>IFERROR(M16/D16,0)</f>
        <v>3601.8401469759565</v>
      </c>
      <c r="O16" s="92">
        <f t="shared" si="1"/>
        <v>72505.199625864392</v>
      </c>
      <c r="P16" s="92">
        <f t="shared" si="2"/>
        <v>3407.1992305387403</v>
      </c>
      <c r="Q16" s="93">
        <v>2000</v>
      </c>
      <c r="R16" s="93">
        <f>Q16*D16</f>
        <v>42560</v>
      </c>
      <c r="S16" s="93">
        <f t="shared" si="3"/>
        <v>-34087.158327648358</v>
      </c>
      <c r="T16" s="94">
        <f t="shared" si="4"/>
        <v>-0.80092007348797833</v>
      </c>
      <c r="U16" s="93">
        <f t="shared" si="10"/>
        <v>-29945.199625864392</v>
      </c>
      <c r="V16" s="94">
        <f t="shared" si="6"/>
        <v>-0.70359961526937009</v>
      </c>
    </row>
    <row r="17" spans="2:23" x14ac:dyDescent="0.3">
      <c r="B17" s="66">
        <v>10009386</v>
      </c>
      <c r="C17" s="69" t="s">
        <v>100</v>
      </c>
      <c r="D17" s="87">
        <f>TD!F14+TD!F17+TD!F18+TD!F19</f>
        <v>41.116</v>
      </c>
      <c r="E17" s="88">
        <f t="shared" si="0"/>
        <v>1588.6756241810206</v>
      </c>
      <c r="F17" s="67">
        <f>TD!G14+TD!G17+TD!G18+TD!G19</f>
        <v>65319.986963826843</v>
      </c>
      <c r="G17" s="67">
        <f>TD!H14+TD!H17+TD!H18+TD!H19</f>
        <v>8545.5494400000007</v>
      </c>
      <c r="H17" s="67">
        <f>TD!I14+TD!I17+TD!I18+TD!I19</f>
        <v>2262.4205309050376</v>
      </c>
      <c r="I17" s="67">
        <f>TD!J14+TD!J17+TD!J18+TD!J19</f>
        <v>4447.5354314828874</v>
      </c>
      <c r="J17" s="67">
        <f>TD!K14+TD!K17+TD!K18+TD!K19</f>
        <v>3555.3204887497095</v>
      </c>
      <c r="K17" s="89">
        <v>0</v>
      </c>
      <c r="L17" s="90">
        <v>0</v>
      </c>
      <c r="M17" s="91">
        <f t="shared" si="7"/>
        <v>80575.492366214778</v>
      </c>
      <c r="N17" s="92">
        <f t="shared" ref="N17:N19" si="11">IFERROR(M17/D17,0)</f>
        <v>1959.711362151347</v>
      </c>
      <c r="O17" s="92">
        <f t="shared" si="1"/>
        <v>72572.636445982178</v>
      </c>
      <c r="P17" s="92">
        <f t="shared" si="2"/>
        <v>1765.0704457141303</v>
      </c>
      <c r="Q17" s="93">
        <v>1700</v>
      </c>
      <c r="R17" s="93">
        <f>Q17*D17</f>
        <v>69897.2</v>
      </c>
      <c r="S17" s="93">
        <f t="shared" si="3"/>
        <v>-10678.29236621478</v>
      </c>
      <c r="T17" s="94">
        <f t="shared" si="4"/>
        <v>-0.15277138950079233</v>
      </c>
      <c r="U17" s="93">
        <f t="shared" si="10"/>
        <v>-2675.4364459821809</v>
      </c>
      <c r="V17" s="94">
        <f t="shared" si="6"/>
        <v>-3.8276732773017817E-2</v>
      </c>
    </row>
    <row r="18" spans="2:23" x14ac:dyDescent="0.3">
      <c r="B18" s="66"/>
      <c r="C18" s="69" t="s">
        <v>101</v>
      </c>
      <c r="D18" s="87">
        <f>TD!F15</f>
        <v>3.48</v>
      </c>
      <c r="E18" s="88">
        <f t="shared" si="0"/>
        <v>1831.106</v>
      </c>
      <c r="F18" s="67">
        <f>TD!G15</f>
        <v>6372.2488800000001</v>
      </c>
      <c r="G18" s="67">
        <f>TD!H15</f>
        <v>723.28319999999997</v>
      </c>
      <c r="H18" s="67">
        <f>TD!I15</f>
        <v>191.48806906191095</v>
      </c>
      <c r="I18" s="67">
        <f>TD!J15</f>
        <v>376.43309907482364</v>
      </c>
      <c r="J18" s="67">
        <f>TD!K15</f>
        <v>300.91729012669009</v>
      </c>
      <c r="K18" s="89">
        <v>0</v>
      </c>
      <c r="L18" s="90">
        <v>0</v>
      </c>
      <c r="M18" s="91">
        <f t="shared" si="7"/>
        <v>7663.4532481367351</v>
      </c>
      <c r="N18" s="92">
        <f t="shared" si="11"/>
        <v>2202.1417379703262</v>
      </c>
      <c r="O18" s="92">
        <f t="shared" si="1"/>
        <v>6986.1028589352209</v>
      </c>
      <c r="P18" s="92">
        <f t="shared" si="2"/>
        <v>2007.5008215331095</v>
      </c>
      <c r="Q18" s="93">
        <v>1800</v>
      </c>
      <c r="R18" s="95">
        <f>Q18*D18</f>
        <v>6264</v>
      </c>
      <c r="S18" s="93">
        <f t="shared" si="3"/>
        <v>-1399.4532481367351</v>
      </c>
      <c r="T18" s="94">
        <f t="shared" si="4"/>
        <v>-0.2234120766501812</v>
      </c>
      <c r="U18" s="93">
        <f t="shared" si="10"/>
        <v>-722.10285893522087</v>
      </c>
      <c r="V18" s="94">
        <f t="shared" si="6"/>
        <v>-0.11527823418506081</v>
      </c>
    </row>
    <row r="19" spans="2:23" ht="15" thickBot="1" x14ac:dyDescent="0.35">
      <c r="B19" s="66"/>
      <c r="C19" s="69" t="s">
        <v>102</v>
      </c>
      <c r="D19" s="87">
        <f>TD!F16</f>
        <v>0</v>
      </c>
      <c r="E19" s="88">
        <f t="shared" si="0"/>
        <v>0</v>
      </c>
      <c r="F19" s="67">
        <f>TD!G16</f>
        <v>0</v>
      </c>
      <c r="G19" s="67">
        <f>TD!H16</f>
        <v>0</v>
      </c>
      <c r="H19" s="67">
        <f>TD!I16</f>
        <v>0</v>
      </c>
      <c r="I19" s="67">
        <f>TD!J16</f>
        <v>0</v>
      </c>
      <c r="J19" s="67">
        <f>TD!K16</f>
        <v>0</v>
      </c>
      <c r="K19" s="89">
        <v>0</v>
      </c>
      <c r="L19" s="90">
        <v>0</v>
      </c>
      <c r="M19" s="91">
        <f t="shared" si="7"/>
        <v>0</v>
      </c>
      <c r="N19" s="92">
        <f t="shared" si="11"/>
        <v>0</v>
      </c>
      <c r="O19" s="92">
        <f t="shared" si="1"/>
        <v>0</v>
      </c>
      <c r="P19" s="92">
        <f t="shared" si="2"/>
        <v>0</v>
      </c>
      <c r="Q19" s="93">
        <v>1950</v>
      </c>
      <c r="R19" s="95">
        <f>Q19*D19</f>
        <v>0</v>
      </c>
      <c r="S19" s="93">
        <f t="shared" si="3"/>
        <v>0</v>
      </c>
      <c r="T19" s="94">
        <f t="shared" si="4"/>
        <v>0</v>
      </c>
      <c r="U19" s="93">
        <f t="shared" si="10"/>
        <v>0</v>
      </c>
      <c r="V19" s="94">
        <f t="shared" si="6"/>
        <v>0</v>
      </c>
    </row>
    <row r="20" spans="2:23" ht="15" thickBot="1" x14ac:dyDescent="0.35">
      <c r="C20" s="96" t="s">
        <v>119</v>
      </c>
      <c r="D20" s="97">
        <f>SUM(D7:D19)</f>
        <v>1428.0519999999999</v>
      </c>
      <c r="E20" s="98">
        <f t="shared" si="0"/>
        <v>2037.2262946037445</v>
      </c>
      <c r="F20" s="99">
        <f t="shared" ref="F20:K20" si="12">SUM(F7:F19)</f>
        <v>2909265.0844614664</v>
      </c>
      <c r="G20" s="99">
        <f t="shared" si="12"/>
        <v>296806.32767999993</v>
      </c>
      <c r="H20" s="99">
        <f t="shared" si="12"/>
        <v>78579.000000000029</v>
      </c>
      <c r="I20" s="99">
        <f t="shared" si="12"/>
        <v>154473.00000000003</v>
      </c>
      <c r="J20" s="99">
        <f t="shared" si="12"/>
        <v>123484.35</v>
      </c>
      <c r="K20" s="99">
        <f t="shared" si="12"/>
        <v>0</v>
      </c>
      <c r="L20" s="100">
        <v>0</v>
      </c>
      <c r="M20" s="101">
        <f>SUM(M7:M19)</f>
        <v>3439123.412141467</v>
      </c>
      <c r="N20" s="101">
        <f>IFERROR(M20/D20,0)</f>
        <v>2408.2620325740709</v>
      </c>
      <c r="O20" s="101">
        <f>SUM(O7:O19)</f>
        <v>3161166.0621414664</v>
      </c>
      <c r="P20" s="101">
        <f t="shared" si="2"/>
        <v>2213.6211161368542</v>
      </c>
      <c r="Q20" s="102">
        <f>R20/D20</f>
        <v>2361.1267656920058</v>
      </c>
      <c r="R20" s="103">
        <f t="shared" ref="R20:S20" si="13">SUM(R7:R19)</f>
        <v>3371811.8000000003</v>
      </c>
      <c r="S20" s="102">
        <f t="shared" si="13"/>
        <v>-67311.612141466481</v>
      </c>
      <c r="T20" s="104">
        <f>S20/R20</f>
        <v>-1.9963039497479212E-2</v>
      </c>
      <c r="U20" s="102">
        <f>SUM(U7:U19)</f>
        <v>210645.73785853366</v>
      </c>
      <c r="V20" s="104">
        <f t="shared" si="6"/>
        <v>6.2472566783986473E-2</v>
      </c>
    </row>
    <row r="21" spans="2:23" x14ac:dyDescent="0.3">
      <c r="I21" s="73"/>
      <c r="J21" s="73"/>
      <c r="N21" s="67"/>
      <c r="O21" s="67"/>
    </row>
    <row r="22" spans="2:23" x14ac:dyDescent="0.3">
      <c r="C22" s="105" t="s">
        <v>120</v>
      </c>
      <c r="L22" s="51"/>
      <c r="M22" s="67"/>
      <c r="N22" s="106"/>
      <c r="O22" s="106"/>
      <c r="P22" s="106"/>
      <c r="Q22" s="106"/>
      <c r="R22" s="107">
        <f>7%/12</f>
        <v>5.8333333333333336E-3</v>
      </c>
      <c r="S22" s="106"/>
      <c r="T22" s="106"/>
      <c r="U22" s="106"/>
      <c r="V22" s="106"/>
      <c r="W22" s="67"/>
    </row>
    <row r="23" spans="2:23" ht="15" thickBot="1" x14ac:dyDescent="0.35">
      <c r="C23" s="105"/>
      <c r="L23" s="51"/>
      <c r="M23" s="67"/>
      <c r="N23" s="106"/>
      <c r="O23" s="106"/>
      <c r="P23" s="106"/>
      <c r="Q23" s="106"/>
      <c r="R23" s="107">
        <f>R22*M31</f>
        <v>21753.619820602624</v>
      </c>
      <c r="S23" s="106">
        <f>R23*7</f>
        <v>152275.33874421837</v>
      </c>
      <c r="T23" s="106">
        <f>S23/D31</f>
        <v>108.52778757338635</v>
      </c>
      <c r="U23" s="106"/>
      <c r="V23" s="106"/>
      <c r="W23" s="67"/>
    </row>
    <row r="24" spans="2:23" ht="29.4" thickBot="1" x14ac:dyDescent="0.35">
      <c r="C24" s="8" t="s">
        <v>106</v>
      </c>
      <c r="D24" s="108" t="s">
        <v>107</v>
      </c>
      <c r="E24" s="109" t="s">
        <v>108</v>
      </c>
      <c r="F24" s="8" t="s">
        <v>66</v>
      </c>
      <c r="G24" s="8" t="s">
        <v>67</v>
      </c>
      <c r="H24" s="8" t="s">
        <v>68</v>
      </c>
      <c r="I24" s="8" t="s">
        <v>69</v>
      </c>
      <c r="J24" s="8" t="s">
        <v>70</v>
      </c>
      <c r="K24" s="8" t="s">
        <v>71</v>
      </c>
      <c r="L24" s="110" t="s">
        <v>72</v>
      </c>
      <c r="M24" s="111" t="s">
        <v>109</v>
      </c>
      <c r="N24" s="111" t="s">
        <v>110</v>
      </c>
      <c r="O24" s="111" t="s">
        <v>111</v>
      </c>
      <c r="P24" s="111" t="s">
        <v>112</v>
      </c>
      <c r="Q24" s="85" t="s">
        <v>113</v>
      </c>
      <c r="R24" s="85" t="s">
        <v>114</v>
      </c>
      <c r="S24" s="85" t="s">
        <v>115</v>
      </c>
      <c r="T24" s="85" t="s">
        <v>116</v>
      </c>
      <c r="U24" s="85" t="s">
        <v>117</v>
      </c>
      <c r="V24" s="85" t="s">
        <v>118</v>
      </c>
      <c r="W24" s="67"/>
    </row>
    <row r="25" spans="2:23" x14ac:dyDescent="0.3">
      <c r="C25" s="69" t="s">
        <v>91</v>
      </c>
      <c r="D25" s="87">
        <v>567</v>
      </c>
      <c r="E25" s="88">
        <f>E7</f>
        <v>1831.1059999999998</v>
      </c>
      <c r="F25" s="67">
        <f t="shared" ref="F25:F30" si="14">E25*D25</f>
        <v>1038237.1019999998</v>
      </c>
      <c r="G25" s="67">
        <f t="shared" ref="G25:G30" si="15">D25*207.84</f>
        <v>117845.28</v>
      </c>
      <c r="H25" s="67">
        <f t="shared" ref="H25:J30" si="16">H$20/$D$20*$D25</f>
        <v>31199.349183363083</v>
      </c>
      <c r="I25" s="67">
        <f t="shared" si="16"/>
        <v>61332.634245811794</v>
      </c>
      <c r="J25" s="67">
        <f t="shared" si="16"/>
        <v>49028.76537409002</v>
      </c>
      <c r="K25" s="89">
        <v>0</v>
      </c>
      <c r="L25" s="90">
        <v>0</v>
      </c>
      <c r="M25" s="91">
        <f t="shared" ref="M25:M30" si="17">F25+G25+H25+I25</f>
        <v>1248614.3654291746</v>
      </c>
      <c r="N25" s="92">
        <f t="shared" ref="N25:N30" si="18">IFERROR(M25/D25,0)</f>
        <v>2202.1417379703257</v>
      </c>
      <c r="O25" s="92">
        <f t="shared" ref="O25:O30" si="19">F25+G25+H25-J25</f>
        <v>1138252.9658092728</v>
      </c>
      <c r="P25" s="92">
        <f t="shared" ref="P25:P30" si="20">IFERROR(O25/D25,0)</f>
        <v>2007.500821533109</v>
      </c>
      <c r="Q25" s="93">
        <v>1500</v>
      </c>
      <c r="R25" s="93">
        <f t="shared" ref="R25:R30" si="21">Q25*D25</f>
        <v>850500</v>
      </c>
      <c r="S25" s="93">
        <f t="shared" ref="S25:S30" si="22">R25-M25</f>
        <v>-398114.36542917462</v>
      </c>
      <c r="T25" s="94">
        <f t="shared" ref="T25:T30" si="23">IFERROR(S25/R25,0)</f>
        <v>-0.46809449198021708</v>
      </c>
      <c r="U25" s="93">
        <f t="shared" ref="U25:U30" si="24">R25-(M25-J25-I25)</f>
        <v>-287752.96580927284</v>
      </c>
      <c r="V25" s="94">
        <f t="shared" ref="V25:V27" si="25">IFERROR(U25/R25,0)</f>
        <v>-0.33833388102207268</v>
      </c>
      <c r="W25" s="67"/>
    </row>
    <row r="26" spans="2:23" x14ac:dyDescent="0.3">
      <c r="C26" s="69" t="s">
        <v>93</v>
      </c>
      <c r="D26" s="87">
        <v>54</v>
      </c>
      <c r="E26" s="88">
        <f>E9</f>
        <v>1652.0360000000003</v>
      </c>
      <c r="F26" s="67">
        <f t="shared" si="14"/>
        <v>89209.944000000018</v>
      </c>
      <c r="G26" s="67">
        <f t="shared" si="15"/>
        <v>11223.36</v>
      </c>
      <c r="H26" s="67">
        <f t="shared" si="16"/>
        <v>2971.3665888917221</v>
      </c>
      <c r="I26" s="67">
        <f t="shared" si="16"/>
        <v>5841.2032615058852</v>
      </c>
      <c r="J26" s="67">
        <f t="shared" si="16"/>
        <v>4669.4062261038116</v>
      </c>
      <c r="K26" s="89">
        <v>0</v>
      </c>
      <c r="L26" s="90">
        <v>0</v>
      </c>
      <c r="M26" s="91">
        <f t="shared" si="17"/>
        <v>109245.87385039762</v>
      </c>
      <c r="N26" s="92">
        <f t="shared" si="18"/>
        <v>2023.0717379703262</v>
      </c>
      <c r="O26" s="92">
        <f t="shared" si="19"/>
        <v>98735.26436278793</v>
      </c>
      <c r="P26" s="92">
        <f t="shared" si="20"/>
        <v>1828.4308215331098</v>
      </c>
      <c r="Q26" s="93">
        <v>1700</v>
      </c>
      <c r="R26" s="93">
        <f t="shared" si="21"/>
        <v>91800</v>
      </c>
      <c r="S26" s="93">
        <f>R26-M26</f>
        <v>-17445.87385039762</v>
      </c>
      <c r="T26" s="94">
        <f t="shared" si="23"/>
        <v>-0.19004219880607429</v>
      </c>
      <c r="U26" s="93">
        <f t="shared" si="24"/>
        <v>-6935.2643627879297</v>
      </c>
      <c r="V26" s="94"/>
      <c r="W26" s="67"/>
    </row>
    <row r="27" spans="2:23" x14ac:dyDescent="0.3">
      <c r="C27" s="69" t="s">
        <v>95</v>
      </c>
      <c r="D27" s="87">
        <v>108</v>
      </c>
      <c r="E27" s="88">
        <f>E11</f>
        <v>1783.9849999999997</v>
      </c>
      <c r="F27" s="67">
        <f t="shared" si="14"/>
        <v>192670.37999999998</v>
      </c>
      <c r="G27" s="67">
        <f t="shared" si="15"/>
        <v>22446.720000000001</v>
      </c>
      <c r="H27" s="67">
        <f t="shared" si="16"/>
        <v>5942.7331777834443</v>
      </c>
      <c r="I27" s="67">
        <f t="shared" si="16"/>
        <v>11682.40652301177</v>
      </c>
      <c r="J27" s="67">
        <f t="shared" si="16"/>
        <v>9338.8124522076232</v>
      </c>
      <c r="K27" s="89">
        <v>0</v>
      </c>
      <c r="L27" s="90">
        <v>0</v>
      </c>
      <c r="M27" s="91">
        <f t="shared" si="17"/>
        <v>232742.23970079518</v>
      </c>
      <c r="N27" s="92">
        <f t="shared" si="18"/>
        <v>2155.0207379703256</v>
      </c>
      <c r="O27" s="92">
        <f t="shared" si="19"/>
        <v>211721.0207255758</v>
      </c>
      <c r="P27" s="92">
        <f t="shared" si="20"/>
        <v>1960.3798215331092</v>
      </c>
      <c r="Q27" s="93">
        <v>2275</v>
      </c>
      <c r="R27" s="93">
        <f t="shared" si="21"/>
        <v>245700</v>
      </c>
      <c r="S27" s="93">
        <f t="shared" si="22"/>
        <v>12957.76029920482</v>
      </c>
      <c r="T27" s="94">
        <f t="shared" si="23"/>
        <v>5.2738137155900769E-2</v>
      </c>
      <c r="U27" s="93">
        <f t="shared" si="24"/>
        <v>33978.9792744242</v>
      </c>
      <c r="V27" s="94">
        <f t="shared" si="25"/>
        <v>0.13829458394149044</v>
      </c>
      <c r="W27" s="67"/>
    </row>
    <row r="28" spans="2:23" x14ac:dyDescent="0.3">
      <c r="C28" s="69" t="s">
        <v>97</v>
      </c>
      <c r="D28" s="87">
        <v>594</v>
      </c>
      <c r="E28" s="88">
        <f t="shared" ref="E28:E29" si="26">E14</f>
        <v>2846.9569999999999</v>
      </c>
      <c r="F28" s="67">
        <f t="shared" si="14"/>
        <v>1691092.4579999999</v>
      </c>
      <c r="G28" s="67">
        <f t="shared" si="15"/>
        <v>123456.96000000001</v>
      </c>
      <c r="H28" s="67">
        <f t="shared" si="16"/>
        <v>32685.032477808945</v>
      </c>
      <c r="I28" s="67">
        <f t="shared" si="16"/>
        <v>64253.235876564737</v>
      </c>
      <c r="J28" s="67">
        <f t="shared" si="16"/>
        <v>51363.46848714193</v>
      </c>
      <c r="K28" s="89">
        <v>0</v>
      </c>
      <c r="L28" s="90">
        <v>0</v>
      </c>
      <c r="M28" s="91">
        <f t="shared" si="17"/>
        <v>1911487.6863543733</v>
      </c>
      <c r="N28" s="92">
        <f t="shared" si="18"/>
        <v>3217.9927379703254</v>
      </c>
      <c r="O28" s="92">
        <f t="shared" si="19"/>
        <v>1795870.9819906668</v>
      </c>
      <c r="P28" s="92">
        <f t="shared" si="20"/>
        <v>3023.3518215331092</v>
      </c>
      <c r="Q28" s="93">
        <v>3400</v>
      </c>
      <c r="R28" s="93">
        <f t="shared" si="21"/>
        <v>2019600</v>
      </c>
      <c r="S28" s="93">
        <f t="shared" si="22"/>
        <v>108112.31364562665</v>
      </c>
      <c r="T28" s="94">
        <f t="shared" si="23"/>
        <v>5.3531547655786618E-2</v>
      </c>
      <c r="U28" s="93">
        <f t="shared" si="24"/>
        <v>223729.01800933317</v>
      </c>
      <c r="V28" s="94">
        <f>IFERROR(U28/R28,0)</f>
        <v>0.11077887601967379</v>
      </c>
      <c r="W28" s="67"/>
    </row>
    <row r="29" spans="2:23" x14ac:dyDescent="0.3">
      <c r="C29" s="69" t="s">
        <v>98</v>
      </c>
      <c r="D29" s="87">
        <v>53.1</v>
      </c>
      <c r="E29" s="88">
        <f t="shared" si="26"/>
        <v>2574.8229999999999</v>
      </c>
      <c r="F29" s="67">
        <f t="shared" si="14"/>
        <v>136723.10130000001</v>
      </c>
      <c r="G29" s="67">
        <f t="shared" si="15"/>
        <v>11036.304</v>
      </c>
      <c r="H29" s="67">
        <f t="shared" si="16"/>
        <v>2921.8438124101936</v>
      </c>
      <c r="I29" s="67">
        <f t="shared" si="16"/>
        <v>5743.8498738141207</v>
      </c>
      <c r="J29" s="67">
        <f t="shared" si="16"/>
        <v>4591.5827890020819</v>
      </c>
      <c r="K29" s="89">
        <v>0</v>
      </c>
      <c r="L29" s="90">
        <v>0</v>
      </c>
      <c r="M29" s="91">
        <f t="shared" si="17"/>
        <v>156425.09898622433</v>
      </c>
      <c r="N29" s="92">
        <f t="shared" si="18"/>
        <v>2945.8587379703263</v>
      </c>
      <c r="O29" s="92">
        <f t="shared" si="19"/>
        <v>146089.66632340814</v>
      </c>
      <c r="P29" s="92">
        <f t="shared" si="20"/>
        <v>2751.2178215331096</v>
      </c>
      <c r="Q29" s="93">
        <v>3400</v>
      </c>
      <c r="R29" s="95">
        <f t="shared" si="21"/>
        <v>180540</v>
      </c>
      <c r="S29" s="95">
        <f t="shared" si="22"/>
        <v>24114.90101377567</v>
      </c>
      <c r="T29" s="94">
        <f t="shared" si="23"/>
        <v>0.13357095942049224</v>
      </c>
      <c r="U29" s="95">
        <f t="shared" si="24"/>
        <v>34450.333676591865</v>
      </c>
      <c r="V29" s="94"/>
      <c r="W29" s="67"/>
    </row>
    <row r="30" spans="2:23" ht="15" thickBot="1" x14ac:dyDescent="0.35">
      <c r="C30" s="69" t="s">
        <v>94</v>
      </c>
      <c r="D30" s="87">
        <v>27</v>
      </c>
      <c r="E30" s="88">
        <f>E10</f>
        <v>2246.62</v>
      </c>
      <c r="F30" s="67">
        <f t="shared" si="14"/>
        <v>60658.74</v>
      </c>
      <c r="G30" s="67">
        <f t="shared" si="15"/>
        <v>5611.68</v>
      </c>
      <c r="H30" s="67">
        <f t="shared" si="16"/>
        <v>1485.6832944458611</v>
      </c>
      <c r="I30" s="67">
        <f t="shared" si="16"/>
        <v>2920.6016307529426</v>
      </c>
      <c r="J30" s="67">
        <f t="shared" si="16"/>
        <v>2334.7031130519058</v>
      </c>
      <c r="K30" s="89">
        <v>0</v>
      </c>
      <c r="L30" s="90">
        <v>0</v>
      </c>
      <c r="M30" s="91">
        <f t="shared" si="17"/>
        <v>70676.704925198806</v>
      </c>
      <c r="N30" s="92">
        <f t="shared" si="18"/>
        <v>2617.6557379703263</v>
      </c>
      <c r="O30" s="92">
        <f t="shared" si="19"/>
        <v>65421.400181393954</v>
      </c>
      <c r="P30" s="92">
        <f t="shared" si="20"/>
        <v>2423.0148215331096</v>
      </c>
      <c r="Q30" s="93">
        <v>1800</v>
      </c>
      <c r="R30" s="95">
        <f t="shared" si="21"/>
        <v>48600</v>
      </c>
      <c r="S30" s="95">
        <f t="shared" si="22"/>
        <v>-22076.704925198806</v>
      </c>
      <c r="T30" s="94">
        <f t="shared" si="23"/>
        <v>-0.45425318776129231</v>
      </c>
      <c r="U30" s="95">
        <f t="shared" si="24"/>
        <v>-16821.400181393961</v>
      </c>
      <c r="V30" s="94"/>
      <c r="W30" s="67"/>
    </row>
    <row r="31" spans="2:23" ht="15" thickBot="1" x14ac:dyDescent="0.35">
      <c r="C31" s="112" t="s">
        <v>119</v>
      </c>
      <c r="D31" s="97">
        <f>SUM(D25:D30)</f>
        <v>1403.1</v>
      </c>
      <c r="E31" s="98">
        <f>F31/D31</f>
        <v>2286.7876311738296</v>
      </c>
      <c r="F31" s="99">
        <f t="shared" ref="F31:K31" si="27">SUM(F25:F30)</f>
        <v>3208591.7253</v>
      </c>
      <c r="G31" s="99">
        <f t="shared" si="27"/>
        <v>291620.304</v>
      </c>
      <c r="H31" s="99">
        <f t="shared" si="27"/>
        <v>77206.008534703244</v>
      </c>
      <c r="I31" s="99">
        <f t="shared" si="27"/>
        <v>151773.93141146126</v>
      </c>
      <c r="J31" s="99">
        <f t="shared" si="27"/>
        <v>121326.73844159738</v>
      </c>
      <c r="K31" s="99">
        <f t="shared" si="27"/>
        <v>0</v>
      </c>
      <c r="L31" s="100">
        <v>0</v>
      </c>
      <c r="M31" s="101">
        <f>SUM(M25:M30)</f>
        <v>3729191.969246164</v>
      </c>
      <c r="N31" s="101">
        <f>IFERROR(M31/D31,0)</f>
        <v>2657.8233691441551</v>
      </c>
      <c r="O31" s="101">
        <f>SUM(O25:O30)</f>
        <v>3456091.2993931053</v>
      </c>
      <c r="P31" s="101">
        <f>IFERROR(O31/D31,0)</f>
        <v>2463.1824527069384</v>
      </c>
      <c r="Q31" s="102">
        <f>R31/D31</f>
        <v>2449.3906350224506</v>
      </c>
      <c r="R31" s="103">
        <f>SUM(R25:R30)</f>
        <v>3436740</v>
      </c>
      <c r="S31" s="103">
        <f>SUM(S25:S30)</f>
        <v>-292451.96924616391</v>
      </c>
      <c r="T31" s="104">
        <f>S31/R31</f>
        <v>-8.5095750404791726E-2</v>
      </c>
      <c r="U31" s="103">
        <f>SUM(U25:U30)</f>
        <v>-19351.299393105503</v>
      </c>
      <c r="V31" s="104">
        <f>IFERROR(U31/R31,0)</f>
        <v>-5.6307138139939312E-3</v>
      </c>
      <c r="W31" s="67"/>
    </row>
    <row r="32" spans="2:23" ht="15" thickBot="1" x14ac:dyDescent="0.35">
      <c r="G32" s="67"/>
      <c r="J32" s="73"/>
      <c r="L32" s="51"/>
      <c r="N32" s="106"/>
      <c r="O32" s="106"/>
      <c r="P32" s="106"/>
      <c r="Q32" s="106"/>
      <c r="R32" s="106"/>
      <c r="S32" s="106"/>
      <c r="T32" s="106"/>
      <c r="U32" s="106"/>
      <c r="V32" s="106"/>
      <c r="W32" s="67"/>
    </row>
    <row r="33" spans="3:23" ht="15" thickBot="1" x14ac:dyDescent="0.35">
      <c r="C33" s="112" t="s">
        <v>119</v>
      </c>
      <c r="D33" s="97">
        <f>D20+D31</f>
        <v>2831.152</v>
      </c>
      <c r="E33" s="98">
        <f>F33/D33</f>
        <v>2160.9072242541079</v>
      </c>
      <c r="F33" s="99">
        <f t="shared" ref="F33:M33" si="28">F20+F31</f>
        <v>6117856.8097614665</v>
      </c>
      <c r="G33" s="99">
        <f t="shared" si="28"/>
        <v>588426.63167999987</v>
      </c>
      <c r="H33" s="99">
        <f t="shared" si="28"/>
        <v>155785.00853470329</v>
      </c>
      <c r="I33" s="99">
        <f t="shared" si="28"/>
        <v>306246.93141146132</v>
      </c>
      <c r="J33" s="99">
        <f t="shared" si="28"/>
        <v>244811.08844159739</v>
      </c>
      <c r="K33" s="99">
        <f t="shared" si="28"/>
        <v>0</v>
      </c>
      <c r="L33" s="100">
        <f t="shared" si="28"/>
        <v>0</v>
      </c>
      <c r="M33" s="101">
        <f t="shared" si="28"/>
        <v>7168315.3813876305</v>
      </c>
      <c r="N33" s="101">
        <f>IFERROR(M33/D33,0)</f>
        <v>2531.9429622244338</v>
      </c>
      <c r="O33" s="101">
        <f>O20+O31</f>
        <v>6617257.3615345713</v>
      </c>
      <c r="P33" s="101">
        <f>IFERROR(O33/D33,0)</f>
        <v>2337.3020457872171</v>
      </c>
      <c r="Q33" s="102">
        <f>R33/D33</f>
        <v>2404.8697491339217</v>
      </c>
      <c r="R33" s="103">
        <f>R20+R31</f>
        <v>6808551.8000000007</v>
      </c>
      <c r="S33" s="103">
        <f>S20+S31</f>
        <v>-359763.58138763037</v>
      </c>
      <c r="T33" s="104">
        <f>S33/R33</f>
        <v>-5.2839956565745791E-2</v>
      </c>
      <c r="U33" s="103">
        <f>U20+U31</f>
        <v>191294.43846542816</v>
      </c>
      <c r="V33" s="104">
        <f>IFERROR(U33/R33,0)</f>
        <v>2.8096200790515852E-2</v>
      </c>
    </row>
    <row r="34" spans="3:23" x14ac:dyDescent="0.3">
      <c r="L34" s="51"/>
      <c r="N34" s="67"/>
      <c r="O34" s="106"/>
      <c r="P34" s="106"/>
      <c r="Q34" s="106"/>
      <c r="R34" s="106"/>
      <c r="S34" s="106"/>
      <c r="T34" s="106"/>
      <c r="U34" s="106"/>
      <c r="V34" s="106"/>
      <c r="W34" s="67"/>
    </row>
    <row r="35" spans="3:23" x14ac:dyDescent="0.3">
      <c r="L35" s="51"/>
      <c r="N35" s="67"/>
      <c r="O35" s="106"/>
      <c r="P35" s="106"/>
      <c r="Q35" s="106"/>
      <c r="R35" s="106"/>
      <c r="S35" s="106"/>
      <c r="T35" s="106"/>
      <c r="U35" s="106"/>
      <c r="V35" s="106"/>
      <c r="W35" s="67"/>
    </row>
    <row r="36" spans="3:23" x14ac:dyDescent="0.3">
      <c r="C36" s="113" t="s">
        <v>121</v>
      </c>
      <c r="L36" s="51"/>
      <c r="N36" s="67"/>
      <c r="O36" s="106"/>
      <c r="P36" s="106"/>
      <c r="Q36" s="106"/>
      <c r="R36" s="106"/>
      <c r="S36" s="106"/>
      <c r="T36" s="106"/>
      <c r="U36" s="106"/>
      <c r="V36" s="106"/>
      <c r="W36" s="67"/>
    </row>
    <row r="37" spans="3:23" ht="15" thickBot="1" x14ac:dyDescent="0.35">
      <c r="L37" s="51"/>
      <c r="N37" s="67"/>
      <c r="O37" s="106"/>
      <c r="P37" s="106"/>
      <c r="Q37" s="106"/>
      <c r="R37" s="106"/>
      <c r="S37" s="106"/>
      <c r="T37" s="106"/>
      <c r="U37" s="106"/>
      <c r="V37" s="106"/>
      <c r="W37" s="67"/>
    </row>
    <row r="38" spans="3:23" ht="29.4" thickBot="1" x14ac:dyDescent="0.35">
      <c r="C38" s="8" t="s">
        <v>106</v>
      </c>
      <c r="D38" s="79" t="s">
        <v>107</v>
      </c>
      <c r="E38" s="80" t="s">
        <v>108</v>
      </c>
      <c r="F38" s="81" t="s">
        <v>66</v>
      </c>
      <c r="G38" s="82" t="s">
        <v>67</v>
      </c>
      <c r="H38" s="82" t="s">
        <v>68</v>
      </c>
      <c r="I38" s="82" t="s">
        <v>69</v>
      </c>
      <c r="J38" s="82" t="s">
        <v>70</v>
      </c>
      <c r="K38" s="82" t="s">
        <v>71</v>
      </c>
      <c r="L38" s="83" t="s">
        <v>72</v>
      </c>
      <c r="M38" s="84" t="s">
        <v>109</v>
      </c>
      <c r="N38" s="114" t="s">
        <v>110</v>
      </c>
      <c r="O38" s="115" t="s">
        <v>122</v>
      </c>
      <c r="P38" s="116" t="s">
        <v>123</v>
      </c>
      <c r="Q38" s="116" t="s">
        <v>71</v>
      </c>
      <c r="R38" s="116" t="s">
        <v>72</v>
      </c>
      <c r="S38" s="106" t="s">
        <v>124</v>
      </c>
      <c r="T38" s="106" t="s">
        <v>125</v>
      </c>
      <c r="U38" s="106" t="s">
        <v>126</v>
      </c>
      <c r="V38" s="106" t="s">
        <v>127</v>
      </c>
      <c r="W38" s="117" t="s">
        <v>128</v>
      </c>
    </row>
    <row r="39" spans="3:23" x14ac:dyDescent="0.3">
      <c r="C39" s="68" t="s">
        <v>91</v>
      </c>
      <c r="D39" s="87">
        <f>D7+D25</f>
        <v>633.98</v>
      </c>
      <c r="E39" s="88">
        <f>IFERROR(F39/D39,0)</f>
        <v>1831.1059999999998</v>
      </c>
      <c r="F39" s="54">
        <f>F7+F25</f>
        <v>1160884.58188</v>
      </c>
      <c r="G39" s="54">
        <f t="shared" ref="G39:J39" si="29">G7+G25</f>
        <v>131766.4032</v>
      </c>
      <c r="H39" s="54">
        <f t="shared" si="29"/>
        <v>34884.944259732853</v>
      </c>
      <c r="I39" s="54">
        <f t="shared" si="29"/>
        <v>68577.88969869446</v>
      </c>
      <c r="J39" s="54">
        <f t="shared" si="29"/>
        <v>54820.558504172121</v>
      </c>
      <c r="K39" s="89">
        <v>0</v>
      </c>
      <c r="L39" s="90">
        <v>0</v>
      </c>
      <c r="M39" s="91">
        <f t="shared" ref="M39:M49" si="30">F39+G39+H39+I39</f>
        <v>1396113.8190384274</v>
      </c>
      <c r="N39" s="118">
        <f t="shared" ref="N39:N50" si="31">IFERROR(M39/D39,0)</f>
        <v>2202.1417379703262</v>
      </c>
      <c r="O39" s="119">
        <v>2500</v>
      </c>
      <c r="P39" s="120">
        <f t="shared" ref="P39:P49" si="32">O39*D39</f>
        <v>1584950</v>
      </c>
      <c r="Q39" s="120">
        <f t="shared" ref="Q39:Q49" si="33">P39-M39</f>
        <v>188836.18096157257</v>
      </c>
      <c r="R39" s="121">
        <f t="shared" ref="R39:R50" si="34">Q39/P39</f>
        <v>0.11914330481186951</v>
      </c>
      <c r="S39" s="106">
        <f>Q25</f>
        <v>1500</v>
      </c>
      <c r="T39" s="106">
        <f t="shared" ref="T39:T49" si="35">S39*D39</f>
        <v>950970</v>
      </c>
      <c r="U39" s="106">
        <f>T39-M39</f>
        <v>-445143.81903842743</v>
      </c>
      <c r="V39" s="106">
        <f>Q39-U39</f>
        <v>633980</v>
      </c>
      <c r="W39" s="117">
        <f t="shared" ref="W39:W50" si="36">Q39+I39+J39</f>
        <v>312234.62916443916</v>
      </c>
    </row>
    <row r="40" spans="3:23" x14ac:dyDescent="0.3">
      <c r="C40" s="69" t="s">
        <v>92</v>
      </c>
      <c r="D40" s="87">
        <f t="shared" ref="D40:J49" si="37">D8</f>
        <v>384.74</v>
      </c>
      <c r="E40" s="88">
        <f t="shared" ref="E40:E49" si="38">IFERROR(F40/D40,0)</f>
        <v>1793.3260000000002</v>
      </c>
      <c r="F40" s="54">
        <f t="shared" si="37"/>
        <v>689964.24524000008</v>
      </c>
      <c r="G40" s="54">
        <f t="shared" si="37"/>
        <v>79964.361600000004</v>
      </c>
      <c r="H40" s="54">
        <f t="shared" si="37"/>
        <v>21170.436692781499</v>
      </c>
      <c r="I40" s="54">
        <f t="shared" si="37"/>
        <v>41617.49153392174</v>
      </c>
      <c r="J40" s="54">
        <f t="shared" si="37"/>
        <v>33268.654656132967</v>
      </c>
      <c r="K40" s="89">
        <v>0</v>
      </c>
      <c r="L40" s="90">
        <v>0</v>
      </c>
      <c r="M40" s="91">
        <f t="shared" si="30"/>
        <v>832716.53506670333</v>
      </c>
      <c r="N40" s="118">
        <f t="shared" si="31"/>
        <v>2164.3617379703264</v>
      </c>
      <c r="O40" s="119">
        <v>1400</v>
      </c>
      <c r="P40" s="120">
        <f t="shared" si="32"/>
        <v>538636</v>
      </c>
      <c r="Q40" s="120">
        <f t="shared" si="33"/>
        <v>-294080.53506670333</v>
      </c>
      <c r="R40" s="121">
        <f t="shared" si="34"/>
        <v>-0.54597266997880445</v>
      </c>
      <c r="S40" s="106">
        <f t="shared" ref="S40:S49" si="39">Q8</f>
        <v>1400</v>
      </c>
      <c r="T40" s="106">
        <f t="shared" si="35"/>
        <v>538636</v>
      </c>
      <c r="U40" s="106">
        <f t="shared" ref="U40:U49" si="40">T40-M40</f>
        <v>-294080.53506670333</v>
      </c>
      <c r="V40" s="106">
        <f t="shared" ref="V40:V49" si="41">Q40-U40</f>
        <v>0</v>
      </c>
      <c r="W40" s="117">
        <f t="shared" si="36"/>
        <v>-219194.38887664862</v>
      </c>
    </row>
    <row r="41" spans="3:23" x14ac:dyDescent="0.3">
      <c r="C41" s="69" t="s">
        <v>93</v>
      </c>
      <c r="D41" s="87">
        <f>D9+D26</f>
        <v>71.86</v>
      </c>
      <c r="E41" s="88">
        <f t="shared" si="38"/>
        <v>1652.0360000000003</v>
      </c>
      <c r="F41" s="54">
        <f>F9+F26</f>
        <v>118715.30696000002</v>
      </c>
      <c r="G41" s="54">
        <f t="shared" ref="G41:J41" si="42">G9+G26</f>
        <v>14935.3824</v>
      </c>
      <c r="H41" s="54">
        <f t="shared" si="42"/>
        <v>3954.1185755140582</v>
      </c>
      <c r="I41" s="54">
        <f t="shared" si="42"/>
        <v>7773.1271550335714</v>
      </c>
      <c r="J41" s="54">
        <f t="shared" si="42"/>
        <v>6213.7691001448129</v>
      </c>
      <c r="K41" s="89">
        <v>0</v>
      </c>
      <c r="L41" s="90">
        <v>0</v>
      </c>
      <c r="M41" s="91">
        <f t="shared" si="30"/>
        <v>145377.93509054766</v>
      </c>
      <c r="N41" s="118">
        <f t="shared" si="31"/>
        <v>2023.0717379703265</v>
      </c>
      <c r="O41" s="119">
        <v>2400</v>
      </c>
      <c r="P41" s="120">
        <f t="shared" si="32"/>
        <v>172464</v>
      </c>
      <c r="Q41" s="120">
        <f t="shared" si="33"/>
        <v>27086.06490945234</v>
      </c>
      <c r="R41" s="121">
        <f t="shared" si="34"/>
        <v>0.15705344251236397</v>
      </c>
      <c r="S41" s="106">
        <f t="shared" si="39"/>
        <v>1950</v>
      </c>
      <c r="T41" s="106">
        <f t="shared" si="35"/>
        <v>140127</v>
      </c>
      <c r="U41" s="106">
        <f t="shared" si="40"/>
        <v>-5250.9350905476604</v>
      </c>
      <c r="V41" s="106">
        <f t="shared" si="41"/>
        <v>32337</v>
      </c>
      <c r="W41" s="117">
        <f t="shared" si="36"/>
        <v>41072.961164630724</v>
      </c>
    </row>
    <row r="42" spans="3:23" x14ac:dyDescent="0.3">
      <c r="C42" s="69" t="s">
        <v>94</v>
      </c>
      <c r="D42" s="87">
        <f>D10+D30</f>
        <v>165.71799999999999</v>
      </c>
      <c r="E42" s="88">
        <f t="shared" si="38"/>
        <v>2246.62</v>
      </c>
      <c r="F42" s="54">
        <f>F10+F30</f>
        <v>372305.37315999996</v>
      </c>
      <c r="G42" s="54">
        <f t="shared" ref="G42:J42" si="43">G10+G30</f>
        <v>34442.829120000002</v>
      </c>
      <c r="H42" s="54">
        <f t="shared" si="43"/>
        <v>9118.68385885108</v>
      </c>
      <c r="I42" s="54">
        <f t="shared" si="43"/>
        <v>17925.78744611541</v>
      </c>
      <c r="J42" s="54">
        <f t="shared" si="43"/>
        <v>14329.71594402725</v>
      </c>
      <c r="K42" s="89">
        <v>0</v>
      </c>
      <c r="L42" s="90">
        <v>0</v>
      </c>
      <c r="M42" s="91">
        <f t="shared" si="30"/>
        <v>433792.67358496645</v>
      </c>
      <c r="N42" s="118">
        <f t="shared" si="31"/>
        <v>2617.6557379703258</v>
      </c>
      <c r="O42" s="119">
        <v>2500</v>
      </c>
      <c r="P42" s="120">
        <f t="shared" si="32"/>
        <v>414295</v>
      </c>
      <c r="Q42" s="122">
        <f t="shared" si="33"/>
        <v>-19497.673584966455</v>
      </c>
      <c r="R42" s="123">
        <f t="shared" si="34"/>
        <v>-4.7062295188130328E-2</v>
      </c>
      <c r="S42" s="124">
        <f>Q10</f>
        <v>1700</v>
      </c>
      <c r="T42" s="124">
        <f t="shared" si="35"/>
        <v>281720.59999999998</v>
      </c>
      <c r="U42" s="124">
        <f t="shared" si="40"/>
        <v>-152072.07358496648</v>
      </c>
      <c r="V42" s="124">
        <f t="shared" si="41"/>
        <v>132574.40000000002</v>
      </c>
      <c r="W42" s="117">
        <f t="shared" si="36"/>
        <v>12757.829805176205</v>
      </c>
    </row>
    <row r="43" spans="3:23" x14ac:dyDescent="0.3">
      <c r="C43" s="69" t="s">
        <v>95</v>
      </c>
      <c r="D43" s="87">
        <f>D11+D27</f>
        <v>405.72</v>
      </c>
      <c r="E43" s="88">
        <f t="shared" si="38"/>
        <v>1783.9849999999999</v>
      </c>
      <c r="F43" s="54">
        <f>F11+F27</f>
        <v>723798.39419999998</v>
      </c>
      <c r="G43" s="54">
        <f t="shared" ref="G43:J43" si="44">G11+G27</f>
        <v>84324.844800000006</v>
      </c>
      <c r="H43" s="54">
        <f t="shared" si="44"/>
        <v>22324.867637873136</v>
      </c>
      <c r="I43" s="54">
        <f t="shared" si="44"/>
        <v>43886.907171447543</v>
      </c>
      <c r="J43" s="54">
        <f t="shared" si="44"/>
        <v>35082.80544545997</v>
      </c>
      <c r="K43" s="89">
        <v>0</v>
      </c>
      <c r="L43" s="90">
        <v>0</v>
      </c>
      <c r="M43" s="91">
        <f t="shared" si="30"/>
        <v>874335.01380932063</v>
      </c>
      <c r="N43" s="118">
        <f t="shared" si="31"/>
        <v>2155.0207379703256</v>
      </c>
      <c r="O43" s="119">
        <v>2800</v>
      </c>
      <c r="P43" s="120">
        <f t="shared" si="32"/>
        <v>1136016</v>
      </c>
      <c r="Q43" s="125">
        <f t="shared" si="33"/>
        <v>261680.98619067937</v>
      </c>
      <c r="R43" s="121">
        <f t="shared" si="34"/>
        <v>0.23034973643916931</v>
      </c>
      <c r="S43" s="67">
        <f t="shared" si="39"/>
        <v>2700</v>
      </c>
      <c r="T43" s="54">
        <f t="shared" si="35"/>
        <v>1095444</v>
      </c>
      <c r="U43" s="67">
        <f t="shared" si="40"/>
        <v>221108.98619067937</v>
      </c>
      <c r="V43" s="67">
        <f t="shared" si="41"/>
        <v>40572</v>
      </c>
      <c r="W43" s="117">
        <f t="shared" si="36"/>
        <v>340650.69880758686</v>
      </c>
    </row>
    <row r="44" spans="3:23" x14ac:dyDescent="0.3">
      <c r="C44" s="69" t="s">
        <v>96</v>
      </c>
      <c r="D44" s="87">
        <f t="shared" si="37"/>
        <v>110.22</v>
      </c>
      <c r="E44" s="88">
        <f t="shared" si="38"/>
        <v>1712.173</v>
      </c>
      <c r="F44" s="54">
        <f t="shared" si="37"/>
        <v>188715.70806</v>
      </c>
      <c r="G44" s="54">
        <f t="shared" si="37"/>
        <v>22908.124800000001</v>
      </c>
      <c r="H44" s="54">
        <f t="shared" si="37"/>
        <v>6064.889359771214</v>
      </c>
      <c r="I44" s="54">
        <f t="shared" si="37"/>
        <v>11922.54487931812</v>
      </c>
      <c r="J44" s="54">
        <f t="shared" si="37"/>
        <v>9530.7769303918922</v>
      </c>
      <c r="K44" s="89">
        <v>0</v>
      </c>
      <c r="L44" s="90">
        <v>0</v>
      </c>
      <c r="M44" s="91">
        <f t="shared" si="30"/>
        <v>229611.26709908934</v>
      </c>
      <c r="N44" s="118">
        <f t="shared" si="31"/>
        <v>2083.2087379703262</v>
      </c>
      <c r="O44" s="119">
        <v>2800</v>
      </c>
      <c r="P44" s="120">
        <f t="shared" si="32"/>
        <v>308616</v>
      </c>
      <c r="Q44" s="125">
        <f t="shared" si="33"/>
        <v>79004.732900910662</v>
      </c>
      <c r="R44" s="121">
        <f t="shared" si="34"/>
        <v>0.2559968792963121</v>
      </c>
      <c r="S44" s="67">
        <f t="shared" si="39"/>
        <v>2800</v>
      </c>
      <c r="T44" s="54">
        <f t="shared" si="35"/>
        <v>308616</v>
      </c>
      <c r="U44" s="67">
        <f t="shared" si="40"/>
        <v>79004.732900910662</v>
      </c>
      <c r="V44" s="67">
        <f t="shared" si="41"/>
        <v>0</v>
      </c>
      <c r="W44" s="117">
        <f t="shared" si="36"/>
        <v>100458.05471062068</v>
      </c>
    </row>
    <row r="45" spans="3:23" x14ac:dyDescent="0.3">
      <c r="C45" s="69" t="s">
        <v>13</v>
      </c>
      <c r="D45" s="87">
        <f>D13</f>
        <v>0</v>
      </c>
      <c r="E45" s="88">
        <f t="shared" si="38"/>
        <v>0</v>
      </c>
      <c r="F45" s="54">
        <f t="shared" si="37"/>
        <v>0</v>
      </c>
      <c r="G45" s="54">
        <f t="shared" si="37"/>
        <v>0</v>
      </c>
      <c r="H45" s="54">
        <f t="shared" si="37"/>
        <v>0</v>
      </c>
      <c r="I45" s="54">
        <f t="shared" si="37"/>
        <v>0</v>
      </c>
      <c r="J45" s="54">
        <f t="shared" si="37"/>
        <v>0</v>
      </c>
      <c r="K45" s="89">
        <v>0</v>
      </c>
      <c r="L45" s="90">
        <v>0</v>
      </c>
      <c r="M45" s="91">
        <f t="shared" si="30"/>
        <v>0</v>
      </c>
      <c r="N45" s="118">
        <f t="shared" si="31"/>
        <v>0</v>
      </c>
      <c r="O45" s="119">
        <v>1800</v>
      </c>
      <c r="P45" s="120">
        <f t="shared" si="32"/>
        <v>0</v>
      </c>
      <c r="Q45" s="125">
        <f t="shared" si="33"/>
        <v>0</v>
      </c>
      <c r="R45" s="121" t="e">
        <f t="shared" si="34"/>
        <v>#DIV/0!</v>
      </c>
      <c r="S45" s="67">
        <f t="shared" si="39"/>
        <v>1700</v>
      </c>
      <c r="T45" s="54">
        <f t="shared" si="35"/>
        <v>0</v>
      </c>
      <c r="U45" s="67">
        <f t="shared" si="40"/>
        <v>0</v>
      </c>
      <c r="V45" s="67">
        <f t="shared" si="41"/>
        <v>0</v>
      </c>
      <c r="W45" s="117">
        <f t="shared" si="36"/>
        <v>0</v>
      </c>
    </row>
    <row r="46" spans="3:23" x14ac:dyDescent="0.3">
      <c r="C46" s="69" t="s">
        <v>97</v>
      </c>
      <c r="D46" s="87">
        <f>D14+D28+D18</f>
        <v>613.96</v>
      </c>
      <c r="E46" s="88">
        <f t="shared" si="38"/>
        <v>2841.199032901166</v>
      </c>
      <c r="F46" s="54">
        <f t="shared" ref="F46:J47" si="45">F14+F28+F18</f>
        <v>1744382.5582399999</v>
      </c>
      <c r="G46" s="54">
        <f t="shared" si="45"/>
        <v>127605.44640000002</v>
      </c>
      <c r="H46" s="54">
        <f t="shared" si="45"/>
        <v>33783.337609554845</v>
      </c>
      <c r="I46" s="54">
        <f t="shared" si="45"/>
        <v>66412.317674706544</v>
      </c>
      <c r="J46" s="54">
        <f t="shared" si="45"/>
        <v>53089.419381086962</v>
      </c>
      <c r="K46" s="89">
        <v>0</v>
      </c>
      <c r="L46" s="90">
        <v>0</v>
      </c>
      <c r="M46" s="91">
        <f t="shared" si="30"/>
        <v>1972183.6599242613</v>
      </c>
      <c r="N46" s="118">
        <f t="shared" si="31"/>
        <v>3212.2347708714919</v>
      </c>
      <c r="O46" s="119">
        <v>4000</v>
      </c>
      <c r="P46" s="120">
        <f t="shared" si="32"/>
        <v>2455840</v>
      </c>
      <c r="Q46" s="126">
        <f t="shared" si="33"/>
        <v>483656.34007573873</v>
      </c>
      <c r="R46" s="121">
        <f t="shared" si="34"/>
        <v>0.19694130728212697</v>
      </c>
      <c r="S46" s="127">
        <f t="shared" si="39"/>
        <v>3500</v>
      </c>
      <c r="T46" s="54">
        <f t="shared" si="35"/>
        <v>2148860</v>
      </c>
      <c r="U46" s="127">
        <f t="shared" si="40"/>
        <v>176676.34007573873</v>
      </c>
      <c r="V46" s="127">
        <f t="shared" si="41"/>
        <v>306980</v>
      </c>
      <c r="W46" s="117">
        <f t="shared" si="36"/>
        <v>603158.07713153225</v>
      </c>
    </row>
    <row r="47" spans="3:23" x14ac:dyDescent="0.3">
      <c r="C47" s="69" t="s">
        <v>98</v>
      </c>
      <c r="D47" s="87">
        <f>D15+D29+D19</f>
        <v>382.55799999999999</v>
      </c>
      <c r="E47" s="88">
        <f>IFERROR(F47/D47,0)</f>
        <v>2574.8229999999994</v>
      </c>
      <c r="F47" s="54">
        <f>F15+F29+F19</f>
        <v>985019.13723399979</v>
      </c>
      <c r="G47" s="54">
        <f t="shared" si="45"/>
        <v>79510.854720000003</v>
      </c>
      <c r="H47" s="54">
        <f t="shared" si="45"/>
        <v>21050.371472467392</v>
      </c>
      <c r="I47" s="54">
        <f t="shared" si="45"/>
        <v>41381.463653984589</v>
      </c>
      <c r="J47" s="54">
        <f t="shared" si="45"/>
        <v>33079.976056404113</v>
      </c>
      <c r="K47" s="89">
        <v>0</v>
      </c>
      <c r="L47" s="90">
        <v>0</v>
      </c>
      <c r="M47" s="91">
        <f t="shared" si="30"/>
        <v>1126961.8270804517</v>
      </c>
      <c r="N47" s="118">
        <f t="shared" si="31"/>
        <v>2945.8587379703254</v>
      </c>
      <c r="O47" s="119">
        <v>4000</v>
      </c>
      <c r="P47" s="120">
        <f t="shared" si="32"/>
        <v>1530232</v>
      </c>
      <c r="Q47" s="125">
        <f t="shared" si="33"/>
        <v>403270.17291954835</v>
      </c>
      <c r="R47" s="121">
        <f t="shared" si="34"/>
        <v>0.26353531550741871</v>
      </c>
      <c r="S47" s="67">
        <f t="shared" si="39"/>
        <v>3500</v>
      </c>
      <c r="T47" s="54">
        <f t="shared" si="35"/>
        <v>1338953</v>
      </c>
      <c r="U47" s="67">
        <f t="shared" si="40"/>
        <v>211991.17291954835</v>
      </c>
      <c r="V47" s="67">
        <f t="shared" si="41"/>
        <v>191279</v>
      </c>
      <c r="W47" s="117">
        <f t="shared" si="36"/>
        <v>477731.61262993707</v>
      </c>
    </row>
    <row r="48" spans="3:23" x14ac:dyDescent="0.3">
      <c r="C48" s="69" t="s">
        <v>99</v>
      </c>
      <c r="D48" s="87">
        <f>D16</f>
        <v>21.28</v>
      </c>
      <c r="E48" s="88">
        <f t="shared" si="38"/>
        <v>3230.8044090056305</v>
      </c>
      <c r="F48" s="54">
        <f t="shared" si="37"/>
        <v>68751.517823639821</v>
      </c>
      <c r="G48" s="54">
        <f t="shared" si="37"/>
        <v>4422.8352000000004</v>
      </c>
      <c r="H48" s="54">
        <f t="shared" si="37"/>
        <v>1170.9385372521451</v>
      </c>
      <c r="I48" s="54">
        <f t="shared" si="37"/>
        <v>2301.8667667563932</v>
      </c>
      <c r="J48" s="54">
        <f t="shared" si="37"/>
        <v>1840.0919350275763</v>
      </c>
      <c r="K48" s="89">
        <v>0</v>
      </c>
      <c r="L48" s="90">
        <v>0</v>
      </c>
      <c r="M48" s="91">
        <f t="shared" si="30"/>
        <v>76647.158327648358</v>
      </c>
      <c r="N48" s="118">
        <f t="shared" si="31"/>
        <v>3601.8401469759565</v>
      </c>
      <c r="O48" s="119">
        <v>1800</v>
      </c>
      <c r="P48" s="120">
        <f t="shared" si="32"/>
        <v>38304</v>
      </c>
      <c r="Q48" s="125">
        <f t="shared" si="33"/>
        <v>-38343.158327648358</v>
      </c>
      <c r="R48" s="121">
        <f t="shared" si="34"/>
        <v>-1.0010223038755315</v>
      </c>
      <c r="S48" s="67">
        <f t="shared" si="39"/>
        <v>2000</v>
      </c>
      <c r="T48" s="54">
        <f t="shared" si="35"/>
        <v>42560</v>
      </c>
      <c r="U48" s="67">
        <f t="shared" si="40"/>
        <v>-34087.158327648358</v>
      </c>
      <c r="V48" s="67">
        <f t="shared" si="41"/>
        <v>-4256</v>
      </c>
      <c r="W48" s="117">
        <f t="shared" si="36"/>
        <v>-34201.199625864392</v>
      </c>
    </row>
    <row r="49" spans="3:23" ht="15" thickBot="1" x14ac:dyDescent="0.35">
      <c r="C49" s="69" t="s">
        <v>100</v>
      </c>
      <c r="D49" s="87">
        <f>D17</f>
        <v>41.116</v>
      </c>
      <c r="E49" s="88">
        <f t="shared" si="38"/>
        <v>1588.6756241810206</v>
      </c>
      <c r="F49" s="54">
        <f t="shared" si="37"/>
        <v>65319.986963826843</v>
      </c>
      <c r="G49" s="54">
        <f t="shared" si="37"/>
        <v>8545.5494400000007</v>
      </c>
      <c r="H49" s="54">
        <f t="shared" si="37"/>
        <v>2262.4205309050376</v>
      </c>
      <c r="I49" s="54">
        <f t="shared" si="37"/>
        <v>4447.5354314828874</v>
      </c>
      <c r="J49" s="54">
        <f t="shared" si="37"/>
        <v>3555.3204887497095</v>
      </c>
      <c r="K49" s="89">
        <v>0</v>
      </c>
      <c r="L49" s="90">
        <v>0</v>
      </c>
      <c r="M49" s="91">
        <f t="shared" si="30"/>
        <v>80575.492366214778</v>
      </c>
      <c r="N49" s="118">
        <f t="shared" si="31"/>
        <v>1959.711362151347</v>
      </c>
      <c r="O49" s="119">
        <v>2000</v>
      </c>
      <c r="P49" s="125">
        <f t="shared" si="32"/>
        <v>82232</v>
      </c>
      <c r="Q49" s="125">
        <f t="shared" si="33"/>
        <v>1656.5076337852224</v>
      </c>
      <c r="R49" s="121">
        <f t="shared" si="34"/>
        <v>2.0144318924326568E-2</v>
      </c>
      <c r="S49" s="67">
        <f t="shared" si="39"/>
        <v>1700</v>
      </c>
      <c r="T49" s="54">
        <f t="shared" si="35"/>
        <v>69897.2</v>
      </c>
      <c r="U49" s="67">
        <f t="shared" si="40"/>
        <v>-10678.29236621478</v>
      </c>
      <c r="V49" s="67">
        <f t="shared" si="41"/>
        <v>12334.800000000003</v>
      </c>
      <c r="W49" s="117">
        <f t="shared" si="36"/>
        <v>9659.3635540178184</v>
      </c>
    </row>
    <row r="50" spans="3:23" ht="15" thickBot="1" x14ac:dyDescent="0.35">
      <c r="C50" s="112" t="s">
        <v>119</v>
      </c>
      <c r="D50" s="97">
        <f>SUM(D39:D49)</f>
        <v>2831.1520000000005</v>
      </c>
      <c r="E50" s="98">
        <f>F50/D50</f>
        <v>2160.9072242541079</v>
      </c>
      <c r="F50" s="99">
        <f t="shared" ref="F50:M50" si="46">SUM(F39:F49)</f>
        <v>6117856.8097614674</v>
      </c>
      <c r="G50" s="99">
        <f t="shared" si="46"/>
        <v>588426.63167999999</v>
      </c>
      <c r="H50" s="99">
        <f t="shared" si="46"/>
        <v>155785.00853470326</v>
      </c>
      <c r="I50" s="99">
        <f t="shared" si="46"/>
        <v>306246.93141146126</v>
      </c>
      <c r="J50" s="99">
        <f t="shared" si="46"/>
        <v>244811.08844159736</v>
      </c>
      <c r="K50" s="99">
        <f t="shared" si="46"/>
        <v>0</v>
      </c>
      <c r="L50" s="100">
        <v>0</v>
      </c>
      <c r="M50" s="101">
        <f t="shared" si="46"/>
        <v>7168315.3813876314</v>
      </c>
      <c r="N50" s="128">
        <f t="shared" si="31"/>
        <v>2531.9429622244338</v>
      </c>
      <c r="O50" s="129">
        <f>P50/D50</f>
        <v>2918.100123200732</v>
      </c>
      <c r="P50" s="130">
        <f>SUM(P39:P49)</f>
        <v>8261585</v>
      </c>
      <c r="Q50" s="130">
        <f>SUM(Q39:Q49)</f>
        <v>1093269.6186123691</v>
      </c>
      <c r="R50" s="131">
        <f t="shared" si="34"/>
        <v>0.1323317037363132</v>
      </c>
      <c r="S50" s="132">
        <f>T50/D50</f>
        <v>2442.7454972392857</v>
      </c>
      <c r="T50" s="132">
        <f>SUM(T39:T49)</f>
        <v>6915783.7999999998</v>
      </c>
      <c r="U50" s="132">
        <f>SUM(U39:U49)</f>
        <v>-252531.58138763095</v>
      </c>
      <c r="V50" s="132">
        <f>SUM(V39:V49)</f>
        <v>1345801.2</v>
      </c>
      <c r="W50" s="117">
        <f t="shared" si="36"/>
        <v>1644327.6384654276</v>
      </c>
    </row>
    <row r="51" spans="3:23" x14ac:dyDescent="0.3">
      <c r="Q51" s="67"/>
    </row>
    <row r="52" spans="3:23" x14ac:dyDescent="0.3">
      <c r="D52">
        <f>D50/3</f>
        <v>943.7173333333335</v>
      </c>
      <c r="M52" s="133"/>
      <c r="P52" s="54">
        <f>P50/3</f>
        <v>2753861.6666666665</v>
      </c>
    </row>
    <row r="53" spans="3:23" x14ac:dyDescent="0.3">
      <c r="M53" s="67"/>
      <c r="S53" s="67">
        <f>F50*7%/12</f>
        <v>35687.498056941899</v>
      </c>
      <c r="T53" t="s">
        <v>129</v>
      </c>
      <c r="U53" s="55"/>
    </row>
    <row r="54" spans="3:23" x14ac:dyDescent="0.3">
      <c r="D54" s="55"/>
      <c r="M54" s="73"/>
      <c r="S54" s="73">
        <f>S53/D50</f>
        <v>12.605292141482298</v>
      </c>
      <c r="T54" t="s">
        <v>130</v>
      </c>
    </row>
    <row r="55" spans="3:23" x14ac:dyDescent="0.3">
      <c r="S55">
        <f>42/6*D31</f>
        <v>9821.6999999999989</v>
      </c>
      <c r="T55" t="s">
        <v>131</v>
      </c>
    </row>
    <row r="56" spans="3:23" x14ac:dyDescent="0.3">
      <c r="S56" s="73"/>
    </row>
    <row r="57" spans="3:23" x14ac:dyDescent="0.3">
      <c r="S57" s="73"/>
    </row>
  </sheetData>
  <mergeCells count="1">
    <mergeCell ref="F5:V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DC19-D973-460B-8CAC-F870E9352FE4}">
  <dimension ref="B3:K20"/>
  <sheetViews>
    <sheetView topLeftCell="C1" zoomScale="90" zoomScaleNormal="90" workbookViewId="0">
      <selection activeCell="H27" sqref="H27"/>
    </sheetView>
  </sheetViews>
  <sheetFormatPr baseColWidth="10" defaultRowHeight="14.4" x14ac:dyDescent="0.3"/>
  <cols>
    <col min="4" max="4" width="23.77734375" bestFit="1" customWidth="1"/>
    <col min="5" max="5" width="17.44140625" bestFit="1" customWidth="1"/>
    <col min="6" max="6" width="19.3320312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3" spans="2:11" x14ac:dyDescent="0.3">
      <c r="E3" s="65" t="s">
        <v>83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</row>
    <row r="4" spans="2:11" x14ac:dyDescent="0.3">
      <c r="B4" s="1" t="b">
        <f t="shared" ref="B4:B14" si="0">C4=E4</f>
        <v>1</v>
      </c>
      <c r="C4" s="66">
        <v>10005721</v>
      </c>
      <c r="D4" s="68" t="s">
        <v>91</v>
      </c>
      <c r="E4" s="66">
        <v>10005721</v>
      </c>
      <c r="F4" s="67">
        <v>66.98</v>
      </c>
      <c r="G4" s="67">
        <v>122647.47988</v>
      </c>
      <c r="H4" s="67">
        <v>13921.1232</v>
      </c>
      <c r="I4" s="67">
        <v>3685.5950763697688</v>
      </c>
      <c r="J4" s="67">
        <v>7245.2554528826695</v>
      </c>
      <c r="K4" s="67">
        <v>5791.7931300820992</v>
      </c>
    </row>
    <row r="5" spans="2:11" x14ac:dyDescent="0.3">
      <c r="B5" s="1" t="b">
        <f t="shared" si="0"/>
        <v>1</v>
      </c>
      <c r="C5" s="66">
        <v>10005779</v>
      </c>
      <c r="D5" s="69" t="s">
        <v>92</v>
      </c>
      <c r="E5" s="66">
        <v>10005779</v>
      </c>
      <c r="F5" s="67">
        <v>384.74</v>
      </c>
      <c r="G5" s="67">
        <v>689964.24524000008</v>
      </c>
      <c r="H5" s="67">
        <v>79964.361600000004</v>
      </c>
      <c r="I5" s="67">
        <v>21170.436692781499</v>
      </c>
      <c r="J5" s="67">
        <v>41617.49153392174</v>
      </c>
      <c r="K5" s="67">
        <v>33268.654656132967</v>
      </c>
    </row>
    <row r="6" spans="2:11" x14ac:dyDescent="0.3">
      <c r="B6" s="1" t="b">
        <f t="shared" si="0"/>
        <v>1</v>
      </c>
      <c r="C6" s="66">
        <v>10006719</v>
      </c>
      <c r="D6" s="69" t="s">
        <v>93</v>
      </c>
      <c r="E6" s="66">
        <v>10006719</v>
      </c>
      <c r="F6" s="67">
        <v>17.86</v>
      </c>
      <c r="G6" s="67">
        <v>29505.362960000002</v>
      </c>
      <c r="H6" s="67">
        <v>3712.0224000000003</v>
      </c>
      <c r="I6" s="67">
        <v>982.75198662233606</v>
      </c>
      <c r="J6" s="67">
        <v>1931.9238935276867</v>
      </c>
      <c r="K6" s="67">
        <v>1544.3628740410015</v>
      </c>
    </row>
    <row r="7" spans="2:11" x14ac:dyDescent="0.3">
      <c r="B7" s="1" t="b">
        <f t="shared" si="0"/>
        <v>1</v>
      </c>
      <c r="C7" s="66">
        <v>10007050</v>
      </c>
      <c r="D7" s="69" t="s">
        <v>94</v>
      </c>
      <c r="E7" s="66">
        <v>10007050</v>
      </c>
      <c r="F7" s="67">
        <v>138.71799999999999</v>
      </c>
      <c r="G7" s="67">
        <v>311646.63315999997</v>
      </c>
      <c r="H7" s="67">
        <v>28831.149120000002</v>
      </c>
      <c r="I7" s="67">
        <v>7633.0005644052189</v>
      </c>
      <c r="J7" s="67">
        <v>15005.185815362467</v>
      </c>
      <c r="K7" s="67">
        <v>11995.012830975344</v>
      </c>
    </row>
    <row r="8" spans="2:11" x14ac:dyDescent="0.3">
      <c r="B8" s="1" t="b">
        <f t="shared" si="0"/>
        <v>1</v>
      </c>
      <c r="C8" s="66">
        <v>10007162</v>
      </c>
      <c r="D8" s="69" t="s">
        <v>95</v>
      </c>
      <c r="E8" s="66">
        <v>10007162</v>
      </c>
      <c r="F8" s="67">
        <v>297.72000000000003</v>
      </c>
      <c r="G8" s="67">
        <v>531128.01419999998</v>
      </c>
      <c r="H8" s="67">
        <v>61878.124800000005</v>
      </c>
      <c r="I8" s="67">
        <v>16382.134460089692</v>
      </c>
      <c r="J8" s="67">
        <v>32204.500648435773</v>
      </c>
      <c r="K8" s="67">
        <v>25743.992993252348</v>
      </c>
    </row>
    <row r="9" spans="2:11" x14ac:dyDescent="0.3">
      <c r="B9" s="1" t="b">
        <f t="shared" si="0"/>
        <v>1</v>
      </c>
      <c r="C9" s="66">
        <v>10007567</v>
      </c>
      <c r="D9" s="69" t="s">
        <v>96</v>
      </c>
      <c r="E9" s="66">
        <v>10007567</v>
      </c>
      <c r="F9" s="67">
        <v>110.22</v>
      </c>
      <c r="G9" s="67">
        <v>188715.70806</v>
      </c>
      <c r="H9" s="67">
        <v>22908.124800000001</v>
      </c>
      <c r="I9" s="67">
        <v>6064.889359771214</v>
      </c>
      <c r="J9" s="67">
        <v>11922.54487931812</v>
      </c>
      <c r="K9" s="67">
        <v>9530.7769303918922</v>
      </c>
    </row>
    <row r="10" spans="2:11" x14ac:dyDescent="0.3">
      <c r="B10" s="1" t="b">
        <f t="shared" si="0"/>
        <v>1</v>
      </c>
      <c r="C10" s="66">
        <v>10007969</v>
      </c>
      <c r="D10" s="69" t="s">
        <v>13</v>
      </c>
      <c r="E10" s="66">
        <v>10007969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</row>
    <row r="11" spans="2:11" x14ac:dyDescent="0.3">
      <c r="B11" s="1" t="b">
        <f t="shared" si="0"/>
        <v>1</v>
      </c>
      <c r="C11" s="66">
        <v>10009239</v>
      </c>
      <c r="D11" s="69" t="s">
        <v>97</v>
      </c>
      <c r="E11" s="66">
        <v>10009239</v>
      </c>
      <c r="F11" s="67">
        <v>16.48</v>
      </c>
      <c r="G11" s="67">
        <v>46917.851360000001</v>
      </c>
      <c r="H11" s="67">
        <v>3425.2031999999999</v>
      </c>
      <c r="I11" s="67">
        <v>906.81706268399205</v>
      </c>
      <c r="J11" s="67">
        <v>1782.648699066981</v>
      </c>
      <c r="K11" s="67">
        <v>1425.0336038183484</v>
      </c>
    </row>
    <row r="12" spans="2:11" x14ac:dyDescent="0.3">
      <c r="B12" s="1" t="b">
        <f t="shared" si="0"/>
        <v>1</v>
      </c>
      <c r="C12" s="66">
        <v>10009334</v>
      </c>
      <c r="D12" s="69" t="s">
        <v>98</v>
      </c>
      <c r="E12" s="66">
        <v>10009334</v>
      </c>
      <c r="F12" s="67">
        <v>329.45799999999997</v>
      </c>
      <c r="G12" s="67">
        <v>848296.03593399981</v>
      </c>
      <c r="H12" s="67">
        <v>68474.550719999999</v>
      </c>
      <c r="I12" s="67">
        <v>18128.5276600572</v>
      </c>
      <c r="J12" s="67">
        <v>35637.613780170468</v>
      </c>
      <c r="K12" s="67">
        <v>28488.393267402029</v>
      </c>
    </row>
    <row r="13" spans="2:11" x14ac:dyDescent="0.3">
      <c r="B13" s="1" t="b">
        <f t="shared" si="0"/>
        <v>1</v>
      </c>
      <c r="C13" s="66">
        <v>10009386</v>
      </c>
      <c r="D13" s="69" t="s">
        <v>99</v>
      </c>
      <c r="E13" s="66">
        <v>10009386</v>
      </c>
      <c r="F13" s="67">
        <v>21.28</v>
      </c>
      <c r="G13" s="67">
        <v>68751.517823639821</v>
      </c>
      <c r="H13" s="67">
        <v>4422.8352000000004</v>
      </c>
      <c r="I13" s="67">
        <v>1170.9385372521451</v>
      </c>
      <c r="J13" s="67">
        <v>2301.8667667563932</v>
      </c>
      <c r="K13" s="67">
        <v>1840.0919350275763</v>
      </c>
    </row>
    <row r="14" spans="2:11" x14ac:dyDescent="0.3">
      <c r="B14" s="1" t="b">
        <f t="shared" si="0"/>
        <v>0</v>
      </c>
      <c r="D14" s="69" t="s">
        <v>100</v>
      </c>
      <c r="E14" s="66">
        <v>10009207</v>
      </c>
      <c r="F14" s="67">
        <v>32.28</v>
      </c>
      <c r="G14" s="67">
        <v>45468.852643826845</v>
      </c>
      <c r="H14" s="67">
        <v>6709.0752000000002</v>
      </c>
      <c r="I14" s="67">
        <v>1776.2169164708291</v>
      </c>
      <c r="J14" s="67">
        <v>3491.7415052112951</v>
      </c>
      <c r="K14" s="67">
        <v>2791.2672773820564</v>
      </c>
    </row>
    <row r="15" spans="2:11" x14ac:dyDescent="0.3">
      <c r="D15" t="s">
        <v>101</v>
      </c>
      <c r="E15" s="66">
        <v>10009650</v>
      </c>
      <c r="F15" s="67">
        <v>3.48</v>
      </c>
      <c r="G15" s="67">
        <v>6372.2488800000001</v>
      </c>
      <c r="H15" s="67">
        <v>723.28319999999997</v>
      </c>
      <c r="I15" s="67">
        <v>191.48806906191095</v>
      </c>
      <c r="J15" s="67">
        <v>376.43309907482364</v>
      </c>
      <c r="K15" s="67">
        <v>300.91729012669009</v>
      </c>
    </row>
    <row r="16" spans="2:11" x14ac:dyDescent="0.3">
      <c r="D16" t="s">
        <v>102</v>
      </c>
      <c r="E16" s="66">
        <v>10009649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</row>
    <row r="17" spans="5:11" x14ac:dyDescent="0.3">
      <c r="E17" s="66">
        <v>10007051</v>
      </c>
      <c r="F17" s="67">
        <v>4.3499999999999996</v>
      </c>
      <c r="G17" s="67">
        <v>9772.7969999999987</v>
      </c>
      <c r="H17" s="67">
        <v>904.10399999999993</v>
      </c>
      <c r="I17" s="67">
        <v>239.36008632738864</v>
      </c>
      <c r="J17" s="67">
        <v>470.54137384352953</v>
      </c>
      <c r="K17" s="67">
        <v>376.14661265836259</v>
      </c>
    </row>
    <row r="18" spans="5:11" x14ac:dyDescent="0.3">
      <c r="E18" s="66">
        <v>10007151</v>
      </c>
      <c r="F18" s="67">
        <v>3.64</v>
      </c>
      <c r="G18" s="67">
        <v>8177.6967999999997</v>
      </c>
      <c r="H18" s="67">
        <v>756.5376</v>
      </c>
      <c r="I18" s="67">
        <v>200.29211821418272</v>
      </c>
      <c r="J18" s="67">
        <v>393.74036799780407</v>
      </c>
      <c r="K18" s="67">
        <v>314.75256783366433</v>
      </c>
    </row>
    <row r="19" spans="5:11" x14ac:dyDescent="0.3">
      <c r="E19" s="66">
        <v>10007152</v>
      </c>
      <c r="F19" s="67">
        <v>0.84599999999999997</v>
      </c>
      <c r="G19" s="67">
        <v>1900.6405200000002</v>
      </c>
      <c r="H19" s="67">
        <v>175.83264</v>
      </c>
      <c r="I19" s="67">
        <v>46.551409892636968</v>
      </c>
      <c r="J19" s="67">
        <v>91.512184430258841</v>
      </c>
      <c r="K19" s="67">
        <v>73.154030875626376</v>
      </c>
    </row>
    <row r="20" spans="5:11" x14ac:dyDescent="0.3">
      <c r="E20" s="66" t="s">
        <v>84</v>
      </c>
      <c r="F20" s="67">
        <v>1428.0519999999999</v>
      </c>
      <c r="G20" s="67">
        <v>2909265.0844614664</v>
      </c>
      <c r="H20" s="67">
        <v>296806.32767999993</v>
      </c>
      <c r="I20" s="67">
        <v>78579.000000000044</v>
      </c>
      <c r="J20" s="67">
        <v>154473.00000000006</v>
      </c>
      <c r="K20" s="67">
        <v>123484.35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DC937-37AC-4823-8EA1-53FA69948029}">
  <dimension ref="A1:U62"/>
  <sheetViews>
    <sheetView showGridLines="0" topLeftCell="D33" zoomScale="80" zoomScaleNormal="80" workbookViewId="0">
      <selection activeCell="L46" sqref="L46"/>
    </sheetView>
  </sheetViews>
  <sheetFormatPr baseColWidth="10" defaultRowHeight="14.4" x14ac:dyDescent="0.3"/>
  <cols>
    <col min="1" max="1" width="12.5546875" style="6" bestFit="1" customWidth="1"/>
    <col min="2" max="2" width="48.77734375" style="6" bestFit="1" customWidth="1"/>
    <col min="3" max="3" width="13" style="6" bestFit="1" customWidth="1"/>
    <col min="4" max="4" width="15" style="6" bestFit="1" customWidth="1"/>
    <col min="5" max="5" width="13" style="6" bestFit="1" customWidth="1"/>
    <col min="6" max="9" width="11.5546875" style="6"/>
    <col min="10" max="10" width="16" style="6" bestFit="1" customWidth="1"/>
    <col min="11" max="11" width="18.5546875" style="6" bestFit="1" customWidth="1"/>
    <col min="12" max="12" width="12.88671875" style="6" bestFit="1" customWidth="1"/>
    <col min="13" max="14" width="13.5546875" style="6" bestFit="1" customWidth="1"/>
    <col min="15" max="15" width="11.77734375" style="6" bestFit="1" customWidth="1"/>
    <col min="16" max="16" width="10.5546875" style="6" bestFit="1" customWidth="1"/>
    <col min="17" max="17" width="14.109375" style="6" bestFit="1" customWidth="1"/>
    <col min="18" max="18" width="13.77734375" style="6" bestFit="1" customWidth="1"/>
    <col min="19" max="19" width="13.44140625" style="6" bestFit="1" customWidth="1"/>
    <col min="20" max="20" width="17.33203125" style="6" bestFit="1" customWidth="1"/>
    <col min="21" max="21" width="23.33203125" style="6" bestFit="1" customWidth="1"/>
    <col min="22" max="16384" width="11.5546875" style="6"/>
  </cols>
  <sheetData>
    <row r="1" spans="1:21" ht="15" thickBot="1" x14ac:dyDescent="0.3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G1" s="25" t="s">
        <v>60</v>
      </c>
      <c r="H1" s="25" t="s">
        <v>61</v>
      </c>
      <c r="I1" s="25" t="s">
        <v>62</v>
      </c>
      <c r="J1" s="25" t="s">
        <v>63</v>
      </c>
      <c r="K1" s="25" t="s">
        <v>64</v>
      </c>
      <c r="L1" s="26" t="s">
        <v>65</v>
      </c>
      <c r="M1" s="27" t="s">
        <v>66</v>
      </c>
      <c r="N1" s="27" t="s">
        <v>67</v>
      </c>
      <c r="O1" s="27" t="s">
        <v>68</v>
      </c>
      <c r="P1" s="27" t="s">
        <v>69</v>
      </c>
      <c r="Q1" s="27" t="s">
        <v>70</v>
      </c>
      <c r="R1" s="27" t="s">
        <v>71</v>
      </c>
      <c r="S1" s="28" t="s">
        <v>72</v>
      </c>
      <c r="T1" s="29" t="s">
        <v>73</v>
      </c>
      <c r="U1" s="29" t="s">
        <v>74</v>
      </c>
    </row>
    <row r="2" spans="1:21" ht="15.6" x14ac:dyDescent="0.3">
      <c r="A2" s="7">
        <v>10009178</v>
      </c>
      <c r="B2" s="7" t="s">
        <v>5</v>
      </c>
      <c r="C2" s="9">
        <v>14840</v>
      </c>
      <c r="D2" s="10"/>
      <c r="E2" s="11">
        <v>14840</v>
      </c>
      <c r="G2" s="30">
        <v>10006719</v>
      </c>
      <c r="H2" s="44">
        <f t="shared" ref="H2:H8" si="0">1652.036/1000</f>
        <v>1.6520360000000001</v>
      </c>
      <c r="I2" s="31">
        <v>0.71</v>
      </c>
      <c r="J2" s="32">
        <f>$H$62</f>
        <v>-0.10965909090909082</v>
      </c>
      <c r="K2" s="33">
        <f>C2/1000</f>
        <v>14.84</v>
      </c>
      <c r="L2" s="34">
        <f t="shared" ref="L2:L33" si="1">IF(E2&lt;0,0,E2)/1000</f>
        <v>14.84</v>
      </c>
      <c r="M2" s="35">
        <f t="shared" ref="M2:M51" si="2">IFERROR(H2*L2,0)*1000</f>
        <v>24516.214240000001</v>
      </c>
      <c r="N2" s="35">
        <f t="shared" ref="N2:N51" si="3">207.84*L2</f>
        <v>3084.3456000000001</v>
      </c>
      <c r="O2" s="35">
        <f>$O$57/$L$55*L2</f>
        <v>816.57555887320643</v>
      </c>
      <c r="P2" s="35">
        <f>$P$57/$L$55*L2</f>
        <v>1605.2491926064317</v>
      </c>
      <c r="Q2" s="35">
        <f>$Q$57/$L$55*L2</f>
        <v>1283.2220073218623</v>
      </c>
      <c r="R2" s="35">
        <v>0</v>
      </c>
      <c r="S2" s="56">
        <v>0</v>
      </c>
      <c r="T2" s="63">
        <f t="shared" ref="T2:T51" si="4">M2+N2+O2+P2</f>
        <v>30022.38459147964</v>
      </c>
      <c r="U2" s="61">
        <f t="shared" ref="U2:U52" si="5">IFERROR(T2/L2,0)</f>
        <v>2023.0717379703262</v>
      </c>
    </row>
    <row r="3" spans="1:21" ht="15.6" x14ac:dyDescent="0.3">
      <c r="A3" s="12">
        <v>10006668</v>
      </c>
      <c r="B3" s="12" t="s">
        <v>6</v>
      </c>
      <c r="C3" s="9">
        <v>680</v>
      </c>
      <c r="D3" s="10"/>
      <c r="E3" s="11">
        <v>680</v>
      </c>
      <c r="G3" s="30">
        <v>10006719</v>
      </c>
      <c r="H3" s="44">
        <f t="shared" si="0"/>
        <v>1.6520360000000001</v>
      </c>
      <c r="I3" s="31">
        <v>0.71</v>
      </c>
      <c r="J3" s="32">
        <f>$H$62</f>
        <v>-0.10965909090909082</v>
      </c>
      <c r="K3" s="33">
        <f t="shared" ref="K2:K51" si="6">C3/1000</f>
        <v>0.68</v>
      </c>
      <c r="L3" s="34">
        <f t="shared" si="1"/>
        <v>0.68</v>
      </c>
      <c r="M3" s="35">
        <f t="shared" si="2"/>
        <v>1123.3844800000002</v>
      </c>
      <c r="N3" s="35">
        <f t="shared" si="3"/>
        <v>141.33120000000002</v>
      </c>
      <c r="O3" s="35">
        <f>$O$57/$L$55*L3</f>
        <v>37.417208897155014</v>
      </c>
      <c r="P3" s="35">
        <f>$P$57/$L$55*L3</f>
        <v>73.5558929226667</v>
      </c>
      <c r="Q3" s="35">
        <f>$Q$57/$L$55*L3</f>
        <v>58.799930254640593</v>
      </c>
      <c r="R3" s="35">
        <v>0</v>
      </c>
      <c r="S3" s="56">
        <v>0</v>
      </c>
      <c r="T3" s="36">
        <f t="shared" si="4"/>
        <v>1375.688781819822</v>
      </c>
      <c r="U3" s="61">
        <f t="shared" si="5"/>
        <v>2023.0717379703262</v>
      </c>
    </row>
    <row r="4" spans="1:21" ht="15.6" x14ac:dyDescent="0.3">
      <c r="A4" s="12">
        <v>10006719</v>
      </c>
      <c r="B4" s="12" t="s">
        <v>7</v>
      </c>
      <c r="C4" s="9">
        <v>0</v>
      </c>
      <c r="D4" s="10"/>
      <c r="E4" s="11">
        <v>0</v>
      </c>
      <c r="G4" s="30">
        <v>10006719</v>
      </c>
      <c r="H4" s="44">
        <f t="shared" si="0"/>
        <v>1.6520360000000001</v>
      </c>
      <c r="I4" s="31">
        <v>0.71</v>
      </c>
      <c r="J4" s="32">
        <f>$H$62</f>
        <v>-0.10965909090909082</v>
      </c>
      <c r="K4" s="33">
        <f t="shared" si="6"/>
        <v>0</v>
      </c>
      <c r="L4" s="34">
        <f t="shared" si="1"/>
        <v>0</v>
      </c>
      <c r="M4" s="35">
        <f t="shared" si="2"/>
        <v>0</v>
      </c>
      <c r="N4" s="35">
        <f t="shared" si="3"/>
        <v>0</v>
      </c>
      <c r="O4" s="35">
        <f>$O$57/$L$55*L4</f>
        <v>0</v>
      </c>
      <c r="P4" s="35">
        <f>$P$57/$L$55*L4</f>
        <v>0</v>
      </c>
      <c r="Q4" s="35">
        <f>$Q$57/$L$55*L4</f>
        <v>0</v>
      </c>
      <c r="R4" s="35">
        <v>0</v>
      </c>
      <c r="S4" s="56">
        <v>0</v>
      </c>
      <c r="T4" s="36">
        <f t="shared" si="4"/>
        <v>0</v>
      </c>
      <c r="U4" s="61">
        <f t="shared" si="5"/>
        <v>0</v>
      </c>
    </row>
    <row r="5" spans="1:21" ht="15.6" x14ac:dyDescent="0.3">
      <c r="A5" s="12">
        <v>10009265</v>
      </c>
      <c r="B5" s="12" t="s">
        <v>8</v>
      </c>
      <c r="C5" s="9">
        <v>0</v>
      </c>
      <c r="D5" s="10"/>
      <c r="E5" s="11">
        <v>0</v>
      </c>
      <c r="G5" s="30">
        <v>10006719</v>
      </c>
      <c r="H5" s="44">
        <f t="shared" si="0"/>
        <v>1.6520360000000001</v>
      </c>
      <c r="I5" s="31">
        <v>0.71</v>
      </c>
      <c r="J5" s="32">
        <f>$H$62</f>
        <v>-0.10965909090909082</v>
      </c>
      <c r="K5" s="33">
        <f t="shared" si="6"/>
        <v>0</v>
      </c>
      <c r="L5" s="34">
        <f t="shared" si="1"/>
        <v>0</v>
      </c>
      <c r="M5" s="35">
        <f t="shared" si="2"/>
        <v>0</v>
      </c>
      <c r="N5" s="35">
        <f t="shared" si="3"/>
        <v>0</v>
      </c>
      <c r="O5" s="35">
        <f>$O$57/$L$55*L5</f>
        <v>0</v>
      </c>
      <c r="P5" s="35">
        <f>$P$57/$L$55*L5</f>
        <v>0</v>
      </c>
      <c r="Q5" s="35">
        <f>$Q$57/$L$55*L5</f>
        <v>0</v>
      </c>
      <c r="R5" s="35">
        <v>0</v>
      </c>
      <c r="S5" s="56">
        <v>0</v>
      </c>
      <c r="T5" s="36">
        <f t="shared" si="4"/>
        <v>0</v>
      </c>
      <c r="U5" s="61">
        <f t="shared" si="5"/>
        <v>0</v>
      </c>
    </row>
    <row r="6" spans="1:21" ht="15.6" x14ac:dyDescent="0.3">
      <c r="A6" s="12">
        <v>10006720</v>
      </c>
      <c r="B6" s="12" t="s">
        <v>9</v>
      </c>
      <c r="C6" s="9">
        <v>40</v>
      </c>
      <c r="D6" s="10"/>
      <c r="E6" s="11">
        <v>0</v>
      </c>
      <c r="G6" s="30">
        <v>10006719</v>
      </c>
      <c r="H6" s="44">
        <f t="shared" si="0"/>
        <v>1.6520360000000001</v>
      </c>
      <c r="I6" s="31">
        <v>0.71</v>
      </c>
      <c r="J6" s="32">
        <f>$H$62</f>
        <v>-0.10965909090909082</v>
      </c>
      <c r="K6" s="33">
        <f t="shared" si="6"/>
        <v>0.04</v>
      </c>
      <c r="L6" s="34">
        <f t="shared" si="1"/>
        <v>0</v>
      </c>
      <c r="M6" s="35">
        <f t="shared" si="2"/>
        <v>0</v>
      </c>
      <c r="N6" s="35">
        <f t="shared" si="3"/>
        <v>0</v>
      </c>
      <c r="O6" s="35">
        <f>$O$57/$L$55*L6</f>
        <v>0</v>
      </c>
      <c r="P6" s="35">
        <f>$P$57/$L$55*L6</f>
        <v>0</v>
      </c>
      <c r="Q6" s="35">
        <f>$Q$57/$L$55*L6</f>
        <v>0</v>
      </c>
      <c r="R6" s="35">
        <v>0</v>
      </c>
      <c r="S6" s="56">
        <v>0</v>
      </c>
      <c r="T6" s="36">
        <f t="shared" si="4"/>
        <v>0</v>
      </c>
      <c r="U6" s="61">
        <f t="shared" si="5"/>
        <v>0</v>
      </c>
    </row>
    <row r="7" spans="1:21" ht="15.6" x14ac:dyDescent="0.3">
      <c r="A7" s="13">
        <v>10010005</v>
      </c>
      <c r="B7" s="13" t="s">
        <v>10</v>
      </c>
      <c r="C7" s="9">
        <v>2340</v>
      </c>
      <c r="D7" s="10"/>
      <c r="E7" s="11">
        <v>2340</v>
      </c>
      <c r="G7" s="30">
        <v>10006719</v>
      </c>
      <c r="H7" s="44">
        <f t="shared" si="0"/>
        <v>1.6520360000000001</v>
      </c>
      <c r="I7" s="31">
        <v>0.71</v>
      </c>
      <c r="J7" s="32">
        <f>$H$62</f>
        <v>-0.10965909090909082</v>
      </c>
      <c r="K7" s="33">
        <f t="shared" si="6"/>
        <v>2.34</v>
      </c>
      <c r="L7" s="34">
        <f t="shared" si="1"/>
        <v>2.34</v>
      </c>
      <c r="M7" s="35">
        <f t="shared" si="2"/>
        <v>3865.76424</v>
      </c>
      <c r="N7" s="35">
        <f t="shared" si="3"/>
        <v>486.34559999999999</v>
      </c>
      <c r="O7" s="35">
        <f>$O$57/$L$55*L7</f>
        <v>128.75921885197459</v>
      </c>
      <c r="P7" s="35">
        <f>$P$57/$L$55*L7</f>
        <v>253.1188079985883</v>
      </c>
      <c r="Q7" s="35">
        <f>$Q$57/$L$55*L7</f>
        <v>202.3409364644985</v>
      </c>
      <c r="R7" s="35">
        <v>0</v>
      </c>
      <c r="S7" s="56">
        <v>0</v>
      </c>
      <c r="T7" s="36">
        <f t="shared" si="4"/>
        <v>4733.9878668505635</v>
      </c>
      <c r="U7" s="61">
        <f t="shared" si="5"/>
        <v>2023.0717379703265</v>
      </c>
    </row>
    <row r="8" spans="1:21" ht="15.6" x14ac:dyDescent="0.3">
      <c r="A8" s="12">
        <v>10006722</v>
      </c>
      <c r="B8" s="12" t="s">
        <v>11</v>
      </c>
      <c r="C8" s="9">
        <v>0</v>
      </c>
      <c r="D8" s="10"/>
      <c r="E8" s="11">
        <v>0</v>
      </c>
      <c r="G8" s="30">
        <v>10006719</v>
      </c>
      <c r="H8" s="44">
        <f t="shared" si="0"/>
        <v>1.6520360000000001</v>
      </c>
      <c r="I8" s="31">
        <v>0.71</v>
      </c>
      <c r="J8" s="32">
        <f>$H$62</f>
        <v>-0.10965909090909082</v>
      </c>
      <c r="K8" s="33">
        <f t="shared" si="6"/>
        <v>0</v>
      </c>
      <c r="L8" s="34">
        <f t="shared" si="1"/>
        <v>0</v>
      </c>
      <c r="M8" s="35">
        <f t="shared" si="2"/>
        <v>0</v>
      </c>
      <c r="N8" s="35">
        <f t="shared" si="3"/>
        <v>0</v>
      </c>
      <c r="O8" s="35">
        <f>$O$57/$L$55*L8</f>
        <v>0</v>
      </c>
      <c r="P8" s="35">
        <f>$P$57/$L$55*L8</f>
        <v>0</v>
      </c>
      <c r="Q8" s="35">
        <f>$Q$57/$L$55*L8</f>
        <v>0</v>
      </c>
      <c r="R8" s="35">
        <v>0</v>
      </c>
      <c r="S8" s="56">
        <v>0</v>
      </c>
      <c r="T8" s="36">
        <f t="shared" si="4"/>
        <v>0</v>
      </c>
      <c r="U8" s="61">
        <f t="shared" si="5"/>
        <v>0</v>
      </c>
    </row>
    <row r="9" spans="1:21" ht="15.6" x14ac:dyDescent="0.3">
      <c r="A9" s="12">
        <v>10009207</v>
      </c>
      <c r="B9" s="12" t="s">
        <v>12</v>
      </c>
      <c r="C9" s="9">
        <v>32280</v>
      </c>
      <c r="D9" s="10"/>
      <c r="E9" s="11">
        <v>32280</v>
      </c>
      <c r="G9" s="37">
        <v>10009207</v>
      </c>
      <c r="H9" s="44">
        <f>1408.57659987072/1000</f>
        <v>1.40857659987072</v>
      </c>
      <c r="I9" s="32">
        <v>0.71</v>
      </c>
      <c r="J9" s="32">
        <f>$H$62</f>
        <v>-0.10965909090909082</v>
      </c>
      <c r="K9" s="33">
        <f t="shared" si="6"/>
        <v>32.28</v>
      </c>
      <c r="L9" s="34">
        <f t="shared" si="1"/>
        <v>32.28</v>
      </c>
      <c r="M9" s="35">
        <f t="shared" si="2"/>
        <v>45468.852643826845</v>
      </c>
      <c r="N9" s="35">
        <f t="shared" si="3"/>
        <v>6709.0752000000002</v>
      </c>
      <c r="O9" s="35">
        <f>$O$57/$L$55*L9</f>
        <v>1776.2169164708291</v>
      </c>
      <c r="P9" s="35">
        <f>$P$57/$L$55*L9</f>
        <v>3491.7415052112951</v>
      </c>
      <c r="Q9" s="35">
        <f>$Q$57/$L$55*L9</f>
        <v>2791.2672773820564</v>
      </c>
      <c r="R9" s="35">
        <v>0</v>
      </c>
      <c r="S9" s="56">
        <v>0</v>
      </c>
      <c r="T9" s="36">
        <f t="shared" si="4"/>
        <v>57445.886265508969</v>
      </c>
      <c r="U9" s="61">
        <f t="shared" si="5"/>
        <v>1779.6123378410462</v>
      </c>
    </row>
    <row r="10" spans="1:21" ht="15.6" x14ac:dyDescent="0.3">
      <c r="A10" s="12">
        <v>10007969</v>
      </c>
      <c r="B10" s="12" t="s">
        <v>13</v>
      </c>
      <c r="C10" s="9">
        <v>5580</v>
      </c>
      <c r="D10" s="10">
        <v>50000</v>
      </c>
      <c r="E10" s="11">
        <v>-44420</v>
      </c>
      <c r="G10" s="37">
        <v>10007969</v>
      </c>
      <c r="H10" s="44">
        <f>1226.35851472471/1000</f>
        <v>1.22635851472471</v>
      </c>
      <c r="I10" s="32">
        <v>0.71</v>
      </c>
      <c r="J10" s="32">
        <f>$H$62</f>
        <v>-0.10965909090909082</v>
      </c>
      <c r="K10" s="33">
        <f t="shared" si="6"/>
        <v>5.58</v>
      </c>
      <c r="L10" s="34">
        <f t="shared" si="1"/>
        <v>0</v>
      </c>
      <c r="M10" s="35">
        <f t="shared" si="2"/>
        <v>0</v>
      </c>
      <c r="N10" s="35">
        <f t="shared" si="3"/>
        <v>0</v>
      </c>
      <c r="O10" s="35">
        <f>$O$57/$L$55*L10</f>
        <v>0</v>
      </c>
      <c r="P10" s="35">
        <f>$P$57/$L$55*L10</f>
        <v>0</v>
      </c>
      <c r="Q10" s="35">
        <f>$Q$57/$L$55*L10</f>
        <v>0</v>
      </c>
      <c r="R10" s="35">
        <v>0</v>
      </c>
      <c r="S10" s="56">
        <v>0</v>
      </c>
      <c r="T10" s="36">
        <f t="shared" si="4"/>
        <v>0</v>
      </c>
      <c r="U10" s="61">
        <f t="shared" si="5"/>
        <v>0</v>
      </c>
    </row>
    <row r="11" spans="1:21" ht="15.6" x14ac:dyDescent="0.3">
      <c r="A11" s="14">
        <v>10004433</v>
      </c>
      <c r="B11" s="14" t="s">
        <v>14</v>
      </c>
      <c r="C11" s="9">
        <v>0</v>
      </c>
      <c r="D11" s="10"/>
      <c r="E11" s="11">
        <v>0</v>
      </c>
      <c r="G11" s="38">
        <v>10005721</v>
      </c>
      <c r="H11" s="44">
        <f t="shared" ref="H11:H23" si="7">1831.106/1000</f>
        <v>1.8311059999999999</v>
      </c>
      <c r="I11" s="31">
        <v>0.67</v>
      </c>
      <c r="J11" s="32">
        <f>$H$62</f>
        <v>-0.10965909090909082</v>
      </c>
      <c r="K11" s="33">
        <f t="shared" si="6"/>
        <v>0</v>
      </c>
      <c r="L11" s="34">
        <f t="shared" si="1"/>
        <v>0</v>
      </c>
      <c r="M11" s="35">
        <f t="shared" si="2"/>
        <v>0</v>
      </c>
      <c r="N11" s="35">
        <f t="shared" si="3"/>
        <v>0</v>
      </c>
      <c r="O11" s="35">
        <f>$O$57/$L$55*L11</f>
        <v>0</v>
      </c>
      <c r="P11" s="35">
        <f>$P$57/$L$55*L11</f>
        <v>0</v>
      </c>
      <c r="Q11" s="35">
        <f>$Q$57/$L$55*L11</f>
        <v>0</v>
      </c>
      <c r="R11" s="35">
        <v>0</v>
      </c>
      <c r="S11" s="56">
        <v>0</v>
      </c>
      <c r="T11" s="36">
        <f t="shared" si="4"/>
        <v>0</v>
      </c>
      <c r="U11" s="61">
        <f t="shared" si="5"/>
        <v>0</v>
      </c>
    </row>
    <row r="12" spans="1:21" ht="15.6" x14ac:dyDescent="0.3">
      <c r="A12" s="14">
        <v>10004434</v>
      </c>
      <c r="B12" s="14" t="s">
        <v>15</v>
      </c>
      <c r="C12" s="9">
        <v>1780</v>
      </c>
      <c r="D12" s="10"/>
      <c r="E12" s="11">
        <v>1780</v>
      </c>
      <c r="G12" s="38">
        <v>10005721</v>
      </c>
      <c r="H12" s="44">
        <f t="shared" si="7"/>
        <v>1.8311059999999999</v>
      </c>
      <c r="I12" s="31">
        <v>0.67</v>
      </c>
      <c r="J12" s="32">
        <f>$H$62</f>
        <v>-0.10965909090909082</v>
      </c>
      <c r="K12" s="33">
        <f t="shared" si="6"/>
        <v>1.78</v>
      </c>
      <c r="L12" s="34">
        <f t="shared" si="1"/>
        <v>1.78</v>
      </c>
      <c r="M12" s="35">
        <f t="shared" si="2"/>
        <v>3259.3686799999996</v>
      </c>
      <c r="N12" s="35">
        <f t="shared" si="3"/>
        <v>369.95519999999999</v>
      </c>
      <c r="O12" s="35">
        <f>$O$57/$L$55*L12</f>
        <v>97.945046819023418</v>
      </c>
      <c r="P12" s="35">
        <f>$P$57/$L$55*L12</f>
        <v>192.54336676815691</v>
      </c>
      <c r="Q12" s="35">
        <f>$Q$57/$L$55*L12</f>
        <v>153.91746449008861</v>
      </c>
      <c r="R12" s="35">
        <v>0</v>
      </c>
      <c r="S12" s="56">
        <v>0</v>
      </c>
      <c r="T12" s="36">
        <f t="shared" si="4"/>
        <v>3919.8122935871797</v>
      </c>
      <c r="U12" s="61">
        <f t="shared" si="5"/>
        <v>2202.1417379703257</v>
      </c>
    </row>
    <row r="13" spans="1:21" ht="15.6" x14ac:dyDescent="0.3">
      <c r="A13" s="14">
        <v>10010125</v>
      </c>
      <c r="B13" s="14" t="s">
        <v>16</v>
      </c>
      <c r="C13" s="9">
        <v>0</v>
      </c>
      <c r="D13" s="10"/>
      <c r="E13" s="11">
        <v>0</v>
      </c>
      <c r="G13" s="38">
        <v>10005721</v>
      </c>
      <c r="H13" s="44">
        <f t="shared" si="7"/>
        <v>1.8311059999999999</v>
      </c>
      <c r="I13" s="31">
        <v>0.67</v>
      </c>
      <c r="J13" s="32">
        <f>$H$62</f>
        <v>-0.10965909090909082</v>
      </c>
      <c r="K13" s="33">
        <f t="shared" si="6"/>
        <v>0</v>
      </c>
      <c r="L13" s="34">
        <f t="shared" si="1"/>
        <v>0</v>
      </c>
      <c r="M13" s="35">
        <f t="shared" si="2"/>
        <v>0</v>
      </c>
      <c r="N13" s="35">
        <f t="shared" si="3"/>
        <v>0</v>
      </c>
      <c r="O13" s="35">
        <f>$O$57/$L$55*L13</f>
        <v>0</v>
      </c>
      <c r="P13" s="35">
        <f>$P$57/$L$55*L13</f>
        <v>0</v>
      </c>
      <c r="Q13" s="35">
        <f>$Q$57/$L$55*L13</f>
        <v>0</v>
      </c>
      <c r="R13" s="35">
        <v>0</v>
      </c>
      <c r="S13" s="56">
        <v>0</v>
      </c>
      <c r="T13" s="36">
        <f t="shared" si="4"/>
        <v>0</v>
      </c>
      <c r="U13" s="61">
        <f t="shared" si="5"/>
        <v>0</v>
      </c>
    </row>
    <row r="14" spans="1:21" ht="15.6" x14ac:dyDescent="0.3">
      <c r="A14" s="14">
        <v>10004435</v>
      </c>
      <c r="B14" s="14" t="s">
        <v>17</v>
      </c>
      <c r="C14" s="9">
        <v>32180</v>
      </c>
      <c r="D14" s="10"/>
      <c r="E14" s="11">
        <v>32180</v>
      </c>
      <c r="G14" s="38">
        <v>10005721</v>
      </c>
      <c r="H14" s="44">
        <f t="shared" si="7"/>
        <v>1.8311059999999999</v>
      </c>
      <c r="I14" s="31">
        <v>0.67</v>
      </c>
      <c r="J14" s="32">
        <f>$H$62</f>
        <v>-0.10965909090909082</v>
      </c>
      <c r="K14" s="33">
        <f t="shared" si="6"/>
        <v>32.18</v>
      </c>
      <c r="L14" s="34">
        <f t="shared" si="1"/>
        <v>32.18</v>
      </c>
      <c r="M14" s="35">
        <f t="shared" si="2"/>
        <v>58924.99108</v>
      </c>
      <c r="N14" s="35">
        <f t="shared" si="3"/>
        <v>6688.2911999999997</v>
      </c>
      <c r="O14" s="35">
        <f>$O$57/$L$55*L14</f>
        <v>1770.7143857506592</v>
      </c>
      <c r="P14" s="35">
        <f>$P$57/$L$55*L14</f>
        <v>3480.9244621344324</v>
      </c>
      <c r="Q14" s="35">
        <f>$Q$57/$L$55*L14</f>
        <v>2782.6202288151976</v>
      </c>
      <c r="R14" s="35">
        <v>0</v>
      </c>
      <c r="S14" s="56">
        <v>0</v>
      </c>
      <c r="T14" s="36">
        <f t="shared" si="4"/>
        <v>70864.921127885085</v>
      </c>
      <c r="U14" s="61">
        <f t="shared" si="5"/>
        <v>2202.1417379703257</v>
      </c>
    </row>
    <row r="15" spans="1:21" ht="15.6" x14ac:dyDescent="0.3">
      <c r="A15" s="12">
        <v>10005708</v>
      </c>
      <c r="B15" s="12" t="s">
        <v>18</v>
      </c>
      <c r="C15" s="9">
        <v>1080</v>
      </c>
      <c r="D15" s="10"/>
      <c r="E15" s="11">
        <v>1080</v>
      </c>
      <c r="G15" s="38">
        <v>10005721</v>
      </c>
      <c r="H15" s="44">
        <f t="shared" si="7"/>
        <v>1.8311059999999999</v>
      </c>
      <c r="I15" s="31">
        <v>0.67</v>
      </c>
      <c r="J15" s="32">
        <f>$H$62</f>
        <v>-0.10965909090909082</v>
      </c>
      <c r="K15" s="33">
        <f t="shared" si="6"/>
        <v>1.08</v>
      </c>
      <c r="L15" s="34">
        <f t="shared" si="1"/>
        <v>1.08</v>
      </c>
      <c r="M15" s="35">
        <f t="shared" si="2"/>
        <v>1977.59448</v>
      </c>
      <c r="N15" s="35">
        <f t="shared" si="3"/>
        <v>224.46720000000002</v>
      </c>
      <c r="O15" s="35">
        <f>$O$57/$L$55*L15</f>
        <v>59.427331777834432</v>
      </c>
      <c r="P15" s="35">
        <f>$P$57/$L$55*L15</f>
        <v>116.8240652301177</v>
      </c>
      <c r="Q15" s="35">
        <f>$Q$57/$L$55*L15</f>
        <v>93.388124522076239</v>
      </c>
      <c r="R15" s="35">
        <v>0</v>
      </c>
      <c r="S15" s="56">
        <v>0</v>
      </c>
      <c r="T15" s="36">
        <f t="shared" si="4"/>
        <v>2378.313077007952</v>
      </c>
      <c r="U15" s="61">
        <f t="shared" si="5"/>
        <v>2202.1417379703257</v>
      </c>
    </row>
    <row r="16" spans="1:21" ht="15.6" x14ac:dyDescent="0.3">
      <c r="A16" s="7">
        <v>10005721</v>
      </c>
      <c r="B16" s="7" t="s">
        <v>19</v>
      </c>
      <c r="C16" s="9">
        <v>3100</v>
      </c>
      <c r="D16" s="10"/>
      <c r="E16" s="11">
        <v>3100</v>
      </c>
      <c r="G16" s="38">
        <v>10005721</v>
      </c>
      <c r="H16" s="44">
        <f t="shared" si="7"/>
        <v>1.8311059999999999</v>
      </c>
      <c r="I16" s="31">
        <v>0.67</v>
      </c>
      <c r="J16" s="32">
        <f>$H$62</f>
        <v>-0.10965909090909082</v>
      </c>
      <c r="K16" s="33">
        <f t="shared" si="6"/>
        <v>3.1</v>
      </c>
      <c r="L16" s="34">
        <f t="shared" si="1"/>
        <v>3.1</v>
      </c>
      <c r="M16" s="35">
        <f t="shared" si="2"/>
        <v>5676.4285999999993</v>
      </c>
      <c r="N16" s="35">
        <f t="shared" si="3"/>
        <v>644.30399999999997</v>
      </c>
      <c r="O16" s="35">
        <f>$O$57/$L$55*L16</f>
        <v>170.57845232526549</v>
      </c>
      <c r="P16" s="35">
        <f>$P$57/$L$55*L16</f>
        <v>335.32833538274519</v>
      </c>
      <c r="Q16" s="35">
        <f>$Q$57/$L$55*L16</f>
        <v>268.05850557262625</v>
      </c>
      <c r="R16" s="35">
        <v>0</v>
      </c>
      <c r="S16" s="56">
        <v>0</v>
      </c>
      <c r="T16" s="36">
        <f t="shared" si="4"/>
        <v>6826.63938770801</v>
      </c>
      <c r="U16" s="61">
        <f t="shared" si="5"/>
        <v>2202.1417379703257</v>
      </c>
    </row>
    <row r="17" spans="1:21" ht="15.6" x14ac:dyDescent="0.3">
      <c r="A17" s="12">
        <v>10005711</v>
      </c>
      <c r="B17" s="12" t="s">
        <v>20</v>
      </c>
      <c r="C17" s="9">
        <v>0</v>
      </c>
      <c r="D17" s="10"/>
      <c r="E17" s="11">
        <v>0</v>
      </c>
      <c r="G17" s="38">
        <v>10005721</v>
      </c>
      <c r="H17" s="44">
        <f t="shared" si="7"/>
        <v>1.8311059999999999</v>
      </c>
      <c r="I17" s="31">
        <v>0.67</v>
      </c>
      <c r="J17" s="32">
        <f>$H$62</f>
        <v>-0.10965909090909082</v>
      </c>
      <c r="K17" s="33">
        <f t="shared" si="6"/>
        <v>0</v>
      </c>
      <c r="L17" s="34">
        <f t="shared" si="1"/>
        <v>0</v>
      </c>
      <c r="M17" s="35">
        <f t="shared" si="2"/>
        <v>0</v>
      </c>
      <c r="N17" s="35">
        <f t="shared" si="3"/>
        <v>0</v>
      </c>
      <c r="O17" s="35">
        <f>$O$57/$L$55*L17</f>
        <v>0</v>
      </c>
      <c r="P17" s="35">
        <f>$P$57/$L$55*L17</f>
        <v>0</v>
      </c>
      <c r="Q17" s="35">
        <f>$Q$57/$L$55*L17</f>
        <v>0</v>
      </c>
      <c r="R17" s="35">
        <v>0</v>
      </c>
      <c r="S17" s="56">
        <v>0</v>
      </c>
      <c r="T17" s="36">
        <f t="shared" si="4"/>
        <v>0</v>
      </c>
      <c r="U17" s="61">
        <f t="shared" si="5"/>
        <v>0</v>
      </c>
    </row>
    <row r="18" spans="1:21" ht="15.6" x14ac:dyDescent="0.3">
      <c r="A18" s="12">
        <v>10010126</v>
      </c>
      <c r="B18" s="12" t="s">
        <v>21</v>
      </c>
      <c r="C18" s="9">
        <v>5280</v>
      </c>
      <c r="D18" s="10"/>
      <c r="E18" s="11">
        <v>5280</v>
      </c>
      <c r="G18" s="38">
        <v>10005721</v>
      </c>
      <c r="H18" s="44">
        <f t="shared" si="7"/>
        <v>1.8311059999999999</v>
      </c>
      <c r="I18" s="31">
        <v>0.67</v>
      </c>
      <c r="J18" s="32">
        <f>$H$62</f>
        <v>-0.10965909090909082</v>
      </c>
      <c r="K18" s="33">
        <f t="shared" si="6"/>
        <v>5.28</v>
      </c>
      <c r="L18" s="34">
        <f t="shared" si="1"/>
        <v>5.28</v>
      </c>
      <c r="M18" s="35">
        <f t="shared" si="2"/>
        <v>9668.2396799999988</v>
      </c>
      <c r="N18" s="35">
        <f t="shared" si="3"/>
        <v>1097.3952000000002</v>
      </c>
      <c r="O18" s="35">
        <f>$O$57/$L$55*L18</f>
        <v>290.53362202496834</v>
      </c>
      <c r="P18" s="35">
        <f>$P$57/$L$55*L18</f>
        <v>571.13987445835312</v>
      </c>
      <c r="Q18" s="35">
        <f>$Q$57/$L$55*L18</f>
        <v>456.5641643301505</v>
      </c>
      <c r="R18" s="35">
        <v>0</v>
      </c>
      <c r="S18" s="56">
        <v>0</v>
      </c>
      <c r="T18" s="36">
        <f t="shared" si="4"/>
        <v>11627.308376483321</v>
      </c>
      <c r="U18" s="61">
        <f t="shared" si="5"/>
        <v>2202.1417379703257</v>
      </c>
    </row>
    <row r="19" spans="1:21" ht="15.6" x14ac:dyDescent="0.3">
      <c r="A19" s="12">
        <v>10005718</v>
      </c>
      <c r="B19" s="12" t="s">
        <v>22</v>
      </c>
      <c r="C19" s="9">
        <v>17640</v>
      </c>
      <c r="D19" s="10"/>
      <c r="E19" s="11">
        <v>17640</v>
      </c>
      <c r="G19" s="38">
        <v>10005721</v>
      </c>
      <c r="H19" s="44">
        <f t="shared" si="7"/>
        <v>1.8311059999999999</v>
      </c>
      <c r="I19" s="31">
        <v>0.67</v>
      </c>
      <c r="J19" s="32">
        <f>$H$62</f>
        <v>-0.10965909090909082</v>
      </c>
      <c r="K19" s="33">
        <f t="shared" si="6"/>
        <v>17.64</v>
      </c>
      <c r="L19" s="34">
        <f t="shared" si="1"/>
        <v>17.64</v>
      </c>
      <c r="M19" s="35">
        <f t="shared" si="2"/>
        <v>32300.709839999996</v>
      </c>
      <c r="N19" s="35">
        <f t="shared" si="3"/>
        <v>3666.2976000000003</v>
      </c>
      <c r="O19" s="35">
        <f>$O$57/$L$55*L19</f>
        <v>970.64641903796235</v>
      </c>
      <c r="P19" s="35">
        <f>$P$57/$L$55*L19</f>
        <v>1908.1263987585889</v>
      </c>
      <c r="Q19" s="35">
        <f>$Q$57/$L$55*L19</f>
        <v>1525.3393671939118</v>
      </c>
      <c r="R19" s="35">
        <v>0</v>
      </c>
      <c r="S19" s="56">
        <v>0</v>
      </c>
      <c r="T19" s="36">
        <f t="shared" si="4"/>
        <v>38845.780257796549</v>
      </c>
      <c r="U19" s="61">
        <f t="shared" si="5"/>
        <v>2202.1417379703257</v>
      </c>
    </row>
    <row r="20" spans="1:21" ht="15.6" x14ac:dyDescent="0.3">
      <c r="A20" s="15">
        <v>10009971</v>
      </c>
      <c r="B20" s="15" t="s">
        <v>23</v>
      </c>
      <c r="C20" s="9">
        <v>0</v>
      </c>
      <c r="D20" s="10"/>
      <c r="E20" s="11">
        <v>0</v>
      </c>
      <c r="G20" s="38">
        <v>10005721</v>
      </c>
      <c r="H20" s="44">
        <f t="shared" si="7"/>
        <v>1.8311059999999999</v>
      </c>
      <c r="I20" s="31">
        <v>0.67</v>
      </c>
      <c r="J20" s="32">
        <f>$H$62</f>
        <v>-0.10965909090909082</v>
      </c>
      <c r="K20" s="33">
        <f t="shared" si="6"/>
        <v>0</v>
      </c>
      <c r="L20" s="34">
        <f t="shared" si="1"/>
        <v>0</v>
      </c>
      <c r="M20" s="35">
        <f t="shared" si="2"/>
        <v>0</v>
      </c>
      <c r="N20" s="35">
        <f t="shared" si="3"/>
        <v>0</v>
      </c>
      <c r="O20" s="35">
        <f>$O$57/$L$55*L20</f>
        <v>0</v>
      </c>
      <c r="P20" s="35">
        <f>$P$57/$L$55*L20</f>
        <v>0</v>
      </c>
      <c r="Q20" s="35">
        <f>$Q$57/$L$55*L20</f>
        <v>0</v>
      </c>
      <c r="R20" s="35">
        <v>0</v>
      </c>
      <c r="S20" s="56">
        <v>0</v>
      </c>
      <c r="T20" s="36">
        <f t="shared" si="4"/>
        <v>0</v>
      </c>
      <c r="U20" s="61">
        <f t="shared" si="5"/>
        <v>0</v>
      </c>
    </row>
    <row r="21" spans="1:21" ht="15.6" x14ac:dyDescent="0.3">
      <c r="A21" s="15">
        <v>10009972</v>
      </c>
      <c r="B21" s="15" t="s">
        <v>24</v>
      </c>
      <c r="C21" s="9">
        <v>2720</v>
      </c>
      <c r="D21" s="10"/>
      <c r="E21" s="11">
        <v>2720</v>
      </c>
      <c r="G21" s="38">
        <v>10005721</v>
      </c>
      <c r="H21" s="44">
        <f t="shared" si="7"/>
        <v>1.8311059999999999</v>
      </c>
      <c r="I21" s="31">
        <v>0.67</v>
      </c>
      <c r="J21" s="32">
        <f>$H$62</f>
        <v>-0.10965909090909082</v>
      </c>
      <c r="K21" s="33">
        <f t="shared" si="6"/>
        <v>2.72</v>
      </c>
      <c r="L21" s="34">
        <f t="shared" si="1"/>
        <v>2.72</v>
      </c>
      <c r="M21" s="35">
        <f t="shared" si="2"/>
        <v>4980.6083200000003</v>
      </c>
      <c r="N21" s="35">
        <f t="shared" si="3"/>
        <v>565.3248000000001</v>
      </c>
      <c r="O21" s="35">
        <f>$O$57/$L$55*L21</f>
        <v>149.66883558862006</v>
      </c>
      <c r="P21" s="35">
        <f>$P$57/$L$55*L21</f>
        <v>294.2235716906668</v>
      </c>
      <c r="Q21" s="35">
        <f>$Q$57/$L$55*L21</f>
        <v>235.19972101856237</v>
      </c>
      <c r="R21" s="35">
        <v>0</v>
      </c>
      <c r="S21" s="56">
        <v>0</v>
      </c>
      <c r="T21" s="36">
        <f t="shared" si="4"/>
        <v>5989.8255272792876</v>
      </c>
      <c r="U21" s="61">
        <f t="shared" si="5"/>
        <v>2202.1417379703262</v>
      </c>
    </row>
    <row r="22" spans="1:21" ht="15.6" x14ac:dyDescent="0.3">
      <c r="A22" s="15">
        <v>10010063</v>
      </c>
      <c r="B22" s="15" t="s">
        <v>25</v>
      </c>
      <c r="C22" s="9">
        <v>0</v>
      </c>
      <c r="D22" s="10"/>
      <c r="E22" s="11">
        <v>0</v>
      </c>
      <c r="G22" s="38">
        <v>10005721</v>
      </c>
      <c r="H22" s="44">
        <f t="shared" si="7"/>
        <v>1.8311059999999999</v>
      </c>
      <c r="I22" s="31">
        <v>0.67</v>
      </c>
      <c r="J22" s="32">
        <f>$H$62</f>
        <v>-0.10965909090909082</v>
      </c>
      <c r="K22" s="33">
        <f t="shared" si="6"/>
        <v>0</v>
      </c>
      <c r="L22" s="34">
        <f t="shared" si="1"/>
        <v>0</v>
      </c>
      <c r="M22" s="35">
        <f t="shared" si="2"/>
        <v>0</v>
      </c>
      <c r="N22" s="35">
        <f t="shared" si="3"/>
        <v>0</v>
      </c>
      <c r="O22" s="35">
        <f>$O$57/$L$55*L22</f>
        <v>0</v>
      </c>
      <c r="P22" s="35">
        <f>$P$57/$L$55*L22</f>
        <v>0</v>
      </c>
      <c r="Q22" s="35">
        <f>$Q$57/$L$55*L22</f>
        <v>0</v>
      </c>
      <c r="R22" s="35">
        <v>0</v>
      </c>
      <c r="S22" s="56">
        <v>0</v>
      </c>
      <c r="T22" s="36">
        <f t="shared" si="4"/>
        <v>0</v>
      </c>
      <c r="U22" s="61">
        <f t="shared" si="5"/>
        <v>0</v>
      </c>
    </row>
    <row r="23" spans="1:21" ht="15.6" x14ac:dyDescent="0.3">
      <c r="A23" s="7">
        <v>10009298</v>
      </c>
      <c r="B23" s="7" t="s">
        <v>26</v>
      </c>
      <c r="C23" s="9">
        <v>3200</v>
      </c>
      <c r="D23" s="10"/>
      <c r="E23" s="11">
        <v>3200</v>
      </c>
      <c r="G23" s="38">
        <v>10005721</v>
      </c>
      <c r="H23" s="44">
        <f t="shared" si="7"/>
        <v>1.8311059999999999</v>
      </c>
      <c r="I23" s="31">
        <v>0.67</v>
      </c>
      <c r="J23" s="32">
        <f>$H$62</f>
        <v>-0.10965909090909082</v>
      </c>
      <c r="K23" s="33">
        <f t="shared" si="6"/>
        <v>3.2</v>
      </c>
      <c r="L23" s="34">
        <f t="shared" si="1"/>
        <v>3.2</v>
      </c>
      <c r="M23" s="35">
        <f t="shared" si="2"/>
        <v>5859.5392000000002</v>
      </c>
      <c r="N23" s="35">
        <f t="shared" si="3"/>
        <v>665.08800000000008</v>
      </c>
      <c r="O23" s="35">
        <f>$O$57/$L$55*L23</f>
        <v>176.08098304543535</v>
      </c>
      <c r="P23" s="35">
        <f>$P$57/$L$55*L23</f>
        <v>346.14537845960797</v>
      </c>
      <c r="Q23" s="35">
        <f>$Q$57/$L$55*L23</f>
        <v>276.70555413948517</v>
      </c>
      <c r="R23" s="35">
        <v>0</v>
      </c>
      <c r="S23" s="56">
        <v>0</v>
      </c>
      <c r="T23" s="36">
        <f t="shared" si="4"/>
        <v>7046.8535615050432</v>
      </c>
      <c r="U23" s="61">
        <f t="shared" si="5"/>
        <v>2202.1417379703257</v>
      </c>
    </row>
    <row r="24" spans="1:21" ht="15.6" x14ac:dyDescent="0.3">
      <c r="A24" s="16">
        <v>10009184</v>
      </c>
      <c r="B24" s="16" t="s">
        <v>27</v>
      </c>
      <c r="C24" s="9">
        <v>147120</v>
      </c>
      <c r="D24" s="10"/>
      <c r="E24" s="11">
        <v>147120</v>
      </c>
      <c r="G24" s="39">
        <v>10005779</v>
      </c>
      <c r="H24" s="44">
        <f t="shared" ref="H24:H29" si="8">1793.326/1000</f>
        <v>1.793326</v>
      </c>
      <c r="I24" s="31">
        <v>0.65</v>
      </c>
      <c r="J24" s="32">
        <f>$H$62</f>
        <v>-0.10965909090909082</v>
      </c>
      <c r="K24" s="33">
        <f t="shared" si="6"/>
        <v>147.12</v>
      </c>
      <c r="L24" s="34">
        <f t="shared" si="1"/>
        <v>147.12</v>
      </c>
      <c r="M24" s="35">
        <f t="shared" si="2"/>
        <v>263834.12112000003</v>
      </c>
      <c r="N24" s="35">
        <f t="shared" si="3"/>
        <v>30577.4208</v>
      </c>
      <c r="O24" s="35">
        <f>$O$57/$L$55*L24</f>
        <v>8095.3231955138899</v>
      </c>
      <c r="P24" s="35">
        <f>$P$57/$L$55*L24</f>
        <v>15914.033774680476</v>
      </c>
      <c r="Q24" s="35">
        <f>$Q$57/$L$55*L24</f>
        <v>12721.537851562829</v>
      </c>
      <c r="R24" s="35">
        <v>0</v>
      </c>
      <c r="S24" s="56">
        <v>0</v>
      </c>
      <c r="T24" s="36">
        <f t="shared" si="4"/>
        <v>318420.89889019437</v>
      </c>
      <c r="U24" s="61">
        <f t="shared" si="5"/>
        <v>2164.361737970326</v>
      </c>
    </row>
    <row r="25" spans="1:21" ht="15.6" x14ac:dyDescent="0.3">
      <c r="A25" s="12">
        <v>10009271</v>
      </c>
      <c r="B25" s="12" t="s">
        <v>28</v>
      </c>
      <c r="C25" s="9">
        <v>49520</v>
      </c>
      <c r="D25" s="10"/>
      <c r="E25" s="11">
        <v>49520</v>
      </c>
      <c r="G25" s="39">
        <v>10005779</v>
      </c>
      <c r="H25" s="44">
        <f t="shared" si="8"/>
        <v>1.793326</v>
      </c>
      <c r="I25" s="31">
        <v>0.65</v>
      </c>
      <c r="J25" s="32">
        <f>$H$62</f>
        <v>-0.10965909090909082</v>
      </c>
      <c r="K25" s="33">
        <f t="shared" si="6"/>
        <v>49.52</v>
      </c>
      <c r="L25" s="34">
        <f t="shared" si="1"/>
        <v>49.52</v>
      </c>
      <c r="M25" s="35">
        <f t="shared" si="2"/>
        <v>88805.503519999998</v>
      </c>
      <c r="N25" s="35">
        <f t="shared" si="3"/>
        <v>10292.236800000001</v>
      </c>
      <c r="O25" s="35">
        <f>$O$57/$L$55*L25</f>
        <v>2724.853212628112</v>
      </c>
      <c r="P25" s="35">
        <f>$P$57/$L$55*L25</f>
        <v>5356.5997316624334</v>
      </c>
      <c r="Q25" s="35">
        <f>$Q$57/$L$55*L25</f>
        <v>4282.0184503085329</v>
      </c>
      <c r="R25" s="35">
        <v>0</v>
      </c>
      <c r="S25" s="56">
        <v>0</v>
      </c>
      <c r="T25" s="36">
        <f t="shared" si="4"/>
        <v>107179.19326429053</v>
      </c>
      <c r="U25" s="61">
        <f t="shared" si="5"/>
        <v>2164.3617379703255</v>
      </c>
    </row>
    <row r="26" spans="1:21" ht="15.6" x14ac:dyDescent="0.3">
      <c r="A26" s="12">
        <v>10009183</v>
      </c>
      <c r="B26" s="12" t="s">
        <v>29</v>
      </c>
      <c r="C26" s="9">
        <v>1260</v>
      </c>
      <c r="D26" s="10"/>
      <c r="E26" s="11">
        <v>1260</v>
      </c>
      <c r="G26" s="39">
        <v>10005779</v>
      </c>
      <c r="H26" s="44">
        <f t="shared" si="8"/>
        <v>1.793326</v>
      </c>
      <c r="I26" s="31">
        <v>0.65</v>
      </c>
      <c r="J26" s="32">
        <f>$H$62</f>
        <v>-0.10965909090909082</v>
      </c>
      <c r="K26" s="33">
        <f t="shared" si="6"/>
        <v>1.26</v>
      </c>
      <c r="L26" s="34">
        <f t="shared" si="1"/>
        <v>1.26</v>
      </c>
      <c r="M26" s="35">
        <f t="shared" si="2"/>
        <v>2259.59076</v>
      </c>
      <c r="N26" s="35">
        <f t="shared" si="3"/>
        <v>261.8784</v>
      </c>
      <c r="O26" s="35">
        <f>$O$57/$L$55*L26</f>
        <v>69.33188707414017</v>
      </c>
      <c r="P26" s="35">
        <f>$P$57/$L$55*L26</f>
        <v>136.29474276847063</v>
      </c>
      <c r="Q26" s="35">
        <f>$Q$57/$L$55*L26</f>
        <v>108.95281194242227</v>
      </c>
      <c r="R26" s="35">
        <v>0</v>
      </c>
      <c r="S26" s="56">
        <v>0</v>
      </c>
      <c r="T26" s="36">
        <f t="shared" si="4"/>
        <v>2727.0957898426109</v>
      </c>
      <c r="U26" s="61">
        <f t="shared" si="5"/>
        <v>2164.361737970326</v>
      </c>
    </row>
    <row r="27" spans="1:21" ht="15.6" x14ac:dyDescent="0.3">
      <c r="A27" s="16">
        <v>10005779</v>
      </c>
      <c r="B27" s="16" t="s">
        <v>30</v>
      </c>
      <c r="C27" s="9">
        <v>16180</v>
      </c>
      <c r="D27" s="10">
        <v>16180</v>
      </c>
      <c r="E27" s="11">
        <v>0</v>
      </c>
      <c r="G27" s="39">
        <v>10005779</v>
      </c>
      <c r="H27" s="44">
        <f t="shared" si="8"/>
        <v>1.793326</v>
      </c>
      <c r="I27" s="31">
        <v>0.65</v>
      </c>
      <c r="J27" s="32">
        <f>$H$62</f>
        <v>-0.10965909090909082</v>
      </c>
      <c r="K27" s="33">
        <f t="shared" si="6"/>
        <v>16.18</v>
      </c>
      <c r="L27" s="34">
        <f t="shared" si="1"/>
        <v>0</v>
      </c>
      <c r="M27" s="35">
        <f t="shared" si="2"/>
        <v>0</v>
      </c>
      <c r="N27" s="35">
        <f t="shared" si="3"/>
        <v>0</v>
      </c>
      <c r="O27" s="35">
        <f>$O$57/$L$55*L27</f>
        <v>0</v>
      </c>
      <c r="P27" s="35">
        <f>$P$57/$L$55*L27</f>
        <v>0</v>
      </c>
      <c r="Q27" s="35">
        <f>$Q$57/$L$55*L27</f>
        <v>0</v>
      </c>
      <c r="R27" s="35">
        <v>0</v>
      </c>
      <c r="S27" s="56">
        <v>0</v>
      </c>
      <c r="T27" s="36">
        <f t="shared" si="4"/>
        <v>0</v>
      </c>
      <c r="U27" s="61">
        <f t="shared" si="5"/>
        <v>0</v>
      </c>
    </row>
    <row r="28" spans="1:21" ht="15.6" x14ac:dyDescent="0.3">
      <c r="A28" s="16">
        <v>10005776</v>
      </c>
      <c r="B28" s="16" t="s">
        <v>31</v>
      </c>
      <c r="C28" s="9">
        <v>174240</v>
      </c>
      <c r="D28" s="10"/>
      <c r="E28" s="11">
        <v>174240</v>
      </c>
      <c r="G28" s="39">
        <v>10005779</v>
      </c>
      <c r="H28" s="44">
        <f t="shared" si="8"/>
        <v>1.793326</v>
      </c>
      <c r="I28" s="31">
        <v>0.65</v>
      </c>
      <c r="J28" s="32">
        <f>$H$62</f>
        <v>-0.10965909090909082</v>
      </c>
      <c r="K28" s="33">
        <f t="shared" si="6"/>
        <v>174.24</v>
      </c>
      <c r="L28" s="34">
        <f t="shared" si="1"/>
        <v>174.24</v>
      </c>
      <c r="M28" s="35">
        <f t="shared" si="2"/>
        <v>312469.12224</v>
      </c>
      <c r="N28" s="35">
        <f t="shared" si="3"/>
        <v>36214.041600000004</v>
      </c>
      <c r="O28" s="35">
        <f>$O$57/$L$55*L28</f>
        <v>9587.6095268239551</v>
      </c>
      <c r="P28" s="35">
        <f>$P$57/$L$55*L28</f>
        <v>18847.615857125653</v>
      </c>
      <c r="Q28" s="35">
        <f>$Q$57/$L$55*L28</f>
        <v>15066.617422894966</v>
      </c>
      <c r="R28" s="35">
        <v>0</v>
      </c>
      <c r="S28" s="56">
        <v>0</v>
      </c>
      <c r="T28" s="36">
        <f t="shared" si="4"/>
        <v>377118.38922394963</v>
      </c>
      <c r="U28" s="61">
        <f t="shared" si="5"/>
        <v>2164.361737970326</v>
      </c>
    </row>
    <row r="29" spans="1:21" ht="15.6" x14ac:dyDescent="0.3">
      <c r="A29" s="16">
        <v>10005781</v>
      </c>
      <c r="B29" s="16" t="s">
        <v>32</v>
      </c>
      <c r="C29" s="9">
        <v>20440</v>
      </c>
      <c r="D29" s="10">
        <v>7840</v>
      </c>
      <c r="E29" s="11">
        <v>12600</v>
      </c>
      <c r="G29" s="39">
        <v>10005779</v>
      </c>
      <c r="H29" s="44">
        <f t="shared" si="8"/>
        <v>1.793326</v>
      </c>
      <c r="I29" s="31">
        <v>0.65</v>
      </c>
      <c r="J29" s="32">
        <f>$H$62</f>
        <v>-0.10965909090909082</v>
      </c>
      <c r="K29" s="33">
        <f t="shared" si="6"/>
        <v>20.440000000000001</v>
      </c>
      <c r="L29" s="34">
        <f t="shared" si="1"/>
        <v>12.6</v>
      </c>
      <c r="M29" s="35">
        <f t="shared" si="2"/>
        <v>22595.907599999999</v>
      </c>
      <c r="N29" s="35">
        <f t="shared" si="3"/>
        <v>2618.7840000000001</v>
      </c>
      <c r="O29" s="35">
        <f>$O$57/$L$55*L29</f>
        <v>693.31887074140161</v>
      </c>
      <c r="P29" s="35">
        <f>$P$57/$L$55*L29</f>
        <v>1362.9474276847063</v>
      </c>
      <c r="Q29" s="35">
        <f>$Q$57/$L$55*L29</f>
        <v>1089.5281194242227</v>
      </c>
      <c r="R29" s="35">
        <v>0</v>
      </c>
      <c r="S29" s="56">
        <v>0</v>
      </c>
      <c r="T29" s="36">
        <f t="shared" si="4"/>
        <v>27270.957898426106</v>
      </c>
      <c r="U29" s="61">
        <f t="shared" si="5"/>
        <v>2164.361737970326</v>
      </c>
    </row>
    <row r="30" spans="1:21" ht="15.6" x14ac:dyDescent="0.3">
      <c r="A30" s="17">
        <v>10007567</v>
      </c>
      <c r="B30" s="17" t="s">
        <v>33</v>
      </c>
      <c r="C30" s="9">
        <v>73900</v>
      </c>
      <c r="D30" s="18"/>
      <c r="E30" s="11">
        <v>73900</v>
      </c>
      <c r="G30" s="40">
        <v>10007567</v>
      </c>
      <c r="H30" s="44">
        <f>1712.173/1000</f>
        <v>1.7121729999999999</v>
      </c>
      <c r="I30" s="31">
        <v>0.68</v>
      </c>
      <c r="J30" s="32">
        <f>$H$62</f>
        <v>-0.10965909090909082</v>
      </c>
      <c r="K30" s="33">
        <f t="shared" si="6"/>
        <v>73.900000000000006</v>
      </c>
      <c r="L30" s="34">
        <f t="shared" si="1"/>
        <v>73.900000000000006</v>
      </c>
      <c r="M30" s="35">
        <f t="shared" si="2"/>
        <v>126529.58470000001</v>
      </c>
      <c r="N30" s="35">
        <f t="shared" si="3"/>
        <v>15359.376000000002</v>
      </c>
      <c r="O30" s="35">
        <f>$O$57/$L$55*L30</f>
        <v>4066.3702022055227</v>
      </c>
      <c r="P30" s="35">
        <f>$P$57/$L$55*L30</f>
        <v>7993.7948338015713</v>
      </c>
      <c r="Q30" s="35">
        <f>$Q$57/$L$55*L30</f>
        <v>6390.1688909087352</v>
      </c>
      <c r="R30" s="35">
        <v>0</v>
      </c>
      <c r="S30" s="56">
        <v>0</v>
      </c>
      <c r="T30" s="36">
        <f t="shared" si="4"/>
        <v>153949.12573600709</v>
      </c>
      <c r="U30" s="61">
        <f t="shared" si="5"/>
        <v>2083.2087379703257</v>
      </c>
    </row>
    <row r="31" spans="1:21" ht="15.6" x14ac:dyDescent="0.3">
      <c r="A31" s="17">
        <v>10010107</v>
      </c>
      <c r="B31" s="17" t="s">
        <v>34</v>
      </c>
      <c r="C31" s="9">
        <v>36320</v>
      </c>
      <c r="D31" s="18"/>
      <c r="E31" s="11">
        <v>36320</v>
      </c>
      <c r="G31" s="40">
        <v>10007567</v>
      </c>
      <c r="H31" s="44">
        <f>1712.173/1000</f>
        <v>1.7121729999999999</v>
      </c>
      <c r="I31" s="31">
        <v>0.68</v>
      </c>
      <c r="J31" s="32">
        <f>$H$62</f>
        <v>-0.10965909090909082</v>
      </c>
      <c r="K31" s="33">
        <f t="shared" si="6"/>
        <v>36.32</v>
      </c>
      <c r="L31" s="34">
        <f t="shared" si="1"/>
        <v>36.32</v>
      </c>
      <c r="M31" s="35">
        <f t="shared" si="2"/>
        <v>62186.123359999998</v>
      </c>
      <c r="N31" s="35">
        <f t="shared" si="3"/>
        <v>7548.7488000000003</v>
      </c>
      <c r="O31" s="35">
        <f>$O$57/$L$55*L31</f>
        <v>1998.5191575656911</v>
      </c>
      <c r="P31" s="35">
        <f>$P$57/$L$55*L31</f>
        <v>3928.75004551655</v>
      </c>
      <c r="Q31" s="35">
        <f>$Q$57/$L$55*L31</f>
        <v>3140.6080394831565</v>
      </c>
      <c r="R31" s="35">
        <v>0</v>
      </c>
      <c r="S31" s="56">
        <v>0</v>
      </c>
      <c r="T31" s="36">
        <f t="shared" si="4"/>
        <v>75662.14136308225</v>
      </c>
      <c r="U31" s="61">
        <f t="shared" si="5"/>
        <v>2083.2087379703262</v>
      </c>
    </row>
    <row r="32" spans="1:21" ht="15.6" x14ac:dyDescent="0.3">
      <c r="A32" s="12">
        <v>10009185</v>
      </c>
      <c r="B32" s="12" t="s">
        <v>35</v>
      </c>
      <c r="C32" s="9">
        <v>7300</v>
      </c>
      <c r="D32" s="18"/>
      <c r="E32" s="11">
        <v>7300</v>
      </c>
      <c r="G32" s="40">
        <v>10007162</v>
      </c>
      <c r="H32" s="44">
        <f t="shared" ref="H30:H35" si="9">1783.985/1000</f>
        <v>1.7839849999999999</v>
      </c>
      <c r="I32" s="32">
        <v>0.68</v>
      </c>
      <c r="J32" s="32">
        <f>$H$62</f>
        <v>-0.10965909090909082</v>
      </c>
      <c r="K32" s="33">
        <f t="shared" si="6"/>
        <v>7.3</v>
      </c>
      <c r="L32" s="34">
        <f t="shared" si="1"/>
        <v>7.3</v>
      </c>
      <c r="M32" s="35">
        <f t="shared" si="2"/>
        <v>13023.090499999998</v>
      </c>
      <c r="N32" s="35">
        <f t="shared" si="3"/>
        <v>1517.232</v>
      </c>
      <c r="O32" s="35">
        <f>$O$57/$L$55*L32</f>
        <v>401.68474257239939</v>
      </c>
      <c r="P32" s="35">
        <f>$P$57/$L$55*L32</f>
        <v>789.64414461098056</v>
      </c>
      <c r="Q32" s="35">
        <f>$Q$57/$L$55*L32</f>
        <v>631.23454538070041</v>
      </c>
      <c r="R32" s="35">
        <v>0</v>
      </c>
      <c r="S32" s="56">
        <v>0</v>
      </c>
      <c r="T32" s="36">
        <f t="shared" si="4"/>
        <v>15731.651387183378</v>
      </c>
      <c r="U32" s="61">
        <f t="shared" si="5"/>
        <v>2155.0207379703256</v>
      </c>
    </row>
    <row r="33" spans="1:21" ht="15.6" x14ac:dyDescent="0.3">
      <c r="A33" s="12">
        <v>10009186</v>
      </c>
      <c r="B33" s="12" t="s">
        <v>36</v>
      </c>
      <c r="C33" s="9">
        <v>60</v>
      </c>
      <c r="D33" s="18"/>
      <c r="E33" s="11">
        <v>60</v>
      </c>
      <c r="G33" s="40">
        <v>10007162</v>
      </c>
      <c r="H33" s="44">
        <f t="shared" si="9"/>
        <v>1.7839849999999999</v>
      </c>
      <c r="I33" s="32">
        <v>0.68</v>
      </c>
      <c r="J33" s="32">
        <f>$H$62</f>
        <v>-0.10965909090909082</v>
      </c>
      <c r="K33" s="33">
        <f t="shared" si="6"/>
        <v>0.06</v>
      </c>
      <c r="L33" s="34">
        <f t="shared" si="1"/>
        <v>0.06</v>
      </c>
      <c r="M33" s="35">
        <f t="shared" si="2"/>
        <v>107.0391</v>
      </c>
      <c r="N33" s="35">
        <f t="shared" si="3"/>
        <v>12.4704</v>
      </c>
      <c r="O33" s="35">
        <f>$O$57/$L$55*L33</f>
        <v>3.3015184321019126</v>
      </c>
      <c r="P33" s="35">
        <f>$P$57/$L$55*L33</f>
        <v>6.4902258461176485</v>
      </c>
      <c r="Q33" s="35">
        <f>$Q$57/$L$55*L33</f>
        <v>5.1882291401153457</v>
      </c>
      <c r="R33" s="35">
        <v>0</v>
      </c>
      <c r="S33" s="56">
        <v>0</v>
      </c>
      <c r="T33" s="36">
        <f t="shared" si="4"/>
        <v>129.30124427821957</v>
      </c>
      <c r="U33" s="61">
        <f t="shared" si="5"/>
        <v>2155.0207379703261</v>
      </c>
    </row>
    <row r="34" spans="1:21" ht="15.6" x14ac:dyDescent="0.3">
      <c r="A34" s="12">
        <v>10009777</v>
      </c>
      <c r="B34" s="12" t="s">
        <v>37</v>
      </c>
      <c r="C34" s="9">
        <v>12840</v>
      </c>
      <c r="D34" s="18"/>
      <c r="E34" s="11">
        <v>12840</v>
      </c>
      <c r="G34" s="40">
        <v>10007162</v>
      </c>
      <c r="H34" s="44">
        <f t="shared" si="9"/>
        <v>1.7839849999999999</v>
      </c>
      <c r="I34" s="32">
        <v>0.68</v>
      </c>
      <c r="J34" s="32">
        <f>$H$62</f>
        <v>-0.10965909090909082</v>
      </c>
      <c r="K34" s="33">
        <f t="shared" si="6"/>
        <v>12.84</v>
      </c>
      <c r="L34" s="34">
        <f t="shared" ref="L34:L54" si="10">IF(E34&lt;0,0,E34)/1000</f>
        <v>12.84</v>
      </c>
      <c r="M34" s="35">
        <f t="shared" si="2"/>
        <v>22906.367399999999</v>
      </c>
      <c r="N34" s="35">
        <f t="shared" si="3"/>
        <v>2668.6655999999998</v>
      </c>
      <c r="O34" s="35">
        <f>$O$57/$L$55*L34</f>
        <v>706.52494446980927</v>
      </c>
      <c r="P34" s="35">
        <f>$P$57/$L$55*L34</f>
        <v>1388.9083310691769</v>
      </c>
      <c r="Q34" s="35">
        <f>$Q$57/$L$55*L34</f>
        <v>1110.2810359846842</v>
      </c>
      <c r="R34" s="35">
        <v>0</v>
      </c>
      <c r="S34" s="56">
        <v>0</v>
      </c>
      <c r="T34" s="36">
        <f t="shared" si="4"/>
        <v>27670.466275538987</v>
      </c>
      <c r="U34" s="61">
        <f t="shared" si="5"/>
        <v>2155.0207379703261</v>
      </c>
    </row>
    <row r="35" spans="1:21" ht="15.6" x14ac:dyDescent="0.3">
      <c r="A35" s="12">
        <v>10010108</v>
      </c>
      <c r="B35" s="12" t="s">
        <v>38</v>
      </c>
      <c r="C35" s="9">
        <v>41080</v>
      </c>
      <c r="D35" s="18"/>
      <c r="E35" s="11">
        <v>41080</v>
      </c>
      <c r="G35" s="40">
        <v>10007162</v>
      </c>
      <c r="H35" s="44">
        <f t="shared" ref="H35:H40" si="11">1783.985/1000</f>
        <v>1.7839849999999999</v>
      </c>
      <c r="I35" s="32">
        <v>0.68</v>
      </c>
      <c r="J35" s="32">
        <f>$H$62</f>
        <v>-0.10965909090909082</v>
      </c>
      <c r="K35" s="33">
        <f t="shared" si="6"/>
        <v>41.08</v>
      </c>
      <c r="L35" s="34">
        <f t="shared" si="10"/>
        <v>41.08</v>
      </c>
      <c r="M35" s="35">
        <f t="shared" si="2"/>
        <v>73286.103799999997</v>
      </c>
      <c r="N35" s="35">
        <f t="shared" si="3"/>
        <v>8538.0671999999995</v>
      </c>
      <c r="O35" s="35">
        <f>$O$57/$L$55*L35</f>
        <v>2260.4396198457762</v>
      </c>
      <c r="P35" s="35">
        <f>$P$57/$L$55*L35</f>
        <v>4443.641295975217</v>
      </c>
      <c r="Q35" s="35">
        <f>$Q$57/$L$55*L35</f>
        <v>3552.2075512656402</v>
      </c>
      <c r="R35" s="35">
        <v>0</v>
      </c>
      <c r="S35" s="56">
        <v>0</v>
      </c>
      <c r="T35" s="36">
        <f t="shared" si="4"/>
        <v>88528.251915820991</v>
      </c>
      <c r="U35" s="61">
        <f t="shared" si="5"/>
        <v>2155.0207379703261</v>
      </c>
    </row>
    <row r="36" spans="1:21" ht="15.6" x14ac:dyDescent="0.3">
      <c r="A36" s="19">
        <v>10009187</v>
      </c>
      <c r="B36" s="19" t="s">
        <v>39</v>
      </c>
      <c r="C36" s="9">
        <v>120</v>
      </c>
      <c r="D36" s="18"/>
      <c r="E36" s="11">
        <v>120</v>
      </c>
      <c r="G36" s="40">
        <v>10007162</v>
      </c>
      <c r="H36" s="44">
        <f t="shared" si="11"/>
        <v>1.7839849999999999</v>
      </c>
      <c r="I36" s="32">
        <v>0.68</v>
      </c>
      <c r="J36" s="32">
        <f>$H$62</f>
        <v>-0.10965909090909082</v>
      </c>
      <c r="K36" s="33">
        <f t="shared" si="6"/>
        <v>0.12</v>
      </c>
      <c r="L36" s="34">
        <f t="shared" si="10"/>
        <v>0.12</v>
      </c>
      <c r="M36" s="35">
        <f t="shared" si="2"/>
        <v>214.07820000000001</v>
      </c>
      <c r="N36" s="35">
        <f t="shared" si="3"/>
        <v>24.940799999999999</v>
      </c>
      <c r="O36" s="35">
        <f>$O$57/$L$55*L36</f>
        <v>6.6030368642038253</v>
      </c>
      <c r="P36" s="35">
        <f>$P$57/$L$55*L36</f>
        <v>12.980451692235297</v>
      </c>
      <c r="Q36" s="35">
        <f>$Q$57/$L$55*L36</f>
        <v>10.376458280230691</v>
      </c>
      <c r="R36" s="35">
        <v>0</v>
      </c>
      <c r="S36" s="56">
        <v>0</v>
      </c>
      <c r="T36" s="36">
        <f t="shared" si="4"/>
        <v>258.60248855643914</v>
      </c>
      <c r="U36" s="61">
        <f t="shared" si="5"/>
        <v>2155.0207379703261</v>
      </c>
    </row>
    <row r="37" spans="1:21" ht="15.6" x14ac:dyDescent="0.3">
      <c r="A37" s="19">
        <v>10007161</v>
      </c>
      <c r="B37" s="19" t="s">
        <v>40</v>
      </c>
      <c r="C37" s="9">
        <v>23580</v>
      </c>
      <c r="D37" s="10"/>
      <c r="E37" s="11">
        <v>23580</v>
      </c>
      <c r="G37" s="40">
        <v>10007162</v>
      </c>
      <c r="H37" s="44">
        <f t="shared" si="11"/>
        <v>1.7839849999999999</v>
      </c>
      <c r="I37" s="32">
        <v>0.68</v>
      </c>
      <c r="J37" s="32">
        <f>$H$62</f>
        <v>-0.10965909090909082</v>
      </c>
      <c r="K37" s="33">
        <f t="shared" si="6"/>
        <v>23.58</v>
      </c>
      <c r="L37" s="34">
        <f t="shared" si="10"/>
        <v>23.58</v>
      </c>
      <c r="M37" s="35">
        <f t="shared" si="2"/>
        <v>42066.366300000002</v>
      </c>
      <c r="N37" s="35">
        <f t="shared" si="3"/>
        <v>4900.8671999999997</v>
      </c>
      <c r="O37" s="35">
        <f>$O$57/$L$55*L37</f>
        <v>1297.4967438160515</v>
      </c>
      <c r="P37" s="35">
        <f>$P$57/$L$55*L37</f>
        <v>2550.6587575242361</v>
      </c>
      <c r="Q37" s="35">
        <f>$Q$57/$L$55*L37</f>
        <v>2038.9740520653311</v>
      </c>
      <c r="R37" s="35">
        <v>0</v>
      </c>
      <c r="S37" s="56">
        <v>0</v>
      </c>
      <c r="T37" s="36">
        <f t="shared" si="4"/>
        <v>50815.389001340292</v>
      </c>
      <c r="U37" s="61">
        <f t="shared" si="5"/>
        <v>2155.0207379703265</v>
      </c>
    </row>
    <row r="38" spans="1:21" ht="15.6" x14ac:dyDescent="0.3">
      <c r="A38" s="19">
        <v>10009658</v>
      </c>
      <c r="B38" s="19" t="s">
        <v>41</v>
      </c>
      <c r="C38" s="9">
        <v>2780</v>
      </c>
      <c r="D38" s="10"/>
      <c r="E38" s="11">
        <v>2780</v>
      </c>
      <c r="G38" s="40">
        <v>10007162</v>
      </c>
      <c r="H38" s="44">
        <f t="shared" si="11"/>
        <v>1.7839849999999999</v>
      </c>
      <c r="I38" s="32">
        <v>0.68</v>
      </c>
      <c r="J38" s="32">
        <f>$H$62</f>
        <v>-0.10965909090909082</v>
      </c>
      <c r="K38" s="33">
        <f t="shared" si="6"/>
        <v>2.78</v>
      </c>
      <c r="L38" s="34">
        <f t="shared" si="10"/>
        <v>2.78</v>
      </c>
      <c r="M38" s="35">
        <f t="shared" si="2"/>
        <v>4959.4782999999998</v>
      </c>
      <c r="N38" s="35">
        <f t="shared" si="3"/>
        <v>577.79520000000002</v>
      </c>
      <c r="O38" s="35">
        <f>$O$57/$L$55*L38</f>
        <v>152.97035402072194</v>
      </c>
      <c r="P38" s="35">
        <f>$P$57/$L$55*L38</f>
        <v>300.7137975367844</v>
      </c>
      <c r="Q38" s="35">
        <f>$Q$57/$L$55*L38</f>
        <v>240.38795015867771</v>
      </c>
      <c r="R38" s="35">
        <v>0</v>
      </c>
      <c r="S38" s="56">
        <v>0</v>
      </c>
      <c r="T38" s="36">
        <f t="shared" si="4"/>
        <v>5990.9576515575054</v>
      </c>
      <c r="U38" s="61">
        <f t="shared" si="5"/>
        <v>2155.0207379703256</v>
      </c>
    </row>
    <row r="39" spans="1:21" ht="15.6" x14ac:dyDescent="0.3">
      <c r="A39" s="19">
        <v>10009639</v>
      </c>
      <c r="B39" s="19" t="s">
        <v>42</v>
      </c>
      <c r="C39" s="9">
        <v>37180</v>
      </c>
      <c r="D39" s="10"/>
      <c r="E39" s="11">
        <v>37180</v>
      </c>
      <c r="G39" s="40">
        <v>10007162</v>
      </c>
      <c r="H39" s="44">
        <f t="shared" si="11"/>
        <v>1.7839849999999999</v>
      </c>
      <c r="I39" s="32">
        <v>0.68</v>
      </c>
      <c r="J39" s="32">
        <f>$H$62</f>
        <v>-0.10965909090909082</v>
      </c>
      <c r="K39" s="33">
        <f t="shared" si="6"/>
        <v>37.18</v>
      </c>
      <c r="L39" s="34">
        <f t="shared" si="10"/>
        <v>37.18</v>
      </c>
      <c r="M39" s="35">
        <f t="shared" si="2"/>
        <v>66328.562300000005</v>
      </c>
      <c r="N39" s="35">
        <f t="shared" si="3"/>
        <v>7727.4912000000004</v>
      </c>
      <c r="O39" s="35">
        <f>$O$57/$L$55*L39</f>
        <v>2045.8409217591518</v>
      </c>
      <c r="P39" s="35">
        <f>$P$57/$L$55*L39</f>
        <v>4021.7766159775697</v>
      </c>
      <c r="Q39" s="35">
        <f>$Q$57/$L$55*L39</f>
        <v>3214.9726571581427</v>
      </c>
      <c r="R39" s="35">
        <v>0</v>
      </c>
      <c r="S39" s="56">
        <v>0</v>
      </c>
      <c r="T39" s="36">
        <f t="shared" si="4"/>
        <v>80123.671037736727</v>
      </c>
      <c r="U39" s="61">
        <f t="shared" si="5"/>
        <v>2155.0207379703261</v>
      </c>
    </row>
    <row r="40" spans="1:21" ht="15.6" x14ac:dyDescent="0.3">
      <c r="A40" s="19">
        <v>10007162</v>
      </c>
      <c r="B40" s="19" t="s">
        <v>43</v>
      </c>
      <c r="C40" s="9">
        <v>172780</v>
      </c>
      <c r="D40" s="10"/>
      <c r="E40" s="11">
        <v>172780</v>
      </c>
      <c r="G40" s="40">
        <v>10007162</v>
      </c>
      <c r="H40" s="44">
        <f t="shared" si="11"/>
        <v>1.7839849999999999</v>
      </c>
      <c r="I40" s="32">
        <v>0.68</v>
      </c>
      <c r="J40" s="32">
        <f>$H$62</f>
        <v>-0.10965909090909082</v>
      </c>
      <c r="K40" s="33">
        <f t="shared" si="6"/>
        <v>172.78</v>
      </c>
      <c r="L40" s="34">
        <f t="shared" si="10"/>
        <v>172.78</v>
      </c>
      <c r="M40" s="35">
        <f t="shared" si="2"/>
        <v>308236.92829999997</v>
      </c>
      <c r="N40" s="35">
        <f t="shared" si="3"/>
        <v>35910.595200000003</v>
      </c>
      <c r="O40" s="35">
        <f>$O$57/$L$55*L40</f>
        <v>9507.2725783094756</v>
      </c>
      <c r="P40" s="35">
        <f>$P$57/$L$55*L40</f>
        <v>18689.687028203458</v>
      </c>
      <c r="Q40" s="35">
        <f>$Q$57/$L$55*L40</f>
        <v>14940.370513818825</v>
      </c>
      <c r="R40" s="35">
        <v>0</v>
      </c>
      <c r="S40" s="56">
        <v>0</v>
      </c>
      <c r="T40" s="36">
        <f t="shared" si="4"/>
        <v>372344.48310651287</v>
      </c>
      <c r="U40" s="61">
        <f t="shared" si="5"/>
        <v>2155.0207379703256</v>
      </c>
    </row>
    <row r="41" spans="1:21" ht="15.6" x14ac:dyDescent="0.3">
      <c r="A41" s="19">
        <v>10009336</v>
      </c>
      <c r="B41" s="19" t="s">
        <v>44</v>
      </c>
      <c r="C41" s="9">
        <v>21280</v>
      </c>
      <c r="D41" s="10"/>
      <c r="E41" s="11">
        <v>21280</v>
      </c>
      <c r="G41" s="41">
        <v>10009386</v>
      </c>
      <c r="H41" s="44">
        <f>3230.80440900563/1000</f>
        <v>3.2308044090056303</v>
      </c>
      <c r="I41" s="32">
        <v>0.68</v>
      </c>
      <c r="J41" s="32">
        <f>$H$62</f>
        <v>-0.10965909090909082</v>
      </c>
      <c r="K41" s="33">
        <f t="shared" si="6"/>
        <v>21.28</v>
      </c>
      <c r="L41" s="34">
        <f t="shared" si="10"/>
        <v>21.28</v>
      </c>
      <c r="M41" s="35">
        <f t="shared" si="2"/>
        <v>68751.517823639821</v>
      </c>
      <c r="N41" s="35">
        <f t="shared" si="3"/>
        <v>4422.8352000000004</v>
      </c>
      <c r="O41" s="35">
        <f>$O$57/$L$55*L41</f>
        <v>1170.9385372521451</v>
      </c>
      <c r="P41" s="35">
        <f>$P$57/$L$55*L41</f>
        <v>2301.8667667563932</v>
      </c>
      <c r="Q41" s="35">
        <f>$Q$57/$L$55*L41</f>
        <v>1840.0919350275763</v>
      </c>
      <c r="R41" s="35">
        <v>0</v>
      </c>
      <c r="S41" s="56">
        <v>0</v>
      </c>
      <c r="T41" s="36">
        <f t="shared" si="4"/>
        <v>76647.158327648358</v>
      </c>
      <c r="U41" s="61">
        <f t="shared" si="5"/>
        <v>3601.8401469759565</v>
      </c>
    </row>
    <row r="42" spans="1:21" ht="15.6" x14ac:dyDescent="0.3">
      <c r="A42" s="20">
        <v>10009239</v>
      </c>
      <c r="B42" s="20" t="s">
        <v>45</v>
      </c>
      <c r="C42" s="9">
        <v>16480</v>
      </c>
      <c r="D42" s="10"/>
      <c r="E42" s="11">
        <v>16480</v>
      </c>
      <c r="G42" s="42">
        <v>10009239</v>
      </c>
      <c r="H42" s="44">
        <f>2846.957/1000</f>
        <v>2.8469569999999997</v>
      </c>
      <c r="I42" s="31">
        <v>0.56000000000000005</v>
      </c>
      <c r="J42" s="32">
        <f>$H$62</f>
        <v>-0.10965909090909082</v>
      </c>
      <c r="K42" s="33">
        <f t="shared" si="6"/>
        <v>16.48</v>
      </c>
      <c r="L42" s="34">
        <f t="shared" si="10"/>
        <v>16.48</v>
      </c>
      <c r="M42" s="35">
        <f t="shared" si="2"/>
        <v>46917.851360000001</v>
      </c>
      <c r="N42" s="35">
        <f t="shared" si="3"/>
        <v>3425.2031999999999</v>
      </c>
      <c r="O42" s="35">
        <f>$O$57/$L$55*L42</f>
        <v>906.81706268399205</v>
      </c>
      <c r="P42" s="35">
        <f>$P$57/$L$55*L42</f>
        <v>1782.648699066981</v>
      </c>
      <c r="Q42" s="35">
        <f>$Q$57/$L$55*L42</f>
        <v>1425.0336038183484</v>
      </c>
      <c r="R42" s="35">
        <v>0</v>
      </c>
      <c r="S42" s="56">
        <v>0</v>
      </c>
      <c r="T42" s="36">
        <f t="shared" si="4"/>
        <v>53032.520321750977</v>
      </c>
      <c r="U42" s="61">
        <f t="shared" si="5"/>
        <v>3217.9927379703263</v>
      </c>
    </row>
    <row r="43" spans="1:21" ht="15.6" x14ac:dyDescent="0.3">
      <c r="A43" s="20">
        <v>10009251</v>
      </c>
      <c r="B43" s="20" t="s">
        <v>46</v>
      </c>
      <c r="C43" s="9">
        <v>0</v>
      </c>
      <c r="D43" s="10"/>
      <c r="E43" s="11">
        <v>0</v>
      </c>
      <c r="G43" s="42">
        <v>10009239</v>
      </c>
      <c r="H43" s="44">
        <f>2846.957/1000</f>
        <v>2.8469569999999997</v>
      </c>
      <c r="I43" s="31">
        <v>0.56000000000000005</v>
      </c>
      <c r="J43" s="32">
        <f>$H$62</f>
        <v>-0.10965909090909082</v>
      </c>
      <c r="K43" s="33">
        <f t="shared" si="6"/>
        <v>0</v>
      </c>
      <c r="L43" s="34">
        <f t="shared" si="10"/>
        <v>0</v>
      </c>
      <c r="M43" s="35">
        <f t="shared" si="2"/>
        <v>0</v>
      </c>
      <c r="N43" s="35">
        <f t="shared" si="3"/>
        <v>0</v>
      </c>
      <c r="O43" s="35">
        <f>$O$57/$L$55*L43</f>
        <v>0</v>
      </c>
      <c r="P43" s="35">
        <f>$P$57/$L$55*L43</f>
        <v>0</v>
      </c>
      <c r="Q43" s="35">
        <f>$Q$57/$L$55*L43</f>
        <v>0</v>
      </c>
      <c r="R43" s="35">
        <v>0</v>
      </c>
      <c r="S43" s="56">
        <v>0</v>
      </c>
      <c r="T43" s="36">
        <f t="shared" si="4"/>
        <v>0</v>
      </c>
      <c r="U43" s="61">
        <f t="shared" si="5"/>
        <v>0</v>
      </c>
    </row>
    <row r="44" spans="1:21" ht="15.6" x14ac:dyDescent="0.3">
      <c r="A44" s="13">
        <v>10009241</v>
      </c>
      <c r="B44" s="13" t="s">
        <v>47</v>
      </c>
      <c r="C44" s="9">
        <v>15260</v>
      </c>
      <c r="D44" s="10">
        <v>260</v>
      </c>
      <c r="E44" s="11">
        <v>15000</v>
      </c>
      <c r="G44" s="43">
        <v>10009334</v>
      </c>
      <c r="H44" s="44">
        <v>2.5748229999999999</v>
      </c>
      <c r="I44" s="31">
        <v>0.68</v>
      </c>
      <c r="J44" s="32">
        <f>$H$62</f>
        <v>-0.10965909090909082</v>
      </c>
      <c r="K44" s="33">
        <f t="shared" si="6"/>
        <v>15.26</v>
      </c>
      <c r="L44" s="34">
        <f t="shared" si="10"/>
        <v>15</v>
      </c>
      <c r="M44" s="35">
        <f t="shared" si="2"/>
        <v>38622.344999999994</v>
      </c>
      <c r="N44" s="35">
        <f t="shared" si="3"/>
        <v>3117.6</v>
      </c>
      <c r="O44" s="35">
        <f>$O$57/$L$55*L44</f>
        <v>825.37960802547821</v>
      </c>
      <c r="P44" s="35">
        <f>$P$57/$L$55*L44</f>
        <v>1622.5564615294122</v>
      </c>
      <c r="Q44" s="35">
        <f>$Q$57/$L$55*L44</f>
        <v>1297.0572850288365</v>
      </c>
      <c r="R44" s="35">
        <v>0</v>
      </c>
      <c r="S44" s="56">
        <v>0</v>
      </c>
      <c r="T44" s="36">
        <f t="shared" si="4"/>
        <v>44187.881069554882</v>
      </c>
      <c r="U44" s="61">
        <f t="shared" si="5"/>
        <v>2945.8587379703254</v>
      </c>
    </row>
    <row r="45" spans="1:21" ht="15.6" x14ac:dyDescent="0.3">
      <c r="A45" s="13">
        <v>10009331</v>
      </c>
      <c r="B45" s="13" t="s">
        <v>48</v>
      </c>
      <c r="C45" s="9">
        <v>314458</v>
      </c>
      <c r="D45" s="10">
        <v>227678</v>
      </c>
      <c r="E45" s="11">
        <v>86780</v>
      </c>
      <c r="G45" s="43">
        <v>10009334</v>
      </c>
      <c r="H45" s="44">
        <v>2.5748229999999999</v>
      </c>
      <c r="I45" s="31">
        <v>0.68</v>
      </c>
      <c r="J45" s="32">
        <f>$H$62</f>
        <v>-0.10965909090909082</v>
      </c>
      <c r="K45" s="33">
        <f t="shared" si="6"/>
        <v>314.45800000000003</v>
      </c>
      <c r="L45" s="34">
        <f>IF(E45&lt;0,0,E45)/1000+D45/1000</f>
        <v>314.45799999999997</v>
      </c>
      <c r="M45" s="35">
        <f t="shared" si="2"/>
        <v>809673.69093399984</v>
      </c>
      <c r="N45" s="35">
        <f t="shared" si="3"/>
        <v>65356.950719999993</v>
      </c>
      <c r="O45" s="35">
        <f>$O$57/$L$55*L45</f>
        <v>17303.14805203172</v>
      </c>
      <c r="P45" s="35">
        <f>$P$57/$L$55*L45</f>
        <v>34015.057318641055</v>
      </c>
      <c r="Q45" s="35">
        <f>$Q$57/$L$55*L45</f>
        <v>27191.335982373192</v>
      </c>
      <c r="R45" s="35">
        <v>0</v>
      </c>
      <c r="S45" s="56">
        <v>0</v>
      </c>
      <c r="T45" s="36">
        <f t="shared" si="4"/>
        <v>926348.84702467266</v>
      </c>
      <c r="U45" s="61">
        <f t="shared" si="5"/>
        <v>2945.8587379703258</v>
      </c>
    </row>
    <row r="46" spans="1:21" ht="15.6" x14ac:dyDescent="0.3">
      <c r="A46" s="13">
        <v>10009334</v>
      </c>
      <c r="B46" s="13" t="s">
        <v>49</v>
      </c>
      <c r="C46" s="9">
        <v>42322</v>
      </c>
      <c r="D46" s="10">
        <v>42322</v>
      </c>
      <c r="E46" s="11">
        <v>0</v>
      </c>
      <c r="G46" s="43">
        <v>10009334</v>
      </c>
      <c r="H46" s="44">
        <v>2.5748229999999999</v>
      </c>
      <c r="I46" s="31">
        <v>0.68</v>
      </c>
      <c r="J46" s="32">
        <f>$H$62</f>
        <v>-0.10965909090909082</v>
      </c>
      <c r="K46" s="33">
        <f t="shared" si="6"/>
        <v>42.322000000000003</v>
      </c>
      <c r="L46" s="34">
        <f t="shared" si="10"/>
        <v>0</v>
      </c>
      <c r="M46" s="35">
        <f t="shared" si="2"/>
        <v>0</v>
      </c>
      <c r="N46" s="35">
        <f t="shared" si="3"/>
        <v>0</v>
      </c>
      <c r="O46" s="35">
        <f>$O$57/$L$55*L46</f>
        <v>0</v>
      </c>
      <c r="P46" s="35">
        <f>$P$57/$L$55*L46</f>
        <v>0</v>
      </c>
      <c r="Q46" s="35">
        <f>$Q$57/$L$55*L46</f>
        <v>0</v>
      </c>
      <c r="R46" s="35">
        <v>0</v>
      </c>
      <c r="S46" s="56">
        <v>0</v>
      </c>
      <c r="T46" s="36">
        <f t="shared" si="4"/>
        <v>0</v>
      </c>
      <c r="U46" s="61">
        <f t="shared" si="5"/>
        <v>0</v>
      </c>
    </row>
    <row r="47" spans="1:21" ht="15.6" x14ac:dyDescent="0.3">
      <c r="A47" s="12">
        <v>10007050</v>
      </c>
      <c r="B47" s="12" t="s">
        <v>50</v>
      </c>
      <c r="C47" s="9">
        <v>49580</v>
      </c>
      <c r="D47" s="10"/>
      <c r="E47" s="11">
        <v>49580</v>
      </c>
      <c r="G47" s="42">
        <v>10007050</v>
      </c>
      <c r="H47" s="44">
        <f>2246.62/1000</f>
        <v>2.2466200000000001</v>
      </c>
      <c r="I47" s="31">
        <v>0.68</v>
      </c>
      <c r="J47" s="32">
        <f>$H$62</f>
        <v>-0.10965909090909082</v>
      </c>
      <c r="K47" s="33">
        <f t="shared" si="6"/>
        <v>49.58</v>
      </c>
      <c r="L47" s="34">
        <f t="shared" si="10"/>
        <v>49.58</v>
      </c>
      <c r="M47" s="35">
        <f t="shared" si="2"/>
        <v>111387.41960000001</v>
      </c>
      <c r="N47" s="35">
        <f t="shared" si="3"/>
        <v>10304.707199999999</v>
      </c>
      <c r="O47" s="35">
        <f>$O$57/$L$55*L47</f>
        <v>2728.1547310602136</v>
      </c>
      <c r="P47" s="35">
        <f>$P$57/$L$55*L47</f>
        <v>5363.0899575085505</v>
      </c>
      <c r="Q47" s="35">
        <f>$Q$57/$L$55*L47</f>
        <v>4287.2066794486482</v>
      </c>
      <c r="R47" s="35">
        <v>0</v>
      </c>
      <c r="S47" s="56">
        <v>0</v>
      </c>
      <c r="T47" s="36">
        <f t="shared" si="4"/>
        <v>129783.37148856878</v>
      </c>
      <c r="U47" s="61">
        <f t="shared" si="5"/>
        <v>2617.6557379703263</v>
      </c>
    </row>
    <row r="48" spans="1:21" ht="15.6" x14ac:dyDescent="0.3">
      <c r="A48" s="12">
        <v>10009337</v>
      </c>
      <c r="B48" s="12" t="s">
        <v>51</v>
      </c>
      <c r="C48" s="9">
        <v>30765</v>
      </c>
      <c r="D48" s="10"/>
      <c r="E48" s="11">
        <v>30765</v>
      </c>
      <c r="G48" s="42">
        <v>10007050</v>
      </c>
      <c r="H48" s="44">
        <f>2246.62/1000</f>
        <v>2.2466200000000001</v>
      </c>
      <c r="I48" s="31">
        <v>0.68</v>
      </c>
      <c r="J48" s="32">
        <f>$H$62</f>
        <v>-0.10965909090909082</v>
      </c>
      <c r="K48" s="33">
        <f t="shared" si="6"/>
        <v>30.765000000000001</v>
      </c>
      <c r="L48" s="34">
        <f t="shared" si="10"/>
        <v>30.765000000000001</v>
      </c>
      <c r="M48" s="35">
        <f t="shared" si="2"/>
        <v>69117.264299999995</v>
      </c>
      <c r="N48" s="35">
        <f t="shared" si="3"/>
        <v>6394.1976000000004</v>
      </c>
      <c r="O48" s="35">
        <f>$O$57/$L$55*L48</f>
        <v>1692.8535760602558</v>
      </c>
      <c r="P48" s="35">
        <f>$P$57/$L$55*L48</f>
        <v>3327.8633025968247</v>
      </c>
      <c r="Q48" s="35">
        <f>$Q$57/$L$55*L48</f>
        <v>2660.2644915941437</v>
      </c>
      <c r="R48" s="35">
        <v>0</v>
      </c>
      <c r="S48" s="56">
        <v>0</v>
      </c>
      <c r="T48" s="36">
        <f t="shared" si="4"/>
        <v>80532.178778657079</v>
      </c>
      <c r="U48" s="61">
        <f t="shared" si="5"/>
        <v>2617.6557379703258</v>
      </c>
    </row>
    <row r="49" spans="1:21" ht="15.6" x14ac:dyDescent="0.3">
      <c r="A49" s="12">
        <v>10009332</v>
      </c>
      <c r="B49" s="12" t="s">
        <v>52</v>
      </c>
      <c r="C49" s="9">
        <v>58373</v>
      </c>
      <c r="D49" s="10"/>
      <c r="E49" s="11">
        <v>58373</v>
      </c>
      <c r="G49" s="42">
        <v>10007050</v>
      </c>
      <c r="H49" s="44">
        <f>2246.62/1000</f>
        <v>2.2466200000000001</v>
      </c>
      <c r="I49" s="31">
        <v>0.68</v>
      </c>
      <c r="J49" s="32">
        <f>$H$62</f>
        <v>-0.10965909090909082</v>
      </c>
      <c r="K49" s="33">
        <f t="shared" si="6"/>
        <v>58.372999999999998</v>
      </c>
      <c r="L49" s="34">
        <f t="shared" si="10"/>
        <v>58.372999999999998</v>
      </c>
      <c r="M49" s="35">
        <f t="shared" si="2"/>
        <v>131141.94925999999</v>
      </c>
      <c r="N49" s="35">
        <f t="shared" si="3"/>
        <v>12132.24432</v>
      </c>
      <c r="O49" s="35">
        <f>$O$57/$L$55*L49</f>
        <v>3211.992257284749</v>
      </c>
      <c r="P49" s="35">
        <f>$P$57/$L$55*L49</f>
        <v>6314.2325552570919</v>
      </c>
      <c r="Q49" s="35">
        <f>$Q$57/$L$55*L49</f>
        <v>5047.5416599325517</v>
      </c>
      <c r="R49" s="35">
        <v>0</v>
      </c>
      <c r="S49" s="56">
        <v>0</v>
      </c>
      <c r="T49" s="36">
        <f t="shared" si="4"/>
        <v>152800.41839254185</v>
      </c>
      <c r="U49" s="61">
        <f t="shared" si="5"/>
        <v>2617.6557379703263</v>
      </c>
    </row>
    <row r="50" spans="1:21" ht="15.6" x14ac:dyDescent="0.3">
      <c r="A50" s="8">
        <v>10007152</v>
      </c>
      <c r="B50" s="8" t="s">
        <v>53</v>
      </c>
      <c r="C50" s="9">
        <v>846</v>
      </c>
      <c r="D50" s="10"/>
      <c r="E50" s="11">
        <v>846</v>
      </c>
      <c r="G50" s="64">
        <v>10007152</v>
      </c>
      <c r="H50" s="44">
        <f>2246.62/1000</f>
        <v>2.2466200000000001</v>
      </c>
      <c r="I50" s="31">
        <v>0.68</v>
      </c>
      <c r="J50" s="32">
        <f>$H$62</f>
        <v>-0.10965909090909082</v>
      </c>
      <c r="K50" s="33">
        <f t="shared" ref="K50" si="12">C50/1000</f>
        <v>0.84599999999999997</v>
      </c>
      <c r="L50" s="34">
        <f t="shared" si="10"/>
        <v>0.84599999999999997</v>
      </c>
      <c r="M50" s="35">
        <f t="shared" ref="M50:M52" si="13">IFERROR(H50*L50,0)*1000</f>
        <v>1900.6405200000002</v>
      </c>
      <c r="N50" s="35">
        <f t="shared" ref="N50:N52" si="14">207.84*L50</f>
        <v>175.83264</v>
      </c>
      <c r="O50" s="35">
        <f>$O$57/$L$55*L50</f>
        <v>46.551409892636968</v>
      </c>
      <c r="P50" s="35">
        <f>$P$57/$L$55*L50</f>
        <v>91.512184430258841</v>
      </c>
      <c r="Q50" s="35">
        <f>$Q$57/$L$55*L50</f>
        <v>73.154030875626376</v>
      </c>
      <c r="R50" s="35">
        <v>0</v>
      </c>
      <c r="S50" s="56">
        <v>0</v>
      </c>
      <c r="T50" s="36">
        <f t="shared" ref="T50:T52" si="15">M50+N50+O50+P50</f>
        <v>2214.5367543228958</v>
      </c>
      <c r="U50" s="61">
        <f t="shared" ref="U50:U52" si="16">IFERROR(T50/L50,0)</f>
        <v>2617.6557379703263</v>
      </c>
    </row>
    <row r="51" spans="1:21" ht="15.6" x14ac:dyDescent="0.3">
      <c r="A51" s="8">
        <v>10007151</v>
      </c>
      <c r="B51" s="8" t="s">
        <v>54</v>
      </c>
      <c r="C51" s="9">
        <v>3640</v>
      </c>
      <c r="D51" s="10"/>
      <c r="E51" s="11">
        <v>3640</v>
      </c>
      <c r="G51" s="64">
        <v>10007151</v>
      </c>
      <c r="H51" s="44">
        <f>2246.62/1000</f>
        <v>2.2466200000000001</v>
      </c>
      <c r="I51" s="31">
        <v>0.68</v>
      </c>
      <c r="J51" s="32">
        <f>$H$62</f>
        <v>-0.10965909090909082</v>
      </c>
      <c r="K51" s="33">
        <f t="shared" ref="K51:K52" si="17">C51/1000</f>
        <v>3.64</v>
      </c>
      <c r="L51" s="34">
        <f t="shared" si="10"/>
        <v>3.64</v>
      </c>
      <c r="M51" s="35">
        <f t="shared" si="13"/>
        <v>8177.6967999999997</v>
      </c>
      <c r="N51" s="35">
        <f t="shared" si="14"/>
        <v>756.5376</v>
      </c>
      <c r="O51" s="35">
        <f>$O$57/$L$55*L51</f>
        <v>200.29211821418272</v>
      </c>
      <c r="P51" s="35">
        <f>$P$57/$L$55*L51</f>
        <v>393.74036799780407</v>
      </c>
      <c r="Q51" s="35">
        <f>$Q$57/$L$55*L51</f>
        <v>314.75256783366433</v>
      </c>
      <c r="R51" s="35">
        <v>0</v>
      </c>
      <c r="S51" s="56">
        <v>0</v>
      </c>
      <c r="T51" s="36">
        <f t="shared" si="15"/>
        <v>9528.2668862119863</v>
      </c>
      <c r="U51" s="61">
        <f t="shared" si="16"/>
        <v>2617.6557379703258</v>
      </c>
    </row>
    <row r="52" spans="1:21" ht="15.6" x14ac:dyDescent="0.3">
      <c r="A52" s="8">
        <v>10007051</v>
      </c>
      <c r="B52" s="8" t="s">
        <v>55</v>
      </c>
      <c r="C52" s="9">
        <v>4350</v>
      </c>
      <c r="D52" s="10"/>
      <c r="E52" s="11">
        <v>4350</v>
      </c>
      <c r="G52" s="64">
        <v>10007051</v>
      </c>
      <c r="H52" s="44">
        <f>2246.62/1000</f>
        <v>2.2466200000000001</v>
      </c>
      <c r="I52" s="31">
        <v>0.68</v>
      </c>
      <c r="J52" s="32">
        <f>$H$62</f>
        <v>-0.10965909090909082</v>
      </c>
      <c r="K52" s="33">
        <f t="shared" si="17"/>
        <v>4.3499999999999996</v>
      </c>
      <c r="L52" s="34">
        <f t="shared" si="10"/>
        <v>4.3499999999999996</v>
      </c>
      <c r="M52" s="35">
        <f t="shared" si="13"/>
        <v>9772.7969999999987</v>
      </c>
      <c r="N52" s="35">
        <f t="shared" si="14"/>
        <v>904.10399999999993</v>
      </c>
      <c r="O52" s="35">
        <f>$O$57/$L$55*L52</f>
        <v>239.36008632738864</v>
      </c>
      <c r="P52" s="35">
        <f>$P$57/$L$55*L52</f>
        <v>470.54137384352953</v>
      </c>
      <c r="Q52" s="35">
        <f>$Q$57/$L$55*L52</f>
        <v>376.14661265836259</v>
      </c>
      <c r="R52" s="35">
        <v>0</v>
      </c>
      <c r="S52" s="56">
        <v>0</v>
      </c>
      <c r="T52" s="36">
        <f t="shared" si="15"/>
        <v>11386.802460170915</v>
      </c>
      <c r="U52" s="61">
        <f t="shared" si="16"/>
        <v>2617.6557379703254</v>
      </c>
    </row>
    <row r="53" spans="1:21" ht="15.6" x14ac:dyDescent="0.3">
      <c r="A53" s="8">
        <v>10009650</v>
      </c>
      <c r="B53" s="8" t="s">
        <v>56</v>
      </c>
      <c r="C53" s="9">
        <v>3480</v>
      </c>
      <c r="D53" s="10"/>
      <c r="E53" s="11">
        <v>3480</v>
      </c>
      <c r="G53" s="38">
        <v>10009650</v>
      </c>
      <c r="H53" s="44">
        <f>H11</f>
        <v>1.8311059999999999</v>
      </c>
      <c r="I53" s="31">
        <f>I11</f>
        <v>0.67</v>
      </c>
      <c r="J53" s="32">
        <f>$H$62</f>
        <v>-0.10965909090909082</v>
      </c>
      <c r="K53" s="33">
        <f>C50/1000</f>
        <v>0.84599999999999997</v>
      </c>
      <c r="L53" s="34">
        <f t="shared" si="10"/>
        <v>3.48</v>
      </c>
      <c r="M53" s="35">
        <f>IFERROR(H53*L53,0)*1000</f>
        <v>6372.2488800000001</v>
      </c>
      <c r="N53" s="35">
        <f>207.84*L53</f>
        <v>723.28319999999997</v>
      </c>
      <c r="O53" s="35">
        <f>$O$57/$L$55*L53</f>
        <v>191.48806906191095</v>
      </c>
      <c r="P53" s="35">
        <f>$P$57/$L$55*L53</f>
        <v>376.43309907482364</v>
      </c>
      <c r="Q53" s="35">
        <f>$Q$57/$L$55*L53</f>
        <v>300.91729012669009</v>
      </c>
      <c r="R53" s="35">
        <v>0</v>
      </c>
      <c r="S53" s="56">
        <v>0</v>
      </c>
      <c r="T53" s="36">
        <f>M53+N53+O53+P53</f>
        <v>7663.4532481367351</v>
      </c>
      <c r="U53" s="61">
        <f>IFERROR(T53/L53,0)</f>
        <v>2202.1417379703262</v>
      </c>
    </row>
    <row r="54" spans="1:21" ht="16.2" thickBot="1" x14ac:dyDescent="0.35">
      <c r="A54" s="8">
        <v>10009649</v>
      </c>
      <c r="B54" s="8" t="s">
        <v>57</v>
      </c>
      <c r="C54" s="9">
        <v>0</v>
      </c>
      <c r="D54" s="10"/>
      <c r="E54" s="11">
        <v>0</v>
      </c>
      <c r="G54" s="30">
        <v>10009649</v>
      </c>
      <c r="H54" s="44">
        <f>H2</f>
        <v>1.6520360000000001</v>
      </c>
      <c r="I54" s="31">
        <f>I2</f>
        <v>0.71</v>
      </c>
      <c r="J54" s="32">
        <f>$H$62</f>
        <v>-0.10965909090909082</v>
      </c>
      <c r="K54" s="33">
        <f>C51/1000</f>
        <v>3.64</v>
      </c>
      <c r="L54" s="57">
        <f t="shared" si="10"/>
        <v>0</v>
      </c>
      <c r="M54" s="58">
        <f>IFERROR(H54*L54,0)*1000</f>
        <v>0</v>
      </c>
      <c r="N54" s="58">
        <f>207.84*L54</f>
        <v>0</v>
      </c>
      <c r="O54" s="58">
        <f>$O$57/$L$55*L54</f>
        <v>0</v>
      </c>
      <c r="P54" s="58">
        <f>$P$57/$L$55*L54</f>
        <v>0</v>
      </c>
      <c r="Q54" s="58">
        <f>$Q$57/$L$55*L54</f>
        <v>0</v>
      </c>
      <c r="R54" s="58">
        <v>0</v>
      </c>
      <c r="S54" s="59">
        <v>0</v>
      </c>
      <c r="T54" s="60">
        <f>M54+N54+O54+P54</f>
        <v>0</v>
      </c>
      <c r="U54" s="62">
        <f>IFERROR(T54/L54,0)</f>
        <v>0</v>
      </c>
    </row>
    <row r="55" spans="1:21" ht="15" thickBot="1" x14ac:dyDescent="0.35">
      <c r="A55" s="21"/>
      <c r="B55" s="21" t="s">
        <v>58</v>
      </c>
      <c r="C55" s="9">
        <v>0</v>
      </c>
      <c r="D55" s="10"/>
      <c r="E55" s="11">
        <v>0</v>
      </c>
      <c r="G55"/>
      <c r="H55"/>
      <c r="I55"/>
      <c r="J55"/>
      <c r="K55" s="45">
        <f>SUM(K2:K54)</f>
        <v>1501.28</v>
      </c>
      <c r="L55" s="45">
        <f>SUM(L2:L54)</f>
        <v>1428.0520000000001</v>
      </c>
      <c r="M55" s="46">
        <f>SUM(M2:M54)</f>
        <v>2909265.0844614664</v>
      </c>
      <c r="N55" s="46">
        <f>SUM(N2:N54)</f>
        <v>296806.32767999999</v>
      </c>
      <c r="O55" s="46">
        <f>SUM(O2:O54)</f>
        <v>78579.000000000015</v>
      </c>
      <c r="P55" s="46">
        <f>SUM(P2:P54)</f>
        <v>154473</v>
      </c>
      <c r="Q55" s="46">
        <f>SUM(Q2:Q54)</f>
        <v>123484.35</v>
      </c>
      <c r="R55" s="46">
        <f>SUM(R2:R54)</f>
        <v>0</v>
      </c>
      <c r="S55" s="47">
        <f>SUM(S2:S54)</f>
        <v>0</v>
      </c>
      <c r="T55" s="48">
        <f>SUM(T2:T54)</f>
        <v>3439123.4121414665</v>
      </c>
      <c r="U55" s="48">
        <f>IFERROR(T55/L55,0)</f>
        <v>2408.2620325740704</v>
      </c>
    </row>
    <row r="56" spans="1:21" ht="15" thickBot="1" x14ac:dyDescent="0.35">
      <c r="A56" s="22"/>
      <c r="B56" s="22" t="s">
        <v>59</v>
      </c>
      <c r="C56" s="23">
        <v>1500274</v>
      </c>
      <c r="D56" s="24">
        <v>344280</v>
      </c>
      <c r="E56" s="11">
        <v>1200374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ht="16.2" thickBot="1" x14ac:dyDescent="0.35">
      <c r="G57"/>
      <c r="H57"/>
      <c r="I57"/>
      <c r="J57"/>
      <c r="K57"/>
      <c r="L57" s="49"/>
      <c r="M57"/>
      <c r="N57" t="s">
        <v>75</v>
      </c>
      <c r="O57" s="46">
        <v>78579.000000000015</v>
      </c>
      <c r="P57" s="46">
        <v>154473.00000000003</v>
      </c>
      <c r="Q57" s="46">
        <v>123484.35000000002</v>
      </c>
      <c r="R57"/>
      <c r="S57"/>
      <c r="T57"/>
      <c r="U57"/>
    </row>
    <row r="58" spans="1:21" x14ac:dyDescent="0.3">
      <c r="G58" t="s">
        <v>76</v>
      </c>
      <c r="H58" s="50">
        <v>3.52</v>
      </c>
      <c r="I58" s="51" t="s">
        <v>77</v>
      </c>
      <c r="J58" s="52" t="s">
        <v>78</v>
      </c>
      <c r="K58"/>
      <c r="L58"/>
      <c r="M58"/>
      <c r="N58"/>
      <c r="O58"/>
      <c r="P58"/>
      <c r="Q58"/>
      <c r="R58"/>
      <c r="S58"/>
      <c r="T58"/>
      <c r="U58"/>
    </row>
    <row r="59" spans="1:21" x14ac:dyDescent="0.3">
      <c r="G59" t="s">
        <v>79</v>
      </c>
      <c r="H59" s="53">
        <v>3.3010000000000002</v>
      </c>
      <c r="I59" s="54">
        <v>3644</v>
      </c>
      <c r="J59" s="55">
        <v>0.75</v>
      </c>
      <c r="K59" s="55"/>
      <c r="L59"/>
      <c r="M59"/>
      <c r="N59"/>
      <c r="O59"/>
      <c r="P59"/>
      <c r="Q59"/>
      <c r="R59"/>
      <c r="S59"/>
      <c r="T59"/>
      <c r="U59"/>
    </row>
    <row r="60" spans="1:21" x14ac:dyDescent="0.3">
      <c r="G60" t="s">
        <v>80</v>
      </c>
      <c r="H60" s="53">
        <v>2.633</v>
      </c>
      <c r="I60" s="54">
        <f>3218</f>
        <v>3218</v>
      </c>
      <c r="J60" s="55">
        <f>1-J59</f>
        <v>0.25</v>
      </c>
      <c r="K60" s="55"/>
      <c r="L60"/>
      <c r="M60"/>
      <c r="N60"/>
      <c r="O60"/>
      <c r="P60"/>
      <c r="Q60"/>
      <c r="R60"/>
      <c r="S60"/>
      <c r="T60"/>
      <c r="U60"/>
    </row>
    <row r="61" spans="1:21" x14ac:dyDescent="0.3">
      <c r="G61" t="s">
        <v>81</v>
      </c>
      <c r="H61" s="53">
        <f>H59*J59+H60*J60</f>
        <v>3.1340000000000003</v>
      </c>
      <c r="I61" s="54">
        <f>I59+I60</f>
        <v>6862</v>
      </c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3">
      <c r="G62" t="s">
        <v>82</v>
      </c>
      <c r="H62" s="55">
        <f>(H61-H58)/H58</f>
        <v>-0.10965909090909082</v>
      </c>
      <c r="I62"/>
      <c r="J62"/>
      <c r="K62"/>
      <c r="L62"/>
      <c r="M62"/>
      <c r="N62"/>
      <c r="O62"/>
      <c r="P62"/>
      <c r="Q62"/>
      <c r="R62"/>
      <c r="S62"/>
      <c r="T62"/>
      <c r="U62"/>
    </row>
  </sheetData>
  <conditionalFormatting sqref="E2:E5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AL 7-9-2026 (2)</vt:lpstr>
      <vt:lpstr>RESUMEN AL 7-9-2026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Rodrigo Sebastian Martinez Montalvo (PFRO)</cp:lastModifiedBy>
  <dcterms:created xsi:type="dcterms:W3CDTF">2026-09-07T17:14:42Z</dcterms:created>
  <dcterms:modified xsi:type="dcterms:W3CDTF">2026-09-08T01:00:19Z</dcterms:modified>
</cp:coreProperties>
</file>