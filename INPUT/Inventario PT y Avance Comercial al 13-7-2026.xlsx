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B83BF126-940E-4D30-8FA8-8CC643A239FA}" xr6:coauthVersionLast="47" xr6:coauthVersionMax="47" xr10:uidLastSave="{00000000-0000-0000-0000-000000000000}"/>
  <bookViews>
    <workbookView xWindow="-108" yWindow="-108" windowWidth="23256" windowHeight="13896" xr2:uid="{E0C58FA0-EF16-4CE2-B329-75C6450C7BB4}"/>
  </bookViews>
  <sheets>
    <sheet name="RESUMEN AL 6-7-2026" sheetId="3" r:id="rId1"/>
    <sheet name="TD" sheetId="2" r:id="rId2"/>
    <sheet name="Stock Libre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calcPr calcId="191029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Z20" i="3" l="1"/>
  <c r="BX20" i="3"/>
  <c r="BP20" i="3"/>
  <c r="BQ20" i="3"/>
  <c r="BR20" i="3"/>
  <c r="BS20" i="3"/>
  <c r="BT20" i="3"/>
  <c r="BU20" i="3"/>
  <c r="BV20" i="3"/>
  <c r="BW20" i="3"/>
  <c r="BY20" i="3"/>
  <c r="BO20" i="3"/>
  <c r="BN20" i="3"/>
  <c r="BO25" i="3"/>
  <c r="BO24" i="3"/>
  <c r="BO22" i="3"/>
  <c r="AJ7" i="3" a="1"/>
  <c r="AJ7" i="3"/>
  <c r="AK7" i="3" a="1"/>
  <c r="AK7" i="3" s="1"/>
  <c r="AM7" i="3" a="1"/>
  <c r="AM7" i="3"/>
  <c r="AM18" i="3" s="1"/>
  <c r="AN7" i="3" a="1"/>
  <c r="AN7" i="3" s="1"/>
  <c r="AP7" i="3" a="1"/>
  <c r="AP7" i="3"/>
  <c r="AQ7" i="3" a="1"/>
  <c r="AQ7" i="3"/>
  <c r="AR7" i="3"/>
  <c r="AS7" i="3" a="1"/>
  <c r="AS7" i="3" s="1"/>
  <c r="BN7" i="3" s="1"/>
  <c r="AT7" i="3" a="1"/>
  <c r="AT7" i="3" s="1"/>
  <c r="AS14" i="3" a="1"/>
  <c r="AS14" i="3" s="1"/>
  <c r="BN14" i="3" s="1"/>
  <c r="AT14" i="3" a="1"/>
  <c r="AT14" i="3"/>
  <c r="AU14" i="3" s="1"/>
  <c r="BR12" i="3"/>
  <c r="BQ11" i="3"/>
  <c r="BQ10" i="3"/>
  <c r="BN9" i="3"/>
  <c r="BN8" i="3"/>
  <c r="BO8" i="3"/>
  <c r="BO9" i="3"/>
  <c r="BN10" i="3"/>
  <c r="BO10" i="3"/>
  <c r="BN11" i="3"/>
  <c r="BO11" i="3"/>
  <c r="BN12" i="3"/>
  <c r="BO12" i="3"/>
  <c r="BN13" i="3"/>
  <c r="BO13" i="3"/>
  <c r="BO14" i="3"/>
  <c r="BN15" i="3"/>
  <c r="BO15" i="3"/>
  <c r="BN16" i="3"/>
  <c r="BO16" i="3"/>
  <c r="BN17" i="3"/>
  <c r="BO17" i="3"/>
  <c r="AQ18" i="3"/>
  <c r="AP18" i="3"/>
  <c r="AJ18" i="3"/>
  <c r="AI18" i="3"/>
  <c r="AH18" i="3"/>
  <c r="AG18" i="3"/>
  <c r="AF18" i="3"/>
  <c r="AE18" i="3"/>
  <c r="AD18" i="3"/>
  <c r="AU17" i="3"/>
  <c r="AU16" i="3"/>
  <c r="AU15" i="3"/>
  <c r="AU13" i="3"/>
  <c r="AU12" i="3"/>
  <c r="AU11" i="3"/>
  <c r="AU10" i="3"/>
  <c r="AU9" i="3"/>
  <c r="AU8" i="3"/>
  <c r="AR17" i="3"/>
  <c r="AR16" i="3"/>
  <c r="AR15" i="3"/>
  <c r="AR14" i="3"/>
  <c r="AR13" i="3"/>
  <c r="AR12" i="3"/>
  <c r="AR11" i="3"/>
  <c r="AR10" i="3"/>
  <c r="AR9" i="3"/>
  <c r="AR8" i="3"/>
  <c r="AO17" i="3"/>
  <c r="AO16" i="3"/>
  <c r="AO15" i="3"/>
  <c r="AO14" i="3"/>
  <c r="AO13" i="3"/>
  <c r="AO12" i="3"/>
  <c r="AO11" i="3"/>
  <c r="AO10" i="3"/>
  <c r="AO9" i="3"/>
  <c r="AO8" i="3"/>
  <c r="AL17" i="3"/>
  <c r="AL16" i="3"/>
  <c r="AL15" i="3"/>
  <c r="AL14" i="3"/>
  <c r="AL13" i="3"/>
  <c r="AL12" i="3"/>
  <c r="AL11" i="3"/>
  <c r="AL10" i="3"/>
  <c r="AL9" i="3"/>
  <c r="AL8" i="3"/>
  <c r="AI17" i="3"/>
  <c r="AI16" i="3"/>
  <c r="AI15" i="3"/>
  <c r="AI14" i="3"/>
  <c r="AI13" i="3"/>
  <c r="AI12" i="3"/>
  <c r="AI11" i="3"/>
  <c r="AI10" i="3"/>
  <c r="AI9" i="3"/>
  <c r="AI8" i="3"/>
  <c r="AI7" i="3"/>
  <c r="AF17" i="3"/>
  <c r="AF16" i="3"/>
  <c r="AF15" i="3"/>
  <c r="AF14" i="3"/>
  <c r="AF13" i="3"/>
  <c r="AF12" i="3"/>
  <c r="AF11" i="3"/>
  <c r="AF10" i="3"/>
  <c r="AF9" i="3"/>
  <c r="AF8" i="3"/>
  <c r="AF7" i="3"/>
  <c r="AT17" i="3" a="1"/>
  <c r="AT17" i="3" s="1"/>
  <c r="AS17" i="3" a="1"/>
  <c r="AS17" i="3" s="1"/>
  <c r="AT16" i="3" a="1"/>
  <c r="AT16" i="3" s="1"/>
  <c r="AS16" i="3" a="1"/>
  <c r="AS16" i="3" s="1"/>
  <c r="AT15" i="3" a="1"/>
  <c r="AT15" i="3" s="1"/>
  <c r="AS15" i="3" a="1"/>
  <c r="AS15" i="3" s="1"/>
  <c r="AT13" i="3" a="1"/>
  <c r="AT13" i="3" s="1"/>
  <c r="AS13" i="3" a="1"/>
  <c r="AS13" i="3" s="1"/>
  <c r="AT12" i="3" a="1"/>
  <c r="AT12" i="3" s="1"/>
  <c r="AS12" i="3" a="1"/>
  <c r="AS12" i="3" s="1"/>
  <c r="AT11" i="3" a="1"/>
  <c r="AT11" i="3" s="1"/>
  <c r="AS11" i="3" a="1"/>
  <c r="AS11" i="3" s="1"/>
  <c r="AT10" i="3" a="1"/>
  <c r="AT10" i="3" s="1"/>
  <c r="AS10" i="3" a="1"/>
  <c r="AS10" i="3" s="1"/>
  <c r="AT9" i="3" a="1"/>
  <c r="AT9" i="3" s="1"/>
  <c r="AS9" i="3" a="1"/>
  <c r="AS9" i="3" s="1"/>
  <c r="AT8" i="3" a="1"/>
  <c r="AT8" i="3" s="1"/>
  <c r="AS8" i="3" a="1"/>
  <c r="AS8" i="3" s="1"/>
  <c r="AQ17" i="3" a="1"/>
  <c r="AQ17" i="3" s="1"/>
  <c r="AP17" i="3" a="1"/>
  <c r="AP17" i="3" s="1"/>
  <c r="AQ16" i="3" a="1"/>
  <c r="AQ16" i="3" s="1"/>
  <c r="AP16" i="3" a="1"/>
  <c r="AP16" i="3" s="1"/>
  <c r="AQ15" i="3" a="1"/>
  <c r="AQ15" i="3" s="1"/>
  <c r="AP15" i="3" a="1"/>
  <c r="AP15" i="3" s="1"/>
  <c r="AQ14" i="3" a="1"/>
  <c r="AQ14" i="3" s="1"/>
  <c r="AP14" i="3" a="1"/>
  <c r="AP14" i="3" s="1"/>
  <c r="AQ13" i="3" a="1"/>
  <c r="AQ13" i="3" s="1"/>
  <c r="AP13" i="3" a="1"/>
  <c r="AP13" i="3" s="1"/>
  <c r="AQ12" i="3" a="1"/>
  <c r="AQ12" i="3" s="1"/>
  <c r="AP12" i="3" a="1"/>
  <c r="AP12" i="3" s="1"/>
  <c r="AQ11" i="3" a="1"/>
  <c r="AQ11" i="3" s="1"/>
  <c r="AP11" i="3" a="1"/>
  <c r="AP11" i="3" s="1"/>
  <c r="AQ10" i="3" a="1"/>
  <c r="AQ10" i="3" s="1"/>
  <c r="AP10" i="3" a="1"/>
  <c r="AP10" i="3" s="1"/>
  <c r="AQ9" i="3" a="1"/>
  <c r="AQ9" i="3" s="1"/>
  <c r="AP9" i="3" a="1"/>
  <c r="AP9" i="3" s="1"/>
  <c r="AQ8" i="3" a="1"/>
  <c r="AQ8" i="3" s="1"/>
  <c r="AP8" i="3" a="1"/>
  <c r="AP8" i="3" s="1"/>
  <c r="AN17" i="3" a="1"/>
  <c r="AN17" i="3" s="1"/>
  <c r="AM17" i="3" a="1"/>
  <c r="AM17" i="3" s="1"/>
  <c r="AN16" i="3" a="1"/>
  <c r="AN16" i="3" s="1"/>
  <c r="AM16" i="3" a="1"/>
  <c r="AM16" i="3" s="1"/>
  <c r="AN15" i="3" a="1"/>
  <c r="AN15" i="3" s="1"/>
  <c r="AM15" i="3" a="1"/>
  <c r="AM15" i="3" s="1"/>
  <c r="AN14" i="3" a="1"/>
  <c r="AN14" i="3" s="1"/>
  <c r="AM14" i="3" a="1"/>
  <c r="AM14" i="3" s="1"/>
  <c r="AN13" i="3" a="1"/>
  <c r="AN13" i="3" s="1"/>
  <c r="AM13" i="3" a="1"/>
  <c r="AM13" i="3" s="1"/>
  <c r="AN12" i="3" a="1"/>
  <c r="AN12" i="3" s="1"/>
  <c r="AM12" i="3" a="1"/>
  <c r="AM12" i="3" s="1"/>
  <c r="AN11" i="3" a="1"/>
  <c r="AN11" i="3" s="1"/>
  <c r="AM11" i="3" a="1"/>
  <c r="AM11" i="3" s="1"/>
  <c r="AN10" i="3" a="1"/>
  <c r="AN10" i="3" s="1"/>
  <c r="AM10" i="3" a="1"/>
  <c r="AM10" i="3" s="1"/>
  <c r="AN9" i="3" a="1"/>
  <c r="AN9" i="3" s="1"/>
  <c r="AM9" i="3" a="1"/>
  <c r="AM9" i="3" s="1"/>
  <c r="AN8" i="3" a="1"/>
  <c r="AN8" i="3" s="1"/>
  <c r="AM8" i="3" a="1"/>
  <c r="AM8" i="3" s="1"/>
  <c r="AK17" i="3" a="1"/>
  <c r="AK17" i="3" s="1"/>
  <c r="AJ17" i="3" a="1"/>
  <c r="AJ17" i="3" s="1"/>
  <c r="AK16" i="3" a="1"/>
  <c r="AK16" i="3" s="1"/>
  <c r="AJ16" i="3" a="1"/>
  <c r="AJ16" i="3" s="1"/>
  <c r="AK15" i="3" a="1"/>
  <c r="AK15" i="3" s="1"/>
  <c r="AJ15" i="3" a="1"/>
  <c r="AJ15" i="3" s="1"/>
  <c r="AK14" i="3" a="1"/>
  <c r="AK14" i="3" s="1"/>
  <c r="AJ14" i="3" a="1"/>
  <c r="AJ14" i="3" s="1"/>
  <c r="AK13" i="3" a="1"/>
  <c r="AK13" i="3" s="1"/>
  <c r="AJ13" i="3" a="1"/>
  <c r="AJ13" i="3" s="1"/>
  <c r="AK12" i="3" a="1"/>
  <c r="AK12" i="3" s="1"/>
  <c r="AJ12" i="3" a="1"/>
  <c r="AJ12" i="3" s="1"/>
  <c r="AK11" i="3" a="1"/>
  <c r="AK11" i="3" s="1"/>
  <c r="AJ11" i="3" a="1"/>
  <c r="AJ11" i="3" s="1"/>
  <c r="AK10" i="3" a="1"/>
  <c r="AK10" i="3" s="1"/>
  <c r="AJ10" i="3" a="1"/>
  <c r="AJ10" i="3" s="1"/>
  <c r="AK9" i="3" a="1"/>
  <c r="AK9" i="3" s="1"/>
  <c r="AJ9" i="3" a="1"/>
  <c r="AJ9" i="3" s="1"/>
  <c r="AK8" i="3" a="1"/>
  <c r="AK8" i="3" s="1"/>
  <c r="AJ8" i="3" a="1"/>
  <c r="AJ8" i="3" s="1"/>
  <c r="AH17" i="3" a="1"/>
  <c r="AH17" i="3" s="1"/>
  <c r="AG17" i="3" a="1"/>
  <c r="AG17" i="3" s="1"/>
  <c r="AH16" i="3" a="1"/>
  <c r="AH16" i="3" s="1"/>
  <c r="AG16" i="3" a="1"/>
  <c r="AG16" i="3" s="1"/>
  <c r="AH15" i="3" a="1"/>
  <c r="AH15" i="3" s="1"/>
  <c r="AG15" i="3" a="1"/>
  <c r="AG15" i="3" s="1"/>
  <c r="AH14" i="3" a="1"/>
  <c r="AH14" i="3" s="1"/>
  <c r="AG14" i="3" a="1"/>
  <c r="AG14" i="3" s="1"/>
  <c r="AH13" i="3" a="1"/>
  <c r="AH13" i="3" s="1"/>
  <c r="AG13" i="3" a="1"/>
  <c r="AG13" i="3" s="1"/>
  <c r="AH12" i="3" a="1"/>
  <c r="AH12" i="3" s="1"/>
  <c r="AG12" i="3" a="1"/>
  <c r="AG12" i="3" s="1"/>
  <c r="AH11" i="3" a="1"/>
  <c r="AH11" i="3" s="1"/>
  <c r="AG11" i="3" a="1"/>
  <c r="AG11" i="3" s="1"/>
  <c r="AH10" i="3" a="1"/>
  <c r="AH10" i="3" s="1"/>
  <c r="AG10" i="3" a="1"/>
  <c r="AG10" i="3" s="1"/>
  <c r="AH9" i="3" a="1"/>
  <c r="AH9" i="3" s="1"/>
  <c r="AG9" i="3" a="1"/>
  <c r="AG9" i="3" s="1"/>
  <c r="AH8" i="3" a="1"/>
  <c r="AH8" i="3" s="1"/>
  <c r="AG8" i="3" a="1"/>
  <c r="AG8" i="3" s="1"/>
  <c r="AH7" i="3" a="1"/>
  <c r="AH7" i="3" s="1"/>
  <c r="AG7" i="3" a="1"/>
  <c r="AG7" i="3" s="1"/>
  <c r="AE17" i="3" a="1"/>
  <c r="AE17" i="3" s="1"/>
  <c r="AD17" i="3" a="1"/>
  <c r="AD17" i="3" s="1"/>
  <c r="AE16" i="3" a="1"/>
  <c r="AE16" i="3" s="1"/>
  <c r="AD16" i="3" a="1"/>
  <c r="AD16" i="3" s="1"/>
  <c r="AE15" i="3" a="1"/>
  <c r="AE15" i="3" s="1"/>
  <c r="AD15" i="3" a="1"/>
  <c r="AD15" i="3" s="1"/>
  <c r="AE14" i="3" a="1"/>
  <c r="AE14" i="3" s="1"/>
  <c r="AD14" i="3" a="1"/>
  <c r="AD14" i="3" s="1"/>
  <c r="AE13" i="3" a="1"/>
  <c r="AE13" i="3" s="1"/>
  <c r="AD13" i="3" a="1"/>
  <c r="AD13" i="3" s="1"/>
  <c r="AE12" i="3" a="1"/>
  <c r="AE12" i="3" s="1"/>
  <c r="AD12" i="3" a="1"/>
  <c r="AD12" i="3" s="1"/>
  <c r="AE11" i="3" a="1"/>
  <c r="AE11" i="3" s="1"/>
  <c r="AD11" i="3" a="1"/>
  <c r="AD11" i="3" s="1"/>
  <c r="AE10" i="3" a="1"/>
  <c r="AE10" i="3" s="1"/>
  <c r="AD10" i="3" a="1"/>
  <c r="AD10" i="3" s="1"/>
  <c r="AE9" i="3" a="1"/>
  <c r="AE9" i="3" s="1"/>
  <c r="AD9" i="3" a="1"/>
  <c r="AD9" i="3" s="1"/>
  <c r="AE8" i="3" a="1"/>
  <c r="AE8" i="3" s="1"/>
  <c r="AD8" i="3" a="1"/>
  <c r="AD8" i="3" s="1"/>
  <c r="AE7" i="3" a="1"/>
  <c r="AE7" i="3" s="1"/>
  <c r="AD7" i="3" a="1"/>
  <c r="AD7" i="3" s="1"/>
  <c r="AB17" i="3"/>
  <c r="AB17" i="3" a="1"/>
  <c r="AA17" i="3" a="1"/>
  <c r="AA17" i="3" s="1"/>
  <c r="AB16" i="3" a="1"/>
  <c r="AB16" i="3" s="1"/>
  <c r="AA16" i="3" a="1"/>
  <c r="AA16" i="3" s="1"/>
  <c r="AB15" i="3" a="1"/>
  <c r="AB15" i="3" s="1"/>
  <c r="AA15" i="3" a="1"/>
  <c r="AA15" i="3" s="1"/>
  <c r="AB14" i="3"/>
  <c r="AB14" i="3" a="1"/>
  <c r="AA14" i="3" a="1"/>
  <c r="AA14" i="3" s="1"/>
  <c r="AB13" i="3" a="1"/>
  <c r="AB13" i="3" s="1"/>
  <c r="AA13" i="3" a="1"/>
  <c r="AA13" i="3" s="1"/>
  <c r="AB12" i="3" a="1"/>
  <c r="AB12" i="3" s="1"/>
  <c r="AA12" i="3" a="1"/>
  <c r="AA12" i="3" s="1"/>
  <c r="AB11" i="3"/>
  <c r="AB11" i="3" a="1"/>
  <c r="AA11" i="3" a="1"/>
  <c r="AA11" i="3" s="1"/>
  <c r="AB10" i="3" a="1"/>
  <c r="AB10" i="3" s="1"/>
  <c r="AA10" i="3" a="1"/>
  <c r="AA10" i="3" s="1"/>
  <c r="AB9" i="3" a="1"/>
  <c r="AB9" i="3" s="1"/>
  <c r="AA9" i="3" a="1"/>
  <c r="AA9" i="3" s="1"/>
  <c r="AB8" i="3"/>
  <c r="AB8" i="3" a="1"/>
  <c r="AA8" i="3" a="1"/>
  <c r="AA8" i="3" s="1"/>
  <c r="AB7" i="3" a="1"/>
  <c r="AB7" i="3" s="1"/>
  <c r="AA7" i="3" a="1"/>
  <c r="AA7" i="3" s="1"/>
  <c r="Y7" i="3" a="1"/>
  <c r="Y7" i="3"/>
  <c r="Y8" i="3" a="1"/>
  <c r="Y8" i="3" s="1"/>
  <c r="Y9" i="3" a="1"/>
  <c r="Y9" i="3"/>
  <c r="Y10" i="3" a="1"/>
  <c r="Y10" i="3"/>
  <c r="Y11" i="3" a="1"/>
  <c r="Y11" i="3"/>
  <c r="Y12" i="3" a="1"/>
  <c r="Y12" i="3" s="1"/>
  <c r="Y13" i="3" a="1"/>
  <c r="Y13" i="3"/>
  <c r="Y14" i="3" a="1"/>
  <c r="Y14" i="3" s="1"/>
  <c r="Y15" i="3" a="1"/>
  <c r="Y15" i="3"/>
  <c r="Y16" i="3" a="1"/>
  <c r="Y16" i="3"/>
  <c r="Y17" i="3" a="1"/>
  <c r="Y17" i="3"/>
  <c r="X7" i="3" a="1"/>
  <c r="X7" i="3" s="1"/>
  <c r="X8" i="3" a="1"/>
  <c r="X8" i="3" s="1"/>
  <c r="X9" i="3" a="1"/>
  <c r="X9" i="3"/>
  <c r="X10" i="3" a="1"/>
  <c r="X10" i="3" s="1"/>
  <c r="X11" i="3" a="1"/>
  <c r="X11" i="3"/>
  <c r="X12" i="3" a="1"/>
  <c r="X12" i="3" s="1"/>
  <c r="X13" i="3" a="1"/>
  <c r="X13" i="3" s="1"/>
  <c r="X14" i="3" a="1"/>
  <c r="X14" i="3" s="1"/>
  <c r="X15" i="3" a="1"/>
  <c r="X15" i="3"/>
  <c r="X16" i="3" a="1"/>
  <c r="X16" i="3" s="1"/>
  <c r="X17" i="3" a="1"/>
  <c r="X17" i="3" s="1"/>
  <c r="AN18" i="3" l="1"/>
  <c r="AO7" i="3"/>
  <c r="AL7" i="3"/>
  <c r="AK18" i="3"/>
  <c r="BO7" i="3"/>
  <c r="AU7" i="3"/>
  <c r="AL18" i="3"/>
  <c r="AO18" i="3"/>
  <c r="AR18" i="3"/>
  <c r="L27" i="3" l="1"/>
  <c r="K25" i="3"/>
  <c r="K27" i="3" s="1"/>
  <c r="D24" i="3"/>
  <c r="G24" i="3" s="1"/>
  <c r="D23" i="3"/>
  <c r="G23" i="3" s="1"/>
  <c r="G25" i="3" s="1"/>
  <c r="J7" i="3"/>
  <c r="J8" i="3"/>
  <c r="J9" i="3"/>
  <c r="J10" i="3"/>
  <c r="J11" i="3"/>
  <c r="J12" i="3"/>
  <c r="J13" i="3"/>
  <c r="J14" i="3"/>
  <c r="J15" i="3"/>
  <c r="J16" i="3"/>
  <c r="J17" i="3"/>
  <c r="I7" i="3"/>
  <c r="I8" i="3"/>
  <c r="I9" i="3"/>
  <c r="I10" i="3"/>
  <c r="I11" i="3"/>
  <c r="I12" i="3"/>
  <c r="I13" i="3"/>
  <c r="I14" i="3"/>
  <c r="I15" i="3"/>
  <c r="I16" i="3"/>
  <c r="I17" i="3"/>
  <c r="H7" i="3"/>
  <c r="H8" i="3"/>
  <c r="H9" i="3"/>
  <c r="H10" i="3"/>
  <c r="H11" i="3"/>
  <c r="H12" i="3"/>
  <c r="H13" i="3"/>
  <c r="H14" i="3"/>
  <c r="H15" i="3"/>
  <c r="H16" i="3"/>
  <c r="H17" i="3"/>
  <c r="G7" i="3"/>
  <c r="G8" i="3"/>
  <c r="G9" i="3"/>
  <c r="G10" i="3"/>
  <c r="G11" i="3"/>
  <c r="G12" i="3"/>
  <c r="G13" i="3"/>
  <c r="G14" i="3"/>
  <c r="G15" i="3"/>
  <c r="G16" i="3"/>
  <c r="G17" i="3"/>
  <c r="F7" i="3"/>
  <c r="F8" i="3"/>
  <c r="F9" i="3"/>
  <c r="F10" i="3"/>
  <c r="E10" i="3" s="1"/>
  <c r="F11" i="3"/>
  <c r="F12" i="3"/>
  <c r="F13" i="3"/>
  <c r="F14" i="3"/>
  <c r="F15" i="3"/>
  <c r="F16" i="3"/>
  <c r="F17" i="3"/>
  <c r="D7" i="3"/>
  <c r="D8" i="3"/>
  <c r="R8" i="3" s="1"/>
  <c r="D9" i="3"/>
  <c r="R9" i="3" s="1"/>
  <c r="D10" i="3"/>
  <c r="R10" i="3" s="1"/>
  <c r="D11" i="3"/>
  <c r="R11" i="3" s="1"/>
  <c r="D12" i="3"/>
  <c r="R12" i="3" s="1"/>
  <c r="D13" i="3"/>
  <c r="R13" i="3" s="1"/>
  <c r="D14" i="3"/>
  <c r="R14" i="3" s="1"/>
  <c r="D15" i="3"/>
  <c r="R15" i="3" s="1"/>
  <c r="D16" i="3"/>
  <c r="R16" i="3" s="1"/>
  <c r="D17" i="3"/>
  <c r="R17" i="3" s="1"/>
  <c r="B14" i="2"/>
  <c r="B13" i="2"/>
  <c r="B12" i="2"/>
  <c r="B11" i="2"/>
  <c r="B10" i="2"/>
  <c r="B9" i="2"/>
  <c r="B8" i="2"/>
  <c r="B7" i="2"/>
  <c r="B6" i="2"/>
  <c r="B5" i="2"/>
  <c r="B4" i="2"/>
  <c r="K18" i="3"/>
  <c r="BL17" i="3" a="1"/>
  <c r="BL17" i="3" s="1"/>
  <c r="BK17" i="3" a="1"/>
  <c r="BK17" i="3" s="1"/>
  <c r="BI17" i="3" a="1"/>
  <c r="BI17" i="3" s="1"/>
  <c r="BH17" i="3" a="1"/>
  <c r="BH17" i="3" s="1"/>
  <c r="BF17" i="3" a="1"/>
  <c r="BF17" i="3" s="1"/>
  <c r="BE17" i="3" a="1"/>
  <c r="BE17" i="3" s="1"/>
  <c r="BC17" i="3" a="1"/>
  <c r="BC17" i="3" s="1"/>
  <c r="BB17" i="3" a="1"/>
  <c r="BB17" i="3" s="1"/>
  <c r="AZ17" i="3" a="1"/>
  <c r="AZ17" i="3" s="1"/>
  <c r="AY17" i="3" a="1"/>
  <c r="AY17" i="3" s="1"/>
  <c r="AW17" i="3" a="1"/>
  <c r="AW17" i="3" s="1"/>
  <c r="AV17" i="3" a="1"/>
  <c r="AV17" i="3" s="1"/>
  <c r="BL16" i="3" a="1"/>
  <c r="BL16" i="3" s="1"/>
  <c r="BK16" i="3" a="1"/>
  <c r="BK16" i="3" s="1"/>
  <c r="BI16" i="3" a="1"/>
  <c r="BI16" i="3" s="1"/>
  <c r="BH16" i="3" a="1"/>
  <c r="BH16" i="3" s="1"/>
  <c r="BF16" i="3" a="1"/>
  <c r="BF16" i="3" s="1"/>
  <c r="BE16" i="3" a="1"/>
  <c r="BE16" i="3" s="1"/>
  <c r="BC16" i="3" a="1"/>
  <c r="BC16" i="3" s="1"/>
  <c r="BB16" i="3" a="1"/>
  <c r="BB16" i="3" s="1"/>
  <c r="AZ16" i="3" a="1"/>
  <c r="AZ16" i="3" s="1"/>
  <c r="AY16" i="3" a="1"/>
  <c r="AY16" i="3" s="1"/>
  <c r="AW16" i="3" a="1"/>
  <c r="AW16" i="3" s="1"/>
  <c r="AV16" i="3" a="1"/>
  <c r="AV16" i="3" s="1"/>
  <c r="BL15" i="3" a="1"/>
  <c r="BL15" i="3" s="1"/>
  <c r="BK15" i="3" a="1"/>
  <c r="BK15" i="3" s="1"/>
  <c r="BI15" i="3" a="1"/>
  <c r="BI15" i="3" s="1"/>
  <c r="BH15" i="3" a="1"/>
  <c r="BH15" i="3" s="1"/>
  <c r="BF15" i="3" a="1"/>
  <c r="BF15" i="3" s="1"/>
  <c r="BE15" i="3" a="1"/>
  <c r="BE15" i="3" s="1"/>
  <c r="BC15" i="3" a="1"/>
  <c r="BC15" i="3" s="1"/>
  <c r="BB15" i="3" a="1"/>
  <c r="BB15" i="3" s="1"/>
  <c r="AZ15" i="3" a="1"/>
  <c r="AZ15" i="3" s="1"/>
  <c r="AY15" i="3" a="1"/>
  <c r="AY15" i="3" s="1"/>
  <c r="AW15" i="3" a="1"/>
  <c r="AW15" i="3" s="1"/>
  <c r="AV15" i="3" a="1"/>
  <c r="AV15" i="3" s="1"/>
  <c r="BL14" i="3" a="1"/>
  <c r="BL14" i="3" s="1"/>
  <c r="BK14" i="3" a="1"/>
  <c r="BK14" i="3" s="1"/>
  <c r="BI14" i="3" a="1"/>
  <c r="BI14" i="3" s="1"/>
  <c r="BH14" i="3" a="1"/>
  <c r="BH14" i="3" s="1"/>
  <c r="BF14" i="3" a="1"/>
  <c r="BF14" i="3" s="1"/>
  <c r="BE14" i="3" a="1"/>
  <c r="BE14" i="3" s="1"/>
  <c r="BC14" i="3" a="1"/>
  <c r="BC14" i="3" s="1"/>
  <c r="BB14" i="3" a="1"/>
  <c r="BB14" i="3" s="1"/>
  <c r="AZ14" i="3" a="1"/>
  <c r="AZ14" i="3" s="1"/>
  <c r="AY14" i="3" a="1"/>
  <c r="AY14" i="3" s="1"/>
  <c r="AW14" i="3" a="1"/>
  <c r="AW14" i="3" s="1"/>
  <c r="AV14" i="3" a="1"/>
  <c r="AV14" i="3" s="1"/>
  <c r="BL13" i="3" a="1"/>
  <c r="BL13" i="3" s="1"/>
  <c r="BK13" i="3" a="1"/>
  <c r="BK13" i="3" s="1"/>
  <c r="BI13" i="3" a="1"/>
  <c r="BI13" i="3" s="1"/>
  <c r="BH13" i="3" a="1"/>
  <c r="BH13" i="3" s="1"/>
  <c r="BF13" i="3" a="1"/>
  <c r="BF13" i="3" s="1"/>
  <c r="BE13" i="3" a="1"/>
  <c r="BE13" i="3" s="1"/>
  <c r="BC13" i="3" a="1"/>
  <c r="BC13" i="3" s="1"/>
  <c r="BB13" i="3" a="1"/>
  <c r="BB13" i="3" s="1"/>
  <c r="AZ13" i="3" a="1"/>
  <c r="AZ13" i="3" s="1"/>
  <c r="AY13" i="3" a="1"/>
  <c r="AY13" i="3" s="1"/>
  <c r="AW13" i="3" a="1"/>
  <c r="AW13" i="3" s="1"/>
  <c r="AV13" i="3" a="1"/>
  <c r="AV13" i="3" s="1"/>
  <c r="BL12" i="3" a="1"/>
  <c r="BL12" i="3" s="1"/>
  <c r="BK12" i="3" a="1"/>
  <c r="BK12" i="3" s="1"/>
  <c r="BI12" i="3" a="1"/>
  <c r="BI12" i="3" s="1"/>
  <c r="BH12" i="3" a="1"/>
  <c r="BH12" i="3" s="1"/>
  <c r="BF12" i="3" a="1"/>
  <c r="BF12" i="3" s="1"/>
  <c r="BE12" i="3" a="1"/>
  <c r="BE12" i="3" s="1"/>
  <c r="BC12" i="3" a="1"/>
  <c r="BC12" i="3" s="1"/>
  <c r="BB12" i="3" a="1"/>
  <c r="BB12" i="3" s="1"/>
  <c r="AZ12" i="3" a="1"/>
  <c r="AZ12" i="3" s="1"/>
  <c r="AY12" i="3" a="1"/>
  <c r="AY12" i="3" s="1"/>
  <c r="AW12" i="3" a="1"/>
  <c r="AW12" i="3" s="1"/>
  <c r="AV12" i="3" a="1"/>
  <c r="AV12" i="3" s="1"/>
  <c r="BL11" i="3" a="1"/>
  <c r="BL11" i="3" s="1"/>
  <c r="BK11" i="3" a="1"/>
  <c r="BK11" i="3" s="1"/>
  <c r="BI11" i="3" a="1"/>
  <c r="BI11" i="3" s="1"/>
  <c r="BH11" i="3" a="1"/>
  <c r="BH11" i="3" s="1"/>
  <c r="BF11" i="3" a="1"/>
  <c r="BF11" i="3" s="1"/>
  <c r="BE11" i="3" a="1"/>
  <c r="BE11" i="3" s="1"/>
  <c r="BC11" i="3" a="1"/>
  <c r="BC11" i="3" s="1"/>
  <c r="BB11" i="3" a="1"/>
  <c r="BB11" i="3" s="1"/>
  <c r="AZ11" i="3" a="1"/>
  <c r="AZ11" i="3" s="1"/>
  <c r="AY11" i="3" a="1"/>
  <c r="AY11" i="3" s="1"/>
  <c r="AW11" i="3" a="1"/>
  <c r="AW11" i="3" s="1"/>
  <c r="AV11" i="3" a="1"/>
  <c r="AV11" i="3" s="1"/>
  <c r="BL10" i="3" a="1"/>
  <c r="BL10" i="3" s="1"/>
  <c r="BK10" i="3" a="1"/>
  <c r="BK10" i="3" s="1"/>
  <c r="BI10" i="3" a="1"/>
  <c r="BI10" i="3" s="1"/>
  <c r="BH10" i="3" a="1"/>
  <c r="BH10" i="3" s="1"/>
  <c r="BF10" i="3" a="1"/>
  <c r="BF10" i="3" s="1"/>
  <c r="BE10" i="3" a="1"/>
  <c r="BE10" i="3" s="1"/>
  <c r="BC10" i="3" a="1"/>
  <c r="BC10" i="3" s="1"/>
  <c r="BB10" i="3" a="1"/>
  <c r="BB10" i="3" s="1"/>
  <c r="AZ10" i="3" a="1"/>
  <c r="AZ10" i="3" s="1"/>
  <c r="AY10" i="3" a="1"/>
  <c r="AY10" i="3" s="1"/>
  <c r="AW10" i="3" a="1"/>
  <c r="AW10" i="3" s="1"/>
  <c r="AV10" i="3" a="1"/>
  <c r="AV10" i="3" s="1"/>
  <c r="BL9" i="3" a="1"/>
  <c r="BL9" i="3" s="1"/>
  <c r="BK9" i="3" a="1"/>
  <c r="BK9" i="3" s="1"/>
  <c r="BI9" i="3" a="1"/>
  <c r="BI9" i="3" s="1"/>
  <c r="BH9" i="3" a="1"/>
  <c r="BH9" i="3" s="1"/>
  <c r="BF9" i="3" a="1"/>
  <c r="BF9" i="3" s="1"/>
  <c r="BE9" i="3" a="1"/>
  <c r="BE9" i="3" s="1"/>
  <c r="BC9" i="3" a="1"/>
  <c r="BC9" i="3" s="1"/>
  <c r="BB9" i="3" a="1"/>
  <c r="BB9" i="3" s="1"/>
  <c r="AZ9" i="3" a="1"/>
  <c r="AZ9" i="3" s="1"/>
  <c r="AY9" i="3" a="1"/>
  <c r="AY9" i="3" s="1"/>
  <c r="AW9" i="3" a="1"/>
  <c r="AW9" i="3" s="1"/>
  <c r="AV9" i="3" a="1"/>
  <c r="AV9" i="3" s="1"/>
  <c r="BL8" i="3" a="1"/>
  <c r="BL8" i="3" s="1"/>
  <c r="BK8" i="3" a="1"/>
  <c r="BK8" i="3" s="1"/>
  <c r="BI8" i="3" a="1"/>
  <c r="BI8" i="3" s="1"/>
  <c r="BH8" i="3" a="1"/>
  <c r="BH8" i="3" s="1"/>
  <c r="BF8" i="3" a="1"/>
  <c r="BF8" i="3" s="1"/>
  <c r="BE8" i="3" a="1"/>
  <c r="BE8" i="3" s="1"/>
  <c r="BC8" i="3" a="1"/>
  <c r="BC8" i="3" s="1"/>
  <c r="BB8" i="3" a="1"/>
  <c r="BB8" i="3" s="1"/>
  <c r="AZ8" i="3" a="1"/>
  <c r="AZ8" i="3" s="1"/>
  <c r="AY8" i="3" a="1"/>
  <c r="AY8" i="3" s="1"/>
  <c r="AW8" i="3" a="1"/>
  <c r="AW8" i="3" s="1"/>
  <c r="AV8" i="3" a="1"/>
  <c r="AV8" i="3" s="1"/>
  <c r="BL7" i="3" a="1"/>
  <c r="BL7" i="3" s="1"/>
  <c r="BK7" i="3" a="1"/>
  <c r="BK7" i="3" s="1"/>
  <c r="BI7" i="3" a="1"/>
  <c r="BI7" i="3" s="1"/>
  <c r="BH7" i="3" a="1"/>
  <c r="BH7" i="3" s="1"/>
  <c r="BF7" i="3" a="1"/>
  <c r="BF7" i="3" s="1"/>
  <c r="BE7" i="3" a="1"/>
  <c r="BE7" i="3" s="1"/>
  <c r="BC7" i="3" a="1"/>
  <c r="BC7" i="3" s="1"/>
  <c r="BB7" i="3" a="1"/>
  <c r="BB7" i="3" s="1"/>
  <c r="AZ7" i="3" a="1"/>
  <c r="AZ7" i="3" s="1"/>
  <c r="AY7" i="3" a="1"/>
  <c r="AY7" i="3" s="1"/>
  <c r="AW7" i="3" a="1"/>
  <c r="AW7" i="3" s="1"/>
  <c r="AV7" i="3" a="1"/>
  <c r="AV7" i="3" s="1"/>
  <c r="T52" i="1"/>
  <c r="T5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M2" i="1"/>
  <c r="M5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5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52" i="1"/>
  <c r="Q52" i="1"/>
  <c r="R52" i="1"/>
  <c r="K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10" i="1"/>
  <c r="H9" i="1"/>
  <c r="H8" i="1"/>
  <c r="H7" i="1"/>
  <c r="H6" i="1"/>
  <c r="H5" i="1"/>
  <c r="H4" i="1"/>
  <c r="H3" i="1"/>
  <c r="H2" i="1"/>
  <c r="BA13" i="3" l="1"/>
  <c r="BA15" i="3"/>
  <c r="AC9" i="3"/>
  <c r="D25" i="3"/>
  <c r="R23" i="3"/>
  <c r="BA11" i="3"/>
  <c r="BG9" i="3"/>
  <c r="BD8" i="3"/>
  <c r="O10" i="3"/>
  <c r="P10" i="3" s="1"/>
  <c r="BA16" i="3"/>
  <c r="R24" i="3"/>
  <c r="BA8" i="3"/>
  <c r="BM12" i="3"/>
  <c r="AC16" i="3"/>
  <c r="AX14" i="3"/>
  <c r="BG7" i="3"/>
  <c r="BJ13" i="3"/>
  <c r="AV18" i="3"/>
  <c r="AX12" i="3"/>
  <c r="BD15" i="3"/>
  <c r="BG17" i="3"/>
  <c r="M10" i="3"/>
  <c r="N10" i="3" s="1"/>
  <c r="BM7" i="3"/>
  <c r="BA9" i="3"/>
  <c r="AX16" i="3"/>
  <c r="BG14" i="3"/>
  <c r="AX17" i="3"/>
  <c r="BA14" i="3"/>
  <c r="AX10" i="3"/>
  <c r="BG16" i="3"/>
  <c r="AY18" i="3"/>
  <c r="BD10" i="3"/>
  <c r="BJ11" i="3"/>
  <c r="BR13" i="3"/>
  <c r="CD13" i="3" s="1"/>
  <c r="BJ8" i="3"/>
  <c r="BM10" i="3"/>
  <c r="BJ16" i="3"/>
  <c r="BM15" i="3"/>
  <c r="AC11" i="3"/>
  <c r="O7" i="3"/>
  <c r="P7" i="3" s="1"/>
  <c r="M17" i="3"/>
  <c r="N17" i="3" s="1"/>
  <c r="O14" i="3"/>
  <c r="P14" i="3" s="1"/>
  <c r="O12" i="3"/>
  <c r="P12" i="3" s="1"/>
  <c r="M8" i="3"/>
  <c r="N8" i="3" s="1"/>
  <c r="O15" i="3"/>
  <c r="P15" i="3" s="1"/>
  <c r="M12" i="3"/>
  <c r="N12" i="3" s="1"/>
  <c r="O17" i="3"/>
  <c r="E15" i="3"/>
  <c r="P17" i="3"/>
  <c r="AC7" i="3"/>
  <c r="AB18" i="3"/>
  <c r="AC14" i="3"/>
  <c r="BJ9" i="3"/>
  <c r="AC12" i="3"/>
  <c r="BR11" i="3"/>
  <c r="CD11" i="3" s="1"/>
  <c r="AZ18" i="3"/>
  <c r="BA7" i="3"/>
  <c r="AX15" i="3"/>
  <c r="AS18" i="3"/>
  <c r="BM8" i="3"/>
  <c r="BR8" i="3"/>
  <c r="CD8" i="3" s="1"/>
  <c r="BG10" i="3"/>
  <c r="BD13" i="3"/>
  <c r="Z10" i="3"/>
  <c r="BG12" i="3"/>
  <c r="BH18" i="3"/>
  <c r="Z13" i="3"/>
  <c r="Z8" i="3"/>
  <c r="AA18" i="3"/>
  <c r="AX8" i="3"/>
  <c r="BJ17" i="3"/>
  <c r="BL18" i="3"/>
  <c r="Z7" i="3"/>
  <c r="Y18" i="3"/>
  <c r="BA12" i="3"/>
  <c r="AC15" i="3"/>
  <c r="BM17" i="3"/>
  <c r="AX11" i="3"/>
  <c r="BD12" i="3"/>
  <c r="J18" i="3"/>
  <c r="BB18" i="3"/>
  <c r="BD14" i="3"/>
  <c r="M15" i="3"/>
  <c r="N15" i="3" s="1"/>
  <c r="AC17" i="3"/>
  <c r="BD17" i="3"/>
  <c r="E13" i="3"/>
  <c r="O13" i="3"/>
  <c r="P13" i="3" s="1"/>
  <c r="M13" i="3"/>
  <c r="U13" i="3" s="1"/>
  <c r="V13" i="3" s="1"/>
  <c r="BK18" i="3"/>
  <c r="BA10" i="3"/>
  <c r="AX9" i="3"/>
  <c r="E11" i="3"/>
  <c r="O11" i="3"/>
  <c r="P11" i="3" s="1"/>
  <c r="M11" i="3"/>
  <c r="AX13" i="3"/>
  <c r="BG15" i="3"/>
  <c r="BD11" i="3"/>
  <c r="BM9" i="3"/>
  <c r="BR10" i="3"/>
  <c r="CD10" i="3" s="1"/>
  <c r="BG11" i="3"/>
  <c r="Z12" i="3"/>
  <c r="BI18" i="3"/>
  <c r="BJ7" i="3"/>
  <c r="Z11" i="3"/>
  <c r="BG13" i="3"/>
  <c r="BR16" i="3"/>
  <c r="CD16" i="3" s="1"/>
  <c r="AW18" i="3"/>
  <c r="E9" i="3"/>
  <c r="O9" i="3"/>
  <c r="P9" i="3" s="1"/>
  <c r="M9" i="3"/>
  <c r="N9" i="3" s="1"/>
  <c r="F18" i="3"/>
  <c r="E16" i="3"/>
  <c r="O16" i="3"/>
  <c r="P16" i="3" s="1"/>
  <c r="M16" i="3"/>
  <c r="N16" i="3" s="1"/>
  <c r="BG8" i="3"/>
  <c r="BA17" i="3"/>
  <c r="I18" i="3"/>
  <c r="AC10" i="3"/>
  <c r="AT18" i="3"/>
  <c r="AU18" i="3" s="1"/>
  <c r="G18" i="3"/>
  <c r="G27" i="3" s="1"/>
  <c r="O8" i="3"/>
  <c r="AC8" i="3"/>
  <c r="BE18" i="3"/>
  <c r="BR9" i="3"/>
  <c r="CD9" i="3" s="1"/>
  <c r="BM11" i="3"/>
  <c r="BJ12" i="3"/>
  <c r="BJ15" i="3"/>
  <c r="Z16" i="3"/>
  <c r="BJ14" i="3"/>
  <c r="D18" i="3"/>
  <c r="D27" i="3" s="1"/>
  <c r="BQ7" i="3"/>
  <c r="X18" i="3"/>
  <c r="AX7" i="3"/>
  <c r="Z15" i="3"/>
  <c r="BM13" i="3"/>
  <c r="BM14" i="3"/>
  <c r="BM16" i="3"/>
  <c r="BD9" i="3"/>
  <c r="BJ10" i="3"/>
  <c r="BD16" i="3"/>
  <c r="Z17" i="3"/>
  <c r="BD7" i="3"/>
  <c r="R7" i="3"/>
  <c r="BF18" i="3"/>
  <c r="Z9" i="3"/>
  <c r="Z14" i="3"/>
  <c r="E12" i="3"/>
  <c r="E14" i="3"/>
  <c r="BC18" i="3"/>
  <c r="H18" i="3"/>
  <c r="E17" i="3"/>
  <c r="E7" i="3"/>
  <c r="BP12" i="3"/>
  <c r="CB12" i="3" s="1"/>
  <c r="AC13" i="3"/>
  <c r="M14" i="3"/>
  <c r="N14" i="3" s="1"/>
  <c r="BR17" i="3"/>
  <c r="CD17" i="3" s="1"/>
  <c r="M7" i="3"/>
  <c r="E8" i="3"/>
  <c r="E24" i="3" l="1"/>
  <c r="F24" i="3" s="1"/>
  <c r="J23" i="3"/>
  <c r="J24" i="3"/>
  <c r="I24" i="3"/>
  <c r="I23" i="3"/>
  <c r="I25" i="3" s="1"/>
  <c r="I27" i="3" s="1"/>
  <c r="E23" i="3"/>
  <c r="F23" i="3" s="1"/>
  <c r="U10" i="3"/>
  <c r="V10" i="3" s="1"/>
  <c r="S10" i="3"/>
  <c r="T10" i="3" s="1"/>
  <c r="S17" i="3"/>
  <c r="T17" i="3" s="1"/>
  <c r="R25" i="3"/>
  <c r="Q25" i="3" s="1"/>
  <c r="H23" i="3"/>
  <c r="H24" i="3"/>
  <c r="U17" i="3"/>
  <c r="V17" i="3" s="1"/>
  <c r="AX18" i="3"/>
  <c r="BD18" i="3"/>
  <c r="BQ13" i="3"/>
  <c r="CC13" i="3" s="1"/>
  <c r="BA18" i="3"/>
  <c r="S8" i="3"/>
  <c r="T8" i="3" s="1"/>
  <c r="U8" i="3"/>
  <c r="V8" i="3" s="1"/>
  <c r="CC10" i="3"/>
  <c r="U12" i="3"/>
  <c r="V12" i="3" s="1"/>
  <c r="S15" i="3"/>
  <c r="T15" i="3" s="1"/>
  <c r="S12" i="3"/>
  <c r="T12" i="3" s="1"/>
  <c r="S9" i="3"/>
  <c r="T9" i="3" s="1"/>
  <c r="S16" i="3"/>
  <c r="T16" i="3" s="1"/>
  <c r="CC7" i="3"/>
  <c r="M18" i="3"/>
  <c r="N7" i="3"/>
  <c r="BQ9" i="3"/>
  <c r="CC9" i="3" s="1"/>
  <c r="BQ17" i="3"/>
  <c r="CC17" i="3" s="1"/>
  <c r="BV9" i="3"/>
  <c r="CH9" i="3" s="1"/>
  <c r="BP9" i="3"/>
  <c r="CB9" i="3" s="1"/>
  <c r="BP16" i="3"/>
  <c r="CB16" i="3" s="1"/>
  <c r="BV16" i="3"/>
  <c r="CH16" i="3" s="1"/>
  <c r="S14" i="3"/>
  <c r="T14" i="3" s="1"/>
  <c r="BP8" i="3"/>
  <c r="CB8" i="3" s="1"/>
  <c r="BV8" i="3"/>
  <c r="CH8" i="3" s="1"/>
  <c r="BP11" i="3"/>
  <c r="CB11" i="3" s="1"/>
  <c r="BV11" i="3"/>
  <c r="CH11" i="3" s="1"/>
  <c r="N11" i="3"/>
  <c r="U11" i="3"/>
  <c r="V11" i="3" s="1"/>
  <c r="S11" i="3"/>
  <c r="T11" i="3" s="1"/>
  <c r="Z18" i="3"/>
  <c r="BG18" i="3"/>
  <c r="BJ18" i="3"/>
  <c r="CC11" i="3"/>
  <c r="U16" i="3"/>
  <c r="V16" i="3" s="1"/>
  <c r="BM18" i="3"/>
  <c r="U14" i="3"/>
  <c r="V14" i="3" s="1"/>
  <c r="BV14" i="3"/>
  <c r="CH14" i="3" s="1"/>
  <c r="BP14" i="3"/>
  <c r="CB14" i="3" s="1"/>
  <c r="BR7" i="3"/>
  <c r="BN18" i="3"/>
  <c r="S13" i="3"/>
  <c r="T13" i="3" s="1"/>
  <c r="N13" i="3"/>
  <c r="BP15" i="3"/>
  <c r="CB15" i="3" s="1"/>
  <c r="BV15" i="3"/>
  <c r="CH15" i="3" s="1"/>
  <c r="R18" i="3"/>
  <c r="S7" i="3"/>
  <c r="U7" i="3"/>
  <c r="BR15" i="3"/>
  <c r="CD15" i="3" s="1"/>
  <c r="BQ15" i="3"/>
  <c r="CC15" i="3" s="1"/>
  <c r="E18" i="3"/>
  <c r="BV10" i="3"/>
  <c r="CH10" i="3" s="1"/>
  <c r="BP10" i="3"/>
  <c r="CB10" i="3" s="1"/>
  <c r="BP13" i="3"/>
  <c r="CB13" i="3" s="1"/>
  <c r="BV13" i="3"/>
  <c r="CH13" i="3" s="1"/>
  <c r="BQ16" i="3"/>
  <c r="CC16" i="3" s="1"/>
  <c r="AC18" i="3"/>
  <c r="CD12" i="3"/>
  <c r="BQ12" i="3"/>
  <c r="BV17" i="3"/>
  <c r="CH17" i="3" s="1"/>
  <c r="BP17" i="3"/>
  <c r="CB17" i="3" s="1"/>
  <c r="BQ14" i="3"/>
  <c r="CC14" i="3" s="1"/>
  <c r="BR14" i="3"/>
  <c r="CD14" i="3" s="1"/>
  <c r="P8" i="3"/>
  <c r="O18" i="3"/>
  <c r="BV12" i="3"/>
  <c r="CH12" i="3" s="1"/>
  <c r="BQ8" i="3"/>
  <c r="CC8" i="3" s="1"/>
  <c r="BV7" i="3"/>
  <c r="BP7" i="3"/>
  <c r="CB7" i="3" s="1"/>
  <c r="BO18" i="3"/>
  <c r="U15" i="3"/>
  <c r="V15" i="3" s="1"/>
  <c r="U9" i="3"/>
  <c r="V9" i="3" s="1"/>
  <c r="O24" i="3" l="1"/>
  <c r="P24" i="3" s="1"/>
  <c r="M24" i="3"/>
  <c r="U24" i="3" s="1"/>
  <c r="V24" i="3" s="1"/>
  <c r="O23" i="3"/>
  <c r="P23" i="3" s="1"/>
  <c r="M23" i="3"/>
  <c r="N23" i="3" s="1"/>
  <c r="F25" i="3"/>
  <c r="Q18" i="3"/>
  <c r="R27" i="3"/>
  <c r="Q27" i="3" s="1"/>
  <c r="P18" i="3"/>
  <c r="J25" i="3"/>
  <c r="J27" i="3" s="1"/>
  <c r="H25" i="3"/>
  <c r="H27" i="3" s="1"/>
  <c r="N24" i="3"/>
  <c r="O25" i="3"/>
  <c r="P25" i="3" s="1"/>
  <c r="CC12" i="3"/>
  <c r="BU18" i="3"/>
  <c r="BS18" i="3"/>
  <c r="BS13" i="3" s="1"/>
  <c r="BT18" i="3"/>
  <c r="BT14" i="3" s="1"/>
  <c r="T7" i="3"/>
  <c r="S18" i="3"/>
  <c r="BP18" i="3"/>
  <c r="BR18" i="3"/>
  <c r="CD18" i="3" s="1"/>
  <c r="CD7" i="3"/>
  <c r="N18" i="3"/>
  <c r="CC22" i="3"/>
  <c r="CH7" i="3"/>
  <c r="BV18" i="3"/>
  <c r="CH18" i="3" s="1"/>
  <c r="U18" i="3"/>
  <c r="V7" i="3"/>
  <c r="BQ18" i="3"/>
  <c r="CC18" i="3" s="1"/>
  <c r="S24" i="3" l="1"/>
  <c r="T24" i="3" s="1"/>
  <c r="S23" i="3"/>
  <c r="T23" i="3" s="1"/>
  <c r="U23" i="3"/>
  <c r="V23" i="3" s="1"/>
  <c r="M25" i="3"/>
  <c r="N19" i="3"/>
  <c r="O27" i="3"/>
  <c r="P27" i="3" s="1"/>
  <c r="V18" i="3"/>
  <c r="E25" i="3"/>
  <c r="F27" i="3"/>
  <c r="E27" i="3" s="1"/>
  <c r="T18" i="3"/>
  <c r="CB18" i="3"/>
  <c r="BT8" i="3"/>
  <c r="CF8" i="3" s="1"/>
  <c r="BT15" i="3"/>
  <c r="CF15" i="3" s="1"/>
  <c r="BT10" i="3"/>
  <c r="CF10" i="3" s="1"/>
  <c r="CF14" i="3"/>
  <c r="BT7" i="3"/>
  <c r="CF7" i="3" s="1"/>
  <c r="BT12" i="3"/>
  <c r="CF12" i="3" s="1"/>
  <c r="CF18" i="3"/>
  <c r="BT11" i="3"/>
  <c r="CF11" i="3" s="1"/>
  <c r="BT17" i="3"/>
  <c r="CF17" i="3" s="1"/>
  <c r="BT9" i="3"/>
  <c r="CF9" i="3" s="1"/>
  <c r="BT16" i="3"/>
  <c r="CF16" i="3" s="1"/>
  <c r="BT13" i="3"/>
  <c r="CF13" i="3" s="1"/>
  <c r="CE18" i="3"/>
  <c r="BS8" i="3"/>
  <c r="BS15" i="3"/>
  <c r="BS10" i="3"/>
  <c r="BS12" i="3"/>
  <c r="BS17" i="3"/>
  <c r="BS7" i="3"/>
  <c r="BS11" i="3"/>
  <c r="BS14" i="3"/>
  <c r="BS9" i="3"/>
  <c r="BS16" i="3"/>
  <c r="BU15" i="3"/>
  <c r="CG15" i="3" s="1"/>
  <c r="BU10" i="3"/>
  <c r="CG10" i="3" s="1"/>
  <c r="BU12" i="3"/>
  <c r="CG12" i="3" s="1"/>
  <c r="BU14" i="3"/>
  <c r="CG14" i="3" s="1"/>
  <c r="BU7" i="3"/>
  <c r="CG7" i="3" s="1"/>
  <c r="CG18" i="3"/>
  <c r="BU11" i="3"/>
  <c r="CG11" i="3" s="1"/>
  <c r="BU8" i="3"/>
  <c r="CG8" i="3" s="1"/>
  <c r="BU17" i="3"/>
  <c r="CG17" i="3" s="1"/>
  <c r="BU9" i="3"/>
  <c r="CG9" i="3" s="1"/>
  <c r="BU16" i="3"/>
  <c r="CG16" i="3" s="1"/>
  <c r="BU13" i="3"/>
  <c r="CG13" i="3" s="1"/>
  <c r="U25" i="3" l="1"/>
  <c r="V25" i="3" s="1"/>
  <c r="S25" i="3"/>
  <c r="T25" i="3" s="1"/>
  <c r="N25" i="3"/>
  <c r="M27" i="3"/>
  <c r="N27" i="3" s="1"/>
  <c r="CE14" i="3"/>
  <c r="BY14" i="3"/>
  <c r="BW14" i="3"/>
  <c r="CE17" i="3"/>
  <c r="BW17" i="3"/>
  <c r="BY17" i="3"/>
  <c r="CE12" i="3"/>
  <c r="BY12" i="3"/>
  <c r="BW12" i="3"/>
  <c r="CE10" i="3"/>
  <c r="BW10" i="3"/>
  <c r="BY10" i="3"/>
  <c r="CE15" i="3"/>
  <c r="BY15" i="3"/>
  <c r="BW15" i="3"/>
  <c r="CE11" i="3"/>
  <c r="BY11" i="3"/>
  <c r="BW11" i="3"/>
  <c r="CE7" i="3"/>
  <c r="CC20" i="3" s="1"/>
  <c r="BY7" i="3"/>
  <c r="BY18" i="3" s="1"/>
  <c r="BW7" i="3"/>
  <c r="CE8" i="3"/>
  <c r="BY8" i="3"/>
  <c r="BW8" i="3"/>
  <c r="CE13" i="3"/>
  <c r="BW13" i="3"/>
  <c r="BY13" i="3"/>
  <c r="CE16" i="3"/>
  <c r="BW16" i="3"/>
  <c r="BY16" i="3"/>
  <c r="CE9" i="3"/>
  <c r="BW9" i="3"/>
  <c r="BY9" i="3"/>
  <c r="U27" i="3" l="1"/>
  <c r="V27" i="3" s="1"/>
  <c r="S27" i="3"/>
  <c r="T27" i="3" s="1"/>
  <c r="BZ8" i="3"/>
  <c r="CJ8" i="3"/>
  <c r="CI8" i="3"/>
  <c r="BX8" i="3"/>
  <c r="BZ9" i="3"/>
  <c r="CJ9" i="3"/>
  <c r="CK9" i="3" s="1"/>
  <c r="BZ10" i="3"/>
  <c r="CJ10" i="3"/>
  <c r="CI10" i="3"/>
  <c r="BX10" i="3"/>
  <c r="BX12" i="3"/>
  <c r="CI12" i="3"/>
  <c r="BZ12" i="3"/>
  <c r="CJ12" i="3"/>
  <c r="BZ17" i="3"/>
  <c r="CJ17" i="3"/>
  <c r="BX17" i="3"/>
  <c r="CI17" i="3"/>
  <c r="CI13" i="3"/>
  <c r="BX13" i="3"/>
  <c r="BZ14" i="3"/>
  <c r="CJ14" i="3"/>
  <c r="CK14" i="3" s="1"/>
  <c r="BX7" i="3"/>
  <c r="BW18" i="3"/>
  <c r="CI7" i="3"/>
  <c r="BX9" i="3"/>
  <c r="CI9" i="3"/>
  <c r="BZ7" i="3"/>
  <c r="CJ7" i="3"/>
  <c r="BZ16" i="3"/>
  <c r="CJ16" i="3"/>
  <c r="BX11" i="3"/>
  <c r="CI11" i="3"/>
  <c r="BX16" i="3"/>
  <c r="CI16" i="3"/>
  <c r="BZ11" i="3"/>
  <c r="CJ11" i="3"/>
  <c r="BZ13" i="3"/>
  <c r="CJ13" i="3"/>
  <c r="CI15" i="3"/>
  <c r="BX15" i="3"/>
  <c r="BX14" i="3"/>
  <c r="CI14" i="3"/>
  <c r="BZ15" i="3"/>
  <c r="CJ15" i="3"/>
  <c r="CK15" i="3" s="1"/>
  <c r="CK7" i="3" l="1"/>
  <c r="BX18" i="3"/>
  <c r="CI18" i="3"/>
  <c r="CK16" i="3"/>
  <c r="CK10" i="3"/>
  <c r="BZ18" i="3"/>
  <c r="CJ18" i="3"/>
  <c r="CK18" i="3" s="1"/>
  <c r="CK13" i="3"/>
  <c r="CK17" i="3"/>
  <c r="CK11" i="3"/>
  <c r="CK12" i="3"/>
  <c r="CK8" i="3"/>
  <c r="N52" i="1" l="1"/>
  <c r="T2" i="1"/>
  <c r="T30" i="1"/>
  <c r="T8" i="1"/>
  <c r="T11" i="1"/>
  <c r="T36" i="1"/>
  <c r="T34" i="1"/>
  <c r="T15" i="1"/>
  <c r="T26" i="1"/>
  <c r="T21" i="1"/>
  <c r="T49" i="1"/>
  <c r="T20" i="1"/>
  <c r="T35" i="1"/>
  <c r="T28" i="1"/>
  <c r="T16" i="1"/>
  <c r="T45" i="1"/>
  <c r="T33" i="1"/>
  <c r="T17" i="1"/>
  <c r="T19" i="1"/>
  <c r="T22" i="1"/>
  <c r="T42" i="1"/>
  <c r="T23" i="1"/>
  <c r="T27" i="1"/>
  <c r="T50" i="1"/>
  <c r="T29" i="1"/>
  <c r="T46" i="1"/>
  <c r="T5" i="1"/>
  <c r="T6" i="1"/>
  <c r="T48" i="1"/>
  <c r="T44" i="1"/>
  <c r="T12" i="1"/>
  <c r="T47" i="1"/>
  <c r="T32" i="1"/>
  <c r="T31" i="1"/>
  <c r="T9" i="1"/>
  <c r="T24" i="1"/>
  <c r="T25" i="1"/>
  <c r="O52" i="1"/>
  <c r="T38" i="1"/>
  <c r="T18" i="1"/>
  <c r="T14" i="1"/>
  <c r="T10" i="1"/>
  <c r="S52" i="1"/>
  <c r="T3" i="1"/>
  <c r="T43" i="1"/>
  <c r="T4" i="1"/>
  <c r="T37" i="1"/>
  <c r="T39" i="1"/>
  <c r="T7" i="1"/>
  <c r="T41" i="1"/>
  <c r="T40" i="1"/>
  <c r="T13" i="1"/>
  <c r="P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<sst xmlns="http://schemas.openxmlformats.org/spreadsheetml/2006/main" count="222" uniqueCount="124">
  <si>
    <t>CODIGO</t>
  </si>
  <si>
    <t>PRODUCTO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</si>
  <si>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</si>
  <si>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</si>
  <si>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</si>
  <si>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</si>
  <si>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</si>
  <si>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</si>
  <si>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</si>
  <si>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</si>
  <si>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</si>
  <si>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</si>
  <si>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</si>
  <si>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</si>
  <si>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</si>
  <si>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</si>
  <si>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</si>
  <si>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</si>
  <si>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</si>
  <si>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</si>
  <si>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 xml:space="preserve">POTA FILETE C/M C/T FR 0.5-1.0 AAA  BL10 S20  </t>
  </si>
  <si>
    <t>POTA FILETE C/M C/T FR 1-2 AA BL10 S20  50% ROSADO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</si>
  <si>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</si>
  <si>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</si>
  <si>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</si>
  <si>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</si>
  <si>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</si>
  <si>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</si>
  <si>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</si>
  <si>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</si>
  <si>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</si>
  <si>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</si>
  <si>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</si>
  <si>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</si>
  <si>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</si>
  <si>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</si>
  <si>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</si>
  <si>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</si>
  <si>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</si>
  <si>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</si>
  <si>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</si>
  <si>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</si>
  <si>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</si>
  <si>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</si>
  <si>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</si>
  <si>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</si>
  <si>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</si>
  <si>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</si>
  <si>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</si>
  <si>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</si>
  <si>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FILETE CM CT PARA REPROCESO</t>
  </si>
  <si>
    <t>ALAS FR PARA REPROCESO</t>
  </si>
  <si>
    <t>TOTAL STOCK</t>
  </si>
  <si>
    <t>POR EMBARCAR</t>
  </si>
  <si>
    <t>STOCK LIBRE</t>
  </si>
  <si>
    <t>CÓDIGO</t>
  </si>
  <si>
    <t>CU X TM</t>
  </si>
  <si>
    <t>% MP</t>
  </si>
  <si>
    <t>incremento MP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</si>
  <si>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</si>
  <si>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</si>
  <si>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</si>
  <si>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</si>
  <si>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</si>
  <si>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</si>
  <si>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</si>
  <si>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</si>
  <si>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</si>
  <si>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</si>
  <si>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</si>
  <si>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Etiquetas de fila</t>
  </si>
  <si>
    <t>(en blanco)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</si>
  <si>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</si>
  <si>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</si>
  <si>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</si>
  <si>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</si>
  <si>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</si>
  <si>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</si>
  <si>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</si>
  <si>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PERU FROST</t>
  </si>
  <si>
    <t>RENTABILIDAD DEL INVENTARIO</t>
  </si>
  <si>
    <t>TBN</t>
  </si>
  <si>
    <t>UNITARIOS POR TM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</si>
  <si>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</si>
  <si>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</si>
  <si>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</si>
  <si>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</si>
  <si>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</si>
  <si>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</si>
  <si>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</si>
  <si>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</si>
  <si>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</si>
  <si>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</si>
  <si>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</si>
  <si>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</si>
  <si>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</si>
  <si>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</si>
  <si>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TM</t>
  </si>
  <si>
    <t>Venta</t>
  </si>
  <si>
    <t>Precio x TM</t>
  </si>
  <si>
    <t>Gasto Adm</t>
  </si>
  <si>
    <t>Drawback</t>
  </si>
  <si>
    <t>Utilidad 
Neta</t>
  </si>
  <si>
    <t>Mg Neto %</t>
  </si>
  <si>
    <t>MG 
EBITDA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</si>
  <si>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</si>
  <si>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</si>
  <si>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</si>
  <si>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</si>
  <si>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</si>
  <si>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</si>
  <si>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</si>
  <si>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</si>
  <si>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</si>
  <si>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OTROS</t>
  </si>
  <si>
    <t>TOTAL</t>
  </si>
  <si>
    <t>flete x tm</t>
  </si>
  <si>
    <t>AVANCE COMERCIAL AL 13-7-2026</t>
  </si>
  <si>
    <t>TM en Almacén de Yantai</t>
  </si>
  <si>
    <t>Venta Julio</t>
  </si>
  <si>
    <t>Cobranza</t>
  </si>
  <si>
    <t>Inventario</t>
  </si>
  <si>
    <t>TOTAL PROYECTADO JULIO 2026</t>
  </si>
  <si>
    <t>Neto del despacho a Almacén Yantai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</si>
</sst>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-* #,##0_-;\-* #,##0_-;_-* &quot;-&quot;??_-;_-@_-"/>
    <numFmt numFmtId="166" formatCode="0.000"/>
    <numFmt numFmtId="168" formatCode="0.0%"/>
    <numFmt numFmtId="169" formatCode="_-* #,##0.0000_-;\-* #,##0.0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0" fillId="2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top"/>
    </xf>
    <xf numFmtId="166" fontId="9" fillId="0" borderId="0" xfId="0" applyNumberFormat="1" applyFont="1"/>
    <xf numFmtId="9" fontId="1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7" xfId="1" applyNumberFormat="1" applyFont="1" applyBorder="1"/>
    <xf numFmtId="165" fontId="10" fillId="0" borderId="0" xfId="1" applyNumberFormat="1" applyFont="1" applyBorder="1"/>
    <xf numFmtId="165" fontId="10" fillId="0" borderId="0" xfId="1" applyNumberFormat="1" applyFont="1"/>
    <xf numFmtId="165" fontId="10" fillId="0" borderId="0" xfId="1" applyNumberFormat="1" applyFont="1" applyAlignment="1">
      <alignment horizontal="center"/>
    </xf>
    <xf numFmtId="165" fontId="10" fillId="2" borderId="8" xfId="1" applyNumberFormat="1" applyFont="1" applyFill="1" applyBorder="1"/>
    <xf numFmtId="0" fontId="0" fillId="10" borderId="6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11" borderId="6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12" borderId="6" xfId="0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165" fontId="7" fillId="0" borderId="3" xfId="1" applyNumberFormat="1" applyFont="1" applyBorder="1"/>
    <xf numFmtId="165" fontId="7" fillId="0" borderId="4" xfId="1" applyNumberFormat="1" applyFont="1" applyBorder="1"/>
    <xf numFmtId="165" fontId="7" fillId="0" borderId="4" xfId="1" applyNumberFormat="1" applyFont="1" applyBorder="1" applyAlignment="1">
      <alignment horizontal="center"/>
    </xf>
    <xf numFmtId="165" fontId="7" fillId="2" borderId="5" xfId="1" applyNumberFormat="1" applyFont="1" applyFill="1" applyBorder="1"/>
    <xf numFmtId="0" fontId="9" fillId="0" borderId="0" xfId="0" applyFont="1"/>
    <xf numFmtId="165" fontId="0" fillId="7" borderId="2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1" fillId="0" borderId="0" xfId="0" applyFont="1"/>
    <xf numFmtId="0" fontId="4" fillId="0" borderId="0" xfId="0" applyFont="1"/>
    <xf numFmtId="168" fontId="0" fillId="0" borderId="0" xfId="2" applyNumberFormat="1" applyFont="1"/>
    <xf numFmtId="43" fontId="0" fillId="0" borderId="0" xfId="0" applyNumberFormat="1"/>
    <xf numFmtId="0" fontId="2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4" fillId="0" borderId="9" xfId="0" applyNumberFormat="1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16" fontId="4" fillId="15" borderId="11" xfId="0" applyNumberFormat="1" applyFont="1" applyFill="1" applyBorder="1" applyAlignment="1">
      <alignment horizontal="center"/>
    </xf>
    <xf numFmtId="16" fontId="4" fillId="15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13" borderId="1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15" xfId="0" applyBorder="1"/>
    <xf numFmtId="1" fontId="0" fillId="8" borderId="11" xfId="0" applyNumberFormat="1" applyFill="1" applyBorder="1" applyAlignment="1">
      <alignment horizontal="center"/>
    </xf>
    <xf numFmtId="165" fontId="0" fillId="8" borderId="16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Border="1"/>
    <xf numFmtId="9" fontId="0" fillId="0" borderId="0" xfId="0" applyNumberFormat="1"/>
    <xf numFmtId="165" fontId="12" fillId="2" borderId="8" xfId="0" applyNumberFormat="1" applyFont="1" applyFill="1" applyBorder="1"/>
    <xf numFmtId="165" fontId="12" fillId="2" borderId="8" xfId="1" applyNumberFormat="1" applyFont="1" applyFill="1" applyBorder="1"/>
    <xf numFmtId="165" fontId="12" fillId="0" borderId="8" xfId="1" applyNumberFormat="1" applyFont="1" applyFill="1" applyBorder="1"/>
    <xf numFmtId="9" fontId="12" fillId="0" borderId="8" xfId="2" applyFont="1" applyFill="1" applyBorder="1" applyAlignment="1">
      <alignment horizontal="center"/>
    </xf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15" borderId="11" xfId="1" applyNumberFormat="1" applyFont="1" applyFill="1" applyBorder="1"/>
    <xf numFmtId="165" fontId="0" fillId="15" borderId="15" xfId="1" applyNumberFormat="1" applyFont="1" applyFill="1" applyBorder="1"/>
    <xf numFmtId="165" fontId="0" fillId="15" borderId="0" xfId="1" applyNumberFormat="1" applyFont="1" applyFill="1" applyBorder="1"/>
    <xf numFmtId="9" fontId="0" fillId="15" borderId="11" xfId="2" applyFont="1" applyFill="1" applyBorder="1" applyAlignment="1">
      <alignment horizontal="center"/>
    </xf>
    <xf numFmtId="165" fontId="0" fillId="15" borderId="15" xfId="2" applyNumberFormat="1" applyFont="1" applyFill="1" applyBorder="1" applyAlignment="1">
      <alignment horizontal="center"/>
    </xf>
    <xf numFmtId="9" fontId="0" fillId="15" borderId="15" xfId="2" applyFont="1" applyFill="1" applyBorder="1" applyAlignment="1">
      <alignment horizontal="center"/>
    </xf>
    <xf numFmtId="165" fontId="0" fillId="2" borderId="2" xfId="0" applyNumberFormat="1" applyFill="1" applyBorder="1"/>
    <xf numFmtId="165" fontId="0" fillId="2" borderId="2" xfId="1" applyNumberFormat="1" applyFont="1" applyFill="1" applyBorder="1"/>
    <xf numFmtId="0" fontId="0" fillId="0" borderId="15" xfId="0" applyBorder="1" applyAlignment="1">
      <alignment vertical="top"/>
    </xf>
    <xf numFmtId="165" fontId="0" fillId="0" borderId="15" xfId="1" applyNumberFormat="1" applyFont="1" applyBorder="1"/>
    <xf numFmtId="165" fontId="12" fillId="11" borderId="8" xfId="1" applyNumberFormat="1" applyFont="1" applyFill="1" applyBorder="1"/>
    <xf numFmtId="9" fontId="12" fillId="11" borderId="8" xfId="2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8" borderId="18" xfId="0" applyNumberFormat="1" applyFont="1" applyFill="1" applyBorder="1" applyAlignment="1">
      <alignment horizontal="center"/>
    </xf>
    <xf numFmtId="165" fontId="4" fillId="8" borderId="19" xfId="1" applyNumberFormat="1" applyFont="1" applyFill="1" applyBorder="1" applyAlignment="1">
      <alignment horizontal="center"/>
    </xf>
    <xf numFmtId="165" fontId="4" fillId="0" borderId="4" xfId="1" applyNumberFormat="1" applyFont="1" applyBorder="1"/>
    <xf numFmtId="9" fontId="4" fillId="0" borderId="4" xfId="2" applyFont="1" applyBorder="1"/>
    <xf numFmtId="165" fontId="5" fillId="2" borderId="5" xfId="1" applyNumberFormat="1" applyFont="1" applyFill="1" applyBorder="1"/>
    <xf numFmtId="165" fontId="5" fillId="0" borderId="5" xfId="1" applyNumberFormat="1" applyFont="1" applyFill="1" applyBorder="1"/>
    <xf numFmtId="165" fontId="5" fillId="0" borderId="10" xfId="1" applyNumberFormat="1" applyFont="1" applyFill="1" applyBorder="1"/>
    <xf numFmtId="9" fontId="5" fillId="0" borderId="5" xfId="2" applyFont="1" applyFill="1" applyBorder="1" applyAlignment="1">
      <alignment horizontal="center"/>
    </xf>
    <xf numFmtId="165" fontId="4" fillId="0" borderId="1" xfId="0" applyNumberFormat="1" applyFont="1" applyBorder="1"/>
    <xf numFmtId="165" fontId="4" fillId="0" borderId="2" xfId="1" applyNumberFormat="1" applyFont="1" applyBorder="1"/>
    <xf numFmtId="165" fontId="4" fillId="15" borderId="2" xfId="0" applyNumberFormat="1" applyFont="1" applyFill="1" applyBorder="1"/>
    <xf numFmtId="165" fontId="4" fillId="15" borderId="9" xfId="1" applyNumberFormat="1" applyFont="1" applyFill="1" applyBorder="1"/>
    <xf numFmtId="165" fontId="4" fillId="15" borderId="2" xfId="1" applyNumberFormat="1" applyFont="1" applyFill="1" applyBorder="1"/>
    <xf numFmtId="9" fontId="4" fillId="15" borderId="1" xfId="2" applyFont="1" applyFill="1" applyBorder="1" applyAlignment="1">
      <alignment horizontal="center"/>
    </xf>
    <xf numFmtId="9" fontId="4" fillId="15" borderId="2" xfId="2" applyFont="1" applyFill="1" applyBorder="1" applyAlignment="1">
      <alignment horizontal="center"/>
    </xf>
    <xf numFmtId="165" fontId="4" fillId="2" borderId="2" xfId="0" applyNumberFormat="1" applyFont="1" applyFill="1" applyBorder="1"/>
    <xf numFmtId="165" fontId="4" fillId="2" borderId="2" xfId="1" applyNumberFormat="1" applyFont="1" applyFill="1" applyBorder="1"/>
    <xf numFmtId="43" fontId="0" fillId="0" borderId="0" xfId="1" applyFont="1" applyAlignment="1">
      <alignment horizontal="center"/>
    </xf>
    <xf numFmtId="169" fontId="0" fillId="0" borderId="0" xfId="1" applyNumberFormat="1" applyFont="1" applyFill="1" applyBorder="1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center"/>
    </xf>
    <xf numFmtId="165" fontId="3" fillId="0" borderId="0" xfId="1" applyNumberFormat="1" applyFont="1"/>
    <xf numFmtId="3" fontId="0" fillId="0" borderId="0" xfId="0" applyNumberFormat="1"/>
    <xf numFmtId="4" fontId="0" fillId="0" borderId="0" xfId="0" applyNumberFormat="1"/>
    <xf numFmtId="9" fontId="0" fillId="0" borderId="0" xfId="2" applyFont="1"/>
    <xf numFmtId="43" fontId="4" fillId="0" borderId="0" xfId="1" applyFont="1"/>
    <xf numFmtId="0" fontId="4" fillId="0" borderId="0" xfId="0" applyFont="1" applyAlignment="1">
      <alignment horizontal="right"/>
    </xf>
    <xf numFmtId="165" fontId="4" fillId="0" borderId="0" xfId="1" applyNumberFormat="1" applyFont="1"/>
    <xf numFmtId="0" fontId="3" fillId="0" borderId="0" xfId="0" applyFont="1"/>
    <xf numFmtId="0" fontId="4" fillId="0" borderId="0" xfId="0" applyFont="1" applyFill="1" applyBorder="1" applyAlignment="1">
      <alignment vertical="top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165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5" fontId="0" fillId="3" borderId="11" xfId="1" applyNumberFormat="1" applyFont="1" applyFill="1" applyBorder="1"/>
    <xf numFmtId="165" fontId="0" fillId="3" borderId="15" xfId="1" applyNumberFormat="1" applyFont="1" applyFill="1" applyBorder="1"/>
    <xf numFmtId="165" fontId="0" fillId="3" borderId="0" xfId="1" applyNumberFormat="1" applyFont="1" applyFill="1" applyBorder="1"/>
    <xf numFmtId="9" fontId="0" fillId="3" borderId="11" xfId="2" applyFont="1" applyFill="1" applyBorder="1" applyAlignment="1">
      <alignment horizontal="center"/>
    </xf>
    <xf numFmtId="165" fontId="0" fillId="3" borderId="15" xfId="2" applyNumberFormat="1" applyFont="1" applyFill="1" applyBorder="1" applyAlignment="1">
      <alignment horizontal="center"/>
    </xf>
    <xf numFmtId="9" fontId="0" fillId="3" borderId="15" xfId="2" applyFont="1" applyFill="1" applyBorder="1" applyAlignment="1">
      <alignment horizontal="center"/>
    </xf>
    <xf numFmtId="3" fontId="4" fillId="0" borderId="0" xfId="0" applyNumberFormat="1" applyFont="1"/>
    <xf numFmtId="169" fontId="4" fillId="0" borderId="0" xfId="1" applyNumberFormat="1" applyFont="1" applyFill="1" applyBorder="1" applyAlignment="1">
      <alignment horizontal="righ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22-6-2026.xlsx" TargetMode="External"/><Relationship Id="rId1" Type="http://schemas.openxmlformats.org/officeDocument/2006/relationships/externalLinkPath" Target="RESUMEN%20VENTAS%20EXPORTACION%202025%20al%2022-6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22-6-2026.xlsx" TargetMode="External"/><Relationship Id="rId1" Type="http://schemas.openxmlformats.org/officeDocument/2006/relationships/externalLinkPath" Target="Inventario%20PT%20y%20Avance%20Comercial%20al%2022-6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15-6-2026.xlsx" TargetMode="External"/><Relationship Id="rId1" Type="http://schemas.openxmlformats.org/officeDocument/2006/relationships/externalLinkPath" Target="Inventario%20PT%20y%20Avance%20Comercial%20al%2015-6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6-7-2026.xlsx" TargetMode="External"/><Relationship Id="rId1" Type="http://schemas.openxmlformats.org/officeDocument/2006/relationships/externalLinkPath" Target="Inventario%20PT%20y%20Avance%20Comercial%20al%206-7-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13-7-2026.xlsx" TargetMode="External"/><Relationship Id="rId1" Type="http://schemas.openxmlformats.org/officeDocument/2006/relationships/externalLinkPath" Target="RESUMEN%20VENTAS%20EXPORTACION%202025%20al%2013-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C3"/>
          <cell r="K3">
            <v>2126.230658279324</v>
          </cell>
        </row>
        <row r="4">
          <cell r="C4"/>
          <cell r="K4">
            <v>2094.6361169260049</v>
          </cell>
        </row>
        <row r="5">
          <cell r="C5"/>
          <cell r="K5">
            <v>1946.6202776142766</v>
          </cell>
        </row>
        <row r="6">
          <cell r="C6"/>
          <cell r="K6">
            <v>2025.3424461865532</v>
          </cell>
        </row>
        <row r="7">
          <cell r="C7"/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C9"/>
          <cell r="K9">
            <v>1974.7197869741549</v>
          </cell>
        </row>
        <row r="10">
          <cell r="C10"/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C12"/>
          <cell r="K12">
            <v>1782.56409434187</v>
          </cell>
        </row>
        <row r="13">
          <cell r="C13"/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C16"/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C21"/>
          <cell r="K21">
            <v>1931.1280065442866</v>
          </cell>
        </row>
        <row r="22">
          <cell r="C22"/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C26"/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C30"/>
          <cell r="K30">
            <v>1788.7115084478587</v>
          </cell>
        </row>
        <row r="31">
          <cell r="C31"/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C36"/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C44"/>
          <cell r="K44">
            <v>1504.539234144622</v>
          </cell>
        </row>
        <row r="45">
          <cell r="C45"/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C48"/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C55"/>
          <cell r="K55">
            <v>1849.5051020408164</v>
          </cell>
        </row>
        <row r="56">
          <cell r="C56"/>
          <cell r="K56">
            <v>1784.0206279313234</v>
          </cell>
        </row>
        <row r="57">
          <cell r="C57"/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C61"/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FLETES"/>
      <sheetName val="Hoja1"/>
      <sheetName val="Hoja2"/>
      <sheetName val="2026"/>
      <sheetName val="PROGRAMACION"/>
      <sheetName val="2025 TOTAS FP"/>
      <sheetName val="EECC GLOBAL"/>
      <sheetName val="FP CHINA"/>
      <sheetName val="Tabla"/>
      <sheetName val="VARIOS CHINA"/>
    </sheetNames>
    <sheetDataSet>
      <sheetData sheetId="0"/>
      <sheetData sheetId="1"/>
      <sheetData sheetId="2"/>
      <sheetData sheetId="3">
        <row r="6">
          <cell r="F6">
            <v>46174</v>
          </cell>
          <cell r="I6">
            <v>26</v>
          </cell>
          <cell r="J6">
            <v>36400</v>
          </cell>
          <cell r="K6" t="str">
            <v>OTROS</v>
          </cell>
        </row>
        <row r="7">
          <cell r="F7">
            <v>46182</v>
          </cell>
          <cell r="I7">
            <v>26.28</v>
          </cell>
          <cell r="J7">
            <v>113004</v>
          </cell>
          <cell r="K7" t="str">
            <v>POTA ALAS COCIDAS</v>
          </cell>
        </row>
        <row r="8">
          <cell r="F8">
            <v>46182</v>
          </cell>
          <cell r="I8">
            <v>22.5</v>
          </cell>
          <cell r="J8">
            <v>29250</v>
          </cell>
          <cell r="K8" t="str">
            <v>POTA NUCAS CONGELADAS</v>
          </cell>
        </row>
        <row r="9">
          <cell r="F9">
            <v>46185</v>
          </cell>
          <cell r="I9">
            <v>69</v>
          </cell>
          <cell r="J9">
            <v>144900</v>
          </cell>
          <cell r="K9" t="str">
            <v>POTA ALAS CONGELADAS</v>
          </cell>
        </row>
        <row r="10">
          <cell r="F10">
            <v>46185</v>
          </cell>
          <cell r="I10">
            <v>108</v>
          </cell>
          <cell r="J10">
            <v>421200</v>
          </cell>
          <cell r="K10" t="str">
            <v>POTA FILETE DARUMA</v>
          </cell>
        </row>
        <row r="11">
          <cell r="F11">
            <v>46185</v>
          </cell>
          <cell r="I11">
            <v>27</v>
          </cell>
          <cell r="J11">
            <v>82350</v>
          </cell>
          <cell r="K11" t="str">
            <v>POTA REJOS CONGELADOS</v>
          </cell>
        </row>
        <row r="12">
          <cell r="F12">
            <v>46188</v>
          </cell>
          <cell r="I12">
            <v>26</v>
          </cell>
          <cell r="J12">
            <v>67600</v>
          </cell>
          <cell r="K12" t="str">
            <v>POTA REJOS CONGELADOS</v>
          </cell>
        </row>
        <row r="13">
          <cell r="F13">
            <v>46192</v>
          </cell>
          <cell r="I13">
            <v>54</v>
          </cell>
          <cell r="J13">
            <v>232200</v>
          </cell>
          <cell r="K13" t="str">
            <v>POTA ALAS COCIDAS</v>
          </cell>
        </row>
        <row r="14">
          <cell r="F14">
            <v>46192</v>
          </cell>
          <cell r="I14">
            <v>27</v>
          </cell>
          <cell r="J14">
            <v>59400</v>
          </cell>
          <cell r="K14" t="str">
            <v>POTA ALAS CONGELADAS</v>
          </cell>
        </row>
        <row r="15">
          <cell r="F15">
            <v>46192</v>
          </cell>
          <cell r="I15">
            <v>27</v>
          </cell>
          <cell r="J15">
            <v>46710</v>
          </cell>
          <cell r="K15" t="str">
            <v>POTA CONOS</v>
          </cell>
        </row>
        <row r="16">
          <cell r="F16">
            <v>46192</v>
          </cell>
          <cell r="I16">
            <v>54</v>
          </cell>
          <cell r="J16">
            <v>109080</v>
          </cell>
          <cell r="K16" t="str">
            <v>POTA FILETE CONGELADO</v>
          </cell>
        </row>
        <row r="17">
          <cell r="F17">
            <v>46195</v>
          </cell>
          <cell r="I17">
            <v>48</v>
          </cell>
          <cell r="J17">
            <v>81600</v>
          </cell>
          <cell r="K17" t="str">
            <v>POTA FILETE CONGELADO</v>
          </cell>
        </row>
        <row r="18">
          <cell r="F18">
            <v>46195</v>
          </cell>
          <cell r="I18">
            <v>52</v>
          </cell>
          <cell r="J18">
            <v>135200</v>
          </cell>
          <cell r="K18" t="str">
            <v>POTA REJOS CONGELADOS</v>
          </cell>
        </row>
        <row r="19">
          <cell r="F19">
            <v>46195</v>
          </cell>
          <cell r="I19">
            <v>27</v>
          </cell>
          <cell r="J19">
            <v>73710</v>
          </cell>
          <cell r="K19" t="str">
            <v>POTA REPRODUCTORES</v>
          </cell>
        </row>
        <row r="20">
          <cell r="F20">
            <v>46196</v>
          </cell>
          <cell r="I20">
            <v>27</v>
          </cell>
          <cell r="J20">
            <v>116100</v>
          </cell>
          <cell r="K20" t="str">
            <v>POTA ALAS COCIDAS</v>
          </cell>
        </row>
        <row r="21">
          <cell r="F21">
            <v>46196</v>
          </cell>
          <cell r="I21">
            <v>27</v>
          </cell>
          <cell r="J21">
            <v>54540</v>
          </cell>
          <cell r="K21" t="str">
            <v>POTA FILETE CONGELADO</v>
          </cell>
        </row>
        <row r="22">
          <cell r="F22">
            <v>46199</v>
          </cell>
          <cell r="I22">
            <v>54</v>
          </cell>
          <cell r="J22">
            <v>213300</v>
          </cell>
          <cell r="K22" t="str">
            <v>POTA ALAS COCIDAS</v>
          </cell>
        </row>
        <row r="23">
          <cell r="F23">
            <v>46199</v>
          </cell>
          <cell r="I23">
            <v>162</v>
          </cell>
          <cell r="J23">
            <v>638550</v>
          </cell>
          <cell r="K23" t="str">
            <v>POTA FILETE DARUMA</v>
          </cell>
        </row>
        <row r="24">
          <cell r="F24">
            <v>46199</v>
          </cell>
          <cell r="I24">
            <v>26</v>
          </cell>
          <cell r="J24">
            <v>35100</v>
          </cell>
          <cell r="K24" t="str">
            <v>POTA NUCAS CONGELADAS</v>
          </cell>
        </row>
        <row r="25">
          <cell r="F25">
            <v>46203</v>
          </cell>
          <cell r="I25">
            <v>54</v>
          </cell>
          <cell r="J25">
            <v>213300</v>
          </cell>
          <cell r="K25" t="str">
            <v>POTA FILETE DARUMA</v>
          </cell>
        </row>
        <row r="26">
          <cell r="F26">
            <v>46203</v>
          </cell>
          <cell r="I26">
            <v>162</v>
          </cell>
          <cell r="J26">
            <v>437400</v>
          </cell>
          <cell r="K26" t="str">
            <v>POTA REJOS CONGELADOS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22-6-2026"/>
      <sheetName val="TD"/>
      <sheetName val="Stock Libre"/>
    </sheetNames>
    <sheetDataSet>
      <sheetData sheetId="0"/>
      <sheetData sheetId="1"/>
      <sheetData sheetId="2">
        <row r="36">
          <cell r="H36">
            <v>3.2548777446902504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15-6-2026"/>
      <sheetName val="TD"/>
      <sheetName val="Stock Libre"/>
    </sheetNames>
    <sheetDataSet>
      <sheetData sheetId="0"/>
      <sheetData sheetId="1"/>
      <sheetData sheetId="2">
        <row r="47">
          <cell r="H47">
            <v>2.8244285114873775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6-7-2026"/>
      <sheetName val="TD"/>
      <sheetName val="Stock Libre"/>
    </sheetNames>
    <sheetDataSet>
      <sheetData sheetId="0" refreshError="1"/>
      <sheetData sheetId="1"/>
      <sheetData sheetId="2">
        <row r="54">
          <cell r="N54">
            <v>78579.000000000015</v>
          </cell>
          <cell r="O54">
            <v>154473.00000000003</v>
          </cell>
          <cell r="P54">
            <v>123484.35000000002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FLETES"/>
      <sheetName val="Hoja1"/>
      <sheetName val="Hoja2"/>
      <sheetName val="Hoja3"/>
      <sheetName val="2026"/>
      <sheetName val="PROGRAMACION"/>
      <sheetName val="2025 TOTAS FP"/>
      <sheetName val="EECC GLOBAL"/>
      <sheetName val="FP CHINA"/>
      <sheetName val="Tabla"/>
      <sheetName val="VARIOS CHINA"/>
    </sheetNames>
    <sheetDataSet>
      <sheetData sheetId="0"/>
      <sheetData sheetId="1"/>
      <sheetData sheetId="2"/>
      <sheetData sheetId="3"/>
      <sheetData sheetId="4">
        <row r="5">
          <cell r="F5">
            <v>46206</v>
          </cell>
          <cell r="I5">
            <v>27</v>
          </cell>
          <cell r="J5">
            <v>68850</v>
          </cell>
          <cell r="K5" t="str">
            <v>POTA RECORTES COCIDOS</v>
          </cell>
        </row>
        <row r="6">
          <cell r="F6">
            <v>46209</v>
          </cell>
          <cell r="I6">
            <v>26</v>
          </cell>
          <cell r="J6">
            <v>74100</v>
          </cell>
          <cell r="K6" t="str">
            <v>POTA REPRODUCTORES</v>
          </cell>
        </row>
        <row r="7">
          <cell r="F7">
            <v>46215</v>
          </cell>
          <cell r="I7">
            <v>54</v>
          </cell>
          <cell r="J7">
            <v>94500</v>
          </cell>
          <cell r="K7" t="str">
            <v>POTA ALAS CONGELADAS</v>
          </cell>
        </row>
        <row r="8">
          <cell r="F8">
            <v>46215</v>
          </cell>
          <cell r="I8">
            <v>54</v>
          </cell>
          <cell r="J8">
            <v>86400</v>
          </cell>
          <cell r="K8" t="str">
            <v>POTA CONOS</v>
          </cell>
        </row>
        <row r="9">
          <cell r="F9">
            <v>46215</v>
          </cell>
          <cell r="I9">
            <v>108</v>
          </cell>
          <cell r="J9">
            <v>275400</v>
          </cell>
          <cell r="K9" t="str">
            <v>POTA REJOS CONGELADOS</v>
          </cell>
        </row>
        <row r="10">
          <cell r="F10">
            <v>46215</v>
          </cell>
          <cell r="I10">
            <v>54</v>
          </cell>
          <cell r="J10">
            <v>91800</v>
          </cell>
          <cell r="K10" t="str">
            <v>OTROS</v>
          </cell>
        </row>
        <row r="11">
          <cell r="F11">
            <v>46216</v>
          </cell>
          <cell r="I11">
            <v>27</v>
          </cell>
          <cell r="J11">
            <v>73710</v>
          </cell>
          <cell r="K11" t="str">
            <v>POTA REPRODUCTORES</v>
          </cell>
        </row>
        <row r="12">
          <cell r="F12">
            <v>46218</v>
          </cell>
          <cell r="I12">
            <v>270</v>
          </cell>
          <cell r="J12">
            <v>405000</v>
          </cell>
          <cell r="K12" t="str">
            <v>POTA FILETE CONGELADO</v>
          </cell>
        </row>
        <row r="13">
          <cell r="F13">
            <v>46220</v>
          </cell>
          <cell r="I13">
            <v>54</v>
          </cell>
          <cell r="J13">
            <v>91800</v>
          </cell>
          <cell r="K13" t="str">
            <v>OTROS</v>
          </cell>
        </row>
        <row r="14">
          <cell r="F14">
            <v>46227</v>
          </cell>
          <cell r="I14">
            <v>27</v>
          </cell>
          <cell r="J14">
            <v>45900</v>
          </cell>
          <cell r="K14" t="str">
            <v>OTROS</v>
          </cell>
        </row>
        <row r="15">
          <cell r="F15" t="str">
            <v>TBN</v>
          </cell>
          <cell r="I15">
            <v>294</v>
          </cell>
          <cell r="J15">
            <v>460200</v>
          </cell>
          <cell r="K15" t="str">
            <v>POTA FILETE CONGELADO</v>
          </cell>
        </row>
        <row r="16">
          <cell r="F16" t="str">
            <v>TBN</v>
          </cell>
          <cell r="I16">
            <v>162</v>
          </cell>
          <cell r="J16">
            <v>550800</v>
          </cell>
          <cell r="K16" t="str">
            <v>POTA FILETE DARUMA</v>
          </cell>
        </row>
        <row r="17">
          <cell r="F17" t="str">
            <v>TBN</v>
          </cell>
          <cell r="I17">
            <v>52</v>
          </cell>
          <cell r="J17">
            <v>67600</v>
          </cell>
          <cell r="K17" t="str">
            <v>POTA NUCAS CONGELADAS</v>
          </cell>
        </row>
        <row r="18">
          <cell r="F18" t="str">
            <v>TBN</v>
          </cell>
          <cell r="I18">
            <v>108</v>
          </cell>
          <cell r="J18">
            <v>299310</v>
          </cell>
          <cell r="K18" t="str">
            <v>POTA REJOS CONGELADOS</v>
          </cell>
        </row>
        <row r="19">
          <cell r="F19" t="str">
            <v>TBN</v>
          </cell>
          <cell r="I19">
            <v>27</v>
          </cell>
          <cell r="J19">
            <v>45900</v>
          </cell>
          <cell r="K19" t="str">
            <v>OTROS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16.645065856479" createdVersion="8" refreshedVersion="8" minRefreshableVersion="3" recordCount="51" xr:uid="{EDC963A3-1327-4A5A-BAA0-F595CC283C61}">
  <cacheSource type="worksheet">
    <worksheetSource ref="G1:P52" sheet="Stock Libre"/>
  </cacheSource>
  <cacheFields count="10">
    <cacheField name="CÓDIGO" numFmtId="0">
      <sharedItems containsString="0" containsBlank="1" containsNumber="1" containsInteger="1" minValue="10005721" maxValue="10009386" count="12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  <m/>
      </sharedItems>
    </cacheField>
    <cacheField name="CU X TM" numFmtId="0">
      <sharedItems containsString="0" containsBlank="1" containsNumber="1" minValue="1.3685038142857144" maxValue="3.2548777446902504"/>
    </cacheField>
    <cacheField name="% MP" numFmtId="0">
      <sharedItems containsString="0" containsBlank="1" containsNumber="1" minValue="0.56000000000000005" maxValue="0.71"/>
    </cacheField>
    <cacheField name="incremento MP" numFmtId="0">
      <sharedItems containsString="0" containsBlank="1" containsNumber="1" minValue="-7.0000000000000007E-2" maxValue="-7.0000000000000007E-2"/>
    </cacheField>
    <cacheField name="TM en Stock" numFmtId="165">
      <sharedItems containsSemiMixedTypes="0" containsString="0" containsNumber="1" minValue="0" maxValue="1726.3240000000001"/>
    </cacheField>
    <cacheField name="Costo Ventas" numFmtId="165">
      <sharedItems containsSemiMixedTypes="0" containsString="0" containsNumber="1" minValue="0" maxValue="3187978.1874493579"/>
    </cacheField>
    <cacheField name="Gasto Ventas" numFmtId="165">
      <sharedItems containsSemiMixedTypes="0" containsString="0" containsNumber="1" minValue="0" maxValue="358799.18015999999"/>
    </cacheField>
    <cacheField name="Gasto ADM" numFmtId="165">
      <sharedItems containsSemiMixedTypes="0" containsString="0" containsNumber="1" minValue="0" maxValue="78579.000000000015"/>
    </cacheField>
    <cacheField name="Gasto Fin" numFmtId="165">
      <sharedItems containsSemiMixedTypes="0" containsString="0" containsNumber="1" minValue="0" maxValue="154473.00000000003"/>
    </cacheField>
    <cacheField name="Depreciación" numFmtId="165">
      <sharedItems containsSemiMixedTypes="0" containsString="0" containsNumber="1" minValue="0" maxValue="123484.34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1.8826723610599079"/>
    <n v="0.71"/>
    <n v="-7.0000000000000007E-2"/>
    <n v="14.4"/>
    <n v="27110.481999262673"/>
    <n v="2992.8960000000002"/>
    <n v="655.46073622332779"/>
    <n v="1288.5247496993616"/>
    <n v="1030.0352888565531"/>
  </r>
  <r>
    <x v="0"/>
    <n v="1.8826723610599079"/>
    <n v="0.71"/>
    <n v="-7.0000000000000007E-2"/>
    <n v="1.26"/>
    <n v="2372.1671749354841"/>
    <n v="261.8784"/>
    <n v="57.352814419541183"/>
    <n v="112.74591559869413"/>
    <n v="90.128087774948398"/>
  </r>
  <r>
    <x v="0"/>
    <n v="1.8826723610599079"/>
    <n v="0.71"/>
    <n v="-7.0000000000000007E-2"/>
    <n v="11.2"/>
    <n v="21085.93044387097"/>
    <n v="2327.808"/>
    <n v="509.80279484036606"/>
    <n v="1002.1859164328366"/>
    <n v="801.13855799954126"/>
  </r>
  <r>
    <x v="0"/>
    <n v="1.8826723610599079"/>
    <n v="0.71"/>
    <n v="-7.0000000000000007E-2"/>
    <n v="0"/>
    <n v="0"/>
    <n v="0"/>
    <n v="0"/>
    <n v="0"/>
    <n v="0"/>
  </r>
  <r>
    <x v="0"/>
    <n v="1.8826723610599079"/>
    <n v="0.71"/>
    <n v="-7.0000000000000007E-2"/>
    <n v="0"/>
    <n v="0"/>
    <n v="0"/>
    <n v="0"/>
    <n v="0"/>
    <n v="0"/>
  </r>
  <r>
    <x v="0"/>
    <n v="1.8826723610599079"/>
    <n v="0.71"/>
    <n v="-7.0000000000000007E-2"/>
    <n v="20.02"/>
    <n v="37691.100668419349"/>
    <n v="4160.9567999999999"/>
    <n v="911.27249577715429"/>
    <n v="1791.4073256236954"/>
    <n v="1432.03517242418"/>
  </r>
  <r>
    <x v="0"/>
    <n v="1.8826723610599079"/>
    <n v="0.71"/>
    <n v="-7.0000000000000007E-2"/>
    <n v="0"/>
    <n v="0"/>
    <n v="0"/>
    <n v="0"/>
    <n v="0"/>
    <n v="0"/>
  </r>
  <r>
    <x v="1"/>
    <n v="1.4168704986990337"/>
    <n v="0.71"/>
    <n v="-7.0000000000000007E-2"/>
    <n v="20.94"/>
    <n v="29669.268242757767"/>
    <n v="4352.1696000000002"/>
    <n v="953.14915392475586"/>
    <n v="1873.7297401878216"/>
    <n v="1497.842982545571"/>
  </r>
  <r>
    <x v="2"/>
    <n v="1.3685038142857144"/>
    <n v="0.71"/>
    <n v="-7.0000000000000007E-2"/>
    <n v="15.82"/>
    <n v="21649.730342000003"/>
    <n v="3288.0288"/>
    <n v="720.09644771201704"/>
    <n v="1415.5876069613819"/>
    <n v="1131.6082131743522"/>
  </r>
  <r>
    <x v="3"/>
    <n v="1.9845861732240995"/>
    <n v="0.67"/>
    <n v="-7.0000000000000007E-2"/>
    <n v="0"/>
    <n v="0"/>
    <n v="0"/>
    <n v="0"/>
    <n v="0"/>
    <n v="0"/>
  </r>
  <r>
    <x v="3"/>
    <n v="1.9845861732240995"/>
    <n v="0.67"/>
    <n v="-7.0000000000000007E-2"/>
    <n v="1.36"/>
    <n v="2699.0371955847754"/>
    <n v="282.66240000000005"/>
    <n v="61.904625087758745"/>
    <n v="121.69400413827303"/>
    <n v="97.281110614230016"/>
  </r>
  <r>
    <x v="3"/>
    <n v="1.9845861732240995"/>
    <n v="0.67"/>
    <n v="-7.0000000000000007E-2"/>
    <n v="0"/>
    <n v="0"/>
    <n v="0"/>
    <n v="0"/>
    <n v="0"/>
    <n v="0"/>
  </r>
  <r>
    <x v="3"/>
    <n v="1.9845861732240995"/>
    <n v="0.67"/>
    <n v="-7.0000000000000007E-2"/>
    <n v="16.84"/>
    <n v="33420.431157093837"/>
    <n v="3500.0255999999999"/>
    <n v="766.52491652783613"/>
    <n v="1506.8581100650865"/>
    <n v="1204.5690461350246"/>
  </r>
  <r>
    <x v="3"/>
    <n v="1.9845861732240995"/>
    <n v="0.67"/>
    <n v="-7.0000000000000007E-2"/>
    <n v="1.08"/>
    <n v="2143.3530670820278"/>
    <n v="224.46720000000002"/>
    <n v="49.159555216749588"/>
    <n v="96.639356227452112"/>
    <n v="77.252646664241482"/>
  </r>
  <r>
    <x v="3"/>
    <n v="1.9845861732240995"/>
    <n v="0.67"/>
    <n v="-7.0000000000000007E-2"/>
    <n v="3.2"/>
    <n v="6350.6757543171188"/>
    <n v="665.08800000000008"/>
    <n v="145.65794138296175"/>
    <n v="286.33883326652477"/>
    <n v="228.89673085701179"/>
  </r>
  <r>
    <x v="3"/>
    <n v="1.9845861732240995"/>
    <n v="0.67"/>
    <n v="-7.0000000000000007E-2"/>
    <n v="0"/>
    <n v="0"/>
    <n v="0"/>
    <n v="0"/>
    <n v="0"/>
    <n v="0"/>
  </r>
  <r>
    <x v="3"/>
    <n v="1.9845861732240995"/>
    <n v="0.67"/>
    <n v="-7.0000000000000007E-2"/>
    <n v="0"/>
    <n v="0"/>
    <n v="0"/>
    <n v="0"/>
    <n v="0"/>
    <n v="0"/>
  </r>
  <r>
    <x v="3"/>
    <n v="1.9845861732240995"/>
    <n v="0.67"/>
    <n v="-7.0000000000000007E-2"/>
    <n v="3.12"/>
    <n v="6191.9088604591907"/>
    <n v="648.46080000000006"/>
    <n v="142.01649284838768"/>
    <n v="279.18036243486165"/>
    <n v="223.17431258558651"/>
  </r>
  <r>
    <x v="3"/>
    <n v="1.9845861732240995"/>
    <n v="0.67"/>
    <n v="-7.0000000000000007E-2"/>
    <n v="0"/>
    <n v="0"/>
    <n v="0"/>
    <n v="0"/>
    <n v="0"/>
    <n v="0"/>
  </r>
  <r>
    <x v="3"/>
    <n v="1.9845861732240995"/>
    <n v="0.67"/>
    <n v="-7.0000000000000007E-2"/>
    <n v="29.72"/>
    <n v="58981.901068220235"/>
    <n v="6177.0047999999997"/>
    <n v="1352.7981305942571"/>
    <n v="2659.3719139628488"/>
    <n v="2125.8783878344971"/>
  </r>
  <r>
    <x v="3"/>
    <n v="1.9845861732240995"/>
    <n v="0.67"/>
    <n v="-7.0000000000000007E-2"/>
    <n v="0"/>
    <n v="0"/>
    <n v="0"/>
    <n v="0"/>
    <n v="0"/>
    <n v="0"/>
  </r>
  <r>
    <x v="3"/>
    <n v="1.9845861732240995"/>
    <n v="0.67"/>
    <n v="-7.0000000000000007E-2"/>
    <n v="3.2"/>
    <n v="6350.6757543171188"/>
    <n v="665.08800000000008"/>
    <n v="145.65794138296175"/>
    <n v="286.33883326652477"/>
    <n v="228.89673085701179"/>
  </r>
  <r>
    <x v="4"/>
    <n v="1.622010395638348"/>
    <n v="0.65"/>
    <n v="-7.0000000000000007E-2"/>
    <n v="114.06"/>
    <n v="185006.50572650996"/>
    <n v="23706.2304"/>
    <n v="5191.7952481689426"/>
    <n v="10206.189788243692"/>
    <n v="8158.7378504846138"/>
  </r>
  <r>
    <x v="4"/>
    <n v="1.622010395638348"/>
    <n v="0.65"/>
    <n v="-7.0000000000000007E-2"/>
    <n v="40.1"/>
    <n v="65042.616865097756"/>
    <n v="8334.384"/>
    <n v="1825.2760779552393"/>
    <n v="3588.1835043711385"/>
    <n v="2868.362158551929"/>
  </r>
  <r>
    <x v="4"/>
    <n v="1.622010395638348"/>
    <n v="0.65"/>
    <n v="-7.0000000000000007E-2"/>
    <n v="1.04"/>
    <n v="1686.8908114638821"/>
    <n v="216.15360000000001"/>
    <n v="47.338830949462569"/>
    <n v="93.06012081162055"/>
    <n v="74.39143752852884"/>
  </r>
  <r>
    <x v="4"/>
    <n v="1.622010395638348"/>
    <n v="0.65"/>
    <n v="-7.0000000000000007E-2"/>
    <n v="44.9"/>
    <n v="72828.266764161832"/>
    <n v="9332.0159999999996"/>
    <n v="2043.7629900296818"/>
    <n v="4017.6917542709252"/>
    <n v="3211.7072548374467"/>
  </r>
  <r>
    <x v="4"/>
    <n v="1.622010395638348"/>
    <n v="0.65"/>
    <n v="-7.0000000000000007E-2"/>
    <n v="129.13999999999999"/>
    <n v="209466.42249273625"/>
    <n v="26840.457599999998"/>
    <n v="5878.2082969361491"/>
    <n v="11555.561540012188"/>
    <n v="9237.4136946482813"/>
  </r>
  <r>
    <x v="4"/>
    <n v="1.622010395638348"/>
    <n v="0.65"/>
    <n v="-7.0000000000000007E-2"/>
    <n v="0"/>
    <n v="0"/>
    <n v="0"/>
    <n v="0"/>
    <n v="0"/>
    <n v="0"/>
  </r>
  <r>
    <x v="5"/>
    <n v="1.6826592070424338"/>
    <n v="0.68"/>
    <n v="-7.0000000000000007E-2"/>
    <n v="73.02"/>
    <n v="122867.77529823851"/>
    <n v="15176.476799999999"/>
    <n v="3323.732149932458"/>
    <n v="6533.8942516005118"/>
    <n v="5223.1372772434379"/>
  </r>
  <r>
    <x v="5"/>
    <n v="1.6826592070424338"/>
    <n v="0.68"/>
    <n v="-7.0000000000000007E-2"/>
    <n v="34.119999999999997"/>
    <n v="57412.332144287837"/>
    <n v="7091.5007999999998"/>
    <n v="1553.0777999958293"/>
    <n v="3053.0878097043201"/>
    <n v="2440.611392762888"/>
  </r>
  <r>
    <x v="6"/>
    <n v="1.7406977734802118"/>
    <n v="0.68"/>
    <n v="-7.0000000000000007E-2"/>
    <n v="0"/>
    <n v="0"/>
    <n v="0"/>
    <n v="0"/>
    <n v="0"/>
    <n v="0"/>
  </r>
  <r>
    <x v="6"/>
    <n v="1.7406977734802118"/>
    <n v="0.68"/>
    <n v="-7.0000000000000007E-2"/>
    <n v="2.08"/>
    <n v="3620.6513688388409"/>
    <n v="432.30720000000002"/>
    <n v="94.677661898925138"/>
    <n v="186.1202416232411"/>
    <n v="148.78287505705768"/>
  </r>
  <r>
    <x v="6"/>
    <n v="1.7406977734802118"/>
    <n v="0.68"/>
    <n v="-7.0000000000000007E-2"/>
    <n v="20.96"/>
    <n v="36485.02533214524"/>
    <n v="4356.3263999999999"/>
    <n v="954.05951605839937"/>
    <n v="1875.5193578957374"/>
    <n v="1499.2735871134273"/>
  </r>
  <r>
    <x v="6"/>
    <n v="1.7406977734802118"/>
    <n v="0.68"/>
    <n v="-7.0000000000000007E-2"/>
    <n v="50.92"/>
    <n v="88636.330625612391"/>
    <n v="10583.212800000001"/>
    <n v="2317.7819922563785"/>
    <n v="4556.3666843535757"/>
    <n v="3642.3192297622004"/>
  </r>
  <r>
    <x v="6"/>
    <n v="1.7406977734802118"/>
    <n v="0.68"/>
    <n v="-7.0000000000000007E-2"/>
    <n v="0.34"/>
    <n v="591.83724298327206"/>
    <n v="70.665600000000012"/>
    <n v="15.476156271939686"/>
    <n v="30.423501034568257"/>
    <n v="24.320277653557504"/>
  </r>
  <r>
    <x v="6"/>
    <n v="1.7406977734802118"/>
    <n v="0.68"/>
    <n v="-7.0000000000000007E-2"/>
    <n v="30.02"/>
    <n v="52255.747159875958"/>
    <n v="6239.3567999999996"/>
    <n v="1366.4535625989097"/>
    <n v="2686.2161795815855"/>
    <n v="2147.3374563523416"/>
  </r>
  <r>
    <x v="6"/>
    <n v="1.7406977734802118"/>
    <n v="0.68"/>
    <n v="-7.0000000000000007E-2"/>
    <n v="2.68"/>
    <n v="4665.0700329269675"/>
    <n v="557.01120000000003"/>
    <n v="121.98852590823046"/>
    <n v="239.8087728607145"/>
    <n v="191.70101209274739"/>
  </r>
  <r>
    <x v="6"/>
    <n v="1.7406977734802118"/>
    <n v="0.68"/>
    <n v="-7.0000000000000007E-2"/>
    <n v="30.2"/>
    <n v="52569.072759102397"/>
    <n v="6276.768"/>
    <n v="1374.6468218017014"/>
    <n v="2702.3227389528274"/>
    <n v="2160.2128974630486"/>
  </r>
  <r>
    <x v="6"/>
    <n v="1.7406977734802118"/>
    <n v="0.68"/>
    <n v="-7.0000000000000007E-2"/>
    <n v="98.66"/>
    <n v="171737.2423315577"/>
    <n v="20505.4944"/>
    <n v="4490.8164052634393"/>
    <n v="8828.1841531485406"/>
    <n v="7057.1723332352449"/>
  </r>
  <r>
    <x v="7"/>
    <n v="1.7421709268610135"/>
    <n v="0.68"/>
    <n v="-7.0000000000000007E-2"/>
    <n v="19.739999999999998"/>
    <n v="34390.454096236404"/>
    <n v="4102.7615999999998"/>
    <n v="898.52742590614514"/>
    <n v="1766.3526777128745"/>
    <n v="1412.0067084741913"/>
  </r>
  <r>
    <x v="8"/>
    <n v="3.2548777446902504"/>
    <n v="0.56000000000000005"/>
    <n v="-7.0000000000000007E-2"/>
    <n v="40.659999999999997"/>
    <n v="132343.32909910558"/>
    <n v="8450.7744000000002"/>
    <n v="1850.7662176972574"/>
    <n v="3638.2928001927799"/>
    <n v="2908.419086451906"/>
  </r>
  <r>
    <x v="8"/>
    <n v="3.2548777446902504"/>
    <n v="0.56000000000000005"/>
    <n v="-7.0000000000000007E-2"/>
    <n v="0"/>
    <n v="0"/>
    <n v="0"/>
    <n v="0"/>
    <n v="0"/>
    <n v="0"/>
  </r>
  <r>
    <x v="9"/>
    <n v="2.8244285114873775"/>
    <n v="0.68"/>
    <n v="-7.0000000000000007E-2"/>
    <n v="0"/>
    <n v="0"/>
    <n v="0"/>
    <n v="0"/>
    <n v="0"/>
    <n v="0"/>
  </r>
  <r>
    <x v="9"/>
    <n v="2.8244285114873775"/>
    <n v="0.68"/>
    <n v="-7.0000000000000007E-2"/>
    <n v="27.98"/>
    <n v="79027.50975141683"/>
    <n v="5815.3631999999998"/>
    <n v="1273.5966249672717"/>
    <n v="2503.6751733741758"/>
    <n v="2001.4157904309968"/>
  </r>
  <r>
    <x v="9"/>
    <n v="2.8244285114873775"/>
    <n v="0.68"/>
    <n v="-7.0000000000000007E-2"/>
    <n v="4.8079999999999998"/>
    <n v="13579.852283231312"/>
    <n v="999.29471999999998"/>
    <n v="218.8510569279"/>
    <n v="430.22409698295343"/>
    <n v="343.91733811266022"/>
  </r>
  <r>
    <x v="10"/>
    <n v="1.4439459506771439"/>
    <n v="0.68"/>
    <n v="-7.0000000000000007E-2"/>
    <n v="20.46"/>
    <n v="29543.134150854366"/>
    <n v="4252.4063999999998"/>
    <n v="931.30046271731169"/>
    <n v="1830.7789151978427"/>
    <n v="1463.5084729170192"/>
  </r>
  <r>
    <x v="10"/>
    <n v="1.4439459506771439"/>
    <n v="0.68"/>
    <n v="-7.0000000000000007E-2"/>
    <n v="25.234999999999999"/>
    <n v="36437.976065337731"/>
    <n v="5244.8423999999995"/>
    <n v="1148.6494221246999"/>
    <n v="2258.0501429627352"/>
    <n v="1805.0653134927163"/>
  </r>
  <r>
    <x v="10"/>
    <n v="1.4439459506771439"/>
    <n v="0.68"/>
    <n v="-7.0000000000000007E-2"/>
    <n v="13.315"/>
    <n v="19226.140333266168"/>
    <n v="2767.3896"/>
    <n v="606.07359047316731"/>
    <n v="1191.4379890449304"/>
    <n v="952.42499105034744"/>
  </r>
  <r>
    <x v="3"/>
    <n v="1.9845861732240995"/>
    <n v="0.67"/>
    <n v="-7.0000000000000007E-2"/>
    <n v="319.154"/>
    <n v="633388.61552916421"/>
    <n v="66332.967359999995"/>
    <n v="14527.285820043053"/>
    <n v="28558.182497607639"/>
    <n v="22829.158512480855"/>
  </r>
  <r>
    <x v="0"/>
    <n v="1.8826723610599079"/>
    <n v="0.71"/>
    <n v="-7.0000000000000007E-2"/>
    <n v="440.57200000000006"/>
    <n v="829452.72745688586"/>
    <n v="91568.484480000014"/>
    <n v="20054.003297179446"/>
    <n v="39422.772640593554"/>
    <n v="31514.215783479816"/>
  </r>
  <r>
    <x v="11"/>
    <m/>
    <m/>
    <m/>
    <n v="1726.3240000000001"/>
    <n v="3187978.1874493579"/>
    <n v="358799.18015999999"/>
    <n v="78579.000000000015"/>
    <n v="154473.00000000003"/>
    <n v="123484.34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97C4F-DB29-46C9-9297-F641EB5CC530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6" firstHeaderRow="0" firstDataRow="1" firstDataCol="1"/>
  <pivotFields count="10">
    <pivotField axis="axisRow" showAll="0">
      <items count="13">
        <item x="3"/>
        <item x="4"/>
        <item x="0"/>
        <item x="10"/>
        <item x="6"/>
        <item x="5"/>
        <item x="2"/>
        <item x="8"/>
        <item x="9"/>
        <item x="7"/>
        <item x="1"/>
        <item x="11"/>
        <item t="default"/>
      </items>
    </pivotField>
    <pivotField showAll="0"/>
    <pivotField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4" baseField="0" baseItem="0" numFmtId="165"/>
    <dataField name="Suma de Costo Ventas" fld="5" baseField="0" baseItem="0" numFmtId="165"/>
    <dataField name="Suma de Gasto Ventas" fld="6" baseField="0" baseItem="0" numFmtId="165"/>
    <dataField name="Suma de Gasto ADM" fld="7" baseField="0" baseItem="0" numFmtId="165"/>
    <dataField name="Suma de Gasto Fin" fld="8" baseField="0" baseItem="0" numFmtId="165"/>
    <dataField name="Suma de Depreciació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DA58-65EC-4207-9F31-3EDE10AA06E7}">
  <dimension ref="B2:CO37"/>
  <sheetViews>
    <sheetView showGridLines="0" tabSelected="1" zoomScale="70" zoomScaleNormal="70" workbookViewId="0">
      <pane xSplit="4" ySplit="6" topLeftCell="AR7" activePane="bottomRight" state="frozen"/>
      <selection pane="topRight" activeCell="E1" sqref="E1"/>
      <selection pane="bottomLeft" activeCell="A7" sqref="A7"/>
      <selection pane="bottomRight" activeCell="BS25" sqref="BS25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  <col min="24" max="25" width="11.5546875" customWidth="1" outlineLevel="1"/>
    <col min="26" max="47" width="12.6640625" customWidth="1" outlineLevel="1"/>
    <col min="48" max="62" width="12.6640625" hidden="1" customWidth="1" outlineLevel="1"/>
    <col min="63" max="64" width="11.5546875" hidden="1" customWidth="1" outlineLevel="1"/>
    <col min="65" max="65" width="12.6640625" hidden="1" customWidth="1" outlineLevel="1"/>
    <col min="67" max="67" width="13.77734375" bestFit="1" customWidth="1"/>
    <col min="68" max="68" width="14.88671875" bestFit="1" customWidth="1"/>
    <col min="69" max="74" width="12.6640625" customWidth="1" outlineLevel="1"/>
    <col min="75" max="75" width="12" bestFit="1" customWidth="1"/>
    <col min="80" max="80" width="14.77734375" customWidth="1"/>
    <col min="81" max="81" width="12.6640625" bestFit="1" customWidth="1"/>
    <col min="82" max="82" width="12.44140625" bestFit="1" customWidth="1"/>
    <col min="85" max="85" width="12.6640625" bestFit="1" customWidth="1"/>
    <col min="88" max="88" width="12.6640625" bestFit="1" customWidth="1"/>
  </cols>
  <sheetData>
    <row r="2" spans="2:93" ht="15.6" x14ac:dyDescent="0.3">
      <c r="C2" s="48" t="s">
        <v>79</v>
      </c>
    </row>
    <row r="3" spans="2:93" x14ac:dyDescent="0.3">
      <c r="C3" s="49" t="s">
        <v>117</v>
      </c>
      <c r="G3" s="47"/>
      <c r="M3" s="50"/>
      <c r="N3" s="47"/>
      <c r="O3" s="47"/>
      <c r="P3" s="47"/>
    </row>
    <row r="4" spans="2:93" ht="15" thickBot="1" x14ac:dyDescent="0.35">
      <c r="C4" s="49"/>
      <c r="G4" s="51"/>
      <c r="M4" s="51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3"/>
      <c r="BZ4" s="53"/>
    </row>
    <row r="5" spans="2:93" ht="15" thickBot="1" x14ac:dyDescent="0.35">
      <c r="F5" s="54" t="s">
        <v>80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6"/>
      <c r="X5" s="57">
        <v>46206</v>
      </c>
      <c r="Y5" s="57"/>
      <c r="Z5" s="57"/>
      <c r="AA5" s="58">
        <v>46209</v>
      </c>
      <c r="AB5" s="59"/>
      <c r="AC5" s="60"/>
      <c r="AD5" s="58">
        <v>46215</v>
      </c>
      <c r="AE5" s="59"/>
      <c r="AF5" s="60"/>
      <c r="AG5" s="58">
        <v>46216</v>
      </c>
      <c r="AH5" s="59"/>
      <c r="AI5" s="60"/>
      <c r="AJ5" s="58">
        <v>46218</v>
      </c>
      <c r="AK5" s="59"/>
      <c r="AL5" s="60"/>
      <c r="AM5" s="58">
        <v>46220</v>
      </c>
      <c r="AN5" s="59"/>
      <c r="AO5" s="60"/>
      <c r="AP5" s="58">
        <v>46227</v>
      </c>
      <c r="AQ5" s="59"/>
      <c r="AR5" s="60"/>
      <c r="AS5" s="58" t="s">
        <v>81</v>
      </c>
      <c r="AT5" s="59"/>
      <c r="AU5" s="60"/>
      <c r="AV5" s="58"/>
      <c r="AW5" s="59"/>
      <c r="AX5" s="60"/>
      <c r="AY5" s="58"/>
      <c r="AZ5" s="59"/>
      <c r="BA5" s="60"/>
      <c r="BB5" s="58"/>
      <c r="BC5" s="59"/>
      <c r="BD5" s="60"/>
      <c r="BE5" s="58"/>
      <c r="BF5" s="59"/>
      <c r="BG5" s="60"/>
      <c r="BH5" s="58"/>
      <c r="BI5" s="59"/>
      <c r="BJ5" s="60"/>
      <c r="BK5" s="58"/>
      <c r="BL5" s="59"/>
      <c r="BM5" s="60"/>
      <c r="BN5" s="61" t="s">
        <v>122</v>
      </c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B5" s="63" t="s">
        <v>82</v>
      </c>
      <c r="CC5" s="64"/>
      <c r="CD5" s="64"/>
      <c r="CE5" s="64"/>
      <c r="CF5" s="64"/>
      <c r="CG5" s="64"/>
      <c r="CH5" s="64"/>
      <c r="CI5" s="64"/>
      <c r="CJ5" s="65"/>
    </row>
    <row r="6" spans="2:93" s="75" customFormat="1" ht="29.4" thickBot="1" x14ac:dyDescent="0.35">
      <c r="B6" s="66" t="s">
        <v>83</v>
      </c>
      <c r="C6" s="67" t="s">
        <v>84</v>
      </c>
      <c r="D6" s="68" t="s">
        <v>85</v>
      </c>
      <c r="E6" s="69" t="s">
        <v>86</v>
      </c>
      <c r="F6" s="70" t="s">
        <v>60</v>
      </c>
      <c r="G6" s="71" t="s">
        <v>61</v>
      </c>
      <c r="H6" s="71" t="s">
        <v>62</v>
      </c>
      <c r="I6" s="71" t="s">
        <v>63</v>
      </c>
      <c r="J6" s="71" t="s">
        <v>64</v>
      </c>
      <c r="K6" s="71" t="s">
        <v>65</v>
      </c>
      <c r="L6" s="72" t="s">
        <v>66</v>
      </c>
      <c r="M6" s="73" t="s">
        <v>87</v>
      </c>
      <c r="N6" s="73" t="s">
        <v>88</v>
      </c>
      <c r="O6" s="73" t="s">
        <v>89</v>
      </c>
      <c r="P6" s="73" t="s">
        <v>90</v>
      </c>
      <c r="Q6" s="74" t="s">
        <v>91</v>
      </c>
      <c r="R6" s="74" t="s">
        <v>92</v>
      </c>
      <c r="S6" s="74" t="s">
        <v>93</v>
      </c>
      <c r="T6" s="74" t="s">
        <v>94</v>
      </c>
      <c r="U6" s="74" t="s">
        <v>95</v>
      </c>
      <c r="V6" s="74" t="s">
        <v>96</v>
      </c>
      <c r="X6" s="7" t="s">
        <v>97</v>
      </c>
      <c r="Y6" s="15" t="s">
        <v>98</v>
      </c>
      <c r="Z6" s="76" t="s">
        <v>99</v>
      </c>
      <c r="AA6" s="7" t="s">
        <v>97</v>
      </c>
      <c r="AB6" s="15" t="s">
        <v>98</v>
      </c>
      <c r="AC6" s="76" t="s">
        <v>99</v>
      </c>
      <c r="AD6" s="7" t="s">
        <v>97</v>
      </c>
      <c r="AE6" s="15" t="s">
        <v>98</v>
      </c>
      <c r="AF6" s="76" t="s">
        <v>99</v>
      </c>
      <c r="AG6" s="7" t="s">
        <v>97</v>
      </c>
      <c r="AH6" s="15" t="s">
        <v>98</v>
      </c>
      <c r="AI6" s="76" t="s">
        <v>99</v>
      </c>
      <c r="AJ6" s="7" t="s">
        <v>97</v>
      </c>
      <c r="AK6" s="15" t="s">
        <v>98</v>
      </c>
      <c r="AL6" s="76" t="s">
        <v>99</v>
      </c>
      <c r="AM6" s="7" t="s">
        <v>97</v>
      </c>
      <c r="AN6" s="15" t="s">
        <v>98</v>
      </c>
      <c r="AO6" s="76" t="s">
        <v>99</v>
      </c>
      <c r="AP6" s="7" t="s">
        <v>97</v>
      </c>
      <c r="AQ6" s="15" t="s">
        <v>98</v>
      </c>
      <c r="AR6" s="76" t="s">
        <v>99</v>
      </c>
      <c r="AS6" s="7" t="s">
        <v>97</v>
      </c>
      <c r="AT6" s="15" t="s">
        <v>98</v>
      </c>
      <c r="AU6" s="76" t="s">
        <v>99</v>
      </c>
      <c r="AV6" s="7" t="s">
        <v>97</v>
      </c>
      <c r="AW6" s="15" t="s">
        <v>98</v>
      </c>
      <c r="AX6" s="76" t="s">
        <v>99</v>
      </c>
      <c r="AY6" s="7" t="s">
        <v>97</v>
      </c>
      <c r="AZ6" s="15" t="s">
        <v>98</v>
      </c>
      <c r="BA6" s="76" t="s">
        <v>99</v>
      </c>
      <c r="BB6" s="7" t="s">
        <v>97</v>
      </c>
      <c r="BC6" s="15" t="s">
        <v>98</v>
      </c>
      <c r="BD6" s="76" t="s">
        <v>99</v>
      </c>
      <c r="BE6" s="7" t="s">
        <v>97</v>
      </c>
      <c r="BF6" s="15" t="s">
        <v>98</v>
      </c>
      <c r="BG6" s="76" t="s">
        <v>99</v>
      </c>
      <c r="BH6" s="7" t="s">
        <v>97</v>
      </c>
      <c r="BI6" s="15" t="s">
        <v>98</v>
      </c>
      <c r="BJ6" s="76" t="s">
        <v>99</v>
      </c>
      <c r="BK6" s="7" t="s">
        <v>97</v>
      </c>
      <c r="BL6" s="15" t="s">
        <v>98</v>
      </c>
      <c r="BM6" s="76" t="s">
        <v>99</v>
      </c>
      <c r="BN6" s="77" t="s">
        <v>97</v>
      </c>
      <c r="BO6" s="78" t="s">
        <v>98</v>
      </c>
      <c r="BP6" s="78" t="s">
        <v>99</v>
      </c>
      <c r="BQ6" s="78" t="s">
        <v>60</v>
      </c>
      <c r="BR6" s="78" t="s">
        <v>61</v>
      </c>
      <c r="BS6" s="78" t="s">
        <v>100</v>
      </c>
      <c r="BT6" s="79" t="s">
        <v>63</v>
      </c>
      <c r="BU6" s="78" t="s">
        <v>64</v>
      </c>
      <c r="BV6" s="78" t="s">
        <v>101</v>
      </c>
      <c r="BW6" s="79" t="s">
        <v>102</v>
      </c>
      <c r="BX6" s="78" t="s">
        <v>103</v>
      </c>
      <c r="BY6" s="78" t="s">
        <v>95</v>
      </c>
      <c r="BZ6" s="79" t="s">
        <v>104</v>
      </c>
      <c r="CB6" s="80" t="s">
        <v>99</v>
      </c>
      <c r="CC6" s="80" t="s">
        <v>60</v>
      </c>
      <c r="CD6" s="80" t="s">
        <v>61</v>
      </c>
      <c r="CE6" s="80" t="s">
        <v>100</v>
      </c>
      <c r="CF6" s="81" t="s">
        <v>63</v>
      </c>
      <c r="CG6" s="80" t="s">
        <v>64</v>
      </c>
      <c r="CH6" s="80" t="s">
        <v>101</v>
      </c>
      <c r="CI6" s="81" t="s">
        <v>102</v>
      </c>
      <c r="CJ6" s="81" t="s">
        <v>95</v>
      </c>
    </row>
    <row r="7" spans="2:93" x14ac:dyDescent="0.3">
      <c r="B7" s="46">
        <v>10005721</v>
      </c>
      <c r="C7" s="82" t="s">
        <v>105</v>
      </c>
      <c r="D7" s="83">
        <f>TD!F4</f>
        <v>377.67399999999998</v>
      </c>
      <c r="E7" s="84">
        <f t="shared" ref="E7:E18" si="0">IFERROR(F7/D7,0)</f>
        <v>1984.5861732240996</v>
      </c>
      <c r="F7" s="85">
        <f>TD!G4</f>
        <v>749526.59838623856</v>
      </c>
      <c r="G7" s="47">
        <f>TD!H4</f>
        <v>78495.764159999992</v>
      </c>
      <c r="H7" s="47">
        <f>TD!I4</f>
        <v>17191.005423083967</v>
      </c>
      <c r="I7" s="47">
        <f>TD!J4</f>
        <v>33794.603910969206</v>
      </c>
      <c r="J7" s="47">
        <f>TD!K4</f>
        <v>27015.107478028458</v>
      </c>
      <c r="K7" s="86">
        <v>0</v>
      </c>
      <c r="L7" s="87">
        <v>0</v>
      </c>
      <c r="M7" s="88">
        <f t="shared" ref="M7:M17" si="1">F7+G7+H7+I7</f>
        <v>879007.97188029182</v>
      </c>
      <c r="N7" s="89">
        <f>IFERROR(M7/D7,0)</f>
        <v>2327.4251653020642</v>
      </c>
      <c r="O7" s="89">
        <f t="shared" ref="O7:O17" si="2">F7+G7+H7-J7</f>
        <v>818198.26049129409</v>
      </c>
      <c r="P7" s="89">
        <f t="shared" ref="P7:P18" si="3">IFERROR(O7/D7,0)</f>
        <v>2166.4140515134591</v>
      </c>
      <c r="Q7" s="90">
        <v>1800</v>
      </c>
      <c r="R7" s="90">
        <f>Q7*D7</f>
        <v>679813.2</v>
      </c>
      <c r="S7" s="90">
        <f>R7-M7+(Q7-$BS$19)*D7*0.03</f>
        <v>-180094.03337111493</v>
      </c>
      <c r="T7" s="91">
        <f t="shared" ref="T7:T17" si="4">IFERROR(S7/R7,0)</f>
        <v>-0.26491694096424567</v>
      </c>
      <c r="U7" s="90">
        <f>R7-(M7-J7-I7)+(Q7-$BS$19)*D7*0.03</f>
        <v>-119284.32198211721</v>
      </c>
      <c r="V7" s="91">
        <f t="shared" ref="V7:V18" si="5">IFERROR(U7/R7,0)</f>
        <v>-0.17546632219279829</v>
      </c>
      <c r="X7" s="92" cm="1">
        <f t="array" ref="X7">SUM([6]Hoja3!$I$5:$I$19*([6]Hoja3!$F$5:$F$19=X$5)*([6]Hoja3!$K$5:$K$19=$C7))</f>
        <v>0</v>
      </c>
      <c r="Y7" s="92" cm="1">
        <f t="array" ref="Y7">SUM([6]Hoja3!$J$5:$J$19*([6]Hoja3!$F$5:$F$19=X$5)*([6]Hoja3!$K$5:$K$19=$C7))</f>
        <v>0</v>
      </c>
      <c r="Z7" s="93">
        <f>IFERROR(Y7/X7,0)</f>
        <v>0</v>
      </c>
      <c r="AA7" s="92" cm="1">
        <f t="array" ref="AA7">SUM([6]Hoja3!$I$5:$I$19*([6]Hoja3!$F$5:$F$19=AA$5)*([6]Hoja3!$K$5:$K$19=$C7))</f>
        <v>0</v>
      </c>
      <c r="AB7" s="92" cm="1">
        <f t="array" ref="AB7">SUM([6]Hoja3!$J$5:$J$19*([6]Hoja3!$F$5:$F$19=AA$5)*([6]Hoja3!$K$5:$K$19=$C7))</f>
        <v>0</v>
      </c>
      <c r="AC7" s="93">
        <f>IFERROR(AB7/AA7,0)</f>
        <v>0</v>
      </c>
      <c r="AD7" s="92" cm="1">
        <f t="array" ref="AD7">SUM([6]Hoja3!$I$5:$I$19*([6]Hoja3!$F$5:$F$19=AD$5)*([6]Hoja3!$K$5:$K$19=$C7))</f>
        <v>0</v>
      </c>
      <c r="AE7" s="92" cm="1">
        <f t="array" ref="AE7">SUM([6]Hoja3!$J$5:$J$19*([6]Hoja3!$F$5:$F$19=AD$5)*([6]Hoja3!$K$5:$K$19=$C7))</f>
        <v>0</v>
      </c>
      <c r="AF7" s="93">
        <f>IFERROR(AE7/AD7,0)</f>
        <v>0</v>
      </c>
      <c r="AG7" s="92" cm="1">
        <f t="array" ref="AG7">SUM([6]Hoja3!$I$5:$I$19*([6]Hoja3!$F$5:$F$19=AG$5)*([6]Hoja3!$K$5:$K$19=$C7))</f>
        <v>0</v>
      </c>
      <c r="AH7" s="92" cm="1">
        <f t="array" ref="AH7">SUM([6]Hoja3!$J$5:$J$19*([6]Hoja3!$F$5:$F$19=AG$5)*([6]Hoja3!$K$5:$K$19=$C7))</f>
        <v>0</v>
      </c>
      <c r="AI7" s="93">
        <f>IFERROR(AH7/AG7,0)</f>
        <v>0</v>
      </c>
      <c r="AJ7" s="92" cm="1">
        <f t="array" ref="AJ7">SUM([6]Hoja3!$I$5:$I$19*([6]Hoja3!$F$5:$F$19=AJ$5)*([6]Hoja3!$K$5:$K$19=$C7))</f>
        <v>270</v>
      </c>
      <c r="AK7" s="92" cm="1">
        <f t="array" ref="AK7">SUM([6]Hoja3!$J$5:$J$19*([6]Hoja3!$F$5:$F$19=AJ$5)*([6]Hoja3!$K$5:$K$19=$C7))</f>
        <v>405000</v>
      </c>
      <c r="AL7" s="93">
        <f>IFERROR(AK7/AJ7,0)</f>
        <v>1500</v>
      </c>
      <c r="AM7" s="92" cm="1">
        <f t="array" ref="AM7">SUM([6]Hoja3!$I$5:$I$19*([6]Hoja3!$F$5:$F$19=AM$5)*([6]Hoja3!$K$5:$K$19=$C7))</f>
        <v>0</v>
      </c>
      <c r="AN7" s="92" cm="1">
        <f t="array" ref="AN7">SUM([6]Hoja3!$J$5:$J$19*([6]Hoja3!$F$5:$F$19=AM$5)*([6]Hoja3!$K$5:$K$19=$C7))</f>
        <v>0</v>
      </c>
      <c r="AO7" s="93">
        <f>IFERROR(AN7/AM7,0)</f>
        <v>0</v>
      </c>
      <c r="AP7" s="92" cm="1">
        <f t="array" ref="AP7">SUM([6]Hoja3!$I$5:$I$19*([6]Hoja3!$F$5:$F$19=AP$5)*([6]Hoja3!$K$5:$K$19=$C7))</f>
        <v>0</v>
      </c>
      <c r="AQ7" s="92" cm="1">
        <f t="array" ref="AQ7">SUM([6]Hoja3!$J$5:$J$19*([6]Hoja3!$F$5:$F$19=AP$5)*([6]Hoja3!$K$5:$K$19=$C7))</f>
        <v>0</v>
      </c>
      <c r="AR7" s="93">
        <f>IFERROR(AQ7/AP7,0)</f>
        <v>0</v>
      </c>
      <c r="AS7" s="92" cm="1">
        <f t="array" ref="AS7">SUM([6]Hoja3!$I$5:$I$19*([6]Hoja3!$F$5:$F$19=AS$5)*([6]Hoja3!$K$5:$K$19=$C7))</f>
        <v>294</v>
      </c>
      <c r="AT7" s="92" cm="1">
        <f t="array" ref="AT7">SUM([6]Hoja3!$J$5:$J$19*([6]Hoja3!$F$5:$F$19=AS$5)*([6]Hoja3!$K$5:$K$19=$C7))</f>
        <v>460200</v>
      </c>
      <c r="AU7" s="93">
        <f>IFERROR(AT7/AS7,0)</f>
        <v>1565.3061224489795</v>
      </c>
      <c r="AV7" s="92" cm="1">
        <f t="array" ref="AV7">SUM([2]Hoja2!$I$6:$I$26*([2]Hoja2!$F$6:$F$26=AV$5)*([2]Hoja2!$K$6:$K$26=$C7))</f>
        <v>0</v>
      </c>
      <c r="AW7" s="92" cm="1">
        <f t="array" ref="AW7">SUM([2]Hoja2!$J$6:$J$26*([2]Hoja2!$F$6:$F$26=AV$5)*([2]Hoja2!$K$6:$K$26=$C7))</f>
        <v>0</v>
      </c>
      <c r="AX7" s="93">
        <f>IFERROR(AW7/AV7,0)</f>
        <v>0</v>
      </c>
      <c r="AY7" s="92" cm="1">
        <f t="array" ref="AY7">SUM([2]Hoja2!$I$6:$I$26*([2]Hoja2!$F$6:$F$26=AY$5)*([2]Hoja2!$K$6:$K$26=$C7))</f>
        <v>0</v>
      </c>
      <c r="AZ7" s="92" cm="1">
        <f t="array" ref="AZ7">SUM([2]Hoja2!$J$6:$J$26*([2]Hoja2!$F$6:$F$26=AY$5)*([2]Hoja2!$K$6:$K$26=$C7))</f>
        <v>0</v>
      </c>
      <c r="BA7" s="93">
        <f>IFERROR(AZ7/AY7,0)</f>
        <v>0</v>
      </c>
      <c r="BB7" s="92" cm="1">
        <f t="array" ref="BB7">SUM([2]Hoja2!$I$6:$I$26*([2]Hoja2!$F$6:$F$26=BB$5)*([2]Hoja2!$K$6:$K$26=$C7))</f>
        <v>0</v>
      </c>
      <c r="BC7" s="92" cm="1">
        <f t="array" ref="BC7">SUM([2]Hoja2!$J$6:$J$26*([2]Hoja2!$F$6:$F$26=BB$5)*([2]Hoja2!$K$6:$K$26=$C7))</f>
        <v>0</v>
      </c>
      <c r="BD7" s="93">
        <f>IFERROR(BC7/BB7,0)</f>
        <v>0</v>
      </c>
      <c r="BE7" s="92" cm="1">
        <f t="array" ref="BE7">SUM([2]Hoja2!$I$6:$I$26*([2]Hoja2!$F$6:$F$26=BE$5)*([2]Hoja2!$K$6:$K$26=$C7))</f>
        <v>0</v>
      </c>
      <c r="BF7" s="92" cm="1">
        <f t="array" ref="BF7">SUM([2]Hoja2!$J$6:$J$26*([2]Hoja2!$F$6:$F$26=BE$5)*([2]Hoja2!$K$6:$K$26=$C7))</f>
        <v>0</v>
      </c>
      <c r="BG7" s="93">
        <f>IFERROR(BF7/BE7,0)</f>
        <v>0</v>
      </c>
      <c r="BH7" s="92" cm="1">
        <f t="array" ref="BH7">SUM([2]Hoja2!$I$6:$I$26*([2]Hoja2!$F$6:$F$26=BH$5)*([2]Hoja2!$K$6:$K$26=$C7))</f>
        <v>0</v>
      </c>
      <c r="BI7" s="92" cm="1">
        <f t="array" ref="BI7">SUM([2]Hoja2!$J$6:$J$26*([2]Hoja2!$F$6:$F$26=BH$5)*([2]Hoja2!$K$6:$K$26=$C7))</f>
        <v>0</v>
      </c>
      <c r="BJ7" s="93">
        <f>IFERROR(BI7/BH7,0)</f>
        <v>0</v>
      </c>
      <c r="BK7" s="92" cm="1">
        <f t="array" ref="BK7">SUM([2]Hoja2!$I$6:$I$26*([2]Hoja2!$F$6:$F$26=BK$5)*([2]Hoja2!$K$6:$K$26=$C7))</f>
        <v>0</v>
      </c>
      <c r="BL7" s="92" cm="1">
        <f t="array" ref="BL7">SUM([2]Hoja2!$J$6:$J$26*([2]Hoja2!$F$6:$F$26=BK$5)*([2]Hoja2!$K$6:$K$26=$C7))</f>
        <v>0</v>
      </c>
      <c r="BM7" s="93">
        <f>IFERROR(BL7/BK7,0)</f>
        <v>0</v>
      </c>
      <c r="BN7" s="145">
        <f>X7+AA7+AD7+AG7+AJ7+AM7+AP7+AS7</f>
        <v>564</v>
      </c>
      <c r="BO7" s="146">
        <f t="shared" ref="BO7:BO17" si="6">Y7+AB7+AE7+AH7+AK7+AN7+AQ7+AT7</f>
        <v>865200</v>
      </c>
      <c r="BP7" s="147">
        <f>IFERROR(BO7/BN7,0)</f>
        <v>1534.0425531914893</v>
      </c>
      <c r="BQ7" s="146">
        <f t="shared" ref="BQ7:BQ13" si="7">-IFERROR(F7/D7*BN7,0)</f>
        <v>-1119306.6016983923</v>
      </c>
      <c r="BR7" s="147">
        <f t="shared" ref="BR7:BR17" si="8">-207.84*BN7</f>
        <v>-117221.75999999999</v>
      </c>
      <c r="BS7" s="146">
        <f t="shared" ref="BS7:BS17" si="9">$BS$18/$BN$18*$BN7</f>
        <v>-55398.195000000014</v>
      </c>
      <c r="BT7" s="147">
        <f t="shared" ref="BT7:BT17" si="10">$BT$18/$BN$18*$BN7</f>
        <v>-108903.46500000001</v>
      </c>
      <c r="BU7" s="146">
        <f t="shared" ref="BU7:BU17" si="11">$BU$18/$BN$18*$BN7</f>
        <v>-87056.466750000007</v>
      </c>
      <c r="BV7" s="147">
        <f>(BO7-BN7*$BS$19)*0.03</f>
        <v>24024.114763462108</v>
      </c>
      <c r="BW7" s="146">
        <f>BO7+SUM(BQ7:BT7,BV7)</f>
        <v>-511605.90693493024</v>
      </c>
      <c r="BX7" s="148">
        <f>IFERROR(BW7/BO7,0)</f>
        <v>-0.5913151952553517</v>
      </c>
      <c r="BY7" s="149">
        <f t="shared" ref="BY7:BY17" si="12">BO7+BQ7+BR7+BS7+BV7-BU7</f>
        <v>-315645.9751849302</v>
      </c>
      <c r="BZ7" s="150">
        <f t="shared" ref="BZ7:BZ20" si="13">IFERROR(BY7/BO7,0)</f>
        <v>-0.36482428939543482</v>
      </c>
      <c r="CB7" s="100">
        <f t="shared" ref="CB7:CB18" si="14">BP7</f>
        <v>1534.0425531914893</v>
      </c>
      <c r="CC7" s="101">
        <f t="shared" ref="CC7:CI18" si="15">IFERROR(BQ7/$BN7,0)</f>
        <v>-1984.5861732240999</v>
      </c>
      <c r="CD7" s="101">
        <f t="shared" si="15"/>
        <v>-207.84</v>
      </c>
      <c r="CE7" s="101">
        <f t="shared" si="15"/>
        <v>-98.223750000000024</v>
      </c>
      <c r="CF7" s="101">
        <f t="shared" si="15"/>
        <v>-193.09125000000003</v>
      </c>
      <c r="CG7" s="101">
        <f t="shared" si="15"/>
        <v>-154.35543750000002</v>
      </c>
      <c r="CH7" s="101">
        <f t="shared" si="15"/>
        <v>42.595948162166856</v>
      </c>
      <c r="CI7" s="101">
        <f t="shared" si="15"/>
        <v>-907.10267187044371</v>
      </c>
      <c r="CJ7" s="101">
        <f t="shared" ref="CJ7:CJ18" si="16">IFERROR(BY7/$BN7,0)</f>
        <v>-559.65598437044366</v>
      </c>
      <c r="CK7" s="47">
        <f t="shared" ref="CK7:CK18" si="17">CJ7-CI7</f>
        <v>347.44668750000005</v>
      </c>
      <c r="CL7" s="51"/>
      <c r="CN7" s="47"/>
      <c r="CO7" s="51"/>
    </row>
    <row r="8" spans="2:93" x14ac:dyDescent="0.3">
      <c r="B8" s="46">
        <v>10005779</v>
      </c>
      <c r="C8" s="102" t="s">
        <v>106</v>
      </c>
      <c r="D8" s="83">
        <f>TD!F5</f>
        <v>329.24</v>
      </c>
      <c r="E8" s="84">
        <f t="shared" si="0"/>
        <v>1622.010395638348</v>
      </c>
      <c r="F8" s="47">
        <f>TD!G5</f>
        <v>534030.70265996968</v>
      </c>
      <c r="G8" s="47">
        <f>TD!H5</f>
        <v>68429.241599999994</v>
      </c>
      <c r="H8" s="47">
        <f>TD!I5</f>
        <v>14986.381444039474</v>
      </c>
      <c r="I8" s="47">
        <f>TD!J5</f>
        <v>29460.686707709567</v>
      </c>
      <c r="J8" s="47">
        <f>TD!K5</f>
        <v>23550.612396050801</v>
      </c>
      <c r="K8" s="86">
        <v>0</v>
      </c>
      <c r="L8" s="87">
        <v>0</v>
      </c>
      <c r="M8" s="88">
        <f t="shared" si="1"/>
        <v>646907.01241171872</v>
      </c>
      <c r="N8" s="89">
        <f>IFERROR(M8/D8,0)</f>
        <v>1964.8493877163123</v>
      </c>
      <c r="O8" s="89">
        <f t="shared" si="2"/>
        <v>593895.71330795833</v>
      </c>
      <c r="P8" s="89">
        <f t="shared" si="3"/>
        <v>1803.8382739277072</v>
      </c>
      <c r="Q8" s="90">
        <v>1300</v>
      </c>
      <c r="R8" s="90">
        <f t="shared" ref="R8:R14" si="18">Q8*D8</f>
        <v>428012</v>
      </c>
      <c r="S8" s="90">
        <f>R8-M8+(Q8-$BS$19)*D8*0.03</f>
        <v>-207182.4075451899</v>
      </c>
      <c r="T8" s="91">
        <f t="shared" si="4"/>
        <v>-0.4840574739614541</v>
      </c>
      <c r="U8" s="90">
        <f>R8-(M8-J8-I8)+(Q8-$BS$19)*D8*0.03</f>
        <v>-154171.1084414295</v>
      </c>
      <c r="V8" s="91">
        <f t="shared" si="5"/>
        <v>-0.36020277104714238</v>
      </c>
      <c r="X8" s="92" cm="1">
        <f t="array" ref="X8">SUM([6]Hoja3!$I$5:$I$19*([6]Hoja3!$F$5:$F$19=X$5)*([6]Hoja3!$K$5:$K$19=$C8))</f>
        <v>0</v>
      </c>
      <c r="Y8" s="92" cm="1">
        <f t="array" ref="Y8">SUM([6]Hoja3!$J$5:$J$19*([6]Hoja3!$F$5:$F$19=X$5)*([6]Hoja3!$K$5:$K$19=$C8))</f>
        <v>0</v>
      </c>
      <c r="Z8" s="103">
        <f t="shared" ref="Z8:Z18" si="19">IFERROR(Y8/X8,0)</f>
        <v>0</v>
      </c>
      <c r="AA8" s="92" cm="1">
        <f t="array" ref="AA8">SUM([6]Hoja3!$I$5:$I$19*([6]Hoja3!$F$5:$F$19=AA$5)*([6]Hoja3!$K$5:$K$19=$C8))</f>
        <v>0</v>
      </c>
      <c r="AB8" s="92" cm="1">
        <f t="array" ref="AB8">SUM([6]Hoja3!$J$5:$J$19*([6]Hoja3!$F$5:$F$19=AA$5)*([6]Hoja3!$K$5:$K$19=$C8))</f>
        <v>0</v>
      </c>
      <c r="AC8" s="103">
        <f t="shared" ref="AC8:AC18" si="20">IFERROR(AB8/AA8,0)</f>
        <v>0</v>
      </c>
      <c r="AD8" s="92" cm="1">
        <f t="array" ref="AD8">SUM([6]Hoja3!$I$5:$I$19*([6]Hoja3!$F$5:$F$19=AD$5)*([6]Hoja3!$K$5:$K$19=$C8))</f>
        <v>0</v>
      </c>
      <c r="AE8" s="92" cm="1">
        <f t="array" ref="AE8">SUM([6]Hoja3!$J$5:$J$19*([6]Hoja3!$F$5:$F$19=AD$5)*([6]Hoja3!$K$5:$K$19=$C8))</f>
        <v>0</v>
      </c>
      <c r="AF8" s="103">
        <f t="shared" ref="AF8:AF18" si="21">IFERROR(AE8/AD8,0)</f>
        <v>0</v>
      </c>
      <c r="AG8" s="92" cm="1">
        <f t="array" ref="AG8">SUM([6]Hoja3!$I$5:$I$19*([6]Hoja3!$F$5:$F$19=AG$5)*([6]Hoja3!$K$5:$K$19=$C8))</f>
        <v>0</v>
      </c>
      <c r="AH8" s="92" cm="1">
        <f t="array" ref="AH8">SUM([6]Hoja3!$J$5:$J$19*([6]Hoja3!$F$5:$F$19=AG$5)*([6]Hoja3!$K$5:$K$19=$C8))</f>
        <v>0</v>
      </c>
      <c r="AI8" s="103">
        <f t="shared" ref="AI8:AI18" si="22">IFERROR(AH8/AG8,0)</f>
        <v>0</v>
      </c>
      <c r="AJ8" s="92" cm="1">
        <f t="array" ref="AJ8">SUM([6]Hoja3!$I$5:$I$19*([6]Hoja3!$F$5:$F$19=AJ$5)*([6]Hoja3!$K$5:$K$19=$C8))</f>
        <v>0</v>
      </c>
      <c r="AK8" s="92" cm="1">
        <f t="array" ref="AK8">SUM([6]Hoja3!$J$5:$J$19*([6]Hoja3!$F$5:$F$19=AJ$5)*([6]Hoja3!$K$5:$K$19=$C8))</f>
        <v>0</v>
      </c>
      <c r="AL8" s="103">
        <f t="shared" ref="AL8:AL18" si="23">IFERROR(AK8/AJ8,0)</f>
        <v>0</v>
      </c>
      <c r="AM8" s="92" cm="1">
        <f t="array" ref="AM8">SUM([6]Hoja3!$I$5:$I$19*([6]Hoja3!$F$5:$F$19=AM$5)*([6]Hoja3!$K$5:$K$19=$C8))</f>
        <v>0</v>
      </c>
      <c r="AN8" s="92" cm="1">
        <f t="array" ref="AN8">SUM([6]Hoja3!$J$5:$J$19*([6]Hoja3!$F$5:$F$19=AM$5)*([6]Hoja3!$K$5:$K$19=$C8))</f>
        <v>0</v>
      </c>
      <c r="AO8" s="103">
        <f t="shared" ref="AO8:AO18" si="24">IFERROR(AN8/AM8,0)</f>
        <v>0</v>
      </c>
      <c r="AP8" s="92" cm="1">
        <f t="array" ref="AP8">SUM([6]Hoja3!$I$5:$I$19*([6]Hoja3!$F$5:$F$19=AP$5)*([6]Hoja3!$K$5:$K$19=$C8))</f>
        <v>0</v>
      </c>
      <c r="AQ8" s="92" cm="1">
        <f t="array" ref="AQ8">SUM([6]Hoja3!$J$5:$J$19*([6]Hoja3!$F$5:$F$19=AP$5)*([6]Hoja3!$K$5:$K$19=$C8))</f>
        <v>0</v>
      </c>
      <c r="AR8" s="103">
        <f t="shared" ref="AR8:AR18" si="25">IFERROR(AQ8/AP8,0)</f>
        <v>0</v>
      </c>
      <c r="AS8" s="92" cm="1">
        <f t="array" ref="AS8">SUM([6]Hoja3!$I$5:$I$19*([6]Hoja3!$F$5:$F$19=AS$5)*([6]Hoja3!$K$5:$K$19=$C8))</f>
        <v>52</v>
      </c>
      <c r="AT8" s="92" cm="1">
        <f t="array" ref="AT8">SUM([6]Hoja3!$J$5:$J$19*([6]Hoja3!$F$5:$F$19=AS$5)*([6]Hoja3!$K$5:$K$19=$C8))</f>
        <v>67600</v>
      </c>
      <c r="AU8" s="103">
        <f t="shared" ref="AU8:AU18" si="26">IFERROR(AT8/AS8,0)</f>
        <v>1300</v>
      </c>
      <c r="AV8" s="92" cm="1">
        <f t="array" ref="AV8">SUM([2]Hoja2!$I$6:$I$26*([2]Hoja2!$F$6:$F$26=AV$5)*([2]Hoja2!$K$6:$K$26=$C8))</f>
        <v>0</v>
      </c>
      <c r="AW8" s="92" cm="1">
        <f t="array" ref="AW8">SUM([2]Hoja2!$J$6:$J$26*([2]Hoja2!$F$6:$F$26=AV$5)*([2]Hoja2!$K$6:$K$26=$C8))</f>
        <v>0</v>
      </c>
      <c r="AX8" s="103">
        <f t="shared" ref="AX8:AX18" si="27">IFERROR(AW8/AV8,0)</f>
        <v>0</v>
      </c>
      <c r="AY8" s="92" cm="1">
        <f t="array" ref="AY8">SUM([2]Hoja2!$I$6:$I$26*([2]Hoja2!$F$6:$F$26=AY$5)*([2]Hoja2!$K$6:$K$26=$C8))</f>
        <v>0</v>
      </c>
      <c r="AZ8" s="92" cm="1">
        <f t="array" ref="AZ8">SUM([2]Hoja2!$J$6:$J$26*([2]Hoja2!$F$6:$F$26=AY$5)*([2]Hoja2!$K$6:$K$26=$C8))</f>
        <v>0</v>
      </c>
      <c r="BA8" s="103">
        <f t="shared" ref="BA8:BA18" si="28">IFERROR(AZ8/AY8,0)</f>
        <v>0</v>
      </c>
      <c r="BB8" s="92" cm="1">
        <f t="array" ref="BB8">SUM([2]Hoja2!$I$6:$I$26*([2]Hoja2!$F$6:$F$26=BB$5)*([2]Hoja2!$K$6:$K$26=$C8))</f>
        <v>0</v>
      </c>
      <c r="BC8" s="92" cm="1">
        <f t="array" ref="BC8">SUM([2]Hoja2!$J$6:$J$26*([2]Hoja2!$F$6:$F$26=BB$5)*([2]Hoja2!$K$6:$K$26=$C8))</f>
        <v>0</v>
      </c>
      <c r="BD8" s="103">
        <f t="shared" ref="BD8:BD18" si="29">IFERROR(BC8/BB8,0)</f>
        <v>0</v>
      </c>
      <c r="BE8" s="92" cm="1">
        <f t="array" ref="BE8">SUM([2]Hoja2!$I$6:$I$26*([2]Hoja2!$F$6:$F$26=BE$5)*([2]Hoja2!$K$6:$K$26=$C8))</f>
        <v>0</v>
      </c>
      <c r="BF8" s="92" cm="1">
        <f t="array" ref="BF8">SUM([2]Hoja2!$J$6:$J$26*([2]Hoja2!$F$6:$F$26=BE$5)*([2]Hoja2!$K$6:$K$26=$C8))</f>
        <v>0</v>
      </c>
      <c r="BG8" s="103">
        <f t="shared" ref="BG8:BG18" si="30">IFERROR(BF8/BE8,0)</f>
        <v>0</v>
      </c>
      <c r="BH8" s="92" cm="1">
        <f t="array" ref="BH8">SUM([2]Hoja2!$I$6:$I$26*([2]Hoja2!$F$6:$F$26=BH$5)*([2]Hoja2!$K$6:$K$26=$C8))</f>
        <v>0</v>
      </c>
      <c r="BI8" s="92" cm="1">
        <f t="array" ref="BI8">SUM([2]Hoja2!$J$6:$J$26*([2]Hoja2!$F$6:$F$26=BH$5)*([2]Hoja2!$K$6:$K$26=$C8))</f>
        <v>0</v>
      </c>
      <c r="BJ8" s="103">
        <f t="shared" ref="BJ8:BJ18" si="31">IFERROR(BI8/BH8,0)</f>
        <v>0</v>
      </c>
      <c r="BK8" s="92" cm="1">
        <f t="array" ref="BK8">SUM([2]Hoja2!$I$6:$I$26*([2]Hoja2!$F$6:$F$26=BK$5)*([2]Hoja2!$K$6:$K$26=$C8))</f>
        <v>0</v>
      </c>
      <c r="BL8" s="92" cm="1">
        <f t="array" ref="BL8">SUM([2]Hoja2!$J$6:$J$26*([2]Hoja2!$F$6:$F$26=BK$5)*([2]Hoja2!$K$6:$K$26=$C8))</f>
        <v>0</v>
      </c>
      <c r="BM8" s="103">
        <f t="shared" ref="BM8:BM18" si="32">IFERROR(BL8/BK8,0)</f>
        <v>0</v>
      </c>
      <c r="BN8" s="94">
        <f>X8+AA8+AD8+AG8+AJ8+AM8+AP8+AS8</f>
        <v>52</v>
      </c>
      <c r="BO8" s="95">
        <f t="shared" si="6"/>
        <v>67600</v>
      </c>
      <c r="BP8" s="96">
        <f t="shared" ref="BP8:BP16" si="33">IFERROR(BO8/BN8,0)</f>
        <v>1300</v>
      </c>
      <c r="BQ8" s="95">
        <f t="shared" si="7"/>
        <v>-84344.540573194099</v>
      </c>
      <c r="BR8" s="96">
        <f t="shared" si="8"/>
        <v>-10807.68</v>
      </c>
      <c r="BS8" s="95">
        <f t="shared" si="9"/>
        <v>-5107.6350000000011</v>
      </c>
      <c r="BT8" s="96">
        <f t="shared" si="10"/>
        <v>-10040.745000000001</v>
      </c>
      <c r="BU8" s="95">
        <f t="shared" si="11"/>
        <v>-8026.482750000001</v>
      </c>
      <c r="BV8" s="96">
        <f>(BO8-BN8*$BS$19)*0.03</f>
        <v>1849.8829214539535</v>
      </c>
      <c r="BW8" s="95">
        <f t="shared" ref="BW8:BW16" si="34">BO8+SUM(BQ8:BT8,BV8)</f>
        <v>-40850.717651740124</v>
      </c>
      <c r="BX8" s="97">
        <f t="shared" ref="BX8:BX20" si="35">IFERROR(BW8/BO8,0)</f>
        <v>-0.60430055697840424</v>
      </c>
      <c r="BY8" s="98">
        <f t="shared" si="12"/>
        <v>-22783.489901740148</v>
      </c>
      <c r="BZ8" s="99">
        <f t="shared" si="13"/>
        <v>-0.33703387428609688</v>
      </c>
      <c r="CB8" s="100">
        <f t="shared" si="14"/>
        <v>1300</v>
      </c>
      <c r="CC8" s="101">
        <f t="shared" si="15"/>
        <v>-1622.010395638348</v>
      </c>
      <c r="CD8" s="101">
        <f t="shared" si="15"/>
        <v>-207.84</v>
      </c>
      <c r="CE8" s="101">
        <f t="shared" si="15"/>
        <v>-98.223750000000024</v>
      </c>
      <c r="CF8" s="101">
        <f t="shared" si="15"/>
        <v>-193.09125</v>
      </c>
      <c r="CG8" s="101">
        <f t="shared" si="15"/>
        <v>-154.35543750000002</v>
      </c>
      <c r="CH8" s="101">
        <f t="shared" si="15"/>
        <v>35.574671566422182</v>
      </c>
      <c r="CI8" s="101">
        <f t="shared" si="15"/>
        <v>-785.59072407192548</v>
      </c>
      <c r="CJ8" s="101">
        <f t="shared" si="16"/>
        <v>-438.14403657192594</v>
      </c>
      <c r="CK8" s="47">
        <f t="shared" si="17"/>
        <v>347.44668749999954</v>
      </c>
    </row>
    <row r="9" spans="2:93" x14ac:dyDescent="0.3">
      <c r="B9" s="46">
        <v>10006719</v>
      </c>
      <c r="C9" s="102" t="s">
        <v>107</v>
      </c>
      <c r="D9" s="83">
        <f>TD!F6</f>
        <v>487.45200000000006</v>
      </c>
      <c r="E9" s="84">
        <f t="shared" si="0"/>
        <v>1882.6723610599079</v>
      </c>
      <c r="F9" s="47">
        <f>TD!G6</f>
        <v>917712.40774337435</v>
      </c>
      <c r="G9" s="47">
        <f>TD!H6</f>
        <v>101312.02368000001</v>
      </c>
      <c r="H9" s="47">
        <f>TD!I6</f>
        <v>22187.892138439835</v>
      </c>
      <c r="I9" s="47">
        <f>TD!J6</f>
        <v>43617.636547948139</v>
      </c>
      <c r="J9" s="47">
        <f>TD!K6</f>
        <v>34867.552890535037</v>
      </c>
      <c r="K9" s="86">
        <v>0</v>
      </c>
      <c r="L9" s="87">
        <v>0</v>
      </c>
      <c r="M9" s="88">
        <f t="shared" si="1"/>
        <v>1084829.9601097624</v>
      </c>
      <c r="N9" s="89">
        <f t="shared" ref="N9:N14" si="36">IFERROR(M9/D9,0)</f>
        <v>2225.5113531378724</v>
      </c>
      <c r="O9" s="89">
        <f t="shared" si="2"/>
        <v>1006344.7706712792</v>
      </c>
      <c r="P9" s="89">
        <f t="shared" si="3"/>
        <v>2064.5002393492673</v>
      </c>
      <c r="Q9" s="90">
        <v>1750</v>
      </c>
      <c r="R9" s="90">
        <f t="shared" si="18"/>
        <v>853041.00000000012</v>
      </c>
      <c r="S9" s="90">
        <f>R9-M9+(Q9-$BS$19)*D9*0.03</f>
        <v>-207867.41330536664</v>
      </c>
      <c r="T9" s="91">
        <f t="shared" si="4"/>
        <v>-0.24367810375511448</v>
      </c>
      <c r="U9" s="90">
        <f>R9-(M9-J9-I9)+(Q9-$BS$19)*D9*0.03</f>
        <v>-129382.22386688355</v>
      </c>
      <c r="V9" s="91">
        <f t="shared" si="5"/>
        <v>-0.15167175301876878</v>
      </c>
      <c r="X9" s="92" cm="1">
        <f t="array" ref="X9">SUM([6]Hoja3!$I$5:$I$19*([6]Hoja3!$F$5:$F$19=X$5)*([6]Hoja3!$K$5:$K$19=$C9))</f>
        <v>0</v>
      </c>
      <c r="Y9" s="92" cm="1">
        <f t="array" ref="Y9">SUM([6]Hoja3!$J$5:$J$19*([6]Hoja3!$F$5:$F$19=X$5)*([6]Hoja3!$K$5:$K$19=$C9))</f>
        <v>0</v>
      </c>
      <c r="Z9" s="103">
        <f t="shared" si="19"/>
        <v>0</v>
      </c>
      <c r="AA9" s="92" cm="1">
        <f t="array" ref="AA9">SUM([6]Hoja3!$I$5:$I$19*([6]Hoja3!$F$5:$F$19=AA$5)*([6]Hoja3!$K$5:$K$19=$C9))</f>
        <v>0</v>
      </c>
      <c r="AB9" s="92" cm="1">
        <f t="array" ref="AB9">SUM([6]Hoja3!$J$5:$J$19*([6]Hoja3!$F$5:$F$19=AA$5)*([6]Hoja3!$K$5:$K$19=$C9))</f>
        <v>0</v>
      </c>
      <c r="AC9" s="103">
        <f t="shared" si="20"/>
        <v>0</v>
      </c>
      <c r="AD9" s="92" cm="1">
        <f t="array" ref="AD9">SUM([6]Hoja3!$I$5:$I$19*([6]Hoja3!$F$5:$F$19=AD$5)*([6]Hoja3!$K$5:$K$19=$C9))</f>
        <v>54</v>
      </c>
      <c r="AE9" s="92" cm="1">
        <f t="array" ref="AE9">SUM([6]Hoja3!$J$5:$J$19*([6]Hoja3!$F$5:$F$19=AD$5)*([6]Hoja3!$K$5:$K$19=$C9))</f>
        <v>94500</v>
      </c>
      <c r="AF9" s="103">
        <f t="shared" si="21"/>
        <v>1750</v>
      </c>
      <c r="AG9" s="92" cm="1">
        <f t="array" ref="AG9">SUM([6]Hoja3!$I$5:$I$19*([6]Hoja3!$F$5:$F$19=AG$5)*([6]Hoja3!$K$5:$K$19=$C9))</f>
        <v>0</v>
      </c>
      <c r="AH9" s="92" cm="1">
        <f t="array" ref="AH9">SUM([6]Hoja3!$J$5:$J$19*([6]Hoja3!$F$5:$F$19=AG$5)*([6]Hoja3!$K$5:$K$19=$C9))</f>
        <v>0</v>
      </c>
      <c r="AI9" s="103">
        <f t="shared" si="22"/>
        <v>0</v>
      </c>
      <c r="AJ9" s="92" cm="1">
        <f t="array" ref="AJ9">SUM([6]Hoja3!$I$5:$I$19*([6]Hoja3!$F$5:$F$19=AJ$5)*([6]Hoja3!$K$5:$K$19=$C9))</f>
        <v>0</v>
      </c>
      <c r="AK9" s="92" cm="1">
        <f t="array" ref="AK9">SUM([6]Hoja3!$J$5:$J$19*([6]Hoja3!$F$5:$F$19=AJ$5)*([6]Hoja3!$K$5:$K$19=$C9))</f>
        <v>0</v>
      </c>
      <c r="AL9" s="103">
        <f t="shared" si="23"/>
        <v>0</v>
      </c>
      <c r="AM9" s="92" cm="1">
        <f t="array" ref="AM9">SUM([6]Hoja3!$I$5:$I$19*([6]Hoja3!$F$5:$F$19=AM$5)*([6]Hoja3!$K$5:$K$19=$C9))</f>
        <v>0</v>
      </c>
      <c r="AN9" s="92" cm="1">
        <f t="array" ref="AN9">SUM([6]Hoja3!$J$5:$J$19*([6]Hoja3!$F$5:$F$19=AM$5)*([6]Hoja3!$K$5:$K$19=$C9))</f>
        <v>0</v>
      </c>
      <c r="AO9" s="103">
        <f t="shared" si="24"/>
        <v>0</v>
      </c>
      <c r="AP9" s="92" cm="1">
        <f t="array" ref="AP9">SUM([6]Hoja3!$I$5:$I$19*([6]Hoja3!$F$5:$F$19=AP$5)*([6]Hoja3!$K$5:$K$19=$C9))</f>
        <v>0</v>
      </c>
      <c r="AQ9" s="92" cm="1">
        <f t="array" ref="AQ9">SUM([6]Hoja3!$J$5:$J$19*([6]Hoja3!$F$5:$F$19=AP$5)*([6]Hoja3!$K$5:$K$19=$C9))</f>
        <v>0</v>
      </c>
      <c r="AR9" s="103">
        <f t="shared" si="25"/>
        <v>0</v>
      </c>
      <c r="AS9" s="92" cm="1">
        <f t="array" ref="AS9">SUM([6]Hoja3!$I$5:$I$19*([6]Hoja3!$F$5:$F$19=AS$5)*([6]Hoja3!$K$5:$K$19=$C9))</f>
        <v>0</v>
      </c>
      <c r="AT9" s="92" cm="1">
        <f t="array" ref="AT9">SUM([6]Hoja3!$J$5:$J$19*([6]Hoja3!$F$5:$F$19=AS$5)*([6]Hoja3!$K$5:$K$19=$C9))</f>
        <v>0</v>
      </c>
      <c r="AU9" s="103">
        <f t="shared" si="26"/>
        <v>0</v>
      </c>
      <c r="AV9" s="92" cm="1">
        <f t="array" ref="AV9">SUM([2]Hoja2!$I$6:$I$26*([2]Hoja2!$F$6:$F$26=AV$5)*([2]Hoja2!$K$6:$K$26=$C9))</f>
        <v>0</v>
      </c>
      <c r="AW9" s="92" cm="1">
        <f t="array" ref="AW9">SUM([2]Hoja2!$J$6:$J$26*([2]Hoja2!$F$6:$F$26=AV$5)*([2]Hoja2!$K$6:$K$26=$C9))</f>
        <v>0</v>
      </c>
      <c r="AX9" s="103">
        <f t="shared" si="27"/>
        <v>0</v>
      </c>
      <c r="AY9" s="92" cm="1">
        <f t="array" ref="AY9">SUM([2]Hoja2!$I$6:$I$26*([2]Hoja2!$F$6:$F$26=AY$5)*([2]Hoja2!$K$6:$K$26=$C9))</f>
        <v>0</v>
      </c>
      <c r="AZ9" s="92" cm="1">
        <f t="array" ref="AZ9">SUM([2]Hoja2!$J$6:$J$26*([2]Hoja2!$F$6:$F$26=AY$5)*([2]Hoja2!$K$6:$K$26=$C9))</f>
        <v>0</v>
      </c>
      <c r="BA9" s="103">
        <f t="shared" si="28"/>
        <v>0</v>
      </c>
      <c r="BB9" s="92" cm="1">
        <f t="array" ref="BB9">SUM([2]Hoja2!$I$6:$I$26*([2]Hoja2!$F$6:$F$26=BB$5)*([2]Hoja2!$K$6:$K$26=$C9))</f>
        <v>0</v>
      </c>
      <c r="BC9" s="92" cm="1">
        <f t="array" ref="BC9">SUM([2]Hoja2!$J$6:$J$26*([2]Hoja2!$F$6:$F$26=BB$5)*([2]Hoja2!$K$6:$K$26=$C9))</f>
        <v>0</v>
      </c>
      <c r="BD9" s="103">
        <f t="shared" si="29"/>
        <v>0</v>
      </c>
      <c r="BE9" s="92" cm="1">
        <f t="array" ref="BE9">SUM([2]Hoja2!$I$6:$I$26*([2]Hoja2!$F$6:$F$26=BE$5)*([2]Hoja2!$K$6:$K$26=$C9))</f>
        <v>0</v>
      </c>
      <c r="BF9" s="92" cm="1">
        <f t="array" ref="BF9">SUM([2]Hoja2!$J$6:$J$26*([2]Hoja2!$F$6:$F$26=BE$5)*([2]Hoja2!$K$6:$K$26=$C9))</f>
        <v>0</v>
      </c>
      <c r="BG9" s="103">
        <f t="shared" si="30"/>
        <v>0</v>
      </c>
      <c r="BH9" s="92" cm="1">
        <f t="array" ref="BH9">SUM([2]Hoja2!$I$6:$I$26*([2]Hoja2!$F$6:$F$26=BH$5)*([2]Hoja2!$K$6:$K$26=$C9))</f>
        <v>0</v>
      </c>
      <c r="BI9" s="92" cm="1">
        <f t="array" ref="BI9">SUM([2]Hoja2!$J$6:$J$26*([2]Hoja2!$F$6:$F$26=BH$5)*([2]Hoja2!$K$6:$K$26=$C9))</f>
        <v>0</v>
      </c>
      <c r="BJ9" s="103">
        <f t="shared" si="31"/>
        <v>0</v>
      </c>
      <c r="BK9" s="92" cm="1">
        <f t="array" ref="BK9">SUM([2]Hoja2!$I$6:$I$26*([2]Hoja2!$F$6:$F$26=BK$5)*([2]Hoja2!$K$6:$K$26=$C9))</f>
        <v>0</v>
      </c>
      <c r="BL9" s="92" cm="1">
        <f t="array" ref="BL9">SUM([2]Hoja2!$J$6:$J$26*([2]Hoja2!$F$6:$F$26=BK$5)*([2]Hoja2!$K$6:$K$26=$C9))</f>
        <v>0</v>
      </c>
      <c r="BM9" s="103">
        <f t="shared" si="32"/>
        <v>0</v>
      </c>
      <c r="BN9" s="94">
        <f>X9+AA9+AD9+AG9+AJ9+AM9+AP9+AS9</f>
        <v>54</v>
      </c>
      <c r="BO9" s="95">
        <f t="shared" si="6"/>
        <v>94500</v>
      </c>
      <c r="BP9" s="96">
        <f t="shared" si="33"/>
        <v>1750</v>
      </c>
      <c r="BQ9" s="95">
        <f t="shared" si="7"/>
        <v>-101664.30749723503</v>
      </c>
      <c r="BR9" s="96">
        <f t="shared" si="8"/>
        <v>-11223.36</v>
      </c>
      <c r="BS9" s="95">
        <f t="shared" si="9"/>
        <v>-5304.0825000000013</v>
      </c>
      <c r="BT9" s="96">
        <f t="shared" si="10"/>
        <v>-10426.927500000002</v>
      </c>
      <c r="BU9" s="95">
        <f t="shared" si="11"/>
        <v>-8335.1936250000017</v>
      </c>
      <c r="BV9" s="96">
        <f>(BO9-BN9*$BS$19)*0.03</f>
        <v>2650.0322645867977</v>
      </c>
      <c r="BW9" s="95">
        <f t="shared" si="34"/>
        <v>-31468.645232648239</v>
      </c>
      <c r="BX9" s="97">
        <f t="shared" si="35"/>
        <v>-0.33300153685342054</v>
      </c>
      <c r="BY9" s="98">
        <f t="shared" si="12"/>
        <v>-12706.524107648233</v>
      </c>
      <c r="BZ9" s="99">
        <f t="shared" si="13"/>
        <v>-0.13446057256770616</v>
      </c>
      <c r="CB9" s="100">
        <f t="shared" si="14"/>
        <v>1750</v>
      </c>
      <c r="CC9" s="101">
        <f t="shared" si="15"/>
        <v>-1882.6723610599079</v>
      </c>
      <c r="CD9" s="101">
        <f t="shared" si="15"/>
        <v>-207.84</v>
      </c>
      <c r="CE9" s="101">
        <f t="shared" si="15"/>
        <v>-98.223750000000024</v>
      </c>
      <c r="CF9" s="101">
        <f t="shared" si="15"/>
        <v>-193.09125000000003</v>
      </c>
      <c r="CG9" s="101">
        <f t="shared" si="15"/>
        <v>-154.35543750000002</v>
      </c>
      <c r="CH9" s="101">
        <f t="shared" si="15"/>
        <v>49.074671566422182</v>
      </c>
      <c r="CI9" s="101">
        <f t="shared" si="15"/>
        <v>-582.75268949348595</v>
      </c>
      <c r="CJ9" s="101">
        <f t="shared" si="16"/>
        <v>-235.30600199348578</v>
      </c>
      <c r="CK9" s="47">
        <f t="shared" si="17"/>
        <v>347.44668750000017</v>
      </c>
    </row>
    <row r="10" spans="2:93" x14ac:dyDescent="0.3">
      <c r="B10" s="46">
        <v>10007050</v>
      </c>
      <c r="C10" s="102" t="s">
        <v>108</v>
      </c>
      <c r="D10" s="83">
        <f>TD!F7</f>
        <v>59.01</v>
      </c>
      <c r="E10" s="84">
        <f t="shared" si="0"/>
        <v>1443.9459506771441</v>
      </c>
      <c r="F10" s="47">
        <f>TD!G7</f>
        <v>85207.250549458273</v>
      </c>
      <c r="G10" s="47">
        <f>TD!H7</f>
        <v>12264.6384</v>
      </c>
      <c r="H10" s="47">
        <f>TD!I7</f>
        <v>2686.023475315179</v>
      </c>
      <c r="I10" s="47">
        <f>TD!J7</f>
        <v>5280.2670472055088</v>
      </c>
      <c r="J10" s="47">
        <f>TD!K7</f>
        <v>4220.9987774600831</v>
      </c>
      <c r="K10" s="86">
        <v>0</v>
      </c>
      <c r="L10" s="87">
        <v>0</v>
      </c>
      <c r="M10" s="88">
        <f t="shared" si="1"/>
        <v>105438.17947197895</v>
      </c>
      <c r="N10" s="89">
        <f t="shared" si="36"/>
        <v>1786.7849427551084</v>
      </c>
      <c r="O10" s="89">
        <f t="shared" si="2"/>
        <v>95936.913647313355</v>
      </c>
      <c r="P10" s="89">
        <f t="shared" si="3"/>
        <v>1625.7738289665033</v>
      </c>
      <c r="Q10" s="90">
        <v>1700</v>
      </c>
      <c r="R10" s="90">
        <f t="shared" si="18"/>
        <v>100317</v>
      </c>
      <c r="S10" s="90">
        <f>R10-M10+(Q10-$BS$19)*D10*0.03</f>
        <v>-2313.7981028443742</v>
      </c>
      <c r="T10" s="91">
        <f t="shared" si="4"/>
        <v>-2.3064865405109544E-2</v>
      </c>
      <c r="U10" s="90">
        <f>R10-(M10-J10-I10)+(Q10-$BS$19)*D10*0.03</f>
        <v>7187.4677218212182</v>
      </c>
      <c r="V10" s="91">
        <f t="shared" si="5"/>
        <v>7.1647554470540567E-2</v>
      </c>
      <c r="X10" s="92" cm="1">
        <f t="array" ref="X10">SUM([6]Hoja3!$I$5:$I$19*([6]Hoja3!$F$5:$F$19=X$5)*([6]Hoja3!$K$5:$K$19=$C10))</f>
        <v>27</v>
      </c>
      <c r="Y10" s="92" cm="1">
        <f t="array" ref="Y10">SUM([6]Hoja3!$J$5:$J$19*([6]Hoja3!$F$5:$F$19=X$5)*([6]Hoja3!$K$5:$K$19=$C10))</f>
        <v>68850</v>
      </c>
      <c r="Z10" s="103">
        <f t="shared" si="19"/>
        <v>2550</v>
      </c>
      <c r="AA10" s="92" cm="1">
        <f t="array" ref="AA10">SUM([6]Hoja3!$I$5:$I$19*([6]Hoja3!$F$5:$F$19=AA$5)*([6]Hoja3!$K$5:$K$19=$C10))</f>
        <v>0</v>
      </c>
      <c r="AB10" s="92" cm="1">
        <f t="array" ref="AB10">SUM([6]Hoja3!$J$5:$J$19*([6]Hoja3!$F$5:$F$19=AA$5)*([6]Hoja3!$K$5:$K$19=$C10))</f>
        <v>0</v>
      </c>
      <c r="AC10" s="103">
        <f t="shared" si="20"/>
        <v>0</v>
      </c>
      <c r="AD10" s="92" cm="1">
        <f t="array" ref="AD10">SUM([6]Hoja3!$I$5:$I$19*([6]Hoja3!$F$5:$F$19=AD$5)*([6]Hoja3!$K$5:$K$19=$C10))</f>
        <v>0</v>
      </c>
      <c r="AE10" s="92" cm="1">
        <f t="array" ref="AE10">SUM([6]Hoja3!$J$5:$J$19*([6]Hoja3!$F$5:$F$19=AD$5)*([6]Hoja3!$K$5:$K$19=$C10))</f>
        <v>0</v>
      </c>
      <c r="AF10" s="103">
        <f t="shared" si="21"/>
        <v>0</v>
      </c>
      <c r="AG10" s="92" cm="1">
        <f t="array" ref="AG10">SUM([6]Hoja3!$I$5:$I$19*([6]Hoja3!$F$5:$F$19=AG$5)*([6]Hoja3!$K$5:$K$19=$C10))</f>
        <v>0</v>
      </c>
      <c r="AH10" s="92" cm="1">
        <f t="array" ref="AH10">SUM([6]Hoja3!$J$5:$J$19*([6]Hoja3!$F$5:$F$19=AG$5)*([6]Hoja3!$K$5:$K$19=$C10))</f>
        <v>0</v>
      </c>
      <c r="AI10" s="103">
        <f t="shared" si="22"/>
        <v>0</v>
      </c>
      <c r="AJ10" s="92" cm="1">
        <f t="array" ref="AJ10">SUM([6]Hoja3!$I$5:$I$19*([6]Hoja3!$F$5:$F$19=AJ$5)*([6]Hoja3!$K$5:$K$19=$C10))</f>
        <v>0</v>
      </c>
      <c r="AK10" s="92" cm="1">
        <f t="array" ref="AK10">SUM([6]Hoja3!$J$5:$J$19*([6]Hoja3!$F$5:$F$19=AJ$5)*([6]Hoja3!$K$5:$K$19=$C10))</f>
        <v>0</v>
      </c>
      <c r="AL10" s="103">
        <f t="shared" si="23"/>
        <v>0</v>
      </c>
      <c r="AM10" s="92" cm="1">
        <f t="array" ref="AM10">SUM([6]Hoja3!$I$5:$I$19*([6]Hoja3!$F$5:$F$19=AM$5)*([6]Hoja3!$K$5:$K$19=$C10))</f>
        <v>0</v>
      </c>
      <c r="AN10" s="92" cm="1">
        <f t="array" ref="AN10">SUM([6]Hoja3!$J$5:$J$19*([6]Hoja3!$F$5:$F$19=AM$5)*([6]Hoja3!$K$5:$K$19=$C10))</f>
        <v>0</v>
      </c>
      <c r="AO10" s="103">
        <f t="shared" si="24"/>
        <v>0</v>
      </c>
      <c r="AP10" s="92" cm="1">
        <f t="array" ref="AP10">SUM([6]Hoja3!$I$5:$I$19*([6]Hoja3!$F$5:$F$19=AP$5)*([6]Hoja3!$K$5:$K$19=$C10))</f>
        <v>0</v>
      </c>
      <c r="AQ10" s="92" cm="1">
        <f t="array" ref="AQ10">SUM([6]Hoja3!$J$5:$J$19*([6]Hoja3!$F$5:$F$19=AP$5)*([6]Hoja3!$K$5:$K$19=$C10))</f>
        <v>0</v>
      </c>
      <c r="AR10" s="103">
        <f t="shared" si="25"/>
        <v>0</v>
      </c>
      <c r="AS10" s="92" cm="1">
        <f t="array" ref="AS10">SUM([6]Hoja3!$I$5:$I$19*([6]Hoja3!$F$5:$F$19=AS$5)*([6]Hoja3!$K$5:$K$19=$C10))</f>
        <v>0</v>
      </c>
      <c r="AT10" s="92" cm="1">
        <f t="array" ref="AT10">SUM([6]Hoja3!$J$5:$J$19*([6]Hoja3!$F$5:$F$19=AS$5)*([6]Hoja3!$K$5:$K$19=$C10))</f>
        <v>0</v>
      </c>
      <c r="AU10" s="103">
        <f t="shared" si="26"/>
        <v>0</v>
      </c>
      <c r="AV10" s="92" cm="1">
        <f t="array" ref="AV10">SUM([2]Hoja2!$I$6:$I$26*([2]Hoja2!$F$6:$F$26=AV$5)*([2]Hoja2!$K$6:$K$26=$C10))</f>
        <v>0</v>
      </c>
      <c r="AW10" s="92" cm="1">
        <f t="array" ref="AW10">SUM([2]Hoja2!$J$6:$J$26*([2]Hoja2!$F$6:$F$26=AV$5)*([2]Hoja2!$K$6:$K$26=$C10))</f>
        <v>0</v>
      </c>
      <c r="AX10" s="103">
        <f t="shared" si="27"/>
        <v>0</v>
      </c>
      <c r="AY10" s="92" cm="1">
        <f t="array" ref="AY10">SUM([2]Hoja2!$I$6:$I$26*([2]Hoja2!$F$6:$F$26=AY$5)*([2]Hoja2!$K$6:$K$26=$C10))</f>
        <v>0</v>
      </c>
      <c r="AZ10" s="92" cm="1">
        <f t="array" ref="AZ10">SUM([2]Hoja2!$J$6:$J$26*([2]Hoja2!$F$6:$F$26=AY$5)*([2]Hoja2!$K$6:$K$26=$C10))</f>
        <v>0</v>
      </c>
      <c r="BA10" s="103">
        <f t="shared" si="28"/>
        <v>0</v>
      </c>
      <c r="BB10" s="92" cm="1">
        <f t="array" ref="BB10">SUM([2]Hoja2!$I$6:$I$26*([2]Hoja2!$F$6:$F$26=BB$5)*([2]Hoja2!$K$6:$K$26=$C10))</f>
        <v>0</v>
      </c>
      <c r="BC10" s="92" cm="1">
        <f t="array" ref="BC10">SUM([2]Hoja2!$J$6:$J$26*([2]Hoja2!$F$6:$F$26=BB$5)*([2]Hoja2!$K$6:$K$26=$C10))</f>
        <v>0</v>
      </c>
      <c r="BD10" s="103">
        <f t="shared" si="29"/>
        <v>0</v>
      </c>
      <c r="BE10" s="92" cm="1">
        <f t="array" ref="BE10">SUM([2]Hoja2!$I$6:$I$26*([2]Hoja2!$F$6:$F$26=BE$5)*([2]Hoja2!$K$6:$K$26=$C10))</f>
        <v>0</v>
      </c>
      <c r="BF10" s="92" cm="1">
        <f t="array" ref="BF10">SUM([2]Hoja2!$J$6:$J$26*([2]Hoja2!$F$6:$F$26=BE$5)*([2]Hoja2!$K$6:$K$26=$C10))</f>
        <v>0</v>
      </c>
      <c r="BG10" s="103">
        <f t="shared" si="30"/>
        <v>0</v>
      </c>
      <c r="BH10" s="92" cm="1">
        <f t="array" ref="BH10">SUM([2]Hoja2!$I$6:$I$26*([2]Hoja2!$F$6:$F$26=BH$5)*([2]Hoja2!$K$6:$K$26=$C10))</f>
        <v>0</v>
      </c>
      <c r="BI10" s="92" cm="1">
        <f t="array" ref="BI10">SUM([2]Hoja2!$J$6:$J$26*([2]Hoja2!$F$6:$F$26=BH$5)*([2]Hoja2!$K$6:$K$26=$C10))</f>
        <v>0</v>
      </c>
      <c r="BJ10" s="103">
        <f t="shared" si="31"/>
        <v>0</v>
      </c>
      <c r="BK10" s="92" cm="1">
        <f t="array" ref="BK10">SUM([2]Hoja2!$I$6:$I$26*([2]Hoja2!$F$6:$F$26=BK$5)*([2]Hoja2!$K$6:$K$26=$C10))</f>
        <v>0</v>
      </c>
      <c r="BL10" s="92" cm="1">
        <f t="array" ref="BL10">SUM([2]Hoja2!$J$6:$J$26*([2]Hoja2!$F$6:$F$26=BK$5)*([2]Hoja2!$K$6:$K$26=$C10))</f>
        <v>0</v>
      </c>
      <c r="BM10" s="103">
        <f t="shared" si="32"/>
        <v>0</v>
      </c>
      <c r="BN10" s="94">
        <f t="shared" ref="BN7:BN17" si="37">X10+AA10+AD10+AG10+AJ10+AM10+AP10+AS10</f>
        <v>27</v>
      </c>
      <c r="BO10" s="95">
        <f t="shared" si="6"/>
        <v>68850</v>
      </c>
      <c r="BP10" s="96">
        <f t="shared" si="33"/>
        <v>2550</v>
      </c>
      <c r="BQ10" s="95">
        <f>-IFERROR(F10/D10*BN10,0)</f>
        <v>-38986.540668282891</v>
      </c>
      <c r="BR10" s="96">
        <f t="shared" si="8"/>
        <v>-5611.68</v>
      </c>
      <c r="BS10" s="95">
        <f t="shared" si="9"/>
        <v>-2652.0412500000007</v>
      </c>
      <c r="BT10" s="96">
        <f t="shared" si="10"/>
        <v>-5213.4637500000008</v>
      </c>
      <c r="BU10" s="95">
        <f t="shared" si="11"/>
        <v>-4167.5968125000009</v>
      </c>
      <c r="BV10" s="96">
        <f>(BO10-BN10*$BS$19)*0.03</f>
        <v>1973.0161322933989</v>
      </c>
      <c r="BW10" s="95">
        <f t="shared" si="34"/>
        <v>18359.290464010504</v>
      </c>
      <c r="BX10" s="97">
        <f t="shared" si="35"/>
        <v>0.26665636113305019</v>
      </c>
      <c r="BY10" s="98">
        <f t="shared" si="12"/>
        <v>27740.351026510507</v>
      </c>
      <c r="BZ10" s="99">
        <f t="shared" si="13"/>
        <v>0.40290996407422669</v>
      </c>
      <c r="CB10" s="100">
        <f t="shared" si="14"/>
        <v>2550</v>
      </c>
      <c r="CC10" s="101">
        <f t="shared" si="15"/>
        <v>-1443.9459506771441</v>
      </c>
      <c r="CD10" s="101">
        <f t="shared" si="15"/>
        <v>-207.84</v>
      </c>
      <c r="CE10" s="101">
        <f t="shared" si="15"/>
        <v>-98.223750000000024</v>
      </c>
      <c r="CF10" s="101">
        <f t="shared" si="15"/>
        <v>-193.09125000000003</v>
      </c>
      <c r="CG10" s="101">
        <f t="shared" si="15"/>
        <v>-154.35543750000002</v>
      </c>
      <c r="CH10" s="101">
        <f t="shared" si="15"/>
        <v>73.074671566422182</v>
      </c>
      <c r="CI10" s="101">
        <f t="shared" si="15"/>
        <v>679.97372088927796</v>
      </c>
      <c r="CJ10" s="101">
        <f t="shared" si="16"/>
        <v>1027.420408389278</v>
      </c>
      <c r="CK10" s="47">
        <f t="shared" si="17"/>
        <v>347.44668750000005</v>
      </c>
    </row>
    <row r="11" spans="2:93" x14ac:dyDescent="0.3">
      <c r="B11" s="46">
        <v>10007162</v>
      </c>
      <c r="C11" s="102" t="s">
        <v>109</v>
      </c>
      <c r="D11" s="83">
        <f>TD!F8</f>
        <v>235.86</v>
      </c>
      <c r="E11" s="84">
        <f t="shared" si="0"/>
        <v>1740.6977734802115</v>
      </c>
      <c r="F11" s="47">
        <f>TD!G8</f>
        <v>410560.97685304272</v>
      </c>
      <c r="G11" s="47">
        <f>TD!H8</f>
        <v>49021.142400000004</v>
      </c>
      <c r="H11" s="47">
        <f>TD!I8</f>
        <v>10735.900642057924</v>
      </c>
      <c r="I11" s="47">
        <f>TD!J8</f>
        <v>21104.96162945079</v>
      </c>
      <c r="J11" s="47">
        <f>TD!K8</f>
        <v>16871.119668729625</v>
      </c>
      <c r="K11" s="86">
        <v>0</v>
      </c>
      <c r="L11" s="87">
        <v>0</v>
      </c>
      <c r="M11" s="88">
        <f t="shared" si="1"/>
        <v>491422.98152455146</v>
      </c>
      <c r="N11" s="89">
        <f t="shared" si="36"/>
        <v>2083.5367655581763</v>
      </c>
      <c r="O11" s="89">
        <f t="shared" si="2"/>
        <v>453446.90022637107</v>
      </c>
      <c r="P11" s="89">
        <f t="shared" si="3"/>
        <v>1922.5256517695711</v>
      </c>
      <c r="Q11" s="104">
        <v>2700</v>
      </c>
      <c r="R11" s="104">
        <f t="shared" si="18"/>
        <v>636822</v>
      </c>
      <c r="S11" s="104">
        <f>R11-M11+(Q11-$BS$19)*D11*0.03</f>
        <v>163695.78051110488</v>
      </c>
      <c r="T11" s="105">
        <f t="shared" si="4"/>
        <v>0.25705107629935031</v>
      </c>
      <c r="U11" s="104">
        <f>R11-(M11-J11-I11)+(Q11-$BS$19)*D11*0.03</f>
        <v>201671.86180928527</v>
      </c>
      <c r="V11" s="105">
        <f t="shared" si="5"/>
        <v>0.31668482214698185</v>
      </c>
      <c r="X11" s="92" cm="1">
        <f t="array" ref="X11">SUM([6]Hoja3!$I$5:$I$19*([6]Hoja3!$F$5:$F$19=X$5)*([6]Hoja3!$K$5:$K$19=$C11))</f>
        <v>0</v>
      </c>
      <c r="Y11" s="92" cm="1">
        <f t="array" ref="Y11">SUM([6]Hoja3!$J$5:$J$19*([6]Hoja3!$F$5:$F$19=X$5)*([6]Hoja3!$K$5:$K$19=$C11))</f>
        <v>0</v>
      </c>
      <c r="Z11" s="103">
        <f t="shared" si="19"/>
        <v>0</v>
      </c>
      <c r="AA11" s="92" cm="1">
        <f t="array" ref="AA11">SUM([6]Hoja3!$I$5:$I$19*([6]Hoja3!$F$5:$F$19=AA$5)*([6]Hoja3!$K$5:$K$19=$C11))</f>
        <v>0</v>
      </c>
      <c r="AB11" s="92" cm="1">
        <f t="array" ref="AB11">SUM([6]Hoja3!$J$5:$J$19*([6]Hoja3!$F$5:$F$19=AA$5)*([6]Hoja3!$K$5:$K$19=$C11))</f>
        <v>0</v>
      </c>
      <c r="AC11" s="103">
        <f t="shared" si="20"/>
        <v>0</v>
      </c>
      <c r="AD11" s="92" cm="1">
        <f t="array" ref="AD11">SUM([6]Hoja3!$I$5:$I$19*([6]Hoja3!$F$5:$F$19=AD$5)*([6]Hoja3!$K$5:$K$19=$C11))</f>
        <v>108</v>
      </c>
      <c r="AE11" s="92" cm="1">
        <f t="array" ref="AE11">SUM([6]Hoja3!$J$5:$J$19*([6]Hoja3!$F$5:$F$19=AD$5)*([6]Hoja3!$K$5:$K$19=$C11))</f>
        <v>275400</v>
      </c>
      <c r="AF11" s="103">
        <f t="shared" si="21"/>
        <v>2550</v>
      </c>
      <c r="AG11" s="92" cm="1">
        <f t="array" ref="AG11">SUM([6]Hoja3!$I$5:$I$19*([6]Hoja3!$F$5:$F$19=AG$5)*([6]Hoja3!$K$5:$K$19=$C11))</f>
        <v>0</v>
      </c>
      <c r="AH11" s="92" cm="1">
        <f t="array" ref="AH11">SUM([6]Hoja3!$J$5:$J$19*([6]Hoja3!$F$5:$F$19=AG$5)*([6]Hoja3!$K$5:$K$19=$C11))</f>
        <v>0</v>
      </c>
      <c r="AI11" s="103">
        <f t="shared" si="22"/>
        <v>0</v>
      </c>
      <c r="AJ11" s="92" cm="1">
        <f t="array" ref="AJ11">SUM([6]Hoja3!$I$5:$I$19*([6]Hoja3!$F$5:$F$19=AJ$5)*([6]Hoja3!$K$5:$K$19=$C11))</f>
        <v>0</v>
      </c>
      <c r="AK11" s="92" cm="1">
        <f t="array" ref="AK11">SUM([6]Hoja3!$J$5:$J$19*([6]Hoja3!$F$5:$F$19=AJ$5)*([6]Hoja3!$K$5:$K$19=$C11))</f>
        <v>0</v>
      </c>
      <c r="AL11" s="103">
        <f t="shared" si="23"/>
        <v>0</v>
      </c>
      <c r="AM11" s="92" cm="1">
        <f t="array" ref="AM11">SUM([6]Hoja3!$I$5:$I$19*([6]Hoja3!$F$5:$F$19=AM$5)*([6]Hoja3!$K$5:$K$19=$C11))</f>
        <v>0</v>
      </c>
      <c r="AN11" s="92" cm="1">
        <f t="array" ref="AN11">SUM([6]Hoja3!$J$5:$J$19*([6]Hoja3!$F$5:$F$19=AM$5)*([6]Hoja3!$K$5:$K$19=$C11))</f>
        <v>0</v>
      </c>
      <c r="AO11" s="103">
        <f t="shared" si="24"/>
        <v>0</v>
      </c>
      <c r="AP11" s="92" cm="1">
        <f t="array" ref="AP11">SUM([6]Hoja3!$I$5:$I$19*([6]Hoja3!$F$5:$F$19=AP$5)*([6]Hoja3!$K$5:$K$19=$C11))</f>
        <v>0</v>
      </c>
      <c r="AQ11" s="92" cm="1">
        <f t="array" ref="AQ11">SUM([6]Hoja3!$J$5:$J$19*([6]Hoja3!$F$5:$F$19=AP$5)*([6]Hoja3!$K$5:$K$19=$C11))</f>
        <v>0</v>
      </c>
      <c r="AR11" s="103">
        <f t="shared" si="25"/>
        <v>0</v>
      </c>
      <c r="AS11" s="92" cm="1">
        <f t="array" ref="AS11">SUM([6]Hoja3!$I$5:$I$19*([6]Hoja3!$F$5:$F$19=AS$5)*([6]Hoja3!$K$5:$K$19=$C11))</f>
        <v>108</v>
      </c>
      <c r="AT11" s="92" cm="1">
        <f t="array" ref="AT11">SUM([6]Hoja3!$J$5:$J$19*([6]Hoja3!$F$5:$F$19=AS$5)*([6]Hoja3!$K$5:$K$19=$C11))</f>
        <v>299310</v>
      </c>
      <c r="AU11" s="103">
        <f t="shared" si="26"/>
        <v>2771.3888888888887</v>
      </c>
      <c r="AV11" s="92" cm="1">
        <f t="array" ref="AV11">SUM([2]Hoja2!$I$6:$I$26*([2]Hoja2!$F$6:$F$26=AV$5)*([2]Hoja2!$K$6:$K$26=$C11))</f>
        <v>0</v>
      </c>
      <c r="AW11" s="92" cm="1">
        <f t="array" ref="AW11">SUM([2]Hoja2!$J$6:$J$26*([2]Hoja2!$F$6:$F$26=AV$5)*([2]Hoja2!$K$6:$K$26=$C11))</f>
        <v>0</v>
      </c>
      <c r="AX11" s="103">
        <f t="shared" si="27"/>
        <v>0</v>
      </c>
      <c r="AY11" s="92" cm="1">
        <f t="array" ref="AY11">SUM([2]Hoja2!$I$6:$I$26*([2]Hoja2!$F$6:$F$26=AY$5)*([2]Hoja2!$K$6:$K$26=$C11))</f>
        <v>0</v>
      </c>
      <c r="AZ11" s="92" cm="1">
        <f t="array" ref="AZ11">SUM([2]Hoja2!$J$6:$J$26*([2]Hoja2!$F$6:$F$26=AY$5)*([2]Hoja2!$K$6:$K$26=$C11))</f>
        <v>0</v>
      </c>
      <c r="BA11" s="103">
        <f t="shared" si="28"/>
        <v>0</v>
      </c>
      <c r="BB11" s="92" cm="1">
        <f t="array" ref="BB11">SUM([2]Hoja2!$I$6:$I$26*([2]Hoja2!$F$6:$F$26=BB$5)*([2]Hoja2!$K$6:$K$26=$C11))</f>
        <v>0</v>
      </c>
      <c r="BC11" s="92" cm="1">
        <f t="array" ref="BC11">SUM([2]Hoja2!$J$6:$J$26*([2]Hoja2!$F$6:$F$26=BB$5)*([2]Hoja2!$K$6:$K$26=$C11))</f>
        <v>0</v>
      </c>
      <c r="BD11" s="103">
        <f t="shared" si="29"/>
        <v>0</v>
      </c>
      <c r="BE11" s="92" cm="1">
        <f t="array" ref="BE11">SUM([2]Hoja2!$I$6:$I$26*([2]Hoja2!$F$6:$F$26=BE$5)*([2]Hoja2!$K$6:$K$26=$C11))</f>
        <v>0</v>
      </c>
      <c r="BF11" s="92" cm="1">
        <f t="array" ref="BF11">SUM([2]Hoja2!$J$6:$J$26*([2]Hoja2!$F$6:$F$26=BE$5)*([2]Hoja2!$K$6:$K$26=$C11))</f>
        <v>0</v>
      </c>
      <c r="BG11" s="103">
        <f t="shared" si="30"/>
        <v>0</v>
      </c>
      <c r="BH11" s="92" cm="1">
        <f t="array" ref="BH11">SUM([2]Hoja2!$I$6:$I$26*([2]Hoja2!$F$6:$F$26=BH$5)*([2]Hoja2!$K$6:$K$26=$C11))</f>
        <v>0</v>
      </c>
      <c r="BI11" s="92" cm="1">
        <f t="array" ref="BI11">SUM([2]Hoja2!$J$6:$J$26*([2]Hoja2!$F$6:$F$26=BH$5)*([2]Hoja2!$K$6:$K$26=$C11))</f>
        <v>0</v>
      </c>
      <c r="BJ11" s="103">
        <f t="shared" si="31"/>
        <v>0</v>
      </c>
      <c r="BK11" s="92" cm="1">
        <f t="array" ref="BK11">SUM([2]Hoja2!$I$6:$I$26*([2]Hoja2!$F$6:$F$26=BK$5)*([2]Hoja2!$K$6:$K$26=$C11))</f>
        <v>0</v>
      </c>
      <c r="BL11" s="92" cm="1">
        <f t="array" ref="BL11">SUM([2]Hoja2!$J$6:$J$26*([2]Hoja2!$F$6:$F$26=BK$5)*([2]Hoja2!$K$6:$K$26=$C11))</f>
        <v>0</v>
      </c>
      <c r="BM11" s="103">
        <f t="shared" si="32"/>
        <v>0</v>
      </c>
      <c r="BN11" s="94">
        <f t="shared" si="37"/>
        <v>216</v>
      </c>
      <c r="BO11" s="95">
        <f t="shared" si="6"/>
        <v>574710</v>
      </c>
      <c r="BP11" s="96">
        <f t="shared" si="33"/>
        <v>2660.6944444444443</v>
      </c>
      <c r="BQ11" s="95">
        <f>-IFERROR(F11/D11*BN11,0)</f>
        <v>-375990.71907172567</v>
      </c>
      <c r="BR11" s="96">
        <f t="shared" si="8"/>
        <v>-44893.440000000002</v>
      </c>
      <c r="BS11" s="95">
        <f t="shared" si="9"/>
        <v>-21216.330000000005</v>
      </c>
      <c r="BT11" s="96">
        <f t="shared" si="10"/>
        <v>-41707.710000000006</v>
      </c>
      <c r="BU11" s="95">
        <f t="shared" si="11"/>
        <v>-33340.774500000007</v>
      </c>
      <c r="BV11" s="96">
        <f>(BO11-BN11*$BS$19)*0.03</f>
        <v>16501.429058347192</v>
      </c>
      <c r="BW11" s="95">
        <f t="shared" si="34"/>
        <v>107403.22998662147</v>
      </c>
      <c r="BX11" s="97">
        <f t="shared" si="35"/>
        <v>0.1868824798361286</v>
      </c>
      <c r="BY11" s="98">
        <f t="shared" si="12"/>
        <v>182451.71448662149</v>
      </c>
      <c r="BZ11" s="99">
        <f t="shared" si="13"/>
        <v>0.31746744355696177</v>
      </c>
      <c r="CB11" s="100">
        <f t="shared" si="14"/>
        <v>2660.6944444444443</v>
      </c>
      <c r="CC11" s="101">
        <f t="shared" si="15"/>
        <v>-1740.6977734802115</v>
      </c>
      <c r="CD11" s="101">
        <f t="shared" si="15"/>
        <v>-207.84</v>
      </c>
      <c r="CE11" s="101">
        <f t="shared" si="15"/>
        <v>-98.223750000000024</v>
      </c>
      <c r="CF11" s="101">
        <f t="shared" si="15"/>
        <v>-193.09125000000003</v>
      </c>
      <c r="CG11" s="101">
        <f t="shared" si="15"/>
        <v>-154.35543750000002</v>
      </c>
      <c r="CH11" s="101">
        <f t="shared" si="15"/>
        <v>76.395504899755522</v>
      </c>
      <c r="CI11" s="101">
        <f t="shared" si="15"/>
        <v>497.23717586398828</v>
      </c>
      <c r="CJ11" s="101">
        <f t="shared" si="16"/>
        <v>844.68386336398839</v>
      </c>
      <c r="CK11" s="47">
        <f t="shared" si="17"/>
        <v>347.44668750000011</v>
      </c>
    </row>
    <row r="12" spans="2:93" x14ac:dyDescent="0.3">
      <c r="B12" s="46">
        <v>10007567</v>
      </c>
      <c r="C12" s="102" t="s">
        <v>110</v>
      </c>
      <c r="D12" s="83">
        <f>TD!F9</f>
        <v>107.13999999999999</v>
      </c>
      <c r="E12" s="84">
        <f t="shared" si="0"/>
        <v>1682.659207042434</v>
      </c>
      <c r="F12" s="47">
        <f>TD!G9</f>
        <v>180280.10744252635</v>
      </c>
      <c r="G12" s="47">
        <f>TD!H9</f>
        <v>22267.977599999998</v>
      </c>
      <c r="H12" s="47">
        <f>TD!I9</f>
        <v>4876.8099499282871</v>
      </c>
      <c r="I12" s="47">
        <f>TD!J9</f>
        <v>9586.9820613048323</v>
      </c>
      <c r="J12" s="47">
        <f>TD!K9</f>
        <v>7663.7486700063255</v>
      </c>
      <c r="K12" s="86">
        <v>0</v>
      </c>
      <c r="L12" s="87">
        <v>0</v>
      </c>
      <c r="M12" s="88">
        <f t="shared" si="1"/>
        <v>217011.87705375947</v>
      </c>
      <c r="N12" s="89">
        <f t="shared" si="36"/>
        <v>2025.4981991203986</v>
      </c>
      <c r="O12" s="89">
        <f t="shared" si="2"/>
        <v>199761.14632244833</v>
      </c>
      <c r="P12" s="89">
        <f t="shared" si="3"/>
        <v>1864.4870853317934</v>
      </c>
      <c r="Q12" s="104">
        <v>2730</v>
      </c>
      <c r="R12" s="104">
        <f t="shared" si="18"/>
        <v>292492.19999999995</v>
      </c>
      <c r="S12" s="104">
        <f>R12-M12+(Q12-$BS$19)*D12*0.03</f>
        <v>83888.099257866954</v>
      </c>
      <c r="T12" s="105">
        <f t="shared" si="4"/>
        <v>0.28680456866154708</v>
      </c>
      <c r="U12" s="104">
        <f>R12-(M12-J12-I12)+(Q12-$BS$19)*D12*0.03</f>
        <v>101138.82998917809</v>
      </c>
      <c r="V12" s="105">
        <f t="shared" si="5"/>
        <v>0.34578299862074308</v>
      </c>
      <c r="X12" s="92" cm="1">
        <f t="array" ref="X12">SUM([6]Hoja3!$I$5:$I$19*([6]Hoja3!$F$5:$F$19=X$5)*([6]Hoja3!$K$5:$K$19=$C12))</f>
        <v>0</v>
      </c>
      <c r="Y12" s="92" cm="1">
        <f t="array" ref="Y12">SUM([6]Hoja3!$J$5:$J$19*([6]Hoja3!$F$5:$F$19=X$5)*([6]Hoja3!$K$5:$K$19=$C12))</f>
        <v>0</v>
      </c>
      <c r="Z12" s="103">
        <f t="shared" si="19"/>
        <v>0</v>
      </c>
      <c r="AA12" s="92" cm="1">
        <f t="array" ref="AA12">SUM([6]Hoja3!$I$5:$I$19*([6]Hoja3!$F$5:$F$19=AA$5)*([6]Hoja3!$K$5:$K$19=$C12))</f>
        <v>26</v>
      </c>
      <c r="AB12" s="92" cm="1">
        <f t="array" ref="AB12">SUM([6]Hoja3!$J$5:$J$19*([6]Hoja3!$F$5:$F$19=AA$5)*([6]Hoja3!$K$5:$K$19=$C12))</f>
        <v>74100</v>
      </c>
      <c r="AC12" s="103">
        <f t="shared" si="20"/>
        <v>2850</v>
      </c>
      <c r="AD12" s="92" cm="1">
        <f t="array" ref="AD12">SUM([6]Hoja3!$I$5:$I$19*([6]Hoja3!$F$5:$F$19=AD$5)*([6]Hoja3!$K$5:$K$19=$C12))</f>
        <v>0</v>
      </c>
      <c r="AE12" s="92" cm="1">
        <f t="array" ref="AE12">SUM([6]Hoja3!$J$5:$J$19*([6]Hoja3!$F$5:$F$19=AD$5)*([6]Hoja3!$K$5:$K$19=$C12))</f>
        <v>0</v>
      </c>
      <c r="AF12" s="103">
        <f t="shared" si="21"/>
        <v>0</v>
      </c>
      <c r="AG12" s="92" cm="1">
        <f t="array" ref="AG12">SUM([6]Hoja3!$I$5:$I$19*([6]Hoja3!$F$5:$F$19=AG$5)*([6]Hoja3!$K$5:$K$19=$C12))</f>
        <v>27</v>
      </c>
      <c r="AH12" s="92" cm="1">
        <f t="array" ref="AH12">SUM([6]Hoja3!$J$5:$J$19*([6]Hoja3!$F$5:$F$19=AG$5)*([6]Hoja3!$K$5:$K$19=$C12))</f>
        <v>73710</v>
      </c>
      <c r="AI12" s="103">
        <f t="shared" si="22"/>
        <v>2730</v>
      </c>
      <c r="AJ12" s="92" cm="1">
        <f t="array" ref="AJ12">SUM([6]Hoja3!$I$5:$I$19*([6]Hoja3!$F$5:$F$19=AJ$5)*([6]Hoja3!$K$5:$K$19=$C12))</f>
        <v>0</v>
      </c>
      <c r="AK12" s="92" cm="1">
        <f t="array" ref="AK12">SUM([6]Hoja3!$J$5:$J$19*([6]Hoja3!$F$5:$F$19=AJ$5)*([6]Hoja3!$K$5:$K$19=$C12))</f>
        <v>0</v>
      </c>
      <c r="AL12" s="103">
        <f t="shared" si="23"/>
        <v>0</v>
      </c>
      <c r="AM12" s="92" cm="1">
        <f t="array" ref="AM12">SUM([6]Hoja3!$I$5:$I$19*([6]Hoja3!$F$5:$F$19=AM$5)*([6]Hoja3!$K$5:$K$19=$C12))</f>
        <v>0</v>
      </c>
      <c r="AN12" s="92" cm="1">
        <f t="array" ref="AN12">SUM([6]Hoja3!$J$5:$J$19*([6]Hoja3!$F$5:$F$19=AM$5)*([6]Hoja3!$K$5:$K$19=$C12))</f>
        <v>0</v>
      </c>
      <c r="AO12" s="103">
        <f t="shared" si="24"/>
        <v>0</v>
      </c>
      <c r="AP12" s="92" cm="1">
        <f t="array" ref="AP12">SUM([6]Hoja3!$I$5:$I$19*([6]Hoja3!$F$5:$F$19=AP$5)*([6]Hoja3!$K$5:$K$19=$C12))</f>
        <v>0</v>
      </c>
      <c r="AQ12" s="92" cm="1">
        <f t="array" ref="AQ12">SUM([6]Hoja3!$J$5:$J$19*([6]Hoja3!$F$5:$F$19=AP$5)*([6]Hoja3!$K$5:$K$19=$C12))</f>
        <v>0</v>
      </c>
      <c r="AR12" s="103">
        <f t="shared" si="25"/>
        <v>0</v>
      </c>
      <c r="AS12" s="92" cm="1">
        <f t="array" ref="AS12">SUM([6]Hoja3!$I$5:$I$19*([6]Hoja3!$F$5:$F$19=AS$5)*([6]Hoja3!$K$5:$K$19=$C12))</f>
        <v>0</v>
      </c>
      <c r="AT12" s="92" cm="1">
        <f t="array" ref="AT12">SUM([6]Hoja3!$J$5:$J$19*([6]Hoja3!$F$5:$F$19=AS$5)*([6]Hoja3!$K$5:$K$19=$C12))</f>
        <v>0</v>
      </c>
      <c r="AU12" s="103">
        <f t="shared" si="26"/>
        <v>0</v>
      </c>
      <c r="AV12" s="92" cm="1">
        <f t="array" ref="AV12">SUM([2]Hoja2!$I$6:$I$26*([2]Hoja2!$F$6:$F$26=AV$5)*([2]Hoja2!$K$6:$K$26=$C12))</f>
        <v>0</v>
      </c>
      <c r="AW12" s="92" cm="1">
        <f t="array" ref="AW12">SUM([2]Hoja2!$J$6:$J$26*([2]Hoja2!$F$6:$F$26=AV$5)*([2]Hoja2!$K$6:$K$26=$C12))</f>
        <v>0</v>
      </c>
      <c r="AX12" s="103">
        <f t="shared" si="27"/>
        <v>0</v>
      </c>
      <c r="AY12" s="92" cm="1">
        <f t="array" ref="AY12">SUM([2]Hoja2!$I$6:$I$26*([2]Hoja2!$F$6:$F$26=AY$5)*([2]Hoja2!$K$6:$K$26=$C12))</f>
        <v>0</v>
      </c>
      <c r="AZ12" s="92" cm="1">
        <f t="array" ref="AZ12">SUM([2]Hoja2!$J$6:$J$26*([2]Hoja2!$F$6:$F$26=AY$5)*([2]Hoja2!$K$6:$K$26=$C12))</f>
        <v>0</v>
      </c>
      <c r="BA12" s="103">
        <f t="shared" si="28"/>
        <v>0</v>
      </c>
      <c r="BB12" s="92" cm="1">
        <f t="array" ref="BB12">SUM([2]Hoja2!$I$6:$I$26*([2]Hoja2!$F$6:$F$26=BB$5)*([2]Hoja2!$K$6:$K$26=$C12))</f>
        <v>0</v>
      </c>
      <c r="BC12" s="92" cm="1">
        <f t="array" ref="BC12">SUM([2]Hoja2!$J$6:$J$26*([2]Hoja2!$F$6:$F$26=BB$5)*([2]Hoja2!$K$6:$K$26=$C12))</f>
        <v>0</v>
      </c>
      <c r="BD12" s="103">
        <f t="shared" si="29"/>
        <v>0</v>
      </c>
      <c r="BE12" s="92" cm="1">
        <f t="array" ref="BE12">SUM([2]Hoja2!$I$6:$I$26*([2]Hoja2!$F$6:$F$26=BE$5)*([2]Hoja2!$K$6:$K$26=$C12))</f>
        <v>0</v>
      </c>
      <c r="BF12" s="92" cm="1">
        <f t="array" ref="BF12">SUM([2]Hoja2!$J$6:$J$26*([2]Hoja2!$F$6:$F$26=BE$5)*([2]Hoja2!$K$6:$K$26=$C12))</f>
        <v>0</v>
      </c>
      <c r="BG12" s="103">
        <f t="shared" si="30"/>
        <v>0</v>
      </c>
      <c r="BH12" s="92" cm="1">
        <f t="array" ref="BH12">SUM([2]Hoja2!$I$6:$I$26*([2]Hoja2!$F$6:$F$26=BH$5)*([2]Hoja2!$K$6:$K$26=$C12))</f>
        <v>0</v>
      </c>
      <c r="BI12" s="92" cm="1">
        <f t="array" ref="BI12">SUM([2]Hoja2!$J$6:$J$26*([2]Hoja2!$F$6:$F$26=BH$5)*([2]Hoja2!$K$6:$K$26=$C12))</f>
        <v>0</v>
      </c>
      <c r="BJ12" s="103">
        <f t="shared" si="31"/>
        <v>0</v>
      </c>
      <c r="BK12" s="92" cm="1">
        <f t="array" ref="BK12">SUM([2]Hoja2!$I$6:$I$26*([2]Hoja2!$F$6:$F$26=BK$5)*([2]Hoja2!$K$6:$K$26=$C12))</f>
        <v>0</v>
      </c>
      <c r="BL12" s="92" cm="1">
        <f t="array" ref="BL12">SUM([2]Hoja2!$J$6:$J$26*([2]Hoja2!$F$6:$F$26=BK$5)*([2]Hoja2!$K$6:$K$26=$C12))</f>
        <v>0</v>
      </c>
      <c r="BM12" s="103">
        <f t="shared" si="32"/>
        <v>0</v>
      </c>
      <c r="BN12" s="94">
        <f t="shared" si="37"/>
        <v>53</v>
      </c>
      <c r="BO12" s="95">
        <f t="shared" si="6"/>
        <v>147810</v>
      </c>
      <c r="BP12" s="96">
        <f t="shared" si="33"/>
        <v>2788.867924528302</v>
      </c>
      <c r="BQ12" s="95">
        <f t="shared" si="7"/>
        <v>-89180.937973249005</v>
      </c>
      <c r="BR12" s="96">
        <f>-207.84*BN12</f>
        <v>-11015.52</v>
      </c>
      <c r="BS12" s="95">
        <f t="shared" si="9"/>
        <v>-5205.8587500000012</v>
      </c>
      <c r="BT12" s="96">
        <f t="shared" si="10"/>
        <v>-10233.836250000002</v>
      </c>
      <c r="BU12" s="95">
        <f t="shared" si="11"/>
        <v>-8180.8381875000014</v>
      </c>
      <c r="BV12" s="96">
        <f>(BO12-BN12*$BS$19)*0.03</f>
        <v>4252.7575930203748</v>
      </c>
      <c r="BW12" s="95">
        <f t="shared" si="34"/>
        <v>36426.604619771359</v>
      </c>
      <c r="BX12" s="97">
        <f t="shared" si="35"/>
        <v>0.24644208524302388</v>
      </c>
      <c r="BY12" s="98">
        <f t="shared" si="12"/>
        <v>54841.279057271371</v>
      </c>
      <c r="BZ12" s="99">
        <f t="shared" si="13"/>
        <v>0.37102549933882262</v>
      </c>
      <c r="CB12" s="100">
        <f t="shared" si="14"/>
        <v>2788.867924528302</v>
      </c>
      <c r="CC12" s="101">
        <f t="shared" si="15"/>
        <v>-1682.659207042434</v>
      </c>
      <c r="CD12" s="101">
        <f t="shared" si="15"/>
        <v>-207.84</v>
      </c>
      <c r="CE12" s="101">
        <f t="shared" si="15"/>
        <v>-98.223750000000024</v>
      </c>
      <c r="CF12" s="101">
        <f t="shared" si="15"/>
        <v>-193.09125000000003</v>
      </c>
      <c r="CG12" s="101">
        <f t="shared" si="15"/>
        <v>-154.35543750000002</v>
      </c>
      <c r="CH12" s="101">
        <f t="shared" si="15"/>
        <v>80.240709302271227</v>
      </c>
      <c r="CI12" s="101">
        <f t="shared" si="15"/>
        <v>687.29442678813882</v>
      </c>
      <c r="CJ12" s="101">
        <f t="shared" si="16"/>
        <v>1034.741114288139</v>
      </c>
      <c r="CK12" s="47">
        <f t="shared" si="17"/>
        <v>347.44668750000017</v>
      </c>
    </row>
    <row r="13" spans="2:93" x14ac:dyDescent="0.3">
      <c r="B13" s="46">
        <v>10007969</v>
      </c>
      <c r="C13" s="102" t="s">
        <v>10</v>
      </c>
      <c r="D13" s="83">
        <f>TD!F10</f>
        <v>15.82</v>
      </c>
      <c r="E13" s="84">
        <f t="shared" si="0"/>
        <v>1368.5038142857145</v>
      </c>
      <c r="F13" s="47">
        <f>TD!G10</f>
        <v>21649.730342000003</v>
      </c>
      <c r="G13" s="47">
        <f>TD!H10</f>
        <v>3288.0288</v>
      </c>
      <c r="H13" s="47">
        <f>TD!I10</f>
        <v>720.09644771201704</v>
      </c>
      <c r="I13" s="47">
        <f>TD!J10</f>
        <v>1415.5876069613819</v>
      </c>
      <c r="J13" s="47">
        <f>TD!K10</f>
        <v>1131.6082131743522</v>
      </c>
      <c r="K13" s="86">
        <v>0</v>
      </c>
      <c r="L13" s="87">
        <v>0</v>
      </c>
      <c r="M13" s="88">
        <f t="shared" si="1"/>
        <v>27073.443196673401</v>
      </c>
      <c r="N13" s="89">
        <f t="shared" si="36"/>
        <v>1711.3428063636788</v>
      </c>
      <c r="O13" s="89">
        <f t="shared" si="2"/>
        <v>24526.247376537667</v>
      </c>
      <c r="P13" s="89">
        <f t="shared" si="3"/>
        <v>1550.3316925750737</v>
      </c>
      <c r="Q13" s="90">
        <v>1600</v>
      </c>
      <c r="R13" s="90">
        <f t="shared" si="18"/>
        <v>25312</v>
      </c>
      <c r="S13" s="90">
        <f>R13-M13+(Q13-$BS$19)*D13*0.03</f>
        <v>-1056.2718924926021</v>
      </c>
      <c r="T13" s="91">
        <f t="shared" si="4"/>
        <v>-4.1730084248285483E-2</v>
      </c>
      <c r="U13" s="90">
        <f>R13-(M13-J13-I13)+(Q13-$BS$19)*D13*0.03</f>
        <v>1490.9239276431317</v>
      </c>
      <c r="V13" s="91">
        <f t="shared" si="5"/>
        <v>5.8901861869592752E-2</v>
      </c>
      <c r="X13" s="92" cm="1">
        <f t="array" ref="X13">SUM([6]Hoja3!$I$5:$I$19*([6]Hoja3!$F$5:$F$19=X$5)*([6]Hoja3!$K$5:$K$19=$C13))</f>
        <v>0</v>
      </c>
      <c r="Y13" s="92" cm="1">
        <f t="array" ref="Y13">SUM([6]Hoja3!$J$5:$J$19*([6]Hoja3!$F$5:$F$19=X$5)*([6]Hoja3!$K$5:$K$19=$C13))</f>
        <v>0</v>
      </c>
      <c r="Z13" s="103">
        <f t="shared" si="19"/>
        <v>0</v>
      </c>
      <c r="AA13" s="92" cm="1">
        <f t="array" ref="AA13">SUM([6]Hoja3!$I$5:$I$19*([6]Hoja3!$F$5:$F$19=AA$5)*([6]Hoja3!$K$5:$K$19=$C13))</f>
        <v>0</v>
      </c>
      <c r="AB13" s="92" cm="1">
        <f t="array" ref="AB13">SUM([6]Hoja3!$J$5:$J$19*([6]Hoja3!$F$5:$F$19=AA$5)*([6]Hoja3!$K$5:$K$19=$C13))</f>
        <v>0</v>
      </c>
      <c r="AC13" s="103">
        <f t="shared" si="20"/>
        <v>0</v>
      </c>
      <c r="AD13" s="92" cm="1">
        <f t="array" ref="AD13">SUM([6]Hoja3!$I$5:$I$19*([6]Hoja3!$F$5:$F$19=AD$5)*([6]Hoja3!$K$5:$K$19=$C13))</f>
        <v>54</v>
      </c>
      <c r="AE13" s="92" cm="1">
        <f t="array" ref="AE13">SUM([6]Hoja3!$J$5:$J$19*([6]Hoja3!$F$5:$F$19=AD$5)*([6]Hoja3!$K$5:$K$19=$C13))</f>
        <v>86400</v>
      </c>
      <c r="AF13" s="103">
        <f t="shared" si="21"/>
        <v>1600</v>
      </c>
      <c r="AG13" s="92" cm="1">
        <f t="array" ref="AG13">SUM([6]Hoja3!$I$5:$I$19*([6]Hoja3!$F$5:$F$19=AG$5)*([6]Hoja3!$K$5:$K$19=$C13))</f>
        <v>0</v>
      </c>
      <c r="AH13" s="92" cm="1">
        <f t="array" ref="AH13">SUM([6]Hoja3!$J$5:$J$19*([6]Hoja3!$F$5:$F$19=AG$5)*([6]Hoja3!$K$5:$K$19=$C13))</f>
        <v>0</v>
      </c>
      <c r="AI13" s="103">
        <f t="shared" si="22"/>
        <v>0</v>
      </c>
      <c r="AJ13" s="92" cm="1">
        <f t="array" ref="AJ13">SUM([6]Hoja3!$I$5:$I$19*([6]Hoja3!$F$5:$F$19=AJ$5)*([6]Hoja3!$K$5:$K$19=$C13))</f>
        <v>0</v>
      </c>
      <c r="AK13" s="92" cm="1">
        <f t="array" ref="AK13">SUM([6]Hoja3!$J$5:$J$19*([6]Hoja3!$F$5:$F$19=AJ$5)*([6]Hoja3!$K$5:$K$19=$C13))</f>
        <v>0</v>
      </c>
      <c r="AL13" s="103">
        <f t="shared" si="23"/>
        <v>0</v>
      </c>
      <c r="AM13" s="92" cm="1">
        <f t="array" ref="AM13">SUM([6]Hoja3!$I$5:$I$19*([6]Hoja3!$F$5:$F$19=AM$5)*([6]Hoja3!$K$5:$K$19=$C13))</f>
        <v>0</v>
      </c>
      <c r="AN13" s="92" cm="1">
        <f t="array" ref="AN13">SUM([6]Hoja3!$J$5:$J$19*([6]Hoja3!$F$5:$F$19=AM$5)*([6]Hoja3!$K$5:$K$19=$C13))</f>
        <v>0</v>
      </c>
      <c r="AO13" s="103">
        <f t="shared" si="24"/>
        <v>0</v>
      </c>
      <c r="AP13" s="92" cm="1">
        <f t="array" ref="AP13">SUM([6]Hoja3!$I$5:$I$19*([6]Hoja3!$F$5:$F$19=AP$5)*([6]Hoja3!$K$5:$K$19=$C13))</f>
        <v>0</v>
      </c>
      <c r="AQ13" s="92" cm="1">
        <f t="array" ref="AQ13">SUM([6]Hoja3!$J$5:$J$19*([6]Hoja3!$F$5:$F$19=AP$5)*([6]Hoja3!$K$5:$K$19=$C13))</f>
        <v>0</v>
      </c>
      <c r="AR13" s="103">
        <f t="shared" si="25"/>
        <v>0</v>
      </c>
      <c r="AS13" s="92" cm="1">
        <f t="array" ref="AS13">SUM([6]Hoja3!$I$5:$I$19*([6]Hoja3!$F$5:$F$19=AS$5)*([6]Hoja3!$K$5:$K$19=$C13))</f>
        <v>0</v>
      </c>
      <c r="AT13" s="92" cm="1">
        <f t="array" ref="AT13">SUM([6]Hoja3!$J$5:$J$19*([6]Hoja3!$F$5:$F$19=AS$5)*([6]Hoja3!$K$5:$K$19=$C13))</f>
        <v>0</v>
      </c>
      <c r="AU13" s="103">
        <f t="shared" si="26"/>
        <v>0</v>
      </c>
      <c r="AV13" s="92" cm="1">
        <f t="array" ref="AV13">SUM([2]Hoja2!$I$6:$I$26*([2]Hoja2!$F$6:$F$26=AV$5)*([2]Hoja2!$K$6:$K$26=$C13))</f>
        <v>0</v>
      </c>
      <c r="AW13" s="92" cm="1">
        <f t="array" ref="AW13">SUM([2]Hoja2!$J$6:$J$26*([2]Hoja2!$F$6:$F$26=AV$5)*([2]Hoja2!$K$6:$K$26=$C13))</f>
        <v>0</v>
      </c>
      <c r="AX13" s="103">
        <f t="shared" si="27"/>
        <v>0</v>
      </c>
      <c r="AY13" s="92" cm="1">
        <f t="array" ref="AY13">SUM([2]Hoja2!$I$6:$I$26*([2]Hoja2!$F$6:$F$26=AY$5)*([2]Hoja2!$K$6:$K$26=$C13))</f>
        <v>0</v>
      </c>
      <c r="AZ13" s="92" cm="1">
        <f t="array" ref="AZ13">SUM([2]Hoja2!$J$6:$J$26*([2]Hoja2!$F$6:$F$26=AY$5)*([2]Hoja2!$K$6:$K$26=$C13))</f>
        <v>0</v>
      </c>
      <c r="BA13" s="103">
        <f t="shared" si="28"/>
        <v>0</v>
      </c>
      <c r="BB13" s="92" cm="1">
        <f t="array" ref="BB13">SUM([2]Hoja2!$I$6:$I$26*([2]Hoja2!$F$6:$F$26=BB$5)*([2]Hoja2!$K$6:$K$26=$C13))</f>
        <v>0</v>
      </c>
      <c r="BC13" s="92" cm="1">
        <f t="array" ref="BC13">SUM([2]Hoja2!$J$6:$J$26*([2]Hoja2!$F$6:$F$26=BB$5)*([2]Hoja2!$K$6:$K$26=$C13))</f>
        <v>0</v>
      </c>
      <c r="BD13" s="103">
        <f t="shared" si="29"/>
        <v>0</v>
      </c>
      <c r="BE13" s="92" cm="1">
        <f t="array" ref="BE13">SUM([2]Hoja2!$I$6:$I$26*([2]Hoja2!$F$6:$F$26=BE$5)*([2]Hoja2!$K$6:$K$26=$C13))</f>
        <v>0</v>
      </c>
      <c r="BF13" s="92" cm="1">
        <f t="array" ref="BF13">SUM([2]Hoja2!$J$6:$J$26*([2]Hoja2!$F$6:$F$26=BE$5)*([2]Hoja2!$K$6:$K$26=$C13))</f>
        <v>0</v>
      </c>
      <c r="BG13" s="103">
        <f t="shared" si="30"/>
        <v>0</v>
      </c>
      <c r="BH13" s="92" cm="1">
        <f t="array" ref="BH13">SUM([2]Hoja2!$I$6:$I$26*([2]Hoja2!$F$6:$F$26=BH$5)*([2]Hoja2!$K$6:$K$26=$C13))</f>
        <v>0</v>
      </c>
      <c r="BI13" s="92" cm="1">
        <f t="array" ref="BI13">SUM([2]Hoja2!$J$6:$J$26*([2]Hoja2!$F$6:$F$26=BH$5)*([2]Hoja2!$K$6:$K$26=$C13))</f>
        <v>0</v>
      </c>
      <c r="BJ13" s="103">
        <f t="shared" si="31"/>
        <v>0</v>
      </c>
      <c r="BK13" s="92" cm="1">
        <f t="array" ref="BK13">SUM([2]Hoja2!$I$6:$I$26*([2]Hoja2!$F$6:$F$26=BK$5)*([2]Hoja2!$K$6:$K$26=$C13))</f>
        <v>0</v>
      </c>
      <c r="BL13" s="92" cm="1">
        <f t="array" ref="BL13">SUM([2]Hoja2!$J$6:$J$26*([2]Hoja2!$F$6:$F$26=BK$5)*([2]Hoja2!$K$6:$K$26=$C13))</f>
        <v>0</v>
      </c>
      <c r="BM13" s="103">
        <f t="shared" si="32"/>
        <v>0</v>
      </c>
      <c r="BN13" s="94">
        <f t="shared" si="37"/>
        <v>54</v>
      </c>
      <c r="BO13" s="95">
        <f t="shared" si="6"/>
        <v>86400</v>
      </c>
      <c r="BP13" s="96">
        <f t="shared" si="33"/>
        <v>1600</v>
      </c>
      <c r="BQ13" s="95">
        <f t="shared" si="7"/>
        <v>-73899.205971428586</v>
      </c>
      <c r="BR13" s="96">
        <f t="shared" si="8"/>
        <v>-11223.36</v>
      </c>
      <c r="BS13" s="95">
        <f>$BS$18/$BN$18*$BN13</f>
        <v>-5304.0825000000013</v>
      </c>
      <c r="BT13" s="96">
        <f t="shared" si="10"/>
        <v>-10426.927500000002</v>
      </c>
      <c r="BU13" s="95">
        <f t="shared" si="11"/>
        <v>-8335.1936250000017</v>
      </c>
      <c r="BV13" s="96">
        <f>(BO13-BN13*$BS$19)*0.03</f>
        <v>2407.0322645867977</v>
      </c>
      <c r="BW13" s="95">
        <f t="shared" si="34"/>
        <v>-12046.543706841796</v>
      </c>
      <c r="BX13" s="97">
        <f t="shared" si="35"/>
        <v>-0.13942758919955783</v>
      </c>
      <c r="BY13" s="98">
        <f t="shared" si="12"/>
        <v>6715.577418158211</v>
      </c>
      <c r="BZ13" s="99">
        <f t="shared" si="13"/>
        <v>7.7726590487942254E-2</v>
      </c>
      <c r="CB13" s="100">
        <f t="shared" si="14"/>
        <v>1600</v>
      </c>
      <c r="CC13" s="101">
        <f t="shared" si="15"/>
        <v>-1368.5038142857145</v>
      </c>
      <c r="CD13" s="101">
        <f t="shared" si="15"/>
        <v>-207.84</v>
      </c>
      <c r="CE13" s="101">
        <f t="shared" si="15"/>
        <v>-98.223750000000024</v>
      </c>
      <c r="CF13" s="101">
        <f t="shared" si="15"/>
        <v>-193.09125000000003</v>
      </c>
      <c r="CG13" s="101">
        <f t="shared" si="15"/>
        <v>-154.35543750000002</v>
      </c>
      <c r="CH13" s="101">
        <f t="shared" si="15"/>
        <v>44.574671566422182</v>
      </c>
      <c r="CI13" s="101">
        <f t="shared" si="15"/>
        <v>-223.08414271929252</v>
      </c>
      <c r="CJ13" s="101">
        <f t="shared" si="16"/>
        <v>124.36254478070761</v>
      </c>
      <c r="CK13" s="47">
        <f t="shared" si="17"/>
        <v>347.44668750000011</v>
      </c>
    </row>
    <row r="14" spans="2:93" x14ac:dyDescent="0.3">
      <c r="B14" s="46">
        <v>10009239</v>
      </c>
      <c r="C14" s="102" t="s">
        <v>111</v>
      </c>
      <c r="D14" s="83">
        <f>TD!F11</f>
        <v>40.659999999999997</v>
      </c>
      <c r="E14" s="84">
        <f t="shared" si="0"/>
        <v>3254.8777446902509</v>
      </c>
      <c r="F14" s="47">
        <f>TD!G11</f>
        <v>132343.32909910558</v>
      </c>
      <c r="G14" s="47">
        <f>TD!H11</f>
        <v>8450.7744000000002</v>
      </c>
      <c r="H14" s="47">
        <f>TD!I11</f>
        <v>1850.7662176972574</v>
      </c>
      <c r="I14" s="47">
        <f>TD!J11</f>
        <v>3638.2928001927799</v>
      </c>
      <c r="J14" s="47">
        <f>TD!K11</f>
        <v>2908.419086451906</v>
      </c>
      <c r="K14" s="86">
        <v>0</v>
      </c>
      <c r="L14" s="87">
        <v>0</v>
      </c>
      <c r="M14" s="88">
        <f t="shared" si="1"/>
        <v>146283.16251699562</v>
      </c>
      <c r="N14" s="89">
        <f t="shared" si="36"/>
        <v>3597.7167367682155</v>
      </c>
      <c r="O14" s="89">
        <f t="shared" si="2"/>
        <v>139736.45063035094</v>
      </c>
      <c r="P14" s="89">
        <f t="shared" si="3"/>
        <v>3436.7056229796103</v>
      </c>
      <c r="Q14" s="104">
        <v>3900</v>
      </c>
      <c r="R14" s="104">
        <f t="shared" si="18"/>
        <v>158574</v>
      </c>
      <c r="S14" s="104">
        <f>R14-M14+(Q14-$BS$19)*D14*0.03</f>
        <v>16908.7836288951</v>
      </c>
      <c r="T14" s="105">
        <f t="shared" si="4"/>
        <v>0.10663023969184797</v>
      </c>
      <c r="U14" s="104">
        <f>R14-(M14-J14-I14)+(Q14-$BS$19)*D14*0.03</f>
        <v>23455.495515539784</v>
      </c>
      <c r="V14" s="105">
        <f t="shared" si="5"/>
        <v>0.14791514066328518</v>
      </c>
      <c r="X14" s="92" cm="1">
        <f t="array" ref="X14">SUM([6]Hoja3!$I$5:$I$19*([6]Hoja3!$F$5:$F$19=X$5)*([6]Hoja3!$K$5:$K$19=$C14))</f>
        <v>0</v>
      </c>
      <c r="Y14" s="92" cm="1">
        <f t="array" ref="Y14">SUM([6]Hoja3!$J$5:$J$19*([6]Hoja3!$F$5:$F$19=X$5)*([6]Hoja3!$K$5:$K$19=$C14))</f>
        <v>0</v>
      </c>
      <c r="Z14" s="103">
        <f t="shared" si="19"/>
        <v>0</v>
      </c>
      <c r="AA14" s="92" cm="1">
        <f t="array" ref="AA14">SUM([6]Hoja3!$I$5:$I$19*([6]Hoja3!$F$5:$F$19=AA$5)*([6]Hoja3!$K$5:$K$19=$C14))</f>
        <v>0</v>
      </c>
      <c r="AB14" s="92" cm="1">
        <f t="array" ref="AB14">SUM([6]Hoja3!$J$5:$J$19*([6]Hoja3!$F$5:$F$19=AA$5)*([6]Hoja3!$K$5:$K$19=$C14))</f>
        <v>0</v>
      </c>
      <c r="AC14" s="103">
        <f t="shared" si="20"/>
        <v>0</v>
      </c>
      <c r="AD14" s="92" cm="1">
        <f t="array" ref="AD14">SUM([6]Hoja3!$I$5:$I$19*([6]Hoja3!$F$5:$F$19=AD$5)*([6]Hoja3!$K$5:$K$19=$C14))</f>
        <v>0</v>
      </c>
      <c r="AE14" s="92" cm="1">
        <f t="array" ref="AE14">SUM([6]Hoja3!$J$5:$J$19*([6]Hoja3!$F$5:$F$19=AD$5)*([6]Hoja3!$K$5:$K$19=$C14))</f>
        <v>0</v>
      </c>
      <c r="AF14" s="103">
        <f t="shared" si="21"/>
        <v>0</v>
      </c>
      <c r="AG14" s="92" cm="1">
        <f t="array" ref="AG14">SUM([6]Hoja3!$I$5:$I$19*([6]Hoja3!$F$5:$F$19=AG$5)*([6]Hoja3!$K$5:$K$19=$C14))</f>
        <v>0</v>
      </c>
      <c r="AH14" s="92" cm="1">
        <f t="array" ref="AH14">SUM([6]Hoja3!$J$5:$J$19*([6]Hoja3!$F$5:$F$19=AG$5)*([6]Hoja3!$K$5:$K$19=$C14))</f>
        <v>0</v>
      </c>
      <c r="AI14" s="103">
        <f t="shared" si="22"/>
        <v>0</v>
      </c>
      <c r="AJ14" s="92" cm="1">
        <f t="array" ref="AJ14">SUM([6]Hoja3!$I$5:$I$19*([6]Hoja3!$F$5:$F$19=AJ$5)*([6]Hoja3!$K$5:$K$19=$C14))</f>
        <v>0</v>
      </c>
      <c r="AK14" s="92" cm="1">
        <f t="array" ref="AK14">SUM([6]Hoja3!$J$5:$J$19*([6]Hoja3!$F$5:$F$19=AJ$5)*([6]Hoja3!$K$5:$K$19=$C14))</f>
        <v>0</v>
      </c>
      <c r="AL14" s="103">
        <f t="shared" si="23"/>
        <v>0</v>
      </c>
      <c r="AM14" s="92" cm="1">
        <f t="array" ref="AM14">SUM([6]Hoja3!$I$5:$I$19*([6]Hoja3!$F$5:$F$19=AM$5)*([6]Hoja3!$K$5:$K$19=$C14))</f>
        <v>0</v>
      </c>
      <c r="AN14" s="92" cm="1">
        <f t="array" ref="AN14">SUM([6]Hoja3!$J$5:$J$19*([6]Hoja3!$F$5:$F$19=AM$5)*([6]Hoja3!$K$5:$K$19=$C14))</f>
        <v>0</v>
      </c>
      <c r="AO14" s="103">
        <f t="shared" si="24"/>
        <v>0</v>
      </c>
      <c r="AP14" s="92" cm="1">
        <f t="array" ref="AP14">SUM([6]Hoja3!$I$5:$I$19*([6]Hoja3!$F$5:$F$19=AP$5)*([6]Hoja3!$K$5:$K$19=$C14))</f>
        <v>0</v>
      </c>
      <c r="AQ14" s="92" cm="1">
        <f t="array" ref="AQ14">SUM([6]Hoja3!$J$5:$J$19*([6]Hoja3!$F$5:$F$19=AP$5)*([6]Hoja3!$K$5:$K$19=$C14))</f>
        <v>0</v>
      </c>
      <c r="AR14" s="103">
        <f t="shared" si="25"/>
        <v>0</v>
      </c>
      <c r="AS14" s="92" cm="1">
        <f t="array" ref="AS14">SUM([6]Hoja3!$I$5:$I$19*([6]Hoja3!$F$5:$F$19=AS$5)*([6]Hoja3!$K$5:$K$19=$C14))</f>
        <v>162</v>
      </c>
      <c r="AT14" s="92" cm="1">
        <f t="array" ref="AT14">SUM([6]Hoja3!$J$5:$J$19*([6]Hoja3!$F$5:$F$19=AS$5)*([6]Hoja3!$K$5:$K$19=$C14))</f>
        <v>550800</v>
      </c>
      <c r="AU14" s="103">
        <f t="shared" si="26"/>
        <v>3400</v>
      </c>
      <c r="AV14" s="92" cm="1">
        <f t="array" ref="AV14">SUM([2]Hoja2!$I$6:$I$26*([2]Hoja2!$F$6:$F$26=AV$5)*([2]Hoja2!$K$6:$K$26=$C14))</f>
        <v>0</v>
      </c>
      <c r="AW14" s="92" cm="1">
        <f t="array" ref="AW14">SUM([2]Hoja2!$J$6:$J$26*([2]Hoja2!$F$6:$F$26=AV$5)*([2]Hoja2!$K$6:$K$26=$C14))</f>
        <v>0</v>
      </c>
      <c r="AX14" s="103">
        <f t="shared" si="27"/>
        <v>0</v>
      </c>
      <c r="AY14" s="92" cm="1">
        <f t="array" ref="AY14">SUM([2]Hoja2!$I$6:$I$26*([2]Hoja2!$F$6:$F$26=AY$5)*([2]Hoja2!$K$6:$K$26=$C14))</f>
        <v>0</v>
      </c>
      <c r="AZ14" s="92" cm="1">
        <f t="array" ref="AZ14">SUM([2]Hoja2!$J$6:$J$26*([2]Hoja2!$F$6:$F$26=AY$5)*([2]Hoja2!$K$6:$K$26=$C14))</f>
        <v>0</v>
      </c>
      <c r="BA14" s="103">
        <f t="shared" si="28"/>
        <v>0</v>
      </c>
      <c r="BB14" s="92" cm="1">
        <f t="array" ref="BB14">SUM([2]Hoja2!$I$6:$I$26*([2]Hoja2!$F$6:$F$26=BB$5)*([2]Hoja2!$K$6:$K$26=$C14))</f>
        <v>0</v>
      </c>
      <c r="BC14" s="92" cm="1">
        <f t="array" ref="BC14">SUM([2]Hoja2!$J$6:$J$26*([2]Hoja2!$F$6:$F$26=BB$5)*([2]Hoja2!$K$6:$K$26=$C14))</f>
        <v>0</v>
      </c>
      <c r="BD14" s="103">
        <f t="shared" si="29"/>
        <v>0</v>
      </c>
      <c r="BE14" s="92" cm="1">
        <f t="array" ref="BE14">SUM([2]Hoja2!$I$6:$I$26*([2]Hoja2!$F$6:$F$26=BE$5)*([2]Hoja2!$K$6:$K$26=$C14))</f>
        <v>0</v>
      </c>
      <c r="BF14" s="92" cm="1">
        <f t="array" ref="BF14">SUM([2]Hoja2!$J$6:$J$26*([2]Hoja2!$F$6:$F$26=BE$5)*([2]Hoja2!$K$6:$K$26=$C14))</f>
        <v>0</v>
      </c>
      <c r="BG14" s="103">
        <f t="shared" si="30"/>
        <v>0</v>
      </c>
      <c r="BH14" s="92" cm="1">
        <f t="array" ref="BH14">SUM([2]Hoja2!$I$6:$I$26*([2]Hoja2!$F$6:$F$26=BH$5)*([2]Hoja2!$K$6:$K$26=$C14))</f>
        <v>0</v>
      </c>
      <c r="BI14" s="92" cm="1">
        <f t="array" ref="BI14">SUM([2]Hoja2!$J$6:$J$26*([2]Hoja2!$F$6:$F$26=BH$5)*([2]Hoja2!$K$6:$K$26=$C14))</f>
        <v>0</v>
      </c>
      <c r="BJ14" s="103">
        <f t="shared" si="31"/>
        <v>0</v>
      </c>
      <c r="BK14" s="92" cm="1">
        <f t="array" ref="BK14">SUM([2]Hoja2!$I$6:$I$26*([2]Hoja2!$F$6:$F$26=BK$5)*([2]Hoja2!$K$6:$K$26=$C14))</f>
        <v>0</v>
      </c>
      <c r="BL14" s="92" cm="1">
        <f t="array" ref="BL14">SUM([2]Hoja2!$J$6:$J$26*([2]Hoja2!$F$6:$F$26=BK$5)*([2]Hoja2!$K$6:$K$26=$C14))</f>
        <v>0</v>
      </c>
      <c r="BM14" s="103">
        <f t="shared" si="32"/>
        <v>0</v>
      </c>
      <c r="BN14" s="145">
        <f t="shared" si="37"/>
        <v>162</v>
      </c>
      <c r="BO14" s="146">
        <f t="shared" si="6"/>
        <v>550800</v>
      </c>
      <c r="BP14" s="147">
        <f t="shared" si="33"/>
        <v>3400</v>
      </c>
      <c r="BQ14" s="146">
        <f>-BN14*'[3]Stock Libre'!H36*1000</f>
        <v>-527290.19463982061</v>
      </c>
      <c r="BR14" s="147">
        <f t="shared" si="8"/>
        <v>-33670.080000000002</v>
      </c>
      <c r="BS14" s="146">
        <f t="shared" si="9"/>
        <v>-15912.247500000003</v>
      </c>
      <c r="BT14" s="147">
        <f>$BT$18/$BN$18*$BN14</f>
        <v>-31280.782500000005</v>
      </c>
      <c r="BU14" s="146">
        <f t="shared" si="11"/>
        <v>-25005.580875000003</v>
      </c>
      <c r="BV14" s="147">
        <f>(BO14-BN14*$BS$19)*0.03</f>
        <v>15969.096793760393</v>
      </c>
      <c r="BW14" s="146">
        <f t="shared" si="34"/>
        <v>-41384.207846060162</v>
      </c>
      <c r="BX14" s="148">
        <f t="shared" si="35"/>
        <v>-7.5134727389361222E-2</v>
      </c>
      <c r="BY14" s="149">
        <f t="shared" si="12"/>
        <v>14902.155528939784</v>
      </c>
      <c r="BZ14" s="150">
        <f t="shared" si="13"/>
        <v>2.7055474816521031E-2</v>
      </c>
      <c r="CB14" s="100">
        <f t="shared" si="14"/>
        <v>3400</v>
      </c>
      <c r="CC14" s="101">
        <f t="shared" si="15"/>
        <v>-3254.8777446902504</v>
      </c>
      <c r="CD14" s="101">
        <f t="shared" si="15"/>
        <v>-207.84</v>
      </c>
      <c r="CE14" s="101">
        <f t="shared" si="15"/>
        <v>-98.223750000000024</v>
      </c>
      <c r="CF14" s="101">
        <f t="shared" si="15"/>
        <v>-193.09125000000003</v>
      </c>
      <c r="CG14" s="101">
        <f t="shared" si="15"/>
        <v>-154.35543750000002</v>
      </c>
      <c r="CH14" s="101">
        <f t="shared" si="15"/>
        <v>98.574671566422182</v>
      </c>
      <c r="CI14" s="101">
        <f t="shared" si="15"/>
        <v>-255.45807312382817</v>
      </c>
      <c r="CJ14" s="101">
        <f t="shared" si="16"/>
        <v>91.988614376171512</v>
      </c>
      <c r="CK14" s="47">
        <f t="shared" si="17"/>
        <v>347.44668749999971</v>
      </c>
    </row>
    <row r="15" spans="2:93" x14ac:dyDescent="0.3">
      <c r="B15" s="46">
        <v>10009334</v>
      </c>
      <c r="C15" s="102" t="s">
        <v>112</v>
      </c>
      <c r="D15" s="83">
        <f>TD!F12</f>
        <v>32.787999999999997</v>
      </c>
      <c r="E15" s="84">
        <f t="shared" si="0"/>
        <v>2824.4285114873783</v>
      </c>
      <c r="F15" s="47">
        <f>TD!G12</f>
        <v>92607.362034648148</v>
      </c>
      <c r="G15" s="47">
        <f>TD!H12</f>
        <v>6814.6579199999996</v>
      </c>
      <c r="H15" s="47">
        <f>TD!I12</f>
        <v>1492.4476818951716</v>
      </c>
      <c r="I15" s="47">
        <f>TD!J12</f>
        <v>2933.8992703571294</v>
      </c>
      <c r="J15" s="47">
        <f>TD!K12</f>
        <v>2345.333128543657</v>
      </c>
      <c r="K15" s="86">
        <v>0</v>
      </c>
      <c r="L15" s="87">
        <v>0</v>
      </c>
      <c r="M15" s="88">
        <f t="shared" si="1"/>
        <v>103848.36690690044</v>
      </c>
      <c r="N15" s="89">
        <f>IFERROR(M15/D15,0)</f>
        <v>3167.2675035653424</v>
      </c>
      <c r="O15" s="89">
        <f t="shared" si="2"/>
        <v>98569.134507999654</v>
      </c>
      <c r="P15" s="89">
        <f t="shared" si="3"/>
        <v>3006.2563897767373</v>
      </c>
      <c r="Q15" s="104">
        <v>3900</v>
      </c>
      <c r="R15" s="104">
        <f>Q15*D15</f>
        <v>127873.19999999998</v>
      </c>
      <c r="S15" s="104">
        <f>R15-M15+(Q15-$BS$19)*D15*0.03</f>
        <v>27748.719424419392</v>
      </c>
      <c r="T15" s="105">
        <f t="shared" si="4"/>
        <v>0.21700183794899475</v>
      </c>
      <c r="U15" s="104">
        <f>R15-(M15-J15-I15)+(Q15-$BS$19)*D15*0.03</f>
        <v>33027.951823320182</v>
      </c>
      <c r="V15" s="105">
        <f t="shared" si="5"/>
        <v>0.25828673892043202</v>
      </c>
      <c r="X15" s="92" cm="1">
        <f t="array" ref="X15">SUM([6]Hoja3!$I$5:$I$19*([6]Hoja3!$F$5:$F$19=X$5)*([6]Hoja3!$K$5:$K$19=$C15))</f>
        <v>0</v>
      </c>
      <c r="Y15" s="92" cm="1">
        <f t="array" ref="Y15">SUM([6]Hoja3!$J$5:$J$19*([6]Hoja3!$F$5:$F$19=X$5)*([6]Hoja3!$K$5:$K$19=$C15))</f>
        <v>0</v>
      </c>
      <c r="Z15" s="103">
        <f t="shared" si="19"/>
        <v>0</v>
      </c>
      <c r="AA15" s="92" cm="1">
        <f t="array" ref="AA15">SUM([6]Hoja3!$I$5:$I$19*([6]Hoja3!$F$5:$F$19=AA$5)*([6]Hoja3!$K$5:$K$19=$C15))</f>
        <v>0</v>
      </c>
      <c r="AB15" s="92" cm="1">
        <f t="array" ref="AB15">SUM([6]Hoja3!$J$5:$J$19*([6]Hoja3!$F$5:$F$19=AA$5)*([6]Hoja3!$K$5:$K$19=$C15))</f>
        <v>0</v>
      </c>
      <c r="AC15" s="103">
        <f t="shared" si="20"/>
        <v>0</v>
      </c>
      <c r="AD15" s="92" cm="1">
        <f t="array" ref="AD15">SUM([6]Hoja3!$I$5:$I$19*([6]Hoja3!$F$5:$F$19=AD$5)*([6]Hoja3!$K$5:$K$19=$C15))</f>
        <v>0</v>
      </c>
      <c r="AE15" s="92" cm="1">
        <f t="array" ref="AE15">SUM([6]Hoja3!$J$5:$J$19*([6]Hoja3!$F$5:$F$19=AD$5)*([6]Hoja3!$K$5:$K$19=$C15))</f>
        <v>0</v>
      </c>
      <c r="AF15" s="103">
        <f t="shared" si="21"/>
        <v>0</v>
      </c>
      <c r="AG15" s="92" cm="1">
        <f t="array" ref="AG15">SUM([6]Hoja3!$I$5:$I$19*([6]Hoja3!$F$5:$F$19=AG$5)*([6]Hoja3!$K$5:$K$19=$C15))</f>
        <v>0</v>
      </c>
      <c r="AH15" s="92" cm="1">
        <f t="array" ref="AH15">SUM([6]Hoja3!$J$5:$J$19*([6]Hoja3!$F$5:$F$19=AG$5)*([6]Hoja3!$K$5:$K$19=$C15))</f>
        <v>0</v>
      </c>
      <c r="AI15" s="103">
        <f t="shared" si="22"/>
        <v>0</v>
      </c>
      <c r="AJ15" s="92" cm="1">
        <f t="array" ref="AJ15">SUM([6]Hoja3!$I$5:$I$19*([6]Hoja3!$F$5:$F$19=AJ$5)*([6]Hoja3!$K$5:$K$19=$C15))</f>
        <v>0</v>
      </c>
      <c r="AK15" s="92" cm="1">
        <f t="array" ref="AK15">SUM([6]Hoja3!$J$5:$J$19*([6]Hoja3!$F$5:$F$19=AJ$5)*([6]Hoja3!$K$5:$K$19=$C15))</f>
        <v>0</v>
      </c>
      <c r="AL15" s="103">
        <f t="shared" si="23"/>
        <v>0</v>
      </c>
      <c r="AM15" s="92" cm="1">
        <f t="array" ref="AM15">SUM([6]Hoja3!$I$5:$I$19*([6]Hoja3!$F$5:$F$19=AM$5)*([6]Hoja3!$K$5:$K$19=$C15))</f>
        <v>0</v>
      </c>
      <c r="AN15" s="92" cm="1">
        <f t="array" ref="AN15">SUM([6]Hoja3!$J$5:$J$19*([6]Hoja3!$F$5:$F$19=AM$5)*([6]Hoja3!$K$5:$K$19=$C15))</f>
        <v>0</v>
      </c>
      <c r="AO15" s="103">
        <f t="shared" si="24"/>
        <v>0</v>
      </c>
      <c r="AP15" s="92" cm="1">
        <f t="array" ref="AP15">SUM([6]Hoja3!$I$5:$I$19*([6]Hoja3!$F$5:$F$19=AP$5)*([6]Hoja3!$K$5:$K$19=$C15))</f>
        <v>0</v>
      </c>
      <c r="AQ15" s="92" cm="1">
        <f t="array" ref="AQ15">SUM([6]Hoja3!$J$5:$J$19*([6]Hoja3!$F$5:$F$19=AP$5)*([6]Hoja3!$K$5:$K$19=$C15))</f>
        <v>0</v>
      </c>
      <c r="AR15" s="103">
        <f t="shared" si="25"/>
        <v>0</v>
      </c>
      <c r="AS15" s="92" cm="1">
        <f t="array" ref="AS15">SUM([6]Hoja3!$I$5:$I$19*([6]Hoja3!$F$5:$F$19=AS$5)*([6]Hoja3!$K$5:$K$19=$C15))</f>
        <v>0</v>
      </c>
      <c r="AT15" s="92" cm="1">
        <f t="array" ref="AT15">SUM([6]Hoja3!$J$5:$J$19*([6]Hoja3!$F$5:$F$19=AS$5)*([6]Hoja3!$K$5:$K$19=$C15))</f>
        <v>0</v>
      </c>
      <c r="AU15" s="103">
        <f t="shared" si="26"/>
        <v>0</v>
      </c>
      <c r="AV15" s="92" cm="1">
        <f t="array" ref="AV15">SUM([2]Hoja2!$I$6:$I$26*([2]Hoja2!$F$6:$F$26=AV$5)*([2]Hoja2!$K$6:$K$26=$C15))</f>
        <v>0</v>
      </c>
      <c r="AW15" s="92" cm="1">
        <f t="array" ref="AW15">SUM([2]Hoja2!$J$6:$J$26*([2]Hoja2!$F$6:$F$26=AV$5)*([2]Hoja2!$K$6:$K$26=$C15))</f>
        <v>0</v>
      </c>
      <c r="AX15" s="103">
        <f t="shared" si="27"/>
        <v>0</v>
      </c>
      <c r="AY15" s="92" cm="1">
        <f t="array" ref="AY15">SUM([2]Hoja2!$I$6:$I$26*([2]Hoja2!$F$6:$F$26=AY$5)*([2]Hoja2!$K$6:$K$26=$C15))</f>
        <v>0</v>
      </c>
      <c r="AZ15" s="92" cm="1">
        <f t="array" ref="AZ15">SUM([2]Hoja2!$J$6:$J$26*([2]Hoja2!$F$6:$F$26=AY$5)*([2]Hoja2!$K$6:$K$26=$C15))</f>
        <v>0</v>
      </c>
      <c r="BA15" s="103">
        <f t="shared" si="28"/>
        <v>0</v>
      </c>
      <c r="BB15" s="92" cm="1">
        <f t="array" ref="BB15">SUM([2]Hoja2!$I$6:$I$26*([2]Hoja2!$F$6:$F$26=BB$5)*([2]Hoja2!$K$6:$K$26=$C15))</f>
        <v>0</v>
      </c>
      <c r="BC15" s="92" cm="1">
        <f t="array" ref="BC15">SUM([2]Hoja2!$J$6:$J$26*([2]Hoja2!$F$6:$F$26=BB$5)*([2]Hoja2!$K$6:$K$26=$C15))</f>
        <v>0</v>
      </c>
      <c r="BD15" s="103">
        <f t="shared" si="29"/>
        <v>0</v>
      </c>
      <c r="BE15" s="92" cm="1">
        <f t="array" ref="BE15">SUM([2]Hoja2!$I$6:$I$26*([2]Hoja2!$F$6:$F$26=BE$5)*([2]Hoja2!$K$6:$K$26=$C15))</f>
        <v>0</v>
      </c>
      <c r="BF15" s="92" cm="1">
        <f t="array" ref="BF15">SUM([2]Hoja2!$J$6:$J$26*([2]Hoja2!$F$6:$F$26=BE$5)*([2]Hoja2!$K$6:$K$26=$C15))</f>
        <v>0</v>
      </c>
      <c r="BG15" s="103">
        <f t="shared" si="30"/>
        <v>0</v>
      </c>
      <c r="BH15" s="92" cm="1">
        <f t="array" ref="BH15">SUM([2]Hoja2!$I$6:$I$26*([2]Hoja2!$F$6:$F$26=BH$5)*([2]Hoja2!$K$6:$K$26=$C15))</f>
        <v>0</v>
      </c>
      <c r="BI15" s="92" cm="1">
        <f t="array" ref="BI15">SUM([2]Hoja2!$J$6:$J$26*([2]Hoja2!$F$6:$F$26=BH$5)*([2]Hoja2!$K$6:$K$26=$C15))</f>
        <v>0</v>
      </c>
      <c r="BJ15" s="103">
        <f t="shared" si="31"/>
        <v>0</v>
      </c>
      <c r="BK15" s="92" cm="1">
        <f t="array" ref="BK15">SUM([2]Hoja2!$I$6:$I$26*([2]Hoja2!$F$6:$F$26=BK$5)*([2]Hoja2!$K$6:$K$26=$C15))</f>
        <v>0</v>
      </c>
      <c r="BL15" s="92" cm="1">
        <f t="array" ref="BL15">SUM([2]Hoja2!$J$6:$J$26*([2]Hoja2!$F$6:$F$26=BK$5)*([2]Hoja2!$K$6:$K$26=$C15))</f>
        <v>0</v>
      </c>
      <c r="BM15" s="103">
        <f t="shared" si="32"/>
        <v>0</v>
      </c>
      <c r="BN15" s="94">
        <f t="shared" si="37"/>
        <v>0</v>
      </c>
      <c r="BO15" s="95">
        <f t="shared" si="6"/>
        <v>0</v>
      </c>
      <c r="BP15" s="96">
        <f t="shared" si="33"/>
        <v>0</v>
      </c>
      <c r="BQ15" s="95">
        <f>-BN15*'[4]Stock Libre'!H47*1000</f>
        <v>0</v>
      </c>
      <c r="BR15" s="96">
        <f t="shared" si="8"/>
        <v>0</v>
      </c>
      <c r="BS15" s="95">
        <f t="shared" si="9"/>
        <v>0</v>
      </c>
      <c r="BT15" s="96">
        <f t="shared" si="10"/>
        <v>0</v>
      </c>
      <c r="BU15" s="95">
        <f t="shared" si="11"/>
        <v>0</v>
      </c>
      <c r="BV15" s="96">
        <f>(BO15-BN15*$BS$19)*0.03</f>
        <v>0</v>
      </c>
      <c r="BW15" s="95">
        <f t="shared" si="34"/>
        <v>0</v>
      </c>
      <c r="BX15" s="97">
        <f t="shared" si="35"/>
        <v>0</v>
      </c>
      <c r="BY15" s="98">
        <f t="shared" si="12"/>
        <v>0</v>
      </c>
      <c r="BZ15" s="99">
        <f t="shared" si="13"/>
        <v>0</v>
      </c>
      <c r="CB15" s="100">
        <f t="shared" si="14"/>
        <v>0</v>
      </c>
      <c r="CC15" s="101">
        <f t="shared" si="15"/>
        <v>0</v>
      </c>
      <c r="CD15" s="101">
        <f t="shared" si="15"/>
        <v>0</v>
      </c>
      <c r="CE15" s="101">
        <f t="shared" si="15"/>
        <v>0</v>
      </c>
      <c r="CF15" s="101">
        <f t="shared" si="15"/>
        <v>0</v>
      </c>
      <c r="CG15" s="101">
        <f t="shared" si="15"/>
        <v>0</v>
      </c>
      <c r="CH15" s="101">
        <f t="shared" si="15"/>
        <v>0</v>
      </c>
      <c r="CI15" s="101">
        <f t="shared" si="15"/>
        <v>0</v>
      </c>
      <c r="CJ15" s="101">
        <f t="shared" si="16"/>
        <v>0</v>
      </c>
      <c r="CK15" s="47">
        <f t="shared" si="17"/>
        <v>0</v>
      </c>
    </row>
    <row r="16" spans="2:93" x14ac:dyDescent="0.3">
      <c r="B16" s="46">
        <v>10009386</v>
      </c>
      <c r="C16" s="102" t="s">
        <v>113</v>
      </c>
      <c r="D16" s="83">
        <f>TD!F13</f>
        <v>19.739999999999998</v>
      </c>
      <c r="E16" s="84">
        <f t="shared" si="0"/>
        <v>1742.1709268610136</v>
      </c>
      <c r="F16" s="47">
        <f>TD!G13</f>
        <v>34390.454096236404</v>
      </c>
      <c r="G16" s="47">
        <f>TD!H13</f>
        <v>4102.7615999999998</v>
      </c>
      <c r="H16" s="47">
        <f>TD!I13</f>
        <v>898.52742590614514</v>
      </c>
      <c r="I16" s="47">
        <f>TD!J13</f>
        <v>1766.3526777128745</v>
      </c>
      <c r="J16" s="47">
        <f>TD!K13</f>
        <v>1412.0067084741913</v>
      </c>
      <c r="K16" s="86">
        <v>0</v>
      </c>
      <c r="L16" s="87">
        <v>0</v>
      </c>
      <c r="M16" s="88">
        <f t="shared" si="1"/>
        <v>41158.095799855422</v>
      </c>
      <c r="N16" s="89">
        <f t="shared" ref="N16:N18" si="38">IFERROR(M16/D16,0)</f>
        <v>2085.009918938978</v>
      </c>
      <c r="O16" s="89">
        <f t="shared" si="2"/>
        <v>37979.736413668361</v>
      </c>
      <c r="P16" s="89">
        <f t="shared" si="3"/>
        <v>1923.9988051503731</v>
      </c>
      <c r="Q16" s="104">
        <v>2000</v>
      </c>
      <c r="R16" s="104">
        <f t="shared" ref="R16:R17" si="39">Q16*D16</f>
        <v>39480</v>
      </c>
      <c r="S16" s="104">
        <f>R16-M16+(Q16-$BS$19)*D16*0.03</f>
        <v>-561.31178313424834</v>
      </c>
      <c r="T16" s="105">
        <f t="shared" si="4"/>
        <v>-1.421762368627782E-2</v>
      </c>
      <c r="U16" s="104">
        <f>R16-(M16-J16-I16)+(Q16-$BS$19)*D16*0.03</f>
        <v>2617.047603052813</v>
      </c>
      <c r="V16" s="105">
        <f t="shared" si="5"/>
        <v>6.6287933208024646E-2</v>
      </c>
      <c r="X16" s="92" cm="1">
        <f t="array" ref="X16">SUM([6]Hoja3!$I$5:$I$19*([6]Hoja3!$F$5:$F$19=X$5)*([6]Hoja3!$K$5:$K$19=$C16))</f>
        <v>0</v>
      </c>
      <c r="Y16" s="92" cm="1">
        <f t="array" ref="Y16">SUM([6]Hoja3!$J$5:$J$19*([6]Hoja3!$F$5:$F$19=X$5)*([6]Hoja3!$K$5:$K$19=$C16))</f>
        <v>0</v>
      </c>
      <c r="Z16" s="103">
        <f t="shared" si="19"/>
        <v>0</v>
      </c>
      <c r="AA16" s="92" cm="1">
        <f t="array" ref="AA16">SUM([6]Hoja3!$I$5:$I$19*([6]Hoja3!$F$5:$F$19=AA$5)*([6]Hoja3!$K$5:$K$19=$C16))</f>
        <v>0</v>
      </c>
      <c r="AB16" s="92" cm="1">
        <f t="array" ref="AB16">SUM([6]Hoja3!$J$5:$J$19*([6]Hoja3!$F$5:$F$19=AA$5)*([6]Hoja3!$K$5:$K$19=$C16))</f>
        <v>0</v>
      </c>
      <c r="AC16" s="103">
        <f t="shared" si="20"/>
        <v>0</v>
      </c>
      <c r="AD16" s="92" cm="1">
        <f t="array" ref="AD16">SUM([6]Hoja3!$I$5:$I$19*([6]Hoja3!$F$5:$F$19=AD$5)*([6]Hoja3!$K$5:$K$19=$C16))</f>
        <v>0</v>
      </c>
      <c r="AE16" s="92" cm="1">
        <f t="array" ref="AE16">SUM([6]Hoja3!$J$5:$J$19*([6]Hoja3!$F$5:$F$19=AD$5)*([6]Hoja3!$K$5:$K$19=$C16))</f>
        <v>0</v>
      </c>
      <c r="AF16" s="103">
        <f t="shared" si="21"/>
        <v>0</v>
      </c>
      <c r="AG16" s="92" cm="1">
        <f t="array" ref="AG16">SUM([6]Hoja3!$I$5:$I$19*([6]Hoja3!$F$5:$F$19=AG$5)*([6]Hoja3!$K$5:$K$19=$C16))</f>
        <v>0</v>
      </c>
      <c r="AH16" s="92" cm="1">
        <f t="array" ref="AH16">SUM([6]Hoja3!$J$5:$J$19*([6]Hoja3!$F$5:$F$19=AG$5)*([6]Hoja3!$K$5:$K$19=$C16))</f>
        <v>0</v>
      </c>
      <c r="AI16" s="103">
        <f t="shared" si="22"/>
        <v>0</v>
      </c>
      <c r="AJ16" s="92" cm="1">
        <f t="array" ref="AJ16">SUM([6]Hoja3!$I$5:$I$19*([6]Hoja3!$F$5:$F$19=AJ$5)*([6]Hoja3!$K$5:$K$19=$C16))</f>
        <v>0</v>
      </c>
      <c r="AK16" s="92" cm="1">
        <f t="array" ref="AK16">SUM([6]Hoja3!$J$5:$J$19*([6]Hoja3!$F$5:$F$19=AJ$5)*([6]Hoja3!$K$5:$K$19=$C16))</f>
        <v>0</v>
      </c>
      <c r="AL16" s="103">
        <f t="shared" si="23"/>
        <v>0</v>
      </c>
      <c r="AM16" s="92" cm="1">
        <f t="array" ref="AM16">SUM([6]Hoja3!$I$5:$I$19*([6]Hoja3!$F$5:$F$19=AM$5)*([6]Hoja3!$K$5:$K$19=$C16))</f>
        <v>0</v>
      </c>
      <c r="AN16" s="92" cm="1">
        <f t="array" ref="AN16">SUM([6]Hoja3!$J$5:$J$19*([6]Hoja3!$F$5:$F$19=AM$5)*([6]Hoja3!$K$5:$K$19=$C16))</f>
        <v>0</v>
      </c>
      <c r="AO16" s="103">
        <f t="shared" si="24"/>
        <v>0</v>
      </c>
      <c r="AP16" s="92" cm="1">
        <f t="array" ref="AP16">SUM([6]Hoja3!$I$5:$I$19*([6]Hoja3!$F$5:$F$19=AP$5)*([6]Hoja3!$K$5:$K$19=$C16))</f>
        <v>0</v>
      </c>
      <c r="AQ16" s="92" cm="1">
        <f t="array" ref="AQ16">SUM([6]Hoja3!$J$5:$J$19*([6]Hoja3!$F$5:$F$19=AP$5)*([6]Hoja3!$K$5:$K$19=$C16))</f>
        <v>0</v>
      </c>
      <c r="AR16" s="103">
        <f t="shared" si="25"/>
        <v>0</v>
      </c>
      <c r="AS16" s="92" cm="1">
        <f t="array" ref="AS16">SUM([6]Hoja3!$I$5:$I$19*([6]Hoja3!$F$5:$F$19=AS$5)*([6]Hoja3!$K$5:$K$19=$C16))</f>
        <v>0</v>
      </c>
      <c r="AT16" s="92" cm="1">
        <f t="array" ref="AT16">SUM([6]Hoja3!$J$5:$J$19*([6]Hoja3!$F$5:$F$19=AS$5)*([6]Hoja3!$K$5:$K$19=$C16))</f>
        <v>0</v>
      </c>
      <c r="AU16" s="103">
        <f t="shared" si="26"/>
        <v>0</v>
      </c>
      <c r="AV16" s="92" cm="1">
        <f t="array" ref="AV16">SUM([2]Hoja2!$I$6:$I$26*([2]Hoja2!$F$6:$F$26=AV$5)*([2]Hoja2!$K$6:$K$26=$C16))</f>
        <v>0</v>
      </c>
      <c r="AW16" s="92" cm="1">
        <f t="array" ref="AW16">SUM([2]Hoja2!$J$6:$J$26*([2]Hoja2!$F$6:$F$26=AV$5)*([2]Hoja2!$K$6:$K$26=$C16))</f>
        <v>0</v>
      </c>
      <c r="AX16" s="103">
        <f t="shared" si="27"/>
        <v>0</v>
      </c>
      <c r="AY16" s="92" cm="1">
        <f t="array" ref="AY16">SUM([2]Hoja2!$I$6:$I$26*([2]Hoja2!$F$6:$F$26=AY$5)*([2]Hoja2!$K$6:$K$26=$C16))</f>
        <v>0</v>
      </c>
      <c r="AZ16" s="92" cm="1">
        <f t="array" ref="AZ16">SUM([2]Hoja2!$J$6:$J$26*([2]Hoja2!$F$6:$F$26=AY$5)*([2]Hoja2!$K$6:$K$26=$C16))</f>
        <v>0</v>
      </c>
      <c r="BA16" s="103">
        <f t="shared" si="28"/>
        <v>0</v>
      </c>
      <c r="BB16" s="92" cm="1">
        <f t="array" ref="BB16">SUM([2]Hoja2!$I$6:$I$26*([2]Hoja2!$F$6:$F$26=BB$5)*([2]Hoja2!$K$6:$K$26=$C16))</f>
        <v>0</v>
      </c>
      <c r="BC16" s="92" cm="1">
        <f t="array" ref="BC16">SUM([2]Hoja2!$J$6:$J$26*([2]Hoja2!$F$6:$F$26=BB$5)*([2]Hoja2!$K$6:$K$26=$C16))</f>
        <v>0</v>
      </c>
      <c r="BD16" s="103">
        <f t="shared" si="29"/>
        <v>0</v>
      </c>
      <c r="BE16" s="92" cm="1">
        <f t="array" ref="BE16">SUM([2]Hoja2!$I$6:$I$26*([2]Hoja2!$F$6:$F$26=BE$5)*([2]Hoja2!$K$6:$K$26=$C16))</f>
        <v>0</v>
      </c>
      <c r="BF16" s="92" cm="1">
        <f t="array" ref="BF16">SUM([2]Hoja2!$J$6:$J$26*([2]Hoja2!$F$6:$F$26=BE$5)*([2]Hoja2!$K$6:$K$26=$C16))</f>
        <v>0</v>
      </c>
      <c r="BG16" s="103">
        <f t="shared" si="30"/>
        <v>0</v>
      </c>
      <c r="BH16" s="92" cm="1">
        <f t="array" ref="BH16">SUM([2]Hoja2!$I$6:$I$26*([2]Hoja2!$F$6:$F$26=BH$5)*([2]Hoja2!$K$6:$K$26=$C16))</f>
        <v>0</v>
      </c>
      <c r="BI16" s="92" cm="1">
        <f t="array" ref="BI16">SUM([2]Hoja2!$J$6:$J$26*([2]Hoja2!$F$6:$F$26=BH$5)*([2]Hoja2!$K$6:$K$26=$C16))</f>
        <v>0</v>
      </c>
      <c r="BJ16" s="103">
        <f t="shared" si="31"/>
        <v>0</v>
      </c>
      <c r="BK16" s="92" cm="1">
        <f t="array" ref="BK16">SUM([2]Hoja2!$I$6:$I$26*([2]Hoja2!$F$6:$F$26=BK$5)*([2]Hoja2!$K$6:$K$26=$C16))</f>
        <v>0</v>
      </c>
      <c r="BL16" s="92" cm="1">
        <f t="array" ref="BL16">SUM([2]Hoja2!$J$6:$J$26*([2]Hoja2!$F$6:$F$26=BK$5)*([2]Hoja2!$K$6:$K$26=$C16))</f>
        <v>0</v>
      </c>
      <c r="BM16" s="103">
        <f t="shared" si="32"/>
        <v>0</v>
      </c>
      <c r="BN16" s="94">
        <f t="shared" si="37"/>
        <v>0</v>
      </c>
      <c r="BO16" s="95">
        <f t="shared" si="6"/>
        <v>0</v>
      </c>
      <c r="BP16" s="96">
        <f t="shared" si="33"/>
        <v>0</v>
      </c>
      <c r="BQ16" s="95">
        <f>-IFERROR(F16/D16*BN16,0)</f>
        <v>0</v>
      </c>
      <c r="BR16" s="96">
        <f t="shared" si="8"/>
        <v>0</v>
      </c>
      <c r="BS16" s="95">
        <f t="shared" si="9"/>
        <v>0</v>
      </c>
      <c r="BT16" s="96">
        <f t="shared" si="10"/>
        <v>0</v>
      </c>
      <c r="BU16" s="95">
        <f t="shared" si="11"/>
        <v>0</v>
      </c>
      <c r="BV16" s="96">
        <f>(BO16-BN16*$BS$19)*0.03</f>
        <v>0</v>
      </c>
      <c r="BW16" s="95">
        <f t="shared" si="34"/>
        <v>0</v>
      </c>
      <c r="BX16" s="97">
        <f t="shared" si="35"/>
        <v>0</v>
      </c>
      <c r="BY16" s="98">
        <f t="shared" si="12"/>
        <v>0</v>
      </c>
      <c r="BZ16" s="99">
        <f t="shared" si="13"/>
        <v>0</v>
      </c>
      <c r="CB16" s="100">
        <f t="shared" si="14"/>
        <v>0</v>
      </c>
      <c r="CC16" s="101">
        <f t="shared" si="15"/>
        <v>0</v>
      </c>
      <c r="CD16" s="101">
        <f t="shared" si="15"/>
        <v>0</v>
      </c>
      <c r="CE16" s="101">
        <f t="shared" si="15"/>
        <v>0</v>
      </c>
      <c r="CF16" s="101">
        <f t="shared" si="15"/>
        <v>0</v>
      </c>
      <c r="CG16" s="101">
        <f t="shared" si="15"/>
        <v>0</v>
      </c>
      <c r="CH16" s="101">
        <f t="shared" si="15"/>
        <v>0</v>
      </c>
      <c r="CI16" s="101">
        <f t="shared" si="15"/>
        <v>0</v>
      </c>
      <c r="CJ16" s="101">
        <f t="shared" si="16"/>
        <v>0</v>
      </c>
      <c r="CK16" s="47">
        <f t="shared" si="17"/>
        <v>0</v>
      </c>
    </row>
    <row r="17" spans="2:89" ht="15" thickBot="1" x14ac:dyDescent="0.35">
      <c r="B17" s="46">
        <v>10009386</v>
      </c>
      <c r="C17" s="102" t="s">
        <v>114</v>
      </c>
      <c r="D17" s="83">
        <f>TD!F14</f>
        <v>20.94</v>
      </c>
      <c r="E17" s="84">
        <f t="shared" si="0"/>
        <v>1416.8704986990338</v>
      </c>
      <c r="F17" s="47">
        <f>TD!G14</f>
        <v>29669.268242757767</v>
      </c>
      <c r="G17" s="47">
        <f>TD!H14</f>
        <v>4352.1696000000002</v>
      </c>
      <c r="H17" s="47">
        <f>TD!I14</f>
        <v>953.14915392475586</v>
      </c>
      <c r="I17" s="47">
        <f>TD!J14</f>
        <v>1873.7297401878216</v>
      </c>
      <c r="J17" s="47">
        <f>TD!K14</f>
        <v>1497.842982545571</v>
      </c>
      <c r="K17" s="86">
        <v>0</v>
      </c>
      <c r="L17" s="87">
        <v>0</v>
      </c>
      <c r="M17" s="88">
        <f t="shared" si="1"/>
        <v>36848.316736870351</v>
      </c>
      <c r="N17" s="89">
        <f t="shared" si="38"/>
        <v>1759.7094907769986</v>
      </c>
      <c r="O17" s="89">
        <f t="shared" si="2"/>
        <v>33476.744014136959</v>
      </c>
      <c r="P17" s="89">
        <f t="shared" si="3"/>
        <v>1598.6983769883934</v>
      </c>
      <c r="Q17" s="104">
        <v>1700</v>
      </c>
      <c r="R17" s="104">
        <f t="shared" si="39"/>
        <v>35598</v>
      </c>
      <c r="S17" s="104">
        <f>R17-M17+(Q17-$BS$19)*D17*0.03</f>
        <v>-254.1031142694701</v>
      </c>
      <c r="T17" s="105">
        <f t="shared" si="4"/>
        <v>-7.1381289473978898E-3</v>
      </c>
      <c r="U17" s="104">
        <f>R17-(M17-J17-I17)+(Q17-$BS$19)*D17*0.03</f>
        <v>3117.4696084639218</v>
      </c>
      <c r="V17" s="105">
        <f t="shared" si="5"/>
        <v>8.7574290928252196E-2</v>
      </c>
      <c r="X17" s="92" cm="1">
        <f t="array" ref="X17">SUM([6]Hoja3!$I$5:$I$19*([6]Hoja3!$F$5:$F$19=X$5)*([6]Hoja3!$K$5:$K$19=$C17))</f>
        <v>0</v>
      </c>
      <c r="Y17" s="92" cm="1">
        <f t="array" ref="Y17">SUM([6]Hoja3!$J$5:$J$19*([6]Hoja3!$F$5:$F$19=X$5)*([6]Hoja3!$K$5:$K$19=$C17))</f>
        <v>0</v>
      </c>
      <c r="Z17" s="103">
        <f t="shared" si="19"/>
        <v>0</v>
      </c>
      <c r="AA17" s="92" cm="1">
        <f t="array" ref="AA17">SUM([6]Hoja3!$I$5:$I$19*([6]Hoja3!$F$5:$F$19=AA$5)*([6]Hoja3!$K$5:$K$19=$C17))</f>
        <v>0</v>
      </c>
      <c r="AB17" s="92" cm="1">
        <f t="array" ref="AB17">SUM([6]Hoja3!$J$5:$J$19*([6]Hoja3!$F$5:$F$19=AA$5)*([6]Hoja3!$K$5:$K$19=$C17))</f>
        <v>0</v>
      </c>
      <c r="AC17" s="103">
        <f t="shared" si="20"/>
        <v>0</v>
      </c>
      <c r="AD17" s="92" cm="1">
        <f t="array" ref="AD17">SUM([6]Hoja3!$I$5:$I$19*([6]Hoja3!$F$5:$F$19=AD$5)*([6]Hoja3!$K$5:$K$19=$C17))</f>
        <v>54</v>
      </c>
      <c r="AE17" s="92" cm="1">
        <f t="array" ref="AE17">SUM([6]Hoja3!$J$5:$J$19*([6]Hoja3!$F$5:$F$19=AD$5)*([6]Hoja3!$K$5:$K$19=$C17))</f>
        <v>91800</v>
      </c>
      <c r="AF17" s="103">
        <f t="shared" si="21"/>
        <v>1700</v>
      </c>
      <c r="AG17" s="92" cm="1">
        <f t="array" ref="AG17">SUM([6]Hoja3!$I$5:$I$19*([6]Hoja3!$F$5:$F$19=AG$5)*([6]Hoja3!$K$5:$K$19=$C17))</f>
        <v>0</v>
      </c>
      <c r="AH17" s="92" cm="1">
        <f t="array" ref="AH17">SUM([6]Hoja3!$J$5:$J$19*([6]Hoja3!$F$5:$F$19=AG$5)*([6]Hoja3!$K$5:$K$19=$C17))</f>
        <v>0</v>
      </c>
      <c r="AI17" s="103">
        <f t="shared" si="22"/>
        <v>0</v>
      </c>
      <c r="AJ17" s="92" cm="1">
        <f t="array" ref="AJ17">SUM([6]Hoja3!$I$5:$I$19*([6]Hoja3!$F$5:$F$19=AJ$5)*([6]Hoja3!$K$5:$K$19=$C17))</f>
        <v>0</v>
      </c>
      <c r="AK17" s="92" cm="1">
        <f t="array" ref="AK17">SUM([6]Hoja3!$J$5:$J$19*([6]Hoja3!$F$5:$F$19=AJ$5)*([6]Hoja3!$K$5:$K$19=$C17))</f>
        <v>0</v>
      </c>
      <c r="AL17" s="103">
        <f t="shared" si="23"/>
        <v>0</v>
      </c>
      <c r="AM17" s="92" cm="1">
        <f t="array" ref="AM17">SUM([6]Hoja3!$I$5:$I$19*([6]Hoja3!$F$5:$F$19=AM$5)*([6]Hoja3!$K$5:$K$19=$C17))</f>
        <v>54</v>
      </c>
      <c r="AN17" s="92" cm="1">
        <f t="array" ref="AN17">SUM([6]Hoja3!$J$5:$J$19*([6]Hoja3!$F$5:$F$19=AM$5)*([6]Hoja3!$K$5:$K$19=$C17))</f>
        <v>91800</v>
      </c>
      <c r="AO17" s="103">
        <f t="shared" si="24"/>
        <v>1700</v>
      </c>
      <c r="AP17" s="92" cm="1">
        <f t="array" ref="AP17">SUM([6]Hoja3!$I$5:$I$19*([6]Hoja3!$F$5:$F$19=AP$5)*([6]Hoja3!$K$5:$K$19=$C17))</f>
        <v>27</v>
      </c>
      <c r="AQ17" s="92" cm="1">
        <f t="array" ref="AQ17">SUM([6]Hoja3!$J$5:$J$19*([6]Hoja3!$F$5:$F$19=AP$5)*([6]Hoja3!$K$5:$K$19=$C17))</f>
        <v>45900</v>
      </c>
      <c r="AR17" s="103">
        <f t="shared" si="25"/>
        <v>1700</v>
      </c>
      <c r="AS17" s="92" cm="1">
        <f t="array" ref="AS17">SUM([6]Hoja3!$I$5:$I$19*([6]Hoja3!$F$5:$F$19=AS$5)*([6]Hoja3!$K$5:$K$19=$C17))</f>
        <v>27</v>
      </c>
      <c r="AT17" s="92" cm="1">
        <f t="array" ref="AT17">SUM([6]Hoja3!$J$5:$J$19*([6]Hoja3!$F$5:$F$19=AS$5)*([6]Hoja3!$K$5:$K$19=$C17))</f>
        <v>45900</v>
      </c>
      <c r="AU17" s="103">
        <f t="shared" si="26"/>
        <v>1700</v>
      </c>
      <c r="AV17" s="92" cm="1">
        <f t="array" ref="AV17">SUM([2]Hoja2!$I$6:$I$26*([2]Hoja2!$F$6:$F$26=AV$5)*([2]Hoja2!$K$6:$K$26=$C17))</f>
        <v>0</v>
      </c>
      <c r="AW17" s="92" cm="1">
        <f t="array" ref="AW17">SUM([2]Hoja2!$J$6:$J$26*([2]Hoja2!$F$6:$F$26=AV$5)*([2]Hoja2!$K$6:$K$26=$C17))</f>
        <v>0</v>
      </c>
      <c r="AX17" s="103">
        <f t="shared" si="27"/>
        <v>0</v>
      </c>
      <c r="AY17" s="92" cm="1">
        <f t="array" ref="AY17">SUM([2]Hoja2!$I$6:$I$26*([2]Hoja2!$F$6:$F$26=AY$5)*([2]Hoja2!$K$6:$K$26=$C17))</f>
        <v>0</v>
      </c>
      <c r="AZ17" s="92" cm="1">
        <f t="array" ref="AZ17">SUM([2]Hoja2!$J$6:$J$26*([2]Hoja2!$F$6:$F$26=AY$5)*([2]Hoja2!$K$6:$K$26=$C17))</f>
        <v>0</v>
      </c>
      <c r="BA17" s="103">
        <f t="shared" si="28"/>
        <v>0</v>
      </c>
      <c r="BB17" s="92" cm="1">
        <f t="array" ref="BB17">SUM([2]Hoja2!$I$6:$I$26*([2]Hoja2!$F$6:$F$26=BB$5)*([2]Hoja2!$K$6:$K$26=$C17))</f>
        <v>0</v>
      </c>
      <c r="BC17" s="92" cm="1">
        <f t="array" ref="BC17">SUM([2]Hoja2!$J$6:$J$26*([2]Hoja2!$F$6:$F$26=BB$5)*([2]Hoja2!$K$6:$K$26=$C17))</f>
        <v>0</v>
      </c>
      <c r="BD17" s="103">
        <f t="shared" si="29"/>
        <v>0</v>
      </c>
      <c r="BE17" s="92" cm="1">
        <f t="array" ref="BE17">SUM([2]Hoja2!$I$6:$I$26*([2]Hoja2!$F$6:$F$26=BE$5)*([2]Hoja2!$K$6:$K$26=$C17))</f>
        <v>0</v>
      </c>
      <c r="BF17" s="92" cm="1">
        <f t="array" ref="BF17">SUM([2]Hoja2!$J$6:$J$26*([2]Hoja2!$F$6:$F$26=BE$5)*([2]Hoja2!$K$6:$K$26=$C17))</f>
        <v>0</v>
      </c>
      <c r="BG17" s="103">
        <f t="shared" si="30"/>
        <v>0</v>
      </c>
      <c r="BH17" s="92" cm="1">
        <f t="array" ref="BH17">SUM([2]Hoja2!$I$6:$I$26*([2]Hoja2!$F$6:$F$26=BH$5)*([2]Hoja2!$K$6:$K$26=$C17))</f>
        <v>0</v>
      </c>
      <c r="BI17" s="92" cm="1">
        <f t="array" ref="BI17">SUM([2]Hoja2!$J$6:$J$26*([2]Hoja2!$F$6:$F$26=BH$5)*([2]Hoja2!$K$6:$K$26=$C17))</f>
        <v>0</v>
      </c>
      <c r="BJ17" s="103">
        <f t="shared" si="31"/>
        <v>0</v>
      </c>
      <c r="BK17" s="92" cm="1">
        <f t="array" ref="BK17">SUM([2]Hoja2!$I$6:$I$26*([2]Hoja2!$F$6:$F$26=BK$5)*([2]Hoja2!$K$6:$K$26=$C17))</f>
        <v>0</v>
      </c>
      <c r="BL17" s="92" cm="1">
        <f t="array" ref="BL17">SUM([2]Hoja2!$J$6:$J$26*([2]Hoja2!$F$6:$F$26=BK$5)*([2]Hoja2!$K$6:$K$26=$C17))</f>
        <v>0</v>
      </c>
      <c r="BM17" s="103">
        <f t="shared" si="32"/>
        <v>0</v>
      </c>
      <c r="BN17" s="94">
        <f t="shared" si="37"/>
        <v>162</v>
      </c>
      <c r="BO17" s="95">
        <f t="shared" si="6"/>
        <v>275400</v>
      </c>
      <c r="BP17" s="96">
        <f>IFERROR(BO17/BN17,0)</f>
        <v>1700</v>
      </c>
      <c r="BQ17" s="95">
        <f>-IFERROR(F17/D17*BN17,0)</f>
        <v>-229533.02078924346</v>
      </c>
      <c r="BR17" s="96">
        <f t="shared" si="8"/>
        <v>-33670.080000000002</v>
      </c>
      <c r="BS17" s="95">
        <f t="shared" si="9"/>
        <v>-15912.247500000003</v>
      </c>
      <c r="BT17" s="96">
        <f t="shared" si="10"/>
        <v>-31280.782500000005</v>
      </c>
      <c r="BU17" s="95">
        <f t="shared" si="11"/>
        <v>-25005.580875000003</v>
      </c>
      <c r="BV17" s="96">
        <f>(BO17-BN17*$BS$19)*0.03</f>
        <v>7707.0967937603937</v>
      </c>
      <c r="BW17" s="95">
        <f>BO17+SUM(BQ17:BT17,BV17)</f>
        <v>-27289.033995483129</v>
      </c>
      <c r="BX17" s="97">
        <f t="shared" si="35"/>
        <v>-9.908872184271289E-2</v>
      </c>
      <c r="BY17" s="98">
        <f t="shared" si="12"/>
        <v>28997.329379516937</v>
      </c>
      <c r="BZ17" s="99">
        <f t="shared" si="13"/>
        <v>0.10529168256905207</v>
      </c>
      <c r="CB17" s="100">
        <f t="shared" si="14"/>
        <v>1700</v>
      </c>
      <c r="CC17" s="101">
        <f t="shared" si="15"/>
        <v>-1416.8704986990338</v>
      </c>
      <c r="CD17" s="101">
        <f t="shared" si="15"/>
        <v>-207.84</v>
      </c>
      <c r="CE17" s="101">
        <f t="shared" si="15"/>
        <v>-98.223750000000024</v>
      </c>
      <c r="CF17" s="101">
        <f t="shared" si="15"/>
        <v>-193.09125000000003</v>
      </c>
      <c r="CG17" s="101">
        <f t="shared" si="15"/>
        <v>-154.35543750000002</v>
      </c>
      <c r="CH17" s="101">
        <f t="shared" si="15"/>
        <v>47.574671566422182</v>
      </c>
      <c r="CI17" s="101">
        <f t="shared" si="15"/>
        <v>-168.45082713261192</v>
      </c>
      <c r="CJ17" s="101">
        <f t="shared" si="16"/>
        <v>178.9958603673885</v>
      </c>
      <c r="CK17" s="47">
        <f t="shared" si="17"/>
        <v>347.44668750000039</v>
      </c>
    </row>
    <row r="18" spans="2:89" ht="15" thickBot="1" x14ac:dyDescent="0.35">
      <c r="C18" s="106" t="s">
        <v>115</v>
      </c>
      <c r="D18" s="107">
        <f>SUM(D7:D17)</f>
        <v>1726.3239999999998</v>
      </c>
      <c r="E18" s="108">
        <f t="shared" si="0"/>
        <v>1846.6858987359024</v>
      </c>
      <c r="F18" s="109">
        <f t="shared" ref="F18:K18" si="40">SUM(F7:F17)</f>
        <v>3187978.1874493575</v>
      </c>
      <c r="G18" s="109">
        <f t="shared" si="40"/>
        <v>358799.18016000005</v>
      </c>
      <c r="H18" s="109">
        <f t="shared" si="40"/>
        <v>78579</v>
      </c>
      <c r="I18" s="109">
        <f t="shared" si="40"/>
        <v>154473</v>
      </c>
      <c r="J18" s="109">
        <f t="shared" si="40"/>
        <v>123484.34999999999</v>
      </c>
      <c r="K18" s="109">
        <f t="shared" si="40"/>
        <v>0</v>
      </c>
      <c r="L18" s="110">
        <v>0</v>
      </c>
      <c r="M18" s="111">
        <f>SUM(M7:M17)</f>
        <v>3779829.3676093579</v>
      </c>
      <c r="N18" s="111">
        <f t="shared" si="38"/>
        <v>2189.5248908138669</v>
      </c>
      <c r="O18" s="111">
        <f>SUM(O7:O17)</f>
        <v>3501872.0176093578</v>
      </c>
      <c r="P18" s="111">
        <f t="shared" si="3"/>
        <v>2028.5137770252618</v>
      </c>
      <c r="Q18" s="112">
        <f>R18/D18</f>
        <v>1956.3735428575405</v>
      </c>
      <c r="R18" s="113">
        <f>SUM(R7:R17)</f>
        <v>3377334.6000000006</v>
      </c>
      <c r="S18" s="112">
        <f>SUM(S7:S17)</f>
        <v>-307087.95629212586</v>
      </c>
      <c r="T18" s="114">
        <f t="shared" ref="T18" si="41">S18/R18</f>
        <v>-9.0926127453325414E-2</v>
      </c>
      <c r="U18" s="112">
        <f>SUM(U7:U17)</f>
        <v>-29130.606292125831</v>
      </c>
      <c r="V18" s="114">
        <f t="shared" si="5"/>
        <v>-8.6253243288733749E-3</v>
      </c>
      <c r="X18" s="115">
        <f>SUM(X7:X17)</f>
        <v>27</v>
      </c>
      <c r="Y18" s="115">
        <f>SUM(Y7:Y17)</f>
        <v>68850</v>
      </c>
      <c r="Z18" s="116">
        <f t="shared" si="19"/>
        <v>2550</v>
      </c>
      <c r="AA18" s="115">
        <f>SUM(AA7:AA17)</f>
        <v>26</v>
      </c>
      <c r="AB18" s="115">
        <f>SUM(AB7:AB17)</f>
        <v>74100</v>
      </c>
      <c r="AC18" s="116">
        <f t="shared" si="20"/>
        <v>2850</v>
      </c>
      <c r="AD18" s="115">
        <f>SUM(AD7:AD17)</f>
        <v>270</v>
      </c>
      <c r="AE18" s="115">
        <f>SUM(AE7:AE17)</f>
        <v>548100</v>
      </c>
      <c r="AF18" s="116">
        <f t="shared" si="21"/>
        <v>2030</v>
      </c>
      <c r="AG18" s="115">
        <f>SUM(AG7:AG17)</f>
        <v>27</v>
      </c>
      <c r="AH18" s="115">
        <f>SUM(AH7:AH17)</f>
        <v>73710</v>
      </c>
      <c r="AI18" s="116">
        <f t="shared" si="22"/>
        <v>2730</v>
      </c>
      <c r="AJ18" s="115">
        <f>SUM(AJ7:AJ17)</f>
        <v>270</v>
      </c>
      <c r="AK18" s="115">
        <f>SUM(AK7:AK17)</f>
        <v>405000</v>
      </c>
      <c r="AL18" s="116">
        <f t="shared" si="23"/>
        <v>1500</v>
      </c>
      <c r="AM18" s="115">
        <f>SUM(AM7:AM17)</f>
        <v>54</v>
      </c>
      <c r="AN18" s="115">
        <f>SUM(AN7:AN17)</f>
        <v>91800</v>
      </c>
      <c r="AO18" s="116">
        <f t="shared" si="24"/>
        <v>1700</v>
      </c>
      <c r="AP18" s="115">
        <f>SUM(AP7:AP17)</f>
        <v>27</v>
      </c>
      <c r="AQ18" s="115">
        <f>SUM(AQ7:AQ17)</f>
        <v>45900</v>
      </c>
      <c r="AR18" s="116">
        <f t="shared" si="25"/>
        <v>1700</v>
      </c>
      <c r="AS18" s="115">
        <f>SUM(AS7:AS17)</f>
        <v>643</v>
      </c>
      <c r="AT18" s="115">
        <f>SUM(AT7:AT17)</f>
        <v>1423810</v>
      </c>
      <c r="AU18" s="116">
        <f t="shared" si="26"/>
        <v>2214.3234836702954</v>
      </c>
      <c r="AV18" s="115">
        <f>SUM(AV7:AV17)</f>
        <v>0</v>
      </c>
      <c r="AW18" s="115">
        <f>SUM(AW7:AW17)</f>
        <v>0</v>
      </c>
      <c r="AX18" s="116">
        <f t="shared" si="27"/>
        <v>0</v>
      </c>
      <c r="AY18" s="115">
        <f>SUM(AY7:AY17)</f>
        <v>0</v>
      </c>
      <c r="AZ18" s="115">
        <f>SUM(AZ7:AZ17)</f>
        <v>0</v>
      </c>
      <c r="BA18" s="116">
        <f t="shared" si="28"/>
        <v>0</v>
      </c>
      <c r="BB18" s="115">
        <f>SUM(BB7:BB17)</f>
        <v>0</v>
      </c>
      <c r="BC18" s="115">
        <f>SUM(BC7:BC17)</f>
        <v>0</v>
      </c>
      <c r="BD18" s="116">
        <f t="shared" si="29"/>
        <v>0</v>
      </c>
      <c r="BE18" s="115">
        <f>SUM(BE7:BE17)</f>
        <v>0</v>
      </c>
      <c r="BF18" s="115">
        <f>SUM(BF7:BF17)</f>
        <v>0</v>
      </c>
      <c r="BG18" s="116">
        <f t="shared" si="30"/>
        <v>0</v>
      </c>
      <c r="BH18" s="115">
        <f>SUM(BH7:BH17)</f>
        <v>0</v>
      </c>
      <c r="BI18" s="115">
        <f>SUM(BI7:BI17)</f>
        <v>0</v>
      </c>
      <c r="BJ18" s="116">
        <f t="shared" si="31"/>
        <v>0</v>
      </c>
      <c r="BK18" s="115">
        <f>SUM(BK7:BK17)</f>
        <v>0</v>
      </c>
      <c r="BL18" s="115">
        <f>SUM(BL7:BL17)</f>
        <v>0</v>
      </c>
      <c r="BM18" s="116">
        <f t="shared" si="32"/>
        <v>0</v>
      </c>
      <c r="BN18" s="117">
        <f>SUM(BN7:BN17)</f>
        <v>1344</v>
      </c>
      <c r="BO18" s="117">
        <f>SUM(BO7:BO17)</f>
        <v>2731270</v>
      </c>
      <c r="BP18" s="118">
        <f t="shared" ref="BP18:BP20" si="42">IFERROR(BO18/BN18,0)</f>
        <v>2032.1949404761904</v>
      </c>
      <c r="BQ18" s="119">
        <f>SUM(BQ7:BQ17)</f>
        <v>-2640196.0688825715</v>
      </c>
      <c r="BR18" s="118">
        <f>SUM(BR7:BR17)</f>
        <v>-279336.96000000002</v>
      </c>
      <c r="BS18" s="119">
        <f>-'[5]Stock Libre'!N54/800*BN18</f>
        <v>-132012.72000000003</v>
      </c>
      <c r="BT18" s="118">
        <f>-'[5]Stock Libre'!O54/800*BN18</f>
        <v>-259514.64000000004</v>
      </c>
      <c r="BU18" s="119">
        <f>-'[5]Stock Libre'!P54/800*BN18</f>
        <v>-207453.70800000004</v>
      </c>
      <c r="BV18" s="118">
        <f>SUM(BV7:BV17)</f>
        <v>77334.458585271408</v>
      </c>
      <c r="BW18" s="117">
        <f>SUM(BW7:BW17)</f>
        <v>-502455.93029730039</v>
      </c>
      <c r="BX18" s="120">
        <f t="shared" si="35"/>
        <v>-0.18396421089723841</v>
      </c>
      <c r="BY18" s="117">
        <f>SUM(BY7:BY17)</f>
        <v>-35487.582297300272</v>
      </c>
      <c r="BZ18" s="121">
        <f t="shared" si="13"/>
        <v>-1.2993069999414292E-2</v>
      </c>
      <c r="CB18" s="122">
        <f t="shared" si="14"/>
        <v>2032.1949404761904</v>
      </c>
      <c r="CC18" s="123">
        <f t="shared" si="15"/>
        <v>-1964.4315988709609</v>
      </c>
      <c r="CD18" s="123">
        <f t="shared" si="15"/>
        <v>-207.84</v>
      </c>
      <c r="CE18" s="123">
        <f t="shared" si="15"/>
        <v>-98.223750000000024</v>
      </c>
      <c r="CF18" s="123">
        <f t="shared" si="15"/>
        <v>-193.09125000000003</v>
      </c>
      <c r="CG18" s="123">
        <f t="shared" si="15"/>
        <v>-154.35543750000002</v>
      </c>
      <c r="CH18" s="123">
        <f t="shared" si="15"/>
        <v>57.540519780707896</v>
      </c>
      <c r="CI18" s="123">
        <f t="shared" si="15"/>
        <v>-373.85113861406279</v>
      </c>
      <c r="CJ18" s="123">
        <f t="shared" si="16"/>
        <v>-26.404451114062702</v>
      </c>
      <c r="CK18" s="47">
        <f t="shared" si="17"/>
        <v>347.44668750000011</v>
      </c>
    </row>
    <row r="19" spans="2:89" x14ac:dyDescent="0.3">
      <c r="I19" s="51"/>
      <c r="J19" s="51"/>
      <c r="N19" s="47">
        <f>N18-P18</f>
        <v>161.01111378860514</v>
      </c>
      <c r="O19" s="47"/>
      <c r="BR19" s="51" t="s">
        <v>116</v>
      </c>
      <c r="BS19">
        <v>114.17761445259386</v>
      </c>
    </row>
    <row r="20" spans="2:89" x14ac:dyDescent="0.3">
      <c r="C20" s="136" t="s">
        <v>118</v>
      </c>
      <c r="L20" s="126"/>
      <c r="M20" s="47"/>
      <c r="N20" s="127"/>
      <c r="O20" s="127"/>
      <c r="P20" s="127"/>
      <c r="Q20" s="127"/>
      <c r="R20" s="124"/>
      <c r="S20" s="127"/>
      <c r="T20" s="127"/>
      <c r="U20" s="127"/>
      <c r="V20" s="127"/>
      <c r="W20" s="47"/>
      <c r="X20" s="47"/>
      <c r="Y20" s="128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52" t="s">
        <v>123</v>
      </c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N20" s="117">
        <f>BN18-BN14-BN7</f>
        <v>618</v>
      </c>
      <c r="BO20" s="117">
        <f>BO18-BO14-BO7</f>
        <v>1315270</v>
      </c>
      <c r="BP20" s="118">
        <f t="shared" si="42"/>
        <v>2128.2686084142397</v>
      </c>
      <c r="BQ20" s="119">
        <f t="shared" ref="BQ20:BZ20" si="43">BQ18-BQ14-BQ7</f>
        <v>-993599.27254435862</v>
      </c>
      <c r="BR20" s="118">
        <f t="shared" si="43"/>
        <v>-128445.12000000001</v>
      </c>
      <c r="BS20" s="119">
        <f t="shared" si="43"/>
        <v>-60702.277500000018</v>
      </c>
      <c r="BT20" s="118">
        <f t="shared" si="43"/>
        <v>-119330.39250000003</v>
      </c>
      <c r="BU20" s="119">
        <f t="shared" si="43"/>
        <v>-95391.660375000021</v>
      </c>
      <c r="BV20" s="118">
        <f t="shared" si="43"/>
        <v>37341.247028048907</v>
      </c>
      <c r="BW20" s="117">
        <f t="shared" si="43"/>
        <v>50534.184483690013</v>
      </c>
      <c r="BX20" s="120">
        <f t="shared" si="35"/>
        <v>3.8421148877181122E-2</v>
      </c>
      <c r="BY20" s="117">
        <f t="shared" si="43"/>
        <v>265256.23735869012</v>
      </c>
      <c r="BZ20" s="121">
        <f t="shared" si="13"/>
        <v>0.20167436143049725</v>
      </c>
      <c r="CC20" s="47">
        <f>SUM(CC7:CF7)</f>
        <v>-2483.7411732240998</v>
      </c>
    </row>
    <row r="21" spans="2:89" ht="15" thickBot="1" x14ac:dyDescent="0.35">
      <c r="C21" s="136"/>
      <c r="L21" s="126"/>
      <c r="M21" s="47"/>
      <c r="N21" s="127"/>
      <c r="O21" s="127"/>
      <c r="P21" s="127"/>
      <c r="Q21" s="127"/>
      <c r="R21" s="124"/>
      <c r="S21" s="127"/>
      <c r="T21" s="127"/>
      <c r="U21" s="127"/>
      <c r="V21" s="127"/>
      <c r="W21" s="47"/>
      <c r="X21" s="47"/>
      <c r="Y21" s="128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Q21" s="51"/>
      <c r="BR21" s="130"/>
      <c r="BW21" s="131"/>
      <c r="CC21" s="47"/>
    </row>
    <row r="22" spans="2:89" ht="29.4" thickBot="1" x14ac:dyDescent="0.35">
      <c r="C22" s="15" t="s">
        <v>84</v>
      </c>
      <c r="D22" s="137" t="s">
        <v>85</v>
      </c>
      <c r="E22" s="138" t="s">
        <v>86</v>
      </c>
      <c r="F22" s="15" t="s">
        <v>60</v>
      </c>
      <c r="G22" s="15" t="s">
        <v>61</v>
      </c>
      <c r="H22" s="15" t="s">
        <v>62</v>
      </c>
      <c r="I22" s="15" t="s">
        <v>63</v>
      </c>
      <c r="J22" s="15" t="s">
        <v>64</v>
      </c>
      <c r="K22" s="15" t="s">
        <v>65</v>
      </c>
      <c r="L22" s="139" t="s">
        <v>66</v>
      </c>
      <c r="M22" s="140" t="s">
        <v>87</v>
      </c>
      <c r="N22" s="140" t="s">
        <v>88</v>
      </c>
      <c r="O22" s="140" t="s">
        <v>89</v>
      </c>
      <c r="P22" s="140" t="s">
        <v>90</v>
      </c>
      <c r="Q22" s="74" t="s">
        <v>91</v>
      </c>
      <c r="R22" s="74" t="s">
        <v>92</v>
      </c>
      <c r="S22" s="74" t="s">
        <v>93</v>
      </c>
      <c r="T22" s="74" t="s">
        <v>94</v>
      </c>
      <c r="U22" s="74" t="s">
        <v>95</v>
      </c>
      <c r="V22" s="74" t="s">
        <v>96</v>
      </c>
      <c r="W22" s="47"/>
      <c r="X22" s="47"/>
      <c r="Y22" s="128"/>
      <c r="BN22" s="51" t="s">
        <v>119</v>
      </c>
      <c r="BO22" s="129">
        <f>BO18-BO14-BO7</f>
        <v>1315270</v>
      </c>
      <c r="BV22" s="129"/>
      <c r="CC22" s="51">
        <f>CC7/0.5</f>
        <v>-3969.1723464481997</v>
      </c>
    </row>
    <row r="23" spans="2:89" x14ac:dyDescent="0.3">
      <c r="C23" s="102" t="s">
        <v>105</v>
      </c>
      <c r="D23" s="83">
        <f>26*20</f>
        <v>520</v>
      </c>
      <c r="E23" s="84">
        <f>E7</f>
        <v>1984.5861732240996</v>
      </c>
      <c r="F23" s="47">
        <f>E23*D23</f>
        <v>1031984.8100765318</v>
      </c>
      <c r="G23" s="47">
        <f>D23*207.84</f>
        <v>108076.8</v>
      </c>
      <c r="H23" s="47">
        <f t="shared" ref="H23:J24" si="44">H$18/$D$18*$D23</f>
        <v>23669.415474731282</v>
      </c>
      <c r="I23" s="47">
        <f t="shared" si="44"/>
        <v>46530.060405810269</v>
      </c>
      <c r="J23" s="47">
        <f t="shared" si="44"/>
        <v>37195.718764264413</v>
      </c>
      <c r="K23" s="86">
        <v>0</v>
      </c>
      <c r="L23" s="87">
        <v>0</v>
      </c>
      <c r="M23" s="88">
        <f t="shared" ref="M23:M24" si="45">F23+G23+H23+I23</f>
        <v>1210261.0859570734</v>
      </c>
      <c r="N23" s="89">
        <f>IFERROR(M23/D23,0)</f>
        <v>2327.4251653020642</v>
      </c>
      <c r="O23" s="89">
        <f t="shared" ref="O23:O24" si="46">F23+G23+H23-J23</f>
        <v>1126535.3067869986</v>
      </c>
      <c r="P23" s="89">
        <f t="shared" ref="P23:P27" si="47">IFERROR(O23/D23,0)</f>
        <v>2166.4140515134591</v>
      </c>
      <c r="Q23" s="90">
        <v>1800</v>
      </c>
      <c r="R23" s="90">
        <f>Q23*D23</f>
        <v>936000</v>
      </c>
      <c r="S23" s="90">
        <f>R23-M23+(Q23-$BS$19)*D23*0.03</f>
        <v>-247962.25674253385</v>
      </c>
      <c r="T23" s="91">
        <f t="shared" ref="T23:T24" si="48">IFERROR(S23/R23,0)</f>
        <v>-0.26491694096424556</v>
      </c>
      <c r="U23" s="90">
        <f>R23-(M23-J23-I23)+(Q23-$BS$19)*D23*0.03</f>
        <v>-164236.47757245912</v>
      </c>
      <c r="V23" s="91">
        <f t="shared" ref="V23:V27" si="49">IFERROR(U23/R23,0)</f>
        <v>-0.1754663221927982</v>
      </c>
      <c r="W23" s="47"/>
      <c r="X23" s="47"/>
      <c r="Y23" s="85"/>
      <c r="BN23" t="s">
        <v>120</v>
      </c>
      <c r="BO23" s="85">
        <v>3849628.96</v>
      </c>
      <c r="BP23" s="51"/>
      <c r="BR23" s="51"/>
      <c r="BT23" s="47"/>
      <c r="BV23" s="51"/>
    </row>
    <row r="24" spans="2:89" ht="15" thickBot="1" x14ac:dyDescent="0.35">
      <c r="C24" s="102" t="s">
        <v>111</v>
      </c>
      <c r="D24" s="83">
        <f>6*26</f>
        <v>156</v>
      </c>
      <c r="E24" s="84">
        <f>E14</f>
        <v>3254.8777446902509</v>
      </c>
      <c r="F24" s="47">
        <f>E24*D24</f>
        <v>507760.92817167914</v>
      </c>
      <c r="G24" s="47">
        <f>D24*207.84</f>
        <v>32423.040000000001</v>
      </c>
      <c r="H24" s="47">
        <f t="shared" si="44"/>
        <v>7100.8246424193849</v>
      </c>
      <c r="I24" s="47">
        <f t="shared" si="44"/>
        <v>13959.01812174308</v>
      </c>
      <c r="J24" s="47">
        <f t="shared" si="44"/>
        <v>11158.715629279324</v>
      </c>
      <c r="K24" s="86">
        <v>0</v>
      </c>
      <c r="L24" s="87">
        <v>0</v>
      </c>
      <c r="M24" s="88">
        <f t="shared" si="45"/>
        <v>561243.81093584164</v>
      </c>
      <c r="N24" s="89">
        <f t="shared" ref="N24:N27" si="50">IFERROR(M24/D24,0)</f>
        <v>3597.7167367682155</v>
      </c>
      <c r="O24" s="89">
        <f t="shared" si="46"/>
        <v>536126.07718481915</v>
      </c>
      <c r="P24" s="89">
        <f t="shared" si="47"/>
        <v>3436.7056229796099</v>
      </c>
      <c r="Q24" s="104">
        <v>3900</v>
      </c>
      <c r="R24" s="104">
        <f t="shared" ref="R24" si="51">Q24*D24</f>
        <v>608400</v>
      </c>
      <c r="S24" s="104">
        <f>R24-M24+(Q24-$BS$19)*D24*0.03</f>
        <v>64873.83782852022</v>
      </c>
      <c r="T24" s="105">
        <f t="shared" si="48"/>
        <v>0.10663023969184783</v>
      </c>
      <c r="U24" s="104">
        <f>R24-(M24-J24-I24)+(Q24-$BS$19)*D24*0.03</f>
        <v>89991.57157954271</v>
      </c>
      <c r="V24" s="105">
        <f t="shared" si="49"/>
        <v>0.14791514066328518</v>
      </c>
      <c r="W24" s="47"/>
      <c r="X24" s="47"/>
      <c r="Y24" s="85"/>
      <c r="BN24" t="s">
        <v>121</v>
      </c>
      <c r="BO24" s="47">
        <f>M27</f>
        <v>5551334.2645022729</v>
      </c>
      <c r="BR24" s="51"/>
      <c r="BT24" s="51"/>
    </row>
    <row r="25" spans="2:89" ht="15" thickBot="1" x14ac:dyDescent="0.35">
      <c r="C25" s="141" t="s">
        <v>115</v>
      </c>
      <c r="D25" s="143">
        <f>SUM(D23:D24)</f>
        <v>676</v>
      </c>
      <c r="E25" s="142">
        <f>F25/D25</f>
        <v>2277.7303820239804</v>
      </c>
      <c r="F25" s="109">
        <f>SUM(F23:F24)</f>
        <v>1539745.7382482109</v>
      </c>
      <c r="G25" s="109">
        <f>SUM(G23:G24)</f>
        <v>140499.84</v>
      </c>
      <c r="H25" s="109">
        <f>SUM(H23:H24)</f>
        <v>30770.240117150668</v>
      </c>
      <c r="I25" s="109">
        <f>SUM(I23:I24)</f>
        <v>60489.078527553349</v>
      </c>
      <c r="J25" s="109">
        <f>SUM(J23:J24)</f>
        <v>48354.434393543735</v>
      </c>
      <c r="K25" s="109">
        <f>SUM(K23:K24)</f>
        <v>0</v>
      </c>
      <c r="L25" s="110">
        <v>0</v>
      </c>
      <c r="M25" s="111">
        <f>SUM(M23:M24)</f>
        <v>1771504.896892915</v>
      </c>
      <c r="N25" s="111">
        <f t="shared" si="50"/>
        <v>2620.5693741019454</v>
      </c>
      <c r="O25" s="111">
        <f>SUM(O23:O24)</f>
        <v>1662661.3839718178</v>
      </c>
      <c r="P25" s="111">
        <f t="shared" si="47"/>
        <v>2459.5582603133398</v>
      </c>
      <c r="Q25" s="112">
        <f>R25/D25</f>
        <v>2284.6153846153848</v>
      </c>
      <c r="R25" s="113">
        <f>SUM(R23:R24)</f>
        <v>1544400</v>
      </c>
      <c r="S25" s="113">
        <f>SUM(S23:S24)</f>
        <v>-183088.41891401363</v>
      </c>
      <c r="T25" s="114">
        <f t="shared" ref="T25:T27" si="52">S25/R25</f>
        <v>-0.11854986979669362</v>
      </c>
      <c r="U25" s="113">
        <f>SUM(U23:U24)</f>
        <v>-74244.905992916407</v>
      </c>
      <c r="V25" s="114">
        <f t="shared" si="49"/>
        <v>-4.807362470403808E-2</v>
      </c>
      <c r="W25" s="47"/>
      <c r="X25" s="47"/>
      <c r="Y25" s="85"/>
      <c r="BO25" s="151">
        <f>SUM(BO22:BO24)</f>
        <v>10716233.224502273</v>
      </c>
      <c r="BP25" s="47"/>
    </row>
    <row r="26" spans="2:89" ht="15" thickBot="1" x14ac:dyDescent="0.35">
      <c r="G26" s="47"/>
      <c r="J26" s="51"/>
      <c r="L26" s="126"/>
      <c r="N26" s="127"/>
      <c r="O26" s="127"/>
      <c r="P26" s="127"/>
      <c r="Q26" s="127"/>
      <c r="R26" s="127"/>
      <c r="S26" s="127"/>
      <c r="T26" s="127"/>
      <c r="U26" s="127"/>
      <c r="V26" s="127"/>
      <c r="W26" s="47"/>
      <c r="X26" s="47"/>
      <c r="Y26" s="85"/>
      <c r="BP26" s="85"/>
    </row>
    <row r="27" spans="2:89" ht="15" thickBot="1" x14ac:dyDescent="0.35">
      <c r="C27" s="141" t="s">
        <v>115</v>
      </c>
      <c r="D27" s="144">
        <f>D18+D25</f>
        <v>2402.3239999999996</v>
      </c>
      <c r="E27" s="142">
        <f>F27/D27</f>
        <v>1967.9793090763651</v>
      </c>
      <c r="F27" s="109">
        <f>F18+F25</f>
        <v>4727723.9256975688</v>
      </c>
      <c r="G27" s="109">
        <f>G18+G25</f>
        <v>499299.02016000007</v>
      </c>
      <c r="H27" s="109">
        <f>H18+H25</f>
        <v>109349.24011715066</v>
      </c>
      <c r="I27" s="109">
        <f>I18+I25</f>
        <v>214962.07852755336</v>
      </c>
      <c r="J27" s="109">
        <f>J18+J25</f>
        <v>171838.78439354373</v>
      </c>
      <c r="K27" s="109">
        <f>K18+K25</f>
        <v>0</v>
      </c>
      <c r="L27" s="110">
        <f>L18+L25</f>
        <v>0</v>
      </c>
      <c r="M27" s="111">
        <f>M18+M25</f>
        <v>5551334.2645022729</v>
      </c>
      <c r="N27" s="111">
        <f t="shared" si="50"/>
        <v>2310.8183011543297</v>
      </c>
      <c r="O27" s="111">
        <f>O18+O25</f>
        <v>5164533.4015811756</v>
      </c>
      <c r="P27" s="111">
        <f t="shared" si="47"/>
        <v>2149.8071873657245</v>
      </c>
      <c r="Q27" s="112">
        <f>R27/D27</f>
        <v>2048.7388878436054</v>
      </c>
      <c r="R27" s="113">
        <f>R18+R25</f>
        <v>4921734.6000000006</v>
      </c>
      <c r="S27" s="113">
        <f>S18+S25</f>
        <v>-490176.37520613952</v>
      </c>
      <c r="T27" s="114">
        <f t="shared" si="52"/>
        <v>-9.9594231514665468E-2</v>
      </c>
      <c r="U27" s="113">
        <f>U18+U25</f>
        <v>-103375.51228504223</v>
      </c>
      <c r="V27" s="114">
        <f t="shared" si="49"/>
        <v>-2.1003877837102843E-2</v>
      </c>
      <c r="X27" s="47"/>
      <c r="Y27" s="85"/>
      <c r="BO27" s="49"/>
      <c r="BP27" s="132"/>
    </row>
    <row r="28" spans="2:89" x14ac:dyDescent="0.3">
      <c r="L28" s="126"/>
      <c r="N28" s="127"/>
      <c r="O28" s="127"/>
      <c r="P28" s="127"/>
      <c r="Q28" s="127"/>
      <c r="R28" s="127"/>
      <c r="S28" s="127"/>
      <c r="T28" s="127"/>
      <c r="U28" s="127"/>
      <c r="V28" s="127"/>
      <c r="W28" s="47"/>
      <c r="X28" s="47"/>
      <c r="Y28" s="85"/>
      <c r="BO28" s="85"/>
    </row>
    <row r="29" spans="2:89" x14ac:dyDescent="0.3">
      <c r="L29" s="126"/>
      <c r="N29" s="127"/>
      <c r="O29" s="127"/>
      <c r="P29" s="127"/>
      <c r="Q29" s="127"/>
      <c r="R29" s="127"/>
      <c r="S29" s="127"/>
      <c r="T29" s="127"/>
      <c r="U29" s="127"/>
      <c r="V29" s="127"/>
      <c r="W29" s="47"/>
      <c r="X29" s="47"/>
      <c r="Y29" s="85"/>
    </row>
    <row r="30" spans="2:89" x14ac:dyDescent="0.3">
      <c r="L30" s="126"/>
      <c r="N30" s="127"/>
      <c r="O30" s="127"/>
      <c r="P30" s="127"/>
      <c r="Q30" s="127"/>
      <c r="R30" s="127"/>
      <c r="S30" s="127"/>
      <c r="T30" s="127"/>
      <c r="U30" s="127"/>
      <c r="V30" s="127"/>
      <c r="W30" s="47"/>
      <c r="X30" s="47"/>
      <c r="Y30" s="85"/>
    </row>
    <row r="31" spans="2:89" x14ac:dyDescent="0.3">
      <c r="L31" s="126"/>
      <c r="N31" s="127"/>
      <c r="O31" s="127"/>
      <c r="P31" s="127"/>
      <c r="Q31" s="127"/>
      <c r="R31" s="127"/>
      <c r="S31" s="127"/>
      <c r="T31" s="127"/>
      <c r="U31" s="127"/>
      <c r="V31" s="127"/>
      <c r="W31" s="47"/>
      <c r="X31" s="47"/>
      <c r="Y31" s="85"/>
    </row>
    <row r="32" spans="2:89" x14ac:dyDescent="0.3">
      <c r="L32" s="126"/>
      <c r="N32" s="127"/>
      <c r="O32" s="127"/>
      <c r="P32" s="127"/>
      <c r="Q32" s="127"/>
      <c r="R32" s="127"/>
      <c r="S32" s="127"/>
      <c r="T32" s="127"/>
      <c r="U32" s="127"/>
      <c r="V32" s="127"/>
      <c r="W32" s="47"/>
      <c r="X32" s="47"/>
      <c r="Y32" s="85"/>
    </row>
    <row r="33" spans="12:25" x14ac:dyDescent="0.3">
      <c r="L33" s="133"/>
      <c r="M33" s="49"/>
      <c r="N33" s="134"/>
      <c r="O33" s="134"/>
      <c r="P33" s="134"/>
      <c r="Q33" s="134"/>
      <c r="R33" s="134"/>
      <c r="S33" s="134"/>
      <c r="T33" s="134"/>
      <c r="U33" s="134"/>
      <c r="V33" s="134"/>
      <c r="Y33" s="134"/>
    </row>
    <row r="35" spans="12:25" x14ac:dyDescent="0.3">
      <c r="N35" s="47"/>
      <c r="O35" s="47"/>
      <c r="P35" s="47"/>
      <c r="Q35" s="47"/>
      <c r="R35" s="47"/>
      <c r="S35" s="47"/>
      <c r="T35" s="47"/>
      <c r="U35" s="47"/>
      <c r="V35" s="47"/>
    </row>
    <row r="36" spans="12:25" x14ac:dyDescent="0.3">
      <c r="N36" s="47"/>
      <c r="O36" s="47"/>
      <c r="P36" s="47"/>
      <c r="Q36" s="47"/>
      <c r="R36" s="47"/>
      <c r="S36" s="47"/>
      <c r="T36" s="47"/>
      <c r="U36" s="47"/>
      <c r="V36" s="47"/>
    </row>
    <row r="37" spans="12:25" x14ac:dyDescent="0.3">
      <c r="N37" s="131"/>
      <c r="O37" s="131"/>
      <c r="P37" s="131"/>
      <c r="Q37" s="131"/>
      <c r="R37" s="131"/>
      <c r="S37" s="131"/>
      <c r="T37" s="131"/>
      <c r="U37" s="131"/>
      <c r="V37" s="131"/>
    </row>
  </sheetData>
  <mergeCells count="18">
    <mergeCell ref="BK5:BM5"/>
    <mergeCell ref="BN5:BZ5"/>
    <mergeCell ref="CB5:CJ5"/>
    <mergeCell ref="AD5:AF5"/>
    <mergeCell ref="AG5:AI5"/>
    <mergeCell ref="AJ5:AL5"/>
    <mergeCell ref="AP5:AR5"/>
    <mergeCell ref="AM5:AO5"/>
    <mergeCell ref="BN4:BX4"/>
    <mergeCell ref="F5:V5"/>
    <mergeCell ref="X5:Z5"/>
    <mergeCell ref="AA5:AC5"/>
    <mergeCell ref="AS5:AU5"/>
    <mergeCell ref="AV5:AX5"/>
    <mergeCell ref="AY5:BA5"/>
    <mergeCell ref="BB5:BD5"/>
    <mergeCell ref="BE5:BG5"/>
    <mergeCell ref="BH5:B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4C93-4AD2-44CC-BF66-45E418471ACD}">
  <dimension ref="B3:K16"/>
  <sheetViews>
    <sheetView showGridLines="0" zoomScale="90" zoomScaleNormal="90" workbookViewId="0">
      <selection activeCell="E23" sqref="E23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45" t="s">
        <v>70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</row>
    <row r="4" spans="2:11" x14ac:dyDescent="0.3">
      <c r="B4" s="135" t="b">
        <f t="shared" ref="B4:B14" si="0">C4=E4</f>
        <v>1</v>
      </c>
      <c r="C4" s="46">
        <v>10005721</v>
      </c>
      <c r="D4" s="82" t="s">
        <v>105</v>
      </c>
      <c r="E4" s="46">
        <v>10005721</v>
      </c>
      <c r="F4" s="47">
        <v>377.67399999999998</v>
      </c>
      <c r="G4" s="47">
        <v>749526.59838623856</v>
      </c>
      <c r="H4" s="47">
        <v>78495.764159999992</v>
      </c>
      <c r="I4" s="47">
        <v>17191.005423083967</v>
      </c>
      <c r="J4" s="47">
        <v>33794.603910969206</v>
      </c>
      <c r="K4" s="47">
        <v>27015.107478028458</v>
      </c>
    </row>
    <row r="5" spans="2:11" x14ac:dyDescent="0.3">
      <c r="B5" s="135" t="b">
        <f t="shared" si="0"/>
        <v>1</v>
      </c>
      <c r="C5" s="46">
        <v>10005779</v>
      </c>
      <c r="D5" s="102" t="s">
        <v>106</v>
      </c>
      <c r="E5" s="46">
        <v>10005779</v>
      </c>
      <c r="F5" s="47">
        <v>329.24</v>
      </c>
      <c r="G5" s="47">
        <v>534030.70265996968</v>
      </c>
      <c r="H5" s="47">
        <v>68429.241599999994</v>
      </c>
      <c r="I5" s="47">
        <v>14986.381444039474</v>
      </c>
      <c r="J5" s="47">
        <v>29460.686707709567</v>
      </c>
      <c r="K5" s="47">
        <v>23550.612396050801</v>
      </c>
    </row>
    <row r="6" spans="2:11" x14ac:dyDescent="0.3">
      <c r="B6" s="135" t="b">
        <f t="shared" si="0"/>
        <v>1</v>
      </c>
      <c r="C6" s="46">
        <v>10006719</v>
      </c>
      <c r="D6" s="102" t="s">
        <v>107</v>
      </c>
      <c r="E6" s="46">
        <v>10006719</v>
      </c>
      <c r="F6" s="47">
        <v>487.45200000000006</v>
      </c>
      <c r="G6" s="47">
        <v>917712.40774337435</v>
      </c>
      <c r="H6" s="47">
        <v>101312.02368000001</v>
      </c>
      <c r="I6" s="47">
        <v>22187.892138439835</v>
      </c>
      <c r="J6" s="47">
        <v>43617.636547948139</v>
      </c>
      <c r="K6" s="47">
        <v>34867.552890535037</v>
      </c>
    </row>
    <row r="7" spans="2:11" x14ac:dyDescent="0.3">
      <c r="B7" s="135" t="b">
        <f t="shared" si="0"/>
        <v>1</v>
      </c>
      <c r="C7" s="46">
        <v>10007050</v>
      </c>
      <c r="D7" s="102" t="s">
        <v>108</v>
      </c>
      <c r="E7" s="46">
        <v>10007050</v>
      </c>
      <c r="F7" s="47">
        <v>59.01</v>
      </c>
      <c r="G7" s="47">
        <v>85207.250549458273</v>
      </c>
      <c r="H7" s="47">
        <v>12264.6384</v>
      </c>
      <c r="I7" s="47">
        <v>2686.023475315179</v>
      </c>
      <c r="J7" s="47">
        <v>5280.2670472055088</v>
      </c>
      <c r="K7" s="47">
        <v>4220.9987774600831</v>
      </c>
    </row>
    <row r="8" spans="2:11" x14ac:dyDescent="0.3">
      <c r="B8" s="135" t="b">
        <f t="shared" si="0"/>
        <v>1</v>
      </c>
      <c r="C8" s="46">
        <v>10007162</v>
      </c>
      <c r="D8" s="102" t="s">
        <v>109</v>
      </c>
      <c r="E8" s="46">
        <v>10007162</v>
      </c>
      <c r="F8" s="47">
        <v>235.86</v>
      </c>
      <c r="G8" s="47">
        <v>410560.97685304272</v>
      </c>
      <c r="H8" s="47">
        <v>49021.142400000004</v>
      </c>
      <c r="I8" s="47">
        <v>10735.900642057924</v>
      </c>
      <c r="J8" s="47">
        <v>21104.96162945079</v>
      </c>
      <c r="K8" s="47">
        <v>16871.119668729625</v>
      </c>
    </row>
    <row r="9" spans="2:11" x14ac:dyDescent="0.3">
      <c r="B9" s="135" t="b">
        <f t="shared" si="0"/>
        <v>1</v>
      </c>
      <c r="C9" s="46">
        <v>10007567</v>
      </c>
      <c r="D9" s="102" t="s">
        <v>110</v>
      </c>
      <c r="E9" s="46">
        <v>10007567</v>
      </c>
      <c r="F9" s="47">
        <v>107.13999999999999</v>
      </c>
      <c r="G9" s="47">
        <v>180280.10744252635</v>
      </c>
      <c r="H9" s="47">
        <v>22267.977599999998</v>
      </c>
      <c r="I9" s="47">
        <v>4876.8099499282871</v>
      </c>
      <c r="J9" s="47">
        <v>9586.9820613048323</v>
      </c>
      <c r="K9" s="47">
        <v>7663.7486700063255</v>
      </c>
    </row>
    <row r="10" spans="2:11" x14ac:dyDescent="0.3">
      <c r="B10" s="135" t="b">
        <f t="shared" si="0"/>
        <v>1</v>
      </c>
      <c r="C10" s="46">
        <v>10007969</v>
      </c>
      <c r="D10" s="102" t="s">
        <v>10</v>
      </c>
      <c r="E10" s="46">
        <v>10007969</v>
      </c>
      <c r="F10" s="47">
        <v>15.82</v>
      </c>
      <c r="G10" s="47">
        <v>21649.730342000003</v>
      </c>
      <c r="H10" s="47">
        <v>3288.0288</v>
      </c>
      <c r="I10" s="47">
        <v>720.09644771201704</v>
      </c>
      <c r="J10" s="47">
        <v>1415.5876069613819</v>
      </c>
      <c r="K10" s="47">
        <v>1131.6082131743522</v>
      </c>
    </row>
    <row r="11" spans="2:11" x14ac:dyDescent="0.3">
      <c r="B11" s="135" t="b">
        <f t="shared" si="0"/>
        <v>1</v>
      </c>
      <c r="C11" s="46">
        <v>10009239</v>
      </c>
      <c r="D11" s="102" t="s">
        <v>111</v>
      </c>
      <c r="E11" s="46">
        <v>10009239</v>
      </c>
      <c r="F11" s="47">
        <v>40.659999999999997</v>
      </c>
      <c r="G11" s="47">
        <v>132343.32909910558</v>
      </c>
      <c r="H11" s="47">
        <v>8450.7744000000002</v>
      </c>
      <c r="I11" s="47">
        <v>1850.7662176972574</v>
      </c>
      <c r="J11" s="47">
        <v>3638.2928001927799</v>
      </c>
      <c r="K11" s="47">
        <v>2908.419086451906</v>
      </c>
    </row>
    <row r="12" spans="2:11" x14ac:dyDescent="0.3">
      <c r="B12" s="135" t="b">
        <f t="shared" si="0"/>
        <v>1</v>
      </c>
      <c r="C12" s="46">
        <v>10009334</v>
      </c>
      <c r="D12" s="102" t="s">
        <v>112</v>
      </c>
      <c r="E12" s="46">
        <v>10009334</v>
      </c>
      <c r="F12" s="47">
        <v>32.787999999999997</v>
      </c>
      <c r="G12" s="47">
        <v>92607.362034648148</v>
      </c>
      <c r="H12" s="47">
        <v>6814.6579199999996</v>
      </c>
      <c r="I12" s="47">
        <v>1492.4476818951716</v>
      </c>
      <c r="J12" s="47">
        <v>2933.8992703571294</v>
      </c>
      <c r="K12" s="47">
        <v>2345.333128543657</v>
      </c>
    </row>
    <row r="13" spans="2:11" x14ac:dyDescent="0.3">
      <c r="B13" s="135" t="b">
        <f t="shared" si="0"/>
        <v>1</v>
      </c>
      <c r="C13" s="46">
        <v>10009386</v>
      </c>
      <c r="D13" s="102" t="s">
        <v>113</v>
      </c>
      <c r="E13" s="46">
        <v>10009386</v>
      </c>
      <c r="F13" s="47">
        <v>19.739999999999998</v>
      </c>
      <c r="G13" s="47">
        <v>34390.454096236404</v>
      </c>
      <c r="H13" s="47">
        <v>4102.7615999999998</v>
      </c>
      <c r="I13" s="47">
        <v>898.52742590614514</v>
      </c>
      <c r="J13" s="47">
        <v>1766.3526777128745</v>
      </c>
      <c r="K13" s="47">
        <v>1412.0067084741913</v>
      </c>
    </row>
    <row r="14" spans="2:11" x14ac:dyDescent="0.3">
      <c r="B14" s="135" t="b">
        <f t="shared" si="0"/>
        <v>0</v>
      </c>
      <c r="E14" s="46">
        <v>10009207</v>
      </c>
      <c r="F14" s="47">
        <v>20.94</v>
      </c>
      <c r="G14" s="47">
        <v>29669.268242757767</v>
      </c>
      <c r="H14" s="47">
        <v>4352.1696000000002</v>
      </c>
      <c r="I14" s="47">
        <v>953.14915392475586</v>
      </c>
      <c r="J14" s="47">
        <v>1873.7297401878216</v>
      </c>
      <c r="K14" s="47">
        <v>1497.842982545571</v>
      </c>
    </row>
    <row r="15" spans="2:11" x14ac:dyDescent="0.3">
      <c r="E15" s="46" t="s">
        <v>71</v>
      </c>
      <c r="F15" s="47">
        <v>1726.3240000000001</v>
      </c>
      <c r="G15" s="47">
        <v>3187978.1874493579</v>
      </c>
      <c r="H15" s="47">
        <v>358799.18015999999</v>
      </c>
      <c r="I15" s="47">
        <v>78579.000000000015</v>
      </c>
      <c r="J15" s="47">
        <v>154473.00000000003</v>
      </c>
      <c r="K15" s="47">
        <v>123484.34999999999</v>
      </c>
    </row>
    <row r="16" spans="2:11" x14ac:dyDescent="0.3">
      <c r="E16" s="46" t="s">
        <v>72</v>
      </c>
      <c r="F16" s="47">
        <v>3452.6480000000001</v>
      </c>
      <c r="G16" s="47">
        <v>6375956.3748987149</v>
      </c>
      <c r="H16" s="47">
        <v>717598.36031999998</v>
      </c>
      <c r="I16" s="47">
        <v>157158</v>
      </c>
      <c r="J16" s="47">
        <v>308946</v>
      </c>
      <c r="K16" s="47">
        <v>246968.69999999998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99A1-F503-4833-A062-663913E8D089}">
  <dimension ref="A1:T54"/>
  <sheetViews>
    <sheetView showGridLines="0" topLeftCell="A36" zoomScale="80" zoomScaleNormal="80" workbookViewId="0">
      <selection activeCell="M2" sqref="M2"/>
    </sheetView>
  </sheetViews>
  <sheetFormatPr baseColWidth="10" defaultRowHeight="14.4" x14ac:dyDescent="0.3"/>
  <cols>
    <col min="1" max="1" width="9" style="5" bestFit="1" customWidth="1"/>
    <col min="2" max="2" width="48.77734375" style="5" bestFit="1" customWidth="1"/>
    <col min="3" max="3" width="13" style="5" bestFit="1" customWidth="1"/>
    <col min="4" max="4" width="14.21875" style="5" bestFit="1" customWidth="1"/>
    <col min="5" max="5" width="13" style="5" bestFit="1" customWidth="1"/>
    <col min="6" max="9" width="11.5546875" style="5"/>
    <col min="10" max="10" width="16" style="5" bestFit="1" customWidth="1"/>
    <col min="11" max="11" width="12.88671875" style="5" bestFit="1" customWidth="1"/>
    <col min="12" max="13" width="13.5546875" style="5" bestFit="1" customWidth="1"/>
    <col min="14" max="15" width="11.5546875" style="5"/>
    <col min="16" max="16" width="14.109375" style="5" bestFit="1" customWidth="1"/>
    <col min="17" max="17" width="13.77734375" style="5" bestFit="1" customWidth="1"/>
    <col min="18" max="18" width="13.44140625" style="5" bestFit="1" customWidth="1"/>
    <col min="19" max="19" width="17.33203125" style="5" bestFit="1" customWidth="1"/>
    <col min="20" max="20" width="23.33203125" style="5" bestFit="1" customWidth="1"/>
    <col min="21" max="16384" width="11.5546875" style="5"/>
  </cols>
  <sheetData>
    <row r="1" spans="1:20" ht="15" thickBot="1" x14ac:dyDescent="0.35">
      <c r="A1" s="1" t="s">
        <v>0</v>
      </c>
      <c r="B1" s="1" t="s">
        <v>1</v>
      </c>
      <c r="C1" s="2" t="s">
        <v>52</v>
      </c>
      <c r="D1" s="3" t="s">
        <v>53</v>
      </c>
      <c r="E1" s="4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8" t="s">
        <v>59</v>
      </c>
      <c r="L1" s="19" t="s">
        <v>60</v>
      </c>
      <c r="M1" s="19" t="s">
        <v>61</v>
      </c>
      <c r="N1" s="19" t="s">
        <v>62</v>
      </c>
      <c r="O1" s="19" t="s">
        <v>63</v>
      </c>
      <c r="P1" s="19" t="s">
        <v>64</v>
      </c>
      <c r="Q1" s="19" t="s">
        <v>65</v>
      </c>
      <c r="R1" s="20" t="s">
        <v>66</v>
      </c>
      <c r="S1" s="21" t="s">
        <v>67</v>
      </c>
      <c r="T1" s="21" t="s">
        <v>68</v>
      </c>
    </row>
    <row r="2" spans="1:20" ht="15.6" x14ac:dyDescent="0.3">
      <c r="A2" s="6">
        <v>10009178</v>
      </c>
      <c r="B2" s="6" t="s">
        <v>2</v>
      </c>
      <c r="C2" s="16">
        <v>14400</v>
      </c>
      <c r="D2" s="43"/>
      <c r="E2" s="44">
        <v>14400</v>
      </c>
      <c r="G2" s="22">
        <v>10006719</v>
      </c>
      <c r="H2" s="23">
        <f>IFERROR(INDEX([1]Resumen!$K$3:$K$63,MATCH(G2,[1]Resumen!$C$3:$C$63,0)),0)*(1+I2*J2)/1000-51.89/1000</f>
        <v>1.8826723610599079</v>
      </c>
      <c r="I2" s="24">
        <v>0.71</v>
      </c>
      <c r="J2" s="25">
        <v>-7.0000000000000007E-2</v>
      </c>
      <c r="K2" s="26">
        <f>IF(E2&lt;0,0,E2)/1000</f>
        <v>14.4</v>
      </c>
      <c r="L2" s="27">
        <f t="shared" ref="L2:L33" si="0">IFERROR(H2*K2,0)*1000</f>
        <v>27110.481999262673</v>
      </c>
      <c r="M2" s="28">
        <f t="shared" ref="M2:M33" si="1">207.84*K2</f>
        <v>2992.8960000000002</v>
      </c>
      <c r="N2" s="27">
        <f t="shared" ref="N2:N33" si="2">$N$54/$K$52*K2</f>
        <v>655.46073622332779</v>
      </c>
      <c r="O2" s="27">
        <f t="shared" ref="O2:O33" si="3">$O$54/$K$52*K2</f>
        <v>1288.5247496993616</v>
      </c>
      <c r="P2" s="27">
        <f t="shared" ref="P2:P33" si="4">$P$54/$K$52*K2</f>
        <v>1030.0352888565531</v>
      </c>
      <c r="Q2" s="27">
        <v>0</v>
      </c>
      <c r="R2" s="29">
        <v>0</v>
      </c>
      <c r="S2" s="30">
        <f t="shared" ref="S2:S33" si="5">L2+M2+N2+O2</f>
        <v>32047.363485185364</v>
      </c>
      <c r="T2" s="30">
        <f t="shared" ref="T2:T10" si="6">IFERROR(S2/K2,0)</f>
        <v>2225.5113531378724</v>
      </c>
    </row>
    <row r="3" spans="1:20" ht="15.6" x14ac:dyDescent="0.3">
      <c r="A3" s="7">
        <v>10006668</v>
      </c>
      <c r="B3" s="7" t="s">
        <v>3</v>
      </c>
      <c r="C3" s="16">
        <v>1260</v>
      </c>
      <c r="D3" s="43">
        <v>0</v>
      </c>
      <c r="E3" s="44">
        <v>1260</v>
      </c>
      <c r="G3" s="22">
        <v>10006719</v>
      </c>
      <c r="H3" s="23">
        <f>IFERROR(INDEX([1]Resumen!$K$3:$K$63,MATCH(G3,[1]Resumen!$C$3:$C$63,0)),0)*(1+I3*J3)/1000-51.89/1000</f>
        <v>1.8826723610599079</v>
      </c>
      <c r="I3" s="24">
        <v>0.71</v>
      </c>
      <c r="J3" s="25">
        <v>-7.0000000000000007E-2</v>
      </c>
      <c r="K3" s="26">
        <f t="shared" ref="K2:K33" si="7">IF(E3&lt;0,0,E3)/1000</f>
        <v>1.26</v>
      </c>
      <c r="L3" s="27">
        <f t="shared" si="0"/>
        <v>2372.1671749354841</v>
      </c>
      <c r="M3" s="28">
        <f t="shared" si="1"/>
        <v>261.8784</v>
      </c>
      <c r="N3" s="27">
        <f t="shared" si="2"/>
        <v>57.352814419541183</v>
      </c>
      <c r="O3" s="27">
        <f t="shared" si="3"/>
        <v>112.74591559869413</v>
      </c>
      <c r="P3" s="27">
        <f t="shared" si="4"/>
        <v>90.128087774948398</v>
      </c>
      <c r="Q3" s="27">
        <v>0</v>
      </c>
      <c r="R3" s="29">
        <v>0</v>
      </c>
      <c r="S3" s="30">
        <f t="shared" si="5"/>
        <v>2804.1443049537193</v>
      </c>
      <c r="T3" s="30">
        <f t="shared" si="6"/>
        <v>2225.5113531378724</v>
      </c>
    </row>
    <row r="4" spans="1:20" ht="15.6" x14ac:dyDescent="0.3">
      <c r="A4" s="7">
        <v>10006719</v>
      </c>
      <c r="B4" s="7" t="s">
        <v>4</v>
      </c>
      <c r="C4" s="16">
        <v>11200</v>
      </c>
      <c r="D4" s="43"/>
      <c r="E4" s="44">
        <v>11200</v>
      </c>
      <c r="G4" s="22">
        <v>10006719</v>
      </c>
      <c r="H4" s="23">
        <f>IFERROR(INDEX([1]Resumen!$K$3:$K$63,MATCH(G4,[1]Resumen!$C$3:$C$63,0)),0)*(1+I4*J4)/1000-51.89/1000</f>
        <v>1.8826723610599079</v>
      </c>
      <c r="I4" s="24">
        <v>0.71</v>
      </c>
      <c r="J4" s="25">
        <v>-7.0000000000000007E-2</v>
      </c>
      <c r="K4" s="26">
        <f t="shared" si="7"/>
        <v>11.2</v>
      </c>
      <c r="L4" s="27">
        <f t="shared" si="0"/>
        <v>21085.93044387097</v>
      </c>
      <c r="M4" s="28">
        <f t="shared" si="1"/>
        <v>2327.808</v>
      </c>
      <c r="N4" s="27">
        <f t="shared" si="2"/>
        <v>509.80279484036606</v>
      </c>
      <c r="O4" s="27">
        <f t="shared" si="3"/>
        <v>1002.1859164328366</v>
      </c>
      <c r="P4" s="27">
        <f t="shared" si="4"/>
        <v>801.13855799954126</v>
      </c>
      <c r="Q4" s="27">
        <v>0</v>
      </c>
      <c r="R4" s="29">
        <v>0</v>
      </c>
      <c r="S4" s="30">
        <f t="shared" si="5"/>
        <v>24925.727155144174</v>
      </c>
      <c r="T4" s="30">
        <f t="shared" si="6"/>
        <v>2225.5113531378729</v>
      </c>
    </row>
    <row r="5" spans="1:20" ht="15.6" x14ac:dyDescent="0.3">
      <c r="A5" s="7">
        <v>10009265</v>
      </c>
      <c r="B5" s="7" t="s">
        <v>5</v>
      </c>
      <c r="C5" s="16">
        <v>0</v>
      </c>
      <c r="D5" s="43"/>
      <c r="E5" s="44">
        <v>0</v>
      </c>
      <c r="G5" s="22">
        <v>10006719</v>
      </c>
      <c r="H5" s="23">
        <f>IFERROR(INDEX([1]Resumen!$K$3:$K$63,MATCH(G5,[1]Resumen!$C$3:$C$63,0)),0)*(1+I5*J5)/1000-51.89/1000</f>
        <v>1.8826723610599079</v>
      </c>
      <c r="I5" s="24">
        <v>0.71</v>
      </c>
      <c r="J5" s="25">
        <v>-7.0000000000000007E-2</v>
      </c>
      <c r="K5" s="26">
        <f t="shared" si="7"/>
        <v>0</v>
      </c>
      <c r="L5" s="27">
        <f t="shared" si="0"/>
        <v>0</v>
      </c>
      <c r="M5" s="28">
        <f t="shared" si="1"/>
        <v>0</v>
      </c>
      <c r="N5" s="27">
        <f t="shared" si="2"/>
        <v>0</v>
      </c>
      <c r="O5" s="27">
        <f t="shared" si="3"/>
        <v>0</v>
      </c>
      <c r="P5" s="27">
        <f t="shared" si="4"/>
        <v>0</v>
      </c>
      <c r="Q5" s="27">
        <v>0</v>
      </c>
      <c r="R5" s="29">
        <v>0</v>
      </c>
      <c r="S5" s="30">
        <f t="shared" si="5"/>
        <v>0</v>
      </c>
      <c r="T5" s="30">
        <f t="shared" si="6"/>
        <v>0</v>
      </c>
    </row>
    <row r="6" spans="1:20" ht="15.6" x14ac:dyDescent="0.3">
      <c r="A6" s="7">
        <v>10006720</v>
      </c>
      <c r="B6" s="7" t="s">
        <v>6</v>
      </c>
      <c r="C6" s="16">
        <v>1900</v>
      </c>
      <c r="D6" s="43">
        <v>1900</v>
      </c>
      <c r="E6" s="44">
        <v>0</v>
      </c>
      <c r="G6" s="22">
        <v>10006719</v>
      </c>
      <c r="H6" s="23">
        <f>IFERROR(INDEX([1]Resumen!$K$3:$K$63,MATCH(G6,[1]Resumen!$C$3:$C$63,0)),0)*(1+I6*J6)/1000-51.89/1000</f>
        <v>1.8826723610599079</v>
      </c>
      <c r="I6" s="24">
        <v>0.71</v>
      </c>
      <c r="J6" s="25">
        <v>-7.0000000000000007E-2</v>
      </c>
      <c r="K6" s="26">
        <f t="shared" si="7"/>
        <v>0</v>
      </c>
      <c r="L6" s="27">
        <f t="shared" si="0"/>
        <v>0</v>
      </c>
      <c r="M6" s="28">
        <f t="shared" si="1"/>
        <v>0</v>
      </c>
      <c r="N6" s="27">
        <f t="shared" si="2"/>
        <v>0</v>
      </c>
      <c r="O6" s="27">
        <f t="shared" si="3"/>
        <v>0</v>
      </c>
      <c r="P6" s="27">
        <f t="shared" si="4"/>
        <v>0</v>
      </c>
      <c r="Q6" s="27">
        <v>0</v>
      </c>
      <c r="R6" s="29">
        <v>0</v>
      </c>
      <c r="S6" s="30">
        <f t="shared" si="5"/>
        <v>0</v>
      </c>
      <c r="T6" s="30">
        <f t="shared" si="6"/>
        <v>0</v>
      </c>
    </row>
    <row r="7" spans="1:20" ht="15.6" x14ac:dyDescent="0.3">
      <c r="A7" s="8">
        <v>10010005</v>
      </c>
      <c r="B7" s="8" t="s">
        <v>7</v>
      </c>
      <c r="C7" s="16">
        <v>20020</v>
      </c>
      <c r="D7" s="43"/>
      <c r="E7" s="44">
        <v>20020</v>
      </c>
      <c r="G7" s="22">
        <v>10006719</v>
      </c>
      <c r="H7" s="23">
        <f>IFERROR(INDEX([1]Resumen!$K$3:$K$63,MATCH(G7,[1]Resumen!$C$3:$C$63,0)),0)*(1+I7*J7)/1000-51.89/1000</f>
        <v>1.8826723610599079</v>
      </c>
      <c r="I7" s="24">
        <v>0.71</v>
      </c>
      <c r="J7" s="25">
        <v>-7.0000000000000007E-2</v>
      </c>
      <c r="K7" s="26">
        <f t="shared" si="7"/>
        <v>20.02</v>
      </c>
      <c r="L7" s="27">
        <f t="shared" si="0"/>
        <v>37691.100668419349</v>
      </c>
      <c r="M7" s="28">
        <f t="shared" si="1"/>
        <v>4160.9567999999999</v>
      </c>
      <c r="N7" s="27">
        <f t="shared" si="2"/>
        <v>911.27249577715429</v>
      </c>
      <c r="O7" s="27">
        <f t="shared" si="3"/>
        <v>1791.4073256236954</v>
      </c>
      <c r="P7" s="27">
        <f t="shared" si="4"/>
        <v>1432.03517242418</v>
      </c>
      <c r="Q7" s="27">
        <v>0</v>
      </c>
      <c r="R7" s="29">
        <v>0</v>
      </c>
      <c r="S7" s="30">
        <f t="shared" si="5"/>
        <v>44554.737289820201</v>
      </c>
      <c r="T7" s="30">
        <f t="shared" si="6"/>
        <v>2225.5113531378724</v>
      </c>
    </row>
    <row r="8" spans="1:20" ht="15.6" x14ac:dyDescent="0.3">
      <c r="A8" s="7">
        <v>10006722</v>
      </c>
      <c r="B8" s="7" t="s">
        <v>8</v>
      </c>
      <c r="C8" s="16">
        <v>120</v>
      </c>
      <c r="D8" s="43">
        <v>120</v>
      </c>
      <c r="E8" s="44">
        <v>0</v>
      </c>
      <c r="G8" s="22">
        <v>10006719</v>
      </c>
      <c r="H8" s="23">
        <f>IFERROR(INDEX([1]Resumen!$K$3:$K$63,MATCH(G8,[1]Resumen!$C$3:$C$63,0)),0)*(1+I8*J8)/1000-51.89/1000</f>
        <v>1.8826723610599079</v>
      </c>
      <c r="I8" s="24">
        <v>0.71</v>
      </c>
      <c r="J8" s="25">
        <v>-7.0000000000000007E-2</v>
      </c>
      <c r="K8" s="26">
        <f t="shared" si="7"/>
        <v>0</v>
      </c>
      <c r="L8" s="27">
        <f t="shared" si="0"/>
        <v>0</v>
      </c>
      <c r="M8" s="28">
        <f t="shared" si="1"/>
        <v>0</v>
      </c>
      <c r="N8" s="27">
        <f t="shared" si="2"/>
        <v>0</v>
      </c>
      <c r="O8" s="27">
        <f t="shared" si="3"/>
        <v>0</v>
      </c>
      <c r="P8" s="27">
        <f t="shared" si="4"/>
        <v>0</v>
      </c>
      <c r="Q8" s="27">
        <v>0</v>
      </c>
      <c r="R8" s="29">
        <v>0</v>
      </c>
      <c r="S8" s="30">
        <f t="shared" si="5"/>
        <v>0</v>
      </c>
      <c r="T8" s="30">
        <f t="shared" si="6"/>
        <v>0</v>
      </c>
    </row>
    <row r="9" spans="1:20" ht="15.6" x14ac:dyDescent="0.3">
      <c r="A9" s="7">
        <v>10009207</v>
      </c>
      <c r="B9" s="7" t="s">
        <v>9</v>
      </c>
      <c r="C9" s="16">
        <v>20940</v>
      </c>
      <c r="D9" s="43"/>
      <c r="E9" s="44">
        <v>20940</v>
      </c>
      <c r="G9" s="31">
        <v>10009207</v>
      </c>
      <c r="H9" s="23">
        <f>IFERROR(INDEX([1]Resumen!$K$3:$K$63,MATCH(G9,[1]Resumen!$C$3:$C$63,0)),0)*(1+I9*J9)/1000-51.89/1000</f>
        <v>1.4168704986990337</v>
      </c>
      <c r="I9" s="25">
        <v>0.71</v>
      </c>
      <c r="J9" s="25">
        <v>-7.0000000000000007E-2</v>
      </c>
      <c r="K9" s="26">
        <f t="shared" si="7"/>
        <v>20.94</v>
      </c>
      <c r="L9" s="27">
        <f t="shared" si="0"/>
        <v>29669.268242757767</v>
      </c>
      <c r="M9" s="28">
        <f t="shared" si="1"/>
        <v>4352.1696000000002</v>
      </c>
      <c r="N9" s="27">
        <f t="shared" si="2"/>
        <v>953.14915392475586</v>
      </c>
      <c r="O9" s="27">
        <f t="shared" si="3"/>
        <v>1873.7297401878216</v>
      </c>
      <c r="P9" s="27">
        <f t="shared" si="4"/>
        <v>1497.842982545571</v>
      </c>
      <c r="Q9" s="27">
        <v>0</v>
      </c>
      <c r="R9" s="29">
        <v>0</v>
      </c>
      <c r="S9" s="30">
        <f t="shared" si="5"/>
        <v>36848.316736870351</v>
      </c>
      <c r="T9" s="30">
        <f t="shared" si="6"/>
        <v>1759.7094907769986</v>
      </c>
    </row>
    <row r="10" spans="1:20" ht="15.6" x14ac:dyDescent="0.3">
      <c r="A10" s="7">
        <v>10007969</v>
      </c>
      <c r="B10" s="7" t="s">
        <v>10</v>
      </c>
      <c r="C10" s="16">
        <v>15820</v>
      </c>
      <c r="D10" s="43"/>
      <c r="E10" s="44">
        <v>15820</v>
      </c>
      <c r="G10" s="31">
        <v>10007969</v>
      </c>
      <c r="H10" s="23">
        <f>IFERROR(INDEX([1]Resumen!$K$3:$K$63,MATCH(G10,[1]Resumen!$C$3:$C$63,0)),0)*(1+I10*J10)/1000-51.89/1000</f>
        <v>1.3685038142857144</v>
      </c>
      <c r="I10" s="25">
        <v>0.71</v>
      </c>
      <c r="J10" s="25">
        <v>-7.0000000000000007E-2</v>
      </c>
      <c r="K10" s="26">
        <f t="shared" si="7"/>
        <v>15.82</v>
      </c>
      <c r="L10" s="27">
        <f t="shared" si="0"/>
        <v>21649.730342000003</v>
      </c>
      <c r="M10" s="28">
        <f t="shared" si="1"/>
        <v>3288.0288</v>
      </c>
      <c r="N10" s="27">
        <f t="shared" si="2"/>
        <v>720.09644771201704</v>
      </c>
      <c r="O10" s="27">
        <f t="shared" si="3"/>
        <v>1415.5876069613819</v>
      </c>
      <c r="P10" s="27">
        <f t="shared" si="4"/>
        <v>1131.6082131743522</v>
      </c>
      <c r="Q10" s="27">
        <v>0</v>
      </c>
      <c r="R10" s="29">
        <v>0</v>
      </c>
      <c r="S10" s="30">
        <f t="shared" si="5"/>
        <v>27073.443196673401</v>
      </c>
      <c r="T10" s="30">
        <f t="shared" si="6"/>
        <v>1711.3428063636788</v>
      </c>
    </row>
    <row r="11" spans="1:20" ht="15.6" x14ac:dyDescent="0.3">
      <c r="A11" s="9">
        <v>10004433</v>
      </c>
      <c r="B11" s="9" t="s">
        <v>11</v>
      </c>
      <c r="C11" s="16">
        <v>1400</v>
      </c>
      <c r="D11" s="43">
        <v>1400</v>
      </c>
      <c r="E11" s="44">
        <v>0</v>
      </c>
      <c r="G11" s="32">
        <v>10005721</v>
      </c>
      <c r="H11" s="23">
        <f>IFERROR(INDEX([1]Resumen!$K$3:$K$63,MATCH(G11,[1]Resumen!$C$3:$C$63,0)),0)*(1+I11*J11)/1000-51.89/1000</f>
        <v>1.9845861732240995</v>
      </c>
      <c r="I11" s="24">
        <v>0.67</v>
      </c>
      <c r="J11" s="25">
        <v>-7.0000000000000007E-2</v>
      </c>
      <c r="K11" s="26">
        <f t="shared" si="7"/>
        <v>0</v>
      </c>
      <c r="L11" s="27">
        <f t="shared" si="0"/>
        <v>0</v>
      </c>
      <c r="M11" s="28">
        <f t="shared" si="1"/>
        <v>0</v>
      </c>
      <c r="N11" s="27">
        <f t="shared" si="2"/>
        <v>0</v>
      </c>
      <c r="O11" s="27">
        <f t="shared" si="3"/>
        <v>0</v>
      </c>
      <c r="P11" s="27">
        <f t="shared" si="4"/>
        <v>0</v>
      </c>
      <c r="Q11" s="27">
        <v>0</v>
      </c>
      <c r="R11" s="29">
        <v>0</v>
      </c>
      <c r="S11" s="30">
        <f t="shared" si="5"/>
        <v>0</v>
      </c>
      <c r="T11" s="30">
        <f t="shared" ref="T11:T54" si="8">IFERROR(S11/K11,0)</f>
        <v>0</v>
      </c>
    </row>
    <row r="12" spans="1:20" ht="15.6" x14ac:dyDescent="0.3">
      <c r="A12" s="9">
        <v>10004434</v>
      </c>
      <c r="B12" s="9" t="s">
        <v>12</v>
      </c>
      <c r="C12" s="16">
        <v>3500</v>
      </c>
      <c r="D12" s="43">
        <v>2140</v>
      </c>
      <c r="E12" s="44">
        <v>1360</v>
      </c>
      <c r="G12" s="32">
        <v>10005721</v>
      </c>
      <c r="H12" s="23">
        <f>IFERROR(INDEX([1]Resumen!$K$3:$K$63,MATCH(G12,[1]Resumen!$C$3:$C$63,0)),0)*(1+I12*J12)/1000-51.89/1000</f>
        <v>1.9845861732240995</v>
      </c>
      <c r="I12" s="24">
        <v>0.67</v>
      </c>
      <c r="J12" s="25">
        <v>-7.0000000000000007E-2</v>
      </c>
      <c r="K12" s="26">
        <f t="shared" si="7"/>
        <v>1.36</v>
      </c>
      <c r="L12" s="27">
        <f t="shared" si="0"/>
        <v>2699.0371955847754</v>
      </c>
      <c r="M12" s="28">
        <f t="shared" si="1"/>
        <v>282.66240000000005</v>
      </c>
      <c r="N12" s="27">
        <f t="shared" si="2"/>
        <v>61.904625087758745</v>
      </c>
      <c r="O12" s="27">
        <f t="shared" si="3"/>
        <v>121.69400413827303</v>
      </c>
      <c r="P12" s="27">
        <f t="shared" si="4"/>
        <v>97.281110614230016</v>
      </c>
      <c r="Q12" s="27">
        <v>0</v>
      </c>
      <c r="R12" s="29">
        <v>0</v>
      </c>
      <c r="S12" s="30">
        <f t="shared" si="5"/>
        <v>3165.2982248108074</v>
      </c>
      <c r="T12" s="30">
        <f t="shared" si="8"/>
        <v>2327.4251653020642</v>
      </c>
    </row>
    <row r="13" spans="1:20" ht="15.6" x14ac:dyDescent="0.3">
      <c r="A13" s="9">
        <v>10010125</v>
      </c>
      <c r="B13" s="9" t="s">
        <v>13</v>
      </c>
      <c r="C13" s="16">
        <v>2460</v>
      </c>
      <c r="D13" s="43">
        <v>2460</v>
      </c>
      <c r="E13" s="44">
        <v>0</v>
      </c>
      <c r="G13" s="32">
        <v>10005721</v>
      </c>
      <c r="H13" s="23">
        <f>IFERROR(INDEX([1]Resumen!$K$3:$K$63,MATCH(G13,[1]Resumen!$C$3:$C$63,0)),0)*(1+I13*J13)/1000-51.89/1000</f>
        <v>1.9845861732240995</v>
      </c>
      <c r="I13" s="24">
        <v>0.67</v>
      </c>
      <c r="J13" s="25">
        <v>-7.0000000000000007E-2</v>
      </c>
      <c r="K13" s="26">
        <f t="shared" si="7"/>
        <v>0</v>
      </c>
      <c r="L13" s="27">
        <f t="shared" si="0"/>
        <v>0</v>
      </c>
      <c r="M13" s="28">
        <f t="shared" si="1"/>
        <v>0</v>
      </c>
      <c r="N13" s="27">
        <f t="shared" si="2"/>
        <v>0</v>
      </c>
      <c r="O13" s="27">
        <f t="shared" si="3"/>
        <v>0</v>
      </c>
      <c r="P13" s="27">
        <f t="shared" si="4"/>
        <v>0</v>
      </c>
      <c r="Q13" s="27">
        <v>0</v>
      </c>
      <c r="R13" s="29">
        <v>0</v>
      </c>
      <c r="S13" s="30">
        <f t="shared" si="5"/>
        <v>0</v>
      </c>
      <c r="T13" s="30">
        <f t="shared" si="8"/>
        <v>0</v>
      </c>
    </row>
    <row r="14" spans="1:20" ht="15.6" x14ac:dyDescent="0.3">
      <c r="A14" s="9">
        <v>10004435</v>
      </c>
      <c r="B14" s="9" t="s">
        <v>14</v>
      </c>
      <c r="C14" s="16">
        <v>16840</v>
      </c>
      <c r="D14" s="43"/>
      <c r="E14" s="44">
        <v>16840</v>
      </c>
      <c r="G14" s="32">
        <v>10005721</v>
      </c>
      <c r="H14" s="23">
        <f>IFERROR(INDEX([1]Resumen!$K$3:$K$63,MATCH(G14,[1]Resumen!$C$3:$C$63,0)),0)*(1+I14*J14)/1000-51.89/1000</f>
        <v>1.9845861732240995</v>
      </c>
      <c r="I14" s="24">
        <v>0.67</v>
      </c>
      <c r="J14" s="25">
        <v>-7.0000000000000007E-2</v>
      </c>
      <c r="K14" s="26">
        <f t="shared" si="7"/>
        <v>16.84</v>
      </c>
      <c r="L14" s="27">
        <f t="shared" si="0"/>
        <v>33420.431157093837</v>
      </c>
      <c r="M14" s="28">
        <f t="shared" si="1"/>
        <v>3500.0255999999999</v>
      </c>
      <c r="N14" s="27">
        <f t="shared" si="2"/>
        <v>766.52491652783613</v>
      </c>
      <c r="O14" s="27">
        <f t="shared" si="3"/>
        <v>1506.8581100650865</v>
      </c>
      <c r="P14" s="27">
        <f t="shared" si="4"/>
        <v>1204.5690461350246</v>
      </c>
      <c r="Q14" s="27">
        <v>0</v>
      </c>
      <c r="R14" s="29">
        <v>0</v>
      </c>
      <c r="S14" s="30">
        <f t="shared" si="5"/>
        <v>39193.839783686759</v>
      </c>
      <c r="T14" s="30">
        <f t="shared" si="8"/>
        <v>2327.4251653020642</v>
      </c>
    </row>
    <row r="15" spans="1:20" ht="15.6" x14ac:dyDescent="0.3">
      <c r="A15" s="7">
        <v>10005708</v>
      </c>
      <c r="B15" s="7" t="s">
        <v>15</v>
      </c>
      <c r="C15" s="16">
        <v>1080</v>
      </c>
      <c r="D15" s="43"/>
      <c r="E15" s="44">
        <v>1080</v>
      </c>
      <c r="G15" s="32">
        <v>10005721</v>
      </c>
      <c r="H15" s="23">
        <f>IFERROR(INDEX([1]Resumen!$K$3:$K$63,MATCH(G15,[1]Resumen!$C$3:$C$63,0)),0)*(1+I15*J15)/1000-51.89/1000</f>
        <v>1.9845861732240995</v>
      </c>
      <c r="I15" s="24">
        <v>0.67</v>
      </c>
      <c r="J15" s="25">
        <v>-7.0000000000000007E-2</v>
      </c>
      <c r="K15" s="26">
        <f t="shared" si="7"/>
        <v>1.08</v>
      </c>
      <c r="L15" s="27">
        <f t="shared" si="0"/>
        <v>2143.3530670820278</v>
      </c>
      <c r="M15" s="28">
        <f t="shared" si="1"/>
        <v>224.46720000000002</v>
      </c>
      <c r="N15" s="27">
        <f t="shared" si="2"/>
        <v>49.159555216749588</v>
      </c>
      <c r="O15" s="27">
        <f t="shared" si="3"/>
        <v>96.639356227452112</v>
      </c>
      <c r="P15" s="27">
        <f t="shared" si="4"/>
        <v>77.252646664241482</v>
      </c>
      <c r="Q15" s="27">
        <v>0</v>
      </c>
      <c r="R15" s="29">
        <v>0</v>
      </c>
      <c r="S15" s="30">
        <f t="shared" si="5"/>
        <v>2513.6191785262295</v>
      </c>
      <c r="T15" s="30">
        <f t="shared" si="8"/>
        <v>2327.4251653020642</v>
      </c>
    </row>
    <row r="16" spans="1:20" ht="15.6" x14ac:dyDescent="0.3">
      <c r="A16" s="6">
        <v>10005721</v>
      </c>
      <c r="B16" s="6" t="s">
        <v>16</v>
      </c>
      <c r="C16" s="16">
        <v>260460</v>
      </c>
      <c r="D16" s="43">
        <v>257260</v>
      </c>
      <c r="E16" s="44">
        <v>3200</v>
      </c>
      <c r="G16" s="32">
        <v>10005721</v>
      </c>
      <c r="H16" s="23">
        <f>IFERROR(INDEX([1]Resumen!$K$3:$K$63,MATCH(G16,[1]Resumen!$C$3:$C$63,0)),0)*(1+I16*J16)/1000-51.89/1000</f>
        <v>1.9845861732240995</v>
      </c>
      <c r="I16" s="24">
        <v>0.67</v>
      </c>
      <c r="J16" s="25">
        <v>-7.0000000000000007E-2</v>
      </c>
      <c r="K16" s="26">
        <f t="shared" si="7"/>
        <v>3.2</v>
      </c>
      <c r="L16" s="27">
        <f t="shared" si="0"/>
        <v>6350.6757543171188</v>
      </c>
      <c r="M16" s="28">
        <f t="shared" si="1"/>
        <v>665.08800000000008</v>
      </c>
      <c r="N16" s="27">
        <f t="shared" si="2"/>
        <v>145.65794138296175</v>
      </c>
      <c r="O16" s="27">
        <f t="shared" si="3"/>
        <v>286.33883326652477</v>
      </c>
      <c r="P16" s="27">
        <f t="shared" si="4"/>
        <v>228.89673085701179</v>
      </c>
      <c r="Q16" s="27">
        <v>0</v>
      </c>
      <c r="R16" s="29">
        <v>0</v>
      </c>
      <c r="S16" s="30">
        <f t="shared" si="5"/>
        <v>7447.7605289666044</v>
      </c>
      <c r="T16" s="30">
        <f t="shared" si="8"/>
        <v>2327.4251653020638</v>
      </c>
    </row>
    <row r="17" spans="1:20" ht="15.6" x14ac:dyDescent="0.3">
      <c r="A17" s="7">
        <v>10005711</v>
      </c>
      <c r="B17" s="7" t="s">
        <v>17</v>
      </c>
      <c r="C17" s="16">
        <v>11340</v>
      </c>
      <c r="D17" s="43">
        <v>11340</v>
      </c>
      <c r="E17" s="44">
        <v>0</v>
      </c>
      <c r="G17" s="32">
        <v>10005721</v>
      </c>
      <c r="H17" s="23">
        <f>IFERROR(INDEX([1]Resumen!$K$3:$K$63,MATCH(G17,[1]Resumen!$C$3:$C$63,0)),0)*(1+I17*J17)/1000-51.89/1000</f>
        <v>1.9845861732240995</v>
      </c>
      <c r="I17" s="24">
        <v>0.67</v>
      </c>
      <c r="J17" s="25">
        <v>-7.0000000000000007E-2</v>
      </c>
      <c r="K17" s="26">
        <f t="shared" si="7"/>
        <v>0</v>
      </c>
      <c r="L17" s="27">
        <f t="shared" si="0"/>
        <v>0</v>
      </c>
      <c r="M17" s="28">
        <f t="shared" si="1"/>
        <v>0</v>
      </c>
      <c r="N17" s="27">
        <f t="shared" si="2"/>
        <v>0</v>
      </c>
      <c r="O17" s="27">
        <f t="shared" si="3"/>
        <v>0</v>
      </c>
      <c r="P17" s="27">
        <f t="shared" si="4"/>
        <v>0</v>
      </c>
      <c r="Q17" s="27">
        <v>0</v>
      </c>
      <c r="R17" s="29">
        <v>0</v>
      </c>
      <c r="S17" s="30">
        <f t="shared" si="5"/>
        <v>0</v>
      </c>
      <c r="T17" s="30">
        <f t="shared" si="8"/>
        <v>0</v>
      </c>
    </row>
    <row r="18" spans="1:20" ht="15.6" x14ac:dyDescent="0.3">
      <c r="A18" s="7">
        <v>10010126</v>
      </c>
      <c r="B18" s="7" t="s">
        <v>18</v>
      </c>
      <c r="C18" s="16">
        <v>35920</v>
      </c>
      <c r="D18" s="43">
        <v>35920</v>
      </c>
      <c r="E18" s="44">
        <v>0</v>
      </c>
      <c r="G18" s="32">
        <v>10005721</v>
      </c>
      <c r="H18" s="23">
        <f>IFERROR(INDEX([1]Resumen!$K$3:$K$63,MATCH(G18,[1]Resumen!$C$3:$C$63,0)),0)*(1+I18*J18)/1000-51.89/1000</f>
        <v>1.9845861732240995</v>
      </c>
      <c r="I18" s="24">
        <v>0.67</v>
      </c>
      <c r="J18" s="25">
        <v>-7.0000000000000007E-2</v>
      </c>
      <c r="K18" s="26">
        <f t="shared" si="7"/>
        <v>0</v>
      </c>
      <c r="L18" s="27">
        <f t="shared" si="0"/>
        <v>0</v>
      </c>
      <c r="M18" s="28">
        <f t="shared" si="1"/>
        <v>0</v>
      </c>
      <c r="N18" s="27">
        <f t="shared" si="2"/>
        <v>0</v>
      </c>
      <c r="O18" s="27">
        <f t="shared" si="3"/>
        <v>0</v>
      </c>
      <c r="P18" s="27">
        <f t="shared" si="4"/>
        <v>0</v>
      </c>
      <c r="Q18" s="27">
        <v>0</v>
      </c>
      <c r="R18" s="29">
        <v>0</v>
      </c>
      <c r="S18" s="30">
        <f t="shared" si="5"/>
        <v>0</v>
      </c>
      <c r="T18" s="30">
        <f t="shared" si="8"/>
        <v>0</v>
      </c>
    </row>
    <row r="19" spans="1:20" ht="15.6" x14ac:dyDescent="0.3">
      <c r="A19" s="7">
        <v>10005718</v>
      </c>
      <c r="B19" s="7" t="s">
        <v>19</v>
      </c>
      <c r="C19" s="16">
        <v>3500</v>
      </c>
      <c r="D19" s="43">
        <v>380</v>
      </c>
      <c r="E19" s="44">
        <v>3120</v>
      </c>
      <c r="G19" s="32">
        <v>10005721</v>
      </c>
      <c r="H19" s="23">
        <f>IFERROR(INDEX([1]Resumen!$K$3:$K$63,MATCH(G19,[1]Resumen!$C$3:$C$63,0)),0)*(1+I19*J19)/1000-51.89/1000</f>
        <v>1.9845861732240995</v>
      </c>
      <c r="I19" s="24">
        <v>0.67</v>
      </c>
      <c r="J19" s="25">
        <v>-7.0000000000000007E-2</v>
      </c>
      <c r="K19" s="26">
        <f t="shared" si="7"/>
        <v>3.12</v>
      </c>
      <c r="L19" s="27">
        <f t="shared" si="0"/>
        <v>6191.9088604591907</v>
      </c>
      <c r="M19" s="28">
        <f t="shared" si="1"/>
        <v>648.46080000000006</v>
      </c>
      <c r="N19" s="27">
        <f t="shared" si="2"/>
        <v>142.01649284838768</v>
      </c>
      <c r="O19" s="27">
        <f t="shared" si="3"/>
        <v>279.18036243486165</v>
      </c>
      <c r="P19" s="27">
        <f t="shared" si="4"/>
        <v>223.17431258558651</v>
      </c>
      <c r="Q19" s="27">
        <v>0</v>
      </c>
      <c r="R19" s="29">
        <v>0</v>
      </c>
      <c r="S19" s="30">
        <f t="shared" si="5"/>
        <v>7261.5665157424392</v>
      </c>
      <c r="T19" s="30">
        <f t="shared" si="8"/>
        <v>2327.4251653020638</v>
      </c>
    </row>
    <row r="20" spans="1:20" ht="15.6" x14ac:dyDescent="0.3">
      <c r="A20" s="10">
        <v>10009971</v>
      </c>
      <c r="B20" s="10" t="s">
        <v>20</v>
      </c>
      <c r="C20" s="16">
        <v>0</v>
      </c>
      <c r="D20" s="43"/>
      <c r="E20" s="44">
        <v>0</v>
      </c>
      <c r="G20" s="32">
        <v>10005721</v>
      </c>
      <c r="H20" s="23">
        <f>IFERROR(INDEX([1]Resumen!$K$3:$K$63,MATCH(G20,[1]Resumen!$C$3:$C$63,0)),0)*(1+I20*J20)/1000-51.89/1000</f>
        <v>1.9845861732240995</v>
      </c>
      <c r="I20" s="24">
        <v>0.67</v>
      </c>
      <c r="J20" s="25">
        <v>-7.0000000000000007E-2</v>
      </c>
      <c r="K20" s="26">
        <f t="shared" si="7"/>
        <v>0</v>
      </c>
      <c r="L20" s="27">
        <f t="shared" si="0"/>
        <v>0</v>
      </c>
      <c r="M20" s="28">
        <f t="shared" si="1"/>
        <v>0</v>
      </c>
      <c r="N20" s="27">
        <f t="shared" si="2"/>
        <v>0</v>
      </c>
      <c r="O20" s="27">
        <f t="shared" si="3"/>
        <v>0</v>
      </c>
      <c r="P20" s="27">
        <f t="shared" si="4"/>
        <v>0</v>
      </c>
      <c r="Q20" s="27">
        <v>0</v>
      </c>
      <c r="R20" s="29">
        <v>0</v>
      </c>
      <c r="S20" s="30">
        <f t="shared" si="5"/>
        <v>0</v>
      </c>
      <c r="T20" s="30">
        <f t="shared" si="8"/>
        <v>0</v>
      </c>
    </row>
    <row r="21" spans="1:20" ht="15.6" x14ac:dyDescent="0.3">
      <c r="A21" s="10">
        <v>10009972</v>
      </c>
      <c r="B21" s="10" t="s">
        <v>21</v>
      </c>
      <c r="C21" s="16">
        <v>29720</v>
      </c>
      <c r="D21" s="43"/>
      <c r="E21" s="44">
        <v>29720</v>
      </c>
      <c r="G21" s="32">
        <v>10005721</v>
      </c>
      <c r="H21" s="23">
        <f>IFERROR(INDEX([1]Resumen!$K$3:$K$63,MATCH(G21,[1]Resumen!$C$3:$C$63,0)),0)*(1+I21*J21)/1000-51.89/1000</f>
        <v>1.9845861732240995</v>
      </c>
      <c r="I21" s="24">
        <v>0.67</v>
      </c>
      <c r="J21" s="25">
        <v>-7.0000000000000007E-2</v>
      </c>
      <c r="K21" s="26">
        <f t="shared" si="7"/>
        <v>29.72</v>
      </c>
      <c r="L21" s="27">
        <f t="shared" si="0"/>
        <v>58981.901068220235</v>
      </c>
      <c r="M21" s="28">
        <f t="shared" si="1"/>
        <v>6177.0047999999997</v>
      </c>
      <c r="N21" s="27">
        <f t="shared" si="2"/>
        <v>1352.7981305942571</v>
      </c>
      <c r="O21" s="27">
        <f t="shared" si="3"/>
        <v>2659.3719139628488</v>
      </c>
      <c r="P21" s="27">
        <f t="shared" si="4"/>
        <v>2125.8783878344971</v>
      </c>
      <c r="Q21" s="27">
        <v>0</v>
      </c>
      <c r="R21" s="29">
        <v>0</v>
      </c>
      <c r="S21" s="30">
        <f t="shared" si="5"/>
        <v>69171.075912777349</v>
      </c>
      <c r="T21" s="30">
        <f t="shared" si="8"/>
        <v>2327.4251653020642</v>
      </c>
    </row>
    <row r="22" spans="1:20" ht="15.6" x14ac:dyDescent="0.3">
      <c r="A22" s="10">
        <v>10010063</v>
      </c>
      <c r="B22" s="10" t="s">
        <v>22</v>
      </c>
      <c r="C22" s="16">
        <v>0</v>
      </c>
      <c r="D22" s="43">
        <v>0</v>
      </c>
      <c r="E22" s="44">
        <v>0</v>
      </c>
      <c r="G22" s="32">
        <v>10005721</v>
      </c>
      <c r="H22" s="23">
        <f>IFERROR(INDEX([1]Resumen!$K$3:$K$63,MATCH(G22,[1]Resumen!$C$3:$C$63,0)),0)*(1+I22*J22)/1000-51.89/1000</f>
        <v>1.9845861732240995</v>
      </c>
      <c r="I22" s="24">
        <v>0.67</v>
      </c>
      <c r="J22" s="25">
        <v>-7.0000000000000007E-2</v>
      </c>
      <c r="K22" s="26">
        <f t="shared" si="7"/>
        <v>0</v>
      </c>
      <c r="L22" s="27">
        <f t="shared" si="0"/>
        <v>0</v>
      </c>
      <c r="M22" s="28">
        <f t="shared" si="1"/>
        <v>0</v>
      </c>
      <c r="N22" s="27">
        <f t="shared" si="2"/>
        <v>0</v>
      </c>
      <c r="O22" s="27">
        <f t="shared" si="3"/>
        <v>0</v>
      </c>
      <c r="P22" s="27">
        <f t="shared" si="4"/>
        <v>0</v>
      </c>
      <c r="Q22" s="27">
        <v>0</v>
      </c>
      <c r="R22" s="29">
        <v>0</v>
      </c>
      <c r="S22" s="30">
        <f t="shared" si="5"/>
        <v>0</v>
      </c>
      <c r="T22" s="30">
        <f t="shared" si="8"/>
        <v>0</v>
      </c>
    </row>
    <row r="23" spans="1:20" ht="15.6" x14ac:dyDescent="0.3">
      <c r="A23" s="6">
        <v>10009298</v>
      </c>
      <c r="B23" s="6" t="s">
        <v>23</v>
      </c>
      <c r="C23" s="16">
        <v>3200</v>
      </c>
      <c r="D23" s="43"/>
      <c r="E23" s="44">
        <v>3200</v>
      </c>
      <c r="G23" s="32">
        <v>10005721</v>
      </c>
      <c r="H23" s="23">
        <f>IFERROR(INDEX([1]Resumen!$K$3:$K$63,MATCH(G23,[1]Resumen!$C$3:$C$63,0)),0)*(1+I23*J23)/1000-51.89/1000</f>
        <v>1.9845861732240995</v>
      </c>
      <c r="I23" s="24">
        <v>0.67</v>
      </c>
      <c r="J23" s="25">
        <v>-7.0000000000000007E-2</v>
      </c>
      <c r="K23" s="26">
        <f t="shared" si="7"/>
        <v>3.2</v>
      </c>
      <c r="L23" s="27">
        <f t="shared" si="0"/>
        <v>6350.6757543171188</v>
      </c>
      <c r="M23" s="28">
        <f t="shared" si="1"/>
        <v>665.08800000000008</v>
      </c>
      <c r="N23" s="27">
        <f t="shared" si="2"/>
        <v>145.65794138296175</v>
      </c>
      <c r="O23" s="27">
        <f t="shared" si="3"/>
        <v>286.33883326652477</v>
      </c>
      <c r="P23" s="27">
        <f t="shared" si="4"/>
        <v>228.89673085701179</v>
      </c>
      <c r="Q23" s="27">
        <v>0</v>
      </c>
      <c r="R23" s="29">
        <v>0</v>
      </c>
      <c r="S23" s="30">
        <f t="shared" si="5"/>
        <v>7447.7605289666044</v>
      </c>
      <c r="T23" s="30">
        <f t="shared" si="8"/>
        <v>2327.4251653020638</v>
      </c>
    </row>
    <row r="24" spans="1:20" ht="15.6" x14ac:dyDescent="0.3">
      <c r="A24" s="11">
        <v>10009184</v>
      </c>
      <c r="B24" s="11" t="s">
        <v>24</v>
      </c>
      <c r="C24" s="16">
        <v>114060</v>
      </c>
      <c r="D24" s="43"/>
      <c r="E24" s="44">
        <v>114060</v>
      </c>
      <c r="G24" s="33">
        <v>10005779</v>
      </c>
      <c r="H24" s="23">
        <f>IFERROR(INDEX([1]Resumen!$K$3:$K$63,MATCH(G24,[1]Resumen!$C$3:$C$63,0)),0)*(1+I24*J24)/1000-51.89/1000</f>
        <v>1.622010395638348</v>
      </c>
      <c r="I24" s="24">
        <v>0.65</v>
      </c>
      <c r="J24" s="25">
        <v>-7.0000000000000007E-2</v>
      </c>
      <c r="K24" s="26">
        <f t="shared" si="7"/>
        <v>114.06</v>
      </c>
      <c r="L24" s="27">
        <f t="shared" si="0"/>
        <v>185006.50572650996</v>
      </c>
      <c r="M24" s="28">
        <f t="shared" si="1"/>
        <v>23706.2304</v>
      </c>
      <c r="N24" s="27">
        <f t="shared" si="2"/>
        <v>5191.7952481689426</v>
      </c>
      <c r="O24" s="27">
        <f t="shared" si="3"/>
        <v>10206.189788243692</v>
      </c>
      <c r="P24" s="27">
        <f t="shared" si="4"/>
        <v>8158.7378504846138</v>
      </c>
      <c r="Q24" s="27">
        <v>0</v>
      </c>
      <c r="R24" s="29">
        <v>0</v>
      </c>
      <c r="S24" s="30">
        <f t="shared" si="5"/>
        <v>224110.72116292259</v>
      </c>
      <c r="T24" s="30">
        <f t="shared" si="8"/>
        <v>1964.8493877163123</v>
      </c>
    </row>
    <row r="25" spans="1:20" ht="15.6" x14ac:dyDescent="0.3">
      <c r="A25" s="7">
        <v>10009271</v>
      </c>
      <c r="B25" s="7" t="s">
        <v>25</v>
      </c>
      <c r="C25" s="16">
        <v>40100</v>
      </c>
      <c r="D25" s="43"/>
      <c r="E25" s="44">
        <v>40100</v>
      </c>
      <c r="G25" s="33">
        <v>10005779</v>
      </c>
      <c r="H25" s="23">
        <f>IFERROR(INDEX([1]Resumen!$K$3:$K$63,MATCH(G25,[1]Resumen!$C$3:$C$63,0)),0)*(1+I25*J25)/1000-51.89/1000</f>
        <v>1.622010395638348</v>
      </c>
      <c r="I25" s="24">
        <v>0.65</v>
      </c>
      <c r="J25" s="25">
        <v>-7.0000000000000007E-2</v>
      </c>
      <c r="K25" s="26">
        <f t="shared" si="7"/>
        <v>40.1</v>
      </c>
      <c r="L25" s="27">
        <f t="shared" si="0"/>
        <v>65042.616865097756</v>
      </c>
      <c r="M25" s="28">
        <f t="shared" si="1"/>
        <v>8334.384</v>
      </c>
      <c r="N25" s="27">
        <f t="shared" si="2"/>
        <v>1825.2760779552393</v>
      </c>
      <c r="O25" s="27">
        <f t="shared" si="3"/>
        <v>3588.1835043711385</v>
      </c>
      <c r="P25" s="27">
        <f t="shared" si="4"/>
        <v>2868.362158551929</v>
      </c>
      <c r="Q25" s="27">
        <v>0</v>
      </c>
      <c r="R25" s="29">
        <v>0</v>
      </c>
      <c r="S25" s="30">
        <f t="shared" si="5"/>
        <v>78790.460447424121</v>
      </c>
      <c r="T25" s="30">
        <f t="shared" si="8"/>
        <v>1964.8493877163121</v>
      </c>
    </row>
    <row r="26" spans="1:20" ht="15.6" x14ac:dyDescent="0.3">
      <c r="A26" s="7">
        <v>10009183</v>
      </c>
      <c r="B26" s="7" t="s">
        <v>26</v>
      </c>
      <c r="C26" s="16">
        <v>1040</v>
      </c>
      <c r="D26" s="43"/>
      <c r="E26" s="44">
        <v>1040</v>
      </c>
      <c r="G26" s="33">
        <v>10005779</v>
      </c>
      <c r="H26" s="23">
        <f>IFERROR(INDEX([1]Resumen!$K$3:$K$63,MATCH(G26,[1]Resumen!$C$3:$C$63,0)),0)*(1+I26*J26)/1000-51.89/1000</f>
        <v>1.622010395638348</v>
      </c>
      <c r="I26" s="24">
        <v>0.65</v>
      </c>
      <c r="J26" s="25">
        <v>-7.0000000000000007E-2</v>
      </c>
      <c r="K26" s="26">
        <f t="shared" si="7"/>
        <v>1.04</v>
      </c>
      <c r="L26" s="27">
        <f t="shared" si="0"/>
        <v>1686.8908114638821</v>
      </c>
      <c r="M26" s="28">
        <f t="shared" si="1"/>
        <v>216.15360000000001</v>
      </c>
      <c r="N26" s="27">
        <f t="shared" si="2"/>
        <v>47.338830949462569</v>
      </c>
      <c r="O26" s="27">
        <f t="shared" si="3"/>
        <v>93.06012081162055</v>
      </c>
      <c r="P26" s="27">
        <f t="shared" si="4"/>
        <v>74.39143752852884</v>
      </c>
      <c r="Q26" s="27">
        <v>0</v>
      </c>
      <c r="R26" s="29">
        <v>0</v>
      </c>
      <c r="S26" s="30">
        <f t="shared" si="5"/>
        <v>2043.4433632249652</v>
      </c>
      <c r="T26" s="30">
        <f t="shared" si="8"/>
        <v>1964.8493877163125</v>
      </c>
    </row>
    <row r="27" spans="1:20" ht="15.6" x14ac:dyDescent="0.3">
      <c r="A27" s="11">
        <v>10005779</v>
      </c>
      <c r="B27" s="11" t="s">
        <v>27</v>
      </c>
      <c r="C27" s="16">
        <v>96900</v>
      </c>
      <c r="D27" s="43">
        <v>52000</v>
      </c>
      <c r="E27" s="44">
        <v>44900</v>
      </c>
      <c r="G27" s="33">
        <v>10005779</v>
      </c>
      <c r="H27" s="23">
        <f>IFERROR(INDEX([1]Resumen!$K$3:$K$63,MATCH(G27,[1]Resumen!$C$3:$C$63,0)),0)*(1+I27*J27)/1000-51.89/1000</f>
        <v>1.622010395638348</v>
      </c>
      <c r="I27" s="24">
        <v>0.65</v>
      </c>
      <c r="J27" s="25">
        <v>-7.0000000000000007E-2</v>
      </c>
      <c r="K27" s="26">
        <f t="shared" si="7"/>
        <v>44.9</v>
      </c>
      <c r="L27" s="27">
        <f t="shared" si="0"/>
        <v>72828.266764161832</v>
      </c>
      <c r="M27" s="28">
        <f t="shared" si="1"/>
        <v>9332.0159999999996</v>
      </c>
      <c r="N27" s="27">
        <f t="shared" si="2"/>
        <v>2043.7629900296818</v>
      </c>
      <c r="O27" s="27">
        <f t="shared" si="3"/>
        <v>4017.6917542709252</v>
      </c>
      <c r="P27" s="27">
        <f t="shared" si="4"/>
        <v>3211.7072548374467</v>
      </c>
      <c r="Q27" s="27">
        <v>0</v>
      </c>
      <c r="R27" s="29">
        <v>0</v>
      </c>
      <c r="S27" s="30">
        <f t="shared" si="5"/>
        <v>88221.737508462451</v>
      </c>
      <c r="T27" s="30">
        <f t="shared" si="8"/>
        <v>1964.849387716313</v>
      </c>
    </row>
    <row r="28" spans="1:20" ht="15.6" x14ac:dyDescent="0.3">
      <c r="A28" s="11">
        <v>10005776</v>
      </c>
      <c r="B28" s="11" t="s">
        <v>28</v>
      </c>
      <c r="C28" s="16">
        <v>187140</v>
      </c>
      <c r="D28" s="43">
        <v>58000</v>
      </c>
      <c r="E28" s="44">
        <v>129140</v>
      </c>
      <c r="G28" s="33">
        <v>10005779</v>
      </c>
      <c r="H28" s="23">
        <f>IFERROR(INDEX([1]Resumen!$K$3:$K$63,MATCH(G28,[1]Resumen!$C$3:$C$63,0)),0)*(1+I28*J28)/1000-51.89/1000</f>
        <v>1.622010395638348</v>
      </c>
      <c r="I28" s="24">
        <v>0.65</v>
      </c>
      <c r="J28" s="25">
        <v>-7.0000000000000007E-2</v>
      </c>
      <c r="K28" s="26">
        <f t="shared" si="7"/>
        <v>129.13999999999999</v>
      </c>
      <c r="L28" s="27">
        <f t="shared" si="0"/>
        <v>209466.42249273625</v>
      </c>
      <c r="M28" s="28">
        <f t="shared" si="1"/>
        <v>26840.457599999998</v>
      </c>
      <c r="N28" s="27">
        <f t="shared" si="2"/>
        <v>5878.2082969361491</v>
      </c>
      <c r="O28" s="27">
        <f t="shared" si="3"/>
        <v>11555.561540012188</v>
      </c>
      <c r="P28" s="27">
        <f t="shared" si="4"/>
        <v>9237.4136946482813</v>
      </c>
      <c r="Q28" s="27">
        <v>0</v>
      </c>
      <c r="R28" s="29">
        <v>0</v>
      </c>
      <c r="S28" s="30">
        <f t="shared" si="5"/>
        <v>253740.64992968459</v>
      </c>
      <c r="T28" s="30">
        <f t="shared" si="8"/>
        <v>1964.8493877163125</v>
      </c>
    </row>
    <row r="29" spans="1:20" ht="15.6" x14ac:dyDescent="0.3">
      <c r="A29" s="11">
        <v>10005781</v>
      </c>
      <c r="B29" s="11" t="s">
        <v>29</v>
      </c>
      <c r="C29" s="16">
        <v>25680</v>
      </c>
      <c r="D29" s="43">
        <v>52000</v>
      </c>
      <c r="E29" s="44">
        <v>0</v>
      </c>
      <c r="G29" s="33">
        <v>10005779</v>
      </c>
      <c r="H29" s="23">
        <f>IFERROR(INDEX([1]Resumen!$K$3:$K$63,MATCH(G29,[1]Resumen!$C$3:$C$63,0)),0)*(1+I29*J29)/1000-51.89/1000</f>
        <v>1.622010395638348</v>
      </c>
      <c r="I29" s="24">
        <v>0.65</v>
      </c>
      <c r="J29" s="25">
        <v>-7.0000000000000007E-2</v>
      </c>
      <c r="K29" s="26">
        <f t="shared" si="7"/>
        <v>0</v>
      </c>
      <c r="L29" s="27">
        <f t="shared" si="0"/>
        <v>0</v>
      </c>
      <c r="M29" s="28">
        <f t="shared" si="1"/>
        <v>0</v>
      </c>
      <c r="N29" s="27">
        <f t="shared" si="2"/>
        <v>0</v>
      </c>
      <c r="O29" s="27">
        <f t="shared" si="3"/>
        <v>0</v>
      </c>
      <c r="P29" s="27">
        <f t="shared" si="4"/>
        <v>0</v>
      </c>
      <c r="Q29" s="27">
        <v>0</v>
      </c>
      <c r="R29" s="29">
        <v>0</v>
      </c>
      <c r="S29" s="30">
        <f t="shared" si="5"/>
        <v>0</v>
      </c>
      <c r="T29" s="30">
        <f t="shared" si="8"/>
        <v>0</v>
      </c>
    </row>
    <row r="30" spans="1:20" ht="15.6" x14ac:dyDescent="0.3">
      <c r="A30" s="12">
        <v>10007567</v>
      </c>
      <c r="B30" s="12" t="s">
        <v>30</v>
      </c>
      <c r="C30" s="16">
        <v>73020</v>
      </c>
      <c r="D30" s="43"/>
      <c r="E30" s="44">
        <v>73020</v>
      </c>
      <c r="G30" s="34">
        <v>10007567</v>
      </c>
      <c r="H30" s="23">
        <f>IFERROR(INDEX([1]Resumen!$K$3:$K$63,MATCH(G30,[1]Resumen!$C$3:$C$63,0)),0)*(1+I30*J30)/1000-51.89/1000</f>
        <v>1.6826592070424338</v>
      </c>
      <c r="I30" s="24">
        <v>0.68</v>
      </c>
      <c r="J30" s="25">
        <v>-7.0000000000000007E-2</v>
      </c>
      <c r="K30" s="26">
        <f t="shared" si="7"/>
        <v>73.02</v>
      </c>
      <c r="L30" s="27">
        <f t="shared" si="0"/>
        <v>122867.77529823851</v>
      </c>
      <c r="M30" s="28">
        <f t="shared" si="1"/>
        <v>15176.476799999999</v>
      </c>
      <c r="N30" s="27">
        <f t="shared" si="2"/>
        <v>3323.732149932458</v>
      </c>
      <c r="O30" s="27">
        <f t="shared" si="3"/>
        <v>6533.8942516005118</v>
      </c>
      <c r="P30" s="27">
        <f t="shared" si="4"/>
        <v>5223.1372772434379</v>
      </c>
      <c r="Q30" s="27">
        <v>0</v>
      </c>
      <c r="R30" s="29">
        <v>0</v>
      </c>
      <c r="S30" s="30">
        <f t="shared" si="5"/>
        <v>147901.87849977147</v>
      </c>
      <c r="T30" s="30">
        <f t="shared" si="8"/>
        <v>2025.4981991203981</v>
      </c>
    </row>
    <row r="31" spans="1:20" ht="15.6" x14ac:dyDescent="0.3">
      <c r="A31" s="12">
        <v>10010107</v>
      </c>
      <c r="B31" s="12" t="s">
        <v>31</v>
      </c>
      <c r="C31" s="16">
        <v>34120</v>
      </c>
      <c r="D31" s="43"/>
      <c r="E31" s="44">
        <v>34120</v>
      </c>
      <c r="G31" s="34">
        <v>10007567</v>
      </c>
      <c r="H31" s="23">
        <f>IFERROR(INDEX([1]Resumen!$K$3:$K$63,MATCH(G31,[1]Resumen!$C$3:$C$63,0)),0)*(1+I31*J31)/1000-51.89/1000</f>
        <v>1.6826592070424338</v>
      </c>
      <c r="I31" s="24">
        <v>0.68</v>
      </c>
      <c r="J31" s="25">
        <v>-7.0000000000000007E-2</v>
      </c>
      <c r="K31" s="26">
        <f t="shared" si="7"/>
        <v>34.119999999999997</v>
      </c>
      <c r="L31" s="27">
        <f t="shared" si="0"/>
        <v>57412.332144287837</v>
      </c>
      <c r="M31" s="28">
        <f t="shared" si="1"/>
        <v>7091.5007999999998</v>
      </c>
      <c r="N31" s="27">
        <f t="shared" si="2"/>
        <v>1553.0777999958293</v>
      </c>
      <c r="O31" s="27">
        <f t="shared" si="3"/>
        <v>3053.0878097043201</v>
      </c>
      <c r="P31" s="27">
        <f t="shared" si="4"/>
        <v>2440.611392762888</v>
      </c>
      <c r="Q31" s="27">
        <v>0</v>
      </c>
      <c r="R31" s="29">
        <v>0</v>
      </c>
      <c r="S31" s="30">
        <f t="shared" si="5"/>
        <v>69109.998553987985</v>
      </c>
      <c r="T31" s="30">
        <f t="shared" si="8"/>
        <v>2025.4981991203983</v>
      </c>
    </row>
    <row r="32" spans="1:20" ht="15.6" x14ac:dyDescent="0.3">
      <c r="A32" s="7">
        <v>10009185</v>
      </c>
      <c r="B32" s="7" t="s">
        <v>32</v>
      </c>
      <c r="C32" s="16">
        <v>0</v>
      </c>
      <c r="D32" s="43"/>
      <c r="E32" s="44">
        <v>0</v>
      </c>
      <c r="G32" s="34">
        <v>10007162</v>
      </c>
      <c r="H32" s="23">
        <f>IFERROR(INDEX([1]Resumen!$K$3:$K$63,MATCH(G32,[1]Resumen!$C$3:$C$63,0)),0)*(1+I32*J32)/1000-51.89/1000</f>
        <v>1.7406977734802118</v>
      </c>
      <c r="I32" s="25">
        <v>0.68</v>
      </c>
      <c r="J32" s="25">
        <v>-7.0000000000000007E-2</v>
      </c>
      <c r="K32" s="26">
        <f t="shared" si="7"/>
        <v>0</v>
      </c>
      <c r="L32" s="27">
        <f t="shared" si="0"/>
        <v>0</v>
      </c>
      <c r="M32" s="28">
        <f t="shared" si="1"/>
        <v>0</v>
      </c>
      <c r="N32" s="27">
        <f t="shared" si="2"/>
        <v>0</v>
      </c>
      <c r="O32" s="27">
        <f t="shared" si="3"/>
        <v>0</v>
      </c>
      <c r="P32" s="27">
        <f t="shared" si="4"/>
        <v>0</v>
      </c>
      <c r="Q32" s="27">
        <v>0</v>
      </c>
      <c r="R32" s="29">
        <v>0</v>
      </c>
      <c r="S32" s="30">
        <f t="shared" si="5"/>
        <v>0</v>
      </c>
      <c r="T32" s="30">
        <f t="shared" si="8"/>
        <v>0</v>
      </c>
    </row>
    <row r="33" spans="1:20" ht="15.6" x14ac:dyDescent="0.3">
      <c r="A33" s="7">
        <v>10009186</v>
      </c>
      <c r="B33" s="7" t="s">
        <v>33</v>
      </c>
      <c r="C33" s="16">
        <v>2080</v>
      </c>
      <c r="D33" s="43"/>
      <c r="E33" s="44">
        <v>2080</v>
      </c>
      <c r="G33" s="34">
        <v>10007162</v>
      </c>
      <c r="H33" s="23">
        <f>IFERROR(INDEX([1]Resumen!$K$3:$K$63,MATCH(G33,[1]Resumen!$C$3:$C$63,0)),0)*(1+I33*J33)/1000-51.89/1000</f>
        <v>1.7406977734802118</v>
      </c>
      <c r="I33" s="25">
        <v>0.68</v>
      </c>
      <c r="J33" s="25">
        <v>-7.0000000000000007E-2</v>
      </c>
      <c r="K33" s="26">
        <f t="shared" si="7"/>
        <v>2.08</v>
      </c>
      <c r="L33" s="27">
        <f t="shared" si="0"/>
        <v>3620.6513688388409</v>
      </c>
      <c r="M33" s="28">
        <f t="shared" si="1"/>
        <v>432.30720000000002</v>
      </c>
      <c r="N33" s="27">
        <f t="shared" si="2"/>
        <v>94.677661898925138</v>
      </c>
      <c r="O33" s="27">
        <f t="shared" si="3"/>
        <v>186.1202416232411</v>
      </c>
      <c r="P33" s="27">
        <f t="shared" si="4"/>
        <v>148.78287505705768</v>
      </c>
      <c r="Q33" s="27">
        <v>0</v>
      </c>
      <c r="R33" s="29">
        <v>0</v>
      </c>
      <c r="S33" s="30">
        <f t="shared" si="5"/>
        <v>4333.7564723610067</v>
      </c>
      <c r="T33" s="30">
        <f t="shared" si="8"/>
        <v>2083.5367655581763</v>
      </c>
    </row>
    <row r="34" spans="1:20" ht="15.6" x14ac:dyDescent="0.3">
      <c r="A34" s="7">
        <v>10009777</v>
      </c>
      <c r="B34" s="7" t="s">
        <v>34</v>
      </c>
      <c r="C34" s="16">
        <v>46660</v>
      </c>
      <c r="D34" s="43">
        <v>25700</v>
      </c>
      <c r="E34" s="44">
        <v>20960</v>
      </c>
      <c r="G34" s="34">
        <v>10007162</v>
      </c>
      <c r="H34" s="23">
        <f>IFERROR(INDEX([1]Resumen!$K$3:$K$63,MATCH(G34,[1]Resumen!$C$3:$C$63,0)),0)*(1+I34*J34)/1000-51.89/1000</f>
        <v>1.7406977734802118</v>
      </c>
      <c r="I34" s="25">
        <v>0.68</v>
      </c>
      <c r="J34" s="25">
        <v>-7.0000000000000007E-2</v>
      </c>
      <c r="K34" s="26">
        <f t="shared" ref="K34:K51" si="9">IF(E34&lt;0,0,E34)/1000</f>
        <v>20.96</v>
      </c>
      <c r="L34" s="27">
        <f t="shared" ref="L34:L65" si="10">IFERROR(H34*K34,0)*1000</f>
        <v>36485.02533214524</v>
      </c>
      <c r="M34" s="28">
        <f t="shared" ref="M34:M51" si="11">207.84*K34</f>
        <v>4356.3263999999999</v>
      </c>
      <c r="N34" s="27">
        <f t="shared" ref="N34:N51" si="12">$N$54/$K$52*K34</f>
        <v>954.05951605839937</v>
      </c>
      <c r="O34" s="27">
        <f t="shared" ref="O34:O51" si="13">$O$54/$K$52*K34</f>
        <v>1875.5193578957374</v>
      </c>
      <c r="P34" s="27">
        <f t="shared" ref="P34:P51" si="14">$P$54/$K$52*K34</f>
        <v>1499.2735871134273</v>
      </c>
      <c r="Q34" s="27">
        <v>0</v>
      </c>
      <c r="R34" s="29">
        <v>0</v>
      </c>
      <c r="S34" s="30">
        <f t="shared" ref="S34:S51" si="15">L34+M34+N34+O34</f>
        <v>43670.930606099377</v>
      </c>
      <c r="T34" s="30">
        <f t="shared" si="8"/>
        <v>2083.5367655581763</v>
      </c>
    </row>
    <row r="35" spans="1:20" ht="15.6" x14ac:dyDescent="0.3">
      <c r="A35" s="7">
        <v>10010108</v>
      </c>
      <c r="B35" s="7" t="s">
        <v>35</v>
      </c>
      <c r="C35" s="16">
        <v>52220</v>
      </c>
      <c r="D35" s="43">
        <v>1300</v>
      </c>
      <c r="E35" s="44">
        <v>50920</v>
      </c>
      <c r="G35" s="34">
        <v>10007162</v>
      </c>
      <c r="H35" s="23">
        <f>IFERROR(INDEX([1]Resumen!$K$3:$K$63,MATCH(G35,[1]Resumen!$C$3:$C$63,0)),0)*(1+I35*J35)/1000-51.89/1000</f>
        <v>1.7406977734802118</v>
      </c>
      <c r="I35" s="25">
        <v>0.68</v>
      </c>
      <c r="J35" s="25">
        <v>-7.0000000000000007E-2</v>
      </c>
      <c r="K35" s="26">
        <f t="shared" si="9"/>
        <v>50.92</v>
      </c>
      <c r="L35" s="27">
        <f t="shared" si="10"/>
        <v>88636.330625612391</v>
      </c>
      <c r="M35" s="28">
        <f t="shared" si="11"/>
        <v>10583.212800000001</v>
      </c>
      <c r="N35" s="27">
        <f t="shared" si="12"/>
        <v>2317.7819922563785</v>
      </c>
      <c r="O35" s="27">
        <f t="shared" si="13"/>
        <v>4556.3666843535757</v>
      </c>
      <c r="P35" s="27">
        <f t="shared" si="14"/>
        <v>3642.3192297622004</v>
      </c>
      <c r="Q35" s="27">
        <v>0</v>
      </c>
      <c r="R35" s="29">
        <v>0</v>
      </c>
      <c r="S35" s="30">
        <f t="shared" si="15"/>
        <v>106093.69210222234</v>
      </c>
      <c r="T35" s="30">
        <f t="shared" si="8"/>
        <v>2083.5367655581763</v>
      </c>
    </row>
    <row r="36" spans="1:20" ht="15.6" x14ac:dyDescent="0.3">
      <c r="A36" s="13">
        <v>10009187</v>
      </c>
      <c r="B36" s="13" t="s">
        <v>36</v>
      </c>
      <c r="C36" s="16">
        <v>340</v>
      </c>
      <c r="D36" s="43"/>
      <c r="E36" s="44">
        <v>340</v>
      </c>
      <c r="G36" s="34">
        <v>10007162</v>
      </c>
      <c r="H36" s="23">
        <f>IFERROR(INDEX([1]Resumen!$K$3:$K$63,MATCH(G36,[1]Resumen!$C$3:$C$63,0)),0)*(1+I36*J36)/1000-51.89/1000</f>
        <v>1.7406977734802118</v>
      </c>
      <c r="I36" s="25">
        <v>0.68</v>
      </c>
      <c r="J36" s="25">
        <v>-7.0000000000000007E-2</v>
      </c>
      <c r="K36" s="26">
        <f t="shared" si="9"/>
        <v>0.34</v>
      </c>
      <c r="L36" s="27">
        <f t="shared" si="10"/>
        <v>591.83724298327206</v>
      </c>
      <c r="M36" s="28">
        <f t="shared" si="11"/>
        <v>70.665600000000012</v>
      </c>
      <c r="N36" s="27">
        <f t="shared" si="12"/>
        <v>15.476156271939686</v>
      </c>
      <c r="O36" s="27">
        <f t="shared" si="13"/>
        <v>30.423501034568257</v>
      </c>
      <c r="P36" s="27">
        <f t="shared" si="14"/>
        <v>24.320277653557504</v>
      </c>
      <c r="Q36" s="27">
        <v>0</v>
      </c>
      <c r="R36" s="29">
        <v>0</v>
      </c>
      <c r="S36" s="30">
        <f t="shared" si="15"/>
        <v>708.40250028978005</v>
      </c>
      <c r="T36" s="30">
        <f t="shared" si="8"/>
        <v>2083.5367655581763</v>
      </c>
    </row>
    <row r="37" spans="1:20" ht="15.6" x14ac:dyDescent="0.3">
      <c r="A37" s="13">
        <v>10007161</v>
      </c>
      <c r="B37" s="13" t="s">
        <v>37</v>
      </c>
      <c r="C37" s="16">
        <v>30020</v>
      </c>
      <c r="D37" s="43"/>
      <c r="E37" s="44">
        <v>30020</v>
      </c>
      <c r="G37" s="34">
        <v>10007162</v>
      </c>
      <c r="H37" s="23">
        <f>IFERROR(INDEX([1]Resumen!$K$3:$K$63,MATCH(G37,[1]Resumen!$C$3:$C$63,0)),0)*(1+I37*J37)/1000-51.89/1000</f>
        <v>1.7406977734802118</v>
      </c>
      <c r="I37" s="25">
        <v>0.68</v>
      </c>
      <c r="J37" s="25">
        <v>-7.0000000000000007E-2</v>
      </c>
      <c r="K37" s="26">
        <f t="shared" si="9"/>
        <v>30.02</v>
      </c>
      <c r="L37" s="27">
        <f t="shared" si="10"/>
        <v>52255.747159875958</v>
      </c>
      <c r="M37" s="28">
        <f t="shared" si="11"/>
        <v>6239.3567999999996</v>
      </c>
      <c r="N37" s="27">
        <f t="shared" si="12"/>
        <v>1366.4535625989097</v>
      </c>
      <c r="O37" s="27">
        <f t="shared" si="13"/>
        <v>2686.2161795815855</v>
      </c>
      <c r="P37" s="27">
        <f t="shared" si="14"/>
        <v>2147.3374563523416</v>
      </c>
      <c r="Q37" s="27">
        <v>0</v>
      </c>
      <c r="R37" s="29">
        <v>0</v>
      </c>
      <c r="S37" s="30">
        <f t="shared" si="15"/>
        <v>62547.773702056453</v>
      </c>
      <c r="T37" s="30">
        <f t="shared" si="8"/>
        <v>2083.5367655581763</v>
      </c>
    </row>
    <row r="38" spans="1:20" ht="15.6" x14ac:dyDescent="0.3">
      <c r="A38" s="13">
        <v>10009658</v>
      </c>
      <c r="B38" s="13" t="s">
        <v>38</v>
      </c>
      <c r="C38" s="16">
        <v>2680</v>
      </c>
      <c r="D38" s="43"/>
      <c r="E38" s="44">
        <v>2680</v>
      </c>
      <c r="G38" s="34">
        <v>10007162</v>
      </c>
      <c r="H38" s="23">
        <f>IFERROR(INDEX([1]Resumen!$K$3:$K$63,MATCH(G38,[1]Resumen!$C$3:$C$63,0)),0)*(1+I38*J38)/1000-51.89/1000</f>
        <v>1.7406977734802118</v>
      </c>
      <c r="I38" s="25">
        <v>0.68</v>
      </c>
      <c r="J38" s="25">
        <v>-7.0000000000000007E-2</v>
      </c>
      <c r="K38" s="26">
        <f t="shared" si="9"/>
        <v>2.68</v>
      </c>
      <c r="L38" s="27">
        <f t="shared" si="10"/>
        <v>4665.0700329269675</v>
      </c>
      <c r="M38" s="28">
        <f t="shared" si="11"/>
        <v>557.01120000000003</v>
      </c>
      <c r="N38" s="27">
        <f t="shared" si="12"/>
        <v>121.98852590823046</v>
      </c>
      <c r="O38" s="27">
        <f t="shared" si="13"/>
        <v>239.8087728607145</v>
      </c>
      <c r="P38" s="27">
        <f t="shared" si="14"/>
        <v>191.70101209274739</v>
      </c>
      <c r="Q38" s="27">
        <v>0</v>
      </c>
      <c r="R38" s="29">
        <v>0</v>
      </c>
      <c r="S38" s="30">
        <f t="shared" si="15"/>
        <v>5583.878531695912</v>
      </c>
      <c r="T38" s="30">
        <f t="shared" si="8"/>
        <v>2083.5367655581758</v>
      </c>
    </row>
    <row r="39" spans="1:20" ht="15.6" x14ac:dyDescent="0.3">
      <c r="A39" s="13">
        <v>10009639</v>
      </c>
      <c r="B39" s="13" t="s">
        <v>39</v>
      </c>
      <c r="C39" s="16">
        <v>30200</v>
      </c>
      <c r="D39" s="43"/>
      <c r="E39" s="44">
        <v>30200</v>
      </c>
      <c r="G39" s="34">
        <v>10007162</v>
      </c>
      <c r="H39" s="23">
        <f>IFERROR(INDEX([1]Resumen!$K$3:$K$63,MATCH(G39,[1]Resumen!$C$3:$C$63,0)),0)*(1+I39*J39)/1000-51.89/1000</f>
        <v>1.7406977734802118</v>
      </c>
      <c r="I39" s="25">
        <v>0.68</v>
      </c>
      <c r="J39" s="25">
        <v>-7.0000000000000007E-2</v>
      </c>
      <c r="K39" s="26">
        <f t="shared" si="9"/>
        <v>30.2</v>
      </c>
      <c r="L39" s="27">
        <f t="shared" si="10"/>
        <v>52569.072759102397</v>
      </c>
      <c r="M39" s="28">
        <f t="shared" si="11"/>
        <v>6276.768</v>
      </c>
      <c r="N39" s="27">
        <f t="shared" si="12"/>
        <v>1374.6468218017014</v>
      </c>
      <c r="O39" s="27">
        <f t="shared" si="13"/>
        <v>2702.3227389528274</v>
      </c>
      <c r="P39" s="27">
        <f t="shared" si="14"/>
        <v>2160.2128974630486</v>
      </c>
      <c r="Q39" s="27">
        <v>0</v>
      </c>
      <c r="R39" s="29">
        <v>0</v>
      </c>
      <c r="S39" s="30">
        <f t="shared" si="15"/>
        <v>62922.81031985693</v>
      </c>
      <c r="T39" s="30">
        <f t="shared" si="8"/>
        <v>2083.5367655581767</v>
      </c>
    </row>
    <row r="40" spans="1:20" ht="15.6" x14ac:dyDescent="0.3">
      <c r="A40" s="13">
        <v>10007162</v>
      </c>
      <c r="B40" s="13" t="s">
        <v>40</v>
      </c>
      <c r="C40" s="16">
        <v>98660</v>
      </c>
      <c r="D40" s="43"/>
      <c r="E40" s="44">
        <v>98660</v>
      </c>
      <c r="G40" s="34">
        <v>10007162</v>
      </c>
      <c r="H40" s="23">
        <f>IFERROR(INDEX([1]Resumen!$K$3:$K$63,MATCH(G40,[1]Resumen!$C$3:$C$63,0)),0)*(1+I40*J40)/1000-51.89/1000</f>
        <v>1.7406977734802118</v>
      </c>
      <c r="I40" s="25">
        <v>0.68</v>
      </c>
      <c r="J40" s="25">
        <v>-7.0000000000000007E-2</v>
      </c>
      <c r="K40" s="26">
        <f t="shared" si="9"/>
        <v>98.66</v>
      </c>
      <c r="L40" s="27">
        <f t="shared" si="10"/>
        <v>171737.2423315577</v>
      </c>
      <c r="M40" s="28">
        <f t="shared" si="11"/>
        <v>20505.4944</v>
      </c>
      <c r="N40" s="27">
        <f t="shared" si="12"/>
        <v>4490.8164052634393</v>
      </c>
      <c r="O40" s="27">
        <f t="shared" si="13"/>
        <v>8828.1841531485406</v>
      </c>
      <c r="P40" s="27">
        <f t="shared" si="14"/>
        <v>7057.1723332352449</v>
      </c>
      <c r="Q40" s="27">
        <v>0</v>
      </c>
      <c r="R40" s="29">
        <v>0</v>
      </c>
      <c r="S40" s="30">
        <f t="shared" si="15"/>
        <v>205561.73728996969</v>
      </c>
      <c r="T40" s="30">
        <f t="shared" si="8"/>
        <v>2083.5367655581767</v>
      </c>
    </row>
    <row r="41" spans="1:20" ht="15.6" x14ac:dyDescent="0.3">
      <c r="A41" s="13">
        <v>10009336</v>
      </c>
      <c r="B41" s="13" t="s">
        <v>41</v>
      </c>
      <c r="C41" s="16">
        <v>19740</v>
      </c>
      <c r="D41" s="43"/>
      <c r="E41" s="44">
        <v>19740</v>
      </c>
      <c r="G41" s="35">
        <v>10009386</v>
      </c>
      <c r="H41" s="23">
        <f>IFERROR(INDEX([1]Resumen!$K$3:$K$63,MATCH(G41,[1]Resumen!$C$3:$C$63,0)),0)*(1+I41*J41)/1000-51.89/1000</f>
        <v>1.7421709268610135</v>
      </c>
      <c r="I41" s="25">
        <v>0.68</v>
      </c>
      <c r="J41" s="25">
        <v>-7.0000000000000007E-2</v>
      </c>
      <c r="K41" s="26">
        <f t="shared" si="9"/>
        <v>19.739999999999998</v>
      </c>
      <c r="L41" s="27">
        <f t="shared" si="10"/>
        <v>34390.454096236404</v>
      </c>
      <c r="M41" s="28">
        <f t="shared" si="11"/>
        <v>4102.7615999999998</v>
      </c>
      <c r="N41" s="27">
        <f t="shared" si="12"/>
        <v>898.52742590614514</v>
      </c>
      <c r="O41" s="27">
        <f t="shared" si="13"/>
        <v>1766.3526777128745</v>
      </c>
      <c r="P41" s="27">
        <f t="shared" si="14"/>
        <v>1412.0067084741913</v>
      </c>
      <c r="Q41" s="27">
        <v>0</v>
      </c>
      <c r="R41" s="29">
        <v>0</v>
      </c>
      <c r="S41" s="30">
        <f t="shared" si="15"/>
        <v>41158.095799855422</v>
      </c>
      <c r="T41" s="30">
        <f t="shared" si="8"/>
        <v>2085.009918938978</v>
      </c>
    </row>
    <row r="42" spans="1:20" ht="15.6" x14ac:dyDescent="0.3">
      <c r="A42" s="14">
        <v>10009239</v>
      </c>
      <c r="B42" s="14" t="s">
        <v>42</v>
      </c>
      <c r="C42" s="16">
        <v>200660</v>
      </c>
      <c r="D42" s="43">
        <v>160000</v>
      </c>
      <c r="E42" s="44">
        <v>40660</v>
      </c>
      <c r="G42" s="36">
        <v>10009239</v>
      </c>
      <c r="H42" s="23">
        <f>IFERROR(INDEX([1]Resumen!$K$3:$K$63,MATCH(G42,[1]Resumen!$C$3:$C$63,0)),0)*(1+I42*J42)/1000-51.89/1000</f>
        <v>3.2548777446902504</v>
      </c>
      <c r="I42" s="24">
        <v>0.56000000000000005</v>
      </c>
      <c r="J42" s="25">
        <v>-7.0000000000000007E-2</v>
      </c>
      <c r="K42" s="26">
        <f t="shared" si="9"/>
        <v>40.659999999999997</v>
      </c>
      <c r="L42" s="27">
        <f t="shared" si="10"/>
        <v>132343.32909910558</v>
      </c>
      <c r="M42" s="28">
        <f t="shared" si="11"/>
        <v>8450.7744000000002</v>
      </c>
      <c r="N42" s="27">
        <f t="shared" si="12"/>
        <v>1850.7662176972574</v>
      </c>
      <c r="O42" s="27">
        <f t="shared" si="13"/>
        <v>3638.2928001927799</v>
      </c>
      <c r="P42" s="27">
        <f t="shared" si="14"/>
        <v>2908.419086451906</v>
      </c>
      <c r="Q42" s="27">
        <v>0</v>
      </c>
      <c r="R42" s="29">
        <v>0</v>
      </c>
      <c r="S42" s="30">
        <f t="shared" si="15"/>
        <v>146283.16251699562</v>
      </c>
      <c r="T42" s="30">
        <f t="shared" si="8"/>
        <v>3597.7167367682155</v>
      </c>
    </row>
    <row r="43" spans="1:20" ht="15.6" x14ac:dyDescent="0.3">
      <c r="A43" s="14">
        <v>10009251</v>
      </c>
      <c r="B43" s="14" t="s">
        <v>43</v>
      </c>
      <c r="C43" s="16">
        <v>2000</v>
      </c>
      <c r="D43" s="43">
        <v>2000</v>
      </c>
      <c r="E43" s="44">
        <v>0</v>
      </c>
      <c r="G43" s="36">
        <v>10009239</v>
      </c>
      <c r="H43" s="23">
        <f>IFERROR(INDEX([1]Resumen!$K$3:$K$63,MATCH(G43,[1]Resumen!$C$3:$C$63,0)),0)*(1+I43*J43)/1000-51.89/1000</f>
        <v>3.2548777446902504</v>
      </c>
      <c r="I43" s="24">
        <v>0.56000000000000005</v>
      </c>
      <c r="J43" s="25">
        <v>-7.0000000000000007E-2</v>
      </c>
      <c r="K43" s="26">
        <f t="shared" si="9"/>
        <v>0</v>
      </c>
      <c r="L43" s="27">
        <f t="shared" si="10"/>
        <v>0</v>
      </c>
      <c r="M43" s="28">
        <f t="shared" si="11"/>
        <v>0</v>
      </c>
      <c r="N43" s="27">
        <f t="shared" si="12"/>
        <v>0</v>
      </c>
      <c r="O43" s="27">
        <f t="shared" si="13"/>
        <v>0</v>
      </c>
      <c r="P43" s="27">
        <f t="shared" si="14"/>
        <v>0</v>
      </c>
      <c r="Q43" s="27">
        <v>0</v>
      </c>
      <c r="R43" s="29">
        <v>0</v>
      </c>
      <c r="S43" s="30">
        <f t="shared" si="15"/>
        <v>0</v>
      </c>
      <c r="T43" s="30">
        <f t="shared" si="8"/>
        <v>0</v>
      </c>
    </row>
    <row r="44" spans="1:20" ht="15.6" x14ac:dyDescent="0.3">
      <c r="A44" s="8">
        <v>10009241</v>
      </c>
      <c r="B44" s="8" t="s">
        <v>44</v>
      </c>
      <c r="C44" s="16">
        <v>260</v>
      </c>
      <c r="D44" s="43">
        <v>260</v>
      </c>
      <c r="E44" s="44">
        <v>0</v>
      </c>
      <c r="G44" s="37">
        <v>10009334</v>
      </c>
      <c r="H44" s="23">
        <f>IFERROR(INDEX([1]Resumen!$K$3:$K$63,MATCH(G44,[1]Resumen!$C$3:$C$63,0)),0)*(1+I44*J44)/1000-51.89/1000</f>
        <v>2.8244285114873775</v>
      </c>
      <c r="I44" s="24">
        <v>0.68</v>
      </c>
      <c r="J44" s="25">
        <v>-7.0000000000000007E-2</v>
      </c>
      <c r="K44" s="26">
        <f t="shared" si="9"/>
        <v>0</v>
      </c>
      <c r="L44" s="27">
        <f t="shared" si="10"/>
        <v>0</v>
      </c>
      <c r="M44" s="28">
        <f t="shared" si="11"/>
        <v>0</v>
      </c>
      <c r="N44" s="27">
        <f t="shared" si="12"/>
        <v>0</v>
      </c>
      <c r="O44" s="27">
        <f t="shared" si="13"/>
        <v>0</v>
      </c>
      <c r="P44" s="27">
        <f t="shared" si="14"/>
        <v>0</v>
      </c>
      <c r="Q44" s="27">
        <v>0</v>
      </c>
      <c r="R44" s="29">
        <v>0</v>
      </c>
      <c r="S44" s="30">
        <f t="shared" si="15"/>
        <v>0</v>
      </c>
      <c r="T44" s="30">
        <f t="shared" si="8"/>
        <v>0</v>
      </c>
    </row>
    <row r="45" spans="1:20" ht="15.6" x14ac:dyDescent="0.3">
      <c r="A45" s="8">
        <v>10009331</v>
      </c>
      <c r="B45" s="8" t="s">
        <v>45</v>
      </c>
      <c r="C45" s="16">
        <v>27980</v>
      </c>
      <c r="D45" s="43"/>
      <c r="E45" s="44">
        <v>27980</v>
      </c>
      <c r="G45" s="37">
        <v>10009334</v>
      </c>
      <c r="H45" s="23">
        <f>IFERROR(INDEX([1]Resumen!$K$3:$K$63,MATCH(G45,[1]Resumen!$C$3:$C$63,0)),0)*(1+I45*J45)/1000-51.89/1000</f>
        <v>2.8244285114873775</v>
      </c>
      <c r="I45" s="24">
        <v>0.68</v>
      </c>
      <c r="J45" s="25">
        <v>-7.0000000000000007E-2</v>
      </c>
      <c r="K45" s="26">
        <f t="shared" si="9"/>
        <v>27.98</v>
      </c>
      <c r="L45" s="27">
        <f t="shared" si="10"/>
        <v>79027.50975141683</v>
      </c>
      <c r="M45" s="28">
        <f t="shared" si="11"/>
        <v>5815.3631999999998</v>
      </c>
      <c r="N45" s="27">
        <f t="shared" si="12"/>
        <v>1273.5966249672717</v>
      </c>
      <c r="O45" s="27">
        <f t="shared" si="13"/>
        <v>2503.6751733741758</v>
      </c>
      <c r="P45" s="27">
        <f t="shared" si="14"/>
        <v>2001.4157904309968</v>
      </c>
      <c r="Q45" s="27">
        <v>0</v>
      </c>
      <c r="R45" s="29">
        <v>0</v>
      </c>
      <c r="S45" s="30">
        <f t="shared" si="15"/>
        <v>88620.14474975827</v>
      </c>
      <c r="T45" s="30">
        <f t="shared" si="8"/>
        <v>3167.2675035653419</v>
      </c>
    </row>
    <row r="46" spans="1:20" ht="15.6" x14ac:dyDescent="0.3">
      <c r="A46" s="8">
        <v>10009334</v>
      </c>
      <c r="B46" s="8" t="s">
        <v>46</v>
      </c>
      <c r="C46" s="16">
        <v>4808</v>
      </c>
      <c r="D46" s="43"/>
      <c r="E46" s="44">
        <v>4808</v>
      </c>
      <c r="G46" s="37">
        <v>10009334</v>
      </c>
      <c r="H46" s="23">
        <f>IFERROR(INDEX([1]Resumen!$K$3:$K$63,MATCH(G46,[1]Resumen!$C$3:$C$63,0)),0)*(1+I46*J46)/1000-51.89/1000</f>
        <v>2.8244285114873775</v>
      </c>
      <c r="I46" s="24">
        <v>0.68</v>
      </c>
      <c r="J46" s="25">
        <v>-7.0000000000000007E-2</v>
      </c>
      <c r="K46" s="26">
        <f t="shared" si="9"/>
        <v>4.8079999999999998</v>
      </c>
      <c r="L46" s="27">
        <f t="shared" si="10"/>
        <v>13579.852283231312</v>
      </c>
      <c r="M46" s="28">
        <f t="shared" si="11"/>
        <v>999.29471999999998</v>
      </c>
      <c r="N46" s="27">
        <f t="shared" si="12"/>
        <v>218.8510569279</v>
      </c>
      <c r="O46" s="27">
        <f t="shared" si="13"/>
        <v>430.22409698295343</v>
      </c>
      <c r="P46" s="27">
        <f t="shared" si="14"/>
        <v>343.91733811266022</v>
      </c>
      <c r="Q46" s="27">
        <v>0</v>
      </c>
      <c r="R46" s="29">
        <v>0</v>
      </c>
      <c r="S46" s="30">
        <f t="shared" si="15"/>
        <v>15228.222157142165</v>
      </c>
      <c r="T46" s="30">
        <f t="shared" si="8"/>
        <v>3167.2675035653424</v>
      </c>
    </row>
    <row r="47" spans="1:20" ht="15.6" x14ac:dyDescent="0.3">
      <c r="A47" s="7">
        <v>10007050</v>
      </c>
      <c r="B47" s="7" t="s">
        <v>47</v>
      </c>
      <c r="C47" s="16">
        <v>20460</v>
      </c>
      <c r="D47" s="43"/>
      <c r="E47" s="44">
        <v>20460</v>
      </c>
      <c r="G47" s="36">
        <v>10007050</v>
      </c>
      <c r="H47" s="23">
        <f>IFERROR(INDEX([1]Resumen!$K$3:$K$63,MATCH(G47,[1]Resumen!$C$3:$C$63,0)),0)*(1+I47*J47)/1000-51.89/1000</f>
        <v>1.4439459506771439</v>
      </c>
      <c r="I47" s="24">
        <v>0.68</v>
      </c>
      <c r="J47" s="25">
        <v>-7.0000000000000007E-2</v>
      </c>
      <c r="K47" s="26">
        <f t="shared" si="9"/>
        <v>20.46</v>
      </c>
      <c r="L47" s="27">
        <f t="shared" si="10"/>
        <v>29543.134150854366</v>
      </c>
      <c r="M47" s="28">
        <f t="shared" si="11"/>
        <v>4252.4063999999998</v>
      </c>
      <c r="N47" s="27">
        <f t="shared" si="12"/>
        <v>931.30046271731169</v>
      </c>
      <c r="O47" s="27">
        <f t="shared" si="13"/>
        <v>1830.7789151978427</v>
      </c>
      <c r="P47" s="27">
        <f t="shared" si="14"/>
        <v>1463.5084729170192</v>
      </c>
      <c r="Q47" s="27">
        <v>0</v>
      </c>
      <c r="R47" s="29">
        <v>0</v>
      </c>
      <c r="S47" s="30">
        <f t="shared" si="15"/>
        <v>36557.61992876952</v>
      </c>
      <c r="T47" s="30">
        <f t="shared" si="8"/>
        <v>1786.7849427551084</v>
      </c>
    </row>
    <row r="48" spans="1:20" ht="15.6" x14ac:dyDescent="0.3">
      <c r="A48" s="7">
        <v>10009337</v>
      </c>
      <c r="B48" s="7" t="s">
        <v>48</v>
      </c>
      <c r="C48" s="16">
        <v>106235</v>
      </c>
      <c r="D48" s="43">
        <v>81000</v>
      </c>
      <c r="E48" s="44">
        <v>25235</v>
      </c>
      <c r="G48" s="36">
        <v>10007050</v>
      </c>
      <c r="H48" s="23">
        <f>IFERROR(INDEX([1]Resumen!$K$3:$K$63,MATCH(G48,[1]Resumen!$C$3:$C$63,0)),0)*(1+I48*J48)/1000-51.89/1000</f>
        <v>1.4439459506771439</v>
      </c>
      <c r="I48" s="24">
        <v>0.68</v>
      </c>
      <c r="J48" s="25">
        <v>-7.0000000000000007E-2</v>
      </c>
      <c r="K48" s="26">
        <f t="shared" si="9"/>
        <v>25.234999999999999</v>
      </c>
      <c r="L48" s="27">
        <f t="shared" si="10"/>
        <v>36437.976065337731</v>
      </c>
      <c r="M48" s="28">
        <f t="shared" si="11"/>
        <v>5244.8423999999995</v>
      </c>
      <c r="N48" s="27">
        <f t="shared" si="12"/>
        <v>1148.6494221246999</v>
      </c>
      <c r="O48" s="27">
        <f t="shared" si="13"/>
        <v>2258.0501429627352</v>
      </c>
      <c r="P48" s="27">
        <f t="shared" si="14"/>
        <v>1805.0653134927163</v>
      </c>
      <c r="Q48" s="27">
        <v>0</v>
      </c>
      <c r="R48" s="29">
        <v>0</v>
      </c>
      <c r="S48" s="30">
        <f t="shared" si="15"/>
        <v>45089.518030425163</v>
      </c>
      <c r="T48" s="30">
        <f t="shared" si="8"/>
        <v>1786.7849427551084</v>
      </c>
    </row>
    <row r="49" spans="1:20" ht="15.6" x14ac:dyDescent="0.3">
      <c r="A49" s="7">
        <v>10009332</v>
      </c>
      <c r="B49" s="7" t="s">
        <v>49</v>
      </c>
      <c r="C49" s="16">
        <v>40315</v>
      </c>
      <c r="D49" s="43">
        <v>27000</v>
      </c>
      <c r="E49" s="44">
        <v>13315</v>
      </c>
      <c r="G49" s="36">
        <v>10007050</v>
      </c>
      <c r="H49" s="23">
        <f>IFERROR(INDEX([1]Resumen!$K$3:$K$63,MATCH(G49,[1]Resumen!$C$3:$C$63,0)),0)*(1+I49*J49)/1000-51.89/1000</f>
        <v>1.4439459506771439</v>
      </c>
      <c r="I49" s="24">
        <v>0.68</v>
      </c>
      <c r="J49" s="25">
        <v>-7.0000000000000007E-2</v>
      </c>
      <c r="K49" s="26">
        <f t="shared" si="9"/>
        <v>13.315</v>
      </c>
      <c r="L49" s="27">
        <f t="shared" si="10"/>
        <v>19226.140333266168</v>
      </c>
      <c r="M49" s="28">
        <f t="shared" si="11"/>
        <v>2767.3896</v>
      </c>
      <c r="N49" s="27">
        <f t="shared" si="12"/>
        <v>606.07359047316731</v>
      </c>
      <c r="O49" s="27">
        <f t="shared" si="13"/>
        <v>1191.4379890449304</v>
      </c>
      <c r="P49" s="27">
        <f t="shared" si="14"/>
        <v>952.42499105034744</v>
      </c>
      <c r="Q49" s="27">
        <v>0</v>
      </c>
      <c r="R49" s="29">
        <v>0</v>
      </c>
      <c r="S49" s="30">
        <f t="shared" si="15"/>
        <v>23791.041512784264</v>
      </c>
      <c r="T49" s="30">
        <f t="shared" si="8"/>
        <v>1786.7849427551082</v>
      </c>
    </row>
    <row r="50" spans="1:20" ht="15.6" x14ac:dyDescent="0.3">
      <c r="A50" s="15">
        <v>10009650</v>
      </c>
      <c r="B50" s="7" t="s">
        <v>50</v>
      </c>
      <c r="C50" s="16">
        <v>290140</v>
      </c>
      <c r="D50" s="43"/>
      <c r="E50" s="44">
        <v>319154</v>
      </c>
      <c r="G50" s="32">
        <v>10005721</v>
      </c>
      <c r="H50" s="23">
        <f>IFERROR(INDEX([1]Resumen!$K$3:$K$63,MATCH(G50,[1]Resumen!$C$3:$C$63,0)),0)*(1+I50*J50)/1000-51.89/1000</f>
        <v>1.9845861732240995</v>
      </c>
      <c r="I50" s="24">
        <v>0.67</v>
      </c>
      <c r="J50" s="25">
        <v>-7.0000000000000007E-2</v>
      </c>
      <c r="K50" s="26">
        <f t="shared" si="9"/>
        <v>319.154</v>
      </c>
      <c r="L50" s="27">
        <f t="shared" si="10"/>
        <v>633388.61552916421</v>
      </c>
      <c r="M50" s="28">
        <f t="shared" si="11"/>
        <v>66332.967359999995</v>
      </c>
      <c r="N50" s="27">
        <f t="shared" si="12"/>
        <v>14527.285820043053</v>
      </c>
      <c r="O50" s="27">
        <f t="shared" si="13"/>
        <v>28558.182497607639</v>
      </c>
      <c r="P50" s="27">
        <f t="shared" si="14"/>
        <v>22829.158512480855</v>
      </c>
      <c r="Q50" s="27">
        <v>0</v>
      </c>
      <c r="R50" s="29">
        <v>0</v>
      </c>
      <c r="S50" s="30">
        <f t="shared" si="15"/>
        <v>742807.05120681494</v>
      </c>
      <c r="T50" s="30">
        <f t="shared" si="8"/>
        <v>2327.4251653020642</v>
      </c>
    </row>
    <row r="51" spans="1:20" ht="16.2" thickBot="1" x14ac:dyDescent="0.35">
      <c r="A51" s="15">
        <v>10009649</v>
      </c>
      <c r="B51" s="7" t="s">
        <v>51</v>
      </c>
      <c r="C51" s="16">
        <v>400520</v>
      </c>
      <c r="D51" s="43"/>
      <c r="E51" s="44">
        <v>440572.00000000006</v>
      </c>
      <c r="G51" s="22">
        <v>10006719</v>
      </c>
      <c r="H51" s="23">
        <f>IFERROR(INDEX([1]Resumen!$K$3:$K$63,MATCH(G51,[1]Resumen!$C$3:$C$63,0)),0)*(1+I51*J51)/1000-51.89/1000</f>
        <v>1.8826723610599079</v>
      </c>
      <c r="I51" s="24">
        <v>0.71</v>
      </c>
      <c r="J51" s="25">
        <v>-7.0000000000000007E-2</v>
      </c>
      <c r="K51" s="26">
        <f>IF(E51&lt;0,0,E51)/1000</f>
        <v>440.57200000000006</v>
      </c>
      <c r="L51" s="27">
        <f t="shared" si="10"/>
        <v>829452.72745688586</v>
      </c>
      <c r="M51" s="28">
        <f t="shared" si="11"/>
        <v>91568.484480000014</v>
      </c>
      <c r="N51" s="27">
        <f t="shared" si="12"/>
        <v>20054.003297179446</v>
      </c>
      <c r="O51" s="27">
        <f t="shared" si="13"/>
        <v>39422.772640593554</v>
      </c>
      <c r="P51" s="27">
        <f t="shared" si="14"/>
        <v>31514.215783479816</v>
      </c>
      <c r="Q51" s="27">
        <v>0</v>
      </c>
      <c r="R51" s="29">
        <v>0</v>
      </c>
      <c r="S51" s="30">
        <f t="shared" si="15"/>
        <v>980497.98787465889</v>
      </c>
      <c r="T51" s="30">
        <f>IFERROR(S51/K51,0)</f>
        <v>2225.5113531378724</v>
      </c>
    </row>
    <row r="52" spans="1:20" ht="15" thickBot="1" x14ac:dyDescent="0.35">
      <c r="C52" s="16">
        <v>2403118</v>
      </c>
      <c r="D52" s="43">
        <v>772180</v>
      </c>
      <c r="E52" s="44">
        <v>1726324</v>
      </c>
      <c r="G52"/>
      <c r="H52"/>
      <c r="I52"/>
      <c r="J52"/>
      <c r="K52" s="38">
        <f t="shared" ref="K52:S52" si="16">SUM(K2:K51)</f>
        <v>1726.3240000000001</v>
      </c>
      <c r="L52" s="39">
        <f t="shared" si="16"/>
        <v>3187978.1874493579</v>
      </c>
      <c r="M52" s="39">
        <f t="shared" si="16"/>
        <v>358799.18015999999</v>
      </c>
      <c r="N52" s="39">
        <f t="shared" si="16"/>
        <v>78579.000000000015</v>
      </c>
      <c r="O52" s="39">
        <f t="shared" si="16"/>
        <v>154473.00000000003</v>
      </c>
      <c r="P52" s="39">
        <f t="shared" si="16"/>
        <v>123484.34999999999</v>
      </c>
      <c r="Q52" s="39">
        <f t="shared" si="16"/>
        <v>0</v>
      </c>
      <c r="R52" s="40">
        <f t="shared" si="16"/>
        <v>0</v>
      </c>
      <c r="S52" s="41">
        <f t="shared" si="16"/>
        <v>3779829.3676093575</v>
      </c>
      <c r="T52" s="41">
        <f>IFERROR(S52/K52,0)</f>
        <v>2189.5248908138665</v>
      </c>
    </row>
    <row r="53" spans="1:20" ht="15" thickBot="1" x14ac:dyDescent="0.35"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ht="16.2" thickBot="1" x14ac:dyDescent="0.35">
      <c r="G54"/>
      <c r="H54"/>
      <c r="I54"/>
      <c r="J54"/>
      <c r="K54" s="42"/>
      <c r="L54"/>
      <c r="M54" t="s">
        <v>69</v>
      </c>
      <c r="N54" s="39">
        <v>78579.000000000015</v>
      </c>
      <c r="O54" s="39">
        <v>154473.00000000003</v>
      </c>
      <c r="P54" s="39">
        <v>123484.35000000002</v>
      </c>
      <c r="Q54"/>
      <c r="R54"/>
      <c r="S54"/>
      <c r="T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6-7-2026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2026-07-13T16:14:00Z</dcterms:created>
  <dcterms:modified xsi:type="dcterms:W3CDTF">2026-07-13T22:12:42Z</dcterms:modified>
</cp:coreProperties>
</file>